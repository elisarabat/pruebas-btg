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hidePivotFieldList="1" autoCompressPictures="0"/>
  <mc:AlternateContent xmlns:mc="http://schemas.openxmlformats.org/markup-compatibility/2006">
    <mc:Choice Requires="x15">
      <x15ac:absPath xmlns:x15ac="http://schemas.microsoft.com/office/spreadsheetml/2010/11/ac" url="U:\13. FI Deuda Habitacional con Subsidio\0.- Carteras\Creditú\2.- Compra 29-02-2024\"/>
    </mc:Choice>
  </mc:AlternateContent>
  <xr:revisionPtr revIDLastSave="0" documentId="13_ncr:1_{07A026AD-A828-41E6-85A5-51D9F8F06A4F}" xr6:coauthVersionLast="47" xr6:coauthVersionMax="47" xr10:uidLastSave="{00000000-0000-0000-0000-000000000000}"/>
  <bookViews>
    <workbookView xWindow="13260" yWindow="-11640" windowWidth="20730" windowHeight="11040" tabRatio="637" xr2:uid="{00000000-000D-0000-FFFF-FFFF00000000}"/>
  </bookViews>
  <sheets>
    <sheet name="Base" sheetId="10" r:id="rId1"/>
    <sheet name="Valo FX" sheetId="8" r:id="rId2"/>
    <sheet name="Valo" sheetId="12" r:id="rId3"/>
    <sheet name="Tabla desarrollo FX" sheetId="7" r:id="rId4"/>
    <sheet name="Tabla desarrollo" sheetId="14" r:id="rId5"/>
    <sheet name="Contrato" sheetId="11" state="hidden" r:id="rId6"/>
  </sheets>
  <definedNames>
    <definedName name="_xlnm._FilterDatabase" localSheetId="0" hidden="1">Base!$A$1:$AK$22</definedName>
    <definedName name="_xlnm._FilterDatabase" localSheetId="4" hidden="1">'Tabla desarrollo'!$A$2:$KN$2</definedName>
    <definedName name="_xlnm._FilterDatabase" localSheetId="3" hidden="1">'Tabla desarrollo FX'!$A$2:$KM$2</definedName>
    <definedName name="_xlnm._FilterDatabase" localSheetId="1" hidden="1">'Valo FX'!$A$3:$BFW$24</definedName>
    <definedName name="_xlnm.Print_Area" localSheetId="1">'Valo FX'!$A$2:$V$3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7" l="1"/>
  <c r="U1" i="12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A23" i="14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F39" i="8"/>
  <c r="AF40" i="8"/>
  <c r="AF41" i="8"/>
  <c r="AF42" i="8"/>
  <c r="AF43" i="8"/>
  <c r="AF44" i="8"/>
  <c r="AF45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4" i="8"/>
  <c r="AD36" i="8"/>
  <c r="AD37" i="8"/>
  <c r="AD38" i="8"/>
  <c r="AD39" i="8"/>
  <c r="AD40" i="8"/>
  <c r="AD41" i="8"/>
  <c r="AD42" i="8"/>
  <c r="AD43" i="8"/>
  <c r="AD44" i="8"/>
  <c r="AD45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4" i="8"/>
  <c r="AB36" i="8"/>
  <c r="AB37" i="8"/>
  <c r="AB38" i="8"/>
  <c r="AB39" i="8"/>
  <c r="AB40" i="8"/>
  <c r="AB41" i="8"/>
  <c r="AB42" i="8"/>
  <c r="AB43" i="8"/>
  <c r="AB44" i="8"/>
  <c r="AB45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" i="8"/>
  <c r="Y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Y44" i="8" s="1"/>
  <c r="U45" i="8"/>
  <c r="U4" i="8"/>
  <c r="S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" i="8"/>
  <c r="L5" i="8"/>
  <c r="L6" i="8"/>
  <c r="L7" i="8"/>
  <c r="L8" i="8"/>
  <c r="L9" i="8"/>
  <c r="L10" i="8"/>
  <c r="L11" i="8"/>
  <c r="K11" i="8" s="1"/>
  <c r="L12" i="8"/>
  <c r="K12" i="8" s="1"/>
  <c r="L13" i="8"/>
  <c r="K13" i="8" s="1"/>
  <c r="L14" i="8"/>
  <c r="K14" i="8" s="1"/>
  <c r="L15" i="8"/>
  <c r="K15" i="8" s="1"/>
  <c r="L16" i="8"/>
  <c r="K16" i="8" s="1"/>
  <c r="L17" i="8"/>
  <c r="L18" i="8"/>
  <c r="L19" i="8"/>
  <c r="L20" i="8"/>
  <c r="L21" i="8"/>
  <c r="L22" i="8"/>
  <c r="L23" i="8"/>
  <c r="K23" i="8" s="1"/>
  <c r="L24" i="8"/>
  <c r="K24" i="8" s="1"/>
  <c r="L25" i="8"/>
  <c r="K25" i="8" s="1"/>
  <c r="L26" i="8"/>
  <c r="K26" i="8" s="1"/>
  <c r="L27" i="8"/>
  <c r="K27" i="8" s="1"/>
  <c r="L28" i="8"/>
  <c r="K28" i="8" s="1"/>
  <c r="L29" i="8"/>
  <c r="L30" i="8"/>
  <c r="L31" i="8"/>
  <c r="L32" i="8"/>
  <c r="L33" i="8"/>
  <c r="L34" i="8"/>
  <c r="L35" i="8"/>
  <c r="K35" i="8" s="1"/>
  <c r="L36" i="8"/>
  <c r="K36" i="8" s="1"/>
  <c r="L37" i="8"/>
  <c r="K37" i="8" s="1"/>
  <c r="L38" i="8"/>
  <c r="K38" i="8" s="1"/>
  <c r="L39" i="8"/>
  <c r="K39" i="8" s="1"/>
  <c r="L40" i="8"/>
  <c r="K40" i="8" s="1"/>
  <c r="L41" i="8"/>
  <c r="L42" i="8"/>
  <c r="L43" i="8"/>
  <c r="L44" i="8"/>
  <c r="L45" i="8"/>
  <c r="L4" i="8"/>
  <c r="K5" i="8"/>
  <c r="K6" i="8"/>
  <c r="K7" i="8"/>
  <c r="K8" i="8"/>
  <c r="K9" i="8"/>
  <c r="K10" i="8"/>
  <c r="K17" i="8"/>
  <c r="K18" i="8"/>
  <c r="K19" i="8"/>
  <c r="K20" i="8"/>
  <c r="K21" i="8"/>
  <c r="K22" i="8"/>
  <c r="K29" i="8"/>
  <c r="K30" i="8"/>
  <c r="K31" i="8"/>
  <c r="K32" i="8"/>
  <c r="K33" i="8"/>
  <c r="K34" i="8"/>
  <c r="K41" i="8"/>
  <c r="K42" i="8"/>
  <c r="K43" i="8"/>
  <c r="K44" i="8"/>
  <c r="K45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5" i="8"/>
  <c r="I6" i="8"/>
  <c r="I4" i="8"/>
  <c r="Y41" i="8"/>
  <c r="Y42" i="8"/>
  <c r="Y43" i="8"/>
  <c r="F40" i="8"/>
  <c r="G40" i="8"/>
  <c r="F41" i="8"/>
  <c r="G41" i="8"/>
  <c r="F42" i="8"/>
  <c r="G42" i="8"/>
  <c r="F43" i="8"/>
  <c r="G43" i="8"/>
  <c r="F44" i="8"/>
  <c r="G44" i="8"/>
  <c r="F45" i="8"/>
  <c r="G45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G4" i="8"/>
  <c r="F4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D4" i="8"/>
  <c r="E4" i="8"/>
  <c r="C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" i="8"/>
  <c r="Y26" i="8"/>
  <c r="D23" i="10"/>
  <c r="E23" i="10"/>
  <c r="D24" i="10"/>
  <c r="E24" i="10"/>
  <c r="D25" i="10"/>
  <c r="E25" i="10"/>
  <c r="D26" i="10"/>
  <c r="E26" i="10"/>
  <c r="D27" i="10"/>
  <c r="E27" i="10"/>
  <c r="D28" i="10"/>
  <c r="E28" i="10"/>
  <c r="D29" i="10"/>
  <c r="E29" i="10"/>
  <c r="D30" i="10"/>
  <c r="E30" i="10"/>
  <c r="D31" i="10"/>
  <c r="E31" i="10"/>
  <c r="D32" i="10"/>
  <c r="E32" i="10"/>
  <c r="D33" i="10"/>
  <c r="E33" i="10"/>
  <c r="D34" i="10"/>
  <c r="E34" i="10"/>
  <c r="D35" i="10"/>
  <c r="E35" i="10"/>
  <c r="D36" i="10"/>
  <c r="E36" i="10"/>
  <c r="D37" i="10"/>
  <c r="E37" i="10"/>
  <c r="D38" i="10"/>
  <c r="E38" i="10"/>
  <c r="D39" i="10"/>
  <c r="E39" i="10"/>
  <c r="D40" i="10"/>
  <c r="E40" i="10"/>
  <c r="D41" i="10"/>
  <c r="E41" i="10"/>
  <c r="D42" i="10"/>
  <c r="E42" i="10"/>
  <c r="D43" i="10"/>
  <c r="E43" i="10"/>
  <c r="Y40" i="8" l="1"/>
  <c r="Y45" i="8"/>
  <c r="Y25" i="8"/>
  <c r="Y28" i="8" l="1"/>
  <c r="Y29" i="8"/>
  <c r="Y30" i="8"/>
  <c r="Y27" i="8"/>
  <c r="Y31" i="8" l="1"/>
  <c r="Y32" i="8" l="1"/>
  <c r="Y34" i="8" l="1"/>
  <c r="Y33" i="8"/>
  <c r="Y35" i="8" l="1"/>
  <c r="Y36" i="8" l="1"/>
  <c r="Y37" i="8"/>
  <c r="Y38" i="8" l="1"/>
  <c r="Y39" i="8" l="1"/>
  <c r="D2" i="10" l="1"/>
  <c r="E2" i="10"/>
  <c r="D3" i="10"/>
  <c r="E3" i="10"/>
  <c r="D4" i="10"/>
  <c r="E4" i="10"/>
  <c r="D5" i="10"/>
  <c r="E5" i="10"/>
  <c r="D6" i="10"/>
  <c r="E6" i="10"/>
  <c r="D7" i="10"/>
  <c r="E7" i="10"/>
  <c r="D8" i="10"/>
  <c r="E8" i="10"/>
  <c r="D9" i="10"/>
  <c r="E9" i="10"/>
  <c r="D10" i="10"/>
  <c r="E10" i="10"/>
  <c r="D11" i="10"/>
  <c r="E11" i="10"/>
  <c r="D12" i="10"/>
  <c r="E12" i="10"/>
  <c r="D13" i="10"/>
  <c r="E13" i="10"/>
  <c r="D14" i="10"/>
  <c r="E14" i="10"/>
  <c r="D15" i="10"/>
  <c r="E15" i="10"/>
  <c r="D16" i="10"/>
  <c r="E16" i="10"/>
  <c r="D17" i="10"/>
  <c r="E17" i="10"/>
  <c r="D18" i="10"/>
  <c r="E18" i="10"/>
  <c r="D19" i="10"/>
  <c r="E19" i="10"/>
  <c r="D20" i="10"/>
  <c r="E20" i="10"/>
  <c r="D21" i="10"/>
  <c r="E21" i="10"/>
  <c r="D22" i="10"/>
  <c r="E22" i="10"/>
  <c r="B1" i="7" l="1"/>
  <c r="K4" i="8" l="1"/>
  <c r="A3" i="7"/>
  <c r="C3" i="7" s="1"/>
  <c r="A4" i="7"/>
  <c r="C4" i="7" s="1"/>
  <c r="A5" i="7"/>
  <c r="C5" i="7" s="1"/>
  <c r="A6" i="7"/>
  <c r="C6" i="7" s="1"/>
  <c r="A7" i="7"/>
  <c r="C7" i="7" s="1"/>
  <c r="A8" i="7"/>
  <c r="C8" i="7" s="1"/>
  <c r="A9" i="7"/>
  <c r="C9" i="7" s="1"/>
  <c r="A10" i="7"/>
  <c r="C10" i="7" s="1"/>
  <c r="A11" i="7"/>
  <c r="C11" i="7" s="1"/>
  <c r="A12" i="7"/>
  <c r="C12" i="7" s="1"/>
  <c r="A13" i="7"/>
  <c r="C13" i="7" s="1"/>
  <c r="A14" i="7"/>
  <c r="C14" i="7" s="1"/>
  <c r="A15" i="7"/>
  <c r="C15" i="7" s="1"/>
  <c r="A16" i="7"/>
  <c r="C16" i="7" s="1"/>
  <c r="A17" i="7"/>
  <c r="C17" i="7" s="1"/>
  <c r="A18" i="7"/>
  <c r="C18" i="7" s="1"/>
  <c r="A19" i="7"/>
  <c r="C19" i="7" s="1"/>
  <c r="A20" i="7"/>
  <c r="C20" i="7" s="1"/>
  <c r="A21" i="7"/>
  <c r="C21" i="7" s="1"/>
  <c r="A22" i="7"/>
  <c r="C22" i="7" s="1"/>
  <c r="A23" i="7"/>
  <c r="D1" i="7"/>
  <c r="A24" i="7" l="1"/>
  <c r="C24" i="7" s="1"/>
  <c r="C23" i="7"/>
  <c r="D4" i="7"/>
  <c r="D5" i="7"/>
  <c r="D6" i="7"/>
  <c r="D7" i="7"/>
  <c r="D9" i="7"/>
  <c r="D10" i="7"/>
  <c r="D12" i="7"/>
  <c r="D8" i="7"/>
  <c r="D11" i="7"/>
  <c r="D17" i="7"/>
  <c r="D13" i="7"/>
  <c r="D15" i="7"/>
  <c r="D19" i="7"/>
  <c r="D16" i="7"/>
  <c r="D18" i="7"/>
  <c r="D14" i="7"/>
  <c r="D21" i="7"/>
  <c r="D23" i="7"/>
  <c r="D22" i="7"/>
  <c r="D20" i="7"/>
  <c r="D24" i="7"/>
  <c r="A25" i="7"/>
  <c r="C25" i="7" s="1"/>
  <c r="E1" i="7"/>
  <c r="D3" i="7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2" i="11"/>
  <c r="E3" i="11"/>
  <c r="H3" i="11" s="1"/>
  <c r="E4" i="11"/>
  <c r="H4" i="11" s="1"/>
  <c r="E5" i="11"/>
  <c r="H5" i="11" s="1"/>
  <c r="E6" i="11"/>
  <c r="H6" i="11" s="1"/>
  <c r="E7" i="11"/>
  <c r="H7" i="11" s="1"/>
  <c r="E8" i="11"/>
  <c r="H8" i="11" s="1"/>
  <c r="E9" i="11"/>
  <c r="H9" i="11" s="1"/>
  <c r="E10" i="11"/>
  <c r="H10" i="11" s="1"/>
  <c r="E11" i="11"/>
  <c r="H11" i="11" s="1"/>
  <c r="E12" i="11"/>
  <c r="H12" i="11" s="1"/>
  <c r="E13" i="11"/>
  <c r="H13" i="11" s="1"/>
  <c r="E14" i="11"/>
  <c r="G14" i="11" s="1"/>
  <c r="E15" i="11"/>
  <c r="H15" i="11" s="1"/>
  <c r="E16" i="11"/>
  <c r="H16" i="11" s="1"/>
  <c r="E17" i="11"/>
  <c r="H17" i="11" s="1"/>
  <c r="E18" i="11"/>
  <c r="H18" i="11" s="1"/>
  <c r="E19" i="11"/>
  <c r="H19" i="11" s="1"/>
  <c r="E20" i="11"/>
  <c r="H20" i="11" s="1"/>
  <c r="E21" i="11"/>
  <c r="H21" i="11" s="1"/>
  <c r="E22" i="11"/>
  <c r="G22" i="11" s="1"/>
  <c r="E23" i="11"/>
  <c r="H23" i="11" s="1"/>
  <c r="E24" i="11"/>
  <c r="H24" i="11" s="1"/>
  <c r="E25" i="11"/>
  <c r="H25" i="11" s="1"/>
  <c r="E26" i="11"/>
  <c r="G26" i="11" s="1"/>
  <c r="E27" i="11"/>
  <c r="H27" i="11" s="1"/>
  <c r="E28" i="11"/>
  <c r="H28" i="11" s="1"/>
  <c r="E29" i="11"/>
  <c r="H29" i="11" s="1"/>
  <c r="E30" i="11"/>
  <c r="H30" i="11" s="1"/>
  <c r="E31" i="11"/>
  <c r="H31" i="11" s="1"/>
  <c r="E32" i="11"/>
  <c r="H32" i="11" s="1"/>
  <c r="E33" i="11"/>
  <c r="H33" i="11" s="1"/>
  <c r="E34" i="11"/>
  <c r="G34" i="11" s="1"/>
  <c r="E35" i="11"/>
  <c r="H35" i="11" s="1"/>
  <c r="E36" i="11"/>
  <c r="H36" i="11" s="1"/>
  <c r="E37" i="11"/>
  <c r="H37" i="11" s="1"/>
  <c r="E38" i="11"/>
  <c r="H38" i="11" s="1"/>
  <c r="E39" i="11"/>
  <c r="H39" i="11" s="1"/>
  <c r="E40" i="11"/>
  <c r="H40" i="11" s="1"/>
  <c r="E41" i="11"/>
  <c r="H41" i="11" s="1"/>
  <c r="E42" i="11"/>
  <c r="H42" i="11" s="1"/>
  <c r="E43" i="11"/>
  <c r="H43" i="11" s="1"/>
  <c r="E44" i="11"/>
  <c r="H44" i="11" s="1"/>
  <c r="E45" i="11"/>
  <c r="H45" i="11" s="1"/>
  <c r="E46" i="11"/>
  <c r="G46" i="11" s="1"/>
  <c r="E47" i="11"/>
  <c r="H47" i="11" s="1"/>
  <c r="E48" i="11"/>
  <c r="H48" i="11" s="1"/>
  <c r="E49" i="11"/>
  <c r="H49" i="11" s="1"/>
  <c r="E2" i="11"/>
  <c r="F2" i="11" s="1"/>
  <c r="F3" i="11"/>
  <c r="F4" i="11"/>
  <c r="E4" i="7" l="1"/>
  <c r="E6" i="7"/>
  <c r="E5" i="7"/>
  <c r="E8" i="7"/>
  <c r="E7" i="7"/>
  <c r="E9" i="7"/>
  <c r="E12" i="7"/>
  <c r="E11" i="7"/>
  <c r="E16" i="7"/>
  <c r="E14" i="7"/>
  <c r="E13" i="7"/>
  <c r="E19" i="7"/>
  <c r="E18" i="7"/>
  <c r="E10" i="7"/>
  <c r="E17" i="7"/>
  <c r="E15" i="7"/>
  <c r="E25" i="7"/>
  <c r="E26" i="7"/>
  <c r="E23" i="7"/>
  <c r="E21" i="7"/>
  <c r="E22" i="7"/>
  <c r="E20" i="7"/>
  <c r="E24" i="7"/>
  <c r="D25" i="7"/>
  <c r="A26" i="7"/>
  <c r="F1" i="7"/>
  <c r="E3" i="7"/>
  <c r="F26" i="11"/>
  <c r="F40" i="11"/>
  <c r="F32" i="11"/>
  <c r="F28" i="11"/>
  <c r="F24" i="11"/>
  <c r="F16" i="11"/>
  <c r="F33" i="11"/>
  <c r="F25" i="11"/>
  <c r="F41" i="11"/>
  <c r="F39" i="11"/>
  <c r="F36" i="11"/>
  <c r="F34" i="11"/>
  <c r="F23" i="11"/>
  <c r="F15" i="11"/>
  <c r="F31" i="11"/>
  <c r="F7" i="11"/>
  <c r="F29" i="11"/>
  <c r="F35" i="11"/>
  <c r="F27" i="11"/>
  <c r="F37" i="11"/>
  <c r="F14" i="11"/>
  <c r="F6" i="11"/>
  <c r="F21" i="11"/>
  <c r="F13" i="11"/>
  <c r="F38" i="11"/>
  <c r="F30" i="11"/>
  <c r="F22" i="11"/>
  <c r="F12" i="11"/>
  <c r="F11" i="11"/>
  <c r="F10" i="11"/>
  <c r="F9" i="11"/>
  <c r="F8" i="11"/>
  <c r="F5" i="11"/>
  <c r="F19" i="11"/>
  <c r="F18" i="11"/>
  <c r="F20" i="11"/>
  <c r="F17" i="11"/>
  <c r="F45" i="11"/>
  <c r="F43" i="11"/>
  <c r="F49" i="11"/>
  <c r="F48" i="11"/>
  <c r="F47" i="11"/>
  <c r="F44" i="11"/>
  <c r="F46" i="11"/>
  <c r="F42" i="11"/>
  <c r="G42" i="11"/>
  <c r="G30" i="11"/>
  <c r="G18" i="11"/>
  <c r="G10" i="11"/>
  <c r="H46" i="11"/>
  <c r="H34" i="11"/>
  <c r="H22" i="11"/>
  <c r="G49" i="11"/>
  <c r="G45" i="11"/>
  <c r="G41" i="11"/>
  <c r="G37" i="11"/>
  <c r="G33" i="11"/>
  <c r="G29" i="11"/>
  <c r="G25" i="11"/>
  <c r="G21" i="11"/>
  <c r="G17" i="11"/>
  <c r="G13" i="11"/>
  <c r="G9" i="11"/>
  <c r="G5" i="11"/>
  <c r="G2" i="11"/>
  <c r="G38" i="11"/>
  <c r="H2" i="11"/>
  <c r="H26" i="11"/>
  <c r="H14" i="11"/>
  <c r="G48" i="11"/>
  <c r="G44" i="11"/>
  <c r="G40" i="11"/>
  <c r="G36" i="11"/>
  <c r="G32" i="11"/>
  <c r="G28" i="11"/>
  <c r="G24" i="11"/>
  <c r="G20" i="11"/>
  <c r="G16" i="11"/>
  <c r="G12" i="11"/>
  <c r="G8" i="11"/>
  <c r="G4" i="11"/>
  <c r="G6" i="11"/>
  <c r="G47" i="11"/>
  <c r="G43" i="11"/>
  <c r="G39" i="11"/>
  <c r="G35" i="11"/>
  <c r="G31" i="11"/>
  <c r="G27" i="11"/>
  <c r="G23" i="11"/>
  <c r="G19" i="11"/>
  <c r="G15" i="11"/>
  <c r="G11" i="11"/>
  <c r="G7" i="11"/>
  <c r="G3" i="11"/>
  <c r="C26" i="7" l="1"/>
  <c r="D26" i="7"/>
  <c r="F4" i="7"/>
  <c r="F5" i="7"/>
  <c r="F7" i="7"/>
  <c r="F9" i="7"/>
  <c r="F12" i="7"/>
  <c r="F8" i="7"/>
  <c r="F6" i="7"/>
  <c r="F10" i="7"/>
  <c r="F11" i="7"/>
  <c r="F14" i="7"/>
  <c r="F15" i="7"/>
  <c r="F13" i="7"/>
  <c r="F19" i="7"/>
  <c r="F16" i="7"/>
  <c r="F17" i="7"/>
  <c r="F20" i="7"/>
  <c r="F25" i="7"/>
  <c r="F26" i="7"/>
  <c r="F23" i="7"/>
  <c r="F21" i="7"/>
  <c r="F24" i="7"/>
  <c r="F18" i="7"/>
  <c r="F22" i="7"/>
  <c r="A27" i="7"/>
  <c r="G1" i="7"/>
  <c r="F3" i="7"/>
  <c r="G4" i="7" l="1"/>
  <c r="G6" i="7"/>
  <c r="G7" i="7"/>
  <c r="G5" i="7"/>
  <c r="G13" i="7"/>
  <c r="G16" i="7"/>
  <c r="G10" i="7"/>
  <c r="G9" i="7"/>
  <c r="G8" i="7"/>
  <c r="G11" i="7"/>
  <c r="G14" i="7"/>
  <c r="G12" i="7"/>
  <c r="G15" i="7"/>
  <c r="G19" i="7"/>
  <c r="G18" i="7"/>
  <c r="G17" i="7"/>
  <c r="G22" i="7"/>
  <c r="G20" i="7"/>
  <c r="G25" i="7"/>
  <c r="G26" i="7"/>
  <c r="G23" i="7"/>
  <c r="G27" i="7"/>
  <c r="G24" i="7"/>
  <c r="G21" i="7"/>
  <c r="C27" i="7"/>
  <c r="D27" i="7"/>
  <c r="E27" i="7"/>
  <c r="F27" i="7"/>
  <c r="A28" i="7"/>
  <c r="H1" i="7"/>
  <c r="G3" i="7"/>
  <c r="H5" i="7" l="1"/>
  <c r="H6" i="7"/>
  <c r="H4" i="7"/>
  <c r="H8" i="7"/>
  <c r="H7" i="7"/>
  <c r="H15" i="7"/>
  <c r="H10" i="7"/>
  <c r="H9" i="7"/>
  <c r="H11" i="7"/>
  <c r="H12" i="7"/>
  <c r="H13" i="7"/>
  <c r="H16" i="7"/>
  <c r="H19" i="7"/>
  <c r="H18" i="7"/>
  <c r="H14" i="7"/>
  <c r="H17" i="7"/>
  <c r="H21" i="7"/>
  <c r="H22" i="7"/>
  <c r="H20" i="7"/>
  <c r="H25" i="7"/>
  <c r="H26" i="7"/>
  <c r="H23" i="7"/>
  <c r="H27" i="7"/>
  <c r="H24" i="7"/>
  <c r="H28" i="7"/>
  <c r="C28" i="7"/>
  <c r="D28" i="7"/>
  <c r="E28" i="7"/>
  <c r="F28" i="7"/>
  <c r="G28" i="7"/>
  <c r="A29" i="7"/>
  <c r="I1" i="7"/>
  <c r="H3" i="7"/>
  <c r="D2" i="7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J2" i="7" s="1"/>
  <c r="BK2" i="7" s="1"/>
  <c r="BL2" i="7" s="1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W2" i="7" s="1"/>
  <c r="BX2" i="7" s="1"/>
  <c r="BY2" i="7" s="1"/>
  <c r="BZ2" i="7" s="1"/>
  <c r="CA2" i="7" s="1"/>
  <c r="CB2" i="7" s="1"/>
  <c r="CC2" i="7" s="1"/>
  <c r="CD2" i="7" s="1"/>
  <c r="CE2" i="7" s="1"/>
  <c r="CF2" i="7" s="1"/>
  <c r="CG2" i="7" s="1"/>
  <c r="CH2" i="7" s="1"/>
  <c r="CI2" i="7" s="1"/>
  <c r="CJ2" i="7" s="1"/>
  <c r="CK2" i="7" s="1"/>
  <c r="CL2" i="7" s="1"/>
  <c r="CM2" i="7" s="1"/>
  <c r="CN2" i="7" s="1"/>
  <c r="CO2" i="7" s="1"/>
  <c r="CP2" i="7" s="1"/>
  <c r="CQ2" i="7" s="1"/>
  <c r="CR2" i="7" s="1"/>
  <c r="CS2" i="7" s="1"/>
  <c r="CT2" i="7" s="1"/>
  <c r="CU2" i="7" s="1"/>
  <c r="CV2" i="7" s="1"/>
  <c r="CW2" i="7" s="1"/>
  <c r="CX2" i="7" s="1"/>
  <c r="CY2" i="7" s="1"/>
  <c r="CZ2" i="7" s="1"/>
  <c r="DA2" i="7" s="1"/>
  <c r="DB2" i="7" s="1"/>
  <c r="DC2" i="7" s="1"/>
  <c r="DD2" i="7" s="1"/>
  <c r="DE2" i="7" s="1"/>
  <c r="DF2" i="7" s="1"/>
  <c r="DG2" i="7" s="1"/>
  <c r="DH2" i="7" s="1"/>
  <c r="DI2" i="7" s="1"/>
  <c r="DJ2" i="7" s="1"/>
  <c r="DK2" i="7" s="1"/>
  <c r="DL2" i="7" s="1"/>
  <c r="DM2" i="7" s="1"/>
  <c r="DN2" i="7" s="1"/>
  <c r="DO2" i="7" s="1"/>
  <c r="DP2" i="7" s="1"/>
  <c r="DQ2" i="7" s="1"/>
  <c r="DR2" i="7" s="1"/>
  <c r="DS2" i="7" s="1"/>
  <c r="DT2" i="7" s="1"/>
  <c r="DU2" i="7" s="1"/>
  <c r="DV2" i="7" s="1"/>
  <c r="DW2" i="7" s="1"/>
  <c r="DX2" i="7" s="1"/>
  <c r="DY2" i="7" s="1"/>
  <c r="DZ2" i="7" s="1"/>
  <c r="EA2" i="7" s="1"/>
  <c r="EB2" i="7" s="1"/>
  <c r="EC2" i="7" s="1"/>
  <c r="ED2" i="7" s="1"/>
  <c r="EE2" i="7" s="1"/>
  <c r="EF2" i="7" s="1"/>
  <c r="EG2" i="7" s="1"/>
  <c r="EH2" i="7" s="1"/>
  <c r="EI2" i="7" s="1"/>
  <c r="EJ2" i="7" s="1"/>
  <c r="EK2" i="7" s="1"/>
  <c r="EL2" i="7" s="1"/>
  <c r="EM2" i="7" s="1"/>
  <c r="EN2" i="7" s="1"/>
  <c r="EO2" i="7" s="1"/>
  <c r="EP2" i="7" s="1"/>
  <c r="EQ2" i="7" s="1"/>
  <c r="ER2" i="7" s="1"/>
  <c r="ES2" i="7" s="1"/>
  <c r="ET2" i="7" s="1"/>
  <c r="EU2" i="7" s="1"/>
  <c r="EV2" i="7" s="1"/>
  <c r="EW2" i="7" s="1"/>
  <c r="EX2" i="7" s="1"/>
  <c r="EY2" i="7" s="1"/>
  <c r="EZ2" i="7" s="1"/>
  <c r="FA2" i="7" s="1"/>
  <c r="FB2" i="7" s="1"/>
  <c r="FC2" i="7" s="1"/>
  <c r="FD2" i="7" s="1"/>
  <c r="FE2" i="7" s="1"/>
  <c r="FF2" i="7" s="1"/>
  <c r="FG2" i="7" s="1"/>
  <c r="FH2" i="7" s="1"/>
  <c r="FI2" i="7" s="1"/>
  <c r="FJ2" i="7" s="1"/>
  <c r="FK2" i="7" s="1"/>
  <c r="FL2" i="7" s="1"/>
  <c r="FM2" i="7" s="1"/>
  <c r="FN2" i="7" s="1"/>
  <c r="FO2" i="7" s="1"/>
  <c r="FP2" i="7" s="1"/>
  <c r="FQ2" i="7" s="1"/>
  <c r="FR2" i="7" s="1"/>
  <c r="FS2" i="7" s="1"/>
  <c r="FT2" i="7" s="1"/>
  <c r="FU2" i="7" s="1"/>
  <c r="FV2" i="7" s="1"/>
  <c r="FW2" i="7" s="1"/>
  <c r="FX2" i="7" s="1"/>
  <c r="FY2" i="7" s="1"/>
  <c r="FZ2" i="7" s="1"/>
  <c r="GA2" i="7" s="1"/>
  <c r="GB2" i="7" s="1"/>
  <c r="GC2" i="7" s="1"/>
  <c r="GD2" i="7" s="1"/>
  <c r="GE2" i="7" s="1"/>
  <c r="GF2" i="7" s="1"/>
  <c r="GG2" i="7" s="1"/>
  <c r="GH2" i="7" s="1"/>
  <c r="GI2" i="7" s="1"/>
  <c r="GJ2" i="7" s="1"/>
  <c r="GK2" i="7" s="1"/>
  <c r="GL2" i="7" s="1"/>
  <c r="GM2" i="7" s="1"/>
  <c r="GN2" i="7" s="1"/>
  <c r="GO2" i="7" s="1"/>
  <c r="GP2" i="7" s="1"/>
  <c r="GQ2" i="7" s="1"/>
  <c r="GR2" i="7" s="1"/>
  <c r="GS2" i="7" s="1"/>
  <c r="GT2" i="7" s="1"/>
  <c r="GU2" i="7" s="1"/>
  <c r="GV2" i="7" s="1"/>
  <c r="GW2" i="7" s="1"/>
  <c r="GX2" i="7" s="1"/>
  <c r="GY2" i="7" s="1"/>
  <c r="GZ2" i="7" s="1"/>
  <c r="HA2" i="7" s="1"/>
  <c r="HB2" i="7" s="1"/>
  <c r="HC2" i="7" s="1"/>
  <c r="HD2" i="7" s="1"/>
  <c r="HE2" i="7" s="1"/>
  <c r="HF2" i="7" s="1"/>
  <c r="HG2" i="7" s="1"/>
  <c r="HH2" i="7" s="1"/>
  <c r="HI2" i="7" s="1"/>
  <c r="HJ2" i="7" s="1"/>
  <c r="HK2" i="7" s="1"/>
  <c r="HL2" i="7" s="1"/>
  <c r="HM2" i="7" s="1"/>
  <c r="HN2" i="7" s="1"/>
  <c r="HO2" i="7" s="1"/>
  <c r="HP2" i="7" s="1"/>
  <c r="HQ2" i="7" s="1"/>
  <c r="HR2" i="7" s="1"/>
  <c r="HS2" i="7" s="1"/>
  <c r="HT2" i="7" s="1"/>
  <c r="HU2" i="7" s="1"/>
  <c r="HV2" i="7" s="1"/>
  <c r="HW2" i="7" s="1"/>
  <c r="HX2" i="7" s="1"/>
  <c r="HY2" i="7" s="1"/>
  <c r="HZ2" i="7" s="1"/>
  <c r="IA2" i="7" s="1"/>
  <c r="IB2" i="7" s="1"/>
  <c r="IC2" i="7" s="1"/>
  <c r="ID2" i="7" s="1"/>
  <c r="IE2" i="7" s="1"/>
  <c r="IF2" i="7" s="1"/>
  <c r="IG2" i="7" s="1"/>
  <c r="IH2" i="7" s="1"/>
  <c r="II2" i="7" s="1"/>
  <c r="IJ2" i="7" s="1"/>
  <c r="IK2" i="7" s="1"/>
  <c r="IL2" i="7" s="1"/>
  <c r="IM2" i="7" s="1"/>
  <c r="IN2" i="7" s="1"/>
  <c r="IO2" i="7" s="1"/>
  <c r="IP2" i="7" s="1"/>
  <c r="IQ2" i="7" s="1"/>
  <c r="IR2" i="7" s="1"/>
  <c r="IS2" i="7" s="1"/>
  <c r="IT2" i="7" s="1"/>
  <c r="IU2" i="7" s="1"/>
  <c r="IV2" i="7" s="1"/>
  <c r="IW2" i="7" s="1"/>
  <c r="IX2" i="7" s="1"/>
  <c r="IY2" i="7" s="1"/>
  <c r="IZ2" i="7" s="1"/>
  <c r="JA2" i="7" s="1"/>
  <c r="JB2" i="7" s="1"/>
  <c r="JC2" i="7" s="1"/>
  <c r="JD2" i="7" s="1"/>
  <c r="JE2" i="7" s="1"/>
  <c r="JF2" i="7" s="1"/>
  <c r="JG2" i="7" s="1"/>
  <c r="JH2" i="7" s="1"/>
  <c r="JI2" i="7" s="1"/>
  <c r="JJ2" i="7" s="1"/>
  <c r="JK2" i="7" s="1"/>
  <c r="JL2" i="7" s="1"/>
  <c r="JM2" i="7" s="1"/>
  <c r="JN2" i="7" s="1"/>
  <c r="JO2" i="7" s="1"/>
  <c r="JP2" i="7" s="1"/>
  <c r="JQ2" i="7" s="1"/>
  <c r="JR2" i="7" s="1"/>
  <c r="JS2" i="7" s="1"/>
  <c r="JT2" i="7" s="1"/>
  <c r="JU2" i="7" s="1"/>
  <c r="JV2" i="7" s="1"/>
  <c r="JW2" i="7" s="1"/>
  <c r="JX2" i="7" s="1"/>
  <c r="JY2" i="7" s="1"/>
  <c r="JZ2" i="7" s="1"/>
  <c r="KA2" i="7" s="1"/>
  <c r="KB2" i="7" s="1"/>
  <c r="KC2" i="7" s="1"/>
  <c r="KD2" i="7" s="1"/>
  <c r="KE2" i="7" s="1"/>
  <c r="KF2" i="7" s="1"/>
  <c r="KG2" i="7" s="1"/>
  <c r="KH2" i="7" s="1"/>
  <c r="KI2" i="7" s="1"/>
  <c r="KJ2" i="7" s="1"/>
  <c r="KK2" i="7" s="1"/>
  <c r="KL2" i="7" s="1"/>
  <c r="KM2" i="7" s="1"/>
  <c r="KN2" i="7" s="1"/>
  <c r="KO2" i="7" s="1"/>
  <c r="KP2" i="7" s="1"/>
  <c r="KQ2" i="7" s="1"/>
  <c r="KR2" i="7" s="1"/>
  <c r="KS2" i="7" s="1"/>
  <c r="KT2" i="7" s="1"/>
  <c r="KU2" i="7" s="1"/>
  <c r="KV2" i="7" s="1"/>
  <c r="KW2" i="7" s="1"/>
  <c r="KX2" i="7" s="1"/>
  <c r="KY2" i="7" s="1"/>
  <c r="KZ2" i="7" s="1"/>
  <c r="LA2" i="7" s="1"/>
  <c r="LB2" i="7" s="1"/>
  <c r="LC2" i="7" s="1"/>
  <c r="LD2" i="7" s="1"/>
  <c r="LE2" i="7" s="1"/>
  <c r="LF2" i="7" s="1"/>
  <c r="LG2" i="7" s="1"/>
  <c r="LH2" i="7" s="1"/>
  <c r="LI2" i="7" s="1"/>
  <c r="LJ2" i="7" s="1"/>
  <c r="LK2" i="7" s="1"/>
  <c r="LL2" i="7" s="1"/>
  <c r="LM2" i="7" s="1"/>
  <c r="LN2" i="7" s="1"/>
  <c r="LO2" i="7" s="1"/>
  <c r="LP2" i="7" s="1"/>
  <c r="LQ2" i="7" s="1"/>
  <c r="LR2" i="7" s="1"/>
  <c r="LS2" i="7" s="1"/>
  <c r="LT2" i="7" s="1"/>
  <c r="LU2" i="7" s="1"/>
  <c r="LV2" i="7" s="1"/>
  <c r="LW2" i="7" s="1"/>
  <c r="LX2" i="7" s="1"/>
  <c r="LY2" i="7" s="1"/>
  <c r="LZ2" i="7" s="1"/>
  <c r="MA2" i="7" s="1"/>
  <c r="MB2" i="7" s="1"/>
  <c r="MC2" i="7" s="1"/>
  <c r="MD2" i="7" s="1"/>
  <c r="ME2" i="7" s="1"/>
  <c r="MF2" i="7" s="1"/>
  <c r="MG2" i="7" s="1"/>
  <c r="MH2" i="7" s="1"/>
  <c r="MI2" i="7" s="1"/>
  <c r="MJ2" i="7" s="1"/>
  <c r="MK2" i="7" s="1"/>
  <c r="ML2" i="7" s="1"/>
  <c r="MM2" i="7" s="1"/>
  <c r="MN2" i="7" s="1"/>
  <c r="MO2" i="7" s="1"/>
  <c r="MP2" i="7" s="1"/>
  <c r="MQ2" i="7" s="1"/>
  <c r="MR2" i="7" s="1"/>
  <c r="MS2" i="7" s="1"/>
  <c r="MT2" i="7" s="1"/>
  <c r="MU2" i="7" s="1"/>
  <c r="MV2" i="7" s="1"/>
  <c r="MW2" i="7" s="1"/>
  <c r="MX2" i="7" s="1"/>
  <c r="MY2" i="7" s="1"/>
  <c r="S5" i="8"/>
  <c r="S6" i="8" s="1"/>
  <c r="S7" i="8" s="1"/>
  <c r="S8" i="8" s="1"/>
  <c r="S9" i="8" s="1"/>
  <c r="S10" i="8" s="1"/>
  <c r="S11" i="8" s="1"/>
  <c r="S12" i="8" s="1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S29" i="8" s="1"/>
  <c r="S30" i="8" s="1"/>
  <c r="S31" i="8" s="1"/>
  <c r="S32" i="8" s="1"/>
  <c r="S33" i="8" s="1"/>
  <c r="S34" i="8" s="1"/>
  <c r="S35" i="8" s="1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C29" i="7" l="1"/>
  <c r="D29" i="7"/>
  <c r="E29" i="7"/>
  <c r="F29" i="7"/>
  <c r="G29" i="7"/>
  <c r="I4" i="7"/>
  <c r="I5" i="7"/>
  <c r="I7" i="7"/>
  <c r="I8" i="7"/>
  <c r="I9" i="7"/>
  <c r="I11" i="7"/>
  <c r="I14" i="7"/>
  <c r="I10" i="7"/>
  <c r="I6" i="7"/>
  <c r="I12" i="7"/>
  <c r="I13" i="7"/>
  <c r="I15" i="7"/>
  <c r="I18" i="7"/>
  <c r="I17" i="7"/>
  <c r="I16" i="7"/>
  <c r="I21" i="7"/>
  <c r="I19" i="7"/>
  <c r="I22" i="7"/>
  <c r="I20" i="7"/>
  <c r="I25" i="7"/>
  <c r="I23" i="7"/>
  <c r="I26" i="7"/>
  <c r="I27" i="7"/>
  <c r="I24" i="7"/>
  <c r="I28" i="7"/>
  <c r="I29" i="7"/>
  <c r="H29" i="7"/>
  <c r="A30" i="7"/>
  <c r="J1" i="7"/>
  <c r="I3" i="7"/>
  <c r="C30" i="7" l="1"/>
  <c r="D30" i="7"/>
  <c r="E30" i="7"/>
  <c r="F30" i="7"/>
  <c r="G30" i="7"/>
  <c r="H30" i="7"/>
  <c r="I30" i="7"/>
  <c r="J4" i="7"/>
  <c r="J7" i="7"/>
  <c r="J8" i="7"/>
  <c r="J6" i="7"/>
  <c r="J9" i="7"/>
  <c r="J10" i="7"/>
  <c r="J12" i="7"/>
  <c r="J5" i="7"/>
  <c r="J14" i="7"/>
  <c r="J13" i="7"/>
  <c r="J11" i="7"/>
  <c r="J15" i="7"/>
  <c r="J16" i="7"/>
  <c r="J17" i="7"/>
  <c r="J18" i="7"/>
  <c r="J19" i="7"/>
  <c r="J21" i="7"/>
  <c r="J24" i="7"/>
  <c r="J22" i="7"/>
  <c r="J20" i="7"/>
  <c r="J28" i="7"/>
  <c r="J30" i="7"/>
  <c r="J23" i="7"/>
  <c r="J26" i="7"/>
  <c r="J27" i="7"/>
  <c r="J29" i="7"/>
  <c r="J25" i="7"/>
  <c r="A31" i="7"/>
  <c r="J31" i="7" s="1"/>
  <c r="K1" i="7"/>
  <c r="J3" i="7"/>
  <c r="K6" i="7" l="1"/>
  <c r="K4" i="7"/>
  <c r="K5" i="7"/>
  <c r="K7" i="7"/>
  <c r="K13" i="7"/>
  <c r="K8" i="7"/>
  <c r="K11" i="7"/>
  <c r="K9" i="7"/>
  <c r="K14" i="7"/>
  <c r="K10" i="7"/>
  <c r="K12" i="7"/>
  <c r="K15" i="7"/>
  <c r="K17" i="7"/>
  <c r="K19" i="7"/>
  <c r="K20" i="7"/>
  <c r="K16" i="7"/>
  <c r="K24" i="7"/>
  <c r="K22" i="7"/>
  <c r="K23" i="7"/>
  <c r="K18" i="7"/>
  <c r="K28" i="7"/>
  <c r="K30" i="7"/>
  <c r="K25" i="7"/>
  <c r="K29" i="7"/>
  <c r="K21" i="7"/>
  <c r="K31" i="7"/>
  <c r="K27" i="7"/>
  <c r="K26" i="7"/>
  <c r="C31" i="7"/>
  <c r="D31" i="7"/>
  <c r="E31" i="7"/>
  <c r="F31" i="7"/>
  <c r="G31" i="7"/>
  <c r="H31" i="7"/>
  <c r="I31" i="7"/>
  <c r="A32" i="7"/>
  <c r="L1" i="7"/>
  <c r="K3" i="7"/>
  <c r="L5" i="7" l="1"/>
  <c r="L6" i="7"/>
  <c r="L4" i="7"/>
  <c r="L9" i="7"/>
  <c r="L7" i="7"/>
  <c r="L12" i="7"/>
  <c r="L8" i="7"/>
  <c r="L11" i="7"/>
  <c r="L10" i="7"/>
  <c r="L20" i="7"/>
  <c r="L13" i="7"/>
  <c r="L16" i="7"/>
  <c r="L14" i="7"/>
  <c r="L18" i="7"/>
  <c r="L17" i="7"/>
  <c r="L15" i="7"/>
  <c r="L22" i="7"/>
  <c r="L23" i="7"/>
  <c r="L24" i="7"/>
  <c r="L19" i="7"/>
  <c r="L26" i="7"/>
  <c r="L28" i="7"/>
  <c r="L30" i="7"/>
  <c r="L32" i="7"/>
  <c r="L25" i="7"/>
  <c r="L29" i="7"/>
  <c r="L21" i="7"/>
  <c r="L31" i="7"/>
  <c r="L33" i="7"/>
  <c r="L27" i="7"/>
  <c r="C32" i="7"/>
  <c r="D32" i="7"/>
  <c r="E32" i="7"/>
  <c r="F32" i="7"/>
  <c r="G32" i="7"/>
  <c r="H32" i="7"/>
  <c r="I32" i="7"/>
  <c r="J32" i="7"/>
  <c r="K32" i="7"/>
  <c r="A33" i="7"/>
  <c r="M1" i="7"/>
  <c r="L3" i="7"/>
  <c r="M4" i="7" l="1"/>
  <c r="M5" i="7"/>
  <c r="M6" i="7"/>
  <c r="M11" i="7"/>
  <c r="M7" i="7"/>
  <c r="M9" i="7"/>
  <c r="M10" i="7"/>
  <c r="M8" i="7"/>
  <c r="M13" i="7"/>
  <c r="M15" i="7"/>
  <c r="M19" i="7"/>
  <c r="M17" i="7"/>
  <c r="M16" i="7"/>
  <c r="M12" i="7"/>
  <c r="M14" i="7"/>
  <c r="M18" i="7"/>
  <c r="M20" i="7"/>
  <c r="M22" i="7"/>
  <c r="M24" i="7"/>
  <c r="M21" i="7"/>
  <c r="M25" i="7"/>
  <c r="M23" i="7"/>
  <c r="M26" i="7"/>
  <c r="M28" i="7"/>
  <c r="M31" i="7"/>
  <c r="M30" i="7"/>
  <c r="M27" i="7"/>
  <c r="M29" i="7"/>
  <c r="M33" i="7"/>
  <c r="M32" i="7"/>
  <c r="C33" i="7"/>
  <c r="D33" i="7"/>
  <c r="E33" i="7"/>
  <c r="F33" i="7"/>
  <c r="G33" i="7"/>
  <c r="H33" i="7"/>
  <c r="I33" i="7"/>
  <c r="J33" i="7"/>
  <c r="K33" i="7"/>
  <c r="A34" i="7"/>
  <c r="N1" i="7"/>
  <c r="M3" i="7"/>
  <c r="N4" i="7" l="1"/>
  <c r="N6" i="7"/>
  <c r="N5" i="7"/>
  <c r="N10" i="7"/>
  <c r="N8" i="7"/>
  <c r="N7" i="7"/>
  <c r="N11" i="7"/>
  <c r="N9" i="7"/>
  <c r="N18" i="7"/>
  <c r="N13" i="7"/>
  <c r="N17" i="7"/>
  <c r="N16" i="7"/>
  <c r="N12" i="7"/>
  <c r="N14" i="7"/>
  <c r="N15" i="7"/>
  <c r="N19" i="7"/>
  <c r="N21" i="7"/>
  <c r="N20" i="7"/>
  <c r="N22" i="7"/>
  <c r="N23" i="7"/>
  <c r="N24" i="7"/>
  <c r="N25" i="7"/>
  <c r="N28" i="7"/>
  <c r="N27" i="7"/>
  <c r="N29" i="7"/>
  <c r="N32" i="7"/>
  <c r="N31" i="7"/>
  <c r="N33" i="7"/>
  <c r="N34" i="7"/>
  <c r="N26" i="7"/>
  <c r="N30" i="7"/>
  <c r="C34" i="7"/>
  <c r="D34" i="7"/>
  <c r="E34" i="7"/>
  <c r="F34" i="7"/>
  <c r="G34" i="7"/>
  <c r="H34" i="7"/>
  <c r="I34" i="7"/>
  <c r="J34" i="7"/>
  <c r="K34" i="7"/>
  <c r="L34" i="7"/>
  <c r="M34" i="7"/>
  <c r="A35" i="7"/>
  <c r="N35" i="7" s="1"/>
  <c r="O1" i="7"/>
  <c r="N3" i="7"/>
  <c r="O5" i="7" l="1"/>
  <c r="O6" i="7"/>
  <c r="O4" i="7"/>
  <c r="O8" i="7"/>
  <c r="O9" i="7"/>
  <c r="O12" i="7"/>
  <c r="O7" i="7"/>
  <c r="O10" i="7"/>
  <c r="O17" i="7"/>
  <c r="O11" i="7"/>
  <c r="O13" i="7"/>
  <c r="O15" i="7"/>
  <c r="O16" i="7"/>
  <c r="O18" i="7"/>
  <c r="O14" i="7"/>
  <c r="O21" i="7"/>
  <c r="O20" i="7"/>
  <c r="O22" i="7"/>
  <c r="O24" i="7"/>
  <c r="O19" i="7"/>
  <c r="O29" i="7"/>
  <c r="O28" i="7"/>
  <c r="O26" i="7"/>
  <c r="O25" i="7"/>
  <c r="O30" i="7"/>
  <c r="O23" i="7"/>
  <c r="O32" i="7"/>
  <c r="O33" i="7"/>
  <c r="O34" i="7"/>
  <c r="O31" i="7"/>
  <c r="O35" i="7"/>
  <c r="O27" i="7"/>
  <c r="C35" i="7"/>
  <c r="D35" i="7"/>
  <c r="E35" i="7"/>
  <c r="F35" i="7"/>
  <c r="G35" i="7"/>
  <c r="H35" i="7"/>
  <c r="I35" i="7"/>
  <c r="J35" i="7"/>
  <c r="K35" i="7"/>
  <c r="L35" i="7"/>
  <c r="M35" i="7"/>
  <c r="A36" i="7"/>
  <c r="O36" i="7" s="1"/>
  <c r="P1" i="7"/>
  <c r="O3" i="7"/>
  <c r="P4" i="7" l="1"/>
  <c r="P5" i="7"/>
  <c r="P7" i="7"/>
  <c r="P6" i="7"/>
  <c r="P8" i="7"/>
  <c r="P9" i="7"/>
  <c r="P10" i="7"/>
  <c r="P11" i="7"/>
  <c r="P13" i="7"/>
  <c r="P15" i="7"/>
  <c r="P14" i="7"/>
  <c r="P17" i="7"/>
  <c r="P16" i="7"/>
  <c r="P19" i="7"/>
  <c r="P18" i="7"/>
  <c r="P12" i="7"/>
  <c r="P21" i="7"/>
  <c r="P20" i="7"/>
  <c r="P22" i="7"/>
  <c r="P30" i="7"/>
  <c r="P29" i="7"/>
  <c r="P26" i="7"/>
  <c r="P24" i="7"/>
  <c r="P25" i="7"/>
  <c r="P35" i="7"/>
  <c r="P23" i="7"/>
  <c r="P32" i="7"/>
  <c r="P27" i="7"/>
  <c r="P28" i="7"/>
  <c r="P33" i="7"/>
  <c r="P31" i="7"/>
  <c r="P36" i="7"/>
  <c r="P34" i="7"/>
  <c r="A37" i="7"/>
  <c r="C36" i="7"/>
  <c r="D36" i="7"/>
  <c r="E36" i="7"/>
  <c r="F36" i="7"/>
  <c r="G36" i="7"/>
  <c r="H36" i="7"/>
  <c r="I36" i="7"/>
  <c r="J36" i="7"/>
  <c r="K36" i="7"/>
  <c r="L36" i="7"/>
  <c r="M36" i="7"/>
  <c r="N36" i="7"/>
  <c r="Q1" i="7"/>
  <c r="P3" i="7"/>
  <c r="A38" i="7" l="1"/>
  <c r="E37" i="7"/>
  <c r="Q37" i="7"/>
  <c r="F37" i="7"/>
  <c r="G37" i="7"/>
  <c r="K37" i="7"/>
  <c r="C37" i="7"/>
  <c r="H37" i="7"/>
  <c r="I37" i="7"/>
  <c r="D37" i="7"/>
  <c r="L37" i="7"/>
  <c r="M37" i="7"/>
  <c r="N37" i="7"/>
  <c r="J37" i="7"/>
  <c r="P37" i="7"/>
  <c r="O37" i="7"/>
  <c r="Q4" i="7"/>
  <c r="Q5" i="7"/>
  <c r="Q6" i="7"/>
  <c r="Q9" i="7"/>
  <c r="Q7" i="7"/>
  <c r="Q8" i="7"/>
  <c r="Q10" i="7"/>
  <c r="Q11" i="7"/>
  <c r="Q12" i="7"/>
  <c r="Q14" i="7"/>
  <c r="Q13" i="7"/>
  <c r="Q17" i="7"/>
  <c r="Q19" i="7"/>
  <c r="Q18" i="7"/>
  <c r="Q16" i="7"/>
  <c r="Q15" i="7"/>
  <c r="Q21" i="7"/>
  <c r="Q23" i="7"/>
  <c r="Q25" i="7"/>
  <c r="Q26" i="7"/>
  <c r="Q20" i="7"/>
  <c r="Q22" i="7"/>
  <c r="Q29" i="7"/>
  <c r="Q24" i="7"/>
  <c r="Q27" i="7"/>
  <c r="Q30" i="7"/>
  <c r="Q34" i="7"/>
  <c r="Q35" i="7"/>
  <c r="Q36" i="7"/>
  <c r="Q32" i="7"/>
  <c r="Q31" i="7"/>
  <c r="Q28" i="7"/>
  <c r="Q33" i="7"/>
  <c r="R1" i="7"/>
  <c r="R37" i="7" s="1"/>
  <c r="Q3" i="7"/>
  <c r="A39" i="7" l="1"/>
  <c r="D38" i="7"/>
  <c r="P38" i="7"/>
  <c r="E38" i="7"/>
  <c r="Q38" i="7"/>
  <c r="F38" i="7"/>
  <c r="R38" i="7"/>
  <c r="J38" i="7"/>
  <c r="G38" i="7"/>
  <c r="H38" i="7"/>
  <c r="C38" i="7"/>
  <c r="K38" i="7"/>
  <c r="L38" i="7"/>
  <c r="M38" i="7"/>
  <c r="I38" i="7"/>
  <c r="O38" i="7"/>
  <c r="N38" i="7"/>
  <c r="R4" i="7"/>
  <c r="R5" i="7"/>
  <c r="R7" i="7"/>
  <c r="R6" i="7"/>
  <c r="R8" i="7"/>
  <c r="R9" i="7"/>
  <c r="R12" i="7"/>
  <c r="R11" i="7"/>
  <c r="R10" i="7"/>
  <c r="R16" i="7"/>
  <c r="R14" i="7"/>
  <c r="R13" i="7"/>
  <c r="R15" i="7"/>
  <c r="R17" i="7"/>
  <c r="R19" i="7"/>
  <c r="R18" i="7"/>
  <c r="R23" i="7"/>
  <c r="R25" i="7"/>
  <c r="R26" i="7"/>
  <c r="R20" i="7"/>
  <c r="R28" i="7"/>
  <c r="R21" i="7"/>
  <c r="R24" i="7"/>
  <c r="R27" i="7"/>
  <c r="R29" i="7"/>
  <c r="R22" i="7"/>
  <c r="R33" i="7"/>
  <c r="R30" i="7"/>
  <c r="R34" i="7"/>
  <c r="R35" i="7"/>
  <c r="R36" i="7"/>
  <c r="R32" i="7"/>
  <c r="R31" i="7"/>
  <c r="S1" i="7"/>
  <c r="R3" i="7"/>
  <c r="S37" i="7" l="1"/>
  <c r="S38" i="7"/>
  <c r="A40" i="7"/>
  <c r="C39" i="7"/>
  <c r="O39" i="7"/>
  <c r="D39" i="7"/>
  <c r="P39" i="7"/>
  <c r="E39" i="7"/>
  <c r="Q39" i="7"/>
  <c r="I39" i="7"/>
  <c r="K39" i="7"/>
  <c r="T39" i="7"/>
  <c r="F39" i="7"/>
  <c r="J39" i="7"/>
  <c r="M39" i="7"/>
  <c r="N39" i="7"/>
  <c r="S39" i="7"/>
  <c r="G39" i="7"/>
  <c r="H39" i="7"/>
  <c r="L39" i="7"/>
  <c r="R39" i="7"/>
  <c r="S4" i="7"/>
  <c r="S6" i="7"/>
  <c r="S5" i="7"/>
  <c r="S7" i="7"/>
  <c r="S8" i="7"/>
  <c r="S16" i="7"/>
  <c r="S12" i="7"/>
  <c r="S9" i="7"/>
  <c r="S10" i="7"/>
  <c r="S14" i="7"/>
  <c r="S11" i="7"/>
  <c r="S13" i="7"/>
  <c r="S15" i="7"/>
  <c r="S17" i="7"/>
  <c r="S19" i="7"/>
  <c r="S18" i="7"/>
  <c r="S22" i="7"/>
  <c r="S23" i="7"/>
  <c r="S25" i="7"/>
  <c r="S26" i="7"/>
  <c r="S27" i="7"/>
  <c r="S24" i="7"/>
  <c r="S21" i="7"/>
  <c r="S29" i="7"/>
  <c r="S28" i="7"/>
  <c r="S33" i="7"/>
  <c r="S30" i="7"/>
  <c r="S34" i="7"/>
  <c r="S35" i="7"/>
  <c r="S36" i="7"/>
  <c r="S32" i="7"/>
  <c r="S31" i="7"/>
  <c r="S20" i="7"/>
  <c r="T1" i="7"/>
  <c r="S3" i="7"/>
  <c r="T37" i="7" l="1"/>
  <c r="T38" i="7"/>
  <c r="A41" i="7"/>
  <c r="I40" i="7"/>
  <c r="K40" i="7"/>
  <c r="M40" i="7"/>
  <c r="D40" i="7"/>
  <c r="S40" i="7"/>
  <c r="F40" i="7"/>
  <c r="G40" i="7"/>
  <c r="P40" i="7"/>
  <c r="T40" i="7"/>
  <c r="C40" i="7"/>
  <c r="Q40" i="7"/>
  <c r="N40" i="7"/>
  <c r="H40" i="7"/>
  <c r="E40" i="7"/>
  <c r="J40" i="7"/>
  <c r="L40" i="7"/>
  <c r="O40" i="7"/>
  <c r="R40" i="7"/>
  <c r="T5" i="7"/>
  <c r="T6" i="7"/>
  <c r="T8" i="7"/>
  <c r="T4" i="7"/>
  <c r="T7" i="7"/>
  <c r="T9" i="7"/>
  <c r="T13" i="7"/>
  <c r="T15" i="7"/>
  <c r="T10" i="7"/>
  <c r="T11" i="7"/>
  <c r="T14" i="7"/>
  <c r="T17" i="7"/>
  <c r="T19" i="7"/>
  <c r="T12" i="7"/>
  <c r="T16" i="7"/>
  <c r="T18" i="7"/>
  <c r="T20" i="7"/>
  <c r="T22" i="7"/>
  <c r="T23" i="7"/>
  <c r="T25" i="7"/>
  <c r="T26" i="7"/>
  <c r="T24" i="7"/>
  <c r="T21" i="7"/>
  <c r="T27" i="7"/>
  <c r="T29" i="7"/>
  <c r="T28" i="7"/>
  <c r="T33" i="7"/>
  <c r="T30" i="7"/>
  <c r="T34" i="7"/>
  <c r="T35" i="7"/>
  <c r="T36" i="7"/>
  <c r="T32" i="7"/>
  <c r="T31" i="7"/>
  <c r="U1" i="7"/>
  <c r="U40" i="7" s="1"/>
  <c r="T3" i="7"/>
  <c r="U37" i="7" l="1"/>
  <c r="U38" i="7"/>
  <c r="U39" i="7"/>
  <c r="A42" i="7"/>
  <c r="D41" i="7"/>
  <c r="P41" i="7"/>
  <c r="E41" i="7"/>
  <c r="R41" i="7"/>
  <c r="G41" i="7"/>
  <c r="T41" i="7"/>
  <c r="H41" i="7"/>
  <c r="U41" i="7"/>
  <c r="N41" i="7"/>
  <c r="L41" i="7"/>
  <c r="M41" i="7"/>
  <c r="O41" i="7"/>
  <c r="Q41" i="7"/>
  <c r="J41" i="7"/>
  <c r="I41" i="7"/>
  <c r="C41" i="7"/>
  <c r="F41" i="7"/>
  <c r="K41" i="7"/>
  <c r="S41" i="7"/>
  <c r="U4" i="7"/>
  <c r="U5" i="7"/>
  <c r="U7" i="7"/>
  <c r="U8" i="7"/>
  <c r="U9" i="7"/>
  <c r="U6" i="7"/>
  <c r="U14" i="7"/>
  <c r="U10" i="7"/>
  <c r="U11" i="7"/>
  <c r="U12" i="7"/>
  <c r="U15" i="7"/>
  <c r="U13" i="7"/>
  <c r="U21" i="7"/>
  <c r="U17" i="7"/>
  <c r="U19" i="7"/>
  <c r="U18" i="7"/>
  <c r="U16" i="7"/>
  <c r="U20" i="7"/>
  <c r="U23" i="7"/>
  <c r="U25" i="7"/>
  <c r="U30" i="7"/>
  <c r="U24" i="7"/>
  <c r="U27" i="7"/>
  <c r="U29" i="7"/>
  <c r="U22" i="7"/>
  <c r="U31" i="7"/>
  <c r="U33" i="7"/>
  <c r="U34" i="7"/>
  <c r="U35" i="7"/>
  <c r="U32" i="7"/>
  <c r="U28" i="7"/>
  <c r="U36" i="7"/>
  <c r="U26" i="7"/>
  <c r="V1" i="7"/>
  <c r="V41" i="7" s="1"/>
  <c r="U3" i="7"/>
  <c r="V37" i="7" l="1"/>
  <c r="V38" i="7"/>
  <c r="V39" i="7"/>
  <c r="V40" i="7"/>
  <c r="A43" i="7"/>
  <c r="G42" i="7"/>
  <c r="S42" i="7"/>
  <c r="I42" i="7"/>
  <c r="U42" i="7"/>
  <c r="O42" i="7"/>
  <c r="C42" i="7"/>
  <c r="Q42" i="7"/>
  <c r="D42" i="7"/>
  <c r="R42" i="7"/>
  <c r="M42" i="7"/>
  <c r="E42" i="7"/>
  <c r="F42" i="7"/>
  <c r="L42" i="7"/>
  <c r="N42" i="7"/>
  <c r="T42" i="7"/>
  <c r="P42" i="7"/>
  <c r="H42" i="7"/>
  <c r="J42" i="7"/>
  <c r="K42" i="7"/>
  <c r="V42" i="7"/>
  <c r="V4" i="7"/>
  <c r="V6" i="7"/>
  <c r="V7" i="7"/>
  <c r="V8" i="7"/>
  <c r="V5" i="7"/>
  <c r="V11" i="7"/>
  <c r="V9" i="7"/>
  <c r="V10" i="7"/>
  <c r="V13" i="7"/>
  <c r="V12" i="7"/>
  <c r="V14" i="7"/>
  <c r="V18" i="7"/>
  <c r="V16" i="7"/>
  <c r="V17" i="7"/>
  <c r="V15" i="7"/>
  <c r="V21" i="7"/>
  <c r="V19" i="7"/>
  <c r="V22" i="7"/>
  <c r="V25" i="7"/>
  <c r="V30" i="7"/>
  <c r="V24" i="7"/>
  <c r="V27" i="7"/>
  <c r="V23" i="7"/>
  <c r="V26" i="7"/>
  <c r="V28" i="7"/>
  <c r="V29" i="7"/>
  <c r="V31" i="7"/>
  <c r="V33" i="7"/>
  <c r="V34" i="7"/>
  <c r="V32" i="7"/>
  <c r="V20" i="7"/>
  <c r="V35" i="7"/>
  <c r="V36" i="7"/>
  <c r="W1" i="7"/>
  <c r="V3" i="7"/>
  <c r="W37" i="7" l="1"/>
  <c r="W38" i="7"/>
  <c r="W39" i="7"/>
  <c r="W40" i="7"/>
  <c r="W41" i="7"/>
  <c r="W42" i="7"/>
  <c r="A44" i="7"/>
  <c r="M43" i="7"/>
  <c r="C43" i="7"/>
  <c r="O43" i="7"/>
  <c r="F43" i="7"/>
  <c r="T43" i="7"/>
  <c r="G43" i="7"/>
  <c r="U43" i="7"/>
  <c r="H43" i="7"/>
  <c r="V43" i="7"/>
  <c r="I43" i="7"/>
  <c r="J43" i="7"/>
  <c r="L43" i="7"/>
  <c r="K43" i="7"/>
  <c r="S43" i="7"/>
  <c r="W43" i="7"/>
  <c r="D43" i="7"/>
  <c r="X43" i="7"/>
  <c r="N43" i="7"/>
  <c r="R43" i="7"/>
  <c r="P43" i="7"/>
  <c r="Q43" i="7"/>
  <c r="E43" i="7"/>
  <c r="W6" i="7"/>
  <c r="W7" i="7"/>
  <c r="W4" i="7"/>
  <c r="W5" i="7"/>
  <c r="W13" i="7"/>
  <c r="W8" i="7"/>
  <c r="W9" i="7"/>
  <c r="W10" i="7"/>
  <c r="W12" i="7"/>
  <c r="W14" i="7"/>
  <c r="W15" i="7"/>
  <c r="W11" i="7"/>
  <c r="W16" i="7"/>
  <c r="W17" i="7"/>
  <c r="W18" i="7"/>
  <c r="W19" i="7"/>
  <c r="W21" i="7"/>
  <c r="W24" i="7"/>
  <c r="W22" i="7"/>
  <c r="W26" i="7"/>
  <c r="W28" i="7"/>
  <c r="W25" i="7"/>
  <c r="W30" i="7"/>
  <c r="W27" i="7"/>
  <c r="W20" i="7"/>
  <c r="W23" i="7"/>
  <c r="W29" i="7"/>
  <c r="W31" i="7"/>
  <c r="W33" i="7"/>
  <c r="W36" i="7"/>
  <c r="W32" i="7"/>
  <c r="W34" i="7"/>
  <c r="W35" i="7"/>
  <c r="X1" i="7"/>
  <c r="W3" i="7"/>
  <c r="X37" i="7" l="1"/>
  <c r="X38" i="7"/>
  <c r="X39" i="7"/>
  <c r="X40" i="7"/>
  <c r="X41" i="7"/>
  <c r="X42" i="7"/>
  <c r="L44" i="7"/>
  <c r="X44" i="7"/>
  <c r="N44" i="7"/>
  <c r="F44" i="7"/>
  <c r="T44" i="7"/>
  <c r="C44" i="7"/>
  <c r="R44" i="7"/>
  <c r="V44" i="7"/>
  <c r="D44" i="7"/>
  <c r="S44" i="7"/>
  <c r="E44" i="7"/>
  <c r="U44" i="7"/>
  <c r="G44" i="7"/>
  <c r="M44" i="7"/>
  <c r="O44" i="7"/>
  <c r="P44" i="7"/>
  <c r="J44" i="7"/>
  <c r="K44" i="7"/>
  <c r="Q44" i="7"/>
  <c r="H44" i="7"/>
  <c r="W44" i="7"/>
  <c r="I44" i="7"/>
  <c r="X5" i="7"/>
  <c r="X6" i="7"/>
  <c r="X4" i="7"/>
  <c r="X12" i="7"/>
  <c r="X8" i="7"/>
  <c r="X9" i="7"/>
  <c r="X7" i="7"/>
  <c r="X20" i="7"/>
  <c r="X10" i="7"/>
  <c r="X14" i="7"/>
  <c r="X15" i="7"/>
  <c r="X16" i="7"/>
  <c r="X17" i="7"/>
  <c r="X11" i="7"/>
  <c r="X13" i="7"/>
  <c r="X19" i="7"/>
  <c r="X18" i="7"/>
  <c r="X22" i="7"/>
  <c r="X23" i="7"/>
  <c r="X21" i="7"/>
  <c r="X24" i="7"/>
  <c r="X26" i="7"/>
  <c r="X28" i="7"/>
  <c r="X25" i="7"/>
  <c r="X30" i="7"/>
  <c r="X32" i="7"/>
  <c r="X29" i="7"/>
  <c r="X31" i="7"/>
  <c r="X35" i="7"/>
  <c r="X27" i="7"/>
  <c r="X36" i="7"/>
  <c r="X34" i="7"/>
  <c r="X33" i="7"/>
  <c r="Y1" i="7"/>
  <c r="X3" i="7"/>
  <c r="Y37" i="7" l="1"/>
  <c r="Y38" i="7"/>
  <c r="Y39" i="7"/>
  <c r="Y40" i="7"/>
  <c r="Y41" i="7"/>
  <c r="Y42" i="7"/>
  <c r="Y43" i="7"/>
  <c r="Y44" i="7"/>
  <c r="Y4" i="7"/>
  <c r="Y5" i="7"/>
  <c r="Y6" i="7"/>
  <c r="Y9" i="7"/>
  <c r="Y7" i="7"/>
  <c r="Y11" i="7"/>
  <c r="Y8" i="7"/>
  <c r="Y10" i="7"/>
  <c r="Y12" i="7"/>
  <c r="Y19" i="7"/>
  <c r="Y13" i="7"/>
  <c r="Y14" i="7"/>
  <c r="Y15" i="7"/>
  <c r="Y17" i="7"/>
  <c r="Y22" i="7"/>
  <c r="Y24" i="7"/>
  <c r="Y18" i="7"/>
  <c r="Y21" i="7"/>
  <c r="Y16" i="7"/>
  <c r="Y20" i="7"/>
  <c r="Y25" i="7"/>
  <c r="Y26" i="7"/>
  <c r="Y28" i="7"/>
  <c r="Y30" i="7"/>
  <c r="Y31" i="7"/>
  <c r="Y29" i="7"/>
  <c r="Y23" i="7"/>
  <c r="Y34" i="7"/>
  <c r="Y35" i="7"/>
  <c r="Y27" i="7"/>
  <c r="Y32" i="7"/>
  <c r="Y33" i="7"/>
  <c r="Y36" i="7"/>
  <c r="Z1" i="7"/>
  <c r="Y3" i="7"/>
  <c r="Z37" i="7" l="1"/>
  <c r="Z38" i="7"/>
  <c r="Z39" i="7"/>
  <c r="Z40" i="7"/>
  <c r="Z41" i="7"/>
  <c r="Z42" i="7"/>
  <c r="Z43" i="7"/>
  <c r="Z44" i="7"/>
  <c r="Z4" i="7"/>
  <c r="Z6" i="7"/>
  <c r="Z5" i="7"/>
  <c r="Z10" i="7"/>
  <c r="Z8" i="7"/>
  <c r="Z9" i="7"/>
  <c r="Z11" i="7"/>
  <c r="Z7" i="7"/>
  <c r="Z15" i="7"/>
  <c r="Z18" i="7"/>
  <c r="Z13" i="7"/>
  <c r="Z16" i="7"/>
  <c r="Z17" i="7"/>
  <c r="Z14" i="7"/>
  <c r="Z20" i="7"/>
  <c r="Z12" i="7"/>
  <c r="Z22" i="7"/>
  <c r="Z23" i="7"/>
  <c r="Z19" i="7"/>
  <c r="Z21" i="7"/>
  <c r="Z24" i="7"/>
  <c r="Z25" i="7"/>
  <c r="Z26" i="7"/>
  <c r="Z28" i="7"/>
  <c r="Z30" i="7"/>
  <c r="Z27" i="7"/>
  <c r="Z29" i="7"/>
  <c r="Z31" i="7"/>
  <c r="Z33" i="7"/>
  <c r="Z34" i="7"/>
  <c r="Z35" i="7"/>
  <c r="Z32" i="7"/>
  <c r="Z36" i="7"/>
  <c r="AA1" i="7"/>
  <c r="Z3" i="7"/>
  <c r="AA37" i="7" l="1"/>
  <c r="AA38" i="7"/>
  <c r="AA39" i="7"/>
  <c r="AA40" i="7"/>
  <c r="AA41" i="7"/>
  <c r="AA42" i="7"/>
  <c r="AA43" i="7"/>
  <c r="AA44" i="7"/>
  <c r="AA5" i="7"/>
  <c r="AA6" i="7"/>
  <c r="AA8" i="7"/>
  <c r="AA7" i="7"/>
  <c r="AA4" i="7"/>
  <c r="AA9" i="7"/>
  <c r="AA11" i="7"/>
  <c r="AA10" i="7"/>
  <c r="AA13" i="7"/>
  <c r="AA17" i="7"/>
  <c r="AA12" i="7"/>
  <c r="AA16" i="7"/>
  <c r="AA15" i="7"/>
  <c r="AA14" i="7"/>
  <c r="AA18" i="7"/>
  <c r="AA19" i="7"/>
  <c r="AA20" i="7"/>
  <c r="AA21" i="7"/>
  <c r="AA22" i="7"/>
  <c r="AA24" i="7"/>
  <c r="AA23" i="7"/>
  <c r="AA26" i="7"/>
  <c r="AA25" i="7"/>
  <c r="AA28" i="7"/>
  <c r="AA27" i="7"/>
  <c r="AA32" i="7"/>
  <c r="AA36" i="7"/>
  <c r="AA29" i="7"/>
  <c r="AA30" i="7"/>
  <c r="AA31" i="7"/>
  <c r="AA33" i="7"/>
  <c r="AA34" i="7"/>
  <c r="AA35" i="7"/>
  <c r="AB1" i="7"/>
  <c r="AA3" i="7"/>
  <c r="AB37" i="7" l="1"/>
  <c r="AB38" i="7"/>
  <c r="AB39" i="7"/>
  <c r="AB40" i="7"/>
  <c r="AB41" i="7"/>
  <c r="AB42" i="7"/>
  <c r="AB43" i="7"/>
  <c r="AB44" i="7"/>
  <c r="AB4" i="7"/>
  <c r="AB5" i="7"/>
  <c r="AB6" i="7"/>
  <c r="AB7" i="7"/>
  <c r="AB12" i="7"/>
  <c r="AB8" i="7"/>
  <c r="AB9" i="7"/>
  <c r="AB10" i="7"/>
  <c r="AB15" i="7"/>
  <c r="AB17" i="7"/>
  <c r="AB16" i="7"/>
  <c r="AB14" i="7"/>
  <c r="AB11" i="7"/>
  <c r="AB18" i="7"/>
  <c r="AB13" i="7"/>
  <c r="AB20" i="7"/>
  <c r="AB21" i="7"/>
  <c r="AB24" i="7"/>
  <c r="AB30" i="7"/>
  <c r="AB22" i="7"/>
  <c r="AB23" i="7"/>
  <c r="AB19" i="7"/>
  <c r="AB29" i="7"/>
  <c r="AB26" i="7"/>
  <c r="AB25" i="7"/>
  <c r="AB28" i="7"/>
  <c r="AB35" i="7"/>
  <c r="AB32" i="7"/>
  <c r="AB33" i="7"/>
  <c r="AB34" i="7"/>
  <c r="AB31" i="7"/>
  <c r="AB27" i="7"/>
  <c r="AB36" i="7"/>
  <c r="AC1" i="7"/>
  <c r="AB3" i="7"/>
  <c r="AC37" i="7" l="1"/>
  <c r="AC38" i="7"/>
  <c r="AC39" i="7"/>
  <c r="AC40" i="7"/>
  <c r="AC41" i="7"/>
  <c r="AC42" i="7"/>
  <c r="AC43" i="7"/>
  <c r="AC44" i="7"/>
  <c r="AC4" i="7"/>
  <c r="AC6" i="7"/>
  <c r="AC5" i="7"/>
  <c r="AC7" i="7"/>
  <c r="AC9" i="7"/>
  <c r="AC8" i="7"/>
  <c r="AC10" i="7"/>
  <c r="AC13" i="7"/>
  <c r="AC12" i="7"/>
  <c r="AC15" i="7"/>
  <c r="AC11" i="7"/>
  <c r="AC14" i="7"/>
  <c r="AC17" i="7"/>
  <c r="AC16" i="7"/>
  <c r="AC19" i="7"/>
  <c r="AC18" i="7"/>
  <c r="AC20" i="7"/>
  <c r="AC21" i="7"/>
  <c r="AC25" i="7"/>
  <c r="AC26" i="7"/>
  <c r="AC29" i="7"/>
  <c r="AC22" i="7"/>
  <c r="AC24" i="7"/>
  <c r="AC27" i="7"/>
  <c r="AC34" i="7"/>
  <c r="AC28" i="7"/>
  <c r="AC35" i="7"/>
  <c r="AC32" i="7"/>
  <c r="AC36" i="7"/>
  <c r="AC23" i="7"/>
  <c r="AC30" i="7"/>
  <c r="AC31" i="7"/>
  <c r="AC33" i="7"/>
  <c r="AD1" i="7"/>
  <c r="AC3" i="7"/>
  <c r="AD37" i="7" l="1"/>
  <c r="AD38" i="7"/>
  <c r="AD39" i="7"/>
  <c r="AD40" i="7"/>
  <c r="AD41" i="7"/>
  <c r="AD42" i="7"/>
  <c r="AD43" i="7"/>
  <c r="AD44" i="7"/>
  <c r="AD4" i="7"/>
  <c r="AD5" i="7"/>
  <c r="AD7" i="7"/>
  <c r="AD6" i="7"/>
  <c r="AD8" i="7"/>
  <c r="AD10" i="7"/>
  <c r="AD9" i="7"/>
  <c r="AD13" i="7"/>
  <c r="AD17" i="7"/>
  <c r="AD15" i="7"/>
  <c r="AD16" i="7"/>
  <c r="AD12" i="7"/>
  <c r="AD14" i="7"/>
  <c r="AD19" i="7"/>
  <c r="AD11" i="7"/>
  <c r="AD18" i="7"/>
  <c r="AD20" i="7"/>
  <c r="AD21" i="7"/>
  <c r="AD25" i="7"/>
  <c r="AD26" i="7"/>
  <c r="AD28" i="7"/>
  <c r="AD23" i="7"/>
  <c r="AD27" i="7"/>
  <c r="AD22" i="7"/>
  <c r="AD29" i="7"/>
  <c r="AD24" i="7"/>
  <c r="AD33" i="7"/>
  <c r="AD34" i="7"/>
  <c r="AD35" i="7"/>
  <c r="AD32" i="7"/>
  <c r="AD36" i="7"/>
  <c r="AD31" i="7"/>
  <c r="AD30" i="7"/>
  <c r="AE1" i="7"/>
  <c r="AD3" i="7"/>
  <c r="AE37" i="7" l="1"/>
  <c r="AE38" i="7"/>
  <c r="AE39" i="7"/>
  <c r="AE40" i="7"/>
  <c r="AE41" i="7"/>
  <c r="AE42" i="7"/>
  <c r="AE43" i="7"/>
  <c r="AE44" i="7"/>
  <c r="AE4" i="7"/>
  <c r="AE6" i="7"/>
  <c r="AE5" i="7"/>
  <c r="AE7" i="7"/>
  <c r="AE9" i="7"/>
  <c r="AE16" i="7"/>
  <c r="AE12" i="7"/>
  <c r="AE8" i="7"/>
  <c r="AE11" i="7"/>
  <c r="AE10" i="7"/>
  <c r="AE14" i="7"/>
  <c r="AE13" i="7"/>
  <c r="AE15" i="7"/>
  <c r="AE19" i="7"/>
  <c r="AE18" i="7"/>
  <c r="AE17" i="7"/>
  <c r="AE22" i="7"/>
  <c r="AE23" i="7"/>
  <c r="AE25" i="7"/>
  <c r="AE21" i="7"/>
  <c r="AE26" i="7"/>
  <c r="AE27" i="7"/>
  <c r="AE20" i="7"/>
  <c r="AE29" i="7"/>
  <c r="AE24" i="7"/>
  <c r="AE33" i="7"/>
  <c r="AE28" i="7"/>
  <c r="AE34" i="7"/>
  <c r="AE35" i="7"/>
  <c r="AE32" i="7"/>
  <c r="AE36" i="7"/>
  <c r="AE31" i="7"/>
  <c r="AE30" i="7"/>
  <c r="AF1" i="7"/>
  <c r="AE3" i="7"/>
  <c r="AF37" i="7" l="1"/>
  <c r="AF38" i="7"/>
  <c r="AF39" i="7"/>
  <c r="AF40" i="7"/>
  <c r="AF41" i="7"/>
  <c r="AF42" i="7"/>
  <c r="AF43" i="7"/>
  <c r="AF44" i="7"/>
  <c r="AF5" i="7"/>
  <c r="AF6" i="7"/>
  <c r="AF8" i="7"/>
  <c r="AF4" i="7"/>
  <c r="AF7" i="7"/>
  <c r="AF9" i="7"/>
  <c r="AF15" i="7"/>
  <c r="AF12" i="7"/>
  <c r="AF16" i="7"/>
  <c r="AF11" i="7"/>
  <c r="AF14" i="7"/>
  <c r="AF13" i="7"/>
  <c r="AF19" i="7"/>
  <c r="AF18" i="7"/>
  <c r="AF10" i="7"/>
  <c r="AF17" i="7"/>
  <c r="AF22" i="7"/>
  <c r="AF23" i="7"/>
  <c r="AF25" i="7"/>
  <c r="AF21" i="7"/>
  <c r="AF26" i="7"/>
  <c r="AF24" i="7"/>
  <c r="AF20" i="7"/>
  <c r="AF27" i="7"/>
  <c r="AF29" i="7"/>
  <c r="AF28" i="7"/>
  <c r="AF33" i="7"/>
  <c r="AF34" i="7"/>
  <c r="AF35" i="7"/>
  <c r="AF32" i="7"/>
  <c r="AF36" i="7"/>
  <c r="AF30" i="7"/>
  <c r="AF31" i="7"/>
  <c r="AG1" i="7"/>
  <c r="AF3" i="7"/>
  <c r="AG37" i="7" l="1"/>
  <c r="AG38" i="7"/>
  <c r="AG39" i="7"/>
  <c r="AG40" i="7"/>
  <c r="AG41" i="7"/>
  <c r="AG42" i="7"/>
  <c r="AG43" i="7"/>
  <c r="AG44" i="7"/>
  <c r="AG4" i="7"/>
  <c r="AG5" i="7"/>
  <c r="AG7" i="7"/>
  <c r="AG8" i="7"/>
  <c r="AG9" i="7"/>
  <c r="AG6" i="7"/>
  <c r="AG13" i="7"/>
  <c r="AG14" i="7"/>
  <c r="AG10" i="7"/>
  <c r="AG11" i="7"/>
  <c r="AG12" i="7"/>
  <c r="AG16" i="7"/>
  <c r="AG15" i="7"/>
  <c r="AG19" i="7"/>
  <c r="AG21" i="7"/>
  <c r="AG18" i="7"/>
  <c r="AG17" i="7"/>
  <c r="AG22" i="7"/>
  <c r="AG23" i="7"/>
  <c r="AG25" i="7"/>
  <c r="AG24" i="7"/>
  <c r="AG20" i="7"/>
  <c r="AG27" i="7"/>
  <c r="AG26" i="7"/>
  <c r="AG29" i="7"/>
  <c r="AG28" i="7"/>
  <c r="AG33" i="7"/>
  <c r="AG34" i="7"/>
  <c r="AG35" i="7"/>
  <c r="AG30" i="7"/>
  <c r="AG36" i="7"/>
  <c r="AG32" i="7"/>
  <c r="AG31" i="7"/>
  <c r="AH1" i="7"/>
  <c r="AG3" i="7"/>
  <c r="AH37" i="7" l="1"/>
  <c r="AH38" i="7"/>
  <c r="AH39" i="7"/>
  <c r="AH40" i="7"/>
  <c r="AH41" i="7"/>
  <c r="AH42" i="7"/>
  <c r="AH43" i="7"/>
  <c r="AH44" i="7"/>
  <c r="AH4" i="7"/>
  <c r="AH7" i="7"/>
  <c r="AH8" i="7"/>
  <c r="AH5" i="7"/>
  <c r="AH6" i="7"/>
  <c r="AH10" i="7"/>
  <c r="AH11" i="7"/>
  <c r="AH14" i="7"/>
  <c r="AH9" i="7"/>
  <c r="AH12" i="7"/>
  <c r="AH13" i="7"/>
  <c r="AH16" i="7"/>
  <c r="AH15" i="7"/>
  <c r="AH17" i="7"/>
  <c r="AH20" i="7"/>
  <c r="AH18" i="7"/>
  <c r="AH19" i="7"/>
  <c r="AH22" i="7"/>
  <c r="AH23" i="7"/>
  <c r="AH21" i="7"/>
  <c r="AH30" i="7"/>
  <c r="AH27" i="7"/>
  <c r="AH25" i="7"/>
  <c r="AH26" i="7"/>
  <c r="AH29" i="7"/>
  <c r="AH31" i="7"/>
  <c r="AH24" i="7"/>
  <c r="AH28" i="7"/>
  <c r="AH33" i="7"/>
  <c r="AH34" i="7"/>
  <c r="AH36" i="7"/>
  <c r="AH32" i="7"/>
  <c r="AH35" i="7"/>
  <c r="AI1" i="7"/>
  <c r="AH3" i="7"/>
  <c r="AI37" i="7" l="1"/>
  <c r="AI38" i="7"/>
  <c r="AI39" i="7"/>
  <c r="AI40" i="7"/>
  <c r="AI41" i="7"/>
  <c r="AI42" i="7"/>
  <c r="AI43" i="7"/>
  <c r="AI44" i="7"/>
  <c r="AI6" i="7"/>
  <c r="AI7" i="7"/>
  <c r="AI4" i="7"/>
  <c r="AI8" i="7"/>
  <c r="AI5" i="7"/>
  <c r="AI13" i="7"/>
  <c r="AI11" i="7"/>
  <c r="AI10" i="7"/>
  <c r="AI9" i="7"/>
  <c r="AI18" i="7"/>
  <c r="AI15" i="7"/>
  <c r="AI17" i="7"/>
  <c r="AI14" i="7"/>
  <c r="AI16" i="7"/>
  <c r="AI19" i="7"/>
  <c r="AI12" i="7"/>
  <c r="AI21" i="7"/>
  <c r="AI20" i="7"/>
  <c r="AI22" i="7"/>
  <c r="AI23" i="7"/>
  <c r="AI30" i="7"/>
  <c r="AI27" i="7"/>
  <c r="AI24" i="7"/>
  <c r="AI25" i="7"/>
  <c r="AI26" i="7"/>
  <c r="AI31" i="7"/>
  <c r="AI28" i="7"/>
  <c r="AI29" i="7"/>
  <c r="AI33" i="7"/>
  <c r="AI32" i="7"/>
  <c r="AI36" i="7"/>
  <c r="AI34" i="7"/>
  <c r="AI35" i="7"/>
  <c r="AJ1" i="7"/>
  <c r="AI3" i="7"/>
  <c r="AJ37" i="7" l="1"/>
  <c r="AJ38" i="7"/>
  <c r="AJ39" i="7"/>
  <c r="AJ40" i="7"/>
  <c r="AJ41" i="7"/>
  <c r="AJ42" i="7"/>
  <c r="AJ43" i="7"/>
  <c r="AJ44" i="7"/>
  <c r="AJ5" i="7"/>
  <c r="AJ6" i="7"/>
  <c r="AJ4" i="7"/>
  <c r="AJ12" i="7"/>
  <c r="AJ7" i="7"/>
  <c r="AJ8" i="7"/>
  <c r="AJ10" i="7"/>
  <c r="AJ9" i="7"/>
  <c r="AJ20" i="7"/>
  <c r="AJ14" i="7"/>
  <c r="AJ11" i="7"/>
  <c r="AJ16" i="7"/>
  <c r="AJ15" i="7"/>
  <c r="AJ17" i="7"/>
  <c r="AJ18" i="7"/>
  <c r="AJ19" i="7"/>
  <c r="AJ22" i="7"/>
  <c r="AJ13" i="7"/>
  <c r="AJ21" i="7"/>
  <c r="AJ24" i="7"/>
  <c r="AJ26" i="7"/>
  <c r="AJ28" i="7"/>
  <c r="AJ23" i="7"/>
  <c r="AJ30" i="7"/>
  <c r="AJ32" i="7"/>
  <c r="AJ27" i="7"/>
  <c r="AJ25" i="7"/>
  <c r="AJ31" i="7"/>
  <c r="AJ35" i="7"/>
  <c r="AJ36" i="7"/>
  <c r="AJ34" i="7"/>
  <c r="AJ29" i="7"/>
  <c r="AJ33" i="7"/>
  <c r="AK1" i="7"/>
  <c r="AJ3" i="7"/>
  <c r="AK37" i="7" l="1"/>
  <c r="AK38" i="7"/>
  <c r="AK39" i="7"/>
  <c r="AK40" i="7"/>
  <c r="AK41" i="7"/>
  <c r="AK42" i="7"/>
  <c r="AK43" i="7"/>
  <c r="AK44" i="7"/>
  <c r="AK4" i="7"/>
  <c r="AK5" i="7"/>
  <c r="AK6" i="7"/>
  <c r="AK11" i="7"/>
  <c r="AK8" i="7"/>
  <c r="AK12" i="7"/>
  <c r="AK9" i="7"/>
  <c r="AK19" i="7"/>
  <c r="AK14" i="7"/>
  <c r="AK13" i="7"/>
  <c r="AK7" i="7"/>
  <c r="AK16" i="7"/>
  <c r="AK15" i="7"/>
  <c r="AK17" i="7"/>
  <c r="AK18" i="7"/>
  <c r="AK10" i="7"/>
  <c r="AK22" i="7"/>
  <c r="AK24" i="7"/>
  <c r="AK20" i="7"/>
  <c r="AK25" i="7"/>
  <c r="AK26" i="7"/>
  <c r="AK21" i="7"/>
  <c r="AK28" i="7"/>
  <c r="AK23" i="7"/>
  <c r="AK30" i="7"/>
  <c r="AK31" i="7"/>
  <c r="AK29" i="7"/>
  <c r="AK27" i="7"/>
  <c r="AK34" i="7"/>
  <c r="AK32" i="7"/>
  <c r="AK35" i="7"/>
  <c r="AK36" i="7"/>
  <c r="AK33" i="7"/>
  <c r="AL1" i="7"/>
  <c r="AK3" i="7"/>
  <c r="AL37" i="7" l="1"/>
  <c r="AL38" i="7"/>
  <c r="AL39" i="7"/>
  <c r="AL40" i="7"/>
  <c r="AL41" i="7"/>
  <c r="AL42" i="7"/>
  <c r="AL43" i="7"/>
  <c r="AL44" i="7"/>
  <c r="AL4" i="7"/>
  <c r="AL6" i="7"/>
  <c r="AL9" i="7"/>
  <c r="AL5" i="7"/>
  <c r="AL8" i="7"/>
  <c r="AL10" i="7"/>
  <c r="AL7" i="7"/>
  <c r="AL11" i="7"/>
  <c r="AL18" i="7"/>
  <c r="AL12" i="7"/>
  <c r="AL13" i="7"/>
  <c r="AL14" i="7"/>
  <c r="AL16" i="7"/>
  <c r="AL17" i="7"/>
  <c r="AL15" i="7"/>
  <c r="AL19" i="7"/>
  <c r="AL22" i="7"/>
  <c r="AL23" i="7"/>
  <c r="AL20" i="7"/>
  <c r="AL24" i="7"/>
  <c r="AL25" i="7"/>
  <c r="AL21" i="7"/>
  <c r="AL28" i="7"/>
  <c r="AL30" i="7"/>
  <c r="AL29" i="7"/>
  <c r="AL26" i="7"/>
  <c r="AL27" i="7"/>
  <c r="AL31" i="7"/>
  <c r="AL33" i="7"/>
  <c r="AL34" i="7"/>
  <c r="AL32" i="7"/>
  <c r="AL36" i="7"/>
  <c r="AL35" i="7"/>
  <c r="AM1" i="7"/>
  <c r="AL3" i="7"/>
  <c r="AM37" i="7" l="1"/>
  <c r="AM38" i="7"/>
  <c r="AM39" i="7"/>
  <c r="AM40" i="7"/>
  <c r="AM41" i="7"/>
  <c r="AM42" i="7"/>
  <c r="AM43" i="7"/>
  <c r="AM44" i="7"/>
  <c r="AM5" i="7"/>
  <c r="AM6" i="7"/>
  <c r="AM8" i="7"/>
  <c r="AM4" i="7"/>
  <c r="AM9" i="7"/>
  <c r="AM11" i="7"/>
  <c r="AM10" i="7"/>
  <c r="AM7" i="7"/>
  <c r="AM15" i="7"/>
  <c r="AM17" i="7"/>
  <c r="AM13" i="7"/>
  <c r="AM12" i="7"/>
  <c r="AM14" i="7"/>
  <c r="AM16" i="7"/>
  <c r="AM20" i="7"/>
  <c r="AM18" i="7"/>
  <c r="AM19" i="7"/>
  <c r="AM22" i="7"/>
  <c r="AM24" i="7"/>
  <c r="AM21" i="7"/>
  <c r="AM23" i="7"/>
  <c r="AM28" i="7"/>
  <c r="AM30" i="7"/>
  <c r="AM25" i="7"/>
  <c r="AM26" i="7"/>
  <c r="AM27" i="7"/>
  <c r="AM36" i="7"/>
  <c r="AM31" i="7"/>
  <c r="AM33" i="7"/>
  <c r="AM34" i="7"/>
  <c r="AM32" i="7"/>
  <c r="AM29" i="7"/>
  <c r="AM35" i="7"/>
  <c r="AN1" i="7"/>
  <c r="AM3" i="7"/>
  <c r="AN37" i="7" l="1"/>
  <c r="AN38" i="7"/>
  <c r="AN39" i="7"/>
  <c r="AN40" i="7"/>
  <c r="AN41" i="7"/>
  <c r="AN42" i="7"/>
  <c r="AN43" i="7"/>
  <c r="AN44" i="7"/>
  <c r="AN4" i="7"/>
  <c r="AN5" i="7"/>
  <c r="AN7" i="7"/>
  <c r="AN6" i="7"/>
  <c r="AN11" i="7"/>
  <c r="AN8" i="7"/>
  <c r="AN10" i="7"/>
  <c r="AN9" i="7"/>
  <c r="AN12" i="7"/>
  <c r="AN13" i="7"/>
  <c r="AN15" i="7"/>
  <c r="AN16" i="7"/>
  <c r="AN17" i="7"/>
  <c r="AN14" i="7"/>
  <c r="AN19" i="7"/>
  <c r="AN21" i="7"/>
  <c r="AN18" i="7"/>
  <c r="AN20" i="7"/>
  <c r="AN22" i="7"/>
  <c r="AN24" i="7"/>
  <c r="AN30" i="7"/>
  <c r="AN23" i="7"/>
  <c r="AN28" i="7"/>
  <c r="AN25" i="7"/>
  <c r="AN26" i="7"/>
  <c r="AN27" i="7"/>
  <c r="AN32" i="7"/>
  <c r="AN35" i="7"/>
  <c r="AN31" i="7"/>
  <c r="AN29" i="7"/>
  <c r="AN33" i="7"/>
  <c r="AN34" i="7"/>
  <c r="AN36" i="7"/>
  <c r="AO1" i="7"/>
  <c r="AN3" i="7"/>
  <c r="AO37" i="7" l="1"/>
  <c r="AO38" i="7"/>
  <c r="AO39" i="7"/>
  <c r="AO40" i="7"/>
  <c r="AO41" i="7"/>
  <c r="AO42" i="7"/>
  <c r="AO43" i="7"/>
  <c r="AO44" i="7"/>
  <c r="AO4" i="7"/>
  <c r="AO5" i="7"/>
  <c r="AO6" i="7"/>
  <c r="AO8" i="7"/>
  <c r="AO9" i="7"/>
  <c r="AO12" i="7"/>
  <c r="AO7" i="7"/>
  <c r="AO10" i="7"/>
  <c r="AO13" i="7"/>
  <c r="AO11" i="7"/>
  <c r="AO15" i="7"/>
  <c r="AO16" i="7"/>
  <c r="AO17" i="7"/>
  <c r="AO18" i="7"/>
  <c r="AO14" i="7"/>
  <c r="AO20" i="7"/>
  <c r="AO21" i="7"/>
  <c r="AO19" i="7"/>
  <c r="AO25" i="7"/>
  <c r="AO26" i="7"/>
  <c r="AO22" i="7"/>
  <c r="AO24" i="7"/>
  <c r="AO29" i="7"/>
  <c r="AO23" i="7"/>
  <c r="AO28" i="7"/>
  <c r="AO34" i="7"/>
  <c r="AO32" i="7"/>
  <c r="AO35" i="7"/>
  <c r="AO36" i="7"/>
  <c r="AO27" i="7"/>
  <c r="AO30" i="7"/>
  <c r="AO31" i="7"/>
  <c r="AO33" i="7"/>
  <c r="AP1" i="7"/>
  <c r="AO3" i="7"/>
  <c r="AP37" i="7" l="1"/>
  <c r="AP38" i="7"/>
  <c r="AP39" i="7"/>
  <c r="AP40" i="7"/>
  <c r="AP41" i="7"/>
  <c r="AP42" i="7"/>
  <c r="AP43" i="7"/>
  <c r="AP44" i="7"/>
  <c r="AP4" i="7"/>
  <c r="AP5" i="7"/>
  <c r="AP7" i="7"/>
  <c r="AP8" i="7"/>
  <c r="AP6" i="7"/>
  <c r="AP9" i="7"/>
  <c r="AP10" i="7"/>
  <c r="AP11" i="7"/>
  <c r="AP14" i="7"/>
  <c r="AP12" i="7"/>
  <c r="AP13" i="7"/>
  <c r="AP15" i="7"/>
  <c r="AP16" i="7"/>
  <c r="AP17" i="7"/>
  <c r="AP19" i="7"/>
  <c r="AP18" i="7"/>
  <c r="AP20" i="7"/>
  <c r="AP21" i="7"/>
  <c r="AP25" i="7"/>
  <c r="AP26" i="7"/>
  <c r="AP28" i="7"/>
  <c r="AP29" i="7"/>
  <c r="AP22" i="7"/>
  <c r="AP23" i="7"/>
  <c r="AP24" i="7"/>
  <c r="AP33" i="7"/>
  <c r="AP34" i="7"/>
  <c r="AP32" i="7"/>
  <c r="AP35" i="7"/>
  <c r="AP36" i="7"/>
  <c r="AP27" i="7"/>
  <c r="AP30" i="7"/>
  <c r="AP31" i="7"/>
  <c r="AQ1" i="7"/>
  <c r="AP3" i="7"/>
  <c r="AQ37" i="7" l="1"/>
  <c r="AQ38" i="7"/>
  <c r="AQ39" i="7"/>
  <c r="AQ40" i="7"/>
  <c r="AQ41" i="7"/>
  <c r="AQ42" i="7"/>
  <c r="AQ43" i="7"/>
  <c r="AQ44" i="7"/>
  <c r="AQ4" i="7"/>
  <c r="AQ6" i="7"/>
  <c r="AQ5" i="7"/>
  <c r="AQ9" i="7"/>
  <c r="AQ7" i="7"/>
  <c r="AQ10" i="7"/>
  <c r="AQ16" i="7"/>
  <c r="AQ8" i="7"/>
  <c r="AQ12" i="7"/>
  <c r="AQ13" i="7"/>
  <c r="AQ11" i="7"/>
  <c r="AQ14" i="7"/>
  <c r="AQ15" i="7"/>
  <c r="AQ17" i="7"/>
  <c r="AQ19" i="7"/>
  <c r="AQ18" i="7"/>
  <c r="AQ20" i="7"/>
  <c r="AQ21" i="7"/>
  <c r="AQ22" i="7"/>
  <c r="AQ25" i="7"/>
  <c r="AQ26" i="7"/>
  <c r="AQ27" i="7"/>
  <c r="AQ29" i="7"/>
  <c r="AQ23" i="7"/>
  <c r="AQ24" i="7"/>
  <c r="AQ30" i="7"/>
  <c r="AQ33" i="7"/>
  <c r="AQ34" i="7"/>
  <c r="AQ32" i="7"/>
  <c r="AQ35" i="7"/>
  <c r="AQ36" i="7"/>
  <c r="AQ28" i="7"/>
  <c r="AQ31" i="7"/>
  <c r="AR1" i="7"/>
  <c r="AQ3" i="7"/>
  <c r="AR37" i="7" l="1"/>
  <c r="AR38" i="7"/>
  <c r="AR39" i="7"/>
  <c r="AR40" i="7"/>
  <c r="AR41" i="7"/>
  <c r="AR42" i="7"/>
  <c r="AR43" i="7"/>
  <c r="AR44" i="7"/>
  <c r="AR5" i="7"/>
  <c r="AR6" i="7"/>
  <c r="AR4" i="7"/>
  <c r="AR8" i="7"/>
  <c r="AR15" i="7"/>
  <c r="AR9" i="7"/>
  <c r="AR12" i="7"/>
  <c r="AR11" i="7"/>
  <c r="AR7" i="7"/>
  <c r="AR13" i="7"/>
  <c r="AR14" i="7"/>
  <c r="AR16" i="7"/>
  <c r="AR10" i="7"/>
  <c r="AR17" i="7"/>
  <c r="AR19" i="7"/>
  <c r="AR18" i="7"/>
  <c r="AR20" i="7"/>
  <c r="AR22" i="7"/>
  <c r="AR23" i="7"/>
  <c r="AR25" i="7"/>
  <c r="AR26" i="7"/>
  <c r="AR21" i="7"/>
  <c r="AR27" i="7"/>
  <c r="AR29" i="7"/>
  <c r="AR30" i="7"/>
  <c r="AR33" i="7"/>
  <c r="AR24" i="7"/>
  <c r="AR34" i="7"/>
  <c r="AR32" i="7"/>
  <c r="AR35" i="7"/>
  <c r="AR36" i="7"/>
  <c r="AR31" i="7"/>
  <c r="AR28" i="7"/>
  <c r="AS1" i="7"/>
  <c r="AR3" i="7"/>
  <c r="AS37" i="7" l="1"/>
  <c r="AS38" i="7"/>
  <c r="AS39" i="7"/>
  <c r="AS40" i="7"/>
  <c r="AS41" i="7"/>
  <c r="AS42" i="7"/>
  <c r="AS43" i="7"/>
  <c r="AS44" i="7"/>
  <c r="AS4" i="7"/>
  <c r="AS5" i="7"/>
  <c r="AS7" i="7"/>
  <c r="AS8" i="7"/>
  <c r="AS9" i="7"/>
  <c r="AS6" i="7"/>
  <c r="AS14" i="7"/>
  <c r="AS12" i="7"/>
  <c r="AS16" i="7"/>
  <c r="AS13" i="7"/>
  <c r="AS15" i="7"/>
  <c r="AS11" i="7"/>
  <c r="AS10" i="7"/>
  <c r="AS17" i="7"/>
  <c r="AS19" i="7"/>
  <c r="AS18" i="7"/>
  <c r="AS21" i="7"/>
  <c r="AS23" i="7"/>
  <c r="AS20" i="7"/>
  <c r="AS25" i="7"/>
  <c r="AS24" i="7"/>
  <c r="AS27" i="7"/>
  <c r="AS22" i="7"/>
  <c r="AS29" i="7"/>
  <c r="AS28" i="7"/>
  <c r="AS30" i="7"/>
  <c r="AS26" i="7"/>
  <c r="AS33" i="7"/>
  <c r="AS34" i="7"/>
  <c r="AS32" i="7"/>
  <c r="AS35" i="7"/>
  <c r="AS31" i="7"/>
  <c r="AS36" i="7"/>
  <c r="AT1" i="7"/>
  <c r="AS3" i="7"/>
  <c r="AT37" i="7" l="1"/>
  <c r="AT38" i="7"/>
  <c r="AT39" i="7"/>
  <c r="AT40" i="7"/>
  <c r="AT41" i="7"/>
  <c r="AT42" i="7"/>
  <c r="AT43" i="7"/>
  <c r="AT44" i="7"/>
  <c r="AT4" i="7"/>
  <c r="AT6" i="7"/>
  <c r="AT7" i="7"/>
  <c r="AT5" i="7"/>
  <c r="AT8" i="7"/>
  <c r="AT9" i="7"/>
  <c r="AT13" i="7"/>
  <c r="AT10" i="7"/>
  <c r="AT11" i="7"/>
  <c r="AT14" i="7"/>
  <c r="AT12" i="7"/>
  <c r="AT15" i="7"/>
  <c r="AT16" i="7"/>
  <c r="AT17" i="7"/>
  <c r="AT19" i="7"/>
  <c r="AT18" i="7"/>
  <c r="AT23" i="7"/>
  <c r="AT20" i="7"/>
  <c r="AT24" i="7"/>
  <c r="AT21" i="7"/>
  <c r="AT27" i="7"/>
  <c r="AT22" i="7"/>
  <c r="AT29" i="7"/>
  <c r="AT28" i="7"/>
  <c r="AT25" i="7"/>
  <c r="AT30" i="7"/>
  <c r="AT26" i="7"/>
  <c r="AT33" i="7"/>
  <c r="AT34" i="7"/>
  <c r="AT31" i="7"/>
  <c r="AT32" i="7"/>
  <c r="AT36" i="7"/>
  <c r="AT35" i="7"/>
  <c r="AU1" i="7"/>
  <c r="AT3" i="7"/>
  <c r="AU37" i="7" l="1"/>
  <c r="AU38" i="7"/>
  <c r="AU39" i="7"/>
  <c r="AU40" i="7"/>
  <c r="AU41" i="7"/>
  <c r="AU42" i="7"/>
  <c r="AU43" i="7"/>
  <c r="AU44" i="7"/>
  <c r="AU6" i="7"/>
  <c r="AU4" i="7"/>
  <c r="AU7" i="7"/>
  <c r="AU5" i="7"/>
  <c r="AU9" i="7"/>
  <c r="AU10" i="7"/>
  <c r="AU8" i="7"/>
  <c r="AU11" i="7"/>
  <c r="AU14" i="7"/>
  <c r="AU12" i="7"/>
  <c r="AU13" i="7"/>
  <c r="AU15" i="7"/>
  <c r="AU16" i="7"/>
  <c r="AU17" i="7"/>
  <c r="AU18" i="7"/>
  <c r="AU19" i="7"/>
  <c r="AU23" i="7"/>
  <c r="AU22" i="7"/>
  <c r="AU21" i="7"/>
  <c r="AU24" i="7"/>
  <c r="AU26" i="7"/>
  <c r="AU30" i="7"/>
  <c r="AU27" i="7"/>
  <c r="AU29" i="7"/>
  <c r="AU20" i="7"/>
  <c r="AU31" i="7"/>
  <c r="AU25" i="7"/>
  <c r="AU33" i="7"/>
  <c r="AU36" i="7"/>
  <c r="AU32" i="7"/>
  <c r="AU28" i="7"/>
  <c r="AU34" i="7"/>
  <c r="AU35" i="7"/>
  <c r="AV1" i="7"/>
  <c r="AU3" i="7"/>
  <c r="AV37" i="7" l="1"/>
  <c r="AV38" i="7"/>
  <c r="AV39" i="7"/>
  <c r="AV40" i="7"/>
  <c r="AV41" i="7"/>
  <c r="AV42" i="7"/>
  <c r="AV43" i="7"/>
  <c r="AV44" i="7"/>
  <c r="AV5" i="7"/>
  <c r="AV6" i="7"/>
  <c r="AV4" i="7"/>
  <c r="AV12" i="7"/>
  <c r="AV7" i="7"/>
  <c r="AV11" i="7"/>
  <c r="AV9" i="7"/>
  <c r="AV10" i="7"/>
  <c r="AV8" i="7"/>
  <c r="AV20" i="7"/>
  <c r="AV14" i="7"/>
  <c r="AV18" i="7"/>
  <c r="AV13" i="7"/>
  <c r="AV17" i="7"/>
  <c r="AV15" i="7"/>
  <c r="AV16" i="7"/>
  <c r="AV22" i="7"/>
  <c r="AV21" i="7"/>
  <c r="AV19" i="7"/>
  <c r="AV23" i="7"/>
  <c r="AV26" i="7"/>
  <c r="AV25" i="7"/>
  <c r="AV24" i="7"/>
  <c r="AV30" i="7"/>
  <c r="AV27" i="7"/>
  <c r="AV32" i="7"/>
  <c r="AV31" i="7"/>
  <c r="AV28" i="7"/>
  <c r="AV35" i="7"/>
  <c r="AV29" i="7"/>
  <c r="AV36" i="7"/>
  <c r="AV33" i="7"/>
  <c r="AV34" i="7"/>
  <c r="AW1" i="7"/>
  <c r="AV3" i="7"/>
  <c r="AW37" i="7" l="1"/>
  <c r="AW38" i="7"/>
  <c r="AW39" i="7"/>
  <c r="AW40" i="7"/>
  <c r="AW41" i="7"/>
  <c r="AW42" i="7"/>
  <c r="AW43" i="7"/>
  <c r="AW44" i="7"/>
  <c r="AW4" i="7"/>
  <c r="AW5" i="7"/>
  <c r="AW6" i="7"/>
  <c r="AW7" i="7"/>
  <c r="AW11" i="7"/>
  <c r="AW9" i="7"/>
  <c r="AW10" i="7"/>
  <c r="AW8" i="7"/>
  <c r="AW19" i="7"/>
  <c r="AW14" i="7"/>
  <c r="AW12" i="7"/>
  <c r="AW15" i="7"/>
  <c r="AW16" i="7"/>
  <c r="AW17" i="7"/>
  <c r="AW13" i="7"/>
  <c r="AW18" i="7"/>
  <c r="AW22" i="7"/>
  <c r="AW24" i="7"/>
  <c r="AW20" i="7"/>
  <c r="AW21" i="7"/>
  <c r="AW25" i="7"/>
  <c r="AW26" i="7"/>
  <c r="AW28" i="7"/>
  <c r="AW30" i="7"/>
  <c r="AW31" i="7"/>
  <c r="AW27" i="7"/>
  <c r="AW23" i="7"/>
  <c r="AW32" i="7"/>
  <c r="AW34" i="7"/>
  <c r="AW35" i="7"/>
  <c r="AW29" i="7"/>
  <c r="AW33" i="7"/>
  <c r="AW36" i="7"/>
  <c r="AX1" i="7"/>
  <c r="AW3" i="7"/>
  <c r="AX37" i="7" l="1"/>
  <c r="AX38" i="7"/>
  <c r="AX39" i="7"/>
  <c r="AX40" i="7"/>
  <c r="AX41" i="7"/>
  <c r="AX42" i="7"/>
  <c r="AX43" i="7"/>
  <c r="AX44" i="7"/>
  <c r="AX4" i="7"/>
  <c r="AX6" i="7"/>
  <c r="AX7" i="7"/>
  <c r="AX10" i="7"/>
  <c r="AX5" i="7"/>
  <c r="AX8" i="7"/>
  <c r="AX9" i="7"/>
  <c r="AX18" i="7"/>
  <c r="AX14" i="7"/>
  <c r="AX13" i="7"/>
  <c r="AX12" i="7"/>
  <c r="AX15" i="7"/>
  <c r="AX16" i="7"/>
  <c r="AX11" i="7"/>
  <c r="AX17" i="7"/>
  <c r="AX22" i="7"/>
  <c r="AX23" i="7"/>
  <c r="AX20" i="7"/>
  <c r="AX21" i="7"/>
  <c r="AX24" i="7"/>
  <c r="AX19" i="7"/>
  <c r="AX25" i="7"/>
  <c r="AX26" i="7"/>
  <c r="AX28" i="7"/>
  <c r="AX30" i="7"/>
  <c r="AX29" i="7"/>
  <c r="AX31" i="7"/>
  <c r="AX27" i="7"/>
  <c r="AX33" i="7"/>
  <c r="AX32" i="7"/>
  <c r="AX34" i="7"/>
  <c r="AX35" i="7"/>
  <c r="AX36" i="7"/>
  <c r="AY1" i="7"/>
  <c r="AX3" i="7"/>
  <c r="AY37" i="7" l="1"/>
  <c r="AY38" i="7"/>
  <c r="AY39" i="7"/>
  <c r="AY40" i="7"/>
  <c r="AY41" i="7"/>
  <c r="AY42" i="7"/>
  <c r="AY43" i="7"/>
  <c r="AY44" i="7"/>
  <c r="AY5" i="7"/>
  <c r="AY6" i="7"/>
  <c r="AY4" i="7"/>
  <c r="AY8" i="7"/>
  <c r="AY9" i="7"/>
  <c r="AY7" i="7"/>
  <c r="AY17" i="7"/>
  <c r="AY10" i="7"/>
  <c r="AY14" i="7"/>
  <c r="AY12" i="7"/>
  <c r="AY15" i="7"/>
  <c r="AY16" i="7"/>
  <c r="AY11" i="7"/>
  <c r="AY18" i="7"/>
  <c r="AY19" i="7"/>
  <c r="AY13" i="7"/>
  <c r="AY22" i="7"/>
  <c r="AY21" i="7"/>
  <c r="AY24" i="7"/>
  <c r="AY25" i="7"/>
  <c r="AY26" i="7"/>
  <c r="AY28" i="7"/>
  <c r="AY30" i="7"/>
  <c r="AY29" i="7"/>
  <c r="AY20" i="7"/>
  <c r="AY36" i="7"/>
  <c r="AY31" i="7"/>
  <c r="AY23" i="7"/>
  <c r="AY33" i="7"/>
  <c r="AY32" i="7"/>
  <c r="AY34" i="7"/>
  <c r="AY27" i="7"/>
  <c r="AY35" i="7"/>
  <c r="AZ1" i="7"/>
  <c r="AY3" i="7"/>
  <c r="AZ37" i="7" l="1"/>
  <c r="AZ38" i="7"/>
  <c r="AZ39" i="7"/>
  <c r="AZ40" i="7"/>
  <c r="AZ41" i="7"/>
  <c r="AZ42" i="7"/>
  <c r="AZ43" i="7"/>
  <c r="AZ44" i="7"/>
  <c r="AZ4" i="7"/>
  <c r="AZ5" i="7"/>
  <c r="AZ6" i="7"/>
  <c r="AZ7" i="7"/>
  <c r="AZ8" i="7"/>
  <c r="AZ11" i="7"/>
  <c r="AZ9" i="7"/>
  <c r="AZ10" i="7"/>
  <c r="AZ15" i="7"/>
  <c r="AZ13" i="7"/>
  <c r="AZ14" i="7"/>
  <c r="AZ12" i="7"/>
  <c r="AZ16" i="7"/>
  <c r="AZ20" i="7"/>
  <c r="AZ18" i="7"/>
  <c r="AZ17" i="7"/>
  <c r="AZ21" i="7"/>
  <c r="AZ24" i="7"/>
  <c r="AZ19" i="7"/>
  <c r="AZ30" i="7"/>
  <c r="AZ22" i="7"/>
  <c r="AZ25" i="7"/>
  <c r="AZ26" i="7"/>
  <c r="AZ28" i="7"/>
  <c r="AZ23" i="7"/>
  <c r="AZ27" i="7"/>
  <c r="AZ35" i="7"/>
  <c r="AZ31" i="7"/>
  <c r="AZ33" i="7"/>
  <c r="AZ29" i="7"/>
  <c r="AZ32" i="7"/>
  <c r="AZ34" i="7"/>
  <c r="AZ36" i="7"/>
  <c r="BA1" i="7"/>
  <c r="AZ3" i="7"/>
  <c r="BA37" i="7" l="1"/>
  <c r="BA38" i="7"/>
  <c r="BA39" i="7"/>
  <c r="BA40" i="7"/>
  <c r="BA41" i="7"/>
  <c r="BA42" i="7"/>
  <c r="BA43" i="7"/>
  <c r="BA44" i="7"/>
  <c r="BA4" i="7"/>
  <c r="BA6" i="7"/>
  <c r="BA5" i="7"/>
  <c r="BA9" i="7"/>
  <c r="BA7" i="7"/>
  <c r="BA11" i="7"/>
  <c r="BA10" i="7"/>
  <c r="BA8" i="7"/>
  <c r="BA13" i="7"/>
  <c r="BA17" i="7"/>
  <c r="BA14" i="7"/>
  <c r="BA15" i="7"/>
  <c r="BA12" i="7"/>
  <c r="BA18" i="7"/>
  <c r="BA19" i="7"/>
  <c r="BA21" i="7"/>
  <c r="BA26" i="7"/>
  <c r="BA24" i="7"/>
  <c r="BA29" i="7"/>
  <c r="BA23" i="7"/>
  <c r="BA16" i="7"/>
  <c r="BA22" i="7"/>
  <c r="BA25" i="7"/>
  <c r="BA28" i="7"/>
  <c r="BA30" i="7"/>
  <c r="BA27" i="7"/>
  <c r="BA20" i="7"/>
  <c r="BA32" i="7"/>
  <c r="BA34" i="7"/>
  <c r="BA35" i="7"/>
  <c r="BA36" i="7"/>
  <c r="BA31" i="7"/>
  <c r="BA33" i="7"/>
  <c r="BB1" i="7"/>
  <c r="BA3" i="7"/>
  <c r="BB37" i="7" l="1"/>
  <c r="BB38" i="7"/>
  <c r="BB39" i="7"/>
  <c r="BB40" i="7"/>
  <c r="BB41" i="7"/>
  <c r="BB42" i="7"/>
  <c r="BB43" i="7"/>
  <c r="BB44" i="7"/>
  <c r="BB4" i="7"/>
  <c r="BB5" i="7"/>
  <c r="BB7" i="7"/>
  <c r="BB6" i="7"/>
  <c r="BB8" i="7"/>
  <c r="BB12" i="7"/>
  <c r="BB10" i="7"/>
  <c r="BB13" i="7"/>
  <c r="BB15" i="7"/>
  <c r="BB9" i="7"/>
  <c r="BB16" i="7"/>
  <c r="BB17" i="7"/>
  <c r="BB11" i="7"/>
  <c r="BB14" i="7"/>
  <c r="BB18" i="7"/>
  <c r="BB21" i="7"/>
  <c r="BB19" i="7"/>
  <c r="BB25" i="7"/>
  <c r="BB26" i="7"/>
  <c r="BB24" i="7"/>
  <c r="BB28" i="7"/>
  <c r="BB20" i="7"/>
  <c r="BB23" i="7"/>
  <c r="BB22" i="7"/>
  <c r="BB29" i="7"/>
  <c r="BB33" i="7"/>
  <c r="BB32" i="7"/>
  <c r="BB34" i="7"/>
  <c r="BB35" i="7"/>
  <c r="BB36" i="7"/>
  <c r="BB30" i="7"/>
  <c r="BB27" i="7"/>
  <c r="BB31" i="7"/>
  <c r="BC1" i="7"/>
  <c r="BB3" i="7"/>
  <c r="BC37" i="7" l="1"/>
  <c r="BC38" i="7"/>
  <c r="BC39" i="7"/>
  <c r="BC40" i="7"/>
  <c r="BC41" i="7"/>
  <c r="BC42" i="7"/>
  <c r="BC43" i="7"/>
  <c r="BC44" i="7"/>
  <c r="BC4" i="7"/>
  <c r="BC6" i="7"/>
  <c r="BC7" i="7"/>
  <c r="BC8" i="7"/>
  <c r="BC16" i="7"/>
  <c r="BC5" i="7"/>
  <c r="BC9" i="7"/>
  <c r="BC10" i="7"/>
  <c r="BC11" i="7"/>
  <c r="BC12" i="7"/>
  <c r="BC14" i="7"/>
  <c r="BC17" i="7"/>
  <c r="BC18" i="7"/>
  <c r="BC19" i="7"/>
  <c r="BC13" i="7"/>
  <c r="BC20" i="7"/>
  <c r="BC15" i="7"/>
  <c r="BC21" i="7"/>
  <c r="BC22" i="7"/>
  <c r="BC25" i="7"/>
  <c r="BC26" i="7"/>
  <c r="BC27" i="7"/>
  <c r="BC29" i="7"/>
  <c r="BC24" i="7"/>
  <c r="BC28" i="7"/>
  <c r="BC23" i="7"/>
  <c r="BC33" i="7"/>
  <c r="BC32" i="7"/>
  <c r="BC34" i="7"/>
  <c r="BC35" i="7"/>
  <c r="BC36" i="7"/>
  <c r="BC30" i="7"/>
  <c r="BC31" i="7"/>
  <c r="BD1" i="7"/>
  <c r="BC3" i="7"/>
  <c r="BD37" i="7" l="1"/>
  <c r="BD38" i="7"/>
  <c r="BD39" i="7"/>
  <c r="BD40" i="7"/>
  <c r="BD41" i="7"/>
  <c r="BD42" i="7"/>
  <c r="BD43" i="7"/>
  <c r="BD44" i="7"/>
  <c r="BD5" i="7"/>
  <c r="BD6" i="7"/>
  <c r="BD8" i="7"/>
  <c r="BD4" i="7"/>
  <c r="BD7" i="7"/>
  <c r="BD10" i="7"/>
  <c r="BD15" i="7"/>
  <c r="BD9" i="7"/>
  <c r="BD13" i="7"/>
  <c r="BD11" i="7"/>
  <c r="BD16" i="7"/>
  <c r="BD17" i="7"/>
  <c r="BD18" i="7"/>
  <c r="BD19" i="7"/>
  <c r="BD14" i="7"/>
  <c r="BD12" i="7"/>
  <c r="BD20" i="7"/>
  <c r="BD21" i="7"/>
  <c r="BD22" i="7"/>
  <c r="BD25" i="7"/>
  <c r="BD26" i="7"/>
  <c r="BD29" i="7"/>
  <c r="BD24" i="7"/>
  <c r="BD23" i="7"/>
  <c r="BD33" i="7"/>
  <c r="BD32" i="7"/>
  <c r="BD34" i="7"/>
  <c r="BD35" i="7"/>
  <c r="BD36" i="7"/>
  <c r="BD27" i="7"/>
  <c r="BD31" i="7"/>
  <c r="BD28" i="7"/>
  <c r="BD30" i="7"/>
  <c r="BE1" i="7"/>
  <c r="BD3" i="7"/>
  <c r="BE37" i="7" l="1"/>
  <c r="BE38" i="7"/>
  <c r="BE39" i="7"/>
  <c r="BE40" i="7"/>
  <c r="BE41" i="7"/>
  <c r="BE42" i="7"/>
  <c r="BE43" i="7"/>
  <c r="BE44" i="7"/>
  <c r="BE4" i="7"/>
  <c r="BE5" i="7"/>
  <c r="BE7" i="7"/>
  <c r="BE8" i="7"/>
  <c r="BE9" i="7"/>
  <c r="BE14" i="7"/>
  <c r="BE12" i="7"/>
  <c r="BE11" i="7"/>
  <c r="BE6" i="7"/>
  <c r="BE13" i="7"/>
  <c r="BE15" i="7"/>
  <c r="BE16" i="7"/>
  <c r="BE10" i="7"/>
  <c r="BE18" i="7"/>
  <c r="BE19" i="7"/>
  <c r="BE21" i="7"/>
  <c r="BE17" i="7"/>
  <c r="BE20" i="7"/>
  <c r="BE22" i="7"/>
  <c r="BE23" i="7"/>
  <c r="BE25" i="7"/>
  <c r="BE27" i="7"/>
  <c r="BE29" i="7"/>
  <c r="BE24" i="7"/>
  <c r="BE26" i="7"/>
  <c r="BE33" i="7"/>
  <c r="BE32" i="7"/>
  <c r="BE34" i="7"/>
  <c r="BE35" i="7"/>
  <c r="BE31" i="7"/>
  <c r="BE28" i="7"/>
  <c r="BE30" i="7"/>
  <c r="BE36" i="7"/>
  <c r="BF1" i="7"/>
  <c r="BE3" i="7"/>
  <c r="BF37" i="7" l="1"/>
  <c r="BF38" i="7"/>
  <c r="BF39" i="7"/>
  <c r="BF40" i="7"/>
  <c r="BF41" i="7"/>
  <c r="BF42" i="7"/>
  <c r="BF43" i="7"/>
  <c r="BF44" i="7"/>
  <c r="BF4" i="7"/>
  <c r="BF7" i="7"/>
  <c r="BF8" i="7"/>
  <c r="BF5" i="7"/>
  <c r="BF9" i="7"/>
  <c r="BF6" i="7"/>
  <c r="BF13" i="7"/>
  <c r="BF12" i="7"/>
  <c r="BF16" i="7"/>
  <c r="BF10" i="7"/>
  <c r="BF11" i="7"/>
  <c r="BF15" i="7"/>
  <c r="BF18" i="7"/>
  <c r="BF19" i="7"/>
  <c r="BF14" i="7"/>
  <c r="BF17" i="7"/>
  <c r="BF20" i="7"/>
  <c r="BF22" i="7"/>
  <c r="BF23" i="7"/>
  <c r="BF21" i="7"/>
  <c r="BF24" i="7"/>
  <c r="BF27" i="7"/>
  <c r="BF29" i="7"/>
  <c r="BF25" i="7"/>
  <c r="BF26" i="7"/>
  <c r="BF28" i="7"/>
  <c r="BF33" i="7"/>
  <c r="BF32" i="7"/>
  <c r="BF34" i="7"/>
  <c r="BF30" i="7"/>
  <c r="BF31" i="7"/>
  <c r="BF35" i="7"/>
  <c r="BF36" i="7"/>
  <c r="BG1" i="7"/>
  <c r="BF3" i="7"/>
  <c r="BG37" i="7" l="1"/>
  <c r="BG38" i="7"/>
  <c r="BG39" i="7"/>
  <c r="BG40" i="7"/>
  <c r="BG41" i="7"/>
  <c r="BG42" i="7"/>
  <c r="BG43" i="7"/>
  <c r="BG44" i="7"/>
  <c r="BG6" i="7"/>
  <c r="BG7" i="7"/>
  <c r="BG5" i="7"/>
  <c r="BG4" i="7"/>
  <c r="BG8" i="7"/>
  <c r="BG10" i="7"/>
  <c r="BG9" i="7"/>
  <c r="BG11" i="7"/>
  <c r="BG12" i="7"/>
  <c r="BG14" i="7"/>
  <c r="BG15" i="7"/>
  <c r="BG16" i="7"/>
  <c r="BG13" i="7"/>
  <c r="BG18" i="7"/>
  <c r="BG19" i="7"/>
  <c r="BG17" i="7"/>
  <c r="BG22" i="7"/>
  <c r="BG23" i="7"/>
  <c r="BG21" i="7"/>
  <c r="BG20" i="7"/>
  <c r="BG24" i="7"/>
  <c r="BG27" i="7"/>
  <c r="BG29" i="7"/>
  <c r="BG25" i="7"/>
  <c r="BG28" i="7"/>
  <c r="BG26" i="7"/>
  <c r="BG33" i="7"/>
  <c r="BG36" i="7"/>
  <c r="BG30" i="7"/>
  <c r="BG35" i="7"/>
  <c r="BG32" i="7"/>
  <c r="BG34" i="7"/>
  <c r="BG31" i="7"/>
  <c r="BH1" i="7"/>
  <c r="BG3" i="7"/>
  <c r="BH37" i="7" l="1"/>
  <c r="BH38" i="7"/>
  <c r="BH39" i="7"/>
  <c r="BH40" i="7"/>
  <c r="BH41" i="7"/>
  <c r="BH42" i="7"/>
  <c r="BH43" i="7"/>
  <c r="BH44" i="7"/>
  <c r="BH5" i="7"/>
  <c r="BH6" i="7"/>
  <c r="BH12" i="7"/>
  <c r="BH4" i="7"/>
  <c r="BH7" i="7"/>
  <c r="BH9" i="7"/>
  <c r="BH8" i="7"/>
  <c r="BH10" i="7"/>
  <c r="BH11" i="7"/>
  <c r="BH14" i="7"/>
  <c r="BH20" i="7"/>
  <c r="BH15" i="7"/>
  <c r="BH16" i="7"/>
  <c r="BH13" i="7"/>
  <c r="BH18" i="7"/>
  <c r="BH22" i="7"/>
  <c r="BH19" i="7"/>
  <c r="BH23" i="7"/>
  <c r="BH26" i="7"/>
  <c r="BH21" i="7"/>
  <c r="BH27" i="7"/>
  <c r="BH32" i="7"/>
  <c r="BH24" i="7"/>
  <c r="BH29" i="7"/>
  <c r="BH31" i="7"/>
  <c r="BH17" i="7"/>
  <c r="BH25" i="7"/>
  <c r="BH35" i="7"/>
  <c r="BH36" i="7"/>
  <c r="BH30" i="7"/>
  <c r="BH33" i="7"/>
  <c r="BH34" i="7"/>
  <c r="BH28" i="7"/>
  <c r="BI1" i="7"/>
  <c r="BH3" i="7"/>
  <c r="BI37" i="7" l="1"/>
  <c r="BI38" i="7"/>
  <c r="BI39" i="7"/>
  <c r="BI40" i="7"/>
  <c r="BI41" i="7"/>
  <c r="BI42" i="7"/>
  <c r="BI43" i="7"/>
  <c r="BI44" i="7"/>
  <c r="BI4" i="7"/>
  <c r="BI5" i="7"/>
  <c r="BI6" i="7"/>
  <c r="BI11" i="7"/>
  <c r="BI8" i="7"/>
  <c r="BI7" i="7"/>
  <c r="BI9" i="7"/>
  <c r="BI10" i="7"/>
  <c r="BI19" i="7"/>
  <c r="BI12" i="7"/>
  <c r="BI18" i="7"/>
  <c r="BI15" i="7"/>
  <c r="BI14" i="7"/>
  <c r="BI17" i="7"/>
  <c r="BI13" i="7"/>
  <c r="BI16" i="7"/>
  <c r="BI22" i="7"/>
  <c r="BI24" i="7"/>
  <c r="BI21" i="7"/>
  <c r="BI23" i="7"/>
  <c r="BI25" i="7"/>
  <c r="BI26" i="7"/>
  <c r="BI20" i="7"/>
  <c r="BI30" i="7"/>
  <c r="BI27" i="7"/>
  <c r="BI31" i="7"/>
  <c r="BI28" i="7"/>
  <c r="BI29" i="7"/>
  <c r="BI34" i="7"/>
  <c r="BI35" i="7"/>
  <c r="BI36" i="7"/>
  <c r="BI33" i="7"/>
  <c r="BI32" i="7"/>
  <c r="BJ1" i="7"/>
  <c r="BI3" i="7"/>
  <c r="BJ37" i="7" l="1"/>
  <c r="BJ38" i="7"/>
  <c r="BJ39" i="7"/>
  <c r="BJ40" i="7"/>
  <c r="BJ41" i="7"/>
  <c r="BJ42" i="7"/>
  <c r="BJ43" i="7"/>
  <c r="BJ44" i="7"/>
  <c r="BJ4" i="7"/>
  <c r="BJ6" i="7"/>
  <c r="BJ5" i="7"/>
  <c r="BJ10" i="7"/>
  <c r="BJ8" i="7"/>
  <c r="BJ11" i="7"/>
  <c r="BJ7" i="7"/>
  <c r="BJ9" i="7"/>
  <c r="BJ12" i="7"/>
  <c r="BJ18" i="7"/>
  <c r="BJ14" i="7"/>
  <c r="BJ17" i="7"/>
  <c r="BJ15" i="7"/>
  <c r="BJ16" i="7"/>
  <c r="BJ22" i="7"/>
  <c r="BJ23" i="7"/>
  <c r="BJ21" i="7"/>
  <c r="BJ19" i="7"/>
  <c r="BJ25" i="7"/>
  <c r="BJ20" i="7"/>
  <c r="BJ13" i="7"/>
  <c r="BJ28" i="7"/>
  <c r="BJ30" i="7"/>
  <c r="BJ27" i="7"/>
  <c r="BJ31" i="7"/>
  <c r="BJ29" i="7"/>
  <c r="BJ24" i="7"/>
  <c r="BJ32" i="7"/>
  <c r="BJ33" i="7"/>
  <c r="BJ34" i="7"/>
  <c r="BJ36" i="7"/>
  <c r="BJ26" i="7"/>
  <c r="BJ35" i="7"/>
  <c r="BK1" i="7"/>
  <c r="BJ3" i="7"/>
  <c r="BK37" i="7" l="1"/>
  <c r="BK38" i="7"/>
  <c r="BK39" i="7"/>
  <c r="BK40" i="7"/>
  <c r="BK41" i="7"/>
  <c r="BK42" i="7"/>
  <c r="BK43" i="7"/>
  <c r="BK44" i="7"/>
  <c r="BK5" i="7"/>
  <c r="BK6" i="7"/>
  <c r="BK8" i="7"/>
  <c r="BK4" i="7"/>
  <c r="BK9" i="7"/>
  <c r="BK7" i="7"/>
  <c r="BK10" i="7"/>
  <c r="BK17" i="7"/>
  <c r="BK14" i="7"/>
  <c r="BK13" i="7"/>
  <c r="BK11" i="7"/>
  <c r="BK18" i="7"/>
  <c r="BK15" i="7"/>
  <c r="BK12" i="7"/>
  <c r="BK16" i="7"/>
  <c r="BK22" i="7"/>
  <c r="BK20" i="7"/>
  <c r="BK24" i="7"/>
  <c r="BK28" i="7"/>
  <c r="BK30" i="7"/>
  <c r="BK21" i="7"/>
  <c r="BK26" i="7"/>
  <c r="BK29" i="7"/>
  <c r="BK19" i="7"/>
  <c r="BK36" i="7"/>
  <c r="BK31" i="7"/>
  <c r="BK27" i="7"/>
  <c r="BK32" i="7"/>
  <c r="BK33" i="7"/>
  <c r="BK34" i="7"/>
  <c r="BK25" i="7"/>
  <c r="BK35" i="7"/>
  <c r="BK23" i="7"/>
  <c r="BL1" i="7"/>
  <c r="BK3" i="7"/>
  <c r="BL37" i="7" l="1"/>
  <c r="BL38" i="7"/>
  <c r="BL39" i="7"/>
  <c r="BL40" i="7"/>
  <c r="BL41" i="7"/>
  <c r="BL42" i="7"/>
  <c r="BL43" i="7"/>
  <c r="BL44" i="7"/>
  <c r="BL4" i="7"/>
  <c r="BL5" i="7"/>
  <c r="BL7" i="7"/>
  <c r="BL6" i="7"/>
  <c r="BL9" i="7"/>
  <c r="BL8" i="7"/>
  <c r="BL11" i="7"/>
  <c r="BL12" i="7"/>
  <c r="BL10" i="7"/>
  <c r="BL13" i="7"/>
  <c r="BL16" i="7"/>
  <c r="BL14" i="7"/>
  <c r="BL17" i="7"/>
  <c r="BL19" i="7"/>
  <c r="BL15" i="7"/>
  <c r="BL18" i="7"/>
  <c r="BL20" i="7"/>
  <c r="BL24" i="7"/>
  <c r="BL22" i="7"/>
  <c r="BL30" i="7"/>
  <c r="BL23" i="7"/>
  <c r="BL28" i="7"/>
  <c r="BL21" i="7"/>
  <c r="BL25" i="7"/>
  <c r="BL26" i="7"/>
  <c r="BL29" i="7"/>
  <c r="BL35" i="7"/>
  <c r="BL31" i="7"/>
  <c r="BL27" i="7"/>
  <c r="BL32" i="7"/>
  <c r="BL33" i="7"/>
  <c r="BL36" i="7"/>
  <c r="BL34" i="7"/>
  <c r="BM1" i="7"/>
  <c r="BL3" i="7"/>
  <c r="BM37" i="7" l="1"/>
  <c r="BM38" i="7"/>
  <c r="BM39" i="7"/>
  <c r="BM40" i="7"/>
  <c r="BM41" i="7"/>
  <c r="BM42" i="7"/>
  <c r="BM43" i="7"/>
  <c r="BM44" i="7"/>
  <c r="BM4" i="7"/>
  <c r="BM6" i="7"/>
  <c r="BM9" i="7"/>
  <c r="BM8" i="7"/>
  <c r="BM7" i="7"/>
  <c r="BM11" i="7"/>
  <c r="BM10" i="7"/>
  <c r="BM5" i="7"/>
  <c r="BM15" i="7"/>
  <c r="BM12" i="7"/>
  <c r="BM13" i="7"/>
  <c r="BM16" i="7"/>
  <c r="BM14" i="7"/>
  <c r="BM17" i="7"/>
  <c r="BM20" i="7"/>
  <c r="BM18" i="7"/>
  <c r="BM19" i="7"/>
  <c r="BM26" i="7"/>
  <c r="BM24" i="7"/>
  <c r="BM22" i="7"/>
  <c r="BM29" i="7"/>
  <c r="BM21" i="7"/>
  <c r="BM23" i="7"/>
  <c r="BM28" i="7"/>
  <c r="BM30" i="7"/>
  <c r="BM27" i="7"/>
  <c r="BM25" i="7"/>
  <c r="BM34" i="7"/>
  <c r="BM35" i="7"/>
  <c r="BM36" i="7"/>
  <c r="BM31" i="7"/>
  <c r="BM33" i="7"/>
  <c r="BM32" i="7"/>
  <c r="BN1" i="7"/>
  <c r="BM3" i="7"/>
  <c r="BN37" i="7" l="1"/>
  <c r="BN38" i="7"/>
  <c r="BN39" i="7"/>
  <c r="BN40" i="7"/>
  <c r="BN41" i="7"/>
  <c r="BN42" i="7"/>
  <c r="BN43" i="7"/>
  <c r="BN44" i="7"/>
  <c r="BN4" i="7"/>
  <c r="BN5" i="7"/>
  <c r="BN7" i="7"/>
  <c r="BN6" i="7"/>
  <c r="BN9" i="7"/>
  <c r="BN8" i="7"/>
  <c r="BN11" i="7"/>
  <c r="BN10" i="7"/>
  <c r="BN13" i="7"/>
  <c r="BN17" i="7"/>
  <c r="BN12" i="7"/>
  <c r="BN15" i="7"/>
  <c r="BN16" i="7"/>
  <c r="BN18" i="7"/>
  <c r="BN19" i="7"/>
  <c r="BN21" i="7"/>
  <c r="BN14" i="7"/>
  <c r="BN20" i="7"/>
  <c r="BN25" i="7"/>
  <c r="BN26" i="7"/>
  <c r="BN24" i="7"/>
  <c r="BN28" i="7"/>
  <c r="BN23" i="7"/>
  <c r="BN30" i="7"/>
  <c r="BN27" i="7"/>
  <c r="BN32" i="7"/>
  <c r="BN33" i="7"/>
  <c r="BN34" i="7"/>
  <c r="BN35" i="7"/>
  <c r="BN29" i="7"/>
  <c r="BN36" i="7"/>
  <c r="BN31" i="7"/>
  <c r="BN22" i="7"/>
  <c r="BO1" i="7"/>
  <c r="BN3" i="7"/>
  <c r="BO37" i="7" l="1"/>
  <c r="BO38" i="7"/>
  <c r="BO39" i="7"/>
  <c r="BO40" i="7"/>
  <c r="BO41" i="7"/>
  <c r="BO42" i="7"/>
  <c r="BO43" i="7"/>
  <c r="BO44" i="7"/>
  <c r="BO4" i="7"/>
  <c r="BO6" i="7"/>
  <c r="BO5" i="7"/>
  <c r="BO9" i="7"/>
  <c r="BO12" i="7"/>
  <c r="BO16" i="7"/>
  <c r="BO7" i="7"/>
  <c r="BO8" i="7"/>
  <c r="BO10" i="7"/>
  <c r="BO13" i="7"/>
  <c r="BO11" i="7"/>
  <c r="BO15" i="7"/>
  <c r="BO14" i="7"/>
  <c r="BO17" i="7"/>
  <c r="BO18" i="7"/>
  <c r="BO19" i="7"/>
  <c r="BO21" i="7"/>
  <c r="BO22" i="7"/>
  <c r="BO20" i="7"/>
  <c r="BO25" i="7"/>
  <c r="BO26" i="7"/>
  <c r="BO24" i="7"/>
  <c r="BO27" i="7"/>
  <c r="BO23" i="7"/>
  <c r="BO28" i="7"/>
  <c r="BO32" i="7"/>
  <c r="BO33" i="7"/>
  <c r="BO34" i="7"/>
  <c r="BO35" i="7"/>
  <c r="BO29" i="7"/>
  <c r="BO36" i="7"/>
  <c r="BO31" i="7"/>
  <c r="BO30" i="7"/>
  <c r="BP1" i="7"/>
  <c r="BO3" i="7"/>
  <c r="BP37" i="7" l="1"/>
  <c r="BP38" i="7"/>
  <c r="BP39" i="7"/>
  <c r="BP40" i="7"/>
  <c r="BP41" i="7"/>
  <c r="BP42" i="7"/>
  <c r="BP43" i="7"/>
  <c r="BP44" i="7"/>
  <c r="BP5" i="7"/>
  <c r="BP6" i="7"/>
  <c r="BP8" i="7"/>
  <c r="BP4" i="7"/>
  <c r="BP7" i="7"/>
  <c r="BP15" i="7"/>
  <c r="BP9" i="7"/>
  <c r="BP10" i="7"/>
  <c r="BP11" i="7"/>
  <c r="BP14" i="7"/>
  <c r="BP13" i="7"/>
  <c r="BP17" i="7"/>
  <c r="BP12" i="7"/>
  <c r="BP19" i="7"/>
  <c r="BP18" i="7"/>
  <c r="BP21" i="7"/>
  <c r="BP22" i="7"/>
  <c r="BP20" i="7"/>
  <c r="BP25" i="7"/>
  <c r="BP26" i="7"/>
  <c r="BP16" i="7"/>
  <c r="BP29" i="7"/>
  <c r="BP23" i="7"/>
  <c r="BP28" i="7"/>
  <c r="BP30" i="7"/>
  <c r="BP32" i="7"/>
  <c r="BP33" i="7"/>
  <c r="BP34" i="7"/>
  <c r="BP35" i="7"/>
  <c r="BP24" i="7"/>
  <c r="BP36" i="7"/>
  <c r="BP31" i="7"/>
  <c r="BP27" i="7"/>
  <c r="BQ1" i="7"/>
  <c r="BP3" i="7"/>
  <c r="BQ37" i="7" l="1"/>
  <c r="BQ38" i="7"/>
  <c r="BQ39" i="7"/>
  <c r="BQ40" i="7"/>
  <c r="BQ41" i="7"/>
  <c r="BQ42" i="7"/>
  <c r="BQ43" i="7"/>
  <c r="BQ44" i="7"/>
  <c r="BQ4" i="7"/>
  <c r="BQ5" i="7"/>
  <c r="BQ7" i="7"/>
  <c r="BQ8" i="7"/>
  <c r="BQ9" i="7"/>
  <c r="BQ6" i="7"/>
  <c r="BQ10" i="7"/>
  <c r="BQ14" i="7"/>
  <c r="BQ13" i="7"/>
  <c r="BQ11" i="7"/>
  <c r="BQ16" i="7"/>
  <c r="BQ17" i="7"/>
  <c r="BQ15" i="7"/>
  <c r="BQ12" i="7"/>
  <c r="BQ18" i="7"/>
  <c r="BQ19" i="7"/>
  <c r="BQ21" i="7"/>
  <c r="BQ20" i="7"/>
  <c r="BQ25" i="7"/>
  <c r="BQ29" i="7"/>
  <c r="BQ23" i="7"/>
  <c r="BQ24" i="7"/>
  <c r="BQ27" i="7"/>
  <c r="BQ28" i="7"/>
  <c r="BQ30" i="7"/>
  <c r="BQ32" i="7"/>
  <c r="BQ33" i="7"/>
  <c r="BQ34" i="7"/>
  <c r="BQ35" i="7"/>
  <c r="BQ31" i="7"/>
  <c r="BQ26" i="7"/>
  <c r="BQ36" i="7"/>
  <c r="BQ22" i="7"/>
  <c r="BR1" i="7"/>
  <c r="BQ3" i="7"/>
  <c r="BR37" i="7" l="1"/>
  <c r="BR38" i="7"/>
  <c r="BR39" i="7"/>
  <c r="BR40" i="7"/>
  <c r="BR41" i="7"/>
  <c r="BR42" i="7"/>
  <c r="BR43" i="7"/>
  <c r="BR44" i="7"/>
  <c r="BR4" i="7"/>
  <c r="BR5" i="7"/>
  <c r="BR6" i="7"/>
  <c r="BR7" i="7"/>
  <c r="BR8" i="7"/>
  <c r="BR13" i="7"/>
  <c r="BR12" i="7"/>
  <c r="BR9" i="7"/>
  <c r="BR11" i="7"/>
  <c r="BR10" i="7"/>
  <c r="BR14" i="7"/>
  <c r="BR16" i="7"/>
  <c r="BR15" i="7"/>
  <c r="BR18" i="7"/>
  <c r="BR17" i="7"/>
  <c r="BR19" i="7"/>
  <c r="BR20" i="7"/>
  <c r="BR21" i="7"/>
  <c r="BR23" i="7"/>
  <c r="BR27" i="7"/>
  <c r="BR29" i="7"/>
  <c r="BR22" i="7"/>
  <c r="BR24" i="7"/>
  <c r="BR28" i="7"/>
  <c r="BR30" i="7"/>
  <c r="BR32" i="7"/>
  <c r="BR33" i="7"/>
  <c r="BR34" i="7"/>
  <c r="BR26" i="7"/>
  <c r="BR31" i="7"/>
  <c r="BR35" i="7"/>
  <c r="BR25" i="7"/>
  <c r="BR36" i="7"/>
  <c r="BS1" i="7"/>
  <c r="BR3" i="7"/>
  <c r="BS37" i="7" l="1"/>
  <c r="BS38" i="7"/>
  <c r="BS39" i="7"/>
  <c r="BS40" i="7"/>
  <c r="BS41" i="7"/>
  <c r="BS42" i="7"/>
  <c r="BS43" i="7"/>
  <c r="BS44" i="7"/>
  <c r="BS6" i="7"/>
  <c r="BS5" i="7"/>
  <c r="BS7" i="7"/>
  <c r="BS4" i="7"/>
  <c r="BS8" i="7"/>
  <c r="BS12" i="7"/>
  <c r="BS9" i="7"/>
  <c r="BS16" i="7"/>
  <c r="BS10" i="7"/>
  <c r="BS13" i="7"/>
  <c r="BS11" i="7"/>
  <c r="BS14" i="7"/>
  <c r="BS18" i="7"/>
  <c r="BS17" i="7"/>
  <c r="BS19" i="7"/>
  <c r="BS15" i="7"/>
  <c r="BS20" i="7"/>
  <c r="BS23" i="7"/>
  <c r="BS22" i="7"/>
  <c r="BS24" i="7"/>
  <c r="BS21" i="7"/>
  <c r="BS26" i="7"/>
  <c r="BS27" i="7"/>
  <c r="BS29" i="7"/>
  <c r="BS28" i="7"/>
  <c r="BS30" i="7"/>
  <c r="BS32" i="7"/>
  <c r="BS33" i="7"/>
  <c r="BS25" i="7"/>
  <c r="BS36" i="7"/>
  <c r="BS31" i="7"/>
  <c r="BS34" i="7"/>
  <c r="BS35" i="7"/>
  <c r="BT1" i="7"/>
  <c r="BS3" i="7"/>
  <c r="BT37" i="7" l="1"/>
  <c r="BT38" i="7"/>
  <c r="BT39" i="7"/>
  <c r="BT40" i="7"/>
  <c r="BT41" i="7"/>
  <c r="BT42" i="7"/>
  <c r="BT43" i="7"/>
  <c r="BT44" i="7"/>
  <c r="BT5" i="7"/>
  <c r="BT6" i="7"/>
  <c r="BT4" i="7"/>
  <c r="BT7" i="7"/>
  <c r="BT9" i="7"/>
  <c r="BT12" i="7"/>
  <c r="BT8" i="7"/>
  <c r="BT10" i="7"/>
  <c r="BT11" i="7"/>
  <c r="BT20" i="7"/>
  <c r="BT14" i="7"/>
  <c r="BT15" i="7"/>
  <c r="BT13" i="7"/>
  <c r="BT16" i="7"/>
  <c r="BT18" i="7"/>
  <c r="BT17" i="7"/>
  <c r="BT19" i="7"/>
  <c r="BT22" i="7"/>
  <c r="BT23" i="7"/>
  <c r="BT26" i="7"/>
  <c r="BT24" i="7"/>
  <c r="BT21" i="7"/>
  <c r="BT25" i="7"/>
  <c r="BT27" i="7"/>
  <c r="BT29" i="7"/>
  <c r="BT32" i="7"/>
  <c r="BT28" i="7"/>
  <c r="BT30" i="7"/>
  <c r="BT35" i="7"/>
  <c r="BT36" i="7"/>
  <c r="BT34" i="7"/>
  <c r="BT31" i="7"/>
  <c r="BT33" i="7"/>
  <c r="BU1" i="7"/>
  <c r="BT3" i="7"/>
  <c r="BU37" i="7" l="1"/>
  <c r="BU38" i="7"/>
  <c r="BU39" i="7"/>
  <c r="BU40" i="7"/>
  <c r="BU41" i="7"/>
  <c r="BU42" i="7"/>
  <c r="BU43" i="7"/>
  <c r="BU44" i="7"/>
  <c r="BU4" i="7"/>
  <c r="BU5" i="7"/>
  <c r="BU6" i="7"/>
  <c r="BU7" i="7"/>
  <c r="BU11" i="7"/>
  <c r="BU10" i="7"/>
  <c r="BU8" i="7"/>
  <c r="BU9" i="7"/>
  <c r="BU14" i="7"/>
  <c r="BU19" i="7"/>
  <c r="BU15" i="7"/>
  <c r="BU13" i="7"/>
  <c r="BU16" i="7"/>
  <c r="BU18" i="7"/>
  <c r="BU17" i="7"/>
  <c r="BU22" i="7"/>
  <c r="BU20" i="7"/>
  <c r="BU24" i="7"/>
  <c r="BU12" i="7"/>
  <c r="BU23" i="7"/>
  <c r="BU25" i="7"/>
  <c r="BU26" i="7"/>
  <c r="BU21" i="7"/>
  <c r="BU27" i="7"/>
  <c r="BU31" i="7"/>
  <c r="BU29" i="7"/>
  <c r="BU28" i="7"/>
  <c r="BU30" i="7"/>
  <c r="BU34" i="7"/>
  <c r="BU35" i="7"/>
  <c r="BU32" i="7"/>
  <c r="BU36" i="7"/>
  <c r="BU33" i="7"/>
  <c r="BV1" i="7"/>
  <c r="BU3" i="7"/>
  <c r="BV37" i="7" l="1"/>
  <c r="BV38" i="7"/>
  <c r="BV39" i="7"/>
  <c r="BV40" i="7"/>
  <c r="BV41" i="7"/>
  <c r="BV42" i="7"/>
  <c r="BV43" i="7"/>
  <c r="BV44" i="7"/>
  <c r="BV4" i="7"/>
  <c r="BV6" i="7"/>
  <c r="BV5" i="7"/>
  <c r="BV10" i="7"/>
  <c r="BV9" i="7"/>
  <c r="BV7" i="7"/>
  <c r="BV8" i="7"/>
  <c r="BV11" i="7"/>
  <c r="BV18" i="7"/>
  <c r="BV12" i="7"/>
  <c r="BV15" i="7"/>
  <c r="BV14" i="7"/>
  <c r="BV13" i="7"/>
  <c r="BV16" i="7"/>
  <c r="BV17" i="7"/>
  <c r="BV19" i="7"/>
  <c r="BV22" i="7"/>
  <c r="BV23" i="7"/>
  <c r="BV21" i="7"/>
  <c r="BV20" i="7"/>
  <c r="BV25" i="7"/>
  <c r="BV26" i="7"/>
  <c r="BV30" i="7"/>
  <c r="BV27" i="7"/>
  <c r="BV24" i="7"/>
  <c r="BV31" i="7"/>
  <c r="BV28" i="7"/>
  <c r="BV29" i="7"/>
  <c r="BV33" i="7"/>
  <c r="BV34" i="7"/>
  <c r="BV32" i="7"/>
  <c r="BV36" i="7"/>
  <c r="BV35" i="7"/>
  <c r="BW1" i="7"/>
  <c r="BV3" i="7"/>
  <c r="BW37" i="7" l="1"/>
  <c r="BW38" i="7"/>
  <c r="BW39" i="7"/>
  <c r="BW40" i="7"/>
  <c r="BW41" i="7"/>
  <c r="BW42" i="7"/>
  <c r="BW43" i="7"/>
  <c r="BW44" i="7"/>
  <c r="BW5" i="7"/>
  <c r="BW6" i="7"/>
  <c r="BW8" i="7"/>
  <c r="BW4" i="7"/>
  <c r="BW9" i="7"/>
  <c r="BW11" i="7"/>
  <c r="BW7" i="7"/>
  <c r="BW10" i="7"/>
  <c r="BW17" i="7"/>
  <c r="BW14" i="7"/>
  <c r="BW12" i="7"/>
  <c r="BW15" i="7"/>
  <c r="BW18" i="7"/>
  <c r="BW13" i="7"/>
  <c r="BW16" i="7"/>
  <c r="BW19" i="7"/>
  <c r="BW22" i="7"/>
  <c r="BW21" i="7"/>
  <c r="BW20" i="7"/>
  <c r="BW23" i="7"/>
  <c r="BW28" i="7"/>
  <c r="BW25" i="7"/>
  <c r="BW26" i="7"/>
  <c r="BW30" i="7"/>
  <c r="BW27" i="7"/>
  <c r="BW36" i="7"/>
  <c r="BW31" i="7"/>
  <c r="BW32" i="7"/>
  <c r="BW33" i="7"/>
  <c r="BW34" i="7"/>
  <c r="BW29" i="7"/>
  <c r="BW35" i="7"/>
  <c r="BW24" i="7"/>
  <c r="BX1" i="7"/>
  <c r="BW3" i="7"/>
  <c r="BX37" i="7" l="1"/>
  <c r="BX38" i="7"/>
  <c r="BX39" i="7"/>
  <c r="BX40" i="7"/>
  <c r="BX41" i="7"/>
  <c r="BX42" i="7"/>
  <c r="BX43" i="7"/>
  <c r="BX44" i="7"/>
  <c r="BX4" i="7"/>
  <c r="BX5" i="7"/>
  <c r="BX6" i="7"/>
  <c r="BX7" i="7"/>
  <c r="BX8" i="7"/>
  <c r="BX10" i="7"/>
  <c r="BX14" i="7"/>
  <c r="BX13" i="7"/>
  <c r="BX12" i="7"/>
  <c r="BX11" i="7"/>
  <c r="BX15" i="7"/>
  <c r="BX9" i="7"/>
  <c r="BX16" i="7"/>
  <c r="BX18" i="7"/>
  <c r="BX17" i="7"/>
  <c r="BX19" i="7"/>
  <c r="BX21" i="7"/>
  <c r="BX24" i="7"/>
  <c r="BX30" i="7"/>
  <c r="BX22" i="7"/>
  <c r="BX20" i="7"/>
  <c r="BX28" i="7"/>
  <c r="BX25" i="7"/>
  <c r="BX26" i="7"/>
  <c r="BX23" i="7"/>
  <c r="BX29" i="7"/>
  <c r="BX35" i="7"/>
  <c r="BX27" i="7"/>
  <c r="BX31" i="7"/>
  <c r="BX32" i="7"/>
  <c r="BX33" i="7"/>
  <c r="BX34" i="7"/>
  <c r="BX36" i="7"/>
  <c r="BY1" i="7"/>
  <c r="BX3" i="7"/>
  <c r="BY37" i="7" l="1"/>
  <c r="BY38" i="7"/>
  <c r="BY39" i="7"/>
  <c r="BY40" i="7"/>
  <c r="BY41" i="7"/>
  <c r="BY42" i="7"/>
  <c r="BY43" i="7"/>
  <c r="BY44" i="7"/>
  <c r="BY4" i="7"/>
  <c r="BY5" i="7"/>
  <c r="BY6" i="7"/>
  <c r="BY9" i="7"/>
  <c r="BY8" i="7"/>
  <c r="BY7" i="7"/>
  <c r="BY10" i="7"/>
  <c r="BY12" i="7"/>
  <c r="BY11" i="7"/>
  <c r="BY14" i="7"/>
  <c r="BY17" i="7"/>
  <c r="BY15" i="7"/>
  <c r="BY13" i="7"/>
  <c r="BY16" i="7"/>
  <c r="BY18" i="7"/>
  <c r="BY19" i="7"/>
  <c r="BY20" i="7"/>
  <c r="BY21" i="7"/>
  <c r="BY24" i="7"/>
  <c r="BY26" i="7"/>
  <c r="BY29" i="7"/>
  <c r="BY22" i="7"/>
  <c r="BY28" i="7"/>
  <c r="BY25" i="7"/>
  <c r="BY30" i="7"/>
  <c r="BY23" i="7"/>
  <c r="BY34" i="7"/>
  <c r="BY35" i="7"/>
  <c r="BY27" i="7"/>
  <c r="BY36" i="7"/>
  <c r="BY31" i="7"/>
  <c r="BY32" i="7"/>
  <c r="BY33" i="7"/>
  <c r="BZ1" i="7"/>
  <c r="BY3" i="7"/>
  <c r="BZ37" i="7" l="1"/>
  <c r="BZ38" i="7"/>
  <c r="BZ39" i="7"/>
  <c r="BZ40" i="7"/>
  <c r="BZ41" i="7"/>
  <c r="BZ42" i="7"/>
  <c r="BZ43" i="7"/>
  <c r="BZ44" i="7"/>
  <c r="BZ4" i="7"/>
  <c r="BZ5" i="7"/>
  <c r="BZ7" i="7"/>
  <c r="BZ6" i="7"/>
  <c r="BZ11" i="7"/>
  <c r="BZ8" i="7"/>
  <c r="BZ9" i="7"/>
  <c r="BZ10" i="7"/>
  <c r="BZ12" i="7"/>
  <c r="BZ15" i="7"/>
  <c r="BZ13" i="7"/>
  <c r="BZ16" i="7"/>
  <c r="BZ20" i="7"/>
  <c r="BZ14" i="7"/>
  <c r="BZ18" i="7"/>
  <c r="BZ25" i="7"/>
  <c r="BZ21" i="7"/>
  <c r="BZ24" i="7"/>
  <c r="BZ26" i="7"/>
  <c r="BZ28" i="7"/>
  <c r="BZ30" i="7"/>
  <c r="BZ17" i="7"/>
  <c r="BZ27" i="7"/>
  <c r="BZ22" i="7"/>
  <c r="BZ29" i="7"/>
  <c r="BZ19" i="7"/>
  <c r="BZ33" i="7"/>
  <c r="BZ34" i="7"/>
  <c r="BZ35" i="7"/>
  <c r="BZ36" i="7"/>
  <c r="BZ31" i="7"/>
  <c r="BZ32" i="7"/>
  <c r="BZ23" i="7"/>
  <c r="CA1" i="7"/>
  <c r="BZ3" i="7"/>
  <c r="CA37" i="7" l="1"/>
  <c r="CA38" i="7"/>
  <c r="CA39" i="7"/>
  <c r="CA40" i="7"/>
  <c r="CA41" i="7"/>
  <c r="CA42" i="7"/>
  <c r="CA43" i="7"/>
  <c r="CA44" i="7"/>
  <c r="CA4" i="7"/>
  <c r="CA6" i="7"/>
  <c r="CA8" i="7"/>
  <c r="CA7" i="7"/>
  <c r="CA16" i="7"/>
  <c r="CA11" i="7"/>
  <c r="CA9" i="7"/>
  <c r="CA10" i="7"/>
  <c r="CA5" i="7"/>
  <c r="CA13" i="7"/>
  <c r="CA17" i="7"/>
  <c r="CA12" i="7"/>
  <c r="CA15" i="7"/>
  <c r="CA18" i="7"/>
  <c r="CA14" i="7"/>
  <c r="CA19" i="7"/>
  <c r="CA21" i="7"/>
  <c r="CA22" i="7"/>
  <c r="CA20" i="7"/>
  <c r="CA25" i="7"/>
  <c r="CA24" i="7"/>
  <c r="CA26" i="7"/>
  <c r="CA27" i="7"/>
  <c r="CA23" i="7"/>
  <c r="CA28" i="7"/>
  <c r="CA30" i="7"/>
  <c r="CA32" i="7"/>
  <c r="CA33" i="7"/>
  <c r="CA34" i="7"/>
  <c r="CA35" i="7"/>
  <c r="CA36" i="7"/>
  <c r="CA31" i="7"/>
  <c r="CA29" i="7"/>
  <c r="CB1" i="7"/>
  <c r="CA3" i="7"/>
  <c r="CB37" i="7" l="1"/>
  <c r="CB38" i="7"/>
  <c r="CB39" i="7"/>
  <c r="CB40" i="7"/>
  <c r="CB41" i="7"/>
  <c r="CB42" i="7"/>
  <c r="CB43" i="7"/>
  <c r="CB44" i="7"/>
  <c r="CB5" i="7"/>
  <c r="CB6" i="7"/>
  <c r="CB4" i="7"/>
  <c r="CB8" i="7"/>
  <c r="CB7" i="7"/>
  <c r="CB12" i="7"/>
  <c r="CB15" i="7"/>
  <c r="CB9" i="7"/>
  <c r="CB10" i="7"/>
  <c r="CB13" i="7"/>
  <c r="CB17" i="7"/>
  <c r="CB11" i="7"/>
  <c r="CB16" i="7"/>
  <c r="CB18" i="7"/>
  <c r="CB14" i="7"/>
  <c r="CB21" i="7"/>
  <c r="CB22" i="7"/>
  <c r="CB25" i="7"/>
  <c r="CB24" i="7"/>
  <c r="CB26" i="7"/>
  <c r="CB23" i="7"/>
  <c r="CB20" i="7"/>
  <c r="CB28" i="7"/>
  <c r="CB27" i="7"/>
  <c r="CB19" i="7"/>
  <c r="CB32" i="7"/>
  <c r="CB33" i="7"/>
  <c r="CB34" i="7"/>
  <c r="CB35" i="7"/>
  <c r="CB36" i="7"/>
  <c r="CB29" i="7"/>
  <c r="CB31" i="7"/>
  <c r="CB30" i="7"/>
  <c r="CC1" i="7"/>
  <c r="CB3" i="7"/>
  <c r="CC37" i="7" l="1"/>
  <c r="CC38" i="7"/>
  <c r="CC39" i="7"/>
  <c r="CC40" i="7"/>
  <c r="CC41" i="7"/>
  <c r="CC42" i="7"/>
  <c r="CC43" i="7"/>
  <c r="CC44" i="7"/>
  <c r="CC4" i="7"/>
  <c r="CC5" i="7"/>
  <c r="CC7" i="7"/>
  <c r="CC8" i="7"/>
  <c r="CC9" i="7"/>
  <c r="CC6" i="7"/>
  <c r="CC14" i="7"/>
  <c r="CC10" i="7"/>
  <c r="CC12" i="7"/>
  <c r="CC15" i="7"/>
  <c r="CC11" i="7"/>
  <c r="CC17" i="7"/>
  <c r="CC16" i="7"/>
  <c r="CC19" i="7"/>
  <c r="CC13" i="7"/>
  <c r="CC21" i="7"/>
  <c r="CC18" i="7"/>
  <c r="CC22" i="7"/>
  <c r="CC25" i="7"/>
  <c r="CC24" i="7"/>
  <c r="CC29" i="7"/>
  <c r="CC20" i="7"/>
  <c r="CC26" i="7"/>
  <c r="CC28" i="7"/>
  <c r="CC32" i="7"/>
  <c r="CC27" i="7"/>
  <c r="CC33" i="7"/>
  <c r="CC34" i="7"/>
  <c r="CC35" i="7"/>
  <c r="CC23" i="7"/>
  <c r="CC31" i="7"/>
  <c r="CC36" i="7"/>
  <c r="CC30" i="7"/>
  <c r="CD1" i="7"/>
  <c r="CC3" i="7"/>
  <c r="CD37" i="7" l="1"/>
  <c r="CD38" i="7"/>
  <c r="CD39" i="7"/>
  <c r="CD40" i="7"/>
  <c r="CD41" i="7"/>
  <c r="CD42" i="7"/>
  <c r="CD43" i="7"/>
  <c r="CD44" i="7"/>
  <c r="CD4" i="7"/>
  <c r="CD7" i="7"/>
  <c r="CD8" i="7"/>
  <c r="CD6" i="7"/>
  <c r="CD5" i="7"/>
  <c r="CD9" i="7"/>
  <c r="CD10" i="7"/>
  <c r="CD13" i="7"/>
  <c r="CD12" i="7"/>
  <c r="CD14" i="7"/>
  <c r="CD17" i="7"/>
  <c r="CD19" i="7"/>
  <c r="CD15" i="7"/>
  <c r="CD16" i="7"/>
  <c r="CD11" i="7"/>
  <c r="CD21" i="7"/>
  <c r="CD22" i="7"/>
  <c r="CD18" i="7"/>
  <c r="CD20" i="7"/>
  <c r="CD24" i="7"/>
  <c r="CD29" i="7"/>
  <c r="CD25" i="7"/>
  <c r="CD26" i="7"/>
  <c r="CD23" i="7"/>
  <c r="CD32" i="7"/>
  <c r="CD27" i="7"/>
  <c r="CD33" i="7"/>
  <c r="CD28" i="7"/>
  <c r="CD34" i="7"/>
  <c r="CD30" i="7"/>
  <c r="CD31" i="7"/>
  <c r="CD36" i="7"/>
  <c r="CD35" i="7"/>
  <c r="CE1" i="7"/>
  <c r="CD3" i="7"/>
  <c r="CE37" i="7" l="1"/>
  <c r="CE38" i="7"/>
  <c r="CE39" i="7"/>
  <c r="CE40" i="7"/>
  <c r="CE41" i="7"/>
  <c r="CE42" i="7"/>
  <c r="CE43" i="7"/>
  <c r="CE44" i="7"/>
  <c r="CE6" i="7"/>
  <c r="CE4" i="7"/>
  <c r="CE7" i="7"/>
  <c r="CE8" i="7"/>
  <c r="CE5" i="7"/>
  <c r="CE12" i="7"/>
  <c r="CE11" i="7"/>
  <c r="CE9" i="7"/>
  <c r="CE13" i="7"/>
  <c r="CE10" i="7"/>
  <c r="CE16" i="7"/>
  <c r="CE14" i="7"/>
  <c r="CE15" i="7"/>
  <c r="CE18" i="7"/>
  <c r="CE19" i="7"/>
  <c r="CE17" i="7"/>
  <c r="CE20" i="7"/>
  <c r="CE21" i="7"/>
  <c r="CE23" i="7"/>
  <c r="CE22" i="7"/>
  <c r="CE27" i="7"/>
  <c r="CE24" i="7"/>
  <c r="CE29" i="7"/>
  <c r="CE25" i="7"/>
  <c r="CE32" i="7"/>
  <c r="CE33" i="7"/>
  <c r="CE36" i="7"/>
  <c r="CE26" i="7"/>
  <c r="CE30" i="7"/>
  <c r="CE31" i="7"/>
  <c r="CE28" i="7"/>
  <c r="CE34" i="7"/>
  <c r="CE35" i="7"/>
  <c r="CF1" i="7"/>
  <c r="CE3" i="7"/>
  <c r="CF37" i="7" l="1"/>
  <c r="CF38" i="7"/>
  <c r="CF39" i="7"/>
  <c r="CF40" i="7"/>
  <c r="CF41" i="7"/>
  <c r="CF42" i="7"/>
  <c r="CF43" i="7"/>
  <c r="CF44" i="7"/>
  <c r="CF5" i="7"/>
  <c r="CF6" i="7"/>
  <c r="CF4" i="7"/>
  <c r="CF12" i="7"/>
  <c r="CF9" i="7"/>
  <c r="CF7" i="7"/>
  <c r="CF16" i="7"/>
  <c r="CF20" i="7"/>
  <c r="CF8" i="7"/>
  <c r="CF13" i="7"/>
  <c r="CF11" i="7"/>
  <c r="CF14" i="7"/>
  <c r="CF15" i="7"/>
  <c r="CF18" i="7"/>
  <c r="CF19" i="7"/>
  <c r="CF17" i="7"/>
  <c r="CF10" i="7"/>
  <c r="CF22" i="7"/>
  <c r="CF23" i="7"/>
  <c r="CF21" i="7"/>
  <c r="CF24" i="7"/>
  <c r="CF26" i="7"/>
  <c r="CF27" i="7"/>
  <c r="CF29" i="7"/>
  <c r="CF28" i="7"/>
  <c r="CF32" i="7"/>
  <c r="CF35" i="7"/>
  <c r="CF25" i="7"/>
  <c r="CF36" i="7"/>
  <c r="CF30" i="7"/>
  <c r="CF31" i="7"/>
  <c r="CF34" i="7"/>
  <c r="CF33" i="7"/>
  <c r="CG1" i="7"/>
  <c r="CF3" i="7"/>
  <c r="CG37" i="7" l="1"/>
  <c r="CG38" i="7"/>
  <c r="CG39" i="7"/>
  <c r="CG40" i="7"/>
  <c r="CG41" i="7"/>
  <c r="CG42" i="7"/>
  <c r="CG43" i="7"/>
  <c r="CG44" i="7"/>
  <c r="CG4" i="7"/>
  <c r="CG5" i="7"/>
  <c r="CG6" i="7"/>
  <c r="CG11" i="7"/>
  <c r="CG7" i="7"/>
  <c r="CG9" i="7"/>
  <c r="CG10" i="7"/>
  <c r="CG12" i="7"/>
  <c r="CG8" i="7"/>
  <c r="CG19" i="7"/>
  <c r="CG14" i="7"/>
  <c r="CG16" i="7"/>
  <c r="CG13" i="7"/>
  <c r="CG15" i="7"/>
  <c r="CG18" i="7"/>
  <c r="CG17" i="7"/>
  <c r="CG20" i="7"/>
  <c r="CG22" i="7"/>
  <c r="CG24" i="7"/>
  <c r="CG23" i="7"/>
  <c r="CG21" i="7"/>
  <c r="CG25" i="7"/>
  <c r="CG26" i="7"/>
  <c r="CG27" i="7"/>
  <c r="CG29" i="7"/>
  <c r="CG31" i="7"/>
  <c r="CG28" i="7"/>
  <c r="CG34" i="7"/>
  <c r="CG35" i="7"/>
  <c r="CG32" i="7"/>
  <c r="CG33" i="7"/>
  <c r="CG36" i="7"/>
  <c r="CG30" i="7"/>
  <c r="CH1" i="7"/>
  <c r="CG3" i="7"/>
  <c r="CH37" i="7" l="1"/>
  <c r="CH38" i="7"/>
  <c r="CH39" i="7"/>
  <c r="CH40" i="7"/>
  <c r="CH41" i="7"/>
  <c r="CH42" i="7"/>
  <c r="CH43" i="7"/>
  <c r="CH44" i="7"/>
  <c r="CH4" i="7"/>
  <c r="CH6" i="7"/>
  <c r="CH5" i="7"/>
  <c r="CH9" i="7"/>
  <c r="CH10" i="7"/>
  <c r="CH7" i="7"/>
  <c r="CH8" i="7"/>
  <c r="CH11" i="7"/>
  <c r="CH14" i="7"/>
  <c r="CH18" i="7"/>
  <c r="CH12" i="7"/>
  <c r="CH16" i="7"/>
  <c r="CH13" i="7"/>
  <c r="CH15" i="7"/>
  <c r="CH19" i="7"/>
  <c r="CH20" i="7"/>
  <c r="CH22" i="7"/>
  <c r="CH23" i="7"/>
  <c r="CH17" i="7"/>
  <c r="CH24" i="7"/>
  <c r="CH25" i="7"/>
  <c r="CH27" i="7"/>
  <c r="CH29" i="7"/>
  <c r="CH30" i="7"/>
  <c r="CH21" i="7"/>
  <c r="CH33" i="7"/>
  <c r="CH34" i="7"/>
  <c r="CH26" i="7"/>
  <c r="CH35" i="7"/>
  <c r="CH31" i="7"/>
  <c r="CH32" i="7"/>
  <c r="CH36" i="7"/>
  <c r="CH28" i="7"/>
  <c r="CI1" i="7"/>
  <c r="CH3" i="7"/>
  <c r="CI37" i="7" l="1"/>
  <c r="CI38" i="7"/>
  <c r="CI39" i="7"/>
  <c r="CI40" i="7"/>
  <c r="CI41" i="7"/>
  <c r="CI42" i="7"/>
  <c r="CI43" i="7"/>
  <c r="CI44" i="7"/>
  <c r="CI5" i="7"/>
  <c r="CI6" i="7"/>
  <c r="CI4" i="7"/>
  <c r="CI8" i="7"/>
  <c r="CI9" i="7"/>
  <c r="CI10" i="7"/>
  <c r="CI11" i="7"/>
  <c r="CI17" i="7"/>
  <c r="CI15" i="7"/>
  <c r="CI7" i="7"/>
  <c r="CI12" i="7"/>
  <c r="CI16" i="7"/>
  <c r="CI13" i="7"/>
  <c r="CI14" i="7"/>
  <c r="CI18" i="7"/>
  <c r="CI20" i="7"/>
  <c r="CI22" i="7"/>
  <c r="CI21" i="7"/>
  <c r="CI23" i="7"/>
  <c r="CI19" i="7"/>
  <c r="CI24" i="7"/>
  <c r="CI27" i="7"/>
  <c r="CI26" i="7"/>
  <c r="CI31" i="7"/>
  <c r="CI36" i="7"/>
  <c r="CI30" i="7"/>
  <c r="CI28" i="7"/>
  <c r="CI32" i="7"/>
  <c r="CI29" i="7"/>
  <c r="CI33" i="7"/>
  <c r="CI25" i="7"/>
  <c r="CI34" i="7"/>
  <c r="CI35" i="7"/>
  <c r="CJ1" i="7"/>
  <c r="CI3" i="7"/>
  <c r="CJ37" i="7" l="1"/>
  <c r="CJ38" i="7"/>
  <c r="CJ39" i="7"/>
  <c r="CJ40" i="7"/>
  <c r="CJ41" i="7"/>
  <c r="CJ42" i="7"/>
  <c r="CJ43" i="7"/>
  <c r="CJ44" i="7"/>
  <c r="CJ4" i="7"/>
  <c r="CJ5" i="7"/>
  <c r="CJ7" i="7"/>
  <c r="CJ6" i="7"/>
  <c r="CJ8" i="7"/>
  <c r="CJ9" i="7"/>
  <c r="CJ11" i="7"/>
  <c r="CJ10" i="7"/>
  <c r="CJ14" i="7"/>
  <c r="CJ15" i="7"/>
  <c r="CJ18" i="7"/>
  <c r="CJ12" i="7"/>
  <c r="CJ16" i="7"/>
  <c r="CJ17" i="7"/>
  <c r="CJ13" i="7"/>
  <c r="CJ19" i="7"/>
  <c r="CJ21" i="7"/>
  <c r="CJ22" i="7"/>
  <c r="CJ23" i="7"/>
  <c r="CJ30" i="7"/>
  <c r="CJ20" i="7"/>
  <c r="CJ28" i="7"/>
  <c r="CJ24" i="7"/>
  <c r="CJ27" i="7"/>
  <c r="CJ25" i="7"/>
  <c r="CJ26" i="7"/>
  <c r="CJ35" i="7"/>
  <c r="CJ31" i="7"/>
  <c r="CJ32" i="7"/>
  <c r="CJ29" i="7"/>
  <c r="CJ33" i="7"/>
  <c r="CJ36" i="7"/>
  <c r="CJ34" i="7"/>
  <c r="CK1" i="7"/>
  <c r="CJ3" i="7"/>
  <c r="CK37" i="7" l="1"/>
  <c r="CK38" i="7"/>
  <c r="CK39" i="7"/>
  <c r="CK40" i="7"/>
  <c r="CK41" i="7"/>
  <c r="CK42" i="7"/>
  <c r="CK43" i="7"/>
  <c r="CK44" i="7"/>
  <c r="CK4" i="7"/>
  <c r="CK5" i="7"/>
  <c r="CK6" i="7"/>
  <c r="CK7" i="7"/>
  <c r="CK9" i="7"/>
  <c r="CK10" i="7"/>
  <c r="CK8" i="7"/>
  <c r="CK14" i="7"/>
  <c r="CK13" i="7"/>
  <c r="CK11" i="7"/>
  <c r="CK15" i="7"/>
  <c r="CK12" i="7"/>
  <c r="CK17" i="7"/>
  <c r="CK16" i="7"/>
  <c r="CK18" i="7"/>
  <c r="CK19" i="7"/>
  <c r="CK24" i="7"/>
  <c r="CK26" i="7"/>
  <c r="CK22" i="7"/>
  <c r="CK29" i="7"/>
  <c r="CK20" i="7"/>
  <c r="CK28" i="7"/>
  <c r="CK30" i="7"/>
  <c r="CK23" i="7"/>
  <c r="CK25" i="7"/>
  <c r="CK34" i="7"/>
  <c r="CK35" i="7"/>
  <c r="CK31" i="7"/>
  <c r="CK36" i="7"/>
  <c r="CK21" i="7"/>
  <c r="CK27" i="7"/>
  <c r="CK32" i="7"/>
  <c r="CK33" i="7"/>
  <c r="CL1" i="7"/>
  <c r="CK3" i="7"/>
  <c r="CL37" i="7" l="1"/>
  <c r="CL38" i="7"/>
  <c r="CL39" i="7"/>
  <c r="CL40" i="7"/>
  <c r="CL41" i="7"/>
  <c r="CL42" i="7"/>
  <c r="CL43" i="7"/>
  <c r="CL44" i="7"/>
  <c r="CL4" i="7"/>
  <c r="CL5" i="7"/>
  <c r="CL7" i="7"/>
  <c r="CL9" i="7"/>
  <c r="CL6" i="7"/>
  <c r="CL8" i="7"/>
  <c r="CL11" i="7"/>
  <c r="CL12" i="7"/>
  <c r="CL10" i="7"/>
  <c r="CL13" i="7"/>
  <c r="CL15" i="7"/>
  <c r="CL17" i="7"/>
  <c r="CL16" i="7"/>
  <c r="CL18" i="7"/>
  <c r="CL19" i="7"/>
  <c r="CL14" i="7"/>
  <c r="CL24" i="7"/>
  <c r="CL25" i="7"/>
  <c r="CL26" i="7"/>
  <c r="CL28" i="7"/>
  <c r="CL20" i="7"/>
  <c r="CL30" i="7"/>
  <c r="CL21" i="7"/>
  <c r="CL29" i="7"/>
  <c r="CL22" i="7"/>
  <c r="CL23" i="7"/>
  <c r="CL33" i="7"/>
  <c r="CL34" i="7"/>
  <c r="CL35" i="7"/>
  <c r="CL31" i="7"/>
  <c r="CL36" i="7"/>
  <c r="CL27" i="7"/>
  <c r="CL32" i="7"/>
  <c r="CM1" i="7"/>
  <c r="CL3" i="7"/>
  <c r="CM37" i="7" l="1"/>
  <c r="CM38" i="7"/>
  <c r="CM39" i="7"/>
  <c r="CM40" i="7"/>
  <c r="CM41" i="7"/>
  <c r="CM42" i="7"/>
  <c r="CM43" i="7"/>
  <c r="CM44" i="7"/>
  <c r="CM4" i="7"/>
  <c r="CM6" i="7"/>
  <c r="CM5" i="7"/>
  <c r="CM7" i="7"/>
  <c r="CM16" i="7"/>
  <c r="CM9" i="7"/>
  <c r="CM11" i="7"/>
  <c r="CM10" i="7"/>
  <c r="CM8" i="7"/>
  <c r="CM15" i="7"/>
  <c r="CM13" i="7"/>
  <c r="CM14" i="7"/>
  <c r="CM12" i="7"/>
  <c r="CM17" i="7"/>
  <c r="CM20" i="7"/>
  <c r="CM18" i="7"/>
  <c r="CM22" i="7"/>
  <c r="CM24" i="7"/>
  <c r="CM25" i="7"/>
  <c r="CM26" i="7"/>
  <c r="CM27" i="7"/>
  <c r="CM21" i="7"/>
  <c r="CM19" i="7"/>
  <c r="CM28" i="7"/>
  <c r="CM30" i="7"/>
  <c r="CM32" i="7"/>
  <c r="CM33" i="7"/>
  <c r="CM34" i="7"/>
  <c r="CM35" i="7"/>
  <c r="CM31" i="7"/>
  <c r="CM36" i="7"/>
  <c r="CM23" i="7"/>
  <c r="CM29" i="7"/>
  <c r="CN1" i="7"/>
  <c r="CM3" i="7"/>
  <c r="CN37" i="7" l="1"/>
  <c r="CN38" i="7"/>
  <c r="CN39" i="7"/>
  <c r="CN40" i="7"/>
  <c r="CN41" i="7"/>
  <c r="CN42" i="7"/>
  <c r="CN43" i="7"/>
  <c r="CN44" i="7"/>
  <c r="CN5" i="7"/>
  <c r="CN6" i="7"/>
  <c r="CN8" i="7"/>
  <c r="CN4" i="7"/>
  <c r="CN7" i="7"/>
  <c r="CN15" i="7"/>
  <c r="CN9" i="7"/>
  <c r="CN11" i="7"/>
  <c r="CN10" i="7"/>
  <c r="CN12" i="7"/>
  <c r="CN13" i="7"/>
  <c r="CN17" i="7"/>
  <c r="CN14" i="7"/>
  <c r="CN16" i="7"/>
  <c r="CN19" i="7"/>
  <c r="CN21" i="7"/>
  <c r="CN20" i="7"/>
  <c r="CN22" i="7"/>
  <c r="CN18" i="7"/>
  <c r="CN24" i="7"/>
  <c r="CN25" i="7"/>
  <c r="CN26" i="7"/>
  <c r="CN23" i="7"/>
  <c r="CN28" i="7"/>
  <c r="CN30" i="7"/>
  <c r="CN27" i="7"/>
  <c r="CN29" i="7"/>
  <c r="CN32" i="7"/>
  <c r="CN33" i="7"/>
  <c r="CN34" i="7"/>
  <c r="CN35" i="7"/>
  <c r="CN31" i="7"/>
  <c r="CN36" i="7"/>
  <c r="CO1" i="7"/>
  <c r="CN3" i="7"/>
  <c r="CO37" i="7" l="1"/>
  <c r="CO38" i="7"/>
  <c r="CO39" i="7"/>
  <c r="CO40" i="7"/>
  <c r="CO41" i="7"/>
  <c r="CO42" i="7"/>
  <c r="CO43" i="7"/>
  <c r="CO44" i="7"/>
  <c r="CO4" i="7"/>
  <c r="CO5" i="7"/>
  <c r="CO7" i="7"/>
  <c r="CO8" i="7"/>
  <c r="CO9" i="7"/>
  <c r="CO6" i="7"/>
  <c r="CO12" i="7"/>
  <c r="CO14" i="7"/>
  <c r="CO10" i="7"/>
  <c r="CO13" i="7"/>
  <c r="CO11" i="7"/>
  <c r="CO17" i="7"/>
  <c r="CO15" i="7"/>
  <c r="CO16" i="7"/>
  <c r="CO21" i="7"/>
  <c r="CO18" i="7"/>
  <c r="CO20" i="7"/>
  <c r="CO24" i="7"/>
  <c r="CO25" i="7"/>
  <c r="CO23" i="7"/>
  <c r="CO19" i="7"/>
  <c r="CO28" i="7"/>
  <c r="CO27" i="7"/>
  <c r="CO22" i="7"/>
  <c r="CO29" i="7"/>
  <c r="CO30" i="7"/>
  <c r="CO32" i="7"/>
  <c r="CO33" i="7"/>
  <c r="CO34" i="7"/>
  <c r="CO35" i="7"/>
  <c r="CO36" i="7"/>
  <c r="CO31" i="7"/>
  <c r="CO26" i="7"/>
  <c r="CP1" i="7"/>
  <c r="CO3" i="7"/>
  <c r="CP37" i="7" l="1"/>
  <c r="CP38" i="7"/>
  <c r="CP39" i="7"/>
  <c r="CP40" i="7"/>
  <c r="CP41" i="7"/>
  <c r="CP42" i="7"/>
  <c r="CP43" i="7"/>
  <c r="CP44" i="7"/>
  <c r="CP4" i="7"/>
  <c r="CP6" i="7"/>
  <c r="CP7" i="7"/>
  <c r="CP8" i="7"/>
  <c r="CP5" i="7"/>
  <c r="CP13" i="7"/>
  <c r="CP9" i="7"/>
  <c r="CP10" i="7"/>
  <c r="CP11" i="7"/>
  <c r="CP15" i="7"/>
  <c r="CP12" i="7"/>
  <c r="CP14" i="7"/>
  <c r="CP17" i="7"/>
  <c r="CP19" i="7"/>
  <c r="CP18" i="7"/>
  <c r="CP21" i="7"/>
  <c r="CP16" i="7"/>
  <c r="CP20" i="7"/>
  <c r="CP22" i="7"/>
  <c r="CP23" i="7"/>
  <c r="CP29" i="7"/>
  <c r="CP24" i="7"/>
  <c r="CP28" i="7"/>
  <c r="CP26" i="7"/>
  <c r="CP30" i="7"/>
  <c r="CP32" i="7"/>
  <c r="CP33" i="7"/>
  <c r="CP34" i="7"/>
  <c r="CP35" i="7"/>
  <c r="CP36" i="7"/>
  <c r="CP31" i="7"/>
  <c r="CP27" i="7"/>
  <c r="CP25" i="7"/>
  <c r="CQ1" i="7"/>
  <c r="CP3" i="7"/>
  <c r="CQ37" i="7" l="1"/>
  <c r="CQ38" i="7"/>
  <c r="CQ39" i="7"/>
  <c r="CQ40" i="7"/>
  <c r="CQ41" i="7"/>
  <c r="CQ42" i="7"/>
  <c r="CQ43" i="7"/>
  <c r="CQ44" i="7"/>
  <c r="CQ6" i="7"/>
  <c r="CQ5" i="7"/>
  <c r="CQ7" i="7"/>
  <c r="CQ4" i="7"/>
  <c r="CQ8" i="7"/>
  <c r="CQ10" i="7"/>
  <c r="CQ9" i="7"/>
  <c r="CQ12" i="7"/>
  <c r="CQ11" i="7"/>
  <c r="CQ14" i="7"/>
  <c r="CQ13" i="7"/>
  <c r="CQ17" i="7"/>
  <c r="CQ16" i="7"/>
  <c r="CQ19" i="7"/>
  <c r="CQ15" i="7"/>
  <c r="CQ18" i="7"/>
  <c r="CQ21" i="7"/>
  <c r="CQ20" i="7"/>
  <c r="CQ22" i="7"/>
  <c r="CQ26" i="7"/>
  <c r="CQ23" i="7"/>
  <c r="CQ29" i="7"/>
  <c r="CQ25" i="7"/>
  <c r="CQ30" i="7"/>
  <c r="CQ32" i="7"/>
  <c r="CQ33" i="7"/>
  <c r="CQ27" i="7"/>
  <c r="CQ31" i="7"/>
  <c r="CQ36" i="7"/>
  <c r="CQ28" i="7"/>
  <c r="CQ35" i="7"/>
  <c r="CQ34" i="7"/>
  <c r="CQ24" i="7"/>
  <c r="CR1" i="7"/>
  <c r="CQ3" i="7"/>
  <c r="CR37" i="7" l="1"/>
  <c r="CR38" i="7"/>
  <c r="CR39" i="7"/>
  <c r="CR40" i="7"/>
  <c r="CR41" i="7"/>
  <c r="CR42" i="7"/>
  <c r="CR43" i="7"/>
  <c r="CR44" i="7"/>
  <c r="CR5" i="7"/>
  <c r="CR6" i="7"/>
  <c r="CR12" i="7"/>
  <c r="CR4" i="7"/>
  <c r="CR9" i="7"/>
  <c r="CR8" i="7"/>
  <c r="CR7" i="7"/>
  <c r="CR11" i="7"/>
  <c r="CR20" i="7"/>
  <c r="CR13" i="7"/>
  <c r="CR10" i="7"/>
  <c r="CR14" i="7"/>
  <c r="CR17" i="7"/>
  <c r="CR19" i="7"/>
  <c r="CR15" i="7"/>
  <c r="CR16" i="7"/>
  <c r="CR22" i="7"/>
  <c r="CR21" i="7"/>
  <c r="CR23" i="7"/>
  <c r="CR18" i="7"/>
  <c r="CR26" i="7"/>
  <c r="CR25" i="7"/>
  <c r="CR27" i="7"/>
  <c r="CR29" i="7"/>
  <c r="CR30" i="7"/>
  <c r="CR32" i="7"/>
  <c r="CR24" i="7"/>
  <c r="CR35" i="7"/>
  <c r="CR31" i="7"/>
  <c r="CR36" i="7"/>
  <c r="CR28" i="7"/>
  <c r="CR33" i="7"/>
  <c r="CR34" i="7"/>
  <c r="CS1" i="7"/>
  <c r="CR3" i="7"/>
  <c r="CS37" i="7" l="1"/>
  <c r="CS38" i="7"/>
  <c r="CS39" i="7"/>
  <c r="CS40" i="7"/>
  <c r="CS41" i="7"/>
  <c r="CS42" i="7"/>
  <c r="CS43" i="7"/>
  <c r="CS44" i="7"/>
  <c r="CS4" i="7"/>
  <c r="CS5" i="7"/>
  <c r="CS6" i="7"/>
  <c r="CS8" i="7"/>
  <c r="CS11" i="7"/>
  <c r="CS12" i="7"/>
  <c r="CS7" i="7"/>
  <c r="CS16" i="7"/>
  <c r="CS19" i="7"/>
  <c r="CS13" i="7"/>
  <c r="CS10" i="7"/>
  <c r="CS14" i="7"/>
  <c r="CS18" i="7"/>
  <c r="CS9" i="7"/>
  <c r="CS17" i="7"/>
  <c r="CS15" i="7"/>
  <c r="CS22" i="7"/>
  <c r="CS24" i="7"/>
  <c r="CS23" i="7"/>
  <c r="CS20" i="7"/>
  <c r="CS25" i="7"/>
  <c r="CS21" i="7"/>
  <c r="CS26" i="7"/>
  <c r="CS27" i="7"/>
  <c r="CS29" i="7"/>
  <c r="CS31" i="7"/>
  <c r="CS28" i="7"/>
  <c r="CS34" i="7"/>
  <c r="CS35" i="7"/>
  <c r="CS30" i="7"/>
  <c r="CS33" i="7"/>
  <c r="CS32" i="7"/>
  <c r="CS36" i="7"/>
  <c r="CT1" i="7"/>
  <c r="CS3" i="7"/>
  <c r="CT37" i="7" l="1"/>
  <c r="CT38" i="7"/>
  <c r="CT39" i="7"/>
  <c r="CT40" i="7"/>
  <c r="CT41" i="7"/>
  <c r="CT42" i="7"/>
  <c r="CT43" i="7"/>
  <c r="CT44" i="7"/>
  <c r="CT4" i="7"/>
  <c r="CT6" i="7"/>
  <c r="CT5" i="7"/>
  <c r="CT10" i="7"/>
  <c r="CT8" i="7"/>
  <c r="CT12" i="7"/>
  <c r="CT9" i="7"/>
  <c r="CT7" i="7"/>
  <c r="CT18" i="7"/>
  <c r="CT14" i="7"/>
  <c r="CT16" i="7"/>
  <c r="CT13" i="7"/>
  <c r="CT15" i="7"/>
  <c r="CT19" i="7"/>
  <c r="CT17" i="7"/>
  <c r="CT11" i="7"/>
  <c r="CT20" i="7"/>
  <c r="CT22" i="7"/>
  <c r="CT23" i="7"/>
  <c r="CT24" i="7"/>
  <c r="CT25" i="7"/>
  <c r="CT21" i="7"/>
  <c r="CT26" i="7"/>
  <c r="CT27" i="7"/>
  <c r="CT29" i="7"/>
  <c r="CT28" i="7"/>
  <c r="CT33" i="7"/>
  <c r="CT34" i="7"/>
  <c r="CT31" i="7"/>
  <c r="CT30" i="7"/>
  <c r="CT32" i="7"/>
  <c r="CT35" i="7"/>
  <c r="CT36" i="7"/>
  <c r="CU1" i="7"/>
  <c r="CT3" i="7"/>
  <c r="CU37" i="7" l="1"/>
  <c r="CU38" i="7"/>
  <c r="CU39" i="7"/>
  <c r="CU40" i="7"/>
  <c r="CU41" i="7"/>
  <c r="CU42" i="7"/>
  <c r="CU43" i="7"/>
  <c r="CU44" i="7"/>
  <c r="CU5" i="7"/>
  <c r="CU6" i="7"/>
  <c r="CU8" i="7"/>
  <c r="CU4" i="7"/>
  <c r="CU7" i="7"/>
  <c r="CU10" i="7"/>
  <c r="CU9" i="7"/>
  <c r="CU11" i="7"/>
  <c r="CU14" i="7"/>
  <c r="CU17" i="7"/>
  <c r="CU16" i="7"/>
  <c r="CU13" i="7"/>
  <c r="CU15" i="7"/>
  <c r="CU18" i="7"/>
  <c r="CU12" i="7"/>
  <c r="CU19" i="7"/>
  <c r="CU20" i="7"/>
  <c r="CU22" i="7"/>
  <c r="CU23" i="7"/>
  <c r="CU24" i="7"/>
  <c r="CU21" i="7"/>
  <c r="CU25" i="7"/>
  <c r="CU26" i="7"/>
  <c r="CU27" i="7"/>
  <c r="CU29" i="7"/>
  <c r="CU36" i="7"/>
  <c r="CU30" i="7"/>
  <c r="CU32" i="7"/>
  <c r="CU33" i="7"/>
  <c r="CU34" i="7"/>
  <c r="CU35" i="7"/>
  <c r="CU28" i="7"/>
  <c r="CU31" i="7"/>
  <c r="CV1" i="7"/>
  <c r="CU3" i="7"/>
  <c r="CV37" i="7" l="1"/>
  <c r="CV38" i="7"/>
  <c r="CV39" i="7"/>
  <c r="CV40" i="7"/>
  <c r="CV41" i="7"/>
  <c r="CV42" i="7"/>
  <c r="CV43" i="7"/>
  <c r="CV44" i="7"/>
  <c r="CV4" i="7"/>
  <c r="CV5" i="7"/>
  <c r="CV6" i="7"/>
  <c r="CV7" i="7"/>
  <c r="CV9" i="7"/>
  <c r="CV8" i="7"/>
  <c r="CV10" i="7"/>
  <c r="CV11" i="7"/>
  <c r="CV12" i="7"/>
  <c r="CV16" i="7"/>
  <c r="CV13" i="7"/>
  <c r="CV15" i="7"/>
  <c r="CV14" i="7"/>
  <c r="CV18" i="7"/>
  <c r="CV17" i="7"/>
  <c r="CV19" i="7"/>
  <c r="CV20" i="7"/>
  <c r="CV21" i="7"/>
  <c r="CV23" i="7"/>
  <c r="CV30" i="7"/>
  <c r="CV22" i="7"/>
  <c r="CV25" i="7"/>
  <c r="CV26" i="7"/>
  <c r="CV27" i="7"/>
  <c r="CV24" i="7"/>
  <c r="CV28" i="7"/>
  <c r="CV31" i="7"/>
  <c r="CV35" i="7"/>
  <c r="CV29" i="7"/>
  <c r="CV32" i="7"/>
  <c r="CV33" i="7"/>
  <c r="CV36" i="7"/>
  <c r="CV34" i="7"/>
  <c r="CW1" i="7"/>
  <c r="CV3" i="7"/>
  <c r="CW37" i="7" l="1"/>
  <c r="CW38" i="7"/>
  <c r="CW39" i="7"/>
  <c r="CW40" i="7"/>
  <c r="CW41" i="7"/>
  <c r="CW42" i="7"/>
  <c r="CW43" i="7"/>
  <c r="CW44" i="7"/>
  <c r="CW4" i="7"/>
  <c r="CW5" i="7"/>
  <c r="CW8" i="7"/>
  <c r="CW11" i="7"/>
  <c r="CW6" i="7"/>
  <c r="CW10" i="7"/>
  <c r="CW9" i="7"/>
  <c r="CW7" i="7"/>
  <c r="CW14" i="7"/>
  <c r="CW12" i="7"/>
  <c r="CW16" i="7"/>
  <c r="CW18" i="7"/>
  <c r="CW17" i="7"/>
  <c r="CW13" i="7"/>
  <c r="CW19" i="7"/>
  <c r="CW15" i="7"/>
  <c r="CW20" i="7"/>
  <c r="CW21" i="7"/>
  <c r="CW26" i="7"/>
  <c r="CW23" i="7"/>
  <c r="CW29" i="7"/>
  <c r="CW28" i="7"/>
  <c r="CW22" i="7"/>
  <c r="CW25" i="7"/>
  <c r="CW27" i="7"/>
  <c r="CW24" i="7"/>
  <c r="CW34" i="7"/>
  <c r="CW31" i="7"/>
  <c r="CW35" i="7"/>
  <c r="CW36" i="7"/>
  <c r="CW30" i="7"/>
  <c r="CW32" i="7"/>
  <c r="CW33" i="7"/>
  <c r="CX1" i="7"/>
  <c r="CW3" i="7"/>
  <c r="CX37" i="7" l="1"/>
  <c r="CX38" i="7"/>
  <c r="CX39" i="7"/>
  <c r="CX40" i="7"/>
  <c r="CX41" i="7"/>
  <c r="CX42" i="7"/>
  <c r="CX43" i="7"/>
  <c r="CX44" i="7"/>
  <c r="CX4" i="7"/>
  <c r="CX5" i="7"/>
  <c r="CX7" i="7"/>
  <c r="CX9" i="7"/>
  <c r="CX8" i="7"/>
  <c r="CX6" i="7"/>
  <c r="CX10" i="7"/>
  <c r="CX14" i="7"/>
  <c r="CX13" i="7"/>
  <c r="CX15" i="7"/>
  <c r="CX16" i="7"/>
  <c r="CX12" i="7"/>
  <c r="CX18" i="7"/>
  <c r="CX11" i="7"/>
  <c r="CX17" i="7"/>
  <c r="CX19" i="7"/>
  <c r="CX21" i="7"/>
  <c r="CX24" i="7"/>
  <c r="CX25" i="7"/>
  <c r="CX26" i="7"/>
  <c r="CX20" i="7"/>
  <c r="CX28" i="7"/>
  <c r="CX22" i="7"/>
  <c r="CX23" i="7"/>
  <c r="CX33" i="7"/>
  <c r="CX34" i="7"/>
  <c r="CX31" i="7"/>
  <c r="CX35" i="7"/>
  <c r="CX29" i="7"/>
  <c r="CX36" i="7"/>
  <c r="CX27" i="7"/>
  <c r="CX30" i="7"/>
  <c r="CX32" i="7"/>
  <c r="CY1" i="7"/>
  <c r="CX3" i="7"/>
  <c r="CY37" i="7" l="1"/>
  <c r="CY38" i="7"/>
  <c r="CY39" i="7"/>
  <c r="CY40" i="7"/>
  <c r="CY41" i="7"/>
  <c r="CY42" i="7"/>
  <c r="CY43" i="7"/>
  <c r="CY44" i="7"/>
  <c r="CY4" i="7"/>
  <c r="CY6" i="7"/>
  <c r="CY9" i="7"/>
  <c r="CY5" i="7"/>
  <c r="CY7" i="7"/>
  <c r="CY16" i="7"/>
  <c r="CY8" i="7"/>
  <c r="CY10" i="7"/>
  <c r="CY15" i="7"/>
  <c r="CY11" i="7"/>
  <c r="CY12" i="7"/>
  <c r="CY17" i="7"/>
  <c r="CY14" i="7"/>
  <c r="CY18" i="7"/>
  <c r="CY13" i="7"/>
  <c r="CY19" i="7"/>
  <c r="CY22" i="7"/>
  <c r="CY21" i="7"/>
  <c r="CY24" i="7"/>
  <c r="CY25" i="7"/>
  <c r="CY26" i="7"/>
  <c r="CY20" i="7"/>
  <c r="CY27" i="7"/>
  <c r="CY28" i="7"/>
  <c r="CY23" i="7"/>
  <c r="CY30" i="7"/>
  <c r="CY29" i="7"/>
  <c r="CY32" i="7"/>
  <c r="CY33" i="7"/>
  <c r="CY34" i="7"/>
  <c r="CY31" i="7"/>
  <c r="CY35" i="7"/>
  <c r="CY36" i="7"/>
  <c r="CZ1" i="7"/>
  <c r="CY3" i="7"/>
  <c r="CZ37" i="7" l="1"/>
  <c r="CZ38" i="7"/>
  <c r="CZ39" i="7"/>
  <c r="CZ40" i="7"/>
  <c r="CZ41" i="7"/>
  <c r="CZ42" i="7"/>
  <c r="CZ43" i="7"/>
  <c r="CZ44" i="7"/>
  <c r="CZ5" i="7"/>
  <c r="CZ6" i="7"/>
  <c r="CZ8" i="7"/>
  <c r="CZ4" i="7"/>
  <c r="CZ9" i="7"/>
  <c r="CZ7" i="7"/>
  <c r="CZ15" i="7"/>
  <c r="CZ11" i="7"/>
  <c r="CZ10" i="7"/>
  <c r="CZ13" i="7"/>
  <c r="CZ12" i="7"/>
  <c r="CZ14" i="7"/>
  <c r="CZ20" i="7"/>
  <c r="CZ18" i="7"/>
  <c r="CZ16" i="7"/>
  <c r="CZ19" i="7"/>
  <c r="CZ17" i="7"/>
  <c r="CZ22" i="7"/>
  <c r="CZ21" i="7"/>
  <c r="CZ24" i="7"/>
  <c r="CZ25" i="7"/>
  <c r="CZ26" i="7"/>
  <c r="CZ28" i="7"/>
  <c r="CZ23" i="7"/>
  <c r="CZ30" i="7"/>
  <c r="CZ32" i="7"/>
  <c r="CZ33" i="7"/>
  <c r="CZ34" i="7"/>
  <c r="CZ29" i="7"/>
  <c r="CZ31" i="7"/>
  <c r="CZ35" i="7"/>
  <c r="CZ36" i="7"/>
  <c r="CZ27" i="7"/>
  <c r="DA1" i="7"/>
  <c r="CZ3" i="7"/>
  <c r="DA37" i="7" l="1"/>
  <c r="DA38" i="7"/>
  <c r="DA39" i="7"/>
  <c r="DA40" i="7"/>
  <c r="DA41" i="7"/>
  <c r="DA42" i="7"/>
  <c r="DA43" i="7"/>
  <c r="DA44" i="7"/>
  <c r="DA4" i="7"/>
  <c r="DA5" i="7"/>
  <c r="DA7" i="7"/>
  <c r="DA8" i="7"/>
  <c r="DA9" i="7"/>
  <c r="DA6" i="7"/>
  <c r="DA14" i="7"/>
  <c r="DA11" i="7"/>
  <c r="DA10" i="7"/>
  <c r="DA15" i="7"/>
  <c r="DA13" i="7"/>
  <c r="DA17" i="7"/>
  <c r="DA12" i="7"/>
  <c r="DA21" i="7"/>
  <c r="DA18" i="7"/>
  <c r="DA16" i="7"/>
  <c r="DA19" i="7"/>
  <c r="DA22" i="7"/>
  <c r="DA24" i="7"/>
  <c r="DA25" i="7"/>
  <c r="DA23" i="7"/>
  <c r="DA20" i="7"/>
  <c r="DA28" i="7"/>
  <c r="DA26" i="7"/>
  <c r="DA30" i="7"/>
  <c r="DA27" i="7"/>
  <c r="DA32" i="7"/>
  <c r="DA33" i="7"/>
  <c r="DA34" i="7"/>
  <c r="DA29" i="7"/>
  <c r="DA31" i="7"/>
  <c r="DA35" i="7"/>
  <c r="DA36" i="7"/>
  <c r="DB1" i="7"/>
  <c r="DA3" i="7"/>
  <c r="DB37" i="7" l="1"/>
  <c r="DB38" i="7"/>
  <c r="DB39" i="7"/>
  <c r="DB40" i="7"/>
  <c r="DB41" i="7"/>
  <c r="DB42" i="7"/>
  <c r="DB43" i="7"/>
  <c r="DB44" i="7"/>
  <c r="DB4" i="7"/>
  <c r="DB7" i="7"/>
  <c r="DB8" i="7"/>
  <c r="DB5" i="7"/>
  <c r="DB6" i="7"/>
  <c r="DB12" i="7"/>
  <c r="DB13" i="7"/>
  <c r="DB10" i="7"/>
  <c r="DB9" i="7"/>
  <c r="DB17" i="7"/>
  <c r="DB15" i="7"/>
  <c r="DB14" i="7"/>
  <c r="DB11" i="7"/>
  <c r="DB21" i="7"/>
  <c r="DB19" i="7"/>
  <c r="DB18" i="7"/>
  <c r="DB20" i="7"/>
  <c r="DB16" i="7"/>
  <c r="DB22" i="7"/>
  <c r="DB24" i="7"/>
  <c r="DB23" i="7"/>
  <c r="DB25" i="7"/>
  <c r="DB28" i="7"/>
  <c r="DB26" i="7"/>
  <c r="DB27" i="7"/>
  <c r="DB32" i="7"/>
  <c r="DB33" i="7"/>
  <c r="DB34" i="7"/>
  <c r="DB29" i="7"/>
  <c r="DB36" i="7"/>
  <c r="DB30" i="7"/>
  <c r="DB35" i="7"/>
  <c r="DB31" i="7"/>
  <c r="DC1" i="7"/>
  <c r="DB3" i="7"/>
  <c r="DC37" i="7" l="1"/>
  <c r="DC38" i="7"/>
  <c r="DC39" i="7"/>
  <c r="DC40" i="7"/>
  <c r="DC41" i="7"/>
  <c r="DC42" i="7"/>
  <c r="DC43" i="7"/>
  <c r="DC44" i="7"/>
  <c r="DC6" i="7"/>
  <c r="DC7" i="7"/>
  <c r="DC4" i="7"/>
  <c r="DC8" i="7"/>
  <c r="DC5" i="7"/>
  <c r="DC9" i="7"/>
  <c r="DC10" i="7"/>
  <c r="DC13" i="7"/>
  <c r="DC15" i="7"/>
  <c r="DC11" i="7"/>
  <c r="DC12" i="7"/>
  <c r="DC17" i="7"/>
  <c r="DC16" i="7"/>
  <c r="DC14" i="7"/>
  <c r="DC19" i="7"/>
  <c r="DC18" i="7"/>
  <c r="DC21" i="7"/>
  <c r="DC20" i="7"/>
  <c r="DC22" i="7"/>
  <c r="DC29" i="7"/>
  <c r="DC23" i="7"/>
  <c r="DC25" i="7"/>
  <c r="DC28" i="7"/>
  <c r="DC24" i="7"/>
  <c r="DC30" i="7"/>
  <c r="DC26" i="7"/>
  <c r="DC32" i="7"/>
  <c r="DC33" i="7"/>
  <c r="DC36" i="7"/>
  <c r="DC35" i="7"/>
  <c r="DC27" i="7"/>
  <c r="DC34" i="7"/>
  <c r="DC31" i="7"/>
  <c r="DD1" i="7"/>
  <c r="DC3" i="7"/>
  <c r="DD37" i="7" l="1"/>
  <c r="DD38" i="7"/>
  <c r="DD39" i="7"/>
  <c r="DD40" i="7"/>
  <c r="DD41" i="7"/>
  <c r="DD42" i="7"/>
  <c r="DD43" i="7"/>
  <c r="DD44" i="7"/>
  <c r="DD5" i="7"/>
  <c r="DD6" i="7"/>
  <c r="DD4" i="7"/>
  <c r="DD7" i="7"/>
  <c r="DD12" i="7"/>
  <c r="DD10" i="7"/>
  <c r="DD9" i="7"/>
  <c r="DD8" i="7"/>
  <c r="DD20" i="7"/>
  <c r="DD14" i="7"/>
  <c r="DD15" i="7"/>
  <c r="DD17" i="7"/>
  <c r="DD11" i="7"/>
  <c r="DD16" i="7"/>
  <c r="DD19" i="7"/>
  <c r="DD13" i="7"/>
  <c r="DD18" i="7"/>
  <c r="DD22" i="7"/>
  <c r="DD21" i="7"/>
  <c r="DD26" i="7"/>
  <c r="DD29" i="7"/>
  <c r="DD27" i="7"/>
  <c r="DD25" i="7"/>
  <c r="DD28" i="7"/>
  <c r="DD30" i="7"/>
  <c r="DD32" i="7"/>
  <c r="DD31" i="7"/>
  <c r="DD35" i="7"/>
  <c r="DD24" i="7"/>
  <c r="DD36" i="7"/>
  <c r="DD23" i="7"/>
  <c r="DD33" i="7"/>
  <c r="DD34" i="7"/>
  <c r="DE1" i="7"/>
  <c r="DD3" i="7"/>
  <c r="DE37" i="7" l="1"/>
  <c r="DE38" i="7"/>
  <c r="DE39" i="7"/>
  <c r="DE40" i="7"/>
  <c r="DE41" i="7"/>
  <c r="DE42" i="7"/>
  <c r="DE43" i="7"/>
  <c r="DE44" i="7"/>
  <c r="DE4" i="7"/>
  <c r="DE5" i="7"/>
  <c r="DE6" i="7"/>
  <c r="DE11" i="7"/>
  <c r="DE7" i="7"/>
  <c r="DE8" i="7"/>
  <c r="DE19" i="7"/>
  <c r="DE13" i="7"/>
  <c r="DE9" i="7"/>
  <c r="DE12" i="7"/>
  <c r="DE10" i="7"/>
  <c r="DE15" i="7"/>
  <c r="DE14" i="7"/>
  <c r="DE16" i="7"/>
  <c r="DE17" i="7"/>
  <c r="DE18" i="7"/>
  <c r="DE22" i="7"/>
  <c r="DE21" i="7"/>
  <c r="DE24" i="7"/>
  <c r="DE23" i="7"/>
  <c r="DE25" i="7"/>
  <c r="DE26" i="7"/>
  <c r="DE27" i="7"/>
  <c r="DE29" i="7"/>
  <c r="DE20" i="7"/>
  <c r="DE31" i="7"/>
  <c r="DE28" i="7"/>
  <c r="DE30" i="7"/>
  <c r="DE34" i="7"/>
  <c r="DE35" i="7"/>
  <c r="DE33" i="7"/>
  <c r="DE36" i="7"/>
  <c r="DE32" i="7"/>
  <c r="DF1" i="7"/>
  <c r="DE3" i="7"/>
  <c r="DF37" i="7" l="1"/>
  <c r="DF38" i="7"/>
  <c r="DF39" i="7"/>
  <c r="DF40" i="7"/>
  <c r="DF41" i="7"/>
  <c r="DF42" i="7"/>
  <c r="DF43" i="7"/>
  <c r="DF44" i="7"/>
  <c r="DF4" i="7"/>
  <c r="DF6" i="7"/>
  <c r="DF5" i="7"/>
  <c r="DF7" i="7"/>
  <c r="DF10" i="7"/>
  <c r="DF8" i="7"/>
  <c r="DF9" i="7"/>
  <c r="DF12" i="7"/>
  <c r="DF11" i="7"/>
  <c r="DF16" i="7"/>
  <c r="DF18" i="7"/>
  <c r="DF13" i="7"/>
  <c r="DF19" i="7"/>
  <c r="DF14" i="7"/>
  <c r="DF15" i="7"/>
  <c r="DF17" i="7"/>
  <c r="DF22" i="7"/>
  <c r="DF23" i="7"/>
  <c r="DF21" i="7"/>
  <c r="DF25" i="7"/>
  <c r="DF24" i="7"/>
  <c r="DF27" i="7"/>
  <c r="DF29" i="7"/>
  <c r="DF20" i="7"/>
  <c r="DF28" i="7"/>
  <c r="DF26" i="7"/>
  <c r="DF30" i="7"/>
  <c r="DF33" i="7"/>
  <c r="DF31" i="7"/>
  <c r="DF34" i="7"/>
  <c r="DF35" i="7"/>
  <c r="DF36" i="7"/>
  <c r="DF32" i="7"/>
  <c r="DG1" i="7"/>
  <c r="DF3" i="7"/>
  <c r="DG37" i="7" l="1"/>
  <c r="DG38" i="7"/>
  <c r="DG39" i="7"/>
  <c r="DG40" i="7"/>
  <c r="DG41" i="7"/>
  <c r="DG42" i="7"/>
  <c r="DG43" i="7"/>
  <c r="DG44" i="7"/>
  <c r="DG5" i="7"/>
  <c r="DG6" i="7"/>
  <c r="DG8" i="7"/>
  <c r="DG7" i="7"/>
  <c r="DG4" i="7"/>
  <c r="DG9" i="7"/>
  <c r="DG12" i="7"/>
  <c r="DG17" i="7"/>
  <c r="DG10" i="7"/>
  <c r="DG11" i="7"/>
  <c r="DG14" i="7"/>
  <c r="DG13" i="7"/>
  <c r="DG16" i="7"/>
  <c r="DG19" i="7"/>
  <c r="DG15" i="7"/>
  <c r="DG22" i="7"/>
  <c r="DG18" i="7"/>
  <c r="DG23" i="7"/>
  <c r="DG21" i="7"/>
  <c r="DG20" i="7"/>
  <c r="DG24" i="7"/>
  <c r="DG27" i="7"/>
  <c r="DG29" i="7"/>
  <c r="DG26" i="7"/>
  <c r="DG28" i="7"/>
  <c r="DG36" i="7"/>
  <c r="DG25" i="7"/>
  <c r="DG30" i="7"/>
  <c r="DG32" i="7"/>
  <c r="DG33" i="7"/>
  <c r="DG31" i="7"/>
  <c r="DG34" i="7"/>
  <c r="DG35" i="7"/>
  <c r="DH1" i="7"/>
  <c r="DG3" i="7"/>
  <c r="DH37" i="7" l="1"/>
  <c r="DH38" i="7"/>
  <c r="DH39" i="7"/>
  <c r="DH40" i="7"/>
  <c r="DH41" i="7"/>
  <c r="DH42" i="7"/>
  <c r="DH43" i="7"/>
  <c r="DH44" i="7"/>
  <c r="DH4" i="7"/>
  <c r="DH5" i="7"/>
  <c r="DH7" i="7"/>
  <c r="DH6" i="7"/>
  <c r="DH10" i="7"/>
  <c r="DH9" i="7"/>
  <c r="DH8" i="7"/>
  <c r="DH11" i="7"/>
  <c r="DH14" i="7"/>
  <c r="DH12" i="7"/>
  <c r="DH16" i="7"/>
  <c r="DH13" i="7"/>
  <c r="DH18" i="7"/>
  <c r="DH19" i="7"/>
  <c r="DH15" i="7"/>
  <c r="DH17" i="7"/>
  <c r="DH20" i="7"/>
  <c r="DH23" i="7"/>
  <c r="DH22" i="7"/>
  <c r="DH30" i="7"/>
  <c r="DH24" i="7"/>
  <c r="DH27" i="7"/>
  <c r="DH29" i="7"/>
  <c r="DH25" i="7"/>
  <c r="DH21" i="7"/>
  <c r="DH26" i="7"/>
  <c r="DH35" i="7"/>
  <c r="DH28" i="7"/>
  <c r="DH32" i="7"/>
  <c r="DH33" i="7"/>
  <c r="DH36" i="7"/>
  <c r="DH31" i="7"/>
  <c r="DH34" i="7"/>
  <c r="DI1" i="7"/>
  <c r="DH3" i="7"/>
  <c r="DI37" i="7" l="1"/>
  <c r="DI38" i="7"/>
  <c r="DI39" i="7"/>
  <c r="DI40" i="7"/>
  <c r="DI41" i="7"/>
  <c r="DI42" i="7"/>
  <c r="DI43" i="7"/>
  <c r="DI44" i="7"/>
  <c r="DI4" i="7"/>
  <c r="DI5" i="7"/>
  <c r="DI6" i="7"/>
  <c r="DI7" i="7"/>
  <c r="DI8" i="7"/>
  <c r="DI10" i="7"/>
  <c r="DI9" i="7"/>
  <c r="DI11" i="7"/>
  <c r="DI12" i="7"/>
  <c r="DI14" i="7"/>
  <c r="DI16" i="7"/>
  <c r="DI15" i="7"/>
  <c r="DI13" i="7"/>
  <c r="DI18" i="7"/>
  <c r="DI20" i="7"/>
  <c r="DI21" i="7"/>
  <c r="DI17" i="7"/>
  <c r="DI26" i="7"/>
  <c r="DI23" i="7"/>
  <c r="DI22" i="7"/>
  <c r="DI29" i="7"/>
  <c r="DI19" i="7"/>
  <c r="DI24" i="7"/>
  <c r="DI27" i="7"/>
  <c r="DI25" i="7"/>
  <c r="DI31" i="7"/>
  <c r="DI34" i="7"/>
  <c r="DI35" i="7"/>
  <c r="DI36" i="7"/>
  <c r="DI28" i="7"/>
  <c r="DI30" i="7"/>
  <c r="DI32" i="7"/>
  <c r="DI33" i="7"/>
  <c r="DJ1" i="7"/>
  <c r="DI3" i="7"/>
  <c r="DJ37" i="7" l="1"/>
  <c r="DJ38" i="7"/>
  <c r="DJ39" i="7"/>
  <c r="DJ40" i="7"/>
  <c r="DJ41" i="7"/>
  <c r="DJ42" i="7"/>
  <c r="DJ43" i="7"/>
  <c r="DJ44" i="7"/>
  <c r="DJ4" i="7"/>
  <c r="DJ5" i="7"/>
  <c r="DJ7" i="7"/>
  <c r="DJ9" i="7"/>
  <c r="DJ6" i="7"/>
  <c r="DJ8" i="7"/>
  <c r="DJ11" i="7"/>
  <c r="DJ10" i="7"/>
  <c r="DJ12" i="7"/>
  <c r="DJ14" i="7"/>
  <c r="DJ16" i="7"/>
  <c r="DJ18" i="7"/>
  <c r="DJ17" i="7"/>
  <c r="DJ15" i="7"/>
  <c r="DJ20" i="7"/>
  <c r="DJ21" i="7"/>
  <c r="DJ19" i="7"/>
  <c r="DJ25" i="7"/>
  <c r="DJ26" i="7"/>
  <c r="DJ23" i="7"/>
  <c r="DJ28" i="7"/>
  <c r="DJ13" i="7"/>
  <c r="DJ24" i="7"/>
  <c r="DJ22" i="7"/>
  <c r="DJ27" i="7"/>
  <c r="DJ33" i="7"/>
  <c r="DJ31" i="7"/>
  <c r="DJ34" i="7"/>
  <c r="DJ35" i="7"/>
  <c r="DJ36" i="7"/>
  <c r="DJ29" i="7"/>
  <c r="DJ30" i="7"/>
  <c r="DJ32" i="7"/>
  <c r="DK1" i="7"/>
  <c r="DJ3" i="7"/>
  <c r="DK37" i="7" l="1"/>
  <c r="DK38" i="7"/>
  <c r="DK39" i="7"/>
  <c r="DK40" i="7"/>
  <c r="DK41" i="7"/>
  <c r="DK42" i="7"/>
  <c r="DK43" i="7"/>
  <c r="DK44" i="7"/>
  <c r="DK4" i="7"/>
  <c r="DK6" i="7"/>
  <c r="DK8" i="7"/>
  <c r="DK7" i="7"/>
  <c r="DK5" i="7"/>
  <c r="DK16" i="7"/>
  <c r="DK9" i="7"/>
  <c r="DK10" i="7"/>
  <c r="DK14" i="7"/>
  <c r="DK13" i="7"/>
  <c r="DK11" i="7"/>
  <c r="DK12" i="7"/>
  <c r="DK15" i="7"/>
  <c r="DK17" i="7"/>
  <c r="DK18" i="7"/>
  <c r="DK20" i="7"/>
  <c r="DK22" i="7"/>
  <c r="DK24" i="7"/>
  <c r="DK19" i="7"/>
  <c r="DK25" i="7"/>
  <c r="DK26" i="7"/>
  <c r="DK27" i="7"/>
  <c r="DK28" i="7"/>
  <c r="DK21" i="7"/>
  <c r="DK32" i="7"/>
  <c r="DK33" i="7"/>
  <c r="DK31" i="7"/>
  <c r="DK34" i="7"/>
  <c r="DK35" i="7"/>
  <c r="DK36" i="7"/>
  <c r="DK29" i="7"/>
  <c r="DK30" i="7"/>
  <c r="DK23" i="7"/>
  <c r="DL1" i="7"/>
  <c r="DK3" i="7"/>
  <c r="DL37" i="7" l="1"/>
  <c r="DL38" i="7"/>
  <c r="DL39" i="7"/>
  <c r="DL40" i="7"/>
  <c r="DL41" i="7"/>
  <c r="DL42" i="7"/>
  <c r="DL43" i="7"/>
  <c r="DL44" i="7"/>
  <c r="DL5" i="7"/>
  <c r="DL6" i="7"/>
  <c r="DL4" i="7"/>
  <c r="DL8" i="7"/>
  <c r="DL9" i="7"/>
  <c r="DL15" i="7"/>
  <c r="DL7" i="7"/>
  <c r="DL11" i="7"/>
  <c r="DL12" i="7"/>
  <c r="DL10" i="7"/>
  <c r="DL13" i="7"/>
  <c r="DL14" i="7"/>
  <c r="DL16" i="7"/>
  <c r="DL17" i="7"/>
  <c r="DL18" i="7"/>
  <c r="DL19" i="7"/>
  <c r="DL22" i="7"/>
  <c r="DL24" i="7"/>
  <c r="DL25" i="7"/>
  <c r="DL26" i="7"/>
  <c r="DL20" i="7"/>
  <c r="DL28" i="7"/>
  <c r="DL23" i="7"/>
  <c r="DL29" i="7"/>
  <c r="DL21" i="7"/>
  <c r="DL27" i="7"/>
  <c r="DL32" i="7"/>
  <c r="DL33" i="7"/>
  <c r="DL31" i="7"/>
  <c r="DL34" i="7"/>
  <c r="DL35" i="7"/>
  <c r="DL36" i="7"/>
  <c r="DL30" i="7"/>
  <c r="DM1" i="7"/>
  <c r="DL3" i="7"/>
  <c r="DM37" i="7" l="1"/>
  <c r="DM38" i="7"/>
  <c r="DM39" i="7"/>
  <c r="DM40" i="7"/>
  <c r="DM41" i="7"/>
  <c r="DM42" i="7"/>
  <c r="DM43" i="7"/>
  <c r="DM44" i="7"/>
  <c r="DM4" i="7"/>
  <c r="DM5" i="7"/>
  <c r="DM7" i="7"/>
  <c r="DM9" i="7"/>
  <c r="DM6" i="7"/>
  <c r="DM14" i="7"/>
  <c r="DM11" i="7"/>
  <c r="DM8" i="7"/>
  <c r="DM10" i="7"/>
  <c r="DM12" i="7"/>
  <c r="DM13" i="7"/>
  <c r="DM16" i="7"/>
  <c r="DM17" i="7"/>
  <c r="DM18" i="7"/>
  <c r="DM20" i="7"/>
  <c r="DM21" i="7"/>
  <c r="DM19" i="7"/>
  <c r="DM24" i="7"/>
  <c r="DM15" i="7"/>
  <c r="DM25" i="7"/>
  <c r="DM28" i="7"/>
  <c r="DM22" i="7"/>
  <c r="DM30" i="7"/>
  <c r="DM23" i="7"/>
  <c r="DM27" i="7"/>
  <c r="DM32" i="7"/>
  <c r="DM26" i="7"/>
  <c r="DM33" i="7"/>
  <c r="DM31" i="7"/>
  <c r="DM34" i="7"/>
  <c r="DM35" i="7"/>
  <c r="DM29" i="7"/>
  <c r="DM36" i="7"/>
  <c r="DN1" i="7"/>
  <c r="DM3" i="7"/>
  <c r="DN37" i="7" l="1"/>
  <c r="DN38" i="7"/>
  <c r="DN39" i="7"/>
  <c r="DN40" i="7"/>
  <c r="DN41" i="7"/>
  <c r="DN42" i="7"/>
  <c r="DN43" i="7"/>
  <c r="DN44" i="7"/>
  <c r="DN4" i="7"/>
  <c r="DN6" i="7"/>
  <c r="DN7" i="7"/>
  <c r="DN8" i="7"/>
  <c r="DN5" i="7"/>
  <c r="DN9" i="7"/>
  <c r="DN13" i="7"/>
  <c r="DN11" i="7"/>
  <c r="DN10" i="7"/>
  <c r="DN15" i="7"/>
  <c r="DN17" i="7"/>
  <c r="DN12" i="7"/>
  <c r="DN14" i="7"/>
  <c r="DN16" i="7"/>
  <c r="DN18" i="7"/>
  <c r="DN19" i="7"/>
  <c r="DN24" i="7"/>
  <c r="DN21" i="7"/>
  <c r="DN23" i="7"/>
  <c r="DN20" i="7"/>
  <c r="DN28" i="7"/>
  <c r="DN22" i="7"/>
  <c r="DN30" i="7"/>
  <c r="DN27" i="7"/>
  <c r="DN25" i="7"/>
  <c r="DN32" i="7"/>
  <c r="DN26" i="7"/>
  <c r="DN33" i="7"/>
  <c r="DN31" i="7"/>
  <c r="DN34" i="7"/>
  <c r="DN29" i="7"/>
  <c r="DN36" i="7"/>
  <c r="DN35" i="7"/>
  <c r="DO1" i="7"/>
  <c r="DN3" i="7"/>
  <c r="DO37" i="7" l="1"/>
  <c r="DO38" i="7"/>
  <c r="DO39" i="7"/>
  <c r="DO40" i="7"/>
  <c r="DO41" i="7"/>
  <c r="DO42" i="7"/>
  <c r="DO43" i="7"/>
  <c r="DO44" i="7"/>
  <c r="DO6" i="7"/>
  <c r="DO4" i="7"/>
  <c r="DO5" i="7"/>
  <c r="DO7" i="7"/>
  <c r="DO8" i="7"/>
  <c r="DO9" i="7"/>
  <c r="DO12" i="7"/>
  <c r="DO10" i="7"/>
  <c r="DO11" i="7"/>
  <c r="DO13" i="7"/>
  <c r="DO15" i="7"/>
  <c r="DO17" i="7"/>
  <c r="DO14" i="7"/>
  <c r="DO16" i="7"/>
  <c r="DO18" i="7"/>
  <c r="DO21" i="7"/>
  <c r="DO19" i="7"/>
  <c r="DO24" i="7"/>
  <c r="DO22" i="7"/>
  <c r="DO23" i="7"/>
  <c r="DO20" i="7"/>
  <c r="DO26" i="7"/>
  <c r="DO28" i="7"/>
  <c r="DO27" i="7"/>
  <c r="DO25" i="7"/>
  <c r="DO32" i="7"/>
  <c r="DO33" i="7"/>
  <c r="DO36" i="7"/>
  <c r="DO30" i="7"/>
  <c r="DO31" i="7"/>
  <c r="DO34" i="7"/>
  <c r="DO29" i="7"/>
  <c r="DO35" i="7"/>
  <c r="DP1" i="7"/>
  <c r="DO3" i="7"/>
  <c r="DP37" i="7" l="1"/>
  <c r="DP38" i="7"/>
  <c r="DP39" i="7"/>
  <c r="DP40" i="7"/>
  <c r="DP41" i="7"/>
  <c r="DP42" i="7"/>
  <c r="DP43" i="7"/>
  <c r="DP44" i="7"/>
  <c r="DP5" i="7"/>
  <c r="DP6" i="7"/>
  <c r="DP4" i="7"/>
  <c r="DP12" i="7"/>
  <c r="DP8" i="7"/>
  <c r="DP7" i="7"/>
  <c r="DP10" i="7"/>
  <c r="DP13" i="7"/>
  <c r="DP20" i="7"/>
  <c r="DP11" i="7"/>
  <c r="DP15" i="7"/>
  <c r="DP9" i="7"/>
  <c r="DP17" i="7"/>
  <c r="DP14" i="7"/>
  <c r="DP19" i="7"/>
  <c r="DP16" i="7"/>
  <c r="DP22" i="7"/>
  <c r="DP21" i="7"/>
  <c r="DP26" i="7"/>
  <c r="DP18" i="7"/>
  <c r="DP25" i="7"/>
  <c r="DP29" i="7"/>
  <c r="DP24" i="7"/>
  <c r="DP28" i="7"/>
  <c r="DP23" i="7"/>
  <c r="DP27" i="7"/>
  <c r="DP32" i="7"/>
  <c r="DP35" i="7"/>
  <c r="DP36" i="7"/>
  <c r="DP30" i="7"/>
  <c r="DP31" i="7"/>
  <c r="DP34" i="7"/>
  <c r="DP33" i="7"/>
  <c r="DQ1" i="7"/>
  <c r="DP3" i="7"/>
  <c r="DQ37" i="7" l="1"/>
  <c r="DQ38" i="7"/>
  <c r="DQ39" i="7"/>
  <c r="DQ40" i="7"/>
  <c r="DQ41" i="7"/>
  <c r="DQ42" i="7"/>
  <c r="DQ43" i="7"/>
  <c r="DQ44" i="7"/>
  <c r="DQ4" i="7"/>
  <c r="DQ5" i="7"/>
  <c r="DQ6" i="7"/>
  <c r="DQ11" i="7"/>
  <c r="DQ10" i="7"/>
  <c r="DQ7" i="7"/>
  <c r="DQ9" i="7"/>
  <c r="DQ19" i="7"/>
  <c r="DQ8" i="7"/>
  <c r="DQ14" i="7"/>
  <c r="DQ13" i="7"/>
  <c r="DQ15" i="7"/>
  <c r="DQ12" i="7"/>
  <c r="DQ17" i="7"/>
  <c r="DQ16" i="7"/>
  <c r="DQ18" i="7"/>
  <c r="DQ22" i="7"/>
  <c r="DQ21" i="7"/>
  <c r="DQ24" i="7"/>
  <c r="DQ20" i="7"/>
  <c r="DQ25" i="7"/>
  <c r="DQ26" i="7"/>
  <c r="DQ29" i="7"/>
  <c r="DQ31" i="7"/>
  <c r="DQ23" i="7"/>
  <c r="DQ27" i="7"/>
  <c r="DQ28" i="7"/>
  <c r="DQ34" i="7"/>
  <c r="DQ35" i="7"/>
  <c r="DQ32" i="7"/>
  <c r="DQ36" i="7"/>
  <c r="DQ30" i="7"/>
  <c r="DQ33" i="7"/>
  <c r="DR1" i="7"/>
  <c r="DQ3" i="7"/>
  <c r="DR37" i="7" l="1"/>
  <c r="DR38" i="7"/>
  <c r="DR39" i="7"/>
  <c r="DR40" i="7"/>
  <c r="DR41" i="7"/>
  <c r="DR42" i="7"/>
  <c r="DR43" i="7"/>
  <c r="DR44" i="7"/>
  <c r="DR4" i="7"/>
  <c r="DR6" i="7"/>
  <c r="DR5" i="7"/>
  <c r="DR8" i="7"/>
  <c r="DR10" i="7"/>
  <c r="DR7" i="7"/>
  <c r="DR9" i="7"/>
  <c r="DR18" i="7"/>
  <c r="DR13" i="7"/>
  <c r="DR11" i="7"/>
  <c r="DR15" i="7"/>
  <c r="DR12" i="7"/>
  <c r="DR19" i="7"/>
  <c r="DR17" i="7"/>
  <c r="DR14" i="7"/>
  <c r="DR16" i="7"/>
  <c r="DR22" i="7"/>
  <c r="DR21" i="7"/>
  <c r="DR23" i="7"/>
  <c r="DR20" i="7"/>
  <c r="DR25" i="7"/>
  <c r="DR27" i="7"/>
  <c r="DR26" i="7"/>
  <c r="DR29" i="7"/>
  <c r="DR24" i="7"/>
  <c r="DR30" i="7"/>
  <c r="DR31" i="7"/>
  <c r="DR33" i="7"/>
  <c r="DR34" i="7"/>
  <c r="DR35" i="7"/>
  <c r="DR32" i="7"/>
  <c r="DR36" i="7"/>
  <c r="DR28" i="7"/>
  <c r="DS1" i="7"/>
  <c r="DR3" i="7"/>
  <c r="DS37" i="7" l="1"/>
  <c r="DS38" i="7"/>
  <c r="DS39" i="7"/>
  <c r="DS40" i="7"/>
  <c r="DS41" i="7"/>
  <c r="DS42" i="7"/>
  <c r="DS43" i="7"/>
  <c r="DS44" i="7"/>
  <c r="DS5" i="7"/>
  <c r="DS6" i="7"/>
  <c r="DS4" i="7"/>
  <c r="DS7" i="7"/>
  <c r="DS12" i="7"/>
  <c r="DS8" i="7"/>
  <c r="DS11" i="7"/>
  <c r="DS9" i="7"/>
  <c r="DS10" i="7"/>
  <c r="DS16" i="7"/>
  <c r="DS17" i="7"/>
  <c r="DS13" i="7"/>
  <c r="DS15" i="7"/>
  <c r="DS19" i="7"/>
  <c r="DS14" i="7"/>
  <c r="DS18" i="7"/>
  <c r="DS22" i="7"/>
  <c r="DS20" i="7"/>
  <c r="DS23" i="7"/>
  <c r="DS21" i="7"/>
  <c r="DS25" i="7"/>
  <c r="DS27" i="7"/>
  <c r="DS26" i="7"/>
  <c r="DS29" i="7"/>
  <c r="DS24" i="7"/>
  <c r="DS28" i="7"/>
  <c r="DS36" i="7"/>
  <c r="DS30" i="7"/>
  <c r="DS32" i="7"/>
  <c r="DS31" i="7"/>
  <c r="DS33" i="7"/>
  <c r="DS34" i="7"/>
  <c r="DS35" i="7"/>
  <c r="DT1" i="7"/>
  <c r="DS3" i="7"/>
  <c r="DT37" i="7" l="1"/>
  <c r="DT38" i="7"/>
  <c r="DT39" i="7"/>
  <c r="DT40" i="7"/>
  <c r="DT41" i="7"/>
  <c r="DT42" i="7"/>
  <c r="DT43" i="7"/>
  <c r="DT44" i="7"/>
  <c r="DT4" i="7"/>
  <c r="DT5" i="7"/>
  <c r="DT6" i="7"/>
  <c r="DT7" i="7"/>
  <c r="DT9" i="7"/>
  <c r="DT12" i="7"/>
  <c r="DT8" i="7"/>
  <c r="DT10" i="7"/>
  <c r="DT14" i="7"/>
  <c r="DT13" i="7"/>
  <c r="DT15" i="7"/>
  <c r="DT16" i="7"/>
  <c r="DT17" i="7"/>
  <c r="DT19" i="7"/>
  <c r="DT18" i="7"/>
  <c r="DT11" i="7"/>
  <c r="DT20" i="7"/>
  <c r="DT23" i="7"/>
  <c r="DT30" i="7"/>
  <c r="DT24" i="7"/>
  <c r="DT22" i="7"/>
  <c r="DT21" i="7"/>
  <c r="DT25" i="7"/>
  <c r="DT27" i="7"/>
  <c r="DT26" i="7"/>
  <c r="DT29" i="7"/>
  <c r="DT28" i="7"/>
  <c r="DT35" i="7"/>
  <c r="DT32" i="7"/>
  <c r="DT31" i="7"/>
  <c r="DT33" i="7"/>
  <c r="DT34" i="7"/>
  <c r="DT36" i="7"/>
  <c r="DU1" i="7"/>
  <c r="DT3" i="7"/>
  <c r="DU37" i="7" l="1"/>
  <c r="DU38" i="7"/>
  <c r="DU39" i="7"/>
  <c r="DU40" i="7"/>
  <c r="DU41" i="7"/>
  <c r="DU42" i="7"/>
  <c r="DU43" i="7"/>
  <c r="DU44" i="7"/>
  <c r="DU4" i="7"/>
  <c r="DU5" i="7"/>
  <c r="DU6" i="7"/>
  <c r="DU10" i="7"/>
  <c r="DU7" i="7"/>
  <c r="DU8" i="7"/>
  <c r="DU11" i="7"/>
  <c r="DU9" i="7"/>
  <c r="DU14" i="7"/>
  <c r="DU13" i="7"/>
  <c r="DU15" i="7"/>
  <c r="DU12" i="7"/>
  <c r="DU17" i="7"/>
  <c r="DU19" i="7"/>
  <c r="DU16" i="7"/>
  <c r="DU26" i="7"/>
  <c r="DU20" i="7"/>
  <c r="DU23" i="7"/>
  <c r="DU29" i="7"/>
  <c r="DU24" i="7"/>
  <c r="DU21" i="7"/>
  <c r="DU18" i="7"/>
  <c r="DU25" i="7"/>
  <c r="DU27" i="7"/>
  <c r="DU22" i="7"/>
  <c r="DU34" i="7"/>
  <c r="DU35" i="7"/>
  <c r="DU30" i="7"/>
  <c r="DU36" i="7"/>
  <c r="DU32" i="7"/>
  <c r="DU31" i="7"/>
  <c r="DU33" i="7"/>
  <c r="DU28" i="7"/>
  <c r="DV1" i="7"/>
  <c r="DU3" i="7"/>
  <c r="DV37" i="7" l="1"/>
  <c r="DV38" i="7"/>
  <c r="DV39" i="7"/>
  <c r="DV40" i="7"/>
  <c r="DV41" i="7"/>
  <c r="DV42" i="7"/>
  <c r="DV43" i="7"/>
  <c r="DV44" i="7"/>
  <c r="DV4" i="7"/>
  <c r="DV5" i="7"/>
  <c r="DV7" i="7"/>
  <c r="DV6" i="7"/>
  <c r="DV8" i="7"/>
  <c r="DV9" i="7"/>
  <c r="DV10" i="7"/>
  <c r="DV11" i="7"/>
  <c r="DV12" i="7"/>
  <c r="DV16" i="7"/>
  <c r="DV13" i="7"/>
  <c r="DV18" i="7"/>
  <c r="DV15" i="7"/>
  <c r="DV17" i="7"/>
  <c r="DV14" i="7"/>
  <c r="DV20" i="7"/>
  <c r="DV21" i="7"/>
  <c r="DV25" i="7"/>
  <c r="DV19" i="7"/>
  <c r="DV26" i="7"/>
  <c r="DV23" i="7"/>
  <c r="DV28" i="7"/>
  <c r="DV27" i="7"/>
  <c r="DV29" i="7"/>
  <c r="DV31" i="7"/>
  <c r="DV33" i="7"/>
  <c r="DV22" i="7"/>
  <c r="DV34" i="7"/>
  <c r="DV35" i="7"/>
  <c r="DV30" i="7"/>
  <c r="DV36" i="7"/>
  <c r="DV24" i="7"/>
  <c r="DV32" i="7"/>
  <c r="DW1" i="7"/>
  <c r="DV3" i="7"/>
  <c r="DW37" i="7" l="1"/>
  <c r="DW38" i="7"/>
  <c r="DW39" i="7"/>
  <c r="DW40" i="7"/>
  <c r="DW41" i="7"/>
  <c r="DW42" i="7"/>
  <c r="DW43" i="7"/>
  <c r="DW44" i="7"/>
  <c r="DW4" i="7"/>
  <c r="DW6" i="7"/>
  <c r="DW7" i="7"/>
  <c r="DW11" i="7"/>
  <c r="DW16" i="7"/>
  <c r="DW9" i="7"/>
  <c r="DW10" i="7"/>
  <c r="DW5" i="7"/>
  <c r="DW8" i="7"/>
  <c r="DW14" i="7"/>
  <c r="DW18" i="7"/>
  <c r="DW17" i="7"/>
  <c r="DW15" i="7"/>
  <c r="DW12" i="7"/>
  <c r="DW13" i="7"/>
  <c r="DW20" i="7"/>
  <c r="DW22" i="7"/>
  <c r="DW21" i="7"/>
  <c r="DW25" i="7"/>
  <c r="DW19" i="7"/>
  <c r="DW26" i="7"/>
  <c r="DW23" i="7"/>
  <c r="DW27" i="7"/>
  <c r="DW29" i="7"/>
  <c r="DW32" i="7"/>
  <c r="DW31" i="7"/>
  <c r="DW33" i="7"/>
  <c r="DW34" i="7"/>
  <c r="DW35" i="7"/>
  <c r="DW30" i="7"/>
  <c r="DW36" i="7"/>
  <c r="DW28" i="7"/>
  <c r="DW24" i="7"/>
  <c r="DX1" i="7"/>
  <c r="DW3" i="7"/>
  <c r="DX37" i="7" l="1"/>
  <c r="DX38" i="7"/>
  <c r="DX39" i="7"/>
  <c r="DX40" i="7"/>
  <c r="DX41" i="7"/>
  <c r="DX42" i="7"/>
  <c r="DX43" i="7"/>
  <c r="DX44" i="7"/>
  <c r="DX5" i="7"/>
  <c r="DX6" i="7"/>
  <c r="DX8" i="7"/>
  <c r="DX4" i="7"/>
  <c r="DX9" i="7"/>
  <c r="DX7" i="7"/>
  <c r="DX15" i="7"/>
  <c r="DX10" i="7"/>
  <c r="DX14" i="7"/>
  <c r="DX13" i="7"/>
  <c r="DX12" i="7"/>
  <c r="DX11" i="7"/>
  <c r="DX16" i="7"/>
  <c r="DX18" i="7"/>
  <c r="DX17" i="7"/>
  <c r="DX19" i="7"/>
  <c r="DX20" i="7"/>
  <c r="DX22" i="7"/>
  <c r="DX21" i="7"/>
  <c r="DX24" i="7"/>
  <c r="DX25" i="7"/>
  <c r="DX26" i="7"/>
  <c r="DX23" i="7"/>
  <c r="DX28" i="7"/>
  <c r="DX27" i="7"/>
  <c r="DX29" i="7"/>
  <c r="DX32" i="7"/>
  <c r="DX31" i="7"/>
  <c r="DX33" i="7"/>
  <c r="DX34" i="7"/>
  <c r="DX35" i="7"/>
  <c r="DX30" i="7"/>
  <c r="DX36" i="7"/>
  <c r="DY1" i="7"/>
  <c r="DX3" i="7"/>
  <c r="DY37" i="7" l="1"/>
  <c r="DY38" i="7"/>
  <c r="DY39" i="7"/>
  <c r="DY40" i="7"/>
  <c r="DY41" i="7"/>
  <c r="DY42" i="7"/>
  <c r="DY43" i="7"/>
  <c r="DY44" i="7"/>
  <c r="DY4" i="7"/>
  <c r="DY5" i="7"/>
  <c r="DY7" i="7"/>
  <c r="DY9" i="7"/>
  <c r="DY6" i="7"/>
  <c r="DY8" i="7"/>
  <c r="DY14" i="7"/>
  <c r="DY10" i="7"/>
  <c r="DY12" i="7"/>
  <c r="DY11" i="7"/>
  <c r="DY16" i="7"/>
  <c r="DY15" i="7"/>
  <c r="DY17" i="7"/>
  <c r="DY18" i="7"/>
  <c r="DY21" i="7"/>
  <c r="DY19" i="7"/>
  <c r="DY13" i="7"/>
  <c r="DY20" i="7"/>
  <c r="DY22" i="7"/>
  <c r="DY24" i="7"/>
  <c r="DY25" i="7"/>
  <c r="DY23" i="7"/>
  <c r="DY28" i="7"/>
  <c r="DY26" i="7"/>
  <c r="DY29" i="7"/>
  <c r="DY32" i="7"/>
  <c r="DY31" i="7"/>
  <c r="DY33" i="7"/>
  <c r="DY34" i="7"/>
  <c r="DY27" i="7"/>
  <c r="DY35" i="7"/>
  <c r="DY30" i="7"/>
  <c r="DY36" i="7"/>
  <c r="DZ1" i="7"/>
  <c r="DY3" i="7"/>
  <c r="DZ37" i="7" l="1"/>
  <c r="DZ38" i="7"/>
  <c r="DZ39" i="7"/>
  <c r="DZ40" i="7"/>
  <c r="DZ41" i="7"/>
  <c r="DZ42" i="7"/>
  <c r="DZ43" i="7"/>
  <c r="DZ44" i="7"/>
  <c r="DZ4" i="7"/>
  <c r="DZ7" i="7"/>
  <c r="DZ8" i="7"/>
  <c r="DZ9" i="7"/>
  <c r="DZ6" i="7"/>
  <c r="DZ5" i="7"/>
  <c r="DZ13" i="7"/>
  <c r="DZ11" i="7"/>
  <c r="DZ10" i="7"/>
  <c r="DZ12" i="7"/>
  <c r="DZ16" i="7"/>
  <c r="DZ14" i="7"/>
  <c r="DZ15" i="7"/>
  <c r="DZ18" i="7"/>
  <c r="DZ20" i="7"/>
  <c r="DZ19" i="7"/>
  <c r="DZ21" i="7"/>
  <c r="DZ22" i="7"/>
  <c r="DZ24" i="7"/>
  <c r="DZ17" i="7"/>
  <c r="DZ23" i="7"/>
  <c r="DZ28" i="7"/>
  <c r="DZ25" i="7"/>
  <c r="DZ30" i="7"/>
  <c r="DZ26" i="7"/>
  <c r="DZ29" i="7"/>
  <c r="DZ32" i="7"/>
  <c r="DZ31" i="7"/>
  <c r="DZ33" i="7"/>
  <c r="DZ34" i="7"/>
  <c r="DZ35" i="7"/>
  <c r="DZ36" i="7"/>
  <c r="DZ27" i="7"/>
  <c r="EA1" i="7"/>
  <c r="DZ3" i="7"/>
  <c r="EA37" i="7" l="1"/>
  <c r="EA38" i="7"/>
  <c r="EA39" i="7"/>
  <c r="EA40" i="7"/>
  <c r="EA41" i="7"/>
  <c r="EA42" i="7"/>
  <c r="EA43" i="7"/>
  <c r="EA44" i="7"/>
  <c r="EA6" i="7"/>
  <c r="EA7" i="7"/>
  <c r="EA4" i="7"/>
  <c r="EA5" i="7"/>
  <c r="EA8" i="7"/>
  <c r="EA11" i="7"/>
  <c r="EA10" i="7"/>
  <c r="EA15" i="7"/>
  <c r="EA9" i="7"/>
  <c r="EA13" i="7"/>
  <c r="EA17" i="7"/>
  <c r="EA16" i="7"/>
  <c r="EA14" i="7"/>
  <c r="EA18" i="7"/>
  <c r="EA12" i="7"/>
  <c r="EA19" i="7"/>
  <c r="EA21" i="7"/>
  <c r="EA22" i="7"/>
  <c r="EA20" i="7"/>
  <c r="EA24" i="7"/>
  <c r="EA23" i="7"/>
  <c r="EA28" i="7"/>
  <c r="EA25" i="7"/>
  <c r="EA30" i="7"/>
  <c r="EA27" i="7"/>
  <c r="EA29" i="7"/>
  <c r="EA32" i="7"/>
  <c r="EA26" i="7"/>
  <c r="EA31" i="7"/>
  <c r="EA33" i="7"/>
  <c r="EA36" i="7"/>
  <c r="EA34" i="7"/>
  <c r="EA35" i="7"/>
  <c r="EB1" i="7"/>
  <c r="EA3" i="7"/>
  <c r="EB37" i="7" l="1"/>
  <c r="EB38" i="7"/>
  <c r="EB39" i="7"/>
  <c r="EB40" i="7"/>
  <c r="EB41" i="7"/>
  <c r="EB42" i="7"/>
  <c r="EB43" i="7"/>
  <c r="EB44" i="7"/>
  <c r="EB5" i="7"/>
  <c r="EB6" i="7"/>
  <c r="EB7" i="7"/>
  <c r="EB4" i="7"/>
  <c r="EB8" i="7"/>
  <c r="EB12" i="7"/>
  <c r="EB9" i="7"/>
  <c r="EB10" i="7"/>
  <c r="EB13" i="7"/>
  <c r="EB17" i="7"/>
  <c r="EB11" i="7"/>
  <c r="EB14" i="7"/>
  <c r="EB15" i="7"/>
  <c r="EB18" i="7"/>
  <c r="EB21" i="7"/>
  <c r="EB22" i="7"/>
  <c r="EB19" i="7"/>
  <c r="EB20" i="7"/>
  <c r="EB24" i="7"/>
  <c r="EB26" i="7"/>
  <c r="EB23" i="7"/>
  <c r="EB16" i="7"/>
  <c r="EB28" i="7"/>
  <c r="EB27" i="7"/>
  <c r="EB29" i="7"/>
  <c r="EB25" i="7"/>
  <c r="EB32" i="7"/>
  <c r="EB35" i="7"/>
  <c r="EB36" i="7"/>
  <c r="EB31" i="7"/>
  <c r="EB30" i="7"/>
  <c r="EB34" i="7"/>
  <c r="EB33" i="7"/>
  <c r="EC1" i="7"/>
  <c r="EB3" i="7"/>
  <c r="EC37" i="7" l="1"/>
  <c r="EC38" i="7"/>
  <c r="EC39" i="7"/>
  <c r="EC40" i="7"/>
  <c r="EC41" i="7"/>
  <c r="EC42" i="7"/>
  <c r="EC43" i="7"/>
  <c r="EC44" i="7"/>
  <c r="EC4" i="7"/>
  <c r="EC5" i="7"/>
  <c r="EC6" i="7"/>
  <c r="EC7" i="7"/>
  <c r="EC11" i="7"/>
  <c r="EC9" i="7"/>
  <c r="EC12" i="7"/>
  <c r="EC8" i="7"/>
  <c r="EC10" i="7"/>
  <c r="EC13" i="7"/>
  <c r="EC19" i="7"/>
  <c r="EC15" i="7"/>
  <c r="EC17" i="7"/>
  <c r="EC18" i="7"/>
  <c r="EC16" i="7"/>
  <c r="EC21" i="7"/>
  <c r="EC22" i="7"/>
  <c r="EC14" i="7"/>
  <c r="EC24" i="7"/>
  <c r="EC25" i="7"/>
  <c r="EC26" i="7"/>
  <c r="EC29" i="7"/>
  <c r="EC23" i="7"/>
  <c r="EC31" i="7"/>
  <c r="EC28" i="7"/>
  <c r="EC20" i="7"/>
  <c r="EC30" i="7"/>
  <c r="EC34" i="7"/>
  <c r="EC35" i="7"/>
  <c r="EC27" i="7"/>
  <c r="EC32" i="7"/>
  <c r="EC36" i="7"/>
  <c r="EC33" i="7"/>
  <c r="ED1" i="7"/>
  <c r="EC3" i="7"/>
  <c r="ED37" i="7" l="1"/>
  <c r="ED38" i="7"/>
  <c r="ED39" i="7"/>
  <c r="ED40" i="7"/>
  <c r="ED41" i="7"/>
  <c r="ED42" i="7"/>
  <c r="ED43" i="7"/>
  <c r="ED44" i="7"/>
  <c r="ED4" i="7"/>
  <c r="ED6" i="7"/>
  <c r="ED5" i="7"/>
  <c r="ED7" i="7"/>
  <c r="ED10" i="7"/>
  <c r="ED8" i="7"/>
  <c r="ED9" i="7"/>
  <c r="ED18" i="7"/>
  <c r="ED12" i="7"/>
  <c r="ED11" i="7"/>
  <c r="ED14" i="7"/>
  <c r="ED17" i="7"/>
  <c r="ED19" i="7"/>
  <c r="ED15" i="7"/>
  <c r="ED16" i="7"/>
  <c r="ED13" i="7"/>
  <c r="ED21" i="7"/>
  <c r="ED22" i="7"/>
  <c r="ED23" i="7"/>
  <c r="ED20" i="7"/>
  <c r="ED25" i="7"/>
  <c r="ED29" i="7"/>
  <c r="ED24" i="7"/>
  <c r="ED27" i="7"/>
  <c r="ED33" i="7"/>
  <c r="ED28" i="7"/>
  <c r="ED30" i="7"/>
  <c r="ED34" i="7"/>
  <c r="ED31" i="7"/>
  <c r="ED32" i="7"/>
  <c r="ED35" i="7"/>
  <c r="ED26" i="7"/>
  <c r="ED36" i="7"/>
  <c r="EE1" i="7"/>
  <c r="ED3" i="7"/>
  <c r="EE37" i="7" l="1"/>
  <c r="EE38" i="7"/>
  <c r="EE39" i="7"/>
  <c r="EE40" i="7"/>
  <c r="EE41" i="7"/>
  <c r="EE42" i="7"/>
  <c r="EE43" i="7"/>
  <c r="EE44" i="7"/>
  <c r="EE5" i="7"/>
  <c r="EE6" i="7"/>
  <c r="EE4" i="7"/>
  <c r="EE8" i="7"/>
  <c r="EE10" i="7"/>
  <c r="EE9" i="7"/>
  <c r="EE7" i="7"/>
  <c r="EE17" i="7"/>
  <c r="EE13" i="7"/>
  <c r="EE12" i="7"/>
  <c r="EE14" i="7"/>
  <c r="EE15" i="7"/>
  <c r="EE11" i="7"/>
  <c r="EE16" i="7"/>
  <c r="EE19" i="7"/>
  <c r="EE18" i="7"/>
  <c r="EE21" i="7"/>
  <c r="EE22" i="7"/>
  <c r="EE20" i="7"/>
  <c r="EE27" i="7"/>
  <c r="EE29" i="7"/>
  <c r="EE23" i="7"/>
  <c r="EE26" i="7"/>
  <c r="EE24" i="7"/>
  <c r="EE36" i="7"/>
  <c r="EE31" i="7"/>
  <c r="EE32" i="7"/>
  <c r="EE33" i="7"/>
  <c r="EE28" i="7"/>
  <c r="EE30" i="7"/>
  <c r="EE34" i="7"/>
  <c r="EE35" i="7"/>
  <c r="EE25" i="7"/>
  <c r="EF1" i="7"/>
  <c r="EE3" i="7"/>
  <c r="EF37" i="7" l="1"/>
  <c r="EF38" i="7"/>
  <c r="EF39" i="7"/>
  <c r="EF40" i="7"/>
  <c r="EF41" i="7"/>
  <c r="EF42" i="7"/>
  <c r="EF43" i="7"/>
  <c r="EF44" i="7"/>
  <c r="EF4" i="7"/>
  <c r="EF5" i="7"/>
  <c r="EF7" i="7"/>
  <c r="EF6" i="7"/>
  <c r="EF8" i="7"/>
  <c r="EF9" i="7"/>
  <c r="EF11" i="7"/>
  <c r="EF16" i="7"/>
  <c r="EF10" i="7"/>
  <c r="EF13" i="7"/>
  <c r="EF14" i="7"/>
  <c r="EF15" i="7"/>
  <c r="EF12" i="7"/>
  <c r="EF19" i="7"/>
  <c r="EF17" i="7"/>
  <c r="EF18" i="7"/>
  <c r="EF23" i="7"/>
  <c r="EF21" i="7"/>
  <c r="EF22" i="7"/>
  <c r="EF30" i="7"/>
  <c r="EF27" i="7"/>
  <c r="EF29" i="7"/>
  <c r="EF25" i="7"/>
  <c r="EF28" i="7"/>
  <c r="EF26" i="7"/>
  <c r="EF24" i="7"/>
  <c r="EF35" i="7"/>
  <c r="EF20" i="7"/>
  <c r="EF31" i="7"/>
  <c r="EF32" i="7"/>
  <c r="EF33" i="7"/>
  <c r="EF34" i="7"/>
  <c r="EF36" i="7"/>
  <c r="EG1" i="7"/>
  <c r="EF3" i="7"/>
  <c r="EG37" i="7" l="1"/>
  <c r="EG38" i="7"/>
  <c r="EG39" i="7"/>
  <c r="EG40" i="7"/>
  <c r="EG41" i="7"/>
  <c r="EG42" i="7"/>
  <c r="EG43" i="7"/>
  <c r="EG44" i="7"/>
  <c r="EG4" i="7"/>
  <c r="EG5" i="7"/>
  <c r="EG6" i="7"/>
  <c r="EG7" i="7"/>
  <c r="EG8" i="7"/>
  <c r="EG9" i="7"/>
  <c r="EG11" i="7"/>
  <c r="EG14" i="7"/>
  <c r="EG15" i="7"/>
  <c r="EG10" i="7"/>
  <c r="EG13" i="7"/>
  <c r="EG12" i="7"/>
  <c r="EG19" i="7"/>
  <c r="EG17" i="7"/>
  <c r="EG18" i="7"/>
  <c r="EG16" i="7"/>
  <c r="EG23" i="7"/>
  <c r="EG26" i="7"/>
  <c r="EG21" i="7"/>
  <c r="EG22" i="7"/>
  <c r="EG29" i="7"/>
  <c r="EG24" i="7"/>
  <c r="EG27" i="7"/>
  <c r="EG20" i="7"/>
  <c r="EG25" i="7"/>
  <c r="EG28" i="7"/>
  <c r="EG34" i="7"/>
  <c r="EG35" i="7"/>
  <c r="EG36" i="7"/>
  <c r="EG31" i="7"/>
  <c r="EG32" i="7"/>
  <c r="EG30" i="7"/>
  <c r="EG33" i="7"/>
  <c r="EH1" i="7"/>
  <c r="EG3" i="7"/>
  <c r="EH37" i="7" l="1"/>
  <c r="EH38" i="7"/>
  <c r="EH39" i="7"/>
  <c r="EH40" i="7"/>
  <c r="EH41" i="7"/>
  <c r="EH42" i="7"/>
  <c r="EH43" i="7"/>
  <c r="EH44" i="7"/>
  <c r="EH4" i="7"/>
  <c r="EH5" i="7"/>
  <c r="EH7" i="7"/>
  <c r="EH6" i="7"/>
  <c r="EH9" i="7"/>
  <c r="EH8" i="7"/>
  <c r="EH10" i="7"/>
  <c r="EH11" i="7"/>
  <c r="EH14" i="7"/>
  <c r="EH15" i="7"/>
  <c r="EH13" i="7"/>
  <c r="EH12" i="7"/>
  <c r="EH16" i="7"/>
  <c r="EH19" i="7"/>
  <c r="EH17" i="7"/>
  <c r="EH18" i="7"/>
  <c r="EH25" i="7"/>
  <c r="EH23" i="7"/>
  <c r="EH26" i="7"/>
  <c r="EH28" i="7"/>
  <c r="EH20" i="7"/>
  <c r="EH24" i="7"/>
  <c r="EH21" i="7"/>
  <c r="EH27" i="7"/>
  <c r="EH29" i="7"/>
  <c r="EH22" i="7"/>
  <c r="EH30" i="7"/>
  <c r="EH33" i="7"/>
  <c r="EH34" i="7"/>
  <c r="EH35" i="7"/>
  <c r="EH36" i="7"/>
  <c r="EH32" i="7"/>
  <c r="EH31" i="7"/>
  <c r="EI1" i="7"/>
  <c r="EH3" i="7"/>
  <c r="EI37" i="7" l="1"/>
  <c r="EI38" i="7"/>
  <c r="EI39" i="7"/>
  <c r="EI40" i="7"/>
  <c r="EI41" i="7"/>
  <c r="EI42" i="7"/>
  <c r="EI43" i="7"/>
  <c r="EI44" i="7"/>
  <c r="EI4" i="7"/>
  <c r="EI6" i="7"/>
  <c r="EI5" i="7"/>
  <c r="EI7" i="7"/>
  <c r="EI16" i="7"/>
  <c r="EI8" i="7"/>
  <c r="EI10" i="7"/>
  <c r="EI11" i="7"/>
  <c r="EI9" i="7"/>
  <c r="EI14" i="7"/>
  <c r="EI15" i="7"/>
  <c r="EI13" i="7"/>
  <c r="EI18" i="7"/>
  <c r="EI20" i="7"/>
  <c r="EI19" i="7"/>
  <c r="EI21" i="7"/>
  <c r="EI22" i="7"/>
  <c r="EI25" i="7"/>
  <c r="EI12" i="7"/>
  <c r="EI23" i="7"/>
  <c r="EI26" i="7"/>
  <c r="EI27" i="7"/>
  <c r="EI17" i="7"/>
  <c r="EI29" i="7"/>
  <c r="EI24" i="7"/>
  <c r="EI31" i="7"/>
  <c r="EI32" i="7"/>
  <c r="EI30" i="7"/>
  <c r="EI33" i="7"/>
  <c r="EI34" i="7"/>
  <c r="EI35" i="7"/>
  <c r="EI36" i="7"/>
  <c r="EI28" i="7"/>
  <c r="EJ1" i="7"/>
  <c r="EI3" i="7"/>
  <c r="EJ37" i="7" l="1"/>
  <c r="EJ38" i="7"/>
  <c r="EJ39" i="7"/>
  <c r="EJ40" i="7"/>
  <c r="EJ41" i="7"/>
  <c r="EJ42" i="7"/>
  <c r="EJ43" i="7"/>
  <c r="EJ44" i="7"/>
  <c r="EJ5" i="7"/>
  <c r="EJ8" i="7"/>
  <c r="EJ4" i="7"/>
  <c r="EJ11" i="7"/>
  <c r="EJ15" i="7"/>
  <c r="EJ6" i="7"/>
  <c r="EJ10" i="7"/>
  <c r="EJ9" i="7"/>
  <c r="EJ14" i="7"/>
  <c r="EJ12" i="7"/>
  <c r="EJ7" i="7"/>
  <c r="EJ18" i="7"/>
  <c r="EJ17" i="7"/>
  <c r="EJ20" i="7"/>
  <c r="EJ19" i="7"/>
  <c r="EJ21" i="7"/>
  <c r="EJ22" i="7"/>
  <c r="EJ16" i="7"/>
  <c r="EJ25" i="7"/>
  <c r="EJ23" i="7"/>
  <c r="EJ26" i="7"/>
  <c r="EJ24" i="7"/>
  <c r="EJ13" i="7"/>
  <c r="EJ27" i="7"/>
  <c r="EJ28" i="7"/>
  <c r="EJ31" i="7"/>
  <c r="EJ32" i="7"/>
  <c r="EJ30" i="7"/>
  <c r="EJ33" i="7"/>
  <c r="EJ34" i="7"/>
  <c r="EJ35" i="7"/>
  <c r="EJ29" i="7"/>
  <c r="EJ36" i="7"/>
  <c r="EK1" i="7"/>
  <c r="EJ3" i="7"/>
  <c r="EK37" i="7" l="1"/>
  <c r="EK38" i="7"/>
  <c r="EK39" i="7"/>
  <c r="EK40" i="7"/>
  <c r="EK41" i="7"/>
  <c r="EK42" i="7"/>
  <c r="EK43" i="7"/>
  <c r="EK44" i="7"/>
  <c r="EK4" i="7"/>
  <c r="EK5" i="7"/>
  <c r="EK6" i="7"/>
  <c r="EK7" i="7"/>
  <c r="EK9" i="7"/>
  <c r="EK14" i="7"/>
  <c r="EK8" i="7"/>
  <c r="EK10" i="7"/>
  <c r="EK13" i="7"/>
  <c r="EK11" i="7"/>
  <c r="EK12" i="7"/>
  <c r="EK16" i="7"/>
  <c r="EK17" i="7"/>
  <c r="EK18" i="7"/>
  <c r="EK15" i="7"/>
  <c r="EK21" i="7"/>
  <c r="EK20" i="7"/>
  <c r="EK24" i="7"/>
  <c r="EK19" i="7"/>
  <c r="EK25" i="7"/>
  <c r="EK28" i="7"/>
  <c r="EK23" i="7"/>
  <c r="EK27" i="7"/>
  <c r="EK22" i="7"/>
  <c r="EK31" i="7"/>
  <c r="EK32" i="7"/>
  <c r="EK30" i="7"/>
  <c r="EK33" i="7"/>
  <c r="EK34" i="7"/>
  <c r="EK35" i="7"/>
  <c r="EK29" i="7"/>
  <c r="EK36" i="7"/>
  <c r="EK26" i="7"/>
  <c r="EL1" i="7"/>
  <c r="EK3" i="7"/>
  <c r="EL37" i="7" l="1"/>
  <c r="EL38" i="7"/>
  <c r="EL39" i="7"/>
  <c r="EL40" i="7"/>
  <c r="EL41" i="7"/>
  <c r="EL42" i="7"/>
  <c r="EL43" i="7"/>
  <c r="EL44" i="7"/>
  <c r="EL4" i="7"/>
  <c r="EL6" i="7"/>
  <c r="EL7" i="7"/>
  <c r="EL8" i="7"/>
  <c r="EL5" i="7"/>
  <c r="EL13" i="7"/>
  <c r="EL9" i="7"/>
  <c r="EL11" i="7"/>
  <c r="EL14" i="7"/>
  <c r="EL12" i="7"/>
  <c r="EL16" i="7"/>
  <c r="EL17" i="7"/>
  <c r="EL10" i="7"/>
  <c r="EL18" i="7"/>
  <c r="EL20" i="7"/>
  <c r="EL15" i="7"/>
  <c r="EL19" i="7"/>
  <c r="EL24" i="7"/>
  <c r="EL21" i="7"/>
  <c r="EL28" i="7"/>
  <c r="EL29" i="7"/>
  <c r="EL22" i="7"/>
  <c r="EL23" i="7"/>
  <c r="EL31" i="7"/>
  <c r="EL32" i="7"/>
  <c r="EL30" i="7"/>
  <c r="EL33" i="7"/>
  <c r="EL34" i="7"/>
  <c r="EL26" i="7"/>
  <c r="EL27" i="7"/>
  <c r="EL35" i="7"/>
  <c r="EL25" i="7"/>
  <c r="EL36" i="7"/>
  <c r="EM1" i="7"/>
  <c r="EL3" i="7"/>
  <c r="EM37" i="7" l="1"/>
  <c r="EM38" i="7"/>
  <c r="EM39" i="7"/>
  <c r="EM40" i="7"/>
  <c r="EM41" i="7"/>
  <c r="EM42" i="7"/>
  <c r="EM43" i="7"/>
  <c r="EM44" i="7"/>
  <c r="EM6" i="7"/>
  <c r="EM5" i="7"/>
  <c r="EM7" i="7"/>
  <c r="EM4" i="7"/>
  <c r="EM9" i="7"/>
  <c r="EM8" i="7"/>
  <c r="EM11" i="7"/>
  <c r="EM10" i="7"/>
  <c r="EM12" i="7"/>
  <c r="EM13" i="7"/>
  <c r="EM16" i="7"/>
  <c r="EM14" i="7"/>
  <c r="EM17" i="7"/>
  <c r="EM18" i="7"/>
  <c r="EM15" i="7"/>
  <c r="EM20" i="7"/>
  <c r="EM24" i="7"/>
  <c r="EM22" i="7"/>
  <c r="EM19" i="7"/>
  <c r="EM26" i="7"/>
  <c r="EM21" i="7"/>
  <c r="EM28" i="7"/>
  <c r="EM30" i="7"/>
  <c r="EM23" i="7"/>
  <c r="EM31" i="7"/>
  <c r="EM32" i="7"/>
  <c r="EM33" i="7"/>
  <c r="EM25" i="7"/>
  <c r="EM36" i="7"/>
  <c r="EM27" i="7"/>
  <c r="EM34" i="7"/>
  <c r="EM35" i="7"/>
  <c r="EM29" i="7"/>
  <c r="EN1" i="7"/>
  <c r="EM3" i="7"/>
  <c r="EN37" i="7" l="1"/>
  <c r="EN38" i="7"/>
  <c r="EN39" i="7"/>
  <c r="EN40" i="7"/>
  <c r="EN41" i="7"/>
  <c r="EN42" i="7"/>
  <c r="EN43" i="7"/>
  <c r="EN44" i="7"/>
  <c r="EN5" i="7"/>
  <c r="EN6" i="7"/>
  <c r="EN4" i="7"/>
  <c r="EN9" i="7"/>
  <c r="EN12" i="7"/>
  <c r="EN11" i="7"/>
  <c r="EN8" i="7"/>
  <c r="EN7" i="7"/>
  <c r="EN10" i="7"/>
  <c r="EN15" i="7"/>
  <c r="EN13" i="7"/>
  <c r="EN17" i="7"/>
  <c r="EN16" i="7"/>
  <c r="EN14" i="7"/>
  <c r="EN18" i="7"/>
  <c r="EN19" i="7"/>
  <c r="EN22" i="7"/>
  <c r="EN24" i="7"/>
  <c r="EN21" i="7"/>
  <c r="EN23" i="7"/>
  <c r="EN26" i="7"/>
  <c r="EN20" i="7"/>
  <c r="EN25" i="7"/>
  <c r="EN28" i="7"/>
  <c r="EN30" i="7"/>
  <c r="EN27" i="7"/>
  <c r="EN31" i="7"/>
  <c r="EN32" i="7"/>
  <c r="EN29" i="7"/>
  <c r="EN35" i="7"/>
  <c r="EN36" i="7"/>
  <c r="EN33" i="7"/>
  <c r="EN34" i="7"/>
  <c r="EO1" i="7"/>
  <c r="EN3" i="7"/>
  <c r="EO37" i="7" l="1"/>
  <c r="EO38" i="7"/>
  <c r="EO39" i="7"/>
  <c r="EO40" i="7"/>
  <c r="EO41" i="7"/>
  <c r="EO42" i="7"/>
  <c r="EO43" i="7"/>
  <c r="EO44" i="7"/>
  <c r="EO4" i="7"/>
  <c r="EO5" i="7"/>
  <c r="EO6" i="7"/>
  <c r="EO11" i="7"/>
  <c r="EO8" i="7"/>
  <c r="EO7" i="7"/>
  <c r="EO9" i="7"/>
  <c r="EO10" i="7"/>
  <c r="EO12" i="7"/>
  <c r="EO19" i="7"/>
  <c r="EO13" i="7"/>
  <c r="EO16" i="7"/>
  <c r="EO15" i="7"/>
  <c r="EO17" i="7"/>
  <c r="EO18" i="7"/>
  <c r="EO14" i="7"/>
  <c r="EO21" i="7"/>
  <c r="EO22" i="7"/>
  <c r="EO24" i="7"/>
  <c r="EO25" i="7"/>
  <c r="EO23" i="7"/>
  <c r="EO26" i="7"/>
  <c r="EO20" i="7"/>
  <c r="EO28" i="7"/>
  <c r="EO31" i="7"/>
  <c r="EO27" i="7"/>
  <c r="EO30" i="7"/>
  <c r="EO34" i="7"/>
  <c r="EO29" i="7"/>
  <c r="EO35" i="7"/>
  <c r="EO33" i="7"/>
  <c r="EO32" i="7"/>
  <c r="EO36" i="7"/>
  <c r="EP1" i="7"/>
  <c r="EO3" i="7"/>
  <c r="EP37" i="7" l="1"/>
  <c r="EP38" i="7"/>
  <c r="EP39" i="7"/>
  <c r="EP40" i="7"/>
  <c r="EP41" i="7"/>
  <c r="EP42" i="7"/>
  <c r="EP43" i="7"/>
  <c r="EP44" i="7"/>
  <c r="EP4" i="7"/>
  <c r="EP6" i="7"/>
  <c r="EP5" i="7"/>
  <c r="EP10" i="7"/>
  <c r="EP9" i="7"/>
  <c r="EP12" i="7"/>
  <c r="EP7" i="7"/>
  <c r="EP13" i="7"/>
  <c r="EP18" i="7"/>
  <c r="EP11" i="7"/>
  <c r="EP15" i="7"/>
  <c r="EP8" i="7"/>
  <c r="EP17" i="7"/>
  <c r="EP16" i="7"/>
  <c r="EP14" i="7"/>
  <c r="EP21" i="7"/>
  <c r="EP22" i="7"/>
  <c r="EP23" i="7"/>
  <c r="EP24" i="7"/>
  <c r="EP25" i="7"/>
  <c r="EP20" i="7"/>
  <c r="EP29" i="7"/>
  <c r="EP19" i="7"/>
  <c r="EP26" i="7"/>
  <c r="EP28" i="7"/>
  <c r="EP33" i="7"/>
  <c r="EP34" i="7"/>
  <c r="EP36" i="7"/>
  <c r="EP31" i="7"/>
  <c r="EP32" i="7"/>
  <c r="EP27" i="7"/>
  <c r="EP35" i="7"/>
  <c r="EP30" i="7"/>
  <c r="EQ1" i="7"/>
  <c r="EP3" i="7"/>
  <c r="EQ37" i="7" l="1"/>
  <c r="EQ38" i="7"/>
  <c r="EQ39" i="7"/>
  <c r="EQ40" i="7"/>
  <c r="EQ41" i="7"/>
  <c r="EQ42" i="7"/>
  <c r="EQ43" i="7"/>
  <c r="EQ44" i="7"/>
  <c r="EQ5" i="7"/>
  <c r="EQ6" i="7"/>
  <c r="EQ4" i="7"/>
  <c r="EQ8" i="7"/>
  <c r="EQ9" i="7"/>
  <c r="EQ7" i="7"/>
  <c r="EQ10" i="7"/>
  <c r="EQ17" i="7"/>
  <c r="EQ11" i="7"/>
  <c r="EQ14" i="7"/>
  <c r="EQ12" i="7"/>
  <c r="EQ13" i="7"/>
  <c r="EQ15" i="7"/>
  <c r="EQ19" i="7"/>
  <c r="EQ16" i="7"/>
  <c r="EQ18" i="7"/>
  <c r="EQ21" i="7"/>
  <c r="EQ22" i="7"/>
  <c r="EQ20" i="7"/>
  <c r="EQ24" i="7"/>
  <c r="EQ25" i="7"/>
  <c r="EQ29" i="7"/>
  <c r="EQ26" i="7"/>
  <c r="EQ23" i="7"/>
  <c r="EQ27" i="7"/>
  <c r="EQ36" i="7"/>
  <c r="EQ28" i="7"/>
  <c r="EQ32" i="7"/>
  <c r="EQ33" i="7"/>
  <c r="EQ31" i="7"/>
  <c r="EQ34" i="7"/>
  <c r="EQ35" i="7"/>
  <c r="EQ30" i="7"/>
  <c r="ER1" i="7"/>
  <c r="EQ3" i="7"/>
  <c r="ER37" i="7" l="1"/>
  <c r="ER38" i="7"/>
  <c r="ER39" i="7"/>
  <c r="ER40" i="7"/>
  <c r="ER41" i="7"/>
  <c r="ER42" i="7"/>
  <c r="ER43" i="7"/>
  <c r="ER44" i="7"/>
  <c r="ER4" i="7"/>
  <c r="ER5" i="7"/>
  <c r="ER7" i="7"/>
  <c r="ER6" i="7"/>
  <c r="ER10" i="7"/>
  <c r="ER8" i="7"/>
  <c r="ER9" i="7"/>
  <c r="ER12" i="7"/>
  <c r="ER13" i="7"/>
  <c r="ER11" i="7"/>
  <c r="ER17" i="7"/>
  <c r="ER15" i="7"/>
  <c r="ER19" i="7"/>
  <c r="ER16" i="7"/>
  <c r="ER18" i="7"/>
  <c r="ER14" i="7"/>
  <c r="ER21" i="7"/>
  <c r="ER20" i="7"/>
  <c r="ER30" i="7"/>
  <c r="ER22" i="7"/>
  <c r="ER27" i="7"/>
  <c r="ER24" i="7"/>
  <c r="ER25" i="7"/>
  <c r="ER29" i="7"/>
  <c r="ER26" i="7"/>
  <c r="ER23" i="7"/>
  <c r="ER35" i="7"/>
  <c r="ER28" i="7"/>
  <c r="ER31" i="7"/>
  <c r="ER32" i="7"/>
  <c r="ER33" i="7"/>
  <c r="ER36" i="7"/>
  <c r="ER34" i="7"/>
  <c r="ES1" i="7"/>
  <c r="ER3" i="7"/>
  <c r="ES37" i="7" l="1"/>
  <c r="ES38" i="7"/>
  <c r="ES39" i="7"/>
  <c r="ES40" i="7"/>
  <c r="ES41" i="7"/>
  <c r="ES42" i="7"/>
  <c r="ES43" i="7"/>
  <c r="ES44" i="7"/>
  <c r="ES4" i="7"/>
  <c r="ES5" i="7"/>
  <c r="ES8" i="7"/>
  <c r="ES6" i="7"/>
  <c r="ES9" i="7"/>
  <c r="ES11" i="7"/>
  <c r="ES7" i="7"/>
  <c r="ES16" i="7"/>
  <c r="ES12" i="7"/>
  <c r="ES13" i="7"/>
  <c r="ES14" i="7"/>
  <c r="ES10" i="7"/>
  <c r="ES19" i="7"/>
  <c r="ES17" i="7"/>
  <c r="ES18" i="7"/>
  <c r="ES20" i="7"/>
  <c r="ES23" i="7"/>
  <c r="ES26" i="7"/>
  <c r="ES15" i="7"/>
  <c r="ES29" i="7"/>
  <c r="ES21" i="7"/>
  <c r="ES27" i="7"/>
  <c r="ES24" i="7"/>
  <c r="ES25" i="7"/>
  <c r="ES28" i="7"/>
  <c r="ES22" i="7"/>
  <c r="ES34" i="7"/>
  <c r="ES35" i="7"/>
  <c r="ES36" i="7"/>
  <c r="ES30" i="7"/>
  <c r="ES31" i="7"/>
  <c r="ES32" i="7"/>
  <c r="ES33" i="7"/>
  <c r="ET1" i="7"/>
  <c r="ES3" i="7"/>
  <c r="ET37" i="7" l="1"/>
  <c r="ET38" i="7"/>
  <c r="ET39" i="7"/>
  <c r="ET40" i="7"/>
  <c r="ET41" i="7"/>
  <c r="ET42" i="7"/>
  <c r="ET43" i="7"/>
  <c r="ET44" i="7"/>
  <c r="ET4" i="7"/>
  <c r="ET5" i="7"/>
  <c r="ET7" i="7"/>
  <c r="ET8" i="7"/>
  <c r="ET6" i="7"/>
  <c r="ET9" i="7"/>
  <c r="ET14" i="7"/>
  <c r="ET15" i="7"/>
  <c r="ET12" i="7"/>
  <c r="ET13" i="7"/>
  <c r="ET11" i="7"/>
  <c r="ET16" i="7"/>
  <c r="ET10" i="7"/>
  <c r="ET19" i="7"/>
  <c r="ET17" i="7"/>
  <c r="ET18" i="7"/>
  <c r="ET20" i="7"/>
  <c r="ET23" i="7"/>
  <c r="ET25" i="7"/>
  <c r="ET26" i="7"/>
  <c r="ET28" i="7"/>
  <c r="ET24" i="7"/>
  <c r="ET21" i="7"/>
  <c r="ET22" i="7"/>
  <c r="ET27" i="7"/>
  <c r="ET29" i="7"/>
  <c r="ET33" i="7"/>
  <c r="ET34" i="7"/>
  <c r="ET35" i="7"/>
  <c r="ET36" i="7"/>
  <c r="ET30" i="7"/>
  <c r="ET31" i="7"/>
  <c r="ET32" i="7"/>
  <c r="EU1" i="7"/>
  <c r="ET3" i="7"/>
  <c r="EU37" i="7" l="1"/>
  <c r="EU38" i="7"/>
  <c r="EU39" i="7"/>
  <c r="EU40" i="7"/>
  <c r="EU41" i="7"/>
  <c r="EU42" i="7"/>
  <c r="EU43" i="7"/>
  <c r="EU44" i="7"/>
  <c r="EU4" i="7"/>
  <c r="EU6" i="7"/>
  <c r="EU5" i="7"/>
  <c r="EU7" i="7"/>
  <c r="EU8" i="7"/>
  <c r="EU16" i="7"/>
  <c r="EU10" i="7"/>
  <c r="EU11" i="7"/>
  <c r="EU14" i="7"/>
  <c r="EU9" i="7"/>
  <c r="EU15" i="7"/>
  <c r="EU12" i="7"/>
  <c r="EU13" i="7"/>
  <c r="EU19" i="7"/>
  <c r="EU17" i="7"/>
  <c r="EU18" i="7"/>
  <c r="EU22" i="7"/>
  <c r="EU20" i="7"/>
  <c r="EU23" i="7"/>
  <c r="EU25" i="7"/>
  <c r="EU26" i="7"/>
  <c r="EU27" i="7"/>
  <c r="EU24" i="7"/>
  <c r="EU21" i="7"/>
  <c r="EU29" i="7"/>
  <c r="EU28" i="7"/>
  <c r="EU32" i="7"/>
  <c r="EU33" i="7"/>
  <c r="EU34" i="7"/>
  <c r="EU35" i="7"/>
  <c r="EU36" i="7"/>
  <c r="EU30" i="7"/>
  <c r="EU31" i="7"/>
  <c r="EV1" i="7"/>
  <c r="EU3" i="7"/>
  <c r="EV37" i="7" l="1"/>
  <c r="EV38" i="7"/>
  <c r="EV39" i="7"/>
  <c r="EV40" i="7"/>
  <c r="EV41" i="7"/>
  <c r="EV42" i="7"/>
  <c r="EV43" i="7"/>
  <c r="EV44" i="7"/>
  <c r="EV5" i="7"/>
  <c r="EV4" i="7"/>
  <c r="EV9" i="7"/>
  <c r="EV7" i="7"/>
  <c r="EV15" i="7"/>
  <c r="EV6" i="7"/>
  <c r="EV10" i="7"/>
  <c r="EV8" i="7"/>
  <c r="EV11" i="7"/>
  <c r="EV12" i="7"/>
  <c r="EV13" i="7"/>
  <c r="EV14" i="7"/>
  <c r="EV16" i="7"/>
  <c r="EV17" i="7"/>
  <c r="EV18" i="7"/>
  <c r="EV20" i="7"/>
  <c r="EV19" i="7"/>
  <c r="EV21" i="7"/>
  <c r="EV22" i="7"/>
  <c r="EV23" i="7"/>
  <c r="EV25" i="7"/>
  <c r="EV26" i="7"/>
  <c r="EV27" i="7"/>
  <c r="EV24" i="7"/>
  <c r="EV29" i="7"/>
  <c r="EV31" i="7"/>
  <c r="EV32" i="7"/>
  <c r="EV33" i="7"/>
  <c r="EV28" i="7"/>
  <c r="EV34" i="7"/>
  <c r="EV35" i="7"/>
  <c r="EV36" i="7"/>
  <c r="EV30" i="7"/>
  <c r="EW1" i="7"/>
  <c r="EV3" i="7"/>
  <c r="EW37" i="7" l="1"/>
  <c r="EW38" i="7"/>
  <c r="EW39" i="7"/>
  <c r="EW40" i="7"/>
  <c r="EW41" i="7"/>
  <c r="EW42" i="7"/>
  <c r="EW43" i="7"/>
  <c r="EW44" i="7"/>
  <c r="EW4" i="7"/>
  <c r="EW5" i="7"/>
  <c r="EW7" i="7"/>
  <c r="EW9" i="7"/>
  <c r="EW6" i="7"/>
  <c r="EW11" i="7"/>
  <c r="EW14" i="7"/>
  <c r="EW10" i="7"/>
  <c r="EW8" i="7"/>
  <c r="EW15" i="7"/>
  <c r="EW18" i="7"/>
  <c r="EW16" i="7"/>
  <c r="EW13" i="7"/>
  <c r="EW12" i="7"/>
  <c r="EW17" i="7"/>
  <c r="EW20" i="7"/>
  <c r="EW19" i="7"/>
  <c r="EW21" i="7"/>
  <c r="EW22" i="7"/>
  <c r="EW23" i="7"/>
  <c r="EW25" i="7"/>
  <c r="EW26" i="7"/>
  <c r="EW27" i="7"/>
  <c r="EW24" i="7"/>
  <c r="EW30" i="7"/>
  <c r="EW31" i="7"/>
  <c r="EW32" i="7"/>
  <c r="EW33" i="7"/>
  <c r="EW28" i="7"/>
  <c r="EW34" i="7"/>
  <c r="EW35" i="7"/>
  <c r="EW29" i="7"/>
  <c r="EW36" i="7"/>
  <c r="EX1" i="7"/>
  <c r="EW3" i="7"/>
  <c r="EX37" i="7" l="1"/>
  <c r="EX38" i="7"/>
  <c r="EX39" i="7"/>
  <c r="EX40" i="7"/>
  <c r="EX41" i="7"/>
  <c r="EX42" i="7"/>
  <c r="EX43" i="7"/>
  <c r="EX44" i="7"/>
  <c r="EX4" i="7"/>
  <c r="EX7" i="7"/>
  <c r="EX8" i="7"/>
  <c r="EX6" i="7"/>
  <c r="EX5" i="7"/>
  <c r="EX13" i="7"/>
  <c r="EX9" i="7"/>
  <c r="EX10" i="7"/>
  <c r="EX14" i="7"/>
  <c r="EX12" i="7"/>
  <c r="EX15" i="7"/>
  <c r="EX16" i="7"/>
  <c r="EX20" i="7"/>
  <c r="EX11" i="7"/>
  <c r="EX17" i="7"/>
  <c r="EX18" i="7"/>
  <c r="EX21" i="7"/>
  <c r="EX24" i="7"/>
  <c r="EX22" i="7"/>
  <c r="EX28" i="7"/>
  <c r="EX19" i="7"/>
  <c r="EX25" i="7"/>
  <c r="EX26" i="7"/>
  <c r="EX27" i="7"/>
  <c r="EX23" i="7"/>
  <c r="EX30" i="7"/>
  <c r="EX31" i="7"/>
  <c r="EX32" i="7"/>
  <c r="EX33" i="7"/>
  <c r="EX34" i="7"/>
  <c r="EX36" i="7"/>
  <c r="EX29" i="7"/>
  <c r="EX35" i="7"/>
  <c r="EY1" i="7"/>
  <c r="EX3" i="7"/>
  <c r="EY37" i="7" l="1"/>
  <c r="EY38" i="7"/>
  <c r="EY39" i="7"/>
  <c r="EY40" i="7"/>
  <c r="EY41" i="7"/>
  <c r="EY42" i="7"/>
  <c r="EY43" i="7"/>
  <c r="EY44" i="7"/>
  <c r="EY6" i="7"/>
  <c r="EY4" i="7"/>
  <c r="EY7" i="7"/>
  <c r="EY5" i="7"/>
  <c r="EY9" i="7"/>
  <c r="EY8" i="7"/>
  <c r="EY14" i="7"/>
  <c r="EY10" i="7"/>
  <c r="EY13" i="7"/>
  <c r="EY16" i="7"/>
  <c r="EY15" i="7"/>
  <c r="EY18" i="7"/>
  <c r="EY19" i="7"/>
  <c r="EY11" i="7"/>
  <c r="EY12" i="7"/>
  <c r="EY17" i="7"/>
  <c r="EY20" i="7"/>
  <c r="EY21" i="7"/>
  <c r="EY24" i="7"/>
  <c r="EY22" i="7"/>
  <c r="EY28" i="7"/>
  <c r="EY25" i="7"/>
  <c r="EY29" i="7"/>
  <c r="EY27" i="7"/>
  <c r="EY30" i="7"/>
  <c r="EY23" i="7"/>
  <c r="EY31" i="7"/>
  <c r="EY32" i="7"/>
  <c r="EY33" i="7"/>
  <c r="EY36" i="7"/>
  <c r="EY26" i="7"/>
  <c r="EY34" i="7"/>
  <c r="EY35" i="7"/>
  <c r="EZ1" i="7"/>
  <c r="EY3" i="7"/>
  <c r="EZ37" i="7" l="1"/>
  <c r="EZ38" i="7"/>
  <c r="EZ39" i="7"/>
  <c r="EZ40" i="7"/>
  <c r="EZ41" i="7"/>
  <c r="EZ42" i="7"/>
  <c r="EZ43" i="7"/>
  <c r="EZ44" i="7"/>
  <c r="EZ5" i="7"/>
  <c r="EZ6" i="7"/>
  <c r="EZ4" i="7"/>
  <c r="EZ9" i="7"/>
  <c r="EZ12" i="7"/>
  <c r="EZ7" i="7"/>
  <c r="EZ8" i="7"/>
  <c r="EZ11" i="7"/>
  <c r="EZ10" i="7"/>
  <c r="EZ16" i="7"/>
  <c r="EZ14" i="7"/>
  <c r="EZ13" i="7"/>
  <c r="EZ18" i="7"/>
  <c r="EZ15" i="7"/>
  <c r="EZ17" i="7"/>
  <c r="EZ22" i="7"/>
  <c r="EZ20" i="7"/>
  <c r="EZ21" i="7"/>
  <c r="EZ24" i="7"/>
  <c r="EZ19" i="7"/>
  <c r="EZ26" i="7"/>
  <c r="EZ23" i="7"/>
  <c r="EZ28" i="7"/>
  <c r="EZ30" i="7"/>
  <c r="EZ29" i="7"/>
  <c r="EZ27" i="7"/>
  <c r="EZ31" i="7"/>
  <c r="EZ32" i="7"/>
  <c r="EZ35" i="7"/>
  <c r="EZ25" i="7"/>
  <c r="EZ36" i="7"/>
  <c r="EZ33" i="7"/>
  <c r="EZ34" i="7"/>
  <c r="FA1" i="7"/>
  <c r="EZ3" i="7"/>
  <c r="FA37" i="7" l="1"/>
  <c r="FA38" i="7"/>
  <c r="FA39" i="7"/>
  <c r="FA40" i="7"/>
  <c r="FA41" i="7"/>
  <c r="FA42" i="7"/>
  <c r="FA43" i="7"/>
  <c r="FA44" i="7"/>
  <c r="FA4" i="7"/>
  <c r="FA5" i="7"/>
  <c r="FA6" i="7"/>
  <c r="FA7" i="7"/>
  <c r="FA11" i="7"/>
  <c r="FA8" i="7"/>
  <c r="FA9" i="7"/>
  <c r="FA10" i="7"/>
  <c r="FA15" i="7"/>
  <c r="FA19" i="7"/>
  <c r="FA12" i="7"/>
  <c r="FA13" i="7"/>
  <c r="FA16" i="7"/>
  <c r="FA18" i="7"/>
  <c r="FA17" i="7"/>
  <c r="FA21" i="7"/>
  <c r="FA22" i="7"/>
  <c r="FA24" i="7"/>
  <c r="FA20" i="7"/>
  <c r="FA23" i="7"/>
  <c r="FA25" i="7"/>
  <c r="FA26" i="7"/>
  <c r="FA14" i="7"/>
  <c r="FA28" i="7"/>
  <c r="FA31" i="7"/>
  <c r="FA30" i="7"/>
  <c r="FA27" i="7"/>
  <c r="FA29" i="7"/>
  <c r="FA34" i="7"/>
  <c r="FA35" i="7"/>
  <c r="FA33" i="7"/>
  <c r="FA36" i="7"/>
  <c r="FA32" i="7"/>
  <c r="FB1" i="7"/>
  <c r="FA3" i="7"/>
  <c r="FB37" i="7" l="1"/>
  <c r="FB38" i="7"/>
  <c r="FB39" i="7"/>
  <c r="FB40" i="7"/>
  <c r="FB41" i="7"/>
  <c r="FB42" i="7"/>
  <c r="FB43" i="7"/>
  <c r="FB44" i="7"/>
  <c r="FB4" i="7"/>
  <c r="FB6" i="7"/>
  <c r="FB5" i="7"/>
  <c r="FB9" i="7"/>
  <c r="FB10" i="7"/>
  <c r="FB7" i="7"/>
  <c r="FB8" i="7"/>
  <c r="FB11" i="7"/>
  <c r="FB18" i="7"/>
  <c r="FB12" i="7"/>
  <c r="FB13" i="7"/>
  <c r="FB14" i="7"/>
  <c r="FB16" i="7"/>
  <c r="FB17" i="7"/>
  <c r="FB15" i="7"/>
  <c r="FB19" i="7"/>
  <c r="FB21" i="7"/>
  <c r="FB22" i="7"/>
  <c r="FB23" i="7"/>
  <c r="FB24" i="7"/>
  <c r="FB20" i="7"/>
  <c r="FB25" i="7"/>
  <c r="FB28" i="7"/>
  <c r="FB27" i="7"/>
  <c r="FB29" i="7"/>
  <c r="FB30" i="7"/>
  <c r="FB31" i="7"/>
  <c r="FB33" i="7"/>
  <c r="FB34" i="7"/>
  <c r="FB26" i="7"/>
  <c r="FB35" i="7"/>
  <c r="FB36" i="7"/>
  <c r="FB32" i="7"/>
  <c r="FC1" i="7"/>
  <c r="FB3" i="7"/>
  <c r="FC37" i="7" l="1"/>
  <c r="FC38" i="7"/>
  <c r="FC39" i="7"/>
  <c r="FC40" i="7"/>
  <c r="FC41" i="7"/>
  <c r="FC42" i="7"/>
  <c r="FC43" i="7"/>
  <c r="FC44" i="7"/>
  <c r="FC5" i="7"/>
  <c r="FC6" i="7"/>
  <c r="FC4" i="7"/>
  <c r="FC7" i="7"/>
  <c r="FC8" i="7"/>
  <c r="FC12" i="7"/>
  <c r="FC9" i="7"/>
  <c r="FC10" i="7"/>
  <c r="FC13" i="7"/>
  <c r="FC17" i="7"/>
  <c r="FC15" i="7"/>
  <c r="FC14" i="7"/>
  <c r="FC16" i="7"/>
  <c r="FC18" i="7"/>
  <c r="FC11" i="7"/>
  <c r="FC19" i="7"/>
  <c r="FC21" i="7"/>
  <c r="FC22" i="7"/>
  <c r="FC24" i="7"/>
  <c r="FC23" i="7"/>
  <c r="FC29" i="7"/>
  <c r="FC28" i="7"/>
  <c r="FC26" i="7"/>
  <c r="FC20" i="7"/>
  <c r="FC36" i="7"/>
  <c r="FC27" i="7"/>
  <c r="FC30" i="7"/>
  <c r="FC32" i="7"/>
  <c r="FC33" i="7"/>
  <c r="FC25" i="7"/>
  <c r="FC34" i="7"/>
  <c r="FC35" i="7"/>
  <c r="FC31" i="7"/>
  <c r="FD1" i="7"/>
  <c r="FC3" i="7"/>
  <c r="FD37" i="7" l="1"/>
  <c r="FD38" i="7"/>
  <c r="FD39" i="7"/>
  <c r="FD40" i="7"/>
  <c r="FD41" i="7"/>
  <c r="FD42" i="7"/>
  <c r="FD43" i="7"/>
  <c r="FD44" i="7"/>
  <c r="FD4" i="7"/>
  <c r="FD5" i="7"/>
  <c r="FD7" i="7"/>
  <c r="FD9" i="7"/>
  <c r="FD8" i="7"/>
  <c r="FD6" i="7"/>
  <c r="FD10" i="7"/>
  <c r="FD12" i="7"/>
  <c r="FD11" i="7"/>
  <c r="FD14" i="7"/>
  <c r="FD19" i="7"/>
  <c r="FD17" i="7"/>
  <c r="FD13" i="7"/>
  <c r="FD18" i="7"/>
  <c r="FD16" i="7"/>
  <c r="FD15" i="7"/>
  <c r="FD21" i="7"/>
  <c r="FD20" i="7"/>
  <c r="FD22" i="7"/>
  <c r="FD30" i="7"/>
  <c r="FD23" i="7"/>
  <c r="FD29" i="7"/>
  <c r="FD25" i="7"/>
  <c r="FD26" i="7"/>
  <c r="FD35" i="7"/>
  <c r="FD24" i="7"/>
  <c r="FD27" i="7"/>
  <c r="FD28" i="7"/>
  <c r="FD32" i="7"/>
  <c r="FD33" i="7"/>
  <c r="FD34" i="7"/>
  <c r="FD36" i="7"/>
  <c r="FD31" i="7"/>
  <c r="FE1" i="7"/>
  <c r="FD3" i="7"/>
  <c r="FE37" i="7" l="1"/>
  <c r="FE38" i="7"/>
  <c r="FE39" i="7"/>
  <c r="FE40" i="7"/>
  <c r="FE41" i="7"/>
  <c r="FE42" i="7"/>
  <c r="FE43" i="7"/>
  <c r="FE44" i="7"/>
  <c r="FE4" i="7"/>
  <c r="FE5" i="7"/>
  <c r="FE8" i="7"/>
  <c r="FE7" i="7"/>
  <c r="FE9" i="7"/>
  <c r="FE10" i="7"/>
  <c r="FE6" i="7"/>
  <c r="FE13" i="7"/>
  <c r="FE14" i="7"/>
  <c r="FE17" i="7"/>
  <c r="FE11" i="7"/>
  <c r="FE15" i="7"/>
  <c r="FE19" i="7"/>
  <c r="FE18" i="7"/>
  <c r="FE16" i="7"/>
  <c r="FE12" i="7"/>
  <c r="FE20" i="7"/>
  <c r="FE26" i="7"/>
  <c r="FE21" i="7"/>
  <c r="FE22" i="7"/>
  <c r="FE29" i="7"/>
  <c r="FE27" i="7"/>
  <c r="FE23" i="7"/>
  <c r="FE25" i="7"/>
  <c r="FE34" i="7"/>
  <c r="FE35" i="7"/>
  <c r="FE24" i="7"/>
  <c r="FE36" i="7"/>
  <c r="FE30" i="7"/>
  <c r="FE31" i="7"/>
  <c r="FE32" i="7"/>
  <c r="FE28" i="7"/>
  <c r="FE33" i="7"/>
  <c r="FF1" i="7"/>
  <c r="FE3" i="7"/>
  <c r="FF37" i="7" l="1"/>
  <c r="FF38" i="7"/>
  <c r="FF39" i="7"/>
  <c r="FF40" i="7"/>
  <c r="FF41" i="7"/>
  <c r="FF42" i="7"/>
  <c r="FF43" i="7"/>
  <c r="FF44" i="7"/>
  <c r="FF4" i="7"/>
  <c r="FF6" i="7"/>
  <c r="FF5" i="7"/>
  <c r="FF7" i="7"/>
  <c r="FF8" i="7"/>
  <c r="FF11" i="7"/>
  <c r="FF16" i="7"/>
  <c r="FF12" i="7"/>
  <c r="FF13" i="7"/>
  <c r="FF9" i="7"/>
  <c r="FF14" i="7"/>
  <c r="FF10" i="7"/>
  <c r="FF15" i="7"/>
  <c r="FF17" i="7"/>
  <c r="FF19" i="7"/>
  <c r="FF18" i="7"/>
  <c r="FF23" i="7"/>
  <c r="FF25" i="7"/>
  <c r="FF26" i="7"/>
  <c r="FF21" i="7"/>
  <c r="FF28" i="7"/>
  <c r="FF22" i="7"/>
  <c r="FF27" i="7"/>
  <c r="FF29" i="7"/>
  <c r="FF24" i="7"/>
  <c r="FF20" i="7"/>
  <c r="FF33" i="7"/>
  <c r="FF34" i="7"/>
  <c r="FF35" i="7"/>
  <c r="FF36" i="7"/>
  <c r="FF31" i="7"/>
  <c r="FF30" i="7"/>
  <c r="FF32" i="7"/>
  <c r="FG1" i="7"/>
  <c r="FF3" i="7"/>
  <c r="FG37" i="7" l="1"/>
  <c r="FG38" i="7"/>
  <c r="FG39" i="7"/>
  <c r="FG40" i="7"/>
  <c r="FG41" i="7"/>
  <c r="FG42" i="7"/>
  <c r="FG43" i="7"/>
  <c r="FG44" i="7"/>
  <c r="FG4" i="7"/>
  <c r="FG6" i="7"/>
  <c r="FG8" i="7"/>
  <c r="FG5" i="7"/>
  <c r="FG16" i="7"/>
  <c r="FG7" i="7"/>
  <c r="FG9" i="7"/>
  <c r="FG12" i="7"/>
  <c r="FG10" i="7"/>
  <c r="FG11" i="7"/>
  <c r="FG14" i="7"/>
  <c r="FG13" i="7"/>
  <c r="FG15" i="7"/>
  <c r="FG17" i="7"/>
  <c r="FG19" i="7"/>
  <c r="FG22" i="7"/>
  <c r="FG23" i="7"/>
  <c r="FG25" i="7"/>
  <c r="FG26" i="7"/>
  <c r="FG27" i="7"/>
  <c r="FG24" i="7"/>
  <c r="FG18" i="7"/>
  <c r="FG21" i="7"/>
  <c r="FG29" i="7"/>
  <c r="FG28" i="7"/>
  <c r="FG20" i="7"/>
  <c r="FG32" i="7"/>
  <c r="FG33" i="7"/>
  <c r="FG34" i="7"/>
  <c r="FG35" i="7"/>
  <c r="FG36" i="7"/>
  <c r="FG31" i="7"/>
  <c r="FG30" i="7"/>
  <c r="FH1" i="7"/>
  <c r="FG3" i="7"/>
  <c r="FH37" i="7" l="1"/>
  <c r="FH38" i="7"/>
  <c r="FH39" i="7"/>
  <c r="FH40" i="7"/>
  <c r="FH41" i="7"/>
  <c r="FH42" i="7"/>
  <c r="FH43" i="7"/>
  <c r="FH44" i="7"/>
  <c r="FH5" i="7"/>
  <c r="FH6" i="7"/>
  <c r="FH4" i="7"/>
  <c r="FH8" i="7"/>
  <c r="FH15" i="7"/>
  <c r="FH7" i="7"/>
  <c r="FH10" i="7"/>
  <c r="FH9" i="7"/>
  <c r="FH14" i="7"/>
  <c r="FH11" i="7"/>
  <c r="FH12" i="7"/>
  <c r="FH13" i="7"/>
  <c r="FH17" i="7"/>
  <c r="FH19" i="7"/>
  <c r="FH18" i="7"/>
  <c r="FH16" i="7"/>
  <c r="FH21" i="7"/>
  <c r="FH22" i="7"/>
  <c r="FH23" i="7"/>
  <c r="FH25" i="7"/>
  <c r="FH26" i="7"/>
  <c r="FH20" i="7"/>
  <c r="FH24" i="7"/>
  <c r="FH27" i="7"/>
  <c r="FH29" i="7"/>
  <c r="FH28" i="7"/>
  <c r="FH32" i="7"/>
  <c r="FH33" i="7"/>
  <c r="FH34" i="7"/>
  <c r="FH35" i="7"/>
  <c r="FH36" i="7"/>
  <c r="FH30" i="7"/>
  <c r="FH31" i="7"/>
  <c r="FI1" i="7"/>
  <c r="FH3" i="7"/>
  <c r="FI37" i="7" l="1"/>
  <c r="FI38" i="7"/>
  <c r="FI39" i="7"/>
  <c r="FI40" i="7"/>
  <c r="FI41" i="7"/>
  <c r="FI42" i="7"/>
  <c r="FI43" i="7"/>
  <c r="FI44" i="7"/>
  <c r="FI4" i="7"/>
  <c r="FI5" i="7"/>
  <c r="FI7" i="7"/>
  <c r="FI6" i="7"/>
  <c r="FI9" i="7"/>
  <c r="FI8" i="7"/>
  <c r="FI14" i="7"/>
  <c r="FI10" i="7"/>
  <c r="FI11" i="7"/>
  <c r="FI16" i="7"/>
  <c r="FI12" i="7"/>
  <c r="FI13" i="7"/>
  <c r="FI17" i="7"/>
  <c r="FI18" i="7"/>
  <c r="FI19" i="7"/>
  <c r="FI20" i="7"/>
  <c r="FI21" i="7"/>
  <c r="FI23" i="7"/>
  <c r="FI25" i="7"/>
  <c r="FI22" i="7"/>
  <c r="FI15" i="7"/>
  <c r="FI27" i="7"/>
  <c r="FI29" i="7"/>
  <c r="FI24" i="7"/>
  <c r="FI31" i="7"/>
  <c r="FI32" i="7"/>
  <c r="FI33" i="7"/>
  <c r="FI34" i="7"/>
  <c r="FI35" i="7"/>
  <c r="FI30" i="7"/>
  <c r="FI28" i="7"/>
  <c r="FI36" i="7"/>
  <c r="FI26" i="7"/>
  <c r="FJ1" i="7"/>
  <c r="FI3" i="7"/>
  <c r="FJ37" i="7" l="1"/>
  <c r="FJ38" i="7"/>
  <c r="FJ39" i="7"/>
  <c r="FJ40" i="7"/>
  <c r="FJ41" i="7"/>
  <c r="FJ42" i="7"/>
  <c r="FJ43" i="7"/>
  <c r="FJ44" i="7"/>
  <c r="FJ4" i="7"/>
  <c r="FJ7" i="7"/>
  <c r="FJ8" i="7"/>
  <c r="FJ6" i="7"/>
  <c r="FJ5" i="7"/>
  <c r="FJ11" i="7"/>
  <c r="FJ13" i="7"/>
  <c r="FJ10" i="7"/>
  <c r="FJ9" i="7"/>
  <c r="FJ15" i="7"/>
  <c r="FJ18" i="7"/>
  <c r="FJ14" i="7"/>
  <c r="FJ12" i="7"/>
  <c r="FJ20" i="7"/>
  <c r="FJ17" i="7"/>
  <c r="FJ16" i="7"/>
  <c r="FJ19" i="7"/>
  <c r="FJ23" i="7"/>
  <c r="FJ22" i="7"/>
  <c r="FJ21" i="7"/>
  <c r="FJ27" i="7"/>
  <c r="FJ24" i="7"/>
  <c r="FJ26" i="7"/>
  <c r="FJ31" i="7"/>
  <c r="FJ29" i="7"/>
  <c r="FJ32" i="7"/>
  <c r="FJ33" i="7"/>
  <c r="FJ34" i="7"/>
  <c r="FJ28" i="7"/>
  <c r="FJ30" i="7"/>
  <c r="FJ35" i="7"/>
  <c r="FJ25" i="7"/>
  <c r="FJ36" i="7"/>
  <c r="FK1" i="7"/>
  <c r="FJ3" i="7"/>
  <c r="FK37" i="7" l="1"/>
  <c r="FK38" i="7"/>
  <c r="FK39" i="7"/>
  <c r="FK40" i="7"/>
  <c r="FK41" i="7"/>
  <c r="FK42" i="7"/>
  <c r="FK43" i="7"/>
  <c r="FK44" i="7"/>
  <c r="FK6" i="7"/>
  <c r="FK5" i="7"/>
  <c r="FK7" i="7"/>
  <c r="FK9" i="7"/>
  <c r="FK4" i="7"/>
  <c r="FK8" i="7"/>
  <c r="FK10" i="7"/>
  <c r="FK11" i="7"/>
  <c r="FK14" i="7"/>
  <c r="FK15" i="7"/>
  <c r="FK16" i="7"/>
  <c r="FK13" i="7"/>
  <c r="FK18" i="7"/>
  <c r="FK17" i="7"/>
  <c r="FK20" i="7"/>
  <c r="FK19" i="7"/>
  <c r="FK24" i="7"/>
  <c r="FK12" i="7"/>
  <c r="FK22" i="7"/>
  <c r="FK26" i="7"/>
  <c r="FK28" i="7"/>
  <c r="FK23" i="7"/>
  <c r="FK21" i="7"/>
  <c r="FK27" i="7"/>
  <c r="FK25" i="7"/>
  <c r="FK31" i="7"/>
  <c r="FK29" i="7"/>
  <c r="FK32" i="7"/>
  <c r="FK33" i="7"/>
  <c r="FK36" i="7"/>
  <c r="FK30" i="7"/>
  <c r="FK34" i="7"/>
  <c r="FK35" i="7"/>
  <c r="FL1" i="7"/>
  <c r="FK3" i="7"/>
  <c r="FL37" i="7" l="1"/>
  <c r="FL38" i="7"/>
  <c r="FL39" i="7"/>
  <c r="FL40" i="7"/>
  <c r="FL41" i="7"/>
  <c r="FL42" i="7"/>
  <c r="FL43" i="7"/>
  <c r="FL44" i="7"/>
  <c r="FL5" i="7"/>
  <c r="FL6" i="7"/>
  <c r="FL12" i="7"/>
  <c r="FL4" i="7"/>
  <c r="FL7" i="7"/>
  <c r="FL8" i="7"/>
  <c r="FL9" i="7"/>
  <c r="FL11" i="7"/>
  <c r="FL14" i="7"/>
  <c r="FL13" i="7"/>
  <c r="FL10" i="7"/>
  <c r="FL15" i="7"/>
  <c r="FL17" i="7"/>
  <c r="FL19" i="7"/>
  <c r="FL16" i="7"/>
  <c r="FL22" i="7"/>
  <c r="FL20" i="7"/>
  <c r="FL24" i="7"/>
  <c r="FL18" i="7"/>
  <c r="FL21" i="7"/>
  <c r="FL26" i="7"/>
  <c r="FL25" i="7"/>
  <c r="FL28" i="7"/>
  <c r="FL23" i="7"/>
  <c r="FL29" i="7"/>
  <c r="FL30" i="7"/>
  <c r="FL31" i="7"/>
  <c r="FL27" i="7"/>
  <c r="FL32" i="7"/>
  <c r="FL35" i="7"/>
  <c r="FL36" i="7"/>
  <c r="FL34" i="7"/>
  <c r="FL33" i="7"/>
  <c r="FM1" i="7"/>
  <c r="FL3" i="7"/>
  <c r="FM37" i="7" l="1"/>
  <c r="FM38" i="7"/>
  <c r="FM39" i="7"/>
  <c r="FM40" i="7"/>
  <c r="FM41" i="7"/>
  <c r="FM42" i="7"/>
  <c r="FM43" i="7"/>
  <c r="FM44" i="7"/>
  <c r="FM4" i="7"/>
  <c r="FM5" i="7"/>
  <c r="FM6" i="7"/>
  <c r="FM9" i="7"/>
  <c r="FM11" i="7"/>
  <c r="FM7" i="7"/>
  <c r="FM8" i="7"/>
  <c r="FM10" i="7"/>
  <c r="FM19" i="7"/>
  <c r="FM12" i="7"/>
  <c r="FM13" i="7"/>
  <c r="FM16" i="7"/>
  <c r="FM15" i="7"/>
  <c r="FM14" i="7"/>
  <c r="FM18" i="7"/>
  <c r="FM17" i="7"/>
  <c r="FM21" i="7"/>
  <c r="FM22" i="7"/>
  <c r="FM20" i="7"/>
  <c r="FM24" i="7"/>
  <c r="FM25" i="7"/>
  <c r="FM26" i="7"/>
  <c r="FM28" i="7"/>
  <c r="FM30" i="7"/>
  <c r="FM31" i="7"/>
  <c r="FM23" i="7"/>
  <c r="FM29" i="7"/>
  <c r="FM34" i="7"/>
  <c r="FM35" i="7"/>
  <c r="FM32" i="7"/>
  <c r="FM33" i="7"/>
  <c r="FM27" i="7"/>
  <c r="FM36" i="7"/>
  <c r="FN1" i="7"/>
  <c r="FM3" i="7"/>
  <c r="FN37" i="7" l="1"/>
  <c r="FN38" i="7"/>
  <c r="FN39" i="7"/>
  <c r="FN40" i="7"/>
  <c r="FN41" i="7"/>
  <c r="FN42" i="7"/>
  <c r="FN43" i="7"/>
  <c r="FN44" i="7"/>
  <c r="FN4" i="7"/>
  <c r="FN6" i="7"/>
  <c r="FN5" i="7"/>
  <c r="FN10" i="7"/>
  <c r="FN7" i="7"/>
  <c r="FN9" i="7"/>
  <c r="FN11" i="7"/>
  <c r="FN15" i="7"/>
  <c r="FN18" i="7"/>
  <c r="FN13" i="7"/>
  <c r="FN12" i="7"/>
  <c r="FN16" i="7"/>
  <c r="FN8" i="7"/>
  <c r="FN14" i="7"/>
  <c r="FN17" i="7"/>
  <c r="FN21" i="7"/>
  <c r="FN22" i="7"/>
  <c r="FN19" i="7"/>
  <c r="FN23" i="7"/>
  <c r="FN24" i="7"/>
  <c r="FN20" i="7"/>
  <c r="FN25" i="7"/>
  <c r="FN26" i="7"/>
  <c r="FN28" i="7"/>
  <c r="FN30" i="7"/>
  <c r="FN27" i="7"/>
  <c r="FN31" i="7"/>
  <c r="FN33" i="7"/>
  <c r="FN34" i="7"/>
  <c r="FN32" i="7"/>
  <c r="FN29" i="7"/>
  <c r="FN35" i="7"/>
  <c r="FN36" i="7"/>
  <c r="FO1" i="7"/>
  <c r="FN3" i="7"/>
  <c r="FO37" i="7" l="1"/>
  <c r="FO38" i="7"/>
  <c r="FO39" i="7"/>
  <c r="FO40" i="7"/>
  <c r="FO41" i="7"/>
  <c r="FO42" i="7"/>
  <c r="FO43" i="7"/>
  <c r="FO44" i="7"/>
  <c r="FO5" i="7"/>
  <c r="FO6" i="7"/>
  <c r="FO7" i="7"/>
  <c r="FO4" i="7"/>
  <c r="FO8" i="7"/>
  <c r="FO11" i="7"/>
  <c r="FO10" i="7"/>
  <c r="FO9" i="7"/>
  <c r="FO17" i="7"/>
  <c r="FO12" i="7"/>
  <c r="FO13" i="7"/>
  <c r="FO16" i="7"/>
  <c r="FO15" i="7"/>
  <c r="FO18" i="7"/>
  <c r="FO14" i="7"/>
  <c r="FO19" i="7"/>
  <c r="FO21" i="7"/>
  <c r="FO22" i="7"/>
  <c r="FO24" i="7"/>
  <c r="FO23" i="7"/>
  <c r="FO20" i="7"/>
  <c r="FO25" i="7"/>
  <c r="FO26" i="7"/>
  <c r="FO28" i="7"/>
  <c r="FO27" i="7"/>
  <c r="FO36" i="7"/>
  <c r="FO30" i="7"/>
  <c r="FO31" i="7"/>
  <c r="FO32" i="7"/>
  <c r="FO33" i="7"/>
  <c r="FO35" i="7"/>
  <c r="FO29" i="7"/>
  <c r="FO34" i="7"/>
  <c r="FP1" i="7"/>
  <c r="FO3" i="7"/>
  <c r="FP37" i="7" l="1"/>
  <c r="FP38" i="7"/>
  <c r="FP39" i="7"/>
  <c r="FP40" i="7"/>
  <c r="FP41" i="7"/>
  <c r="FP42" i="7"/>
  <c r="FP43" i="7"/>
  <c r="FP44" i="7"/>
  <c r="FP4" i="7"/>
  <c r="FP5" i="7"/>
  <c r="FP7" i="7"/>
  <c r="FP6" i="7"/>
  <c r="FP9" i="7"/>
  <c r="FP12" i="7"/>
  <c r="FP8" i="7"/>
  <c r="FP10" i="7"/>
  <c r="FP13" i="7"/>
  <c r="FP11" i="7"/>
  <c r="FP15" i="7"/>
  <c r="FP16" i="7"/>
  <c r="FP14" i="7"/>
  <c r="FP18" i="7"/>
  <c r="FP17" i="7"/>
  <c r="FP21" i="7"/>
  <c r="FP24" i="7"/>
  <c r="FP30" i="7"/>
  <c r="FP19" i="7"/>
  <c r="FP22" i="7"/>
  <c r="FP23" i="7"/>
  <c r="FP20" i="7"/>
  <c r="FP29" i="7"/>
  <c r="FP25" i="7"/>
  <c r="FP26" i="7"/>
  <c r="FP28" i="7"/>
  <c r="FP35" i="7"/>
  <c r="FP32" i="7"/>
  <c r="FP33" i="7"/>
  <c r="FP31" i="7"/>
  <c r="FP34" i="7"/>
  <c r="FP27" i="7"/>
  <c r="FP36" i="7"/>
  <c r="FQ1" i="7"/>
  <c r="FP3" i="7"/>
  <c r="FQ37" i="7" l="1"/>
  <c r="FQ38" i="7"/>
  <c r="FQ39" i="7"/>
  <c r="FQ40" i="7"/>
  <c r="FQ41" i="7"/>
  <c r="FQ42" i="7"/>
  <c r="FQ43" i="7"/>
  <c r="FQ44" i="7"/>
  <c r="FQ4" i="7"/>
  <c r="FQ5" i="7"/>
  <c r="FQ6" i="7"/>
  <c r="FQ8" i="7"/>
  <c r="FQ7" i="7"/>
  <c r="FQ10" i="7"/>
  <c r="FQ9" i="7"/>
  <c r="FQ11" i="7"/>
  <c r="FQ14" i="7"/>
  <c r="FQ12" i="7"/>
  <c r="FQ13" i="7"/>
  <c r="FQ16" i="7"/>
  <c r="FQ15" i="7"/>
  <c r="FQ17" i="7"/>
  <c r="FQ19" i="7"/>
  <c r="FQ18" i="7"/>
  <c r="FQ20" i="7"/>
  <c r="FQ26" i="7"/>
  <c r="FQ29" i="7"/>
  <c r="FQ21" i="7"/>
  <c r="FQ25" i="7"/>
  <c r="FQ22" i="7"/>
  <c r="FQ34" i="7"/>
  <c r="FQ35" i="7"/>
  <c r="FQ30" i="7"/>
  <c r="FQ36" i="7"/>
  <c r="FQ24" i="7"/>
  <c r="FQ23" i="7"/>
  <c r="FQ27" i="7"/>
  <c r="FQ28" i="7"/>
  <c r="FQ32" i="7"/>
  <c r="FQ31" i="7"/>
  <c r="FQ33" i="7"/>
  <c r="FR1" i="7"/>
  <c r="FQ3" i="7"/>
  <c r="FR37" i="7" l="1"/>
  <c r="FR38" i="7"/>
  <c r="FR39" i="7"/>
  <c r="FR40" i="7"/>
  <c r="FR41" i="7"/>
  <c r="FR42" i="7"/>
  <c r="FR43" i="7"/>
  <c r="FR44" i="7"/>
  <c r="FR4" i="7"/>
  <c r="FR5" i="7"/>
  <c r="FR6" i="7"/>
  <c r="FR7" i="7"/>
  <c r="FR9" i="7"/>
  <c r="FR10" i="7"/>
  <c r="FR8" i="7"/>
  <c r="FR12" i="7"/>
  <c r="FR13" i="7"/>
  <c r="FR17" i="7"/>
  <c r="FR11" i="7"/>
  <c r="FR14" i="7"/>
  <c r="FR15" i="7"/>
  <c r="FR19" i="7"/>
  <c r="FR18" i="7"/>
  <c r="FR16" i="7"/>
  <c r="FR20" i="7"/>
  <c r="FR25" i="7"/>
  <c r="FR26" i="7"/>
  <c r="FR28" i="7"/>
  <c r="FR21" i="7"/>
  <c r="FR24" i="7"/>
  <c r="FR27" i="7"/>
  <c r="FR29" i="7"/>
  <c r="FR22" i="7"/>
  <c r="FR33" i="7"/>
  <c r="FR34" i="7"/>
  <c r="FR35" i="7"/>
  <c r="FR30" i="7"/>
  <c r="FR36" i="7"/>
  <c r="FR23" i="7"/>
  <c r="FR31" i="7"/>
  <c r="FR32" i="7"/>
  <c r="FS1" i="7"/>
  <c r="FR3" i="7"/>
  <c r="FS37" i="7" l="1"/>
  <c r="FS38" i="7"/>
  <c r="FS39" i="7"/>
  <c r="FS40" i="7"/>
  <c r="FS41" i="7"/>
  <c r="FS42" i="7"/>
  <c r="FS43" i="7"/>
  <c r="FS44" i="7"/>
  <c r="FS4" i="7"/>
  <c r="FS6" i="7"/>
  <c r="FS8" i="7"/>
  <c r="FS9" i="7"/>
  <c r="FS7" i="7"/>
  <c r="FS16" i="7"/>
  <c r="FS5" i="7"/>
  <c r="FS11" i="7"/>
  <c r="FS10" i="7"/>
  <c r="FS13" i="7"/>
  <c r="FS12" i="7"/>
  <c r="FS14" i="7"/>
  <c r="FS17" i="7"/>
  <c r="FS15" i="7"/>
  <c r="FS19" i="7"/>
  <c r="FS18" i="7"/>
  <c r="FS22" i="7"/>
  <c r="FS20" i="7"/>
  <c r="FS23" i="7"/>
  <c r="FS25" i="7"/>
  <c r="FS26" i="7"/>
  <c r="FS27" i="7"/>
  <c r="FS21" i="7"/>
  <c r="FS24" i="7"/>
  <c r="FS29" i="7"/>
  <c r="FS32" i="7"/>
  <c r="FS33" i="7"/>
  <c r="FS34" i="7"/>
  <c r="FS35" i="7"/>
  <c r="FS30" i="7"/>
  <c r="FS36" i="7"/>
  <c r="FS31" i="7"/>
  <c r="FS28" i="7"/>
  <c r="FT1" i="7"/>
  <c r="FS3" i="7"/>
  <c r="FT37" i="7" l="1"/>
  <c r="FT38" i="7"/>
  <c r="FT39" i="7"/>
  <c r="FT40" i="7"/>
  <c r="FT41" i="7"/>
  <c r="FT42" i="7"/>
  <c r="FT43" i="7"/>
  <c r="FT44" i="7"/>
  <c r="FT5" i="7"/>
  <c r="FT4" i="7"/>
  <c r="FT6" i="7"/>
  <c r="FT8" i="7"/>
  <c r="FT7" i="7"/>
  <c r="FT15" i="7"/>
  <c r="FT9" i="7"/>
  <c r="FT16" i="7"/>
  <c r="FT10" i="7"/>
  <c r="FT12" i="7"/>
  <c r="FT14" i="7"/>
  <c r="FT13" i="7"/>
  <c r="FT11" i="7"/>
  <c r="FT17" i="7"/>
  <c r="FT19" i="7"/>
  <c r="FT21" i="7"/>
  <c r="FT22" i="7"/>
  <c r="FT20" i="7"/>
  <c r="FT23" i="7"/>
  <c r="FT25" i="7"/>
  <c r="FT26" i="7"/>
  <c r="FT24" i="7"/>
  <c r="FT18" i="7"/>
  <c r="FT27" i="7"/>
  <c r="FT29" i="7"/>
  <c r="FT28" i="7"/>
  <c r="FT32" i="7"/>
  <c r="FT33" i="7"/>
  <c r="FT34" i="7"/>
  <c r="FT35" i="7"/>
  <c r="FT30" i="7"/>
  <c r="FT36" i="7"/>
  <c r="FT31" i="7"/>
  <c r="FU1" i="7"/>
  <c r="FT3" i="7"/>
  <c r="FU37" i="7" l="1"/>
  <c r="FU38" i="7"/>
  <c r="FU39" i="7"/>
  <c r="FU40" i="7"/>
  <c r="FU41" i="7"/>
  <c r="FU42" i="7"/>
  <c r="FU43" i="7"/>
  <c r="FU44" i="7"/>
  <c r="FU4" i="7"/>
  <c r="FU5" i="7"/>
  <c r="FU7" i="7"/>
  <c r="FU9" i="7"/>
  <c r="FU6" i="7"/>
  <c r="FU14" i="7"/>
  <c r="FU10" i="7"/>
  <c r="FU8" i="7"/>
  <c r="FU12" i="7"/>
  <c r="FU13" i="7"/>
  <c r="FU15" i="7"/>
  <c r="FU17" i="7"/>
  <c r="FU19" i="7"/>
  <c r="FU16" i="7"/>
  <c r="FU18" i="7"/>
  <c r="FU21" i="7"/>
  <c r="FU11" i="7"/>
  <c r="FU22" i="7"/>
  <c r="FU20" i="7"/>
  <c r="FU23" i="7"/>
  <c r="FU25" i="7"/>
  <c r="FU24" i="7"/>
  <c r="FU27" i="7"/>
  <c r="FU26" i="7"/>
  <c r="FU29" i="7"/>
  <c r="FU28" i="7"/>
  <c r="FU32" i="7"/>
  <c r="FU33" i="7"/>
  <c r="FU34" i="7"/>
  <c r="FU35" i="7"/>
  <c r="FU36" i="7"/>
  <c r="FU31" i="7"/>
  <c r="FU30" i="7"/>
  <c r="FV1" i="7"/>
  <c r="FU3" i="7"/>
  <c r="FV37" i="7" l="1"/>
  <c r="FV38" i="7"/>
  <c r="FV39" i="7"/>
  <c r="FV40" i="7"/>
  <c r="FV41" i="7"/>
  <c r="FV42" i="7"/>
  <c r="FV43" i="7"/>
  <c r="FV44" i="7"/>
  <c r="FV4" i="7"/>
  <c r="FV7" i="7"/>
  <c r="FV8" i="7"/>
  <c r="FV6" i="7"/>
  <c r="FV13" i="7"/>
  <c r="FV5" i="7"/>
  <c r="FV9" i="7"/>
  <c r="FV10" i="7"/>
  <c r="FV11" i="7"/>
  <c r="FV14" i="7"/>
  <c r="FV12" i="7"/>
  <c r="FV15" i="7"/>
  <c r="FV16" i="7"/>
  <c r="FV17" i="7"/>
  <c r="FV20" i="7"/>
  <c r="FV18" i="7"/>
  <c r="FV21" i="7"/>
  <c r="FV22" i="7"/>
  <c r="FV23" i="7"/>
  <c r="FV19" i="7"/>
  <c r="FV24" i="7"/>
  <c r="FV27" i="7"/>
  <c r="FV25" i="7"/>
  <c r="FV26" i="7"/>
  <c r="FV29" i="7"/>
  <c r="FV31" i="7"/>
  <c r="FV32" i="7"/>
  <c r="FV33" i="7"/>
  <c r="FV34" i="7"/>
  <c r="FV36" i="7"/>
  <c r="FV28" i="7"/>
  <c r="FV35" i="7"/>
  <c r="FV30" i="7"/>
  <c r="FW1" i="7"/>
  <c r="FV3" i="7"/>
  <c r="FW37" i="7" l="1"/>
  <c r="FW38" i="7"/>
  <c r="FW39" i="7"/>
  <c r="FW40" i="7"/>
  <c r="FW41" i="7"/>
  <c r="FW42" i="7"/>
  <c r="FW43" i="7"/>
  <c r="FW44" i="7"/>
  <c r="FW6" i="7"/>
  <c r="FW7" i="7"/>
  <c r="FW4" i="7"/>
  <c r="FW8" i="7"/>
  <c r="FW5" i="7"/>
  <c r="FW11" i="7"/>
  <c r="FW9" i="7"/>
  <c r="FW10" i="7"/>
  <c r="FW12" i="7"/>
  <c r="FW18" i="7"/>
  <c r="FW13" i="7"/>
  <c r="FW16" i="7"/>
  <c r="FW15" i="7"/>
  <c r="FW14" i="7"/>
  <c r="FW17" i="7"/>
  <c r="FW20" i="7"/>
  <c r="FW21" i="7"/>
  <c r="FW22" i="7"/>
  <c r="FW23" i="7"/>
  <c r="FW19" i="7"/>
  <c r="FW24" i="7"/>
  <c r="FW27" i="7"/>
  <c r="FW25" i="7"/>
  <c r="FW28" i="7"/>
  <c r="FW26" i="7"/>
  <c r="FW31" i="7"/>
  <c r="FW32" i="7"/>
  <c r="FW33" i="7"/>
  <c r="FW29" i="7"/>
  <c r="FW30" i="7"/>
  <c r="FW36" i="7"/>
  <c r="FW35" i="7"/>
  <c r="FW34" i="7"/>
  <c r="FX1" i="7"/>
  <c r="FW3" i="7"/>
  <c r="FX37" i="7" l="1"/>
  <c r="FX38" i="7"/>
  <c r="FX39" i="7"/>
  <c r="FX40" i="7"/>
  <c r="FX41" i="7"/>
  <c r="FX42" i="7"/>
  <c r="FX43" i="7"/>
  <c r="FX44" i="7"/>
  <c r="FX5" i="7"/>
  <c r="FX6" i="7"/>
  <c r="FX4" i="7"/>
  <c r="FX7" i="7"/>
  <c r="FX12" i="7"/>
  <c r="FX8" i="7"/>
  <c r="FX9" i="7"/>
  <c r="FX10" i="7"/>
  <c r="FX14" i="7"/>
  <c r="FX11" i="7"/>
  <c r="FX16" i="7"/>
  <c r="FX15" i="7"/>
  <c r="FX13" i="7"/>
  <c r="FX17" i="7"/>
  <c r="FX22" i="7"/>
  <c r="FX20" i="7"/>
  <c r="FX19" i="7"/>
  <c r="FX18" i="7"/>
  <c r="FX24" i="7"/>
  <c r="FX21" i="7"/>
  <c r="FX26" i="7"/>
  <c r="FX28" i="7"/>
  <c r="FX27" i="7"/>
  <c r="FX23" i="7"/>
  <c r="FX25" i="7"/>
  <c r="FX31" i="7"/>
  <c r="FX32" i="7"/>
  <c r="FX35" i="7"/>
  <c r="FX29" i="7"/>
  <c r="FX30" i="7"/>
  <c r="FX36" i="7"/>
  <c r="FX34" i="7"/>
  <c r="FX33" i="7"/>
  <c r="FY1" i="7"/>
  <c r="FX3" i="7"/>
  <c r="FY37" i="7" l="1"/>
  <c r="FY38" i="7"/>
  <c r="FY39" i="7"/>
  <c r="FY40" i="7"/>
  <c r="FY41" i="7"/>
  <c r="FY42" i="7"/>
  <c r="FY43" i="7"/>
  <c r="FY44" i="7"/>
  <c r="FY4" i="7"/>
  <c r="FY5" i="7"/>
  <c r="FY6" i="7"/>
  <c r="FY11" i="7"/>
  <c r="FY9" i="7"/>
  <c r="FY7" i="7"/>
  <c r="FY8" i="7"/>
  <c r="FY19" i="7"/>
  <c r="FY10" i="7"/>
  <c r="FY14" i="7"/>
  <c r="FY13" i="7"/>
  <c r="FY15" i="7"/>
  <c r="FY12" i="7"/>
  <c r="FY16" i="7"/>
  <c r="FY18" i="7"/>
  <c r="FY21" i="7"/>
  <c r="FY22" i="7"/>
  <c r="FY20" i="7"/>
  <c r="FY17" i="7"/>
  <c r="FY24" i="7"/>
  <c r="FY25" i="7"/>
  <c r="FY26" i="7"/>
  <c r="FY28" i="7"/>
  <c r="FY31" i="7"/>
  <c r="FY29" i="7"/>
  <c r="FY23" i="7"/>
  <c r="FY34" i="7"/>
  <c r="FY27" i="7"/>
  <c r="FY35" i="7"/>
  <c r="FY30" i="7"/>
  <c r="FY36" i="7"/>
  <c r="FY32" i="7"/>
  <c r="FY33" i="7"/>
  <c r="FZ1" i="7"/>
  <c r="FY3" i="7"/>
  <c r="FZ37" i="7" l="1"/>
  <c r="FZ38" i="7"/>
  <c r="FZ39" i="7"/>
  <c r="FZ40" i="7"/>
  <c r="FZ41" i="7"/>
  <c r="FZ42" i="7"/>
  <c r="FZ43" i="7"/>
  <c r="FZ44" i="7"/>
  <c r="FZ4" i="7"/>
  <c r="FZ6" i="7"/>
  <c r="FZ5" i="7"/>
  <c r="FZ9" i="7"/>
  <c r="FZ10" i="7"/>
  <c r="FZ7" i="7"/>
  <c r="FZ8" i="7"/>
  <c r="FZ18" i="7"/>
  <c r="FZ11" i="7"/>
  <c r="FZ14" i="7"/>
  <c r="FZ15" i="7"/>
  <c r="FZ12" i="7"/>
  <c r="FZ16" i="7"/>
  <c r="FZ13" i="7"/>
  <c r="FZ17" i="7"/>
  <c r="FZ21" i="7"/>
  <c r="FZ22" i="7"/>
  <c r="FZ20" i="7"/>
  <c r="FZ23" i="7"/>
  <c r="FZ19" i="7"/>
  <c r="FZ24" i="7"/>
  <c r="FZ25" i="7"/>
  <c r="FZ28" i="7"/>
  <c r="FZ30" i="7"/>
  <c r="FZ26" i="7"/>
  <c r="FZ31" i="7"/>
  <c r="FZ33" i="7"/>
  <c r="FZ34" i="7"/>
  <c r="FZ27" i="7"/>
  <c r="FZ29" i="7"/>
  <c r="FZ36" i="7"/>
  <c r="FZ32" i="7"/>
  <c r="FZ35" i="7"/>
  <c r="GA1" i="7"/>
  <c r="FZ3" i="7"/>
  <c r="GA37" i="7" l="1"/>
  <c r="GA38" i="7"/>
  <c r="GA39" i="7"/>
  <c r="GA40" i="7"/>
  <c r="GA41" i="7"/>
  <c r="GA42" i="7"/>
  <c r="GA43" i="7"/>
  <c r="GA44" i="7"/>
  <c r="GA5" i="7"/>
  <c r="GA6" i="7"/>
  <c r="GA7" i="7"/>
  <c r="GA4" i="7"/>
  <c r="GA8" i="7"/>
  <c r="GA11" i="7"/>
  <c r="GA10" i="7"/>
  <c r="GA15" i="7"/>
  <c r="GA17" i="7"/>
  <c r="GA9" i="7"/>
  <c r="GA12" i="7"/>
  <c r="GA13" i="7"/>
  <c r="GA16" i="7"/>
  <c r="GA14" i="7"/>
  <c r="GA21" i="7"/>
  <c r="GA22" i="7"/>
  <c r="GA19" i="7"/>
  <c r="GA24" i="7"/>
  <c r="GA20" i="7"/>
  <c r="GA18" i="7"/>
  <c r="GA28" i="7"/>
  <c r="GA30" i="7"/>
  <c r="GA26" i="7"/>
  <c r="GA27" i="7"/>
  <c r="GA23" i="7"/>
  <c r="GA36" i="7"/>
  <c r="GA25" i="7"/>
  <c r="GA31" i="7"/>
  <c r="GA32" i="7"/>
  <c r="GA33" i="7"/>
  <c r="GA29" i="7"/>
  <c r="GA34" i="7"/>
  <c r="GA35" i="7"/>
  <c r="GB1" i="7"/>
  <c r="GA3" i="7"/>
  <c r="GB37" i="7" l="1"/>
  <c r="GB38" i="7"/>
  <c r="GB39" i="7"/>
  <c r="GB40" i="7"/>
  <c r="GB41" i="7"/>
  <c r="GB42" i="7"/>
  <c r="GB43" i="7"/>
  <c r="GB44" i="7"/>
  <c r="GB4" i="7"/>
  <c r="GB5" i="7"/>
  <c r="GB6" i="7"/>
  <c r="GB7" i="7"/>
  <c r="GB8" i="7"/>
  <c r="GB11" i="7"/>
  <c r="GB9" i="7"/>
  <c r="GB10" i="7"/>
  <c r="GB13" i="7"/>
  <c r="GB16" i="7"/>
  <c r="GB14" i="7"/>
  <c r="GB15" i="7"/>
  <c r="GB18" i="7"/>
  <c r="GB12" i="7"/>
  <c r="GB17" i="7"/>
  <c r="GB21" i="7"/>
  <c r="GB19" i="7"/>
  <c r="GB22" i="7"/>
  <c r="GB24" i="7"/>
  <c r="GB20" i="7"/>
  <c r="GB23" i="7"/>
  <c r="GB28" i="7"/>
  <c r="GB25" i="7"/>
  <c r="GB26" i="7"/>
  <c r="GB27" i="7"/>
  <c r="GB29" i="7"/>
  <c r="GB35" i="7"/>
  <c r="GB31" i="7"/>
  <c r="GB32" i="7"/>
  <c r="GB33" i="7"/>
  <c r="GB30" i="7"/>
  <c r="GB36" i="7"/>
  <c r="GB34" i="7"/>
  <c r="GC1" i="7"/>
  <c r="GB3" i="7"/>
  <c r="GC37" i="7" l="1"/>
  <c r="GC38" i="7"/>
  <c r="GC39" i="7"/>
  <c r="GC40" i="7"/>
  <c r="GC41" i="7"/>
  <c r="GC42" i="7"/>
  <c r="GC43" i="7"/>
  <c r="GC44" i="7"/>
  <c r="GC4" i="7"/>
  <c r="GC6" i="7"/>
  <c r="GC5" i="7"/>
  <c r="GC8" i="7"/>
  <c r="GC12" i="7"/>
  <c r="GC9" i="7"/>
  <c r="GC10" i="7"/>
  <c r="GC13" i="7"/>
  <c r="GC15" i="7"/>
  <c r="GC11" i="7"/>
  <c r="GC16" i="7"/>
  <c r="GC7" i="7"/>
  <c r="GC14" i="7"/>
  <c r="GC18" i="7"/>
  <c r="GC17" i="7"/>
  <c r="GC19" i="7"/>
  <c r="GC26" i="7"/>
  <c r="GC21" i="7"/>
  <c r="GC22" i="7"/>
  <c r="GC24" i="7"/>
  <c r="GC29" i="7"/>
  <c r="GC23" i="7"/>
  <c r="GC20" i="7"/>
  <c r="GC28" i="7"/>
  <c r="GC25" i="7"/>
  <c r="GC30" i="7"/>
  <c r="GC34" i="7"/>
  <c r="GC35" i="7"/>
  <c r="GC36" i="7"/>
  <c r="GC32" i="7"/>
  <c r="GC31" i="7"/>
  <c r="GC27" i="7"/>
  <c r="GC33" i="7"/>
  <c r="GD1" i="7"/>
  <c r="GC3" i="7"/>
  <c r="GD37" i="7" l="1"/>
  <c r="GD38" i="7"/>
  <c r="GD39" i="7"/>
  <c r="GD40" i="7"/>
  <c r="GD41" i="7"/>
  <c r="GD42" i="7"/>
  <c r="GD43" i="7"/>
  <c r="GD44" i="7"/>
  <c r="GD4" i="7"/>
  <c r="GD5" i="7"/>
  <c r="GD7" i="7"/>
  <c r="GD9" i="7"/>
  <c r="GD6" i="7"/>
  <c r="GD8" i="7"/>
  <c r="GD10" i="7"/>
  <c r="GD14" i="7"/>
  <c r="GD11" i="7"/>
  <c r="GD12" i="7"/>
  <c r="GD15" i="7"/>
  <c r="GD16" i="7"/>
  <c r="GD18" i="7"/>
  <c r="GD13" i="7"/>
  <c r="GD19" i="7"/>
  <c r="GD20" i="7"/>
  <c r="GD25" i="7"/>
  <c r="GD26" i="7"/>
  <c r="GD21" i="7"/>
  <c r="GD28" i="7"/>
  <c r="GD17" i="7"/>
  <c r="GD29" i="7"/>
  <c r="GD24" i="7"/>
  <c r="GD27" i="7"/>
  <c r="GD33" i="7"/>
  <c r="GD30" i="7"/>
  <c r="GD34" i="7"/>
  <c r="GD22" i="7"/>
  <c r="GD35" i="7"/>
  <c r="GD36" i="7"/>
  <c r="GD23" i="7"/>
  <c r="GD32" i="7"/>
  <c r="GD31" i="7"/>
  <c r="GE1" i="7"/>
  <c r="GD3" i="7"/>
  <c r="GE37" i="7" l="1"/>
  <c r="GE38" i="7"/>
  <c r="GE39" i="7"/>
  <c r="GE40" i="7"/>
  <c r="GE41" i="7"/>
  <c r="GE42" i="7"/>
  <c r="GE43" i="7"/>
  <c r="GE44" i="7"/>
  <c r="GE4" i="7"/>
  <c r="GE5" i="7"/>
  <c r="GE8" i="7"/>
  <c r="GE6" i="7"/>
  <c r="GE10" i="7"/>
  <c r="GE16" i="7"/>
  <c r="GE7" i="7"/>
  <c r="GE9" i="7"/>
  <c r="GE13" i="7"/>
  <c r="GE11" i="7"/>
  <c r="GE12" i="7"/>
  <c r="GE17" i="7"/>
  <c r="GE14" i="7"/>
  <c r="GE15" i="7"/>
  <c r="GE18" i="7"/>
  <c r="GE19" i="7"/>
  <c r="GE22" i="7"/>
  <c r="GE20" i="7"/>
  <c r="GE25" i="7"/>
  <c r="GE26" i="7"/>
  <c r="GE27" i="7"/>
  <c r="GE23" i="7"/>
  <c r="GE29" i="7"/>
  <c r="GE24" i="7"/>
  <c r="GE32" i="7"/>
  <c r="GE28" i="7"/>
  <c r="GE33" i="7"/>
  <c r="GE30" i="7"/>
  <c r="GE34" i="7"/>
  <c r="GE35" i="7"/>
  <c r="GE21" i="7"/>
  <c r="GE36" i="7"/>
  <c r="GE31" i="7"/>
  <c r="GF1" i="7"/>
  <c r="GE3" i="7"/>
  <c r="GF37" i="7" l="1"/>
  <c r="GF38" i="7"/>
  <c r="GF39" i="7"/>
  <c r="GF40" i="7"/>
  <c r="GF41" i="7"/>
  <c r="GF42" i="7"/>
  <c r="GF43" i="7"/>
  <c r="GF44" i="7"/>
  <c r="GF5" i="7"/>
  <c r="GF4" i="7"/>
  <c r="GF6" i="7"/>
  <c r="GF9" i="7"/>
  <c r="GF15" i="7"/>
  <c r="GF8" i="7"/>
  <c r="GF11" i="7"/>
  <c r="GF7" i="7"/>
  <c r="GF12" i="7"/>
  <c r="GF10" i="7"/>
  <c r="GF13" i="7"/>
  <c r="GF16" i="7"/>
  <c r="GF17" i="7"/>
  <c r="GF19" i="7"/>
  <c r="GF14" i="7"/>
  <c r="GF18" i="7"/>
  <c r="GF21" i="7"/>
  <c r="GF22" i="7"/>
  <c r="GF23" i="7"/>
  <c r="GF25" i="7"/>
  <c r="GF26" i="7"/>
  <c r="GF27" i="7"/>
  <c r="GF20" i="7"/>
  <c r="GF29" i="7"/>
  <c r="GF32" i="7"/>
  <c r="GF28" i="7"/>
  <c r="GF33" i="7"/>
  <c r="GF30" i="7"/>
  <c r="GF34" i="7"/>
  <c r="GF24" i="7"/>
  <c r="GF35" i="7"/>
  <c r="GF36" i="7"/>
  <c r="GF31" i="7"/>
  <c r="GG1" i="7"/>
  <c r="GF3" i="7"/>
  <c r="GG37" i="7" l="1"/>
  <c r="GG38" i="7"/>
  <c r="GG39" i="7"/>
  <c r="GG40" i="7"/>
  <c r="GG41" i="7"/>
  <c r="GG42" i="7"/>
  <c r="GG43" i="7"/>
  <c r="GG44" i="7"/>
  <c r="GG4" i="7"/>
  <c r="GG5" i="7"/>
  <c r="GG7" i="7"/>
  <c r="GG9" i="7"/>
  <c r="GG8" i="7"/>
  <c r="GG14" i="7"/>
  <c r="GG11" i="7"/>
  <c r="GG16" i="7"/>
  <c r="GG6" i="7"/>
  <c r="GG13" i="7"/>
  <c r="GG10" i="7"/>
  <c r="GG17" i="7"/>
  <c r="GG12" i="7"/>
  <c r="GG19" i="7"/>
  <c r="GG15" i="7"/>
  <c r="GG18" i="7"/>
  <c r="GG21" i="7"/>
  <c r="GG23" i="7"/>
  <c r="GG25" i="7"/>
  <c r="GG24" i="7"/>
  <c r="GG27" i="7"/>
  <c r="GG20" i="7"/>
  <c r="GG29" i="7"/>
  <c r="GG28" i="7"/>
  <c r="GG32" i="7"/>
  <c r="GG22" i="7"/>
  <c r="GG26" i="7"/>
  <c r="GG33" i="7"/>
  <c r="GG30" i="7"/>
  <c r="GG34" i="7"/>
  <c r="GG35" i="7"/>
  <c r="GG31" i="7"/>
  <c r="GG36" i="7"/>
  <c r="GH1" i="7"/>
  <c r="GG3" i="7"/>
  <c r="GH37" i="7" l="1"/>
  <c r="GH38" i="7"/>
  <c r="GH39" i="7"/>
  <c r="GH40" i="7"/>
  <c r="GH41" i="7"/>
  <c r="GH42" i="7"/>
  <c r="GH43" i="7"/>
  <c r="GH44" i="7"/>
  <c r="GH4" i="7"/>
  <c r="GH7" i="7"/>
  <c r="GH8" i="7"/>
  <c r="GH6" i="7"/>
  <c r="GH9" i="7"/>
  <c r="GH5" i="7"/>
  <c r="GH13" i="7"/>
  <c r="GH10" i="7"/>
  <c r="GH11" i="7"/>
  <c r="GH12" i="7"/>
  <c r="GH14" i="7"/>
  <c r="GH17" i="7"/>
  <c r="GH16" i="7"/>
  <c r="GH19" i="7"/>
  <c r="GH20" i="7"/>
  <c r="GH15" i="7"/>
  <c r="GH23" i="7"/>
  <c r="GH24" i="7"/>
  <c r="GH18" i="7"/>
  <c r="GH27" i="7"/>
  <c r="GH29" i="7"/>
  <c r="GH22" i="7"/>
  <c r="GH28" i="7"/>
  <c r="GH25" i="7"/>
  <c r="GH32" i="7"/>
  <c r="GH26" i="7"/>
  <c r="GH33" i="7"/>
  <c r="GH21" i="7"/>
  <c r="GH30" i="7"/>
  <c r="GH34" i="7"/>
  <c r="GH31" i="7"/>
  <c r="GH35" i="7"/>
  <c r="GH36" i="7"/>
  <c r="GI1" i="7"/>
  <c r="GH3" i="7"/>
  <c r="GI37" i="7" l="1"/>
  <c r="GI38" i="7"/>
  <c r="GI39" i="7"/>
  <c r="GI40" i="7"/>
  <c r="GI41" i="7"/>
  <c r="GI42" i="7"/>
  <c r="GI43" i="7"/>
  <c r="GI44" i="7"/>
  <c r="GI6" i="7"/>
  <c r="GI4" i="7"/>
  <c r="GI5" i="7"/>
  <c r="GI7" i="7"/>
  <c r="GI8" i="7"/>
  <c r="GI10" i="7"/>
  <c r="GI9" i="7"/>
  <c r="GI14" i="7"/>
  <c r="GI11" i="7"/>
  <c r="GI12" i="7"/>
  <c r="GI13" i="7"/>
  <c r="GI17" i="7"/>
  <c r="GI16" i="7"/>
  <c r="GI15" i="7"/>
  <c r="GI18" i="7"/>
  <c r="GI19" i="7"/>
  <c r="GI23" i="7"/>
  <c r="GI20" i="7"/>
  <c r="GI22" i="7"/>
  <c r="GI26" i="7"/>
  <c r="GI27" i="7"/>
  <c r="GI29" i="7"/>
  <c r="GI21" i="7"/>
  <c r="GI31" i="7"/>
  <c r="GI28" i="7"/>
  <c r="GI25" i="7"/>
  <c r="GI32" i="7"/>
  <c r="GI24" i="7"/>
  <c r="GI33" i="7"/>
  <c r="GI36" i="7"/>
  <c r="GI30" i="7"/>
  <c r="GI34" i="7"/>
  <c r="GI35" i="7"/>
  <c r="GJ1" i="7"/>
  <c r="GI3" i="7"/>
  <c r="GJ37" i="7" l="1"/>
  <c r="GJ38" i="7"/>
  <c r="GJ39" i="7"/>
  <c r="GJ40" i="7"/>
  <c r="GJ41" i="7"/>
  <c r="GJ42" i="7"/>
  <c r="GJ43" i="7"/>
  <c r="GJ44" i="7"/>
  <c r="GJ5" i="7"/>
  <c r="GJ6" i="7"/>
  <c r="GJ4" i="7"/>
  <c r="GJ12" i="7"/>
  <c r="GJ9" i="7"/>
  <c r="GJ11" i="7"/>
  <c r="GJ8" i="7"/>
  <c r="GJ10" i="7"/>
  <c r="GJ7" i="7"/>
  <c r="GJ18" i="7"/>
  <c r="GJ15" i="7"/>
  <c r="GJ13" i="7"/>
  <c r="GJ17" i="7"/>
  <c r="GJ14" i="7"/>
  <c r="GJ16" i="7"/>
  <c r="GJ20" i="7"/>
  <c r="GJ22" i="7"/>
  <c r="GJ19" i="7"/>
  <c r="GJ23" i="7"/>
  <c r="GJ21" i="7"/>
  <c r="GJ26" i="7"/>
  <c r="GJ25" i="7"/>
  <c r="GJ27" i="7"/>
  <c r="GJ24" i="7"/>
  <c r="GJ29" i="7"/>
  <c r="GJ31" i="7"/>
  <c r="GJ28" i="7"/>
  <c r="GJ32" i="7"/>
  <c r="GJ35" i="7"/>
  <c r="GJ36" i="7"/>
  <c r="GJ33" i="7"/>
  <c r="GJ30" i="7"/>
  <c r="GJ34" i="7"/>
  <c r="GK1" i="7"/>
  <c r="GJ3" i="7"/>
  <c r="GK37" i="7" l="1"/>
  <c r="GK38" i="7"/>
  <c r="GK39" i="7"/>
  <c r="GK40" i="7"/>
  <c r="GK41" i="7"/>
  <c r="GK42" i="7"/>
  <c r="GK43" i="7"/>
  <c r="GK44" i="7"/>
  <c r="GK4" i="7"/>
  <c r="GK5" i="7"/>
  <c r="GK6" i="7"/>
  <c r="GK7" i="7"/>
  <c r="GK11" i="7"/>
  <c r="GK8" i="7"/>
  <c r="GK19" i="7"/>
  <c r="GK14" i="7"/>
  <c r="GK9" i="7"/>
  <c r="GK12" i="7"/>
  <c r="GK16" i="7"/>
  <c r="GK15" i="7"/>
  <c r="GK10" i="7"/>
  <c r="GK17" i="7"/>
  <c r="GK18" i="7"/>
  <c r="GK21" i="7"/>
  <c r="GK20" i="7"/>
  <c r="GK22" i="7"/>
  <c r="GK24" i="7"/>
  <c r="GK13" i="7"/>
  <c r="GK25" i="7"/>
  <c r="GK26" i="7"/>
  <c r="GK28" i="7"/>
  <c r="GK23" i="7"/>
  <c r="GK31" i="7"/>
  <c r="GK27" i="7"/>
  <c r="GK29" i="7"/>
  <c r="GK30" i="7"/>
  <c r="GK34" i="7"/>
  <c r="GK35" i="7"/>
  <c r="GK33" i="7"/>
  <c r="GK36" i="7"/>
  <c r="GK32" i="7"/>
  <c r="GL1" i="7"/>
  <c r="GK3" i="7"/>
  <c r="GL37" i="7" l="1"/>
  <c r="GL38" i="7"/>
  <c r="GL39" i="7"/>
  <c r="GL40" i="7"/>
  <c r="GL41" i="7"/>
  <c r="GL42" i="7"/>
  <c r="GL43" i="7"/>
  <c r="GL44" i="7"/>
  <c r="GL4" i="7"/>
  <c r="GL6" i="7"/>
  <c r="GL5" i="7"/>
  <c r="GL10" i="7"/>
  <c r="GL8" i="7"/>
  <c r="GL7" i="7"/>
  <c r="GL18" i="7"/>
  <c r="GL11" i="7"/>
  <c r="GL14" i="7"/>
  <c r="GL13" i="7"/>
  <c r="GL9" i="7"/>
  <c r="GL12" i="7"/>
  <c r="GL15" i="7"/>
  <c r="GL16" i="7"/>
  <c r="GL17" i="7"/>
  <c r="GL21" i="7"/>
  <c r="GL20" i="7"/>
  <c r="GL22" i="7"/>
  <c r="GL23" i="7"/>
  <c r="GL24" i="7"/>
  <c r="GL19" i="7"/>
  <c r="GL25" i="7"/>
  <c r="GL26" i="7"/>
  <c r="GL28" i="7"/>
  <c r="GL30" i="7"/>
  <c r="GL29" i="7"/>
  <c r="GL27" i="7"/>
  <c r="GL31" i="7"/>
  <c r="GL33" i="7"/>
  <c r="GL34" i="7"/>
  <c r="GL35" i="7"/>
  <c r="GL32" i="7"/>
  <c r="GL36" i="7"/>
  <c r="GM1" i="7"/>
  <c r="GL3" i="7"/>
  <c r="GM37" i="7" l="1"/>
  <c r="GM38" i="7"/>
  <c r="GM39" i="7"/>
  <c r="GM40" i="7"/>
  <c r="GM41" i="7"/>
  <c r="GM42" i="7"/>
  <c r="GM43" i="7"/>
  <c r="GM44" i="7"/>
  <c r="GM5" i="7"/>
  <c r="GM6" i="7"/>
  <c r="GM4" i="7"/>
  <c r="GM9" i="7"/>
  <c r="GM8" i="7"/>
  <c r="GM7" i="7"/>
  <c r="GM17" i="7"/>
  <c r="GM13" i="7"/>
  <c r="GM11" i="7"/>
  <c r="GM12" i="7"/>
  <c r="GM16" i="7"/>
  <c r="GM10" i="7"/>
  <c r="GM14" i="7"/>
  <c r="GM18" i="7"/>
  <c r="GM21" i="7"/>
  <c r="GM20" i="7"/>
  <c r="GM22" i="7"/>
  <c r="GM15" i="7"/>
  <c r="GM24" i="7"/>
  <c r="GM19" i="7"/>
  <c r="GM25" i="7"/>
  <c r="GM23" i="7"/>
  <c r="GM26" i="7"/>
  <c r="GM28" i="7"/>
  <c r="GM30" i="7"/>
  <c r="GM36" i="7"/>
  <c r="GM27" i="7"/>
  <c r="GM29" i="7"/>
  <c r="GM31" i="7"/>
  <c r="GM32" i="7"/>
  <c r="GM33" i="7"/>
  <c r="GM34" i="7"/>
  <c r="GM35" i="7"/>
  <c r="GN1" i="7"/>
  <c r="GM3" i="7"/>
  <c r="GN37" i="7" l="1"/>
  <c r="GN38" i="7"/>
  <c r="GN39" i="7"/>
  <c r="GN40" i="7"/>
  <c r="GN41" i="7"/>
  <c r="GN42" i="7"/>
  <c r="GN43" i="7"/>
  <c r="GN44" i="7"/>
  <c r="GN4" i="7"/>
  <c r="GN5" i="7"/>
  <c r="GN7" i="7"/>
  <c r="GN6" i="7"/>
  <c r="GN9" i="7"/>
  <c r="GN11" i="7"/>
  <c r="GN10" i="7"/>
  <c r="GN15" i="7"/>
  <c r="GN13" i="7"/>
  <c r="GN14" i="7"/>
  <c r="GN8" i="7"/>
  <c r="GN12" i="7"/>
  <c r="GN18" i="7"/>
  <c r="GN16" i="7"/>
  <c r="GN21" i="7"/>
  <c r="GN17" i="7"/>
  <c r="GN24" i="7"/>
  <c r="GN19" i="7"/>
  <c r="GN20" i="7"/>
  <c r="GN22" i="7"/>
  <c r="GN25" i="7"/>
  <c r="GN23" i="7"/>
  <c r="GN26" i="7"/>
  <c r="GN28" i="7"/>
  <c r="GN27" i="7"/>
  <c r="GN35" i="7"/>
  <c r="GN29" i="7"/>
  <c r="GN31" i="7"/>
  <c r="GN30" i="7"/>
  <c r="GN32" i="7"/>
  <c r="GN33" i="7"/>
  <c r="GN34" i="7"/>
  <c r="GN36" i="7"/>
  <c r="GO1" i="7"/>
  <c r="GN3" i="7"/>
  <c r="GO37" i="7" l="1"/>
  <c r="GO38" i="7"/>
  <c r="GO39" i="7"/>
  <c r="GO40" i="7"/>
  <c r="GO41" i="7"/>
  <c r="GO42" i="7"/>
  <c r="GO43" i="7"/>
  <c r="GO44" i="7"/>
  <c r="GO4" i="7"/>
  <c r="GO5" i="7"/>
  <c r="GO6" i="7"/>
  <c r="GO7" i="7"/>
  <c r="GO9" i="7"/>
  <c r="GO11" i="7"/>
  <c r="GO8" i="7"/>
  <c r="GO10" i="7"/>
  <c r="GO12" i="7"/>
  <c r="GO13" i="7"/>
  <c r="GO15" i="7"/>
  <c r="GO16" i="7"/>
  <c r="GO14" i="7"/>
  <c r="GO17" i="7"/>
  <c r="GO18" i="7"/>
  <c r="GO19" i="7"/>
  <c r="GO26" i="7"/>
  <c r="GO24" i="7"/>
  <c r="GO29" i="7"/>
  <c r="GO23" i="7"/>
  <c r="GO21" i="7"/>
  <c r="GO20" i="7"/>
  <c r="GO25" i="7"/>
  <c r="GO28" i="7"/>
  <c r="GO22" i="7"/>
  <c r="GO27" i="7"/>
  <c r="GO34" i="7"/>
  <c r="GO35" i="7"/>
  <c r="GO36" i="7"/>
  <c r="GO31" i="7"/>
  <c r="GO30" i="7"/>
  <c r="GO32" i="7"/>
  <c r="GO33" i="7"/>
  <c r="GP1" i="7"/>
  <c r="GO3" i="7"/>
  <c r="GP37" i="7" l="1"/>
  <c r="GP38" i="7"/>
  <c r="GP39" i="7"/>
  <c r="GP40" i="7"/>
  <c r="GP41" i="7"/>
  <c r="GP42" i="7"/>
  <c r="GP43" i="7"/>
  <c r="GP44" i="7"/>
  <c r="GP4" i="7"/>
  <c r="GP5" i="7"/>
  <c r="GP7" i="7"/>
  <c r="GP6" i="7"/>
  <c r="GP12" i="7"/>
  <c r="GP9" i="7"/>
  <c r="GP8" i="7"/>
  <c r="GP10" i="7"/>
  <c r="GP13" i="7"/>
  <c r="GP15" i="7"/>
  <c r="GP16" i="7"/>
  <c r="GP11" i="7"/>
  <c r="GP14" i="7"/>
  <c r="GP18" i="7"/>
  <c r="GP17" i="7"/>
  <c r="GP19" i="7"/>
  <c r="GP25" i="7"/>
  <c r="GP26" i="7"/>
  <c r="GP24" i="7"/>
  <c r="GP28" i="7"/>
  <c r="GP23" i="7"/>
  <c r="GP21" i="7"/>
  <c r="GP20" i="7"/>
  <c r="GP22" i="7"/>
  <c r="GP33" i="7"/>
  <c r="GP34" i="7"/>
  <c r="GP35" i="7"/>
  <c r="GP27" i="7"/>
  <c r="GP36" i="7"/>
  <c r="GP29" i="7"/>
  <c r="GP31" i="7"/>
  <c r="GP30" i="7"/>
  <c r="GP32" i="7"/>
  <c r="GQ1" i="7"/>
  <c r="GP3" i="7"/>
  <c r="GQ37" i="7" l="1"/>
  <c r="GQ38" i="7"/>
  <c r="GQ39" i="7"/>
  <c r="GQ40" i="7"/>
  <c r="GQ41" i="7"/>
  <c r="GQ42" i="7"/>
  <c r="GQ43" i="7"/>
  <c r="GQ44" i="7"/>
  <c r="GQ4" i="7"/>
  <c r="GQ6" i="7"/>
  <c r="GQ8" i="7"/>
  <c r="GQ5" i="7"/>
  <c r="GQ7" i="7"/>
  <c r="GQ16" i="7"/>
  <c r="GQ9" i="7"/>
  <c r="GQ10" i="7"/>
  <c r="GQ14" i="7"/>
  <c r="GQ12" i="7"/>
  <c r="GQ13" i="7"/>
  <c r="GQ15" i="7"/>
  <c r="GQ11" i="7"/>
  <c r="GQ18" i="7"/>
  <c r="GQ17" i="7"/>
  <c r="GQ20" i="7"/>
  <c r="GQ22" i="7"/>
  <c r="GQ25" i="7"/>
  <c r="GQ26" i="7"/>
  <c r="GQ27" i="7"/>
  <c r="GQ21" i="7"/>
  <c r="GQ29" i="7"/>
  <c r="GQ19" i="7"/>
  <c r="GQ23" i="7"/>
  <c r="GQ28" i="7"/>
  <c r="GQ24" i="7"/>
  <c r="GQ30" i="7"/>
  <c r="GQ32" i="7"/>
  <c r="GQ33" i="7"/>
  <c r="GQ34" i="7"/>
  <c r="GQ35" i="7"/>
  <c r="GQ36" i="7"/>
  <c r="GQ31" i="7"/>
  <c r="GR1" i="7"/>
  <c r="GQ3" i="7"/>
  <c r="GR37" i="7" l="1"/>
  <c r="GR38" i="7"/>
  <c r="GR39" i="7"/>
  <c r="GR40" i="7"/>
  <c r="GR41" i="7"/>
  <c r="GR42" i="7"/>
  <c r="GR43" i="7"/>
  <c r="GR44" i="7"/>
  <c r="GR5" i="7"/>
  <c r="GR6" i="7"/>
  <c r="GR4" i="7"/>
  <c r="GR7" i="7"/>
  <c r="GR9" i="7"/>
  <c r="GR10" i="7"/>
  <c r="GR15" i="7"/>
  <c r="GR8" i="7"/>
  <c r="GR13" i="7"/>
  <c r="GR12" i="7"/>
  <c r="GR16" i="7"/>
  <c r="GR17" i="7"/>
  <c r="GR11" i="7"/>
  <c r="GR18" i="7"/>
  <c r="GR21" i="7"/>
  <c r="GR20" i="7"/>
  <c r="GR22" i="7"/>
  <c r="GR25" i="7"/>
  <c r="GR26" i="7"/>
  <c r="GR14" i="7"/>
  <c r="GR29" i="7"/>
  <c r="GR19" i="7"/>
  <c r="GR23" i="7"/>
  <c r="GR24" i="7"/>
  <c r="GR30" i="7"/>
  <c r="GR32" i="7"/>
  <c r="GR33" i="7"/>
  <c r="GR34" i="7"/>
  <c r="GR27" i="7"/>
  <c r="GR35" i="7"/>
  <c r="GR28" i="7"/>
  <c r="GR36" i="7"/>
  <c r="GR31" i="7"/>
  <c r="GS1" i="7"/>
  <c r="GR3" i="7"/>
  <c r="GS37" i="7" l="1"/>
  <c r="GS38" i="7"/>
  <c r="GS39" i="7"/>
  <c r="GS40" i="7"/>
  <c r="GS41" i="7"/>
  <c r="GS42" i="7"/>
  <c r="GS43" i="7"/>
  <c r="GS44" i="7"/>
  <c r="GS4" i="7"/>
  <c r="GS5" i="7"/>
  <c r="GS7" i="7"/>
  <c r="GS6" i="7"/>
  <c r="GS9" i="7"/>
  <c r="GS8" i="7"/>
  <c r="GS14" i="7"/>
  <c r="GS11" i="7"/>
  <c r="GS13" i="7"/>
  <c r="GS12" i="7"/>
  <c r="GS10" i="7"/>
  <c r="GS15" i="7"/>
  <c r="GS16" i="7"/>
  <c r="GS19" i="7"/>
  <c r="GS18" i="7"/>
  <c r="GS21" i="7"/>
  <c r="GS20" i="7"/>
  <c r="GS22" i="7"/>
  <c r="GS23" i="7"/>
  <c r="GS17" i="7"/>
  <c r="GS25" i="7"/>
  <c r="GS27" i="7"/>
  <c r="GS29" i="7"/>
  <c r="GS26" i="7"/>
  <c r="GS30" i="7"/>
  <c r="GS32" i="7"/>
  <c r="GS33" i="7"/>
  <c r="GS34" i="7"/>
  <c r="GS35" i="7"/>
  <c r="GS31" i="7"/>
  <c r="GS28" i="7"/>
  <c r="GS24" i="7"/>
  <c r="GS36" i="7"/>
  <c r="GT1" i="7"/>
  <c r="GS3" i="7"/>
  <c r="GT37" i="7" l="1"/>
  <c r="GT38" i="7"/>
  <c r="GT39" i="7"/>
  <c r="GT40" i="7"/>
  <c r="GT41" i="7"/>
  <c r="GT42" i="7"/>
  <c r="GT43" i="7"/>
  <c r="GT44" i="7"/>
  <c r="GT4" i="7"/>
  <c r="GT7" i="7"/>
  <c r="GT8" i="7"/>
  <c r="GT6" i="7"/>
  <c r="GT5" i="7"/>
  <c r="GT13" i="7"/>
  <c r="GT9" i="7"/>
  <c r="GT12" i="7"/>
  <c r="GT16" i="7"/>
  <c r="GT10" i="7"/>
  <c r="GT11" i="7"/>
  <c r="GT14" i="7"/>
  <c r="GT15" i="7"/>
  <c r="GT17" i="7"/>
  <c r="GT19" i="7"/>
  <c r="GT18" i="7"/>
  <c r="GT20" i="7"/>
  <c r="GT21" i="7"/>
  <c r="GT22" i="7"/>
  <c r="GT23" i="7"/>
  <c r="GT24" i="7"/>
  <c r="GT27" i="7"/>
  <c r="GT29" i="7"/>
  <c r="GT25" i="7"/>
  <c r="GT26" i="7"/>
  <c r="GT28" i="7"/>
  <c r="GT30" i="7"/>
  <c r="GT32" i="7"/>
  <c r="GT33" i="7"/>
  <c r="GT34" i="7"/>
  <c r="GT31" i="7"/>
  <c r="GT35" i="7"/>
  <c r="GT36" i="7"/>
  <c r="GU1" i="7"/>
  <c r="GT3" i="7"/>
  <c r="GU37" i="7" l="1"/>
  <c r="GU38" i="7"/>
  <c r="GU39" i="7"/>
  <c r="GU40" i="7"/>
  <c r="GU41" i="7"/>
  <c r="GU42" i="7"/>
  <c r="GU43" i="7"/>
  <c r="GU44" i="7"/>
  <c r="GU6" i="7"/>
  <c r="GU7" i="7"/>
  <c r="GU5" i="7"/>
  <c r="GU8" i="7"/>
  <c r="GU4" i="7"/>
  <c r="GU9" i="7"/>
  <c r="GU10" i="7"/>
  <c r="GU14" i="7"/>
  <c r="GU12" i="7"/>
  <c r="GU13" i="7"/>
  <c r="GU15" i="7"/>
  <c r="GU16" i="7"/>
  <c r="GU11" i="7"/>
  <c r="GU17" i="7"/>
  <c r="GU19" i="7"/>
  <c r="GU18" i="7"/>
  <c r="GU20" i="7"/>
  <c r="GU21" i="7"/>
  <c r="GU22" i="7"/>
  <c r="GU23" i="7"/>
  <c r="GU24" i="7"/>
  <c r="GU27" i="7"/>
  <c r="GU29" i="7"/>
  <c r="GU25" i="7"/>
  <c r="GU28" i="7"/>
  <c r="GU30" i="7"/>
  <c r="GU32" i="7"/>
  <c r="GU26" i="7"/>
  <c r="GU33" i="7"/>
  <c r="GU36" i="7"/>
  <c r="GU34" i="7"/>
  <c r="GU35" i="7"/>
  <c r="GU31" i="7"/>
  <c r="GV1" i="7"/>
  <c r="GU3" i="7"/>
  <c r="GV37" i="7" l="1"/>
  <c r="GV38" i="7"/>
  <c r="GV39" i="7"/>
  <c r="GV40" i="7"/>
  <c r="GV41" i="7"/>
  <c r="GV42" i="7"/>
  <c r="GV43" i="7"/>
  <c r="GV44" i="7"/>
  <c r="GV5" i="7"/>
  <c r="GV6" i="7"/>
  <c r="GV12" i="7"/>
  <c r="GV9" i="7"/>
  <c r="GV4" i="7"/>
  <c r="GV7" i="7"/>
  <c r="GV10" i="7"/>
  <c r="GV8" i="7"/>
  <c r="GV14" i="7"/>
  <c r="GV11" i="7"/>
  <c r="GV13" i="7"/>
  <c r="GV17" i="7"/>
  <c r="GV15" i="7"/>
  <c r="GV16" i="7"/>
  <c r="GV19" i="7"/>
  <c r="GV22" i="7"/>
  <c r="GV18" i="7"/>
  <c r="GV20" i="7"/>
  <c r="GV21" i="7"/>
  <c r="GV23" i="7"/>
  <c r="GV26" i="7"/>
  <c r="GV24" i="7"/>
  <c r="GV27" i="7"/>
  <c r="GV29" i="7"/>
  <c r="GV31" i="7"/>
  <c r="GV25" i="7"/>
  <c r="GV30" i="7"/>
  <c r="GV32" i="7"/>
  <c r="GV35" i="7"/>
  <c r="GV36" i="7"/>
  <c r="GV33" i="7"/>
  <c r="GV34" i="7"/>
  <c r="GV28" i="7"/>
  <c r="GW1" i="7"/>
  <c r="GV3" i="7"/>
  <c r="GW37" i="7" l="1"/>
  <c r="GW38" i="7"/>
  <c r="GW39" i="7"/>
  <c r="GW40" i="7"/>
  <c r="GW41" i="7"/>
  <c r="GW42" i="7"/>
  <c r="GW43" i="7"/>
  <c r="GW44" i="7"/>
  <c r="GW4" i="7"/>
  <c r="GW5" i="7"/>
  <c r="GW6" i="7"/>
  <c r="GW8" i="7"/>
  <c r="GW11" i="7"/>
  <c r="GW7" i="7"/>
  <c r="GW10" i="7"/>
  <c r="GW19" i="7"/>
  <c r="GW12" i="7"/>
  <c r="GW14" i="7"/>
  <c r="GW18" i="7"/>
  <c r="GW9" i="7"/>
  <c r="GW13" i="7"/>
  <c r="GW17" i="7"/>
  <c r="GW15" i="7"/>
  <c r="GW16" i="7"/>
  <c r="GW20" i="7"/>
  <c r="GW21" i="7"/>
  <c r="GW22" i="7"/>
  <c r="GW24" i="7"/>
  <c r="GW23" i="7"/>
  <c r="GW25" i="7"/>
  <c r="GW26" i="7"/>
  <c r="GW27" i="7"/>
  <c r="GW31" i="7"/>
  <c r="GW28" i="7"/>
  <c r="GW34" i="7"/>
  <c r="GW35" i="7"/>
  <c r="GW36" i="7"/>
  <c r="GW33" i="7"/>
  <c r="GW29" i="7"/>
  <c r="GW30" i="7"/>
  <c r="GW32" i="7"/>
  <c r="GX1" i="7"/>
  <c r="GW3" i="7"/>
  <c r="GX37" i="7" l="1"/>
  <c r="GX38" i="7"/>
  <c r="GX39" i="7"/>
  <c r="GX40" i="7"/>
  <c r="GX41" i="7"/>
  <c r="GX42" i="7"/>
  <c r="GX43" i="7"/>
  <c r="GX44" i="7"/>
  <c r="GX4" i="7"/>
  <c r="GX6" i="7"/>
  <c r="GX5" i="7"/>
  <c r="GX10" i="7"/>
  <c r="GX7" i="7"/>
  <c r="GX8" i="7"/>
  <c r="GX11" i="7"/>
  <c r="GX9" i="7"/>
  <c r="GX18" i="7"/>
  <c r="GX14" i="7"/>
  <c r="GX12" i="7"/>
  <c r="GX17" i="7"/>
  <c r="GX13" i="7"/>
  <c r="GX15" i="7"/>
  <c r="GX16" i="7"/>
  <c r="GX19" i="7"/>
  <c r="GX20" i="7"/>
  <c r="GX21" i="7"/>
  <c r="GX22" i="7"/>
  <c r="GX23" i="7"/>
  <c r="GX25" i="7"/>
  <c r="GX28" i="7"/>
  <c r="GX24" i="7"/>
  <c r="GX30" i="7"/>
  <c r="GX27" i="7"/>
  <c r="GX31" i="7"/>
  <c r="GX33" i="7"/>
  <c r="GX34" i="7"/>
  <c r="GX26" i="7"/>
  <c r="GX36" i="7"/>
  <c r="GX35" i="7"/>
  <c r="GX29" i="7"/>
  <c r="GX32" i="7"/>
  <c r="GY1" i="7"/>
  <c r="GX3" i="7"/>
  <c r="GY37" i="7" l="1"/>
  <c r="GY38" i="7"/>
  <c r="GY39" i="7"/>
  <c r="GY40" i="7"/>
  <c r="GY41" i="7"/>
  <c r="GY42" i="7"/>
  <c r="GY43" i="7"/>
  <c r="GY44" i="7"/>
  <c r="GY5" i="7"/>
  <c r="GY6" i="7"/>
  <c r="GY8" i="7"/>
  <c r="GY4" i="7"/>
  <c r="GY7" i="7"/>
  <c r="GY9" i="7"/>
  <c r="GY17" i="7"/>
  <c r="GY14" i="7"/>
  <c r="GY13" i="7"/>
  <c r="GY11" i="7"/>
  <c r="GY10" i="7"/>
  <c r="GY12" i="7"/>
  <c r="GY15" i="7"/>
  <c r="GY16" i="7"/>
  <c r="GY19" i="7"/>
  <c r="GY20" i="7"/>
  <c r="GY21" i="7"/>
  <c r="GY18" i="7"/>
  <c r="GY22" i="7"/>
  <c r="GY24" i="7"/>
  <c r="GY28" i="7"/>
  <c r="GY26" i="7"/>
  <c r="GY29" i="7"/>
  <c r="GY36" i="7"/>
  <c r="GY31" i="7"/>
  <c r="GY27" i="7"/>
  <c r="GY32" i="7"/>
  <c r="GY33" i="7"/>
  <c r="GY23" i="7"/>
  <c r="GY34" i="7"/>
  <c r="GY35" i="7"/>
  <c r="GY25" i="7"/>
  <c r="GY30" i="7"/>
  <c r="GZ1" i="7"/>
  <c r="GY3" i="7"/>
  <c r="GZ37" i="7" l="1"/>
  <c r="GZ38" i="7"/>
  <c r="GZ39" i="7"/>
  <c r="GZ40" i="7"/>
  <c r="GZ41" i="7"/>
  <c r="GZ42" i="7"/>
  <c r="GZ43" i="7"/>
  <c r="GZ44" i="7"/>
  <c r="GZ4" i="7"/>
  <c r="GZ5" i="7"/>
  <c r="GZ7" i="7"/>
  <c r="GZ9" i="7"/>
  <c r="GZ6" i="7"/>
  <c r="GZ8" i="7"/>
  <c r="GZ11" i="7"/>
  <c r="GZ10" i="7"/>
  <c r="GZ14" i="7"/>
  <c r="GZ12" i="7"/>
  <c r="GZ15" i="7"/>
  <c r="GZ17" i="7"/>
  <c r="GZ18" i="7"/>
  <c r="GZ13" i="7"/>
  <c r="GZ16" i="7"/>
  <c r="GZ19" i="7"/>
  <c r="GZ20" i="7"/>
  <c r="GZ21" i="7"/>
  <c r="GZ24" i="7"/>
  <c r="GZ22" i="7"/>
  <c r="GZ28" i="7"/>
  <c r="GZ25" i="7"/>
  <c r="GZ26" i="7"/>
  <c r="GZ35" i="7"/>
  <c r="GZ31" i="7"/>
  <c r="GZ23" i="7"/>
  <c r="GZ29" i="7"/>
  <c r="GZ30" i="7"/>
  <c r="GZ32" i="7"/>
  <c r="GZ33" i="7"/>
  <c r="GZ27" i="7"/>
  <c r="GZ36" i="7"/>
  <c r="GZ34" i="7"/>
  <c r="HA1" i="7"/>
  <c r="GZ3" i="7"/>
  <c r="HA37" i="7" l="1"/>
  <c r="HA38" i="7"/>
  <c r="HA39" i="7"/>
  <c r="HA40" i="7"/>
  <c r="HA41" i="7"/>
  <c r="HA42" i="7"/>
  <c r="HA43" i="7"/>
  <c r="HA44" i="7"/>
  <c r="HA4" i="7"/>
  <c r="HA5" i="7"/>
  <c r="HA6" i="7"/>
  <c r="HA8" i="7"/>
  <c r="HA7" i="7"/>
  <c r="HA11" i="7"/>
  <c r="HA10" i="7"/>
  <c r="HA9" i="7"/>
  <c r="HA15" i="7"/>
  <c r="HA13" i="7"/>
  <c r="HA14" i="7"/>
  <c r="HA12" i="7"/>
  <c r="HA16" i="7"/>
  <c r="HA17" i="7"/>
  <c r="HA19" i="7"/>
  <c r="HA18" i="7"/>
  <c r="HA26" i="7"/>
  <c r="HA24" i="7"/>
  <c r="HA20" i="7"/>
  <c r="HA21" i="7"/>
  <c r="HA22" i="7"/>
  <c r="HA29" i="7"/>
  <c r="HA28" i="7"/>
  <c r="HA23" i="7"/>
  <c r="HA27" i="7"/>
  <c r="HA25" i="7"/>
  <c r="HA34" i="7"/>
  <c r="HA35" i="7"/>
  <c r="HA36" i="7"/>
  <c r="HA31" i="7"/>
  <c r="HA30" i="7"/>
  <c r="HA32" i="7"/>
  <c r="HA33" i="7"/>
  <c r="HB1" i="7"/>
  <c r="HA3" i="7"/>
  <c r="HB37" i="7" l="1"/>
  <c r="HB38" i="7"/>
  <c r="HB39" i="7"/>
  <c r="HB40" i="7"/>
  <c r="HB41" i="7"/>
  <c r="HB42" i="7"/>
  <c r="HB43" i="7"/>
  <c r="HB44" i="7"/>
  <c r="HB4" i="7"/>
  <c r="HB6" i="7"/>
  <c r="HB5" i="7"/>
  <c r="HB7" i="7"/>
  <c r="HB9" i="7"/>
  <c r="HB8" i="7"/>
  <c r="HB11" i="7"/>
  <c r="HB10" i="7"/>
  <c r="HB13" i="7"/>
  <c r="HB14" i="7"/>
  <c r="HB15" i="7"/>
  <c r="HB16" i="7"/>
  <c r="HB12" i="7"/>
  <c r="HB18" i="7"/>
  <c r="HB17" i="7"/>
  <c r="HB25" i="7"/>
  <c r="HB26" i="7"/>
  <c r="HB24" i="7"/>
  <c r="HB20" i="7"/>
  <c r="HB21" i="7"/>
  <c r="HB28" i="7"/>
  <c r="HB23" i="7"/>
  <c r="HB19" i="7"/>
  <c r="HB27" i="7"/>
  <c r="HB22" i="7"/>
  <c r="HB33" i="7"/>
  <c r="HB34" i="7"/>
  <c r="HB35" i="7"/>
  <c r="HB36" i="7"/>
  <c r="HB31" i="7"/>
  <c r="HB29" i="7"/>
  <c r="HB30" i="7"/>
  <c r="HB32" i="7"/>
  <c r="HC1" i="7"/>
  <c r="HB3" i="7"/>
  <c r="HC37" i="7" l="1"/>
  <c r="HC38" i="7"/>
  <c r="HC39" i="7"/>
  <c r="HC40" i="7"/>
  <c r="HC41" i="7"/>
  <c r="HC42" i="7"/>
  <c r="HC43" i="7"/>
  <c r="HC44" i="7"/>
  <c r="HC4" i="7"/>
  <c r="HC6" i="7"/>
  <c r="HC5" i="7"/>
  <c r="HC12" i="7"/>
  <c r="HC16" i="7"/>
  <c r="HC7" i="7"/>
  <c r="HC8" i="7"/>
  <c r="HC10" i="7"/>
  <c r="HC9" i="7"/>
  <c r="HC13" i="7"/>
  <c r="HC11" i="7"/>
  <c r="HC15" i="7"/>
  <c r="HC14" i="7"/>
  <c r="HC17" i="7"/>
  <c r="HC22" i="7"/>
  <c r="HC18" i="7"/>
  <c r="HC25" i="7"/>
  <c r="HC26" i="7"/>
  <c r="HC24" i="7"/>
  <c r="HC27" i="7"/>
  <c r="HC19" i="7"/>
  <c r="HC23" i="7"/>
  <c r="HC20" i="7"/>
  <c r="HC28" i="7"/>
  <c r="HC21" i="7"/>
  <c r="HC32" i="7"/>
  <c r="HC33" i="7"/>
  <c r="HC34" i="7"/>
  <c r="HC35" i="7"/>
  <c r="HC36" i="7"/>
  <c r="HC29" i="7"/>
  <c r="HC31" i="7"/>
  <c r="HC30" i="7"/>
  <c r="HD1" i="7"/>
  <c r="HC3" i="7"/>
  <c r="HD37" i="7" l="1"/>
  <c r="HD38" i="7"/>
  <c r="HD39" i="7"/>
  <c r="HD40" i="7"/>
  <c r="HD41" i="7"/>
  <c r="HD42" i="7"/>
  <c r="HD43" i="7"/>
  <c r="HD44" i="7"/>
  <c r="HD5" i="7"/>
  <c r="HD4" i="7"/>
  <c r="HD6" i="7"/>
  <c r="HD7" i="7"/>
  <c r="HD9" i="7"/>
  <c r="HD15" i="7"/>
  <c r="HD8" i="7"/>
  <c r="HD10" i="7"/>
  <c r="HD11" i="7"/>
  <c r="HD12" i="7"/>
  <c r="HD14" i="7"/>
  <c r="HD16" i="7"/>
  <c r="HD18" i="7"/>
  <c r="HD17" i="7"/>
  <c r="HD13" i="7"/>
  <c r="HD20" i="7"/>
  <c r="HD21" i="7"/>
  <c r="HD22" i="7"/>
  <c r="HD25" i="7"/>
  <c r="HD26" i="7"/>
  <c r="HD19" i="7"/>
  <c r="HD29" i="7"/>
  <c r="HD24" i="7"/>
  <c r="HD28" i="7"/>
  <c r="HD23" i="7"/>
  <c r="HD30" i="7"/>
  <c r="HD32" i="7"/>
  <c r="HD33" i="7"/>
  <c r="HD34" i="7"/>
  <c r="HD35" i="7"/>
  <c r="HD36" i="7"/>
  <c r="HD27" i="7"/>
  <c r="HD31" i="7"/>
  <c r="HE1" i="7"/>
  <c r="HD3" i="7"/>
  <c r="HE37" i="7" l="1"/>
  <c r="HE38" i="7"/>
  <c r="HE39" i="7"/>
  <c r="HE40" i="7"/>
  <c r="HE41" i="7"/>
  <c r="HE42" i="7"/>
  <c r="HE43" i="7"/>
  <c r="HE44" i="7"/>
  <c r="HE4" i="7"/>
  <c r="HE5" i="7"/>
  <c r="HE7" i="7"/>
  <c r="HE9" i="7"/>
  <c r="HE6" i="7"/>
  <c r="HE8" i="7"/>
  <c r="HE10" i="7"/>
  <c r="HE14" i="7"/>
  <c r="HE13" i="7"/>
  <c r="HE11" i="7"/>
  <c r="HE16" i="7"/>
  <c r="HE17" i="7"/>
  <c r="HE18" i="7"/>
  <c r="HE12" i="7"/>
  <c r="HE19" i="7"/>
  <c r="HE15" i="7"/>
  <c r="HE20" i="7"/>
  <c r="HE21" i="7"/>
  <c r="HE25" i="7"/>
  <c r="HE22" i="7"/>
  <c r="HE29" i="7"/>
  <c r="HE24" i="7"/>
  <c r="HE23" i="7"/>
  <c r="HE30" i="7"/>
  <c r="HE32" i="7"/>
  <c r="HE33" i="7"/>
  <c r="HE34" i="7"/>
  <c r="HE35" i="7"/>
  <c r="HE27" i="7"/>
  <c r="HE31" i="7"/>
  <c r="HE28" i="7"/>
  <c r="HE26" i="7"/>
  <c r="HE36" i="7"/>
  <c r="HF1" i="7"/>
  <c r="HE3" i="7"/>
  <c r="HF37" i="7" l="1"/>
  <c r="HF38" i="7"/>
  <c r="HF39" i="7"/>
  <c r="HF40" i="7"/>
  <c r="HF41" i="7"/>
  <c r="HF42" i="7"/>
  <c r="HF43" i="7"/>
  <c r="HF44" i="7"/>
  <c r="HF4" i="7"/>
  <c r="HF7" i="7"/>
  <c r="HF8" i="7"/>
  <c r="HF5" i="7"/>
  <c r="HF13" i="7"/>
  <c r="HF6" i="7"/>
  <c r="HF11" i="7"/>
  <c r="HF12" i="7"/>
  <c r="HF10" i="7"/>
  <c r="HF15" i="7"/>
  <c r="HF16" i="7"/>
  <c r="HF18" i="7"/>
  <c r="HF19" i="7"/>
  <c r="HF9" i="7"/>
  <c r="HF20" i="7"/>
  <c r="HF14" i="7"/>
  <c r="HF17" i="7"/>
  <c r="HF23" i="7"/>
  <c r="HF27" i="7"/>
  <c r="HF22" i="7"/>
  <c r="HF29" i="7"/>
  <c r="HF24" i="7"/>
  <c r="HF21" i="7"/>
  <c r="HF30" i="7"/>
  <c r="HF32" i="7"/>
  <c r="HF33" i="7"/>
  <c r="HF34" i="7"/>
  <c r="HF26" i="7"/>
  <c r="HF31" i="7"/>
  <c r="HF28" i="7"/>
  <c r="HF35" i="7"/>
  <c r="HF36" i="7"/>
  <c r="HF25" i="7"/>
  <c r="HG1" i="7"/>
  <c r="HF3" i="7"/>
  <c r="HG37" i="7" l="1"/>
  <c r="HG38" i="7"/>
  <c r="HG39" i="7"/>
  <c r="HG40" i="7"/>
  <c r="HG41" i="7"/>
  <c r="HG42" i="7"/>
  <c r="HG43" i="7"/>
  <c r="HG44" i="7"/>
  <c r="HG6" i="7"/>
  <c r="HG5" i="7"/>
  <c r="HG7" i="7"/>
  <c r="HG4" i="7"/>
  <c r="HG9" i="7"/>
  <c r="HG8" i="7"/>
  <c r="HG10" i="7"/>
  <c r="HG16" i="7"/>
  <c r="HG13" i="7"/>
  <c r="HG12" i="7"/>
  <c r="HG15" i="7"/>
  <c r="HG11" i="7"/>
  <c r="HG18" i="7"/>
  <c r="HG19" i="7"/>
  <c r="HG14" i="7"/>
  <c r="HG17" i="7"/>
  <c r="HG23" i="7"/>
  <c r="HG22" i="7"/>
  <c r="HG24" i="7"/>
  <c r="HG26" i="7"/>
  <c r="HG27" i="7"/>
  <c r="HG29" i="7"/>
  <c r="HG20" i="7"/>
  <c r="HG28" i="7"/>
  <c r="HG21" i="7"/>
  <c r="HG30" i="7"/>
  <c r="HG32" i="7"/>
  <c r="HG33" i="7"/>
  <c r="HG25" i="7"/>
  <c r="HG36" i="7"/>
  <c r="HG31" i="7"/>
  <c r="HG34" i="7"/>
  <c r="HG35" i="7"/>
  <c r="HH1" i="7"/>
  <c r="HG3" i="7"/>
  <c r="HH37" i="7" l="1"/>
  <c r="HH38" i="7"/>
  <c r="HH39" i="7"/>
  <c r="HH40" i="7"/>
  <c r="HH41" i="7"/>
  <c r="HH42" i="7"/>
  <c r="HH43" i="7"/>
  <c r="HH44" i="7"/>
  <c r="HH5" i="7"/>
  <c r="HH6" i="7"/>
  <c r="HH4" i="7"/>
  <c r="HH8" i="7"/>
  <c r="HH12" i="7"/>
  <c r="HH10" i="7"/>
  <c r="HH7" i="7"/>
  <c r="HH14" i="7"/>
  <c r="HH15" i="7"/>
  <c r="HH16" i="7"/>
  <c r="HH11" i="7"/>
  <c r="HH13" i="7"/>
  <c r="HH17" i="7"/>
  <c r="HH18" i="7"/>
  <c r="HH19" i="7"/>
  <c r="HH9" i="7"/>
  <c r="HH22" i="7"/>
  <c r="HH23" i="7"/>
  <c r="HH21" i="7"/>
  <c r="HH26" i="7"/>
  <c r="HH24" i="7"/>
  <c r="HH25" i="7"/>
  <c r="HH27" i="7"/>
  <c r="HH29" i="7"/>
  <c r="HH20" i="7"/>
  <c r="HH28" i="7"/>
  <c r="HH30" i="7"/>
  <c r="HH32" i="7"/>
  <c r="HH35" i="7"/>
  <c r="HH36" i="7"/>
  <c r="HH33" i="7"/>
  <c r="HH34" i="7"/>
  <c r="HH31" i="7"/>
  <c r="HI1" i="7"/>
  <c r="HH3" i="7"/>
  <c r="HI37" i="7" l="1"/>
  <c r="HI38" i="7"/>
  <c r="HI39" i="7"/>
  <c r="HI40" i="7"/>
  <c r="HI41" i="7"/>
  <c r="HI42" i="7"/>
  <c r="HI43" i="7"/>
  <c r="HI44" i="7"/>
  <c r="HI4" i="7"/>
  <c r="HI5" i="7"/>
  <c r="HI6" i="7"/>
  <c r="HI11" i="7"/>
  <c r="HI9" i="7"/>
  <c r="HI7" i="7"/>
  <c r="HI8" i="7"/>
  <c r="HI10" i="7"/>
  <c r="HI12" i="7"/>
  <c r="HI14" i="7"/>
  <c r="HI19" i="7"/>
  <c r="HI15" i="7"/>
  <c r="HI16" i="7"/>
  <c r="HI13" i="7"/>
  <c r="HI17" i="7"/>
  <c r="HI18" i="7"/>
  <c r="HI21" i="7"/>
  <c r="HI22" i="7"/>
  <c r="HI24" i="7"/>
  <c r="HI23" i="7"/>
  <c r="HI20" i="7"/>
  <c r="HI25" i="7"/>
  <c r="HI26" i="7"/>
  <c r="HI27" i="7"/>
  <c r="HI31" i="7"/>
  <c r="HI29" i="7"/>
  <c r="HI30" i="7"/>
  <c r="HI34" i="7"/>
  <c r="HI35" i="7"/>
  <c r="HI32" i="7"/>
  <c r="HI28" i="7"/>
  <c r="HI36" i="7"/>
  <c r="HI33" i="7"/>
  <c r="HJ1" i="7"/>
  <c r="HI3" i="7"/>
  <c r="HJ37" i="7" l="1"/>
  <c r="HJ38" i="7"/>
  <c r="HJ39" i="7"/>
  <c r="HJ40" i="7"/>
  <c r="HJ41" i="7"/>
  <c r="HJ42" i="7"/>
  <c r="HJ43" i="7"/>
  <c r="HJ44" i="7"/>
  <c r="HJ4" i="7"/>
  <c r="HJ6" i="7"/>
  <c r="HJ5" i="7"/>
  <c r="HJ10" i="7"/>
  <c r="HJ9" i="7"/>
  <c r="HJ7" i="7"/>
  <c r="HJ8" i="7"/>
  <c r="HJ18" i="7"/>
  <c r="HJ15" i="7"/>
  <c r="HJ14" i="7"/>
  <c r="HJ11" i="7"/>
  <c r="HJ13" i="7"/>
  <c r="HJ16" i="7"/>
  <c r="HJ17" i="7"/>
  <c r="HJ12" i="7"/>
  <c r="HJ20" i="7"/>
  <c r="HJ21" i="7"/>
  <c r="HJ22" i="7"/>
  <c r="HJ23" i="7"/>
  <c r="HJ19" i="7"/>
  <c r="HJ25" i="7"/>
  <c r="HJ26" i="7"/>
  <c r="HJ27" i="7"/>
  <c r="HJ30" i="7"/>
  <c r="HJ24" i="7"/>
  <c r="HJ28" i="7"/>
  <c r="HJ31" i="7"/>
  <c r="HJ33" i="7"/>
  <c r="HJ34" i="7"/>
  <c r="HJ32" i="7"/>
  <c r="HJ36" i="7"/>
  <c r="HJ35" i="7"/>
  <c r="HJ29" i="7"/>
  <c r="HK1" i="7"/>
  <c r="HJ3" i="7"/>
  <c r="HK37" i="7" l="1"/>
  <c r="HK38" i="7"/>
  <c r="HK39" i="7"/>
  <c r="HK40" i="7"/>
  <c r="HK41" i="7"/>
  <c r="HK42" i="7"/>
  <c r="HK43" i="7"/>
  <c r="HK44" i="7"/>
  <c r="HK5" i="7"/>
  <c r="HK6" i="7"/>
  <c r="HK4" i="7"/>
  <c r="HK8" i="7"/>
  <c r="HK7" i="7"/>
  <c r="HK11" i="7"/>
  <c r="HK9" i="7"/>
  <c r="HK10" i="7"/>
  <c r="HK17" i="7"/>
  <c r="HK12" i="7"/>
  <c r="HK14" i="7"/>
  <c r="HK18" i="7"/>
  <c r="HK15" i="7"/>
  <c r="HK16" i="7"/>
  <c r="HK20" i="7"/>
  <c r="HK21" i="7"/>
  <c r="HK22" i="7"/>
  <c r="HK13" i="7"/>
  <c r="HK23" i="7"/>
  <c r="HK19" i="7"/>
  <c r="HK28" i="7"/>
  <c r="HK25" i="7"/>
  <c r="HK26" i="7"/>
  <c r="HK27" i="7"/>
  <c r="HK29" i="7"/>
  <c r="HK36" i="7"/>
  <c r="HK31" i="7"/>
  <c r="HK32" i="7"/>
  <c r="HK33" i="7"/>
  <c r="HK30" i="7"/>
  <c r="HK34" i="7"/>
  <c r="HK35" i="7"/>
  <c r="HK24" i="7"/>
  <c r="HL1" i="7"/>
  <c r="HK3" i="7"/>
  <c r="HL37" i="7" l="1"/>
  <c r="HL38" i="7"/>
  <c r="HL39" i="7"/>
  <c r="HL40" i="7"/>
  <c r="HL41" i="7"/>
  <c r="HL42" i="7"/>
  <c r="HL43" i="7"/>
  <c r="HL44" i="7"/>
  <c r="HL4" i="7"/>
  <c r="HL5" i="7"/>
  <c r="HL6" i="7"/>
  <c r="HL7" i="7"/>
  <c r="HL9" i="7"/>
  <c r="HL10" i="7"/>
  <c r="HL12" i="7"/>
  <c r="HL14" i="7"/>
  <c r="HL13" i="7"/>
  <c r="HL11" i="7"/>
  <c r="HL15" i="7"/>
  <c r="HL8" i="7"/>
  <c r="HL16" i="7"/>
  <c r="HL17" i="7"/>
  <c r="HL20" i="7"/>
  <c r="HL21" i="7"/>
  <c r="HL24" i="7"/>
  <c r="HL18" i="7"/>
  <c r="HL22" i="7"/>
  <c r="HL19" i="7"/>
  <c r="HL28" i="7"/>
  <c r="HL25" i="7"/>
  <c r="HL26" i="7"/>
  <c r="HL29" i="7"/>
  <c r="HL35" i="7"/>
  <c r="HL31" i="7"/>
  <c r="HL23" i="7"/>
  <c r="HL27" i="7"/>
  <c r="HL32" i="7"/>
  <c r="HL33" i="7"/>
  <c r="HL30" i="7"/>
  <c r="HL34" i="7"/>
  <c r="HL36" i="7"/>
  <c r="HM1" i="7"/>
  <c r="HL3" i="7"/>
  <c r="HM37" i="7" l="1"/>
  <c r="HM38" i="7"/>
  <c r="HM39" i="7"/>
  <c r="HM40" i="7"/>
  <c r="HM41" i="7"/>
  <c r="HM42" i="7"/>
  <c r="HM43" i="7"/>
  <c r="HM44" i="7"/>
  <c r="HM4" i="7"/>
  <c r="HM5" i="7"/>
  <c r="HM6" i="7"/>
  <c r="HM9" i="7"/>
  <c r="HM8" i="7"/>
  <c r="HM7" i="7"/>
  <c r="HM10" i="7"/>
  <c r="HM11" i="7"/>
  <c r="HM13" i="7"/>
  <c r="HM12" i="7"/>
  <c r="HM16" i="7"/>
  <c r="HM14" i="7"/>
  <c r="HM15" i="7"/>
  <c r="HM17" i="7"/>
  <c r="HM19" i="7"/>
  <c r="HM20" i="7"/>
  <c r="HM18" i="7"/>
  <c r="HM24" i="7"/>
  <c r="HM26" i="7"/>
  <c r="HM29" i="7"/>
  <c r="HM21" i="7"/>
  <c r="HM23" i="7"/>
  <c r="HM22" i="7"/>
  <c r="HM28" i="7"/>
  <c r="HM25" i="7"/>
  <c r="HM34" i="7"/>
  <c r="HM35" i="7"/>
  <c r="HM36" i="7"/>
  <c r="HM31" i="7"/>
  <c r="HM30" i="7"/>
  <c r="HM27" i="7"/>
  <c r="HM32" i="7"/>
  <c r="HM33" i="7"/>
  <c r="HN1" i="7"/>
  <c r="HM3" i="7"/>
  <c r="HN37" i="7" l="1"/>
  <c r="HN38" i="7"/>
  <c r="HN39" i="7"/>
  <c r="HN40" i="7"/>
  <c r="HN41" i="7"/>
  <c r="HN42" i="7"/>
  <c r="HN43" i="7"/>
  <c r="HN44" i="7"/>
  <c r="HN4" i="7"/>
  <c r="HN5" i="7"/>
  <c r="HN7" i="7"/>
  <c r="HN8" i="7"/>
  <c r="HN11" i="7"/>
  <c r="HN9" i="7"/>
  <c r="HN10" i="7"/>
  <c r="HN6" i="7"/>
  <c r="HN15" i="7"/>
  <c r="HN13" i="7"/>
  <c r="HN12" i="7"/>
  <c r="HN14" i="7"/>
  <c r="HN16" i="7"/>
  <c r="HN17" i="7"/>
  <c r="HN18" i="7"/>
  <c r="HN19" i="7"/>
  <c r="HN25" i="7"/>
  <c r="HN24" i="7"/>
  <c r="HN26" i="7"/>
  <c r="HN28" i="7"/>
  <c r="HN20" i="7"/>
  <c r="HN21" i="7"/>
  <c r="HN23" i="7"/>
  <c r="HN22" i="7"/>
  <c r="HN27" i="7"/>
  <c r="HN33" i="7"/>
  <c r="HN29" i="7"/>
  <c r="HN34" i="7"/>
  <c r="HN35" i="7"/>
  <c r="HN36" i="7"/>
  <c r="HN31" i="7"/>
  <c r="HN30" i="7"/>
  <c r="HN32" i="7"/>
  <c r="HO1" i="7"/>
  <c r="HN3" i="7"/>
  <c r="HO37" i="7" l="1"/>
  <c r="HO38" i="7"/>
  <c r="HO39" i="7"/>
  <c r="HO40" i="7"/>
  <c r="HO41" i="7"/>
  <c r="HO42" i="7"/>
  <c r="HO43" i="7"/>
  <c r="HO44" i="7"/>
  <c r="HO4" i="7"/>
  <c r="HO5" i="7"/>
  <c r="HO7" i="7"/>
  <c r="HO16" i="7"/>
  <c r="HO11" i="7"/>
  <c r="HO9" i="7"/>
  <c r="HO8" i="7"/>
  <c r="HO10" i="7"/>
  <c r="HO6" i="7"/>
  <c r="HO13" i="7"/>
  <c r="HO15" i="7"/>
  <c r="HO12" i="7"/>
  <c r="HO17" i="7"/>
  <c r="HO19" i="7"/>
  <c r="HO22" i="7"/>
  <c r="HO18" i="7"/>
  <c r="HO14" i="7"/>
  <c r="HO25" i="7"/>
  <c r="HO24" i="7"/>
  <c r="HO26" i="7"/>
  <c r="HO27" i="7"/>
  <c r="HO23" i="7"/>
  <c r="HO20" i="7"/>
  <c r="HO21" i="7"/>
  <c r="HO28" i="7"/>
  <c r="HO32" i="7"/>
  <c r="HO33" i="7"/>
  <c r="HO29" i="7"/>
  <c r="HO34" i="7"/>
  <c r="HO35" i="7"/>
  <c r="HO36" i="7"/>
  <c r="HO31" i="7"/>
  <c r="HO30" i="7"/>
  <c r="HP1" i="7"/>
  <c r="HO3" i="7"/>
  <c r="HP37" i="7" l="1"/>
  <c r="HP38" i="7"/>
  <c r="HP39" i="7"/>
  <c r="HP40" i="7"/>
  <c r="HP41" i="7"/>
  <c r="HP42" i="7"/>
  <c r="HP43" i="7"/>
  <c r="HP44" i="7"/>
  <c r="HP5" i="7"/>
  <c r="HP4" i="7"/>
  <c r="HP6" i="7"/>
  <c r="HP9" i="7"/>
  <c r="HP12" i="7"/>
  <c r="HP15" i="7"/>
  <c r="HP7" i="7"/>
  <c r="HP8" i="7"/>
  <c r="HP10" i="7"/>
  <c r="HP13" i="7"/>
  <c r="HP14" i="7"/>
  <c r="HP16" i="7"/>
  <c r="HP11" i="7"/>
  <c r="HP18" i="7"/>
  <c r="HP19" i="7"/>
  <c r="HP21" i="7"/>
  <c r="HP22" i="7"/>
  <c r="HP17" i="7"/>
  <c r="HP25" i="7"/>
  <c r="HP24" i="7"/>
  <c r="HP26" i="7"/>
  <c r="HP23" i="7"/>
  <c r="HP20" i="7"/>
  <c r="HP28" i="7"/>
  <c r="HP27" i="7"/>
  <c r="HP32" i="7"/>
  <c r="HP33" i="7"/>
  <c r="HP29" i="7"/>
  <c r="HP34" i="7"/>
  <c r="HP35" i="7"/>
  <c r="HP36" i="7"/>
  <c r="HP31" i="7"/>
  <c r="HP30" i="7"/>
  <c r="HQ1" i="7"/>
  <c r="HP3" i="7"/>
  <c r="HQ37" i="7" l="1"/>
  <c r="HQ38" i="7"/>
  <c r="HQ39" i="7"/>
  <c r="HQ40" i="7"/>
  <c r="HQ41" i="7"/>
  <c r="HQ42" i="7"/>
  <c r="HQ43" i="7"/>
  <c r="HQ44" i="7"/>
  <c r="HQ4" i="7"/>
  <c r="HQ5" i="7"/>
  <c r="HQ7" i="7"/>
  <c r="HQ9" i="7"/>
  <c r="HQ6" i="7"/>
  <c r="HQ14" i="7"/>
  <c r="HQ8" i="7"/>
  <c r="HQ10" i="7"/>
  <c r="HQ15" i="7"/>
  <c r="HQ11" i="7"/>
  <c r="HQ13" i="7"/>
  <c r="HQ16" i="7"/>
  <c r="HQ17" i="7"/>
  <c r="HQ12" i="7"/>
  <c r="HQ19" i="7"/>
  <c r="HQ20" i="7"/>
  <c r="HQ21" i="7"/>
  <c r="HQ22" i="7"/>
  <c r="HQ18" i="7"/>
  <c r="HQ25" i="7"/>
  <c r="HQ29" i="7"/>
  <c r="HQ23" i="7"/>
  <c r="HQ26" i="7"/>
  <c r="HQ28" i="7"/>
  <c r="HQ30" i="7"/>
  <c r="HQ32" i="7"/>
  <c r="HQ33" i="7"/>
  <c r="HQ34" i="7"/>
  <c r="HQ35" i="7"/>
  <c r="HQ24" i="7"/>
  <c r="HQ31" i="7"/>
  <c r="HQ27" i="7"/>
  <c r="HQ36" i="7"/>
  <c r="HR1" i="7"/>
  <c r="HQ3" i="7"/>
  <c r="HR37" i="7" l="1"/>
  <c r="HR38" i="7"/>
  <c r="HR39" i="7"/>
  <c r="HR40" i="7"/>
  <c r="HR41" i="7"/>
  <c r="HR42" i="7"/>
  <c r="HR43" i="7"/>
  <c r="HR44" i="7"/>
  <c r="HR4" i="7"/>
  <c r="HR7" i="7"/>
  <c r="HR8" i="7"/>
  <c r="HR6" i="7"/>
  <c r="HR5" i="7"/>
  <c r="HR10" i="7"/>
  <c r="HR13" i="7"/>
  <c r="HR9" i="7"/>
  <c r="HR12" i="7"/>
  <c r="HR14" i="7"/>
  <c r="HR11" i="7"/>
  <c r="HR16" i="7"/>
  <c r="HR17" i="7"/>
  <c r="HR15" i="7"/>
  <c r="HR18" i="7"/>
  <c r="HR20" i="7"/>
  <c r="HR19" i="7"/>
  <c r="HR21" i="7"/>
  <c r="HR22" i="7"/>
  <c r="HR29" i="7"/>
  <c r="HR23" i="7"/>
  <c r="HR25" i="7"/>
  <c r="HR26" i="7"/>
  <c r="HR24" i="7"/>
  <c r="HR27" i="7"/>
  <c r="HR28" i="7"/>
  <c r="HR30" i="7"/>
  <c r="HR32" i="7"/>
  <c r="HR33" i="7"/>
  <c r="HR34" i="7"/>
  <c r="HR31" i="7"/>
  <c r="HR36" i="7"/>
  <c r="HR35" i="7"/>
  <c r="HS1" i="7"/>
  <c r="HR3" i="7"/>
  <c r="HS37" i="7" l="1"/>
  <c r="HS38" i="7"/>
  <c r="HS39" i="7"/>
  <c r="HS40" i="7"/>
  <c r="HS41" i="7"/>
  <c r="HS42" i="7"/>
  <c r="HS43" i="7"/>
  <c r="HS44" i="7"/>
  <c r="HS6" i="7"/>
  <c r="HS4" i="7"/>
  <c r="HS7" i="7"/>
  <c r="HS5" i="7"/>
  <c r="HS9" i="7"/>
  <c r="HS11" i="7"/>
  <c r="HS8" i="7"/>
  <c r="HS13" i="7"/>
  <c r="HS10" i="7"/>
  <c r="HS12" i="7"/>
  <c r="HS14" i="7"/>
  <c r="HS16" i="7"/>
  <c r="HS15" i="7"/>
  <c r="HS18" i="7"/>
  <c r="HS19" i="7"/>
  <c r="HS17" i="7"/>
  <c r="HS20" i="7"/>
  <c r="HS23" i="7"/>
  <c r="HS21" i="7"/>
  <c r="HS22" i="7"/>
  <c r="HS27" i="7"/>
  <c r="HS29" i="7"/>
  <c r="HS25" i="7"/>
  <c r="HS24" i="7"/>
  <c r="HS28" i="7"/>
  <c r="HS30" i="7"/>
  <c r="HS32" i="7"/>
  <c r="HS33" i="7"/>
  <c r="HS36" i="7"/>
  <c r="HS26" i="7"/>
  <c r="HS31" i="7"/>
  <c r="HS34" i="7"/>
  <c r="HS35" i="7"/>
  <c r="HT1" i="7"/>
  <c r="HS3" i="7"/>
  <c r="HT37" i="7" l="1"/>
  <c r="HT38" i="7"/>
  <c r="HT39" i="7"/>
  <c r="HT40" i="7"/>
  <c r="HT41" i="7"/>
  <c r="HT42" i="7"/>
  <c r="HT43" i="7"/>
  <c r="HT44" i="7"/>
  <c r="HT5" i="7"/>
  <c r="HT6" i="7"/>
  <c r="HT4" i="7"/>
  <c r="HT12" i="7"/>
  <c r="HT7" i="7"/>
  <c r="HT8" i="7"/>
  <c r="HT9" i="7"/>
  <c r="HT11" i="7"/>
  <c r="HT16" i="7"/>
  <c r="HT13" i="7"/>
  <c r="HT10" i="7"/>
  <c r="HT14" i="7"/>
  <c r="HT18" i="7"/>
  <c r="HT15" i="7"/>
  <c r="HT19" i="7"/>
  <c r="HT17" i="7"/>
  <c r="HT22" i="7"/>
  <c r="HT20" i="7"/>
  <c r="HT23" i="7"/>
  <c r="HT21" i="7"/>
  <c r="HT24" i="7"/>
  <c r="HT26" i="7"/>
  <c r="HT27" i="7"/>
  <c r="HT29" i="7"/>
  <c r="HT28" i="7"/>
  <c r="HT30" i="7"/>
  <c r="HT32" i="7"/>
  <c r="HT35" i="7"/>
  <c r="HT25" i="7"/>
  <c r="HT36" i="7"/>
  <c r="HT31" i="7"/>
  <c r="HT33" i="7"/>
  <c r="HT34" i="7"/>
  <c r="HU1" i="7"/>
  <c r="HT3" i="7"/>
  <c r="HU37" i="7" l="1"/>
  <c r="HU38" i="7"/>
  <c r="HU39" i="7"/>
  <c r="HU40" i="7"/>
  <c r="HU41" i="7"/>
  <c r="HU42" i="7"/>
  <c r="HU43" i="7"/>
  <c r="HU44" i="7"/>
  <c r="HU4" i="7"/>
  <c r="HU5" i="7"/>
  <c r="HU6" i="7"/>
  <c r="HU8" i="7"/>
  <c r="HU9" i="7"/>
  <c r="HU11" i="7"/>
  <c r="HU7" i="7"/>
  <c r="HU10" i="7"/>
  <c r="HU19" i="7"/>
  <c r="HU12" i="7"/>
  <c r="HU15" i="7"/>
  <c r="HU13" i="7"/>
  <c r="HU16" i="7"/>
  <c r="HU14" i="7"/>
  <c r="HU18" i="7"/>
  <c r="HU21" i="7"/>
  <c r="HU22" i="7"/>
  <c r="HU24" i="7"/>
  <c r="HU20" i="7"/>
  <c r="HU23" i="7"/>
  <c r="HU17" i="7"/>
  <c r="HU25" i="7"/>
  <c r="HU26" i="7"/>
  <c r="HU27" i="7"/>
  <c r="HU29" i="7"/>
  <c r="HU31" i="7"/>
  <c r="HU28" i="7"/>
  <c r="HU30" i="7"/>
  <c r="HU34" i="7"/>
  <c r="HU35" i="7"/>
  <c r="HU32" i="7"/>
  <c r="HU33" i="7"/>
  <c r="HU36" i="7"/>
  <c r="HV1" i="7"/>
  <c r="HU3" i="7"/>
  <c r="HV37" i="7" l="1"/>
  <c r="HV38" i="7"/>
  <c r="HV39" i="7"/>
  <c r="HV40" i="7"/>
  <c r="HV41" i="7"/>
  <c r="HV42" i="7"/>
  <c r="HV43" i="7"/>
  <c r="HV44" i="7"/>
  <c r="HV4" i="7"/>
  <c r="HV6" i="7"/>
  <c r="HV5" i="7"/>
  <c r="HV10" i="7"/>
  <c r="HV8" i="7"/>
  <c r="HV9" i="7"/>
  <c r="HV14" i="7"/>
  <c r="HV18" i="7"/>
  <c r="HV11" i="7"/>
  <c r="HV7" i="7"/>
  <c r="HV12" i="7"/>
  <c r="HV15" i="7"/>
  <c r="HV13" i="7"/>
  <c r="HV16" i="7"/>
  <c r="HV17" i="7"/>
  <c r="HV19" i="7"/>
  <c r="HV21" i="7"/>
  <c r="HV22" i="7"/>
  <c r="HV23" i="7"/>
  <c r="HV20" i="7"/>
  <c r="HV24" i="7"/>
  <c r="HV25" i="7"/>
  <c r="HV27" i="7"/>
  <c r="HV30" i="7"/>
  <c r="HV29" i="7"/>
  <c r="HV28" i="7"/>
  <c r="HV33" i="7"/>
  <c r="HV34" i="7"/>
  <c r="HV26" i="7"/>
  <c r="HV35" i="7"/>
  <c r="HV31" i="7"/>
  <c r="HV32" i="7"/>
  <c r="HV36" i="7"/>
  <c r="HW1" i="7"/>
  <c r="HV3" i="7"/>
  <c r="HW37" i="7" l="1"/>
  <c r="HW38" i="7"/>
  <c r="HW39" i="7"/>
  <c r="HW40" i="7"/>
  <c r="HW41" i="7"/>
  <c r="HW42" i="7"/>
  <c r="HW43" i="7"/>
  <c r="HW44" i="7"/>
  <c r="HW5" i="7"/>
  <c r="HW6" i="7"/>
  <c r="HW4" i="7"/>
  <c r="HW9" i="7"/>
  <c r="HW8" i="7"/>
  <c r="HW10" i="7"/>
  <c r="HW7" i="7"/>
  <c r="HW12" i="7"/>
  <c r="HW17" i="7"/>
  <c r="HW11" i="7"/>
  <c r="HW15" i="7"/>
  <c r="HW13" i="7"/>
  <c r="HW14" i="7"/>
  <c r="HW16" i="7"/>
  <c r="HW18" i="7"/>
  <c r="HW20" i="7"/>
  <c r="HW21" i="7"/>
  <c r="HW22" i="7"/>
  <c r="HW19" i="7"/>
  <c r="HW23" i="7"/>
  <c r="HW27" i="7"/>
  <c r="HW26" i="7"/>
  <c r="HW24" i="7"/>
  <c r="HW31" i="7"/>
  <c r="HW36" i="7"/>
  <c r="HW28" i="7"/>
  <c r="HW29" i="7"/>
  <c r="HW30" i="7"/>
  <c r="HW32" i="7"/>
  <c r="HW33" i="7"/>
  <c r="HW25" i="7"/>
  <c r="HW34" i="7"/>
  <c r="HW35" i="7"/>
  <c r="HX1" i="7"/>
  <c r="HW3" i="7"/>
  <c r="HX37" i="7" l="1"/>
  <c r="HX38" i="7"/>
  <c r="HX39" i="7"/>
  <c r="HX40" i="7"/>
  <c r="HX41" i="7"/>
  <c r="HX42" i="7"/>
  <c r="HX43" i="7"/>
  <c r="HX44" i="7"/>
  <c r="HX4" i="7"/>
  <c r="HX5" i="7"/>
  <c r="HX7" i="7"/>
  <c r="HX6" i="7"/>
  <c r="HX9" i="7"/>
  <c r="HX11" i="7"/>
  <c r="HX8" i="7"/>
  <c r="HX10" i="7"/>
  <c r="HX14" i="7"/>
  <c r="HX12" i="7"/>
  <c r="HX15" i="7"/>
  <c r="HX18" i="7"/>
  <c r="HX13" i="7"/>
  <c r="HX17" i="7"/>
  <c r="HX16" i="7"/>
  <c r="HX20" i="7"/>
  <c r="HX21" i="7"/>
  <c r="HX19" i="7"/>
  <c r="HX22" i="7"/>
  <c r="HX23" i="7"/>
  <c r="HX28" i="7"/>
  <c r="HX27" i="7"/>
  <c r="HX25" i="7"/>
  <c r="HX26" i="7"/>
  <c r="HX35" i="7"/>
  <c r="HX31" i="7"/>
  <c r="HX29" i="7"/>
  <c r="HX24" i="7"/>
  <c r="HX32" i="7"/>
  <c r="HX33" i="7"/>
  <c r="HX36" i="7"/>
  <c r="HX34" i="7"/>
  <c r="HX30" i="7"/>
  <c r="HY1" i="7"/>
  <c r="HX3" i="7"/>
  <c r="HY37" i="7" l="1"/>
  <c r="HY38" i="7"/>
  <c r="HY39" i="7"/>
  <c r="HY40" i="7"/>
  <c r="HY41" i="7"/>
  <c r="HY42" i="7"/>
  <c r="HY43" i="7"/>
  <c r="HY44" i="7"/>
  <c r="HY4" i="7"/>
  <c r="HY5" i="7"/>
  <c r="HY7" i="7"/>
  <c r="HY8" i="7"/>
  <c r="HY6" i="7"/>
  <c r="HY9" i="7"/>
  <c r="HY12" i="7"/>
  <c r="HY11" i="7"/>
  <c r="HY14" i="7"/>
  <c r="HY13" i="7"/>
  <c r="HY10" i="7"/>
  <c r="HY15" i="7"/>
  <c r="HY17" i="7"/>
  <c r="HY18" i="7"/>
  <c r="HY20" i="7"/>
  <c r="HY16" i="7"/>
  <c r="HY19" i="7"/>
  <c r="HY24" i="7"/>
  <c r="HY26" i="7"/>
  <c r="HY21" i="7"/>
  <c r="HY22" i="7"/>
  <c r="HY29" i="7"/>
  <c r="HY28" i="7"/>
  <c r="HY23" i="7"/>
  <c r="HY25" i="7"/>
  <c r="HY34" i="7"/>
  <c r="HY27" i="7"/>
  <c r="HY35" i="7"/>
  <c r="HY31" i="7"/>
  <c r="HY36" i="7"/>
  <c r="HY32" i="7"/>
  <c r="HY30" i="7"/>
  <c r="HY33" i="7"/>
  <c r="HZ1" i="7"/>
  <c r="HY3" i="7"/>
  <c r="HZ37" i="7" l="1"/>
  <c r="HZ38" i="7"/>
  <c r="HZ39" i="7"/>
  <c r="HZ40" i="7"/>
  <c r="HZ41" i="7"/>
  <c r="HZ42" i="7"/>
  <c r="HZ43" i="7"/>
  <c r="HZ44" i="7"/>
  <c r="HZ4" i="7"/>
  <c r="HZ5" i="7"/>
  <c r="HZ7" i="7"/>
  <c r="HZ9" i="7"/>
  <c r="HZ6" i="7"/>
  <c r="HZ8" i="7"/>
  <c r="HZ12" i="7"/>
  <c r="HZ11" i="7"/>
  <c r="HZ10" i="7"/>
  <c r="HZ14" i="7"/>
  <c r="HZ13" i="7"/>
  <c r="HZ17" i="7"/>
  <c r="HZ15" i="7"/>
  <c r="HZ16" i="7"/>
  <c r="HZ20" i="7"/>
  <c r="HZ19" i="7"/>
  <c r="HZ24" i="7"/>
  <c r="HZ25" i="7"/>
  <c r="HZ26" i="7"/>
  <c r="HZ18" i="7"/>
  <c r="HZ21" i="7"/>
  <c r="HZ28" i="7"/>
  <c r="HZ22" i="7"/>
  <c r="HZ23" i="7"/>
  <c r="HZ29" i="7"/>
  <c r="HZ33" i="7"/>
  <c r="HZ34" i="7"/>
  <c r="HZ27" i="7"/>
  <c r="HZ35" i="7"/>
  <c r="HZ31" i="7"/>
  <c r="HZ36" i="7"/>
  <c r="HZ30" i="7"/>
  <c r="HZ32" i="7"/>
  <c r="IA1" i="7"/>
  <c r="HZ3" i="7"/>
  <c r="IA37" i="7" l="1"/>
  <c r="IA38" i="7"/>
  <c r="IA39" i="7"/>
  <c r="IA40" i="7"/>
  <c r="IA41" i="7"/>
  <c r="IA42" i="7"/>
  <c r="IA43" i="7"/>
  <c r="IA44" i="7"/>
  <c r="IA4" i="7"/>
  <c r="IA6" i="7"/>
  <c r="IA5" i="7"/>
  <c r="IA8" i="7"/>
  <c r="IA9" i="7"/>
  <c r="IA16" i="7"/>
  <c r="IA11" i="7"/>
  <c r="IA10" i="7"/>
  <c r="IA7" i="7"/>
  <c r="IA15" i="7"/>
  <c r="IA13" i="7"/>
  <c r="IA12" i="7"/>
  <c r="IA14" i="7"/>
  <c r="IA17" i="7"/>
  <c r="IA18" i="7"/>
  <c r="IA22" i="7"/>
  <c r="IA24" i="7"/>
  <c r="IA25" i="7"/>
  <c r="IA19" i="7"/>
  <c r="IA20" i="7"/>
  <c r="IA26" i="7"/>
  <c r="IA27" i="7"/>
  <c r="IA21" i="7"/>
  <c r="IA28" i="7"/>
  <c r="IA32" i="7"/>
  <c r="IA33" i="7"/>
  <c r="IA34" i="7"/>
  <c r="IA35" i="7"/>
  <c r="IA31" i="7"/>
  <c r="IA36" i="7"/>
  <c r="IA30" i="7"/>
  <c r="IA23" i="7"/>
  <c r="IA29" i="7"/>
  <c r="IB1" i="7"/>
  <c r="IA3" i="7"/>
  <c r="IB37" i="7" l="1"/>
  <c r="IB38" i="7"/>
  <c r="IB39" i="7"/>
  <c r="IB40" i="7"/>
  <c r="IB41" i="7"/>
  <c r="IB42" i="7"/>
  <c r="IB43" i="7"/>
  <c r="IB44" i="7"/>
  <c r="IB5" i="7"/>
  <c r="IB6" i="7"/>
  <c r="IB4" i="7"/>
  <c r="IB8" i="7"/>
  <c r="IB15" i="7"/>
  <c r="IB11" i="7"/>
  <c r="IB10" i="7"/>
  <c r="IB7" i="7"/>
  <c r="IB13" i="7"/>
  <c r="IB12" i="7"/>
  <c r="IB16" i="7"/>
  <c r="IB14" i="7"/>
  <c r="IB17" i="7"/>
  <c r="IB9" i="7"/>
  <c r="IB18" i="7"/>
  <c r="IB21" i="7"/>
  <c r="IB22" i="7"/>
  <c r="IB24" i="7"/>
  <c r="IB25" i="7"/>
  <c r="IB19" i="7"/>
  <c r="IB20" i="7"/>
  <c r="IB26" i="7"/>
  <c r="IB23" i="7"/>
  <c r="IB28" i="7"/>
  <c r="IB27" i="7"/>
  <c r="IB32" i="7"/>
  <c r="IB33" i="7"/>
  <c r="IB34" i="7"/>
  <c r="IB35" i="7"/>
  <c r="IB31" i="7"/>
  <c r="IB36" i="7"/>
  <c r="IB30" i="7"/>
  <c r="IB29" i="7"/>
  <c r="IC1" i="7"/>
  <c r="IB3" i="7"/>
  <c r="IC37" i="7" l="1"/>
  <c r="IC38" i="7"/>
  <c r="IC39" i="7"/>
  <c r="IC40" i="7"/>
  <c r="IC41" i="7"/>
  <c r="IC42" i="7"/>
  <c r="IC43" i="7"/>
  <c r="IC44" i="7"/>
  <c r="IC4" i="7"/>
  <c r="IC5" i="7"/>
  <c r="IC7" i="7"/>
  <c r="IC6" i="7"/>
  <c r="IC9" i="7"/>
  <c r="IC12" i="7"/>
  <c r="IC14" i="7"/>
  <c r="IC8" i="7"/>
  <c r="IC10" i="7"/>
  <c r="IC13" i="7"/>
  <c r="IC11" i="7"/>
  <c r="IC15" i="7"/>
  <c r="IC17" i="7"/>
  <c r="IC16" i="7"/>
  <c r="IC19" i="7"/>
  <c r="IC18" i="7"/>
  <c r="IC21" i="7"/>
  <c r="IC24" i="7"/>
  <c r="IC25" i="7"/>
  <c r="IC23" i="7"/>
  <c r="IC28" i="7"/>
  <c r="IC22" i="7"/>
  <c r="IC27" i="7"/>
  <c r="IC32" i="7"/>
  <c r="IC33" i="7"/>
  <c r="IC34" i="7"/>
  <c r="IC35" i="7"/>
  <c r="IC29" i="7"/>
  <c r="IC20" i="7"/>
  <c r="IC36" i="7"/>
  <c r="IC26" i="7"/>
  <c r="IC31" i="7"/>
  <c r="IC30" i="7"/>
  <c r="ID1" i="7"/>
  <c r="IC3" i="7"/>
  <c r="ID37" i="7" l="1"/>
  <c r="ID38" i="7"/>
  <c r="ID39" i="7"/>
  <c r="ID40" i="7"/>
  <c r="ID41" i="7"/>
  <c r="ID42" i="7"/>
  <c r="ID43" i="7"/>
  <c r="ID44" i="7"/>
  <c r="ID4" i="7"/>
  <c r="ID7" i="7"/>
  <c r="ID8" i="7"/>
  <c r="ID6" i="7"/>
  <c r="ID5" i="7"/>
  <c r="ID13" i="7"/>
  <c r="ID10" i="7"/>
  <c r="ID15" i="7"/>
  <c r="ID9" i="7"/>
  <c r="ID11" i="7"/>
  <c r="ID12" i="7"/>
  <c r="ID14" i="7"/>
  <c r="ID16" i="7"/>
  <c r="ID20" i="7"/>
  <c r="ID18" i="7"/>
  <c r="ID17" i="7"/>
  <c r="ID19" i="7"/>
  <c r="ID24" i="7"/>
  <c r="ID29" i="7"/>
  <c r="ID21" i="7"/>
  <c r="ID28" i="7"/>
  <c r="ID26" i="7"/>
  <c r="ID30" i="7"/>
  <c r="ID27" i="7"/>
  <c r="ID32" i="7"/>
  <c r="ID22" i="7"/>
  <c r="ID33" i="7"/>
  <c r="ID34" i="7"/>
  <c r="ID23" i="7"/>
  <c r="ID35" i="7"/>
  <c r="ID36" i="7"/>
  <c r="ID31" i="7"/>
  <c r="ID25" i="7"/>
  <c r="IE1" i="7"/>
  <c r="ID3" i="7"/>
  <c r="IE37" i="7" l="1"/>
  <c r="IE38" i="7"/>
  <c r="IE39" i="7"/>
  <c r="IE40" i="7"/>
  <c r="IE41" i="7"/>
  <c r="IE42" i="7"/>
  <c r="IE43" i="7"/>
  <c r="IE44" i="7"/>
  <c r="IE5" i="7"/>
  <c r="IE7" i="7"/>
  <c r="IE4" i="7"/>
  <c r="IE6" i="7"/>
  <c r="IE10" i="7"/>
  <c r="IE9" i="7"/>
  <c r="IE8" i="7"/>
  <c r="IE14" i="7"/>
  <c r="IE11" i="7"/>
  <c r="IE17" i="7"/>
  <c r="IE13" i="7"/>
  <c r="IE15" i="7"/>
  <c r="IE12" i="7"/>
  <c r="IE16" i="7"/>
  <c r="IE18" i="7"/>
  <c r="IE19" i="7"/>
  <c r="IE20" i="7"/>
  <c r="IE22" i="7"/>
  <c r="IE26" i="7"/>
  <c r="IE24" i="7"/>
  <c r="IE29" i="7"/>
  <c r="IE21" i="7"/>
  <c r="IE23" i="7"/>
  <c r="IE25" i="7"/>
  <c r="IE30" i="7"/>
  <c r="IE27" i="7"/>
  <c r="IE32" i="7"/>
  <c r="IE28" i="7"/>
  <c r="IE33" i="7"/>
  <c r="IE31" i="7"/>
  <c r="IE36" i="7"/>
  <c r="IE34" i="7"/>
  <c r="IE35" i="7"/>
  <c r="IF1" i="7"/>
  <c r="IE3" i="7"/>
  <c r="IF37" i="7" l="1"/>
  <c r="IF38" i="7"/>
  <c r="IF39" i="7"/>
  <c r="IF40" i="7"/>
  <c r="IF41" i="7"/>
  <c r="IF42" i="7"/>
  <c r="IF43" i="7"/>
  <c r="IF44" i="7"/>
  <c r="IF5" i="7"/>
  <c r="IF6" i="7"/>
  <c r="IF4" i="7"/>
  <c r="IF12" i="7"/>
  <c r="IF7" i="7"/>
  <c r="IF9" i="7"/>
  <c r="IF8" i="7"/>
  <c r="IF11" i="7"/>
  <c r="IF13" i="7"/>
  <c r="IF16" i="7"/>
  <c r="IF15" i="7"/>
  <c r="IF14" i="7"/>
  <c r="IF18" i="7"/>
  <c r="IF19" i="7"/>
  <c r="IF10" i="7"/>
  <c r="IF17" i="7"/>
  <c r="IF22" i="7"/>
  <c r="IF20" i="7"/>
  <c r="IF23" i="7"/>
  <c r="IF21" i="7"/>
  <c r="IF26" i="7"/>
  <c r="IF25" i="7"/>
  <c r="IF27" i="7"/>
  <c r="IF24" i="7"/>
  <c r="IF29" i="7"/>
  <c r="IF30" i="7"/>
  <c r="IF32" i="7"/>
  <c r="IF35" i="7"/>
  <c r="IF31" i="7"/>
  <c r="IF36" i="7"/>
  <c r="IF33" i="7"/>
  <c r="IF34" i="7"/>
  <c r="IF28" i="7"/>
  <c r="IG1" i="7"/>
  <c r="IF3" i="7"/>
  <c r="IG37" i="7" l="1"/>
  <c r="IG38" i="7"/>
  <c r="IG39" i="7"/>
  <c r="IG40" i="7"/>
  <c r="IG41" i="7"/>
  <c r="IG42" i="7"/>
  <c r="IG43" i="7"/>
  <c r="IG44" i="7"/>
  <c r="IG4" i="7"/>
  <c r="IG5" i="7"/>
  <c r="IG6" i="7"/>
  <c r="IG11" i="7"/>
  <c r="IG9" i="7"/>
  <c r="IG8" i="7"/>
  <c r="IG7" i="7"/>
  <c r="IG16" i="7"/>
  <c r="IG19" i="7"/>
  <c r="IG13" i="7"/>
  <c r="IG10" i="7"/>
  <c r="IG12" i="7"/>
  <c r="IG15" i="7"/>
  <c r="IG14" i="7"/>
  <c r="IG18" i="7"/>
  <c r="IG17" i="7"/>
  <c r="IG21" i="7"/>
  <c r="IG22" i="7"/>
  <c r="IG24" i="7"/>
  <c r="IG23" i="7"/>
  <c r="IG25" i="7"/>
  <c r="IG26" i="7"/>
  <c r="IG27" i="7"/>
  <c r="IG29" i="7"/>
  <c r="IG31" i="7"/>
  <c r="IG28" i="7"/>
  <c r="IG30" i="7"/>
  <c r="IG34" i="7"/>
  <c r="IG35" i="7"/>
  <c r="IG33" i="7"/>
  <c r="IG20" i="7"/>
  <c r="IG36" i="7"/>
  <c r="IG32" i="7"/>
  <c r="IH1" i="7"/>
  <c r="IG3" i="7"/>
  <c r="IH37" i="7" l="1"/>
  <c r="IH38" i="7"/>
  <c r="IH39" i="7"/>
  <c r="IH40" i="7"/>
  <c r="IH41" i="7"/>
  <c r="IH42" i="7"/>
  <c r="IH43" i="7"/>
  <c r="IH44" i="7"/>
  <c r="IH4" i="7"/>
  <c r="IH6" i="7"/>
  <c r="IH5" i="7"/>
  <c r="IH8" i="7"/>
  <c r="IH10" i="7"/>
  <c r="IH7" i="7"/>
  <c r="IH9" i="7"/>
  <c r="IH18" i="7"/>
  <c r="IH11" i="7"/>
  <c r="IH16" i="7"/>
  <c r="IH13" i="7"/>
  <c r="IH15" i="7"/>
  <c r="IH14" i="7"/>
  <c r="IH19" i="7"/>
  <c r="IH12" i="7"/>
  <c r="IH17" i="7"/>
  <c r="IH21" i="7"/>
  <c r="IH22" i="7"/>
  <c r="IH23" i="7"/>
  <c r="IH24" i="7"/>
  <c r="IH25" i="7"/>
  <c r="IH26" i="7"/>
  <c r="IH27" i="7"/>
  <c r="IH29" i="7"/>
  <c r="IH30" i="7"/>
  <c r="IH20" i="7"/>
  <c r="IH28" i="7"/>
  <c r="IH33" i="7"/>
  <c r="IH34" i="7"/>
  <c r="IH31" i="7"/>
  <c r="IH36" i="7"/>
  <c r="IH35" i="7"/>
  <c r="IH32" i="7"/>
  <c r="II1" i="7"/>
  <c r="IH3" i="7"/>
  <c r="II37" i="7" l="1"/>
  <c r="II38" i="7"/>
  <c r="II39" i="7"/>
  <c r="II40" i="7"/>
  <c r="II41" i="7"/>
  <c r="II42" i="7"/>
  <c r="II43" i="7"/>
  <c r="II44" i="7"/>
  <c r="II5" i="7"/>
  <c r="II6" i="7"/>
  <c r="II4" i="7"/>
  <c r="II9" i="7"/>
  <c r="II8" i="7"/>
  <c r="II7" i="7"/>
  <c r="II10" i="7"/>
  <c r="II14" i="7"/>
  <c r="II17" i="7"/>
  <c r="II12" i="7"/>
  <c r="II16" i="7"/>
  <c r="II11" i="7"/>
  <c r="II13" i="7"/>
  <c r="II18" i="7"/>
  <c r="II19" i="7"/>
  <c r="II21" i="7"/>
  <c r="II22" i="7"/>
  <c r="II23" i="7"/>
  <c r="II20" i="7"/>
  <c r="II24" i="7"/>
  <c r="II25" i="7"/>
  <c r="II26" i="7"/>
  <c r="II27" i="7"/>
  <c r="II15" i="7"/>
  <c r="II29" i="7"/>
  <c r="II36" i="7"/>
  <c r="II30" i="7"/>
  <c r="II32" i="7"/>
  <c r="II33" i="7"/>
  <c r="II31" i="7"/>
  <c r="II28" i="7"/>
  <c r="II34" i="7"/>
  <c r="II35" i="7"/>
  <c r="IJ1" i="7"/>
  <c r="II3" i="7"/>
  <c r="IJ37" i="7" l="1"/>
  <c r="IJ38" i="7"/>
  <c r="IJ39" i="7"/>
  <c r="IJ40" i="7"/>
  <c r="IJ41" i="7"/>
  <c r="IJ42" i="7"/>
  <c r="IJ43" i="7"/>
  <c r="IJ44" i="7"/>
  <c r="IJ4" i="7"/>
  <c r="IJ5" i="7"/>
  <c r="IJ7" i="7"/>
  <c r="IJ6" i="7"/>
  <c r="IJ10" i="7"/>
  <c r="IJ11" i="7"/>
  <c r="IJ9" i="7"/>
  <c r="IJ12" i="7"/>
  <c r="IJ14" i="7"/>
  <c r="IJ15" i="7"/>
  <c r="IJ16" i="7"/>
  <c r="IJ8" i="7"/>
  <c r="IJ13" i="7"/>
  <c r="IJ18" i="7"/>
  <c r="IJ17" i="7"/>
  <c r="IJ20" i="7"/>
  <c r="IJ19" i="7"/>
  <c r="IJ21" i="7"/>
  <c r="IJ23" i="7"/>
  <c r="IJ22" i="7"/>
  <c r="IJ25" i="7"/>
  <c r="IJ24" i="7"/>
  <c r="IJ26" i="7"/>
  <c r="IJ27" i="7"/>
  <c r="IJ31" i="7"/>
  <c r="IJ35" i="7"/>
  <c r="IJ30" i="7"/>
  <c r="IJ28" i="7"/>
  <c r="IJ29" i="7"/>
  <c r="IJ32" i="7"/>
  <c r="IJ33" i="7"/>
  <c r="IJ34" i="7"/>
  <c r="IJ36" i="7"/>
  <c r="IK1" i="7"/>
  <c r="IJ3" i="7"/>
  <c r="IK37" i="7" l="1"/>
  <c r="IK38" i="7"/>
  <c r="IK39" i="7"/>
  <c r="IK40" i="7"/>
  <c r="IK41" i="7"/>
  <c r="IK42" i="7"/>
  <c r="IK43" i="7"/>
  <c r="IK44" i="7"/>
  <c r="IK4" i="7"/>
  <c r="IK5" i="7"/>
  <c r="IK6" i="7"/>
  <c r="IK7" i="7"/>
  <c r="IK9" i="7"/>
  <c r="IK11" i="7"/>
  <c r="IK10" i="7"/>
  <c r="IK8" i="7"/>
  <c r="IK12" i="7"/>
  <c r="IK14" i="7"/>
  <c r="IK15" i="7"/>
  <c r="IK18" i="7"/>
  <c r="IK16" i="7"/>
  <c r="IK17" i="7"/>
  <c r="IK13" i="7"/>
  <c r="IK20" i="7"/>
  <c r="IK19" i="7"/>
  <c r="IK26" i="7"/>
  <c r="IK23" i="7"/>
  <c r="IK29" i="7"/>
  <c r="IK21" i="7"/>
  <c r="IK28" i="7"/>
  <c r="IK25" i="7"/>
  <c r="IK24" i="7"/>
  <c r="IK27" i="7"/>
  <c r="IK34" i="7"/>
  <c r="IK31" i="7"/>
  <c r="IK35" i="7"/>
  <c r="IK36" i="7"/>
  <c r="IK22" i="7"/>
  <c r="IK32" i="7"/>
  <c r="IK33" i="7"/>
  <c r="IK30" i="7"/>
  <c r="IL1" i="7"/>
  <c r="IK3" i="7"/>
  <c r="IL37" i="7" l="1"/>
  <c r="IL38" i="7"/>
  <c r="IL39" i="7"/>
  <c r="IL40" i="7"/>
  <c r="IL41" i="7"/>
  <c r="IL42" i="7"/>
  <c r="IL43" i="7"/>
  <c r="IL44" i="7"/>
  <c r="IL5" i="7"/>
  <c r="IL4" i="7"/>
  <c r="IL6" i="7"/>
  <c r="IL7" i="7"/>
  <c r="IL9" i="7"/>
  <c r="IL8" i="7"/>
  <c r="IL14" i="7"/>
  <c r="IL13" i="7"/>
  <c r="IL11" i="7"/>
  <c r="IL15" i="7"/>
  <c r="IL17" i="7"/>
  <c r="IL18" i="7"/>
  <c r="IL10" i="7"/>
  <c r="IL12" i="7"/>
  <c r="IL20" i="7"/>
  <c r="IL24" i="7"/>
  <c r="IL16" i="7"/>
  <c r="IL25" i="7"/>
  <c r="IL26" i="7"/>
  <c r="IL28" i="7"/>
  <c r="IL21" i="7"/>
  <c r="IL22" i="7"/>
  <c r="IL23" i="7"/>
  <c r="IL33" i="7"/>
  <c r="IL34" i="7"/>
  <c r="IL31" i="7"/>
  <c r="IL35" i="7"/>
  <c r="IL36" i="7"/>
  <c r="IL19" i="7"/>
  <c r="IL27" i="7"/>
  <c r="IL29" i="7"/>
  <c r="IL30" i="7"/>
  <c r="IL32" i="7"/>
  <c r="IM1" i="7"/>
  <c r="IL3" i="7"/>
  <c r="IM37" i="7" l="1"/>
  <c r="IM38" i="7"/>
  <c r="IM39" i="7"/>
  <c r="IM40" i="7"/>
  <c r="IM41" i="7"/>
  <c r="IM42" i="7"/>
  <c r="IM43" i="7"/>
  <c r="IM44" i="7"/>
  <c r="IM4" i="7"/>
  <c r="IM6" i="7"/>
  <c r="IM9" i="7"/>
  <c r="IM5" i="7"/>
  <c r="IM8" i="7"/>
  <c r="IM7" i="7"/>
  <c r="IM16" i="7"/>
  <c r="IM11" i="7"/>
  <c r="IM12" i="7"/>
  <c r="IM10" i="7"/>
  <c r="IM13" i="7"/>
  <c r="IM14" i="7"/>
  <c r="IM15" i="7"/>
  <c r="IM17" i="7"/>
  <c r="IM18" i="7"/>
  <c r="IM20" i="7"/>
  <c r="IM22" i="7"/>
  <c r="IM24" i="7"/>
  <c r="IM25" i="7"/>
  <c r="IM26" i="7"/>
  <c r="IM27" i="7"/>
  <c r="IM21" i="7"/>
  <c r="IM28" i="7"/>
  <c r="IM29" i="7"/>
  <c r="IM23" i="7"/>
  <c r="IM32" i="7"/>
  <c r="IM33" i="7"/>
  <c r="IM34" i="7"/>
  <c r="IM31" i="7"/>
  <c r="IM35" i="7"/>
  <c r="IM36" i="7"/>
  <c r="IM19" i="7"/>
  <c r="IM30" i="7"/>
  <c r="IN1" i="7"/>
  <c r="IM3" i="7"/>
  <c r="IN37" i="7" l="1"/>
  <c r="IN38" i="7"/>
  <c r="IN39" i="7"/>
  <c r="IN40" i="7"/>
  <c r="IN41" i="7"/>
  <c r="IN42" i="7"/>
  <c r="IN43" i="7"/>
  <c r="IN44" i="7"/>
  <c r="IN5" i="7"/>
  <c r="IN4" i="7"/>
  <c r="IN6" i="7"/>
  <c r="IN7" i="7"/>
  <c r="IN15" i="7"/>
  <c r="IN11" i="7"/>
  <c r="IN9" i="7"/>
  <c r="IN10" i="7"/>
  <c r="IN8" i="7"/>
  <c r="IN12" i="7"/>
  <c r="IN13" i="7"/>
  <c r="IN14" i="7"/>
  <c r="IN16" i="7"/>
  <c r="IN17" i="7"/>
  <c r="IN18" i="7"/>
  <c r="IN21" i="7"/>
  <c r="IN22" i="7"/>
  <c r="IN24" i="7"/>
  <c r="IN25" i="7"/>
  <c r="IN26" i="7"/>
  <c r="IN20" i="7"/>
  <c r="IN28" i="7"/>
  <c r="IN19" i="7"/>
  <c r="IN23" i="7"/>
  <c r="IN32" i="7"/>
  <c r="IN33" i="7"/>
  <c r="IN34" i="7"/>
  <c r="IN31" i="7"/>
  <c r="IN35" i="7"/>
  <c r="IN36" i="7"/>
  <c r="IN30" i="7"/>
  <c r="IN29" i="7"/>
  <c r="IN27" i="7"/>
  <c r="IO1" i="7"/>
  <c r="IN3" i="7"/>
  <c r="IO37" i="7" l="1"/>
  <c r="IO38" i="7"/>
  <c r="IO39" i="7"/>
  <c r="IO40" i="7"/>
  <c r="IO41" i="7"/>
  <c r="IO42" i="7"/>
  <c r="IO43" i="7"/>
  <c r="IO44" i="7"/>
  <c r="IO4" i="7"/>
  <c r="IO5" i="7"/>
  <c r="IO7" i="7"/>
  <c r="IO9" i="7"/>
  <c r="IO8" i="7"/>
  <c r="IO14" i="7"/>
  <c r="IO11" i="7"/>
  <c r="IO10" i="7"/>
  <c r="IO6" i="7"/>
  <c r="IO15" i="7"/>
  <c r="IO13" i="7"/>
  <c r="IO12" i="7"/>
  <c r="IO16" i="7"/>
  <c r="IO17" i="7"/>
  <c r="IO18" i="7"/>
  <c r="IO19" i="7"/>
  <c r="IO21" i="7"/>
  <c r="IO22" i="7"/>
  <c r="IO24" i="7"/>
  <c r="IO25" i="7"/>
  <c r="IO23" i="7"/>
  <c r="IO20" i="7"/>
  <c r="IO28" i="7"/>
  <c r="IO26" i="7"/>
  <c r="IO27" i="7"/>
  <c r="IO29" i="7"/>
  <c r="IO32" i="7"/>
  <c r="IO33" i="7"/>
  <c r="IO34" i="7"/>
  <c r="IO31" i="7"/>
  <c r="IO35" i="7"/>
  <c r="IO30" i="7"/>
  <c r="IO36" i="7"/>
  <c r="IP1" i="7"/>
  <c r="IO3" i="7"/>
  <c r="IP37" i="7" l="1"/>
  <c r="IP38" i="7"/>
  <c r="IP39" i="7"/>
  <c r="IP40" i="7"/>
  <c r="IP41" i="7"/>
  <c r="IP42" i="7"/>
  <c r="IP43" i="7"/>
  <c r="IP44" i="7"/>
  <c r="IP4" i="7"/>
  <c r="IP6" i="7"/>
  <c r="IP7" i="7"/>
  <c r="IP8" i="7"/>
  <c r="IP5" i="7"/>
  <c r="IP12" i="7"/>
  <c r="IP13" i="7"/>
  <c r="IP9" i="7"/>
  <c r="IP10" i="7"/>
  <c r="IP11" i="7"/>
  <c r="IP14" i="7"/>
  <c r="IP15" i="7"/>
  <c r="IP16" i="7"/>
  <c r="IP20" i="7"/>
  <c r="IP17" i="7"/>
  <c r="IP18" i="7"/>
  <c r="IP19" i="7"/>
  <c r="IP21" i="7"/>
  <c r="IP22" i="7"/>
  <c r="IP24" i="7"/>
  <c r="IP23" i="7"/>
  <c r="IP25" i="7"/>
  <c r="IP28" i="7"/>
  <c r="IP26" i="7"/>
  <c r="IP27" i="7"/>
  <c r="IP29" i="7"/>
  <c r="IP32" i="7"/>
  <c r="IP33" i="7"/>
  <c r="IP34" i="7"/>
  <c r="IP35" i="7"/>
  <c r="IP36" i="7"/>
  <c r="IP30" i="7"/>
  <c r="IP31" i="7"/>
  <c r="IQ1" i="7"/>
  <c r="IP3" i="7"/>
  <c r="IQ37" i="7" l="1"/>
  <c r="IQ38" i="7"/>
  <c r="IQ39" i="7"/>
  <c r="IQ40" i="7"/>
  <c r="IQ41" i="7"/>
  <c r="IQ42" i="7"/>
  <c r="IQ43" i="7"/>
  <c r="IQ44" i="7"/>
  <c r="IQ6" i="7"/>
  <c r="IQ7" i="7"/>
  <c r="IQ4" i="7"/>
  <c r="IQ8" i="7"/>
  <c r="IQ5" i="7"/>
  <c r="IQ9" i="7"/>
  <c r="IQ10" i="7"/>
  <c r="IQ13" i="7"/>
  <c r="IQ11" i="7"/>
  <c r="IQ14" i="7"/>
  <c r="IQ12" i="7"/>
  <c r="IQ16" i="7"/>
  <c r="IQ17" i="7"/>
  <c r="IQ15" i="7"/>
  <c r="IQ21" i="7"/>
  <c r="IQ22" i="7"/>
  <c r="IQ19" i="7"/>
  <c r="IQ20" i="7"/>
  <c r="IQ23" i="7"/>
  <c r="IQ29" i="7"/>
  <c r="IQ18" i="7"/>
  <c r="IQ24" i="7"/>
  <c r="IQ25" i="7"/>
  <c r="IQ28" i="7"/>
  <c r="IQ30" i="7"/>
  <c r="IQ26" i="7"/>
  <c r="IQ32" i="7"/>
  <c r="IQ33" i="7"/>
  <c r="IQ36" i="7"/>
  <c r="IQ31" i="7"/>
  <c r="IQ35" i="7"/>
  <c r="IQ27" i="7"/>
  <c r="IQ34" i="7"/>
  <c r="IR1" i="7"/>
  <c r="IQ3" i="7"/>
  <c r="IR37" i="7" l="1"/>
  <c r="IR38" i="7"/>
  <c r="IR39" i="7"/>
  <c r="IR40" i="7"/>
  <c r="IR41" i="7"/>
  <c r="IR42" i="7"/>
  <c r="IR43" i="7"/>
  <c r="IR44" i="7"/>
  <c r="IR5" i="7"/>
  <c r="IR6" i="7"/>
  <c r="IR4" i="7"/>
  <c r="IR12" i="7"/>
  <c r="IR7" i="7"/>
  <c r="IR10" i="7"/>
  <c r="IR8" i="7"/>
  <c r="IR9" i="7"/>
  <c r="IR11" i="7"/>
  <c r="IR13" i="7"/>
  <c r="IR17" i="7"/>
  <c r="IR16" i="7"/>
  <c r="IR14" i="7"/>
  <c r="IR15" i="7"/>
  <c r="IR18" i="7"/>
  <c r="IR22" i="7"/>
  <c r="IR20" i="7"/>
  <c r="IR21" i="7"/>
  <c r="IR26" i="7"/>
  <c r="IR19" i="7"/>
  <c r="IR23" i="7"/>
  <c r="IR29" i="7"/>
  <c r="IR25" i="7"/>
  <c r="IR30" i="7"/>
  <c r="IR32" i="7"/>
  <c r="IR27" i="7"/>
  <c r="IR31" i="7"/>
  <c r="IR35" i="7"/>
  <c r="IR28" i="7"/>
  <c r="IR36" i="7"/>
  <c r="IR24" i="7"/>
  <c r="IR33" i="7"/>
  <c r="IR34" i="7"/>
  <c r="IS1" i="7"/>
  <c r="IR3" i="7"/>
  <c r="IS37" i="7" l="1"/>
  <c r="IS38" i="7"/>
  <c r="IS39" i="7"/>
  <c r="IS40" i="7"/>
  <c r="IS41" i="7"/>
  <c r="IS42" i="7"/>
  <c r="IS43" i="7"/>
  <c r="IS44" i="7"/>
  <c r="IS4" i="7"/>
  <c r="IS5" i="7"/>
  <c r="IS6" i="7"/>
  <c r="IS11" i="7"/>
  <c r="IS8" i="7"/>
  <c r="IS9" i="7"/>
  <c r="IS7" i="7"/>
  <c r="IS19" i="7"/>
  <c r="IS13" i="7"/>
  <c r="IS10" i="7"/>
  <c r="IS12" i="7"/>
  <c r="IS16" i="7"/>
  <c r="IS14" i="7"/>
  <c r="IS15" i="7"/>
  <c r="IS21" i="7"/>
  <c r="IS17" i="7"/>
  <c r="IS22" i="7"/>
  <c r="IS20" i="7"/>
  <c r="IS23" i="7"/>
  <c r="IS25" i="7"/>
  <c r="IS26" i="7"/>
  <c r="IS27" i="7"/>
  <c r="IS29" i="7"/>
  <c r="IS18" i="7"/>
  <c r="IS31" i="7"/>
  <c r="IS30" i="7"/>
  <c r="IS34" i="7"/>
  <c r="IS35" i="7"/>
  <c r="IS28" i="7"/>
  <c r="IS33" i="7"/>
  <c r="IS36" i="7"/>
  <c r="IS32" i="7"/>
  <c r="IS24" i="7"/>
  <c r="IT1" i="7"/>
  <c r="IS3" i="7"/>
  <c r="IT37" i="7" l="1"/>
  <c r="IT38" i="7"/>
  <c r="IT39" i="7"/>
  <c r="IT40" i="7"/>
  <c r="IT41" i="7"/>
  <c r="IT42" i="7"/>
  <c r="IT43" i="7"/>
  <c r="IT44" i="7"/>
  <c r="IT4" i="7"/>
  <c r="IT6" i="7"/>
  <c r="IT5" i="7"/>
  <c r="IT7" i="7"/>
  <c r="IT10" i="7"/>
  <c r="IT8" i="7"/>
  <c r="IT11" i="7"/>
  <c r="IT9" i="7"/>
  <c r="IT16" i="7"/>
  <c r="IT18" i="7"/>
  <c r="IT13" i="7"/>
  <c r="IT15" i="7"/>
  <c r="IT14" i="7"/>
  <c r="IT17" i="7"/>
  <c r="IT19" i="7"/>
  <c r="IT12" i="7"/>
  <c r="IT21" i="7"/>
  <c r="IT22" i="7"/>
  <c r="IT23" i="7"/>
  <c r="IT20" i="7"/>
  <c r="IT24" i="7"/>
  <c r="IT25" i="7"/>
  <c r="IT27" i="7"/>
  <c r="IT29" i="7"/>
  <c r="IT30" i="7"/>
  <c r="IT28" i="7"/>
  <c r="IT26" i="7"/>
  <c r="IT33" i="7"/>
  <c r="IT31" i="7"/>
  <c r="IT34" i="7"/>
  <c r="IT35" i="7"/>
  <c r="IT36" i="7"/>
  <c r="IT32" i="7"/>
  <c r="IU1" i="7"/>
  <c r="IT3" i="7"/>
  <c r="IU37" i="7" l="1"/>
  <c r="IU38" i="7"/>
  <c r="IU39" i="7"/>
  <c r="IU40" i="7"/>
  <c r="IU41" i="7"/>
  <c r="IU42" i="7"/>
  <c r="IU43" i="7"/>
  <c r="IU44" i="7"/>
  <c r="IU5" i="7"/>
  <c r="IU6" i="7"/>
  <c r="IU4" i="7"/>
  <c r="IU8" i="7"/>
  <c r="IU7" i="7"/>
  <c r="IU10" i="7"/>
  <c r="IU17" i="7"/>
  <c r="IU9" i="7"/>
  <c r="IU12" i="7"/>
  <c r="IU16" i="7"/>
  <c r="IU13" i="7"/>
  <c r="IU14" i="7"/>
  <c r="IU15" i="7"/>
  <c r="IU18" i="7"/>
  <c r="IU19" i="7"/>
  <c r="IU11" i="7"/>
  <c r="IU21" i="7"/>
  <c r="IU22" i="7"/>
  <c r="IU20" i="7"/>
  <c r="IU23" i="7"/>
  <c r="IU24" i="7"/>
  <c r="IU27" i="7"/>
  <c r="IU29" i="7"/>
  <c r="IU26" i="7"/>
  <c r="IU28" i="7"/>
  <c r="IU36" i="7"/>
  <c r="IU25" i="7"/>
  <c r="IU30" i="7"/>
  <c r="IU32" i="7"/>
  <c r="IU33" i="7"/>
  <c r="IU31" i="7"/>
  <c r="IU34" i="7"/>
  <c r="IU35" i="7"/>
  <c r="IV1" i="7"/>
  <c r="IU3" i="7"/>
  <c r="IV37" i="7" l="1"/>
  <c r="IV38" i="7"/>
  <c r="IV39" i="7"/>
  <c r="IV40" i="7"/>
  <c r="IV41" i="7"/>
  <c r="IV42" i="7"/>
  <c r="IV43" i="7"/>
  <c r="IV44" i="7"/>
  <c r="IV4" i="7"/>
  <c r="IV5" i="7"/>
  <c r="IV7" i="7"/>
  <c r="IV6" i="7"/>
  <c r="IV8" i="7"/>
  <c r="IV9" i="7"/>
  <c r="IV10" i="7"/>
  <c r="IV14" i="7"/>
  <c r="IV12" i="7"/>
  <c r="IV16" i="7"/>
  <c r="IV13" i="7"/>
  <c r="IV15" i="7"/>
  <c r="IV18" i="7"/>
  <c r="IV19" i="7"/>
  <c r="IV11" i="7"/>
  <c r="IV17" i="7"/>
  <c r="IV21" i="7"/>
  <c r="IV20" i="7"/>
  <c r="IV23" i="7"/>
  <c r="IV22" i="7"/>
  <c r="IV27" i="7"/>
  <c r="IV29" i="7"/>
  <c r="IV24" i="7"/>
  <c r="IV25" i="7"/>
  <c r="IV26" i="7"/>
  <c r="IV35" i="7"/>
  <c r="IV30" i="7"/>
  <c r="IV32" i="7"/>
  <c r="IV33" i="7"/>
  <c r="IV28" i="7"/>
  <c r="IV31" i="7"/>
  <c r="IV34" i="7"/>
  <c r="IV36" i="7"/>
  <c r="IW1" i="7"/>
  <c r="IV3" i="7"/>
  <c r="IW37" i="7" l="1"/>
  <c r="IW38" i="7"/>
  <c r="IW39" i="7"/>
  <c r="IW40" i="7"/>
  <c r="IW41" i="7"/>
  <c r="IW42" i="7"/>
  <c r="IW43" i="7"/>
  <c r="IW44" i="7"/>
  <c r="IW4" i="7"/>
  <c r="IW5" i="7"/>
  <c r="IW9" i="7"/>
  <c r="IW6" i="7"/>
  <c r="IW8" i="7"/>
  <c r="IW7" i="7"/>
  <c r="IW10" i="7"/>
  <c r="IW12" i="7"/>
  <c r="IW16" i="7"/>
  <c r="IW13" i="7"/>
  <c r="IW14" i="7"/>
  <c r="IW18" i="7"/>
  <c r="IW11" i="7"/>
  <c r="IW17" i="7"/>
  <c r="IW19" i="7"/>
  <c r="IW20" i="7"/>
  <c r="IW26" i="7"/>
  <c r="IW21" i="7"/>
  <c r="IW23" i="7"/>
  <c r="IW22" i="7"/>
  <c r="IW29" i="7"/>
  <c r="IW27" i="7"/>
  <c r="IW15" i="7"/>
  <c r="IW24" i="7"/>
  <c r="IW25" i="7"/>
  <c r="IW28" i="7"/>
  <c r="IW31" i="7"/>
  <c r="IW34" i="7"/>
  <c r="IW35" i="7"/>
  <c r="IW36" i="7"/>
  <c r="IW30" i="7"/>
  <c r="IW32" i="7"/>
  <c r="IW33" i="7"/>
  <c r="IX1" i="7"/>
  <c r="IW3" i="7"/>
  <c r="IX37" i="7" l="1"/>
  <c r="IX38" i="7"/>
  <c r="IX39" i="7"/>
  <c r="IX40" i="7"/>
  <c r="IX41" i="7"/>
  <c r="IX42" i="7"/>
  <c r="IX43" i="7"/>
  <c r="IX44" i="7"/>
  <c r="IX4" i="7"/>
  <c r="IX5" i="7"/>
  <c r="IX7" i="7"/>
  <c r="IX6" i="7"/>
  <c r="IX11" i="7"/>
  <c r="IX8" i="7"/>
  <c r="IX9" i="7"/>
  <c r="IX10" i="7"/>
  <c r="IX14" i="7"/>
  <c r="IX12" i="7"/>
  <c r="IX15" i="7"/>
  <c r="IX16" i="7"/>
  <c r="IX18" i="7"/>
  <c r="IX13" i="7"/>
  <c r="IX19" i="7"/>
  <c r="IX20" i="7"/>
  <c r="IX17" i="7"/>
  <c r="IX24" i="7"/>
  <c r="IX25" i="7"/>
  <c r="IX26" i="7"/>
  <c r="IX21" i="7"/>
  <c r="IX23" i="7"/>
  <c r="IX28" i="7"/>
  <c r="IX27" i="7"/>
  <c r="IX22" i="7"/>
  <c r="IX33" i="7"/>
  <c r="IX31" i="7"/>
  <c r="IX34" i="7"/>
  <c r="IX29" i="7"/>
  <c r="IX35" i="7"/>
  <c r="IX36" i="7"/>
  <c r="IX30" i="7"/>
  <c r="IX32" i="7"/>
  <c r="IY1" i="7"/>
  <c r="IX3" i="7"/>
  <c r="IY37" i="7" l="1"/>
  <c r="IY38" i="7"/>
  <c r="IY39" i="7"/>
  <c r="IY40" i="7"/>
  <c r="IY41" i="7"/>
  <c r="IY42" i="7"/>
  <c r="IY43" i="7"/>
  <c r="IY44" i="7"/>
  <c r="IY4" i="7"/>
  <c r="IY9" i="7"/>
  <c r="IY6" i="7"/>
  <c r="IY16" i="7"/>
  <c r="IY7" i="7"/>
  <c r="IY8" i="7"/>
  <c r="IY5" i="7"/>
  <c r="IY12" i="7"/>
  <c r="IY10" i="7"/>
  <c r="IY14" i="7"/>
  <c r="IY13" i="7"/>
  <c r="IY15" i="7"/>
  <c r="IY11" i="7"/>
  <c r="IY17" i="7"/>
  <c r="IY18" i="7"/>
  <c r="IY19" i="7"/>
  <c r="IY20" i="7"/>
  <c r="IY22" i="7"/>
  <c r="IY24" i="7"/>
  <c r="IY25" i="7"/>
  <c r="IY26" i="7"/>
  <c r="IY27" i="7"/>
  <c r="IY28" i="7"/>
  <c r="IY23" i="7"/>
  <c r="IY21" i="7"/>
  <c r="IY32" i="7"/>
  <c r="IY33" i="7"/>
  <c r="IY31" i="7"/>
  <c r="IY34" i="7"/>
  <c r="IY29" i="7"/>
  <c r="IY35" i="7"/>
  <c r="IY36" i="7"/>
  <c r="IY30" i="7"/>
  <c r="IZ1" i="7"/>
  <c r="IY3" i="7"/>
  <c r="IZ37" i="7" l="1"/>
  <c r="IZ38" i="7"/>
  <c r="IZ39" i="7"/>
  <c r="IZ40" i="7"/>
  <c r="IZ41" i="7"/>
  <c r="IZ42" i="7"/>
  <c r="IZ43" i="7"/>
  <c r="IZ44" i="7"/>
  <c r="IZ5" i="7"/>
  <c r="IZ4" i="7"/>
  <c r="IZ6" i="7"/>
  <c r="IZ9" i="7"/>
  <c r="IZ7" i="7"/>
  <c r="IZ15" i="7"/>
  <c r="IZ8" i="7"/>
  <c r="IZ10" i="7"/>
  <c r="IZ11" i="7"/>
  <c r="IZ12" i="7"/>
  <c r="IZ16" i="7"/>
  <c r="IZ14" i="7"/>
  <c r="IZ17" i="7"/>
  <c r="IZ18" i="7"/>
  <c r="IZ13" i="7"/>
  <c r="IZ19" i="7"/>
  <c r="IZ20" i="7"/>
  <c r="IZ21" i="7"/>
  <c r="IZ22" i="7"/>
  <c r="IZ24" i="7"/>
  <c r="IZ25" i="7"/>
  <c r="IZ26" i="7"/>
  <c r="IZ28" i="7"/>
  <c r="IZ23" i="7"/>
  <c r="IZ29" i="7"/>
  <c r="IZ32" i="7"/>
  <c r="IZ33" i="7"/>
  <c r="IZ31" i="7"/>
  <c r="IZ34" i="7"/>
  <c r="IZ35" i="7"/>
  <c r="IZ36" i="7"/>
  <c r="IZ30" i="7"/>
  <c r="IZ27" i="7"/>
  <c r="JA1" i="7"/>
  <c r="IZ3" i="7"/>
  <c r="JA37" i="7" l="1"/>
  <c r="JA38" i="7"/>
  <c r="JA39" i="7"/>
  <c r="JA40" i="7"/>
  <c r="JA41" i="7"/>
  <c r="JA42" i="7"/>
  <c r="JA43" i="7"/>
  <c r="JA44" i="7"/>
  <c r="JA4" i="7"/>
  <c r="JA5" i="7"/>
  <c r="JA7" i="7"/>
  <c r="JA9" i="7"/>
  <c r="JA6" i="7"/>
  <c r="JA8" i="7"/>
  <c r="JA14" i="7"/>
  <c r="JA11" i="7"/>
  <c r="JA10" i="7"/>
  <c r="JA12" i="7"/>
  <c r="JA13" i="7"/>
  <c r="JA15" i="7"/>
  <c r="JA17" i="7"/>
  <c r="JA16" i="7"/>
  <c r="JA18" i="7"/>
  <c r="JA21" i="7"/>
  <c r="JA20" i="7"/>
  <c r="JA24" i="7"/>
  <c r="JA25" i="7"/>
  <c r="JA19" i="7"/>
  <c r="JA28" i="7"/>
  <c r="JA23" i="7"/>
  <c r="JA22" i="7"/>
  <c r="JA32" i="7"/>
  <c r="JA26" i="7"/>
  <c r="JA33" i="7"/>
  <c r="JA29" i="7"/>
  <c r="JA31" i="7"/>
  <c r="JA34" i="7"/>
  <c r="JA35" i="7"/>
  <c r="JA30" i="7"/>
  <c r="JA27" i="7"/>
  <c r="JA36" i="7"/>
  <c r="JB1" i="7"/>
  <c r="JA3" i="7"/>
  <c r="JB37" i="7" l="1"/>
  <c r="JB38" i="7"/>
  <c r="JB39" i="7"/>
  <c r="JB40" i="7"/>
  <c r="JB41" i="7"/>
  <c r="JB42" i="7"/>
  <c r="JB43" i="7"/>
  <c r="JB44" i="7"/>
  <c r="JB4" i="7"/>
  <c r="JB7" i="7"/>
  <c r="JB8" i="7"/>
  <c r="JB6" i="7"/>
  <c r="JB5" i="7"/>
  <c r="JB9" i="7"/>
  <c r="JB13" i="7"/>
  <c r="JB11" i="7"/>
  <c r="JB10" i="7"/>
  <c r="JB15" i="7"/>
  <c r="JB12" i="7"/>
  <c r="JB17" i="7"/>
  <c r="JB20" i="7"/>
  <c r="JB16" i="7"/>
  <c r="JB14" i="7"/>
  <c r="JB24" i="7"/>
  <c r="JB23" i="7"/>
  <c r="JB19" i="7"/>
  <c r="JB28" i="7"/>
  <c r="JB21" i="7"/>
  <c r="JB18" i="7"/>
  <c r="JB27" i="7"/>
  <c r="JB25" i="7"/>
  <c r="JB32" i="7"/>
  <c r="JB26" i="7"/>
  <c r="JB33" i="7"/>
  <c r="JB29" i="7"/>
  <c r="JB31" i="7"/>
  <c r="JB34" i="7"/>
  <c r="JB30" i="7"/>
  <c r="JB36" i="7"/>
  <c r="JB22" i="7"/>
  <c r="JB35" i="7"/>
  <c r="JC1" i="7"/>
  <c r="JB3" i="7"/>
  <c r="JC37" i="7" l="1"/>
  <c r="JC38" i="7"/>
  <c r="JC39" i="7"/>
  <c r="JC40" i="7"/>
  <c r="JC41" i="7"/>
  <c r="JC42" i="7"/>
  <c r="JC43" i="7"/>
  <c r="JC44" i="7"/>
  <c r="JC5" i="7"/>
  <c r="JC4" i="7"/>
  <c r="JC7" i="7"/>
  <c r="JC12" i="7"/>
  <c r="JC6" i="7"/>
  <c r="JC9" i="7"/>
  <c r="JC8" i="7"/>
  <c r="JC10" i="7"/>
  <c r="JC13" i="7"/>
  <c r="JC14" i="7"/>
  <c r="JC15" i="7"/>
  <c r="JC11" i="7"/>
  <c r="JC17" i="7"/>
  <c r="JC16" i="7"/>
  <c r="JC18" i="7"/>
  <c r="JC19" i="7"/>
  <c r="JC20" i="7"/>
  <c r="JC22" i="7"/>
  <c r="JC23" i="7"/>
  <c r="JC26" i="7"/>
  <c r="JC28" i="7"/>
  <c r="JC21" i="7"/>
  <c r="JC27" i="7"/>
  <c r="JC24" i="7"/>
  <c r="JC25" i="7"/>
  <c r="JC32" i="7"/>
  <c r="JC33" i="7"/>
  <c r="JC36" i="7"/>
  <c r="JC29" i="7"/>
  <c r="JC31" i="7"/>
  <c r="JC34" i="7"/>
  <c r="JC30" i="7"/>
  <c r="JC35" i="7"/>
  <c r="JD1" i="7"/>
  <c r="JC3" i="7"/>
  <c r="JD37" i="7" l="1"/>
  <c r="JD38" i="7"/>
  <c r="JD39" i="7"/>
  <c r="JD40" i="7"/>
  <c r="JD41" i="7"/>
  <c r="JD42" i="7"/>
  <c r="JD43" i="7"/>
  <c r="JD44" i="7"/>
  <c r="JD5" i="7"/>
  <c r="JD6" i="7"/>
  <c r="JD4" i="7"/>
  <c r="JD12" i="7"/>
  <c r="JD8" i="7"/>
  <c r="JD7" i="7"/>
  <c r="JD9" i="7"/>
  <c r="JD10" i="7"/>
  <c r="JD13" i="7"/>
  <c r="JD11" i="7"/>
  <c r="JD14" i="7"/>
  <c r="JD15" i="7"/>
  <c r="JD16" i="7"/>
  <c r="JD17" i="7"/>
  <c r="JD18" i="7"/>
  <c r="JD22" i="7"/>
  <c r="JD19" i="7"/>
  <c r="JD21" i="7"/>
  <c r="JD26" i="7"/>
  <c r="JD25" i="7"/>
  <c r="JD29" i="7"/>
  <c r="JD23" i="7"/>
  <c r="JD28" i="7"/>
  <c r="JD20" i="7"/>
  <c r="JD24" i="7"/>
  <c r="JD30" i="7"/>
  <c r="JD32" i="7"/>
  <c r="JD35" i="7"/>
  <c r="JD36" i="7"/>
  <c r="JD33" i="7"/>
  <c r="JD27" i="7"/>
  <c r="JD31" i="7"/>
  <c r="JD34" i="7"/>
  <c r="JE1" i="7"/>
  <c r="JD3" i="7"/>
  <c r="JE37" i="7" l="1"/>
  <c r="JE38" i="7"/>
  <c r="JE39" i="7"/>
  <c r="JE40" i="7"/>
  <c r="JE41" i="7"/>
  <c r="JE42" i="7"/>
  <c r="JE43" i="7"/>
  <c r="JE44" i="7"/>
  <c r="JE4" i="7"/>
  <c r="JE5" i="7"/>
  <c r="JE11" i="7"/>
  <c r="JE8" i="7"/>
  <c r="JE7" i="7"/>
  <c r="JE10" i="7"/>
  <c r="JE6" i="7"/>
  <c r="JE19" i="7"/>
  <c r="JE9" i="7"/>
  <c r="JE12" i="7"/>
  <c r="JE14" i="7"/>
  <c r="JE17" i="7"/>
  <c r="JE15" i="7"/>
  <c r="JE13" i="7"/>
  <c r="JE21" i="7"/>
  <c r="JE22" i="7"/>
  <c r="JE20" i="7"/>
  <c r="JE18" i="7"/>
  <c r="JE16" i="7"/>
  <c r="JE25" i="7"/>
  <c r="JE26" i="7"/>
  <c r="JE24" i="7"/>
  <c r="JE29" i="7"/>
  <c r="JE31" i="7"/>
  <c r="JE27" i="7"/>
  <c r="JE23" i="7"/>
  <c r="JE28" i="7"/>
  <c r="JE30" i="7"/>
  <c r="JE34" i="7"/>
  <c r="JE35" i="7"/>
  <c r="JE32" i="7"/>
  <c r="JE36" i="7"/>
  <c r="JE33" i="7"/>
  <c r="JF1" i="7"/>
  <c r="JE3" i="7"/>
  <c r="JF37" i="7" l="1"/>
  <c r="JF38" i="7"/>
  <c r="JF39" i="7"/>
  <c r="JF40" i="7"/>
  <c r="JF41" i="7"/>
  <c r="JF42" i="7"/>
  <c r="JF43" i="7"/>
  <c r="JF44" i="7"/>
  <c r="JF4" i="7"/>
  <c r="JF6" i="7"/>
  <c r="JF5" i="7"/>
  <c r="JF10" i="7"/>
  <c r="JF7" i="7"/>
  <c r="JF9" i="7"/>
  <c r="JF18" i="7"/>
  <c r="JF13" i="7"/>
  <c r="JF8" i="7"/>
  <c r="JF11" i="7"/>
  <c r="JF12" i="7"/>
  <c r="JF14" i="7"/>
  <c r="JF16" i="7"/>
  <c r="JF15" i="7"/>
  <c r="JF17" i="7"/>
  <c r="JF21" i="7"/>
  <c r="JF22" i="7"/>
  <c r="JF23" i="7"/>
  <c r="JF19" i="7"/>
  <c r="JF20" i="7"/>
  <c r="JF24" i="7"/>
  <c r="JF25" i="7"/>
  <c r="JF27" i="7"/>
  <c r="JF26" i="7"/>
  <c r="JF29" i="7"/>
  <c r="JF30" i="7"/>
  <c r="JF28" i="7"/>
  <c r="JF31" i="7"/>
  <c r="JF33" i="7"/>
  <c r="JF34" i="7"/>
  <c r="JF35" i="7"/>
  <c r="JF32" i="7"/>
  <c r="JF36" i="7"/>
  <c r="JG1" i="7"/>
  <c r="JF3" i="7"/>
  <c r="JG37" i="7" l="1"/>
  <c r="JG38" i="7"/>
  <c r="JG39" i="7"/>
  <c r="JG40" i="7"/>
  <c r="JG41" i="7"/>
  <c r="JG42" i="7"/>
  <c r="JG43" i="7"/>
  <c r="JG44" i="7"/>
  <c r="JG5" i="7"/>
  <c r="JG6" i="7"/>
  <c r="JG7" i="7"/>
  <c r="JG4" i="7"/>
  <c r="JG8" i="7"/>
  <c r="JG11" i="7"/>
  <c r="JG9" i="7"/>
  <c r="JG16" i="7"/>
  <c r="JG17" i="7"/>
  <c r="JG10" i="7"/>
  <c r="JG13" i="7"/>
  <c r="JG12" i="7"/>
  <c r="JG14" i="7"/>
  <c r="JG15" i="7"/>
  <c r="JG18" i="7"/>
  <c r="JG21" i="7"/>
  <c r="JG22" i="7"/>
  <c r="JG23" i="7"/>
  <c r="JG19" i="7"/>
  <c r="JG24" i="7"/>
  <c r="JG25" i="7"/>
  <c r="JG27" i="7"/>
  <c r="JG26" i="7"/>
  <c r="JG29" i="7"/>
  <c r="JG28" i="7"/>
  <c r="JG20" i="7"/>
  <c r="JG36" i="7"/>
  <c r="JG30" i="7"/>
  <c r="JG32" i="7"/>
  <c r="JG31" i="7"/>
  <c r="JG33" i="7"/>
  <c r="JG34" i="7"/>
  <c r="JG35" i="7"/>
  <c r="JH1" i="7"/>
  <c r="JG3" i="7"/>
  <c r="JH37" i="7" l="1"/>
  <c r="JH38" i="7"/>
  <c r="JH39" i="7"/>
  <c r="JH40" i="7"/>
  <c r="JH41" i="7"/>
  <c r="JH42" i="7"/>
  <c r="JH43" i="7"/>
  <c r="JH44" i="7"/>
  <c r="JH4" i="7"/>
  <c r="JH5" i="7"/>
  <c r="JH6" i="7"/>
  <c r="JH7" i="7"/>
  <c r="JH8" i="7"/>
  <c r="JH9" i="7"/>
  <c r="JH11" i="7"/>
  <c r="JH13" i="7"/>
  <c r="JH15" i="7"/>
  <c r="JH12" i="7"/>
  <c r="JH19" i="7"/>
  <c r="JH10" i="7"/>
  <c r="JH14" i="7"/>
  <c r="JH16" i="7"/>
  <c r="JH17" i="7"/>
  <c r="JH21" i="7"/>
  <c r="JH23" i="7"/>
  <c r="JH18" i="7"/>
  <c r="JH22" i="7"/>
  <c r="JH24" i="7"/>
  <c r="JH25" i="7"/>
  <c r="JH27" i="7"/>
  <c r="JH26" i="7"/>
  <c r="JH29" i="7"/>
  <c r="JH28" i="7"/>
  <c r="JH20" i="7"/>
  <c r="JH35" i="7"/>
  <c r="JH30" i="7"/>
  <c r="JH32" i="7"/>
  <c r="JH31" i="7"/>
  <c r="JH33" i="7"/>
  <c r="JH34" i="7"/>
  <c r="JH36" i="7"/>
  <c r="JI1" i="7"/>
  <c r="JH3" i="7"/>
  <c r="JI37" i="7" l="1"/>
  <c r="JI38" i="7"/>
  <c r="JI39" i="7"/>
  <c r="JI40" i="7"/>
  <c r="JI41" i="7"/>
  <c r="JI42" i="7"/>
  <c r="JI43" i="7"/>
  <c r="JI44" i="7"/>
  <c r="JI4" i="7"/>
  <c r="JI6" i="7"/>
  <c r="JI5" i="7"/>
  <c r="JI10" i="7"/>
  <c r="JI7" i="7"/>
  <c r="JI8" i="7"/>
  <c r="JI9" i="7"/>
  <c r="JI14" i="7"/>
  <c r="JI11" i="7"/>
  <c r="JI12" i="7"/>
  <c r="JI16" i="7"/>
  <c r="JI13" i="7"/>
  <c r="JI15" i="7"/>
  <c r="JI18" i="7"/>
  <c r="JI19" i="7"/>
  <c r="JI17" i="7"/>
  <c r="JI26" i="7"/>
  <c r="JI23" i="7"/>
  <c r="JI29" i="7"/>
  <c r="JI20" i="7"/>
  <c r="JI21" i="7"/>
  <c r="JI22" i="7"/>
  <c r="JI24" i="7"/>
  <c r="JI25" i="7"/>
  <c r="JI27" i="7"/>
  <c r="JI34" i="7"/>
  <c r="JI35" i="7"/>
  <c r="JI36" i="7"/>
  <c r="JI28" i="7"/>
  <c r="JI30" i="7"/>
  <c r="JI32" i="7"/>
  <c r="JI33" i="7"/>
  <c r="JI31" i="7"/>
  <c r="JJ1" i="7"/>
  <c r="JI3" i="7"/>
  <c r="JJ37" i="7" l="1"/>
  <c r="JJ38" i="7"/>
  <c r="JJ39" i="7"/>
  <c r="JJ40" i="7"/>
  <c r="JJ41" i="7"/>
  <c r="JJ42" i="7"/>
  <c r="JJ43" i="7"/>
  <c r="JJ44" i="7"/>
  <c r="JJ6" i="7"/>
  <c r="JJ5" i="7"/>
  <c r="JJ7" i="7"/>
  <c r="JJ4" i="7"/>
  <c r="JJ9" i="7"/>
  <c r="JJ10" i="7"/>
  <c r="JJ8" i="7"/>
  <c r="JJ11" i="7"/>
  <c r="JJ16" i="7"/>
  <c r="JJ13" i="7"/>
  <c r="JJ15" i="7"/>
  <c r="JJ12" i="7"/>
  <c r="JJ18" i="7"/>
  <c r="JJ14" i="7"/>
  <c r="JJ17" i="7"/>
  <c r="JJ20" i="7"/>
  <c r="JJ24" i="7"/>
  <c r="JJ25" i="7"/>
  <c r="JJ19" i="7"/>
  <c r="JJ26" i="7"/>
  <c r="JJ23" i="7"/>
  <c r="JJ28" i="7"/>
  <c r="JJ21" i="7"/>
  <c r="JJ22" i="7"/>
  <c r="JJ27" i="7"/>
  <c r="JJ29" i="7"/>
  <c r="JJ31" i="7"/>
  <c r="JJ33" i="7"/>
  <c r="JJ34" i="7"/>
  <c r="JJ35" i="7"/>
  <c r="JJ36" i="7"/>
  <c r="JJ30" i="7"/>
  <c r="JJ32" i="7"/>
  <c r="JK1" i="7"/>
  <c r="JJ3" i="7"/>
  <c r="JK37" i="7" l="1"/>
  <c r="JK38" i="7"/>
  <c r="JK39" i="7"/>
  <c r="JK40" i="7"/>
  <c r="JK41" i="7"/>
  <c r="JK42" i="7"/>
  <c r="JK43" i="7"/>
  <c r="JK44" i="7"/>
  <c r="JK4" i="7"/>
  <c r="JK5" i="7"/>
  <c r="JK9" i="7"/>
  <c r="JK7" i="7"/>
  <c r="JK6" i="7"/>
  <c r="JK8" i="7"/>
  <c r="JK11" i="7"/>
  <c r="JK16" i="7"/>
  <c r="JK10" i="7"/>
  <c r="JK14" i="7"/>
  <c r="JK12" i="7"/>
  <c r="JK18" i="7"/>
  <c r="JK15" i="7"/>
  <c r="JK17" i="7"/>
  <c r="JK19" i="7"/>
  <c r="JK20" i="7"/>
  <c r="JK22" i="7"/>
  <c r="JK24" i="7"/>
  <c r="JK25" i="7"/>
  <c r="JK26" i="7"/>
  <c r="JK23" i="7"/>
  <c r="JK27" i="7"/>
  <c r="JK13" i="7"/>
  <c r="JK21" i="7"/>
  <c r="JK32" i="7"/>
  <c r="JK31" i="7"/>
  <c r="JK33" i="7"/>
  <c r="JK34" i="7"/>
  <c r="JK35" i="7"/>
  <c r="JK28" i="7"/>
  <c r="JK36" i="7"/>
  <c r="JK30" i="7"/>
  <c r="JK29" i="7"/>
  <c r="JL1" i="7"/>
  <c r="JK3" i="7"/>
  <c r="JL37" i="7" l="1"/>
  <c r="JL38" i="7"/>
  <c r="JL39" i="7"/>
  <c r="JL40" i="7"/>
  <c r="JL41" i="7"/>
  <c r="JL42" i="7"/>
  <c r="JL43" i="7"/>
  <c r="JL44" i="7"/>
  <c r="JL5" i="7"/>
  <c r="JL6" i="7"/>
  <c r="JL4" i="7"/>
  <c r="JL7" i="7"/>
  <c r="JL15" i="7"/>
  <c r="JL8" i="7"/>
  <c r="JL9" i="7"/>
  <c r="JL11" i="7"/>
  <c r="JL14" i="7"/>
  <c r="JL13" i="7"/>
  <c r="JL12" i="7"/>
  <c r="JL16" i="7"/>
  <c r="JL10" i="7"/>
  <c r="JL18" i="7"/>
  <c r="JL19" i="7"/>
  <c r="JL20" i="7"/>
  <c r="JL21" i="7"/>
  <c r="JL22" i="7"/>
  <c r="JL24" i="7"/>
  <c r="JL25" i="7"/>
  <c r="JL17" i="7"/>
  <c r="JL26" i="7"/>
  <c r="JL28" i="7"/>
  <c r="JL27" i="7"/>
  <c r="JL32" i="7"/>
  <c r="JL23" i="7"/>
  <c r="JL31" i="7"/>
  <c r="JL33" i="7"/>
  <c r="JL34" i="7"/>
  <c r="JL35" i="7"/>
  <c r="JL36" i="7"/>
  <c r="JL29" i="7"/>
  <c r="JL30" i="7"/>
  <c r="JM1" i="7"/>
  <c r="JL3" i="7"/>
  <c r="JM37" i="7" l="1"/>
  <c r="JM38" i="7"/>
  <c r="JM39" i="7"/>
  <c r="JM40" i="7"/>
  <c r="JM41" i="7"/>
  <c r="JM42" i="7"/>
  <c r="JM43" i="7"/>
  <c r="JM44" i="7"/>
  <c r="JM4" i="7"/>
  <c r="JM5" i="7"/>
  <c r="JM7" i="7"/>
  <c r="JM9" i="7"/>
  <c r="JM6" i="7"/>
  <c r="JM8" i="7"/>
  <c r="JM14" i="7"/>
  <c r="JM12" i="7"/>
  <c r="JM13" i="7"/>
  <c r="JM15" i="7"/>
  <c r="JM16" i="7"/>
  <c r="JM10" i="7"/>
  <c r="JM11" i="7"/>
  <c r="JM17" i="7"/>
  <c r="JM18" i="7"/>
  <c r="JM19" i="7"/>
  <c r="JM20" i="7"/>
  <c r="JM21" i="7"/>
  <c r="JM22" i="7"/>
  <c r="JM24" i="7"/>
  <c r="JM25" i="7"/>
  <c r="JM28" i="7"/>
  <c r="JM26" i="7"/>
  <c r="JM23" i="7"/>
  <c r="JM29" i="7"/>
  <c r="JM27" i="7"/>
  <c r="JM32" i="7"/>
  <c r="JM31" i="7"/>
  <c r="JM33" i="7"/>
  <c r="JM34" i="7"/>
  <c r="JM35" i="7"/>
  <c r="JM30" i="7"/>
  <c r="JM36" i="7"/>
  <c r="JN1" i="7"/>
  <c r="JM3" i="7"/>
  <c r="JN37" i="7" l="1"/>
  <c r="JN38" i="7"/>
  <c r="JN39" i="7"/>
  <c r="JN40" i="7"/>
  <c r="JN41" i="7"/>
  <c r="JN42" i="7"/>
  <c r="JN43" i="7"/>
  <c r="JN44" i="7"/>
  <c r="JN4" i="7"/>
  <c r="JN7" i="7"/>
  <c r="JN8" i="7"/>
  <c r="JN9" i="7"/>
  <c r="JN5" i="7"/>
  <c r="JN6" i="7"/>
  <c r="JN13" i="7"/>
  <c r="JN11" i="7"/>
  <c r="JN10" i="7"/>
  <c r="JN15" i="7"/>
  <c r="JN16" i="7"/>
  <c r="JN17" i="7"/>
  <c r="JN12" i="7"/>
  <c r="JN18" i="7"/>
  <c r="JN20" i="7"/>
  <c r="JN14" i="7"/>
  <c r="JN19" i="7"/>
  <c r="JN21" i="7"/>
  <c r="JN22" i="7"/>
  <c r="JN24" i="7"/>
  <c r="JN28" i="7"/>
  <c r="JN25" i="7"/>
  <c r="JN26" i="7"/>
  <c r="JN23" i="7"/>
  <c r="JN27" i="7"/>
  <c r="JN32" i="7"/>
  <c r="JN31" i="7"/>
  <c r="JN33" i="7"/>
  <c r="JN34" i="7"/>
  <c r="JN29" i="7"/>
  <c r="JN30" i="7"/>
  <c r="JN35" i="7"/>
  <c r="JN36" i="7"/>
  <c r="JO1" i="7"/>
  <c r="JN3" i="7"/>
  <c r="JO37" i="7" l="1"/>
  <c r="JO38" i="7"/>
  <c r="JO39" i="7"/>
  <c r="JO40" i="7"/>
  <c r="JO41" i="7"/>
  <c r="JO42" i="7"/>
  <c r="JO43" i="7"/>
  <c r="JO44" i="7"/>
  <c r="JO7" i="7"/>
  <c r="JO4" i="7"/>
  <c r="JO6" i="7"/>
  <c r="JO5" i="7"/>
  <c r="JO9" i="7"/>
  <c r="JO8" i="7"/>
  <c r="JO11" i="7"/>
  <c r="JO15" i="7"/>
  <c r="JO12" i="7"/>
  <c r="JO13" i="7"/>
  <c r="JO14" i="7"/>
  <c r="JO10" i="7"/>
  <c r="JO17" i="7"/>
  <c r="JO18" i="7"/>
  <c r="JO16" i="7"/>
  <c r="JO19" i="7"/>
  <c r="JO21" i="7"/>
  <c r="JO22" i="7"/>
  <c r="JO23" i="7"/>
  <c r="JO20" i="7"/>
  <c r="JO24" i="7"/>
  <c r="JO28" i="7"/>
  <c r="JO25" i="7"/>
  <c r="JO27" i="7"/>
  <c r="JO32" i="7"/>
  <c r="JO26" i="7"/>
  <c r="JO31" i="7"/>
  <c r="JO33" i="7"/>
  <c r="JO36" i="7"/>
  <c r="JO29" i="7"/>
  <c r="JO30" i="7"/>
  <c r="JO34" i="7"/>
  <c r="JO35" i="7"/>
  <c r="JP1" i="7"/>
  <c r="JO3" i="7"/>
  <c r="JP37" i="7" l="1"/>
  <c r="JP38" i="7"/>
  <c r="JP39" i="7"/>
  <c r="JP40" i="7"/>
  <c r="JP41" i="7"/>
  <c r="JP42" i="7"/>
  <c r="JP43" i="7"/>
  <c r="JP44" i="7"/>
  <c r="JP5" i="7"/>
  <c r="JP6" i="7"/>
  <c r="JP4" i="7"/>
  <c r="JP7" i="7"/>
  <c r="JP8" i="7"/>
  <c r="JP12" i="7"/>
  <c r="JP9" i="7"/>
  <c r="JP10" i="7"/>
  <c r="JP13" i="7"/>
  <c r="JP15" i="7"/>
  <c r="JP14" i="7"/>
  <c r="JP17" i="7"/>
  <c r="JP16" i="7"/>
  <c r="JP22" i="7"/>
  <c r="JP11" i="7"/>
  <c r="JP21" i="7"/>
  <c r="JP19" i="7"/>
  <c r="JP26" i="7"/>
  <c r="JP18" i="7"/>
  <c r="JP23" i="7"/>
  <c r="JP20" i="7"/>
  <c r="JP24" i="7"/>
  <c r="JP28" i="7"/>
  <c r="JP27" i="7"/>
  <c r="JP25" i="7"/>
  <c r="JP32" i="7"/>
  <c r="JP35" i="7"/>
  <c r="JP36" i="7"/>
  <c r="JP31" i="7"/>
  <c r="JP30" i="7"/>
  <c r="JP34" i="7"/>
  <c r="JP29" i="7"/>
  <c r="JP33" i="7"/>
  <c r="JQ1" i="7"/>
  <c r="JP3" i="7"/>
  <c r="JQ37" i="7" l="1"/>
  <c r="JQ38" i="7"/>
  <c r="JQ39" i="7"/>
  <c r="JQ40" i="7"/>
  <c r="JQ41" i="7"/>
  <c r="JQ42" i="7"/>
  <c r="JQ43" i="7"/>
  <c r="JQ44" i="7"/>
  <c r="JQ4" i="7"/>
  <c r="JQ5" i="7"/>
  <c r="JQ6" i="7"/>
  <c r="JQ11" i="7"/>
  <c r="JQ12" i="7"/>
  <c r="JQ8" i="7"/>
  <c r="JQ10" i="7"/>
  <c r="JQ13" i="7"/>
  <c r="JQ19" i="7"/>
  <c r="JQ15" i="7"/>
  <c r="JQ7" i="7"/>
  <c r="JQ9" i="7"/>
  <c r="JQ14" i="7"/>
  <c r="JQ17" i="7"/>
  <c r="JQ18" i="7"/>
  <c r="JQ21" i="7"/>
  <c r="JQ22" i="7"/>
  <c r="JQ16" i="7"/>
  <c r="JQ25" i="7"/>
  <c r="JQ26" i="7"/>
  <c r="JQ20" i="7"/>
  <c r="JQ29" i="7"/>
  <c r="JQ31" i="7"/>
  <c r="JQ24" i="7"/>
  <c r="JQ28" i="7"/>
  <c r="JQ23" i="7"/>
  <c r="JQ30" i="7"/>
  <c r="JQ27" i="7"/>
  <c r="JQ34" i="7"/>
  <c r="JQ35" i="7"/>
  <c r="JQ32" i="7"/>
  <c r="JQ36" i="7"/>
  <c r="JQ33" i="7"/>
  <c r="JR1" i="7"/>
  <c r="JQ3" i="7"/>
  <c r="JR37" i="7" l="1"/>
  <c r="JR38" i="7"/>
  <c r="JR39" i="7"/>
  <c r="JR40" i="7"/>
  <c r="JR41" i="7"/>
  <c r="JR42" i="7"/>
  <c r="JR43" i="7"/>
  <c r="JR44" i="7"/>
  <c r="JR4" i="7"/>
  <c r="JR6" i="7"/>
  <c r="JR5" i="7"/>
  <c r="JR10" i="7"/>
  <c r="JR8" i="7"/>
  <c r="JR9" i="7"/>
  <c r="JR7" i="7"/>
  <c r="JR18" i="7"/>
  <c r="JR12" i="7"/>
  <c r="JR11" i="7"/>
  <c r="JR13" i="7"/>
  <c r="JR17" i="7"/>
  <c r="JR15" i="7"/>
  <c r="JR16" i="7"/>
  <c r="JR21" i="7"/>
  <c r="JR22" i="7"/>
  <c r="JR23" i="7"/>
  <c r="JR20" i="7"/>
  <c r="JR14" i="7"/>
  <c r="JR19" i="7"/>
  <c r="JR24" i="7"/>
  <c r="JR25" i="7"/>
  <c r="JR29" i="7"/>
  <c r="JR30" i="7"/>
  <c r="JR27" i="7"/>
  <c r="JR28" i="7"/>
  <c r="JR33" i="7"/>
  <c r="JR34" i="7"/>
  <c r="JR31" i="7"/>
  <c r="JR26" i="7"/>
  <c r="JR32" i="7"/>
  <c r="JR35" i="7"/>
  <c r="JR36" i="7"/>
  <c r="JS1" i="7"/>
  <c r="JR3" i="7"/>
  <c r="JS37" i="7" l="1"/>
  <c r="JS38" i="7"/>
  <c r="JS39" i="7"/>
  <c r="JS40" i="7"/>
  <c r="JS41" i="7"/>
  <c r="JS42" i="7"/>
  <c r="JS43" i="7"/>
  <c r="JS44" i="7"/>
  <c r="JS5" i="7"/>
  <c r="JS6" i="7"/>
  <c r="JS4" i="7"/>
  <c r="JS8" i="7"/>
  <c r="JS10" i="7"/>
  <c r="JS9" i="7"/>
  <c r="JS7" i="7"/>
  <c r="JS17" i="7"/>
  <c r="JS13" i="7"/>
  <c r="JS14" i="7"/>
  <c r="JS11" i="7"/>
  <c r="JS12" i="7"/>
  <c r="JS16" i="7"/>
  <c r="JS15" i="7"/>
  <c r="JS18" i="7"/>
  <c r="JS21" i="7"/>
  <c r="JS22" i="7"/>
  <c r="JS20" i="7"/>
  <c r="JS24" i="7"/>
  <c r="JS27" i="7"/>
  <c r="JS29" i="7"/>
  <c r="JS26" i="7"/>
  <c r="JS19" i="7"/>
  <c r="JS36" i="7"/>
  <c r="JS30" i="7"/>
  <c r="JS23" i="7"/>
  <c r="JS31" i="7"/>
  <c r="JS32" i="7"/>
  <c r="JS33" i="7"/>
  <c r="JS25" i="7"/>
  <c r="JS35" i="7"/>
  <c r="JS34" i="7"/>
  <c r="JS28" i="7"/>
  <c r="JT1" i="7"/>
  <c r="JS3" i="7"/>
  <c r="JT37" i="7" l="1"/>
  <c r="JT38" i="7"/>
  <c r="JT39" i="7"/>
  <c r="JT40" i="7"/>
  <c r="JT41" i="7"/>
  <c r="JT42" i="7"/>
  <c r="JT43" i="7"/>
  <c r="JT44" i="7"/>
  <c r="JT4" i="7"/>
  <c r="JT5" i="7"/>
  <c r="JT7" i="7"/>
  <c r="JT6" i="7"/>
  <c r="JT8" i="7"/>
  <c r="JT9" i="7"/>
  <c r="JT11" i="7"/>
  <c r="JT16" i="7"/>
  <c r="JT13" i="7"/>
  <c r="JT10" i="7"/>
  <c r="JT14" i="7"/>
  <c r="JT12" i="7"/>
  <c r="JT15" i="7"/>
  <c r="JT17" i="7"/>
  <c r="JT18" i="7"/>
  <c r="JT21" i="7"/>
  <c r="JT19" i="7"/>
  <c r="JT20" i="7"/>
  <c r="JT23" i="7"/>
  <c r="JT22" i="7"/>
  <c r="JT27" i="7"/>
  <c r="JT29" i="7"/>
  <c r="JT25" i="7"/>
  <c r="JT28" i="7"/>
  <c r="JT26" i="7"/>
  <c r="JT35" i="7"/>
  <c r="JT24" i="7"/>
  <c r="JT30" i="7"/>
  <c r="JT31" i="7"/>
  <c r="JT32" i="7"/>
  <c r="JT33" i="7"/>
  <c r="JT34" i="7"/>
  <c r="JT36" i="7"/>
  <c r="JU1" i="7"/>
  <c r="JT3" i="7"/>
  <c r="JU37" i="7" l="1"/>
  <c r="JU38" i="7"/>
  <c r="JU39" i="7"/>
  <c r="JU40" i="7"/>
  <c r="JU41" i="7"/>
  <c r="JU42" i="7"/>
  <c r="JU43" i="7"/>
  <c r="JU44" i="7"/>
  <c r="JU4" i="7"/>
  <c r="JU5" i="7"/>
  <c r="JU8" i="7"/>
  <c r="JU6" i="7"/>
  <c r="JU9" i="7"/>
  <c r="JU7" i="7"/>
  <c r="JU11" i="7"/>
  <c r="JU13" i="7"/>
  <c r="JU14" i="7"/>
  <c r="JU12" i="7"/>
  <c r="JU16" i="7"/>
  <c r="JU19" i="7"/>
  <c r="JU15" i="7"/>
  <c r="JU17" i="7"/>
  <c r="JU18" i="7"/>
  <c r="JU10" i="7"/>
  <c r="JU20" i="7"/>
  <c r="JU23" i="7"/>
  <c r="JU26" i="7"/>
  <c r="JU21" i="7"/>
  <c r="JU22" i="7"/>
  <c r="JU29" i="7"/>
  <c r="JU27" i="7"/>
  <c r="JU25" i="7"/>
  <c r="JU28" i="7"/>
  <c r="JU34" i="7"/>
  <c r="JU35" i="7"/>
  <c r="JU24" i="7"/>
  <c r="JU36" i="7"/>
  <c r="JU30" i="7"/>
  <c r="JU31" i="7"/>
  <c r="JU32" i="7"/>
  <c r="JU33" i="7"/>
  <c r="JV1" i="7"/>
  <c r="JU3" i="7"/>
  <c r="JV37" i="7" l="1"/>
  <c r="JV38" i="7"/>
  <c r="JV39" i="7"/>
  <c r="JV40" i="7"/>
  <c r="JV41" i="7"/>
  <c r="JV42" i="7"/>
  <c r="JV43" i="7"/>
  <c r="JV44" i="7"/>
  <c r="JV5" i="7"/>
  <c r="JV7" i="7"/>
  <c r="JV4" i="7"/>
  <c r="JV6" i="7"/>
  <c r="JV10" i="7"/>
  <c r="JV8" i="7"/>
  <c r="JV14" i="7"/>
  <c r="JV11" i="7"/>
  <c r="JV13" i="7"/>
  <c r="JV15" i="7"/>
  <c r="JV9" i="7"/>
  <c r="JV16" i="7"/>
  <c r="JV12" i="7"/>
  <c r="JV19" i="7"/>
  <c r="JV18" i="7"/>
  <c r="JV24" i="7"/>
  <c r="JV25" i="7"/>
  <c r="JV20" i="7"/>
  <c r="JV23" i="7"/>
  <c r="JV26" i="7"/>
  <c r="JV21" i="7"/>
  <c r="JV28" i="7"/>
  <c r="JV22" i="7"/>
  <c r="JV27" i="7"/>
  <c r="JV29" i="7"/>
  <c r="JV17" i="7"/>
  <c r="JV33" i="7"/>
  <c r="JV34" i="7"/>
  <c r="JV35" i="7"/>
  <c r="JV36" i="7"/>
  <c r="JV30" i="7"/>
  <c r="JV31" i="7"/>
  <c r="JV32" i="7"/>
  <c r="JW1" i="7"/>
  <c r="JV3" i="7"/>
  <c r="JW37" i="7" l="1"/>
  <c r="JW38" i="7"/>
  <c r="JW39" i="7"/>
  <c r="JW40" i="7"/>
  <c r="JW41" i="7"/>
  <c r="JW42" i="7"/>
  <c r="JW43" i="7"/>
  <c r="JW44" i="7"/>
  <c r="JW4" i="7"/>
  <c r="JW6" i="7"/>
  <c r="JW7" i="7"/>
  <c r="JW10" i="7"/>
  <c r="JW8" i="7"/>
  <c r="JW5" i="7"/>
  <c r="JW9" i="7"/>
  <c r="JW12" i="7"/>
  <c r="JW11" i="7"/>
  <c r="JW16" i="7"/>
  <c r="JW14" i="7"/>
  <c r="JW13" i="7"/>
  <c r="JW15" i="7"/>
  <c r="JW18" i="7"/>
  <c r="JW17" i="7"/>
  <c r="JW20" i="7"/>
  <c r="JW22" i="7"/>
  <c r="JW19" i="7"/>
  <c r="JW24" i="7"/>
  <c r="JW25" i="7"/>
  <c r="JW23" i="7"/>
  <c r="JW26" i="7"/>
  <c r="JW27" i="7"/>
  <c r="JW29" i="7"/>
  <c r="JW31" i="7"/>
  <c r="JW32" i="7"/>
  <c r="JW33" i="7"/>
  <c r="JW34" i="7"/>
  <c r="JW35" i="7"/>
  <c r="JW36" i="7"/>
  <c r="JW30" i="7"/>
  <c r="JW21" i="7"/>
  <c r="JW28" i="7"/>
  <c r="JX1" i="7"/>
  <c r="JW3" i="7"/>
  <c r="JX37" i="7" l="1"/>
  <c r="JX38" i="7"/>
  <c r="JX39" i="7"/>
  <c r="JX40" i="7"/>
  <c r="JX41" i="7"/>
  <c r="JX42" i="7"/>
  <c r="JX43" i="7"/>
  <c r="JX44" i="7"/>
  <c r="JX5" i="7"/>
  <c r="JX4" i="7"/>
  <c r="JX6" i="7"/>
  <c r="JX11" i="7"/>
  <c r="JX15" i="7"/>
  <c r="JX10" i="7"/>
  <c r="JX8" i="7"/>
  <c r="JX9" i="7"/>
  <c r="JX7" i="7"/>
  <c r="JX14" i="7"/>
  <c r="JX12" i="7"/>
  <c r="JX16" i="7"/>
  <c r="JX18" i="7"/>
  <c r="JX13" i="7"/>
  <c r="JX17" i="7"/>
  <c r="JX20" i="7"/>
  <c r="JX21" i="7"/>
  <c r="JX22" i="7"/>
  <c r="JX24" i="7"/>
  <c r="JX25" i="7"/>
  <c r="JX23" i="7"/>
  <c r="JX26" i="7"/>
  <c r="JX27" i="7"/>
  <c r="JX19" i="7"/>
  <c r="JX29" i="7"/>
  <c r="JX31" i="7"/>
  <c r="JX32" i="7"/>
  <c r="JX33" i="7"/>
  <c r="JX34" i="7"/>
  <c r="JX35" i="7"/>
  <c r="JX36" i="7"/>
  <c r="JX28" i="7"/>
  <c r="JX30" i="7"/>
  <c r="JY1" i="7"/>
  <c r="JX3" i="7"/>
  <c r="JY37" i="7" l="1"/>
  <c r="JY38" i="7"/>
  <c r="JY39" i="7"/>
  <c r="JY40" i="7"/>
  <c r="JY41" i="7"/>
  <c r="JY42" i="7"/>
  <c r="JY43" i="7"/>
  <c r="JY44" i="7"/>
  <c r="JY4" i="7"/>
  <c r="JY5" i="7"/>
  <c r="JY7" i="7"/>
  <c r="JY6" i="7"/>
  <c r="JY9" i="7"/>
  <c r="JY8" i="7"/>
  <c r="JY14" i="7"/>
  <c r="JY13" i="7"/>
  <c r="JY10" i="7"/>
  <c r="JY12" i="7"/>
  <c r="JY11" i="7"/>
  <c r="JY16" i="7"/>
  <c r="JY15" i="7"/>
  <c r="JY18" i="7"/>
  <c r="JY17" i="7"/>
  <c r="JY20" i="7"/>
  <c r="JY21" i="7"/>
  <c r="JY24" i="7"/>
  <c r="JY25" i="7"/>
  <c r="JY23" i="7"/>
  <c r="JY28" i="7"/>
  <c r="JY22" i="7"/>
  <c r="JY27" i="7"/>
  <c r="JY19" i="7"/>
  <c r="JY29" i="7"/>
  <c r="JY31" i="7"/>
  <c r="JY32" i="7"/>
  <c r="JY33" i="7"/>
  <c r="JY34" i="7"/>
  <c r="JY35" i="7"/>
  <c r="JY26" i="7"/>
  <c r="JY30" i="7"/>
  <c r="JY36" i="7"/>
  <c r="JZ1" i="7"/>
  <c r="JY3" i="7"/>
  <c r="JZ37" i="7" l="1"/>
  <c r="JZ38" i="7"/>
  <c r="JZ39" i="7"/>
  <c r="JZ40" i="7"/>
  <c r="JZ41" i="7"/>
  <c r="JZ42" i="7"/>
  <c r="JZ43" i="7"/>
  <c r="JZ44" i="7"/>
  <c r="JZ4" i="7"/>
  <c r="JZ7" i="7"/>
  <c r="JZ8" i="7"/>
  <c r="JZ9" i="7"/>
  <c r="JZ5" i="7"/>
  <c r="JZ6" i="7"/>
  <c r="JZ13" i="7"/>
  <c r="JZ11" i="7"/>
  <c r="JZ14" i="7"/>
  <c r="JZ10" i="7"/>
  <c r="JZ12" i="7"/>
  <c r="JZ16" i="7"/>
  <c r="JZ18" i="7"/>
  <c r="JZ20" i="7"/>
  <c r="JZ15" i="7"/>
  <c r="JZ19" i="7"/>
  <c r="JZ24" i="7"/>
  <c r="JZ23" i="7"/>
  <c r="JZ28" i="7"/>
  <c r="JZ22" i="7"/>
  <c r="JZ29" i="7"/>
  <c r="JZ17" i="7"/>
  <c r="JZ31" i="7"/>
  <c r="JZ32" i="7"/>
  <c r="JZ33" i="7"/>
  <c r="JZ27" i="7"/>
  <c r="JZ34" i="7"/>
  <c r="JZ26" i="7"/>
  <c r="JZ30" i="7"/>
  <c r="JZ25" i="7"/>
  <c r="JZ21" i="7"/>
  <c r="JZ36" i="7"/>
  <c r="JZ35" i="7"/>
  <c r="KA1" i="7"/>
  <c r="JZ3" i="7"/>
  <c r="KA37" i="7" l="1"/>
  <c r="KA38" i="7"/>
  <c r="KA39" i="7"/>
  <c r="KA40" i="7"/>
  <c r="KA41" i="7"/>
  <c r="KA42" i="7"/>
  <c r="KA43" i="7"/>
  <c r="KA44" i="7"/>
  <c r="KA4" i="7"/>
  <c r="KA5" i="7"/>
  <c r="KA7" i="7"/>
  <c r="KA9" i="7"/>
  <c r="KA6" i="7"/>
  <c r="KA11" i="7"/>
  <c r="KA10" i="7"/>
  <c r="KA12" i="7"/>
  <c r="KA15" i="7"/>
  <c r="KA14" i="7"/>
  <c r="KA16" i="7"/>
  <c r="KA8" i="7"/>
  <c r="KA17" i="7"/>
  <c r="KA18" i="7"/>
  <c r="KA13" i="7"/>
  <c r="KA19" i="7"/>
  <c r="KA20" i="7"/>
  <c r="KA22" i="7"/>
  <c r="KA26" i="7"/>
  <c r="KA23" i="7"/>
  <c r="KA28" i="7"/>
  <c r="KA21" i="7"/>
  <c r="KA24" i="7"/>
  <c r="KA29" i="7"/>
  <c r="KA31" i="7"/>
  <c r="KA32" i="7"/>
  <c r="KA33" i="7"/>
  <c r="KA25" i="7"/>
  <c r="KA36" i="7"/>
  <c r="KA30" i="7"/>
  <c r="KA27" i="7"/>
  <c r="KA35" i="7"/>
  <c r="KA34" i="7"/>
  <c r="KB1" i="7"/>
  <c r="KA3" i="7"/>
  <c r="KB37" i="7" l="1"/>
  <c r="KB38" i="7"/>
  <c r="KB39" i="7"/>
  <c r="KB40" i="7"/>
  <c r="KB41" i="7"/>
  <c r="KB42" i="7"/>
  <c r="KB43" i="7"/>
  <c r="KB44" i="7"/>
  <c r="KB5" i="7"/>
  <c r="KB6" i="7"/>
  <c r="KB4" i="7"/>
  <c r="KB12" i="7"/>
  <c r="KB7" i="7"/>
  <c r="KB11" i="7"/>
  <c r="KB8" i="7"/>
  <c r="KB9" i="7"/>
  <c r="KB10" i="7"/>
  <c r="KB15" i="7"/>
  <c r="KB13" i="7"/>
  <c r="KB14" i="7"/>
  <c r="KB17" i="7"/>
  <c r="KB16" i="7"/>
  <c r="KB18" i="7"/>
  <c r="KB22" i="7"/>
  <c r="KB19" i="7"/>
  <c r="KB20" i="7"/>
  <c r="KB21" i="7"/>
  <c r="KB23" i="7"/>
  <c r="KB26" i="7"/>
  <c r="KB25" i="7"/>
  <c r="KB28" i="7"/>
  <c r="KB27" i="7"/>
  <c r="KB24" i="7"/>
  <c r="KB29" i="7"/>
  <c r="KB31" i="7"/>
  <c r="KB32" i="7"/>
  <c r="KB35" i="7"/>
  <c r="KB36" i="7"/>
  <c r="KB30" i="7"/>
  <c r="KB33" i="7"/>
  <c r="KB34" i="7"/>
  <c r="KC1" i="7"/>
  <c r="KB3" i="7"/>
  <c r="KC37" i="7" l="1"/>
  <c r="KC38" i="7"/>
  <c r="KC39" i="7"/>
  <c r="KC40" i="7"/>
  <c r="KC41" i="7"/>
  <c r="KC42" i="7"/>
  <c r="KC43" i="7"/>
  <c r="KC44" i="7"/>
  <c r="KC4" i="7"/>
  <c r="KC5" i="7"/>
  <c r="KC6" i="7"/>
  <c r="KC11" i="7"/>
  <c r="KC9" i="7"/>
  <c r="KC7" i="7"/>
  <c r="KC8" i="7"/>
  <c r="KC10" i="7"/>
  <c r="KC19" i="7"/>
  <c r="KC13" i="7"/>
  <c r="KC12" i="7"/>
  <c r="KC15" i="7"/>
  <c r="KC14" i="7"/>
  <c r="KC17" i="7"/>
  <c r="KC16" i="7"/>
  <c r="KC18" i="7"/>
  <c r="KC21" i="7"/>
  <c r="KC22" i="7"/>
  <c r="KC20" i="7"/>
  <c r="KC25" i="7"/>
  <c r="KC23" i="7"/>
  <c r="KC26" i="7"/>
  <c r="KC28" i="7"/>
  <c r="KC31" i="7"/>
  <c r="KC27" i="7"/>
  <c r="KC24" i="7"/>
  <c r="KC29" i="7"/>
  <c r="KC34" i="7"/>
  <c r="KC35" i="7"/>
  <c r="KC33" i="7"/>
  <c r="KC32" i="7"/>
  <c r="KC30" i="7"/>
  <c r="KC36" i="7"/>
  <c r="KD1" i="7"/>
  <c r="KC3" i="7"/>
  <c r="KD37" i="7" l="1"/>
  <c r="KD38" i="7"/>
  <c r="KD39" i="7"/>
  <c r="KD40" i="7"/>
  <c r="KD41" i="7"/>
  <c r="KD42" i="7"/>
  <c r="KD43" i="7"/>
  <c r="KD44" i="7"/>
  <c r="KD4" i="7"/>
  <c r="KD6" i="7"/>
  <c r="KD5" i="7"/>
  <c r="KD7" i="7"/>
  <c r="KD8" i="7"/>
  <c r="KD10" i="7"/>
  <c r="KD9" i="7"/>
  <c r="KD12" i="7"/>
  <c r="KD13" i="7"/>
  <c r="KD18" i="7"/>
  <c r="KD11" i="7"/>
  <c r="KD15" i="7"/>
  <c r="KD14" i="7"/>
  <c r="KD17" i="7"/>
  <c r="KD16" i="7"/>
  <c r="KD21" i="7"/>
  <c r="KD19" i="7"/>
  <c r="KD22" i="7"/>
  <c r="KD23" i="7"/>
  <c r="KD24" i="7"/>
  <c r="KD25" i="7"/>
  <c r="KD20" i="7"/>
  <c r="KD29" i="7"/>
  <c r="KD26" i="7"/>
  <c r="KD30" i="7"/>
  <c r="KD28" i="7"/>
  <c r="KD33" i="7"/>
  <c r="KD34" i="7"/>
  <c r="KD36" i="7"/>
  <c r="KD31" i="7"/>
  <c r="KD32" i="7"/>
  <c r="KD35" i="7"/>
  <c r="KD27" i="7"/>
  <c r="KE1" i="7"/>
  <c r="KD3" i="7"/>
  <c r="KE37" i="7" l="1"/>
  <c r="KE38" i="7"/>
  <c r="KE39" i="7"/>
  <c r="KE40" i="7"/>
  <c r="KE41" i="7"/>
  <c r="KE42" i="7"/>
  <c r="KE43" i="7"/>
  <c r="KE44" i="7"/>
  <c r="KE5" i="7"/>
  <c r="KE6" i="7"/>
  <c r="KE4" i="7"/>
  <c r="KE7" i="7"/>
  <c r="KE8" i="7"/>
  <c r="KE9" i="7"/>
  <c r="KE10" i="7"/>
  <c r="KE17" i="7"/>
  <c r="KE11" i="7"/>
  <c r="KE12" i="7"/>
  <c r="KE15" i="7"/>
  <c r="KE14" i="7"/>
  <c r="KE16" i="7"/>
  <c r="KE13" i="7"/>
  <c r="KE18" i="7"/>
  <c r="KE21" i="7"/>
  <c r="KE19" i="7"/>
  <c r="KE22" i="7"/>
  <c r="KE20" i="7"/>
  <c r="KE24" i="7"/>
  <c r="KE25" i="7"/>
  <c r="KE29" i="7"/>
  <c r="KE26" i="7"/>
  <c r="KE23" i="7"/>
  <c r="KE30" i="7"/>
  <c r="KE36" i="7"/>
  <c r="KE27" i="7"/>
  <c r="KE32" i="7"/>
  <c r="KE28" i="7"/>
  <c r="KE33" i="7"/>
  <c r="KE31" i="7"/>
  <c r="KE34" i="7"/>
  <c r="KE35" i="7"/>
  <c r="KF1" i="7"/>
  <c r="KE3" i="7"/>
  <c r="KF37" i="7" l="1"/>
  <c r="KF38" i="7"/>
  <c r="KF39" i="7"/>
  <c r="KF40" i="7"/>
  <c r="KF41" i="7"/>
  <c r="KF42" i="7"/>
  <c r="KF43" i="7"/>
  <c r="KF44" i="7"/>
  <c r="KF4" i="7"/>
  <c r="KF5" i="7"/>
  <c r="KF7" i="7"/>
  <c r="KF8" i="7"/>
  <c r="KF9" i="7"/>
  <c r="KF10" i="7"/>
  <c r="KF6" i="7"/>
  <c r="KF16" i="7"/>
  <c r="KF13" i="7"/>
  <c r="KF11" i="7"/>
  <c r="KF12" i="7"/>
  <c r="KF17" i="7"/>
  <c r="KF15" i="7"/>
  <c r="KF14" i="7"/>
  <c r="KF18" i="7"/>
  <c r="KF21" i="7"/>
  <c r="KF20" i="7"/>
  <c r="KF19" i="7"/>
  <c r="KF22" i="7"/>
  <c r="KF27" i="7"/>
  <c r="KF25" i="7"/>
  <c r="KF29" i="7"/>
  <c r="KF26" i="7"/>
  <c r="KF23" i="7"/>
  <c r="KF35" i="7"/>
  <c r="KF30" i="7"/>
  <c r="KF24" i="7"/>
  <c r="KF31" i="7"/>
  <c r="KF32" i="7"/>
  <c r="KF28" i="7"/>
  <c r="KF33" i="7"/>
  <c r="KF36" i="7"/>
  <c r="KF34" i="7"/>
  <c r="KG1" i="7"/>
  <c r="KF3" i="7"/>
  <c r="KG37" i="7" l="1"/>
  <c r="KG38" i="7"/>
  <c r="KG39" i="7"/>
  <c r="KG40" i="7"/>
  <c r="KG41" i="7"/>
  <c r="KG42" i="7"/>
  <c r="KG43" i="7"/>
  <c r="KG44" i="7"/>
  <c r="KG4" i="7"/>
  <c r="KG5" i="7"/>
  <c r="KG6" i="7"/>
  <c r="KG7" i="7"/>
  <c r="KG8" i="7"/>
  <c r="KG11" i="7"/>
  <c r="KG10" i="7"/>
  <c r="KG13" i="7"/>
  <c r="KG12" i="7"/>
  <c r="KG9" i="7"/>
  <c r="KG14" i="7"/>
  <c r="KG17" i="7"/>
  <c r="KG16" i="7"/>
  <c r="KG15" i="7"/>
  <c r="KG18" i="7"/>
  <c r="KG23" i="7"/>
  <c r="KG26" i="7"/>
  <c r="KG29" i="7"/>
  <c r="KG19" i="7"/>
  <c r="KG21" i="7"/>
  <c r="KG24" i="7"/>
  <c r="KG20" i="7"/>
  <c r="KG27" i="7"/>
  <c r="KG25" i="7"/>
  <c r="KG22" i="7"/>
  <c r="KG28" i="7"/>
  <c r="KG34" i="7"/>
  <c r="KG35" i="7"/>
  <c r="KG30" i="7"/>
  <c r="KG36" i="7"/>
  <c r="KG31" i="7"/>
  <c r="KG32" i="7"/>
  <c r="KG33" i="7"/>
  <c r="KH1" i="7"/>
  <c r="KG3" i="7"/>
  <c r="KH37" i="7" l="1"/>
  <c r="KH38" i="7"/>
  <c r="KH39" i="7"/>
  <c r="KH40" i="7"/>
  <c r="KH41" i="7"/>
  <c r="KH42" i="7"/>
  <c r="KH43" i="7"/>
  <c r="KH44" i="7"/>
  <c r="KH4" i="7"/>
  <c r="KH5" i="7"/>
  <c r="KH6" i="7"/>
  <c r="KH7" i="7"/>
  <c r="KH8" i="7"/>
  <c r="KH10" i="7"/>
  <c r="KH11" i="7"/>
  <c r="KH12" i="7"/>
  <c r="KH13" i="7"/>
  <c r="KH16" i="7"/>
  <c r="KH14" i="7"/>
  <c r="KH17" i="7"/>
  <c r="KH15" i="7"/>
  <c r="KH9" i="7"/>
  <c r="KH24" i="7"/>
  <c r="KH23" i="7"/>
  <c r="KH25" i="7"/>
  <c r="KH26" i="7"/>
  <c r="KH28" i="7"/>
  <c r="KH18" i="7"/>
  <c r="KH19" i="7"/>
  <c r="KH21" i="7"/>
  <c r="KH20" i="7"/>
  <c r="KH27" i="7"/>
  <c r="KH29" i="7"/>
  <c r="KH33" i="7"/>
  <c r="KH34" i="7"/>
  <c r="KH35" i="7"/>
  <c r="KH30" i="7"/>
  <c r="KH36" i="7"/>
  <c r="KH31" i="7"/>
  <c r="KH22" i="7"/>
  <c r="KH32" i="7"/>
  <c r="KI1" i="7"/>
  <c r="KH3" i="7"/>
  <c r="KI37" i="7" l="1"/>
  <c r="KI38" i="7"/>
  <c r="KI39" i="7"/>
  <c r="KI40" i="7"/>
  <c r="KI41" i="7"/>
  <c r="KI42" i="7"/>
  <c r="KI43" i="7"/>
  <c r="KI44" i="7"/>
  <c r="KI4" i="7"/>
  <c r="KI6" i="7"/>
  <c r="KI7" i="7"/>
  <c r="KI5" i="7"/>
  <c r="KI9" i="7"/>
  <c r="KI10" i="7"/>
  <c r="KI8" i="7"/>
  <c r="KI14" i="7"/>
  <c r="KI11" i="7"/>
  <c r="KI12" i="7"/>
  <c r="KI13" i="7"/>
  <c r="KI19" i="7"/>
  <c r="KI16" i="7"/>
  <c r="KI17" i="7"/>
  <c r="KI15" i="7"/>
  <c r="KI18" i="7"/>
  <c r="KI22" i="7"/>
  <c r="KI24" i="7"/>
  <c r="KI23" i="7"/>
  <c r="KI25" i="7"/>
  <c r="KI26" i="7"/>
  <c r="KI27" i="7"/>
  <c r="KI20" i="7"/>
  <c r="KI29" i="7"/>
  <c r="KI21" i="7"/>
  <c r="KI28" i="7"/>
  <c r="KI32" i="7"/>
  <c r="KI33" i="7"/>
  <c r="KI34" i="7"/>
  <c r="KI35" i="7"/>
  <c r="KI30" i="7"/>
  <c r="KI36" i="7"/>
  <c r="KI31" i="7"/>
  <c r="KJ1" i="7"/>
  <c r="KI3" i="7"/>
  <c r="KJ37" i="7" l="1"/>
  <c r="KJ38" i="7"/>
  <c r="KJ39" i="7"/>
  <c r="KJ40" i="7"/>
  <c r="KJ41" i="7"/>
  <c r="KJ42" i="7"/>
  <c r="KJ43" i="7"/>
  <c r="KJ44" i="7"/>
  <c r="KJ5" i="7"/>
  <c r="KJ4" i="7"/>
  <c r="KJ6" i="7"/>
  <c r="KJ7" i="7"/>
  <c r="KJ8" i="7"/>
  <c r="KJ15" i="7"/>
  <c r="KJ9" i="7"/>
  <c r="KJ10" i="7"/>
  <c r="KJ14" i="7"/>
  <c r="KJ16" i="7"/>
  <c r="KJ13" i="7"/>
  <c r="KJ12" i="7"/>
  <c r="KJ11" i="7"/>
  <c r="KJ20" i="7"/>
  <c r="KJ17" i="7"/>
  <c r="KJ19" i="7"/>
  <c r="KJ21" i="7"/>
  <c r="KJ22" i="7"/>
  <c r="KJ24" i="7"/>
  <c r="KJ23" i="7"/>
  <c r="KJ25" i="7"/>
  <c r="KJ26" i="7"/>
  <c r="KJ18" i="7"/>
  <c r="KJ27" i="7"/>
  <c r="KJ29" i="7"/>
  <c r="KJ31" i="7"/>
  <c r="KJ32" i="7"/>
  <c r="KJ33" i="7"/>
  <c r="KJ34" i="7"/>
  <c r="KJ35" i="7"/>
  <c r="KJ30" i="7"/>
  <c r="KJ36" i="7"/>
  <c r="KJ28" i="7"/>
  <c r="KK1" i="7"/>
  <c r="KJ3" i="7"/>
  <c r="KK37" i="7" l="1"/>
  <c r="KK38" i="7"/>
  <c r="KK39" i="7"/>
  <c r="KK40" i="7"/>
  <c r="KK41" i="7"/>
  <c r="KK42" i="7"/>
  <c r="KK43" i="7"/>
  <c r="KK44" i="7"/>
  <c r="KK4" i="7"/>
  <c r="KK5" i="7"/>
  <c r="KK7" i="7"/>
  <c r="KK9" i="7"/>
  <c r="KK6" i="7"/>
  <c r="KK11" i="7"/>
  <c r="KK14" i="7"/>
  <c r="KK8" i="7"/>
  <c r="KK10" i="7"/>
  <c r="KK12" i="7"/>
  <c r="KK16" i="7"/>
  <c r="KK18" i="7"/>
  <c r="KK15" i="7"/>
  <c r="KK17" i="7"/>
  <c r="KK20" i="7"/>
  <c r="KK19" i="7"/>
  <c r="KK21" i="7"/>
  <c r="KK22" i="7"/>
  <c r="KK24" i="7"/>
  <c r="KK23" i="7"/>
  <c r="KK25" i="7"/>
  <c r="KK13" i="7"/>
  <c r="KK26" i="7"/>
  <c r="KK27" i="7"/>
  <c r="KK28" i="7"/>
  <c r="KK31" i="7"/>
  <c r="KK32" i="7"/>
  <c r="KK33" i="7"/>
  <c r="KK34" i="7"/>
  <c r="KK29" i="7"/>
  <c r="KK35" i="7"/>
  <c r="KK36" i="7"/>
  <c r="KK30" i="7"/>
  <c r="KL1" i="7"/>
  <c r="KK3" i="7"/>
  <c r="KL37" i="7" l="1"/>
  <c r="KL38" i="7"/>
  <c r="KL39" i="7"/>
  <c r="KL40" i="7"/>
  <c r="KL41" i="7"/>
  <c r="KL42" i="7"/>
  <c r="KL43" i="7"/>
  <c r="KL44" i="7"/>
  <c r="KL4" i="7"/>
  <c r="KL6" i="7"/>
  <c r="KL7" i="7"/>
  <c r="KL8" i="7"/>
  <c r="KL5" i="7"/>
  <c r="KL13" i="7"/>
  <c r="KL9" i="7"/>
  <c r="KL14" i="7"/>
  <c r="KL10" i="7"/>
  <c r="KL16" i="7"/>
  <c r="KL15" i="7"/>
  <c r="KL18" i="7"/>
  <c r="KL20" i="7"/>
  <c r="KL12" i="7"/>
  <c r="KL11" i="7"/>
  <c r="KL17" i="7"/>
  <c r="KL21" i="7"/>
  <c r="KL22" i="7"/>
  <c r="KL24" i="7"/>
  <c r="KL19" i="7"/>
  <c r="KL28" i="7"/>
  <c r="KL25" i="7"/>
  <c r="KL23" i="7"/>
  <c r="KL26" i="7"/>
  <c r="KL27" i="7"/>
  <c r="KL31" i="7"/>
  <c r="KL32" i="7"/>
  <c r="KL33" i="7"/>
  <c r="KL34" i="7"/>
  <c r="KL36" i="7"/>
  <c r="KL30" i="7"/>
  <c r="KL35" i="7"/>
  <c r="KL29" i="7"/>
  <c r="KM1" i="7"/>
  <c r="KL3" i="7"/>
  <c r="KM37" i="7" l="1"/>
  <c r="KM38" i="7"/>
  <c r="KM39" i="7"/>
  <c r="KM40" i="7"/>
  <c r="KM41" i="7"/>
  <c r="KM42" i="7"/>
  <c r="KM43" i="7"/>
  <c r="KM44" i="7"/>
  <c r="KM6" i="7"/>
  <c r="KM7" i="7"/>
  <c r="KM5" i="7"/>
  <c r="KM8" i="7"/>
  <c r="KM4" i="7"/>
  <c r="KM9" i="7"/>
  <c r="KM14" i="7"/>
  <c r="KM11" i="7"/>
  <c r="KM13" i="7"/>
  <c r="KM12" i="7"/>
  <c r="KM10" i="7"/>
  <c r="KM16" i="7"/>
  <c r="KM15" i="7"/>
  <c r="KM18" i="7"/>
  <c r="KM17" i="7"/>
  <c r="KM20" i="7"/>
  <c r="KM19" i="7"/>
  <c r="KM21" i="7"/>
  <c r="KM22" i="7"/>
  <c r="KM24" i="7"/>
  <c r="KM28" i="7"/>
  <c r="KM25" i="7"/>
  <c r="KM29" i="7"/>
  <c r="KM31" i="7"/>
  <c r="KM23" i="7"/>
  <c r="KM32" i="7"/>
  <c r="KM33" i="7"/>
  <c r="KM30" i="7"/>
  <c r="KM36" i="7"/>
  <c r="KM26" i="7"/>
  <c r="KM27" i="7"/>
  <c r="KM34" i="7"/>
  <c r="KM35" i="7"/>
  <c r="KN1" i="7"/>
  <c r="KM3" i="7"/>
  <c r="KN37" i="7" l="1"/>
  <c r="KN38" i="7"/>
  <c r="KN39" i="7"/>
  <c r="KN40" i="7"/>
  <c r="KN41" i="7"/>
  <c r="KN42" i="7"/>
  <c r="KN43" i="7"/>
  <c r="KN44" i="7"/>
  <c r="KN5" i="7"/>
  <c r="KN6" i="7"/>
  <c r="KN9" i="7"/>
  <c r="KN12" i="7"/>
  <c r="KN8" i="7"/>
  <c r="KN7" i="7"/>
  <c r="KN11" i="7"/>
  <c r="KN4" i="7"/>
  <c r="KN10" i="7"/>
  <c r="KN13" i="7"/>
  <c r="KN14" i="7"/>
  <c r="KN16" i="7"/>
  <c r="KN18" i="7"/>
  <c r="KN19" i="7"/>
  <c r="KN15" i="7"/>
  <c r="KN22" i="7"/>
  <c r="KN20" i="7"/>
  <c r="KN17" i="7"/>
  <c r="KN21" i="7"/>
  <c r="KN26" i="7"/>
  <c r="KN24" i="7"/>
  <c r="KN28" i="7"/>
  <c r="KN31" i="7"/>
  <c r="KN23" i="7"/>
  <c r="KN32" i="7"/>
  <c r="KN35" i="7"/>
  <c r="KN25" i="7"/>
  <c r="KN30" i="7"/>
  <c r="KN36" i="7"/>
  <c r="KN27" i="7"/>
  <c r="KN33" i="7"/>
  <c r="KN29" i="7"/>
  <c r="KN34" i="7"/>
  <c r="KO1" i="7"/>
  <c r="KN3" i="7"/>
  <c r="KO37" i="7" l="1"/>
  <c r="KO38" i="7"/>
  <c r="KO39" i="7"/>
  <c r="KO40" i="7"/>
  <c r="KO41" i="7"/>
  <c r="KO42" i="7"/>
  <c r="KO43" i="7"/>
  <c r="KO44" i="7"/>
  <c r="KO4" i="7"/>
  <c r="KO5" i="7"/>
  <c r="KO11" i="7"/>
  <c r="KO7" i="7"/>
  <c r="KO8" i="7"/>
  <c r="KO6" i="7"/>
  <c r="KO15" i="7"/>
  <c r="KO19" i="7"/>
  <c r="KO9" i="7"/>
  <c r="KO13" i="7"/>
  <c r="KO12" i="7"/>
  <c r="KO10" i="7"/>
  <c r="KO14" i="7"/>
  <c r="KO17" i="7"/>
  <c r="KO18" i="7"/>
  <c r="KO21" i="7"/>
  <c r="KO22" i="7"/>
  <c r="KO16" i="7"/>
  <c r="KO23" i="7"/>
  <c r="KO25" i="7"/>
  <c r="KO20" i="7"/>
  <c r="KO26" i="7"/>
  <c r="KO24" i="7"/>
  <c r="KO28" i="7"/>
  <c r="KO31" i="7"/>
  <c r="KO27" i="7"/>
  <c r="KO29" i="7"/>
  <c r="KO34" i="7"/>
  <c r="KO35" i="7"/>
  <c r="KO30" i="7"/>
  <c r="KO33" i="7"/>
  <c r="KO36" i="7"/>
  <c r="KO32" i="7"/>
  <c r="KP1" i="7"/>
  <c r="KO3" i="7"/>
  <c r="KP37" i="7" l="1"/>
  <c r="KP38" i="7"/>
  <c r="KP39" i="7"/>
  <c r="KP40" i="7"/>
  <c r="KP41" i="7"/>
  <c r="KP42" i="7"/>
  <c r="KP43" i="7"/>
  <c r="KP44" i="7"/>
  <c r="KP4" i="7"/>
  <c r="KP5" i="7"/>
  <c r="KP6" i="7"/>
  <c r="KP10" i="7"/>
  <c r="KP9" i="7"/>
  <c r="KP7" i="7"/>
  <c r="KP8" i="7"/>
  <c r="KP11" i="7"/>
  <c r="KP12" i="7"/>
  <c r="KP18" i="7"/>
  <c r="KP13" i="7"/>
  <c r="KP15" i="7"/>
  <c r="KP14" i="7"/>
  <c r="KP17" i="7"/>
  <c r="KP16" i="7"/>
  <c r="KP19" i="7"/>
  <c r="KP21" i="7"/>
  <c r="KP22" i="7"/>
  <c r="KP23" i="7"/>
  <c r="KP24" i="7"/>
  <c r="KP25" i="7"/>
  <c r="KP20" i="7"/>
  <c r="KP28" i="7"/>
  <c r="KP30" i="7"/>
  <c r="KP27" i="7"/>
  <c r="KP31" i="7"/>
  <c r="KP33" i="7"/>
  <c r="KP29" i="7"/>
  <c r="KP34" i="7"/>
  <c r="KP26" i="7"/>
  <c r="KP35" i="7"/>
  <c r="KP36" i="7"/>
  <c r="KP32" i="7"/>
  <c r="KQ1" i="7"/>
  <c r="KP3" i="7"/>
  <c r="KQ37" i="7" l="1"/>
  <c r="KQ38" i="7"/>
  <c r="KQ39" i="7"/>
  <c r="KQ40" i="7"/>
  <c r="KQ41" i="7"/>
  <c r="KQ42" i="7"/>
  <c r="KQ43" i="7"/>
  <c r="KQ44" i="7"/>
  <c r="KQ5" i="7"/>
  <c r="KQ4" i="7"/>
  <c r="KQ6" i="7"/>
  <c r="KQ9" i="7"/>
  <c r="KQ12" i="7"/>
  <c r="KQ7" i="7"/>
  <c r="KQ8" i="7"/>
  <c r="KQ10" i="7"/>
  <c r="KQ13" i="7"/>
  <c r="KQ17" i="7"/>
  <c r="KQ15" i="7"/>
  <c r="KQ14" i="7"/>
  <c r="KQ18" i="7"/>
  <c r="KQ16" i="7"/>
  <c r="KQ11" i="7"/>
  <c r="KQ19" i="7"/>
  <c r="KQ21" i="7"/>
  <c r="KQ22" i="7"/>
  <c r="KQ23" i="7"/>
  <c r="KQ24" i="7"/>
  <c r="KQ20" i="7"/>
  <c r="KQ29" i="7"/>
  <c r="KQ28" i="7"/>
  <c r="KQ26" i="7"/>
  <c r="KQ36" i="7"/>
  <c r="KQ32" i="7"/>
  <c r="KQ33" i="7"/>
  <c r="KQ25" i="7"/>
  <c r="KQ34" i="7"/>
  <c r="KQ35" i="7"/>
  <c r="KQ27" i="7"/>
  <c r="KQ30" i="7"/>
  <c r="KQ31" i="7"/>
  <c r="KR1" i="7"/>
  <c r="KQ3" i="7"/>
  <c r="KR37" i="7" l="1"/>
  <c r="KR38" i="7"/>
  <c r="KR39" i="7"/>
  <c r="KR40" i="7"/>
  <c r="KR41" i="7"/>
  <c r="KR42" i="7"/>
  <c r="KR43" i="7"/>
  <c r="KR44" i="7"/>
  <c r="KR4" i="7"/>
  <c r="KR5" i="7"/>
  <c r="KR7" i="7"/>
  <c r="KR6" i="7"/>
  <c r="KR8" i="7"/>
  <c r="KR9" i="7"/>
  <c r="KR10" i="7"/>
  <c r="KR16" i="7"/>
  <c r="KR11" i="7"/>
  <c r="KR13" i="7"/>
  <c r="KR15" i="7"/>
  <c r="KR17" i="7"/>
  <c r="KR14" i="7"/>
  <c r="KR18" i="7"/>
  <c r="KR12" i="7"/>
  <c r="KR19" i="7"/>
  <c r="KR21" i="7"/>
  <c r="KR20" i="7"/>
  <c r="KR22" i="7"/>
  <c r="KR29" i="7"/>
  <c r="KR24" i="7"/>
  <c r="KR23" i="7"/>
  <c r="KR25" i="7"/>
  <c r="KR26" i="7"/>
  <c r="KR27" i="7"/>
  <c r="KR30" i="7"/>
  <c r="KR35" i="7"/>
  <c r="KR28" i="7"/>
  <c r="KR32" i="7"/>
  <c r="KR33" i="7"/>
  <c r="KR34" i="7"/>
  <c r="KR31" i="7"/>
  <c r="KR36" i="7"/>
  <c r="KS1" i="7"/>
  <c r="KR3" i="7"/>
  <c r="KS37" i="7" l="1"/>
  <c r="KS38" i="7"/>
  <c r="KS39" i="7"/>
  <c r="KS40" i="7"/>
  <c r="KS41" i="7"/>
  <c r="KS42" i="7"/>
  <c r="KS43" i="7"/>
  <c r="KS44" i="7"/>
  <c r="KS4" i="7"/>
  <c r="KS6" i="7"/>
  <c r="KS5" i="7"/>
  <c r="KS7" i="7"/>
  <c r="KS10" i="7"/>
  <c r="KS8" i="7"/>
  <c r="KS9" i="7"/>
  <c r="KS12" i="7"/>
  <c r="KS13" i="7"/>
  <c r="KS11" i="7"/>
  <c r="KS15" i="7"/>
  <c r="KS17" i="7"/>
  <c r="KS16" i="7"/>
  <c r="KS14" i="7"/>
  <c r="KS19" i="7"/>
  <c r="KS20" i="7"/>
  <c r="KS18" i="7"/>
  <c r="KS26" i="7"/>
  <c r="KS21" i="7"/>
  <c r="KS22" i="7"/>
  <c r="KS29" i="7"/>
  <c r="KS27" i="7"/>
  <c r="KS24" i="7"/>
  <c r="KS23" i="7"/>
  <c r="KS25" i="7"/>
  <c r="KS34" i="7"/>
  <c r="KS30" i="7"/>
  <c r="KS35" i="7"/>
  <c r="KS28" i="7"/>
  <c r="KS36" i="7"/>
  <c r="KS31" i="7"/>
  <c r="KS32" i="7"/>
  <c r="KS33" i="7"/>
  <c r="KT1" i="7"/>
  <c r="KS3" i="7"/>
  <c r="KT37" i="7" l="1"/>
  <c r="KT38" i="7"/>
  <c r="KT39" i="7"/>
  <c r="KT40" i="7"/>
  <c r="KT41" i="7"/>
  <c r="KT42" i="7"/>
  <c r="KT43" i="7"/>
  <c r="KT44" i="7"/>
  <c r="KT4" i="7"/>
  <c r="KT6" i="7"/>
  <c r="KT5" i="7"/>
  <c r="KT7" i="7"/>
  <c r="KT8" i="7"/>
  <c r="KT11" i="7"/>
  <c r="KT9" i="7"/>
  <c r="KT12" i="7"/>
  <c r="KT13" i="7"/>
  <c r="KT10" i="7"/>
  <c r="KT15" i="7"/>
  <c r="KT17" i="7"/>
  <c r="KT14" i="7"/>
  <c r="KT16" i="7"/>
  <c r="KT18" i="7"/>
  <c r="KT20" i="7"/>
  <c r="KT23" i="7"/>
  <c r="KT24" i="7"/>
  <c r="KT19" i="7"/>
  <c r="KT25" i="7"/>
  <c r="KT26" i="7"/>
  <c r="KT21" i="7"/>
  <c r="KT28" i="7"/>
  <c r="KT27" i="7"/>
  <c r="KT29" i="7"/>
  <c r="KT33" i="7"/>
  <c r="KT34" i="7"/>
  <c r="KT30" i="7"/>
  <c r="KT35" i="7"/>
  <c r="KT36" i="7"/>
  <c r="KT22" i="7"/>
  <c r="KT31" i="7"/>
  <c r="KT32" i="7"/>
  <c r="KU1" i="7"/>
  <c r="KT3" i="7"/>
  <c r="KU37" i="7" l="1"/>
  <c r="KU38" i="7"/>
  <c r="KU39" i="7"/>
  <c r="KU40" i="7"/>
  <c r="KU41" i="7"/>
  <c r="KU42" i="7"/>
  <c r="KU43" i="7"/>
  <c r="KU44" i="7"/>
  <c r="KU4" i="7"/>
  <c r="KU6" i="7"/>
  <c r="KU8" i="7"/>
  <c r="KU5" i="7"/>
  <c r="KU7" i="7"/>
  <c r="KU9" i="7"/>
  <c r="KU11" i="7"/>
  <c r="KU13" i="7"/>
  <c r="KU10" i="7"/>
  <c r="KU12" i="7"/>
  <c r="KU14" i="7"/>
  <c r="KU16" i="7"/>
  <c r="KU15" i="7"/>
  <c r="KU17" i="7"/>
  <c r="KU18" i="7"/>
  <c r="KU22" i="7"/>
  <c r="KU20" i="7"/>
  <c r="KU23" i="7"/>
  <c r="KU24" i="7"/>
  <c r="KU19" i="7"/>
  <c r="KU25" i="7"/>
  <c r="KU26" i="7"/>
  <c r="KU27" i="7"/>
  <c r="KU29" i="7"/>
  <c r="KU28" i="7"/>
  <c r="KU21" i="7"/>
  <c r="KU32" i="7"/>
  <c r="KU33" i="7"/>
  <c r="KU34" i="7"/>
  <c r="KU30" i="7"/>
  <c r="KU35" i="7"/>
  <c r="KU36" i="7"/>
  <c r="KU31" i="7"/>
  <c r="KV1" i="7"/>
  <c r="KU3" i="7"/>
  <c r="KV37" i="7" l="1"/>
  <c r="KV38" i="7"/>
  <c r="KV39" i="7"/>
  <c r="KV40" i="7"/>
  <c r="KV41" i="7"/>
  <c r="KV42" i="7"/>
  <c r="KV43" i="7"/>
  <c r="KV44" i="7"/>
  <c r="KV5" i="7"/>
  <c r="KV4" i="7"/>
  <c r="KV6" i="7"/>
  <c r="KV8" i="7"/>
  <c r="KV7" i="7"/>
  <c r="KV9" i="7"/>
  <c r="KV15" i="7"/>
  <c r="KV10" i="7"/>
  <c r="KV14" i="7"/>
  <c r="KV11" i="7"/>
  <c r="KV13" i="7"/>
  <c r="KV12" i="7"/>
  <c r="KV19" i="7"/>
  <c r="KV17" i="7"/>
  <c r="KV21" i="7"/>
  <c r="KV16" i="7"/>
  <c r="KV18" i="7"/>
  <c r="KV22" i="7"/>
  <c r="KV20" i="7"/>
  <c r="KV23" i="7"/>
  <c r="KV24" i="7"/>
  <c r="KV25" i="7"/>
  <c r="KV26" i="7"/>
  <c r="KV27" i="7"/>
  <c r="KV29" i="7"/>
  <c r="KV28" i="7"/>
  <c r="KV32" i="7"/>
  <c r="KV33" i="7"/>
  <c r="KV34" i="7"/>
  <c r="KV30" i="7"/>
  <c r="KV35" i="7"/>
  <c r="KV36" i="7"/>
  <c r="KV31" i="7"/>
  <c r="KW1" i="7"/>
  <c r="KV3" i="7"/>
  <c r="KW37" i="7" l="1"/>
  <c r="KW38" i="7"/>
  <c r="KW39" i="7"/>
  <c r="KW40" i="7"/>
  <c r="KW41" i="7"/>
  <c r="KW42" i="7"/>
  <c r="KW43" i="7"/>
  <c r="KW44" i="7"/>
  <c r="KW4" i="7"/>
  <c r="KW5" i="7"/>
  <c r="KW7" i="7"/>
  <c r="KW9" i="7"/>
  <c r="KW14" i="7"/>
  <c r="KW10" i="7"/>
  <c r="KW6" i="7"/>
  <c r="KW11" i="7"/>
  <c r="KW8" i="7"/>
  <c r="KW16" i="7"/>
  <c r="KW13" i="7"/>
  <c r="KW12" i="7"/>
  <c r="KW15" i="7"/>
  <c r="KW17" i="7"/>
  <c r="KW18" i="7"/>
  <c r="KW20" i="7"/>
  <c r="KW21" i="7"/>
  <c r="KW19" i="7"/>
  <c r="KW23" i="7"/>
  <c r="KW24" i="7"/>
  <c r="KW25" i="7"/>
  <c r="KW27" i="7"/>
  <c r="KW29" i="7"/>
  <c r="KW22" i="7"/>
  <c r="KW31" i="7"/>
  <c r="KW32" i="7"/>
  <c r="KW28" i="7"/>
  <c r="KW33" i="7"/>
  <c r="KW34" i="7"/>
  <c r="KW30" i="7"/>
  <c r="KW35" i="7"/>
  <c r="KW26" i="7"/>
  <c r="KW36" i="7"/>
  <c r="KX1" i="7"/>
  <c r="KW3" i="7"/>
  <c r="KX37" i="7" l="1"/>
  <c r="KX38" i="7"/>
  <c r="KX39" i="7"/>
  <c r="KX40" i="7"/>
  <c r="KX41" i="7"/>
  <c r="KX42" i="7"/>
  <c r="KX43" i="7"/>
  <c r="KX44" i="7"/>
  <c r="KX4" i="7"/>
  <c r="KX6" i="7"/>
  <c r="KX7" i="7"/>
  <c r="KX8" i="7"/>
  <c r="KX5" i="7"/>
  <c r="KX11" i="7"/>
  <c r="KX13" i="7"/>
  <c r="KX10" i="7"/>
  <c r="KX9" i="7"/>
  <c r="KX16" i="7"/>
  <c r="KX14" i="7"/>
  <c r="KX15" i="7"/>
  <c r="KX20" i="7"/>
  <c r="KX12" i="7"/>
  <c r="KX19" i="7"/>
  <c r="KX18" i="7"/>
  <c r="KX23" i="7"/>
  <c r="KX24" i="7"/>
  <c r="KX27" i="7"/>
  <c r="KX22" i="7"/>
  <c r="KX17" i="7"/>
  <c r="KX21" i="7"/>
  <c r="KX26" i="7"/>
  <c r="KX31" i="7"/>
  <c r="KX32" i="7"/>
  <c r="KX28" i="7"/>
  <c r="KX33" i="7"/>
  <c r="KX34" i="7"/>
  <c r="KX29" i="7"/>
  <c r="KX25" i="7"/>
  <c r="KX35" i="7"/>
  <c r="KX36" i="7"/>
  <c r="KX30" i="7"/>
  <c r="KY1" i="7"/>
  <c r="KX3" i="7"/>
  <c r="KY37" i="7" l="1"/>
  <c r="KY38" i="7"/>
  <c r="KY39" i="7"/>
  <c r="KY40" i="7"/>
  <c r="KY41" i="7"/>
  <c r="KY42" i="7"/>
  <c r="KY43" i="7"/>
  <c r="KY44" i="7"/>
  <c r="KY5" i="7"/>
  <c r="KY6" i="7"/>
  <c r="KY7" i="7"/>
  <c r="KY4" i="7"/>
  <c r="KY8" i="7"/>
  <c r="KY14" i="7"/>
  <c r="KY11" i="7"/>
  <c r="KY10" i="7"/>
  <c r="KY12" i="7"/>
  <c r="KY9" i="7"/>
  <c r="KY16" i="7"/>
  <c r="KY15" i="7"/>
  <c r="KY13" i="7"/>
  <c r="KY18" i="7"/>
  <c r="KY17" i="7"/>
  <c r="KY20" i="7"/>
  <c r="KY19" i="7"/>
  <c r="KY22" i="7"/>
  <c r="KY21" i="7"/>
  <c r="KY26" i="7"/>
  <c r="KY28" i="7"/>
  <c r="KY27" i="7"/>
  <c r="KY23" i="7"/>
  <c r="KY25" i="7"/>
  <c r="KY31" i="7"/>
  <c r="KY24" i="7"/>
  <c r="KY32" i="7"/>
  <c r="KY33" i="7"/>
  <c r="KY36" i="7"/>
  <c r="KY34" i="7"/>
  <c r="KY35" i="7"/>
  <c r="KY29" i="7"/>
  <c r="KY30" i="7"/>
  <c r="KZ1" i="7"/>
  <c r="KY3" i="7"/>
  <c r="KZ37" i="7" l="1"/>
  <c r="KZ38" i="7"/>
  <c r="KZ39" i="7"/>
  <c r="KZ40" i="7"/>
  <c r="KZ41" i="7"/>
  <c r="KZ42" i="7"/>
  <c r="KZ43" i="7"/>
  <c r="KZ44" i="7"/>
  <c r="KZ5" i="7"/>
  <c r="KZ6" i="7"/>
  <c r="KZ4" i="7"/>
  <c r="KZ12" i="7"/>
  <c r="KZ7" i="7"/>
  <c r="KZ9" i="7"/>
  <c r="KZ8" i="7"/>
  <c r="KZ14" i="7"/>
  <c r="KZ13" i="7"/>
  <c r="KZ16" i="7"/>
  <c r="KZ10" i="7"/>
  <c r="KZ11" i="7"/>
  <c r="KZ15" i="7"/>
  <c r="KZ18" i="7"/>
  <c r="KZ17" i="7"/>
  <c r="KZ22" i="7"/>
  <c r="KZ20" i="7"/>
  <c r="KZ19" i="7"/>
  <c r="KZ21" i="7"/>
  <c r="KZ26" i="7"/>
  <c r="KZ25" i="7"/>
  <c r="KZ28" i="7"/>
  <c r="KZ29" i="7"/>
  <c r="KZ27" i="7"/>
  <c r="KZ31" i="7"/>
  <c r="KZ24" i="7"/>
  <c r="KZ32" i="7"/>
  <c r="KZ30" i="7"/>
  <c r="KZ35" i="7"/>
  <c r="KZ36" i="7"/>
  <c r="KZ33" i="7"/>
  <c r="KZ23" i="7"/>
  <c r="KZ34" i="7"/>
  <c r="LA1" i="7"/>
  <c r="KZ3" i="7"/>
  <c r="LA37" i="7" l="1"/>
  <c r="LA38" i="7"/>
  <c r="LA39" i="7"/>
  <c r="LA40" i="7"/>
  <c r="LA41" i="7"/>
  <c r="LA42" i="7"/>
  <c r="LA43" i="7"/>
  <c r="LA44" i="7"/>
  <c r="LA4" i="7"/>
  <c r="LA5" i="7"/>
  <c r="LA7" i="7"/>
  <c r="LA9" i="7"/>
  <c r="LA11" i="7"/>
  <c r="LA6" i="7"/>
  <c r="LA10" i="7"/>
  <c r="LA8" i="7"/>
  <c r="LA19" i="7"/>
  <c r="LA12" i="7"/>
  <c r="LA16" i="7"/>
  <c r="LA14" i="7"/>
  <c r="LA15" i="7"/>
  <c r="LA13" i="7"/>
  <c r="LA18" i="7"/>
  <c r="LA17" i="7"/>
  <c r="LA21" i="7"/>
  <c r="LA22" i="7"/>
  <c r="LA20" i="7"/>
  <c r="LA25" i="7"/>
  <c r="LA26" i="7"/>
  <c r="LA23" i="7"/>
  <c r="LA28" i="7"/>
  <c r="LA31" i="7"/>
  <c r="LA24" i="7"/>
  <c r="LA29" i="7"/>
  <c r="LA27" i="7"/>
  <c r="LA34" i="7"/>
  <c r="LA30" i="7"/>
  <c r="LA35" i="7"/>
  <c r="LA32" i="7"/>
  <c r="LA33" i="7"/>
  <c r="LA36" i="7"/>
  <c r="LB1" i="7"/>
  <c r="LA3" i="7"/>
  <c r="LB37" i="7" l="1"/>
  <c r="LB38" i="7"/>
  <c r="LB39" i="7"/>
  <c r="LB40" i="7"/>
  <c r="LB41" i="7"/>
  <c r="LB42" i="7"/>
  <c r="LB43" i="7"/>
  <c r="LB44" i="7"/>
  <c r="LB4" i="7"/>
  <c r="LB5" i="7"/>
  <c r="LB10" i="7"/>
  <c r="LB8" i="7"/>
  <c r="LB11" i="7"/>
  <c r="LB9" i="7"/>
  <c r="LB7" i="7"/>
  <c r="LB15" i="7"/>
  <c r="LB18" i="7"/>
  <c r="LB6" i="7"/>
  <c r="LB12" i="7"/>
  <c r="LB13" i="7"/>
  <c r="LB16" i="7"/>
  <c r="LB21" i="7"/>
  <c r="LB23" i="7"/>
  <c r="LB14" i="7"/>
  <c r="LB20" i="7"/>
  <c r="LB17" i="7"/>
  <c r="LB24" i="7"/>
  <c r="LB22" i="7"/>
  <c r="LB25" i="7"/>
  <c r="LB19" i="7"/>
  <c r="LB26" i="7"/>
  <c r="LB28" i="7"/>
  <c r="LB30" i="7"/>
  <c r="LB27" i="7"/>
  <c r="LB29" i="7"/>
  <c r="LB31" i="7"/>
  <c r="LB33" i="7"/>
  <c r="LB34" i="7"/>
  <c r="LB32" i="7"/>
  <c r="LB35" i="7"/>
  <c r="LB36" i="7"/>
  <c r="LC1" i="7"/>
  <c r="LB3" i="7"/>
  <c r="LC37" i="7" l="1"/>
  <c r="LC38" i="7"/>
  <c r="LC39" i="7"/>
  <c r="LC40" i="7"/>
  <c r="LC41" i="7"/>
  <c r="LC42" i="7"/>
  <c r="LC43" i="7"/>
  <c r="LC44" i="7"/>
  <c r="LC5" i="7"/>
  <c r="LC4" i="7"/>
  <c r="LC7" i="7"/>
  <c r="LC6" i="7"/>
  <c r="LC11" i="7"/>
  <c r="LC9" i="7"/>
  <c r="LC8" i="7"/>
  <c r="LC17" i="7"/>
  <c r="LC10" i="7"/>
  <c r="LC12" i="7"/>
  <c r="LC13" i="7"/>
  <c r="LC14" i="7"/>
  <c r="LC16" i="7"/>
  <c r="LC15" i="7"/>
  <c r="LC18" i="7"/>
  <c r="LC19" i="7"/>
  <c r="LC21" i="7"/>
  <c r="LC22" i="7"/>
  <c r="LC20" i="7"/>
  <c r="LC23" i="7"/>
  <c r="LC24" i="7"/>
  <c r="LC25" i="7"/>
  <c r="LC26" i="7"/>
  <c r="LC28" i="7"/>
  <c r="LC27" i="7"/>
  <c r="LC36" i="7"/>
  <c r="LC29" i="7"/>
  <c r="LC31" i="7"/>
  <c r="LC32" i="7"/>
  <c r="LC33" i="7"/>
  <c r="LC30" i="7"/>
  <c r="LC35" i="7"/>
  <c r="LC34" i="7"/>
  <c r="LD1" i="7"/>
  <c r="LC3" i="7"/>
  <c r="LD37" i="7" l="1"/>
  <c r="LD38" i="7"/>
  <c r="LD39" i="7"/>
  <c r="LD40" i="7"/>
  <c r="LD41" i="7"/>
  <c r="LD42" i="7"/>
  <c r="LD43" i="7"/>
  <c r="LD44" i="7"/>
  <c r="LD4" i="7"/>
  <c r="LD5" i="7"/>
  <c r="LD7" i="7"/>
  <c r="LD9" i="7"/>
  <c r="LD6" i="7"/>
  <c r="LD8" i="7"/>
  <c r="LD12" i="7"/>
  <c r="LD10" i="7"/>
  <c r="LD13" i="7"/>
  <c r="LD16" i="7"/>
  <c r="LD15" i="7"/>
  <c r="LD14" i="7"/>
  <c r="LD11" i="7"/>
  <c r="LD17" i="7"/>
  <c r="LD18" i="7"/>
  <c r="LD19" i="7"/>
  <c r="LD21" i="7"/>
  <c r="LD23" i="7"/>
  <c r="LD29" i="7"/>
  <c r="LD25" i="7"/>
  <c r="LD20" i="7"/>
  <c r="LD26" i="7"/>
  <c r="LD28" i="7"/>
  <c r="LD24" i="7"/>
  <c r="LD22" i="7"/>
  <c r="LD35" i="7"/>
  <c r="LD27" i="7"/>
  <c r="LD32" i="7"/>
  <c r="LD33" i="7"/>
  <c r="LD31" i="7"/>
  <c r="LD34" i="7"/>
  <c r="LD30" i="7"/>
  <c r="LD36" i="7"/>
  <c r="LE1" i="7"/>
  <c r="LD3" i="7"/>
  <c r="LE37" i="7" l="1"/>
  <c r="LE38" i="7"/>
  <c r="LE39" i="7"/>
  <c r="LE40" i="7"/>
  <c r="LE41" i="7"/>
  <c r="LE42" i="7"/>
  <c r="LE43" i="7"/>
  <c r="LE44" i="7"/>
  <c r="LE4" i="7"/>
  <c r="LE5" i="7"/>
  <c r="LE6" i="7"/>
  <c r="LE7" i="7"/>
  <c r="LE8" i="7"/>
  <c r="LE9" i="7"/>
  <c r="LE10" i="7"/>
  <c r="LE12" i="7"/>
  <c r="LE15" i="7"/>
  <c r="LE14" i="7"/>
  <c r="LE11" i="7"/>
  <c r="LE17" i="7"/>
  <c r="LE13" i="7"/>
  <c r="LE16" i="7"/>
  <c r="LE18" i="7"/>
  <c r="LE19" i="7"/>
  <c r="LE20" i="7"/>
  <c r="LE29" i="7"/>
  <c r="LE21" i="7"/>
  <c r="LE23" i="7"/>
  <c r="LE25" i="7"/>
  <c r="LE26" i="7"/>
  <c r="LE24" i="7"/>
  <c r="LE30" i="7"/>
  <c r="LE34" i="7"/>
  <c r="LE35" i="7"/>
  <c r="LE36" i="7"/>
  <c r="LE27" i="7"/>
  <c r="LE28" i="7"/>
  <c r="LE22" i="7"/>
  <c r="LE32" i="7"/>
  <c r="LE33" i="7"/>
  <c r="LE31" i="7"/>
  <c r="LF1" i="7"/>
  <c r="LE3" i="7"/>
  <c r="LF37" i="7" l="1"/>
  <c r="LF38" i="7"/>
  <c r="LF39" i="7"/>
  <c r="LF40" i="7"/>
  <c r="LF41" i="7"/>
  <c r="LF42" i="7"/>
  <c r="LF43" i="7"/>
  <c r="LF44" i="7"/>
  <c r="LF4" i="7"/>
  <c r="LF5" i="7"/>
  <c r="LF6" i="7"/>
  <c r="LF7" i="7"/>
  <c r="LF8" i="7"/>
  <c r="LF10" i="7"/>
  <c r="LF13" i="7"/>
  <c r="LF9" i="7"/>
  <c r="LF12" i="7"/>
  <c r="LF15" i="7"/>
  <c r="LF14" i="7"/>
  <c r="LF17" i="7"/>
  <c r="LF16" i="7"/>
  <c r="LF19" i="7"/>
  <c r="LF20" i="7"/>
  <c r="LF22" i="7"/>
  <c r="LF24" i="7"/>
  <c r="LF25" i="7"/>
  <c r="LF11" i="7"/>
  <c r="LF18" i="7"/>
  <c r="LF28" i="7"/>
  <c r="LF21" i="7"/>
  <c r="LF27" i="7"/>
  <c r="LF29" i="7"/>
  <c r="LF23" i="7"/>
  <c r="LF26" i="7"/>
  <c r="LF33" i="7"/>
  <c r="LF30" i="7"/>
  <c r="LF34" i="7"/>
  <c r="LF35" i="7"/>
  <c r="LF36" i="7"/>
  <c r="LF31" i="7"/>
  <c r="LF32" i="7"/>
  <c r="LG1" i="7"/>
  <c r="LF3" i="7"/>
  <c r="LG37" i="7" l="1"/>
  <c r="LG38" i="7"/>
  <c r="LG39" i="7"/>
  <c r="LG40" i="7"/>
  <c r="LG41" i="7"/>
  <c r="LG42" i="7"/>
  <c r="LG43" i="7"/>
  <c r="LG44" i="7"/>
  <c r="LG4" i="7"/>
  <c r="LG6" i="7"/>
  <c r="LG7" i="7"/>
  <c r="LG8" i="7"/>
  <c r="LG9" i="7"/>
  <c r="LG11" i="7"/>
  <c r="LG5" i="7"/>
  <c r="LG12" i="7"/>
  <c r="LG13" i="7"/>
  <c r="LG10" i="7"/>
  <c r="LG15" i="7"/>
  <c r="LG14" i="7"/>
  <c r="LG17" i="7"/>
  <c r="LG16" i="7"/>
  <c r="LG18" i="7"/>
  <c r="LG19" i="7"/>
  <c r="LG22" i="7"/>
  <c r="LG23" i="7"/>
  <c r="LG24" i="7"/>
  <c r="LG25" i="7"/>
  <c r="LG27" i="7"/>
  <c r="LG21" i="7"/>
  <c r="LG29" i="7"/>
  <c r="LG20" i="7"/>
  <c r="LG32" i="7"/>
  <c r="LG26" i="7"/>
  <c r="LG33" i="7"/>
  <c r="LG30" i="7"/>
  <c r="LG34" i="7"/>
  <c r="LG35" i="7"/>
  <c r="LG36" i="7"/>
  <c r="LG31" i="7"/>
  <c r="LG28" i="7"/>
  <c r="LH1" i="7"/>
  <c r="LG3" i="7"/>
  <c r="LH37" i="7" l="1"/>
  <c r="LH38" i="7"/>
  <c r="LH39" i="7"/>
  <c r="LH40" i="7"/>
  <c r="LH41" i="7"/>
  <c r="LH42" i="7"/>
  <c r="LH43" i="7"/>
  <c r="LH44" i="7"/>
  <c r="LH5" i="7"/>
  <c r="LH4" i="7"/>
  <c r="LH8" i="7"/>
  <c r="LH6" i="7"/>
  <c r="LH15" i="7"/>
  <c r="LH9" i="7"/>
  <c r="LH10" i="7"/>
  <c r="LH12" i="7"/>
  <c r="LH11" i="7"/>
  <c r="LH7" i="7"/>
  <c r="LH13" i="7"/>
  <c r="LH16" i="7"/>
  <c r="LH17" i="7"/>
  <c r="LH14" i="7"/>
  <c r="LH18" i="7"/>
  <c r="LH21" i="7"/>
  <c r="LH22" i="7"/>
  <c r="LH23" i="7"/>
  <c r="LH24" i="7"/>
  <c r="LH25" i="7"/>
  <c r="LH26" i="7"/>
  <c r="LH19" i="7"/>
  <c r="LH27" i="7"/>
  <c r="LH29" i="7"/>
  <c r="LH20" i="7"/>
  <c r="LH28" i="7"/>
  <c r="LH32" i="7"/>
  <c r="LH33" i="7"/>
  <c r="LH30" i="7"/>
  <c r="LH34" i="7"/>
  <c r="LH35" i="7"/>
  <c r="LH36" i="7"/>
  <c r="LH31" i="7"/>
  <c r="LI1" i="7"/>
  <c r="LH3" i="7"/>
  <c r="LI37" i="7" l="1"/>
  <c r="LI38" i="7"/>
  <c r="LI39" i="7"/>
  <c r="LI40" i="7"/>
  <c r="LI41" i="7"/>
  <c r="LI42" i="7"/>
  <c r="LI43" i="7"/>
  <c r="LI44" i="7"/>
  <c r="LI4" i="7"/>
  <c r="LI5" i="7"/>
  <c r="LI7" i="7"/>
  <c r="LI9" i="7"/>
  <c r="LI8" i="7"/>
  <c r="LI6" i="7"/>
  <c r="LI14" i="7"/>
  <c r="LI10" i="7"/>
  <c r="LI11" i="7"/>
  <c r="LI12" i="7"/>
  <c r="LI15" i="7"/>
  <c r="LI13" i="7"/>
  <c r="LI16" i="7"/>
  <c r="LI17" i="7"/>
  <c r="LI19" i="7"/>
  <c r="LI18" i="7"/>
  <c r="LI21" i="7"/>
  <c r="LI22" i="7"/>
  <c r="LI23" i="7"/>
  <c r="LI24" i="7"/>
  <c r="LI25" i="7"/>
  <c r="LI20" i="7"/>
  <c r="LI27" i="7"/>
  <c r="LI29" i="7"/>
  <c r="LI28" i="7"/>
  <c r="LI26" i="7"/>
  <c r="LI32" i="7"/>
  <c r="LI33" i="7"/>
  <c r="LI30" i="7"/>
  <c r="LI34" i="7"/>
  <c r="LI35" i="7"/>
  <c r="LI36" i="7"/>
  <c r="LI31" i="7"/>
  <c r="LJ1" i="7"/>
  <c r="LI3" i="7"/>
  <c r="LJ37" i="7" l="1"/>
  <c r="LJ38" i="7"/>
  <c r="LJ39" i="7"/>
  <c r="LJ40" i="7"/>
  <c r="LJ41" i="7"/>
  <c r="LJ42" i="7"/>
  <c r="LJ43" i="7"/>
  <c r="LJ44" i="7"/>
  <c r="LJ4" i="7"/>
  <c r="LJ6" i="7"/>
  <c r="LJ7" i="7"/>
  <c r="LJ8" i="7"/>
  <c r="LJ5" i="7"/>
  <c r="LJ13" i="7"/>
  <c r="LJ10" i="7"/>
  <c r="LJ9" i="7"/>
  <c r="LJ14" i="7"/>
  <c r="LJ11" i="7"/>
  <c r="LJ16" i="7"/>
  <c r="LJ12" i="7"/>
  <c r="LJ15" i="7"/>
  <c r="LJ20" i="7"/>
  <c r="LJ17" i="7"/>
  <c r="LJ18" i="7"/>
  <c r="LJ21" i="7"/>
  <c r="LJ22" i="7"/>
  <c r="LJ23" i="7"/>
  <c r="LJ24" i="7"/>
  <c r="LJ19" i="7"/>
  <c r="LJ27" i="7"/>
  <c r="LJ25" i="7"/>
  <c r="LJ29" i="7"/>
  <c r="LJ26" i="7"/>
  <c r="LJ31" i="7"/>
  <c r="LJ32" i="7"/>
  <c r="LJ33" i="7"/>
  <c r="LJ30" i="7"/>
  <c r="LJ34" i="7"/>
  <c r="LJ36" i="7"/>
  <c r="LJ28" i="7"/>
  <c r="LJ35" i="7"/>
  <c r="LK1" i="7"/>
  <c r="LJ3" i="7"/>
  <c r="LK37" i="7" l="1"/>
  <c r="LK38" i="7"/>
  <c r="LK39" i="7"/>
  <c r="LK40" i="7"/>
  <c r="LK41" i="7"/>
  <c r="LK42" i="7"/>
  <c r="LK43" i="7"/>
  <c r="LK44" i="7"/>
  <c r="LK6" i="7"/>
  <c r="LK7" i="7"/>
  <c r="LK4" i="7"/>
  <c r="LK5" i="7"/>
  <c r="LK8" i="7"/>
  <c r="LK11" i="7"/>
  <c r="LK9" i="7"/>
  <c r="LK10" i="7"/>
  <c r="LK16" i="7"/>
  <c r="LK12" i="7"/>
  <c r="LK13" i="7"/>
  <c r="LK15" i="7"/>
  <c r="LK17" i="7"/>
  <c r="LK14" i="7"/>
  <c r="LK20" i="7"/>
  <c r="LK18" i="7"/>
  <c r="LK21" i="7"/>
  <c r="LK22" i="7"/>
  <c r="LK23" i="7"/>
  <c r="LK19" i="7"/>
  <c r="LK27" i="7"/>
  <c r="LK25" i="7"/>
  <c r="LK26" i="7"/>
  <c r="LK31" i="7"/>
  <c r="LK29" i="7"/>
  <c r="LK32" i="7"/>
  <c r="LK33" i="7"/>
  <c r="LK28" i="7"/>
  <c r="LK36" i="7"/>
  <c r="LK24" i="7"/>
  <c r="LK30" i="7"/>
  <c r="LK34" i="7"/>
  <c r="LK35" i="7"/>
  <c r="LL1" i="7"/>
  <c r="LK3" i="7"/>
  <c r="LL37" i="7" l="1"/>
  <c r="LL38" i="7"/>
  <c r="LL39" i="7"/>
  <c r="LL40" i="7"/>
  <c r="LL41" i="7"/>
  <c r="LL42" i="7"/>
  <c r="LL43" i="7"/>
  <c r="LL44" i="7"/>
  <c r="LL5" i="7"/>
  <c r="LL6" i="7"/>
  <c r="LL4" i="7"/>
  <c r="LL12" i="7"/>
  <c r="LL9" i="7"/>
  <c r="LL8" i="7"/>
  <c r="LL7" i="7"/>
  <c r="LL10" i="7"/>
  <c r="LL14" i="7"/>
  <c r="LL11" i="7"/>
  <c r="LL16" i="7"/>
  <c r="LL18" i="7"/>
  <c r="LL13" i="7"/>
  <c r="LL15" i="7"/>
  <c r="LL17" i="7"/>
  <c r="LL20" i="7"/>
  <c r="LL19" i="7"/>
  <c r="LL21" i="7"/>
  <c r="LL22" i="7"/>
  <c r="LL24" i="7"/>
  <c r="LL28" i="7"/>
  <c r="LL23" i="7"/>
  <c r="LL27" i="7"/>
  <c r="LL25" i="7"/>
  <c r="LL31" i="7"/>
  <c r="LL26" i="7"/>
  <c r="LL29" i="7"/>
  <c r="LL32" i="7"/>
  <c r="LL35" i="7"/>
  <c r="LL36" i="7"/>
  <c r="LL30" i="7"/>
  <c r="LL34" i="7"/>
  <c r="LL33" i="7"/>
  <c r="LM1" i="7"/>
  <c r="LL3" i="7"/>
  <c r="LM37" i="7" l="1"/>
  <c r="LM38" i="7"/>
  <c r="LM39" i="7"/>
  <c r="LM40" i="7"/>
  <c r="LM41" i="7"/>
  <c r="LM42" i="7"/>
  <c r="LM43" i="7"/>
  <c r="LM44" i="7"/>
  <c r="LM4" i="7"/>
  <c r="LM5" i="7"/>
  <c r="LM6" i="7"/>
  <c r="LM11" i="7"/>
  <c r="LM8" i="7"/>
  <c r="LM7" i="7"/>
  <c r="LM9" i="7"/>
  <c r="LM19" i="7"/>
  <c r="LM10" i="7"/>
  <c r="LM14" i="7"/>
  <c r="LM13" i="7"/>
  <c r="LM16" i="7"/>
  <c r="LM15" i="7"/>
  <c r="LM18" i="7"/>
  <c r="LM12" i="7"/>
  <c r="LM17" i="7"/>
  <c r="LM21" i="7"/>
  <c r="LM22" i="7"/>
  <c r="LM20" i="7"/>
  <c r="LM25" i="7"/>
  <c r="LM24" i="7"/>
  <c r="LM28" i="7"/>
  <c r="LM23" i="7"/>
  <c r="LM31" i="7"/>
  <c r="LM29" i="7"/>
  <c r="LM26" i="7"/>
  <c r="LM27" i="7"/>
  <c r="LM30" i="7"/>
  <c r="LM34" i="7"/>
  <c r="LM35" i="7"/>
  <c r="LM36" i="7"/>
  <c r="LM32" i="7"/>
  <c r="LM33" i="7"/>
  <c r="LN1" i="7"/>
  <c r="LM3" i="7"/>
  <c r="LN37" i="7" l="1"/>
  <c r="LN38" i="7"/>
  <c r="LN39" i="7"/>
  <c r="LN40" i="7"/>
  <c r="LN41" i="7"/>
  <c r="LN42" i="7"/>
  <c r="LN43" i="7"/>
  <c r="LN44" i="7"/>
  <c r="LN4" i="7"/>
  <c r="LN5" i="7"/>
  <c r="LN6" i="7"/>
  <c r="LN9" i="7"/>
  <c r="LN10" i="7"/>
  <c r="LN8" i="7"/>
  <c r="LN7" i="7"/>
  <c r="LN11" i="7"/>
  <c r="LN18" i="7"/>
  <c r="LN12" i="7"/>
  <c r="LN13" i="7"/>
  <c r="LN16" i="7"/>
  <c r="LN15" i="7"/>
  <c r="LN17" i="7"/>
  <c r="LN14" i="7"/>
  <c r="LN21" i="7"/>
  <c r="LN20" i="7"/>
  <c r="LN23" i="7"/>
  <c r="LN19" i="7"/>
  <c r="LN24" i="7"/>
  <c r="LN25" i="7"/>
  <c r="LN26" i="7"/>
  <c r="LN22" i="7"/>
  <c r="LN28" i="7"/>
  <c r="LN30" i="7"/>
  <c r="LN31" i="7"/>
  <c r="LN29" i="7"/>
  <c r="LN33" i="7"/>
  <c r="LN34" i="7"/>
  <c r="LN36" i="7"/>
  <c r="LN32" i="7"/>
  <c r="LN35" i="7"/>
  <c r="LN27" i="7"/>
  <c r="LO1" i="7"/>
  <c r="LN3" i="7"/>
  <c r="LO37" i="7" l="1"/>
  <c r="LO38" i="7"/>
  <c r="LO39" i="7"/>
  <c r="LO40" i="7"/>
  <c r="LO41" i="7"/>
  <c r="LO42" i="7"/>
  <c r="LO43" i="7"/>
  <c r="LO44" i="7"/>
  <c r="LO5" i="7"/>
  <c r="LO6" i="7"/>
  <c r="LO4" i="7"/>
  <c r="LO7" i="7"/>
  <c r="LO11" i="7"/>
  <c r="LO8" i="7"/>
  <c r="LO10" i="7"/>
  <c r="LO15" i="7"/>
  <c r="LO17" i="7"/>
  <c r="LO9" i="7"/>
  <c r="LO13" i="7"/>
  <c r="LO14" i="7"/>
  <c r="LO18" i="7"/>
  <c r="LO16" i="7"/>
  <c r="LO12" i="7"/>
  <c r="LO21" i="7"/>
  <c r="LO22" i="7"/>
  <c r="LO19" i="7"/>
  <c r="LO20" i="7"/>
  <c r="LO24" i="7"/>
  <c r="LO26" i="7"/>
  <c r="LO28" i="7"/>
  <c r="LO23" i="7"/>
  <c r="LO27" i="7"/>
  <c r="LO36" i="7"/>
  <c r="LO25" i="7"/>
  <c r="LO31" i="7"/>
  <c r="LO32" i="7"/>
  <c r="LO30" i="7"/>
  <c r="LO33" i="7"/>
  <c r="LO34" i="7"/>
  <c r="LO29" i="7"/>
  <c r="LO35" i="7"/>
  <c r="LP1" i="7"/>
  <c r="LO3" i="7"/>
  <c r="LP37" i="7" l="1"/>
  <c r="LP38" i="7"/>
  <c r="LP39" i="7"/>
  <c r="LP40" i="7"/>
  <c r="LP41" i="7"/>
  <c r="LP42" i="7"/>
  <c r="LP43" i="7"/>
  <c r="LP44" i="7"/>
  <c r="LP4" i="7"/>
  <c r="LP5" i="7"/>
  <c r="LP7" i="7"/>
  <c r="LP6" i="7"/>
  <c r="LP8" i="7"/>
  <c r="LP9" i="7"/>
  <c r="LP11" i="7"/>
  <c r="LP16" i="7"/>
  <c r="LP12" i="7"/>
  <c r="LP13" i="7"/>
  <c r="LP14" i="7"/>
  <c r="LP15" i="7"/>
  <c r="LP18" i="7"/>
  <c r="LP10" i="7"/>
  <c r="LP17" i="7"/>
  <c r="LP21" i="7"/>
  <c r="LP23" i="7"/>
  <c r="LP19" i="7"/>
  <c r="LP20" i="7"/>
  <c r="LP22" i="7"/>
  <c r="LP24" i="7"/>
  <c r="LP26" i="7"/>
  <c r="LP28" i="7"/>
  <c r="LP25" i="7"/>
  <c r="LP27" i="7"/>
  <c r="LP35" i="7"/>
  <c r="LP31" i="7"/>
  <c r="LP32" i="7"/>
  <c r="LP30" i="7"/>
  <c r="LP33" i="7"/>
  <c r="LP36" i="7"/>
  <c r="LP34" i="7"/>
  <c r="LP29" i="7"/>
  <c r="LQ1" i="7"/>
  <c r="LP3" i="7"/>
  <c r="LQ37" i="7" l="1"/>
  <c r="LQ38" i="7"/>
  <c r="LQ39" i="7"/>
  <c r="LQ40" i="7"/>
  <c r="LQ41" i="7"/>
  <c r="LQ42" i="7"/>
  <c r="LQ43" i="7"/>
  <c r="LQ44" i="7"/>
  <c r="LQ4" i="7"/>
  <c r="LQ6" i="7"/>
  <c r="LQ5" i="7"/>
  <c r="LQ12" i="7"/>
  <c r="LQ9" i="7"/>
  <c r="LQ10" i="7"/>
  <c r="LQ7" i="7"/>
  <c r="LQ13" i="7"/>
  <c r="LQ8" i="7"/>
  <c r="LQ11" i="7"/>
  <c r="LQ14" i="7"/>
  <c r="LQ18" i="7"/>
  <c r="LQ16" i="7"/>
  <c r="LQ19" i="7"/>
  <c r="LQ17" i="7"/>
  <c r="LQ15" i="7"/>
  <c r="LQ21" i="7"/>
  <c r="LQ29" i="7"/>
  <c r="LQ22" i="7"/>
  <c r="LQ23" i="7"/>
  <c r="LQ20" i="7"/>
  <c r="LQ24" i="7"/>
  <c r="LQ26" i="7"/>
  <c r="LQ28" i="7"/>
  <c r="LQ25" i="7"/>
  <c r="LQ34" i="7"/>
  <c r="LQ36" i="7"/>
  <c r="LQ32" i="7"/>
  <c r="LQ31" i="7"/>
  <c r="LQ30" i="7"/>
  <c r="LQ27" i="7"/>
  <c r="LQ35" i="7"/>
  <c r="LQ33" i="7"/>
  <c r="LR1" i="7"/>
  <c r="LQ3" i="7"/>
  <c r="LR37" i="7" l="1"/>
  <c r="LR38" i="7"/>
  <c r="LR39" i="7"/>
  <c r="LR40" i="7"/>
  <c r="LR41" i="7"/>
  <c r="LR42" i="7"/>
  <c r="LR43" i="7"/>
  <c r="LR44" i="7"/>
  <c r="LR6" i="7"/>
  <c r="LR5" i="7"/>
  <c r="LR7" i="7"/>
  <c r="LR4" i="7"/>
  <c r="LR9" i="7"/>
  <c r="LR8" i="7"/>
  <c r="LR10" i="7"/>
  <c r="LR11" i="7"/>
  <c r="LR12" i="7"/>
  <c r="LR15" i="7"/>
  <c r="LR13" i="7"/>
  <c r="LR17" i="7"/>
  <c r="LR18" i="7"/>
  <c r="LR19" i="7"/>
  <c r="LR20" i="7"/>
  <c r="LR24" i="7"/>
  <c r="LR25" i="7"/>
  <c r="LR14" i="7"/>
  <c r="LR16" i="7"/>
  <c r="LR21" i="7"/>
  <c r="LR28" i="7"/>
  <c r="LR22" i="7"/>
  <c r="LR29" i="7"/>
  <c r="LR26" i="7"/>
  <c r="LR30" i="7"/>
  <c r="LR33" i="7"/>
  <c r="LR34" i="7"/>
  <c r="LR35" i="7"/>
  <c r="LR36" i="7"/>
  <c r="LR27" i="7"/>
  <c r="LR31" i="7"/>
  <c r="LR32" i="7"/>
  <c r="LR23" i="7"/>
  <c r="LS1" i="7"/>
  <c r="LR3" i="7"/>
  <c r="LS37" i="7" l="1"/>
  <c r="LS38" i="7"/>
  <c r="LS39" i="7"/>
  <c r="LS40" i="7"/>
  <c r="LS41" i="7"/>
  <c r="LS42" i="7"/>
  <c r="LS43" i="7"/>
  <c r="LS44" i="7"/>
  <c r="LS4" i="7"/>
  <c r="LS6" i="7"/>
  <c r="LS5" i="7"/>
  <c r="LS7" i="7"/>
  <c r="LS10" i="7"/>
  <c r="LS9" i="7"/>
  <c r="LS8" i="7"/>
  <c r="LS12" i="7"/>
  <c r="LS13" i="7"/>
  <c r="LS11" i="7"/>
  <c r="LS14" i="7"/>
  <c r="LS15" i="7"/>
  <c r="LS17" i="7"/>
  <c r="LS16" i="7"/>
  <c r="LS19" i="7"/>
  <c r="LS18" i="7"/>
  <c r="LS22" i="7"/>
  <c r="LS20" i="7"/>
  <c r="LS24" i="7"/>
  <c r="LS25" i="7"/>
  <c r="LS27" i="7"/>
  <c r="LS29" i="7"/>
  <c r="LS21" i="7"/>
  <c r="LS26" i="7"/>
  <c r="LS32" i="7"/>
  <c r="LS30" i="7"/>
  <c r="LS33" i="7"/>
  <c r="LS34" i="7"/>
  <c r="LS35" i="7"/>
  <c r="LS36" i="7"/>
  <c r="LS23" i="7"/>
  <c r="LS31" i="7"/>
  <c r="LS28" i="7"/>
  <c r="LT1" i="7"/>
  <c r="LS3" i="7"/>
  <c r="LT37" i="7" l="1"/>
  <c r="LT38" i="7"/>
  <c r="LT39" i="7"/>
  <c r="LT40" i="7"/>
  <c r="LT41" i="7"/>
  <c r="LT42" i="7"/>
  <c r="LT43" i="7"/>
  <c r="LT44" i="7"/>
  <c r="LT5" i="7"/>
  <c r="LT4" i="7"/>
  <c r="LT6" i="7"/>
  <c r="LT8" i="7"/>
  <c r="LT7" i="7"/>
  <c r="LT15" i="7"/>
  <c r="LT11" i="7"/>
  <c r="LT9" i="7"/>
  <c r="LT13" i="7"/>
  <c r="LT14" i="7"/>
  <c r="LT17" i="7"/>
  <c r="LT16" i="7"/>
  <c r="LT10" i="7"/>
  <c r="LT12" i="7"/>
  <c r="LT19" i="7"/>
  <c r="LT18" i="7"/>
  <c r="LT21" i="7"/>
  <c r="LT20" i="7"/>
  <c r="LT23" i="7"/>
  <c r="LT24" i="7"/>
  <c r="LT25" i="7"/>
  <c r="LT26" i="7"/>
  <c r="LT27" i="7"/>
  <c r="LT29" i="7"/>
  <c r="LT22" i="7"/>
  <c r="LT32" i="7"/>
  <c r="LT30" i="7"/>
  <c r="LT33" i="7"/>
  <c r="LT34" i="7"/>
  <c r="LT35" i="7"/>
  <c r="LT36" i="7"/>
  <c r="LT31" i="7"/>
  <c r="LT28" i="7"/>
  <c r="LU1" i="7"/>
  <c r="LT3" i="7"/>
  <c r="LU37" i="7" l="1"/>
  <c r="LU38" i="7"/>
  <c r="LU39" i="7"/>
  <c r="LU40" i="7"/>
  <c r="LU41" i="7"/>
  <c r="LU42" i="7"/>
  <c r="LU43" i="7"/>
  <c r="LU44" i="7"/>
  <c r="LU4" i="7"/>
  <c r="LU5" i="7"/>
  <c r="LU7" i="7"/>
  <c r="LU9" i="7"/>
  <c r="LU8" i="7"/>
  <c r="LU14" i="7"/>
  <c r="LU6" i="7"/>
  <c r="LU12" i="7"/>
  <c r="LU11" i="7"/>
  <c r="LU13" i="7"/>
  <c r="LU15" i="7"/>
  <c r="LU16" i="7"/>
  <c r="LU17" i="7"/>
  <c r="LU18" i="7"/>
  <c r="LU10" i="7"/>
  <c r="LU19" i="7"/>
  <c r="LU21" i="7"/>
  <c r="LU20" i="7"/>
  <c r="LU23" i="7"/>
  <c r="LU24" i="7"/>
  <c r="LU25" i="7"/>
  <c r="LU27" i="7"/>
  <c r="LU29" i="7"/>
  <c r="LU22" i="7"/>
  <c r="LU28" i="7"/>
  <c r="LU32" i="7"/>
  <c r="LU30" i="7"/>
  <c r="LU33" i="7"/>
  <c r="LU34" i="7"/>
  <c r="LU26" i="7"/>
  <c r="LU35" i="7"/>
  <c r="LU31" i="7"/>
  <c r="LU36" i="7"/>
  <c r="LV1" i="7"/>
  <c r="LU3" i="7"/>
  <c r="LV37" i="7" l="1"/>
  <c r="LV38" i="7"/>
  <c r="LV39" i="7"/>
  <c r="LV40" i="7"/>
  <c r="LV41" i="7"/>
  <c r="LV42" i="7"/>
  <c r="LV43" i="7"/>
  <c r="LV44" i="7"/>
  <c r="LV4" i="7"/>
  <c r="LV6" i="7"/>
  <c r="LV7" i="7"/>
  <c r="LV8" i="7"/>
  <c r="LV5" i="7"/>
  <c r="LV13" i="7"/>
  <c r="LV10" i="7"/>
  <c r="LV9" i="7"/>
  <c r="LV12" i="7"/>
  <c r="LV14" i="7"/>
  <c r="LV11" i="7"/>
  <c r="LV15" i="7"/>
  <c r="LV17" i="7"/>
  <c r="LV19" i="7"/>
  <c r="LV20" i="7"/>
  <c r="LV16" i="7"/>
  <c r="LV22" i="7"/>
  <c r="LV23" i="7"/>
  <c r="LV18" i="7"/>
  <c r="LV24" i="7"/>
  <c r="LV27" i="7"/>
  <c r="LV21" i="7"/>
  <c r="LV29" i="7"/>
  <c r="LV28" i="7"/>
  <c r="LV25" i="7"/>
  <c r="LV32" i="7"/>
  <c r="LV30" i="7"/>
  <c r="LV33" i="7"/>
  <c r="LV34" i="7"/>
  <c r="LV31" i="7"/>
  <c r="LV26" i="7"/>
  <c r="LV36" i="7"/>
  <c r="LV35" i="7"/>
  <c r="LW1" i="7"/>
  <c r="LV3" i="7"/>
  <c r="LW37" i="7" l="1"/>
  <c r="LW38" i="7"/>
  <c r="LW39" i="7"/>
  <c r="LW40" i="7"/>
  <c r="LW41" i="7"/>
  <c r="LW42" i="7"/>
  <c r="LW43" i="7"/>
  <c r="LW44" i="7"/>
  <c r="LW5" i="7"/>
  <c r="LW6" i="7"/>
  <c r="LW7" i="7"/>
  <c r="LW4" i="7"/>
  <c r="LW10" i="7"/>
  <c r="LW9" i="7"/>
  <c r="LW8" i="7"/>
  <c r="LW14" i="7"/>
  <c r="LW16" i="7"/>
  <c r="LW13" i="7"/>
  <c r="LW11" i="7"/>
  <c r="LW15" i="7"/>
  <c r="LW12" i="7"/>
  <c r="LW17" i="7"/>
  <c r="LW18" i="7"/>
  <c r="LW22" i="7"/>
  <c r="LW20" i="7"/>
  <c r="LW23" i="7"/>
  <c r="LW19" i="7"/>
  <c r="LW27" i="7"/>
  <c r="LW21" i="7"/>
  <c r="LW24" i="7"/>
  <c r="LW29" i="7"/>
  <c r="LW26" i="7"/>
  <c r="LW31" i="7"/>
  <c r="LW25" i="7"/>
  <c r="LW32" i="7"/>
  <c r="LW30" i="7"/>
  <c r="LW33" i="7"/>
  <c r="LW36" i="7"/>
  <c r="LW35" i="7"/>
  <c r="LW28" i="7"/>
  <c r="LW34" i="7"/>
  <c r="LX1" i="7"/>
  <c r="LW3" i="7"/>
  <c r="LX37" i="7" l="1"/>
  <c r="LX38" i="7"/>
  <c r="LX39" i="7"/>
  <c r="LX40" i="7"/>
  <c r="LX41" i="7"/>
  <c r="LX42" i="7"/>
  <c r="LX43" i="7"/>
  <c r="LX44" i="7"/>
  <c r="LX5" i="7"/>
  <c r="LX6" i="7"/>
  <c r="LX4" i="7"/>
  <c r="LX7" i="7"/>
  <c r="LX12" i="7"/>
  <c r="LX8" i="7"/>
  <c r="LX11" i="7"/>
  <c r="LX9" i="7"/>
  <c r="LX16" i="7"/>
  <c r="LX14" i="7"/>
  <c r="LX13" i="7"/>
  <c r="LX10" i="7"/>
  <c r="LX17" i="7"/>
  <c r="LX15" i="7"/>
  <c r="LX20" i="7"/>
  <c r="LX19" i="7"/>
  <c r="LX22" i="7"/>
  <c r="LX18" i="7"/>
  <c r="LX23" i="7"/>
  <c r="LX21" i="7"/>
  <c r="LX25" i="7"/>
  <c r="LX27" i="7"/>
  <c r="LX24" i="7"/>
  <c r="LX26" i="7"/>
  <c r="LX28" i="7"/>
  <c r="LX31" i="7"/>
  <c r="LX32" i="7"/>
  <c r="LX29" i="7"/>
  <c r="LX35" i="7"/>
  <c r="LX36" i="7"/>
  <c r="LX33" i="7"/>
  <c r="LX30" i="7"/>
  <c r="LX34" i="7"/>
  <c r="LY1" i="7"/>
  <c r="LX3" i="7"/>
  <c r="LY37" i="7" l="1"/>
  <c r="LY38" i="7"/>
  <c r="LY39" i="7"/>
  <c r="LY40" i="7"/>
  <c r="LY41" i="7"/>
  <c r="LY42" i="7"/>
  <c r="LY43" i="7"/>
  <c r="LY44" i="7"/>
  <c r="LY4" i="7"/>
  <c r="LY5" i="7"/>
  <c r="LY7" i="7"/>
  <c r="LY11" i="7"/>
  <c r="LY6" i="7"/>
  <c r="LY8" i="7"/>
  <c r="LY9" i="7"/>
  <c r="LY19" i="7"/>
  <c r="LY14" i="7"/>
  <c r="LY10" i="7"/>
  <c r="LY16" i="7"/>
  <c r="LY12" i="7"/>
  <c r="LY18" i="7"/>
  <c r="LY13" i="7"/>
  <c r="LY17" i="7"/>
  <c r="LY15" i="7"/>
  <c r="LY21" i="7"/>
  <c r="LY20" i="7"/>
  <c r="LY22" i="7"/>
  <c r="LY25" i="7"/>
  <c r="LY28" i="7"/>
  <c r="LY31" i="7"/>
  <c r="LY27" i="7"/>
  <c r="LY23" i="7"/>
  <c r="LY34" i="7"/>
  <c r="LY29" i="7"/>
  <c r="LY35" i="7"/>
  <c r="LY24" i="7"/>
  <c r="LY33" i="7"/>
  <c r="LY36" i="7"/>
  <c r="LY30" i="7"/>
  <c r="LY32" i="7"/>
  <c r="LY26" i="7"/>
  <c r="LZ1" i="7"/>
  <c r="LY3" i="7"/>
  <c r="LZ37" i="7" l="1"/>
  <c r="LZ38" i="7"/>
  <c r="LZ39" i="7"/>
  <c r="LZ40" i="7"/>
  <c r="LZ41" i="7"/>
  <c r="LZ42" i="7"/>
  <c r="LZ43" i="7"/>
  <c r="LZ44" i="7"/>
  <c r="LZ4" i="7"/>
  <c r="LZ5" i="7"/>
  <c r="LZ10" i="7"/>
  <c r="LZ6" i="7"/>
  <c r="LZ7" i="7"/>
  <c r="LZ9" i="7"/>
  <c r="LZ8" i="7"/>
  <c r="LZ18" i="7"/>
  <c r="LZ14" i="7"/>
  <c r="LZ13" i="7"/>
  <c r="LZ16" i="7"/>
  <c r="LZ12" i="7"/>
  <c r="LZ11" i="7"/>
  <c r="LZ15" i="7"/>
  <c r="LZ17" i="7"/>
  <c r="LZ21" i="7"/>
  <c r="LZ20" i="7"/>
  <c r="LZ23" i="7"/>
  <c r="LZ19" i="7"/>
  <c r="LZ22" i="7"/>
  <c r="LZ24" i="7"/>
  <c r="LZ25" i="7"/>
  <c r="LZ28" i="7"/>
  <c r="LZ30" i="7"/>
  <c r="LZ29" i="7"/>
  <c r="LZ31" i="7"/>
  <c r="LZ26" i="7"/>
  <c r="LZ33" i="7"/>
  <c r="LZ27" i="7"/>
  <c r="LZ34" i="7"/>
  <c r="LZ35" i="7"/>
  <c r="LZ32" i="7"/>
  <c r="LZ36" i="7"/>
  <c r="MA1" i="7"/>
  <c r="LZ3" i="7"/>
  <c r="MA37" i="7" l="1"/>
  <c r="MA38" i="7"/>
  <c r="MA39" i="7"/>
  <c r="MA40" i="7"/>
  <c r="MA41" i="7"/>
  <c r="MA42" i="7"/>
  <c r="MA43" i="7"/>
  <c r="MA44" i="7"/>
  <c r="MA5" i="7"/>
  <c r="MA9" i="7"/>
  <c r="MA7" i="7"/>
  <c r="MA4" i="7"/>
  <c r="MA8" i="7"/>
  <c r="MA6" i="7"/>
  <c r="MA17" i="7"/>
  <c r="MA11" i="7"/>
  <c r="MA14" i="7"/>
  <c r="MA16" i="7"/>
  <c r="MA15" i="7"/>
  <c r="MA10" i="7"/>
  <c r="MA18" i="7"/>
  <c r="MA13" i="7"/>
  <c r="MA12" i="7"/>
  <c r="MA21" i="7"/>
  <c r="MA20" i="7"/>
  <c r="MA22" i="7"/>
  <c r="MA19" i="7"/>
  <c r="MA24" i="7"/>
  <c r="MA26" i="7"/>
  <c r="MA25" i="7"/>
  <c r="MA28" i="7"/>
  <c r="MA23" i="7"/>
  <c r="MA36" i="7"/>
  <c r="MA31" i="7"/>
  <c r="MA30" i="7"/>
  <c r="MA32" i="7"/>
  <c r="MA33" i="7"/>
  <c r="MA27" i="7"/>
  <c r="MA29" i="7"/>
  <c r="MA34" i="7"/>
  <c r="MA35" i="7"/>
  <c r="MB1" i="7"/>
  <c r="MA3" i="7"/>
  <c r="MB37" i="7" l="1"/>
  <c r="MB38" i="7"/>
  <c r="MB39" i="7"/>
  <c r="MB40" i="7"/>
  <c r="MB41" i="7"/>
  <c r="MB42" i="7"/>
  <c r="MB43" i="7"/>
  <c r="MB44" i="7"/>
  <c r="MB4" i="7"/>
  <c r="MB5" i="7"/>
  <c r="MB7" i="7"/>
  <c r="MB8" i="7"/>
  <c r="MB11" i="7"/>
  <c r="MB10" i="7"/>
  <c r="MB6" i="7"/>
  <c r="MB15" i="7"/>
  <c r="MB16" i="7"/>
  <c r="MB9" i="7"/>
  <c r="MB12" i="7"/>
  <c r="MB13" i="7"/>
  <c r="MB14" i="7"/>
  <c r="MB18" i="7"/>
  <c r="MB17" i="7"/>
  <c r="MB21" i="7"/>
  <c r="MB19" i="7"/>
  <c r="MB20" i="7"/>
  <c r="MB22" i="7"/>
  <c r="MB26" i="7"/>
  <c r="MB25" i="7"/>
  <c r="MB28" i="7"/>
  <c r="MB27" i="7"/>
  <c r="MB23" i="7"/>
  <c r="MB35" i="7"/>
  <c r="MB31" i="7"/>
  <c r="MB24" i="7"/>
  <c r="MB30" i="7"/>
  <c r="MB32" i="7"/>
  <c r="MB33" i="7"/>
  <c r="MB34" i="7"/>
  <c r="MB36" i="7"/>
  <c r="MB29" i="7"/>
  <c r="MC1" i="7"/>
  <c r="MB3" i="7"/>
  <c r="MC37" i="7" l="1"/>
  <c r="MC38" i="7"/>
  <c r="MC39" i="7"/>
  <c r="MC40" i="7"/>
  <c r="MC41" i="7"/>
  <c r="MC42" i="7"/>
  <c r="MC43" i="7"/>
  <c r="MC44" i="7"/>
  <c r="MC4" i="7"/>
  <c r="MC5" i="7"/>
  <c r="MC6" i="7"/>
  <c r="MC7" i="7"/>
  <c r="MC8" i="7"/>
  <c r="MC11" i="7"/>
  <c r="MC10" i="7"/>
  <c r="MC13" i="7"/>
  <c r="MC12" i="7"/>
  <c r="MC9" i="7"/>
  <c r="MC15" i="7"/>
  <c r="MC14" i="7"/>
  <c r="MC18" i="7"/>
  <c r="MC17" i="7"/>
  <c r="MC16" i="7"/>
  <c r="MC19" i="7"/>
  <c r="MC20" i="7"/>
  <c r="MC29" i="7"/>
  <c r="MC23" i="7"/>
  <c r="MC21" i="7"/>
  <c r="MC26" i="7"/>
  <c r="MC25" i="7"/>
  <c r="MC28" i="7"/>
  <c r="MC22" i="7"/>
  <c r="MC24" i="7"/>
  <c r="MC27" i="7"/>
  <c r="MC34" i="7"/>
  <c r="MC36" i="7"/>
  <c r="MC31" i="7"/>
  <c r="MC30" i="7"/>
  <c r="MC32" i="7"/>
  <c r="MC33" i="7"/>
  <c r="MC35" i="7"/>
  <c r="MD1" i="7"/>
  <c r="MC3" i="7"/>
  <c r="MD37" i="7" l="1"/>
  <c r="MD38" i="7"/>
  <c r="MD39" i="7"/>
  <c r="MD40" i="7"/>
  <c r="MD41" i="7"/>
  <c r="MD42" i="7"/>
  <c r="MD43" i="7"/>
  <c r="MD44" i="7"/>
  <c r="MD5" i="7"/>
  <c r="MD7" i="7"/>
  <c r="MD8" i="7"/>
  <c r="MD4" i="7"/>
  <c r="MD12" i="7"/>
  <c r="MD9" i="7"/>
  <c r="MD10" i="7"/>
  <c r="MD6" i="7"/>
  <c r="MD13" i="7"/>
  <c r="MD15" i="7"/>
  <c r="MD11" i="7"/>
  <c r="MD14" i="7"/>
  <c r="MD18" i="7"/>
  <c r="MD17" i="7"/>
  <c r="MD24" i="7"/>
  <c r="MD25" i="7"/>
  <c r="MD19" i="7"/>
  <c r="MD28" i="7"/>
  <c r="MD23" i="7"/>
  <c r="MD21" i="7"/>
  <c r="MD26" i="7"/>
  <c r="MD16" i="7"/>
  <c r="MD20" i="7"/>
  <c r="MD29" i="7"/>
  <c r="MD33" i="7"/>
  <c r="MD34" i="7"/>
  <c r="MD35" i="7"/>
  <c r="MD36" i="7"/>
  <c r="MD22" i="7"/>
  <c r="MD31" i="7"/>
  <c r="MD30" i="7"/>
  <c r="MD32" i="7"/>
  <c r="MD27" i="7"/>
  <c r="ME1" i="7"/>
  <c r="MD3" i="7"/>
  <c r="ME3" i="7" l="1"/>
  <c r="ME37" i="7"/>
  <c r="ME38" i="7"/>
  <c r="ME39" i="7"/>
  <c r="ME40" i="7"/>
  <c r="ME41" i="7"/>
  <c r="ME42" i="7"/>
  <c r="ME43" i="7"/>
  <c r="ME44" i="7"/>
  <c r="ME4" i="7"/>
  <c r="ME6" i="7"/>
  <c r="ME5" i="7"/>
  <c r="ME7" i="7"/>
  <c r="ME8" i="7"/>
  <c r="ME9" i="7"/>
  <c r="ME10" i="7"/>
  <c r="ME11" i="7"/>
  <c r="ME12" i="7"/>
  <c r="ME14" i="7"/>
  <c r="ME16" i="7"/>
  <c r="ME18" i="7"/>
  <c r="ME13" i="7"/>
  <c r="ME19" i="7"/>
  <c r="ME15" i="7"/>
  <c r="ME17" i="7"/>
  <c r="ME20" i="7"/>
  <c r="ME24" i="7"/>
  <c r="ME25" i="7"/>
  <c r="ME27" i="7"/>
  <c r="ME29" i="7"/>
  <c r="ME26" i="7"/>
  <c r="ME21" i="7"/>
  <c r="ME28" i="7"/>
  <c r="ME30" i="7"/>
  <c r="ME32" i="7"/>
  <c r="ME33" i="7"/>
  <c r="ME34" i="7"/>
  <c r="ME35" i="7"/>
  <c r="ME36" i="7"/>
  <c r="ME23" i="7"/>
  <c r="ME31" i="7"/>
  <c r="ME22" i="7"/>
  <c r="MF1" i="7"/>
  <c r="MF37" i="7" l="1"/>
  <c r="MF38" i="7"/>
  <c r="MF39" i="7"/>
  <c r="MF40" i="7"/>
  <c r="MF41" i="7"/>
  <c r="MF42" i="7"/>
  <c r="MF43" i="7"/>
  <c r="MF44" i="7"/>
  <c r="MF5" i="7"/>
  <c r="MF4" i="7"/>
  <c r="MF6" i="7"/>
  <c r="MF10" i="7"/>
  <c r="MF15" i="7"/>
  <c r="MF7" i="7"/>
  <c r="MF8" i="7"/>
  <c r="MF9" i="7"/>
  <c r="MF13" i="7"/>
  <c r="MF11" i="7"/>
  <c r="MF12" i="7"/>
  <c r="MF17" i="7"/>
  <c r="MF16" i="7"/>
  <c r="MF14" i="7"/>
  <c r="MF19" i="7"/>
  <c r="MF21" i="7"/>
  <c r="MF20" i="7"/>
  <c r="MF24" i="7"/>
  <c r="MF25" i="7"/>
  <c r="MF26" i="7"/>
  <c r="MF22" i="7"/>
  <c r="MF23" i="7"/>
  <c r="MF29" i="7"/>
  <c r="MF27" i="7"/>
  <c r="MF28" i="7"/>
  <c r="MF30" i="7"/>
  <c r="MF32" i="7"/>
  <c r="MF18" i="7"/>
  <c r="MF33" i="7"/>
  <c r="MF34" i="7"/>
  <c r="MF35" i="7"/>
  <c r="MF36" i="7"/>
  <c r="MF31" i="7"/>
  <c r="MG1" i="7"/>
  <c r="MF3" i="7"/>
  <c r="MG37" i="7" l="1"/>
  <c r="MG38" i="7"/>
  <c r="MG39" i="7"/>
  <c r="MG40" i="7"/>
  <c r="MG41" i="7"/>
  <c r="MG42" i="7"/>
  <c r="MG43" i="7"/>
  <c r="MG44" i="7"/>
  <c r="MG4" i="7"/>
  <c r="MG5" i="7"/>
  <c r="MG7" i="7"/>
  <c r="MG6" i="7"/>
  <c r="MG14" i="7"/>
  <c r="MG8" i="7"/>
  <c r="MG9" i="7"/>
  <c r="MG11" i="7"/>
  <c r="MG12" i="7"/>
  <c r="MG13" i="7"/>
  <c r="MG10" i="7"/>
  <c r="MG15" i="7"/>
  <c r="MG17" i="7"/>
  <c r="MG16" i="7"/>
  <c r="MG19" i="7"/>
  <c r="MG18" i="7"/>
  <c r="MG21" i="7"/>
  <c r="MG23" i="7"/>
  <c r="MG24" i="7"/>
  <c r="MG25" i="7"/>
  <c r="MG22" i="7"/>
  <c r="MG27" i="7"/>
  <c r="MG29" i="7"/>
  <c r="MG26" i="7"/>
  <c r="MG20" i="7"/>
  <c r="MG28" i="7"/>
  <c r="MG30" i="7"/>
  <c r="MG32" i="7"/>
  <c r="MG33" i="7"/>
  <c r="MG34" i="7"/>
  <c r="MG35" i="7"/>
  <c r="MG31" i="7"/>
  <c r="MG36" i="7"/>
  <c r="MH1" i="7"/>
  <c r="MG3" i="7"/>
  <c r="MH37" i="7" l="1"/>
  <c r="MH38" i="7"/>
  <c r="MH39" i="7"/>
  <c r="MH40" i="7"/>
  <c r="MH41" i="7"/>
  <c r="MH42" i="7"/>
  <c r="MH43" i="7"/>
  <c r="MH44" i="7"/>
  <c r="MH4" i="7"/>
  <c r="MH6" i="7"/>
  <c r="MH7" i="7"/>
  <c r="MH8" i="7"/>
  <c r="MH5" i="7"/>
  <c r="MH13" i="7"/>
  <c r="MH10" i="7"/>
  <c r="MH11" i="7"/>
  <c r="MH12" i="7"/>
  <c r="MH15" i="7"/>
  <c r="MH9" i="7"/>
  <c r="MH14" i="7"/>
  <c r="MH16" i="7"/>
  <c r="MH17" i="7"/>
  <c r="MH20" i="7"/>
  <c r="MH18" i="7"/>
  <c r="MH19" i="7"/>
  <c r="MH21" i="7"/>
  <c r="MH23" i="7"/>
  <c r="MH24" i="7"/>
  <c r="MH27" i="7"/>
  <c r="MH29" i="7"/>
  <c r="MH25" i="7"/>
  <c r="MH22" i="7"/>
  <c r="MH28" i="7"/>
  <c r="MH30" i="7"/>
  <c r="MH32" i="7"/>
  <c r="MH33" i="7"/>
  <c r="MH34" i="7"/>
  <c r="MH26" i="7"/>
  <c r="MH31" i="7"/>
  <c r="MH35" i="7"/>
  <c r="MH36" i="7"/>
  <c r="MI1" i="7"/>
  <c r="MH3" i="7"/>
  <c r="MI37" i="7" l="1"/>
  <c r="MI38" i="7"/>
  <c r="MI39" i="7"/>
  <c r="MI40" i="7"/>
  <c r="MI41" i="7"/>
  <c r="MI42" i="7"/>
  <c r="MI43" i="7"/>
  <c r="MI44" i="7"/>
  <c r="MI4" i="7"/>
  <c r="MI6" i="7"/>
  <c r="MI7" i="7"/>
  <c r="MI8" i="7"/>
  <c r="MI5" i="7"/>
  <c r="MI10" i="7"/>
  <c r="MI9" i="7"/>
  <c r="MI12" i="7"/>
  <c r="MI15" i="7"/>
  <c r="MI13" i="7"/>
  <c r="MI11" i="7"/>
  <c r="MI16" i="7"/>
  <c r="MI17" i="7"/>
  <c r="MI14" i="7"/>
  <c r="MI19" i="7"/>
  <c r="MI18" i="7"/>
  <c r="MI21" i="7"/>
  <c r="MI23" i="7"/>
  <c r="MI27" i="7"/>
  <c r="MI29" i="7"/>
  <c r="MI25" i="7"/>
  <c r="MI20" i="7"/>
  <c r="MI22" i="7"/>
  <c r="MI24" i="7"/>
  <c r="MI28" i="7"/>
  <c r="MI30" i="7"/>
  <c r="MI32" i="7"/>
  <c r="MI33" i="7"/>
  <c r="MI36" i="7"/>
  <c r="MI26" i="7"/>
  <c r="MI34" i="7"/>
  <c r="MI31" i="7"/>
  <c r="MI35" i="7"/>
  <c r="MJ1" i="7"/>
  <c r="MI3" i="7"/>
  <c r="MJ37" i="7" l="1"/>
  <c r="MJ38" i="7"/>
  <c r="MJ39" i="7"/>
  <c r="MJ40" i="7"/>
  <c r="MJ41" i="7"/>
  <c r="MJ42" i="7"/>
  <c r="MJ43" i="7"/>
  <c r="MJ44" i="7"/>
  <c r="MJ5" i="7"/>
  <c r="MJ4" i="7"/>
  <c r="MJ6" i="7"/>
  <c r="MJ8" i="7"/>
  <c r="MJ12" i="7"/>
  <c r="MJ7" i="7"/>
  <c r="MJ10" i="7"/>
  <c r="MJ9" i="7"/>
  <c r="MJ14" i="7"/>
  <c r="MJ11" i="7"/>
  <c r="MJ16" i="7"/>
  <c r="MJ15" i="7"/>
  <c r="MJ13" i="7"/>
  <c r="MJ17" i="7"/>
  <c r="MJ18" i="7"/>
  <c r="MJ19" i="7"/>
  <c r="MJ22" i="7"/>
  <c r="MJ21" i="7"/>
  <c r="MJ23" i="7"/>
  <c r="MJ20" i="7"/>
  <c r="MJ27" i="7"/>
  <c r="MJ29" i="7"/>
  <c r="MJ26" i="7"/>
  <c r="MJ24" i="7"/>
  <c r="MJ31" i="7"/>
  <c r="MJ28" i="7"/>
  <c r="MJ25" i="7"/>
  <c r="MJ30" i="7"/>
  <c r="MJ32" i="7"/>
  <c r="MJ35" i="7"/>
  <c r="MJ36" i="7"/>
  <c r="MJ33" i="7"/>
  <c r="MJ34" i="7"/>
  <c r="MK1" i="7"/>
  <c r="MJ3" i="7"/>
  <c r="MK37" i="7" l="1"/>
  <c r="MK38" i="7"/>
  <c r="MK39" i="7"/>
  <c r="MK40" i="7"/>
  <c r="MK41" i="7"/>
  <c r="MK42" i="7"/>
  <c r="MK43" i="7"/>
  <c r="MK44" i="7"/>
  <c r="MK4" i="7"/>
  <c r="MK5" i="7"/>
  <c r="MK6" i="7"/>
  <c r="MK11" i="7"/>
  <c r="MK7" i="7"/>
  <c r="MK8" i="7"/>
  <c r="MK9" i="7"/>
  <c r="MK19" i="7"/>
  <c r="MK10" i="7"/>
  <c r="MK12" i="7"/>
  <c r="MK14" i="7"/>
  <c r="MK16" i="7"/>
  <c r="MK15" i="7"/>
  <c r="MK13" i="7"/>
  <c r="MK17" i="7"/>
  <c r="MK20" i="7"/>
  <c r="MK21" i="7"/>
  <c r="MK22" i="7"/>
  <c r="MK23" i="7"/>
  <c r="MK25" i="7"/>
  <c r="MK27" i="7"/>
  <c r="MK31" i="7"/>
  <c r="MK26" i="7"/>
  <c r="MK29" i="7"/>
  <c r="MK18" i="7"/>
  <c r="MK28" i="7"/>
  <c r="MK34" i="7"/>
  <c r="MK24" i="7"/>
  <c r="MK35" i="7"/>
  <c r="MK36" i="7"/>
  <c r="MK33" i="7"/>
  <c r="MK32" i="7"/>
  <c r="MK30" i="7"/>
  <c r="ML1" i="7"/>
  <c r="MK3" i="7"/>
  <c r="ML37" i="7" l="1"/>
  <c r="ML38" i="7"/>
  <c r="ML39" i="7"/>
  <c r="ML40" i="7"/>
  <c r="ML41" i="7"/>
  <c r="ML42" i="7"/>
  <c r="ML43" i="7"/>
  <c r="ML44" i="7"/>
  <c r="ML4" i="7"/>
  <c r="ML5" i="7"/>
  <c r="ML6" i="7"/>
  <c r="ML10" i="7"/>
  <c r="ML8" i="7"/>
  <c r="ML7" i="7"/>
  <c r="ML11" i="7"/>
  <c r="ML9" i="7"/>
  <c r="ML18" i="7"/>
  <c r="ML14" i="7"/>
  <c r="ML12" i="7"/>
  <c r="ML16" i="7"/>
  <c r="ML15" i="7"/>
  <c r="ML17" i="7"/>
  <c r="ML13" i="7"/>
  <c r="ML20" i="7"/>
  <c r="ML21" i="7"/>
  <c r="ML23" i="7"/>
  <c r="ML22" i="7"/>
  <c r="ML19" i="7"/>
  <c r="ML24" i="7"/>
  <c r="ML25" i="7"/>
  <c r="ML28" i="7"/>
  <c r="ML30" i="7"/>
  <c r="ML27" i="7"/>
  <c r="ML31" i="7"/>
  <c r="ML29" i="7"/>
  <c r="ML33" i="7"/>
  <c r="ML34" i="7"/>
  <c r="ML36" i="7"/>
  <c r="ML35" i="7"/>
  <c r="ML26" i="7"/>
  <c r="ML32" i="7"/>
  <c r="MM1" i="7"/>
  <c r="ML3" i="7"/>
  <c r="MM37" i="7" l="1"/>
  <c r="MM38" i="7"/>
  <c r="MM39" i="7"/>
  <c r="MM40" i="7"/>
  <c r="MM41" i="7"/>
  <c r="MM42" i="7"/>
  <c r="MM43" i="7"/>
  <c r="MM44" i="7"/>
  <c r="MM5" i="7"/>
  <c r="MM4" i="7"/>
  <c r="MM6" i="7"/>
  <c r="MM9" i="7"/>
  <c r="MM8" i="7"/>
  <c r="MM7" i="7"/>
  <c r="MM17" i="7"/>
  <c r="MM10" i="7"/>
  <c r="MM11" i="7"/>
  <c r="MM14" i="7"/>
  <c r="MM13" i="7"/>
  <c r="MM12" i="7"/>
  <c r="MM16" i="7"/>
  <c r="MM18" i="7"/>
  <c r="MM15" i="7"/>
  <c r="MM20" i="7"/>
  <c r="MM21" i="7"/>
  <c r="MM22" i="7"/>
  <c r="MM24" i="7"/>
  <c r="MM23" i="7"/>
  <c r="MM28" i="7"/>
  <c r="MM19" i="7"/>
  <c r="MM29" i="7"/>
  <c r="MM26" i="7"/>
  <c r="MM36" i="7"/>
  <c r="MM27" i="7"/>
  <c r="MM31" i="7"/>
  <c r="MM32" i="7"/>
  <c r="MM33" i="7"/>
  <c r="MM25" i="7"/>
  <c r="MM30" i="7"/>
  <c r="MM35" i="7"/>
  <c r="MM34" i="7"/>
  <c r="MN1" i="7"/>
  <c r="MM3" i="7"/>
  <c r="MN37" i="7" l="1"/>
  <c r="MN38" i="7"/>
  <c r="MN39" i="7"/>
  <c r="MN40" i="7"/>
  <c r="MN41" i="7"/>
  <c r="MN42" i="7"/>
  <c r="MN43" i="7"/>
  <c r="MN44" i="7"/>
  <c r="MN4" i="7"/>
  <c r="MN5" i="7"/>
  <c r="MN7" i="7"/>
  <c r="MN6" i="7"/>
  <c r="MN9" i="7"/>
  <c r="MN8" i="7"/>
  <c r="MN16" i="7"/>
  <c r="MN10" i="7"/>
  <c r="MN13" i="7"/>
  <c r="MN14" i="7"/>
  <c r="MN12" i="7"/>
  <c r="MN11" i="7"/>
  <c r="MN18" i="7"/>
  <c r="MN15" i="7"/>
  <c r="MN17" i="7"/>
  <c r="MN20" i="7"/>
  <c r="MN21" i="7"/>
  <c r="MN22" i="7"/>
  <c r="MN24" i="7"/>
  <c r="MN26" i="7"/>
  <c r="MN23" i="7"/>
  <c r="MN28" i="7"/>
  <c r="MN19" i="7"/>
  <c r="MN25" i="7"/>
  <c r="MN35" i="7"/>
  <c r="MN27" i="7"/>
  <c r="MN29" i="7"/>
  <c r="MN31" i="7"/>
  <c r="MN30" i="7"/>
  <c r="MN32" i="7"/>
  <c r="MN33" i="7"/>
  <c r="MN36" i="7"/>
  <c r="MN34" i="7"/>
  <c r="MO1" i="7"/>
  <c r="MN3" i="7"/>
  <c r="MO37" i="7" l="1"/>
  <c r="MO38" i="7"/>
  <c r="MO39" i="7"/>
  <c r="MO40" i="7"/>
  <c r="MO41" i="7"/>
  <c r="MO42" i="7"/>
  <c r="MO43" i="7"/>
  <c r="MO44" i="7"/>
  <c r="MO4" i="7"/>
  <c r="MO6" i="7"/>
  <c r="MO5" i="7"/>
  <c r="MO7" i="7"/>
  <c r="MO11" i="7"/>
  <c r="MO8" i="7"/>
  <c r="MO10" i="7"/>
  <c r="MO15" i="7"/>
  <c r="MO13" i="7"/>
  <c r="MO14" i="7"/>
  <c r="MO9" i="7"/>
  <c r="MO16" i="7"/>
  <c r="MO12" i="7"/>
  <c r="MO18" i="7"/>
  <c r="MO17" i="7"/>
  <c r="MO19" i="7"/>
  <c r="MO21" i="7"/>
  <c r="MO22" i="7"/>
  <c r="MO29" i="7"/>
  <c r="MO20" i="7"/>
  <c r="MO24" i="7"/>
  <c r="MO26" i="7"/>
  <c r="MO23" i="7"/>
  <c r="MO28" i="7"/>
  <c r="MO27" i="7"/>
  <c r="MO25" i="7"/>
  <c r="MO34" i="7"/>
  <c r="MO36" i="7"/>
  <c r="MO31" i="7"/>
  <c r="MO30" i="7"/>
  <c r="MO32" i="7"/>
  <c r="MO33" i="7"/>
  <c r="MO35" i="7"/>
  <c r="MP1" i="7"/>
  <c r="MO3" i="7"/>
  <c r="MP37" i="7" l="1"/>
  <c r="MP38" i="7"/>
  <c r="MP39" i="7"/>
  <c r="MP40" i="7"/>
  <c r="MP41" i="7"/>
  <c r="MP42" i="7"/>
  <c r="MP43" i="7"/>
  <c r="MP44" i="7"/>
  <c r="MP5" i="7"/>
  <c r="MP7" i="7"/>
  <c r="MP6" i="7"/>
  <c r="MP4" i="7"/>
  <c r="MP11" i="7"/>
  <c r="MP8" i="7"/>
  <c r="MP12" i="7"/>
  <c r="MP13" i="7"/>
  <c r="MP14" i="7"/>
  <c r="MP9" i="7"/>
  <c r="MP15" i="7"/>
  <c r="MP10" i="7"/>
  <c r="MP16" i="7"/>
  <c r="MP18" i="7"/>
  <c r="MP17" i="7"/>
  <c r="MP19" i="7"/>
  <c r="MP24" i="7"/>
  <c r="MP25" i="7"/>
  <c r="MP21" i="7"/>
  <c r="MP22" i="7"/>
  <c r="MP28" i="7"/>
  <c r="MP23" i="7"/>
  <c r="MP20" i="7"/>
  <c r="MP26" i="7"/>
  <c r="MP27" i="7"/>
  <c r="MP33" i="7"/>
  <c r="MP34" i="7"/>
  <c r="MP35" i="7"/>
  <c r="MP36" i="7"/>
  <c r="MP29" i="7"/>
  <c r="MP31" i="7"/>
  <c r="MP30" i="7"/>
  <c r="MP32" i="7"/>
  <c r="MQ1" i="7"/>
  <c r="MP3" i="7"/>
  <c r="MQ37" i="7" l="1"/>
  <c r="MQ38" i="7"/>
  <c r="MQ39" i="7"/>
  <c r="MQ40" i="7"/>
  <c r="MQ41" i="7"/>
  <c r="MQ42" i="7"/>
  <c r="MQ43" i="7"/>
  <c r="MQ44" i="7"/>
  <c r="MQ4" i="7"/>
  <c r="MQ6" i="7"/>
  <c r="MQ7" i="7"/>
  <c r="MQ12" i="7"/>
  <c r="MQ9" i="7"/>
  <c r="MQ5" i="7"/>
  <c r="MQ8" i="7"/>
  <c r="MQ10" i="7"/>
  <c r="MQ13" i="7"/>
  <c r="MQ14" i="7"/>
  <c r="MQ11" i="7"/>
  <c r="MQ15" i="7"/>
  <c r="MQ16" i="7"/>
  <c r="MQ18" i="7"/>
  <c r="MQ17" i="7"/>
  <c r="MQ24" i="7"/>
  <c r="MQ25" i="7"/>
  <c r="MQ27" i="7"/>
  <c r="MQ23" i="7"/>
  <c r="MQ20" i="7"/>
  <c r="MQ26" i="7"/>
  <c r="MQ28" i="7"/>
  <c r="MQ19" i="7"/>
  <c r="MQ22" i="7"/>
  <c r="MQ32" i="7"/>
  <c r="MQ33" i="7"/>
  <c r="MQ34" i="7"/>
  <c r="MQ35" i="7"/>
  <c r="MQ36" i="7"/>
  <c r="MQ29" i="7"/>
  <c r="MQ21" i="7"/>
  <c r="MQ31" i="7"/>
  <c r="MQ30" i="7"/>
  <c r="MR1" i="7"/>
  <c r="MQ3" i="7"/>
  <c r="MR37" i="7" l="1"/>
  <c r="MR38" i="7"/>
  <c r="MR39" i="7"/>
  <c r="MR40" i="7"/>
  <c r="MR41" i="7"/>
  <c r="MR42" i="7"/>
  <c r="MR43" i="7"/>
  <c r="MR44" i="7"/>
  <c r="MR5" i="7"/>
  <c r="MR7" i="7"/>
  <c r="MR8" i="7"/>
  <c r="MR6" i="7"/>
  <c r="MR4" i="7"/>
  <c r="MR15" i="7"/>
  <c r="MR9" i="7"/>
  <c r="MR10" i="7"/>
  <c r="MR13" i="7"/>
  <c r="MR11" i="7"/>
  <c r="MR12" i="7"/>
  <c r="MR14" i="7"/>
  <c r="MR16" i="7"/>
  <c r="MR18" i="7"/>
  <c r="MR17" i="7"/>
  <c r="MR20" i="7"/>
  <c r="MR21" i="7"/>
  <c r="MR24" i="7"/>
  <c r="MR25" i="7"/>
  <c r="MR26" i="7"/>
  <c r="MR19" i="7"/>
  <c r="MR29" i="7"/>
  <c r="MR23" i="7"/>
  <c r="MR28" i="7"/>
  <c r="MR22" i="7"/>
  <c r="MR30" i="7"/>
  <c r="MR32" i="7"/>
  <c r="MR33" i="7"/>
  <c r="MR27" i="7"/>
  <c r="MR34" i="7"/>
  <c r="MR35" i="7"/>
  <c r="MR36" i="7"/>
  <c r="MR31" i="7"/>
  <c r="MS1" i="7"/>
  <c r="MR3" i="7"/>
  <c r="MS37" i="7" l="1"/>
  <c r="MS38" i="7"/>
  <c r="MS39" i="7"/>
  <c r="MS40" i="7"/>
  <c r="MS41" i="7"/>
  <c r="MS42" i="7"/>
  <c r="MS43" i="7"/>
  <c r="MS44" i="7"/>
  <c r="MS4" i="7"/>
  <c r="MS5" i="7"/>
  <c r="MS7" i="7"/>
  <c r="MS6" i="7"/>
  <c r="MS10" i="7"/>
  <c r="MS14" i="7"/>
  <c r="MS9" i="7"/>
  <c r="MS8" i="7"/>
  <c r="MS13" i="7"/>
  <c r="MS12" i="7"/>
  <c r="MS17" i="7"/>
  <c r="MS16" i="7"/>
  <c r="MS15" i="7"/>
  <c r="MS11" i="7"/>
  <c r="MS19" i="7"/>
  <c r="MS20" i="7"/>
  <c r="MS21" i="7"/>
  <c r="MS24" i="7"/>
  <c r="MS25" i="7"/>
  <c r="MS22" i="7"/>
  <c r="MS29" i="7"/>
  <c r="MS26" i="7"/>
  <c r="MS23" i="7"/>
  <c r="MS18" i="7"/>
  <c r="MS30" i="7"/>
  <c r="MS32" i="7"/>
  <c r="MS33" i="7"/>
  <c r="MS27" i="7"/>
  <c r="MS34" i="7"/>
  <c r="MS28" i="7"/>
  <c r="MS35" i="7"/>
  <c r="MS31" i="7"/>
  <c r="MS36" i="7"/>
  <c r="MT1" i="7"/>
  <c r="MS3" i="7"/>
  <c r="MT37" i="7" l="1"/>
  <c r="MT38" i="7"/>
  <c r="MT39" i="7"/>
  <c r="MT40" i="7"/>
  <c r="MT41" i="7"/>
  <c r="MT42" i="7"/>
  <c r="MT43" i="7"/>
  <c r="MT44" i="7"/>
  <c r="MT4" i="7"/>
  <c r="MT6" i="7"/>
  <c r="MT7" i="7"/>
  <c r="MT8" i="7"/>
  <c r="MT5" i="7"/>
  <c r="MT13" i="7"/>
  <c r="MT9" i="7"/>
  <c r="MT11" i="7"/>
  <c r="MT12" i="7"/>
  <c r="MT15" i="7"/>
  <c r="MT20" i="7"/>
  <c r="MT14" i="7"/>
  <c r="MT16" i="7"/>
  <c r="MT18" i="7"/>
  <c r="MT19" i="7"/>
  <c r="MT10" i="7"/>
  <c r="MT23" i="7"/>
  <c r="MT24" i="7"/>
  <c r="MT22" i="7"/>
  <c r="MT17" i="7"/>
  <c r="MT27" i="7"/>
  <c r="MT29" i="7"/>
  <c r="MT26" i="7"/>
  <c r="MT30" i="7"/>
  <c r="MT32" i="7"/>
  <c r="MT33" i="7"/>
  <c r="MT34" i="7"/>
  <c r="MT21" i="7"/>
  <c r="MT31" i="7"/>
  <c r="MT36" i="7"/>
  <c r="MT28" i="7"/>
  <c r="MT25" i="7"/>
  <c r="MT35" i="7"/>
  <c r="MU1" i="7"/>
  <c r="MT3" i="7"/>
  <c r="MU37" i="7" l="1"/>
  <c r="MU38" i="7"/>
  <c r="MU39" i="7"/>
  <c r="MU40" i="7"/>
  <c r="MU41" i="7"/>
  <c r="MU42" i="7"/>
  <c r="MU43" i="7"/>
  <c r="MU44" i="7"/>
  <c r="MU5" i="7"/>
  <c r="MU6" i="7"/>
  <c r="MU7" i="7"/>
  <c r="MU4" i="7"/>
  <c r="MU8" i="7"/>
  <c r="MU12" i="7"/>
  <c r="MU13" i="7"/>
  <c r="MU9" i="7"/>
  <c r="MU11" i="7"/>
  <c r="MU10" i="7"/>
  <c r="MU15" i="7"/>
  <c r="MU16" i="7"/>
  <c r="MU17" i="7"/>
  <c r="MU14" i="7"/>
  <c r="MU18" i="7"/>
  <c r="MU19" i="7"/>
  <c r="MU20" i="7"/>
  <c r="MU23" i="7"/>
  <c r="MU22" i="7"/>
  <c r="MU27" i="7"/>
  <c r="MU24" i="7"/>
  <c r="MU29" i="7"/>
  <c r="MU21" i="7"/>
  <c r="MU28" i="7"/>
  <c r="MU26" i="7"/>
  <c r="MU30" i="7"/>
  <c r="MU32" i="7"/>
  <c r="MU33" i="7"/>
  <c r="MU25" i="7"/>
  <c r="MU36" i="7"/>
  <c r="MU31" i="7"/>
  <c r="MU35" i="7"/>
  <c r="MU34" i="7"/>
  <c r="MV1" i="7"/>
  <c r="MU3" i="7"/>
  <c r="MV37" i="7" l="1"/>
  <c r="MV38" i="7"/>
  <c r="MV39" i="7"/>
  <c r="MV40" i="7"/>
  <c r="MV41" i="7"/>
  <c r="MV42" i="7"/>
  <c r="MV43" i="7"/>
  <c r="MV44" i="7"/>
  <c r="MV5" i="7"/>
  <c r="MV6" i="7"/>
  <c r="MV4" i="7"/>
  <c r="MV8" i="7"/>
  <c r="MV7" i="7"/>
  <c r="MV12" i="7"/>
  <c r="MV10" i="7"/>
  <c r="MV9" i="7"/>
  <c r="MV11" i="7"/>
  <c r="MV15" i="7"/>
  <c r="MV13" i="7"/>
  <c r="MV14" i="7"/>
  <c r="MV17" i="7"/>
  <c r="MV19" i="7"/>
  <c r="MV16" i="7"/>
  <c r="MV18" i="7"/>
  <c r="MV20" i="7"/>
  <c r="MV23" i="7"/>
  <c r="MV21" i="7"/>
  <c r="MV25" i="7"/>
  <c r="MV22" i="7"/>
  <c r="MV27" i="7"/>
  <c r="MV24" i="7"/>
  <c r="MV29" i="7"/>
  <c r="MV28" i="7"/>
  <c r="MV26" i="7"/>
  <c r="MV30" i="7"/>
  <c r="MV32" i="7"/>
  <c r="MV35" i="7"/>
  <c r="MV36" i="7"/>
  <c r="MV34" i="7"/>
  <c r="MV33" i="7"/>
  <c r="MV31" i="7"/>
  <c r="MW1" i="7"/>
  <c r="MV3" i="7"/>
  <c r="MW37" i="7" l="1"/>
  <c r="MW38" i="7"/>
  <c r="MW39" i="7"/>
  <c r="MW40" i="7"/>
  <c r="MW41" i="7"/>
  <c r="MW42" i="7"/>
  <c r="MW43" i="7"/>
  <c r="MW44" i="7"/>
  <c r="MW4" i="7"/>
  <c r="MW5" i="7"/>
  <c r="MW6" i="7"/>
  <c r="MW11" i="7"/>
  <c r="MW8" i="7"/>
  <c r="MW10" i="7"/>
  <c r="MW7" i="7"/>
  <c r="MW9" i="7"/>
  <c r="MW14" i="7"/>
  <c r="MW19" i="7"/>
  <c r="MW16" i="7"/>
  <c r="MW15" i="7"/>
  <c r="MW13" i="7"/>
  <c r="MW12" i="7"/>
  <c r="MW17" i="7"/>
  <c r="MW18" i="7"/>
  <c r="MW21" i="7"/>
  <c r="MW22" i="7"/>
  <c r="MW20" i="7"/>
  <c r="MW23" i="7"/>
  <c r="MW25" i="7"/>
  <c r="MW27" i="7"/>
  <c r="MW24" i="7"/>
  <c r="MW31" i="7"/>
  <c r="MW29" i="7"/>
  <c r="MW26" i="7"/>
  <c r="MW30" i="7"/>
  <c r="MW34" i="7"/>
  <c r="MW35" i="7"/>
  <c r="MW32" i="7"/>
  <c r="MW36" i="7"/>
  <c r="MW33" i="7"/>
  <c r="MW28" i="7"/>
  <c r="MX1" i="7"/>
  <c r="MW3" i="7"/>
  <c r="MX37" i="7" l="1"/>
  <c r="MX38" i="7"/>
  <c r="MX39" i="7"/>
  <c r="MX40" i="7"/>
  <c r="MX41" i="7"/>
  <c r="MX42" i="7"/>
  <c r="MX43" i="7"/>
  <c r="MX44" i="7"/>
  <c r="MX4" i="7"/>
  <c r="MX5" i="7"/>
  <c r="MX8" i="7"/>
  <c r="MX10" i="7"/>
  <c r="MX7" i="7"/>
  <c r="MX6" i="7"/>
  <c r="MX9" i="7"/>
  <c r="MX18" i="7"/>
  <c r="MX12" i="7"/>
  <c r="MX11" i="7"/>
  <c r="MX16" i="7"/>
  <c r="MX15" i="7"/>
  <c r="MX13" i="7"/>
  <c r="MX14" i="7"/>
  <c r="MX17" i="7"/>
  <c r="MX20" i="7"/>
  <c r="MX21" i="7"/>
  <c r="MX19" i="7"/>
  <c r="MX23" i="7"/>
  <c r="MX24" i="7"/>
  <c r="MX25" i="7"/>
  <c r="MX22" i="7"/>
  <c r="MX27" i="7"/>
  <c r="MX30" i="7"/>
  <c r="MX26" i="7"/>
  <c r="MX31" i="7"/>
  <c r="MX28" i="7"/>
  <c r="MX33" i="7"/>
  <c r="MX34" i="7"/>
  <c r="MX29" i="7"/>
  <c r="MX32" i="7"/>
  <c r="MX36" i="7"/>
  <c r="MX35" i="7"/>
  <c r="MY1" i="7"/>
  <c r="MX3" i="7"/>
  <c r="MY37" i="7" l="1"/>
  <c r="T38" i="8" s="1"/>
  <c r="B37" i="7" s="1"/>
  <c r="MY38" i="7"/>
  <c r="T39" i="8" s="1"/>
  <c r="B38" i="7" s="1"/>
  <c r="MY39" i="7"/>
  <c r="T40" i="8" s="1"/>
  <c r="B39" i="7" s="1"/>
  <c r="MY40" i="7"/>
  <c r="T41" i="8" s="1"/>
  <c r="B40" i="7" s="1"/>
  <c r="MY41" i="7"/>
  <c r="T42" i="8" s="1"/>
  <c r="B41" i="7" s="1"/>
  <c r="MY42" i="7"/>
  <c r="T43" i="8" s="1"/>
  <c r="B42" i="7" s="1"/>
  <c r="P43" i="8" s="1"/>
  <c r="Z43" i="8" s="1"/>
  <c r="MY43" i="7"/>
  <c r="T44" i="8" s="1"/>
  <c r="B43" i="7" s="1"/>
  <c r="P44" i="8" s="1"/>
  <c r="Z44" i="8" s="1"/>
  <c r="MY44" i="7"/>
  <c r="T45" i="8" s="1"/>
  <c r="B44" i="7" s="1"/>
  <c r="P45" i="8" s="1"/>
  <c r="Z45" i="8" s="1"/>
  <c r="MY5" i="7"/>
  <c r="MY4" i="7"/>
  <c r="MY9" i="7"/>
  <c r="MY6" i="7"/>
  <c r="MY7" i="7"/>
  <c r="MY11" i="7"/>
  <c r="MY8" i="7"/>
  <c r="MY17" i="7"/>
  <c r="MY14" i="7"/>
  <c r="MY12" i="7"/>
  <c r="MY10" i="7"/>
  <c r="MY16" i="7"/>
  <c r="MY15" i="7"/>
  <c r="MY13" i="7"/>
  <c r="MY18" i="7"/>
  <c r="MY20" i="7"/>
  <c r="MY21" i="7"/>
  <c r="MY19" i="7"/>
  <c r="MY22" i="7"/>
  <c r="MY23" i="7"/>
  <c r="MY24" i="7"/>
  <c r="T25" i="8" s="1"/>
  <c r="B24" i="7" s="1"/>
  <c r="P25" i="8" s="1"/>
  <c r="Z25" i="8" s="1"/>
  <c r="MY28" i="7"/>
  <c r="T29" i="8" s="1"/>
  <c r="B28" i="7" s="1"/>
  <c r="P29" i="8" s="1"/>
  <c r="Z29" i="8" s="1"/>
  <c r="MY25" i="7"/>
  <c r="T26" i="8" s="1"/>
  <c r="B25" i="7" s="1"/>
  <c r="P26" i="8" s="1"/>
  <c r="Z26" i="8" s="1"/>
  <c r="MY27" i="7"/>
  <c r="T28" i="8" s="1"/>
  <c r="B27" i="7" s="1"/>
  <c r="P28" i="8" s="1"/>
  <c r="Z28" i="8" s="1"/>
  <c r="MY36" i="7"/>
  <c r="T37" i="8" s="1"/>
  <c r="B36" i="7" s="1"/>
  <c r="P37" i="8" s="1"/>
  <c r="Z37" i="8" s="1"/>
  <c r="MY31" i="7"/>
  <c r="T32" i="8" s="1"/>
  <c r="B31" i="7" s="1"/>
  <c r="P32" i="8" s="1"/>
  <c r="Z32" i="8" s="1"/>
  <c r="MY26" i="7"/>
  <c r="T27" i="8" s="1"/>
  <c r="B26" i="7" s="1"/>
  <c r="P27" i="8" s="1"/>
  <c r="Z27" i="8" s="1"/>
  <c r="MY32" i="7"/>
  <c r="T33" i="8" s="1"/>
  <c r="B32" i="7" s="1"/>
  <c r="P33" i="8" s="1"/>
  <c r="Z33" i="8" s="1"/>
  <c r="MY33" i="7"/>
  <c r="T34" i="8" s="1"/>
  <c r="B33" i="7" s="1"/>
  <c r="P34" i="8" s="1"/>
  <c r="Z34" i="8" s="1"/>
  <c r="MY35" i="7"/>
  <c r="T36" i="8" s="1"/>
  <c r="B35" i="7" s="1"/>
  <c r="P36" i="8" s="1"/>
  <c r="Z36" i="8" s="1"/>
  <c r="MY29" i="7"/>
  <c r="T30" i="8" s="1"/>
  <c r="B29" i="7" s="1"/>
  <c r="P30" i="8" s="1"/>
  <c r="Z30" i="8" s="1"/>
  <c r="MY34" i="7"/>
  <c r="T35" i="8" s="1"/>
  <c r="B34" i="7" s="1"/>
  <c r="P35" i="8" s="1"/>
  <c r="Z35" i="8" s="1"/>
  <c r="MY30" i="7"/>
  <c r="T31" i="8" s="1"/>
  <c r="B30" i="7" s="1"/>
  <c r="P31" i="8" s="1"/>
  <c r="Z31" i="8" s="1"/>
  <c r="P42" i="8"/>
  <c r="Z42" i="8" s="1"/>
  <c r="P38" i="8"/>
  <c r="Z38" i="8" s="1"/>
  <c r="P41" i="8"/>
  <c r="Z41" i="8" s="1"/>
  <c r="P39" i="8"/>
  <c r="Z39" i="8" s="1"/>
  <c r="P40" i="8"/>
  <c r="Z40" i="8" s="1"/>
  <c r="MY3" i="7"/>
  <c r="T4" i="8" s="1"/>
  <c r="T7" i="8" l="1"/>
  <c r="T6" i="8"/>
  <c r="T12" i="8"/>
  <c r="T5" i="8"/>
  <c r="T15" i="8"/>
  <c r="T24" i="8"/>
  <c r="B3" i="7"/>
  <c r="P4" i="8" s="1"/>
  <c r="T11" i="8"/>
  <c r="T22" i="8"/>
  <c r="T13" i="8"/>
  <c r="T10" i="8"/>
  <c r="T18" i="8"/>
  <c r="T17" i="8"/>
  <c r="T8" i="8"/>
  <c r="T9" i="8"/>
  <c r="T19" i="8"/>
  <c r="T21" i="8"/>
  <c r="T23" i="8"/>
  <c r="T14" i="8"/>
  <c r="T20" i="8"/>
  <c r="T16" i="8"/>
  <c r="B17" i="7" l="1"/>
  <c r="P18" i="8" s="1"/>
  <c r="Z18" i="8" s="1"/>
  <c r="B9" i="7"/>
  <c r="P10" i="8" s="1"/>
  <c r="Z10" i="8" s="1"/>
  <c r="B12" i="7"/>
  <c r="P13" i="8" s="1"/>
  <c r="Z13" i="8" s="1"/>
  <c r="B15" i="7"/>
  <c r="P16" i="8" s="1"/>
  <c r="Z16" i="8" s="1"/>
  <c r="B21" i="7"/>
  <c r="P22" i="8" s="1"/>
  <c r="Z22" i="8" s="1"/>
  <c r="B10" i="7"/>
  <c r="P11" i="8" s="1"/>
  <c r="Z11" i="8" s="1"/>
  <c r="B13" i="7"/>
  <c r="P14" i="8" s="1"/>
  <c r="Z14" i="8" s="1"/>
  <c r="B22" i="7"/>
  <c r="P23" i="8" s="1"/>
  <c r="Z23" i="8" s="1"/>
  <c r="B23" i="7"/>
  <c r="P24" i="8" s="1"/>
  <c r="Z24" i="8" s="1"/>
  <c r="B14" i="7"/>
  <c r="P15" i="8" s="1"/>
  <c r="Z15" i="8" s="1"/>
  <c r="B18" i="7"/>
  <c r="P19" i="8" s="1"/>
  <c r="Z19" i="8" s="1"/>
  <c r="B4" i="7"/>
  <c r="P5" i="8" s="1"/>
  <c r="Z5" i="8" s="1"/>
  <c r="B20" i="7"/>
  <c r="P21" i="8" s="1"/>
  <c r="Z21" i="8" s="1"/>
  <c r="B11" i="7"/>
  <c r="P12" i="8" s="1"/>
  <c r="Z12" i="8" s="1"/>
  <c r="B5" i="7"/>
  <c r="P6" i="8" s="1"/>
  <c r="Z6" i="8" s="1"/>
  <c r="B19" i="7"/>
  <c r="P20" i="8" s="1"/>
  <c r="Z20" i="8" s="1"/>
  <c r="B8" i="7"/>
  <c r="P9" i="8" s="1"/>
  <c r="Z9" i="8" s="1"/>
  <c r="B7" i="7"/>
  <c r="P8" i="8" s="1"/>
  <c r="Z8" i="8" s="1"/>
  <c r="B16" i="7"/>
  <c r="P17" i="8" s="1"/>
  <c r="Z17" i="8" s="1"/>
  <c r="B6" i="7"/>
  <c r="P7" i="8" s="1"/>
  <c r="Z7" i="8" s="1"/>
  <c r="Y10" i="8"/>
  <c r="Y12" i="8"/>
  <c r="Y14" i="8"/>
  <c r="Y9" i="8"/>
  <c r="Y7" i="8"/>
  <c r="Y13" i="8"/>
  <c r="Y24" i="8"/>
  <c r="Y8" i="8"/>
  <c r="Y19" i="8"/>
  <c r="Y20" i="8"/>
  <c r="Y23" i="8"/>
  <c r="Y17" i="8"/>
  <c r="Y22" i="8"/>
  <c r="Y21" i="8"/>
  <c r="Y18" i="8"/>
  <c r="Y11" i="8"/>
  <c r="Y15" i="8"/>
  <c r="Y6" i="8"/>
  <c r="Y16" i="8"/>
  <c r="Y5" i="8"/>
  <c r="Z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Claudia</author>
    <author>Olivo, Alejandro</author>
  </authors>
  <commentList>
    <comment ref="AE2" authorId="0" shapeId="0" xr:uid="{E2B21D29-A65C-4456-A4D8-9AA1F3E5308A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AF2" authorId="0" shapeId="0" xr:uid="{0D4D61DD-F8CB-4E44-9D3A-F14CEA9F01DD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T3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Olivo, Alejandro:</t>
        </r>
        <r>
          <rPr>
            <sz val="9"/>
            <color indexed="81"/>
            <rFont val="Tahoma"/>
            <family val="2"/>
          </rPr>
          <t xml:space="preserve">
A la fecha corte</t>
        </r>
      </text>
    </comment>
    <comment ref="U3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Olivo, Alejandro:</t>
        </r>
        <r>
          <rPr>
            <sz val="9"/>
            <color indexed="81"/>
            <rFont val="Tahoma"/>
            <family val="2"/>
          </rPr>
          <t xml:space="preserve">
Día endoso</t>
        </r>
      </text>
    </comment>
    <comment ref="AE3" authorId="0" shapeId="0" xr:uid="{B40DBAA0-9B2A-4331-9D53-C13E44B6407E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AF3" authorId="0" shapeId="0" xr:uid="{FA7D8DD3-49B0-419E-8F4C-6E8903B1C3EE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Claudia</author>
    <author>Olivo, Alejandro</author>
  </authors>
  <commentList>
    <comment ref="AE2" authorId="0" shapeId="0" xr:uid="{528F83F0-D0E2-4E6F-AE0F-D1AC33FBD486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AF2" authorId="0" shapeId="0" xr:uid="{37E788EE-2E5B-41F3-A275-2BDBDC07F8A7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T3" authorId="1" shapeId="0" xr:uid="{7ECD07F9-B66B-4F3F-AA6E-78749068373B}">
      <text>
        <r>
          <rPr>
            <b/>
            <sz val="9"/>
            <color indexed="81"/>
            <rFont val="Tahoma"/>
            <family val="2"/>
          </rPr>
          <t>Olivo, Alejandro:</t>
        </r>
        <r>
          <rPr>
            <sz val="9"/>
            <color indexed="81"/>
            <rFont val="Tahoma"/>
            <family val="2"/>
          </rPr>
          <t xml:space="preserve">
A la fecha corte</t>
        </r>
      </text>
    </comment>
    <comment ref="U3" authorId="1" shapeId="0" xr:uid="{F9DCFE2F-D29B-4256-AC35-F9670B38857F}">
      <text>
        <r>
          <rPr>
            <b/>
            <sz val="9"/>
            <color indexed="81"/>
            <rFont val="Tahoma"/>
            <family val="2"/>
          </rPr>
          <t>Olivo, Alejandro:</t>
        </r>
        <r>
          <rPr>
            <sz val="9"/>
            <color indexed="81"/>
            <rFont val="Tahoma"/>
            <family val="2"/>
          </rPr>
          <t xml:space="preserve">
Día endoso</t>
        </r>
      </text>
    </comment>
    <comment ref="AE3" authorId="0" shapeId="0" xr:uid="{76CD28E7-37B2-4FD6-AA8D-BD71D3032B66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AF3" authorId="0" shapeId="0" xr:uid="{6FE7682C-9BD2-4194-96E6-C866110B0E55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</commentList>
</comments>
</file>

<file path=xl/sharedStrings.xml><?xml version="1.0" encoding="utf-8"?>
<sst xmlns="http://schemas.openxmlformats.org/spreadsheetml/2006/main" count="1385" uniqueCount="491">
  <si>
    <t>Nº</t>
  </si>
  <si>
    <t>Monto Crédito + Cap (UF)</t>
  </si>
  <si>
    <t>Fecha Last Aporte</t>
  </si>
  <si>
    <t>Fecha Corte</t>
  </si>
  <si>
    <t>Nº Cuotas</t>
  </si>
  <si>
    <t>Apellido materno</t>
  </si>
  <si>
    <t>Nombres</t>
  </si>
  <si>
    <t>Rut</t>
  </si>
  <si>
    <t>DV</t>
  </si>
  <si>
    <t>Tasacion</t>
  </si>
  <si>
    <t>Subsidio</t>
  </si>
  <si>
    <t>Precio Venta/Tasación</t>
  </si>
  <si>
    <t xml:space="preserve">VPN </t>
  </si>
  <si>
    <t>Leasing o Mutuo</t>
  </si>
  <si>
    <t>MHE</t>
  </si>
  <si>
    <t>N° Operación CMF</t>
  </si>
  <si>
    <t>RUT</t>
  </si>
  <si>
    <t>Apellido paterno</t>
  </si>
  <si>
    <t>Género</t>
  </si>
  <si>
    <t>Segmento</t>
  </si>
  <si>
    <t>Precio venta propiedad</t>
  </si>
  <si>
    <t>Valor de tasación</t>
  </si>
  <si>
    <t>Tasa anual de emisión</t>
  </si>
  <si>
    <t>Tasa mensual de emisión</t>
  </si>
  <si>
    <t>Plazo en meses</t>
  </si>
  <si>
    <t>Meses de gracia</t>
  </si>
  <si>
    <t>LTV</t>
  </si>
  <si>
    <t>Monto otorgado (UF)</t>
  </si>
  <si>
    <t>Valor cuota (UF)</t>
  </si>
  <si>
    <t>Valor última cuota (UF)</t>
  </si>
  <si>
    <t>Spread</t>
  </si>
  <si>
    <t>Tasa anual de endoso</t>
  </si>
  <si>
    <t>Tasa mensual de endoso</t>
  </si>
  <si>
    <t>Fecha de suscripción</t>
  </si>
  <si>
    <t>Período primer aporte</t>
  </si>
  <si>
    <t>Fecha de endoso</t>
  </si>
  <si>
    <t>Fecha primer aporte a endosar</t>
  </si>
  <si>
    <t>Fecha último aporte</t>
  </si>
  <si>
    <t>Número de cuotas a endosar</t>
  </si>
  <si>
    <t>VAN fecha endoso</t>
  </si>
  <si>
    <t>Comuna</t>
  </si>
  <si>
    <t>Ciudad</t>
  </si>
  <si>
    <t>Region</t>
  </si>
  <si>
    <t>Notaría</t>
  </si>
  <si>
    <t>Comuna notario</t>
  </si>
  <si>
    <t>Dirección</t>
  </si>
  <si>
    <t>Julio</t>
  </si>
  <si>
    <t>Fecha 1er Aporte a endosar</t>
  </si>
  <si>
    <t>Temuco</t>
  </si>
  <si>
    <t>Viña del Mar</t>
  </si>
  <si>
    <t>Rancagua</t>
  </si>
  <si>
    <t>Santiago</t>
  </si>
  <si>
    <t>Antofagasta</t>
  </si>
  <si>
    <t>La Serena</t>
  </si>
  <si>
    <t>Concepción</t>
  </si>
  <si>
    <t>Lorena Jorquera</t>
  </si>
  <si>
    <t>Talca</t>
  </si>
  <si>
    <t>Día_contrato</t>
  </si>
  <si>
    <t>Mes_contrato</t>
  </si>
  <si>
    <t>año_contrato</t>
  </si>
  <si>
    <t>día_firma</t>
  </si>
  <si>
    <t>mes_firma</t>
  </si>
  <si>
    <t>año_firma</t>
  </si>
  <si>
    <t>Prefijo 1</t>
  </si>
  <si>
    <t>Cliente</t>
  </si>
  <si>
    <t>Valor_Credito</t>
  </si>
  <si>
    <t>Plazo_Meses</t>
  </si>
  <si>
    <t>Dirección_Gtia</t>
  </si>
  <si>
    <t>Región</t>
  </si>
  <si>
    <t>Prefijo 2</t>
  </si>
  <si>
    <t>Notaria</t>
  </si>
  <si>
    <t>Repertorio</t>
  </si>
  <si>
    <t>Valorización</t>
  </si>
  <si>
    <t>N°</t>
  </si>
  <si>
    <t>Doña</t>
  </si>
  <si>
    <t>Don</t>
  </si>
  <si>
    <t>Maria Soledad Lascar</t>
  </si>
  <si>
    <t>Elena Leyton Carvajal</t>
  </si>
  <si>
    <t>Ruben Reinoso Herrera</t>
  </si>
  <si>
    <t>Esmirna Vidal Moraga</t>
  </si>
  <si>
    <t>Juan Loyola Opazo</t>
  </si>
  <si>
    <t>Carlos Miranda Jimenez</t>
  </si>
  <si>
    <t>Juan Espinoza Bancalari</t>
  </si>
  <si>
    <t>Jaime Bernales Valenzuela</t>
  </si>
  <si>
    <t>Juan Ricardo San Martin Urrejola</t>
  </si>
  <si>
    <t>Ramon garcia Carrasco</t>
  </si>
  <si>
    <t>Luis Enrique Fischer</t>
  </si>
  <si>
    <t>Teodoro Duran Palma</t>
  </si>
  <si>
    <t>1216,27</t>
  </si>
  <si>
    <t>2448,23</t>
  </si>
  <si>
    <t>1775,24</t>
  </si>
  <si>
    <t>1717,81</t>
  </si>
  <si>
    <t>1301,63</t>
  </si>
  <si>
    <t>1240,37</t>
  </si>
  <si>
    <t>1706,31</t>
  </si>
  <si>
    <t>1972,12</t>
  </si>
  <si>
    <t>2295,88</t>
  </si>
  <si>
    <t>2533,70</t>
  </si>
  <si>
    <t>2728,43</t>
  </si>
  <si>
    <t>2476,26</t>
  </si>
  <si>
    <t>1160,37</t>
  </si>
  <si>
    <t>1900,39</t>
  </si>
  <si>
    <t>1814,58</t>
  </si>
  <si>
    <t>1168,03</t>
  </si>
  <si>
    <t>1526,22</t>
  </si>
  <si>
    <t>1747,94</t>
  </si>
  <si>
    <t>3746,14</t>
  </si>
  <si>
    <t>2939,73</t>
  </si>
  <si>
    <t>4493,00</t>
  </si>
  <si>
    <t>3074,66</t>
  </si>
  <si>
    <t>1920,08</t>
  </si>
  <si>
    <t>2746,96</t>
  </si>
  <si>
    <t>2450,11</t>
  </si>
  <si>
    <t>1416,78</t>
  </si>
  <si>
    <t>2930,24</t>
  </si>
  <si>
    <t>1252,71</t>
  </si>
  <si>
    <t>2149,38</t>
  </si>
  <si>
    <t>2753,10</t>
  </si>
  <si>
    <t>2642,44</t>
  </si>
  <si>
    <t>1760,36</t>
  </si>
  <si>
    <t>3067,92</t>
  </si>
  <si>
    <t>2132,49</t>
  </si>
  <si>
    <t>2024,66</t>
  </si>
  <si>
    <t>3233,30</t>
  </si>
  <si>
    <t>1567,49</t>
  </si>
  <si>
    <t>2965,26</t>
  </si>
  <si>
    <t>2954,14</t>
  </si>
  <si>
    <t>1560,93</t>
  </si>
  <si>
    <t>1966,21</t>
  </si>
  <si>
    <t>1736,19</t>
  </si>
  <si>
    <t>1187,83</t>
  </si>
  <si>
    <t>925,49</t>
  </si>
  <si>
    <t>1855,76</t>
  </si>
  <si>
    <t>1561,26</t>
  </si>
  <si>
    <t>840,76</t>
  </si>
  <si>
    <t>Primera cuota a endosar</t>
  </si>
  <si>
    <t>Maipo</t>
  </si>
  <si>
    <t>San Bernardo</t>
  </si>
  <si>
    <t>Villarrica</t>
  </si>
  <si>
    <t>N° Operación</t>
  </si>
  <si>
    <t>Masculino</t>
  </si>
  <si>
    <t>Femenino</t>
  </si>
  <si>
    <t>Valdes</t>
  </si>
  <si>
    <t>Rodriguez</t>
  </si>
  <si>
    <t>Castillo</t>
  </si>
  <si>
    <t>Hernandez</t>
  </si>
  <si>
    <t>Valenzuela</t>
  </si>
  <si>
    <t>Morales</t>
  </si>
  <si>
    <t>Guajardo</t>
  </si>
  <si>
    <t>Parra</t>
  </si>
  <si>
    <t>Muñoz</t>
  </si>
  <si>
    <t>Gonzalez</t>
  </si>
  <si>
    <t>Rivera</t>
  </si>
  <si>
    <t>Miranda</t>
  </si>
  <si>
    <t>Chavez</t>
  </si>
  <si>
    <t>Pino</t>
  </si>
  <si>
    <t>Espinoza</t>
  </si>
  <si>
    <t>Maria Jose</t>
  </si>
  <si>
    <t>Pie</t>
  </si>
  <si>
    <t>Dividendo/ Renta</t>
  </si>
  <si>
    <t>Carga Financiera</t>
  </si>
  <si>
    <t>Cautín</t>
  </si>
  <si>
    <t>Región de La Araucanía</t>
  </si>
  <si>
    <t>Los Ángeles</t>
  </si>
  <si>
    <t>Biobío</t>
  </si>
  <si>
    <t>Región del Biobío</t>
  </si>
  <si>
    <t>Cristian Camilla Sandoval</t>
  </si>
  <si>
    <t>Región Metropolitana de Santiago</t>
  </si>
  <si>
    <t>María Soledad Lascar Merino</t>
  </si>
  <si>
    <t>Cachapoal</t>
  </si>
  <si>
    <t>Región del Libertador General Bernardo O'Higgins</t>
  </si>
  <si>
    <t xml:space="preserve">Carla Silva Acharan </t>
  </si>
  <si>
    <t>Maria Antonieta Carrillo Flores</t>
  </si>
  <si>
    <t>Chillán</t>
  </si>
  <si>
    <t>Diguillín</t>
  </si>
  <si>
    <t>Región de Ñuble</t>
  </si>
  <si>
    <t>Luis Alvarez Diaz</t>
  </si>
  <si>
    <t>Valparaíso</t>
  </si>
  <si>
    <t>San Joaquín</t>
  </si>
  <si>
    <t>Elena Rosa Leyton Carvajal</t>
  </si>
  <si>
    <t>Paine</t>
  </si>
  <si>
    <t>Wladimir Schramm López</t>
  </si>
  <si>
    <t>Rengo</t>
  </si>
  <si>
    <t>Tasa endoso</t>
  </si>
  <si>
    <t>valor Creditú</t>
  </si>
  <si>
    <t>Valor Vivienda</t>
  </si>
  <si>
    <t xml:space="preserve">Morosidad </t>
  </si>
  <si>
    <t>Saldo insoluto Teórico</t>
  </si>
  <si>
    <t>Tasa Endoso</t>
  </si>
  <si>
    <t>Monto Dividendo</t>
  </si>
  <si>
    <t>Carga Financiera/ Renta</t>
  </si>
  <si>
    <t>Dirección de la Propiedad</t>
  </si>
  <si>
    <t>Codigo Comuna</t>
  </si>
  <si>
    <t>202401300028A033</t>
  </si>
  <si>
    <t>18028529-6</t>
  </si>
  <si>
    <t>202401310029A033</t>
  </si>
  <si>
    <t>17540548-8</t>
  </si>
  <si>
    <t>202401310030A033</t>
  </si>
  <si>
    <t>18465199-8</t>
  </si>
  <si>
    <t>202401310034A033</t>
  </si>
  <si>
    <t>15365153-1</t>
  </si>
  <si>
    <t>202401310036A033</t>
  </si>
  <si>
    <t>18187808-8</t>
  </si>
  <si>
    <t>202401250039A033</t>
  </si>
  <si>
    <t>18245649-7</t>
  </si>
  <si>
    <t>202401310041A033</t>
  </si>
  <si>
    <t>15162947-4</t>
  </si>
  <si>
    <t>202401310046A033</t>
  </si>
  <si>
    <t>16666807-7</t>
  </si>
  <si>
    <t>202401310053A033</t>
  </si>
  <si>
    <t>14336994-3</t>
  </si>
  <si>
    <t>202401310054A033</t>
  </si>
  <si>
    <t>19580720-5</t>
  </si>
  <si>
    <t>202401310063A033</t>
  </si>
  <si>
    <t>14349421-7</t>
  </si>
  <si>
    <t>202401310057A033</t>
  </si>
  <si>
    <t>14337194-8</t>
  </si>
  <si>
    <t>202401300058A033</t>
  </si>
  <si>
    <t>14009431-5</t>
  </si>
  <si>
    <t>202401310059A033</t>
  </si>
  <si>
    <t>18738588-1</t>
  </si>
  <si>
    <t>202401310066A033</t>
  </si>
  <si>
    <t>18848650-9</t>
  </si>
  <si>
    <t>202402140067A033</t>
  </si>
  <si>
    <t>19169080-K</t>
  </si>
  <si>
    <t>202402210068A033</t>
  </si>
  <si>
    <t>18951483-2</t>
  </si>
  <si>
    <t>202402070069A033</t>
  </si>
  <si>
    <t>18030850-4</t>
  </si>
  <si>
    <t>202402140070A033</t>
  </si>
  <si>
    <t>18067191-9</t>
  </si>
  <si>
    <t>202402140071A033</t>
  </si>
  <si>
    <t>18386792-K</t>
  </si>
  <si>
    <t>Carrillo</t>
  </si>
  <si>
    <t>Alarcon</t>
  </si>
  <si>
    <t>Francisco Javier</t>
  </si>
  <si>
    <t>Camino Segunda Faja Al Volcán 1260, Edificio ALLIPEN, Piso 4, Departamento 403, Estacionamiento 92 Uso y Goce</t>
  </si>
  <si>
    <t>Mañan</t>
  </si>
  <si>
    <t>Vicente Tomas</t>
  </si>
  <si>
    <t>Avenida Santa Rosa 13240, Torre 3, Piso 1, Departamento 234</t>
  </si>
  <si>
    <t>La Pintana</t>
  </si>
  <si>
    <t>Jelves</t>
  </si>
  <si>
    <t>Sanchez</t>
  </si>
  <si>
    <t>Sebastian Andres</t>
  </si>
  <si>
    <t>Calle Miguel Campino 647, Mz D, Lote 5</t>
  </si>
  <si>
    <t xml:space="preserve">Carvajal </t>
  </si>
  <si>
    <t xml:space="preserve">Danahe Estefani </t>
  </si>
  <si>
    <t>Calle Del Toro 658, Mz D, Lote 33</t>
  </si>
  <si>
    <t>Acevedo</t>
  </si>
  <si>
    <t xml:space="preserve"> Monje</t>
  </si>
  <si>
    <t xml:space="preserve">Barbara Viviana </t>
  </si>
  <si>
    <t>Camino La Vara 02600, Torre 2, Piso 1, Departamento 101</t>
  </si>
  <si>
    <t xml:space="preserve">Palma </t>
  </si>
  <si>
    <t xml:space="preserve">Ponce </t>
  </si>
  <si>
    <t xml:space="preserve">Carola Del Carmen </t>
  </si>
  <si>
    <t>Rio Viejo 1123, Torre A, Piso 4, Departamento 407 A</t>
  </si>
  <si>
    <t>Acuña</t>
  </si>
  <si>
    <t xml:space="preserve"> Mesías</t>
  </si>
  <si>
    <t xml:space="preserve">Kevin Joel </t>
  </si>
  <si>
    <t>Pasaje Copiapó Norte 071, Mz B, Lote 50</t>
  </si>
  <si>
    <t>Molina</t>
  </si>
  <si>
    <t>Isabel Damari</t>
  </si>
  <si>
    <t>Pasaje Juan Vercellino Reginato 987, Mz E, Lote 9</t>
  </si>
  <si>
    <t>Jaque</t>
  </si>
  <si>
    <t>Tabita Del Pilar</t>
  </si>
  <si>
    <t>Pasaje Elena Sanhueza Fajardo 794, Mz C, Lote 1</t>
  </si>
  <si>
    <t xml:space="preserve">Ormeno </t>
  </si>
  <si>
    <t>Salazar</t>
  </si>
  <si>
    <t>Gino Rexner</t>
  </si>
  <si>
    <t>Pasaje La Cumbre 1 2505, Mz 8, Lote 4</t>
  </si>
  <si>
    <t>Osorio</t>
  </si>
  <si>
    <t>Briones</t>
  </si>
  <si>
    <t>Marcela Andrea</t>
  </si>
  <si>
    <t>Pasaje Raquel Labarca Urzua 759, Mz C, Lote 9</t>
  </si>
  <si>
    <t>Lopez</t>
  </si>
  <si>
    <t>Oscar Patricio</t>
  </si>
  <si>
    <t>Avenida Los Héroes 1328, Mz B, Lote 9</t>
  </si>
  <si>
    <t>Sepúlveda</t>
  </si>
  <si>
    <t xml:space="preserve">Camila Del Carmen </t>
  </si>
  <si>
    <t>Pedro Riveros 1400, Torre C, Piso 3, Departamento 33</t>
  </si>
  <si>
    <t>Quilicura</t>
  </si>
  <si>
    <t>Torres</t>
  </si>
  <si>
    <t>Kimberly Lissette</t>
  </si>
  <si>
    <t>Los Abedules 184, Mz 17, Lote 14</t>
  </si>
  <si>
    <t>Melipilla</t>
  </si>
  <si>
    <t>Chaud</t>
  </si>
  <si>
    <t>Sobron</t>
  </si>
  <si>
    <t>Valentina Ignacia</t>
  </si>
  <si>
    <t>Ejercito De Chile 480, 402-A, Departamento 402-A</t>
  </si>
  <si>
    <t>Luis Eduardo Solar Bach</t>
  </si>
  <si>
    <t>Pasaje Roberto Gallegos Delgado 1561, Mz 8, Lote 3</t>
  </si>
  <si>
    <t>Nacimiento</t>
  </si>
  <si>
    <t>Calle Grey 790, Mz A, Lote 55</t>
  </si>
  <si>
    <t>Riveros</t>
  </si>
  <si>
    <t>Av. Cristobal Colon 8551, Edificio 1, Piso 4, Departamento 410</t>
  </si>
  <si>
    <t>Hualpén</t>
  </si>
  <si>
    <t>Ramon Garcia Carrasco</t>
  </si>
  <si>
    <t>Av. Cristobal Colon 8551, Edificio 1, Piso 4, Departamento 415</t>
  </si>
  <si>
    <t xml:space="preserve">Bobadilla </t>
  </si>
  <si>
    <t>Juan Pablo</t>
  </si>
  <si>
    <t>Camino La Vara 02600 , Edificio 3, Piso 2, Departamento 211, Estacionamiento 61 Uso y Goce</t>
  </si>
  <si>
    <t>OK</t>
  </si>
  <si>
    <t xml:space="preserve">Chavez </t>
  </si>
  <si>
    <t>Fuentes</t>
  </si>
  <si>
    <t>Aurora del Carmen</t>
  </si>
  <si>
    <t>Contreras</t>
  </si>
  <si>
    <t>Carrasco</t>
  </si>
  <si>
    <t>Martín Alejandro</t>
  </si>
  <si>
    <t>Saavedra</t>
  </si>
  <si>
    <t>Karen Yannina</t>
  </si>
  <si>
    <t>Gingins</t>
  </si>
  <si>
    <t>Camilo Boris</t>
  </si>
  <si>
    <t>202402270073A033</t>
  </si>
  <si>
    <t>17077021-8</t>
  </si>
  <si>
    <t>Villagran</t>
  </si>
  <si>
    <t>Katerinne Jasminne</t>
  </si>
  <si>
    <t>Calle la Frontera  669</t>
  </si>
  <si>
    <t>Firmada</t>
  </si>
  <si>
    <t>202402260074A033</t>
  </si>
  <si>
    <t>18524978-6</t>
  </si>
  <si>
    <t>Montecinos</t>
  </si>
  <si>
    <t>Nelson Nicolas</t>
  </si>
  <si>
    <t>Calle La Frontera 395</t>
  </si>
  <si>
    <t>María Antonieta Carrillo Flores</t>
  </si>
  <si>
    <t>DD OK</t>
  </si>
  <si>
    <t>202402270075A033</t>
  </si>
  <si>
    <t>19469060-6</t>
  </si>
  <si>
    <t>Thompson</t>
  </si>
  <si>
    <t>Villar</t>
  </si>
  <si>
    <t>Nayarett Andrea</t>
  </si>
  <si>
    <t>Los Aromos 771, Edificio 3</t>
  </si>
  <si>
    <t>Villa Alemana</t>
  </si>
  <si>
    <t>Marga Marga</t>
  </si>
  <si>
    <t>Región de Valparaíso</t>
  </si>
  <si>
    <t>Luis Enrique Fischer Yavar</t>
  </si>
  <si>
    <t>202402210076A033</t>
  </si>
  <si>
    <t>19281269-0</t>
  </si>
  <si>
    <t>Meneses</t>
  </si>
  <si>
    <t>Silva</t>
  </si>
  <si>
    <t>Javiera Aracely</t>
  </si>
  <si>
    <t>PASAJE ADELA DROULLY (PROFESORA) 1703</t>
  </si>
  <si>
    <t>Andrés Falcón Valencia</t>
  </si>
  <si>
    <t>202402270077A033</t>
  </si>
  <si>
    <t>15950240-6</t>
  </si>
  <si>
    <t>Evelyn Carol</t>
  </si>
  <si>
    <t xml:space="preserve"> CALLE NOVENA 1081, Edificio 3</t>
  </si>
  <si>
    <t>202402210078A033</t>
  </si>
  <si>
    <t>25981432-4</t>
  </si>
  <si>
    <t>Lugo</t>
  </si>
  <si>
    <t>Johan Gilberto</t>
  </si>
  <si>
    <t>AVENIDA ARTURO ALESSANDRI PALMA 1736</t>
  </si>
  <si>
    <t>202402260079A033</t>
  </si>
  <si>
    <t>18555794-4</t>
  </si>
  <si>
    <t>Inostroza</t>
  </si>
  <si>
    <t>Arenas</t>
  </si>
  <si>
    <t>Juan Gabriel</t>
  </si>
  <si>
    <t>Los Libertadores  4733, Torre F</t>
  </si>
  <si>
    <t>Cerrillos</t>
  </si>
  <si>
    <t>Pablo Martínez Loaiza</t>
  </si>
  <si>
    <t>202402230080A033</t>
  </si>
  <si>
    <t>19716015-2</t>
  </si>
  <si>
    <t>Alejandra Belen</t>
  </si>
  <si>
    <t>Calle 8 Sur Poniente  499</t>
  </si>
  <si>
    <t>202402260081A033</t>
  </si>
  <si>
    <t>16156341-2</t>
  </si>
  <si>
    <t>Perez</t>
  </si>
  <si>
    <t>Jasma</t>
  </si>
  <si>
    <t>Calle 38 Oriente  350, Torre 3</t>
  </si>
  <si>
    <t>Región del Maule</t>
  </si>
  <si>
    <t>Teodoro Durán Palma</t>
  </si>
  <si>
    <t>202402260082A033</t>
  </si>
  <si>
    <t>18277554-1</t>
  </si>
  <si>
    <t>Ramirez</t>
  </si>
  <si>
    <t>Montecino</t>
  </si>
  <si>
    <t>Paula Andrea</t>
  </si>
  <si>
    <t>Hanga Roa 505, Edificio 1</t>
  </si>
  <si>
    <t>202402260083A033</t>
  </si>
  <si>
    <t>19994889-K</t>
  </si>
  <si>
    <t>Bachman</t>
  </si>
  <si>
    <t>Cristobal Ignacio</t>
  </si>
  <si>
    <t>202402260084A033</t>
  </si>
  <si>
    <t>18596708-5</t>
  </si>
  <si>
    <t>Jazmín Alejandra</t>
  </si>
  <si>
    <t>Camino La Vara  02600, Torre 1</t>
  </si>
  <si>
    <t>202402260085A033</t>
  </si>
  <si>
    <t>17589500-0</t>
  </si>
  <si>
    <t>Guerra</t>
  </si>
  <si>
    <t>Susana Marisela</t>
  </si>
  <si>
    <t>CALLE MIGUEL CAMPINO 659</t>
  </si>
  <si>
    <t>202402260086A033</t>
  </si>
  <si>
    <t>11392169-2</t>
  </si>
  <si>
    <t>Donoso</t>
  </si>
  <si>
    <t>Valdebenito</t>
  </si>
  <si>
    <t>Raul Cristian</t>
  </si>
  <si>
    <t>CALLE DEL TORO 1306</t>
  </si>
  <si>
    <t>202402220087A033</t>
  </si>
  <si>
    <t>20039829-7</t>
  </si>
  <si>
    <t>Medel</t>
  </si>
  <si>
    <t>Bustos</t>
  </si>
  <si>
    <t>Pablo Andres</t>
  </si>
  <si>
    <t>CALLE VICTOR MANUEL SAAVEDRA CAMPOS (DIRIGENTE) 412</t>
  </si>
  <si>
    <t>N/A</t>
  </si>
  <si>
    <t>202402260088A033</t>
  </si>
  <si>
    <t>16377478-K</t>
  </si>
  <si>
    <t>Gálvez</t>
  </si>
  <si>
    <t>Angie Marcela</t>
  </si>
  <si>
    <t>PASAJE COPIAPÓ NORTE 070</t>
  </si>
  <si>
    <t>202402270089A033</t>
  </si>
  <si>
    <t>16597475-1</t>
  </si>
  <si>
    <t>Cortes</t>
  </si>
  <si>
    <t>Ruben Alex</t>
  </si>
  <si>
    <t>Alemania  30, Edificio 3</t>
  </si>
  <si>
    <t>202402270090A033</t>
  </si>
  <si>
    <t>12406726-K</t>
  </si>
  <si>
    <t>Ivonne Arlette</t>
  </si>
  <si>
    <t>PASAJE EXEQUIEL SANCHEZ BALMACEDA (PROFESOR)  1708</t>
  </si>
  <si>
    <t>202402280091A033</t>
  </si>
  <si>
    <t>18452074-5</t>
  </si>
  <si>
    <t>Aguilera</t>
  </si>
  <si>
    <t>Benedetti</t>
  </si>
  <si>
    <t>Natalia Pamela</t>
  </si>
  <si>
    <t>Camino  Las Rosas 518, Edificio 12</t>
  </si>
  <si>
    <t>Luis Álvarez Diaz</t>
  </si>
  <si>
    <t>202402240093A033</t>
  </si>
  <si>
    <t>20614987-6</t>
  </si>
  <si>
    <t>Avalos</t>
  </si>
  <si>
    <t>Belen Del Carmen</t>
  </si>
  <si>
    <t>Matta Vial  635</t>
  </si>
  <si>
    <t>202402270094A033</t>
  </si>
  <si>
    <t>22607181-4</t>
  </si>
  <si>
    <t>Tineo</t>
  </si>
  <si>
    <t>Hector</t>
  </si>
  <si>
    <t>PASAJE AGUSTO SANCHEZ BALMACEDA (PROFESOR)  1709</t>
  </si>
  <si>
    <t>202402260095A033</t>
  </si>
  <si>
    <t>18916005-4</t>
  </si>
  <si>
    <t>Huerta</t>
  </si>
  <si>
    <t>Daniela Mackarena</t>
  </si>
  <si>
    <t>San Enrique 1398, Edificio 2</t>
  </si>
  <si>
    <t>18028529</t>
  </si>
  <si>
    <t>6</t>
  </si>
  <si>
    <t>17540548</t>
  </si>
  <si>
    <t>8</t>
  </si>
  <si>
    <t>18465199</t>
  </si>
  <si>
    <t>15365153</t>
  </si>
  <si>
    <t>1</t>
  </si>
  <si>
    <t>18187808</t>
  </si>
  <si>
    <t>18245649</t>
  </si>
  <si>
    <t>7</t>
  </si>
  <si>
    <t>15162947</t>
  </si>
  <si>
    <t>4</t>
  </si>
  <si>
    <t>16666807</t>
  </si>
  <si>
    <t>14336994</t>
  </si>
  <si>
    <t>3</t>
  </si>
  <si>
    <t>19580720</t>
  </si>
  <si>
    <t>5</t>
  </si>
  <si>
    <t>14349421</t>
  </si>
  <si>
    <t>14337194</t>
  </si>
  <si>
    <t>14009431</t>
  </si>
  <si>
    <t>18738588</t>
  </si>
  <si>
    <t>18848650</t>
  </si>
  <si>
    <t>9</t>
  </si>
  <si>
    <t>19169080</t>
  </si>
  <si>
    <t>K</t>
  </si>
  <si>
    <t>18951483</t>
  </si>
  <si>
    <t>2</t>
  </si>
  <si>
    <t>18030850</t>
  </si>
  <si>
    <t>18067191</t>
  </si>
  <si>
    <t>18386792</t>
  </si>
  <si>
    <t>17077021</t>
  </si>
  <si>
    <t>18524978</t>
  </si>
  <si>
    <t>19469060</t>
  </si>
  <si>
    <t>19281269</t>
  </si>
  <si>
    <t>0</t>
  </si>
  <si>
    <t>15950240</t>
  </si>
  <si>
    <t>25981432</t>
  </si>
  <si>
    <t>18555794</t>
  </si>
  <si>
    <t>19716015</t>
  </si>
  <si>
    <t>16156341</t>
  </si>
  <si>
    <t>18277554</t>
  </si>
  <si>
    <t>19994889</t>
  </si>
  <si>
    <t>18596708</t>
  </si>
  <si>
    <t>17589500</t>
  </si>
  <si>
    <t>11392169</t>
  </si>
  <si>
    <t>20039829</t>
  </si>
  <si>
    <t>16377478</t>
  </si>
  <si>
    <t>16597475</t>
  </si>
  <si>
    <t>12406726</t>
  </si>
  <si>
    <t>18452074</t>
  </si>
  <si>
    <t>20614987</t>
  </si>
  <si>
    <t>22607181</t>
  </si>
  <si>
    <t>18916005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</si>
</sst>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0.0000"/>
    <numFmt numFmtId="165" formatCode="_ &quot;$&quot;* #,##0.00_ ;_ &quot;$&quot;* \-#,##0.00_ ;_ &quot;$&quot;* &quot;-&quot;_ ;_ @_ "/>
    <numFmt numFmtId="166" formatCode="mmm/yyyy"/>
    <numFmt numFmtId="167" formatCode="0.0%"/>
    <numFmt numFmtId="168" formatCode="0.000"/>
    <numFmt numFmtId="169" formatCode="_ * #,##0.000_ ;_ * \-#,##0.000_ ;_ * &quot;-&quot;_ ;_ @_ "/>
    <numFmt numFmtId="170" formatCode="_ * #,##0.0000_ ;_ * \-#,##0.0000_ ;_ * &quot;-&quot;_ ;_ @_ "/>
  </numFmts>
  <fonts count="3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9"/>
      <color theme="1"/>
      <name val="Calibri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sz val="8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17">
    <xf numFmtId="0" fontId="0" fillId="0" borderId="0"/>
    <xf numFmtId="0" fontId="15" fillId="0" borderId="0"/>
    <xf numFmtId="0" fontId="11" fillId="0" borderId="0"/>
    <xf numFmtId="0" fontId="16" fillId="0" borderId="0"/>
    <xf numFmtId="0" fontId="16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9" fontId="12" fillId="0" borderId="0" applyFont="0" applyFill="0" applyBorder="0" applyAlignment="0" applyProtection="0"/>
    <xf numFmtId="0" fontId="16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" fillId="0" borderId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14" fontId="13" fillId="2" borderId="3" xfId="0" applyNumberFormat="1" applyFont="1" applyFill="1" applyBorder="1" applyAlignment="1">
      <alignment horizontal="center" wrapText="1"/>
    </xf>
    <xf numFmtId="10" fontId="0" fillId="0" borderId="0" xfId="0" applyNumberFormat="1"/>
    <xf numFmtId="0" fontId="0" fillId="3" borderId="0" xfId="0" applyFill="1"/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wrapText="1"/>
    </xf>
    <xf numFmtId="0" fontId="0" fillId="4" borderId="0" xfId="0" applyFill="1"/>
    <xf numFmtId="0" fontId="13" fillId="4" borderId="2" xfId="0" applyFont="1" applyFill="1" applyBorder="1" applyAlignment="1">
      <alignment horizontal="center" wrapText="1"/>
    </xf>
    <xf numFmtId="0" fontId="13" fillId="4" borderId="2" xfId="0" applyFont="1" applyFill="1" applyBorder="1" applyAlignment="1">
      <alignment horizontal="center"/>
    </xf>
    <xf numFmtId="0" fontId="13" fillId="4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5" fontId="23" fillId="0" borderId="1" xfId="43" applyNumberFormat="1" applyFont="1" applyBorder="1" applyAlignment="1">
      <alignment horizontal="right"/>
    </xf>
    <xf numFmtId="0" fontId="0" fillId="3" borderId="1" xfId="0" applyFill="1" applyBorder="1"/>
    <xf numFmtId="0" fontId="0" fillId="4" borderId="0" xfId="0" applyFill="1" applyAlignment="1">
      <alignment horizontal="center"/>
    </xf>
    <xf numFmtId="1" fontId="25" fillId="3" borderId="1" xfId="3" applyNumberFormat="1" applyFont="1" applyFill="1" applyBorder="1" applyAlignment="1">
      <alignment horizontal="center"/>
    </xf>
    <xf numFmtId="14" fontId="25" fillId="3" borderId="1" xfId="3" applyNumberFormat="1" applyFont="1" applyFill="1" applyBorder="1" applyAlignment="1">
      <alignment horizontal="center"/>
    </xf>
    <xf numFmtId="1" fontId="26" fillId="3" borderId="1" xfId="0" applyNumberFormat="1" applyFont="1" applyFill="1" applyBorder="1" applyAlignment="1">
      <alignment horizontal="center"/>
    </xf>
    <xf numFmtId="164" fontId="17" fillId="0" borderId="1" xfId="0" applyNumberFormat="1" applyFont="1" applyBorder="1"/>
    <xf numFmtId="0" fontId="0" fillId="0" borderId="4" xfId="0" applyBorder="1"/>
    <xf numFmtId="0" fontId="27" fillId="3" borderId="1" xfId="4" applyFont="1" applyFill="1" applyBorder="1"/>
    <xf numFmtId="0" fontId="27" fillId="3" borderId="1" xfId="4" applyFont="1" applyFill="1" applyBorder="1" applyAlignment="1">
      <alignment horizontal="center"/>
    </xf>
    <xf numFmtId="1" fontId="8" fillId="3" borderId="1" xfId="0" applyNumberFormat="1" applyFont="1" applyFill="1" applyBorder="1" applyAlignment="1">
      <alignment horizontal="center" vertical="center"/>
    </xf>
    <xf numFmtId="10" fontId="25" fillId="3" borderId="1" xfId="42" applyNumberFormat="1" applyFont="1" applyFill="1" applyBorder="1" applyAlignment="1">
      <alignment horizontal="center"/>
    </xf>
    <xf numFmtId="0" fontId="30" fillId="7" borderId="2" xfId="366" applyFont="1" applyFill="1" applyBorder="1" applyAlignment="1">
      <alignment wrapText="1"/>
    </xf>
    <xf numFmtId="0" fontId="30" fillId="8" borderId="0" xfId="366" applyFont="1" applyFill="1" applyAlignment="1">
      <alignment wrapText="1"/>
    </xf>
    <xf numFmtId="0" fontId="31" fillId="3" borderId="1" xfId="366" applyFont="1" applyFill="1" applyBorder="1"/>
    <xf numFmtId="0" fontId="31" fillId="8" borderId="0" xfId="366" applyFont="1" applyFill="1"/>
    <xf numFmtId="165" fontId="31" fillId="8" borderId="0" xfId="366" applyNumberFormat="1" applyFont="1" applyFill="1"/>
    <xf numFmtId="166" fontId="31" fillId="8" borderId="0" xfId="366" applyNumberFormat="1" applyFont="1" applyFill="1"/>
    <xf numFmtId="41" fontId="31" fillId="8" borderId="0" xfId="367" applyFont="1" applyFill="1"/>
    <xf numFmtId="14" fontId="25" fillId="3" borderId="1" xfId="42" applyNumberFormat="1" applyFont="1" applyFill="1" applyBorder="1" applyAlignment="1">
      <alignment horizontal="center"/>
    </xf>
    <xf numFmtId="14" fontId="0" fillId="0" borderId="0" xfId="0" applyNumberFormat="1"/>
    <xf numFmtId="2" fontId="0" fillId="6" borderId="1" xfId="0" applyNumberFormat="1" applyFill="1" applyBorder="1"/>
    <xf numFmtId="2" fontId="0" fillId="6" borderId="1" xfId="0" applyNumberForma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13" fillId="4" borderId="0" xfId="0" applyFont="1" applyFill="1" applyBorder="1" applyAlignment="1">
      <alignment horizontal="center"/>
    </xf>
    <xf numFmtId="41" fontId="0" fillId="0" borderId="0" xfId="394" applyFont="1"/>
    <xf numFmtId="0" fontId="30" fillId="3" borderId="1" xfId="366" applyFont="1" applyFill="1" applyBorder="1" applyAlignment="1">
      <alignment wrapText="1"/>
    </xf>
    <xf numFmtId="14" fontId="31" fillId="8" borderId="0" xfId="366" applyNumberFormat="1" applyFont="1" applyFill="1"/>
    <xf numFmtId="0" fontId="13" fillId="2" borderId="1" xfId="0" applyFont="1" applyFill="1" applyBorder="1" applyAlignment="1">
      <alignment horizontal="center" wrapText="1"/>
    </xf>
    <xf numFmtId="2" fontId="25" fillId="3" borderId="1" xfId="3" applyNumberFormat="1" applyFont="1" applyFill="1" applyBorder="1" applyAlignment="1">
      <alignment horizontal="center"/>
    </xf>
    <xf numFmtId="0" fontId="0" fillId="0" borderId="0" xfId="0"/>
    <xf numFmtId="0" fontId="30" fillId="7" borderId="2" xfId="398" applyFont="1" applyFill="1" applyBorder="1" applyAlignment="1">
      <alignment wrapText="1"/>
    </xf>
    <xf numFmtId="0" fontId="30" fillId="7" borderId="1" xfId="398" applyFont="1" applyFill="1" applyBorder="1" applyAlignment="1">
      <alignment wrapText="1"/>
    </xf>
    <xf numFmtId="165" fontId="30" fillId="7" borderId="1" xfId="398" applyNumberFormat="1" applyFont="1" applyFill="1" applyBorder="1" applyAlignment="1">
      <alignment wrapText="1"/>
    </xf>
    <xf numFmtId="166" fontId="30" fillId="7" borderId="1" xfId="398" applyNumberFormat="1" applyFont="1" applyFill="1" applyBorder="1" applyAlignment="1">
      <alignment wrapText="1"/>
    </xf>
    <xf numFmtId="41" fontId="30" fillId="7" borderId="1" xfId="399" applyFont="1" applyFill="1" applyBorder="1" applyAlignment="1">
      <alignment wrapText="1"/>
    </xf>
    <xf numFmtId="0" fontId="0" fillId="0" borderId="0" xfId="0" applyNumberFormat="1" applyAlignment="1">
      <alignment horizontal="center"/>
    </xf>
    <xf numFmtId="0" fontId="13" fillId="2" borderId="0" xfId="0" applyNumberFormat="1" applyFont="1" applyFill="1" applyAlignment="1">
      <alignment horizontal="center" wrapText="1"/>
    </xf>
    <xf numFmtId="0" fontId="0" fillId="0" borderId="0" xfId="0" applyNumberFormat="1"/>
    <xf numFmtId="0" fontId="30" fillId="6" borderId="2" xfId="366" applyFont="1" applyFill="1" applyBorder="1" applyAlignment="1">
      <alignment wrapText="1"/>
    </xf>
    <xf numFmtId="0" fontId="31" fillId="6" borderId="1" xfId="366" applyFont="1" applyFill="1" applyBorder="1"/>
    <xf numFmtId="0" fontId="31" fillId="6" borderId="0" xfId="366" applyFont="1" applyFill="1"/>
    <xf numFmtId="167" fontId="26" fillId="3" borderId="1" xfId="42" applyNumberFormat="1" applyFont="1" applyFill="1" applyBorder="1" applyAlignment="1">
      <alignment horizontal="center"/>
    </xf>
    <xf numFmtId="2" fontId="18" fillId="5" borderId="1" xfId="0" applyNumberFormat="1" applyFont="1" applyFill="1" applyBorder="1" applyAlignment="1">
      <alignment vertical="center"/>
    </xf>
    <xf numFmtId="0" fontId="13" fillId="2" borderId="0" xfId="0" applyFont="1" applyFill="1" applyAlignment="1">
      <alignment horizontal="center" wrapText="1"/>
    </xf>
    <xf numFmtId="0" fontId="13" fillId="2" borderId="0" xfId="1" applyFont="1" applyFill="1" applyAlignment="1">
      <alignment horizontal="center" wrapText="1"/>
    </xf>
    <xf numFmtId="2" fontId="0" fillId="0" borderId="4" xfId="0" applyNumberFormat="1" applyBorder="1"/>
    <xf numFmtId="168" fontId="15" fillId="3" borderId="0" xfId="1" applyNumberFormat="1" applyFill="1"/>
    <xf numFmtId="0" fontId="15" fillId="3" borderId="0" xfId="1" applyFill="1"/>
    <xf numFmtId="0" fontId="15" fillId="3" borderId="0" xfId="1" applyFill="1" applyAlignment="1">
      <alignment horizontal="right"/>
    </xf>
    <xf numFmtId="0" fontId="13" fillId="4" borderId="0" xfId="1" applyFont="1" applyFill="1"/>
    <xf numFmtId="0" fontId="13" fillId="4" borderId="0" xfId="1" applyFont="1" applyFill="1" applyAlignment="1">
      <alignment horizontal="right"/>
    </xf>
    <xf numFmtId="168" fontId="33" fillId="3" borderId="1" xfId="42" applyNumberFormat="1" applyFont="1" applyFill="1" applyBorder="1" applyAlignment="1">
      <alignment horizontal="center"/>
    </xf>
    <xf numFmtId="169" fontId="3" fillId="11" borderId="1" xfId="367" applyNumberFormat="1" applyFont="1" applyFill="1" applyBorder="1"/>
    <xf numFmtId="170" fontId="3" fillId="11" borderId="1" xfId="367" applyNumberFormat="1" applyFont="1" applyFill="1" applyBorder="1"/>
    <xf numFmtId="0" fontId="3" fillId="11" borderId="1" xfId="1" applyFont="1" applyFill="1" applyBorder="1" applyAlignment="1">
      <alignment wrapText="1"/>
    </xf>
    <xf numFmtId="0" fontId="3" fillId="11" borderId="1" xfId="1" applyFont="1" applyFill="1" applyBorder="1" applyAlignment="1">
      <alignment horizontal="right"/>
    </xf>
    <xf numFmtId="0" fontId="3" fillId="11" borderId="1" xfId="1" applyFont="1" applyFill="1" applyBorder="1"/>
    <xf numFmtId="164" fontId="3" fillId="11" borderId="1" xfId="368" applyNumberFormat="1" applyFont="1" applyFill="1" applyBorder="1"/>
    <xf numFmtId="41" fontId="18" fillId="5" borderId="1" xfId="394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wrapText="1"/>
    </xf>
    <xf numFmtId="41" fontId="31" fillId="9" borderId="1" xfId="367" applyFont="1" applyFill="1" applyBorder="1"/>
    <xf numFmtId="165" fontId="31" fillId="9" borderId="1" xfId="369" applyNumberFormat="1" applyFont="1" applyFill="1" applyBorder="1"/>
    <xf numFmtId="0" fontId="0" fillId="0" borderId="0" xfId="0"/>
    <xf numFmtId="0" fontId="31" fillId="9" borderId="1" xfId="406" applyFont="1" applyFill="1" applyBorder="1"/>
    <xf numFmtId="0" fontId="32" fillId="0" borderId="5" xfId="0" applyFont="1" applyBorder="1" applyAlignment="1">
      <alignment horizontal="right"/>
    </xf>
    <xf numFmtId="0" fontId="31" fillId="3" borderId="1" xfId="406" applyFont="1" applyFill="1" applyBorder="1"/>
    <xf numFmtId="2" fontId="31" fillId="3" borderId="1" xfId="406" applyNumberFormat="1" applyFont="1" applyFill="1" applyBorder="1"/>
    <xf numFmtId="10" fontId="31" fillId="3" borderId="1" xfId="42" applyNumberFormat="1" applyFont="1" applyFill="1" applyBorder="1"/>
    <xf numFmtId="10" fontId="31" fillId="9" borderId="1" xfId="408" applyNumberFormat="1" applyFont="1" applyFill="1" applyBorder="1"/>
    <xf numFmtId="1" fontId="31" fillId="3" borderId="1" xfId="406" applyNumberFormat="1" applyFont="1" applyFill="1" applyBorder="1"/>
    <xf numFmtId="165" fontId="31" fillId="3" borderId="1" xfId="406" applyNumberFormat="1" applyFont="1" applyFill="1" applyBorder="1"/>
    <xf numFmtId="10" fontId="31" fillId="9" borderId="1" xfId="406" applyNumberFormat="1" applyFont="1" applyFill="1" applyBorder="1"/>
    <xf numFmtId="14" fontId="31" fillId="3" borderId="1" xfId="408" applyNumberFormat="1" applyFont="1" applyFill="1" applyBorder="1"/>
    <xf numFmtId="14" fontId="31" fillId="9" borderId="1" xfId="408" applyNumberFormat="1" applyFont="1" applyFill="1" applyBorder="1"/>
    <xf numFmtId="14" fontId="31" fillId="3" borderId="1" xfId="406" applyNumberFormat="1" applyFont="1" applyFill="1" applyBorder="1"/>
    <xf numFmtId="14" fontId="31" fillId="9" borderId="1" xfId="406" applyNumberFormat="1" applyFont="1" applyFill="1" applyBorder="1"/>
    <xf numFmtId="0" fontId="31" fillId="0" borderId="1" xfId="406" applyFont="1" applyBorder="1"/>
    <xf numFmtId="10" fontId="31" fillId="0" borderId="1" xfId="42" applyNumberFormat="1" applyFont="1" applyFill="1" applyBorder="1"/>
    <xf numFmtId="0" fontId="31" fillId="0" borderId="1" xfId="42" applyNumberFormat="1" applyFont="1" applyFill="1" applyBorder="1"/>
    <xf numFmtId="0" fontId="36" fillId="0" borderId="5" xfId="0" applyFont="1" applyBorder="1" applyAlignment="1">
      <alignment horizontal="right"/>
    </xf>
    <xf numFmtId="0" fontId="34" fillId="14" borderId="1" xfId="406" applyFont="1" applyFill="1" applyBorder="1"/>
    <xf numFmtId="0" fontId="35" fillId="14" borderId="5" xfId="0" applyFont="1" applyFill="1" applyBorder="1" applyAlignment="1">
      <alignment horizontal="right"/>
    </xf>
    <xf numFmtId="2" fontId="34" fillId="14" borderId="1" xfId="406" applyNumberFormat="1" applyFont="1" applyFill="1" applyBorder="1"/>
    <xf numFmtId="10" fontId="34" fillId="14" borderId="1" xfId="42" applyNumberFormat="1" applyFont="1" applyFill="1" applyBorder="1"/>
    <xf numFmtId="10" fontId="34" fillId="14" borderId="1" xfId="408" applyNumberFormat="1" applyFont="1" applyFill="1" applyBorder="1"/>
    <xf numFmtId="1" fontId="34" fillId="14" borderId="1" xfId="406" applyNumberFormat="1" applyFont="1" applyFill="1" applyBorder="1"/>
    <xf numFmtId="165" fontId="34" fillId="14" borderId="1" xfId="406" applyNumberFormat="1" applyFont="1" applyFill="1" applyBorder="1"/>
    <xf numFmtId="10" fontId="34" fillId="14" borderId="1" xfId="406" applyNumberFormat="1" applyFont="1" applyFill="1" applyBorder="1"/>
    <xf numFmtId="14" fontId="34" fillId="14" borderId="1" xfId="408" applyNumberFormat="1" applyFont="1" applyFill="1" applyBorder="1"/>
    <xf numFmtId="14" fontId="34" fillId="14" borderId="1" xfId="406" applyNumberFormat="1" applyFont="1" applyFill="1" applyBorder="1"/>
    <xf numFmtId="0" fontId="34" fillId="14" borderId="1" xfId="42" applyNumberFormat="1" applyFont="1" applyFill="1" applyBorder="1"/>
    <xf numFmtId="0" fontId="31" fillId="13" borderId="1" xfId="42" applyNumberFormat="1" applyFont="1" applyFill="1" applyBorder="1" applyAlignment="1">
      <alignment horizontal="right"/>
    </xf>
    <xf numFmtId="165" fontId="31" fillId="10" borderId="1" xfId="369" applyNumberFormat="1" applyFont="1" applyFill="1" applyBorder="1"/>
    <xf numFmtId="165" fontId="34" fillId="14" borderId="1" xfId="369" applyNumberFormat="1" applyFont="1" applyFill="1" applyBorder="1"/>
    <xf numFmtId="41" fontId="34" fillId="14" borderId="1" xfId="367" applyFont="1" applyFill="1" applyBorder="1"/>
    <xf numFmtId="1" fontId="0" fillId="0" borderId="4" xfId="0" applyNumberFormat="1" applyBorder="1"/>
    <xf numFmtId="41" fontId="0" fillId="0" borderId="4" xfId="394" applyFont="1" applyBorder="1"/>
    <xf numFmtId="0" fontId="0" fillId="12" borderId="0" xfId="0" applyFill="1" applyAlignment="1">
      <alignment horizontal="center"/>
    </xf>
    <xf numFmtId="4" fontId="1" fillId="5" borderId="0" xfId="415" applyNumberFormat="1" applyFill="1" applyAlignment="1">
      <alignment horizontal="center"/>
    </xf>
    <xf numFmtId="0" fontId="1" fillId="0" borderId="0" xfId="415"/>
    <xf numFmtId="0" fontId="13" fillId="2" borderId="0" xfId="0" applyFont="1" applyFill="1" applyAlignment="1">
      <alignment horizontal="center" wrapText="1"/>
    </xf>
    <xf numFmtId="14" fontId="13" fillId="2" borderId="0" xfId="0" applyNumberFormat="1" applyFont="1" applyFill="1" applyAlignment="1">
      <alignment horizontal="center" wrapText="1"/>
    </xf>
    <xf numFmtId="168" fontId="13" fillId="4" borderId="0" xfId="1" applyNumberFormat="1" applyFont="1" applyFill="1" applyAlignment="1">
      <alignment horizontal="center" wrapText="1"/>
    </xf>
    <xf numFmtId="0" fontId="13" fillId="4" borderId="0" xfId="1" applyFont="1" applyFill="1" applyAlignment="1">
      <alignment horizontal="center" wrapText="1"/>
    </xf>
    <xf numFmtId="0" fontId="13" fillId="4" borderId="0" xfId="1" applyFont="1" applyFill="1" applyAlignment="1">
      <alignment horizontal="left" vertical="center" wrapText="1"/>
    </xf>
  </cellXfs>
  <cellStyles count="417">
    <cellStyle name="Comma [0]" xfId="394" builtinId="6"/>
    <cellStyle name="Comma [0] 2" xfId="414" xr:uid="{641F6BB8-D352-43BC-A529-6E2DE2D2A1EC}"/>
    <cellStyle name="Comma 2" xfId="396" xr:uid="{61DAE624-8524-4605-A264-45FB28E24F4D}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Millares [0] 2" xfId="367" xr:uid="{00000000-0005-0000-0000-000057010000}"/>
    <cellStyle name="Millares [0] 2 2" xfId="391" xr:uid="{00000000-0005-0000-0000-000058010000}"/>
    <cellStyle name="Millares [0] 2 3" xfId="399" xr:uid="{22D26C3D-25D8-4F95-9382-7978C1AA5DB6}"/>
    <cellStyle name="Millares [0] 2 4" xfId="407" xr:uid="{DCA089A3-94EF-480A-B781-E00F6629A498}"/>
    <cellStyle name="Millares [0] 3" xfId="403" xr:uid="{1812FEFA-85E9-4AB7-9B0A-17764B086FA4}"/>
    <cellStyle name="Millares [0] 3 2" xfId="411" xr:uid="{F4DB6D6F-A5F4-49AE-A6D3-F9620B8435F9}"/>
    <cellStyle name="Moneda [0] 2" xfId="369" xr:uid="{00000000-0005-0000-0000-000059010000}"/>
    <cellStyle name="Moneda [0] 2 2" xfId="393" xr:uid="{00000000-0005-0000-0000-00005A010000}"/>
    <cellStyle name="Moneda [0] 2 3" xfId="401" xr:uid="{01651F93-B1FD-45BC-8C00-29D8878F8635}"/>
    <cellStyle name="Moneda [0] 2 4" xfId="409" xr:uid="{8AEC89F5-F500-4712-9FFF-BE7489D38E17}"/>
    <cellStyle name="Moneda [0] 3" xfId="405" xr:uid="{5193C545-A04E-456B-BDCA-7E25F59B7ADA}"/>
    <cellStyle name="Moneda [0] 3 2" xfId="413" xr:uid="{400C58C1-4786-4D37-938B-6168C25DA68B}"/>
    <cellStyle name="Normal" xfId="0" builtinId="0"/>
    <cellStyle name="Normal 10" xfId="5" xr:uid="{00000000-0005-0000-0000-00005C010000}"/>
    <cellStyle name="Normal 11" xfId="67" xr:uid="{00000000-0005-0000-0000-00005D010000}"/>
    <cellStyle name="Normal 11 2" xfId="389" xr:uid="{00000000-0005-0000-0000-00005E010000}"/>
    <cellStyle name="Normal 12" xfId="366" xr:uid="{00000000-0005-0000-0000-00005F010000}"/>
    <cellStyle name="Normal 12 2" xfId="390" xr:uid="{00000000-0005-0000-0000-000060010000}"/>
    <cellStyle name="Normal 12 3" xfId="398" xr:uid="{BBBE605B-08E4-44EC-9397-283B0B59D9BC}"/>
    <cellStyle name="Normal 12 4" xfId="406" xr:uid="{73692E2B-65A8-43E1-9968-A130ED6FB41B}"/>
    <cellStyle name="Normal 13" xfId="395" xr:uid="{DD7D5354-0C31-48D0-B826-38BBD5C18960}"/>
    <cellStyle name="Normal 14" xfId="415" xr:uid="{94966666-A202-4AB2-8F41-D042FDA54019}"/>
    <cellStyle name="Normal 2" xfId="1" xr:uid="{00000000-0005-0000-0000-000061010000}"/>
    <cellStyle name="Normal 2 2" xfId="6" xr:uid="{00000000-0005-0000-0000-000062010000}"/>
    <cellStyle name="Normal 2 2 2" xfId="59" xr:uid="{00000000-0005-0000-0000-000063010000}"/>
    <cellStyle name="Normal 2 2 2 2" xfId="381" xr:uid="{00000000-0005-0000-0000-000064010000}"/>
    <cellStyle name="Normal 2 2 3" xfId="372" xr:uid="{00000000-0005-0000-0000-000065010000}"/>
    <cellStyle name="Normal 2 3" xfId="402" xr:uid="{2BEBC982-2A73-45CC-8E10-4FE3FF9E5AE2}"/>
    <cellStyle name="Normal 2 4" xfId="410" xr:uid="{3255E02F-97E3-4903-A17B-D89C26E452CE}"/>
    <cellStyle name="Normal 3" xfId="2" xr:uid="{00000000-0005-0000-0000-000066010000}"/>
    <cellStyle name="Normal 3 2" xfId="7" xr:uid="{00000000-0005-0000-0000-000067010000}"/>
    <cellStyle name="Normal 3 2 2" xfId="60" xr:uid="{00000000-0005-0000-0000-000068010000}"/>
    <cellStyle name="Normal 3 2 2 2" xfId="382" xr:uid="{00000000-0005-0000-0000-000069010000}"/>
    <cellStyle name="Normal 3 2 3" xfId="373" xr:uid="{00000000-0005-0000-0000-00006A010000}"/>
    <cellStyle name="Normal 3 3" xfId="58" xr:uid="{00000000-0005-0000-0000-00006B010000}"/>
    <cellStyle name="Normal 3 3 2" xfId="380" xr:uid="{00000000-0005-0000-0000-00006C010000}"/>
    <cellStyle name="Normal 3 4" xfId="371" xr:uid="{00000000-0005-0000-0000-00006D010000}"/>
    <cellStyle name="Normal 4" xfId="8" xr:uid="{00000000-0005-0000-0000-00006E010000}"/>
    <cellStyle name="Normal 4 2" xfId="61" xr:uid="{00000000-0005-0000-0000-00006F010000}"/>
    <cellStyle name="Normal 4 2 2" xfId="383" xr:uid="{00000000-0005-0000-0000-000070010000}"/>
    <cellStyle name="Normal 4 3" xfId="374" xr:uid="{00000000-0005-0000-0000-000071010000}"/>
    <cellStyle name="Normal 5" xfId="9" xr:uid="{00000000-0005-0000-0000-000072010000}"/>
    <cellStyle name="Normal 5 2" xfId="62" xr:uid="{00000000-0005-0000-0000-000073010000}"/>
    <cellStyle name="Normal 5 2 2" xfId="384" xr:uid="{00000000-0005-0000-0000-000074010000}"/>
    <cellStyle name="Normal 5 3" xfId="375" xr:uid="{00000000-0005-0000-0000-000075010000}"/>
    <cellStyle name="Normal 6" xfId="10" xr:uid="{00000000-0005-0000-0000-000076010000}"/>
    <cellStyle name="Normal 6 2" xfId="63" xr:uid="{00000000-0005-0000-0000-000077010000}"/>
    <cellStyle name="Normal 6 2 2" xfId="385" xr:uid="{00000000-0005-0000-0000-000078010000}"/>
    <cellStyle name="Normal 6 3" xfId="376" xr:uid="{00000000-0005-0000-0000-000079010000}"/>
    <cellStyle name="Normal 7" xfId="11" xr:uid="{00000000-0005-0000-0000-00007A010000}"/>
    <cellStyle name="Normal 7 2" xfId="64" xr:uid="{00000000-0005-0000-0000-00007B010000}"/>
    <cellStyle name="Normal 7 2 2" xfId="386" xr:uid="{00000000-0005-0000-0000-00007C010000}"/>
    <cellStyle name="Normal 7 3" xfId="377" xr:uid="{00000000-0005-0000-0000-00007D010000}"/>
    <cellStyle name="Normal 8" xfId="12" xr:uid="{00000000-0005-0000-0000-00007E010000}"/>
    <cellStyle name="Normal 8 2" xfId="65" xr:uid="{00000000-0005-0000-0000-00007F010000}"/>
    <cellStyle name="Normal 8 2 2" xfId="387" xr:uid="{00000000-0005-0000-0000-000080010000}"/>
    <cellStyle name="Normal 8 3" xfId="378" xr:uid="{00000000-0005-0000-0000-000081010000}"/>
    <cellStyle name="Normal 9" xfId="13" xr:uid="{00000000-0005-0000-0000-000082010000}"/>
    <cellStyle name="Normal 9 2" xfId="66" xr:uid="{00000000-0005-0000-0000-000083010000}"/>
    <cellStyle name="Normal 9 2 2" xfId="388" xr:uid="{00000000-0005-0000-0000-000084010000}"/>
    <cellStyle name="Normal 9 3" xfId="379" xr:uid="{00000000-0005-0000-0000-000085010000}"/>
    <cellStyle name="Normal_COMPRAS" xfId="3" xr:uid="{00000000-0005-0000-0000-000086010000}"/>
    <cellStyle name="Normal_Sheet1" xfId="4" xr:uid="{00000000-0005-0000-0000-000087010000}"/>
    <cellStyle name="Normal_Sheet3" xfId="43" xr:uid="{00000000-0005-0000-0000-000088010000}"/>
    <cellStyle name="Percent" xfId="42" builtinId="5"/>
    <cellStyle name="Percent 2" xfId="370" xr:uid="{00000000-0005-0000-0000-00008A010000}"/>
    <cellStyle name="Percent 3" xfId="397" xr:uid="{6D4B4535-6F27-4854-9086-0AE9ADBF0C9E}"/>
    <cellStyle name="Percent 4" xfId="416" xr:uid="{B1916E87-27CF-4833-98A8-DBF922A6572A}"/>
    <cellStyle name="Porcentaje 2" xfId="368" xr:uid="{00000000-0005-0000-0000-00008B010000}"/>
    <cellStyle name="Porcentaje 2 2" xfId="392" xr:uid="{00000000-0005-0000-0000-00008C010000}"/>
    <cellStyle name="Porcentaje 2 3" xfId="400" xr:uid="{4ECEC393-077E-4967-BB28-207ADAD4BDA5}"/>
    <cellStyle name="Porcentaje 2 4" xfId="408" xr:uid="{B7D00082-E783-42BF-AC56-004013C7C8C7}"/>
    <cellStyle name="Porcentaje 3" xfId="404" xr:uid="{EC0093E0-8DF7-46E5-BD20-C1F484243E78}"/>
    <cellStyle name="Porcentaje 3 2" xfId="412" xr:uid="{0027039F-2830-48E3-909E-F9ABF22BB99F}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3"/>
  <sheetViews>
    <sheetView tabSelected="1" topLeftCell="Q1" workbookViewId="0">
      <pane ySplit="1" topLeftCell="A26" activePane="bottomLeft" state="frozen"/>
      <selection pane="bottomLeft" activeCell="T26" sqref="T26"/>
    </sheetView>
  </sheetViews>
  <sheetFormatPr defaultColWidth="11.44140625" defaultRowHeight="13.8" x14ac:dyDescent="0.3"/>
  <cols>
    <col min="1" max="1" width="3.109375" style="30" bestFit="1" customWidth="1"/>
    <col min="2" max="2" width="16.109375" style="30" bestFit="1" customWidth="1"/>
    <col min="3" max="3" width="11" style="30" bestFit="1" customWidth="1"/>
    <col min="4" max="4" width="9" style="57" customWidth="1"/>
    <col min="5" max="5" width="3.33203125" style="57" customWidth="1"/>
    <col min="6" max="6" width="9.5546875" style="30" bestFit="1" customWidth="1"/>
    <col min="7" max="7" width="10.109375" style="30" bestFit="1" customWidth="1"/>
    <col min="8" max="8" width="22.44140625" style="30" bestFit="1" customWidth="1"/>
    <col min="9" max="9" width="9.109375" style="30" bestFit="1" customWidth="1"/>
    <col min="10" max="10" width="16.44140625" style="30" bestFit="1" customWidth="1"/>
    <col min="11" max="11" width="10.44140625" style="30" bestFit="1" customWidth="1"/>
    <col min="12" max="13" width="11.44140625" style="30"/>
    <col min="14" max="14" width="10.109375" style="30" bestFit="1" customWidth="1"/>
    <col min="15" max="15" width="10.6640625" style="30" customWidth="1"/>
    <col min="16" max="16" width="9.109375" style="30" customWidth="1"/>
    <col min="17" max="17" width="6.88671875" style="30" customWidth="1"/>
    <col min="18" max="18" width="7.6640625" style="30" bestFit="1" customWidth="1"/>
    <col min="19" max="19" width="16.5546875" style="31" bestFit="1" customWidth="1"/>
    <col min="20" max="20" width="16.109375" style="31" bestFit="1" customWidth="1"/>
    <col min="21" max="21" width="13.5546875" style="31" bestFit="1" customWidth="1"/>
    <col min="22" max="22" width="9.88671875" style="30" bestFit="1" customWidth="1"/>
    <col min="23" max="23" width="11.88671875" style="30" bestFit="1" customWidth="1"/>
    <col min="24" max="24" width="11" style="30" customWidth="1"/>
    <col min="25" max="25" width="12.6640625" style="30" customWidth="1"/>
    <col min="26" max="26" width="13.5546875" style="32" customWidth="1"/>
    <col min="27" max="27" width="18.44140625" style="30" customWidth="1"/>
    <col min="28" max="28" width="13.5546875" style="30" bestFit="1" customWidth="1"/>
    <col min="29" max="29" width="12.109375" style="30" customWidth="1"/>
    <col min="30" max="30" width="15.88671875" style="33" customWidth="1"/>
    <col min="31" max="31" width="17.44140625" style="30" bestFit="1" customWidth="1"/>
    <col min="32" max="32" width="17.6640625" style="30" bestFit="1" customWidth="1"/>
    <col min="33" max="33" width="15.109375" style="30" bestFit="1" customWidth="1"/>
    <col min="34" max="34" width="12.88671875" style="30" bestFit="1" customWidth="1"/>
    <col min="35" max="35" width="34.88671875" style="30" bestFit="1" customWidth="1"/>
    <col min="36" max="36" width="23.44140625" style="30" bestFit="1" customWidth="1"/>
    <col min="37" max="37" width="12.88671875" style="30" bestFit="1" customWidth="1"/>
    <col min="38" max="38" width="11.44140625" style="43"/>
    <col min="39" max="16384" width="11.44140625" style="30"/>
  </cols>
  <sheetData>
    <row r="1" spans="1:41" s="28" customFormat="1" ht="55.2" x14ac:dyDescent="0.3">
      <c r="A1" s="27" t="s">
        <v>0</v>
      </c>
      <c r="B1" s="27" t="s">
        <v>15</v>
      </c>
      <c r="C1" s="27" t="s">
        <v>7</v>
      </c>
      <c r="D1" s="55" t="s">
        <v>16</v>
      </c>
      <c r="E1" s="55" t="s">
        <v>8</v>
      </c>
      <c r="F1" s="47" t="s">
        <v>17</v>
      </c>
      <c r="G1" s="47" t="s">
        <v>5</v>
      </c>
      <c r="H1" s="47" t="s">
        <v>6</v>
      </c>
      <c r="I1" s="47" t="s">
        <v>18</v>
      </c>
      <c r="J1" s="47" t="s">
        <v>19</v>
      </c>
      <c r="K1" s="47" t="s">
        <v>158</v>
      </c>
      <c r="L1" s="47" t="s">
        <v>20</v>
      </c>
      <c r="M1" s="47" t="s">
        <v>10</v>
      </c>
      <c r="N1" s="47" t="s">
        <v>21</v>
      </c>
      <c r="O1" s="48" t="s">
        <v>22</v>
      </c>
      <c r="P1" s="48" t="s">
        <v>23</v>
      </c>
      <c r="Q1" s="48" t="s">
        <v>24</v>
      </c>
      <c r="R1" s="48" t="s">
        <v>25</v>
      </c>
      <c r="S1" s="48" t="s">
        <v>26</v>
      </c>
      <c r="T1" s="49" t="s">
        <v>27</v>
      </c>
      <c r="U1" s="49" t="s">
        <v>28</v>
      </c>
      <c r="V1" s="49" t="s">
        <v>29</v>
      </c>
      <c r="W1" s="48" t="s">
        <v>30</v>
      </c>
      <c r="X1" s="48" t="s">
        <v>31</v>
      </c>
      <c r="Y1" s="48" t="s">
        <v>32</v>
      </c>
      <c r="Z1" s="48" t="s">
        <v>33</v>
      </c>
      <c r="AA1" s="50" t="s">
        <v>34</v>
      </c>
      <c r="AB1" s="48" t="s">
        <v>35</v>
      </c>
      <c r="AC1" s="48" t="s">
        <v>36</v>
      </c>
      <c r="AD1" s="48" t="s">
        <v>37</v>
      </c>
      <c r="AE1" s="51" t="s">
        <v>38</v>
      </c>
      <c r="AF1" s="48" t="s">
        <v>39</v>
      </c>
      <c r="AG1" s="48" t="s">
        <v>45</v>
      </c>
      <c r="AH1" s="48" t="s">
        <v>40</v>
      </c>
      <c r="AI1" s="48" t="s">
        <v>41</v>
      </c>
      <c r="AJ1" s="48" t="s">
        <v>42</v>
      </c>
      <c r="AK1" s="48" t="s">
        <v>43</v>
      </c>
      <c r="AL1" s="48" t="s">
        <v>159</v>
      </c>
      <c r="AM1" s="48" t="s">
        <v>160</v>
      </c>
    </row>
    <row r="2" spans="1:41" x14ac:dyDescent="0.3">
      <c r="A2" s="80">
        <v>1</v>
      </c>
      <c r="B2" s="81" t="s">
        <v>193</v>
      </c>
      <c r="C2" s="81" t="s">
        <v>194</v>
      </c>
      <c r="D2" s="56" t="str">
        <f>LEFT(C2,LEN(C2)-2)</f>
        <v>18028529</v>
      </c>
      <c r="E2" s="56" t="str">
        <f>RIGHT(C2,1)</f>
        <v>6</v>
      </c>
      <c r="F2" s="82" t="s">
        <v>298</v>
      </c>
      <c r="G2" s="82" t="s">
        <v>274</v>
      </c>
      <c r="H2" s="82" t="s">
        <v>299</v>
      </c>
      <c r="I2" s="82" t="s">
        <v>140</v>
      </c>
      <c r="J2" s="82" t="s">
        <v>10</v>
      </c>
      <c r="K2" s="83">
        <v>455</v>
      </c>
      <c r="L2" s="83">
        <v>2200</v>
      </c>
      <c r="M2" s="83">
        <v>375</v>
      </c>
      <c r="N2" s="83">
        <v>2400</v>
      </c>
      <c r="O2" s="84">
        <v>7.8299999999999995E-2</v>
      </c>
      <c r="P2" s="85">
        <v>6.3019179609968834E-3</v>
      </c>
      <c r="Q2" s="86">
        <v>360</v>
      </c>
      <c r="R2" s="86">
        <v>5</v>
      </c>
      <c r="S2" s="85">
        <v>0.79318181818181821</v>
      </c>
      <c r="T2" s="87">
        <v>1745</v>
      </c>
      <c r="U2" s="78">
        <v>12.71407</v>
      </c>
      <c r="V2" s="78">
        <v>13.752345</v>
      </c>
      <c r="W2" s="85">
        <v>-4.0000000000000001E-3</v>
      </c>
      <c r="X2" s="88">
        <v>7.4299999999999991E-2</v>
      </c>
      <c r="Y2" s="85">
        <v>5.9903111399197684E-3</v>
      </c>
      <c r="Z2" s="89">
        <v>45321</v>
      </c>
      <c r="AA2" s="90">
        <v>45514</v>
      </c>
      <c r="AB2" s="91">
        <v>45351</v>
      </c>
      <c r="AC2" s="92">
        <v>45514</v>
      </c>
      <c r="AD2" s="92">
        <v>56290</v>
      </c>
      <c r="AE2" s="77">
        <v>355</v>
      </c>
      <c r="AF2" s="109">
        <v>1819.27487880546</v>
      </c>
      <c r="AG2" s="93" t="s">
        <v>300</v>
      </c>
      <c r="AH2" s="93" t="s">
        <v>137</v>
      </c>
      <c r="AI2" s="93" t="s">
        <v>136</v>
      </c>
      <c r="AJ2" s="93" t="s">
        <v>167</v>
      </c>
      <c r="AK2" s="93" t="s">
        <v>168</v>
      </c>
      <c r="AL2" s="94">
        <v>0.25258540577035798</v>
      </c>
      <c r="AM2" s="94">
        <v>0.48488598948050671</v>
      </c>
      <c r="AN2" s="95">
        <v>5076</v>
      </c>
      <c r="AO2" s="94" t="s">
        <v>301</v>
      </c>
    </row>
    <row r="3" spans="1:41" x14ac:dyDescent="0.3">
      <c r="A3" s="80">
        <v>2</v>
      </c>
      <c r="B3" s="81" t="s">
        <v>195</v>
      </c>
      <c r="C3" s="81" t="s">
        <v>196</v>
      </c>
      <c r="D3" s="56" t="str">
        <f t="shared" ref="D3:D20" si="0">LEFT(C3,LEN(C3)-2)</f>
        <v>17540548</v>
      </c>
      <c r="E3" s="56" t="str">
        <f t="shared" ref="E3:E20" si="1">RIGHT(C3,1)</f>
        <v>8</v>
      </c>
      <c r="F3" s="82" t="s">
        <v>233</v>
      </c>
      <c r="G3" s="82" t="s">
        <v>234</v>
      </c>
      <c r="H3" s="82" t="s">
        <v>235</v>
      </c>
      <c r="I3" s="82" t="s">
        <v>140</v>
      </c>
      <c r="J3" s="82" t="s">
        <v>10</v>
      </c>
      <c r="K3" s="83">
        <v>440</v>
      </c>
      <c r="L3" s="83">
        <v>2200</v>
      </c>
      <c r="M3" s="83">
        <v>325</v>
      </c>
      <c r="N3" s="83">
        <v>2650</v>
      </c>
      <c r="O3" s="84">
        <v>7.8299999999999995E-2</v>
      </c>
      <c r="P3" s="85">
        <v>6.3019179609968834E-3</v>
      </c>
      <c r="Q3" s="86">
        <v>360</v>
      </c>
      <c r="R3" s="86">
        <v>5</v>
      </c>
      <c r="S3" s="85">
        <v>0.8</v>
      </c>
      <c r="T3" s="87">
        <v>1760</v>
      </c>
      <c r="U3" s="78">
        <v>12.823359999999999</v>
      </c>
      <c r="V3" s="78">
        <v>13.870559999999999</v>
      </c>
      <c r="W3" s="85">
        <v>-4.0000000000000001E-3</v>
      </c>
      <c r="X3" s="88">
        <v>7.4299999999999991E-2</v>
      </c>
      <c r="Y3" s="85">
        <v>5.9903111399197684E-3</v>
      </c>
      <c r="Z3" s="89">
        <v>45322</v>
      </c>
      <c r="AA3" s="90">
        <v>45514</v>
      </c>
      <c r="AB3" s="91">
        <v>45351</v>
      </c>
      <c r="AC3" s="92">
        <v>45514</v>
      </c>
      <c r="AD3" s="92">
        <v>56290</v>
      </c>
      <c r="AE3" s="77">
        <v>355</v>
      </c>
      <c r="AF3" s="109">
        <v>1835.0200966732466</v>
      </c>
      <c r="AG3" s="93" t="s">
        <v>236</v>
      </c>
      <c r="AH3" s="93" t="s">
        <v>138</v>
      </c>
      <c r="AI3" s="93" t="s">
        <v>161</v>
      </c>
      <c r="AJ3" s="93" t="s">
        <v>162</v>
      </c>
      <c r="AK3" s="93" t="s">
        <v>179</v>
      </c>
      <c r="AL3" s="94">
        <v>0.28239147486683813</v>
      </c>
      <c r="AM3" s="94">
        <v>0.48306333456452949</v>
      </c>
      <c r="AN3" s="95">
        <v>394</v>
      </c>
      <c r="AO3" s="94" t="s">
        <v>301</v>
      </c>
    </row>
    <row r="4" spans="1:41" x14ac:dyDescent="0.3">
      <c r="A4" s="80">
        <v>3</v>
      </c>
      <c r="B4" s="81" t="s">
        <v>197</v>
      </c>
      <c r="C4" s="81" t="s">
        <v>198</v>
      </c>
      <c r="D4" s="56" t="str">
        <f t="shared" si="0"/>
        <v>18465199</v>
      </c>
      <c r="E4" s="56" t="str">
        <f t="shared" si="1"/>
        <v>8</v>
      </c>
      <c r="F4" s="82" t="s">
        <v>237</v>
      </c>
      <c r="G4" s="82" t="s">
        <v>146</v>
      </c>
      <c r="H4" s="82" t="s">
        <v>238</v>
      </c>
      <c r="I4" s="82" t="s">
        <v>140</v>
      </c>
      <c r="J4" s="82" t="s">
        <v>10</v>
      </c>
      <c r="K4" s="83">
        <v>715</v>
      </c>
      <c r="L4" s="83">
        <v>2200</v>
      </c>
      <c r="M4" s="83">
        <v>625</v>
      </c>
      <c r="N4" s="83">
        <v>2200</v>
      </c>
      <c r="O4" s="84">
        <v>7.8299999999999995E-2</v>
      </c>
      <c r="P4" s="85">
        <v>6.3019179609968834E-3</v>
      </c>
      <c r="Q4" s="86">
        <v>216</v>
      </c>
      <c r="R4" s="86">
        <v>5</v>
      </c>
      <c r="S4" s="85">
        <v>0.67500000000000004</v>
      </c>
      <c r="T4" s="87">
        <v>1485</v>
      </c>
      <c r="U4" s="78">
        <v>13.151160000000001</v>
      </c>
      <c r="V4" s="78">
        <v>12.92544</v>
      </c>
      <c r="W4" s="85">
        <v>-4.0000000000000001E-3</v>
      </c>
      <c r="X4" s="88">
        <v>7.4299999999999991E-2</v>
      </c>
      <c r="Y4" s="85">
        <v>5.9903111399197684E-3</v>
      </c>
      <c r="Z4" s="89">
        <v>45322</v>
      </c>
      <c r="AA4" s="90">
        <v>45514</v>
      </c>
      <c r="AB4" s="91">
        <v>45351</v>
      </c>
      <c r="AC4" s="92">
        <v>45514</v>
      </c>
      <c r="AD4" s="92">
        <v>51907</v>
      </c>
      <c r="AE4" s="77">
        <v>211</v>
      </c>
      <c r="AF4" s="109">
        <v>1532.1686056029573</v>
      </c>
      <c r="AG4" s="93" t="s">
        <v>239</v>
      </c>
      <c r="AH4" s="93" t="s">
        <v>240</v>
      </c>
      <c r="AI4" s="93" t="s">
        <v>51</v>
      </c>
      <c r="AJ4" s="93" t="s">
        <v>167</v>
      </c>
      <c r="AK4" s="93" t="s">
        <v>168</v>
      </c>
      <c r="AL4" s="94">
        <v>0.13614763743233907</v>
      </c>
      <c r="AM4" s="94">
        <v>0.2730576426027132</v>
      </c>
      <c r="AN4" s="95">
        <v>5280</v>
      </c>
      <c r="AO4" s="94" t="s">
        <v>301</v>
      </c>
    </row>
    <row r="5" spans="1:41" x14ac:dyDescent="0.3">
      <c r="A5" s="80">
        <v>4</v>
      </c>
      <c r="B5" s="81" t="s">
        <v>199</v>
      </c>
      <c r="C5" s="81" t="s">
        <v>200</v>
      </c>
      <c r="D5" s="56" t="str">
        <f t="shared" si="0"/>
        <v>15365153</v>
      </c>
      <c r="E5" s="56" t="str">
        <f t="shared" si="1"/>
        <v>1</v>
      </c>
      <c r="F5" s="82" t="s">
        <v>241</v>
      </c>
      <c r="G5" s="82" t="s">
        <v>242</v>
      </c>
      <c r="H5" s="82" t="s">
        <v>243</v>
      </c>
      <c r="I5" s="82" t="s">
        <v>140</v>
      </c>
      <c r="J5" s="82" t="s">
        <v>10</v>
      </c>
      <c r="K5" s="83">
        <v>893.66000000000008</v>
      </c>
      <c r="L5" s="83">
        <v>2400</v>
      </c>
      <c r="M5" s="83">
        <v>700</v>
      </c>
      <c r="N5" s="83">
        <v>2600</v>
      </c>
      <c r="O5" s="84">
        <v>7.8299999999999995E-2</v>
      </c>
      <c r="P5" s="85">
        <v>6.3019179609968834E-3</v>
      </c>
      <c r="Q5" s="86">
        <v>360</v>
      </c>
      <c r="R5" s="86">
        <v>5</v>
      </c>
      <c r="S5" s="85">
        <v>0.62764166666666665</v>
      </c>
      <c r="T5" s="87">
        <v>1506.34</v>
      </c>
      <c r="U5" s="78">
        <v>10.975193000000001</v>
      </c>
      <c r="V5" s="78">
        <v>11.871466</v>
      </c>
      <c r="W5" s="85">
        <v>-4.0000000000000001E-3</v>
      </c>
      <c r="X5" s="88">
        <v>7.4299999999999991E-2</v>
      </c>
      <c r="Y5" s="85">
        <v>5.9903111399197684E-3</v>
      </c>
      <c r="Z5" s="89">
        <v>45322</v>
      </c>
      <c r="AA5" s="90">
        <v>45514</v>
      </c>
      <c r="AB5" s="91">
        <v>45351</v>
      </c>
      <c r="AC5" s="92">
        <v>45514</v>
      </c>
      <c r="AD5" s="92">
        <v>56290</v>
      </c>
      <c r="AE5" s="77">
        <v>355</v>
      </c>
      <c r="AF5" s="109">
        <v>1571.6463921709783</v>
      </c>
      <c r="AG5" s="93" t="s">
        <v>244</v>
      </c>
      <c r="AH5" s="93" t="s">
        <v>180</v>
      </c>
      <c r="AI5" s="93" t="s">
        <v>136</v>
      </c>
      <c r="AJ5" s="93" t="s">
        <v>167</v>
      </c>
      <c r="AK5" s="93" t="s">
        <v>181</v>
      </c>
      <c r="AL5" s="94">
        <v>0.40079904400431915</v>
      </c>
      <c r="AM5" s="94">
        <v>0.42389362266109515</v>
      </c>
      <c r="AN5" s="95">
        <v>10574</v>
      </c>
      <c r="AO5" s="94" t="s">
        <v>301</v>
      </c>
    </row>
    <row r="6" spans="1:41" x14ac:dyDescent="0.3">
      <c r="A6" s="80">
        <v>5</v>
      </c>
      <c r="B6" s="81" t="s">
        <v>201</v>
      </c>
      <c r="C6" s="81" t="s">
        <v>202</v>
      </c>
      <c r="D6" s="56" t="str">
        <f t="shared" si="0"/>
        <v>18187808</v>
      </c>
      <c r="E6" s="56" t="str">
        <f t="shared" si="1"/>
        <v>8</v>
      </c>
      <c r="F6" s="82" t="s">
        <v>245</v>
      </c>
      <c r="G6" s="82" t="s">
        <v>148</v>
      </c>
      <c r="H6" s="82" t="s">
        <v>246</v>
      </c>
      <c r="I6" s="82" t="s">
        <v>141</v>
      </c>
      <c r="J6" s="82" t="s">
        <v>10</v>
      </c>
      <c r="K6" s="83">
        <v>780</v>
      </c>
      <c r="L6" s="83">
        <v>2065</v>
      </c>
      <c r="M6" s="83">
        <v>700</v>
      </c>
      <c r="N6" s="83">
        <v>2440</v>
      </c>
      <c r="O6" s="84">
        <v>7.8299999999999995E-2</v>
      </c>
      <c r="P6" s="85">
        <v>6.3019179609968834E-3</v>
      </c>
      <c r="Q6" s="86">
        <v>360</v>
      </c>
      <c r="R6" s="86">
        <v>5</v>
      </c>
      <c r="S6" s="85">
        <v>0.62227602905569013</v>
      </c>
      <c r="T6" s="87">
        <v>1285</v>
      </c>
      <c r="U6" s="78">
        <v>9.3625100000000003</v>
      </c>
      <c r="V6" s="78">
        <v>10.127084999999999</v>
      </c>
      <c r="W6" s="85">
        <v>-4.0000000000000001E-3</v>
      </c>
      <c r="X6" s="88">
        <v>7.4299999999999991E-2</v>
      </c>
      <c r="Y6" s="85">
        <v>5.9903111399197684E-3</v>
      </c>
      <c r="Z6" s="89">
        <v>45322</v>
      </c>
      <c r="AA6" s="90">
        <v>45514</v>
      </c>
      <c r="AB6" s="91">
        <v>45351</v>
      </c>
      <c r="AC6" s="92">
        <v>45514</v>
      </c>
      <c r="AD6" s="92">
        <v>56290</v>
      </c>
      <c r="AE6" s="77">
        <v>355</v>
      </c>
      <c r="AF6" s="109">
        <v>1339.7654579412481</v>
      </c>
      <c r="AG6" s="93" t="s">
        <v>247</v>
      </c>
      <c r="AH6" s="93" t="s">
        <v>180</v>
      </c>
      <c r="AI6" s="93" t="s">
        <v>136</v>
      </c>
      <c r="AJ6" s="93" t="s">
        <v>167</v>
      </c>
      <c r="AK6" s="93" t="s">
        <v>181</v>
      </c>
      <c r="AL6" s="94">
        <v>0.37717377582908029</v>
      </c>
      <c r="AM6" s="94">
        <v>0.39792268976615747</v>
      </c>
      <c r="AN6" s="95">
        <v>10563</v>
      </c>
      <c r="AO6" s="94" t="s">
        <v>301</v>
      </c>
    </row>
    <row r="7" spans="1:41" x14ac:dyDescent="0.3">
      <c r="A7" s="80">
        <v>6</v>
      </c>
      <c r="B7" s="81" t="s">
        <v>203</v>
      </c>
      <c r="C7" s="81" t="s">
        <v>204</v>
      </c>
      <c r="D7" s="56" t="str">
        <f t="shared" si="0"/>
        <v>18245649</v>
      </c>
      <c r="E7" s="56" t="str">
        <f t="shared" si="1"/>
        <v>7</v>
      </c>
      <c r="F7" s="82" t="s">
        <v>248</v>
      </c>
      <c r="G7" s="82" t="s">
        <v>249</v>
      </c>
      <c r="H7" s="82" t="s">
        <v>250</v>
      </c>
      <c r="I7" s="82" t="s">
        <v>141</v>
      </c>
      <c r="J7" s="82" t="s">
        <v>10</v>
      </c>
      <c r="K7" s="83">
        <v>494.87</v>
      </c>
      <c r="L7" s="83">
        <v>1400</v>
      </c>
      <c r="M7" s="83">
        <v>450</v>
      </c>
      <c r="N7" s="83">
        <v>1400</v>
      </c>
      <c r="O7" s="84">
        <v>7.8299999999999995E-2</v>
      </c>
      <c r="P7" s="85">
        <v>6.3019179609968834E-3</v>
      </c>
      <c r="Q7" s="86">
        <v>180</v>
      </c>
      <c r="R7" s="86">
        <v>5</v>
      </c>
      <c r="S7" s="85">
        <v>0.64652142857142858</v>
      </c>
      <c r="T7" s="87">
        <v>905.13</v>
      </c>
      <c r="U7" s="78">
        <v>8.8259229999999995</v>
      </c>
      <c r="V7" s="78">
        <v>8.7770460000000003</v>
      </c>
      <c r="W7" s="85">
        <v>-4.0000000000000001E-3</v>
      </c>
      <c r="X7" s="88">
        <v>7.4299999999999991E-2</v>
      </c>
      <c r="Y7" s="85">
        <v>5.9903111399197684E-3</v>
      </c>
      <c r="Z7" s="89">
        <v>45316</v>
      </c>
      <c r="AA7" s="90">
        <v>45514</v>
      </c>
      <c r="AB7" s="91">
        <v>45351</v>
      </c>
      <c r="AC7" s="92">
        <v>45514</v>
      </c>
      <c r="AD7" s="92">
        <v>50811</v>
      </c>
      <c r="AE7" s="77">
        <v>175</v>
      </c>
      <c r="AF7" s="109">
        <v>931.14903457191394</v>
      </c>
      <c r="AG7" s="93" t="s">
        <v>251</v>
      </c>
      <c r="AH7" s="93" t="s">
        <v>137</v>
      </c>
      <c r="AI7" s="93" t="s">
        <v>136</v>
      </c>
      <c r="AJ7" s="93" t="s">
        <v>167</v>
      </c>
      <c r="AK7" s="93" t="s">
        <v>168</v>
      </c>
      <c r="AL7" s="94">
        <v>0.41557873780643823</v>
      </c>
      <c r="AM7" s="94">
        <v>0.42811810069525469</v>
      </c>
      <c r="AN7" s="95">
        <v>4338</v>
      </c>
      <c r="AO7" s="94" t="s">
        <v>301</v>
      </c>
    </row>
    <row r="8" spans="1:41" x14ac:dyDescent="0.3">
      <c r="A8" s="80">
        <v>7</v>
      </c>
      <c r="B8" s="81" t="s">
        <v>205</v>
      </c>
      <c r="C8" s="81" t="s">
        <v>206</v>
      </c>
      <c r="D8" s="56" t="str">
        <f t="shared" si="0"/>
        <v>15162947</v>
      </c>
      <c r="E8" s="56" t="str">
        <f t="shared" si="1"/>
        <v>4</v>
      </c>
      <c r="F8" s="82" t="s">
        <v>252</v>
      </c>
      <c r="G8" s="82" t="s">
        <v>253</v>
      </c>
      <c r="H8" s="82" t="s">
        <v>254</v>
      </c>
      <c r="I8" s="82" t="s">
        <v>141</v>
      </c>
      <c r="J8" s="82" t="s">
        <v>10</v>
      </c>
      <c r="K8" s="83">
        <v>561.41999999999996</v>
      </c>
      <c r="L8" s="83">
        <v>1400</v>
      </c>
      <c r="M8" s="83">
        <v>500</v>
      </c>
      <c r="N8" s="83">
        <v>1800</v>
      </c>
      <c r="O8" s="84">
        <v>7.8299999999999995E-2</v>
      </c>
      <c r="P8" s="85">
        <v>6.3019179609968834E-3</v>
      </c>
      <c r="Q8" s="86">
        <v>360</v>
      </c>
      <c r="R8" s="86">
        <v>5</v>
      </c>
      <c r="S8" s="85">
        <v>0.59898571428571434</v>
      </c>
      <c r="T8" s="87">
        <v>838.58</v>
      </c>
      <c r="U8" s="78">
        <v>6.1098939999999997</v>
      </c>
      <c r="V8" s="78">
        <v>6.6088490000000002</v>
      </c>
      <c r="W8" s="85">
        <v>-4.0000000000000001E-3</v>
      </c>
      <c r="X8" s="88">
        <v>7.4299999999999991E-2</v>
      </c>
      <c r="Y8" s="85">
        <v>5.9903111399197684E-3</v>
      </c>
      <c r="Z8" s="89">
        <v>45322</v>
      </c>
      <c r="AA8" s="90">
        <v>45514</v>
      </c>
      <c r="AB8" s="91">
        <v>45351</v>
      </c>
      <c r="AC8" s="92">
        <v>45514</v>
      </c>
      <c r="AD8" s="92">
        <v>56290</v>
      </c>
      <c r="AE8" s="77">
        <v>355</v>
      </c>
      <c r="AF8" s="109">
        <v>874.56881034913226</v>
      </c>
      <c r="AG8" s="93" t="s">
        <v>255</v>
      </c>
      <c r="AH8" s="93" t="s">
        <v>173</v>
      </c>
      <c r="AI8" s="93" t="s">
        <v>174</v>
      </c>
      <c r="AJ8" s="93" t="s">
        <v>175</v>
      </c>
      <c r="AK8" s="93" t="s">
        <v>176</v>
      </c>
      <c r="AL8" s="94">
        <v>0.39962090751471341</v>
      </c>
      <c r="AM8" s="94">
        <v>0.42110487804105734</v>
      </c>
      <c r="AN8" s="95">
        <v>423</v>
      </c>
      <c r="AO8" s="94" t="s">
        <v>301</v>
      </c>
    </row>
    <row r="9" spans="1:41" x14ac:dyDescent="0.3">
      <c r="A9" s="80">
        <v>8</v>
      </c>
      <c r="B9" s="81" t="s">
        <v>207</v>
      </c>
      <c r="C9" s="81" t="s">
        <v>208</v>
      </c>
      <c r="D9" s="56" t="str">
        <f t="shared" si="0"/>
        <v>16666807</v>
      </c>
      <c r="E9" s="56" t="str">
        <f t="shared" si="1"/>
        <v>7</v>
      </c>
      <c r="F9" s="82" t="s">
        <v>256</v>
      </c>
      <c r="G9" s="82" t="s">
        <v>257</v>
      </c>
      <c r="H9" s="82" t="s">
        <v>258</v>
      </c>
      <c r="I9" s="82" t="s">
        <v>140</v>
      </c>
      <c r="J9" s="82" t="s">
        <v>10</v>
      </c>
      <c r="K9" s="83">
        <v>979.93000000000006</v>
      </c>
      <c r="L9" s="83">
        <v>2325</v>
      </c>
      <c r="M9" s="83">
        <v>700</v>
      </c>
      <c r="N9" s="83">
        <v>2600</v>
      </c>
      <c r="O9" s="84">
        <v>7.8299999999999995E-2</v>
      </c>
      <c r="P9" s="85">
        <v>6.3019179609968834E-3</v>
      </c>
      <c r="Q9" s="86">
        <v>144</v>
      </c>
      <c r="R9" s="86">
        <v>5</v>
      </c>
      <c r="S9" s="85">
        <v>0.57852473118279568</v>
      </c>
      <c r="T9" s="87">
        <v>1345.07</v>
      </c>
      <c r="U9" s="78">
        <v>15.019052</v>
      </c>
      <c r="V9" s="78">
        <v>15.029812</v>
      </c>
      <c r="W9" s="85">
        <v>-4.0000000000000001E-3</v>
      </c>
      <c r="X9" s="88">
        <v>7.4299999999999991E-2</v>
      </c>
      <c r="Y9" s="85">
        <v>5.9903111399197684E-3</v>
      </c>
      <c r="Z9" s="89">
        <v>45322</v>
      </c>
      <c r="AA9" s="90">
        <v>45514</v>
      </c>
      <c r="AB9" s="91">
        <v>45351</v>
      </c>
      <c r="AC9" s="92">
        <v>45514</v>
      </c>
      <c r="AD9" s="92">
        <v>49715</v>
      </c>
      <c r="AE9" s="77">
        <v>139</v>
      </c>
      <c r="AF9" s="109">
        <v>1377.8830690345776</v>
      </c>
      <c r="AG9" s="93" t="s">
        <v>259</v>
      </c>
      <c r="AH9" s="93" t="s">
        <v>180</v>
      </c>
      <c r="AI9" s="93" t="s">
        <v>136</v>
      </c>
      <c r="AJ9" s="93" t="s">
        <v>167</v>
      </c>
      <c r="AK9" s="93" t="s">
        <v>181</v>
      </c>
      <c r="AL9" s="94">
        <v>0.37834186003658277</v>
      </c>
      <c r="AM9" s="94">
        <v>0.40010103111072326</v>
      </c>
      <c r="AN9" s="95">
        <v>10647</v>
      </c>
      <c r="AO9" s="94" t="s">
        <v>301</v>
      </c>
    </row>
    <row r="10" spans="1:41" x14ac:dyDescent="0.3">
      <c r="A10" s="80">
        <v>9</v>
      </c>
      <c r="B10" s="81" t="s">
        <v>209</v>
      </c>
      <c r="C10" s="81" t="s">
        <v>210</v>
      </c>
      <c r="D10" s="56" t="str">
        <f t="shared" si="0"/>
        <v>14336994</v>
      </c>
      <c r="E10" s="56" t="str">
        <f t="shared" si="1"/>
        <v>3</v>
      </c>
      <c r="F10" s="82" t="s">
        <v>142</v>
      </c>
      <c r="G10" s="82" t="s">
        <v>260</v>
      </c>
      <c r="H10" s="82" t="s">
        <v>261</v>
      </c>
      <c r="I10" s="82" t="s">
        <v>141</v>
      </c>
      <c r="J10" s="82" t="s">
        <v>10</v>
      </c>
      <c r="K10" s="83">
        <v>830</v>
      </c>
      <c r="L10" s="83">
        <v>1725</v>
      </c>
      <c r="M10" s="83">
        <v>750</v>
      </c>
      <c r="N10" s="83">
        <v>1725</v>
      </c>
      <c r="O10" s="84">
        <v>7.8299999999999995E-2</v>
      </c>
      <c r="P10" s="85">
        <v>6.3019179609968834E-3</v>
      </c>
      <c r="Q10" s="86">
        <v>312</v>
      </c>
      <c r="R10" s="86">
        <v>5</v>
      </c>
      <c r="S10" s="85">
        <v>0.51884057971014497</v>
      </c>
      <c r="T10" s="87">
        <v>895</v>
      </c>
      <c r="U10" s="78">
        <v>6.8100550000000002</v>
      </c>
      <c r="V10" s="78">
        <v>6.8261649999999996</v>
      </c>
      <c r="W10" s="85">
        <v>-4.0000000000000001E-3</v>
      </c>
      <c r="X10" s="88">
        <v>7.4299999999999991E-2</v>
      </c>
      <c r="Y10" s="85">
        <v>5.9903111399197684E-3</v>
      </c>
      <c r="Z10" s="89">
        <v>45322</v>
      </c>
      <c r="AA10" s="90">
        <v>45514</v>
      </c>
      <c r="AB10" s="91">
        <v>45351</v>
      </c>
      <c r="AC10" s="92">
        <v>45514</v>
      </c>
      <c r="AD10" s="92">
        <v>54829</v>
      </c>
      <c r="AE10" s="77">
        <v>307</v>
      </c>
      <c r="AF10" s="109">
        <v>930.5737757859863</v>
      </c>
      <c r="AG10" s="93" t="s">
        <v>262</v>
      </c>
      <c r="AH10" s="93" t="s">
        <v>182</v>
      </c>
      <c r="AI10" s="93" t="s">
        <v>169</v>
      </c>
      <c r="AJ10" s="93" t="s">
        <v>170</v>
      </c>
      <c r="AK10" s="93" t="s">
        <v>171</v>
      </c>
      <c r="AL10" s="94">
        <v>0.23196730290817336</v>
      </c>
      <c r="AM10" s="94">
        <v>0.25290877324218286</v>
      </c>
      <c r="AN10" s="95">
        <v>280</v>
      </c>
      <c r="AO10" s="94" t="s">
        <v>301</v>
      </c>
    </row>
    <row r="11" spans="1:41" x14ac:dyDescent="0.3">
      <c r="A11" s="80">
        <v>10</v>
      </c>
      <c r="B11" s="81" t="s">
        <v>211</v>
      </c>
      <c r="C11" s="81" t="s">
        <v>212</v>
      </c>
      <c r="D11" s="56" t="str">
        <f t="shared" si="0"/>
        <v>19580720</v>
      </c>
      <c r="E11" s="56" t="str">
        <f t="shared" si="1"/>
        <v>5</v>
      </c>
      <c r="F11" s="82" t="s">
        <v>151</v>
      </c>
      <c r="G11" s="82" t="s">
        <v>263</v>
      </c>
      <c r="H11" s="82" t="s">
        <v>264</v>
      </c>
      <c r="I11" s="82" t="s">
        <v>141</v>
      </c>
      <c r="J11" s="82" t="s">
        <v>10</v>
      </c>
      <c r="K11" s="83">
        <v>830</v>
      </c>
      <c r="L11" s="83">
        <v>1725</v>
      </c>
      <c r="M11" s="83">
        <v>750</v>
      </c>
      <c r="N11" s="83">
        <v>1725</v>
      </c>
      <c r="O11" s="84">
        <v>7.8299999999999995E-2</v>
      </c>
      <c r="P11" s="85">
        <v>6.3019179609968834E-3</v>
      </c>
      <c r="Q11" s="86">
        <v>228</v>
      </c>
      <c r="R11" s="86">
        <v>5</v>
      </c>
      <c r="S11" s="85">
        <v>0.51884057971014497</v>
      </c>
      <c r="T11" s="87">
        <v>895</v>
      </c>
      <c r="U11" s="78">
        <v>7.7229549999999998</v>
      </c>
      <c r="V11" s="78">
        <v>7.72743</v>
      </c>
      <c r="W11" s="85">
        <v>-4.0000000000000001E-3</v>
      </c>
      <c r="X11" s="88">
        <v>7.4299999999999991E-2</v>
      </c>
      <c r="Y11" s="85">
        <v>5.9903111399197684E-3</v>
      </c>
      <c r="Z11" s="89">
        <v>45322</v>
      </c>
      <c r="AA11" s="90">
        <v>45514</v>
      </c>
      <c r="AB11" s="91">
        <v>45351</v>
      </c>
      <c r="AC11" s="92">
        <v>45514</v>
      </c>
      <c r="AD11" s="92">
        <v>52272</v>
      </c>
      <c r="AE11" s="77">
        <v>223</v>
      </c>
      <c r="AF11" s="109">
        <v>924.16029449931523</v>
      </c>
      <c r="AG11" s="93" t="s">
        <v>265</v>
      </c>
      <c r="AH11" s="93" t="s">
        <v>182</v>
      </c>
      <c r="AI11" s="93" t="s">
        <v>169</v>
      </c>
      <c r="AJ11" s="93" t="s">
        <v>170</v>
      </c>
      <c r="AK11" s="93" t="s">
        <v>171</v>
      </c>
      <c r="AL11" s="94">
        <v>0.213813478287841</v>
      </c>
      <c r="AM11" s="94">
        <v>0.24493720509648434</v>
      </c>
      <c r="AN11" s="95">
        <v>288</v>
      </c>
      <c r="AO11" s="94" t="s">
        <v>301</v>
      </c>
    </row>
    <row r="12" spans="1:41" x14ac:dyDescent="0.3">
      <c r="A12" s="80">
        <v>11</v>
      </c>
      <c r="B12" s="81" t="s">
        <v>213</v>
      </c>
      <c r="C12" s="81" t="s">
        <v>214</v>
      </c>
      <c r="D12" s="56" t="str">
        <f t="shared" si="0"/>
        <v>14349421</v>
      </c>
      <c r="E12" s="56" t="str">
        <f t="shared" si="1"/>
        <v>7</v>
      </c>
      <c r="F12" s="82" t="s">
        <v>266</v>
      </c>
      <c r="G12" s="82" t="s">
        <v>267</v>
      </c>
      <c r="H12" s="82" t="s">
        <v>268</v>
      </c>
      <c r="I12" s="82" t="s">
        <v>140</v>
      </c>
      <c r="J12" s="82" t="s">
        <v>10</v>
      </c>
      <c r="K12" s="83">
        <v>605</v>
      </c>
      <c r="L12" s="83">
        <v>2200</v>
      </c>
      <c r="M12" s="83">
        <v>525</v>
      </c>
      <c r="N12" s="83">
        <v>2325</v>
      </c>
      <c r="O12" s="84">
        <v>7.8299999999999995E-2</v>
      </c>
      <c r="P12" s="85">
        <v>6.3019179609968834E-3</v>
      </c>
      <c r="Q12" s="86">
        <v>360</v>
      </c>
      <c r="R12" s="86">
        <v>5</v>
      </c>
      <c r="S12" s="85">
        <v>0.72499999999999998</v>
      </c>
      <c r="T12" s="87">
        <v>1595</v>
      </c>
      <c r="U12" s="78">
        <v>11.621169999999999</v>
      </c>
      <c r="V12" s="78">
        <v>12.570195</v>
      </c>
      <c r="W12" s="85">
        <v>-4.0000000000000001E-3</v>
      </c>
      <c r="X12" s="88">
        <v>7.4299999999999991E-2</v>
      </c>
      <c r="Y12" s="85">
        <v>5.9903111399197684E-3</v>
      </c>
      <c r="Z12" s="89">
        <v>45322</v>
      </c>
      <c r="AA12" s="90">
        <v>45514</v>
      </c>
      <c r="AB12" s="91">
        <v>45351</v>
      </c>
      <c r="AC12" s="92">
        <v>45514</v>
      </c>
      <c r="AD12" s="92">
        <v>56290</v>
      </c>
      <c r="AE12" s="77">
        <v>355</v>
      </c>
      <c r="AF12" s="109">
        <v>1663.2551447232813</v>
      </c>
      <c r="AG12" s="93" t="s">
        <v>269</v>
      </c>
      <c r="AH12" s="93" t="s">
        <v>163</v>
      </c>
      <c r="AI12" s="93" t="s">
        <v>164</v>
      </c>
      <c r="AJ12" s="93" t="s">
        <v>165</v>
      </c>
      <c r="AK12" s="93" t="s">
        <v>172</v>
      </c>
      <c r="AL12" s="94">
        <v>0.43872736707354465</v>
      </c>
      <c r="AM12" s="94">
        <v>0.48266432035642887</v>
      </c>
      <c r="AN12" s="95">
        <v>244</v>
      </c>
      <c r="AO12" s="94" t="s">
        <v>301</v>
      </c>
    </row>
    <row r="13" spans="1:41" x14ac:dyDescent="0.3">
      <c r="A13" s="80">
        <v>12</v>
      </c>
      <c r="B13" s="81" t="s">
        <v>215</v>
      </c>
      <c r="C13" s="81" t="s">
        <v>216</v>
      </c>
      <c r="D13" s="56" t="str">
        <f t="shared" si="0"/>
        <v>14337194</v>
      </c>
      <c r="E13" s="56" t="str">
        <f t="shared" si="1"/>
        <v>8</v>
      </c>
      <c r="F13" s="82" t="s">
        <v>270</v>
      </c>
      <c r="G13" s="82" t="s">
        <v>271</v>
      </c>
      <c r="H13" s="82" t="s">
        <v>272</v>
      </c>
      <c r="I13" s="82" t="s">
        <v>141</v>
      </c>
      <c r="J13" s="82" t="s">
        <v>10</v>
      </c>
      <c r="K13" s="83">
        <v>830</v>
      </c>
      <c r="L13" s="83">
        <v>1725</v>
      </c>
      <c r="M13" s="83">
        <v>750</v>
      </c>
      <c r="N13" s="83">
        <v>1725</v>
      </c>
      <c r="O13" s="84">
        <v>7.8299999999999995E-2</v>
      </c>
      <c r="P13" s="85">
        <v>6.3019179609968834E-3</v>
      </c>
      <c r="Q13" s="86">
        <v>348</v>
      </c>
      <c r="R13" s="86">
        <v>5</v>
      </c>
      <c r="S13" s="85">
        <v>0.51884057971014497</v>
      </c>
      <c r="T13" s="87">
        <v>895</v>
      </c>
      <c r="U13" s="78">
        <v>6.5836199999999998</v>
      </c>
      <c r="V13" s="78">
        <v>6.3911949999999997</v>
      </c>
      <c r="W13" s="85">
        <v>-4.0000000000000001E-3</v>
      </c>
      <c r="X13" s="88">
        <v>7.4299999999999991E-2</v>
      </c>
      <c r="Y13" s="85">
        <v>5.9903111399197684E-3</v>
      </c>
      <c r="Z13" s="89">
        <v>45322</v>
      </c>
      <c r="AA13" s="90">
        <v>45514</v>
      </c>
      <c r="AB13" s="91">
        <v>45351</v>
      </c>
      <c r="AC13" s="92">
        <v>45514</v>
      </c>
      <c r="AD13" s="92">
        <v>55925</v>
      </c>
      <c r="AE13" s="77">
        <v>343</v>
      </c>
      <c r="AF13" s="109">
        <v>932.21408729993243</v>
      </c>
      <c r="AG13" s="93" t="s">
        <v>273</v>
      </c>
      <c r="AH13" s="93" t="s">
        <v>182</v>
      </c>
      <c r="AI13" s="93" t="s">
        <v>169</v>
      </c>
      <c r="AJ13" s="93" t="s">
        <v>170</v>
      </c>
      <c r="AK13" s="93" t="s">
        <v>171</v>
      </c>
      <c r="AL13" s="94">
        <v>0.11836400972238145</v>
      </c>
      <c r="AM13" s="94">
        <v>0.41558001930772426</v>
      </c>
      <c r="AN13" s="95">
        <v>285</v>
      </c>
      <c r="AO13" s="94" t="s">
        <v>301</v>
      </c>
    </row>
    <row r="14" spans="1:41" x14ac:dyDescent="0.3">
      <c r="A14" s="80">
        <v>13</v>
      </c>
      <c r="B14" s="81" t="s">
        <v>217</v>
      </c>
      <c r="C14" s="81" t="s">
        <v>218</v>
      </c>
      <c r="D14" s="56" t="str">
        <f t="shared" si="0"/>
        <v>14009431</v>
      </c>
      <c r="E14" s="56" t="str">
        <f t="shared" si="1"/>
        <v>5</v>
      </c>
      <c r="F14" s="82" t="s">
        <v>274</v>
      </c>
      <c r="G14" s="82" t="s">
        <v>274</v>
      </c>
      <c r="H14" s="82" t="s">
        <v>275</v>
      </c>
      <c r="I14" s="82" t="s">
        <v>140</v>
      </c>
      <c r="J14" s="82" t="s">
        <v>10</v>
      </c>
      <c r="K14" s="83">
        <v>780</v>
      </c>
      <c r="L14" s="83">
        <v>2400</v>
      </c>
      <c r="M14" s="83">
        <v>700</v>
      </c>
      <c r="N14" s="83">
        <v>2600</v>
      </c>
      <c r="O14" s="84">
        <v>7.8299999999999995E-2</v>
      </c>
      <c r="P14" s="85">
        <v>6.3019179609968834E-3</v>
      </c>
      <c r="Q14" s="86">
        <v>360</v>
      </c>
      <c r="R14" s="86">
        <v>5</v>
      </c>
      <c r="S14" s="85">
        <v>0.67500000000000004</v>
      </c>
      <c r="T14" s="87">
        <v>1620</v>
      </c>
      <c r="U14" s="78">
        <v>11.803319999999999</v>
      </c>
      <c r="V14" s="78">
        <v>12.76722</v>
      </c>
      <c r="W14" s="85">
        <v>-4.0000000000000001E-3</v>
      </c>
      <c r="X14" s="88">
        <v>7.4299999999999991E-2</v>
      </c>
      <c r="Y14" s="85">
        <v>5.9903111399197684E-3</v>
      </c>
      <c r="Z14" s="89">
        <v>45321</v>
      </c>
      <c r="AA14" s="90">
        <v>45514</v>
      </c>
      <c r="AB14" s="91">
        <v>45351</v>
      </c>
      <c r="AC14" s="92">
        <v>45514</v>
      </c>
      <c r="AD14" s="92">
        <v>56290</v>
      </c>
      <c r="AE14" s="77">
        <v>355</v>
      </c>
      <c r="AF14" s="109">
        <v>1689.0204711500173</v>
      </c>
      <c r="AG14" s="93" t="s">
        <v>276</v>
      </c>
      <c r="AH14" s="93" t="s">
        <v>180</v>
      </c>
      <c r="AI14" s="93" t="s">
        <v>136</v>
      </c>
      <c r="AJ14" s="93" t="s">
        <v>167</v>
      </c>
      <c r="AK14" s="93" t="s">
        <v>181</v>
      </c>
      <c r="AL14" s="94">
        <v>0.37803513802950789</v>
      </c>
      <c r="AM14" s="94">
        <v>0.39886890597335922</v>
      </c>
      <c r="AN14" s="95">
        <v>10486</v>
      </c>
      <c r="AO14" s="94" t="s">
        <v>301</v>
      </c>
    </row>
    <row r="15" spans="1:41" x14ac:dyDescent="0.3">
      <c r="A15" s="80">
        <v>14</v>
      </c>
      <c r="B15" s="81" t="s">
        <v>219</v>
      </c>
      <c r="C15" s="81" t="s">
        <v>220</v>
      </c>
      <c r="D15" s="56" t="str">
        <f t="shared" si="0"/>
        <v>18738588</v>
      </c>
      <c r="E15" s="56" t="str">
        <f t="shared" si="1"/>
        <v>1</v>
      </c>
      <c r="F15" s="82" t="s">
        <v>156</v>
      </c>
      <c r="G15" s="82" t="s">
        <v>277</v>
      </c>
      <c r="H15" s="82" t="s">
        <v>278</v>
      </c>
      <c r="I15" s="82" t="s">
        <v>141</v>
      </c>
      <c r="J15" s="82" t="s">
        <v>10</v>
      </c>
      <c r="K15" s="83">
        <v>420</v>
      </c>
      <c r="L15" s="83">
        <v>2100</v>
      </c>
      <c r="M15" s="83">
        <v>325</v>
      </c>
      <c r="N15" s="83">
        <v>2100</v>
      </c>
      <c r="O15" s="84">
        <v>7.8299999999999995E-2</v>
      </c>
      <c r="P15" s="85">
        <v>6.3019179609968834E-3</v>
      </c>
      <c r="Q15" s="86">
        <v>360</v>
      </c>
      <c r="R15" s="86">
        <v>5</v>
      </c>
      <c r="S15" s="85">
        <v>0.8</v>
      </c>
      <c r="T15" s="87">
        <v>1680</v>
      </c>
      <c r="U15" s="78">
        <v>12.24048</v>
      </c>
      <c r="V15" s="78">
        <v>13.240080000000001</v>
      </c>
      <c r="W15" s="85">
        <v>-4.0000000000000001E-3</v>
      </c>
      <c r="X15" s="88">
        <v>7.4299999999999991E-2</v>
      </c>
      <c r="Y15" s="85">
        <v>5.9903111399197684E-3</v>
      </c>
      <c r="Z15" s="89">
        <v>45322</v>
      </c>
      <c r="AA15" s="90">
        <v>45514</v>
      </c>
      <c r="AB15" s="91">
        <v>45351</v>
      </c>
      <c r="AC15" s="92">
        <v>45514</v>
      </c>
      <c r="AD15" s="92">
        <v>56290</v>
      </c>
      <c r="AE15" s="77">
        <v>355</v>
      </c>
      <c r="AF15" s="109">
        <v>1752.0001753526833</v>
      </c>
      <c r="AG15" s="93" t="s">
        <v>279</v>
      </c>
      <c r="AH15" s="93" t="s">
        <v>280</v>
      </c>
      <c r="AI15" s="93" t="s">
        <v>51</v>
      </c>
      <c r="AJ15" s="93" t="s">
        <v>167</v>
      </c>
      <c r="AK15" s="93" t="s">
        <v>168</v>
      </c>
      <c r="AL15" s="94">
        <v>0.25932145822365676</v>
      </c>
      <c r="AM15" s="94">
        <v>0.38861001370263804</v>
      </c>
      <c r="AN15" s="95">
        <v>5591</v>
      </c>
      <c r="AO15" s="94" t="s">
        <v>301</v>
      </c>
    </row>
    <row r="16" spans="1:41" x14ac:dyDescent="0.3">
      <c r="A16" s="80">
        <v>15</v>
      </c>
      <c r="B16" s="81" t="s">
        <v>221</v>
      </c>
      <c r="C16" s="81" t="s">
        <v>222</v>
      </c>
      <c r="D16" s="56" t="str">
        <f t="shared" si="0"/>
        <v>18848650</v>
      </c>
      <c r="E16" s="56" t="str">
        <f t="shared" si="1"/>
        <v>9</v>
      </c>
      <c r="F16" s="82" t="s">
        <v>143</v>
      </c>
      <c r="G16" s="82" t="s">
        <v>144</v>
      </c>
      <c r="H16" s="82" t="s">
        <v>282</v>
      </c>
      <c r="I16" s="82" t="s">
        <v>141</v>
      </c>
      <c r="J16" s="82" t="s">
        <v>10</v>
      </c>
      <c r="K16" s="83">
        <v>469</v>
      </c>
      <c r="L16" s="83">
        <v>2200</v>
      </c>
      <c r="M16" s="83">
        <v>325</v>
      </c>
      <c r="N16" s="83">
        <v>2900</v>
      </c>
      <c r="O16" s="84">
        <v>7.6799999999999993E-2</v>
      </c>
      <c r="P16" s="85">
        <v>6.1851897679632284E-3</v>
      </c>
      <c r="Q16" s="86">
        <v>360</v>
      </c>
      <c r="R16" s="86">
        <v>5</v>
      </c>
      <c r="S16" s="85">
        <v>0.78681818181818186</v>
      </c>
      <c r="T16" s="87">
        <v>1731</v>
      </c>
      <c r="U16" s="78">
        <v>12.433773</v>
      </c>
      <c r="V16" s="78">
        <v>13.481028</v>
      </c>
      <c r="W16" s="85">
        <v>-4.0000000000000001E-3</v>
      </c>
      <c r="X16" s="88">
        <v>7.279999999999999E-2</v>
      </c>
      <c r="Y16" s="85">
        <v>5.8731843281445428E-3</v>
      </c>
      <c r="Z16" s="89">
        <v>45322</v>
      </c>
      <c r="AA16" s="90">
        <v>45514</v>
      </c>
      <c r="AB16" s="91">
        <v>45351</v>
      </c>
      <c r="AC16" s="92">
        <v>45514</v>
      </c>
      <c r="AD16" s="92">
        <v>56290</v>
      </c>
      <c r="AE16" s="77">
        <v>355</v>
      </c>
      <c r="AF16" s="109">
        <v>1805.1581340613791</v>
      </c>
      <c r="AG16" s="93" t="s">
        <v>283</v>
      </c>
      <c r="AH16" s="93" t="s">
        <v>284</v>
      </c>
      <c r="AI16" s="93" t="s">
        <v>284</v>
      </c>
      <c r="AJ16" s="93" t="s">
        <v>167</v>
      </c>
      <c r="AK16" s="93" t="s">
        <v>168</v>
      </c>
      <c r="AL16" s="94">
        <v>0.18430048701569615</v>
      </c>
      <c r="AM16" s="94">
        <v>0.27847213009702615</v>
      </c>
      <c r="AN16" s="95">
        <v>5428</v>
      </c>
      <c r="AO16" s="94" t="s">
        <v>301</v>
      </c>
    </row>
    <row r="17" spans="1:41" x14ac:dyDescent="0.3">
      <c r="A17" s="80">
        <v>16</v>
      </c>
      <c r="B17" s="81" t="s">
        <v>223</v>
      </c>
      <c r="C17" s="81" t="s">
        <v>224</v>
      </c>
      <c r="D17" s="56" t="str">
        <f t="shared" si="0"/>
        <v>19169080</v>
      </c>
      <c r="E17" s="56" t="str">
        <f t="shared" si="1"/>
        <v>K</v>
      </c>
      <c r="F17" s="82" t="s">
        <v>285</v>
      </c>
      <c r="G17" s="82" t="s">
        <v>286</v>
      </c>
      <c r="H17" s="93" t="s">
        <v>287</v>
      </c>
      <c r="I17" s="82" t="s">
        <v>141</v>
      </c>
      <c r="J17" s="82" t="s">
        <v>10</v>
      </c>
      <c r="K17" s="83">
        <v>682.2</v>
      </c>
      <c r="L17" s="83">
        <v>2490</v>
      </c>
      <c r="M17" s="83">
        <v>600</v>
      </c>
      <c r="N17" s="83">
        <v>2600</v>
      </c>
      <c r="O17" s="84">
        <v>7.8299999999999995E-2</v>
      </c>
      <c r="P17" s="85">
        <v>6.3019179609968834E-3</v>
      </c>
      <c r="Q17" s="86">
        <v>360</v>
      </c>
      <c r="R17" s="86">
        <v>5</v>
      </c>
      <c r="S17" s="85">
        <v>0.72602409638554211</v>
      </c>
      <c r="T17" s="87">
        <v>1807.8</v>
      </c>
      <c r="U17" s="78">
        <v>13.171631</v>
      </c>
      <c r="V17" s="78">
        <v>14.247272000000001</v>
      </c>
      <c r="W17" s="85">
        <v>-4.0000000000000001E-3</v>
      </c>
      <c r="X17" s="88">
        <v>7.4299999999999991E-2</v>
      </c>
      <c r="Y17" s="85">
        <v>5.9903111399197684E-3</v>
      </c>
      <c r="Z17" s="89">
        <v>45336</v>
      </c>
      <c r="AA17" s="90">
        <v>45545</v>
      </c>
      <c r="AB17" s="91">
        <v>45351</v>
      </c>
      <c r="AC17" s="92">
        <v>45545</v>
      </c>
      <c r="AD17" s="92">
        <v>56318</v>
      </c>
      <c r="AE17" s="77">
        <v>355</v>
      </c>
      <c r="AF17" s="109">
        <v>1873.6794530269367</v>
      </c>
      <c r="AG17" s="93" t="s">
        <v>288</v>
      </c>
      <c r="AH17" s="93" t="s">
        <v>173</v>
      </c>
      <c r="AI17" s="93" t="s">
        <v>174</v>
      </c>
      <c r="AJ17" s="93" t="s">
        <v>175</v>
      </c>
      <c r="AK17" s="93" t="s">
        <v>289</v>
      </c>
      <c r="AL17" s="94">
        <v>0.26289471519203589</v>
      </c>
      <c r="AM17" s="94">
        <v>0.31116098730173875</v>
      </c>
      <c r="AN17" s="95">
        <v>397</v>
      </c>
      <c r="AO17" s="94" t="s">
        <v>301</v>
      </c>
    </row>
    <row r="18" spans="1:41" x14ac:dyDescent="0.3">
      <c r="A18" s="80">
        <v>17</v>
      </c>
      <c r="B18" s="81" t="s">
        <v>225</v>
      </c>
      <c r="C18" s="81" t="s">
        <v>226</v>
      </c>
      <c r="D18" s="56" t="str">
        <f t="shared" si="0"/>
        <v>18951483</v>
      </c>
      <c r="E18" s="56" t="str">
        <f t="shared" si="1"/>
        <v>2</v>
      </c>
      <c r="F18" s="82" t="s">
        <v>302</v>
      </c>
      <c r="G18" s="82" t="s">
        <v>303</v>
      </c>
      <c r="H18" s="93" t="s">
        <v>304</v>
      </c>
      <c r="I18" s="82" t="s">
        <v>140</v>
      </c>
      <c r="J18" s="82" t="s">
        <v>10</v>
      </c>
      <c r="K18" s="83">
        <v>605</v>
      </c>
      <c r="L18" s="83">
        <v>2000</v>
      </c>
      <c r="M18" s="83">
        <v>525</v>
      </c>
      <c r="N18" s="83">
        <v>2400</v>
      </c>
      <c r="O18" s="84">
        <v>7.5899999999999995E-2</v>
      </c>
      <c r="P18" s="85">
        <v>6.1150812860284454E-3</v>
      </c>
      <c r="Q18" s="86">
        <v>312</v>
      </c>
      <c r="R18" s="86">
        <v>5</v>
      </c>
      <c r="S18" s="85">
        <v>0.69750000000000001</v>
      </c>
      <c r="T18" s="87">
        <v>1395</v>
      </c>
      <c r="U18" s="78">
        <v>10.394145</v>
      </c>
      <c r="V18" s="78">
        <v>10.106775000000001</v>
      </c>
      <c r="W18" s="85">
        <v>-4.0000000000000001E-3</v>
      </c>
      <c r="X18" s="88">
        <v>7.1899999999999992E-2</v>
      </c>
      <c r="Y18" s="85">
        <v>5.8028361627453506E-3</v>
      </c>
      <c r="Z18" s="89">
        <v>45343</v>
      </c>
      <c r="AA18" s="90">
        <v>45545</v>
      </c>
      <c r="AB18" s="91">
        <v>45351</v>
      </c>
      <c r="AC18" s="92">
        <v>45545</v>
      </c>
      <c r="AD18" s="92">
        <v>54857</v>
      </c>
      <c r="AE18" s="77">
        <v>307</v>
      </c>
      <c r="AF18" s="109">
        <v>1441.8230839367423</v>
      </c>
      <c r="AG18" s="93" t="s">
        <v>290</v>
      </c>
      <c r="AH18" s="93" t="s">
        <v>291</v>
      </c>
      <c r="AI18" s="93" t="s">
        <v>164</v>
      </c>
      <c r="AJ18" s="93" t="s">
        <v>165</v>
      </c>
      <c r="AK18" s="93" t="s">
        <v>166</v>
      </c>
      <c r="AL18" s="94">
        <v>0.39814234927448039</v>
      </c>
      <c r="AM18" s="94">
        <v>0.44090318541138257</v>
      </c>
      <c r="AN18" s="95">
        <v>498</v>
      </c>
      <c r="AO18" s="94" t="s">
        <v>301</v>
      </c>
    </row>
    <row r="19" spans="1:41" x14ac:dyDescent="0.3">
      <c r="A19" s="80">
        <v>18</v>
      </c>
      <c r="B19" s="81" t="s">
        <v>227</v>
      </c>
      <c r="C19" s="81" t="s">
        <v>228</v>
      </c>
      <c r="D19" s="56" t="str">
        <f t="shared" si="0"/>
        <v>18030850</v>
      </c>
      <c r="E19" s="56" t="str">
        <f t="shared" si="1"/>
        <v>4</v>
      </c>
      <c r="F19" s="82" t="s">
        <v>305</v>
      </c>
      <c r="G19" s="82" t="s">
        <v>306</v>
      </c>
      <c r="H19" s="93" t="s">
        <v>307</v>
      </c>
      <c r="I19" s="82" t="s">
        <v>140</v>
      </c>
      <c r="J19" s="82" t="s">
        <v>10</v>
      </c>
      <c r="K19" s="83">
        <v>780</v>
      </c>
      <c r="L19" s="83">
        <v>2325</v>
      </c>
      <c r="M19" s="83">
        <v>700</v>
      </c>
      <c r="N19" s="83">
        <v>2600</v>
      </c>
      <c r="O19" s="84">
        <v>7.8299999999999995E-2</v>
      </c>
      <c r="P19" s="85">
        <v>6.3019179609968834E-3</v>
      </c>
      <c r="Q19" s="86">
        <v>192</v>
      </c>
      <c r="R19" s="86">
        <v>5</v>
      </c>
      <c r="S19" s="85">
        <v>0.6645161290322581</v>
      </c>
      <c r="T19" s="87">
        <v>1545</v>
      </c>
      <c r="U19" s="78">
        <v>14.538449999999999</v>
      </c>
      <c r="V19" s="78">
        <v>14.31597</v>
      </c>
      <c r="W19" s="85">
        <v>-4.0000000000000001E-3</v>
      </c>
      <c r="X19" s="88">
        <v>7.4299999999999991E-2</v>
      </c>
      <c r="Y19" s="85">
        <v>5.9903111399197684E-3</v>
      </c>
      <c r="Z19" s="89">
        <v>45329</v>
      </c>
      <c r="AA19" s="90">
        <v>45545</v>
      </c>
      <c r="AB19" s="91">
        <v>45351</v>
      </c>
      <c r="AC19" s="92">
        <v>45545</v>
      </c>
      <c r="AD19" s="92">
        <v>51205</v>
      </c>
      <c r="AE19" s="77">
        <v>187</v>
      </c>
      <c r="AF19" s="109">
        <v>1581.1036033726252</v>
      </c>
      <c r="AG19" s="93" t="s">
        <v>292</v>
      </c>
      <c r="AH19" s="93" t="s">
        <v>180</v>
      </c>
      <c r="AI19" s="93" t="s">
        <v>136</v>
      </c>
      <c r="AJ19" s="93" t="s">
        <v>167</v>
      </c>
      <c r="AK19" s="93" t="s">
        <v>181</v>
      </c>
      <c r="AL19" s="94">
        <v>0.21408733761809184</v>
      </c>
      <c r="AM19" s="94">
        <v>0.22525457008631541</v>
      </c>
      <c r="AN19" s="95">
        <v>14147</v>
      </c>
      <c r="AO19" s="94" t="s">
        <v>301</v>
      </c>
    </row>
    <row r="20" spans="1:41" x14ac:dyDescent="0.3">
      <c r="A20" s="80">
        <v>19</v>
      </c>
      <c r="B20" s="81" t="s">
        <v>229</v>
      </c>
      <c r="C20" s="81" t="s">
        <v>230</v>
      </c>
      <c r="D20" s="56" t="str">
        <f t="shared" si="0"/>
        <v>18067191</v>
      </c>
      <c r="E20" s="56" t="str">
        <f t="shared" si="1"/>
        <v>9</v>
      </c>
      <c r="F20" s="82" t="s">
        <v>308</v>
      </c>
      <c r="G20" s="82" t="s">
        <v>293</v>
      </c>
      <c r="H20" s="93" t="s">
        <v>309</v>
      </c>
      <c r="I20" s="82" t="s">
        <v>140</v>
      </c>
      <c r="J20" s="82" t="s">
        <v>10</v>
      </c>
      <c r="K20" s="83">
        <v>440</v>
      </c>
      <c r="L20" s="83">
        <v>1400</v>
      </c>
      <c r="M20" s="83">
        <v>400</v>
      </c>
      <c r="N20" s="83">
        <v>1400</v>
      </c>
      <c r="O20" s="84">
        <v>7.8299999999999995E-2</v>
      </c>
      <c r="P20" s="85">
        <v>6.3019179609968834E-3</v>
      </c>
      <c r="Q20" s="86">
        <v>276</v>
      </c>
      <c r="R20" s="86">
        <v>5</v>
      </c>
      <c r="S20" s="85">
        <v>0.68571428571428572</v>
      </c>
      <c r="T20" s="87">
        <v>960</v>
      </c>
      <c r="U20" s="78">
        <v>7.6339199999999998</v>
      </c>
      <c r="V20" s="78">
        <v>7.7913600000000001</v>
      </c>
      <c r="W20" s="85">
        <v>-4.0000000000000001E-3</v>
      </c>
      <c r="X20" s="88">
        <v>7.4299999999999991E-2</v>
      </c>
      <c r="Y20" s="85">
        <v>5.9903111399197684E-3</v>
      </c>
      <c r="Z20" s="89">
        <v>45336</v>
      </c>
      <c r="AA20" s="90">
        <v>45545</v>
      </c>
      <c r="AB20" s="91">
        <v>45351</v>
      </c>
      <c r="AC20" s="92">
        <v>45545</v>
      </c>
      <c r="AD20" s="92">
        <v>53761</v>
      </c>
      <c r="AE20" s="77">
        <v>271</v>
      </c>
      <c r="AF20" s="109">
        <v>989.03177629360027</v>
      </c>
      <c r="AG20" s="93" t="s">
        <v>294</v>
      </c>
      <c r="AH20" s="93" t="s">
        <v>295</v>
      </c>
      <c r="AI20" s="93" t="s">
        <v>54</v>
      </c>
      <c r="AJ20" s="93" t="s">
        <v>165</v>
      </c>
      <c r="AK20" s="93" t="s">
        <v>296</v>
      </c>
      <c r="AL20" s="94">
        <v>0.15686021544359102</v>
      </c>
      <c r="AM20" s="94">
        <v>0.42248598854567698</v>
      </c>
      <c r="AN20" s="95">
        <v>1692</v>
      </c>
      <c r="AO20" s="94" t="s">
        <v>301</v>
      </c>
    </row>
    <row r="21" spans="1:41" x14ac:dyDescent="0.3">
      <c r="A21" s="80">
        <v>20</v>
      </c>
      <c r="B21" s="81" t="s">
        <v>231</v>
      </c>
      <c r="C21" s="81" t="s">
        <v>232</v>
      </c>
      <c r="D21" s="56" t="str">
        <f t="shared" ref="D21:D22" si="2">LEFT(C21,LEN(C21)-2)</f>
        <v>18386792</v>
      </c>
      <c r="E21" s="56" t="str">
        <f t="shared" ref="E21:E22" si="3">RIGHT(C21,1)</f>
        <v>K</v>
      </c>
      <c r="F21" s="82" t="s">
        <v>310</v>
      </c>
      <c r="G21" s="82" t="s">
        <v>306</v>
      </c>
      <c r="H21" s="82" t="s">
        <v>311</v>
      </c>
      <c r="I21" s="82" t="s">
        <v>140</v>
      </c>
      <c r="J21" s="82" t="s">
        <v>10</v>
      </c>
      <c r="K21" s="83">
        <v>410</v>
      </c>
      <c r="L21" s="83">
        <v>2050</v>
      </c>
      <c r="M21" s="83">
        <v>325</v>
      </c>
      <c r="N21" s="83">
        <v>2150</v>
      </c>
      <c r="O21" s="84">
        <v>7.8299999999999995E-2</v>
      </c>
      <c r="P21" s="85">
        <v>6.3019179609968834E-3</v>
      </c>
      <c r="Q21" s="86">
        <v>360</v>
      </c>
      <c r="R21" s="86">
        <v>5</v>
      </c>
      <c r="S21" s="85">
        <v>0.8</v>
      </c>
      <c r="T21" s="87">
        <v>1640</v>
      </c>
      <c r="U21" s="78">
        <v>11.94904</v>
      </c>
      <c r="V21" s="78">
        <v>12.92484</v>
      </c>
      <c r="W21" s="85">
        <v>-4.0000000000000001E-3</v>
      </c>
      <c r="X21" s="88">
        <v>7.4299999999999991E-2</v>
      </c>
      <c r="Y21" s="85">
        <v>5.9903111399197684E-3</v>
      </c>
      <c r="Z21" s="89">
        <v>45336</v>
      </c>
      <c r="AA21" s="90">
        <v>45545</v>
      </c>
      <c r="AB21" s="91">
        <v>45351</v>
      </c>
      <c r="AC21" s="92">
        <v>45545</v>
      </c>
      <c r="AD21" s="92">
        <v>56318</v>
      </c>
      <c r="AE21" s="77">
        <v>355</v>
      </c>
      <c r="AF21" s="109">
        <v>1700.1104210087522</v>
      </c>
      <c r="AG21" s="93" t="s">
        <v>297</v>
      </c>
      <c r="AH21" s="93" t="s">
        <v>295</v>
      </c>
      <c r="AI21" s="93" t="s">
        <v>54</v>
      </c>
      <c r="AJ21" s="93" t="s">
        <v>165</v>
      </c>
      <c r="AK21" s="93" t="s">
        <v>296</v>
      </c>
      <c r="AL21" s="94">
        <v>0.23837890526131478</v>
      </c>
      <c r="AM21" s="94">
        <v>0.3908827200376625</v>
      </c>
      <c r="AN21" s="95">
        <v>1713</v>
      </c>
      <c r="AO21" s="94" t="s">
        <v>301</v>
      </c>
    </row>
    <row r="22" spans="1:41" x14ac:dyDescent="0.3">
      <c r="A22" s="97">
        <v>21</v>
      </c>
      <c r="B22" s="98" t="s">
        <v>312</v>
      </c>
      <c r="C22" s="98" t="s">
        <v>313</v>
      </c>
      <c r="D22" s="56" t="str">
        <f t="shared" si="2"/>
        <v>17077021</v>
      </c>
      <c r="E22" s="56" t="str">
        <f t="shared" si="3"/>
        <v>8</v>
      </c>
      <c r="F22" s="97" t="s">
        <v>314</v>
      </c>
      <c r="G22" s="97" t="s">
        <v>154</v>
      </c>
      <c r="H22" s="97" t="s">
        <v>315</v>
      </c>
      <c r="I22" s="97" t="s">
        <v>141</v>
      </c>
      <c r="J22" s="97" t="s">
        <v>10</v>
      </c>
      <c r="K22" s="99">
        <v>609.95000000000005</v>
      </c>
      <c r="L22" s="99">
        <v>2200</v>
      </c>
      <c r="M22" s="99">
        <v>525</v>
      </c>
      <c r="N22" s="99">
        <v>2400</v>
      </c>
      <c r="O22" s="100">
        <v>7.5899999999999995E-2</v>
      </c>
      <c r="P22" s="101">
        <v>6.1150812860284454E-3</v>
      </c>
      <c r="Q22" s="102">
        <v>300</v>
      </c>
      <c r="R22" s="102">
        <v>5</v>
      </c>
      <c r="S22" s="101">
        <v>0.72275</v>
      </c>
      <c r="T22" s="103">
        <v>1590.05</v>
      </c>
      <c r="U22" s="110">
        <v>12.012828000000001</v>
      </c>
      <c r="V22" s="110">
        <v>12.106641</v>
      </c>
      <c r="W22" s="101">
        <v>-4.0000000000000001E-3</v>
      </c>
      <c r="X22" s="104">
        <v>7.1899999999999992E-2</v>
      </c>
      <c r="Y22" s="101">
        <v>5.8028361627453506E-3</v>
      </c>
      <c r="Z22" s="105">
        <v>45349</v>
      </c>
      <c r="AA22" s="105">
        <v>45545</v>
      </c>
      <c r="AB22" s="106">
        <v>45351</v>
      </c>
      <c r="AC22" s="106">
        <v>45545</v>
      </c>
      <c r="AD22" s="106">
        <v>54492</v>
      </c>
      <c r="AE22" s="111">
        <v>295</v>
      </c>
      <c r="AF22" s="110">
        <v>1642.2856539782886</v>
      </c>
      <c r="AG22" s="97" t="s">
        <v>316</v>
      </c>
      <c r="AH22" s="97" t="s">
        <v>163</v>
      </c>
      <c r="AI22" s="97" t="s">
        <v>164</v>
      </c>
      <c r="AJ22" s="97" t="s">
        <v>165</v>
      </c>
      <c r="AK22" s="97" t="s">
        <v>166</v>
      </c>
      <c r="AL22" s="100">
        <v>0.17420446473832982</v>
      </c>
      <c r="AM22" s="100">
        <v>0.4708353774429469</v>
      </c>
      <c r="AN22" s="107">
        <v>548</v>
      </c>
      <c r="AO22" s="100" t="s">
        <v>317</v>
      </c>
    </row>
    <row r="23" spans="1:41" x14ac:dyDescent="0.3">
      <c r="A23" s="80">
        <v>22</v>
      </c>
      <c r="B23" s="96" t="s">
        <v>318</v>
      </c>
      <c r="C23" s="81" t="s">
        <v>319</v>
      </c>
      <c r="D23" s="56" t="str">
        <f t="shared" ref="D23:D43" si="4">LEFT(C23,LEN(C23)-2)</f>
        <v>18524978</v>
      </c>
      <c r="E23" s="56" t="str">
        <f t="shared" ref="E23:E43" si="5">RIGHT(C23,1)</f>
        <v>6</v>
      </c>
      <c r="F23" s="82" t="s">
        <v>147</v>
      </c>
      <c r="G23" s="82" t="s">
        <v>320</v>
      </c>
      <c r="H23" s="82" t="s">
        <v>321</v>
      </c>
      <c r="I23" s="82" t="s">
        <v>140</v>
      </c>
      <c r="J23" s="82" t="s">
        <v>10</v>
      </c>
      <c r="K23" s="83">
        <v>613.33999999999992</v>
      </c>
      <c r="L23" s="83">
        <v>2000</v>
      </c>
      <c r="M23" s="83">
        <v>525</v>
      </c>
      <c r="N23" s="83">
        <v>2325</v>
      </c>
      <c r="O23" s="84">
        <v>7.5899999999999995E-2</v>
      </c>
      <c r="P23" s="85">
        <v>6.1150812860284454E-3</v>
      </c>
      <c r="Q23" s="86">
        <v>324</v>
      </c>
      <c r="R23" s="86">
        <v>5</v>
      </c>
      <c r="S23" s="85">
        <v>0.69333</v>
      </c>
      <c r="T23" s="87">
        <v>1386.66</v>
      </c>
      <c r="U23" s="78">
        <v>10.200271000000001</v>
      </c>
      <c r="V23" s="78">
        <v>10.718882000000001</v>
      </c>
      <c r="W23" s="85">
        <v>-4.0000000000000001E-3</v>
      </c>
      <c r="X23" s="88">
        <v>7.1899999999999992E-2</v>
      </c>
      <c r="Y23" s="85">
        <v>5.8028361627453506E-3</v>
      </c>
      <c r="Z23" s="89">
        <v>45348</v>
      </c>
      <c r="AA23" s="90">
        <v>45545</v>
      </c>
      <c r="AB23" s="91">
        <v>45351</v>
      </c>
      <c r="AC23" s="92">
        <v>45545</v>
      </c>
      <c r="AD23" s="92">
        <v>55222</v>
      </c>
      <c r="AE23" s="77">
        <v>319</v>
      </c>
      <c r="AF23" s="109">
        <v>1434.9266249075047</v>
      </c>
      <c r="AG23" s="93" t="s">
        <v>322</v>
      </c>
      <c r="AH23" s="93" t="s">
        <v>163</v>
      </c>
      <c r="AI23" s="93" t="s">
        <v>164</v>
      </c>
      <c r="AJ23" s="93" t="s">
        <v>165</v>
      </c>
      <c r="AK23" s="93" t="s">
        <v>323</v>
      </c>
      <c r="AL23" s="94">
        <v>0.36604953965839676</v>
      </c>
      <c r="AM23" s="94">
        <v>0.45640956680934774</v>
      </c>
      <c r="AN23" s="95">
        <v>439</v>
      </c>
      <c r="AO23" s="94" t="s">
        <v>324</v>
      </c>
    </row>
    <row r="24" spans="1:41" x14ac:dyDescent="0.3">
      <c r="A24" s="80">
        <v>23</v>
      </c>
      <c r="B24" s="96" t="s">
        <v>325</v>
      </c>
      <c r="C24" s="81" t="s">
        <v>326</v>
      </c>
      <c r="D24" s="56" t="str">
        <f t="shared" si="4"/>
        <v>19469060</v>
      </c>
      <c r="E24" s="56" t="str">
        <f t="shared" si="5"/>
        <v>6</v>
      </c>
      <c r="F24" s="82" t="s">
        <v>327</v>
      </c>
      <c r="G24" s="82" t="s">
        <v>328</v>
      </c>
      <c r="H24" s="82" t="s">
        <v>329</v>
      </c>
      <c r="I24" s="82" t="s">
        <v>141</v>
      </c>
      <c r="J24" s="82" t="s">
        <v>10</v>
      </c>
      <c r="K24" s="83">
        <v>630</v>
      </c>
      <c r="L24" s="83">
        <v>2200</v>
      </c>
      <c r="M24" s="83">
        <v>550</v>
      </c>
      <c r="N24" s="83">
        <v>2515</v>
      </c>
      <c r="O24" s="84">
        <v>7.5899999999999995E-2</v>
      </c>
      <c r="P24" s="85">
        <v>6.1150812860284454E-3</v>
      </c>
      <c r="Q24" s="86">
        <v>324</v>
      </c>
      <c r="R24" s="86">
        <v>5</v>
      </c>
      <c r="S24" s="85">
        <v>0.71363636363636362</v>
      </c>
      <c r="T24" s="87">
        <v>1570</v>
      </c>
      <c r="U24" s="78">
        <v>11.548920000000001</v>
      </c>
      <c r="V24" s="78">
        <v>12.136100000000001</v>
      </c>
      <c r="W24" s="85">
        <v>-4.0000000000000001E-3</v>
      </c>
      <c r="X24" s="88">
        <v>7.1899999999999992E-2</v>
      </c>
      <c r="Y24" s="85">
        <v>5.8028361627453506E-3</v>
      </c>
      <c r="Z24" s="89">
        <v>45349</v>
      </c>
      <c r="AA24" s="90">
        <v>45545</v>
      </c>
      <c r="AB24" s="91">
        <v>45351</v>
      </c>
      <c r="AC24" s="92">
        <v>45545</v>
      </c>
      <c r="AD24" s="92">
        <v>55222</v>
      </c>
      <c r="AE24" s="77">
        <v>319</v>
      </c>
      <c r="AF24" s="109">
        <v>1624.8435640124401</v>
      </c>
      <c r="AG24" s="93" t="s">
        <v>330</v>
      </c>
      <c r="AH24" s="93" t="s">
        <v>331</v>
      </c>
      <c r="AI24" s="93" t="s">
        <v>332</v>
      </c>
      <c r="AJ24" s="93" t="s">
        <v>333</v>
      </c>
      <c r="AK24" s="93" t="s">
        <v>334</v>
      </c>
      <c r="AL24" s="94">
        <v>0.22051333952763594</v>
      </c>
      <c r="AM24" s="94">
        <v>0.30479180354994073</v>
      </c>
      <c r="AN24" s="95">
        <v>2015</v>
      </c>
      <c r="AO24" s="94" t="s">
        <v>324</v>
      </c>
    </row>
    <row r="25" spans="1:41" x14ac:dyDescent="0.3">
      <c r="A25" s="80">
        <v>24</v>
      </c>
      <c r="B25" s="96" t="s">
        <v>335</v>
      </c>
      <c r="C25" s="81" t="s">
        <v>336</v>
      </c>
      <c r="D25" s="56" t="str">
        <f t="shared" si="4"/>
        <v>19281269</v>
      </c>
      <c r="E25" s="56" t="str">
        <f t="shared" si="5"/>
        <v>0</v>
      </c>
      <c r="F25" s="82" t="s">
        <v>337</v>
      </c>
      <c r="G25" s="82" t="s">
        <v>338</v>
      </c>
      <c r="H25" s="82" t="s">
        <v>339</v>
      </c>
      <c r="I25" s="82" t="s">
        <v>141</v>
      </c>
      <c r="J25" s="82" t="s">
        <v>10</v>
      </c>
      <c r="K25" s="83">
        <v>680</v>
      </c>
      <c r="L25" s="83">
        <v>2400</v>
      </c>
      <c r="M25" s="83">
        <v>600</v>
      </c>
      <c r="N25" s="83">
        <v>2400</v>
      </c>
      <c r="O25" s="84">
        <v>7.5899999999999995E-2</v>
      </c>
      <c r="P25" s="85">
        <v>6.1150812860284454E-3</v>
      </c>
      <c r="Q25" s="86">
        <v>360</v>
      </c>
      <c r="R25" s="86">
        <v>5</v>
      </c>
      <c r="S25" s="85">
        <v>0.71666666666666667</v>
      </c>
      <c r="T25" s="87">
        <v>1720</v>
      </c>
      <c r="U25" s="78">
        <v>12.249840000000001</v>
      </c>
      <c r="V25" s="78">
        <v>12.6334</v>
      </c>
      <c r="W25" s="85">
        <v>-4.0000000000000001E-3</v>
      </c>
      <c r="X25" s="88">
        <v>7.1899999999999992E-2</v>
      </c>
      <c r="Y25" s="85">
        <v>5.8028361627453506E-3</v>
      </c>
      <c r="Z25" s="89">
        <v>45343</v>
      </c>
      <c r="AA25" s="90">
        <v>45545</v>
      </c>
      <c r="AB25" s="91">
        <v>45351</v>
      </c>
      <c r="AC25" s="92">
        <v>45545</v>
      </c>
      <c r="AD25" s="92">
        <v>56318</v>
      </c>
      <c r="AE25" s="77">
        <v>355</v>
      </c>
      <c r="AF25" s="109">
        <v>1784.0306810928951</v>
      </c>
      <c r="AG25" s="93" t="s">
        <v>340</v>
      </c>
      <c r="AH25" s="93" t="s">
        <v>182</v>
      </c>
      <c r="AI25" s="93" t="s">
        <v>169</v>
      </c>
      <c r="AJ25" s="93" t="s">
        <v>170</v>
      </c>
      <c r="AK25" s="93" t="s">
        <v>341</v>
      </c>
      <c r="AL25" s="94">
        <v>0.29583918333367626</v>
      </c>
      <c r="AM25" s="94">
        <v>0.46702606047585821</v>
      </c>
      <c r="AN25" s="95">
        <v>356</v>
      </c>
      <c r="AO25" s="94" t="s">
        <v>324</v>
      </c>
    </row>
    <row r="26" spans="1:41" x14ac:dyDescent="0.3">
      <c r="A26" s="97">
        <v>25</v>
      </c>
      <c r="B26" s="98" t="s">
        <v>342</v>
      </c>
      <c r="C26" s="98" t="s">
        <v>343</v>
      </c>
      <c r="D26" s="56" t="str">
        <f t="shared" si="4"/>
        <v>15950240</v>
      </c>
      <c r="E26" s="56" t="str">
        <f t="shared" si="5"/>
        <v>6</v>
      </c>
      <c r="F26" s="97" t="s">
        <v>145</v>
      </c>
      <c r="G26" s="97" t="s">
        <v>338</v>
      </c>
      <c r="H26" s="97" t="s">
        <v>344</v>
      </c>
      <c r="I26" s="97" t="s">
        <v>141</v>
      </c>
      <c r="J26" s="97" t="s">
        <v>10</v>
      </c>
      <c r="K26" s="99">
        <v>700</v>
      </c>
      <c r="L26" s="99">
        <v>2392</v>
      </c>
      <c r="M26" s="99">
        <v>600</v>
      </c>
      <c r="N26" s="99">
        <v>2555</v>
      </c>
      <c r="O26" s="100">
        <v>7.5899999999999995E-2</v>
      </c>
      <c r="P26" s="101">
        <v>6.1150812860284454E-3</v>
      </c>
      <c r="Q26" s="102">
        <v>360</v>
      </c>
      <c r="R26" s="102">
        <v>5</v>
      </c>
      <c r="S26" s="101">
        <v>0.70735785953177255</v>
      </c>
      <c r="T26" s="103">
        <v>1692</v>
      </c>
      <c r="U26" s="110">
        <v>12.050424</v>
      </c>
      <c r="V26" s="110">
        <v>12.42774</v>
      </c>
      <c r="W26" s="101">
        <v>-4.0000000000000001E-3</v>
      </c>
      <c r="X26" s="104">
        <v>7.1899999999999992E-2</v>
      </c>
      <c r="Y26" s="101">
        <v>5.8028361627453506E-3</v>
      </c>
      <c r="Z26" s="105">
        <v>45349</v>
      </c>
      <c r="AA26" s="105">
        <v>45545</v>
      </c>
      <c r="AB26" s="106">
        <v>45351</v>
      </c>
      <c r="AC26" s="106">
        <v>45545</v>
      </c>
      <c r="AD26" s="106">
        <v>56318</v>
      </c>
      <c r="AE26" s="111">
        <v>355</v>
      </c>
      <c r="AF26" s="110">
        <v>1754.9044198383008</v>
      </c>
      <c r="AG26" s="97" t="s">
        <v>345</v>
      </c>
      <c r="AH26" s="97" t="s">
        <v>177</v>
      </c>
      <c r="AI26" s="97" t="s">
        <v>177</v>
      </c>
      <c r="AJ26" s="97" t="s">
        <v>333</v>
      </c>
      <c r="AK26" s="97" t="s">
        <v>334</v>
      </c>
      <c r="AL26" s="100">
        <v>0.31027750276124993</v>
      </c>
      <c r="AM26" s="100">
        <v>0.3593384143240102</v>
      </c>
      <c r="AN26" s="107">
        <v>2028</v>
      </c>
      <c r="AO26" s="100" t="s">
        <v>317</v>
      </c>
    </row>
    <row r="27" spans="1:41" x14ac:dyDescent="0.3">
      <c r="A27" s="97">
        <v>26</v>
      </c>
      <c r="B27" s="98" t="s">
        <v>346</v>
      </c>
      <c r="C27" s="98" t="s">
        <v>347</v>
      </c>
      <c r="D27" s="56" t="str">
        <f t="shared" si="4"/>
        <v>25981432</v>
      </c>
      <c r="E27" s="56" t="str">
        <f t="shared" si="5"/>
        <v>4</v>
      </c>
      <c r="F27" s="97" t="s">
        <v>305</v>
      </c>
      <c r="G27" s="97" t="s">
        <v>348</v>
      </c>
      <c r="H27" s="97" t="s">
        <v>349</v>
      </c>
      <c r="I27" s="97" t="s">
        <v>140</v>
      </c>
      <c r="J27" s="97" t="s">
        <v>10</v>
      </c>
      <c r="K27" s="99">
        <v>680</v>
      </c>
      <c r="L27" s="99">
        <v>2400</v>
      </c>
      <c r="M27" s="99">
        <v>600</v>
      </c>
      <c r="N27" s="99">
        <v>2400</v>
      </c>
      <c r="O27" s="100">
        <v>7.5899999999999995E-2</v>
      </c>
      <c r="P27" s="101">
        <v>6.1150812860284454E-3</v>
      </c>
      <c r="Q27" s="102">
        <v>360</v>
      </c>
      <c r="R27" s="102">
        <v>5</v>
      </c>
      <c r="S27" s="101">
        <v>0.71666666666666667</v>
      </c>
      <c r="T27" s="103">
        <v>1720</v>
      </c>
      <c r="U27" s="110">
        <v>12.249840000000001</v>
      </c>
      <c r="V27" s="110">
        <v>12.6334</v>
      </c>
      <c r="W27" s="101">
        <v>-4.0000000000000001E-3</v>
      </c>
      <c r="X27" s="104">
        <v>7.1899999999999992E-2</v>
      </c>
      <c r="Y27" s="101">
        <v>5.8028361627453506E-3</v>
      </c>
      <c r="Z27" s="105">
        <v>45343</v>
      </c>
      <c r="AA27" s="105">
        <v>45545</v>
      </c>
      <c r="AB27" s="106">
        <v>45351</v>
      </c>
      <c r="AC27" s="106">
        <v>45545</v>
      </c>
      <c r="AD27" s="106">
        <v>56318</v>
      </c>
      <c r="AE27" s="111">
        <v>355</v>
      </c>
      <c r="AF27" s="110">
        <v>1784.0306810928951</v>
      </c>
      <c r="AG27" s="97" t="s">
        <v>350</v>
      </c>
      <c r="AH27" s="97" t="s">
        <v>182</v>
      </c>
      <c r="AI27" s="97" t="s">
        <v>169</v>
      </c>
      <c r="AJ27" s="97" t="s">
        <v>170</v>
      </c>
      <c r="AK27" s="97" t="s">
        <v>341</v>
      </c>
      <c r="AL27" s="100">
        <v>0.16222410186920844</v>
      </c>
      <c r="AM27" s="100">
        <v>0.4600776318269697</v>
      </c>
      <c r="AN27" s="107">
        <v>359</v>
      </c>
      <c r="AO27" s="100" t="s">
        <v>317</v>
      </c>
    </row>
    <row r="28" spans="1:41" x14ac:dyDescent="0.3">
      <c r="A28" s="80">
        <v>27</v>
      </c>
      <c r="B28" s="96" t="s">
        <v>351</v>
      </c>
      <c r="C28" s="81" t="s">
        <v>352</v>
      </c>
      <c r="D28" s="56" t="str">
        <f t="shared" si="4"/>
        <v>18555794</v>
      </c>
      <c r="E28" s="56" t="str">
        <f t="shared" si="5"/>
        <v>4</v>
      </c>
      <c r="F28" s="82" t="s">
        <v>353</v>
      </c>
      <c r="G28" s="82" t="s">
        <v>354</v>
      </c>
      <c r="H28" s="82" t="s">
        <v>355</v>
      </c>
      <c r="I28" s="82" t="s">
        <v>141</v>
      </c>
      <c r="J28" s="82" t="s">
        <v>10</v>
      </c>
      <c r="K28" s="83">
        <v>840.31</v>
      </c>
      <c r="L28" s="83">
        <v>1700</v>
      </c>
      <c r="M28" s="83">
        <v>737.5</v>
      </c>
      <c r="N28" s="83">
        <v>1700</v>
      </c>
      <c r="O28" s="84">
        <v>7.5899999999999995E-2</v>
      </c>
      <c r="P28" s="85">
        <v>6.1150812860284454E-3</v>
      </c>
      <c r="Q28" s="86">
        <v>360</v>
      </c>
      <c r="R28" s="86">
        <v>5</v>
      </c>
      <c r="S28" s="85">
        <v>0.50570000000000004</v>
      </c>
      <c r="T28" s="87">
        <v>859.69</v>
      </c>
      <c r="U28" s="78">
        <v>6.1227119999999999</v>
      </c>
      <c r="V28" s="78">
        <v>6.3144229999999997</v>
      </c>
      <c r="W28" s="85">
        <v>-4.0000000000000001E-3</v>
      </c>
      <c r="X28" s="88">
        <v>7.1899999999999992E-2</v>
      </c>
      <c r="Y28" s="85">
        <v>5.8028361627453506E-3</v>
      </c>
      <c r="Z28" s="89">
        <v>45348</v>
      </c>
      <c r="AA28" s="90">
        <v>45545</v>
      </c>
      <c r="AB28" s="91">
        <v>45351</v>
      </c>
      <c r="AC28" s="92">
        <v>45545</v>
      </c>
      <c r="AD28" s="92">
        <v>56318</v>
      </c>
      <c r="AE28" s="77">
        <v>355</v>
      </c>
      <c r="AF28" s="109">
        <v>891.28718401508263</v>
      </c>
      <c r="AG28" s="93" t="s">
        <v>356</v>
      </c>
      <c r="AH28" s="93" t="s">
        <v>357</v>
      </c>
      <c r="AI28" s="93" t="s">
        <v>51</v>
      </c>
      <c r="AJ28" s="93" t="s">
        <v>167</v>
      </c>
      <c r="AK28" s="93" t="s">
        <v>358</v>
      </c>
      <c r="AL28" s="94">
        <v>0.22762376338826878</v>
      </c>
      <c r="AM28" s="94">
        <v>0.2526904567574742</v>
      </c>
      <c r="AN28" s="95">
        <v>4035</v>
      </c>
      <c r="AO28" s="94" t="s">
        <v>324</v>
      </c>
    </row>
    <row r="29" spans="1:41" x14ac:dyDescent="0.3">
      <c r="A29" s="80">
        <v>28</v>
      </c>
      <c r="B29" s="96" t="s">
        <v>359</v>
      </c>
      <c r="C29" s="81" t="s">
        <v>360</v>
      </c>
      <c r="D29" s="56" t="str">
        <f t="shared" si="4"/>
        <v>19716015</v>
      </c>
      <c r="E29" s="56" t="str">
        <f t="shared" si="5"/>
        <v>2</v>
      </c>
      <c r="F29" s="82" t="s">
        <v>281</v>
      </c>
      <c r="G29" s="82" t="s">
        <v>155</v>
      </c>
      <c r="H29" s="82" t="s">
        <v>361</v>
      </c>
      <c r="I29" s="82" t="s">
        <v>141</v>
      </c>
      <c r="J29" s="82" t="s">
        <v>10</v>
      </c>
      <c r="K29" s="83">
        <v>730</v>
      </c>
      <c r="L29" s="83">
        <v>2325</v>
      </c>
      <c r="M29" s="83">
        <v>650</v>
      </c>
      <c r="N29" s="83">
        <v>2325</v>
      </c>
      <c r="O29" s="84">
        <v>7.5899999999999995E-2</v>
      </c>
      <c r="P29" s="85">
        <v>6.1150812860284454E-3</v>
      </c>
      <c r="Q29" s="86">
        <v>360</v>
      </c>
      <c r="R29" s="86">
        <v>5</v>
      </c>
      <c r="S29" s="85">
        <v>0.6860215053763441</v>
      </c>
      <c r="T29" s="87">
        <v>1595</v>
      </c>
      <c r="U29" s="78">
        <v>11.359590000000001</v>
      </c>
      <c r="V29" s="78">
        <v>11.715275</v>
      </c>
      <c r="W29" s="85">
        <v>-4.0000000000000001E-3</v>
      </c>
      <c r="X29" s="88">
        <v>7.1899999999999992E-2</v>
      </c>
      <c r="Y29" s="85">
        <v>5.8028361627453506E-3</v>
      </c>
      <c r="Z29" s="89">
        <v>45345</v>
      </c>
      <c r="AA29" s="90">
        <v>45545</v>
      </c>
      <c r="AB29" s="91">
        <v>45351</v>
      </c>
      <c r="AC29" s="92">
        <v>45545</v>
      </c>
      <c r="AD29" s="92">
        <v>56318</v>
      </c>
      <c r="AE29" s="77">
        <v>355</v>
      </c>
      <c r="AF29" s="109">
        <v>1654.4163353915824</v>
      </c>
      <c r="AG29" s="93" t="s">
        <v>362</v>
      </c>
      <c r="AH29" s="93" t="s">
        <v>163</v>
      </c>
      <c r="AI29" s="93" t="s">
        <v>164</v>
      </c>
      <c r="AJ29" s="93" t="s">
        <v>165</v>
      </c>
      <c r="AK29" s="93" t="s">
        <v>323</v>
      </c>
      <c r="AL29" s="94">
        <v>0.32568628994005794</v>
      </c>
      <c r="AM29" s="94">
        <v>0.4670512032784821</v>
      </c>
      <c r="AN29" s="95">
        <v>426</v>
      </c>
      <c r="AO29" s="94" t="s">
        <v>324</v>
      </c>
    </row>
    <row r="30" spans="1:41" x14ac:dyDescent="0.3">
      <c r="A30" s="80">
        <v>29</v>
      </c>
      <c r="B30" s="96" t="s">
        <v>363</v>
      </c>
      <c r="C30" s="81" t="s">
        <v>364</v>
      </c>
      <c r="D30" s="56" t="str">
        <f t="shared" si="4"/>
        <v>16156341</v>
      </c>
      <c r="E30" s="56" t="str">
        <f t="shared" si="5"/>
        <v>2</v>
      </c>
      <c r="F30" s="82" t="s">
        <v>365</v>
      </c>
      <c r="G30" s="82" t="s">
        <v>366</v>
      </c>
      <c r="H30" s="82" t="s">
        <v>157</v>
      </c>
      <c r="I30" s="82" t="s">
        <v>141</v>
      </c>
      <c r="J30" s="82" t="s">
        <v>10</v>
      </c>
      <c r="K30" s="83">
        <v>555</v>
      </c>
      <c r="L30" s="83">
        <v>2400</v>
      </c>
      <c r="M30" s="83">
        <v>475</v>
      </c>
      <c r="N30" s="83">
        <v>2450</v>
      </c>
      <c r="O30" s="84">
        <v>7.5899999999999995E-2</v>
      </c>
      <c r="P30" s="85">
        <v>6.1150812860284454E-3</v>
      </c>
      <c r="Q30" s="86">
        <v>360</v>
      </c>
      <c r="R30" s="86">
        <v>5</v>
      </c>
      <c r="S30" s="85">
        <v>0.76875000000000004</v>
      </c>
      <c r="T30" s="87">
        <v>1845</v>
      </c>
      <c r="U30" s="78">
        <v>13.140090000000001</v>
      </c>
      <c r="V30" s="78">
        <v>13.551525</v>
      </c>
      <c r="W30" s="85">
        <v>-4.0000000000000001E-3</v>
      </c>
      <c r="X30" s="88">
        <v>7.1899999999999992E-2</v>
      </c>
      <c r="Y30" s="85">
        <v>5.8028361627453506E-3</v>
      </c>
      <c r="Z30" s="89">
        <v>45348</v>
      </c>
      <c r="AA30" s="90">
        <v>45545</v>
      </c>
      <c r="AB30" s="91">
        <v>45351</v>
      </c>
      <c r="AC30" s="92">
        <v>45545</v>
      </c>
      <c r="AD30" s="92">
        <v>56318</v>
      </c>
      <c r="AE30" s="77">
        <v>355</v>
      </c>
      <c r="AF30" s="109">
        <v>1913.6462683533921</v>
      </c>
      <c r="AG30" s="93" t="s">
        <v>367</v>
      </c>
      <c r="AH30" s="93" t="s">
        <v>56</v>
      </c>
      <c r="AI30" s="93" t="s">
        <v>56</v>
      </c>
      <c r="AJ30" s="93" t="s">
        <v>368</v>
      </c>
      <c r="AK30" s="93" t="s">
        <v>369</v>
      </c>
      <c r="AL30" s="94">
        <v>0.26245170475593055</v>
      </c>
      <c r="AM30" s="94">
        <v>0.27797570219048001</v>
      </c>
      <c r="AN30" s="95">
        <v>1102</v>
      </c>
      <c r="AO30" s="94" t="s">
        <v>324</v>
      </c>
    </row>
    <row r="31" spans="1:41" x14ac:dyDescent="0.3">
      <c r="A31" s="80">
        <v>30</v>
      </c>
      <c r="B31" s="96" t="s">
        <v>370</v>
      </c>
      <c r="C31" s="81" t="s">
        <v>371</v>
      </c>
      <c r="D31" s="56" t="str">
        <f t="shared" si="4"/>
        <v>18277554</v>
      </c>
      <c r="E31" s="56" t="str">
        <f t="shared" si="5"/>
        <v>1</v>
      </c>
      <c r="F31" s="82" t="s">
        <v>372</v>
      </c>
      <c r="G31" s="82" t="s">
        <v>373</v>
      </c>
      <c r="H31" s="82" t="s">
        <v>374</v>
      </c>
      <c r="I31" s="82" t="s">
        <v>141</v>
      </c>
      <c r="J31" s="82" t="s">
        <v>10</v>
      </c>
      <c r="K31" s="83">
        <v>505</v>
      </c>
      <c r="L31" s="83">
        <v>2000</v>
      </c>
      <c r="M31" s="83">
        <v>425</v>
      </c>
      <c r="N31" s="83">
        <v>2150</v>
      </c>
      <c r="O31" s="84">
        <v>7.5899999999999995E-2</v>
      </c>
      <c r="P31" s="85">
        <v>6.1150812860284454E-3</v>
      </c>
      <c r="Q31" s="86">
        <v>312</v>
      </c>
      <c r="R31" s="86">
        <v>5</v>
      </c>
      <c r="S31" s="85">
        <v>0.75985000000000003</v>
      </c>
      <c r="T31" s="87">
        <v>1519.7</v>
      </c>
      <c r="U31" s="78">
        <v>11.323285</v>
      </c>
      <c r="V31" s="78">
        <v>11.010225999999999</v>
      </c>
      <c r="W31" s="85">
        <v>-4.0000000000000001E-3</v>
      </c>
      <c r="X31" s="88">
        <v>7.1899999999999992E-2</v>
      </c>
      <c r="Y31" s="85">
        <v>5.8028361627453506E-3</v>
      </c>
      <c r="Z31" s="89">
        <v>45348</v>
      </c>
      <c r="AA31" s="90">
        <v>45545</v>
      </c>
      <c r="AB31" s="91">
        <v>45351</v>
      </c>
      <c r="AC31" s="92">
        <v>45545</v>
      </c>
      <c r="AD31" s="92">
        <v>54857</v>
      </c>
      <c r="AE31" s="77">
        <v>307</v>
      </c>
      <c r="AF31" s="109">
        <v>1570.8786237138329</v>
      </c>
      <c r="AG31" s="93" t="s">
        <v>375</v>
      </c>
      <c r="AH31" s="93" t="s">
        <v>177</v>
      </c>
      <c r="AI31" s="93" t="s">
        <v>177</v>
      </c>
      <c r="AJ31" s="93" t="s">
        <v>333</v>
      </c>
      <c r="AK31" s="93" t="s">
        <v>358</v>
      </c>
      <c r="AL31" s="94">
        <v>0.29222855927844199</v>
      </c>
      <c r="AM31" s="94">
        <v>0.39926101215475068</v>
      </c>
      <c r="AN31" s="95">
        <v>3960</v>
      </c>
      <c r="AO31" s="94" t="s">
        <v>324</v>
      </c>
    </row>
    <row r="32" spans="1:41" x14ac:dyDescent="0.3">
      <c r="A32" s="80">
        <v>31</v>
      </c>
      <c r="B32" s="96" t="s">
        <v>376</v>
      </c>
      <c r="C32" s="81" t="s">
        <v>377</v>
      </c>
      <c r="D32" s="56" t="str">
        <f t="shared" si="4"/>
        <v>19994889</v>
      </c>
      <c r="E32" s="56" t="str">
        <f t="shared" si="5"/>
        <v>K</v>
      </c>
      <c r="F32" s="82" t="s">
        <v>150</v>
      </c>
      <c r="G32" s="82" t="s">
        <v>378</v>
      </c>
      <c r="H32" s="82" t="s">
        <v>379</v>
      </c>
      <c r="I32" s="82" t="s">
        <v>140</v>
      </c>
      <c r="J32" s="82" t="s">
        <v>10</v>
      </c>
      <c r="K32" s="83">
        <v>802.77</v>
      </c>
      <c r="L32" s="83">
        <v>2700</v>
      </c>
      <c r="M32" s="83">
        <v>700</v>
      </c>
      <c r="N32" s="83">
        <v>2700</v>
      </c>
      <c r="O32" s="84">
        <v>7.5899999999999995E-2</v>
      </c>
      <c r="P32" s="85">
        <v>6.1150812860284454E-3</v>
      </c>
      <c r="Q32" s="86">
        <v>360</v>
      </c>
      <c r="R32" s="86">
        <v>5</v>
      </c>
      <c r="S32" s="85">
        <v>0.71089999999999998</v>
      </c>
      <c r="T32" s="87">
        <v>1919.43</v>
      </c>
      <c r="U32" s="78">
        <v>13.67018</v>
      </c>
      <c r="V32" s="78">
        <v>14.098212999999999</v>
      </c>
      <c r="W32" s="85">
        <v>-4.0000000000000001E-3</v>
      </c>
      <c r="X32" s="88">
        <v>7.1899999999999992E-2</v>
      </c>
      <c r="Y32" s="85">
        <v>5.8028361627453506E-3</v>
      </c>
      <c r="Z32" s="89">
        <v>45348</v>
      </c>
      <c r="AA32" s="90">
        <v>45545</v>
      </c>
      <c r="AB32" s="91">
        <v>45351</v>
      </c>
      <c r="AC32" s="92">
        <v>45545</v>
      </c>
      <c r="AD32" s="92">
        <v>56318</v>
      </c>
      <c r="AE32" s="77">
        <v>355</v>
      </c>
      <c r="AF32" s="109">
        <v>1990.8333437964347</v>
      </c>
      <c r="AG32" s="93" t="s">
        <v>356</v>
      </c>
      <c r="AH32" s="93" t="s">
        <v>357</v>
      </c>
      <c r="AI32" s="93" t="s">
        <v>51</v>
      </c>
      <c r="AJ32" s="93" t="s">
        <v>167</v>
      </c>
      <c r="AK32" s="93" t="s">
        <v>358</v>
      </c>
      <c r="AL32" s="94">
        <v>0.32151801915010336</v>
      </c>
      <c r="AM32" s="94">
        <v>0.40257128241136431</v>
      </c>
      <c r="AN32" s="95">
        <v>4037</v>
      </c>
      <c r="AO32" s="94" t="s">
        <v>324</v>
      </c>
    </row>
    <row r="33" spans="1:41" x14ac:dyDescent="0.3">
      <c r="A33" s="80">
        <v>32</v>
      </c>
      <c r="B33" s="96" t="s">
        <v>380</v>
      </c>
      <c r="C33" s="81" t="s">
        <v>381</v>
      </c>
      <c r="D33" s="56" t="str">
        <f t="shared" si="4"/>
        <v>18596708</v>
      </c>
      <c r="E33" s="56" t="str">
        <f t="shared" si="5"/>
        <v>5</v>
      </c>
      <c r="F33" s="82" t="s">
        <v>153</v>
      </c>
      <c r="G33" s="82" t="s">
        <v>144</v>
      </c>
      <c r="H33" s="82" t="s">
        <v>382</v>
      </c>
      <c r="I33" s="82" t="s">
        <v>141</v>
      </c>
      <c r="J33" s="82" t="s">
        <v>10</v>
      </c>
      <c r="K33" s="83">
        <v>455</v>
      </c>
      <c r="L33" s="83">
        <v>2200</v>
      </c>
      <c r="M33" s="83">
        <v>375</v>
      </c>
      <c r="N33" s="83">
        <v>2200</v>
      </c>
      <c r="O33" s="84">
        <v>7.5899999999999995E-2</v>
      </c>
      <c r="P33" s="85">
        <v>6.1150812860284454E-3</v>
      </c>
      <c r="Q33" s="86">
        <v>360</v>
      </c>
      <c r="R33" s="86">
        <v>5</v>
      </c>
      <c r="S33" s="85">
        <v>0.79318181818181821</v>
      </c>
      <c r="T33" s="87">
        <v>1745</v>
      </c>
      <c r="U33" s="78">
        <v>12.42789</v>
      </c>
      <c r="V33" s="78">
        <v>12.817024999999999</v>
      </c>
      <c r="W33" s="85">
        <v>-4.0000000000000001E-3</v>
      </c>
      <c r="X33" s="88">
        <v>7.1899999999999992E-2</v>
      </c>
      <c r="Y33" s="85">
        <v>5.8028361627453506E-3</v>
      </c>
      <c r="Z33" s="89">
        <v>45348</v>
      </c>
      <c r="AA33" s="90">
        <v>45545</v>
      </c>
      <c r="AB33" s="91">
        <v>45351</v>
      </c>
      <c r="AC33" s="92">
        <v>45545</v>
      </c>
      <c r="AD33" s="92">
        <v>56318</v>
      </c>
      <c r="AE33" s="77">
        <v>355</v>
      </c>
      <c r="AF33" s="109">
        <v>1810.2455577812143</v>
      </c>
      <c r="AG33" s="93" t="s">
        <v>383</v>
      </c>
      <c r="AH33" s="93" t="s">
        <v>137</v>
      </c>
      <c r="AI33" s="93" t="s">
        <v>136</v>
      </c>
      <c r="AJ33" s="93" t="s">
        <v>167</v>
      </c>
      <c r="AK33" s="93" t="s">
        <v>358</v>
      </c>
      <c r="AL33" s="94">
        <v>0.26399493353731318</v>
      </c>
      <c r="AM33" s="94">
        <v>0.29663244546285389</v>
      </c>
      <c r="AN33" s="95">
        <v>4016</v>
      </c>
      <c r="AO33" s="94" t="s">
        <v>324</v>
      </c>
    </row>
    <row r="34" spans="1:41" x14ac:dyDescent="0.3">
      <c r="A34" s="80">
        <v>33</v>
      </c>
      <c r="B34" s="96" t="s">
        <v>384</v>
      </c>
      <c r="C34" s="81" t="s">
        <v>385</v>
      </c>
      <c r="D34" s="56" t="str">
        <f t="shared" si="4"/>
        <v>17589500</v>
      </c>
      <c r="E34" s="56" t="str">
        <f t="shared" si="5"/>
        <v>0</v>
      </c>
      <c r="F34" s="82" t="s">
        <v>386</v>
      </c>
      <c r="G34" s="82" t="s">
        <v>152</v>
      </c>
      <c r="H34" s="82" t="s">
        <v>387</v>
      </c>
      <c r="I34" s="82" t="s">
        <v>141</v>
      </c>
      <c r="J34" s="82" t="s">
        <v>10</v>
      </c>
      <c r="K34" s="83">
        <v>780</v>
      </c>
      <c r="L34" s="83">
        <v>2065</v>
      </c>
      <c r="M34" s="83">
        <v>700</v>
      </c>
      <c r="N34" s="83">
        <v>2440</v>
      </c>
      <c r="O34" s="84">
        <v>7.5899999999999995E-2</v>
      </c>
      <c r="P34" s="85">
        <v>6.1150812860284454E-3</v>
      </c>
      <c r="Q34" s="86">
        <v>360</v>
      </c>
      <c r="R34" s="86">
        <v>5</v>
      </c>
      <c r="S34" s="85">
        <v>0.62227602905569013</v>
      </c>
      <c r="T34" s="87">
        <v>1285</v>
      </c>
      <c r="U34" s="78">
        <v>9.1517700000000008</v>
      </c>
      <c r="V34" s="78">
        <v>9.4383250000000007</v>
      </c>
      <c r="W34" s="85">
        <v>-4.0000000000000001E-3</v>
      </c>
      <c r="X34" s="88">
        <v>7.1899999999999992E-2</v>
      </c>
      <c r="Y34" s="85">
        <v>5.8028361627453506E-3</v>
      </c>
      <c r="Z34" s="89">
        <v>45348</v>
      </c>
      <c r="AA34" s="90">
        <v>45545</v>
      </c>
      <c r="AB34" s="91">
        <v>45351</v>
      </c>
      <c r="AC34" s="92">
        <v>45545</v>
      </c>
      <c r="AD34" s="92">
        <v>56318</v>
      </c>
      <c r="AE34" s="77">
        <v>355</v>
      </c>
      <c r="AF34" s="109">
        <v>1332.5624576140272</v>
      </c>
      <c r="AG34" s="93" t="s">
        <v>388</v>
      </c>
      <c r="AH34" s="93" t="s">
        <v>180</v>
      </c>
      <c r="AI34" s="93" t="s">
        <v>136</v>
      </c>
      <c r="AJ34" s="93" t="s">
        <v>167</v>
      </c>
      <c r="AK34" s="93" t="s">
        <v>181</v>
      </c>
      <c r="AL34" s="94">
        <v>0.36017663807010331</v>
      </c>
      <c r="AM34" s="94">
        <v>0.39467694204422349</v>
      </c>
      <c r="AN34" s="95">
        <v>19482</v>
      </c>
      <c r="AO34" s="94" t="s">
        <v>324</v>
      </c>
    </row>
    <row r="35" spans="1:41" x14ac:dyDescent="0.3">
      <c r="A35" s="80">
        <v>34</v>
      </c>
      <c r="B35" s="96" t="s">
        <v>389</v>
      </c>
      <c r="C35" s="81" t="s">
        <v>390</v>
      </c>
      <c r="D35" s="56" t="str">
        <f t="shared" si="4"/>
        <v>11392169</v>
      </c>
      <c r="E35" s="56" t="str">
        <f t="shared" si="5"/>
        <v>2</v>
      </c>
      <c r="F35" s="82" t="s">
        <v>391</v>
      </c>
      <c r="G35" s="82" t="s">
        <v>392</v>
      </c>
      <c r="H35" s="82" t="s">
        <v>393</v>
      </c>
      <c r="I35" s="82" t="s">
        <v>140</v>
      </c>
      <c r="J35" s="82" t="s">
        <v>10</v>
      </c>
      <c r="K35" s="83">
        <v>780</v>
      </c>
      <c r="L35" s="83">
        <v>2400</v>
      </c>
      <c r="M35" s="83">
        <v>700</v>
      </c>
      <c r="N35" s="83">
        <v>2600</v>
      </c>
      <c r="O35" s="84">
        <v>7.5899999999999995E-2</v>
      </c>
      <c r="P35" s="85">
        <v>6.1150812860284454E-3</v>
      </c>
      <c r="Q35" s="86">
        <v>300</v>
      </c>
      <c r="R35" s="86">
        <v>5</v>
      </c>
      <c r="S35" s="85">
        <v>0.67500000000000004</v>
      </c>
      <c r="T35" s="87">
        <v>1620</v>
      </c>
      <c r="U35" s="78">
        <v>12.239100000000001</v>
      </c>
      <c r="V35" s="78">
        <v>12.334680000000001</v>
      </c>
      <c r="W35" s="85">
        <v>-4.0000000000000001E-3</v>
      </c>
      <c r="X35" s="88">
        <v>7.1899999999999992E-2</v>
      </c>
      <c r="Y35" s="85">
        <v>5.8028361627453506E-3</v>
      </c>
      <c r="Z35" s="89">
        <v>45348</v>
      </c>
      <c r="AA35" s="90">
        <v>45545</v>
      </c>
      <c r="AB35" s="91">
        <v>45351</v>
      </c>
      <c r="AC35" s="92">
        <v>45545</v>
      </c>
      <c r="AD35" s="92">
        <v>54492</v>
      </c>
      <c r="AE35" s="77">
        <v>295</v>
      </c>
      <c r="AF35" s="109">
        <v>1673.7344928518401</v>
      </c>
      <c r="AG35" s="93" t="s">
        <v>394</v>
      </c>
      <c r="AH35" s="93" t="s">
        <v>180</v>
      </c>
      <c r="AI35" s="93" t="s">
        <v>136</v>
      </c>
      <c r="AJ35" s="93" t="s">
        <v>167</v>
      </c>
      <c r="AK35" s="93" t="s">
        <v>181</v>
      </c>
      <c r="AL35" s="94">
        <v>0.30137122337896893</v>
      </c>
      <c r="AM35" s="94">
        <v>0.53172439511952097</v>
      </c>
      <c r="AN35" s="95">
        <v>19368</v>
      </c>
      <c r="AO35" s="94" t="s">
        <v>324</v>
      </c>
    </row>
    <row r="36" spans="1:41" x14ac:dyDescent="0.3">
      <c r="A36" s="80">
        <v>35</v>
      </c>
      <c r="B36" s="96" t="s">
        <v>395</v>
      </c>
      <c r="C36" s="81" t="s">
        <v>396</v>
      </c>
      <c r="D36" s="56" t="str">
        <f t="shared" si="4"/>
        <v>20039829</v>
      </c>
      <c r="E36" s="56" t="str">
        <f t="shared" si="5"/>
        <v>7</v>
      </c>
      <c r="F36" s="82" t="s">
        <v>397</v>
      </c>
      <c r="G36" s="82" t="s">
        <v>398</v>
      </c>
      <c r="H36" s="82" t="s">
        <v>399</v>
      </c>
      <c r="I36" s="82" t="s">
        <v>140</v>
      </c>
      <c r="J36" s="82" t="s">
        <v>10</v>
      </c>
      <c r="K36" s="83">
        <v>680</v>
      </c>
      <c r="L36" s="83">
        <v>2400</v>
      </c>
      <c r="M36" s="83">
        <v>600</v>
      </c>
      <c r="N36" s="83">
        <v>2400</v>
      </c>
      <c r="O36" s="84">
        <v>7.5899999999999995E-2</v>
      </c>
      <c r="P36" s="85">
        <v>6.1150812860284454E-3</v>
      </c>
      <c r="Q36" s="86">
        <v>360</v>
      </c>
      <c r="R36" s="86">
        <v>5</v>
      </c>
      <c r="S36" s="85">
        <v>0.71666666666666667</v>
      </c>
      <c r="T36" s="87">
        <v>1720</v>
      </c>
      <c r="U36" s="78">
        <v>12.249840000000001</v>
      </c>
      <c r="V36" s="78">
        <v>12.6334</v>
      </c>
      <c r="W36" s="85">
        <v>-4.0000000000000001E-3</v>
      </c>
      <c r="X36" s="88">
        <v>7.1899999999999992E-2</v>
      </c>
      <c r="Y36" s="85">
        <v>5.8028361627453506E-3</v>
      </c>
      <c r="Z36" s="89">
        <v>45344</v>
      </c>
      <c r="AA36" s="90">
        <v>45545</v>
      </c>
      <c r="AB36" s="91">
        <v>45351</v>
      </c>
      <c r="AC36" s="92">
        <v>45545</v>
      </c>
      <c r="AD36" s="92">
        <v>56318</v>
      </c>
      <c r="AE36" s="77">
        <v>355</v>
      </c>
      <c r="AF36" s="109">
        <v>1784.0306810928951</v>
      </c>
      <c r="AG36" s="93" t="s">
        <v>400</v>
      </c>
      <c r="AH36" s="93" t="s">
        <v>182</v>
      </c>
      <c r="AI36" s="93" t="s">
        <v>169</v>
      </c>
      <c r="AJ36" s="93" t="s">
        <v>170</v>
      </c>
      <c r="AK36" s="93" t="s">
        <v>341</v>
      </c>
      <c r="AL36" s="94">
        <v>0.30884557336537921</v>
      </c>
      <c r="AM36" s="94">
        <v>0.37140980008382424</v>
      </c>
      <c r="AN36" s="108" t="s">
        <v>401</v>
      </c>
      <c r="AO36" s="94" t="s">
        <v>324</v>
      </c>
    </row>
    <row r="37" spans="1:41" x14ac:dyDescent="0.3">
      <c r="A37" s="80">
        <v>36</v>
      </c>
      <c r="B37" s="96" t="s">
        <v>402</v>
      </c>
      <c r="C37" s="81" t="s">
        <v>403</v>
      </c>
      <c r="D37" s="56" t="str">
        <f t="shared" si="4"/>
        <v>16377478</v>
      </c>
      <c r="E37" s="56" t="str">
        <f t="shared" si="5"/>
        <v>K</v>
      </c>
      <c r="F37" s="82" t="s">
        <v>149</v>
      </c>
      <c r="G37" s="82" t="s">
        <v>404</v>
      </c>
      <c r="H37" s="82" t="s">
        <v>405</v>
      </c>
      <c r="I37" s="82" t="s">
        <v>141</v>
      </c>
      <c r="J37" s="82" t="s">
        <v>10</v>
      </c>
      <c r="K37" s="83">
        <v>743.34999999999991</v>
      </c>
      <c r="L37" s="83">
        <v>2325</v>
      </c>
      <c r="M37" s="83">
        <v>700</v>
      </c>
      <c r="N37" s="83">
        <v>2600</v>
      </c>
      <c r="O37" s="84">
        <v>7.5899999999999995E-2</v>
      </c>
      <c r="P37" s="85">
        <v>6.1150812860284454E-3</v>
      </c>
      <c r="Q37" s="86">
        <v>360</v>
      </c>
      <c r="R37" s="86">
        <v>5</v>
      </c>
      <c r="S37" s="85">
        <v>0.68027956989247318</v>
      </c>
      <c r="T37" s="87">
        <v>1581.65</v>
      </c>
      <c r="U37" s="78">
        <v>11.264511000000001</v>
      </c>
      <c r="V37" s="78">
        <v>11.617219</v>
      </c>
      <c r="W37" s="85">
        <v>-4.0000000000000001E-3</v>
      </c>
      <c r="X37" s="88">
        <v>7.1899999999999992E-2</v>
      </c>
      <c r="Y37" s="85">
        <v>5.8028361627453506E-3</v>
      </c>
      <c r="Z37" s="89">
        <v>45348</v>
      </c>
      <c r="AA37" s="90">
        <v>45545</v>
      </c>
      <c r="AB37" s="91">
        <v>45351</v>
      </c>
      <c r="AC37" s="92">
        <v>45545</v>
      </c>
      <c r="AD37" s="92">
        <v>56318</v>
      </c>
      <c r="AE37" s="77">
        <v>355</v>
      </c>
      <c r="AF37" s="109">
        <v>1639.8532047642852</v>
      </c>
      <c r="AG37" s="93" t="s">
        <v>406</v>
      </c>
      <c r="AH37" s="93" t="s">
        <v>180</v>
      </c>
      <c r="AI37" s="93" t="s">
        <v>136</v>
      </c>
      <c r="AJ37" s="93" t="s">
        <v>167</v>
      </c>
      <c r="AK37" s="93" t="s">
        <v>181</v>
      </c>
      <c r="AL37" s="94">
        <v>0.22315428855601296</v>
      </c>
      <c r="AM37" s="94">
        <v>0.35014293217429554</v>
      </c>
      <c r="AN37" s="95">
        <v>19404</v>
      </c>
      <c r="AO37" s="94" t="s">
        <v>324</v>
      </c>
    </row>
    <row r="38" spans="1:41" x14ac:dyDescent="0.3">
      <c r="A38" s="80">
        <v>37</v>
      </c>
      <c r="B38" s="96" t="s">
        <v>407</v>
      </c>
      <c r="C38" s="81" t="s">
        <v>408</v>
      </c>
      <c r="D38" s="56" t="str">
        <f t="shared" si="4"/>
        <v>16597475</v>
      </c>
      <c r="E38" s="56" t="str">
        <f t="shared" si="5"/>
        <v>1</v>
      </c>
      <c r="F38" s="82" t="s">
        <v>409</v>
      </c>
      <c r="G38" s="82" t="s">
        <v>143</v>
      </c>
      <c r="H38" s="82" t="s">
        <v>410</v>
      </c>
      <c r="I38" s="82" t="s">
        <v>140</v>
      </c>
      <c r="J38" s="82" t="s">
        <v>10</v>
      </c>
      <c r="K38" s="83">
        <v>470</v>
      </c>
      <c r="L38" s="83">
        <v>2100</v>
      </c>
      <c r="M38" s="83">
        <v>375</v>
      </c>
      <c r="N38" s="83">
        <v>2100</v>
      </c>
      <c r="O38" s="84">
        <v>7.5899999999999995E-2</v>
      </c>
      <c r="P38" s="85">
        <v>6.1150812860284454E-3</v>
      </c>
      <c r="Q38" s="86">
        <v>360</v>
      </c>
      <c r="R38" s="86">
        <v>5</v>
      </c>
      <c r="S38" s="85">
        <v>0.77619047619047621</v>
      </c>
      <c r="T38" s="87">
        <v>1630</v>
      </c>
      <c r="U38" s="78">
        <v>11.60886</v>
      </c>
      <c r="V38" s="78">
        <v>11.97235</v>
      </c>
      <c r="W38" s="85">
        <v>-4.0000000000000001E-3</v>
      </c>
      <c r="X38" s="88">
        <v>7.1899999999999992E-2</v>
      </c>
      <c r="Y38" s="85">
        <v>5.8028361627453506E-3</v>
      </c>
      <c r="Z38" s="89">
        <v>45349</v>
      </c>
      <c r="AA38" s="90">
        <v>45545</v>
      </c>
      <c r="AB38" s="91">
        <v>45351</v>
      </c>
      <c r="AC38" s="92">
        <v>45545</v>
      </c>
      <c r="AD38" s="92">
        <v>56318</v>
      </c>
      <c r="AE38" s="77">
        <v>355</v>
      </c>
      <c r="AF38" s="109">
        <v>1690.824161959825</v>
      </c>
      <c r="AG38" s="93" t="s">
        <v>411</v>
      </c>
      <c r="AH38" s="93" t="s">
        <v>49</v>
      </c>
      <c r="AI38" s="93" t="s">
        <v>177</v>
      </c>
      <c r="AJ38" s="93" t="s">
        <v>333</v>
      </c>
      <c r="AK38" s="93" t="s">
        <v>334</v>
      </c>
      <c r="AL38" s="94">
        <v>0.25436078866166506</v>
      </c>
      <c r="AM38" s="94">
        <v>0.35435235012507721</v>
      </c>
      <c r="AN38" s="95">
        <v>2024</v>
      </c>
      <c r="AO38" s="94" t="s">
        <v>324</v>
      </c>
    </row>
    <row r="39" spans="1:41" x14ac:dyDescent="0.3">
      <c r="A39" s="80">
        <v>38</v>
      </c>
      <c r="B39" s="96" t="s">
        <v>412</v>
      </c>
      <c r="C39" s="81" t="s">
        <v>413</v>
      </c>
      <c r="D39" s="56" t="str">
        <f t="shared" si="4"/>
        <v>12406726</v>
      </c>
      <c r="E39" s="56" t="str">
        <f t="shared" si="5"/>
        <v>K</v>
      </c>
      <c r="F39" s="82" t="s">
        <v>147</v>
      </c>
      <c r="G39" s="82" t="s">
        <v>242</v>
      </c>
      <c r="H39" s="82" t="s">
        <v>414</v>
      </c>
      <c r="I39" s="82" t="s">
        <v>141</v>
      </c>
      <c r="J39" s="82" t="s">
        <v>10</v>
      </c>
      <c r="K39" s="83">
        <v>504</v>
      </c>
      <c r="L39" s="83">
        <v>1400</v>
      </c>
      <c r="M39" s="83">
        <v>450</v>
      </c>
      <c r="N39" s="83">
        <v>1400</v>
      </c>
      <c r="O39" s="84">
        <v>7.5899999999999995E-2</v>
      </c>
      <c r="P39" s="85">
        <v>6.1150812860284454E-3</v>
      </c>
      <c r="Q39" s="86">
        <v>336</v>
      </c>
      <c r="R39" s="86">
        <v>5</v>
      </c>
      <c r="S39" s="85">
        <v>0.64</v>
      </c>
      <c r="T39" s="87">
        <v>896</v>
      </c>
      <c r="U39" s="78">
        <v>6.5148159999999997</v>
      </c>
      <c r="V39" s="78">
        <v>6.3347199999999999</v>
      </c>
      <c r="W39" s="85">
        <v>-4.0000000000000001E-3</v>
      </c>
      <c r="X39" s="88">
        <v>7.1899999999999992E-2</v>
      </c>
      <c r="Y39" s="85">
        <v>5.8028361627453506E-3</v>
      </c>
      <c r="Z39" s="89">
        <v>45349</v>
      </c>
      <c r="AA39" s="90">
        <v>45545</v>
      </c>
      <c r="AB39" s="91">
        <v>45351</v>
      </c>
      <c r="AC39" s="92">
        <v>45545</v>
      </c>
      <c r="AD39" s="92">
        <v>55588</v>
      </c>
      <c r="AE39" s="77">
        <v>331</v>
      </c>
      <c r="AF39" s="109">
        <v>927.26286849739279</v>
      </c>
      <c r="AG39" s="93" t="s">
        <v>415</v>
      </c>
      <c r="AH39" s="93" t="s">
        <v>182</v>
      </c>
      <c r="AI39" s="93" t="s">
        <v>169</v>
      </c>
      <c r="AJ39" s="93" t="s">
        <v>170</v>
      </c>
      <c r="AK39" s="93" t="s">
        <v>341</v>
      </c>
      <c r="AL39" s="94">
        <v>0.18231277789618125</v>
      </c>
      <c r="AM39" s="94">
        <v>0.30271257449974937</v>
      </c>
      <c r="AN39" s="108" t="s">
        <v>401</v>
      </c>
      <c r="AO39" s="94" t="s">
        <v>324</v>
      </c>
    </row>
    <row r="40" spans="1:41" x14ac:dyDescent="0.3">
      <c r="A40" s="97">
        <v>39</v>
      </c>
      <c r="B40" s="98" t="s">
        <v>416</v>
      </c>
      <c r="C40" s="98" t="s">
        <v>417</v>
      </c>
      <c r="D40" s="56" t="str">
        <f t="shared" si="4"/>
        <v>18452074</v>
      </c>
      <c r="E40" s="56" t="str">
        <f t="shared" si="5"/>
        <v>5</v>
      </c>
      <c r="F40" s="97" t="s">
        <v>418</v>
      </c>
      <c r="G40" s="97" t="s">
        <v>419</v>
      </c>
      <c r="H40" s="97" t="s">
        <v>420</v>
      </c>
      <c r="I40" s="97" t="s">
        <v>141</v>
      </c>
      <c r="J40" s="97" t="s">
        <v>10</v>
      </c>
      <c r="K40" s="99">
        <v>540</v>
      </c>
      <c r="L40" s="99">
        <v>1400</v>
      </c>
      <c r="M40" s="99">
        <v>500</v>
      </c>
      <c r="N40" s="99">
        <v>1400</v>
      </c>
      <c r="O40" s="100">
        <v>7.5899999999999995E-2</v>
      </c>
      <c r="P40" s="101">
        <v>6.1150812860284454E-3</v>
      </c>
      <c r="Q40" s="102">
        <v>360</v>
      </c>
      <c r="R40" s="102">
        <v>5</v>
      </c>
      <c r="S40" s="101">
        <v>0.61428571428571432</v>
      </c>
      <c r="T40" s="103">
        <v>860</v>
      </c>
      <c r="U40" s="110">
        <v>6.1249200000000004</v>
      </c>
      <c r="V40" s="110">
        <v>6.3167</v>
      </c>
      <c r="W40" s="101">
        <v>-4.0000000000000001E-3</v>
      </c>
      <c r="X40" s="104">
        <v>7.1899999999999992E-2</v>
      </c>
      <c r="Y40" s="101">
        <v>5.8028361627453506E-3</v>
      </c>
      <c r="Z40" s="105">
        <v>45350</v>
      </c>
      <c r="AA40" s="105">
        <v>45545</v>
      </c>
      <c r="AB40" s="106">
        <v>45351</v>
      </c>
      <c r="AC40" s="106">
        <v>45545</v>
      </c>
      <c r="AD40" s="106">
        <v>56318</v>
      </c>
      <c r="AE40" s="111">
        <v>355</v>
      </c>
      <c r="AF40" s="110">
        <v>891.28842557426674</v>
      </c>
      <c r="AG40" s="97" t="s">
        <v>421</v>
      </c>
      <c r="AH40" s="97" t="s">
        <v>173</v>
      </c>
      <c r="AI40" s="97" t="s">
        <v>174</v>
      </c>
      <c r="AJ40" s="97" t="s">
        <v>175</v>
      </c>
      <c r="AK40" s="97" t="s">
        <v>422</v>
      </c>
      <c r="AL40" s="100">
        <v>9.1882356133504928E-2</v>
      </c>
      <c r="AM40" s="100">
        <v>0.25231874201357674</v>
      </c>
      <c r="AN40" s="107">
        <v>842</v>
      </c>
      <c r="AO40" s="100" t="s">
        <v>317</v>
      </c>
    </row>
    <row r="41" spans="1:41" x14ac:dyDescent="0.3">
      <c r="A41" s="80">
        <v>40</v>
      </c>
      <c r="B41" s="96" t="s">
        <v>423</v>
      </c>
      <c r="C41" s="81" t="s">
        <v>424</v>
      </c>
      <c r="D41" s="56" t="str">
        <f t="shared" si="4"/>
        <v>20614987</v>
      </c>
      <c r="E41" s="56" t="str">
        <f t="shared" si="5"/>
        <v>6</v>
      </c>
      <c r="F41" s="82" t="s">
        <v>365</v>
      </c>
      <c r="G41" s="82" t="s">
        <v>425</v>
      </c>
      <c r="H41" s="82" t="s">
        <v>426</v>
      </c>
      <c r="I41" s="82" t="s">
        <v>141</v>
      </c>
      <c r="J41" s="82" t="s">
        <v>10</v>
      </c>
      <c r="K41" s="83">
        <v>780</v>
      </c>
      <c r="L41" s="83">
        <v>1990</v>
      </c>
      <c r="M41" s="83">
        <v>700</v>
      </c>
      <c r="N41" s="83">
        <v>2200</v>
      </c>
      <c r="O41" s="84">
        <v>7.5899999999999995E-2</v>
      </c>
      <c r="P41" s="85">
        <v>6.1150812860284454E-3</v>
      </c>
      <c r="Q41" s="86">
        <v>360</v>
      </c>
      <c r="R41" s="86">
        <v>5</v>
      </c>
      <c r="S41" s="85">
        <v>0.60804020100502509</v>
      </c>
      <c r="T41" s="87">
        <v>1210</v>
      </c>
      <c r="U41" s="78">
        <v>8.6176200000000005</v>
      </c>
      <c r="V41" s="78">
        <v>8.8874499999999994</v>
      </c>
      <c r="W41" s="85">
        <v>-4.0000000000000001E-3</v>
      </c>
      <c r="X41" s="88">
        <v>7.1899999999999992E-2</v>
      </c>
      <c r="Y41" s="85">
        <v>5.8028361627453506E-3</v>
      </c>
      <c r="Z41" s="89">
        <v>45346</v>
      </c>
      <c r="AA41" s="90">
        <v>45545</v>
      </c>
      <c r="AB41" s="91">
        <v>45351</v>
      </c>
      <c r="AC41" s="92">
        <v>45545</v>
      </c>
      <c r="AD41" s="92">
        <v>56318</v>
      </c>
      <c r="AE41" s="77">
        <v>355</v>
      </c>
      <c r="AF41" s="109">
        <v>1255.3753821709836</v>
      </c>
      <c r="AG41" s="93" t="s">
        <v>427</v>
      </c>
      <c r="AH41" s="93" t="s">
        <v>178</v>
      </c>
      <c r="AI41" s="93" t="s">
        <v>51</v>
      </c>
      <c r="AJ41" s="93" t="s">
        <v>167</v>
      </c>
      <c r="AK41" s="93" t="s">
        <v>358</v>
      </c>
      <c r="AL41" s="94">
        <v>0.264641270854857</v>
      </c>
      <c r="AM41" s="94">
        <v>0.50420420838147728</v>
      </c>
      <c r="AN41" s="95">
        <v>3957</v>
      </c>
      <c r="AO41" s="94" t="s">
        <v>324</v>
      </c>
    </row>
    <row r="42" spans="1:41" x14ac:dyDescent="0.3">
      <c r="A42" s="80">
        <v>41</v>
      </c>
      <c r="B42" s="96" t="s">
        <v>428</v>
      </c>
      <c r="C42" s="81" t="s">
        <v>429</v>
      </c>
      <c r="D42" s="56" t="str">
        <f t="shared" si="4"/>
        <v>22607181</v>
      </c>
      <c r="E42" s="56" t="str">
        <f t="shared" si="5"/>
        <v>4</v>
      </c>
      <c r="F42" s="82" t="s">
        <v>274</v>
      </c>
      <c r="G42" s="82" t="s">
        <v>430</v>
      </c>
      <c r="H42" s="82" t="s">
        <v>431</v>
      </c>
      <c r="I42" s="82" t="s">
        <v>140</v>
      </c>
      <c r="J42" s="82" t="s">
        <v>10</v>
      </c>
      <c r="K42" s="83">
        <v>680</v>
      </c>
      <c r="L42" s="83">
        <v>2400</v>
      </c>
      <c r="M42" s="83">
        <v>600</v>
      </c>
      <c r="N42" s="83">
        <v>2400</v>
      </c>
      <c r="O42" s="84">
        <v>7.5899999999999995E-2</v>
      </c>
      <c r="P42" s="85">
        <v>6.1150812860284454E-3</v>
      </c>
      <c r="Q42" s="86">
        <v>360</v>
      </c>
      <c r="R42" s="86">
        <v>5</v>
      </c>
      <c r="S42" s="85">
        <v>0.71666666666666667</v>
      </c>
      <c r="T42" s="87">
        <v>1720</v>
      </c>
      <c r="U42" s="78">
        <v>12.249840000000001</v>
      </c>
      <c r="V42" s="78">
        <v>12.6334</v>
      </c>
      <c r="W42" s="85">
        <v>-4.0000000000000001E-3</v>
      </c>
      <c r="X42" s="88">
        <v>7.1899999999999992E-2</v>
      </c>
      <c r="Y42" s="85">
        <v>5.8028361627453506E-3</v>
      </c>
      <c r="Z42" s="89">
        <v>45349</v>
      </c>
      <c r="AA42" s="90">
        <v>45545</v>
      </c>
      <c r="AB42" s="91">
        <v>45351</v>
      </c>
      <c r="AC42" s="92">
        <v>45545</v>
      </c>
      <c r="AD42" s="92">
        <v>56318</v>
      </c>
      <c r="AE42" s="77">
        <v>355</v>
      </c>
      <c r="AF42" s="109">
        <v>1784.0306810928951</v>
      </c>
      <c r="AG42" s="93" t="s">
        <v>432</v>
      </c>
      <c r="AH42" s="93" t="s">
        <v>182</v>
      </c>
      <c r="AI42" s="93" t="s">
        <v>169</v>
      </c>
      <c r="AJ42" s="93" t="s">
        <v>170</v>
      </c>
      <c r="AK42" s="93" t="s">
        <v>341</v>
      </c>
      <c r="AL42" s="94">
        <v>0.25324607639019869</v>
      </c>
      <c r="AM42" s="94">
        <v>0.31799541630666506</v>
      </c>
      <c r="AN42" s="108" t="s">
        <v>401</v>
      </c>
      <c r="AO42" s="94" t="s">
        <v>324</v>
      </c>
    </row>
    <row r="43" spans="1:41" x14ac:dyDescent="0.3">
      <c r="A43" s="97">
        <v>42</v>
      </c>
      <c r="B43" s="98" t="s">
        <v>433</v>
      </c>
      <c r="C43" s="98" t="s">
        <v>434</v>
      </c>
      <c r="D43" s="56" t="str">
        <f t="shared" si="4"/>
        <v>18916005</v>
      </c>
      <c r="E43" s="56" t="str">
        <f t="shared" si="5"/>
        <v>4</v>
      </c>
      <c r="F43" s="97" t="s">
        <v>156</v>
      </c>
      <c r="G43" s="97" t="s">
        <v>435</v>
      </c>
      <c r="H43" s="97" t="s">
        <v>436</v>
      </c>
      <c r="I43" s="97" t="s">
        <v>141</v>
      </c>
      <c r="J43" s="97" t="s">
        <v>10</v>
      </c>
      <c r="K43" s="99">
        <v>505</v>
      </c>
      <c r="L43" s="99">
        <v>1870</v>
      </c>
      <c r="M43" s="99">
        <v>425</v>
      </c>
      <c r="N43" s="99">
        <v>2100</v>
      </c>
      <c r="O43" s="100">
        <v>7.5899999999999995E-2</v>
      </c>
      <c r="P43" s="101">
        <v>6.1150812860284454E-3</v>
      </c>
      <c r="Q43" s="102">
        <v>216</v>
      </c>
      <c r="R43" s="102">
        <v>5</v>
      </c>
      <c r="S43" s="101">
        <v>0.72994652406417115</v>
      </c>
      <c r="T43" s="103">
        <v>1365</v>
      </c>
      <c r="U43" s="110">
        <v>11.890515000000001</v>
      </c>
      <c r="V43" s="110">
        <v>11.857754999999999</v>
      </c>
      <c r="W43" s="101">
        <v>-4.0000000000000001E-3</v>
      </c>
      <c r="X43" s="104">
        <v>7.1899999999999992E-2</v>
      </c>
      <c r="Y43" s="101">
        <v>5.8028361627453506E-3</v>
      </c>
      <c r="Z43" s="105">
        <v>45348</v>
      </c>
      <c r="AA43" s="105">
        <v>45545</v>
      </c>
      <c r="AB43" s="106">
        <v>45351</v>
      </c>
      <c r="AC43" s="106">
        <v>45545</v>
      </c>
      <c r="AD43" s="106">
        <v>51935</v>
      </c>
      <c r="AE43" s="111">
        <v>211</v>
      </c>
      <c r="AF43" s="110">
        <v>1400.3211209369808</v>
      </c>
      <c r="AG43" s="97" t="s">
        <v>437</v>
      </c>
      <c r="AH43" s="97" t="s">
        <v>331</v>
      </c>
      <c r="AI43" s="97" t="s">
        <v>332</v>
      </c>
      <c r="AJ43" s="97" t="s">
        <v>333</v>
      </c>
      <c r="AK43" s="97" t="s">
        <v>334</v>
      </c>
      <c r="AL43" s="100">
        <v>0.21950803105350178</v>
      </c>
      <c r="AM43" s="100">
        <v>0.3481528265141503</v>
      </c>
      <c r="AN43" s="107">
        <v>2019</v>
      </c>
      <c r="AO43" s="100" t="s">
        <v>317</v>
      </c>
    </row>
  </sheetData>
  <autoFilter ref="A1:AK22" xr:uid="{00000000-0009-0000-0000-000002000000}"/>
  <conditionalFormatting sqref="B2:C43">
    <cfRule type="expression" dxfId="0" priority="1">
      <formula>COUNTIF(B:B,B2)&gt;1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FW47"/>
  <sheetViews>
    <sheetView showGridLines="0" zoomScale="93" zoomScaleNormal="93" zoomScalePageLayoutView="93" workbookViewId="0">
      <pane xSplit="1" ySplit="3" topLeftCell="O4" activePane="bottomRight" state="frozen"/>
      <selection pane="topRight" activeCell="C1" sqref="C1"/>
      <selection pane="bottomLeft" activeCell="A3" sqref="A3"/>
      <selection pane="bottomRight" activeCell="U3" sqref="U3"/>
    </sheetView>
  </sheetViews>
  <sheetFormatPr defaultColWidth="11.44140625" defaultRowHeight="13.2" x14ac:dyDescent="0.25"/>
  <cols>
    <col min="1" max="1" width="8" bestFit="1" customWidth="1"/>
    <col min="2" max="2" width="17.33203125" bestFit="1" customWidth="1"/>
    <col min="3" max="3" width="19.6640625" bestFit="1" customWidth="1"/>
    <col min="4" max="4" width="20.33203125" bestFit="1" customWidth="1"/>
    <col min="5" max="5" width="19.44140625" bestFit="1" customWidth="1"/>
    <col min="6" max="6" width="13" customWidth="1"/>
    <col min="7" max="7" width="3.88671875" customWidth="1"/>
    <col min="8" max="8" width="10.5546875" customWidth="1"/>
    <col min="9" max="10" width="12.6640625" customWidth="1"/>
    <col min="11" max="12" width="12.6640625" style="46" customWidth="1"/>
    <col min="13" max="13" width="12.6640625" customWidth="1"/>
    <col min="14" max="14" width="10" style="1" customWidth="1"/>
    <col min="15" max="15" width="27.109375" style="54" bestFit="1" customWidth="1"/>
    <col min="16" max="16" width="11.109375" customWidth="1"/>
    <col min="17" max="17" width="14.109375" style="35" bestFit="1" customWidth="1"/>
    <col min="18" max="18" width="11.44140625" customWidth="1"/>
    <col min="19" max="19" width="12.33203125" customWidth="1"/>
    <col min="20" max="20" width="17" customWidth="1"/>
    <col min="21" max="21" width="18.6640625" customWidth="1"/>
    <col min="22" max="23" width="11.109375" style="46" customWidth="1"/>
    <col min="24" max="24" width="10.88671875" style="6"/>
    <col min="25" max="25" width="13" style="6" customWidth="1"/>
    <col min="26" max="26" width="12.44140625" style="63" customWidth="1"/>
    <col min="27" max="27" width="15.109375" style="64" customWidth="1"/>
    <col min="28" max="28" width="15.5546875" style="64" bestFit="1" customWidth="1"/>
    <col min="29" max="29" width="9.44140625" style="64" customWidth="1"/>
    <col min="30" max="30" width="59.5546875" style="64" customWidth="1"/>
    <col min="31" max="31" width="26.5546875" style="65" bestFit="1" customWidth="1"/>
    <col min="32" max="32" width="19.5546875" style="64" customWidth="1"/>
    <col min="33" max="1531" width="10.88671875" style="6"/>
  </cols>
  <sheetData>
    <row r="1" spans="1:32" x14ac:dyDescent="0.25">
      <c r="D1" s="1"/>
      <c r="E1" s="1"/>
      <c r="F1" s="1"/>
      <c r="G1" s="1"/>
      <c r="H1" s="1"/>
      <c r="I1" s="1"/>
      <c r="J1" s="1"/>
      <c r="K1" s="1"/>
      <c r="L1" s="1"/>
      <c r="M1" s="1"/>
      <c r="O1" s="52"/>
      <c r="P1" s="114"/>
      <c r="Q1" s="14"/>
      <c r="R1" s="1"/>
      <c r="S1" s="5"/>
      <c r="U1" s="5"/>
      <c r="V1" s="1" t="s">
        <v>184</v>
      </c>
      <c r="W1" s="1"/>
      <c r="X1" s="13"/>
    </row>
    <row r="2" spans="1:32" x14ac:dyDescent="0.25">
      <c r="A2" s="9"/>
      <c r="B2" s="9"/>
      <c r="C2" s="9"/>
      <c r="D2" s="9"/>
      <c r="E2" s="9"/>
      <c r="F2" s="9"/>
      <c r="G2" s="9"/>
      <c r="H2" s="9"/>
      <c r="I2" s="117" t="s">
        <v>1</v>
      </c>
      <c r="J2" s="8"/>
      <c r="K2" s="60"/>
      <c r="L2" s="60"/>
      <c r="M2" s="8"/>
      <c r="N2" s="17"/>
      <c r="O2" s="53"/>
      <c r="P2" s="117" t="s">
        <v>183</v>
      </c>
      <c r="Q2" s="118" t="s">
        <v>47</v>
      </c>
      <c r="R2" s="117" t="s">
        <v>2</v>
      </c>
      <c r="S2" s="117" t="s">
        <v>3</v>
      </c>
      <c r="T2" s="2"/>
      <c r="U2" s="2" t="s">
        <v>12</v>
      </c>
      <c r="V2" s="117" t="s">
        <v>32</v>
      </c>
      <c r="W2" s="60"/>
      <c r="X2" s="117" t="s">
        <v>9</v>
      </c>
      <c r="Y2" s="117" t="s">
        <v>11</v>
      </c>
      <c r="Z2" s="119" t="s">
        <v>188</v>
      </c>
      <c r="AA2" s="120" t="s">
        <v>189</v>
      </c>
      <c r="AB2" s="120" t="s">
        <v>159</v>
      </c>
      <c r="AC2" s="121" t="s">
        <v>190</v>
      </c>
      <c r="AD2" s="66"/>
      <c r="AE2" s="67"/>
      <c r="AF2" s="66"/>
    </row>
    <row r="3" spans="1:32" ht="24" customHeight="1" x14ac:dyDescent="0.25">
      <c r="A3" s="11" t="s">
        <v>0</v>
      </c>
      <c r="B3" s="40" t="s">
        <v>139</v>
      </c>
      <c r="C3" s="12" t="s">
        <v>17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13</v>
      </c>
      <c r="I3" s="117"/>
      <c r="J3" s="8" t="s">
        <v>10</v>
      </c>
      <c r="K3" s="60" t="s">
        <v>158</v>
      </c>
      <c r="L3" s="61" t="s">
        <v>185</v>
      </c>
      <c r="M3" s="8" t="s">
        <v>186</v>
      </c>
      <c r="N3" s="10" t="s">
        <v>4</v>
      </c>
      <c r="O3" s="53" t="s">
        <v>135</v>
      </c>
      <c r="P3" s="117"/>
      <c r="Q3" s="118"/>
      <c r="R3" s="117"/>
      <c r="S3" s="117"/>
      <c r="T3" s="4">
        <v>45361</v>
      </c>
      <c r="U3" s="4">
        <v>45351</v>
      </c>
      <c r="V3" s="117"/>
      <c r="W3" s="60" t="s">
        <v>187</v>
      </c>
      <c r="X3" s="117"/>
      <c r="Y3" s="117"/>
      <c r="Z3" s="119"/>
      <c r="AA3" s="120"/>
      <c r="AB3" s="120"/>
      <c r="AC3" s="121"/>
      <c r="AD3" s="66" t="s">
        <v>191</v>
      </c>
      <c r="AE3" s="67" t="s">
        <v>192</v>
      </c>
      <c r="AF3" s="66" t="s">
        <v>40</v>
      </c>
    </row>
    <row r="4" spans="1:32" ht="15" customHeight="1" x14ac:dyDescent="0.3">
      <c r="A4" s="16">
        <f>+Base!A2</f>
        <v>1</v>
      </c>
      <c r="B4" s="16" t="str">
        <f>+Base!B2</f>
        <v>202401300028A033</v>
      </c>
      <c r="C4" s="16" t="str">
        <f>+Base!F2</f>
        <v xml:space="preserve">Bobadilla </v>
      </c>
      <c r="D4" s="16" t="str">
        <f>+Base!G2</f>
        <v>Lopez</v>
      </c>
      <c r="E4" s="16" t="str">
        <f>+Base!H2</f>
        <v>Juan Pablo</v>
      </c>
      <c r="F4" s="23" t="str">
        <f>+Base!D2</f>
        <v>18028529</v>
      </c>
      <c r="G4" s="23" t="str">
        <f>+Base!E2</f>
        <v>6</v>
      </c>
      <c r="H4" s="24" t="s">
        <v>14</v>
      </c>
      <c r="I4" s="45">
        <f>+Base!T2</f>
        <v>1745</v>
      </c>
      <c r="J4" s="112">
        <f>+Base!M2</f>
        <v>375</v>
      </c>
      <c r="K4" s="62">
        <f>+L4-J4-I4</f>
        <v>80</v>
      </c>
      <c r="L4" s="113">
        <f>+Base!L2</f>
        <v>2200</v>
      </c>
      <c r="M4" s="22">
        <v>0</v>
      </c>
      <c r="N4" s="18">
        <f>+Base!Q2</f>
        <v>360</v>
      </c>
      <c r="O4" s="25">
        <f>+Base!R2+1</f>
        <v>6</v>
      </c>
      <c r="P4" s="26">
        <f>+XIRR('Tabla desarrollo FX'!B3:MY3,'Tabla desarrollo FX'!$B$1:$MY$1)</f>
        <v>7.4031659960746773E-2</v>
      </c>
      <c r="Q4" s="34">
        <f>+Base!AA2</f>
        <v>45514</v>
      </c>
      <c r="R4" s="19">
        <f>+Base!AD2</f>
        <v>56290</v>
      </c>
      <c r="S4" s="19">
        <f>T3</f>
        <v>45361</v>
      </c>
      <c r="T4" s="36">
        <f>+NPV(V4,'Tabla desarrollo FX'!D3:MY3)</f>
        <v>1823.7650032115523</v>
      </c>
      <c r="U4" s="37">
        <f>+Base!AF2</f>
        <v>1819.27487880546</v>
      </c>
      <c r="V4" s="26">
        <f>+Base!Y2</f>
        <v>5.9903111399197684E-3</v>
      </c>
      <c r="W4" s="26"/>
      <c r="X4" s="20">
        <f>+Base!N2</f>
        <v>2400</v>
      </c>
      <c r="Y4" s="58">
        <f>+U4/X4</f>
        <v>0.75803119950227504</v>
      </c>
      <c r="Z4" s="68">
        <f>+P4-Base!O2</f>
        <v>-4.2683400392532211E-3</v>
      </c>
      <c r="AA4" s="74">
        <f>+Base!U2</f>
        <v>12.71407</v>
      </c>
      <c r="AB4" s="69">
        <f>+Base!AL2*100</f>
        <v>25.258540577035799</v>
      </c>
      <c r="AC4" s="70">
        <f>+Base!AM2*100</f>
        <v>48.488598948050672</v>
      </c>
      <c r="AD4" s="71" t="str">
        <f>+Base!AG2</f>
        <v>Camino La Vara 02600 , Edificio 3, Piso 2, Departamento 211, Estacionamiento 61 Uso y Goce</v>
      </c>
      <c r="AE4" s="72">
        <v>4103</v>
      </c>
      <c r="AF4" s="73" t="str">
        <f>+Base!AI2</f>
        <v>Maipo</v>
      </c>
    </row>
    <row r="5" spans="1:32" ht="15" customHeight="1" x14ac:dyDescent="0.3">
      <c r="A5" s="16">
        <f>+Base!A3</f>
        <v>2</v>
      </c>
      <c r="B5" s="16" t="str">
        <f>+Base!B3</f>
        <v>202401310029A033</v>
      </c>
      <c r="C5" s="16" t="str">
        <f>+Base!F3</f>
        <v>Carrillo</v>
      </c>
      <c r="D5" s="16" t="str">
        <f>+Base!G3</f>
        <v>Alarcon</v>
      </c>
      <c r="E5" s="16" t="str">
        <f>+Base!H3</f>
        <v>Francisco Javier</v>
      </c>
      <c r="F5" s="23" t="str">
        <f>+Base!D3</f>
        <v>17540548</v>
      </c>
      <c r="G5" s="23" t="str">
        <f>+Base!E3</f>
        <v>8</v>
      </c>
      <c r="H5" s="24" t="s">
        <v>14</v>
      </c>
      <c r="I5" s="45">
        <f>+Base!T3</f>
        <v>1760</v>
      </c>
      <c r="J5" s="112">
        <f>+Base!M3</f>
        <v>325</v>
      </c>
      <c r="K5" s="62">
        <f t="shared" ref="K5:K45" si="0">+L5-J5-I5</f>
        <v>115</v>
      </c>
      <c r="L5" s="113">
        <f>+Base!L3</f>
        <v>2200</v>
      </c>
      <c r="M5" s="22">
        <v>0</v>
      </c>
      <c r="N5" s="18">
        <f>+Base!Q3</f>
        <v>360</v>
      </c>
      <c r="O5" s="25">
        <f>+Base!R3+1</f>
        <v>6</v>
      </c>
      <c r="P5" s="26">
        <f>+XIRR('Tabla desarrollo FX'!B4:MY4,'Tabla desarrollo FX'!$B$1:$MY$1)</f>
        <v>7.4031659960746773E-2</v>
      </c>
      <c r="Q5" s="34">
        <f>+Base!AA3</f>
        <v>45514</v>
      </c>
      <c r="R5" s="19">
        <f>+Base!AD3</f>
        <v>56290</v>
      </c>
      <c r="S5" s="19">
        <f>S4</f>
        <v>45361</v>
      </c>
      <c r="T5" s="36">
        <f>+NPV(V5,'Tabla desarrollo FX'!D4:MY4)</f>
        <v>1839.4420662764096</v>
      </c>
      <c r="U5" s="37">
        <f>+Base!AF3</f>
        <v>1835.0200966732466</v>
      </c>
      <c r="V5" s="26">
        <f>+Base!Y3</f>
        <v>5.9903111399197684E-3</v>
      </c>
      <c r="W5" s="26"/>
      <c r="X5" s="20">
        <f>+Base!N3</f>
        <v>2650</v>
      </c>
      <c r="Y5" s="58">
        <f t="shared" ref="Y5:Y24" si="1">+U5/X5</f>
        <v>0.69246041383896095</v>
      </c>
      <c r="Z5" s="68">
        <f>+P5-Base!O3</f>
        <v>-4.2683400392532211E-3</v>
      </c>
      <c r="AA5" s="74">
        <f>+Base!U3</f>
        <v>12.823359999999999</v>
      </c>
      <c r="AB5" s="69">
        <f>+Base!AL3*100</f>
        <v>28.239147486683812</v>
      </c>
      <c r="AC5" s="70">
        <f>+Base!AM3*100</f>
        <v>48.306333456452947</v>
      </c>
      <c r="AD5" s="71" t="str">
        <f>+Base!AG3</f>
        <v>Camino Segunda Faja Al Volcán 1260, Edificio ALLIPEN, Piso 4, Departamento 403, Estacionamiento 92 Uso y Goce</v>
      </c>
      <c r="AE5" s="72">
        <v>4103</v>
      </c>
      <c r="AF5" s="73" t="str">
        <f>+Base!AI3</f>
        <v>Cautín</v>
      </c>
    </row>
    <row r="6" spans="1:32" ht="15" customHeight="1" x14ac:dyDescent="0.3">
      <c r="A6" s="16">
        <f>+Base!A4</f>
        <v>3</v>
      </c>
      <c r="B6" s="16" t="str">
        <f>+Base!B4</f>
        <v>202401310030A033</v>
      </c>
      <c r="C6" s="16" t="str">
        <f>+Base!F4</f>
        <v>Mañan</v>
      </c>
      <c r="D6" s="16" t="str">
        <f>+Base!G4</f>
        <v>Valenzuela</v>
      </c>
      <c r="E6" s="16" t="str">
        <f>+Base!H4</f>
        <v>Vicente Tomas</v>
      </c>
      <c r="F6" s="23" t="str">
        <f>+Base!D4</f>
        <v>18465199</v>
      </c>
      <c r="G6" s="23" t="str">
        <f>+Base!E4</f>
        <v>8</v>
      </c>
      <c r="H6" s="24" t="s">
        <v>14</v>
      </c>
      <c r="I6" s="45">
        <f>+Base!T4</f>
        <v>1485</v>
      </c>
      <c r="J6" s="112">
        <f>+Base!M4</f>
        <v>625</v>
      </c>
      <c r="K6" s="62">
        <f t="shared" si="0"/>
        <v>90</v>
      </c>
      <c r="L6" s="113">
        <f>+Base!L4</f>
        <v>2200</v>
      </c>
      <c r="M6" s="22">
        <v>0</v>
      </c>
      <c r="N6" s="18">
        <f>+Base!Q4</f>
        <v>216</v>
      </c>
      <c r="O6" s="25">
        <f>+Base!R4+1</f>
        <v>6</v>
      </c>
      <c r="P6" s="26">
        <f>+XIRR('Tabla desarrollo FX'!B5:MY5,'Tabla desarrollo FX'!$B$1:$MY$1)</f>
        <v>7.3945948481559776E-2</v>
      </c>
      <c r="Q6" s="34">
        <f>+Base!AA4</f>
        <v>45514</v>
      </c>
      <c r="R6" s="19">
        <f>+Base!AD4</f>
        <v>51907</v>
      </c>
      <c r="S6" s="19">
        <f t="shared" ref="S6:S45" si="2">S5</f>
        <v>45361</v>
      </c>
      <c r="T6" s="36">
        <f>+NPV(V6,'Tabla desarrollo FX'!D5:MY5)</f>
        <v>1535.594116221715</v>
      </c>
      <c r="U6" s="37">
        <f>+Base!AF4</f>
        <v>1532.1686056029573</v>
      </c>
      <c r="V6" s="26">
        <f>+Base!Y4</f>
        <v>5.9903111399197684E-3</v>
      </c>
      <c r="W6" s="26"/>
      <c r="X6" s="20">
        <f>+Base!N4</f>
        <v>2200</v>
      </c>
      <c r="Y6" s="58">
        <f t="shared" si="1"/>
        <v>0.69644027527407149</v>
      </c>
      <c r="Z6" s="68">
        <f>+P6-Base!O4</f>
        <v>-4.354051518440219E-3</v>
      </c>
      <c r="AA6" s="74">
        <f>+Base!U4</f>
        <v>13.151160000000001</v>
      </c>
      <c r="AB6" s="69">
        <f>+Base!AL4*100</f>
        <v>13.614763743233906</v>
      </c>
      <c r="AC6" s="70">
        <f>+Base!AM4*100</f>
        <v>27.305764260271321</v>
      </c>
      <c r="AD6" s="71" t="str">
        <f>+Base!AG4</f>
        <v>Avenida Santa Rosa 13240, Torre 3, Piso 1, Departamento 234</v>
      </c>
      <c r="AE6" s="72">
        <v>4103</v>
      </c>
      <c r="AF6" s="73" t="str">
        <f>+Base!AI4</f>
        <v>Santiago</v>
      </c>
    </row>
    <row r="7" spans="1:32" ht="15" customHeight="1" x14ac:dyDescent="0.3">
      <c r="A7" s="16">
        <f>+Base!A5</f>
        <v>4</v>
      </c>
      <c r="B7" s="16" t="str">
        <f>+Base!B5</f>
        <v>202401310034A033</v>
      </c>
      <c r="C7" s="16" t="str">
        <f>+Base!F5</f>
        <v>Jelves</v>
      </c>
      <c r="D7" s="16" t="str">
        <f>+Base!G5</f>
        <v>Sanchez</v>
      </c>
      <c r="E7" s="16" t="str">
        <f>+Base!H5</f>
        <v>Sebastian Andres</v>
      </c>
      <c r="F7" s="23" t="str">
        <f>+Base!D5</f>
        <v>15365153</v>
      </c>
      <c r="G7" s="23" t="str">
        <f>+Base!E5</f>
        <v>1</v>
      </c>
      <c r="H7" s="24" t="s">
        <v>14</v>
      </c>
      <c r="I7" s="45">
        <f>+Base!T5</f>
        <v>1506.34</v>
      </c>
      <c r="J7" s="112">
        <f>+Base!M5</f>
        <v>700</v>
      </c>
      <c r="K7" s="62">
        <f t="shared" si="0"/>
        <v>193.66000000000008</v>
      </c>
      <c r="L7" s="113">
        <f>+Base!L5</f>
        <v>2400</v>
      </c>
      <c r="M7" s="22">
        <v>0</v>
      </c>
      <c r="N7" s="18">
        <f>+Base!Q5</f>
        <v>360</v>
      </c>
      <c r="O7" s="25">
        <f>+Base!R5+1</f>
        <v>6</v>
      </c>
      <c r="P7" s="26">
        <f>+XIRR('Tabla desarrollo FX'!B6:MY6,'Tabla desarrollo FX'!$B$1:$MY$1)</f>
        <v>7.4031659960746773E-2</v>
      </c>
      <c r="Q7" s="34">
        <f>+Base!AA5</f>
        <v>45514</v>
      </c>
      <c r="R7" s="19">
        <f>+Base!AD5</f>
        <v>56290</v>
      </c>
      <c r="S7" s="19">
        <f t="shared" si="2"/>
        <v>45361</v>
      </c>
      <c r="T7" s="36">
        <f>+NPV(V7,'Tabla desarrollo FX'!D6:MY6)</f>
        <v>1574.3324441319294</v>
      </c>
      <c r="U7" s="37">
        <f>+Base!AF5</f>
        <v>1571.6463921709783</v>
      </c>
      <c r="V7" s="26">
        <f>+Base!Y5</f>
        <v>5.9903111399197684E-3</v>
      </c>
      <c r="W7" s="26"/>
      <c r="X7" s="20">
        <f>+Base!N5</f>
        <v>2600</v>
      </c>
      <c r="Y7" s="58">
        <f t="shared" si="1"/>
        <v>0.60447938160422243</v>
      </c>
      <c r="Z7" s="68">
        <f>+P7-Base!O5</f>
        <v>-4.2683400392532211E-3</v>
      </c>
      <c r="AA7" s="74">
        <f>+Base!U5</f>
        <v>10.975193000000001</v>
      </c>
      <c r="AB7" s="69">
        <f>+Base!AL5*100</f>
        <v>40.079904400431914</v>
      </c>
      <c r="AC7" s="70">
        <f>+Base!AM5*100</f>
        <v>42.389362266109515</v>
      </c>
      <c r="AD7" s="71" t="str">
        <f>+Base!AG5</f>
        <v>Calle Miguel Campino 647, Mz D, Lote 5</v>
      </c>
      <c r="AE7" s="72">
        <v>4103</v>
      </c>
      <c r="AF7" s="73" t="str">
        <f>+Base!AI5</f>
        <v>Maipo</v>
      </c>
    </row>
    <row r="8" spans="1:32" ht="15" customHeight="1" x14ac:dyDescent="0.3">
      <c r="A8" s="16">
        <f>+Base!A6</f>
        <v>5</v>
      </c>
      <c r="B8" s="16" t="str">
        <f>+Base!B6</f>
        <v>202401310036A033</v>
      </c>
      <c r="C8" s="16" t="str">
        <f>+Base!F6</f>
        <v xml:space="preserve">Carvajal </v>
      </c>
      <c r="D8" s="16" t="str">
        <f>+Base!G6</f>
        <v>Guajardo</v>
      </c>
      <c r="E8" s="16" t="str">
        <f>+Base!H6</f>
        <v xml:space="preserve">Danahe Estefani </v>
      </c>
      <c r="F8" s="23" t="str">
        <f>+Base!D6</f>
        <v>18187808</v>
      </c>
      <c r="G8" s="23" t="str">
        <f>+Base!E6</f>
        <v>8</v>
      </c>
      <c r="H8" s="24" t="s">
        <v>14</v>
      </c>
      <c r="I8" s="45">
        <f>+Base!T6</f>
        <v>1285</v>
      </c>
      <c r="J8" s="112">
        <f>+Base!M6</f>
        <v>700</v>
      </c>
      <c r="K8" s="62">
        <f t="shared" si="0"/>
        <v>80</v>
      </c>
      <c r="L8" s="113">
        <f>+Base!L6</f>
        <v>2065</v>
      </c>
      <c r="M8" s="22">
        <v>0</v>
      </c>
      <c r="N8" s="18">
        <f>+Base!Q6</f>
        <v>360</v>
      </c>
      <c r="O8" s="25">
        <f>+Base!R6+1</f>
        <v>6</v>
      </c>
      <c r="P8" s="26">
        <f>+XIRR('Tabla desarrollo FX'!B7:MY7,'Tabla desarrollo FX'!$B$1:$MY$1)</f>
        <v>7.4031659960746773E-2</v>
      </c>
      <c r="Q8" s="34">
        <f>+Base!AA6</f>
        <v>45514</v>
      </c>
      <c r="R8" s="19">
        <f>+Base!AD6</f>
        <v>56290</v>
      </c>
      <c r="S8" s="19">
        <f t="shared" si="2"/>
        <v>45361</v>
      </c>
      <c r="T8" s="36">
        <f>+NPV(V8,'Tabla desarrollo FX'!D7:MY7)</f>
        <v>1343.0017358893097</v>
      </c>
      <c r="U8" s="37">
        <f>+Base!AF6</f>
        <v>1339.7654579412481</v>
      </c>
      <c r="V8" s="26">
        <f>+Base!Y6</f>
        <v>5.9903111399197684E-3</v>
      </c>
      <c r="W8" s="26"/>
      <c r="X8" s="20">
        <f>+Base!N6</f>
        <v>2440</v>
      </c>
      <c r="Y8" s="58">
        <f t="shared" si="1"/>
        <v>0.54908420407428205</v>
      </c>
      <c r="Z8" s="68">
        <f>+P8-Base!O6</f>
        <v>-4.2683400392532211E-3</v>
      </c>
      <c r="AA8" s="74">
        <f>+Base!U6</f>
        <v>9.3625100000000003</v>
      </c>
      <c r="AB8" s="69">
        <f>+Base!AL6*100</f>
        <v>37.717377582908028</v>
      </c>
      <c r="AC8" s="70">
        <f>+Base!AM6*100</f>
        <v>39.792268976615745</v>
      </c>
      <c r="AD8" s="71" t="str">
        <f>+Base!AG6</f>
        <v>Calle Del Toro 658, Mz D, Lote 33</v>
      </c>
      <c r="AE8" s="72">
        <v>4103</v>
      </c>
      <c r="AF8" s="73" t="str">
        <f>+Base!AI6</f>
        <v>Maipo</v>
      </c>
    </row>
    <row r="9" spans="1:32" ht="15" customHeight="1" x14ac:dyDescent="0.3">
      <c r="A9" s="16">
        <f>+Base!A7</f>
        <v>6</v>
      </c>
      <c r="B9" s="16" t="str">
        <f>+Base!B7</f>
        <v>202401250039A033</v>
      </c>
      <c r="C9" s="16" t="str">
        <f>+Base!F7</f>
        <v>Acevedo</v>
      </c>
      <c r="D9" s="16" t="str">
        <f>+Base!G7</f>
        <v xml:space="preserve"> Monje</v>
      </c>
      <c r="E9" s="16" t="str">
        <f>+Base!H7</f>
        <v xml:space="preserve">Barbara Viviana </v>
      </c>
      <c r="F9" s="23" t="str">
        <f>+Base!D7</f>
        <v>18245649</v>
      </c>
      <c r="G9" s="23" t="str">
        <f>+Base!E7</f>
        <v>7</v>
      </c>
      <c r="H9" s="24" t="s">
        <v>14</v>
      </c>
      <c r="I9" s="45">
        <f>+Base!T7</f>
        <v>905.13</v>
      </c>
      <c r="J9" s="112">
        <f>+Base!M7</f>
        <v>450</v>
      </c>
      <c r="K9" s="62">
        <f t="shared" si="0"/>
        <v>44.870000000000005</v>
      </c>
      <c r="L9" s="113">
        <f>+Base!L7</f>
        <v>1400</v>
      </c>
      <c r="M9" s="22">
        <v>0</v>
      </c>
      <c r="N9" s="18">
        <f>+Base!Q7</f>
        <v>180</v>
      </c>
      <c r="O9" s="25">
        <f>+Base!R7+1</f>
        <v>6</v>
      </c>
      <c r="P9" s="26">
        <f>+XIRR('Tabla desarrollo FX'!B8:MY8,'Tabla desarrollo FX'!$B$1:$MY$1)</f>
        <v>7.390158474445345E-2</v>
      </c>
      <c r="Q9" s="34">
        <f>+Base!AA7</f>
        <v>45514</v>
      </c>
      <c r="R9" s="19">
        <f>+Base!AD7</f>
        <v>50811</v>
      </c>
      <c r="S9" s="19">
        <f t="shared" si="2"/>
        <v>45361</v>
      </c>
      <c r="T9" s="36">
        <f>+NPV(V9,'Tabla desarrollo FX'!D8:MY8)</f>
        <v>932.71930915983853</v>
      </c>
      <c r="U9" s="37">
        <f>+Base!AF7</f>
        <v>931.14903457191394</v>
      </c>
      <c r="V9" s="26">
        <f>+Base!Y7</f>
        <v>5.9903111399197684E-3</v>
      </c>
      <c r="W9" s="26"/>
      <c r="X9" s="20">
        <f>+Base!N7</f>
        <v>1400</v>
      </c>
      <c r="Y9" s="58">
        <f t="shared" si="1"/>
        <v>0.66510645326565276</v>
      </c>
      <c r="Z9" s="68">
        <f>+P9-Base!O7</f>
        <v>-4.398415255546545E-3</v>
      </c>
      <c r="AA9" s="74">
        <f>+Base!U7</f>
        <v>8.8259229999999995</v>
      </c>
      <c r="AB9" s="69">
        <f>+Base!AL7*100</f>
        <v>41.557873780643824</v>
      </c>
      <c r="AC9" s="70">
        <f>+Base!AM7*100</f>
        <v>42.811810069525471</v>
      </c>
      <c r="AD9" s="71" t="str">
        <f>+Base!AG7</f>
        <v>Camino La Vara 02600, Torre 2, Piso 1, Departamento 101</v>
      </c>
      <c r="AE9" s="72">
        <v>4103</v>
      </c>
      <c r="AF9" s="73" t="str">
        <f>+Base!AI7</f>
        <v>Maipo</v>
      </c>
    </row>
    <row r="10" spans="1:32" ht="15" customHeight="1" x14ac:dyDescent="0.3">
      <c r="A10" s="16">
        <f>+Base!A8</f>
        <v>7</v>
      </c>
      <c r="B10" s="16" t="str">
        <f>+Base!B8</f>
        <v>202401310041A033</v>
      </c>
      <c r="C10" s="16" t="str">
        <f>+Base!F8</f>
        <v xml:space="preserve">Palma </v>
      </c>
      <c r="D10" s="16" t="str">
        <f>+Base!G8</f>
        <v xml:space="preserve">Ponce </v>
      </c>
      <c r="E10" s="16" t="str">
        <f>+Base!H8</f>
        <v xml:space="preserve">Carola Del Carmen </v>
      </c>
      <c r="F10" s="23" t="str">
        <f>+Base!D8</f>
        <v>15162947</v>
      </c>
      <c r="G10" s="23" t="str">
        <f>+Base!E8</f>
        <v>4</v>
      </c>
      <c r="H10" s="24" t="s">
        <v>14</v>
      </c>
      <c r="I10" s="45">
        <f>+Base!T8</f>
        <v>838.58</v>
      </c>
      <c r="J10" s="112">
        <f>+Base!M8</f>
        <v>500</v>
      </c>
      <c r="K10" s="62">
        <f t="shared" si="0"/>
        <v>61.419999999999959</v>
      </c>
      <c r="L10" s="113">
        <f>+Base!L8</f>
        <v>1400</v>
      </c>
      <c r="M10" s="22">
        <v>0</v>
      </c>
      <c r="N10" s="18">
        <f>+Base!Q8</f>
        <v>360</v>
      </c>
      <c r="O10" s="25">
        <f>+Base!R8+1</f>
        <v>6</v>
      </c>
      <c r="P10" s="26">
        <f>+XIRR('Tabla desarrollo FX'!B9:MY9,'Tabla desarrollo FX'!$B$1:$MY$1)</f>
        <v>7.4031659960746773E-2</v>
      </c>
      <c r="Q10" s="34">
        <f>+Base!AA8</f>
        <v>45514</v>
      </c>
      <c r="R10" s="19">
        <f>+Base!AD8</f>
        <v>56290</v>
      </c>
      <c r="S10" s="19">
        <f t="shared" si="2"/>
        <v>45361</v>
      </c>
      <c r="T10" s="36">
        <f>+NPV(V10,'Tabla desarrollo FX'!D9:MY9)</f>
        <v>876.43145352893839</v>
      </c>
      <c r="U10" s="37">
        <f>+Base!AF8</f>
        <v>874.56881034913226</v>
      </c>
      <c r="V10" s="26">
        <f>+Base!Y8</f>
        <v>5.9903111399197684E-3</v>
      </c>
      <c r="W10" s="26"/>
      <c r="X10" s="20">
        <f>+Base!N8</f>
        <v>1800</v>
      </c>
      <c r="Y10" s="58">
        <f t="shared" si="1"/>
        <v>0.48587156130507347</v>
      </c>
      <c r="Z10" s="68">
        <f>+P10-Base!O8</f>
        <v>-4.2683400392532211E-3</v>
      </c>
      <c r="AA10" s="74">
        <f>+Base!U8</f>
        <v>6.1098939999999997</v>
      </c>
      <c r="AB10" s="69">
        <f>+Base!AL8*100</f>
        <v>39.962090751471344</v>
      </c>
      <c r="AC10" s="70">
        <f>+Base!AM8*100</f>
        <v>42.11048780410573</v>
      </c>
      <c r="AD10" s="71" t="str">
        <f>+Base!AG8</f>
        <v>Rio Viejo 1123, Torre A, Piso 4, Departamento 407 A</v>
      </c>
      <c r="AE10" s="72">
        <v>4103</v>
      </c>
      <c r="AF10" s="73" t="str">
        <f>+Base!AI8</f>
        <v>Diguillín</v>
      </c>
    </row>
    <row r="11" spans="1:32" ht="15" customHeight="1" x14ac:dyDescent="0.3">
      <c r="A11" s="16">
        <f>+Base!A9</f>
        <v>8</v>
      </c>
      <c r="B11" s="16" t="str">
        <f>+Base!B9</f>
        <v>202401310046A033</v>
      </c>
      <c r="C11" s="16" t="str">
        <f>+Base!F9</f>
        <v>Acuña</v>
      </c>
      <c r="D11" s="16" t="str">
        <f>+Base!G9</f>
        <v xml:space="preserve"> Mesías</v>
      </c>
      <c r="E11" s="16" t="str">
        <f>+Base!H9</f>
        <v xml:space="preserve">Kevin Joel </v>
      </c>
      <c r="F11" s="23" t="str">
        <f>+Base!D9</f>
        <v>16666807</v>
      </c>
      <c r="G11" s="23" t="str">
        <f>+Base!E9</f>
        <v>7</v>
      </c>
      <c r="H11" s="24" t="s">
        <v>14</v>
      </c>
      <c r="I11" s="45">
        <f>+Base!T9</f>
        <v>1345.07</v>
      </c>
      <c r="J11" s="112">
        <f>+Base!M9</f>
        <v>700</v>
      </c>
      <c r="K11" s="62">
        <f t="shared" si="0"/>
        <v>279.93000000000006</v>
      </c>
      <c r="L11" s="113">
        <f>+Base!L9</f>
        <v>2325</v>
      </c>
      <c r="M11" s="22">
        <v>0</v>
      </c>
      <c r="N11" s="18">
        <f>+Base!Q9</f>
        <v>144</v>
      </c>
      <c r="O11" s="25">
        <f>+Base!R9+1</f>
        <v>6</v>
      </c>
      <c r="P11" s="26">
        <f>+XIRR('Tabla desarrollo FX'!B10:MY10,'Tabla desarrollo FX'!$B$1:$MY$1)</f>
        <v>7.3835268616676358E-2</v>
      </c>
      <c r="Q11" s="34">
        <f>+Base!AA9</f>
        <v>45514</v>
      </c>
      <c r="R11" s="19">
        <f>+Base!AD9</f>
        <v>49715</v>
      </c>
      <c r="S11" s="19">
        <f t="shared" si="2"/>
        <v>45361</v>
      </c>
      <c r="T11" s="36">
        <f>+NPV(V11,'Tabla desarrollo FX'!D10:MY10)</f>
        <v>1380.7573413714106</v>
      </c>
      <c r="U11" s="37">
        <f>+Base!AF9</f>
        <v>1377.8830690345776</v>
      </c>
      <c r="V11" s="26">
        <f>+Base!Y9</f>
        <v>5.9903111399197684E-3</v>
      </c>
      <c r="W11" s="26"/>
      <c r="X11" s="20">
        <f>+Base!N9</f>
        <v>2600</v>
      </c>
      <c r="Y11" s="58">
        <f t="shared" si="1"/>
        <v>0.52995502655176063</v>
      </c>
      <c r="Z11" s="68">
        <f>+P11-Base!O9</f>
        <v>-4.4647313833236363E-3</v>
      </c>
      <c r="AA11" s="74">
        <f>+Base!U9</f>
        <v>15.019052</v>
      </c>
      <c r="AB11" s="69">
        <f>+Base!AL9*100</f>
        <v>37.834186003658274</v>
      </c>
      <c r="AC11" s="70">
        <f>+Base!AM9*100</f>
        <v>40.010103111072326</v>
      </c>
      <c r="AD11" s="71" t="str">
        <f>+Base!AG9</f>
        <v>Pasaje Copiapó Norte 071, Mz B, Lote 50</v>
      </c>
      <c r="AE11" s="72">
        <v>4103</v>
      </c>
      <c r="AF11" s="73" t="str">
        <f>+Base!AI9</f>
        <v>Maipo</v>
      </c>
    </row>
    <row r="12" spans="1:32" ht="15" customHeight="1" x14ac:dyDescent="0.3">
      <c r="A12" s="16">
        <f>+Base!A10</f>
        <v>9</v>
      </c>
      <c r="B12" s="16" t="str">
        <f>+Base!B10</f>
        <v>202401310053A033</v>
      </c>
      <c r="C12" s="16" t="str">
        <f>+Base!F10</f>
        <v>Valdes</v>
      </c>
      <c r="D12" s="16" t="str">
        <f>+Base!G10</f>
        <v>Molina</v>
      </c>
      <c r="E12" s="16" t="str">
        <f>+Base!H10</f>
        <v>Isabel Damari</v>
      </c>
      <c r="F12" s="23" t="str">
        <f>+Base!D10</f>
        <v>14336994</v>
      </c>
      <c r="G12" s="23" t="str">
        <f>+Base!E10</f>
        <v>3</v>
      </c>
      <c r="H12" s="24" t="s">
        <v>14</v>
      </c>
      <c r="I12" s="45">
        <f>+Base!T10</f>
        <v>895</v>
      </c>
      <c r="J12" s="112">
        <f>+Base!M10</f>
        <v>750</v>
      </c>
      <c r="K12" s="62">
        <f t="shared" si="0"/>
        <v>80</v>
      </c>
      <c r="L12" s="113">
        <f>+Base!L10</f>
        <v>1725</v>
      </c>
      <c r="M12" s="22">
        <v>0</v>
      </c>
      <c r="N12" s="18">
        <f>+Base!Q10</f>
        <v>312</v>
      </c>
      <c r="O12" s="25">
        <f>+Base!R10+1</f>
        <v>6</v>
      </c>
      <c r="P12" s="26">
        <f>+XIRR('Tabla desarrollo FX'!B11:MY11,'Tabla desarrollo FX'!$B$1:$MY$1)</f>
        <v>7.401264607906341E-2</v>
      </c>
      <c r="Q12" s="34">
        <f>+Base!AA10</f>
        <v>45514</v>
      </c>
      <c r="R12" s="19">
        <f>+Base!AD10</f>
        <v>54829</v>
      </c>
      <c r="S12" s="19">
        <f t="shared" si="2"/>
        <v>45361</v>
      </c>
      <c r="T12" s="36">
        <f>+NPV(V12,'Tabla desarrollo FX'!D11:MY11)</f>
        <v>932.57912451576476</v>
      </c>
      <c r="U12" s="37">
        <f>+Base!AF10</f>
        <v>930.5737757859863</v>
      </c>
      <c r="V12" s="26">
        <f>+Base!Y10</f>
        <v>5.9903111399197684E-3</v>
      </c>
      <c r="W12" s="26"/>
      <c r="X12" s="20">
        <f>+Base!N10</f>
        <v>1725</v>
      </c>
      <c r="Y12" s="58">
        <f t="shared" si="1"/>
        <v>0.53946305842665876</v>
      </c>
      <c r="Z12" s="68">
        <f>+P12-Base!O10</f>
        <v>-4.2873539209365846E-3</v>
      </c>
      <c r="AA12" s="74">
        <f>+Base!U10</f>
        <v>6.8100550000000002</v>
      </c>
      <c r="AB12" s="69">
        <f>+Base!AL10*100</f>
        <v>23.196730290817335</v>
      </c>
      <c r="AC12" s="70">
        <f>+Base!AM10*100</f>
        <v>25.290877324218286</v>
      </c>
      <c r="AD12" s="71" t="str">
        <f>+Base!AG10</f>
        <v>Pasaje Juan Vercellino Reginato 987, Mz E, Lote 9</v>
      </c>
      <c r="AE12" s="72">
        <v>4103</v>
      </c>
      <c r="AF12" s="73" t="str">
        <f>+Base!AI10</f>
        <v>Cachapoal</v>
      </c>
    </row>
    <row r="13" spans="1:32" ht="15" customHeight="1" x14ac:dyDescent="0.3">
      <c r="A13" s="16">
        <f>+Base!A11</f>
        <v>10</v>
      </c>
      <c r="B13" s="16" t="str">
        <f>+Base!B11</f>
        <v>202401310054A033</v>
      </c>
      <c r="C13" s="16" t="str">
        <f>+Base!F11</f>
        <v>Gonzalez</v>
      </c>
      <c r="D13" s="16" t="str">
        <f>+Base!G11</f>
        <v>Jaque</v>
      </c>
      <c r="E13" s="16" t="str">
        <f>+Base!H11</f>
        <v>Tabita Del Pilar</v>
      </c>
      <c r="F13" s="23" t="str">
        <f>+Base!D11</f>
        <v>19580720</v>
      </c>
      <c r="G13" s="23" t="str">
        <f>+Base!E11</f>
        <v>5</v>
      </c>
      <c r="H13" s="24" t="s">
        <v>14</v>
      </c>
      <c r="I13" s="45">
        <f>+Base!T11</f>
        <v>895</v>
      </c>
      <c r="J13" s="112">
        <f>+Base!M11</f>
        <v>750</v>
      </c>
      <c r="K13" s="62">
        <f t="shared" si="0"/>
        <v>80</v>
      </c>
      <c r="L13" s="113">
        <f>+Base!L11</f>
        <v>1725</v>
      </c>
      <c r="M13" s="22">
        <v>0</v>
      </c>
      <c r="N13" s="18">
        <f>+Base!Q11</f>
        <v>228</v>
      </c>
      <c r="O13" s="25">
        <f>+Base!R11+1</f>
        <v>6</v>
      </c>
      <c r="P13" s="26">
        <f>+XIRR('Tabla desarrollo FX'!B12:MY12,'Tabla desarrollo FX'!$B$1:$MY$1)</f>
        <v>7.3957666754722623E-2</v>
      </c>
      <c r="Q13" s="34">
        <f>+Base!AA11</f>
        <v>45514</v>
      </c>
      <c r="R13" s="19">
        <f>+Base!AD11</f>
        <v>52272</v>
      </c>
      <c r="S13" s="19">
        <f t="shared" si="2"/>
        <v>45361</v>
      </c>
      <c r="T13" s="36">
        <f>+NPV(V13,'Tabla desarrollo FX'!D12:MY12)</f>
        <v>926.4986157618066</v>
      </c>
      <c r="U13" s="37">
        <f>+Base!AF11</f>
        <v>924.16029449931523</v>
      </c>
      <c r="V13" s="26">
        <f>+Base!Y11</f>
        <v>5.9903111399197684E-3</v>
      </c>
      <c r="W13" s="26"/>
      <c r="X13" s="20">
        <f>+Base!N11</f>
        <v>1725</v>
      </c>
      <c r="Y13" s="58">
        <f t="shared" si="1"/>
        <v>0.53574509826047256</v>
      </c>
      <c r="Z13" s="68">
        <f>+P13-Base!O11</f>
        <v>-4.3423332452773716E-3</v>
      </c>
      <c r="AA13" s="74">
        <f>+Base!U11</f>
        <v>7.7229549999999998</v>
      </c>
      <c r="AB13" s="69">
        <f>+Base!AL11*100</f>
        <v>21.381347828784101</v>
      </c>
      <c r="AC13" s="70">
        <f>+Base!AM11*100</f>
        <v>24.493720509648433</v>
      </c>
      <c r="AD13" s="71" t="str">
        <f>+Base!AG11</f>
        <v>Pasaje Elena Sanhueza Fajardo 794, Mz C, Lote 1</v>
      </c>
      <c r="AE13" s="72">
        <v>4103</v>
      </c>
      <c r="AF13" s="73" t="str">
        <f>+Base!AI11</f>
        <v>Cachapoal</v>
      </c>
    </row>
    <row r="14" spans="1:32" ht="15" customHeight="1" x14ac:dyDescent="0.3">
      <c r="A14" s="16">
        <f>+Base!A12</f>
        <v>11</v>
      </c>
      <c r="B14" s="16" t="str">
        <f>+Base!B12</f>
        <v>202401310063A033</v>
      </c>
      <c r="C14" s="16" t="str">
        <f>+Base!F12</f>
        <v xml:space="preserve">Ormeno </v>
      </c>
      <c r="D14" s="16" t="str">
        <f>+Base!G12</f>
        <v>Salazar</v>
      </c>
      <c r="E14" s="16" t="str">
        <f>+Base!H12</f>
        <v>Gino Rexner</v>
      </c>
      <c r="F14" s="23" t="str">
        <f>+Base!D12</f>
        <v>14349421</v>
      </c>
      <c r="G14" s="23" t="str">
        <f>+Base!E12</f>
        <v>7</v>
      </c>
      <c r="H14" s="24" t="s">
        <v>14</v>
      </c>
      <c r="I14" s="45">
        <f>+Base!T12</f>
        <v>1595</v>
      </c>
      <c r="J14" s="112">
        <f>+Base!M12</f>
        <v>525</v>
      </c>
      <c r="K14" s="62">
        <f t="shared" si="0"/>
        <v>80</v>
      </c>
      <c r="L14" s="113">
        <f>+Base!L12</f>
        <v>2200</v>
      </c>
      <c r="M14" s="22">
        <v>0</v>
      </c>
      <c r="N14" s="18">
        <f>+Base!Q12</f>
        <v>360</v>
      </c>
      <c r="O14" s="25">
        <f>+Base!R12+1</f>
        <v>6</v>
      </c>
      <c r="P14" s="26">
        <f>+XIRR('Tabla desarrollo FX'!B13:MY13,'Tabla desarrollo FX'!$B$1:$MY$1)</f>
        <v>7.4031659960746773E-2</v>
      </c>
      <c r="Q14" s="34">
        <f>+Base!AA12</f>
        <v>45514</v>
      </c>
      <c r="R14" s="19">
        <f>+Base!AD12</f>
        <v>56290</v>
      </c>
      <c r="S14" s="19">
        <f t="shared" si="2"/>
        <v>45361</v>
      </c>
      <c r="T14" s="36">
        <f>+NPV(V14,'Tabla desarrollo FX'!D13:MY13)</f>
        <v>1666.9943725629955</v>
      </c>
      <c r="U14" s="37">
        <f>+Base!AF12</f>
        <v>1663.2551447232813</v>
      </c>
      <c r="V14" s="26">
        <f>+Base!Y12</f>
        <v>5.9903111399197684E-3</v>
      </c>
      <c r="W14" s="26"/>
      <c r="X14" s="20">
        <f>+Base!N12</f>
        <v>2325</v>
      </c>
      <c r="Y14" s="58">
        <f t="shared" si="1"/>
        <v>0.71537855687022855</v>
      </c>
      <c r="Z14" s="68">
        <f>+P14-Base!O12</f>
        <v>-4.2683400392532211E-3</v>
      </c>
      <c r="AA14" s="74">
        <f>+Base!U12</f>
        <v>11.621169999999999</v>
      </c>
      <c r="AB14" s="69">
        <f>+Base!AL12*100</f>
        <v>43.872736707354463</v>
      </c>
      <c r="AC14" s="70">
        <f>+Base!AM12*100</f>
        <v>48.266432035642886</v>
      </c>
      <c r="AD14" s="71" t="str">
        <f>+Base!AG12</f>
        <v>Pasaje La Cumbre 1 2505, Mz 8, Lote 4</v>
      </c>
      <c r="AE14" s="72">
        <v>4103</v>
      </c>
      <c r="AF14" s="73" t="str">
        <f>+Base!AI12</f>
        <v>Biobío</v>
      </c>
    </row>
    <row r="15" spans="1:32" ht="15" customHeight="1" x14ac:dyDescent="0.3">
      <c r="A15" s="16">
        <f>+Base!A13</f>
        <v>12</v>
      </c>
      <c r="B15" s="16" t="str">
        <f>+Base!B13</f>
        <v>202401310057A033</v>
      </c>
      <c r="C15" s="16" t="str">
        <f>+Base!F13</f>
        <v>Osorio</v>
      </c>
      <c r="D15" s="16" t="str">
        <f>+Base!G13</f>
        <v>Briones</v>
      </c>
      <c r="E15" s="16" t="str">
        <f>+Base!H13</f>
        <v>Marcela Andrea</v>
      </c>
      <c r="F15" s="23" t="str">
        <f>+Base!D13</f>
        <v>14337194</v>
      </c>
      <c r="G15" s="23" t="str">
        <f>+Base!E13</f>
        <v>8</v>
      </c>
      <c r="H15" s="24" t="s">
        <v>14</v>
      </c>
      <c r="I15" s="45">
        <f>+Base!T13</f>
        <v>895</v>
      </c>
      <c r="J15" s="112">
        <f>+Base!M13</f>
        <v>750</v>
      </c>
      <c r="K15" s="62">
        <f t="shared" si="0"/>
        <v>80</v>
      </c>
      <c r="L15" s="113">
        <f>+Base!L13</f>
        <v>1725</v>
      </c>
      <c r="M15" s="22">
        <v>0</v>
      </c>
      <c r="N15" s="18">
        <f>+Base!Q13</f>
        <v>348</v>
      </c>
      <c r="O15" s="25">
        <f>+Base!R13+1</f>
        <v>6</v>
      </c>
      <c r="P15" s="26">
        <f>+XIRR('Tabla desarrollo FX'!B14:MY14,'Tabla desarrollo FX'!$B$1:$MY$1)</f>
        <v>7.4027469754219075E-2</v>
      </c>
      <c r="Q15" s="34">
        <f>+Base!AA13</f>
        <v>45514</v>
      </c>
      <c r="R15" s="19">
        <f>+Base!AD13</f>
        <v>55925</v>
      </c>
      <c r="S15" s="19">
        <f t="shared" si="2"/>
        <v>45361</v>
      </c>
      <c r="T15" s="36">
        <f>+NPV(V15,'Tabla desarrollo FX'!D14:MY14)</f>
        <v>934.72947250399534</v>
      </c>
      <c r="U15" s="37">
        <f>+Base!AF13</f>
        <v>932.21408729993243</v>
      </c>
      <c r="V15" s="26">
        <f>+Base!Y13</f>
        <v>5.9903111399197684E-3</v>
      </c>
      <c r="W15" s="26"/>
      <c r="X15" s="20">
        <f>+Base!N13</f>
        <v>1725</v>
      </c>
      <c r="Y15" s="58">
        <f t="shared" si="1"/>
        <v>0.54041396365213479</v>
      </c>
      <c r="Z15" s="68">
        <f>+P15-Base!O13</f>
        <v>-4.27253024578092E-3</v>
      </c>
      <c r="AA15" s="74">
        <f>+Base!U13</f>
        <v>6.5836199999999998</v>
      </c>
      <c r="AB15" s="69">
        <f>+Base!AL13*100</f>
        <v>11.836400972238145</v>
      </c>
      <c r="AC15" s="70">
        <f>+Base!AM13*100</f>
        <v>41.558001930772427</v>
      </c>
      <c r="AD15" s="71" t="str">
        <f>+Base!AG13</f>
        <v>Pasaje Raquel Labarca Urzua 759, Mz C, Lote 9</v>
      </c>
      <c r="AE15" s="72">
        <v>4103</v>
      </c>
      <c r="AF15" s="73" t="str">
        <f>+Base!AI13</f>
        <v>Cachapoal</v>
      </c>
    </row>
    <row r="16" spans="1:32" ht="15" customHeight="1" x14ac:dyDescent="0.3">
      <c r="A16" s="16">
        <f>+Base!A14</f>
        <v>13</v>
      </c>
      <c r="B16" s="16" t="str">
        <f>+Base!B14</f>
        <v>202401300058A033</v>
      </c>
      <c r="C16" s="16" t="str">
        <f>+Base!F14</f>
        <v>Lopez</v>
      </c>
      <c r="D16" s="16" t="str">
        <f>+Base!G14</f>
        <v>Lopez</v>
      </c>
      <c r="E16" s="16" t="str">
        <f>+Base!H14</f>
        <v>Oscar Patricio</v>
      </c>
      <c r="F16" s="23" t="str">
        <f>+Base!D14</f>
        <v>14009431</v>
      </c>
      <c r="G16" s="23" t="str">
        <f>+Base!E14</f>
        <v>5</v>
      </c>
      <c r="H16" s="24" t="s">
        <v>14</v>
      </c>
      <c r="I16" s="45">
        <f>+Base!T14</f>
        <v>1620</v>
      </c>
      <c r="J16" s="112">
        <f>+Base!M14</f>
        <v>700</v>
      </c>
      <c r="K16" s="62">
        <f t="shared" si="0"/>
        <v>80</v>
      </c>
      <c r="L16" s="113">
        <f>+Base!L14</f>
        <v>2400</v>
      </c>
      <c r="M16" s="22">
        <v>0</v>
      </c>
      <c r="N16" s="18">
        <f>+Base!Q14</f>
        <v>360</v>
      </c>
      <c r="O16" s="25">
        <f>+Base!R14+1</f>
        <v>6</v>
      </c>
      <c r="P16" s="26">
        <f>+XIRR('Tabla desarrollo FX'!B15:MY15,'Tabla desarrollo FX'!$B$1:$MY$1)</f>
        <v>7.4031659960746773E-2</v>
      </c>
      <c r="Q16" s="34">
        <f>+Base!AA14</f>
        <v>45514</v>
      </c>
      <c r="R16" s="19">
        <f>+Base!AD14</f>
        <v>56290</v>
      </c>
      <c r="S16" s="19">
        <f t="shared" si="2"/>
        <v>45361</v>
      </c>
      <c r="T16" s="36">
        <f>+NPV(V16,'Tabla desarrollo FX'!D15:MY15)</f>
        <v>1693.1228110044192</v>
      </c>
      <c r="U16" s="37">
        <f>+Base!AF14</f>
        <v>1689.0204711500173</v>
      </c>
      <c r="V16" s="26">
        <f>+Base!Y14</f>
        <v>5.9903111399197684E-3</v>
      </c>
      <c r="W16" s="26"/>
      <c r="X16" s="20">
        <f>+Base!N14</f>
        <v>2600</v>
      </c>
      <c r="Y16" s="58">
        <f t="shared" si="1"/>
        <v>0.64962325813462207</v>
      </c>
      <c r="Z16" s="68">
        <f>+P16-Base!O14</f>
        <v>-4.2683400392532211E-3</v>
      </c>
      <c r="AA16" s="74">
        <f>+Base!U14</f>
        <v>11.803319999999999</v>
      </c>
      <c r="AB16" s="69">
        <f>+Base!AL14*100</f>
        <v>37.803513802950789</v>
      </c>
      <c r="AC16" s="70">
        <f>+Base!AM14*100</f>
        <v>39.88689059733592</v>
      </c>
      <c r="AD16" s="71" t="str">
        <f>+Base!AG14</f>
        <v>Avenida Los Héroes 1328, Mz B, Lote 9</v>
      </c>
      <c r="AE16" s="72">
        <v>4103</v>
      </c>
      <c r="AF16" s="73" t="str">
        <f>+Base!AI14</f>
        <v>Maipo</v>
      </c>
    </row>
    <row r="17" spans="1:32" ht="15" customHeight="1" x14ac:dyDescent="0.3">
      <c r="A17" s="16">
        <f>+Base!A15</f>
        <v>14</v>
      </c>
      <c r="B17" s="16" t="str">
        <f>+Base!B15</f>
        <v>202401310059A033</v>
      </c>
      <c r="C17" s="16" t="str">
        <f>+Base!F15</f>
        <v>Espinoza</v>
      </c>
      <c r="D17" s="16" t="str">
        <f>+Base!G15</f>
        <v>Sepúlveda</v>
      </c>
      <c r="E17" s="16" t="str">
        <f>+Base!H15</f>
        <v xml:space="preserve">Camila Del Carmen </v>
      </c>
      <c r="F17" s="23" t="str">
        <f>+Base!D15</f>
        <v>18738588</v>
      </c>
      <c r="G17" s="23" t="str">
        <f>+Base!E15</f>
        <v>1</v>
      </c>
      <c r="H17" s="24" t="s">
        <v>14</v>
      </c>
      <c r="I17" s="45">
        <f>+Base!T15</f>
        <v>1680</v>
      </c>
      <c r="J17" s="112">
        <f>+Base!M15</f>
        <v>325</v>
      </c>
      <c r="K17" s="62">
        <f t="shared" si="0"/>
        <v>95</v>
      </c>
      <c r="L17" s="113">
        <f>+Base!L15</f>
        <v>2100</v>
      </c>
      <c r="M17" s="22">
        <v>0</v>
      </c>
      <c r="N17" s="18">
        <f>+Base!Q15</f>
        <v>360</v>
      </c>
      <c r="O17" s="25">
        <f>+Base!R15+1</f>
        <v>6</v>
      </c>
      <c r="P17" s="26">
        <f>+XIRR('Tabla desarrollo FX'!B16:MY16,'Tabla desarrollo FX'!$B$1:$MY$1)</f>
        <v>7.4031659960746773E-2</v>
      </c>
      <c r="Q17" s="34">
        <f>+Base!AA15</f>
        <v>45514</v>
      </c>
      <c r="R17" s="19">
        <f>+Base!AD15</f>
        <v>56290</v>
      </c>
      <c r="S17" s="19">
        <f t="shared" si="2"/>
        <v>45361</v>
      </c>
      <c r="T17" s="36">
        <f>+NPV(V17,'Tabla desarrollo FX'!D16:MY16)</f>
        <v>1755.831063263845</v>
      </c>
      <c r="U17" s="37">
        <f>+Base!AF15</f>
        <v>1752.0001753526833</v>
      </c>
      <c r="V17" s="26">
        <f>+Base!Y15</f>
        <v>5.9903111399197684E-3</v>
      </c>
      <c r="W17" s="26"/>
      <c r="X17" s="20">
        <f>+Base!N15</f>
        <v>2100</v>
      </c>
      <c r="Y17" s="58">
        <f t="shared" si="1"/>
        <v>0.83428579778699208</v>
      </c>
      <c r="Z17" s="68">
        <f>+P17-Base!O15</f>
        <v>-4.2683400392532211E-3</v>
      </c>
      <c r="AA17" s="74">
        <f>+Base!U15</f>
        <v>12.24048</v>
      </c>
      <c r="AB17" s="69">
        <f>+Base!AL15*100</f>
        <v>25.932145822365676</v>
      </c>
      <c r="AC17" s="70">
        <f>+Base!AM15*100</f>
        <v>38.861001370263807</v>
      </c>
      <c r="AD17" s="71" t="str">
        <f>+Base!AG15</f>
        <v>Pedro Riveros 1400, Torre C, Piso 3, Departamento 33</v>
      </c>
      <c r="AE17" s="72">
        <v>4103</v>
      </c>
      <c r="AF17" s="73" t="str">
        <f>+Base!AI15</f>
        <v>Santiago</v>
      </c>
    </row>
    <row r="18" spans="1:32" ht="15" customHeight="1" x14ac:dyDescent="0.3">
      <c r="A18" s="16">
        <f>+Base!A16</f>
        <v>15</v>
      </c>
      <c r="B18" s="16" t="str">
        <f>+Base!B16</f>
        <v>202401310066A033</v>
      </c>
      <c r="C18" s="16" t="str">
        <f>+Base!F16</f>
        <v>Rodriguez</v>
      </c>
      <c r="D18" s="16" t="str">
        <f>+Base!G16</f>
        <v>Castillo</v>
      </c>
      <c r="E18" s="16" t="str">
        <f>+Base!H16</f>
        <v>Kimberly Lissette</v>
      </c>
      <c r="F18" s="23" t="str">
        <f>+Base!D16</f>
        <v>18848650</v>
      </c>
      <c r="G18" s="23" t="str">
        <f>+Base!E16</f>
        <v>9</v>
      </c>
      <c r="H18" s="24" t="s">
        <v>14</v>
      </c>
      <c r="I18" s="45">
        <f>+Base!T16</f>
        <v>1731</v>
      </c>
      <c r="J18" s="112">
        <f>+Base!M16</f>
        <v>325</v>
      </c>
      <c r="K18" s="62">
        <f t="shared" si="0"/>
        <v>144</v>
      </c>
      <c r="L18" s="113">
        <f>+Base!L16</f>
        <v>2200</v>
      </c>
      <c r="M18" s="22">
        <v>0</v>
      </c>
      <c r="N18" s="18">
        <f>+Base!Q16</f>
        <v>360</v>
      </c>
      <c r="O18" s="25">
        <f>+Base!R16+1</f>
        <v>6</v>
      </c>
      <c r="P18" s="26">
        <f>+XIRR('Tabla desarrollo FX'!B17:MY17,'Tabla desarrollo FX'!$B$1:$MY$1)</f>
        <v>7.2538945078849781E-2</v>
      </c>
      <c r="Q18" s="34">
        <f>+Base!AA16</f>
        <v>45514</v>
      </c>
      <c r="R18" s="19">
        <f>+Base!AD16</f>
        <v>56290</v>
      </c>
      <c r="S18" s="19">
        <f t="shared" si="2"/>
        <v>45361</v>
      </c>
      <c r="T18" s="36">
        <f>+NPV(V18,'Tabla desarrollo FX'!D17:MY17)</f>
        <v>1809.5075138583566</v>
      </c>
      <c r="U18" s="37">
        <f>+Base!AF16</f>
        <v>1805.1581340613791</v>
      </c>
      <c r="V18" s="26">
        <f>+Base!Y16</f>
        <v>5.8731843281445428E-3</v>
      </c>
      <c r="W18" s="26"/>
      <c r="X18" s="20">
        <f>+Base!N16</f>
        <v>2900</v>
      </c>
      <c r="Y18" s="58">
        <f t="shared" si="1"/>
        <v>0.6224683220901307</v>
      </c>
      <c r="Z18" s="68">
        <f>+P18-Base!O16</f>
        <v>-4.2610549211502119E-3</v>
      </c>
      <c r="AA18" s="74">
        <f>+Base!U16</f>
        <v>12.433773</v>
      </c>
      <c r="AB18" s="69">
        <f>+Base!AL16*100</f>
        <v>18.430048701569614</v>
      </c>
      <c r="AC18" s="70">
        <f>+Base!AM16*100</f>
        <v>27.847213009702614</v>
      </c>
      <c r="AD18" s="71" t="str">
        <f>+Base!AG16</f>
        <v>Los Abedules 184, Mz 17, Lote 14</v>
      </c>
      <c r="AE18" s="72">
        <v>4103</v>
      </c>
      <c r="AF18" s="73" t="str">
        <f>+Base!AI16</f>
        <v>Melipilla</v>
      </c>
    </row>
    <row r="19" spans="1:32" ht="15" customHeight="1" x14ac:dyDescent="0.3">
      <c r="A19" s="16">
        <f>+Base!A17</f>
        <v>16</v>
      </c>
      <c r="B19" s="16" t="str">
        <f>+Base!B17</f>
        <v>202402140067A033</v>
      </c>
      <c r="C19" s="16" t="str">
        <f>+Base!F17</f>
        <v>Chaud</v>
      </c>
      <c r="D19" s="16" t="str">
        <f>+Base!G17</f>
        <v>Sobron</v>
      </c>
      <c r="E19" s="16" t="str">
        <f>+Base!H17</f>
        <v>Valentina Ignacia</v>
      </c>
      <c r="F19" s="23" t="str">
        <f>+Base!D17</f>
        <v>19169080</v>
      </c>
      <c r="G19" s="23" t="str">
        <f>+Base!E17</f>
        <v>K</v>
      </c>
      <c r="H19" s="24" t="s">
        <v>14</v>
      </c>
      <c r="I19" s="45">
        <f>+Base!T17</f>
        <v>1807.8</v>
      </c>
      <c r="J19" s="112">
        <f>+Base!M17</f>
        <v>600</v>
      </c>
      <c r="K19" s="62">
        <f t="shared" si="0"/>
        <v>82.200000000000045</v>
      </c>
      <c r="L19" s="113">
        <f>+Base!L17</f>
        <v>2490</v>
      </c>
      <c r="M19" s="22">
        <v>0</v>
      </c>
      <c r="N19" s="18">
        <f>+Base!Q17</f>
        <v>360</v>
      </c>
      <c r="O19" s="25">
        <f>+Base!R17+1</f>
        <v>6</v>
      </c>
      <c r="P19" s="26">
        <f>+XIRR('Tabla desarrollo FX'!B18:MY18,'Tabla desarrollo FX'!$B$1:$MY$1)</f>
        <v>7.4033442139625566E-2</v>
      </c>
      <c r="Q19" s="34">
        <f>+Base!AA17</f>
        <v>45545</v>
      </c>
      <c r="R19" s="19">
        <f>+Base!AD17</f>
        <v>56318</v>
      </c>
      <c r="S19" s="19">
        <f t="shared" si="2"/>
        <v>45361</v>
      </c>
      <c r="T19" s="36">
        <f>+NPV(V19,'Tabla desarrollo FX'!D18:MY18)</f>
        <v>1878.148972550727</v>
      </c>
      <c r="U19" s="37">
        <f>+Base!AF17</f>
        <v>1873.6794530269367</v>
      </c>
      <c r="V19" s="26">
        <f>+Base!Y17</f>
        <v>5.9903111399197684E-3</v>
      </c>
      <c r="W19" s="26"/>
      <c r="X19" s="20">
        <f>+Base!N17</f>
        <v>2600</v>
      </c>
      <c r="Y19" s="58">
        <f t="shared" si="1"/>
        <v>0.7206459434718987</v>
      </c>
      <c r="Z19" s="68">
        <f>+P19-Base!O17</f>
        <v>-4.2665578603744286E-3</v>
      </c>
      <c r="AA19" s="74">
        <f>+Base!U17</f>
        <v>13.171631</v>
      </c>
      <c r="AB19" s="69">
        <f>+Base!AL17*100</f>
        <v>26.289471519203587</v>
      </c>
      <c r="AC19" s="70">
        <f>+Base!AM17*100</f>
        <v>31.116098730173874</v>
      </c>
      <c r="AD19" s="71" t="str">
        <f>+Base!AG17</f>
        <v>Ejercito De Chile 480, 402-A, Departamento 402-A</v>
      </c>
      <c r="AE19" s="72">
        <v>4103</v>
      </c>
      <c r="AF19" s="73" t="str">
        <f>+Base!AI17</f>
        <v>Diguillín</v>
      </c>
    </row>
    <row r="20" spans="1:32" ht="15" customHeight="1" x14ac:dyDescent="0.3">
      <c r="A20" s="16">
        <f>+Base!A18</f>
        <v>17</v>
      </c>
      <c r="B20" s="16" t="str">
        <f>+Base!B18</f>
        <v>202402210068A033</v>
      </c>
      <c r="C20" s="16" t="str">
        <f>+Base!F18</f>
        <v xml:space="preserve">Chavez </v>
      </c>
      <c r="D20" s="16" t="str">
        <f>+Base!G18</f>
        <v>Fuentes</v>
      </c>
      <c r="E20" s="16" t="str">
        <f>+Base!H18</f>
        <v>Aurora del Carmen</v>
      </c>
      <c r="F20" s="23" t="str">
        <f>+Base!D18</f>
        <v>18951483</v>
      </c>
      <c r="G20" s="23" t="str">
        <f>+Base!E18</f>
        <v>2</v>
      </c>
      <c r="H20" s="24" t="s">
        <v>14</v>
      </c>
      <c r="I20" s="45">
        <f>+Base!T18</f>
        <v>1395</v>
      </c>
      <c r="J20" s="112">
        <f>+Base!M18</f>
        <v>525</v>
      </c>
      <c r="K20" s="62">
        <f t="shared" si="0"/>
        <v>80</v>
      </c>
      <c r="L20" s="113">
        <f>+Base!L18</f>
        <v>2000</v>
      </c>
      <c r="M20" s="22">
        <v>0</v>
      </c>
      <c r="N20" s="18">
        <f>+Base!Q18</f>
        <v>312</v>
      </c>
      <c r="O20" s="25">
        <f>+Base!R18+1</f>
        <v>6</v>
      </c>
      <c r="P20" s="26">
        <f>+XIRR('Tabla desarrollo FX'!B19:MY19,'Tabla desarrollo FX'!$B$1:$MY$1)</f>
        <v>7.1626678109169006E-2</v>
      </c>
      <c r="Q20" s="34">
        <f>+Base!AA18</f>
        <v>45545</v>
      </c>
      <c r="R20" s="19">
        <f>+Base!AD18</f>
        <v>54857</v>
      </c>
      <c r="S20" s="19">
        <f t="shared" si="2"/>
        <v>45361</v>
      </c>
      <c r="T20" s="36">
        <f>+NPV(V20,'Tabla desarrollo FX'!D19:MY19)</f>
        <v>1445.5573721140508</v>
      </c>
      <c r="U20" s="37">
        <f>+Base!AF18</f>
        <v>1441.8230839367423</v>
      </c>
      <c r="V20" s="26">
        <f>+Base!Y18</f>
        <v>5.8028361627453506E-3</v>
      </c>
      <c r="W20" s="26"/>
      <c r="X20" s="20">
        <f>+Base!N18</f>
        <v>2400</v>
      </c>
      <c r="Y20" s="58">
        <f t="shared" si="1"/>
        <v>0.60075961830697588</v>
      </c>
      <c r="Z20" s="68">
        <f>+P20-Base!O18</f>
        <v>-4.2733218908309889E-3</v>
      </c>
      <c r="AA20" s="74">
        <f>+Base!U18</f>
        <v>10.394145</v>
      </c>
      <c r="AB20" s="69">
        <f>+Base!AL18*100</f>
        <v>39.814234927448041</v>
      </c>
      <c r="AC20" s="70">
        <f>+Base!AM18*100</f>
        <v>44.090318541138259</v>
      </c>
      <c r="AD20" s="71" t="str">
        <f>+Base!AG18</f>
        <v>Pasaje Roberto Gallegos Delgado 1561, Mz 8, Lote 3</v>
      </c>
      <c r="AE20" s="72">
        <v>4103</v>
      </c>
      <c r="AF20" s="73" t="str">
        <f>+Base!AI18</f>
        <v>Biobío</v>
      </c>
    </row>
    <row r="21" spans="1:32" ht="15" customHeight="1" x14ac:dyDescent="0.3">
      <c r="A21" s="16">
        <f>+Base!A19</f>
        <v>18</v>
      </c>
      <c r="B21" s="16" t="str">
        <f>+Base!B19</f>
        <v>202402070069A033</v>
      </c>
      <c r="C21" s="16" t="str">
        <f>+Base!F19</f>
        <v>Contreras</v>
      </c>
      <c r="D21" s="16" t="str">
        <f>+Base!G19</f>
        <v>Carrasco</v>
      </c>
      <c r="E21" s="16" t="str">
        <f>+Base!H19</f>
        <v>Martín Alejandro</v>
      </c>
      <c r="F21" s="23" t="str">
        <f>+Base!D19</f>
        <v>18030850</v>
      </c>
      <c r="G21" s="23" t="str">
        <f>+Base!E19</f>
        <v>4</v>
      </c>
      <c r="H21" s="24" t="s">
        <v>14</v>
      </c>
      <c r="I21" s="45">
        <f>+Base!T19</f>
        <v>1545</v>
      </c>
      <c r="J21" s="112">
        <f>+Base!M19</f>
        <v>700</v>
      </c>
      <c r="K21" s="62">
        <f t="shared" si="0"/>
        <v>80</v>
      </c>
      <c r="L21" s="113">
        <f>+Base!L19</f>
        <v>2325</v>
      </c>
      <c r="M21" s="22">
        <v>0</v>
      </c>
      <c r="N21" s="18">
        <f>+Base!Q19</f>
        <v>192</v>
      </c>
      <c r="O21" s="25">
        <f>+Base!R19+1</f>
        <v>6</v>
      </c>
      <c r="P21" s="26">
        <f>+XIRR('Tabla desarrollo FX'!B20:MY20,'Tabla desarrollo FX'!$B$1:$MY$1)</f>
        <v>7.3922815918922441E-2</v>
      </c>
      <c r="Q21" s="34">
        <f>+Base!AA19</f>
        <v>45545</v>
      </c>
      <c r="R21" s="19">
        <f>+Base!AD19</f>
        <v>51205</v>
      </c>
      <c r="S21" s="19">
        <f t="shared" si="2"/>
        <v>45361</v>
      </c>
      <c r="T21" s="36">
        <f>+NPV(V21,'Tabla desarrollo FX'!D20:MY20)</f>
        <v>1584.5103918241134</v>
      </c>
      <c r="U21" s="37">
        <f>+Base!AF19</f>
        <v>1581.1036033726252</v>
      </c>
      <c r="V21" s="26">
        <f>+Base!Y19</f>
        <v>5.9903111399197684E-3</v>
      </c>
      <c r="W21" s="26"/>
      <c r="X21" s="20">
        <f>+Base!N19</f>
        <v>2600</v>
      </c>
      <c r="Y21" s="58">
        <f t="shared" si="1"/>
        <v>0.60811677052793278</v>
      </c>
      <c r="Z21" s="68">
        <f>+P21-Base!O19</f>
        <v>-4.3771840810775536E-3</v>
      </c>
      <c r="AA21" s="74">
        <f>+Base!U19</f>
        <v>14.538449999999999</v>
      </c>
      <c r="AB21" s="69">
        <f>+Base!AL19*100</f>
        <v>21.408733761809184</v>
      </c>
      <c r="AC21" s="70">
        <f>+Base!AM19*100</f>
        <v>22.525457008631541</v>
      </c>
      <c r="AD21" s="71" t="str">
        <f>+Base!AG19</f>
        <v>Calle Grey 790, Mz A, Lote 55</v>
      </c>
      <c r="AE21" s="72">
        <v>4103</v>
      </c>
      <c r="AF21" s="73" t="str">
        <f>+Base!AI19</f>
        <v>Maipo</v>
      </c>
    </row>
    <row r="22" spans="1:32" ht="15" customHeight="1" x14ac:dyDescent="0.3">
      <c r="A22" s="16">
        <f>+Base!A20</f>
        <v>19</v>
      </c>
      <c r="B22" s="16" t="str">
        <f>+Base!B20</f>
        <v>202402140070A033</v>
      </c>
      <c r="C22" s="16" t="str">
        <f>+Base!F20</f>
        <v>Saavedra</v>
      </c>
      <c r="D22" s="16" t="str">
        <f>+Base!G20</f>
        <v>Riveros</v>
      </c>
      <c r="E22" s="16" t="str">
        <f>+Base!H20</f>
        <v>Karen Yannina</v>
      </c>
      <c r="F22" s="23" t="str">
        <f>+Base!D20</f>
        <v>18067191</v>
      </c>
      <c r="G22" s="23" t="str">
        <f>+Base!E20</f>
        <v>9</v>
      </c>
      <c r="H22" s="24" t="s">
        <v>14</v>
      </c>
      <c r="I22" s="45">
        <f>+Base!T20</f>
        <v>960</v>
      </c>
      <c r="J22" s="112">
        <f>+Base!M20</f>
        <v>400</v>
      </c>
      <c r="K22" s="62">
        <f t="shared" si="0"/>
        <v>40</v>
      </c>
      <c r="L22" s="113">
        <f>+Base!L20</f>
        <v>1400</v>
      </c>
      <c r="M22" s="22">
        <v>0</v>
      </c>
      <c r="N22" s="18">
        <f>+Base!Q20</f>
        <v>276</v>
      </c>
      <c r="O22" s="25">
        <f>+Base!R20+1</f>
        <v>6</v>
      </c>
      <c r="P22" s="26">
        <f>+XIRR('Tabla desarrollo FX'!B21:MY21,'Tabla desarrollo FX'!$B$1:$MY$1)</f>
        <v>7.3996004462242138E-2</v>
      </c>
      <c r="Q22" s="34">
        <f>+Base!AA20</f>
        <v>45545</v>
      </c>
      <c r="R22" s="19">
        <f>+Base!AD20</f>
        <v>53761</v>
      </c>
      <c r="S22" s="19">
        <f t="shared" si="2"/>
        <v>45361</v>
      </c>
      <c r="T22" s="36">
        <f>+NPV(V22,'Tabla desarrollo FX'!D21:MY21)</f>
        <v>991.77740287525307</v>
      </c>
      <c r="U22" s="37">
        <f>+Base!AF20</f>
        <v>989.03177629360027</v>
      </c>
      <c r="V22" s="26">
        <f>+Base!Y20</f>
        <v>5.9903111399197684E-3</v>
      </c>
      <c r="W22" s="26"/>
      <c r="X22" s="20">
        <f>+Base!N20</f>
        <v>1400</v>
      </c>
      <c r="Y22" s="58">
        <f t="shared" si="1"/>
        <v>0.70645126878114306</v>
      </c>
      <c r="Z22" s="68">
        <f>+P22-Base!O20</f>
        <v>-4.303995537757857E-3</v>
      </c>
      <c r="AA22" s="74">
        <f>+Base!U20</f>
        <v>7.6339199999999998</v>
      </c>
      <c r="AB22" s="69">
        <f>+Base!AL20*100</f>
        <v>15.686021544359102</v>
      </c>
      <c r="AC22" s="70">
        <f>+Base!AM20*100</f>
        <v>42.248598854567696</v>
      </c>
      <c r="AD22" s="71" t="str">
        <f>+Base!AG20</f>
        <v>Av. Cristobal Colon 8551, Edificio 1, Piso 4, Departamento 410</v>
      </c>
      <c r="AE22" s="72">
        <v>4103</v>
      </c>
      <c r="AF22" s="73" t="str">
        <f>+Base!AI20</f>
        <v>Concepción</v>
      </c>
    </row>
    <row r="23" spans="1:32" ht="15" customHeight="1" x14ac:dyDescent="0.3">
      <c r="A23" s="16">
        <f>+Base!A21</f>
        <v>20</v>
      </c>
      <c r="B23" s="16" t="str">
        <f>+Base!B21</f>
        <v>202402140071A033</v>
      </c>
      <c r="C23" s="16" t="str">
        <f>+Base!F21</f>
        <v>Gingins</v>
      </c>
      <c r="D23" s="16" t="str">
        <f>+Base!G21</f>
        <v>Carrasco</v>
      </c>
      <c r="E23" s="16" t="str">
        <f>+Base!H21</f>
        <v>Camilo Boris</v>
      </c>
      <c r="F23" s="23" t="str">
        <f>+Base!D21</f>
        <v>18386792</v>
      </c>
      <c r="G23" s="23" t="str">
        <f>+Base!E21</f>
        <v>K</v>
      </c>
      <c r="H23" s="24" t="s">
        <v>14</v>
      </c>
      <c r="I23" s="45">
        <f>+Base!T21</f>
        <v>1640</v>
      </c>
      <c r="J23" s="112">
        <f>+Base!M21</f>
        <v>325</v>
      </c>
      <c r="K23" s="62">
        <f t="shared" si="0"/>
        <v>85</v>
      </c>
      <c r="L23" s="113">
        <f>+Base!L21</f>
        <v>2050</v>
      </c>
      <c r="M23" s="22">
        <v>0</v>
      </c>
      <c r="N23" s="18">
        <f>+Base!Q21</f>
        <v>360</v>
      </c>
      <c r="O23" s="25">
        <f>+Base!R21+1</f>
        <v>6</v>
      </c>
      <c r="P23" s="26">
        <f>+XIRR('Tabla desarrollo FX'!B22:MY22,'Tabla desarrollo FX'!$B$1:$MY$1)</f>
        <v>7.4033442139625566E-2</v>
      </c>
      <c r="Q23" s="34">
        <f>+Base!AA21</f>
        <v>45545</v>
      </c>
      <c r="R23" s="19">
        <f>+Base!AD21</f>
        <v>56318</v>
      </c>
      <c r="S23" s="19">
        <f t="shared" si="2"/>
        <v>45361</v>
      </c>
      <c r="T23" s="36">
        <f>+NPV(V23,'Tabla desarrollo FX'!D22:MY22)</f>
        <v>1703.8191548935952</v>
      </c>
      <c r="U23" s="37">
        <f>+Base!AF21</f>
        <v>1700.1104210087522</v>
      </c>
      <c r="V23" s="26">
        <f>+Base!Y21</f>
        <v>5.9903111399197684E-3</v>
      </c>
      <c r="W23" s="26"/>
      <c r="X23" s="20">
        <f>+Base!N21</f>
        <v>2150</v>
      </c>
      <c r="Y23" s="58">
        <f t="shared" si="1"/>
        <v>0.79074903302732658</v>
      </c>
      <c r="Z23" s="68">
        <f>+P23-Base!O21</f>
        <v>-4.2665578603744286E-3</v>
      </c>
      <c r="AA23" s="74">
        <f>+Base!U21</f>
        <v>11.94904</v>
      </c>
      <c r="AB23" s="69">
        <f>+Base!AL21*100</f>
        <v>23.837890526131478</v>
      </c>
      <c r="AC23" s="70">
        <f>+Base!AM21*100</f>
        <v>39.088272003766249</v>
      </c>
      <c r="AD23" s="71" t="str">
        <f>+Base!AG21</f>
        <v>Av. Cristobal Colon 8551, Edificio 1, Piso 4, Departamento 415</v>
      </c>
      <c r="AE23" s="72">
        <v>4103</v>
      </c>
      <c r="AF23" s="73" t="str">
        <f>+Base!AI21</f>
        <v>Concepción</v>
      </c>
    </row>
    <row r="24" spans="1:32" ht="15" customHeight="1" x14ac:dyDescent="0.3">
      <c r="A24" s="16">
        <f>+Base!A22</f>
        <v>21</v>
      </c>
      <c r="B24" s="16" t="str">
        <f>+Base!B22</f>
        <v>202402270073A033</v>
      </c>
      <c r="C24" s="16" t="str">
        <f>+Base!F22</f>
        <v>Villagran</v>
      </c>
      <c r="D24" s="16" t="str">
        <f>+Base!G22</f>
        <v>Chavez</v>
      </c>
      <c r="E24" s="16" t="str">
        <f>+Base!H22</f>
        <v>Katerinne Jasminne</v>
      </c>
      <c r="F24" s="23" t="str">
        <f>+Base!D22</f>
        <v>17077021</v>
      </c>
      <c r="G24" s="23" t="str">
        <f>+Base!E22</f>
        <v>8</v>
      </c>
      <c r="H24" s="24" t="s">
        <v>14</v>
      </c>
      <c r="I24" s="45">
        <f>+Base!T22</f>
        <v>1590.05</v>
      </c>
      <c r="J24" s="112">
        <f>+Base!M22</f>
        <v>525</v>
      </c>
      <c r="K24" s="62">
        <f t="shared" si="0"/>
        <v>84.950000000000045</v>
      </c>
      <c r="L24" s="113">
        <f>+Base!L22</f>
        <v>2200</v>
      </c>
      <c r="M24" s="22">
        <v>0</v>
      </c>
      <c r="N24" s="18">
        <f>+Base!Q22</f>
        <v>300</v>
      </c>
      <c r="O24" s="25">
        <f>+Base!R22+1</f>
        <v>6</v>
      </c>
      <c r="P24" s="26">
        <f>+XIRR('Tabla desarrollo FX'!B23:MY23,'Tabla desarrollo FX'!$B$1:$MY$1)</f>
        <v>7.162115275859833E-2</v>
      </c>
      <c r="Q24" s="34">
        <f>+Base!AA22</f>
        <v>45545</v>
      </c>
      <c r="R24" s="19">
        <f>+Base!AD22</f>
        <v>54492</v>
      </c>
      <c r="S24" s="19">
        <f t="shared" si="2"/>
        <v>45361</v>
      </c>
      <c r="T24" s="36">
        <f>+NPV(V24,'Tabla desarrollo FX'!D23:MY23)</f>
        <v>1646.2705524820203</v>
      </c>
      <c r="U24" s="37">
        <f>+Base!AF22</f>
        <v>1642.2856539782886</v>
      </c>
      <c r="V24" s="26">
        <f>+Base!Y22</f>
        <v>5.8028361627453506E-3</v>
      </c>
      <c r="W24" s="26"/>
      <c r="X24" s="20">
        <f>+Base!N22</f>
        <v>2400</v>
      </c>
      <c r="Y24" s="58">
        <f t="shared" si="1"/>
        <v>0.68428568915762022</v>
      </c>
      <c r="Z24" s="68">
        <f>+P24-Base!O22</f>
        <v>-4.2788472414016648E-3</v>
      </c>
      <c r="AA24" s="74">
        <f>+Base!U22</f>
        <v>12.012828000000001</v>
      </c>
      <c r="AB24" s="69">
        <f>+Base!AL22*100</f>
        <v>17.420446473832982</v>
      </c>
      <c r="AC24" s="70">
        <f>+Base!AM22*100</f>
        <v>47.083537744294688</v>
      </c>
      <c r="AD24" s="71" t="str">
        <f>+Base!AG22</f>
        <v>Calle la Frontera  669</v>
      </c>
      <c r="AE24" s="72">
        <v>4103</v>
      </c>
      <c r="AF24" s="73" t="str">
        <f>+Base!AI22</f>
        <v>Biobío</v>
      </c>
    </row>
    <row r="25" spans="1:32" ht="15.6" x14ac:dyDescent="0.3">
      <c r="A25" s="16">
        <f>+Base!A23</f>
        <v>22</v>
      </c>
      <c r="B25" s="16" t="str">
        <f>+Base!B23</f>
        <v>202402260074A033</v>
      </c>
      <c r="C25" s="16" t="str">
        <f>+Base!F23</f>
        <v>Morales</v>
      </c>
      <c r="D25" s="16" t="str">
        <f>+Base!G23</f>
        <v>Montecinos</v>
      </c>
      <c r="E25" s="16" t="str">
        <f>+Base!H23</f>
        <v>Nelson Nicolas</v>
      </c>
      <c r="F25" s="23" t="str">
        <f>+Base!D23</f>
        <v>18524978</v>
      </c>
      <c r="G25" s="23" t="str">
        <f>+Base!E23</f>
        <v>6</v>
      </c>
      <c r="H25" s="24" t="s">
        <v>14</v>
      </c>
      <c r="I25" s="45">
        <f>+Base!T23</f>
        <v>1386.66</v>
      </c>
      <c r="J25" s="112">
        <f>+Base!M23</f>
        <v>525</v>
      </c>
      <c r="K25" s="62">
        <f t="shared" si="0"/>
        <v>88.339999999999918</v>
      </c>
      <c r="L25" s="113">
        <f>+Base!L23</f>
        <v>2000</v>
      </c>
      <c r="M25" s="22">
        <v>1</v>
      </c>
      <c r="N25" s="18">
        <f>+Base!Q23</f>
        <v>324</v>
      </c>
      <c r="O25" s="25">
        <f>+Base!R23+1</f>
        <v>6</v>
      </c>
      <c r="P25" s="26">
        <f>+XIRR('Tabla desarrollo FX'!B24:MY24,'Tabla desarrollo FX'!$B$1:$MY$1)</f>
        <v>7.1631875634193432E-2</v>
      </c>
      <c r="Q25" s="34">
        <f>+Base!AA23</f>
        <v>45545</v>
      </c>
      <c r="R25" s="19">
        <f>+Base!AD23</f>
        <v>55222</v>
      </c>
      <c r="S25" s="19">
        <f t="shared" si="2"/>
        <v>45361</v>
      </c>
      <c r="T25" s="36">
        <f>+NPV(V25,'Tabla desarrollo FX'!D24:MY24)</f>
        <v>1438.1085173198569</v>
      </c>
      <c r="U25" s="37">
        <f>+Base!AF23</f>
        <v>1434.9266249075047</v>
      </c>
      <c r="V25" s="26">
        <f>+Base!Y23</f>
        <v>5.8028361627453506E-3</v>
      </c>
      <c r="W25" s="26"/>
      <c r="X25" s="20">
        <f>+Base!N23</f>
        <v>2325</v>
      </c>
      <c r="Y25" s="58">
        <f t="shared" ref="Y25" si="3">+U25/X25</f>
        <v>0.61717274189570093</v>
      </c>
      <c r="Z25" s="68">
        <f>+P25-Base!O23</f>
        <v>-4.2681243658065637E-3</v>
      </c>
      <c r="AA25" s="74">
        <f>+Base!U23</f>
        <v>10.200271000000001</v>
      </c>
      <c r="AB25" s="69">
        <f>+Base!AL23*100</f>
        <v>36.604953965839677</v>
      </c>
      <c r="AC25" s="70">
        <f>+Base!AM23*100</f>
        <v>45.640956680934778</v>
      </c>
      <c r="AD25" s="71" t="str">
        <f>+Base!AG23</f>
        <v>Calle La Frontera 395</v>
      </c>
      <c r="AE25" s="72">
        <v>4103</v>
      </c>
      <c r="AF25" s="73" t="str">
        <f>+Base!AI23</f>
        <v>Biobío</v>
      </c>
    </row>
    <row r="26" spans="1:32" ht="15.6" x14ac:dyDescent="0.3">
      <c r="A26" s="16">
        <f>+Base!A24</f>
        <v>23</v>
      </c>
      <c r="B26" s="16" t="str">
        <f>+Base!B24</f>
        <v>202402270075A033</v>
      </c>
      <c r="C26" s="16" t="str">
        <f>+Base!F24</f>
        <v>Thompson</v>
      </c>
      <c r="D26" s="16" t="str">
        <f>+Base!G24</f>
        <v>Villar</v>
      </c>
      <c r="E26" s="16" t="str">
        <f>+Base!H24</f>
        <v>Nayarett Andrea</v>
      </c>
      <c r="F26" s="23" t="str">
        <f>+Base!D24</f>
        <v>19469060</v>
      </c>
      <c r="G26" s="23" t="str">
        <f>+Base!E24</f>
        <v>6</v>
      </c>
      <c r="H26" s="24" t="s">
        <v>14</v>
      </c>
      <c r="I26" s="45">
        <f>+Base!T24</f>
        <v>1570</v>
      </c>
      <c r="J26" s="112">
        <f>+Base!M24</f>
        <v>550</v>
      </c>
      <c r="K26" s="62">
        <f t="shared" si="0"/>
        <v>80</v>
      </c>
      <c r="L26" s="113">
        <f>+Base!L24</f>
        <v>2200</v>
      </c>
      <c r="M26" s="22">
        <v>2</v>
      </c>
      <c r="N26" s="18">
        <f>+Base!Q24</f>
        <v>324</v>
      </c>
      <c r="O26" s="25">
        <f>+Base!R24+1</f>
        <v>6</v>
      </c>
      <c r="P26" s="26">
        <f>+XIRR('Tabla desarrollo FX'!B25:MY25,'Tabla desarrollo FX'!$B$1:$MY$1)</f>
        <v>7.1631875634193432E-2</v>
      </c>
      <c r="Q26" s="34">
        <f>+Base!AA24</f>
        <v>45545</v>
      </c>
      <c r="R26" s="19">
        <f>+Base!AD24</f>
        <v>55222</v>
      </c>
      <c r="S26" s="19">
        <f t="shared" si="2"/>
        <v>45361</v>
      </c>
      <c r="T26" s="36">
        <f>+NPV(V26,'Tabla desarrollo FX'!D25:MY25)</f>
        <v>1628.2508785860505</v>
      </c>
      <c r="U26" s="37">
        <f>+Base!AF24</f>
        <v>1624.8435640124401</v>
      </c>
      <c r="V26" s="26">
        <f>+Base!Y24</f>
        <v>5.8028361627453506E-3</v>
      </c>
      <c r="W26" s="26"/>
      <c r="X26" s="20">
        <f>+Base!N24</f>
        <v>2515</v>
      </c>
      <c r="Y26" s="58">
        <f t="shared" ref="Y26:Y39" si="4">+U26/X26</f>
        <v>0.64606105924947921</v>
      </c>
      <c r="Z26" s="68">
        <f>+P26-Base!O24</f>
        <v>-4.2681243658065637E-3</v>
      </c>
      <c r="AA26" s="74">
        <f>+Base!U24</f>
        <v>11.548920000000001</v>
      </c>
      <c r="AB26" s="69">
        <f>+Base!AL24*100</f>
        <v>22.051333952763592</v>
      </c>
      <c r="AC26" s="70">
        <f>+Base!AM24*100</f>
        <v>30.479180354994075</v>
      </c>
      <c r="AD26" s="71" t="str">
        <f>+Base!AG24</f>
        <v>Los Aromos 771, Edificio 3</v>
      </c>
      <c r="AE26" s="72">
        <v>4103</v>
      </c>
      <c r="AF26" s="73" t="str">
        <f>+Base!AI24</f>
        <v>Marga Marga</v>
      </c>
    </row>
    <row r="27" spans="1:32" ht="15.6" x14ac:dyDescent="0.3">
      <c r="A27" s="16">
        <f>+Base!A25</f>
        <v>24</v>
      </c>
      <c r="B27" s="16" t="str">
        <f>+Base!B25</f>
        <v>202402210076A033</v>
      </c>
      <c r="C27" s="16" t="str">
        <f>+Base!F25</f>
        <v>Meneses</v>
      </c>
      <c r="D27" s="16" t="str">
        <f>+Base!G25</f>
        <v>Silva</v>
      </c>
      <c r="E27" s="16" t="str">
        <f>+Base!H25</f>
        <v>Javiera Aracely</v>
      </c>
      <c r="F27" s="23" t="str">
        <f>+Base!D25</f>
        <v>19281269</v>
      </c>
      <c r="G27" s="23" t="str">
        <f>+Base!E25</f>
        <v>0</v>
      </c>
      <c r="H27" s="24" t="s">
        <v>14</v>
      </c>
      <c r="I27" s="45">
        <f>+Base!T25</f>
        <v>1720</v>
      </c>
      <c r="J27" s="112">
        <f>+Base!M25</f>
        <v>600</v>
      </c>
      <c r="K27" s="62">
        <f t="shared" si="0"/>
        <v>80</v>
      </c>
      <c r="L27" s="113">
        <f>+Base!L25</f>
        <v>2400</v>
      </c>
      <c r="M27" s="22">
        <v>3</v>
      </c>
      <c r="N27" s="18">
        <f>+Base!Q25</f>
        <v>360</v>
      </c>
      <c r="O27" s="25">
        <f>+Base!R25+1</f>
        <v>6</v>
      </c>
      <c r="P27" s="26">
        <f>+XIRR('Tabla desarrollo FX'!B26:MY26,'Tabla desarrollo FX'!$B$1:$MY$1)</f>
        <v>7.1644929051399242E-2</v>
      </c>
      <c r="Q27" s="34">
        <f>+Base!AA25</f>
        <v>45545</v>
      </c>
      <c r="R27" s="19">
        <f>+Base!AD25</f>
        <v>56318</v>
      </c>
      <c r="S27" s="19">
        <f t="shared" si="2"/>
        <v>45361</v>
      </c>
      <c r="T27" s="36">
        <f>+NPV(V27,'Tabla desarrollo FX'!D26:MY26)</f>
        <v>1787.9164492292628</v>
      </c>
      <c r="U27" s="37">
        <f>+Base!AF25</f>
        <v>1784.0306810928951</v>
      </c>
      <c r="V27" s="26">
        <f>+Base!Y25</f>
        <v>5.8028361627453506E-3</v>
      </c>
      <c r="W27" s="26"/>
      <c r="X27" s="20">
        <f>+Base!N25</f>
        <v>2400</v>
      </c>
      <c r="Y27" s="58">
        <f t="shared" si="4"/>
        <v>0.74334611712203957</v>
      </c>
      <c r="Z27" s="68">
        <f>+P27-Base!O25</f>
        <v>-4.2550709486007532E-3</v>
      </c>
      <c r="AA27" s="74">
        <f>+Base!U25</f>
        <v>12.249840000000001</v>
      </c>
      <c r="AB27" s="69">
        <f>+Base!AL25*100</f>
        <v>29.583918333367627</v>
      </c>
      <c r="AC27" s="70">
        <f>+Base!AM25*100</f>
        <v>46.702606047585817</v>
      </c>
      <c r="AD27" s="71" t="str">
        <f>+Base!AG25</f>
        <v>PASAJE ADELA DROULLY (PROFESORA) 1703</v>
      </c>
      <c r="AE27" s="72">
        <v>4103</v>
      </c>
      <c r="AF27" s="73" t="str">
        <f>+Base!AI25</f>
        <v>Cachapoal</v>
      </c>
    </row>
    <row r="28" spans="1:32" ht="15.6" x14ac:dyDescent="0.3">
      <c r="A28" s="16">
        <f>+Base!A26</f>
        <v>25</v>
      </c>
      <c r="B28" s="16" t="str">
        <f>+Base!B26</f>
        <v>202402270077A033</v>
      </c>
      <c r="C28" s="16" t="str">
        <f>+Base!F26</f>
        <v>Hernandez</v>
      </c>
      <c r="D28" s="16" t="str">
        <f>+Base!G26</f>
        <v>Silva</v>
      </c>
      <c r="E28" s="16" t="str">
        <f>+Base!H26</f>
        <v>Evelyn Carol</v>
      </c>
      <c r="F28" s="23" t="str">
        <f>+Base!D26</f>
        <v>15950240</v>
      </c>
      <c r="G28" s="23" t="str">
        <f>+Base!E26</f>
        <v>6</v>
      </c>
      <c r="H28" s="24" t="s">
        <v>14</v>
      </c>
      <c r="I28" s="45">
        <f>+Base!T26</f>
        <v>1692</v>
      </c>
      <c r="J28" s="112">
        <f>+Base!M26</f>
        <v>600</v>
      </c>
      <c r="K28" s="62">
        <f t="shared" si="0"/>
        <v>100</v>
      </c>
      <c r="L28" s="113">
        <f>+Base!L26</f>
        <v>2392</v>
      </c>
      <c r="M28" s="22">
        <v>4</v>
      </c>
      <c r="N28" s="18">
        <f>+Base!Q26</f>
        <v>360</v>
      </c>
      <c r="O28" s="25">
        <f>+Base!R26+1</f>
        <v>6</v>
      </c>
      <c r="P28" s="26">
        <f>+XIRR('Tabla desarrollo FX'!B27:MY27,'Tabla desarrollo FX'!$B$1:$MY$1)</f>
        <v>7.1644929051399242E-2</v>
      </c>
      <c r="Q28" s="34">
        <f>+Base!AA26</f>
        <v>45545</v>
      </c>
      <c r="R28" s="19">
        <f>+Base!AD26</f>
        <v>56318</v>
      </c>
      <c r="S28" s="19">
        <f t="shared" si="2"/>
        <v>45361</v>
      </c>
      <c r="T28" s="36">
        <f>+NPV(V28,'Tabla desarrollo FX'!D27:MY27)</f>
        <v>1758.8108326139043</v>
      </c>
      <c r="U28" s="37">
        <f>+Base!AF26</f>
        <v>1754.9044198383008</v>
      </c>
      <c r="V28" s="26">
        <f>+Base!Y26</f>
        <v>5.8028361627453506E-3</v>
      </c>
      <c r="W28" s="26"/>
      <c r="X28" s="20">
        <f>+Base!N26</f>
        <v>2555</v>
      </c>
      <c r="Y28" s="58">
        <f t="shared" si="4"/>
        <v>0.6868510449464974</v>
      </c>
      <c r="Z28" s="68">
        <f>+P28-Base!O26</f>
        <v>-4.2550709486007532E-3</v>
      </c>
      <c r="AA28" s="74">
        <f>+Base!U26</f>
        <v>12.050424</v>
      </c>
      <c r="AB28" s="69">
        <f>+Base!AL26*100</f>
        <v>31.027750276124994</v>
      </c>
      <c r="AC28" s="70">
        <f>+Base!AM26*100</f>
        <v>35.933841432401017</v>
      </c>
      <c r="AD28" s="71" t="str">
        <f>+Base!AG26</f>
        <v xml:space="preserve"> CALLE NOVENA 1081, Edificio 3</v>
      </c>
      <c r="AE28" s="72">
        <v>4103</v>
      </c>
      <c r="AF28" s="73" t="str">
        <f>+Base!AI26</f>
        <v>Valparaíso</v>
      </c>
    </row>
    <row r="29" spans="1:32" ht="15.6" x14ac:dyDescent="0.3">
      <c r="A29" s="16">
        <f>+Base!A27</f>
        <v>26</v>
      </c>
      <c r="B29" s="16" t="str">
        <f>+Base!B27</f>
        <v>202402210078A033</v>
      </c>
      <c r="C29" s="16" t="str">
        <f>+Base!F27</f>
        <v>Contreras</v>
      </c>
      <c r="D29" s="16" t="str">
        <f>+Base!G27</f>
        <v>Lugo</v>
      </c>
      <c r="E29" s="16" t="str">
        <f>+Base!H27</f>
        <v>Johan Gilberto</v>
      </c>
      <c r="F29" s="23" t="str">
        <f>+Base!D27</f>
        <v>25981432</v>
      </c>
      <c r="G29" s="23" t="str">
        <f>+Base!E27</f>
        <v>4</v>
      </c>
      <c r="H29" s="24" t="s">
        <v>14</v>
      </c>
      <c r="I29" s="45">
        <f>+Base!T27</f>
        <v>1720</v>
      </c>
      <c r="J29" s="112">
        <f>+Base!M27</f>
        <v>600</v>
      </c>
      <c r="K29" s="62">
        <f t="shared" si="0"/>
        <v>80</v>
      </c>
      <c r="L29" s="113">
        <f>+Base!L27</f>
        <v>2400</v>
      </c>
      <c r="M29" s="22">
        <v>5</v>
      </c>
      <c r="N29" s="18">
        <f>+Base!Q27</f>
        <v>360</v>
      </c>
      <c r="O29" s="25">
        <f>+Base!R27+1</f>
        <v>6</v>
      </c>
      <c r="P29" s="26">
        <f>+XIRR('Tabla desarrollo FX'!B28:MY28,'Tabla desarrollo FX'!$B$1:$MY$1)</f>
        <v>7.1644929051399242E-2</v>
      </c>
      <c r="Q29" s="34">
        <f>+Base!AA27</f>
        <v>45545</v>
      </c>
      <c r="R29" s="19">
        <f>+Base!AD27</f>
        <v>56318</v>
      </c>
      <c r="S29" s="19">
        <f t="shared" si="2"/>
        <v>45361</v>
      </c>
      <c r="T29" s="36">
        <f>+NPV(V29,'Tabla desarrollo FX'!D28:MY28)</f>
        <v>1787.9164492292628</v>
      </c>
      <c r="U29" s="37">
        <f>+Base!AF27</f>
        <v>1784.0306810928951</v>
      </c>
      <c r="V29" s="26">
        <f>+Base!Y27</f>
        <v>5.8028361627453506E-3</v>
      </c>
      <c r="W29" s="26"/>
      <c r="X29" s="20">
        <f>+Base!N27</f>
        <v>2400</v>
      </c>
      <c r="Y29" s="58">
        <f t="shared" si="4"/>
        <v>0.74334611712203957</v>
      </c>
      <c r="Z29" s="68">
        <f>+P29-Base!O27</f>
        <v>-4.2550709486007532E-3</v>
      </c>
      <c r="AA29" s="74">
        <f>+Base!U27</f>
        <v>12.249840000000001</v>
      </c>
      <c r="AB29" s="69">
        <f>+Base!AL27*100</f>
        <v>16.222410186920843</v>
      </c>
      <c r="AC29" s="70">
        <f>+Base!AM27*100</f>
        <v>46.007763182696969</v>
      </c>
      <c r="AD29" s="71" t="str">
        <f>+Base!AG27</f>
        <v>AVENIDA ARTURO ALESSANDRI PALMA 1736</v>
      </c>
      <c r="AE29" s="72">
        <v>4103</v>
      </c>
      <c r="AF29" s="73" t="str">
        <f>+Base!AI27</f>
        <v>Cachapoal</v>
      </c>
    </row>
    <row r="30" spans="1:32" ht="15.6" x14ac:dyDescent="0.3">
      <c r="A30" s="16">
        <f>+Base!A28</f>
        <v>27</v>
      </c>
      <c r="B30" s="16" t="str">
        <f>+Base!B28</f>
        <v>202402260079A033</v>
      </c>
      <c r="C30" s="16" t="str">
        <f>+Base!F28</f>
        <v>Inostroza</v>
      </c>
      <c r="D30" s="16" t="str">
        <f>+Base!G28</f>
        <v>Arenas</v>
      </c>
      <c r="E30" s="16" t="str">
        <f>+Base!H28</f>
        <v>Juan Gabriel</v>
      </c>
      <c r="F30" s="23" t="str">
        <f>+Base!D28</f>
        <v>18555794</v>
      </c>
      <c r="G30" s="23" t="str">
        <f>+Base!E28</f>
        <v>4</v>
      </c>
      <c r="H30" s="24" t="s">
        <v>14</v>
      </c>
      <c r="I30" s="45">
        <f>+Base!T28</f>
        <v>859.69</v>
      </c>
      <c r="J30" s="112">
        <f>+Base!M28</f>
        <v>737.5</v>
      </c>
      <c r="K30" s="62">
        <f t="shared" si="0"/>
        <v>102.80999999999995</v>
      </c>
      <c r="L30" s="113">
        <f>+Base!L28</f>
        <v>1700</v>
      </c>
      <c r="M30" s="22">
        <v>6</v>
      </c>
      <c r="N30" s="18">
        <f>+Base!Q28</f>
        <v>360</v>
      </c>
      <c r="O30" s="25">
        <f>+Base!R28+1</f>
        <v>6</v>
      </c>
      <c r="P30" s="26">
        <f>+XIRR('Tabla desarrollo FX'!B29:MY29,'Tabla desarrollo FX'!$B$1:$MY$1)</f>
        <v>7.1644929051399242E-2</v>
      </c>
      <c r="Q30" s="34">
        <f>+Base!AA28</f>
        <v>45545</v>
      </c>
      <c r="R30" s="19">
        <f>+Base!AD28</f>
        <v>56318</v>
      </c>
      <c r="S30" s="19">
        <f t="shared" si="2"/>
        <v>45361</v>
      </c>
      <c r="T30" s="36">
        <f>+NPV(V30,'Tabla desarrollo FX'!D29:MY29)</f>
        <v>893.63595760437352</v>
      </c>
      <c r="U30" s="37">
        <f>+Base!AF28</f>
        <v>891.28718401508263</v>
      </c>
      <c r="V30" s="26">
        <f>+Base!Y28</f>
        <v>5.8028361627453506E-3</v>
      </c>
      <c r="W30" s="26"/>
      <c r="X30" s="20">
        <f>+Base!N28</f>
        <v>1700</v>
      </c>
      <c r="Y30" s="58">
        <f t="shared" si="4"/>
        <v>0.5242865788324016</v>
      </c>
      <c r="Z30" s="68">
        <f>+P30-Base!O28</f>
        <v>-4.2550709486007532E-3</v>
      </c>
      <c r="AA30" s="74">
        <f>+Base!U28</f>
        <v>6.1227119999999999</v>
      </c>
      <c r="AB30" s="69">
        <f>+Base!AL28*100</f>
        <v>22.762376338826879</v>
      </c>
      <c r="AC30" s="70">
        <f>+Base!AM28*100</f>
        <v>25.269045675747421</v>
      </c>
      <c r="AD30" s="71" t="str">
        <f>+Base!AG28</f>
        <v>Los Libertadores  4733, Torre F</v>
      </c>
      <c r="AE30" s="72">
        <v>4103</v>
      </c>
      <c r="AF30" s="73" t="str">
        <f>+Base!AI28</f>
        <v>Santiago</v>
      </c>
    </row>
    <row r="31" spans="1:32" ht="15.6" x14ac:dyDescent="0.3">
      <c r="A31" s="16">
        <f>+Base!A29</f>
        <v>28</v>
      </c>
      <c r="B31" s="16" t="str">
        <f>+Base!B29</f>
        <v>202402230080A033</v>
      </c>
      <c r="C31" s="16" t="str">
        <f>+Base!F29</f>
        <v>Torres</v>
      </c>
      <c r="D31" s="16" t="str">
        <f>+Base!G29</f>
        <v>Pino</v>
      </c>
      <c r="E31" s="16" t="str">
        <f>+Base!H29</f>
        <v>Alejandra Belen</v>
      </c>
      <c r="F31" s="23" t="str">
        <f>+Base!D29</f>
        <v>19716015</v>
      </c>
      <c r="G31" s="23" t="str">
        <f>+Base!E29</f>
        <v>2</v>
      </c>
      <c r="H31" s="24" t="s">
        <v>14</v>
      </c>
      <c r="I31" s="45">
        <f>+Base!T29</f>
        <v>1595</v>
      </c>
      <c r="J31" s="112">
        <f>+Base!M29</f>
        <v>650</v>
      </c>
      <c r="K31" s="62">
        <f t="shared" si="0"/>
        <v>80</v>
      </c>
      <c r="L31" s="113">
        <f>+Base!L29</f>
        <v>2325</v>
      </c>
      <c r="M31" s="22">
        <v>7</v>
      </c>
      <c r="N31" s="18">
        <f>+Base!Q29</f>
        <v>360</v>
      </c>
      <c r="O31" s="25">
        <f>+Base!R29+1</f>
        <v>6</v>
      </c>
      <c r="P31" s="26">
        <f>+XIRR('Tabla desarrollo FX'!B30:MY30,'Tabla desarrollo FX'!$B$1:$MY$1)</f>
        <v>7.1644929051399242E-2</v>
      </c>
      <c r="Q31" s="34">
        <f>+Base!AA29</f>
        <v>45545</v>
      </c>
      <c r="R31" s="19">
        <f>+Base!AD29</f>
        <v>56318</v>
      </c>
      <c r="S31" s="19">
        <f t="shared" si="2"/>
        <v>45361</v>
      </c>
      <c r="T31" s="36">
        <f>+NPV(V31,'Tabla desarrollo FX'!D30:MY30)</f>
        <v>1657.9806607678347</v>
      </c>
      <c r="U31" s="37">
        <f>+Base!AF29</f>
        <v>1654.4163353915824</v>
      </c>
      <c r="V31" s="26">
        <f>+Base!Y29</f>
        <v>5.8028361627453506E-3</v>
      </c>
      <c r="W31" s="26"/>
      <c r="X31" s="20">
        <f>+Base!N29</f>
        <v>2325</v>
      </c>
      <c r="Y31" s="58">
        <f t="shared" si="4"/>
        <v>0.71157691844799242</v>
      </c>
      <c r="Z31" s="68">
        <f>+P31-Base!O29</f>
        <v>-4.2550709486007532E-3</v>
      </c>
      <c r="AA31" s="74">
        <f>+Base!U29</f>
        <v>11.359590000000001</v>
      </c>
      <c r="AB31" s="69">
        <f>+Base!AL29*100</f>
        <v>32.568628994005792</v>
      </c>
      <c r="AC31" s="70">
        <f>+Base!AM29*100</f>
        <v>46.705120327848206</v>
      </c>
      <c r="AD31" s="71" t="str">
        <f>+Base!AG29</f>
        <v>Calle 8 Sur Poniente  499</v>
      </c>
      <c r="AE31" s="72">
        <v>4103</v>
      </c>
      <c r="AF31" s="73" t="str">
        <f>+Base!AI29</f>
        <v>Biobío</v>
      </c>
    </row>
    <row r="32" spans="1:32" ht="15.6" x14ac:dyDescent="0.3">
      <c r="A32" s="16">
        <f>+Base!A30</f>
        <v>29</v>
      </c>
      <c r="B32" s="16" t="str">
        <f>+Base!B30</f>
        <v>202402260081A033</v>
      </c>
      <c r="C32" s="16" t="str">
        <f>+Base!F30</f>
        <v>Perez</v>
      </c>
      <c r="D32" s="16" t="str">
        <f>+Base!G30</f>
        <v>Jasma</v>
      </c>
      <c r="E32" s="16" t="str">
        <f>+Base!H30</f>
        <v>Maria Jose</v>
      </c>
      <c r="F32" s="23" t="str">
        <f>+Base!D30</f>
        <v>16156341</v>
      </c>
      <c r="G32" s="23" t="str">
        <f>+Base!E30</f>
        <v>2</v>
      </c>
      <c r="H32" s="24" t="s">
        <v>14</v>
      </c>
      <c r="I32" s="45">
        <f>+Base!T30</f>
        <v>1845</v>
      </c>
      <c r="J32" s="112">
        <f>+Base!M30</f>
        <v>475</v>
      </c>
      <c r="K32" s="62">
        <f t="shared" si="0"/>
        <v>80</v>
      </c>
      <c r="L32" s="113">
        <f>+Base!L30</f>
        <v>2400</v>
      </c>
      <c r="M32" s="22">
        <v>8</v>
      </c>
      <c r="N32" s="18">
        <f>+Base!Q30</f>
        <v>360</v>
      </c>
      <c r="O32" s="25">
        <f>+Base!R30+1</f>
        <v>6</v>
      </c>
      <c r="P32" s="26">
        <f>+XIRR('Tabla desarrollo FX'!B31:MY31,'Tabla desarrollo FX'!$B$1:$MY$1)</f>
        <v>7.1644929051399242E-2</v>
      </c>
      <c r="Q32" s="34">
        <f>+Base!AA30</f>
        <v>45545</v>
      </c>
      <c r="R32" s="19">
        <f>+Base!AD30</f>
        <v>56318</v>
      </c>
      <c r="S32" s="19">
        <f t="shared" si="2"/>
        <v>45361</v>
      </c>
      <c r="T32" s="36">
        <f>+NPV(V32,'Tabla desarrollo FX'!D31:MY31)</f>
        <v>1917.8522376906942</v>
      </c>
      <c r="U32" s="37">
        <f>+Base!AF30</f>
        <v>1913.6462683533921</v>
      </c>
      <c r="V32" s="26">
        <f>+Base!Y30</f>
        <v>5.8028361627453506E-3</v>
      </c>
      <c r="W32" s="26"/>
      <c r="X32" s="20">
        <f>+Base!N30</f>
        <v>2450</v>
      </c>
      <c r="Y32" s="58">
        <f t="shared" si="4"/>
        <v>0.7810801095319968</v>
      </c>
      <c r="Z32" s="68">
        <f>+P32-Base!O30</f>
        <v>-4.2550709486007532E-3</v>
      </c>
      <c r="AA32" s="74">
        <f>+Base!U30</f>
        <v>13.140090000000001</v>
      </c>
      <c r="AB32" s="69">
        <f>+Base!AL30*100</f>
        <v>26.245170475593056</v>
      </c>
      <c r="AC32" s="70">
        <f>+Base!AM30*100</f>
        <v>27.797570219048001</v>
      </c>
      <c r="AD32" s="71" t="str">
        <f>+Base!AG30</f>
        <v>Calle 38 Oriente  350, Torre 3</v>
      </c>
      <c r="AE32" s="72">
        <v>4103</v>
      </c>
      <c r="AF32" s="73" t="str">
        <f>+Base!AI30</f>
        <v>Talca</v>
      </c>
    </row>
    <row r="33" spans="1:32" ht="15.6" x14ac:dyDescent="0.3">
      <c r="A33" s="16">
        <f>+Base!A31</f>
        <v>30</v>
      </c>
      <c r="B33" s="16" t="str">
        <f>+Base!B31</f>
        <v>202402260082A033</v>
      </c>
      <c r="C33" s="16" t="str">
        <f>+Base!F31</f>
        <v>Ramirez</v>
      </c>
      <c r="D33" s="16" t="str">
        <f>+Base!G31</f>
        <v>Montecino</v>
      </c>
      <c r="E33" s="16" t="str">
        <f>+Base!H31</f>
        <v>Paula Andrea</v>
      </c>
      <c r="F33" s="23" t="str">
        <f>+Base!D31</f>
        <v>18277554</v>
      </c>
      <c r="G33" s="23" t="str">
        <f>+Base!E31</f>
        <v>1</v>
      </c>
      <c r="H33" s="24" t="s">
        <v>14</v>
      </c>
      <c r="I33" s="45">
        <f>+Base!T31</f>
        <v>1519.7</v>
      </c>
      <c r="J33" s="112">
        <f>+Base!M31</f>
        <v>425</v>
      </c>
      <c r="K33" s="62">
        <f t="shared" si="0"/>
        <v>55.299999999999955</v>
      </c>
      <c r="L33" s="113">
        <f>+Base!L31</f>
        <v>2000</v>
      </c>
      <c r="M33" s="22">
        <v>9</v>
      </c>
      <c r="N33" s="18">
        <f>+Base!Q31</f>
        <v>312</v>
      </c>
      <c r="O33" s="25">
        <f>+Base!R31+1</f>
        <v>6</v>
      </c>
      <c r="P33" s="26">
        <f>+XIRR('Tabla desarrollo FX'!B32:MY32,'Tabla desarrollo FX'!$B$1:$MY$1)</f>
        <v>7.1626678109169006E-2</v>
      </c>
      <c r="Q33" s="34">
        <f>+Base!AA31</f>
        <v>45545</v>
      </c>
      <c r="R33" s="19">
        <f>+Base!AD31</f>
        <v>54857</v>
      </c>
      <c r="S33" s="19">
        <f t="shared" si="2"/>
        <v>45361</v>
      </c>
      <c r="T33" s="36">
        <f>+NPV(V33,'Tabla desarrollo FX'!D32:MY32)</f>
        <v>1574.7767716291553</v>
      </c>
      <c r="U33" s="37">
        <f>+Base!AF31</f>
        <v>1570.8786237138329</v>
      </c>
      <c r="V33" s="26">
        <f>+Base!Y31</f>
        <v>5.8028361627453506E-3</v>
      </c>
      <c r="W33" s="26"/>
      <c r="X33" s="20">
        <f>+Base!N31</f>
        <v>2150</v>
      </c>
      <c r="Y33" s="58">
        <f t="shared" si="4"/>
        <v>0.73064122033201528</v>
      </c>
      <c r="Z33" s="68">
        <f>+P33-Base!O31</f>
        <v>-4.2733218908309889E-3</v>
      </c>
      <c r="AA33" s="74">
        <f>+Base!U31</f>
        <v>11.323285</v>
      </c>
      <c r="AB33" s="69">
        <f>+Base!AL31*100</f>
        <v>29.222855927844201</v>
      </c>
      <c r="AC33" s="70">
        <f>+Base!AM31*100</f>
        <v>39.926101215475072</v>
      </c>
      <c r="AD33" s="71" t="str">
        <f>+Base!AG31</f>
        <v>Hanga Roa 505, Edificio 1</v>
      </c>
      <c r="AE33" s="72">
        <v>4103</v>
      </c>
      <c r="AF33" s="73" t="str">
        <f>+Base!AI31</f>
        <v>Valparaíso</v>
      </c>
    </row>
    <row r="34" spans="1:32" ht="15.6" x14ac:dyDescent="0.3">
      <c r="A34" s="16">
        <f>+Base!A32</f>
        <v>31</v>
      </c>
      <c r="B34" s="16" t="str">
        <f>+Base!B32</f>
        <v>202402260083A033</v>
      </c>
      <c r="C34" s="16" t="str">
        <f>+Base!F32</f>
        <v>Muñoz</v>
      </c>
      <c r="D34" s="16" t="str">
        <f>+Base!G32</f>
        <v>Bachman</v>
      </c>
      <c r="E34" s="16" t="str">
        <f>+Base!H32</f>
        <v>Cristobal Ignacio</v>
      </c>
      <c r="F34" s="23" t="str">
        <f>+Base!D32</f>
        <v>19994889</v>
      </c>
      <c r="G34" s="23" t="str">
        <f>+Base!E32</f>
        <v>K</v>
      </c>
      <c r="H34" s="24" t="s">
        <v>14</v>
      </c>
      <c r="I34" s="45">
        <f>+Base!T32</f>
        <v>1919.43</v>
      </c>
      <c r="J34" s="112">
        <f>+Base!M32</f>
        <v>700</v>
      </c>
      <c r="K34" s="62">
        <f t="shared" si="0"/>
        <v>80.569999999999936</v>
      </c>
      <c r="L34" s="113">
        <f>+Base!L32</f>
        <v>2700</v>
      </c>
      <c r="M34" s="22">
        <v>10</v>
      </c>
      <c r="N34" s="18">
        <f>+Base!Q32</f>
        <v>360</v>
      </c>
      <c r="O34" s="25">
        <f>+Base!R32+1</f>
        <v>6</v>
      </c>
      <c r="P34" s="26">
        <f>+XIRR('Tabla desarrollo FX'!B33:MY33,'Tabla desarrollo FX'!$B$1:$MY$1)</f>
        <v>7.1644929051399242E-2</v>
      </c>
      <c r="Q34" s="34">
        <f>+Base!AA32</f>
        <v>45545</v>
      </c>
      <c r="R34" s="19">
        <f>+Base!AD32</f>
        <v>56318</v>
      </c>
      <c r="S34" s="19">
        <f t="shared" si="2"/>
        <v>45361</v>
      </c>
      <c r="T34" s="36">
        <f>+NPV(V34,'Tabla desarrollo FX'!D33:MY33)</f>
        <v>1995.2211364487</v>
      </c>
      <c r="U34" s="37">
        <f>+Base!AF32</f>
        <v>1990.8333437964347</v>
      </c>
      <c r="V34" s="26">
        <f>+Base!Y32</f>
        <v>5.8028361627453506E-3</v>
      </c>
      <c r="W34" s="26"/>
      <c r="X34" s="20">
        <f>+Base!N32</f>
        <v>2700</v>
      </c>
      <c r="Y34" s="58">
        <f t="shared" si="4"/>
        <v>0.73734568288756841</v>
      </c>
      <c r="Z34" s="68">
        <f>+P34-Base!O32</f>
        <v>-4.2550709486007532E-3</v>
      </c>
      <c r="AA34" s="74">
        <f>+Base!U32</f>
        <v>13.67018</v>
      </c>
      <c r="AB34" s="69">
        <f>+Base!AL32*100</f>
        <v>32.151801915010338</v>
      </c>
      <c r="AC34" s="70">
        <f>+Base!AM32*100</f>
        <v>40.257128241136428</v>
      </c>
      <c r="AD34" s="71" t="str">
        <f>+Base!AG32</f>
        <v>Los Libertadores  4733, Torre F</v>
      </c>
      <c r="AE34" s="72">
        <v>4103</v>
      </c>
      <c r="AF34" s="73" t="str">
        <f>+Base!AI32</f>
        <v>Santiago</v>
      </c>
    </row>
    <row r="35" spans="1:32" ht="15.6" x14ac:dyDescent="0.3">
      <c r="A35" s="16">
        <f>+Base!A33</f>
        <v>32</v>
      </c>
      <c r="B35" s="16" t="str">
        <f>+Base!B33</f>
        <v>202402260084A033</v>
      </c>
      <c r="C35" s="16" t="str">
        <f>+Base!F33</f>
        <v>Miranda</v>
      </c>
      <c r="D35" s="16" t="str">
        <f>+Base!G33</f>
        <v>Castillo</v>
      </c>
      <c r="E35" s="16" t="str">
        <f>+Base!H33</f>
        <v>Jazmín Alejandra</v>
      </c>
      <c r="F35" s="23" t="str">
        <f>+Base!D33</f>
        <v>18596708</v>
      </c>
      <c r="G35" s="23" t="str">
        <f>+Base!E33</f>
        <v>5</v>
      </c>
      <c r="H35" s="24" t="s">
        <v>14</v>
      </c>
      <c r="I35" s="45">
        <f>+Base!T33</f>
        <v>1745</v>
      </c>
      <c r="J35" s="112">
        <f>+Base!M33</f>
        <v>375</v>
      </c>
      <c r="K35" s="62">
        <f t="shared" si="0"/>
        <v>80</v>
      </c>
      <c r="L35" s="113">
        <f>+Base!L33</f>
        <v>2200</v>
      </c>
      <c r="M35" s="22">
        <v>11</v>
      </c>
      <c r="N35" s="18">
        <f>+Base!Q33</f>
        <v>360</v>
      </c>
      <c r="O35" s="25">
        <f>+Base!R33+1</f>
        <v>6</v>
      </c>
      <c r="P35" s="26">
        <f>+XIRR('Tabla desarrollo FX'!B34:MY34,'Tabla desarrollo FX'!$B$1:$MY$1)</f>
        <v>7.1644929051399242E-2</v>
      </c>
      <c r="Q35" s="34">
        <f>+Base!AA33</f>
        <v>45545</v>
      </c>
      <c r="R35" s="19">
        <f>+Base!AD33</f>
        <v>56318</v>
      </c>
      <c r="S35" s="19">
        <f t="shared" si="2"/>
        <v>45361</v>
      </c>
      <c r="T35" s="36">
        <f>+NPV(V35,'Tabla desarrollo FX'!D34:MY34)</f>
        <v>1813.903606921551</v>
      </c>
      <c r="U35" s="37">
        <f>+Base!AF33</f>
        <v>1810.2455577812143</v>
      </c>
      <c r="V35" s="26">
        <f>+Base!Y33</f>
        <v>5.8028361627453506E-3</v>
      </c>
      <c r="W35" s="26"/>
      <c r="X35" s="20">
        <f>+Base!N33</f>
        <v>2200</v>
      </c>
      <c r="Y35" s="58">
        <f t="shared" si="4"/>
        <v>0.82283888990055198</v>
      </c>
      <c r="Z35" s="68">
        <f>+P35-Base!O33</f>
        <v>-4.2550709486007532E-3</v>
      </c>
      <c r="AA35" s="74">
        <f>+Base!U33</f>
        <v>12.42789</v>
      </c>
      <c r="AB35" s="69">
        <f>+Base!AL33*100</f>
        <v>26.399493353731319</v>
      </c>
      <c r="AC35" s="70">
        <f>+Base!AM33*100</f>
        <v>29.663244546285387</v>
      </c>
      <c r="AD35" s="71" t="str">
        <f>+Base!AG33</f>
        <v>Camino La Vara  02600, Torre 1</v>
      </c>
      <c r="AE35" s="72">
        <v>4103</v>
      </c>
      <c r="AF35" s="73" t="str">
        <f>+Base!AI33</f>
        <v>Maipo</v>
      </c>
    </row>
    <row r="36" spans="1:32" ht="15.6" x14ac:dyDescent="0.3">
      <c r="A36" s="16">
        <f>+Base!A34</f>
        <v>33</v>
      </c>
      <c r="B36" s="16" t="str">
        <f>+Base!B34</f>
        <v>202402260085A033</v>
      </c>
      <c r="C36" s="16" t="str">
        <f>+Base!F34</f>
        <v>Guerra</v>
      </c>
      <c r="D36" s="16" t="str">
        <f>+Base!G34</f>
        <v>Rivera</v>
      </c>
      <c r="E36" s="16" t="str">
        <f>+Base!H34</f>
        <v>Susana Marisela</v>
      </c>
      <c r="F36" s="23" t="str">
        <f>+Base!D34</f>
        <v>17589500</v>
      </c>
      <c r="G36" s="23" t="str">
        <f>+Base!E34</f>
        <v>0</v>
      </c>
      <c r="H36" s="24" t="s">
        <v>14</v>
      </c>
      <c r="I36" s="45">
        <f>+Base!T34</f>
        <v>1285</v>
      </c>
      <c r="J36" s="112">
        <f>+Base!M34</f>
        <v>700</v>
      </c>
      <c r="K36" s="62">
        <f t="shared" si="0"/>
        <v>80</v>
      </c>
      <c r="L36" s="113">
        <f>+Base!L34</f>
        <v>2065</v>
      </c>
      <c r="M36" s="22">
        <v>12</v>
      </c>
      <c r="N36" s="18">
        <f>+Base!Q34</f>
        <v>360</v>
      </c>
      <c r="O36" s="25">
        <f>+Base!R34+1</f>
        <v>6</v>
      </c>
      <c r="P36" s="26">
        <f>+XIRR('Tabla desarrollo FX'!B35:MY35,'Tabla desarrollo FX'!$B$1:$MY$1)</f>
        <v>7.1644929051399242E-2</v>
      </c>
      <c r="Q36" s="34">
        <f>+Base!AA34</f>
        <v>45545</v>
      </c>
      <c r="R36" s="19">
        <f>+Base!AD34</f>
        <v>56318</v>
      </c>
      <c r="S36" s="19">
        <f t="shared" si="2"/>
        <v>45361</v>
      </c>
      <c r="T36" s="36">
        <f>+NPV(V36,'Tabla desarrollo FX'!D35:MY35)</f>
        <v>1335.7399053834927</v>
      </c>
      <c r="U36" s="37">
        <f>+Base!AF34</f>
        <v>1332.5624576140272</v>
      </c>
      <c r="V36" s="26">
        <f>+Base!Y34</f>
        <v>5.8028361627453506E-3</v>
      </c>
      <c r="W36" s="26"/>
      <c r="X36" s="20">
        <f>+Base!N34</f>
        <v>2440</v>
      </c>
      <c r="Y36" s="58">
        <f t="shared" si="4"/>
        <v>0.54613215475984722</v>
      </c>
      <c r="Z36" s="68">
        <f>+P36-Base!O34</f>
        <v>-4.2550709486007532E-3</v>
      </c>
      <c r="AA36" s="74">
        <f>+Base!U34</f>
        <v>9.1517700000000008</v>
      </c>
      <c r="AB36" s="69">
        <f>+Base!AL34*100</f>
        <v>36.017663807010329</v>
      </c>
      <c r="AC36" s="70">
        <f>+Base!AM34*100</f>
        <v>39.467694204422351</v>
      </c>
      <c r="AD36" s="71" t="str">
        <f>+Base!AG34</f>
        <v>CALLE MIGUEL CAMPINO 659</v>
      </c>
      <c r="AE36" s="72">
        <v>4103</v>
      </c>
      <c r="AF36" s="73" t="str">
        <f>+Base!AI34</f>
        <v>Maipo</v>
      </c>
    </row>
    <row r="37" spans="1:32" ht="15.6" x14ac:dyDescent="0.3">
      <c r="A37" s="16">
        <f>+Base!A35</f>
        <v>34</v>
      </c>
      <c r="B37" s="16" t="str">
        <f>+Base!B35</f>
        <v>202402260086A033</v>
      </c>
      <c r="C37" s="16" t="str">
        <f>+Base!F35</f>
        <v>Donoso</v>
      </c>
      <c r="D37" s="16" t="str">
        <f>+Base!G35</f>
        <v>Valdebenito</v>
      </c>
      <c r="E37" s="16" t="str">
        <f>+Base!H35</f>
        <v>Raul Cristian</v>
      </c>
      <c r="F37" s="23" t="str">
        <f>+Base!D35</f>
        <v>11392169</v>
      </c>
      <c r="G37" s="23" t="str">
        <f>+Base!E35</f>
        <v>2</v>
      </c>
      <c r="H37" s="24" t="s">
        <v>14</v>
      </c>
      <c r="I37" s="45">
        <f>+Base!T35</f>
        <v>1620</v>
      </c>
      <c r="J37" s="112">
        <f>+Base!M35</f>
        <v>700</v>
      </c>
      <c r="K37" s="62">
        <f t="shared" si="0"/>
        <v>80</v>
      </c>
      <c r="L37" s="113">
        <f>+Base!L35</f>
        <v>2400</v>
      </c>
      <c r="M37" s="22">
        <v>13</v>
      </c>
      <c r="N37" s="18">
        <f>+Base!Q35</f>
        <v>300</v>
      </c>
      <c r="O37" s="25">
        <f>+Base!R35+1</f>
        <v>6</v>
      </c>
      <c r="P37" s="26">
        <f>+XIRR('Tabla desarrollo FX'!B36:MY36,'Tabla desarrollo FX'!$B$1:$MY$1)</f>
        <v>7.162115275859833E-2</v>
      </c>
      <c r="Q37" s="34">
        <f>+Base!AA35</f>
        <v>45545</v>
      </c>
      <c r="R37" s="19">
        <f>+Base!AD35</f>
        <v>54492</v>
      </c>
      <c r="S37" s="19">
        <f t="shared" si="2"/>
        <v>45361</v>
      </c>
      <c r="T37" s="36">
        <f>+NPV(V37,'Tabla desarrollo FX'!D36:MY36)</f>
        <v>1677.2794814659017</v>
      </c>
      <c r="U37" s="37">
        <f>+Base!AF35</f>
        <v>1673.7344928518401</v>
      </c>
      <c r="V37" s="26">
        <f>+Base!Y35</f>
        <v>5.8028361627453506E-3</v>
      </c>
      <c r="W37" s="26"/>
      <c r="X37" s="20">
        <f>+Base!N35</f>
        <v>2600</v>
      </c>
      <c r="Y37" s="58">
        <f t="shared" si="4"/>
        <v>0.64374403571224614</v>
      </c>
      <c r="Z37" s="68">
        <f>+P37-Base!O35</f>
        <v>-4.2788472414016648E-3</v>
      </c>
      <c r="AA37" s="74">
        <f>+Base!U35</f>
        <v>12.239100000000001</v>
      </c>
      <c r="AB37" s="69">
        <f>+Base!AL35*100</f>
        <v>30.137122337896894</v>
      </c>
      <c r="AC37" s="70">
        <f>+Base!AM35*100</f>
        <v>53.172439511952099</v>
      </c>
      <c r="AD37" s="71" t="str">
        <f>+Base!AG35</f>
        <v>CALLE DEL TORO 1306</v>
      </c>
      <c r="AE37" s="72">
        <v>4103</v>
      </c>
      <c r="AF37" s="73" t="str">
        <f>+Base!AI35</f>
        <v>Maipo</v>
      </c>
    </row>
    <row r="38" spans="1:32" ht="15.6" x14ac:dyDescent="0.3">
      <c r="A38" s="16">
        <f>+Base!A36</f>
        <v>35</v>
      </c>
      <c r="B38" s="16" t="str">
        <f>+Base!B36</f>
        <v>202402220087A033</v>
      </c>
      <c r="C38" s="16" t="str">
        <f>+Base!F36</f>
        <v>Medel</v>
      </c>
      <c r="D38" s="16" t="str">
        <f>+Base!G36</f>
        <v>Bustos</v>
      </c>
      <c r="E38" s="16" t="str">
        <f>+Base!H36</f>
        <v>Pablo Andres</v>
      </c>
      <c r="F38" s="23" t="str">
        <f>+Base!D36</f>
        <v>20039829</v>
      </c>
      <c r="G38" s="23" t="str">
        <f>+Base!E36</f>
        <v>7</v>
      </c>
      <c r="H38" s="24" t="s">
        <v>14</v>
      </c>
      <c r="I38" s="45">
        <f>+Base!T36</f>
        <v>1720</v>
      </c>
      <c r="J38" s="112">
        <f>+Base!M36</f>
        <v>600</v>
      </c>
      <c r="K38" s="62">
        <f t="shared" si="0"/>
        <v>80</v>
      </c>
      <c r="L38" s="113">
        <f>+Base!L36</f>
        <v>2400</v>
      </c>
      <c r="M38" s="22">
        <v>14</v>
      </c>
      <c r="N38" s="18">
        <f>+Base!Q36</f>
        <v>360</v>
      </c>
      <c r="O38" s="25">
        <f>+Base!R36+1</f>
        <v>6</v>
      </c>
      <c r="P38" s="26">
        <f>+XIRR('Tabla desarrollo FX'!B37:MY37,'Tabla desarrollo FX'!$B$1:$MY$1)</f>
        <v>7.1644929051399242E-2</v>
      </c>
      <c r="Q38" s="34">
        <f>+Base!AA36</f>
        <v>45545</v>
      </c>
      <c r="R38" s="19">
        <f>+Base!AD36</f>
        <v>56318</v>
      </c>
      <c r="S38" s="19">
        <f t="shared" si="2"/>
        <v>45361</v>
      </c>
      <c r="T38" s="36">
        <f>+NPV(V38,'Tabla desarrollo FX'!D37:MY37)</f>
        <v>1787.9164492292628</v>
      </c>
      <c r="U38" s="37">
        <f>+Base!AF36</f>
        <v>1784.0306810928951</v>
      </c>
      <c r="V38" s="26">
        <f>+Base!Y36</f>
        <v>5.8028361627453506E-3</v>
      </c>
      <c r="W38" s="26"/>
      <c r="X38" s="20">
        <f>+Base!N36</f>
        <v>2400</v>
      </c>
      <c r="Y38" s="58">
        <f t="shared" si="4"/>
        <v>0.74334611712203957</v>
      </c>
      <c r="Z38" s="68">
        <f>+P38-Base!O36</f>
        <v>-4.2550709486007532E-3</v>
      </c>
      <c r="AA38" s="74">
        <f>+Base!U36</f>
        <v>12.249840000000001</v>
      </c>
      <c r="AB38" s="69">
        <f>+Base!AL36*100</f>
        <v>30.88455733653792</v>
      </c>
      <c r="AC38" s="70">
        <f>+Base!AM36*100</f>
        <v>37.140980008382421</v>
      </c>
      <c r="AD38" s="71" t="str">
        <f>+Base!AG36</f>
        <v>CALLE VICTOR MANUEL SAAVEDRA CAMPOS (DIRIGENTE) 412</v>
      </c>
      <c r="AE38" s="72">
        <v>4103</v>
      </c>
      <c r="AF38" s="73" t="str">
        <f>+Base!AI36</f>
        <v>Cachapoal</v>
      </c>
    </row>
    <row r="39" spans="1:32" ht="15.6" x14ac:dyDescent="0.3">
      <c r="A39" s="16">
        <f>+Base!A37</f>
        <v>36</v>
      </c>
      <c r="B39" s="16" t="str">
        <f>+Base!B37</f>
        <v>202402260088A033</v>
      </c>
      <c r="C39" s="16" t="str">
        <f>+Base!F37</f>
        <v>Parra</v>
      </c>
      <c r="D39" s="16" t="str">
        <f>+Base!G37</f>
        <v>Gálvez</v>
      </c>
      <c r="E39" s="16" t="str">
        <f>+Base!H37</f>
        <v>Angie Marcela</v>
      </c>
      <c r="F39" s="23" t="str">
        <f>+Base!D37</f>
        <v>16377478</v>
      </c>
      <c r="G39" s="23" t="str">
        <f>+Base!E37</f>
        <v>K</v>
      </c>
      <c r="H39" s="24" t="s">
        <v>14</v>
      </c>
      <c r="I39" s="45">
        <f>+Base!T37</f>
        <v>1581.65</v>
      </c>
      <c r="J39" s="112">
        <f>+Base!M37</f>
        <v>700</v>
      </c>
      <c r="K39" s="62">
        <f t="shared" si="0"/>
        <v>43.349999999999909</v>
      </c>
      <c r="L39" s="113">
        <f>+Base!L37</f>
        <v>2325</v>
      </c>
      <c r="M39" s="22">
        <v>15</v>
      </c>
      <c r="N39" s="18">
        <f>+Base!Q37</f>
        <v>360</v>
      </c>
      <c r="O39" s="25">
        <f>+Base!R37+1</f>
        <v>6</v>
      </c>
      <c r="P39" s="26">
        <f>+XIRR('Tabla desarrollo FX'!B38:MY38,'Tabla desarrollo FX'!$B$1:$MY$1)</f>
        <v>7.1644929051399242E-2</v>
      </c>
      <c r="Q39" s="34">
        <f>+Base!AA37</f>
        <v>45545</v>
      </c>
      <c r="R39" s="19">
        <f>+Base!AD37</f>
        <v>56318</v>
      </c>
      <c r="S39" s="19">
        <f t="shared" si="2"/>
        <v>45361</v>
      </c>
      <c r="T39" s="36">
        <f>+NPV(V39,'Tabla desarrollo FX'!D38:MY38)</f>
        <v>1644.1034747812728</v>
      </c>
      <c r="U39" s="37">
        <f>+Base!AF37</f>
        <v>1639.8532047642852</v>
      </c>
      <c r="V39" s="26">
        <f>+Base!Y37</f>
        <v>5.8028361627453506E-3</v>
      </c>
      <c r="W39" s="26"/>
      <c r="X39" s="20">
        <f>+Base!N37</f>
        <v>2600</v>
      </c>
      <c r="Y39" s="58">
        <f t="shared" si="4"/>
        <v>0.63071277106318668</v>
      </c>
      <c r="Z39" s="68">
        <f>+P39-Base!O37</f>
        <v>-4.2550709486007532E-3</v>
      </c>
      <c r="AA39" s="74">
        <f>+Base!U37</f>
        <v>11.264511000000001</v>
      </c>
      <c r="AB39" s="69">
        <f>+Base!AL37*100</f>
        <v>22.315428855601297</v>
      </c>
      <c r="AC39" s="70">
        <f>+Base!AM37*100</f>
        <v>35.014293217429554</v>
      </c>
      <c r="AD39" s="71" t="str">
        <f>+Base!AG37</f>
        <v>PASAJE COPIAPÓ NORTE 070</v>
      </c>
      <c r="AE39" s="72">
        <v>4103</v>
      </c>
      <c r="AF39" s="73" t="str">
        <f>+Base!AI37</f>
        <v>Maipo</v>
      </c>
    </row>
    <row r="40" spans="1:32" ht="15.6" x14ac:dyDescent="0.3">
      <c r="A40" s="16">
        <f>+Base!A38</f>
        <v>37</v>
      </c>
      <c r="B40" s="16" t="str">
        <f>+Base!B38</f>
        <v>202402270089A033</v>
      </c>
      <c r="C40" s="16" t="str">
        <f>+Base!F38</f>
        <v>Cortes</v>
      </c>
      <c r="D40" s="16" t="str">
        <f>+Base!G38</f>
        <v>Rodriguez</v>
      </c>
      <c r="E40" s="16" t="str">
        <f>+Base!H38</f>
        <v>Ruben Alex</v>
      </c>
      <c r="F40" s="23" t="str">
        <f>+Base!D38</f>
        <v>16597475</v>
      </c>
      <c r="G40" s="23" t="str">
        <f>+Base!E38</f>
        <v>1</v>
      </c>
      <c r="H40" s="24" t="s">
        <v>14</v>
      </c>
      <c r="I40" s="45">
        <f>+Base!T38</f>
        <v>1630</v>
      </c>
      <c r="J40" s="112">
        <f>+Base!M38</f>
        <v>375</v>
      </c>
      <c r="K40" s="62">
        <f t="shared" si="0"/>
        <v>95</v>
      </c>
      <c r="L40" s="113">
        <f>+Base!L38</f>
        <v>2100</v>
      </c>
      <c r="M40" s="22">
        <v>16</v>
      </c>
      <c r="N40" s="18">
        <f>+Base!Q38</f>
        <v>360</v>
      </c>
      <c r="O40" s="25">
        <f>+Base!R38+1</f>
        <v>6</v>
      </c>
      <c r="P40" s="26">
        <f>+XIRR('Tabla desarrollo FX'!B39:MY39,'Tabla desarrollo FX'!$B$1:$MY$1)</f>
        <v>7.1644929051399242E-2</v>
      </c>
      <c r="Q40" s="34">
        <f>+Base!AA38</f>
        <v>45545</v>
      </c>
      <c r="R40" s="19">
        <f>+Base!AD38</f>
        <v>56318</v>
      </c>
      <c r="S40" s="19">
        <f t="shared" si="2"/>
        <v>45361</v>
      </c>
      <c r="T40" s="36">
        <f>+NPV(V40,'Tabla desarrollo FX'!D39:MY39)</f>
        <v>1694.3626815370342</v>
      </c>
      <c r="U40" s="37">
        <f>+Base!AF38</f>
        <v>1690.824161959825</v>
      </c>
      <c r="V40" s="26">
        <f>+Base!Y38</f>
        <v>5.8028361627453506E-3</v>
      </c>
      <c r="W40" s="26"/>
      <c r="X40" s="20">
        <f>+Base!N38</f>
        <v>2100</v>
      </c>
      <c r="Y40" s="58">
        <f t="shared" ref="Y40:Y45" si="5">+U40/X40</f>
        <v>0.80515436283801189</v>
      </c>
      <c r="Z40" s="68">
        <f>+P40-Base!O38</f>
        <v>-4.2550709486007532E-3</v>
      </c>
      <c r="AA40" s="74">
        <f>+Base!U38</f>
        <v>11.60886</v>
      </c>
      <c r="AB40" s="69">
        <f>+Base!AL38*100</f>
        <v>25.436078866166508</v>
      </c>
      <c r="AC40" s="70">
        <f>+Base!AM38*100</f>
        <v>35.435235012507718</v>
      </c>
      <c r="AD40" s="71" t="str">
        <f>+Base!AG38</f>
        <v>Alemania  30, Edificio 3</v>
      </c>
      <c r="AE40" s="72">
        <v>4103</v>
      </c>
      <c r="AF40" s="73" t="str">
        <f>+Base!AI38</f>
        <v>Valparaíso</v>
      </c>
    </row>
    <row r="41" spans="1:32" ht="15.6" x14ac:dyDescent="0.3">
      <c r="A41" s="16">
        <f>+Base!A39</f>
        <v>38</v>
      </c>
      <c r="B41" s="16" t="str">
        <f>+Base!B39</f>
        <v>202402270090A033</v>
      </c>
      <c r="C41" s="16" t="str">
        <f>+Base!F39</f>
        <v>Morales</v>
      </c>
      <c r="D41" s="16" t="str">
        <f>+Base!G39</f>
        <v>Sanchez</v>
      </c>
      <c r="E41" s="16" t="str">
        <f>+Base!H39</f>
        <v>Ivonne Arlette</v>
      </c>
      <c r="F41" s="23" t="str">
        <f>+Base!D39</f>
        <v>12406726</v>
      </c>
      <c r="G41" s="23" t="str">
        <f>+Base!E39</f>
        <v>K</v>
      </c>
      <c r="H41" s="24" t="s">
        <v>14</v>
      </c>
      <c r="I41" s="45">
        <f>+Base!T39</f>
        <v>896</v>
      </c>
      <c r="J41" s="112">
        <f>+Base!M39</f>
        <v>450</v>
      </c>
      <c r="K41" s="62">
        <f t="shared" si="0"/>
        <v>54</v>
      </c>
      <c r="L41" s="113">
        <f>+Base!L39</f>
        <v>1400</v>
      </c>
      <c r="M41" s="22">
        <v>17</v>
      </c>
      <c r="N41" s="18">
        <f>+Base!Q39</f>
        <v>336</v>
      </c>
      <c r="O41" s="25">
        <f>+Base!R39+1</f>
        <v>6</v>
      </c>
      <c r="P41" s="26">
        <f>+XIRR('Tabla desarrollo FX'!B40:MY40,'Tabla desarrollo FX'!$B$1:$MY$1)</f>
        <v>7.1636638045310994E-2</v>
      </c>
      <c r="Q41" s="34">
        <f>+Base!AA39</f>
        <v>45545</v>
      </c>
      <c r="R41" s="19">
        <f>+Base!AD39</f>
        <v>55588</v>
      </c>
      <c r="S41" s="19">
        <f t="shared" si="2"/>
        <v>45361</v>
      </c>
      <c r="T41" s="36">
        <f>+NPV(V41,'Tabla desarrollo FX'!D40:MY40)</f>
        <v>929.98200725177469</v>
      </c>
      <c r="U41" s="37">
        <f>+Base!AF39</f>
        <v>927.26286849739279</v>
      </c>
      <c r="V41" s="26">
        <f>+Base!Y39</f>
        <v>5.8028361627453506E-3</v>
      </c>
      <c r="W41" s="26"/>
      <c r="X41" s="20">
        <f>+Base!N39</f>
        <v>1400</v>
      </c>
      <c r="Y41" s="58">
        <f t="shared" si="5"/>
        <v>0.66233062035528056</v>
      </c>
      <c r="Z41" s="68">
        <f>+P41-Base!O39</f>
        <v>-4.2633619546890017E-3</v>
      </c>
      <c r="AA41" s="74">
        <f>+Base!U39</f>
        <v>6.5148159999999997</v>
      </c>
      <c r="AB41" s="69">
        <f>+Base!AL39*100</f>
        <v>18.231277789618126</v>
      </c>
      <c r="AC41" s="70">
        <f>+Base!AM39*100</f>
        <v>30.271257449974936</v>
      </c>
      <c r="AD41" s="71" t="str">
        <f>+Base!AG39</f>
        <v>PASAJE EXEQUIEL SANCHEZ BALMACEDA (PROFESOR)  1708</v>
      </c>
      <c r="AE41" s="72">
        <v>4103</v>
      </c>
      <c r="AF41" s="73" t="str">
        <f>+Base!AI39</f>
        <v>Cachapoal</v>
      </c>
    </row>
    <row r="42" spans="1:32" ht="15.6" x14ac:dyDescent="0.3">
      <c r="A42" s="16">
        <f>+Base!A40</f>
        <v>39</v>
      </c>
      <c r="B42" s="16" t="str">
        <f>+Base!B40</f>
        <v>202402280091A033</v>
      </c>
      <c r="C42" s="16" t="str">
        <f>+Base!F40</f>
        <v>Aguilera</v>
      </c>
      <c r="D42" s="16" t="str">
        <f>+Base!G40</f>
        <v>Benedetti</v>
      </c>
      <c r="E42" s="16" t="str">
        <f>+Base!H40</f>
        <v>Natalia Pamela</v>
      </c>
      <c r="F42" s="23" t="str">
        <f>+Base!D40</f>
        <v>18452074</v>
      </c>
      <c r="G42" s="23" t="str">
        <f>+Base!E40</f>
        <v>5</v>
      </c>
      <c r="H42" s="24" t="s">
        <v>14</v>
      </c>
      <c r="I42" s="45">
        <f>+Base!T40</f>
        <v>860</v>
      </c>
      <c r="J42" s="112">
        <f>+Base!M40</f>
        <v>500</v>
      </c>
      <c r="K42" s="62">
        <f t="shared" si="0"/>
        <v>40</v>
      </c>
      <c r="L42" s="113">
        <f>+Base!L40</f>
        <v>1400</v>
      </c>
      <c r="M42" s="22">
        <v>18</v>
      </c>
      <c r="N42" s="18">
        <f>+Base!Q40</f>
        <v>360</v>
      </c>
      <c r="O42" s="25">
        <f>+Base!R40+1</f>
        <v>6</v>
      </c>
      <c r="P42" s="26">
        <f>+XIRR('Tabla desarrollo FX'!B41:MY41,'Tabla desarrollo FX'!$B$1:$MY$1)</f>
        <v>7.1644929051399242E-2</v>
      </c>
      <c r="Q42" s="34">
        <f>+Base!AA40</f>
        <v>45545</v>
      </c>
      <c r="R42" s="19">
        <f>+Base!AD40</f>
        <v>56318</v>
      </c>
      <c r="S42" s="19">
        <f t="shared" si="2"/>
        <v>45361</v>
      </c>
      <c r="T42" s="36">
        <f>+NPV(V42,'Tabla desarrollo FX'!D41:MY41)</f>
        <v>893.95822461463138</v>
      </c>
      <c r="U42" s="37">
        <f>+Base!AF40</f>
        <v>891.28842557426674</v>
      </c>
      <c r="V42" s="26">
        <f>+Base!Y40</f>
        <v>5.8028361627453506E-3</v>
      </c>
      <c r="W42" s="26"/>
      <c r="X42" s="20">
        <f>+Base!N40</f>
        <v>1400</v>
      </c>
      <c r="Y42" s="58">
        <f t="shared" si="5"/>
        <v>0.63663458969590481</v>
      </c>
      <c r="Z42" s="68">
        <f>+P42-Base!O40</f>
        <v>-4.2550709486007532E-3</v>
      </c>
      <c r="AA42" s="74">
        <f>+Base!U40</f>
        <v>6.1249200000000004</v>
      </c>
      <c r="AB42" s="69">
        <f>+Base!AL40*100</f>
        <v>9.1882356133504928</v>
      </c>
      <c r="AC42" s="70">
        <f>+Base!AM40*100</f>
        <v>25.231874201357673</v>
      </c>
      <c r="AD42" s="71" t="str">
        <f>+Base!AG40</f>
        <v>Camino  Las Rosas 518, Edificio 12</v>
      </c>
      <c r="AE42" s="72">
        <v>4103</v>
      </c>
      <c r="AF42" s="73" t="str">
        <f>+Base!AI40</f>
        <v>Diguillín</v>
      </c>
    </row>
    <row r="43" spans="1:32" ht="15.6" x14ac:dyDescent="0.3">
      <c r="A43" s="16">
        <f>+Base!A41</f>
        <v>40</v>
      </c>
      <c r="B43" s="16" t="str">
        <f>+Base!B41</f>
        <v>202402240093A033</v>
      </c>
      <c r="C43" s="16" t="str">
        <f>+Base!F41</f>
        <v>Perez</v>
      </c>
      <c r="D43" s="16" t="str">
        <f>+Base!G41</f>
        <v>Avalos</v>
      </c>
      <c r="E43" s="16" t="str">
        <f>+Base!H41</f>
        <v>Belen Del Carmen</v>
      </c>
      <c r="F43" s="23" t="str">
        <f>+Base!D41</f>
        <v>20614987</v>
      </c>
      <c r="G43" s="23" t="str">
        <f>+Base!E41</f>
        <v>6</v>
      </c>
      <c r="H43" s="24" t="s">
        <v>14</v>
      </c>
      <c r="I43" s="45">
        <f>+Base!T41</f>
        <v>1210</v>
      </c>
      <c r="J43" s="112">
        <f>+Base!M41</f>
        <v>700</v>
      </c>
      <c r="K43" s="62">
        <f t="shared" si="0"/>
        <v>80</v>
      </c>
      <c r="L43" s="113">
        <f>+Base!L41</f>
        <v>1990</v>
      </c>
      <c r="M43" s="22">
        <v>19</v>
      </c>
      <c r="N43" s="18">
        <f>+Base!Q41</f>
        <v>360</v>
      </c>
      <c r="O43" s="25">
        <f>+Base!R41+1</f>
        <v>6</v>
      </c>
      <c r="P43" s="26">
        <f>+XIRR('Tabla desarrollo FX'!B42:MY42,'Tabla desarrollo FX'!$B$1:$MY$1)</f>
        <v>7.1644929051399242E-2</v>
      </c>
      <c r="Q43" s="34">
        <f>+Base!AA41</f>
        <v>45545</v>
      </c>
      <c r="R43" s="19">
        <f>+Base!AD41</f>
        <v>56318</v>
      </c>
      <c r="S43" s="19">
        <f t="shared" si="2"/>
        <v>45361</v>
      </c>
      <c r="T43" s="36">
        <f>+NPV(V43,'Tabla desarrollo FX'!D42:MY42)</f>
        <v>1257.7784323066335</v>
      </c>
      <c r="U43" s="37">
        <f>+Base!AF41</f>
        <v>1255.3753821709836</v>
      </c>
      <c r="V43" s="26">
        <f>+Base!Y41</f>
        <v>5.8028361627453506E-3</v>
      </c>
      <c r="W43" s="26"/>
      <c r="X43" s="20">
        <f>+Base!N41</f>
        <v>2200</v>
      </c>
      <c r="Y43" s="58">
        <f t="shared" si="5"/>
        <v>0.5706251737140835</v>
      </c>
      <c r="Z43" s="68">
        <f>+P43-Base!O41</f>
        <v>-4.2550709486007532E-3</v>
      </c>
      <c r="AA43" s="74">
        <f>+Base!U41</f>
        <v>8.6176200000000005</v>
      </c>
      <c r="AB43" s="69">
        <f>+Base!AL41*100</f>
        <v>26.4641270854857</v>
      </c>
      <c r="AC43" s="70">
        <f>+Base!AM41*100</f>
        <v>50.420420838147727</v>
      </c>
      <c r="AD43" s="71" t="str">
        <f>+Base!AG41</f>
        <v>Matta Vial  635</v>
      </c>
      <c r="AE43" s="72">
        <v>4103</v>
      </c>
      <c r="AF43" s="73" t="str">
        <f>+Base!AI41</f>
        <v>Santiago</v>
      </c>
    </row>
    <row r="44" spans="1:32" ht="15.6" x14ac:dyDescent="0.3">
      <c r="A44" s="16">
        <f>+Base!A42</f>
        <v>41</v>
      </c>
      <c r="B44" s="16" t="str">
        <f>+Base!B42</f>
        <v>202402270094A033</v>
      </c>
      <c r="C44" s="16" t="str">
        <f>+Base!F42</f>
        <v>Lopez</v>
      </c>
      <c r="D44" s="16" t="str">
        <f>+Base!G42</f>
        <v>Tineo</v>
      </c>
      <c r="E44" s="16" t="str">
        <f>+Base!H42</f>
        <v>Hector</v>
      </c>
      <c r="F44" s="23" t="str">
        <f>+Base!D42</f>
        <v>22607181</v>
      </c>
      <c r="G44" s="23" t="str">
        <f>+Base!E42</f>
        <v>4</v>
      </c>
      <c r="H44" s="24" t="s">
        <v>14</v>
      </c>
      <c r="I44" s="45">
        <f>+Base!T42</f>
        <v>1720</v>
      </c>
      <c r="J44" s="112">
        <f>+Base!M42</f>
        <v>600</v>
      </c>
      <c r="K44" s="62">
        <f t="shared" si="0"/>
        <v>80</v>
      </c>
      <c r="L44" s="113">
        <f>+Base!L42</f>
        <v>2400</v>
      </c>
      <c r="M44" s="22">
        <v>20</v>
      </c>
      <c r="N44" s="18">
        <f>+Base!Q42</f>
        <v>360</v>
      </c>
      <c r="O44" s="25">
        <f>+Base!R42+1</f>
        <v>6</v>
      </c>
      <c r="P44" s="26">
        <f>+XIRR('Tabla desarrollo FX'!B43:MY43,'Tabla desarrollo FX'!$B$1:$MY$1)</f>
        <v>7.1644929051399242E-2</v>
      </c>
      <c r="Q44" s="34">
        <f>+Base!AA42</f>
        <v>45545</v>
      </c>
      <c r="R44" s="19">
        <f>+Base!AD42</f>
        <v>56318</v>
      </c>
      <c r="S44" s="19">
        <f t="shared" si="2"/>
        <v>45361</v>
      </c>
      <c r="T44" s="36">
        <f>+NPV(V44,'Tabla desarrollo FX'!D43:MY43)</f>
        <v>1787.9164492292628</v>
      </c>
      <c r="U44" s="37">
        <f>+Base!AF42</f>
        <v>1784.0306810928951</v>
      </c>
      <c r="V44" s="26">
        <f>+Base!Y42</f>
        <v>5.8028361627453506E-3</v>
      </c>
      <c r="W44" s="26"/>
      <c r="X44" s="20">
        <f>+Base!N42</f>
        <v>2400</v>
      </c>
      <c r="Y44" s="58">
        <f t="shared" si="5"/>
        <v>0.74334611712203957</v>
      </c>
      <c r="Z44" s="68">
        <f>+P44-Base!O42</f>
        <v>-4.2550709486007532E-3</v>
      </c>
      <c r="AA44" s="74">
        <f>+Base!U42</f>
        <v>12.249840000000001</v>
      </c>
      <c r="AB44" s="69">
        <f>+Base!AL42*100</f>
        <v>25.32460763901987</v>
      </c>
      <c r="AC44" s="70">
        <f>+Base!AM42*100</f>
        <v>31.799541630666507</v>
      </c>
      <c r="AD44" s="71" t="str">
        <f>+Base!AG42</f>
        <v>PASAJE AGUSTO SANCHEZ BALMACEDA (PROFESOR)  1709</v>
      </c>
      <c r="AE44" s="72">
        <v>4103</v>
      </c>
      <c r="AF44" s="73" t="str">
        <f>+Base!AI42</f>
        <v>Cachapoal</v>
      </c>
    </row>
    <row r="45" spans="1:32" ht="15.6" x14ac:dyDescent="0.3">
      <c r="A45" s="16">
        <f>+Base!A43</f>
        <v>42</v>
      </c>
      <c r="B45" s="16" t="str">
        <f>+Base!B43</f>
        <v>202402260095A033</v>
      </c>
      <c r="C45" s="16" t="str">
        <f>+Base!F43</f>
        <v>Espinoza</v>
      </c>
      <c r="D45" s="16" t="str">
        <f>+Base!G43</f>
        <v>Huerta</v>
      </c>
      <c r="E45" s="16" t="str">
        <f>+Base!H43</f>
        <v>Daniela Mackarena</v>
      </c>
      <c r="F45" s="23" t="str">
        <f>+Base!D43</f>
        <v>18916005</v>
      </c>
      <c r="G45" s="23" t="str">
        <f>+Base!E43</f>
        <v>4</v>
      </c>
      <c r="H45" s="24" t="s">
        <v>14</v>
      </c>
      <c r="I45" s="45">
        <f>+Base!T43</f>
        <v>1365</v>
      </c>
      <c r="J45" s="112">
        <f>+Base!M43</f>
        <v>425</v>
      </c>
      <c r="K45" s="62">
        <f t="shared" si="0"/>
        <v>80</v>
      </c>
      <c r="L45" s="113">
        <f>+Base!L43</f>
        <v>1870</v>
      </c>
      <c r="M45" s="22">
        <v>21</v>
      </c>
      <c r="N45" s="18">
        <f>+Base!Q43</f>
        <v>216</v>
      </c>
      <c r="O45" s="25">
        <f>+Base!R43+1</f>
        <v>6</v>
      </c>
      <c r="P45" s="26">
        <f>+XIRR('Tabla desarrollo FX'!B44:MY44,'Tabla desarrollo FX'!$B$1:$MY$1)</f>
        <v>7.156318128108978E-2</v>
      </c>
      <c r="Q45" s="34">
        <f>+Base!AA43</f>
        <v>45545</v>
      </c>
      <c r="R45" s="19">
        <f>+Base!AD43</f>
        <v>51935</v>
      </c>
      <c r="S45" s="19">
        <f t="shared" si="2"/>
        <v>45361</v>
      </c>
      <c r="T45" s="36">
        <f>+NPV(V45,'Tabla desarrollo FX'!D44:MY44)</f>
        <v>1403.4494390969157</v>
      </c>
      <c r="U45" s="37">
        <f>+Base!AF43</f>
        <v>1400.3211209369808</v>
      </c>
      <c r="V45" s="26">
        <f>+Base!Y43</f>
        <v>5.8028361627453506E-3</v>
      </c>
      <c r="W45" s="26"/>
      <c r="X45" s="20">
        <f>+Base!N43</f>
        <v>2100</v>
      </c>
      <c r="Y45" s="58">
        <f t="shared" si="5"/>
        <v>0.66681958139856234</v>
      </c>
      <c r="Z45" s="68">
        <f>+P45-Base!O43</f>
        <v>-4.3368187189102153E-3</v>
      </c>
      <c r="AA45" s="74">
        <f>+Base!U43</f>
        <v>11.890515000000001</v>
      </c>
      <c r="AB45" s="69">
        <f>+Base!AL43*100</f>
        <v>21.950803105350179</v>
      </c>
      <c r="AC45" s="70">
        <f>+Base!AM43*100</f>
        <v>34.815282651415032</v>
      </c>
      <c r="AD45" s="71" t="str">
        <f>+Base!AG43</f>
        <v>San Enrique 1398, Edificio 2</v>
      </c>
      <c r="AE45" s="72">
        <v>4103</v>
      </c>
      <c r="AF45" s="73" t="str">
        <f>+Base!AI43</f>
        <v>Marga Marga</v>
      </c>
    </row>
    <row r="46" spans="1:32" x14ac:dyDescent="0.25">
      <c r="A46" s="79"/>
    </row>
    <row r="47" spans="1:32" x14ac:dyDescent="0.25">
      <c r="A47" s="79"/>
    </row>
  </sheetData>
  <autoFilter ref="A3:BFW24" xr:uid="{00000000-0009-0000-0000-000000000000}"/>
  <mergeCells count="12">
    <mergeCell ref="Z2:Z3"/>
    <mergeCell ref="AA2:AA3"/>
    <mergeCell ref="AB2:AB3"/>
    <mergeCell ref="AC2:AC3"/>
    <mergeCell ref="Y2:Y3"/>
    <mergeCell ref="X2:X3"/>
    <mergeCell ref="I2:I3"/>
    <mergeCell ref="P2:P3"/>
    <mergeCell ref="Q2:Q3"/>
    <mergeCell ref="R2:R3"/>
    <mergeCell ref="S2:S3"/>
    <mergeCell ref="V2:V3"/>
  </mergeCells>
  <phoneticPr fontId="22" type="noConversion"/>
  <pageMargins left="0.31496062992125984" right="0.19685039370078741" top="0.74803149606299213" bottom="0.74803149606299213" header="0.31496062992125984" footer="0.31496062992125984"/>
  <pageSetup scale="45" orientation="landscape" horizontalDpi="300" verticalDpi="300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82A0-AC58-4687-AA48-54828DABF785}">
  <dimension ref="A1:BFA45"/>
  <sheetViews>
    <sheetView workbookViewId="0">
      <selection activeCell="H5" sqref="H5"/>
    </sheetView>
  </sheetViews>
  <sheetFormatPr defaultColWidth="11.44140625" defaultRowHeight="13.2" x14ac:dyDescent="0.25"/>
  <cols>
    <col min="1" max="1" width="8" style="79" bestFit="1" customWidth="1"/>
    <col min="2" max="2" width="17.33203125" style="79" bestFit="1" customWidth="1"/>
    <col min="3" max="3" width="19.6640625" style="79" bestFit="1" customWidth="1"/>
    <col min="4" max="4" width="20.33203125" style="79" bestFit="1" customWidth="1"/>
    <col min="5" max="5" width="19.44140625" style="79" bestFit="1" customWidth="1"/>
    <col min="6" max="6" width="13" style="79" customWidth="1"/>
    <col min="7" max="7" width="3.88671875" style="79" customWidth="1"/>
    <col min="8" max="8" width="10.5546875" style="79" customWidth="1"/>
    <col min="9" max="13" width="12.6640625" style="79" customWidth="1"/>
    <col min="14" max="14" width="10" style="1" customWidth="1"/>
    <col min="15" max="15" width="27.109375" style="54" bestFit="1" customWidth="1"/>
    <col min="16" max="16" width="11.109375" style="79" customWidth="1"/>
    <col min="17" max="17" width="14.109375" style="35" bestFit="1" customWidth="1"/>
    <col min="18" max="18" width="11.44140625" style="79" customWidth="1"/>
    <col min="19" max="19" width="12.33203125" style="79" customWidth="1"/>
    <col min="20" max="20" width="17" style="79" customWidth="1"/>
    <col min="21" max="21" width="18.6640625" style="79" customWidth="1"/>
    <col min="22" max="23" width="11.109375" style="79" customWidth="1"/>
    <col min="24" max="24" width="11.44140625" style="6"/>
    <col min="25" max="25" width="13" style="6" customWidth="1"/>
    <col min="26" max="26" width="12.44140625" style="63" customWidth="1"/>
    <col min="27" max="27" width="15.109375" style="64" customWidth="1"/>
    <col min="28" max="28" width="15.5546875" style="64" bestFit="1" customWidth="1"/>
    <col min="29" max="29" width="9.44140625" style="64" customWidth="1"/>
    <col min="30" max="30" width="59.5546875" style="64" customWidth="1"/>
    <col min="31" max="31" width="26.5546875" style="65" bestFit="1" customWidth="1"/>
    <col min="32" max="32" width="19.5546875" style="64" customWidth="1"/>
    <col min="33" max="1509" width="11.44140625" style="6"/>
    <col min="1510" max="16384" width="11.44140625" style="79"/>
  </cols>
  <sheetData>
    <row r="1" spans="1:32" ht="14.4" x14ac:dyDescent="0.3">
      <c r="D1" s="1"/>
      <c r="E1" s="1"/>
      <c r="F1" s="1"/>
      <c r="G1" s="1"/>
      <c r="H1" s="1"/>
      <c r="I1" s="1"/>
      <c r="J1" s="1"/>
      <c r="K1" s="1"/>
      <c r="L1" s="1"/>
      <c r="M1" s="1"/>
      <c r="O1" s="52"/>
      <c r="P1" s="52"/>
      <c r="Q1" s="52"/>
      <c r="R1" s="52"/>
      <c r="S1" s="5"/>
      <c r="U1" s="115">
        <f>+SUM(U4:U45)</f>
        <v>62799.219180190019</v>
      </c>
      <c r="V1" s="116">
        <v>1</v>
      </c>
      <c r="W1" s="116"/>
      <c r="X1" s="116">
        <v>1</v>
      </c>
      <c r="Y1" s="116"/>
      <c r="Z1" s="116"/>
      <c r="AA1" s="116"/>
      <c r="AB1" s="116"/>
      <c r="AC1" s="116"/>
      <c r="AD1" s="116"/>
      <c r="AE1" s="116"/>
    </row>
    <row r="2" spans="1:32" x14ac:dyDescent="0.25">
      <c r="A2" s="9"/>
      <c r="B2" s="9"/>
      <c r="C2" s="9"/>
      <c r="D2" s="9"/>
      <c r="E2" s="9"/>
      <c r="F2" s="9"/>
      <c r="G2" s="9"/>
      <c r="H2" s="9"/>
      <c r="I2" s="117" t="s">
        <v>1</v>
      </c>
      <c r="J2" s="76"/>
      <c r="K2" s="76"/>
      <c r="L2" s="76"/>
      <c r="M2" s="76"/>
      <c r="N2" s="17"/>
      <c r="O2" s="53"/>
      <c r="P2" s="117" t="s">
        <v>183</v>
      </c>
      <c r="Q2" s="118" t="s">
        <v>47</v>
      </c>
      <c r="R2" s="117" t="s">
        <v>2</v>
      </c>
      <c r="S2" s="117" t="s">
        <v>3</v>
      </c>
      <c r="T2" s="2"/>
      <c r="U2" s="2" t="s">
        <v>12</v>
      </c>
      <c r="V2" s="117" t="s">
        <v>32</v>
      </c>
      <c r="W2" s="76"/>
      <c r="X2" s="117" t="s">
        <v>9</v>
      </c>
      <c r="Y2" s="117" t="s">
        <v>11</v>
      </c>
      <c r="Z2" s="119" t="s">
        <v>188</v>
      </c>
      <c r="AA2" s="120" t="s">
        <v>189</v>
      </c>
      <c r="AB2" s="120" t="s">
        <v>159</v>
      </c>
      <c r="AC2" s="121" t="s">
        <v>190</v>
      </c>
      <c r="AD2" s="66"/>
      <c r="AE2" s="67"/>
      <c r="AF2" s="66"/>
    </row>
    <row r="3" spans="1:32" ht="24" customHeight="1" x14ac:dyDescent="0.25">
      <c r="A3" s="11" t="s">
        <v>0</v>
      </c>
      <c r="B3" s="40" t="s">
        <v>139</v>
      </c>
      <c r="C3" s="12" t="s">
        <v>17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13</v>
      </c>
      <c r="I3" s="117"/>
      <c r="J3" s="76" t="s">
        <v>10</v>
      </c>
      <c r="K3" s="76" t="s">
        <v>158</v>
      </c>
      <c r="L3" s="61" t="s">
        <v>185</v>
      </c>
      <c r="M3" s="76" t="s">
        <v>186</v>
      </c>
      <c r="N3" s="10" t="s">
        <v>4</v>
      </c>
      <c r="O3" s="53" t="s">
        <v>135</v>
      </c>
      <c r="P3" s="117"/>
      <c r="Q3" s="118"/>
      <c r="R3" s="117"/>
      <c r="S3" s="117"/>
      <c r="T3" s="4">
        <v>45332</v>
      </c>
      <c r="U3" s="4">
        <v>45351</v>
      </c>
      <c r="V3" s="117"/>
      <c r="W3" s="76" t="s">
        <v>187</v>
      </c>
      <c r="X3" s="117"/>
      <c r="Y3" s="117"/>
      <c r="Z3" s="119"/>
      <c r="AA3" s="120"/>
      <c r="AB3" s="120"/>
      <c r="AC3" s="121"/>
      <c r="AD3" s="66" t="s">
        <v>191</v>
      </c>
      <c r="AE3" s="67" t="s">
        <v>192</v>
      </c>
      <c r="AF3" s="66" t="s">
        <v>40</v>
      </c>
    </row>
    <row r="4" spans="1:32" ht="15" customHeight="1" x14ac:dyDescent="0.3">
      <c r="A4" s="16">
        <v>1</v>
      </c>
      <c r="B4" s="16" t="s">
        <v>193</v>
      </c>
      <c r="C4" s="16" t="s">
        <v>298</v>
      </c>
      <c r="D4" s="16" t="s">
        <v>274</v>
      </c>
      <c r="E4" s="16" t="s">
        <v>299</v>
      </c>
      <c r="F4" s="23" t="s">
        <v>438</v>
      </c>
      <c r="G4" s="23" t="s">
        <v>439</v>
      </c>
      <c r="H4" s="24" t="s">
        <v>14</v>
      </c>
      <c r="I4" s="45">
        <v>1745</v>
      </c>
      <c r="J4" s="112">
        <v>375</v>
      </c>
      <c r="K4" s="62">
        <v>80</v>
      </c>
      <c r="L4" s="113">
        <v>2200</v>
      </c>
      <c r="M4" s="22">
        <v>0</v>
      </c>
      <c r="N4" s="18">
        <v>360</v>
      </c>
      <c r="O4" s="25">
        <v>6</v>
      </c>
      <c r="P4" s="26">
        <v>7.4653056263923642E-2</v>
      </c>
      <c r="Q4" s="34">
        <v>45514</v>
      </c>
      <c r="R4" s="19">
        <v>56290</v>
      </c>
      <c r="S4" s="19">
        <v>45332</v>
      </c>
      <c r="T4" s="36">
        <v>1812.9051373715376</v>
      </c>
      <c r="U4" s="37">
        <v>1819.27487880546</v>
      </c>
      <c r="V4" s="26">
        <v>5.9903111399197684E-3</v>
      </c>
      <c r="W4" s="26"/>
      <c r="X4" s="20">
        <v>2400</v>
      </c>
      <c r="Y4" s="58">
        <v>0.75803119950227504</v>
      </c>
      <c r="Z4" s="68">
        <v>-3.6469437360763524E-3</v>
      </c>
      <c r="AA4" s="74">
        <v>12.71407</v>
      </c>
      <c r="AB4" s="69">
        <v>25.258540577035799</v>
      </c>
      <c r="AC4" s="70">
        <v>48.488598948050672</v>
      </c>
      <c r="AD4" s="71" t="s">
        <v>300</v>
      </c>
      <c r="AE4" s="72">
        <v>4103</v>
      </c>
      <c r="AF4" s="73" t="s">
        <v>136</v>
      </c>
    </row>
    <row r="5" spans="1:32" ht="15" customHeight="1" x14ac:dyDescent="0.3">
      <c r="A5" s="16">
        <v>2</v>
      </c>
      <c r="B5" s="16" t="s">
        <v>195</v>
      </c>
      <c r="C5" s="16" t="s">
        <v>233</v>
      </c>
      <c r="D5" s="16" t="s">
        <v>234</v>
      </c>
      <c r="E5" s="16" t="s">
        <v>235</v>
      </c>
      <c r="F5" s="23" t="s">
        <v>440</v>
      </c>
      <c r="G5" s="23" t="s">
        <v>441</v>
      </c>
      <c r="H5" s="24" t="s">
        <v>14</v>
      </c>
      <c r="I5" s="45">
        <v>1760</v>
      </c>
      <c r="J5" s="112">
        <v>325</v>
      </c>
      <c r="K5" s="62">
        <v>115</v>
      </c>
      <c r="L5" s="113">
        <v>2200</v>
      </c>
      <c r="M5" s="22">
        <v>0</v>
      </c>
      <c r="N5" s="18">
        <v>360</v>
      </c>
      <c r="O5" s="25">
        <v>6</v>
      </c>
      <c r="P5" s="26">
        <v>7.4653056263923642E-2</v>
      </c>
      <c r="Q5" s="34">
        <v>45514</v>
      </c>
      <c r="R5" s="19">
        <v>56290</v>
      </c>
      <c r="S5" s="19">
        <v>45332</v>
      </c>
      <c r="T5" s="36">
        <v>1828.4888491541028</v>
      </c>
      <c r="U5" s="37">
        <v>1835.0200966732466</v>
      </c>
      <c r="V5" s="26">
        <v>5.9903111399197684E-3</v>
      </c>
      <c r="W5" s="26"/>
      <c r="X5" s="20">
        <v>2650</v>
      </c>
      <c r="Y5" s="58">
        <v>0.69246041383896095</v>
      </c>
      <c r="Z5" s="68">
        <v>-3.6469437360763524E-3</v>
      </c>
      <c r="AA5" s="74">
        <v>12.823359999999999</v>
      </c>
      <c r="AB5" s="69">
        <v>28.239147486683812</v>
      </c>
      <c r="AC5" s="70">
        <v>48.306333456452947</v>
      </c>
      <c r="AD5" s="71" t="s">
        <v>236</v>
      </c>
      <c r="AE5" s="72">
        <v>4103</v>
      </c>
      <c r="AF5" s="73" t="s">
        <v>161</v>
      </c>
    </row>
    <row r="6" spans="1:32" ht="15" customHeight="1" x14ac:dyDescent="0.3">
      <c r="A6" s="16">
        <v>3</v>
      </c>
      <c r="B6" s="16" t="s">
        <v>197</v>
      </c>
      <c r="C6" s="16" t="s">
        <v>237</v>
      </c>
      <c r="D6" s="16" t="s">
        <v>146</v>
      </c>
      <c r="E6" s="16" t="s">
        <v>238</v>
      </c>
      <c r="F6" s="23" t="s">
        <v>442</v>
      </c>
      <c r="G6" s="23" t="s">
        <v>441</v>
      </c>
      <c r="H6" s="24" t="s">
        <v>14</v>
      </c>
      <c r="I6" s="45">
        <v>1485</v>
      </c>
      <c r="J6" s="112">
        <v>625</v>
      </c>
      <c r="K6" s="62">
        <v>90</v>
      </c>
      <c r="L6" s="113">
        <v>2200</v>
      </c>
      <c r="M6" s="22">
        <v>0</v>
      </c>
      <c r="N6" s="18">
        <v>216</v>
      </c>
      <c r="O6" s="25">
        <v>6</v>
      </c>
      <c r="P6" s="26">
        <v>7.4813303351402294E-2</v>
      </c>
      <c r="Q6" s="34">
        <v>45514</v>
      </c>
      <c r="R6" s="19">
        <v>51907</v>
      </c>
      <c r="S6" s="19">
        <v>45332</v>
      </c>
      <c r="T6" s="36">
        <v>1526.4502045568254</v>
      </c>
      <c r="U6" s="37">
        <v>1532.1686056029573</v>
      </c>
      <c r="V6" s="26">
        <v>5.9903111399197684E-3</v>
      </c>
      <c r="W6" s="26"/>
      <c r="X6" s="20">
        <v>2200</v>
      </c>
      <c r="Y6" s="58">
        <v>0.69644027527407149</v>
      </c>
      <c r="Z6" s="68">
        <v>-3.4866966485977008E-3</v>
      </c>
      <c r="AA6" s="74">
        <v>13.151160000000001</v>
      </c>
      <c r="AB6" s="69">
        <v>13.614763743233906</v>
      </c>
      <c r="AC6" s="70">
        <v>27.305764260271321</v>
      </c>
      <c r="AD6" s="71" t="s">
        <v>239</v>
      </c>
      <c r="AE6" s="72">
        <v>4103</v>
      </c>
      <c r="AF6" s="73" t="s">
        <v>51</v>
      </c>
    </row>
    <row r="7" spans="1:32" ht="15" customHeight="1" x14ac:dyDescent="0.3">
      <c r="A7" s="16">
        <v>4</v>
      </c>
      <c r="B7" s="16" t="s">
        <v>199</v>
      </c>
      <c r="C7" s="16" t="s">
        <v>241</v>
      </c>
      <c r="D7" s="16" t="s">
        <v>242</v>
      </c>
      <c r="E7" s="16" t="s">
        <v>243</v>
      </c>
      <c r="F7" s="23" t="s">
        <v>443</v>
      </c>
      <c r="G7" s="23" t="s">
        <v>444</v>
      </c>
      <c r="H7" s="24" t="s">
        <v>14</v>
      </c>
      <c r="I7" s="45">
        <v>1506.34</v>
      </c>
      <c r="J7" s="112">
        <v>700</v>
      </c>
      <c r="K7" s="62">
        <v>193.66000000000008</v>
      </c>
      <c r="L7" s="113">
        <v>2400</v>
      </c>
      <c r="M7" s="22">
        <v>0</v>
      </c>
      <c r="N7" s="18">
        <v>360</v>
      </c>
      <c r="O7" s="25">
        <v>6</v>
      </c>
      <c r="P7" s="26">
        <v>7.4653056263923642E-2</v>
      </c>
      <c r="Q7" s="34">
        <v>45514</v>
      </c>
      <c r="R7" s="19">
        <v>56290</v>
      </c>
      <c r="S7" s="19">
        <v>45332</v>
      </c>
      <c r="T7" s="36">
        <v>1564.9578596318715</v>
      </c>
      <c r="U7" s="37">
        <v>1571.6463921709783</v>
      </c>
      <c r="V7" s="26">
        <v>5.9903111399197684E-3</v>
      </c>
      <c r="W7" s="26"/>
      <c r="X7" s="20">
        <v>2600</v>
      </c>
      <c r="Y7" s="58">
        <v>0.60447938160422243</v>
      </c>
      <c r="Z7" s="68">
        <v>-3.6469437360763524E-3</v>
      </c>
      <c r="AA7" s="74">
        <v>10.975193000000001</v>
      </c>
      <c r="AB7" s="69">
        <v>40.079904400431914</v>
      </c>
      <c r="AC7" s="70">
        <v>42.389362266109515</v>
      </c>
      <c r="AD7" s="71" t="s">
        <v>244</v>
      </c>
      <c r="AE7" s="72">
        <v>4103</v>
      </c>
      <c r="AF7" s="73" t="s">
        <v>136</v>
      </c>
    </row>
    <row r="8" spans="1:32" ht="15" customHeight="1" x14ac:dyDescent="0.3">
      <c r="A8" s="16">
        <v>5</v>
      </c>
      <c r="B8" s="16" t="s">
        <v>201</v>
      </c>
      <c r="C8" s="16" t="s">
        <v>245</v>
      </c>
      <c r="D8" s="16" t="s">
        <v>148</v>
      </c>
      <c r="E8" s="16" t="s">
        <v>246</v>
      </c>
      <c r="F8" s="23" t="s">
        <v>445</v>
      </c>
      <c r="G8" s="23" t="s">
        <v>441</v>
      </c>
      <c r="H8" s="24" t="s">
        <v>14</v>
      </c>
      <c r="I8" s="45">
        <v>1285</v>
      </c>
      <c r="J8" s="112">
        <v>700</v>
      </c>
      <c r="K8" s="62">
        <v>80</v>
      </c>
      <c r="L8" s="113">
        <v>2065</v>
      </c>
      <c r="M8" s="22">
        <v>0</v>
      </c>
      <c r="N8" s="18">
        <v>360</v>
      </c>
      <c r="O8" s="25">
        <v>6</v>
      </c>
      <c r="P8" s="26">
        <v>7.4653056263923642E-2</v>
      </c>
      <c r="Q8" s="34">
        <v>45514</v>
      </c>
      <c r="R8" s="19">
        <v>56290</v>
      </c>
      <c r="S8" s="19">
        <v>45332</v>
      </c>
      <c r="T8" s="36">
        <v>1335.0046427062612</v>
      </c>
      <c r="U8" s="37">
        <v>1339.7654579412481</v>
      </c>
      <c r="V8" s="26">
        <v>5.9903111399197684E-3</v>
      </c>
      <c r="W8" s="26"/>
      <c r="X8" s="20">
        <v>2440</v>
      </c>
      <c r="Y8" s="58">
        <v>0.54908420407428205</v>
      </c>
      <c r="Z8" s="68">
        <v>-3.6469437360763524E-3</v>
      </c>
      <c r="AA8" s="74">
        <v>9.3625100000000003</v>
      </c>
      <c r="AB8" s="69">
        <v>37.717377582908028</v>
      </c>
      <c r="AC8" s="70">
        <v>39.792268976615745</v>
      </c>
      <c r="AD8" s="71" t="s">
        <v>247</v>
      </c>
      <c r="AE8" s="72">
        <v>4103</v>
      </c>
      <c r="AF8" s="73" t="s">
        <v>136</v>
      </c>
    </row>
    <row r="9" spans="1:32" ht="15" customHeight="1" x14ac:dyDescent="0.3">
      <c r="A9" s="16">
        <v>6</v>
      </c>
      <c r="B9" s="16" t="s">
        <v>203</v>
      </c>
      <c r="C9" s="16" t="s">
        <v>248</v>
      </c>
      <c r="D9" s="16" t="s">
        <v>249</v>
      </c>
      <c r="E9" s="16" t="s">
        <v>250</v>
      </c>
      <c r="F9" s="23" t="s">
        <v>446</v>
      </c>
      <c r="G9" s="23" t="s">
        <v>447</v>
      </c>
      <c r="H9" s="24" t="s">
        <v>14</v>
      </c>
      <c r="I9" s="45">
        <v>905.13</v>
      </c>
      <c r="J9" s="112">
        <v>450</v>
      </c>
      <c r="K9" s="62">
        <v>44.870000000000005</v>
      </c>
      <c r="L9" s="113">
        <v>1400</v>
      </c>
      <c r="M9" s="22">
        <v>0</v>
      </c>
      <c r="N9" s="18">
        <v>180</v>
      </c>
      <c r="O9" s="25">
        <v>6</v>
      </c>
      <c r="P9" s="26">
        <v>7.4896433949470542E-2</v>
      </c>
      <c r="Q9" s="34">
        <v>45514</v>
      </c>
      <c r="R9" s="19">
        <v>50811</v>
      </c>
      <c r="S9" s="19">
        <v>45332</v>
      </c>
      <c r="T9" s="36">
        <v>927.16530053151769</v>
      </c>
      <c r="U9" s="37">
        <v>931.14903457191394</v>
      </c>
      <c r="V9" s="26">
        <v>5.9903111399197684E-3</v>
      </c>
      <c r="W9" s="26"/>
      <c r="X9" s="20">
        <v>1400</v>
      </c>
      <c r="Y9" s="58">
        <v>0.66510645326565276</v>
      </c>
      <c r="Z9" s="68">
        <v>-3.4035660505294524E-3</v>
      </c>
      <c r="AA9" s="74">
        <v>8.8259229999999995</v>
      </c>
      <c r="AB9" s="69">
        <v>41.557873780643824</v>
      </c>
      <c r="AC9" s="70">
        <v>42.811810069525471</v>
      </c>
      <c r="AD9" s="71" t="s">
        <v>251</v>
      </c>
      <c r="AE9" s="72">
        <v>4103</v>
      </c>
      <c r="AF9" s="73" t="s">
        <v>136</v>
      </c>
    </row>
    <row r="10" spans="1:32" ht="15" customHeight="1" x14ac:dyDescent="0.3">
      <c r="A10" s="16">
        <v>7</v>
      </c>
      <c r="B10" s="16" t="s">
        <v>205</v>
      </c>
      <c r="C10" s="16" t="s">
        <v>252</v>
      </c>
      <c r="D10" s="16" t="s">
        <v>253</v>
      </c>
      <c r="E10" s="16" t="s">
        <v>254</v>
      </c>
      <c r="F10" s="23" t="s">
        <v>448</v>
      </c>
      <c r="G10" s="23" t="s">
        <v>449</v>
      </c>
      <c r="H10" s="24" t="s">
        <v>14</v>
      </c>
      <c r="I10" s="45">
        <v>838.58</v>
      </c>
      <c r="J10" s="112">
        <v>500</v>
      </c>
      <c r="K10" s="62">
        <v>61.419999999999959</v>
      </c>
      <c r="L10" s="113">
        <v>1400</v>
      </c>
      <c r="M10" s="22">
        <v>0</v>
      </c>
      <c r="N10" s="18">
        <v>360</v>
      </c>
      <c r="O10" s="25">
        <v>6</v>
      </c>
      <c r="P10" s="26">
        <v>7.4653056263923642E-2</v>
      </c>
      <c r="Q10" s="34">
        <v>45514</v>
      </c>
      <c r="R10" s="19">
        <v>56290</v>
      </c>
      <c r="S10" s="19">
        <v>45332</v>
      </c>
      <c r="T10" s="36">
        <v>871.21261887286585</v>
      </c>
      <c r="U10" s="37">
        <v>874.56881034913226</v>
      </c>
      <c r="V10" s="26">
        <v>5.9903111399197684E-3</v>
      </c>
      <c r="W10" s="26"/>
      <c r="X10" s="20">
        <v>1800</v>
      </c>
      <c r="Y10" s="58">
        <v>0.48587156130507347</v>
      </c>
      <c r="Z10" s="68">
        <v>-3.6469437360763524E-3</v>
      </c>
      <c r="AA10" s="74">
        <v>6.1098939999999997</v>
      </c>
      <c r="AB10" s="69">
        <v>39.962090751471344</v>
      </c>
      <c r="AC10" s="70">
        <v>42.11048780410573</v>
      </c>
      <c r="AD10" s="71" t="s">
        <v>255</v>
      </c>
      <c r="AE10" s="72">
        <v>4103</v>
      </c>
      <c r="AF10" s="73" t="s">
        <v>174</v>
      </c>
    </row>
    <row r="11" spans="1:32" ht="15" customHeight="1" x14ac:dyDescent="0.3">
      <c r="A11" s="16">
        <v>8</v>
      </c>
      <c r="B11" s="16" t="s">
        <v>207</v>
      </c>
      <c r="C11" s="16" t="s">
        <v>256</v>
      </c>
      <c r="D11" s="16" t="s">
        <v>257</v>
      </c>
      <c r="E11" s="16" t="s">
        <v>258</v>
      </c>
      <c r="F11" s="23" t="s">
        <v>450</v>
      </c>
      <c r="G11" s="23" t="s">
        <v>447</v>
      </c>
      <c r="H11" s="24" t="s">
        <v>14</v>
      </c>
      <c r="I11" s="45">
        <v>1345.07</v>
      </c>
      <c r="J11" s="112">
        <v>700</v>
      </c>
      <c r="K11" s="62">
        <v>279.93000000000006</v>
      </c>
      <c r="L11" s="113">
        <v>2325</v>
      </c>
      <c r="M11" s="22">
        <v>0</v>
      </c>
      <c r="N11" s="18">
        <v>144</v>
      </c>
      <c r="O11" s="25">
        <v>6</v>
      </c>
      <c r="P11" s="26">
        <v>7.5022426247596752E-2</v>
      </c>
      <c r="Q11" s="34">
        <v>45514</v>
      </c>
      <c r="R11" s="19">
        <v>49715</v>
      </c>
      <c r="S11" s="19">
        <v>45332</v>
      </c>
      <c r="T11" s="36">
        <v>1372.5354271124445</v>
      </c>
      <c r="U11" s="37">
        <v>1377.8830690345776</v>
      </c>
      <c r="V11" s="26">
        <v>5.9903111399197684E-3</v>
      </c>
      <c r="W11" s="26"/>
      <c r="X11" s="20">
        <v>2600</v>
      </c>
      <c r="Y11" s="58">
        <v>0.52995502655176063</v>
      </c>
      <c r="Z11" s="68">
        <v>-3.2775737524032428E-3</v>
      </c>
      <c r="AA11" s="74">
        <v>15.019052</v>
      </c>
      <c r="AB11" s="69">
        <v>37.834186003658274</v>
      </c>
      <c r="AC11" s="70">
        <v>40.010103111072326</v>
      </c>
      <c r="AD11" s="71" t="s">
        <v>259</v>
      </c>
      <c r="AE11" s="72">
        <v>4103</v>
      </c>
      <c r="AF11" s="73" t="s">
        <v>136</v>
      </c>
    </row>
    <row r="12" spans="1:32" ht="15" customHeight="1" x14ac:dyDescent="0.3">
      <c r="A12" s="16">
        <v>9</v>
      </c>
      <c r="B12" s="16" t="s">
        <v>209</v>
      </c>
      <c r="C12" s="16" t="s">
        <v>142</v>
      </c>
      <c r="D12" s="16" t="s">
        <v>260</v>
      </c>
      <c r="E12" s="16" t="s">
        <v>261</v>
      </c>
      <c r="F12" s="23" t="s">
        <v>451</v>
      </c>
      <c r="G12" s="23" t="s">
        <v>452</v>
      </c>
      <c r="H12" s="24" t="s">
        <v>14</v>
      </c>
      <c r="I12" s="45">
        <v>895</v>
      </c>
      <c r="J12" s="112">
        <v>750</v>
      </c>
      <c r="K12" s="62">
        <v>80</v>
      </c>
      <c r="L12" s="113">
        <v>1725</v>
      </c>
      <c r="M12" s="22">
        <v>0</v>
      </c>
      <c r="N12" s="18">
        <v>312</v>
      </c>
      <c r="O12" s="25">
        <v>6</v>
      </c>
      <c r="P12" s="26">
        <v>7.4688664078712455E-2</v>
      </c>
      <c r="Q12" s="34">
        <v>45514</v>
      </c>
      <c r="R12" s="19">
        <v>54829</v>
      </c>
      <c r="S12" s="19">
        <v>45332</v>
      </c>
      <c r="T12" s="36">
        <v>927.02595063667138</v>
      </c>
      <c r="U12" s="37">
        <v>930.5737757859863</v>
      </c>
      <c r="V12" s="26">
        <v>5.9903111399197684E-3</v>
      </c>
      <c r="W12" s="26"/>
      <c r="X12" s="20">
        <v>1725</v>
      </c>
      <c r="Y12" s="58">
        <v>0.53946305842665876</v>
      </c>
      <c r="Z12" s="68">
        <v>-3.6113359212875396E-3</v>
      </c>
      <c r="AA12" s="74">
        <v>6.8100550000000002</v>
      </c>
      <c r="AB12" s="69">
        <v>23.196730290817335</v>
      </c>
      <c r="AC12" s="70">
        <v>25.290877324218286</v>
      </c>
      <c r="AD12" s="71" t="s">
        <v>262</v>
      </c>
      <c r="AE12" s="72">
        <v>4103</v>
      </c>
      <c r="AF12" s="73" t="s">
        <v>169</v>
      </c>
    </row>
    <row r="13" spans="1:32" ht="15" customHeight="1" x14ac:dyDescent="0.3">
      <c r="A13" s="16">
        <v>10</v>
      </c>
      <c r="B13" s="16" t="s">
        <v>211</v>
      </c>
      <c r="C13" s="16" t="s">
        <v>151</v>
      </c>
      <c r="D13" s="16" t="s">
        <v>263</v>
      </c>
      <c r="E13" s="16" t="s">
        <v>264</v>
      </c>
      <c r="F13" s="23" t="s">
        <v>453</v>
      </c>
      <c r="G13" s="23" t="s">
        <v>454</v>
      </c>
      <c r="H13" s="24" t="s">
        <v>14</v>
      </c>
      <c r="I13" s="45">
        <v>895</v>
      </c>
      <c r="J13" s="112">
        <v>750</v>
      </c>
      <c r="K13" s="62">
        <v>80</v>
      </c>
      <c r="L13" s="113">
        <v>1725</v>
      </c>
      <c r="M13" s="22">
        <v>0</v>
      </c>
      <c r="N13" s="18">
        <v>228</v>
      </c>
      <c r="O13" s="25">
        <v>6</v>
      </c>
      <c r="P13" s="26">
        <v>7.4791660904884344E-2</v>
      </c>
      <c r="Q13" s="34">
        <v>45514</v>
      </c>
      <c r="R13" s="19">
        <v>52272</v>
      </c>
      <c r="S13" s="19">
        <v>45332</v>
      </c>
      <c r="T13" s="36">
        <v>920.98164912936522</v>
      </c>
      <c r="U13" s="37">
        <v>924.16029449931523</v>
      </c>
      <c r="V13" s="26">
        <v>5.9903111399197684E-3</v>
      </c>
      <c r="W13" s="26"/>
      <c r="X13" s="20">
        <v>1725</v>
      </c>
      <c r="Y13" s="58">
        <v>0.53574509826047256</v>
      </c>
      <c r="Z13" s="68">
        <v>-3.5083390951156507E-3</v>
      </c>
      <c r="AA13" s="74">
        <v>7.7229549999999998</v>
      </c>
      <c r="AB13" s="69">
        <v>21.381347828784101</v>
      </c>
      <c r="AC13" s="70">
        <v>24.493720509648433</v>
      </c>
      <c r="AD13" s="71" t="s">
        <v>265</v>
      </c>
      <c r="AE13" s="72">
        <v>4103</v>
      </c>
      <c r="AF13" s="73" t="s">
        <v>169</v>
      </c>
    </row>
    <row r="14" spans="1:32" ht="15" customHeight="1" x14ac:dyDescent="0.3">
      <c r="A14" s="16">
        <v>11</v>
      </c>
      <c r="B14" s="16" t="s">
        <v>213</v>
      </c>
      <c r="C14" s="16" t="s">
        <v>266</v>
      </c>
      <c r="D14" s="16" t="s">
        <v>267</v>
      </c>
      <c r="E14" s="16" t="s">
        <v>268</v>
      </c>
      <c r="F14" s="23" t="s">
        <v>455</v>
      </c>
      <c r="G14" s="23" t="s">
        <v>447</v>
      </c>
      <c r="H14" s="24" t="s">
        <v>14</v>
      </c>
      <c r="I14" s="45">
        <v>1595</v>
      </c>
      <c r="J14" s="112">
        <v>525</v>
      </c>
      <c r="K14" s="62">
        <v>80</v>
      </c>
      <c r="L14" s="113">
        <v>2200</v>
      </c>
      <c r="M14" s="22">
        <v>0</v>
      </c>
      <c r="N14" s="18">
        <v>360</v>
      </c>
      <c r="O14" s="25">
        <v>6</v>
      </c>
      <c r="P14" s="26">
        <v>7.4653056263923642E-2</v>
      </c>
      <c r="Q14" s="34">
        <v>45514</v>
      </c>
      <c r="R14" s="19">
        <v>56290</v>
      </c>
      <c r="S14" s="19">
        <v>45332</v>
      </c>
      <c r="T14" s="36">
        <v>1657.0680195459049</v>
      </c>
      <c r="U14" s="37">
        <v>1663.2551447232813</v>
      </c>
      <c r="V14" s="26">
        <v>5.9903111399197684E-3</v>
      </c>
      <c r="W14" s="26"/>
      <c r="X14" s="20">
        <v>2325</v>
      </c>
      <c r="Y14" s="58">
        <v>0.71537855687022855</v>
      </c>
      <c r="Z14" s="68">
        <v>-3.6469437360763524E-3</v>
      </c>
      <c r="AA14" s="74">
        <v>11.621169999999999</v>
      </c>
      <c r="AB14" s="69">
        <v>43.872736707354463</v>
      </c>
      <c r="AC14" s="70">
        <v>48.266432035642886</v>
      </c>
      <c r="AD14" s="71" t="s">
        <v>269</v>
      </c>
      <c r="AE14" s="72">
        <v>4103</v>
      </c>
      <c r="AF14" s="73" t="s">
        <v>164</v>
      </c>
    </row>
    <row r="15" spans="1:32" ht="15" customHeight="1" x14ac:dyDescent="0.3">
      <c r="A15" s="16">
        <v>12</v>
      </c>
      <c r="B15" s="16" t="s">
        <v>215</v>
      </c>
      <c r="C15" s="16" t="s">
        <v>270</v>
      </c>
      <c r="D15" s="16" t="s">
        <v>271</v>
      </c>
      <c r="E15" s="16" t="s">
        <v>272</v>
      </c>
      <c r="F15" s="23" t="s">
        <v>456</v>
      </c>
      <c r="G15" s="23" t="s">
        <v>441</v>
      </c>
      <c r="H15" s="24" t="s">
        <v>14</v>
      </c>
      <c r="I15" s="45">
        <v>895</v>
      </c>
      <c r="J15" s="112">
        <v>750</v>
      </c>
      <c r="K15" s="62">
        <v>80</v>
      </c>
      <c r="L15" s="113">
        <v>1725</v>
      </c>
      <c r="M15" s="22">
        <v>0</v>
      </c>
      <c r="N15" s="18">
        <v>348</v>
      </c>
      <c r="O15" s="25">
        <v>6</v>
      </c>
      <c r="P15" s="26">
        <v>7.4661007523536688E-2</v>
      </c>
      <c r="Q15" s="34">
        <v>45514</v>
      </c>
      <c r="R15" s="19">
        <v>55925</v>
      </c>
      <c r="S15" s="19">
        <v>45332</v>
      </c>
      <c r="T15" s="36">
        <v>929.16349407463338</v>
      </c>
      <c r="U15" s="37">
        <v>932.21408729993243</v>
      </c>
      <c r="V15" s="26">
        <v>5.9903111399197684E-3</v>
      </c>
      <c r="W15" s="26"/>
      <c r="X15" s="20">
        <v>1725</v>
      </c>
      <c r="Y15" s="58">
        <v>0.54041396365213479</v>
      </c>
      <c r="Z15" s="68">
        <v>-3.6389924764633069E-3</v>
      </c>
      <c r="AA15" s="74">
        <v>6.5836199999999998</v>
      </c>
      <c r="AB15" s="69">
        <v>11.836400972238145</v>
      </c>
      <c r="AC15" s="70">
        <v>41.558001930772427</v>
      </c>
      <c r="AD15" s="71" t="s">
        <v>273</v>
      </c>
      <c r="AE15" s="72">
        <v>4103</v>
      </c>
      <c r="AF15" s="73" t="s">
        <v>169</v>
      </c>
    </row>
    <row r="16" spans="1:32" ht="15" customHeight="1" x14ac:dyDescent="0.3">
      <c r="A16" s="16">
        <v>13</v>
      </c>
      <c r="B16" s="16" t="s">
        <v>217</v>
      </c>
      <c r="C16" s="16" t="s">
        <v>274</v>
      </c>
      <c r="D16" s="16" t="s">
        <v>274</v>
      </c>
      <c r="E16" s="16" t="s">
        <v>275</v>
      </c>
      <c r="F16" s="23" t="s">
        <v>457</v>
      </c>
      <c r="G16" s="23" t="s">
        <v>454</v>
      </c>
      <c r="H16" s="24" t="s">
        <v>14</v>
      </c>
      <c r="I16" s="45">
        <v>1620</v>
      </c>
      <c r="J16" s="112">
        <v>700</v>
      </c>
      <c r="K16" s="62">
        <v>80</v>
      </c>
      <c r="L16" s="113">
        <v>2400</v>
      </c>
      <c r="M16" s="22">
        <v>0</v>
      </c>
      <c r="N16" s="18">
        <v>360</v>
      </c>
      <c r="O16" s="25">
        <v>6</v>
      </c>
      <c r="P16" s="26">
        <v>7.4653056263923642E-2</v>
      </c>
      <c r="Q16" s="34">
        <v>45514</v>
      </c>
      <c r="R16" s="19">
        <v>56290</v>
      </c>
      <c r="S16" s="19">
        <v>45332</v>
      </c>
      <c r="T16" s="36">
        <v>1683.0408725168418</v>
      </c>
      <c r="U16" s="37">
        <v>1689.0204711500173</v>
      </c>
      <c r="V16" s="26">
        <v>5.9903111399197684E-3</v>
      </c>
      <c r="W16" s="26"/>
      <c r="X16" s="20">
        <v>2600</v>
      </c>
      <c r="Y16" s="58">
        <v>0.64962325813462207</v>
      </c>
      <c r="Z16" s="68">
        <v>-3.6469437360763524E-3</v>
      </c>
      <c r="AA16" s="74">
        <v>11.803319999999999</v>
      </c>
      <c r="AB16" s="69">
        <v>37.803513802950789</v>
      </c>
      <c r="AC16" s="70">
        <v>39.88689059733592</v>
      </c>
      <c r="AD16" s="71" t="s">
        <v>276</v>
      </c>
      <c r="AE16" s="72">
        <v>4103</v>
      </c>
      <c r="AF16" s="73" t="s">
        <v>136</v>
      </c>
    </row>
    <row r="17" spans="1:32" ht="15" customHeight="1" x14ac:dyDescent="0.3">
      <c r="A17" s="16">
        <v>14</v>
      </c>
      <c r="B17" s="16" t="s">
        <v>219</v>
      </c>
      <c r="C17" s="16" t="s">
        <v>156</v>
      </c>
      <c r="D17" s="16" t="s">
        <v>277</v>
      </c>
      <c r="E17" s="16" t="s">
        <v>278</v>
      </c>
      <c r="F17" s="23" t="s">
        <v>458</v>
      </c>
      <c r="G17" s="23" t="s">
        <v>444</v>
      </c>
      <c r="H17" s="24" t="s">
        <v>14</v>
      </c>
      <c r="I17" s="45">
        <v>1680</v>
      </c>
      <c r="J17" s="112">
        <v>325</v>
      </c>
      <c r="K17" s="62">
        <v>95</v>
      </c>
      <c r="L17" s="113">
        <v>2100</v>
      </c>
      <c r="M17" s="22">
        <v>0</v>
      </c>
      <c r="N17" s="18">
        <v>360</v>
      </c>
      <c r="O17" s="25">
        <v>6</v>
      </c>
      <c r="P17" s="26">
        <v>7.4653056263923642E-2</v>
      </c>
      <c r="Q17" s="34">
        <v>45514</v>
      </c>
      <c r="R17" s="19">
        <v>56290</v>
      </c>
      <c r="S17" s="19">
        <v>45332</v>
      </c>
      <c r="T17" s="36">
        <v>1745.3757196470972</v>
      </c>
      <c r="U17" s="37">
        <v>1752.0001753526833</v>
      </c>
      <c r="V17" s="26">
        <v>5.9903111399197684E-3</v>
      </c>
      <c r="W17" s="26"/>
      <c r="X17" s="20">
        <v>2100</v>
      </c>
      <c r="Y17" s="58">
        <v>0.83428579778699208</v>
      </c>
      <c r="Z17" s="68">
        <v>-3.6469437360763524E-3</v>
      </c>
      <c r="AA17" s="74">
        <v>12.24048</v>
      </c>
      <c r="AB17" s="69">
        <v>25.932145822365676</v>
      </c>
      <c r="AC17" s="70">
        <v>38.861001370263807</v>
      </c>
      <c r="AD17" s="71" t="s">
        <v>279</v>
      </c>
      <c r="AE17" s="72">
        <v>4103</v>
      </c>
      <c r="AF17" s="73" t="s">
        <v>51</v>
      </c>
    </row>
    <row r="18" spans="1:32" ht="15" customHeight="1" x14ac:dyDescent="0.3">
      <c r="A18" s="16">
        <v>15</v>
      </c>
      <c r="B18" s="16" t="s">
        <v>221</v>
      </c>
      <c r="C18" s="16" t="s">
        <v>143</v>
      </c>
      <c r="D18" s="16" t="s">
        <v>144</v>
      </c>
      <c r="E18" s="16" t="s">
        <v>282</v>
      </c>
      <c r="F18" s="23" t="s">
        <v>459</v>
      </c>
      <c r="G18" s="23" t="s">
        <v>460</v>
      </c>
      <c r="H18" s="24" t="s">
        <v>14</v>
      </c>
      <c r="I18" s="45">
        <v>1731</v>
      </c>
      <c r="J18" s="112">
        <v>325</v>
      </c>
      <c r="K18" s="62">
        <v>144</v>
      </c>
      <c r="L18" s="113">
        <v>2200</v>
      </c>
      <c r="M18" s="22">
        <v>0</v>
      </c>
      <c r="N18" s="18">
        <v>360</v>
      </c>
      <c r="O18" s="25">
        <v>6</v>
      </c>
      <c r="P18" s="26">
        <v>7.3142519593238836E-2</v>
      </c>
      <c r="Q18" s="34">
        <v>45514</v>
      </c>
      <c r="R18" s="19">
        <v>56290</v>
      </c>
      <c r="S18" s="19">
        <v>45332</v>
      </c>
      <c r="T18" s="36">
        <v>1798.9419959206739</v>
      </c>
      <c r="U18" s="37">
        <v>1805.1581340613791</v>
      </c>
      <c r="V18" s="26">
        <v>5.8731843281445428E-3</v>
      </c>
      <c r="W18" s="26"/>
      <c r="X18" s="20">
        <v>2900</v>
      </c>
      <c r="Y18" s="58">
        <v>0.6224683220901307</v>
      </c>
      <c r="Z18" s="68">
        <v>-3.6574804067611572E-3</v>
      </c>
      <c r="AA18" s="74">
        <v>12.433773</v>
      </c>
      <c r="AB18" s="69">
        <v>18.430048701569614</v>
      </c>
      <c r="AC18" s="70">
        <v>27.847213009702614</v>
      </c>
      <c r="AD18" s="71" t="s">
        <v>283</v>
      </c>
      <c r="AE18" s="72">
        <v>4103</v>
      </c>
      <c r="AF18" s="73" t="s">
        <v>284</v>
      </c>
    </row>
    <row r="19" spans="1:32" ht="15" customHeight="1" x14ac:dyDescent="0.3">
      <c r="A19" s="16">
        <v>16</v>
      </c>
      <c r="B19" s="16" t="s">
        <v>223</v>
      </c>
      <c r="C19" s="16" t="s">
        <v>285</v>
      </c>
      <c r="D19" s="16" t="s">
        <v>286</v>
      </c>
      <c r="E19" s="16" t="s">
        <v>287</v>
      </c>
      <c r="F19" s="23" t="s">
        <v>461</v>
      </c>
      <c r="G19" s="23" t="s">
        <v>462</v>
      </c>
      <c r="H19" s="24" t="s">
        <v>14</v>
      </c>
      <c r="I19" s="45">
        <v>1807.8</v>
      </c>
      <c r="J19" s="112">
        <v>600</v>
      </c>
      <c r="K19" s="62">
        <v>82.200000000000045</v>
      </c>
      <c r="L19" s="113">
        <v>2490</v>
      </c>
      <c r="M19" s="22">
        <v>0</v>
      </c>
      <c r="N19" s="18">
        <v>360</v>
      </c>
      <c r="O19" s="25">
        <v>6</v>
      </c>
      <c r="P19" s="26">
        <v>7.4650511145591722E-2</v>
      </c>
      <c r="Q19" s="34">
        <v>45545</v>
      </c>
      <c r="R19" s="19">
        <v>56318</v>
      </c>
      <c r="S19" s="19">
        <v>45332</v>
      </c>
      <c r="T19" s="36">
        <v>1865.3157000926622</v>
      </c>
      <c r="U19" s="37">
        <v>1873.6794530269367</v>
      </c>
      <c r="V19" s="26">
        <v>5.9903111399197684E-3</v>
      </c>
      <c r="W19" s="26"/>
      <c r="X19" s="20">
        <v>2600</v>
      </c>
      <c r="Y19" s="58">
        <v>0.7206459434718987</v>
      </c>
      <c r="Z19" s="68">
        <v>-3.6494888544082726E-3</v>
      </c>
      <c r="AA19" s="74">
        <v>13.171631</v>
      </c>
      <c r="AB19" s="69">
        <v>26.289471519203587</v>
      </c>
      <c r="AC19" s="70">
        <v>31.116098730173874</v>
      </c>
      <c r="AD19" s="71" t="s">
        <v>288</v>
      </c>
      <c r="AE19" s="72">
        <v>4103</v>
      </c>
      <c r="AF19" s="73" t="s">
        <v>174</v>
      </c>
    </row>
    <row r="20" spans="1:32" ht="15" customHeight="1" x14ac:dyDescent="0.3">
      <c r="A20" s="16">
        <v>17</v>
      </c>
      <c r="B20" s="16" t="s">
        <v>225</v>
      </c>
      <c r="C20" s="16" t="s">
        <v>302</v>
      </c>
      <c r="D20" s="16" t="s">
        <v>303</v>
      </c>
      <c r="E20" s="16" t="s">
        <v>304</v>
      </c>
      <c r="F20" s="23" t="s">
        <v>463</v>
      </c>
      <c r="G20" s="23" t="s">
        <v>464</v>
      </c>
      <c r="H20" s="24" t="s">
        <v>14</v>
      </c>
      <c r="I20" s="45">
        <v>1395</v>
      </c>
      <c r="J20" s="112">
        <v>525</v>
      </c>
      <c r="K20" s="62">
        <v>80</v>
      </c>
      <c r="L20" s="113">
        <v>2000</v>
      </c>
      <c r="M20" s="22">
        <v>0</v>
      </c>
      <c r="N20" s="18">
        <v>312</v>
      </c>
      <c r="O20" s="25">
        <v>6</v>
      </c>
      <c r="P20" s="26">
        <v>7.2267475724220279E-2</v>
      </c>
      <c r="Q20" s="34">
        <v>45545</v>
      </c>
      <c r="R20" s="19">
        <v>54857</v>
      </c>
      <c r="S20" s="19">
        <v>45332</v>
      </c>
      <c r="T20" s="36">
        <v>1437.2174348096098</v>
      </c>
      <c r="U20" s="37">
        <v>1441.8230839367423</v>
      </c>
      <c r="V20" s="26">
        <v>5.8028361627453506E-3</v>
      </c>
      <c r="W20" s="26"/>
      <c r="X20" s="20">
        <v>2400</v>
      </c>
      <c r="Y20" s="58">
        <v>0.60075961830697588</v>
      </c>
      <c r="Z20" s="68">
        <v>-3.6325242757797166E-3</v>
      </c>
      <c r="AA20" s="74">
        <v>10.394145</v>
      </c>
      <c r="AB20" s="69">
        <v>39.814234927448041</v>
      </c>
      <c r="AC20" s="70">
        <v>44.090318541138259</v>
      </c>
      <c r="AD20" s="71" t="s">
        <v>290</v>
      </c>
      <c r="AE20" s="72">
        <v>4103</v>
      </c>
      <c r="AF20" s="73" t="s">
        <v>164</v>
      </c>
    </row>
    <row r="21" spans="1:32" ht="15" customHeight="1" x14ac:dyDescent="0.3">
      <c r="A21" s="16">
        <v>18</v>
      </c>
      <c r="B21" s="16" t="s">
        <v>227</v>
      </c>
      <c r="C21" s="16" t="s">
        <v>305</v>
      </c>
      <c r="D21" s="16" t="s">
        <v>306</v>
      </c>
      <c r="E21" s="16" t="s">
        <v>307</v>
      </c>
      <c r="F21" s="23" t="s">
        <v>465</v>
      </c>
      <c r="G21" s="23" t="s">
        <v>449</v>
      </c>
      <c r="H21" s="24" t="s">
        <v>14</v>
      </c>
      <c r="I21" s="45">
        <v>1545</v>
      </c>
      <c r="J21" s="112">
        <v>700</v>
      </c>
      <c r="K21" s="62">
        <v>80</v>
      </c>
      <c r="L21" s="113">
        <v>2325</v>
      </c>
      <c r="M21" s="22">
        <v>0</v>
      </c>
      <c r="N21" s="18">
        <v>192</v>
      </c>
      <c r="O21" s="25">
        <v>6</v>
      </c>
      <c r="P21" s="26">
        <v>7.4858239293098441E-2</v>
      </c>
      <c r="Q21" s="34">
        <v>45545</v>
      </c>
      <c r="R21" s="19">
        <v>51205</v>
      </c>
      <c r="S21" s="19">
        <v>45332</v>
      </c>
      <c r="T21" s="36">
        <v>1575.0752012995572</v>
      </c>
      <c r="U21" s="37">
        <v>1581.1036033726252</v>
      </c>
      <c r="V21" s="26">
        <v>5.9903111399197684E-3</v>
      </c>
      <c r="W21" s="26"/>
      <c r="X21" s="20">
        <v>2600</v>
      </c>
      <c r="Y21" s="58">
        <v>0.60811677052793278</v>
      </c>
      <c r="Z21" s="68">
        <v>-3.4417607069015532E-3</v>
      </c>
      <c r="AA21" s="74">
        <v>14.538449999999999</v>
      </c>
      <c r="AB21" s="69">
        <v>21.408733761809184</v>
      </c>
      <c r="AC21" s="70">
        <v>22.525457008631541</v>
      </c>
      <c r="AD21" s="71" t="s">
        <v>292</v>
      </c>
      <c r="AE21" s="72">
        <v>4103</v>
      </c>
      <c r="AF21" s="73" t="s">
        <v>136</v>
      </c>
    </row>
    <row r="22" spans="1:32" ht="15" customHeight="1" x14ac:dyDescent="0.3">
      <c r="A22" s="16">
        <v>19</v>
      </c>
      <c r="B22" s="16" t="s">
        <v>229</v>
      </c>
      <c r="C22" s="16" t="s">
        <v>308</v>
      </c>
      <c r="D22" s="16" t="s">
        <v>293</v>
      </c>
      <c r="E22" s="16" t="s">
        <v>309</v>
      </c>
      <c r="F22" s="23" t="s">
        <v>466</v>
      </c>
      <c r="G22" s="23" t="s">
        <v>460</v>
      </c>
      <c r="H22" s="24" t="s">
        <v>14</v>
      </c>
      <c r="I22" s="45">
        <v>960</v>
      </c>
      <c r="J22" s="112">
        <v>400</v>
      </c>
      <c r="K22" s="62">
        <v>40</v>
      </c>
      <c r="L22" s="113">
        <v>1400</v>
      </c>
      <c r="M22" s="22">
        <v>0</v>
      </c>
      <c r="N22" s="18">
        <v>276</v>
      </c>
      <c r="O22" s="25">
        <v>6</v>
      </c>
      <c r="P22" s="26">
        <v>7.4720147252082827E-2</v>
      </c>
      <c r="Q22" s="34">
        <v>45545</v>
      </c>
      <c r="R22" s="19">
        <v>53761</v>
      </c>
      <c r="S22" s="19">
        <v>45332</v>
      </c>
      <c r="T22" s="36">
        <v>985.87172450144021</v>
      </c>
      <c r="U22" s="37">
        <v>989.03177629360027</v>
      </c>
      <c r="V22" s="26">
        <v>5.9903111399197684E-3</v>
      </c>
      <c r="W22" s="26"/>
      <c r="X22" s="20">
        <v>1400</v>
      </c>
      <c r="Y22" s="58">
        <v>0.70645126878114306</v>
      </c>
      <c r="Z22" s="68">
        <v>-3.5798527479171671E-3</v>
      </c>
      <c r="AA22" s="74">
        <v>7.6339199999999998</v>
      </c>
      <c r="AB22" s="69">
        <v>15.686021544359102</v>
      </c>
      <c r="AC22" s="70">
        <v>42.248598854567696</v>
      </c>
      <c r="AD22" s="71" t="s">
        <v>294</v>
      </c>
      <c r="AE22" s="72">
        <v>4103</v>
      </c>
      <c r="AF22" s="73" t="s">
        <v>54</v>
      </c>
    </row>
    <row r="23" spans="1:32" ht="15" customHeight="1" x14ac:dyDescent="0.3">
      <c r="A23" s="16">
        <v>20</v>
      </c>
      <c r="B23" s="16" t="s">
        <v>231</v>
      </c>
      <c r="C23" s="16" t="s">
        <v>310</v>
      </c>
      <c r="D23" s="16" t="s">
        <v>306</v>
      </c>
      <c r="E23" s="16" t="s">
        <v>311</v>
      </c>
      <c r="F23" s="23" t="s">
        <v>467</v>
      </c>
      <c r="G23" s="23" t="s">
        <v>462</v>
      </c>
      <c r="H23" s="24" t="s">
        <v>14</v>
      </c>
      <c r="I23" s="45">
        <v>1640</v>
      </c>
      <c r="J23" s="112">
        <v>325</v>
      </c>
      <c r="K23" s="62">
        <v>85</v>
      </c>
      <c r="L23" s="113">
        <v>2050</v>
      </c>
      <c r="M23" s="22">
        <v>0</v>
      </c>
      <c r="N23" s="18">
        <v>360</v>
      </c>
      <c r="O23" s="25">
        <v>6</v>
      </c>
      <c r="P23" s="26">
        <v>7.4650511145591722E-2</v>
      </c>
      <c r="Q23" s="34">
        <v>45545</v>
      </c>
      <c r="R23" s="19">
        <v>56318</v>
      </c>
      <c r="S23" s="19">
        <v>45332</v>
      </c>
      <c r="T23" s="36">
        <v>1692.1770669885327</v>
      </c>
      <c r="U23" s="37">
        <v>1700.1104210087522</v>
      </c>
      <c r="V23" s="26">
        <v>5.9903111399197684E-3</v>
      </c>
      <c r="W23" s="26"/>
      <c r="X23" s="20">
        <v>2150</v>
      </c>
      <c r="Y23" s="58">
        <v>0.79074903302732658</v>
      </c>
      <c r="Z23" s="68">
        <v>-3.6494888544082726E-3</v>
      </c>
      <c r="AA23" s="74">
        <v>11.94904</v>
      </c>
      <c r="AB23" s="69">
        <v>23.837890526131478</v>
      </c>
      <c r="AC23" s="70">
        <v>39.088272003766249</v>
      </c>
      <c r="AD23" s="71" t="s">
        <v>297</v>
      </c>
      <c r="AE23" s="72">
        <v>4103</v>
      </c>
      <c r="AF23" s="73" t="s">
        <v>54</v>
      </c>
    </row>
    <row r="24" spans="1:32" ht="15" customHeight="1" x14ac:dyDescent="0.3">
      <c r="A24" s="16">
        <v>21</v>
      </c>
      <c r="B24" s="16" t="s">
        <v>312</v>
      </c>
      <c r="C24" s="16" t="s">
        <v>314</v>
      </c>
      <c r="D24" s="16" t="s">
        <v>154</v>
      </c>
      <c r="E24" s="16" t="s">
        <v>315</v>
      </c>
      <c r="F24" s="23" t="s">
        <v>468</v>
      </c>
      <c r="G24" s="23" t="s">
        <v>441</v>
      </c>
      <c r="H24" s="24" t="s">
        <v>14</v>
      </c>
      <c r="I24" s="45">
        <v>1590.05</v>
      </c>
      <c r="J24" s="112">
        <v>525</v>
      </c>
      <c r="K24" s="62">
        <v>84.950000000000045</v>
      </c>
      <c r="L24" s="113">
        <v>2200</v>
      </c>
      <c r="M24" s="22">
        <v>0</v>
      </c>
      <c r="N24" s="18">
        <v>300</v>
      </c>
      <c r="O24" s="25">
        <v>6</v>
      </c>
      <c r="P24" s="26">
        <v>7.2277936339378346E-2</v>
      </c>
      <c r="Q24" s="34">
        <v>45545</v>
      </c>
      <c r="R24" s="19">
        <v>54492</v>
      </c>
      <c r="S24" s="19">
        <v>45332</v>
      </c>
      <c r="T24" s="36">
        <v>1636.7726290798041</v>
      </c>
      <c r="U24" s="37">
        <v>1642.2856539782886</v>
      </c>
      <c r="V24" s="26">
        <v>5.8028361627453506E-3</v>
      </c>
      <c r="W24" s="26"/>
      <c r="X24" s="20">
        <v>2400</v>
      </c>
      <c r="Y24" s="58">
        <v>0.68428568915762022</v>
      </c>
      <c r="Z24" s="68">
        <v>-3.6220636606216494E-3</v>
      </c>
      <c r="AA24" s="74">
        <v>12.012828000000001</v>
      </c>
      <c r="AB24" s="69">
        <v>17.420446473832982</v>
      </c>
      <c r="AC24" s="70">
        <v>47.083537744294688</v>
      </c>
      <c r="AD24" s="71" t="s">
        <v>316</v>
      </c>
      <c r="AE24" s="72">
        <v>4103</v>
      </c>
      <c r="AF24" s="73" t="s">
        <v>164</v>
      </c>
    </row>
    <row r="25" spans="1:32" ht="15.6" x14ac:dyDescent="0.3">
      <c r="A25" s="16">
        <v>22</v>
      </c>
      <c r="B25" s="16" t="s">
        <v>318</v>
      </c>
      <c r="C25" s="16" t="s">
        <v>147</v>
      </c>
      <c r="D25" s="16" t="s">
        <v>320</v>
      </c>
      <c r="E25" s="16" t="s">
        <v>321</v>
      </c>
      <c r="F25" s="23" t="s">
        <v>469</v>
      </c>
      <c r="G25" s="23" t="s">
        <v>439</v>
      </c>
      <c r="H25" s="24" t="s">
        <v>14</v>
      </c>
      <c r="I25" s="45">
        <v>1386.66</v>
      </c>
      <c r="J25" s="112">
        <v>525</v>
      </c>
      <c r="K25" s="62">
        <v>88.339999999999918</v>
      </c>
      <c r="L25" s="113">
        <v>2000</v>
      </c>
      <c r="M25" s="22">
        <v>1</v>
      </c>
      <c r="N25" s="18">
        <v>324</v>
      </c>
      <c r="O25" s="25">
        <v>6</v>
      </c>
      <c r="P25" s="26">
        <v>7.2257855534553536E-2</v>
      </c>
      <c r="Q25" s="34">
        <v>45545</v>
      </c>
      <c r="R25" s="19">
        <v>55222</v>
      </c>
      <c r="S25" s="19">
        <v>45332</v>
      </c>
      <c r="T25" s="36">
        <v>1429.8115551218846</v>
      </c>
      <c r="U25" s="37">
        <v>1434.9266249075047</v>
      </c>
      <c r="V25" s="26">
        <v>5.8028361627453506E-3</v>
      </c>
      <c r="W25" s="26"/>
      <c r="X25" s="20">
        <v>2325</v>
      </c>
      <c r="Y25" s="58">
        <v>0.61717274189570093</v>
      </c>
      <c r="Z25" s="68">
        <v>-3.6421444654464591E-3</v>
      </c>
      <c r="AA25" s="74">
        <v>10.200271000000001</v>
      </c>
      <c r="AB25" s="69">
        <v>36.604953965839677</v>
      </c>
      <c r="AC25" s="70">
        <v>45.640956680934778</v>
      </c>
      <c r="AD25" s="71" t="s">
        <v>322</v>
      </c>
      <c r="AE25" s="72">
        <v>4103</v>
      </c>
      <c r="AF25" s="73" t="s">
        <v>164</v>
      </c>
    </row>
    <row r="26" spans="1:32" ht="15.6" x14ac:dyDescent="0.3">
      <c r="A26" s="16">
        <v>23</v>
      </c>
      <c r="B26" s="16" t="s">
        <v>325</v>
      </c>
      <c r="C26" s="16" t="s">
        <v>327</v>
      </c>
      <c r="D26" s="16" t="s">
        <v>328</v>
      </c>
      <c r="E26" s="16" t="s">
        <v>329</v>
      </c>
      <c r="F26" s="23" t="s">
        <v>470</v>
      </c>
      <c r="G26" s="23" t="s">
        <v>439</v>
      </c>
      <c r="H26" s="24" t="s">
        <v>14</v>
      </c>
      <c r="I26" s="45">
        <v>1570</v>
      </c>
      <c r="J26" s="112">
        <v>550</v>
      </c>
      <c r="K26" s="62">
        <v>80</v>
      </c>
      <c r="L26" s="113">
        <v>2200</v>
      </c>
      <c r="M26" s="22">
        <v>2</v>
      </c>
      <c r="N26" s="18">
        <v>324</v>
      </c>
      <c r="O26" s="25">
        <v>6</v>
      </c>
      <c r="P26" s="26">
        <v>7.2257855534553536E-2</v>
      </c>
      <c r="Q26" s="34">
        <v>45545</v>
      </c>
      <c r="R26" s="19">
        <v>55222</v>
      </c>
      <c r="S26" s="19">
        <v>45332</v>
      </c>
      <c r="T26" s="36">
        <v>1618.8569171250465</v>
      </c>
      <c r="U26" s="37">
        <v>1624.8435640124401</v>
      </c>
      <c r="V26" s="26">
        <v>5.8028361627453506E-3</v>
      </c>
      <c r="W26" s="26"/>
      <c r="X26" s="20">
        <v>2515</v>
      </c>
      <c r="Y26" s="58">
        <v>0.64606105924947921</v>
      </c>
      <c r="Z26" s="68">
        <v>-3.6421444654464591E-3</v>
      </c>
      <c r="AA26" s="74">
        <v>11.548920000000001</v>
      </c>
      <c r="AB26" s="69">
        <v>22.051333952763592</v>
      </c>
      <c r="AC26" s="70">
        <v>30.479180354994075</v>
      </c>
      <c r="AD26" s="71" t="s">
        <v>330</v>
      </c>
      <c r="AE26" s="72">
        <v>4103</v>
      </c>
      <c r="AF26" s="73" t="s">
        <v>332</v>
      </c>
    </row>
    <row r="27" spans="1:32" ht="15.6" x14ac:dyDescent="0.3">
      <c r="A27" s="16">
        <v>24</v>
      </c>
      <c r="B27" s="16" t="s">
        <v>335</v>
      </c>
      <c r="C27" s="16" t="s">
        <v>337</v>
      </c>
      <c r="D27" s="16" t="s">
        <v>338</v>
      </c>
      <c r="E27" s="16" t="s">
        <v>339</v>
      </c>
      <c r="F27" s="23" t="s">
        <v>471</v>
      </c>
      <c r="G27" s="23" t="s">
        <v>472</v>
      </c>
      <c r="H27" s="24" t="s">
        <v>14</v>
      </c>
      <c r="I27" s="45">
        <v>1720</v>
      </c>
      <c r="J27" s="112">
        <v>600</v>
      </c>
      <c r="K27" s="62">
        <v>80</v>
      </c>
      <c r="L27" s="113">
        <v>2400</v>
      </c>
      <c r="M27" s="22">
        <v>3</v>
      </c>
      <c r="N27" s="18">
        <v>360</v>
      </c>
      <c r="O27" s="25">
        <v>6</v>
      </c>
      <c r="P27" s="26">
        <v>7.2233894467353801E-2</v>
      </c>
      <c r="Q27" s="34">
        <v>45545</v>
      </c>
      <c r="R27" s="19">
        <v>56318</v>
      </c>
      <c r="S27" s="19">
        <v>45332</v>
      </c>
      <c r="T27" s="36">
        <v>1776.0368066921567</v>
      </c>
      <c r="U27" s="37">
        <v>1784.0306810928951</v>
      </c>
      <c r="V27" s="26">
        <v>5.8028361627453506E-3</v>
      </c>
      <c r="W27" s="26"/>
      <c r="X27" s="20">
        <v>2400</v>
      </c>
      <c r="Y27" s="58">
        <v>0.74334611712203957</v>
      </c>
      <c r="Z27" s="68">
        <v>-3.6661055326461939E-3</v>
      </c>
      <c r="AA27" s="74">
        <v>12.249840000000001</v>
      </c>
      <c r="AB27" s="69">
        <v>29.583918333367627</v>
      </c>
      <c r="AC27" s="70">
        <v>46.702606047585817</v>
      </c>
      <c r="AD27" s="71" t="s">
        <v>340</v>
      </c>
      <c r="AE27" s="72">
        <v>4103</v>
      </c>
      <c r="AF27" s="73" t="s">
        <v>169</v>
      </c>
    </row>
    <row r="28" spans="1:32" ht="15.6" x14ac:dyDescent="0.3">
      <c r="A28" s="16">
        <v>25</v>
      </c>
      <c r="B28" s="16" t="s">
        <v>342</v>
      </c>
      <c r="C28" s="16" t="s">
        <v>145</v>
      </c>
      <c r="D28" s="16" t="s">
        <v>338</v>
      </c>
      <c r="E28" s="16" t="s">
        <v>344</v>
      </c>
      <c r="F28" s="23" t="s">
        <v>473</v>
      </c>
      <c r="G28" s="23" t="s">
        <v>439</v>
      </c>
      <c r="H28" s="24" t="s">
        <v>14</v>
      </c>
      <c r="I28" s="45">
        <v>1692</v>
      </c>
      <c r="J28" s="112">
        <v>600</v>
      </c>
      <c r="K28" s="62">
        <v>100</v>
      </c>
      <c r="L28" s="113">
        <v>2392</v>
      </c>
      <c r="M28" s="22">
        <v>4</v>
      </c>
      <c r="N28" s="18">
        <v>360</v>
      </c>
      <c r="O28" s="25">
        <v>6</v>
      </c>
      <c r="P28" s="26">
        <v>7.2233894467353801E-2</v>
      </c>
      <c r="Q28" s="34">
        <v>45545</v>
      </c>
      <c r="R28" s="19">
        <v>56318</v>
      </c>
      <c r="S28" s="19">
        <v>45332</v>
      </c>
      <c r="T28" s="36">
        <v>1747.1245796064716</v>
      </c>
      <c r="U28" s="37">
        <v>1754.9044198383008</v>
      </c>
      <c r="V28" s="26">
        <v>5.8028361627453506E-3</v>
      </c>
      <c r="W28" s="26"/>
      <c r="X28" s="20">
        <v>2555</v>
      </c>
      <c r="Y28" s="58">
        <v>0.6868510449464974</v>
      </c>
      <c r="Z28" s="68">
        <v>-3.6661055326461939E-3</v>
      </c>
      <c r="AA28" s="74">
        <v>12.050424</v>
      </c>
      <c r="AB28" s="69">
        <v>31.027750276124994</v>
      </c>
      <c r="AC28" s="70">
        <v>35.933841432401017</v>
      </c>
      <c r="AD28" s="71" t="s">
        <v>345</v>
      </c>
      <c r="AE28" s="72">
        <v>4103</v>
      </c>
      <c r="AF28" s="73" t="s">
        <v>177</v>
      </c>
    </row>
    <row r="29" spans="1:32" ht="15.6" x14ac:dyDescent="0.3">
      <c r="A29" s="16">
        <v>26</v>
      </c>
      <c r="B29" s="16" t="s">
        <v>346</v>
      </c>
      <c r="C29" s="16" t="s">
        <v>305</v>
      </c>
      <c r="D29" s="16" t="s">
        <v>348</v>
      </c>
      <c r="E29" s="16" t="s">
        <v>349</v>
      </c>
      <c r="F29" s="23" t="s">
        <v>474</v>
      </c>
      <c r="G29" s="23" t="s">
        <v>449</v>
      </c>
      <c r="H29" s="24" t="s">
        <v>14</v>
      </c>
      <c r="I29" s="45">
        <v>1720</v>
      </c>
      <c r="J29" s="112">
        <v>600</v>
      </c>
      <c r="K29" s="62">
        <v>80</v>
      </c>
      <c r="L29" s="113">
        <v>2400</v>
      </c>
      <c r="M29" s="22">
        <v>5</v>
      </c>
      <c r="N29" s="18">
        <v>360</v>
      </c>
      <c r="O29" s="25">
        <v>6</v>
      </c>
      <c r="P29" s="26">
        <v>7.2233894467353801E-2</v>
      </c>
      <c r="Q29" s="34">
        <v>45545</v>
      </c>
      <c r="R29" s="19">
        <v>56318</v>
      </c>
      <c r="S29" s="19">
        <v>45332</v>
      </c>
      <c r="T29" s="36">
        <v>1776.0368066921567</v>
      </c>
      <c r="U29" s="37">
        <v>1784.0306810928951</v>
      </c>
      <c r="V29" s="26">
        <v>5.8028361627453506E-3</v>
      </c>
      <c r="W29" s="26"/>
      <c r="X29" s="20">
        <v>2400</v>
      </c>
      <c r="Y29" s="58">
        <v>0.74334611712203957</v>
      </c>
      <c r="Z29" s="68">
        <v>-3.6661055326461939E-3</v>
      </c>
      <c r="AA29" s="74">
        <v>12.249840000000001</v>
      </c>
      <c r="AB29" s="69">
        <v>16.222410186920843</v>
      </c>
      <c r="AC29" s="70">
        <v>46.007763182696969</v>
      </c>
      <c r="AD29" s="71" t="s">
        <v>350</v>
      </c>
      <c r="AE29" s="72">
        <v>4103</v>
      </c>
      <c r="AF29" s="73" t="s">
        <v>169</v>
      </c>
    </row>
    <row r="30" spans="1:32" ht="15.6" x14ac:dyDescent="0.3">
      <c r="A30" s="16">
        <v>27</v>
      </c>
      <c r="B30" s="16" t="s">
        <v>351</v>
      </c>
      <c r="C30" s="16" t="s">
        <v>353</v>
      </c>
      <c r="D30" s="16" t="s">
        <v>354</v>
      </c>
      <c r="E30" s="16" t="s">
        <v>355</v>
      </c>
      <c r="F30" s="23" t="s">
        <v>475</v>
      </c>
      <c r="G30" s="23" t="s">
        <v>449</v>
      </c>
      <c r="H30" s="24" t="s">
        <v>14</v>
      </c>
      <c r="I30" s="45">
        <v>859.69</v>
      </c>
      <c r="J30" s="112">
        <v>737.5</v>
      </c>
      <c r="K30" s="62">
        <v>102.80999999999995</v>
      </c>
      <c r="L30" s="113">
        <v>1700</v>
      </c>
      <c r="M30" s="22">
        <v>6</v>
      </c>
      <c r="N30" s="18">
        <v>360</v>
      </c>
      <c r="O30" s="25">
        <v>6</v>
      </c>
      <c r="P30" s="26">
        <v>7.2233894467353801E-2</v>
      </c>
      <c r="Q30" s="34">
        <v>45545</v>
      </c>
      <c r="R30" s="19">
        <v>56318</v>
      </c>
      <c r="S30" s="19">
        <v>45332</v>
      </c>
      <c r="T30" s="36">
        <v>887.69827759185023</v>
      </c>
      <c r="U30" s="37">
        <v>891.28718401508263</v>
      </c>
      <c r="V30" s="26">
        <v>5.8028361627453506E-3</v>
      </c>
      <c r="W30" s="26"/>
      <c r="X30" s="20">
        <v>1700</v>
      </c>
      <c r="Y30" s="58">
        <v>0.5242865788324016</v>
      </c>
      <c r="Z30" s="68">
        <v>-3.6661055326461939E-3</v>
      </c>
      <c r="AA30" s="74">
        <v>6.1227119999999999</v>
      </c>
      <c r="AB30" s="69">
        <v>22.762376338826879</v>
      </c>
      <c r="AC30" s="70">
        <v>25.269045675747421</v>
      </c>
      <c r="AD30" s="71" t="s">
        <v>356</v>
      </c>
      <c r="AE30" s="72">
        <v>4103</v>
      </c>
      <c r="AF30" s="73" t="s">
        <v>51</v>
      </c>
    </row>
    <row r="31" spans="1:32" ht="15.6" x14ac:dyDescent="0.3">
      <c r="A31" s="16">
        <v>28</v>
      </c>
      <c r="B31" s="16" t="s">
        <v>359</v>
      </c>
      <c r="C31" s="16" t="s">
        <v>281</v>
      </c>
      <c r="D31" s="16" t="s">
        <v>155</v>
      </c>
      <c r="E31" s="16" t="s">
        <v>361</v>
      </c>
      <c r="F31" s="23" t="s">
        <v>476</v>
      </c>
      <c r="G31" s="23" t="s">
        <v>464</v>
      </c>
      <c r="H31" s="24" t="s">
        <v>14</v>
      </c>
      <c r="I31" s="45">
        <v>1595</v>
      </c>
      <c r="J31" s="112">
        <v>650</v>
      </c>
      <c r="K31" s="62">
        <v>80</v>
      </c>
      <c r="L31" s="113">
        <v>2325</v>
      </c>
      <c r="M31" s="22">
        <v>7</v>
      </c>
      <c r="N31" s="18">
        <v>360</v>
      </c>
      <c r="O31" s="25">
        <v>6</v>
      </c>
      <c r="P31" s="26">
        <v>7.2233894467353801E-2</v>
      </c>
      <c r="Q31" s="34">
        <v>45545</v>
      </c>
      <c r="R31" s="19">
        <v>56318</v>
      </c>
      <c r="S31" s="19">
        <v>45332</v>
      </c>
      <c r="T31" s="36">
        <v>1646.9643643453435</v>
      </c>
      <c r="U31" s="37">
        <v>1654.4163353915824</v>
      </c>
      <c r="V31" s="26">
        <v>5.8028361627453506E-3</v>
      </c>
      <c r="W31" s="26"/>
      <c r="X31" s="20">
        <v>2325</v>
      </c>
      <c r="Y31" s="58">
        <v>0.71157691844799242</v>
      </c>
      <c r="Z31" s="68">
        <v>-3.6661055326461939E-3</v>
      </c>
      <c r="AA31" s="74">
        <v>11.359590000000001</v>
      </c>
      <c r="AB31" s="69">
        <v>32.568628994005792</v>
      </c>
      <c r="AC31" s="70">
        <v>46.705120327848206</v>
      </c>
      <c r="AD31" s="71" t="s">
        <v>362</v>
      </c>
      <c r="AE31" s="72">
        <v>4103</v>
      </c>
      <c r="AF31" s="73" t="s">
        <v>164</v>
      </c>
    </row>
    <row r="32" spans="1:32" ht="15.6" x14ac:dyDescent="0.3">
      <c r="A32" s="16">
        <v>29</v>
      </c>
      <c r="B32" s="16" t="s">
        <v>363</v>
      </c>
      <c r="C32" s="16" t="s">
        <v>365</v>
      </c>
      <c r="D32" s="16" t="s">
        <v>366</v>
      </c>
      <c r="E32" s="16" t="s">
        <v>157</v>
      </c>
      <c r="F32" s="23" t="s">
        <v>477</v>
      </c>
      <c r="G32" s="23" t="s">
        <v>464</v>
      </c>
      <c r="H32" s="24" t="s">
        <v>14</v>
      </c>
      <c r="I32" s="45">
        <v>1845</v>
      </c>
      <c r="J32" s="112">
        <v>475</v>
      </c>
      <c r="K32" s="62">
        <v>80</v>
      </c>
      <c r="L32" s="113">
        <v>2400</v>
      </c>
      <c r="M32" s="22">
        <v>8</v>
      </c>
      <c r="N32" s="18">
        <v>360</v>
      </c>
      <c r="O32" s="25">
        <v>6</v>
      </c>
      <c r="P32" s="26">
        <v>7.2233894467353801E-2</v>
      </c>
      <c r="Q32" s="34">
        <v>45545</v>
      </c>
      <c r="R32" s="19">
        <v>56318</v>
      </c>
      <c r="S32" s="19">
        <v>45332</v>
      </c>
      <c r="T32" s="36">
        <v>1905.1092490389728</v>
      </c>
      <c r="U32" s="37">
        <v>1913.6462683533921</v>
      </c>
      <c r="V32" s="26">
        <v>5.8028361627453506E-3</v>
      </c>
      <c r="W32" s="26"/>
      <c r="X32" s="20">
        <v>2450</v>
      </c>
      <c r="Y32" s="58">
        <v>0.7810801095319968</v>
      </c>
      <c r="Z32" s="68">
        <v>-3.6661055326461939E-3</v>
      </c>
      <c r="AA32" s="74">
        <v>13.140090000000001</v>
      </c>
      <c r="AB32" s="69">
        <v>26.245170475593056</v>
      </c>
      <c r="AC32" s="70">
        <v>27.797570219048001</v>
      </c>
      <c r="AD32" s="71" t="s">
        <v>367</v>
      </c>
      <c r="AE32" s="72">
        <v>4103</v>
      </c>
      <c r="AF32" s="73" t="s">
        <v>56</v>
      </c>
    </row>
    <row r="33" spans="1:32" ht="15.6" x14ac:dyDescent="0.3">
      <c r="A33" s="16">
        <v>30</v>
      </c>
      <c r="B33" s="16" t="s">
        <v>370</v>
      </c>
      <c r="C33" s="16" t="s">
        <v>372</v>
      </c>
      <c r="D33" s="16" t="s">
        <v>373</v>
      </c>
      <c r="E33" s="16" t="s">
        <v>374</v>
      </c>
      <c r="F33" s="23" t="s">
        <v>478</v>
      </c>
      <c r="G33" s="23" t="s">
        <v>444</v>
      </c>
      <c r="H33" s="24" t="s">
        <v>14</v>
      </c>
      <c r="I33" s="45">
        <v>1519.7</v>
      </c>
      <c r="J33" s="112">
        <v>425</v>
      </c>
      <c r="K33" s="62">
        <v>55.299999999999955</v>
      </c>
      <c r="L33" s="113">
        <v>2000</v>
      </c>
      <c r="M33" s="22">
        <v>9</v>
      </c>
      <c r="N33" s="18">
        <v>312</v>
      </c>
      <c r="O33" s="25">
        <v>6</v>
      </c>
      <c r="P33" s="26">
        <v>7.2267475724220279E-2</v>
      </c>
      <c r="Q33" s="34">
        <v>45545</v>
      </c>
      <c r="R33" s="19">
        <v>54857</v>
      </c>
      <c r="S33" s="19">
        <v>45332</v>
      </c>
      <c r="T33" s="36">
        <v>1565.6913214095832</v>
      </c>
      <c r="U33" s="37">
        <v>1570.8786237138329</v>
      </c>
      <c r="V33" s="26">
        <v>5.8028361627453506E-3</v>
      </c>
      <c r="W33" s="26"/>
      <c r="X33" s="20">
        <v>2150</v>
      </c>
      <c r="Y33" s="58">
        <v>0.73064122033201528</v>
      </c>
      <c r="Z33" s="68">
        <v>-3.6325242757797166E-3</v>
      </c>
      <c r="AA33" s="74">
        <v>11.323285</v>
      </c>
      <c r="AB33" s="69">
        <v>29.222855927844201</v>
      </c>
      <c r="AC33" s="70">
        <v>39.926101215475072</v>
      </c>
      <c r="AD33" s="71" t="s">
        <v>375</v>
      </c>
      <c r="AE33" s="72">
        <v>4103</v>
      </c>
      <c r="AF33" s="73" t="s">
        <v>177</v>
      </c>
    </row>
    <row r="34" spans="1:32" ht="15.6" x14ac:dyDescent="0.3">
      <c r="A34" s="16">
        <v>31</v>
      </c>
      <c r="B34" s="16" t="s">
        <v>376</v>
      </c>
      <c r="C34" s="16" t="s">
        <v>150</v>
      </c>
      <c r="D34" s="16" t="s">
        <v>378</v>
      </c>
      <c r="E34" s="16" t="s">
        <v>379</v>
      </c>
      <c r="F34" s="23" t="s">
        <v>479</v>
      </c>
      <c r="G34" s="23" t="s">
        <v>462</v>
      </c>
      <c r="H34" s="24" t="s">
        <v>14</v>
      </c>
      <c r="I34" s="45">
        <v>1919.43</v>
      </c>
      <c r="J34" s="112">
        <v>700</v>
      </c>
      <c r="K34" s="62">
        <v>80.569999999999936</v>
      </c>
      <c r="L34" s="113">
        <v>2700</v>
      </c>
      <c r="M34" s="22">
        <v>10</v>
      </c>
      <c r="N34" s="18">
        <v>360</v>
      </c>
      <c r="O34" s="25">
        <v>6</v>
      </c>
      <c r="P34" s="26">
        <v>7.2233894467353801E-2</v>
      </c>
      <c r="Q34" s="34">
        <v>45545</v>
      </c>
      <c r="R34" s="19">
        <v>56318</v>
      </c>
      <c r="S34" s="19">
        <v>45332</v>
      </c>
      <c r="T34" s="36">
        <v>1981.9640774170948</v>
      </c>
      <c r="U34" s="37">
        <v>1990.8333437964347</v>
      </c>
      <c r="V34" s="26">
        <v>5.8028361627453506E-3</v>
      </c>
      <c r="W34" s="26"/>
      <c r="X34" s="20">
        <v>2700</v>
      </c>
      <c r="Y34" s="58">
        <v>0.73734568288756841</v>
      </c>
      <c r="Z34" s="68">
        <v>-3.6661055326461939E-3</v>
      </c>
      <c r="AA34" s="74">
        <v>13.67018</v>
      </c>
      <c r="AB34" s="69">
        <v>32.151801915010338</v>
      </c>
      <c r="AC34" s="70">
        <v>40.257128241136428</v>
      </c>
      <c r="AD34" s="71" t="s">
        <v>356</v>
      </c>
      <c r="AE34" s="72">
        <v>4103</v>
      </c>
      <c r="AF34" s="73" t="s">
        <v>51</v>
      </c>
    </row>
    <row r="35" spans="1:32" ht="15.6" x14ac:dyDescent="0.3">
      <c r="A35" s="16">
        <v>32</v>
      </c>
      <c r="B35" s="16" t="s">
        <v>380</v>
      </c>
      <c r="C35" s="16" t="s">
        <v>153</v>
      </c>
      <c r="D35" s="16" t="s">
        <v>144</v>
      </c>
      <c r="E35" s="16" t="s">
        <v>382</v>
      </c>
      <c r="F35" s="23" t="s">
        <v>480</v>
      </c>
      <c r="G35" s="23" t="s">
        <v>454</v>
      </c>
      <c r="H35" s="24" t="s">
        <v>14</v>
      </c>
      <c r="I35" s="45">
        <v>1745</v>
      </c>
      <c r="J35" s="112">
        <v>375</v>
      </c>
      <c r="K35" s="62">
        <v>80</v>
      </c>
      <c r="L35" s="113">
        <v>2200</v>
      </c>
      <c r="M35" s="22">
        <v>11</v>
      </c>
      <c r="N35" s="18">
        <v>360</v>
      </c>
      <c r="O35" s="25">
        <v>6</v>
      </c>
      <c r="P35" s="26">
        <v>7.2233894467353801E-2</v>
      </c>
      <c r="Q35" s="34">
        <v>45545</v>
      </c>
      <c r="R35" s="19">
        <v>56318</v>
      </c>
      <c r="S35" s="19">
        <v>45332</v>
      </c>
      <c r="T35" s="36">
        <v>1801.8512951615212</v>
      </c>
      <c r="U35" s="37">
        <v>1810.2455577812143</v>
      </c>
      <c r="V35" s="26">
        <v>5.8028361627453506E-3</v>
      </c>
      <c r="W35" s="26"/>
      <c r="X35" s="20">
        <v>2200</v>
      </c>
      <c r="Y35" s="58">
        <v>0.82283888990055198</v>
      </c>
      <c r="Z35" s="68">
        <v>-3.6661055326461939E-3</v>
      </c>
      <c r="AA35" s="74">
        <v>12.42789</v>
      </c>
      <c r="AB35" s="69">
        <v>26.399493353731319</v>
      </c>
      <c r="AC35" s="70">
        <v>29.663244546285387</v>
      </c>
      <c r="AD35" s="71" t="s">
        <v>383</v>
      </c>
      <c r="AE35" s="72">
        <v>4103</v>
      </c>
      <c r="AF35" s="73" t="s">
        <v>136</v>
      </c>
    </row>
    <row r="36" spans="1:32" ht="15.6" x14ac:dyDescent="0.3">
      <c r="A36" s="16">
        <v>33</v>
      </c>
      <c r="B36" s="16" t="s">
        <v>384</v>
      </c>
      <c r="C36" s="16" t="s">
        <v>386</v>
      </c>
      <c r="D36" s="16" t="s">
        <v>152</v>
      </c>
      <c r="E36" s="16" t="s">
        <v>387</v>
      </c>
      <c r="F36" s="23" t="s">
        <v>481</v>
      </c>
      <c r="G36" s="23" t="s">
        <v>472</v>
      </c>
      <c r="H36" s="24" t="s">
        <v>14</v>
      </c>
      <c r="I36" s="45">
        <v>1285</v>
      </c>
      <c r="J36" s="112">
        <v>700</v>
      </c>
      <c r="K36" s="62">
        <v>80</v>
      </c>
      <c r="L36" s="113">
        <v>2065</v>
      </c>
      <c r="M36" s="22">
        <v>12</v>
      </c>
      <c r="N36" s="18">
        <v>360</v>
      </c>
      <c r="O36" s="25">
        <v>6</v>
      </c>
      <c r="P36" s="26">
        <v>7.2233894467353801E-2</v>
      </c>
      <c r="Q36" s="34">
        <v>45545</v>
      </c>
      <c r="R36" s="19">
        <v>56318</v>
      </c>
      <c r="S36" s="19">
        <v>45332</v>
      </c>
      <c r="T36" s="36">
        <v>1326.8647073252473</v>
      </c>
      <c r="U36" s="37">
        <v>1332.5624576140272</v>
      </c>
      <c r="V36" s="26">
        <v>5.8028361627453506E-3</v>
      </c>
      <c r="W36" s="26"/>
      <c r="X36" s="20">
        <v>2440</v>
      </c>
      <c r="Y36" s="58">
        <v>0.54613215475984722</v>
      </c>
      <c r="Z36" s="68">
        <v>-3.6661055326461939E-3</v>
      </c>
      <c r="AA36" s="74">
        <v>9.1517700000000008</v>
      </c>
      <c r="AB36" s="69">
        <v>36.017663807010329</v>
      </c>
      <c r="AC36" s="70">
        <v>39.467694204422351</v>
      </c>
      <c r="AD36" s="71" t="s">
        <v>388</v>
      </c>
      <c r="AE36" s="72">
        <v>4103</v>
      </c>
      <c r="AF36" s="73" t="s">
        <v>136</v>
      </c>
    </row>
    <row r="37" spans="1:32" ht="15.6" x14ac:dyDescent="0.3">
      <c r="A37" s="16">
        <v>34</v>
      </c>
      <c r="B37" s="16" t="s">
        <v>389</v>
      </c>
      <c r="C37" s="16" t="s">
        <v>391</v>
      </c>
      <c r="D37" s="16" t="s">
        <v>392</v>
      </c>
      <c r="E37" s="16" t="s">
        <v>393</v>
      </c>
      <c r="F37" s="23" t="s">
        <v>482</v>
      </c>
      <c r="G37" s="23" t="s">
        <v>464</v>
      </c>
      <c r="H37" s="24" t="s">
        <v>14</v>
      </c>
      <c r="I37" s="45">
        <v>1620</v>
      </c>
      <c r="J37" s="112">
        <v>700</v>
      </c>
      <c r="K37" s="62">
        <v>80</v>
      </c>
      <c r="L37" s="113">
        <v>2400</v>
      </c>
      <c r="M37" s="22">
        <v>13</v>
      </c>
      <c r="N37" s="18">
        <v>300</v>
      </c>
      <c r="O37" s="25">
        <v>6</v>
      </c>
      <c r="P37" s="26">
        <v>7.2277936339378346E-2</v>
      </c>
      <c r="Q37" s="34">
        <v>45545</v>
      </c>
      <c r="R37" s="19">
        <v>54492</v>
      </c>
      <c r="S37" s="19">
        <v>45332</v>
      </c>
      <c r="T37" s="36">
        <v>1667.602656465871</v>
      </c>
      <c r="U37" s="37">
        <v>1673.7344928518401</v>
      </c>
      <c r="V37" s="26">
        <v>5.8028361627453506E-3</v>
      </c>
      <c r="W37" s="26"/>
      <c r="X37" s="20">
        <v>2600</v>
      </c>
      <c r="Y37" s="58">
        <v>0.64374403571224614</v>
      </c>
      <c r="Z37" s="68">
        <v>-3.6220636606216494E-3</v>
      </c>
      <c r="AA37" s="74">
        <v>12.239100000000001</v>
      </c>
      <c r="AB37" s="69">
        <v>30.137122337896894</v>
      </c>
      <c r="AC37" s="70">
        <v>53.172439511952099</v>
      </c>
      <c r="AD37" s="71" t="s">
        <v>394</v>
      </c>
      <c r="AE37" s="72">
        <v>4103</v>
      </c>
      <c r="AF37" s="73" t="s">
        <v>136</v>
      </c>
    </row>
    <row r="38" spans="1:32" ht="15.6" x14ac:dyDescent="0.3">
      <c r="A38" s="16">
        <v>35</v>
      </c>
      <c r="B38" s="16" t="s">
        <v>395</v>
      </c>
      <c r="C38" s="16" t="s">
        <v>397</v>
      </c>
      <c r="D38" s="16" t="s">
        <v>398</v>
      </c>
      <c r="E38" s="16" t="s">
        <v>399</v>
      </c>
      <c r="F38" s="23" t="s">
        <v>483</v>
      </c>
      <c r="G38" s="23" t="s">
        <v>447</v>
      </c>
      <c r="H38" s="24" t="s">
        <v>14</v>
      </c>
      <c r="I38" s="45">
        <v>1720</v>
      </c>
      <c r="J38" s="112">
        <v>600</v>
      </c>
      <c r="K38" s="62">
        <v>80</v>
      </c>
      <c r="L38" s="113">
        <v>2400</v>
      </c>
      <c r="M38" s="22">
        <v>14</v>
      </c>
      <c r="N38" s="18">
        <v>360</v>
      </c>
      <c r="O38" s="25">
        <v>6</v>
      </c>
      <c r="P38" s="26">
        <v>7.2233894467353801E-2</v>
      </c>
      <c r="Q38" s="34">
        <v>45545</v>
      </c>
      <c r="R38" s="19">
        <v>56318</v>
      </c>
      <c r="S38" s="19">
        <v>45332</v>
      </c>
      <c r="T38" s="36">
        <v>1776.0368066921567</v>
      </c>
      <c r="U38" s="37">
        <v>1784.0306810928951</v>
      </c>
      <c r="V38" s="26">
        <v>5.8028361627453506E-3</v>
      </c>
      <c r="W38" s="26"/>
      <c r="X38" s="20">
        <v>2400</v>
      </c>
      <c r="Y38" s="58">
        <v>0.74334611712203957</v>
      </c>
      <c r="Z38" s="68">
        <v>-3.6661055326461939E-3</v>
      </c>
      <c r="AA38" s="74">
        <v>12.249840000000001</v>
      </c>
      <c r="AB38" s="69">
        <v>30.88455733653792</v>
      </c>
      <c r="AC38" s="70">
        <v>37.140980008382421</v>
      </c>
      <c r="AD38" s="71" t="s">
        <v>400</v>
      </c>
      <c r="AE38" s="72">
        <v>4103</v>
      </c>
      <c r="AF38" s="73" t="s">
        <v>169</v>
      </c>
    </row>
    <row r="39" spans="1:32" ht="15.6" x14ac:dyDescent="0.3">
      <c r="A39" s="16">
        <v>36</v>
      </c>
      <c r="B39" s="16" t="s">
        <v>402</v>
      </c>
      <c r="C39" s="16" t="s">
        <v>149</v>
      </c>
      <c r="D39" s="16" t="s">
        <v>404</v>
      </c>
      <c r="E39" s="16" t="s">
        <v>405</v>
      </c>
      <c r="F39" s="23" t="s">
        <v>484</v>
      </c>
      <c r="G39" s="23" t="s">
        <v>462</v>
      </c>
      <c r="H39" s="24" t="s">
        <v>14</v>
      </c>
      <c r="I39" s="45">
        <v>1581.65</v>
      </c>
      <c r="J39" s="112">
        <v>700</v>
      </c>
      <c r="K39" s="62">
        <v>43.349999999999909</v>
      </c>
      <c r="L39" s="113">
        <v>2325</v>
      </c>
      <c r="M39" s="22">
        <v>15</v>
      </c>
      <c r="N39" s="18">
        <v>360</v>
      </c>
      <c r="O39" s="25">
        <v>6</v>
      </c>
      <c r="P39" s="26">
        <v>7.2233894467353801E-2</v>
      </c>
      <c r="Q39" s="34">
        <v>45545</v>
      </c>
      <c r="R39" s="19">
        <v>56318</v>
      </c>
      <c r="S39" s="19">
        <v>45332</v>
      </c>
      <c r="T39" s="36">
        <v>1633.1793840073581</v>
      </c>
      <c r="U39" s="37">
        <v>1639.8532047642852</v>
      </c>
      <c r="V39" s="26">
        <v>5.8028361627453506E-3</v>
      </c>
      <c r="W39" s="26"/>
      <c r="X39" s="20">
        <v>2600</v>
      </c>
      <c r="Y39" s="58">
        <v>0.63071277106318668</v>
      </c>
      <c r="Z39" s="68">
        <v>-3.6661055326461939E-3</v>
      </c>
      <c r="AA39" s="74">
        <v>11.264511000000001</v>
      </c>
      <c r="AB39" s="69">
        <v>22.315428855601297</v>
      </c>
      <c r="AC39" s="70">
        <v>35.014293217429554</v>
      </c>
      <c r="AD39" s="71" t="s">
        <v>406</v>
      </c>
      <c r="AE39" s="72">
        <v>4103</v>
      </c>
      <c r="AF39" s="73" t="s">
        <v>136</v>
      </c>
    </row>
    <row r="40" spans="1:32" ht="15.6" x14ac:dyDescent="0.3">
      <c r="A40" s="16">
        <v>37</v>
      </c>
      <c r="B40" s="16" t="s">
        <v>407</v>
      </c>
      <c r="C40" s="16" t="s">
        <v>409</v>
      </c>
      <c r="D40" s="16" t="s">
        <v>143</v>
      </c>
      <c r="E40" s="16" t="s">
        <v>410</v>
      </c>
      <c r="F40" s="23" t="s">
        <v>485</v>
      </c>
      <c r="G40" s="23" t="s">
        <v>444</v>
      </c>
      <c r="H40" s="24" t="s">
        <v>14</v>
      </c>
      <c r="I40" s="45">
        <v>1630</v>
      </c>
      <c r="J40" s="112">
        <v>375</v>
      </c>
      <c r="K40" s="62">
        <v>95</v>
      </c>
      <c r="L40" s="113">
        <v>2100</v>
      </c>
      <c r="M40" s="22">
        <v>16</v>
      </c>
      <c r="N40" s="18">
        <v>360</v>
      </c>
      <c r="O40" s="25">
        <v>6</v>
      </c>
      <c r="P40" s="26">
        <v>7.2233894467353801E-2</v>
      </c>
      <c r="Q40" s="34">
        <v>45545</v>
      </c>
      <c r="R40" s="19">
        <v>56318</v>
      </c>
      <c r="S40" s="19">
        <v>45332</v>
      </c>
      <c r="T40" s="36">
        <v>1683.1046482024512</v>
      </c>
      <c r="U40" s="37">
        <v>1690.824161959825</v>
      </c>
      <c r="V40" s="26">
        <v>5.8028361627453506E-3</v>
      </c>
      <c r="W40" s="26"/>
      <c r="X40" s="20">
        <v>2100</v>
      </c>
      <c r="Y40" s="58">
        <v>0.80515436283801189</v>
      </c>
      <c r="Z40" s="68">
        <v>-3.6661055326461939E-3</v>
      </c>
      <c r="AA40" s="74">
        <v>11.60886</v>
      </c>
      <c r="AB40" s="69">
        <v>25.436078866166508</v>
      </c>
      <c r="AC40" s="70">
        <v>35.435235012507718</v>
      </c>
      <c r="AD40" s="71" t="s">
        <v>411</v>
      </c>
      <c r="AE40" s="72">
        <v>4103</v>
      </c>
      <c r="AF40" s="73" t="s">
        <v>177</v>
      </c>
    </row>
    <row r="41" spans="1:32" ht="15.6" x14ac:dyDescent="0.3">
      <c r="A41" s="16">
        <v>38</v>
      </c>
      <c r="B41" s="16" t="s">
        <v>412</v>
      </c>
      <c r="C41" s="16" t="s">
        <v>147</v>
      </c>
      <c r="D41" s="16" t="s">
        <v>242</v>
      </c>
      <c r="E41" s="16" t="s">
        <v>414</v>
      </c>
      <c r="F41" s="23" t="s">
        <v>486</v>
      </c>
      <c r="G41" s="23" t="s">
        <v>462</v>
      </c>
      <c r="H41" s="24" t="s">
        <v>14</v>
      </c>
      <c r="I41" s="45">
        <v>896</v>
      </c>
      <c r="J41" s="112">
        <v>450</v>
      </c>
      <c r="K41" s="62">
        <v>54</v>
      </c>
      <c r="L41" s="113">
        <v>1400</v>
      </c>
      <c r="M41" s="22">
        <v>17</v>
      </c>
      <c r="N41" s="18">
        <v>336</v>
      </c>
      <c r="O41" s="25">
        <v>6</v>
      </c>
      <c r="P41" s="26">
        <v>7.2249141335487349E-2</v>
      </c>
      <c r="Q41" s="34">
        <v>45545</v>
      </c>
      <c r="R41" s="19">
        <v>55588</v>
      </c>
      <c r="S41" s="19">
        <v>45332</v>
      </c>
      <c r="T41" s="36">
        <v>924.61660855895389</v>
      </c>
      <c r="U41" s="37">
        <v>927.26286849739279</v>
      </c>
      <c r="V41" s="26">
        <v>5.8028361627453506E-3</v>
      </c>
      <c r="W41" s="26"/>
      <c r="X41" s="20">
        <v>1400</v>
      </c>
      <c r="Y41" s="58">
        <v>0.66233062035528056</v>
      </c>
      <c r="Z41" s="68">
        <v>-3.6508586645126462E-3</v>
      </c>
      <c r="AA41" s="74">
        <v>6.5148159999999997</v>
      </c>
      <c r="AB41" s="69">
        <v>18.231277789618126</v>
      </c>
      <c r="AC41" s="70">
        <v>30.271257449974936</v>
      </c>
      <c r="AD41" s="71" t="s">
        <v>415</v>
      </c>
      <c r="AE41" s="72">
        <v>4103</v>
      </c>
      <c r="AF41" s="73" t="s">
        <v>169</v>
      </c>
    </row>
    <row r="42" spans="1:32" ht="15.6" x14ac:dyDescent="0.3">
      <c r="A42" s="16">
        <v>39</v>
      </c>
      <c r="B42" s="16" t="s">
        <v>416</v>
      </c>
      <c r="C42" s="16" t="s">
        <v>418</v>
      </c>
      <c r="D42" s="16" t="s">
        <v>419</v>
      </c>
      <c r="E42" s="16" t="s">
        <v>420</v>
      </c>
      <c r="F42" s="23" t="s">
        <v>487</v>
      </c>
      <c r="G42" s="23" t="s">
        <v>454</v>
      </c>
      <c r="H42" s="24" t="s">
        <v>14</v>
      </c>
      <c r="I42" s="45">
        <v>860</v>
      </c>
      <c r="J42" s="112">
        <v>500</v>
      </c>
      <c r="K42" s="62">
        <v>40</v>
      </c>
      <c r="L42" s="113">
        <v>1400</v>
      </c>
      <c r="M42" s="22">
        <v>18</v>
      </c>
      <c r="N42" s="18">
        <v>360</v>
      </c>
      <c r="O42" s="25">
        <v>6</v>
      </c>
      <c r="P42" s="26">
        <v>7.2233894467353801E-2</v>
      </c>
      <c r="Q42" s="34">
        <v>45545</v>
      </c>
      <c r="R42" s="19">
        <v>56318</v>
      </c>
      <c r="S42" s="19">
        <v>45332</v>
      </c>
      <c r="T42" s="36">
        <v>888.01840334607834</v>
      </c>
      <c r="U42" s="37">
        <v>891.28842557426674</v>
      </c>
      <c r="V42" s="26">
        <v>5.8028361627453506E-3</v>
      </c>
      <c r="W42" s="26"/>
      <c r="X42" s="20">
        <v>1400</v>
      </c>
      <c r="Y42" s="58">
        <v>0.63663458969590481</v>
      </c>
      <c r="Z42" s="68">
        <v>-3.6661055326461939E-3</v>
      </c>
      <c r="AA42" s="74">
        <v>6.1249200000000004</v>
      </c>
      <c r="AB42" s="69">
        <v>9.1882356133504928</v>
      </c>
      <c r="AC42" s="70">
        <v>25.231874201357673</v>
      </c>
      <c r="AD42" s="71" t="s">
        <v>421</v>
      </c>
      <c r="AE42" s="72">
        <v>4103</v>
      </c>
      <c r="AF42" s="73" t="s">
        <v>174</v>
      </c>
    </row>
    <row r="43" spans="1:32" ht="15.6" x14ac:dyDescent="0.3">
      <c r="A43" s="16">
        <v>40</v>
      </c>
      <c r="B43" s="16" t="s">
        <v>423</v>
      </c>
      <c r="C43" s="16" t="s">
        <v>365</v>
      </c>
      <c r="D43" s="16" t="s">
        <v>425</v>
      </c>
      <c r="E43" s="16" t="s">
        <v>426</v>
      </c>
      <c r="F43" s="23" t="s">
        <v>488</v>
      </c>
      <c r="G43" s="23" t="s">
        <v>439</v>
      </c>
      <c r="H43" s="24" t="s">
        <v>14</v>
      </c>
      <c r="I43" s="45">
        <v>1210</v>
      </c>
      <c r="J43" s="112">
        <v>700</v>
      </c>
      <c r="K43" s="62">
        <v>80</v>
      </c>
      <c r="L43" s="113">
        <v>1990</v>
      </c>
      <c r="M43" s="22">
        <v>19</v>
      </c>
      <c r="N43" s="18">
        <v>360</v>
      </c>
      <c r="O43" s="25">
        <v>6</v>
      </c>
      <c r="P43" s="26">
        <v>7.2233894467353801E-2</v>
      </c>
      <c r="Q43" s="34">
        <v>45545</v>
      </c>
      <c r="R43" s="19">
        <v>56318</v>
      </c>
      <c r="S43" s="19">
        <v>45332</v>
      </c>
      <c r="T43" s="36">
        <v>1249.4212419171577</v>
      </c>
      <c r="U43" s="37">
        <v>1255.3753821709836</v>
      </c>
      <c r="V43" s="26">
        <v>5.8028361627453506E-3</v>
      </c>
      <c r="W43" s="26"/>
      <c r="X43" s="20">
        <v>2200</v>
      </c>
      <c r="Y43" s="58">
        <v>0.5706251737140835</v>
      </c>
      <c r="Z43" s="68">
        <v>-3.6661055326461939E-3</v>
      </c>
      <c r="AA43" s="74">
        <v>8.6176200000000005</v>
      </c>
      <c r="AB43" s="69">
        <v>26.4641270854857</v>
      </c>
      <c r="AC43" s="70">
        <v>50.420420838147727</v>
      </c>
      <c r="AD43" s="71" t="s">
        <v>427</v>
      </c>
      <c r="AE43" s="72">
        <v>4103</v>
      </c>
      <c r="AF43" s="73" t="s">
        <v>51</v>
      </c>
    </row>
    <row r="44" spans="1:32" ht="15.6" x14ac:dyDescent="0.3">
      <c r="A44" s="16">
        <v>41</v>
      </c>
      <c r="B44" s="16" t="s">
        <v>428</v>
      </c>
      <c r="C44" s="16" t="s">
        <v>274</v>
      </c>
      <c r="D44" s="16" t="s">
        <v>430</v>
      </c>
      <c r="E44" s="16" t="s">
        <v>431</v>
      </c>
      <c r="F44" s="23" t="s">
        <v>489</v>
      </c>
      <c r="G44" s="23" t="s">
        <v>449</v>
      </c>
      <c r="H44" s="24" t="s">
        <v>14</v>
      </c>
      <c r="I44" s="45">
        <v>1720</v>
      </c>
      <c r="J44" s="112">
        <v>600</v>
      </c>
      <c r="K44" s="62">
        <v>80</v>
      </c>
      <c r="L44" s="113">
        <v>2400</v>
      </c>
      <c r="M44" s="22">
        <v>20</v>
      </c>
      <c r="N44" s="18">
        <v>360</v>
      </c>
      <c r="O44" s="25">
        <v>6</v>
      </c>
      <c r="P44" s="26">
        <v>7.2233894467353801E-2</v>
      </c>
      <c r="Q44" s="34">
        <v>45545</v>
      </c>
      <c r="R44" s="19">
        <v>56318</v>
      </c>
      <c r="S44" s="19">
        <v>45332</v>
      </c>
      <c r="T44" s="36">
        <v>1776.0368066921567</v>
      </c>
      <c r="U44" s="37">
        <v>1784.0306810928951</v>
      </c>
      <c r="V44" s="26">
        <v>5.8028361627453506E-3</v>
      </c>
      <c r="W44" s="26"/>
      <c r="X44" s="20">
        <v>2400</v>
      </c>
      <c r="Y44" s="58">
        <v>0.74334611712203957</v>
      </c>
      <c r="Z44" s="68">
        <v>-3.6661055326461939E-3</v>
      </c>
      <c r="AA44" s="74">
        <v>12.249840000000001</v>
      </c>
      <c r="AB44" s="69">
        <v>25.32460763901987</v>
      </c>
      <c r="AC44" s="70">
        <v>31.799541630666507</v>
      </c>
      <c r="AD44" s="71" t="s">
        <v>432</v>
      </c>
      <c r="AE44" s="72">
        <v>4103</v>
      </c>
      <c r="AF44" s="73" t="s">
        <v>169</v>
      </c>
    </row>
    <row r="45" spans="1:32" ht="15.6" x14ac:dyDescent="0.3">
      <c r="A45" s="16">
        <v>42</v>
      </c>
      <c r="B45" s="16" t="s">
        <v>433</v>
      </c>
      <c r="C45" s="16" t="s">
        <v>156</v>
      </c>
      <c r="D45" s="16" t="s">
        <v>435</v>
      </c>
      <c r="E45" s="16" t="s">
        <v>436</v>
      </c>
      <c r="F45" s="23" t="s">
        <v>490</v>
      </c>
      <c r="G45" s="23" t="s">
        <v>449</v>
      </c>
      <c r="H45" s="24" t="s">
        <v>14</v>
      </c>
      <c r="I45" s="45">
        <v>1365</v>
      </c>
      <c r="J45" s="112">
        <v>425</v>
      </c>
      <c r="K45" s="62">
        <v>80</v>
      </c>
      <c r="L45" s="113">
        <v>1870</v>
      </c>
      <c r="M45" s="22">
        <v>21</v>
      </c>
      <c r="N45" s="18">
        <v>216</v>
      </c>
      <c r="O45" s="25">
        <v>6</v>
      </c>
      <c r="P45" s="26">
        <v>7.2386303544044489E-2</v>
      </c>
      <c r="Q45" s="34">
        <v>45545</v>
      </c>
      <c r="R45" s="19">
        <v>51935</v>
      </c>
      <c r="S45" s="19">
        <v>45332</v>
      </c>
      <c r="T45" s="36">
        <v>1395.3524375127422</v>
      </c>
      <c r="U45" s="37">
        <v>1400.3211209369808</v>
      </c>
      <c r="V45" s="26">
        <v>5.8028361627453506E-3</v>
      </c>
      <c r="W45" s="26"/>
      <c r="X45" s="20">
        <v>2100</v>
      </c>
      <c r="Y45" s="58">
        <v>0.66681958139856234</v>
      </c>
      <c r="Z45" s="68">
        <v>-3.5136964559555062E-3</v>
      </c>
      <c r="AA45" s="74">
        <v>11.890515000000001</v>
      </c>
      <c r="AB45" s="69">
        <v>21.950803105350179</v>
      </c>
      <c r="AC45" s="70">
        <v>34.815282651415032</v>
      </c>
      <c r="AD45" s="71" t="s">
        <v>437</v>
      </c>
      <c r="AE45" s="72">
        <v>4103</v>
      </c>
      <c r="AF45" s="73" t="s">
        <v>332</v>
      </c>
    </row>
  </sheetData>
  <mergeCells count="12">
    <mergeCell ref="V2:V3"/>
    <mergeCell ref="I2:I3"/>
    <mergeCell ref="P2:P3"/>
    <mergeCell ref="Q2:Q3"/>
    <mergeCell ref="R2:R3"/>
    <mergeCell ref="S2:S3"/>
    <mergeCell ref="AC2:AC3"/>
    <mergeCell ref="X2:X3"/>
    <mergeCell ref="Y2:Y3"/>
    <mergeCell ref="Z2:Z3"/>
    <mergeCell ref="AA2:AA3"/>
    <mergeCell ref="AB2:AB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Y44"/>
  <sheetViews>
    <sheetView showGridLines="0" workbookViewId="0">
      <pane xSplit="1" ySplit="2" topLeftCell="B6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defaultColWidth="11.44140625" defaultRowHeight="13.2" x14ac:dyDescent="0.25"/>
  <cols>
    <col min="1" max="1" width="11.33203125" style="1" bestFit="1" customWidth="1"/>
    <col min="2" max="2" width="14.6640625" style="1" bestFit="1" customWidth="1"/>
  </cols>
  <sheetData>
    <row r="1" spans="1:363" x14ac:dyDescent="0.25">
      <c r="B1" s="14">
        <f>+'Valo FX'!U3</f>
        <v>45351</v>
      </c>
      <c r="C1" s="15">
        <f>'Valo FX'!T3</f>
        <v>45361</v>
      </c>
      <c r="D1" s="15">
        <f>EDATE(C1,1)</f>
        <v>45392</v>
      </c>
      <c r="E1" s="15">
        <f>EDATE(D1,1)</f>
        <v>45422</v>
      </c>
      <c r="F1" s="15">
        <f t="shared" ref="F1:BQ1" si="0">EDATE(E1,1)</f>
        <v>45453</v>
      </c>
      <c r="G1" s="15">
        <f t="shared" si="0"/>
        <v>45483</v>
      </c>
      <c r="H1" s="15">
        <f t="shared" si="0"/>
        <v>45514</v>
      </c>
      <c r="I1" s="15">
        <f t="shared" si="0"/>
        <v>45545</v>
      </c>
      <c r="J1" s="15">
        <f t="shared" si="0"/>
        <v>45575</v>
      </c>
      <c r="K1" s="15">
        <f t="shared" si="0"/>
        <v>45606</v>
      </c>
      <c r="L1" s="15">
        <f t="shared" si="0"/>
        <v>45636</v>
      </c>
      <c r="M1" s="15">
        <f t="shared" si="0"/>
        <v>45667</v>
      </c>
      <c r="N1" s="15">
        <f t="shared" si="0"/>
        <v>45698</v>
      </c>
      <c r="O1" s="15">
        <f t="shared" si="0"/>
        <v>45726</v>
      </c>
      <c r="P1" s="15">
        <f t="shared" si="0"/>
        <v>45757</v>
      </c>
      <c r="Q1" s="15">
        <f t="shared" si="0"/>
        <v>45787</v>
      </c>
      <c r="R1" s="15">
        <f t="shared" si="0"/>
        <v>45818</v>
      </c>
      <c r="S1" s="15">
        <f t="shared" si="0"/>
        <v>45848</v>
      </c>
      <c r="T1" s="15">
        <f t="shared" si="0"/>
        <v>45879</v>
      </c>
      <c r="U1" s="15">
        <f t="shared" si="0"/>
        <v>45910</v>
      </c>
      <c r="V1" s="15">
        <f t="shared" si="0"/>
        <v>45940</v>
      </c>
      <c r="W1" s="15">
        <f t="shared" si="0"/>
        <v>45971</v>
      </c>
      <c r="X1" s="15">
        <f t="shared" si="0"/>
        <v>46001</v>
      </c>
      <c r="Y1" s="15">
        <f t="shared" si="0"/>
        <v>46032</v>
      </c>
      <c r="Z1" s="15">
        <f t="shared" si="0"/>
        <v>46063</v>
      </c>
      <c r="AA1" s="15">
        <f t="shared" si="0"/>
        <v>46091</v>
      </c>
      <c r="AB1" s="15">
        <f t="shared" si="0"/>
        <v>46122</v>
      </c>
      <c r="AC1" s="15">
        <f t="shared" si="0"/>
        <v>46152</v>
      </c>
      <c r="AD1" s="15">
        <f t="shared" si="0"/>
        <v>46183</v>
      </c>
      <c r="AE1" s="15">
        <f t="shared" si="0"/>
        <v>46213</v>
      </c>
      <c r="AF1" s="15">
        <f t="shared" si="0"/>
        <v>46244</v>
      </c>
      <c r="AG1" s="15">
        <f t="shared" si="0"/>
        <v>46275</v>
      </c>
      <c r="AH1" s="15">
        <f t="shared" si="0"/>
        <v>46305</v>
      </c>
      <c r="AI1" s="15">
        <f t="shared" si="0"/>
        <v>46336</v>
      </c>
      <c r="AJ1" s="15">
        <f t="shared" si="0"/>
        <v>46366</v>
      </c>
      <c r="AK1" s="15">
        <f t="shared" si="0"/>
        <v>46397</v>
      </c>
      <c r="AL1" s="15">
        <f t="shared" si="0"/>
        <v>46428</v>
      </c>
      <c r="AM1" s="15">
        <f t="shared" si="0"/>
        <v>46456</v>
      </c>
      <c r="AN1" s="15">
        <f t="shared" si="0"/>
        <v>46487</v>
      </c>
      <c r="AO1" s="15">
        <f t="shared" si="0"/>
        <v>46517</v>
      </c>
      <c r="AP1" s="15">
        <f t="shared" si="0"/>
        <v>46548</v>
      </c>
      <c r="AQ1" s="15">
        <f t="shared" si="0"/>
        <v>46578</v>
      </c>
      <c r="AR1" s="15">
        <f t="shared" si="0"/>
        <v>46609</v>
      </c>
      <c r="AS1" s="15">
        <f t="shared" si="0"/>
        <v>46640</v>
      </c>
      <c r="AT1" s="15">
        <f t="shared" si="0"/>
        <v>46670</v>
      </c>
      <c r="AU1" s="15">
        <f t="shared" si="0"/>
        <v>46701</v>
      </c>
      <c r="AV1" s="15">
        <f t="shared" si="0"/>
        <v>46731</v>
      </c>
      <c r="AW1" s="15">
        <f t="shared" si="0"/>
        <v>46762</v>
      </c>
      <c r="AX1" s="15">
        <f t="shared" si="0"/>
        <v>46793</v>
      </c>
      <c r="AY1" s="15">
        <f t="shared" si="0"/>
        <v>46822</v>
      </c>
      <c r="AZ1" s="15">
        <f t="shared" si="0"/>
        <v>46853</v>
      </c>
      <c r="BA1" s="15">
        <f t="shared" si="0"/>
        <v>46883</v>
      </c>
      <c r="BB1" s="15">
        <f t="shared" si="0"/>
        <v>46914</v>
      </c>
      <c r="BC1" s="15">
        <f t="shared" si="0"/>
        <v>46944</v>
      </c>
      <c r="BD1" s="15">
        <f t="shared" si="0"/>
        <v>46975</v>
      </c>
      <c r="BE1" s="15">
        <f t="shared" si="0"/>
        <v>47006</v>
      </c>
      <c r="BF1" s="15">
        <f t="shared" si="0"/>
        <v>47036</v>
      </c>
      <c r="BG1" s="15">
        <f t="shared" si="0"/>
        <v>47067</v>
      </c>
      <c r="BH1" s="15">
        <f t="shared" si="0"/>
        <v>47097</v>
      </c>
      <c r="BI1" s="15">
        <f t="shared" si="0"/>
        <v>47128</v>
      </c>
      <c r="BJ1" s="15">
        <f t="shared" si="0"/>
        <v>47159</v>
      </c>
      <c r="BK1" s="15">
        <f t="shared" si="0"/>
        <v>47187</v>
      </c>
      <c r="BL1" s="15">
        <f t="shared" si="0"/>
        <v>47218</v>
      </c>
      <c r="BM1" s="15">
        <f t="shared" si="0"/>
        <v>47248</v>
      </c>
      <c r="BN1" s="15">
        <f t="shared" si="0"/>
        <v>47279</v>
      </c>
      <c r="BO1" s="15">
        <f t="shared" si="0"/>
        <v>47309</v>
      </c>
      <c r="BP1" s="15">
        <f t="shared" si="0"/>
        <v>47340</v>
      </c>
      <c r="BQ1" s="15">
        <f t="shared" si="0"/>
        <v>47371</v>
      </c>
      <c r="BR1" s="15">
        <f t="shared" ref="BR1:EC1" si="1">EDATE(BQ1,1)</f>
        <v>47401</v>
      </c>
      <c r="BS1" s="15">
        <f t="shared" si="1"/>
        <v>47432</v>
      </c>
      <c r="BT1" s="15">
        <f t="shared" si="1"/>
        <v>47462</v>
      </c>
      <c r="BU1" s="15">
        <f t="shared" si="1"/>
        <v>47493</v>
      </c>
      <c r="BV1" s="15">
        <f t="shared" si="1"/>
        <v>47524</v>
      </c>
      <c r="BW1" s="15">
        <f t="shared" si="1"/>
        <v>47552</v>
      </c>
      <c r="BX1" s="15">
        <f t="shared" si="1"/>
        <v>47583</v>
      </c>
      <c r="BY1" s="15">
        <f t="shared" si="1"/>
        <v>47613</v>
      </c>
      <c r="BZ1" s="15">
        <f t="shared" si="1"/>
        <v>47644</v>
      </c>
      <c r="CA1" s="15">
        <f t="shared" si="1"/>
        <v>47674</v>
      </c>
      <c r="CB1" s="15">
        <f t="shared" si="1"/>
        <v>47705</v>
      </c>
      <c r="CC1" s="15">
        <f t="shared" si="1"/>
        <v>47736</v>
      </c>
      <c r="CD1" s="15">
        <f t="shared" si="1"/>
        <v>47766</v>
      </c>
      <c r="CE1" s="15">
        <f t="shared" si="1"/>
        <v>47797</v>
      </c>
      <c r="CF1" s="15">
        <f t="shared" si="1"/>
        <v>47827</v>
      </c>
      <c r="CG1" s="15">
        <f t="shared" si="1"/>
        <v>47858</v>
      </c>
      <c r="CH1" s="15">
        <f t="shared" si="1"/>
        <v>47889</v>
      </c>
      <c r="CI1" s="15">
        <f t="shared" si="1"/>
        <v>47917</v>
      </c>
      <c r="CJ1" s="15">
        <f t="shared" si="1"/>
        <v>47948</v>
      </c>
      <c r="CK1" s="15">
        <f t="shared" si="1"/>
        <v>47978</v>
      </c>
      <c r="CL1" s="15">
        <f t="shared" si="1"/>
        <v>48009</v>
      </c>
      <c r="CM1" s="15">
        <f t="shared" si="1"/>
        <v>48039</v>
      </c>
      <c r="CN1" s="15">
        <f t="shared" si="1"/>
        <v>48070</v>
      </c>
      <c r="CO1" s="15">
        <f t="shared" si="1"/>
        <v>48101</v>
      </c>
      <c r="CP1" s="15">
        <f t="shared" si="1"/>
        <v>48131</v>
      </c>
      <c r="CQ1" s="15">
        <f t="shared" si="1"/>
        <v>48162</v>
      </c>
      <c r="CR1" s="15">
        <f t="shared" si="1"/>
        <v>48192</v>
      </c>
      <c r="CS1" s="15">
        <f t="shared" si="1"/>
        <v>48223</v>
      </c>
      <c r="CT1" s="15">
        <f t="shared" si="1"/>
        <v>48254</v>
      </c>
      <c r="CU1" s="15">
        <f t="shared" si="1"/>
        <v>48283</v>
      </c>
      <c r="CV1" s="15">
        <f t="shared" si="1"/>
        <v>48314</v>
      </c>
      <c r="CW1" s="15">
        <f t="shared" si="1"/>
        <v>48344</v>
      </c>
      <c r="CX1" s="15">
        <f t="shared" si="1"/>
        <v>48375</v>
      </c>
      <c r="CY1" s="15">
        <f t="shared" si="1"/>
        <v>48405</v>
      </c>
      <c r="CZ1" s="15">
        <f t="shared" si="1"/>
        <v>48436</v>
      </c>
      <c r="DA1" s="15">
        <f t="shared" si="1"/>
        <v>48467</v>
      </c>
      <c r="DB1" s="15">
        <f t="shared" si="1"/>
        <v>48497</v>
      </c>
      <c r="DC1" s="15">
        <f t="shared" si="1"/>
        <v>48528</v>
      </c>
      <c r="DD1" s="15">
        <f t="shared" si="1"/>
        <v>48558</v>
      </c>
      <c r="DE1" s="15">
        <f t="shared" si="1"/>
        <v>48589</v>
      </c>
      <c r="DF1" s="15">
        <f t="shared" si="1"/>
        <v>48620</v>
      </c>
      <c r="DG1" s="15">
        <f t="shared" si="1"/>
        <v>48648</v>
      </c>
      <c r="DH1" s="15">
        <f t="shared" si="1"/>
        <v>48679</v>
      </c>
      <c r="DI1" s="15">
        <f t="shared" si="1"/>
        <v>48709</v>
      </c>
      <c r="DJ1" s="15">
        <f t="shared" si="1"/>
        <v>48740</v>
      </c>
      <c r="DK1" s="15">
        <f t="shared" si="1"/>
        <v>48770</v>
      </c>
      <c r="DL1" s="15">
        <f t="shared" si="1"/>
        <v>48801</v>
      </c>
      <c r="DM1" s="15">
        <f t="shared" si="1"/>
        <v>48832</v>
      </c>
      <c r="DN1" s="15">
        <f t="shared" si="1"/>
        <v>48862</v>
      </c>
      <c r="DO1" s="15">
        <f t="shared" si="1"/>
        <v>48893</v>
      </c>
      <c r="DP1" s="15">
        <f t="shared" si="1"/>
        <v>48923</v>
      </c>
      <c r="DQ1" s="15">
        <f t="shared" si="1"/>
        <v>48954</v>
      </c>
      <c r="DR1" s="15">
        <f t="shared" si="1"/>
        <v>48985</v>
      </c>
      <c r="DS1" s="15">
        <f t="shared" si="1"/>
        <v>49013</v>
      </c>
      <c r="DT1" s="15">
        <f t="shared" si="1"/>
        <v>49044</v>
      </c>
      <c r="DU1" s="15">
        <f t="shared" si="1"/>
        <v>49074</v>
      </c>
      <c r="DV1" s="15">
        <f t="shared" si="1"/>
        <v>49105</v>
      </c>
      <c r="DW1" s="15">
        <f t="shared" si="1"/>
        <v>49135</v>
      </c>
      <c r="DX1" s="15">
        <f t="shared" si="1"/>
        <v>49166</v>
      </c>
      <c r="DY1" s="15">
        <f t="shared" si="1"/>
        <v>49197</v>
      </c>
      <c r="DZ1" s="15">
        <f t="shared" si="1"/>
        <v>49227</v>
      </c>
      <c r="EA1" s="15">
        <f t="shared" si="1"/>
        <v>49258</v>
      </c>
      <c r="EB1" s="15">
        <f t="shared" si="1"/>
        <v>49288</v>
      </c>
      <c r="EC1" s="15">
        <f t="shared" si="1"/>
        <v>49319</v>
      </c>
      <c r="ED1" s="15">
        <f t="shared" ref="ED1:GO1" si="2">EDATE(EC1,1)</f>
        <v>49350</v>
      </c>
      <c r="EE1" s="15">
        <f t="shared" si="2"/>
        <v>49378</v>
      </c>
      <c r="EF1" s="15">
        <f t="shared" si="2"/>
        <v>49409</v>
      </c>
      <c r="EG1" s="15">
        <f t="shared" si="2"/>
        <v>49439</v>
      </c>
      <c r="EH1" s="15">
        <f t="shared" si="2"/>
        <v>49470</v>
      </c>
      <c r="EI1" s="15">
        <f t="shared" si="2"/>
        <v>49500</v>
      </c>
      <c r="EJ1" s="15">
        <f t="shared" si="2"/>
        <v>49531</v>
      </c>
      <c r="EK1" s="15">
        <f t="shared" si="2"/>
        <v>49562</v>
      </c>
      <c r="EL1" s="15">
        <f t="shared" si="2"/>
        <v>49592</v>
      </c>
      <c r="EM1" s="15">
        <f t="shared" si="2"/>
        <v>49623</v>
      </c>
      <c r="EN1" s="15">
        <f t="shared" si="2"/>
        <v>49653</v>
      </c>
      <c r="EO1" s="15">
        <f t="shared" si="2"/>
        <v>49684</v>
      </c>
      <c r="EP1" s="15">
        <f t="shared" si="2"/>
        <v>49715</v>
      </c>
      <c r="EQ1" s="15">
        <f t="shared" si="2"/>
        <v>49744</v>
      </c>
      <c r="ER1" s="15">
        <f t="shared" si="2"/>
        <v>49775</v>
      </c>
      <c r="ES1" s="15">
        <f t="shared" si="2"/>
        <v>49805</v>
      </c>
      <c r="ET1" s="15">
        <f t="shared" si="2"/>
        <v>49836</v>
      </c>
      <c r="EU1" s="15">
        <f t="shared" si="2"/>
        <v>49866</v>
      </c>
      <c r="EV1" s="15">
        <f t="shared" si="2"/>
        <v>49897</v>
      </c>
      <c r="EW1" s="15">
        <f t="shared" si="2"/>
        <v>49928</v>
      </c>
      <c r="EX1" s="15">
        <f t="shared" si="2"/>
        <v>49958</v>
      </c>
      <c r="EY1" s="15">
        <f t="shared" si="2"/>
        <v>49989</v>
      </c>
      <c r="EZ1" s="15">
        <f t="shared" si="2"/>
        <v>50019</v>
      </c>
      <c r="FA1" s="15">
        <f t="shared" si="2"/>
        <v>50050</v>
      </c>
      <c r="FB1" s="15">
        <f t="shared" si="2"/>
        <v>50081</v>
      </c>
      <c r="FC1" s="15">
        <f t="shared" si="2"/>
        <v>50109</v>
      </c>
      <c r="FD1" s="15">
        <f t="shared" si="2"/>
        <v>50140</v>
      </c>
      <c r="FE1" s="15">
        <f t="shared" si="2"/>
        <v>50170</v>
      </c>
      <c r="FF1" s="15">
        <f t="shared" si="2"/>
        <v>50201</v>
      </c>
      <c r="FG1" s="15">
        <f t="shared" si="2"/>
        <v>50231</v>
      </c>
      <c r="FH1" s="15">
        <f t="shared" si="2"/>
        <v>50262</v>
      </c>
      <c r="FI1" s="15">
        <f t="shared" si="2"/>
        <v>50293</v>
      </c>
      <c r="FJ1" s="15">
        <f t="shared" si="2"/>
        <v>50323</v>
      </c>
      <c r="FK1" s="15">
        <f t="shared" si="2"/>
        <v>50354</v>
      </c>
      <c r="FL1" s="15">
        <f t="shared" si="2"/>
        <v>50384</v>
      </c>
      <c r="FM1" s="15">
        <f t="shared" si="2"/>
        <v>50415</v>
      </c>
      <c r="FN1" s="15">
        <f t="shared" si="2"/>
        <v>50446</v>
      </c>
      <c r="FO1" s="15">
        <f t="shared" si="2"/>
        <v>50474</v>
      </c>
      <c r="FP1" s="15">
        <f t="shared" si="2"/>
        <v>50505</v>
      </c>
      <c r="FQ1" s="15">
        <f t="shared" si="2"/>
        <v>50535</v>
      </c>
      <c r="FR1" s="15">
        <f t="shared" si="2"/>
        <v>50566</v>
      </c>
      <c r="FS1" s="15">
        <f t="shared" si="2"/>
        <v>50596</v>
      </c>
      <c r="FT1" s="15">
        <f t="shared" si="2"/>
        <v>50627</v>
      </c>
      <c r="FU1" s="15">
        <f t="shared" si="2"/>
        <v>50658</v>
      </c>
      <c r="FV1" s="15">
        <f t="shared" si="2"/>
        <v>50688</v>
      </c>
      <c r="FW1" s="15">
        <f t="shared" si="2"/>
        <v>50719</v>
      </c>
      <c r="FX1" s="15">
        <f t="shared" si="2"/>
        <v>50749</v>
      </c>
      <c r="FY1" s="15">
        <f t="shared" si="2"/>
        <v>50780</v>
      </c>
      <c r="FZ1" s="15">
        <f t="shared" si="2"/>
        <v>50811</v>
      </c>
      <c r="GA1" s="15">
        <f t="shared" si="2"/>
        <v>50839</v>
      </c>
      <c r="GB1" s="15">
        <f t="shared" si="2"/>
        <v>50870</v>
      </c>
      <c r="GC1" s="15">
        <f t="shared" si="2"/>
        <v>50900</v>
      </c>
      <c r="GD1" s="15">
        <f t="shared" si="2"/>
        <v>50931</v>
      </c>
      <c r="GE1" s="15">
        <f t="shared" si="2"/>
        <v>50961</v>
      </c>
      <c r="GF1" s="15">
        <f t="shared" si="2"/>
        <v>50992</v>
      </c>
      <c r="GG1" s="15">
        <f t="shared" si="2"/>
        <v>51023</v>
      </c>
      <c r="GH1" s="15">
        <f t="shared" si="2"/>
        <v>51053</v>
      </c>
      <c r="GI1" s="15">
        <f t="shared" si="2"/>
        <v>51084</v>
      </c>
      <c r="GJ1" s="15">
        <f t="shared" si="2"/>
        <v>51114</v>
      </c>
      <c r="GK1" s="15">
        <f t="shared" si="2"/>
        <v>51145</v>
      </c>
      <c r="GL1" s="15">
        <f t="shared" si="2"/>
        <v>51176</v>
      </c>
      <c r="GM1" s="15">
        <f t="shared" si="2"/>
        <v>51205</v>
      </c>
      <c r="GN1" s="15">
        <f t="shared" si="2"/>
        <v>51236</v>
      </c>
      <c r="GO1" s="15">
        <f t="shared" si="2"/>
        <v>51266</v>
      </c>
      <c r="GP1" s="15">
        <f t="shared" ref="GP1:JA1" si="3">EDATE(GO1,1)</f>
        <v>51297</v>
      </c>
      <c r="GQ1" s="15">
        <f t="shared" si="3"/>
        <v>51327</v>
      </c>
      <c r="GR1" s="15">
        <f t="shared" si="3"/>
        <v>51358</v>
      </c>
      <c r="GS1" s="15">
        <f t="shared" si="3"/>
        <v>51389</v>
      </c>
      <c r="GT1" s="15">
        <f t="shared" si="3"/>
        <v>51419</v>
      </c>
      <c r="GU1" s="15">
        <f t="shared" si="3"/>
        <v>51450</v>
      </c>
      <c r="GV1" s="15">
        <f t="shared" si="3"/>
        <v>51480</v>
      </c>
      <c r="GW1" s="15">
        <f t="shared" si="3"/>
        <v>51511</v>
      </c>
      <c r="GX1" s="15">
        <f t="shared" si="3"/>
        <v>51542</v>
      </c>
      <c r="GY1" s="15">
        <f t="shared" si="3"/>
        <v>51570</v>
      </c>
      <c r="GZ1" s="15">
        <f t="shared" si="3"/>
        <v>51601</v>
      </c>
      <c r="HA1" s="15">
        <f t="shared" si="3"/>
        <v>51631</v>
      </c>
      <c r="HB1" s="15">
        <f t="shared" si="3"/>
        <v>51662</v>
      </c>
      <c r="HC1" s="15">
        <f t="shared" si="3"/>
        <v>51692</v>
      </c>
      <c r="HD1" s="15">
        <f t="shared" si="3"/>
        <v>51723</v>
      </c>
      <c r="HE1" s="15">
        <f t="shared" si="3"/>
        <v>51754</v>
      </c>
      <c r="HF1" s="15">
        <f t="shared" si="3"/>
        <v>51784</v>
      </c>
      <c r="HG1" s="15">
        <f t="shared" si="3"/>
        <v>51815</v>
      </c>
      <c r="HH1" s="15">
        <f t="shared" si="3"/>
        <v>51845</v>
      </c>
      <c r="HI1" s="15">
        <f t="shared" si="3"/>
        <v>51876</v>
      </c>
      <c r="HJ1" s="15">
        <f t="shared" si="3"/>
        <v>51907</v>
      </c>
      <c r="HK1" s="15">
        <f t="shared" si="3"/>
        <v>51935</v>
      </c>
      <c r="HL1" s="15">
        <f t="shared" si="3"/>
        <v>51966</v>
      </c>
      <c r="HM1" s="15">
        <f t="shared" si="3"/>
        <v>51996</v>
      </c>
      <c r="HN1" s="15">
        <f t="shared" si="3"/>
        <v>52027</v>
      </c>
      <c r="HO1" s="15">
        <f t="shared" si="3"/>
        <v>52057</v>
      </c>
      <c r="HP1" s="15">
        <f t="shared" si="3"/>
        <v>52088</v>
      </c>
      <c r="HQ1" s="15">
        <f t="shared" si="3"/>
        <v>52119</v>
      </c>
      <c r="HR1" s="15">
        <f t="shared" si="3"/>
        <v>52149</v>
      </c>
      <c r="HS1" s="15">
        <f t="shared" si="3"/>
        <v>52180</v>
      </c>
      <c r="HT1" s="15">
        <f t="shared" si="3"/>
        <v>52210</v>
      </c>
      <c r="HU1" s="15">
        <f t="shared" si="3"/>
        <v>52241</v>
      </c>
      <c r="HV1" s="15">
        <f t="shared" si="3"/>
        <v>52272</v>
      </c>
      <c r="HW1" s="15">
        <f t="shared" si="3"/>
        <v>52300</v>
      </c>
      <c r="HX1" s="15">
        <f t="shared" si="3"/>
        <v>52331</v>
      </c>
      <c r="HY1" s="15">
        <f t="shared" si="3"/>
        <v>52361</v>
      </c>
      <c r="HZ1" s="15">
        <f t="shared" si="3"/>
        <v>52392</v>
      </c>
      <c r="IA1" s="15">
        <f t="shared" si="3"/>
        <v>52422</v>
      </c>
      <c r="IB1" s="15">
        <f t="shared" si="3"/>
        <v>52453</v>
      </c>
      <c r="IC1" s="15">
        <f t="shared" si="3"/>
        <v>52484</v>
      </c>
      <c r="ID1" s="15">
        <f t="shared" si="3"/>
        <v>52514</v>
      </c>
      <c r="IE1" s="15">
        <f t="shared" si="3"/>
        <v>52545</v>
      </c>
      <c r="IF1" s="15">
        <f t="shared" si="3"/>
        <v>52575</v>
      </c>
      <c r="IG1" s="15">
        <f t="shared" si="3"/>
        <v>52606</v>
      </c>
      <c r="IH1" s="15">
        <f t="shared" si="3"/>
        <v>52637</v>
      </c>
      <c r="II1" s="15">
        <f t="shared" si="3"/>
        <v>52666</v>
      </c>
      <c r="IJ1" s="15">
        <f t="shared" si="3"/>
        <v>52697</v>
      </c>
      <c r="IK1" s="15">
        <f t="shared" si="3"/>
        <v>52727</v>
      </c>
      <c r="IL1" s="15">
        <f t="shared" si="3"/>
        <v>52758</v>
      </c>
      <c r="IM1" s="15">
        <f t="shared" si="3"/>
        <v>52788</v>
      </c>
      <c r="IN1" s="15">
        <f t="shared" si="3"/>
        <v>52819</v>
      </c>
      <c r="IO1" s="15">
        <f t="shared" si="3"/>
        <v>52850</v>
      </c>
      <c r="IP1" s="15">
        <f t="shared" si="3"/>
        <v>52880</v>
      </c>
      <c r="IQ1" s="15">
        <f t="shared" si="3"/>
        <v>52911</v>
      </c>
      <c r="IR1" s="15">
        <f t="shared" si="3"/>
        <v>52941</v>
      </c>
      <c r="IS1" s="15">
        <f t="shared" si="3"/>
        <v>52972</v>
      </c>
      <c r="IT1" s="15">
        <f t="shared" si="3"/>
        <v>53003</v>
      </c>
      <c r="IU1" s="15">
        <f t="shared" si="3"/>
        <v>53031</v>
      </c>
      <c r="IV1" s="15">
        <f t="shared" si="3"/>
        <v>53062</v>
      </c>
      <c r="IW1" s="15">
        <f t="shared" si="3"/>
        <v>53092</v>
      </c>
      <c r="IX1" s="15">
        <f t="shared" si="3"/>
        <v>53123</v>
      </c>
      <c r="IY1" s="15">
        <f t="shared" si="3"/>
        <v>53153</v>
      </c>
      <c r="IZ1" s="15">
        <f t="shared" si="3"/>
        <v>53184</v>
      </c>
      <c r="JA1" s="15">
        <f t="shared" si="3"/>
        <v>53215</v>
      </c>
      <c r="JB1" s="15">
        <f t="shared" ref="JB1:LM1" si="4">EDATE(JA1,1)</f>
        <v>53245</v>
      </c>
      <c r="JC1" s="15">
        <f t="shared" si="4"/>
        <v>53276</v>
      </c>
      <c r="JD1" s="15">
        <f t="shared" si="4"/>
        <v>53306</v>
      </c>
      <c r="JE1" s="15">
        <f t="shared" si="4"/>
        <v>53337</v>
      </c>
      <c r="JF1" s="15">
        <f t="shared" si="4"/>
        <v>53368</v>
      </c>
      <c r="JG1" s="15">
        <f t="shared" si="4"/>
        <v>53396</v>
      </c>
      <c r="JH1" s="15">
        <f t="shared" si="4"/>
        <v>53427</v>
      </c>
      <c r="JI1" s="15">
        <f t="shared" si="4"/>
        <v>53457</v>
      </c>
      <c r="JJ1" s="15">
        <f t="shared" si="4"/>
        <v>53488</v>
      </c>
      <c r="JK1" s="15">
        <f t="shared" si="4"/>
        <v>53518</v>
      </c>
      <c r="JL1" s="15">
        <f t="shared" si="4"/>
        <v>53549</v>
      </c>
      <c r="JM1" s="15">
        <f t="shared" si="4"/>
        <v>53580</v>
      </c>
      <c r="JN1" s="15">
        <f t="shared" si="4"/>
        <v>53610</v>
      </c>
      <c r="JO1" s="15">
        <f t="shared" si="4"/>
        <v>53641</v>
      </c>
      <c r="JP1" s="15">
        <f t="shared" si="4"/>
        <v>53671</v>
      </c>
      <c r="JQ1" s="15">
        <f t="shared" si="4"/>
        <v>53702</v>
      </c>
      <c r="JR1" s="15">
        <f t="shared" si="4"/>
        <v>53733</v>
      </c>
      <c r="JS1" s="15">
        <f t="shared" si="4"/>
        <v>53761</v>
      </c>
      <c r="JT1" s="15">
        <f t="shared" si="4"/>
        <v>53792</v>
      </c>
      <c r="JU1" s="15">
        <f t="shared" si="4"/>
        <v>53822</v>
      </c>
      <c r="JV1" s="15">
        <f t="shared" si="4"/>
        <v>53853</v>
      </c>
      <c r="JW1" s="15">
        <f t="shared" si="4"/>
        <v>53883</v>
      </c>
      <c r="JX1" s="15">
        <f t="shared" si="4"/>
        <v>53914</v>
      </c>
      <c r="JY1" s="15">
        <f t="shared" si="4"/>
        <v>53945</v>
      </c>
      <c r="JZ1" s="15">
        <f t="shared" si="4"/>
        <v>53975</v>
      </c>
      <c r="KA1" s="15">
        <f t="shared" si="4"/>
        <v>54006</v>
      </c>
      <c r="KB1" s="15">
        <f t="shared" si="4"/>
        <v>54036</v>
      </c>
      <c r="KC1" s="15">
        <f t="shared" si="4"/>
        <v>54067</v>
      </c>
      <c r="KD1" s="15">
        <f t="shared" si="4"/>
        <v>54098</v>
      </c>
      <c r="KE1" s="15">
        <f t="shared" si="4"/>
        <v>54127</v>
      </c>
      <c r="KF1" s="15">
        <f t="shared" si="4"/>
        <v>54158</v>
      </c>
      <c r="KG1" s="15">
        <f t="shared" si="4"/>
        <v>54188</v>
      </c>
      <c r="KH1" s="15">
        <f t="shared" si="4"/>
        <v>54219</v>
      </c>
      <c r="KI1" s="15">
        <f t="shared" si="4"/>
        <v>54249</v>
      </c>
      <c r="KJ1" s="15">
        <f t="shared" si="4"/>
        <v>54280</v>
      </c>
      <c r="KK1" s="15">
        <f t="shared" si="4"/>
        <v>54311</v>
      </c>
      <c r="KL1" s="15">
        <f t="shared" si="4"/>
        <v>54341</v>
      </c>
      <c r="KM1" s="15">
        <f t="shared" si="4"/>
        <v>54372</v>
      </c>
      <c r="KN1" s="15">
        <f t="shared" si="4"/>
        <v>54402</v>
      </c>
      <c r="KO1" s="15">
        <f t="shared" si="4"/>
        <v>54433</v>
      </c>
      <c r="KP1" s="15">
        <f t="shared" si="4"/>
        <v>54464</v>
      </c>
      <c r="KQ1" s="15">
        <f t="shared" si="4"/>
        <v>54492</v>
      </c>
      <c r="KR1" s="15">
        <f t="shared" si="4"/>
        <v>54523</v>
      </c>
      <c r="KS1" s="15">
        <f t="shared" si="4"/>
        <v>54553</v>
      </c>
      <c r="KT1" s="15">
        <f t="shared" si="4"/>
        <v>54584</v>
      </c>
      <c r="KU1" s="15">
        <f t="shared" si="4"/>
        <v>54614</v>
      </c>
      <c r="KV1" s="15">
        <f t="shared" si="4"/>
        <v>54645</v>
      </c>
      <c r="KW1" s="15">
        <f t="shared" si="4"/>
        <v>54676</v>
      </c>
      <c r="KX1" s="15">
        <f t="shared" si="4"/>
        <v>54706</v>
      </c>
      <c r="KY1" s="15">
        <f t="shared" si="4"/>
        <v>54737</v>
      </c>
      <c r="KZ1" s="15">
        <f t="shared" si="4"/>
        <v>54767</v>
      </c>
      <c r="LA1" s="15">
        <f t="shared" si="4"/>
        <v>54798</v>
      </c>
      <c r="LB1" s="15">
        <f t="shared" si="4"/>
        <v>54829</v>
      </c>
      <c r="LC1" s="15">
        <f t="shared" si="4"/>
        <v>54857</v>
      </c>
      <c r="LD1" s="15">
        <f t="shared" si="4"/>
        <v>54888</v>
      </c>
      <c r="LE1" s="15">
        <f t="shared" si="4"/>
        <v>54918</v>
      </c>
      <c r="LF1" s="15">
        <f t="shared" si="4"/>
        <v>54949</v>
      </c>
      <c r="LG1" s="15">
        <f t="shared" si="4"/>
        <v>54979</v>
      </c>
      <c r="LH1" s="15">
        <f t="shared" si="4"/>
        <v>55010</v>
      </c>
      <c r="LI1" s="15">
        <f t="shared" si="4"/>
        <v>55041</v>
      </c>
      <c r="LJ1" s="15">
        <f t="shared" si="4"/>
        <v>55071</v>
      </c>
      <c r="LK1" s="15">
        <f t="shared" si="4"/>
        <v>55102</v>
      </c>
      <c r="LL1" s="15">
        <f t="shared" si="4"/>
        <v>55132</v>
      </c>
      <c r="LM1" s="15">
        <f t="shared" si="4"/>
        <v>55163</v>
      </c>
      <c r="LN1" s="15">
        <f t="shared" ref="LN1:MY1" si="5">EDATE(LM1,1)</f>
        <v>55194</v>
      </c>
      <c r="LO1" s="15">
        <f t="shared" si="5"/>
        <v>55222</v>
      </c>
      <c r="LP1" s="15">
        <f t="shared" si="5"/>
        <v>55253</v>
      </c>
      <c r="LQ1" s="15">
        <f t="shared" si="5"/>
        <v>55283</v>
      </c>
      <c r="LR1" s="15">
        <f t="shared" si="5"/>
        <v>55314</v>
      </c>
      <c r="LS1" s="15">
        <f t="shared" si="5"/>
        <v>55344</v>
      </c>
      <c r="LT1" s="15">
        <f t="shared" si="5"/>
        <v>55375</v>
      </c>
      <c r="LU1" s="15">
        <f t="shared" si="5"/>
        <v>55406</v>
      </c>
      <c r="LV1" s="15">
        <f t="shared" si="5"/>
        <v>55436</v>
      </c>
      <c r="LW1" s="15">
        <f t="shared" si="5"/>
        <v>55467</v>
      </c>
      <c r="LX1" s="15">
        <f t="shared" si="5"/>
        <v>55497</v>
      </c>
      <c r="LY1" s="15">
        <f t="shared" si="5"/>
        <v>55528</v>
      </c>
      <c r="LZ1" s="15">
        <f t="shared" si="5"/>
        <v>55559</v>
      </c>
      <c r="MA1" s="15">
        <f t="shared" si="5"/>
        <v>55588</v>
      </c>
      <c r="MB1" s="15">
        <f t="shared" si="5"/>
        <v>55619</v>
      </c>
      <c r="MC1" s="15">
        <f t="shared" si="5"/>
        <v>55649</v>
      </c>
      <c r="MD1" s="15">
        <f t="shared" si="5"/>
        <v>55680</v>
      </c>
      <c r="ME1" s="15">
        <f t="shared" si="5"/>
        <v>55710</v>
      </c>
      <c r="MF1" s="15">
        <f t="shared" si="5"/>
        <v>55741</v>
      </c>
      <c r="MG1" s="15">
        <f t="shared" si="5"/>
        <v>55772</v>
      </c>
      <c r="MH1" s="15">
        <f t="shared" si="5"/>
        <v>55802</v>
      </c>
      <c r="MI1" s="15">
        <f t="shared" si="5"/>
        <v>55833</v>
      </c>
      <c r="MJ1" s="15">
        <f t="shared" si="5"/>
        <v>55863</v>
      </c>
      <c r="MK1" s="15">
        <f t="shared" si="5"/>
        <v>55894</v>
      </c>
      <c r="ML1" s="15">
        <f t="shared" si="5"/>
        <v>55925</v>
      </c>
      <c r="MM1" s="15">
        <f t="shared" si="5"/>
        <v>55953</v>
      </c>
      <c r="MN1" s="15">
        <f t="shared" si="5"/>
        <v>55984</v>
      </c>
      <c r="MO1" s="15">
        <f t="shared" si="5"/>
        <v>56014</v>
      </c>
      <c r="MP1" s="15">
        <f t="shared" si="5"/>
        <v>56045</v>
      </c>
      <c r="MQ1" s="15">
        <f t="shared" si="5"/>
        <v>56075</v>
      </c>
      <c r="MR1" s="15">
        <f t="shared" si="5"/>
        <v>56106</v>
      </c>
      <c r="MS1" s="15">
        <f t="shared" si="5"/>
        <v>56137</v>
      </c>
      <c r="MT1" s="15">
        <f t="shared" si="5"/>
        <v>56167</v>
      </c>
      <c r="MU1" s="15">
        <f t="shared" si="5"/>
        <v>56198</v>
      </c>
      <c r="MV1" s="15">
        <f t="shared" si="5"/>
        <v>56228</v>
      </c>
      <c r="MW1" s="15">
        <f t="shared" si="5"/>
        <v>56259</v>
      </c>
      <c r="MX1" s="15">
        <f t="shared" si="5"/>
        <v>56290</v>
      </c>
      <c r="MY1" s="15">
        <f t="shared" si="5"/>
        <v>56318</v>
      </c>
    </row>
    <row r="2" spans="1:363" ht="24.75" customHeight="1" x14ac:dyDescent="0.25">
      <c r="A2" s="2" t="s">
        <v>0</v>
      </c>
      <c r="B2" s="44" t="s">
        <v>135</v>
      </c>
      <c r="C2" s="3">
        <v>1</v>
      </c>
      <c r="D2" s="3">
        <f>C2+1</f>
        <v>2</v>
      </c>
      <c r="E2" s="3">
        <f t="shared" ref="E2:BP2" si="6">D2+1</f>
        <v>3</v>
      </c>
      <c r="F2" s="3">
        <f t="shared" si="6"/>
        <v>4</v>
      </c>
      <c r="G2" s="3">
        <f t="shared" si="6"/>
        <v>5</v>
      </c>
      <c r="H2" s="3">
        <f t="shared" si="6"/>
        <v>6</v>
      </c>
      <c r="I2" s="3">
        <f t="shared" si="6"/>
        <v>7</v>
      </c>
      <c r="J2" s="3">
        <f t="shared" si="6"/>
        <v>8</v>
      </c>
      <c r="K2" s="3">
        <f t="shared" si="6"/>
        <v>9</v>
      </c>
      <c r="L2" s="3">
        <f t="shared" si="6"/>
        <v>10</v>
      </c>
      <c r="M2" s="3">
        <f t="shared" si="6"/>
        <v>11</v>
      </c>
      <c r="N2" s="3">
        <f t="shared" si="6"/>
        <v>12</v>
      </c>
      <c r="O2" s="3">
        <f t="shared" si="6"/>
        <v>13</v>
      </c>
      <c r="P2" s="3">
        <f t="shared" si="6"/>
        <v>14</v>
      </c>
      <c r="Q2" s="3">
        <f t="shared" si="6"/>
        <v>15</v>
      </c>
      <c r="R2" s="3">
        <f t="shared" si="6"/>
        <v>16</v>
      </c>
      <c r="S2" s="3">
        <f t="shared" si="6"/>
        <v>17</v>
      </c>
      <c r="T2" s="3">
        <f t="shared" si="6"/>
        <v>18</v>
      </c>
      <c r="U2" s="3">
        <f t="shared" si="6"/>
        <v>19</v>
      </c>
      <c r="V2" s="3">
        <f t="shared" si="6"/>
        <v>20</v>
      </c>
      <c r="W2" s="3">
        <f t="shared" si="6"/>
        <v>21</v>
      </c>
      <c r="X2" s="3">
        <f t="shared" si="6"/>
        <v>22</v>
      </c>
      <c r="Y2" s="3">
        <f t="shared" si="6"/>
        <v>23</v>
      </c>
      <c r="Z2" s="3">
        <f t="shared" si="6"/>
        <v>24</v>
      </c>
      <c r="AA2" s="3">
        <f t="shared" si="6"/>
        <v>25</v>
      </c>
      <c r="AB2" s="3">
        <f t="shared" si="6"/>
        <v>26</v>
      </c>
      <c r="AC2" s="3">
        <f t="shared" si="6"/>
        <v>27</v>
      </c>
      <c r="AD2" s="3">
        <f t="shared" si="6"/>
        <v>28</v>
      </c>
      <c r="AE2" s="3">
        <f t="shared" si="6"/>
        <v>29</v>
      </c>
      <c r="AF2" s="3">
        <f t="shared" si="6"/>
        <v>30</v>
      </c>
      <c r="AG2" s="3">
        <f t="shared" si="6"/>
        <v>31</v>
      </c>
      <c r="AH2" s="3">
        <f t="shared" si="6"/>
        <v>32</v>
      </c>
      <c r="AI2" s="3">
        <f t="shared" si="6"/>
        <v>33</v>
      </c>
      <c r="AJ2" s="3">
        <f t="shared" si="6"/>
        <v>34</v>
      </c>
      <c r="AK2" s="3">
        <f t="shared" si="6"/>
        <v>35</v>
      </c>
      <c r="AL2" s="3">
        <f t="shared" si="6"/>
        <v>36</v>
      </c>
      <c r="AM2" s="3">
        <f t="shared" si="6"/>
        <v>37</v>
      </c>
      <c r="AN2" s="3">
        <f t="shared" si="6"/>
        <v>38</v>
      </c>
      <c r="AO2" s="3">
        <f t="shared" si="6"/>
        <v>39</v>
      </c>
      <c r="AP2" s="3">
        <f t="shared" si="6"/>
        <v>40</v>
      </c>
      <c r="AQ2" s="3">
        <f t="shared" si="6"/>
        <v>41</v>
      </c>
      <c r="AR2" s="3">
        <f t="shared" si="6"/>
        <v>42</v>
      </c>
      <c r="AS2" s="3">
        <f t="shared" si="6"/>
        <v>43</v>
      </c>
      <c r="AT2" s="3">
        <f t="shared" si="6"/>
        <v>44</v>
      </c>
      <c r="AU2" s="3">
        <f t="shared" si="6"/>
        <v>45</v>
      </c>
      <c r="AV2" s="3">
        <f t="shared" si="6"/>
        <v>46</v>
      </c>
      <c r="AW2" s="3">
        <f t="shared" si="6"/>
        <v>47</v>
      </c>
      <c r="AX2" s="3">
        <f t="shared" si="6"/>
        <v>48</v>
      </c>
      <c r="AY2" s="3">
        <f t="shared" si="6"/>
        <v>49</v>
      </c>
      <c r="AZ2" s="3">
        <f t="shared" si="6"/>
        <v>50</v>
      </c>
      <c r="BA2" s="3">
        <f t="shared" si="6"/>
        <v>51</v>
      </c>
      <c r="BB2" s="3">
        <f t="shared" si="6"/>
        <v>52</v>
      </c>
      <c r="BC2" s="3">
        <f t="shared" si="6"/>
        <v>53</v>
      </c>
      <c r="BD2" s="3">
        <f t="shared" si="6"/>
        <v>54</v>
      </c>
      <c r="BE2" s="3">
        <f t="shared" si="6"/>
        <v>55</v>
      </c>
      <c r="BF2" s="3">
        <f t="shared" si="6"/>
        <v>56</v>
      </c>
      <c r="BG2" s="3">
        <f t="shared" si="6"/>
        <v>57</v>
      </c>
      <c r="BH2" s="3">
        <f t="shared" si="6"/>
        <v>58</v>
      </c>
      <c r="BI2" s="3">
        <f t="shared" si="6"/>
        <v>59</v>
      </c>
      <c r="BJ2" s="3">
        <f t="shared" si="6"/>
        <v>60</v>
      </c>
      <c r="BK2" s="3">
        <f t="shared" si="6"/>
        <v>61</v>
      </c>
      <c r="BL2" s="3">
        <f t="shared" si="6"/>
        <v>62</v>
      </c>
      <c r="BM2" s="3">
        <f t="shared" si="6"/>
        <v>63</v>
      </c>
      <c r="BN2" s="3">
        <f t="shared" si="6"/>
        <v>64</v>
      </c>
      <c r="BO2" s="3">
        <f t="shared" si="6"/>
        <v>65</v>
      </c>
      <c r="BP2" s="3">
        <f t="shared" si="6"/>
        <v>66</v>
      </c>
      <c r="BQ2" s="3">
        <f t="shared" ref="BQ2:EB2" si="7">BP2+1</f>
        <v>67</v>
      </c>
      <c r="BR2" s="3">
        <f t="shared" si="7"/>
        <v>68</v>
      </c>
      <c r="BS2" s="3">
        <f t="shared" si="7"/>
        <v>69</v>
      </c>
      <c r="BT2" s="3">
        <f t="shared" si="7"/>
        <v>70</v>
      </c>
      <c r="BU2" s="3">
        <f t="shared" si="7"/>
        <v>71</v>
      </c>
      <c r="BV2" s="3">
        <f t="shared" si="7"/>
        <v>72</v>
      </c>
      <c r="BW2" s="3">
        <f t="shared" si="7"/>
        <v>73</v>
      </c>
      <c r="BX2" s="3">
        <f t="shared" si="7"/>
        <v>74</v>
      </c>
      <c r="BY2" s="3">
        <f t="shared" si="7"/>
        <v>75</v>
      </c>
      <c r="BZ2" s="3">
        <f t="shared" si="7"/>
        <v>76</v>
      </c>
      <c r="CA2" s="3">
        <f t="shared" si="7"/>
        <v>77</v>
      </c>
      <c r="CB2" s="3">
        <f t="shared" si="7"/>
        <v>78</v>
      </c>
      <c r="CC2" s="3">
        <f t="shared" si="7"/>
        <v>79</v>
      </c>
      <c r="CD2" s="3">
        <f t="shared" si="7"/>
        <v>80</v>
      </c>
      <c r="CE2" s="3">
        <f t="shared" si="7"/>
        <v>81</v>
      </c>
      <c r="CF2" s="3">
        <f t="shared" si="7"/>
        <v>82</v>
      </c>
      <c r="CG2" s="3">
        <f t="shared" si="7"/>
        <v>83</v>
      </c>
      <c r="CH2" s="3">
        <f t="shared" si="7"/>
        <v>84</v>
      </c>
      <c r="CI2" s="3">
        <f t="shared" si="7"/>
        <v>85</v>
      </c>
      <c r="CJ2" s="3">
        <f t="shared" si="7"/>
        <v>86</v>
      </c>
      <c r="CK2" s="3">
        <f t="shared" si="7"/>
        <v>87</v>
      </c>
      <c r="CL2" s="3">
        <f t="shared" si="7"/>
        <v>88</v>
      </c>
      <c r="CM2" s="3">
        <f t="shared" si="7"/>
        <v>89</v>
      </c>
      <c r="CN2" s="3">
        <f t="shared" si="7"/>
        <v>90</v>
      </c>
      <c r="CO2" s="3">
        <f t="shared" si="7"/>
        <v>91</v>
      </c>
      <c r="CP2" s="3">
        <f t="shared" si="7"/>
        <v>92</v>
      </c>
      <c r="CQ2" s="3">
        <f t="shared" si="7"/>
        <v>93</v>
      </c>
      <c r="CR2" s="3">
        <f t="shared" si="7"/>
        <v>94</v>
      </c>
      <c r="CS2" s="3">
        <f t="shared" si="7"/>
        <v>95</v>
      </c>
      <c r="CT2" s="3">
        <f t="shared" si="7"/>
        <v>96</v>
      </c>
      <c r="CU2" s="3">
        <f t="shared" si="7"/>
        <v>97</v>
      </c>
      <c r="CV2" s="3">
        <f t="shared" si="7"/>
        <v>98</v>
      </c>
      <c r="CW2" s="3">
        <f t="shared" si="7"/>
        <v>99</v>
      </c>
      <c r="CX2" s="3">
        <f t="shared" si="7"/>
        <v>100</v>
      </c>
      <c r="CY2" s="3">
        <f t="shared" si="7"/>
        <v>101</v>
      </c>
      <c r="CZ2" s="3">
        <f t="shared" si="7"/>
        <v>102</v>
      </c>
      <c r="DA2" s="3">
        <f t="shared" si="7"/>
        <v>103</v>
      </c>
      <c r="DB2" s="3">
        <f t="shared" si="7"/>
        <v>104</v>
      </c>
      <c r="DC2" s="3">
        <f t="shared" si="7"/>
        <v>105</v>
      </c>
      <c r="DD2" s="3">
        <f t="shared" si="7"/>
        <v>106</v>
      </c>
      <c r="DE2" s="3">
        <f t="shared" si="7"/>
        <v>107</v>
      </c>
      <c r="DF2" s="3">
        <f t="shared" si="7"/>
        <v>108</v>
      </c>
      <c r="DG2" s="3">
        <f t="shared" si="7"/>
        <v>109</v>
      </c>
      <c r="DH2" s="3">
        <f t="shared" si="7"/>
        <v>110</v>
      </c>
      <c r="DI2" s="3">
        <f t="shared" si="7"/>
        <v>111</v>
      </c>
      <c r="DJ2" s="3">
        <f t="shared" si="7"/>
        <v>112</v>
      </c>
      <c r="DK2" s="3">
        <f t="shared" si="7"/>
        <v>113</v>
      </c>
      <c r="DL2" s="3">
        <f t="shared" si="7"/>
        <v>114</v>
      </c>
      <c r="DM2" s="3">
        <f t="shared" si="7"/>
        <v>115</v>
      </c>
      <c r="DN2" s="3">
        <f t="shared" si="7"/>
        <v>116</v>
      </c>
      <c r="DO2" s="3">
        <f t="shared" si="7"/>
        <v>117</v>
      </c>
      <c r="DP2" s="3">
        <f t="shared" si="7"/>
        <v>118</v>
      </c>
      <c r="DQ2" s="3">
        <f t="shared" si="7"/>
        <v>119</v>
      </c>
      <c r="DR2" s="3">
        <f t="shared" si="7"/>
        <v>120</v>
      </c>
      <c r="DS2" s="3">
        <f t="shared" si="7"/>
        <v>121</v>
      </c>
      <c r="DT2" s="3">
        <f t="shared" si="7"/>
        <v>122</v>
      </c>
      <c r="DU2" s="3">
        <f t="shared" si="7"/>
        <v>123</v>
      </c>
      <c r="DV2" s="3">
        <f t="shared" si="7"/>
        <v>124</v>
      </c>
      <c r="DW2" s="3">
        <f t="shared" si="7"/>
        <v>125</v>
      </c>
      <c r="DX2" s="3">
        <f t="shared" si="7"/>
        <v>126</v>
      </c>
      <c r="DY2" s="3">
        <f t="shared" si="7"/>
        <v>127</v>
      </c>
      <c r="DZ2" s="3">
        <f t="shared" si="7"/>
        <v>128</v>
      </c>
      <c r="EA2" s="3">
        <f t="shared" si="7"/>
        <v>129</v>
      </c>
      <c r="EB2" s="3">
        <f t="shared" si="7"/>
        <v>130</v>
      </c>
      <c r="EC2" s="3">
        <f t="shared" ref="EC2:GN2" si="8">EB2+1</f>
        <v>131</v>
      </c>
      <c r="ED2" s="3">
        <f t="shared" si="8"/>
        <v>132</v>
      </c>
      <c r="EE2" s="3">
        <f t="shared" si="8"/>
        <v>133</v>
      </c>
      <c r="EF2" s="3">
        <f t="shared" si="8"/>
        <v>134</v>
      </c>
      <c r="EG2" s="3">
        <f t="shared" si="8"/>
        <v>135</v>
      </c>
      <c r="EH2" s="3">
        <f t="shared" si="8"/>
        <v>136</v>
      </c>
      <c r="EI2" s="3">
        <f t="shared" si="8"/>
        <v>137</v>
      </c>
      <c r="EJ2" s="3">
        <f t="shared" si="8"/>
        <v>138</v>
      </c>
      <c r="EK2" s="3">
        <f t="shared" si="8"/>
        <v>139</v>
      </c>
      <c r="EL2" s="3">
        <f t="shared" si="8"/>
        <v>140</v>
      </c>
      <c r="EM2" s="3">
        <f t="shared" si="8"/>
        <v>141</v>
      </c>
      <c r="EN2" s="3">
        <f t="shared" si="8"/>
        <v>142</v>
      </c>
      <c r="EO2" s="3">
        <f t="shared" si="8"/>
        <v>143</v>
      </c>
      <c r="EP2" s="3">
        <f t="shared" si="8"/>
        <v>144</v>
      </c>
      <c r="EQ2" s="3">
        <f t="shared" si="8"/>
        <v>145</v>
      </c>
      <c r="ER2" s="3">
        <f t="shared" si="8"/>
        <v>146</v>
      </c>
      <c r="ES2" s="3">
        <f t="shared" si="8"/>
        <v>147</v>
      </c>
      <c r="ET2" s="3">
        <f t="shared" si="8"/>
        <v>148</v>
      </c>
      <c r="EU2" s="3">
        <f t="shared" si="8"/>
        <v>149</v>
      </c>
      <c r="EV2" s="3">
        <f t="shared" si="8"/>
        <v>150</v>
      </c>
      <c r="EW2" s="3">
        <f t="shared" si="8"/>
        <v>151</v>
      </c>
      <c r="EX2" s="3">
        <f t="shared" si="8"/>
        <v>152</v>
      </c>
      <c r="EY2" s="3">
        <f t="shared" si="8"/>
        <v>153</v>
      </c>
      <c r="EZ2" s="3">
        <f t="shared" si="8"/>
        <v>154</v>
      </c>
      <c r="FA2" s="3">
        <f t="shared" si="8"/>
        <v>155</v>
      </c>
      <c r="FB2" s="3">
        <f t="shared" si="8"/>
        <v>156</v>
      </c>
      <c r="FC2" s="3">
        <f t="shared" si="8"/>
        <v>157</v>
      </c>
      <c r="FD2" s="3">
        <f t="shared" si="8"/>
        <v>158</v>
      </c>
      <c r="FE2" s="3">
        <f t="shared" si="8"/>
        <v>159</v>
      </c>
      <c r="FF2" s="3">
        <f t="shared" si="8"/>
        <v>160</v>
      </c>
      <c r="FG2" s="3">
        <f t="shared" si="8"/>
        <v>161</v>
      </c>
      <c r="FH2" s="3">
        <f t="shared" si="8"/>
        <v>162</v>
      </c>
      <c r="FI2" s="3">
        <f t="shared" si="8"/>
        <v>163</v>
      </c>
      <c r="FJ2" s="3">
        <f t="shared" si="8"/>
        <v>164</v>
      </c>
      <c r="FK2" s="3">
        <f t="shared" si="8"/>
        <v>165</v>
      </c>
      <c r="FL2" s="3">
        <f t="shared" si="8"/>
        <v>166</v>
      </c>
      <c r="FM2" s="3">
        <f t="shared" si="8"/>
        <v>167</v>
      </c>
      <c r="FN2" s="3">
        <f t="shared" si="8"/>
        <v>168</v>
      </c>
      <c r="FO2" s="3">
        <f t="shared" si="8"/>
        <v>169</v>
      </c>
      <c r="FP2" s="3">
        <f t="shared" si="8"/>
        <v>170</v>
      </c>
      <c r="FQ2" s="3">
        <f t="shared" si="8"/>
        <v>171</v>
      </c>
      <c r="FR2" s="3">
        <f t="shared" si="8"/>
        <v>172</v>
      </c>
      <c r="FS2" s="3">
        <f t="shared" si="8"/>
        <v>173</v>
      </c>
      <c r="FT2" s="3">
        <f t="shared" si="8"/>
        <v>174</v>
      </c>
      <c r="FU2" s="3">
        <f t="shared" si="8"/>
        <v>175</v>
      </c>
      <c r="FV2" s="3">
        <f t="shared" si="8"/>
        <v>176</v>
      </c>
      <c r="FW2" s="3">
        <f t="shared" si="8"/>
        <v>177</v>
      </c>
      <c r="FX2" s="3">
        <f t="shared" si="8"/>
        <v>178</v>
      </c>
      <c r="FY2" s="3">
        <f t="shared" si="8"/>
        <v>179</v>
      </c>
      <c r="FZ2" s="3">
        <f t="shared" si="8"/>
        <v>180</v>
      </c>
      <c r="GA2" s="3">
        <f t="shared" si="8"/>
        <v>181</v>
      </c>
      <c r="GB2" s="3">
        <f t="shared" si="8"/>
        <v>182</v>
      </c>
      <c r="GC2" s="3">
        <f t="shared" si="8"/>
        <v>183</v>
      </c>
      <c r="GD2" s="3">
        <f t="shared" si="8"/>
        <v>184</v>
      </c>
      <c r="GE2" s="3">
        <f t="shared" si="8"/>
        <v>185</v>
      </c>
      <c r="GF2" s="3">
        <f t="shared" si="8"/>
        <v>186</v>
      </c>
      <c r="GG2" s="3">
        <f t="shared" si="8"/>
        <v>187</v>
      </c>
      <c r="GH2" s="3">
        <f t="shared" si="8"/>
        <v>188</v>
      </c>
      <c r="GI2" s="3">
        <f t="shared" si="8"/>
        <v>189</v>
      </c>
      <c r="GJ2" s="3">
        <f t="shared" si="8"/>
        <v>190</v>
      </c>
      <c r="GK2" s="3">
        <f t="shared" si="8"/>
        <v>191</v>
      </c>
      <c r="GL2" s="3">
        <f t="shared" si="8"/>
        <v>192</v>
      </c>
      <c r="GM2" s="3">
        <f t="shared" si="8"/>
        <v>193</v>
      </c>
      <c r="GN2" s="3">
        <f t="shared" si="8"/>
        <v>194</v>
      </c>
      <c r="GO2" s="3">
        <f t="shared" ref="GO2:IZ2" si="9">GN2+1</f>
        <v>195</v>
      </c>
      <c r="GP2" s="3">
        <f t="shared" si="9"/>
        <v>196</v>
      </c>
      <c r="GQ2" s="3">
        <f t="shared" si="9"/>
        <v>197</v>
      </c>
      <c r="GR2" s="3">
        <f t="shared" si="9"/>
        <v>198</v>
      </c>
      <c r="GS2" s="3">
        <f t="shared" si="9"/>
        <v>199</v>
      </c>
      <c r="GT2" s="3">
        <f t="shared" si="9"/>
        <v>200</v>
      </c>
      <c r="GU2" s="3">
        <f t="shared" si="9"/>
        <v>201</v>
      </c>
      <c r="GV2" s="3">
        <f t="shared" si="9"/>
        <v>202</v>
      </c>
      <c r="GW2" s="3">
        <f t="shared" si="9"/>
        <v>203</v>
      </c>
      <c r="GX2" s="3">
        <f t="shared" si="9"/>
        <v>204</v>
      </c>
      <c r="GY2" s="3">
        <f t="shared" si="9"/>
        <v>205</v>
      </c>
      <c r="GZ2" s="3">
        <f t="shared" si="9"/>
        <v>206</v>
      </c>
      <c r="HA2" s="3">
        <f t="shared" si="9"/>
        <v>207</v>
      </c>
      <c r="HB2" s="3">
        <f t="shared" si="9"/>
        <v>208</v>
      </c>
      <c r="HC2" s="3">
        <f t="shared" si="9"/>
        <v>209</v>
      </c>
      <c r="HD2" s="3">
        <f t="shared" si="9"/>
        <v>210</v>
      </c>
      <c r="HE2" s="3">
        <f t="shared" si="9"/>
        <v>211</v>
      </c>
      <c r="HF2" s="3">
        <f t="shared" si="9"/>
        <v>212</v>
      </c>
      <c r="HG2" s="3">
        <f t="shared" si="9"/>
        <v>213</v>
      </c>
      <c r="HH2" s="3">
        <f t="shared" si="9"/>
        <v>214</v>
      </c>
      <c r="HI2" s="3">
        <f t="shared" si="9"/>
        <v>215</v>
      </c>
      <c r="HJ2" s="3">
        <f t="shared" si="9"/>
        <v>216</v>
      </c>
      <c r="HK2" s="3">
        <f t="shared" si="9"/>
        <v>217</v>
      </c>
      <c r="HL2" s="3">
        <f t="shared" si="9"/>
        <v>218</v>
      </c>
      <c r="HM2" s="3">
        <f t="shared" si="9"/>
        <v>219</v>
      </c>
      <c r="HN2" s="3">
        <f t="shared" si="9"/>
        <v>220</v>
      </c>
      <c r="HO2" s="3">
        <f t="shared" si="9"/>
        <v>221</v>
      </c>
      <c r="HP2" s="3">
        <f t="shared" si="9"/>
        <v>222</v>
      </c>
      <c r="HQ2" s="3">
        <f t="shared" si="9"/>
        <v>223</v>
      </c>
      <c r="HR2" s="3">
        <f t="shared" si="9"/>
        <v>224</v>
      </c>
      <c r="HS2" s="3">
        <f t="shared" si="9"/>
        <v>225</v>
      </c>
      <c r="HT2" s="3">
        <f t="shared" si="9"/>
        <v>226</v>
      </c>
      <c r="HU2" s="3">
        <f t="shared" si="9"/>
        <v>227</v>
      </c>
      <c r="HV2" s="3">
        <f t="shared" si="9"/>
        <v>228</v>
      </c>
      <c r="HW2" s="3">
        <f t="shared" si="9"/>
        <v>229</v>
      </c>
      <c r="HX2" s="3">
        <f t="shared" si="9"/>
        <v>230</v>
      </c>
      <c r="HY2" s="3">
        <f t="shared" si="9"/>
        <v>231</v>
      </c>
      <c r="HZ2" s="3">
        <f t="shared" si="9"/>
        <v>232</v>
      </c>
      <c r="IA2" s="3">
        <f t="shared" si="9"/>
        <v>233</v>
      </c>
      <c r="IB2" s="3">
        <f t="shared" si="9"/>
        <v>234</v>
      </c>
      <c r="IC2" s="3">
        <f t="shared" si="9"/>
        <v>235</v>
      </c>
      <c r="ID2" s="3">
        <f t="shared" si="9"/>
        <v>236</v>
      </c>
      <c r="IE2" s="3">
        <f t="shared" si="9"/>
        <v>237</v>
      </c>
      <c r="IF2" s="3">
        <f t="shared" si="9"/>
        <v>238</v>
      </c>
      <c r="IG2" s="3">
        <f t="shared" si="9"/>
        <v>239</v>
      </c>
      <c r="IH2" s="3">
        <f t="shared" si="9"/>
        <v>240</v>
      </c>
      <c r="II2" s="3">
        <f t="shared" si="9"/>
        <v>241</v>
      </c>
      <c r="IJ2" s="3">
        <f t="shared" si="9"/>
        <v>242</v>
      </c>
      <c r="IK2" s="3">
        <f t="shared" si="9"/>
        <v>243</v>
      </c>
      <c r="IL2" s="3">
        <f t="shared" si="9"/>
        <v>244</v>
      </c>
      <c r="IM2" s="3">
        <f t="shared" si="9"/>
        <v>245</v>
      </c>
      <c r="IN2" s="3">
        <f t="shared" si="9"/>
        <v>246</v>
      </c>
      <c r="IO2" s="3">
        <f t="shared" si="9"/>
        <v>247</v>
      </c>
      <c r="IP2" s="3">
        <f t="shared" si="9"/>
        <v>248</v>
      </c>
      <c r="IQ2" s="3">
        <f t="shared" si="9"/>
        <v>249</v>
      </c>
      <c r="IR2" s="3">
        <f t="shared" si="9"/>
        <v>250</v>
      </c>
      <c r="IS2" s="3">
        <f t="shared" si="9"/>
        <v>251</v>
      </c>
      <c r="IT2" s="3">
        <f t="shared" si="9"/>
        <v>252</v>
      </c>
      <c r="IU2" s="3">
        <f t="shared" si="9"/>
        <v>253</v>
      </c>
      <c r="IV2" s="3">
        <f t="shared" si="9"/>
        <v>254</v>
      </c>
      <c r="IW2" s="3">
        <f t="shared" si="9"/>
        <v>255</v>
      </c>
      <c r="IX2" s="3">
        <f t="shared" si="9"/>
        <v>256</v>
      </c>
      <c r="IY2" s="3">
        <f t="shared" si="9"/>
        <v>257</v>
      </c>
      <c r="IZ2" s="3">
        <f t="shared" si="9"/>
        <v>258</v>
      </c>
      <c r="JA2" s="3">
        <f t="shared" ref="JA2:LL2" si="10">IZ2+1</f>
        <v>259</v>
      </c>
      <c r="JB2" s="3">
        <f t="shared" si="10"/>
        <v>260</v>
      </c>
      <c r="JC2" s="3">
        <f t="shared" si="10"/>
        <v>261</v>
      </c>
      <c r="JD2" s="3">
        <f t="shared" si="10"/>
        <v>262</v>
      </c>
      <c r="JE2" s="3">
        <f t="shared" si="10"/>
        <v>263</v>
      </c>
      <c r="JF2" s="3">
        <f t="shared" si="10"/>
        <v>264</v>
      </c>
      <c r="JG2" s="3">
        <f t="shared" si="10"/>
        <v>265</v>
      </c>
      <c r="JH2" s="3">
        <f t="shared" si="10"/>
        <v>266</v>
      </c>
      <c r="JI2" s="3">
        <f t="shared" si="10"/>
        <v>267</v>
      </c>
      <c r="JJ2" s="3">
        <f t="shared" si="10"/>
        <v>268</v>
      </c>
      <c r="JK2" s="3">
        <f t="shared" si="10"/>
        <v>269</v>
      </c>
      <c r="JL2" s="3">
        <f t="shared" si="10"/>
        <v>270</v>
      </c>
      <c r="JM2" s="3">
        <f t="shared" si="10"/>
        <v>271</v>
      </c>
      <c r="JN2" s="3">
        <f t="shared" si="10"/>
        <v>272</v>
      </c>
      <c r="JO2" s="3">
        <f t="shared" si="10"/>
        <v>273</v>
      </c>
      <c r="JP2" s="3">
        <f t="shared" si="10"/>
        <v>274</v>
      </c>
      <c r="JQ2" s="3">
        <f t="shared" si="10"/>
        <v>275</v>
      </c>
      <c r="JR2" s="3">
        <f t="shared" si="10"/>
        <v>276</v>
      </c>
      <c r="JS2" s="3">
        <f t="shared" si="10"/>
        <v>277</v>
      </c>
      <c r="JT2" s="3">
        <f t="shared" si="10"/>
        <v>278</v>
      </c>
      <c r="JU2" s="3">
        <f t="shared" si="10"/>
        <v>279</v>
      </c>
      <c r="JV2" s="3">
        <f t="shared" si="10"/>
        <v>280</v>
      </c>
      <c r="JW2" s="3">
        <f t="shared" si="10"/>
        <v>281</v>
      </c>
      <c r="JX2" s="3">
        <f t="shared" si="10"/>
        <v>282</v>
      </c>
      <c r="JY2" s="3">
        <f t="shared" si="10"/>
        <v>283</v>
      </c>
      <c r="JZ2" s="3">
        <f t="shared" si="10"/>
        <v>284</v>
      </c>
      <c r="KA2" s="3">
        <f t="shared" si="10"/>
        <v>285</v>
      </c>
      <c r="KB2" s="3">
        <f t="shared" si="10"/>
        <v>286</v>
      </c>
      <c r="KC2" s="3">
        <f t="shared" si="10"/>
        <v>287</v>
      </c>
      <c r="KD2" s="3">
        <f t="shared" si="10"/>
        <v>288</v>
      </c>
      <c r="KE2" s="3">
        <f t="shared" si="10"/>
        <v>289</v>
      </c>
      <c r="KF2" s="3">
        <f t="shared" si="10"/>
        <v>290</v>
      </c>
      <c r="KG2" s="3">
        <f t="shared" si="10"/>
        <v>291</v>
      </c>
      <c r="KH2" s="3">
        <f t="shared" si="10"/>
        <v>292</v>
      </c>
      <c r="KI2" s="3">
        <f t="shared" si="10"/>
        <v>293</v>
      </c>
      <c r="KJ2" s="3">
        <f t="shared" si="10"/>
        <v>294</v>
      </c>
      <c r="KK2" s="3">
        <f t="shared" si="10"/>
        <v>295</v>
      </c>
      <c r="KL2" s="3">
        <f t="shared" si="10"/>
        <v>296</v>
      </c>
      <c r="KM2" s="3">
        <f t="shared" si="10"/>
        <v>297</v>
      </c>
      <c r="KN2" s="3">
        <f t="shared" si="10"/>
        <v>298</v>
      </c>
      <c r="KO2" s="3">
        <f t="shared" si="10"/>
        <v>299</v>
      </c>
      <c r="KP2" s="3">
        <f t="shared" si="10"/>
        <v>300</v>
      </c>
      <c r="KQ2" s="3">
        <f t="shared" si="10"/>
        <v>301</v>
      </c>
      <c r="KR2" s="3">
        <f t="shared" si="10"/>
        <v>302</v>
      </c>
      <c r="KS2" s="3">
        <f t="shared" si="10"/>
        <v>303</v>
      </c>
      <c r="KT2" s="3">
        <f t="shared" si="10"/>
        <v>304</v>
      </c>
      <c r="KU2" s="3">
        <f t="shared" si="10"/>
        <v>305</v>
      </c>
      <c r="KV2" s="3">
        <f t="shared" si="10"/>
        <v>306</v>
      </c>
      <c r="KW2" s="3">
        <f t="shared" si="10"/>
        <v>307</v>
      </c>
      <c r="KX2" s="3">
        <f t="shared" si="10"/>
        <v>308</v>
      </c>
      <c r="KY2" s="3">
        <f t="shared" si="10"/>
        <v>309</v>
      </c>
      <c r="KZ2" s="3">
        <f t="shared" si="10"/>
        <v>310</v>
      </c>
      <c r="LA2" s="3">
        <f t="shared" si="10"/>
        <v>311</v>
      </c>
      <c r="LB2" s="3">
        <f t="shared" si="10"/>
        <v>312</v>
      </c>
      <c r="LC2" s="3">
        <f t="shared" si="10"/>
        <v>313</v>
      </c>
      <c r="LD2" s="3">
        <f t="shared" si="10"/>
        <v>314</v>
      </c>
      <c r="LE2" s="3">
        <f t="shared" si="10"/>
        <v>315</v>
      </c>
      <c r="LF2" s="3">
        <f t="shared" si="10"/>
        <v>316</v>
      </c>
      <c r="LG2" s="3">
        <f t="shared" si="10"/>
        <v>317</v>
      </c>
      <c r="LH2" s="3">
        <f t="shared" si="10"/>
        <v>318</v>
      </c>
      <c r="LI2" s="3">
        <f t="shared" si="10"/>
        <v>319</v>
      </c>
      <c r="LJ2" s="3">
        <f t="shared" si="10"/>
        <v>320</v>
      </c>
      <c r="LK2" s="3">
        <f t="shared" si="10"/>
        <v>321</v>
      </c>
      <c r="LL2" s="3">
        <f t="shared" si="10"/>
        <v>322</v>
      </c>
      <c r="LM2" s="3">
        <f t="shared" ref="LM2:MY2" si="11">LL2+1</f>
        <v>323</v>
      </c>
      <c r="LN2" s="3">
        <f t="shared" si="11"/>
        <v>324</v>
      </c>
      <c r="LO2" s="3">
        <f t="shared" si="11"/>
        <v>325</v>
      </c>
      <c r="LP2" s="3">
        <f t="shared" si="11"/>
        <v>326</v>
      </c>
      <c r="LQ2" s="3">
        <f t="shared" si="11"/>
        <v>327</v>
      </c>
      <c r="LR2" s="3">
        <f t="shared" si="11"/>
        <v>328</v>
      </c>
      <c r="LS2" s="3">
        <f t="shared" si="11"/>
        <v>329</v>
      </c>
      <c r="LT2" s="3">
        <f t="shared" si="11"/>
        <v>330</v>
      </c>
      <c r="LU2" s="3">
        <f t="shared" si="11"/>
        <v>331</v>
      </c>
      <c r="LV2" s="3">
        <f t="shared" si="11"/>
        <v>332</v>
      </c>
      <c r="LW2" s="3">
        <f t="shared" si="11"/>
        <v>333</v>
      </c>
      <c r="LX2" s="3">
        <f t="shared" si="11"/>
        <v>334</v>
      </c>
      <c r="LY2" s="3">
        <f t="shared" si="11"/>
        <v>335</v>
      </c>
      <c r="LZ2" s="3">
        <f t="shared" si="11"/>
        <v>336</v>
      </c>
      <c r="MA2" s="3">
        <f t="shared" si="11"/>
        <v>337</v>
      </c>
      <c r="MB2" s="3">
        <f t="shared" si="11"/>
        <v>338</v>
      </c>
      <c r="MC2" s="3">
        <f t="shared" si="11"/>
        <v>339</v>
      </c>
      <c r="MD2" s="3">
        <f t="shared" si="11"/>
        <v>340</v>
      </c>
      <c r="ME2" s="3">
        <f t="shared" si="11"/>
        <v>341</v>
      </c>
      <c r="MF2" s="3">
        <f t="shared" si="11"/>
        <v>342</v>
      </c>
      <c r="MG2" s="3">
        <f t="shared" si="11"/>
        <v>343</v>
      </c>
      <c r="MH2" s="3">
        <f t="shared" si="11"/>
        <v>344</v>
      </c>
      <c r="MI2" s="3">
        <f t="shared" si="11"/>
        <v>345</v>
      </c>
      <c r="MJ2" s="3">
        <f t="shared" si="11"/>
        <v>346</v>
      </c>
      <c r="MK2" s="3">
        <f t="shared" si="11"/>
        <v>347</v>
      </c>
      <c r="ML2" s="3">
        <f t="shared" si="11"/>
        <v>348</v>
      </c>
      <c r="MM2" s="3">
        <f t="shared" si="11"/>
        <v>349</v>
      </c>
      <c r="MN2" s="3">
        <f t="shared" si="11"/>
        <v>350</v>
      </c>
      <c r="MO2" s="3">
        <f t="shared" si="11"/>
        <v>351</v>
      </c>
      <c r="MP2" s="3">
        <f t="shared" si="11"/>
        <v>352</v>
      </c>
      <c r="MQ2" s="3">
        <f t="shared" si="11"/>
        <v>353</v>
      </c>
      <c r="MR2" s="3">
        <f t="shared" si="11"/>
        <v>354</v>
      </c>
      <c r="MS2" s="3">
        <f t="shared" si="11"/>
        <v>355</v>
      </c>
      <c r="MT2" s="3">
        <f t="shared" si="11"/>
        <v>356</v>
      </c>
      <c r="MU2" s="3">
        <f t="shared" si="11"/>
        <v>357</v>
      </c>
      <c r="MV2" s="3">
        <f t="shared" si="11"/>
        <v>358</v>
      </c>
      <c r="MW2" s="3">
        <f t="shared" si="11"/>
        <v>359</v>
      </c>
      <c r="MX2" s="3">
        <f t="shared" si="11"/>
        <v>360</v>
      </c>
      <c r="MY2" s="3">
        <f t="shared" si="11"/>
        <v>361</v>
      </c>
    </row>
    <row r="3" spans="1:363" x14ac:dyDescent="0.25">
      <c r="A3" s="7">
        <f>+'Valo FX'!A4</f>
        <v>1</v>
      </c>
      <c r="B3" s="59">
        <f>-'Valo FX'!T4</f>
        <v>-1823.7650032115523</v>
      </c>
      <c r="C3" s="21">
        <f>IF(C$1&lt;INDEX('Valo FX'!$Q:$Q,MATCH($A3,'Valo FX'!$A:$A,0)),0,IF(C$1&lt;INDEX('Valo FX'!$R:$R,MATCH($A3,'Valo FX'!$A:$A,0)),INDEX(Base!$U:$U,MATCH($A3,Base!$A:$A,0)),IF(C$1=INDEX('Valo FX'!$R:$R,MATCH($A3,'Valo FX'!$A:$A,0)),INDEX(Base!$V:$V,MATCH($A3,Base!$A:$A,0)),0)))</f>
        <v>0</v>
      </c>
      <c r="D3" s="21">
        <f>IF(D$1&lt;INDEX('Valo FX'!$Q:$Q,MATCH($A3,'Valo FX'!$A:$A,0)),0,IF(D$1&lt;INDEX('Valo FX'!$R:$R,MATCH($A3,'Valo FX'!$A:$A,0)),INDEX(Base!$U:$U,MATCH($A3,Base!$A:$A,0)),IF(D$1=INDEX('Valo FX'!$R:$R,MATCH($A3,'Valo FX'!$A:$A,0)),INDEX(Base!$V:$V,MATCH($A3,Base!$A:$A,0)),0)))</f>
        <v>0</v>
      </c>
      <c r="E3" s="21">
        <f>IF(E$1&lt;INDEX('Valo FX'!$Q:$Q,MATCH($A3,'Valo FX'!$A:$A,0)),0,IF(E$1&lt;INDEX('Valo FX'!$R:$R,MATCH($A3,'Valo FX'!$A:$A,0)),INDEX(Base!$U:$U,MATCH($A3,Base!$A:$A,0)),IF(E$1=INDEX('Valo FX'!$R:$R,MATCH($A3,'Valo FX'!$A:$A,0)),INDEX(Base!$V:$V,MATCH($A3,Base!$A:$A,0)),0)))</f>
        <v>0</v>
      </c>
      <c r="F3" s="21">
        <f>IF(F$1&lt;INDEX('Valo FX'!$Q:$Q,MATCH($A3,'Valo FX'!$A:$A,0)),0,IF(F$1&lt;INDEX('Valo FX'!$R:$R,MATCH($A3,'Valo FX'!$A:$A,0)),INDEX(Base!$U:$U,MATCH($A3,Base!$A:$A,0)),IF(F$1=INDEX('Valo FX'!$R:$R,MATCH($A3,'Valo FX'!$A:$A,0)),INDEX(Base!$V:$V,MATCH($A3,Base!$A:$A,0)),0)))</f>
        <v>0</v>
      </c>
      <c r="G3" s="21">
        <f>IF(G$1&lt;INDEX('Valo FX'!$Q:$Q,MATCH($A3,'Valo FX'!$A:$A,0)),0,IF(G$1&lt;INDEX('Valo FX'!$R:$R,MATCH($A3,'Valo FX'!$A:$A,0)),INDEX(Base!$U:$U,MATCH($A3,Base!$A:$A,0)),IF(G$1=INDEX('Valo FX'!$R:$R,MATCH($A3,'Valo FX'!$A:$A,0)),INDEX(Base!$V:$V,MATCH($A3,Base!$A:$A,0)),0)))</f>
        <v>0</v>
      </c>
      <c r="H3" s="21">
        <f>IF(H$1&lt;INDEX('Valo FX'!$Q:$Q,MATCH($A3,'Valo FX'!$A:$A,0)),0,IF(H$1&lt;INDEX('Valo FX'!$R:$R,MATCH($A3,'Valo FX'!$A:$A,0)),INDEX(Base!$U:$U,MATCH($A3,Base!$A:$A,0)),IF(H$1=INDEX('Valo FX'!$R:$R,MATCH($A3,'Valo FX'!$A:$A,0)),INDEX(Base!$V:$V,MATCH($A3,Base!$A:$A,0)),0)))</f>
        <v>12.71407</v>
      </c>
      <c r="I3" s="21">
        <f>IF(I$1&lt;INDEX('Valo FX'!$Q:$Q,MATCH($A3,'Valo FX'!$A:$A,0)),0,IF(I$1&lt;INDEX('Valo FX'!$R:$R,MATCH($A3,'Valo FX'!$A:$A,0)),INDEX(Base!$U:$U,MATCH($A3,Base!$A:$A,0)),IF(I$1=INDEX('Valo FX'!$R:$R,MATCH($A3,'Valo FX'!$A:$A,0)),INDEX(Base!$V:$V,MATCH($A3,Base!$A:$A,0)),0)))</f>
        <v>12.71407</v>
      </c>
      <c r="J3" s="21">
        <f>IF(J$1&lt;INDEX('Valo FX'!$Q:$Q,MATCH($A3,'Valo FX'!$A:$A,0)),0,IF(J$1&lt;INDEX('Valo FX'!$R:$R,MATCH($A3,'Valo FX'!$A:$A,0)),INDEX(Base!$U:$U,MATCH($A3,Base!$A:$A,0)),IF(J$1=INDEX('Valo FX'!$R:$R,MATCH($A3,'Valo FX'!$A:$A,0)),INDEX(Base!$V:$V,MATCH($A3,Base!$A:$A,0)),0)))</f>
        <v>12.71407</v>
      </c>
      <c r="K3" s="21">
        <f>IF(K$1&lt;INDEX('Valo FX'!$Q:$Q,MATCH($A3,'Valo FX'!$A:$A,0)),0,IF(K$1&lt;INDEX('Valo FX'!$R:$R,MATCH($A3,'Valo FX'!$A:$A,0)),INDEX(Base!$U:$U,MATCH($A3,Base!$A:$A,0)),IF(K$1=INDEX('Valo FX'!$R:$R,MATCH($A3,'Valo FX'!$A:$A,0)),INDEX(Base!$V:$V,MATCH($A3,Base!$A:$A,0)),0)))</f>
        <v>12.71407</v>
      </c>
      <c r="L3" s="21">
        <f>IF(L$1&lt;INDEX('Valo FX'!$Q:$Q,MATCH($A3,'Valo FX'!$A:$A,0)),0,IF(L$1&lt;INDEX('Valo FX'!$R:$R,MATCH($A3,'Valo FX'!$A:$A,0)),INDEX(Base!$U:$U,MATCH($A3,Base!$A:$A,0)),IF(L$1=INDEX('Valo FX'!$R:$R,MATCH($A3,'Valo FX'!$A:$A,0)),INDEX(Base!$V:$V,MATCH($A3,Base!$A:$A,0)),0)))</f>
        <v>12.71407</v>
      </c>
      <c r="M3" s="21">
        <f>IF(M$1&lt;INDEX('Valo FX'!$Q:$Q,MATCH($A3,'Valo FX'!$A:$A,0)),0,IF(M$1&lt;INDEX('Valo FX'!$R:$R,MATCH($A3,'Valo FX'!$A:$A,0)),INDEX(Base!$U:$U,MATCH($A3,Base!$A:$A,0)),IF(M$1=INDEX('Valo FX'!$R:$R,MATCH($A3,'Valo FX'!$A:$A,0)),INDEX(Base!$V:$V,MATCH($A3,Base!$A:$A,0)),0)))</f>
        <v>12.71407</v>
      </c>
      <c r="N3" s="21">
        <f>IF(N$1&lt;INDEX('Valo FX'!$Q:$Q,MATCH($A3,'Valo FX'!$A:$A,0)),0,IF(N$1&lt;INDEX('Valo FX'!$R:$R,MATCH($A3,'Valo FX'!$A:$A,0)),INDEX(Base!$U:$U,MATCH($A3,Base!$A:$A,0)),IF(N$1=INDEX('Valo FX'!$R:$R,MATCH($A3,'Valo FX'!$A:$A,0)),INDEX(Base!$V:$V,MATCH($A3,Base!$A:$A,0)),0)))</f>
        <v>12.71407</v>
      </c>
      <c r="O3" s="21">
        <f>IF(O$1&lt;INDEX('Valo FX'!$Q:$Q,MATCH($A3,'Valo FX'!$A:$A,0)),0,IF(O$1&lt;INDEX('Valo FX'!$R:$R,MATCH($A3,'Valo FX'!$A:$A,0)),INDEX(Base!$U:$U,MATCH($A3,Base!$A:$A,0)),IF(O$1=INDEX('Valo FX'!$R:$R,MATCH($A3,'Valo FX'!$A:$A,0)),INDEX(Base!$V:$V,MATCH($A3,Base!$A:$A,0)),0)))</f>
        <v>12.71407</v>
      </c>
      <c r="P3" s="21">
        <f>IF(P$1&lt;INDEX('Valo FX'!$Q:$Q,MATCH($A3,'Valo FX'!$A:$A,0)),0,IF(P$1&lt;INDEX('Valo FX'!$R:$R,MATCH($A3,'Valo FX'!$A:$A,0)),INDEX(Base!$U:$U,MATCH($A3,Base!$A:$A,0)),IF(P$1=INDEX('Valo FX'!$R:$R,MATCH($A3,'Valo FX'!$A:$A,0)),INDEX(Base!$V:$V,MATCH($A3,Base!$A:$A,0)),0)))</f>
        <v>12.71407</v>
      </c>
      <c r="Q3" s="21">
        <f>IF(Q$1&lt;INDEX('Valo FX'!$Q:$Q,MATCH($A3,'Valo FX'!$A:$A,0)),0,IF(Q$1&lt;INDEX('Valo FX'!$R:$R,MATCH($A3,'Valo FX'!$A:$A,0)),INDEX(Base!$U:$U,MATCH($A3,Base!$A:$A,0)),IF(Q$1=INDEX('Valo FX'!$R:$R,MATCH($A3,'Valo FX'!$A:$A,0)),INDEX(Base!$V:$V,MATCH($A3,Base!$A:$A,0)),0)))</f>
        <v>12.71407</v>
      </c>
      <c r="R3" s="21">
        <f>IF(R$1&lt;INDEX('Valo FX'!$Q:$Q,MATCH($A3,'Valo FX'!$A:$A,0)),0,IF(R$1&lt;INDEX('Valo FX'!$R:$R,MATCH($A3,'Valo FX'!$A:$A,0)),INDEX(Base!$U:$U,MATCH($A3,Base!$A:$A,0)),IF(R$1=INDEX('Valo FX'!$R:$R,MATCH($A3,'Valo FX'!$A:$A,0)),INDEX(Base!$V:$V,MATCH($A3,Base!$A:$A,0)),0)))</f>
        <v>12.71407</v>
      </c>
      <c r="S3" s="21">
        <f>IF(S$1&lt;INDEX('Valo FX'!$Q:$Q,MATCH($A3,'Valo FX'!$A:$A,0)),0,IF(S$1&lt;INDEX('Valo FX'!$R:$R,MATCH($A3,'Valo FX'!$A:$A,0)),INDEX(Base!$U:$U,MATCH($A3,Base!$A:$A,0)),IF(S$1=INDEX('Valo FX'!$R:$R,MATCH($A3,'Valo FX'!$A:$A,0)),INDEX(Base!$V:$V,MATCH($A3,Base!$A:$A,0)),0)))</f>
        <v>12.71407</v>
      </c>
      <c r="T3" s="21">
        <f>IF(T$1&lt;INDEX('Valo FX'!$Q:$Q,MATCH($A3,'Valo FX'!$A:$A,0)),0,IF(T$1&lt;INDEX('Valo FX'!$R:$R,MATCH($A3,'Valo FX'!$A:$A,0)),INDEX(Base!$U:$U,MATCH($A3,Base!$A:$A,0)),IF(T$1=INDEX('Valo FX'!$R:$R,MATCH($A3,'Valo FX'!$A:$A,0)),INDEX(Base!$V:$V,MATCH($A3,Base!$A:$A,0)),0)))</f>
        <v>12.71407</v>
      </c>
      <c r="U3" s="21">
        <f>IF(U$1&lt;INDEX('Valo FX'!$Q:$Q,MATCH($A3,'Valo FX'!$A:$A,0)),0,IF(U$1&lt;INDEX('Valo FX'!$R:$R,MATCH($A3,'Valo FX'!$A:$A,0)),INDEX(Base!$U:$U,MATCH($A3,Base!$A:$A,0)),IF(U$1=INDEX('Valo FX'!$R:$R,MATCH($A3,'Valo FX'!$A:$A,0)),INDEX(Base!$V:$V,MATCH($A3,Base!$A:$A,0)),0)))</f>
        <v>12.71407</v>
      </c>
      <c r="V3" s="21">
        <f>IF(V$1&lt;INDEX('Valo FX'!$Q:$Q,MATCH($A3,'Valo FX'!$A:$A,0)),0,IF(V$1&lt;INDEX('Valo FX'!$R:$R,MATCH($A3,'Valo FX'!$A:$A,0)),INDEX(Base!$U:$U,MATCH($A3,Base!$A:$A,0)),IF(V$1=INDEX('Valo FX'!$R:$R,MATCH($A3,'Valo FX'!$A:$A,0)),INDEX(Base!$V:$V,MATCH($A3,Base!$A:$A,0)),0)))</f>
        <v>12.71407</v>
      </c>
      <c r="W3" s="21">
        <f>IF(W$1&lt;INDEX('Valo FX'!$Q:$Q,MATCH($A3,'Valo FX'!$A:$A,0)),0,IF(W$1&lt;INDEX('Valo FX'!$R:$R,MATCH($A3,'Valo FX'!$A:$A,0)),INDEX(Base!$U:$U,MATCH($A3,Base!$A:$A,0)),IF(W$1=INDEX('Valo FX'!$R:$R,MATCH($A3,'Valo FX'!$A:$A,0)),INDEX(Base!$V:$V,MATCH($A3,Base!$A:$A,0)),0)))</f>
        <v>12.71407</v>
      </c>
      <c r="X3" s="21">
        <f>IF(X$1&lt;INDEX('Valo FX'!$Q:$Q,MATCH($A3,'Valo FX'!$A:$A,0)),0,IF(X$1&lt;INDEX('Valo FX'!$R:$R,MATCH($A3,'Valo FX'!$A:$A,0)),INDEX(Base!$U:$U,MATCH($A3,Base!$A:$A,0)),IF(X$1=INDEX('Valo FX'!$R:$R,MATCH($A3,'Valo FX'!$A:$A,0)),INDEX(Base!$V:$V,MATCH($A3,Base!$A:$A,0)),0)))</f>
        <v>12.71407</v>
      </c>
      <c r="Y3" s="21">
        <f>IF(Y$1&lt;INDEX('Valo FX'!$Q:$Q,MATCH($A3,'Valo FX'!$A:$A,0)),0,IF(Y$1&lt;INDEX('Valo FX'!$R:$R,MATCH($A3,'Valo FX'!$A:$A,0)),INDEX(Base!$U:$U,MATCH($A3,Base!$A:$A,0)),IF(Y$1=INDEX('Valo FX'!$R:$R,MATCH($A3,'Valo FX'!$A:$A,0)),INDEX(Base!$V:$V,MATCH($A3,Base!$A:$A,0)),0)))</f>
        <v>12.71407</v>
      </c>
      <c r="Z3" s="21">
        <f>IF(Z$1&lt;INDEX('Valo FX'!$Q:$Q,MATCH($A3,'Valo FX'!$A:$A,0)),0,IF(Z$1&lt;INDEX('Valo FX'!$R:$R,MATCH($A3,'Valo FX'!$A:$A,0)),INDEX(Base!$U:$U,MATCH($A3,Base!$A:$A,0)),IF(Z$1=INDEX('Valo FX'!$R:$R,MATCH($A3,'Valo FX'!$A:$A,0)),INDEX(Base!$V:$V,MATCH($A3,Base!$A:$A,0)),0)))</f>
        <v>12.71407</v>
      </c>
      <c r="AA3" s="21">
        <f>IF(AA$1&lt;INDEX('Valo FX'!$Q:$Q,MATCH($A3,'Valo FX'!$A:$A,0)),0,IF(AA$1&lt;INDEX('Valo FX'!$R:$R,MATCH($A3,'Valo FX'!$A:$A,0)),INDEX(Base!$U:$U,MATCH($A3,Base!$A:$A,0)),IF(AA$1=INDEX('Valo FX'!$R:$R,MATCH($A3,'Valo FX'!$A:$A,0)),INDEX(Base!$V:$V,MATCH($A3,Base!$A:$A,0)),0)))</f>
        <v>12.71407</v>
      </c>
      <c r="AB3" s="21">
        <f>IF(AB$1&lt;INDEX('Valo FX'!$Q:$Q,MATCH($A3,'Valo FX'!$A:$A,0)),0,IF(AB$1&lt;INDEX('Valo FX'!$R:$R,MATCH($A3,'Valo FX'!$A:$A,0)),INDEX(Base!$U:$U,MATCH($A3,Base!$A:$A,0)),IF(AB$1=INDEX('Valo FX'!$R:$R,MATCH($A3,'Valo FX'!$A:$A,0)),INDEX(Base!$V:$V,MATCH($A3,Base!$A:$A,0)),0)))</f>
        <v>12.71407</v>
      </c>
      <c r="AC3" s="21">
        <f>IF(AC$1&lt;INDEX('Valo FX'!$Q:$Q,MATCH($A3,'Valo FX'!$A:$A,0)),0,IF(AC$1&lt;INDEX('Valo FX'!$R:$R,MATCH($A3,'Valo FX'!$A:$A,0)),INDEX(Base!$U:$U,MATCH($A3,Base!$A:$A,0)),IF(AC$1=INDEX('Valo FX'!$R:$R,MATCH($A3,'Valo FX'!$A:$A,0)),INDEX(Base!$V:$V,MATCH($A3,Base!$A:$A,0)),0)))</f>
        <v>12.71407</v>
      </c>
      <c r="AD3" s="21">
        <f>IF(AD$1&lt;INDEX('Valo FX'!$Q:$Q,MATCH($A3,'Valo FX'!$A:$A,0)),0,IF(AD$1&lt;INDEX('Valo FX'!$R:$R,MATCH($A3,'Valo FX'!$A:$A,0)),INDEX(Base!$U:$U,MATCH($A3,Base!$A:$A,0)),IF(AD$1=INDEX('Valo FX'!$R:$R,MATCH($A3,'Valo FX'!$A:$A,0)),INDEX(Base!$V:$V,MATCH($A3,Base!$A:$A,0)),0)))</f>
        <v>12.71407</v>
      </c>
      <c r="AE3" s="21">
        <f>IF(AE$1&lt;INDEX('Valo FX'!$Q:$Q,MATCH($A3,'Valo FX'!$A:$A,0)),0,IF(AE$1&lt;INDEX('Valo FX'!$R:$R,MATCH($A3,'Valo FX'!$A:$A,0)),INDEX(Base!$U:$U,MATCH($A3,Base!$A:$A,0)),IF(AE$1=INDEX('Valo FX'!$R:$R,MATCH($A3,'Valo FX'!$A:$A,0)),INDEX(Base!$V:$V,MATCH($A3,Base!$A:$A,0)),0)))</f>
        <v>12.71407</v>
      </c>
      <c r="AF3" s="21">
        <f>IF(AF$1&lt;INDEX('Valo FX'!$Q:$Q,MATCH($A3,'Valo FX'!$A:$A,0)),0,IF(AF$1&lt;INDEX('Valo FX'!$R:$R,MATCH($A3,'Valo FX'!$A:$A,0)),INDEX(Base!$U:$U,MATCH($A3,Base!$A:$A,0)),IF(AF$1=INDEX('Valo FX'!$R:$R,MATCH($A3,'Valo FX'!$A:$A,0)),INDEX(Base!$V:$V,MATCH($A3,Base!$A:$A,0)),0)))</f>
        <v>12.71407</v>
      </c>
      <c r="AG3" s="21">
        <f>IF(AG$1&lt;INDEX('Valo FX'!$Q:$Q,MATCH($A3,'Valo FX'!$A:$A,0)),0,IF(AG$1&lt;INDEX('Valo FX'!$R:$R,MATCH($A3,'Valo FX'!$A:$A,0)),INDEX(Base!$U:$U,MATCH($A3,Base!$A:$A,0)),IF(AG$1=INDEX('Valo FX'!$R:$R,MATCH($A3,'Valo FX'!$A:$A,0)),INDEX(Base!$V:$V,MATCH($A3,Base!$A:$A,0)),0)))</f>
        <v>12.71407</v>
      </c>
      <c r="AH3" s="21">
        <f>IF(AH$1&lt;INDEX('Valo FX'!$Q:$Q,MATCH($A3,'Valo FX'!$A:$A,0)),0,IF(AH$1&lt;INDEX('Valo FX'!$R:$R,MATCH($A3,'Valo FX'!$A:$A,0)),INDEX(Base!$U:$U,MATCH($A3,Base!$A:$A,0)),IF(AH$1=INDEX('Valo FX'!$R:$R,MATCH($A3,'Valo FX'!$A:$A,0)),INDEX(Base!$V:$V,MATCH($A3,Base!$A:$A,0)),0)))</f>
        <v>12.71407</v>
      </c>
      <c r="AI3" s="21">
        <f>IF(AI$1&lt;INDEX('Valo FX'!$Q:$Q,MATCH($A3,'Valo FX'!$A:$A,0)),0,IF(AI$1&lt;INDEX('Valo FX'!$R:$R,MATCH($A3,'Valo FX'!$A:$A,0)),INDEX(Base!$U:$U,MATCH($A3,Base!$A:$A,0)),IF(AI$1=INDEX('Valo FX'!$R:$R,MATCH($A3,'Valo FX'!$A:$A,0)),INDEX(Base!$V:$V,MATCH($A3,Base!$A:$A,0)),0)))</f>
        <v>12.71407</v>
      </c>
      <c r="AJ3" s="21">
        <f>IF(AJ$1&lt;INDEX('Valo FX'!$Q:$Q,MATCH($A3,'Valo FX'!$A:$A,0)),0,IF(AJ$1&lt;INDEX('Valo FX'!$R:$R,MATCH($A3,'Valo FX'!$A:$A,0)),INDEX(Base!$U:$U,MATCH($A3,Base!$A:$A,0)),IF(AJ$1=INDEX('Valo FX'!$R:$R,MATCH($A3,'Valo FX'!$A:$A,0)),INDEX(Base!$V:$V,MATCH($A3,Base!$A:$A,0)),0)))</f>
        <v>12.71407</v>
      </c>
      <c r="AK3" s="21">
        <f>IF(AK$1&lt;INDEX('Valo FX'!$Q:$Q,MATCH($A3,'Valo FX'!$A:$A,0)),0,IF(AK$1&lt;INDEX('Valo FX'!$R:$R,MATCH($A3,'Valo FX'!$A:$A,0)),INDEX(Base!$U:$U,MATCH($A3,Base!$A:$A,0)),IF(AK$1=INDEX('Valo FX'!$R:$R,MATCH($A3,'Valo FX'!$A:$A,0)),INDEX(Base!$V:$V,MATCH($A3,Base!$A:$A,0)),0)))</f>
        <v>12.71407</v>
      </c>
      <c r="AL3" s="21">
        <f>IF(AL$1&lt;INDEX('Valo FX'!$Q:$Q,MATCH($A3,'Valo FX'!$A:$A,0)),0,IF(AL$1&lt;INDEX('Valo FX'!$R:$R,MATCH($A3,'Valo FX'!$A:$A,0)),INDEX(Base!$U:$U,MATCH($A3,Base!$A:$A,0)),IF(AL$1=INDEX('Valo FX'!$R:$R,MATCH($A3,'Valo FX'!$A:$A,0)),INDEX(Base!$V:$V,MATCH($A3,Base!$A:$A,0)),0)))</f>
        <v>12.71407</v>
      </c>
      <c r="AM3" s="21">
        <f>IF(AM$1&lt;INDEX('Valo FX'!$Q:$Q,MATCH($A3,'Valo FX'!$A:$A,0)),0,IF(AM$1&lt;INDEX('Valo FX'!$R:$R,MATCH($A3,'Valo FX'!$A:$A,0)),INDEX(Base!$U:$U,MATCH($A3,Base!$A:$A,0)),IF(AM$1=INDEX('Valo FX'!$R:$R,MATCH($A3,'Valo FX'!$A:$A,0)),INDEX(Base!$V:$V,MATCH($A3,Base!$A:$A,0)),0)))</f>
        <v>12.71407</v>
      </c>
      <c r="AN3" s="21">
        <f>IF(AN$1&lt;INDEX('Valo FX'!$Q:$Q,MATCH($A3,'Valo FX'!$A:$A,0)),0,IF(AN$1&lt;INDEX('Valo FX'!$R:$R,MATCH($A3,'Valo FX'!$A:$A,0)),INDEX(Base!$U:$U,MATCH($A3,Base!$A:$A,0)),IF(AN$1=INDEX('Valo FX'!$R:$R,MATCH($A3,'Valo FX'!$A:$A,0)),INDEX(Base!$V:$V,MATCH($A3,Base!$A:$A,0)),0)))</f>
        <v>12.71407</v>
      </c>
      <c r="AO3" s="21">
        <f>IF(AO$1&lt;INDEX('Valo FX'!$Q:$Q,MATCH($A3,'Valo FX'!$A:$A,0)),0,IF(AO$1&lt;INDEX('Valo FX'!$R:$R,MATCH($A3,'Valo FX'!$A:$A,0)),INDEX(Base!$U:$U,MATCH($A3,Base!$A:$A,0)),IF(AO$1=INDEX('Valo FX'!$R:$R,MATCH($A3,'Valo FX'!$A:$A,0)),INDEX(Base!$V:$V,MATCH($A3,Base!$A:$A,0)),0)))</f>
        <v>12.71407</v>
      </c>
      <c r="AP3" s="21">
        <f>IF(AP$1&lt;INDEX('Valo FX'!$Q:$Q,MATCH($A3,'Valo FX'!$A:$A,0)),0,IF(AP$1&lt;INDEX('Valo FX'!$R:$R,MATCH($A3,'Valo FX'!$A:$A,0)),INDEX(Base!$U:$U,MATCH($A3,Base!$A:$A,0)),IF(AP$1=INDEX('Valo FX'!$R:$R,MATCH($A3,'Valo FX'!$A:$A,0)),INDEX(Base!$V:$V,MATCH($A3,Base!$A:$A,0)),0)))</f>
        <v>12.71407</v>
      </c>
      <c r="AQ3" s="21">
        <f>IF(AQ$1&lt;INDEX('Valo FX'!$Q:$Q,MATCH($A3,'Valo FX'!$A:$A,0)),0,IF(AQ$1&lt;INDEX('Valo FX'!$R:$R,MATCH($A3,'Valo FX'!$A:$A,0)),INDEX(Base!$U:$U,MATCH($A3,Base!$A:$A,0)),IF(AQ$1=INDEX('Valo FX'!$R:$R,MATCH($A3,'Valo FX'!$A:$A,0)),INDEX(Base!$V:$V,MATCH($A3,Base!$A:$A,0)),0)))</f>
        <v>12.71407</v>
      </c>
      <c r="AR3" s="21">
        <f>IF(AR$1&lt;INDEX('Valo FX'!$Q:$Q,MATCH($A3,'Valo FX'!$A:$A,0)),0,IF(AR$1&lt;INDEX('Valo FX'!$R:$R,MATCH($A3,'Valo FX'!$A:$A,0)),INDEX(Base!$U:$U,MATCH($A3,Base!$A:$A,0)),IF(AR$1=INDEX('Valo FX'!$R:$R,MATCH($A3,'Valo FX'!$A:$A,0)),INDEX(Base!$V:$V,MATCH($A3,Base!$A:$A,0)),0)))</f>
        <v>12.71407</v>
      </c>
      <c r="AS3" s="21">
        <f>IF(AS$1&lt;INDEX('Valo FX'!$Q:$Q,MATCH($A3,'Valo FX'!$A:$A,0)),0,IF(AS$1&lt;INDEX('Valo FX'!$R:$R,MATCH($A3,'Valo FX'!$A:$A,0)),INDEX(Base!$U:$U,MATCH($A3,Base!$A:$A,0)),IF(AS$1=INDEX('Valo FX'!$R:$R,MATCH($A3,'Valo FX'!$A:$A,0)),INDEX(Base!$V:$V,MATCH($A3,Base!$A:$A,0)),0)))</f>
        <v>12.71407</v>
      </c>
      <c r="AT3" s="21">
        <f>IF(AT$1&lt;INDEX('Valo FX'!$Q:$Q,MATCH($A3,'Valo FX'!$A:$A,0)),0,IF(AT$1&lt;INDEX('Valo FX'!$R:$R,MATCH($A3,'Valo FX'!$A:$A,0)),INDEX(Base!$U:$U,MATCH($A3,Base!$A:$A,0)),IF(AT$1=INDEX('Valo FX'!$R:$R,MATCH($A3,'Valo FX'!$A:$A,0)),INDEX(Base!$V:$V,MATCH($A3,Base!$A:$A,0)),0)))</f>
        <v>12.71407</v>
      </c>
      <c r="AU3" s="21">
        <f>IF(AU$1&lt;INDEX('Valo FX'!$Q:$Q,MATCH($A3,'Valo FX'!$A:$A,0)),0,IF(AU$1&lt;INDEX('Valo FX'!$R:$R,MATCH($A3,'Valo FX'!$A:$A,0)),INDEX(Base!$U:$U,MATCH($A3,Base!$A:$A,0)),IF(AU$1=INDEX('Valo FX'!$R:$R,MATCH($A3,'Valo FX'!$A:$A,0)),INDEX(Base!$V:$V,MATCH($A3,Base!$A:$A,0)),0)))</f>
        <v>12.71407</v>
      </c>
      <c r="AV3" s="21">
        <f>IF(AV$1&lt;INDEX('Valo FX'!$Q:$Q,MATCH($A3,'Valo FX'!$A:$A,0)),0,IF(AV$1&lt;INDEX('Valo FX'!$R:$R,MATCH($A3,'Valo FX'!$A:$A,0)),INDEX(Base!$U:$U,MATCH($A3,Base!$A:$A,0)),IF(AV$1=INDEX('Valo FX'!$R:$R,MATCH($A3,'Valo FX'!$A:$A,0)),INDEX(Base!$V:$V,MATCH($A3,Base!$A:$A,0)),0)))</f>
        <v>12.71407</v>
      </c>
      <c r="AW3" s="21">
        <f>IF(AW$1&lt;INDEX('Valo FX'!$Q:$Q,MATCH($A3,'Valo FX'!$A:$A,0)),0,IF(AW$1&lt;INDEX('Valo FX'!$R:$R,MATCH($A3,'Valo FX'!$A:$A,0)),INDEX(Base!$U:$U,MATCH($A3,Base!$A:$A,0)),IF(AW$1=INDEX('Valo FX'!$R:$R,MATCH($A3,'Valo FX'!$A:$A,0)),INDEX(Base!$V:$V,MATCH($A3,Base!$A:$A,0)),0)))</f>
        <v>12.71407</v>
      </c>
      <c r="AX3" s="21">
        <f>IF(AX$1&lt;INDEX('Valo FX'!$Q:$Q,MATCH($A3,'Valo FX'!$A:$A,0)),0,IF(AX$1&lt;INDEX('Valo FX'!$R:$R,MATCH($A3,'Valo FX'!$A:$A,0)),INDEX(Base!$U:$U,MATCH($A3,Base!$A:$A,0)),IF(AX$1=INDEX('Valo FX'!$R:$R,MATCH($A3,'Valo FX'!$A:$A,0)),INDEX(Base!$V:$V,MATCH($A3,Base!$A:$A,0)),0)))</f>
        <v>12.71407</v>
      </c>
      <c r="AY3" s="21">
        <f>IF(AY$1&lt;INDEX('Valo FX'!$Q:$Q,MATCH($A3,'Valo FX'!$A:$A,0)),0,IF(AY$1&lt;INDEX('Valo FX'!$R:$R,MATCH($A3,'Valo FX'!$A:$A,0)),INDEX(Base!$U:$U,MATCH($A3,Base!$A:$A,0)),IF(AY$1=INDEX('Valo FX'!$R:$R,MATCH($A3,'Valo FX'!$A:$A,0)),INDEX(Base!$V:$V,MATCH($A3,Base!$A:$A,0)),0)))</f>
        <v>12.71407</v>
      </c>
      <c r="AZ3" s="21">
        <f>IF(AZ$1&lt;INDEX('Valo FX'!$Q:$Q,MATCH($A3,'Valo FX'!$A:$A,0)),0,IF(AZ$1&lt;INDEX('Valo FX'!$R:$R,MATCH($A3,'Valo FX'!$A:$A,0)),INDEX(Base!$U:$U,MATCH($A3,Base!$A:$A,0)),IF(AZ$1=INDEX('Valo FX'!$R:$R,MATCH($A3,'Valo FX'!$A:$A,0)),INDEX(Base!$V:$V,MATCH($A3,Base!$A:$A,0)),0)))</f>
        <v>12.71407</v>
      </c>
      <c r="BA3" s="21">
        <f>IF(BA$1&lt;INDEX('Valo FX'!$Q:$Q,MATCH($A3,'Valo FX'!$A:$A,0)),0,IF(BA$1&lt;INDEX('Valo FX'!$R:$R,MATCH($A3,'Valo FX'!$A:$A,0)),INDEX(Base!$U:$U,MATCH($A3,Base!$A:$A,0)),IF(BA$1=INDEX('Valo FX'!$R:$R,MATCH($A3,'Valo FX'!$A:$A,0)),INDEX(Base!$V:$V,MATCH($A3,Base!$A:$A,0)),0)))</f>
        <v>12.71407</v>
      </c>
      <c r="BB3" s="21">
        <f>IF(BB$1&lt;INDEX('Valo FX'!$Q:$Q,MATCH($A3,'Valo FX'!$A:$A,0)),0,IF(BB$1&lt;INDEX('Valo FX'!$R:$R,MATCH($A3,'Valo FX'!$A:$A,0)),INDEX(Base!$U:$U,MATCH($A3,Base!$A:$A,0)),IF(BB$1=INDEX('Valo FX'!$R:$R,MATCH($A3,'Valo FX'!$A:$A,0)),INDEX(Base!$V:$V,MATCH($A3,Base!$A:$A,0)),0)))</f>
        <v>12.71407</v>
      </c>
      <c r="BC3" s="21">
        <f>IF(BC$1&lt;INDEX('Valo FX'!$Q:$Q,MATCH($A3,'Valo FX'!$A:$A,0)),0,IF(BC$1&lt;INDEX('Valo FX'!$R:$R,MATCH($A3,'Valo FX'!$A:$A,0)),INDEX(Base!$U:$U,MATCH($A3,Base!$A:$A,0)),IF(BC$1=INDEX('Valo FX'!$R:$R,MATCH($A3,'Valo FX'!$A:$A,0)),INDEX(Base!$V:$V,MATCH($A3,Base!$A:$A,0)),0)))</f>
        <v>12.71407</v>
      </c>
      <c r="BD3" s="21">
        <f>IF(BD$1&lt;INDEX('Valo FX'!$Q:$Q,MATCH($A3,'Valo FX'!$A:$A,0)),0,IF(BD$1&lt;INDEX('Valo FX'!$R:$R,MATCH($A3,'Valo FX'!$A:$A,0)),INDEX(Base!$U:$U,MATCH($A3,Base!$A:$A,0)),IF(BD$1=INDEX('Valo FX'!$R:$R,MATCH($A3,'Valo FX'!$A:$A,0)),INDEX(Base!$V:$V,MATCH($A3,Base!$A:$A,0)),0)))</f>
        <v>12.71407</v>
      </c>
      <c r="BE3" s="21">
        <f>IF(BE$1&lt;INDEX('Valo FX'!$Q:$Q,MATCH($A3,'Valo FX'!$A:$A,0)),0,IF(BE$1&lt;INDEX('Valo FX'!$R:$R,MATCH($A3,'Valo FX'!$A:$A,0)),INDEX(Base!$U:$U,MATCH($A3,Base!$A:$A,0)),IF(BE$1=INDEX('Valo FX'!$R:$R,MATCH($A3,'Valo FX'!$A:$A,0)),INDEX(Base!$V:$V,MATCH($A3,Base!$A:$A,0)),0)))</f>
        <v>12.71407</v>
      </c>
      <c r="BF3" s="21">
        <f>IF(BF$1&lt;INDEX('Valo FX'!$Q:$Q,MATCH($A3,'Valo FX'!$A:$A,0)),0,IF(BF$1&lt;INDEX('Valo FX'!$R:$R,MATCH($A3,'Valo FX'!$A:$A,0)),INDEX(Base!$U:$U,MATCH($A3,Base!$A:$A,0)),IF(BF$1=INDEX('Valo FX'!$R:$R,MATCH($A3,'Valo FX'!$A:$A,0)),INDEX(Base!$V:$V,MATCH($A3,Base!$A:$A,0)),0)))</f>
        <v>12.71407</v>
      </c>
      <c r="BG3" s="21">
        <f>IF(BG$1&lt;INDEX('Valo FX'!$Q:$Q,MATCH($A3,'Valo FX'!$A:$A,0)),0,IF(BG$1&lt;INDEX('Valo FX'!$R:$R,MATCH($A3,'Valo FX'!$A:$A,0)),INDEX(Base!$U:$U,MATCH($A3,Base!$A:$A,0)),IF(BG$1=INDEX('Valo FX'!$R:$R,MATCH($A3,'Valo FX'!$A:$A,0)),INDEX(Base!$V:$V,MATCH($A3,Base!$A:$A,0)),0)))</f>
        <v>12.71407</v>
      </c>
      <c r="BH3" s="21">
        <f>IF(BH$1&lt;INDEX('Valo FX'!$Q:$Q,MATCH($A3,'Valo FX'!$A:$A,0)),0,IF(BH$1&lt;INDEX('Valo FX'!$R:$R,MATCH($A3,'Valo FX'!$A:$A,0)),INDEX(Base!$U:$U,MATCH($A3,Base!$A:$A,0)),IF(BH$1=INDEX('Valo FX'!$R:$R,MATCH($A3,'Valo FX'!$A:$A,0)),INDEX(Base!$V:$V,MATCH($A3,Base!$A:$A,0)),0)))</f>
        <v>12.71407</v>
      </c>
      <c r="BI3" s="21">
        <f>IF(BI$1&lt;INDEX('Valo FX'!$Q:$Q,MATCH($A3,'Valo FX'!$A:$A,0)),0,IF(BI$1&lt;INDEX('Valo FX'!$R:$R,MATCH($A3,'Valo FX'!$A:$A,0)),INDEX(Base!$U:$U,MATCH($A3,Base!$A:$A,0)),IF(BI$1=INDEX('Valo FX'!$R:$R,MATCH($A3,'Valo FX'!$A:$A,0)),INDEX(Base!$V:$V,MATCH($A3,Base!$A:$A,0)),0)))</f>
        <v>12.71407</v>
      </c>
      <c r="BJ3" s="21">
        <f>IF(BJ$1&lt;INDEX('Valo FX'!$Q:$Q,MATCH($A3,'Valo FX'!$A:$A,0)),0,IF(BJ$1&lt;INDEX('Valo FX'!$R:$R,MATCH($A3,'Valo FX'!$A:$A,0)),INDEX(Base!$U:$U,MATCH($A3,Base!$A:$A,0)),IF(BJ$1=INDEX('Valo FX'!$R:$R,MATCH($A3,'Valo FX'!$A:$A,0)),INDEX(Base!$V:$V,MATCH($A3,Base!$A:$A,0)),0)))</f>
        <v>12.71407</v>
      </c>
      <c r="BK3" s="21">
        <f>IF(BK$1&lt;INDEX('Valo FX'!$Q:$Q,MATCH($A3,'Valo FX'!$A:$A,0)),0,IF(BK$1&lt;INDEX('Valo FX'!$R:$R,MATCH($A3,'Valo FX'!$A:$A,0)),INDEX(Base!$U:$U,MATCH($A3,Base!$A:$A,0)),IF(BK$1=INDEX('Valo FX'!$R:$R,MATCH($A3,'Valo FX'!$A:$A,0)),INDEX(Base!$V:$V,MATCH($A3,Base!$A:$A,0)),0)))</f>
        <v>12.71407</v>
      </c>
      <c r="BL3" s="21">
        <f>IF(BL$1&lt;INDEX('Valo FX'!$Q:$Q,MATCH($A3,'Valo FX'!$A:$A,0)),0,IF(BL$1&lt;INDEX('Valo FX'!$R:$R,MATCH($A3,'Valo FX'!$A:$A,0)),INDEX(Base!$U:$U,MATCH($A3,Base!$A:$A,0)),IF(BL$1=INDEX('Valo FX'!$R:$R,MATCH($A3,'Valo FX'!$A:$A,0)),INDEX(Base!$V:$V,MATCH($A3,Base!$A:$A,0)),0)))</f>
        <v>12.71407</v>
      </c>
      <c r="BM3" s="21">
        <f>IF(BM$1&lt;INDEX('Valo FX'!$Q:$Q,MATCH($A3,'Valo FX'!$A:$A,0)),0,IF(BM$1&lt;INDEX('Valo FX'!$R:$R,MATCH($A3,'Valo FX'!$A:$A,0)),INDEX(Base!$U:$U,MATCH($A3,Base!$A:$A,0)),IF(BM$1=INDEX('Valo FX'!$R:$R,MATCH($A3,'Valo FX'!$A:$A,0)),INDEX(Base!$V:$V,MATCH($A3,Base!$A:$A,0)),0)))</f>
        <v>12.71407</v>
      </c>
      <c r="BN3" s="21">
        <f>IF(BN$1&lt;INDEX('Valo FX'!$Q:$Q,MATCH($A3,'Valo FX'!$A:$A,0)),0,IF(BN$1&lt;INDEX('Valo FX'!$R:$R,MATCH($A3,'Valo FX'!$A:$A,0)),INDEX(Base!$U:$U,MATCH($A3,Base!$A:$A,0)),IF(BN$1=INDEX('Valo FX'!$R:$R,MATCH($A3,'Valo FX'!$A:$A,0)),INDEX(Base!$V:$V,MATCH($A3,Base!$A:$A,0)),0)))</f>
        <v>12.71407</v>
      </c>
      <c r="BO3" s="21">
        <f>IF(BO$1&lt;INDEX('Valo FX'!$Q:$Q,MATCH($A3,'Valo FX'!$A:$A,0)),0,IF(BO$1&lt;INDEX('Valo FX'!$R:$R,MATCH($A3,'Valo FX'!$A:$A,0)),INDEX(Base!$U:$U,MATCH($A3,Base!$A:$A,0)),IF(BO$1=INDEX('Valo FX'!$R:$R,MATCH($A3,'Valo FX'!$A:$A,0)),INDEX(Base!$V:$V,MATCH($A3,Base!$A:$A,0)),0)))</f>
        <v>12.71407</v>
      </c>
      <c r="BP3" s="21">
        <f>IF(BP$1&lt;INDEX('Valo FX'!$Q:$Q,MATCH($A3,'Valo FX'!$A:$A,0)),0,IF(BP$1&lt;INDEX('Valo FX'!$R:$R,MATCH($A3,'Valo FX'!$A:$A,0)),INDEX(Base!$U:$U,MATCH($A3,Base!$A:$A,0)),IF(BP$1=INDEX('Valo FX'!$R:$R,MATCH($A3,'Valo FX'!$A:$A,0)),INDEX(Base!$V:$V,MATCH($A3,Base!$A:$A,0)),0)))</f>
        <v>12.71407</v>
      </c>
      <c r="BQ3" s="21">
        <f>IF(BQ$1&lt;INDEX('Valo FX'!$Q:$Q,MATCH($A3,'Valo FX'!$A:$A,0)),0,IF(BQ$1&lt;INDEX('Valo FX'!$R:$R,MATCH($A3,'Valo FX'!$A:$A,0)),INDEX(Base!$U:$U,MATCH($A3,Base!$A:$A,0)),IF(BQ$1=INDEX('Valo FX'!$R:$R,MATCH($A3,'Valo FX'!$A:$A,0)),INDEX(Base!$V:$V,MATCH($A3,Base!$A:$A,0)),0)))</f>
        <v>12.71407</v>
      </c>
      <c r="BR3" s="21">
        <f>IF(BR$1&lt;INDEX('Valo FX'!$Q:$Q,MATCH($A3,'Valo FX'!$A:$A,0)),0,IF(BR$1&lt;INDEX('Valo FX'!$R:$R,MATCH($A3,'Valo FX'!$A:$A,0)),INDEX(Base!$U:$U,MATCH($A3,Base!$A:$A,0)),IF(BR$1=INDEX('Valo FX'!$R:$R,MATCH($A3,'Valo FX'!$A:$A,0)),INDEX(Base!$V:$V,MATCH($A3,Base!$A:$A,0)),0)))</f>
        <v>12.71407</v>
      </c>
      <c r="BS3" s="21">
        <f>IF(BS$1&lt;INDEX('Valo FX'!$Q:$Q,MATCH($A3,'Valo FX'!$A:$A,0)),0,IF(BS$1&lt;INDEX('Valo FX'!$R:$R,MATCH($A3,'Valo FX'!$A:$A,0)),INDEX(Base!$U:$U,MATCH($A3,Base!$A:$A,0)),IF(BS$1=INDEX('Valo FX'!$R:$R,MATCH($A3,'Valo FX'!$A:$A,0)),INDEX(Base!$V:$V,MATCH($A3,Base!$A:$A,0)),0)))</f>
        <v>12.71407</v>
      </c>
      <c r="BT3" s="21">
        <f>IF(BT$1&lt;INDEX('Valo FX'!$Q:$Q,MATCH($A3,'Valo FX'!$A:$A,0)),0,IF(BT$1&lt;INDEX('Valo FX'!$R:$R,MATCH($A3,'Valo FX'!$A:$A,0)),INDEX(Base!$U:$U,MATCH($A3,Base!$A:$A,0)),IF(BT$1=INDEX('Valo FX'!$R:$R,MATCH($A3,'Valo FX'!$A:$A,0)),INDEX(Base!$V:$V,MATCH($A3,Base!$A:$A,0)),0)))</f>
        <v>12.71407</v>
      </c>
      <c r="BU3" s="21">
        <f>IF(BU$1&lt;INDEX('Valo FX'!$Q:$Q,MATCH($A3,'Valo FX'!$A:$A,0)),0,IF(BU$1&lt;INDEX('Valo FX'!$R:$R,MATCH($A3,'Valo FX'!$A:$A,0)),INDEX(Base!$U:$U,MATCH($A3,Base!$A:$A,0)),IF(BU$1=INDEX('Valo FX'!$R:$R,MATCH($A3,'Valo FX'!$A:$A,0)),INDEX(Base!$V:$V,MATCH($A3,Base!$A:$A,0)),0)))</f>
        <v>12.71407</v>
      </c>
      <c r="BV3" s="21">
        <f>IF(BV$1&lt;INDEX('Valo FX'!$Q:$Q,MATCH($A3,'Valo FX'!$A:$A,0)),0,IF(BV$1&lt;INDEX('Valo FX'!$R:$R,MATCH($A3,'Valo FX'!$A:$A,0)),INDEX(Base!$U:$U,MATCH($A3,Base!$A:$A,0)),IF(BV$1=INDEX('Valo FX'!$R:$R,MATCH($A3,'Valo FX'!$A:$A,0)),INDEX(Base!$V:$V,MATCH($A3,Base!$A:$A,0)),0)))</f>
        <v>12.71407</v>
      </c>
      <c r="BW3" s="21">
        <f>IF(BW$1&lt;INDEX('Valo FX'!$Q:$Q,MATCH($A3,'Valo FX'!$A:$A,0)),0,IF(BW$1&lt;INDEX('Valo FX'!$R:$R,MATCH($A3,'Valo FX'!$A:$A,0)),INDEX(Base!$U:$U,MATCH($A3,Base!$A:$A,0)),IF(BW$1=INDEX('Valo FX'!$R:$R,MATCH($A3,'Valo FX'!$A:$A,0)),INDEX(Base!$V:$V,MATCH($A3,Base!$A:$A,0)),0)))</f>
        <v>12.71407</v>
      </c>
      <c r="BX3" s="21">
        <f>IF(BX$1&lt;INDEX('Valo FX'!$Q:$Q,MATCH($A3,'Valo FX'!$A:$A,0)),0,IF(BX$1&lt;INDEX('Valo FX'!$R:$R,MATCH($A3,'Valo FX'!$A:$A,0)),INDEX(Base!$U:$U,MATCH($A3,Base!$A:$A,0)),IF(BX$1=INDEX('Valo FX'!$R:$R,MATCH($A3,'Valo FX'!$A:$A,0)),INDEX(Base!$V:$V,MATCH($A3,Base!$A:$A,0)),0)))</f>
        <v>12.71407</v>
      </c>
      <c r="BY3" s="21">
        <f>IF(BY$1&lt;INDEX('Valo FX'!$Q:$Q,MATCH($A3,'Valo FX'!$A:$A,0)),0,IF(BY$1&lt;INDEX('Valo FX'!$R:$R,MATCH($A3,'Valo FX'!$A:$A,0)),INDEX(Base!$U:$U,MATCH($A3,Base!$A:$A,0)),IF(BY$1=INDEX('Valo FX'!$R:$R,MATCH($A3,'Valo FX'!$A:$A,0)),INDEX(Base!$V:$V,MATCH($A3,Base!$A:$A,0)),0)))</f>
        <v>12.71407</v>
      </c>
      <c r="BZ3" s="21">
        <f>IF(BZ$1&lt;INDEX('Valo FX'!$Q:$Q,MATCH($A3,'Valo FX'!$A:$A,0)),0,IF(BZ$1&lt;INDEX('Valo FX'!$R:$R,MATCH($A3,'Valo FX'!$A:$A,0)),INDEX(Base!$U:$U,MATCH($A3,Base!$A:$A,0)),IF(BZ$1=INDEX('Valo FX'!$R:$R,MATCH($A3,'Valo FX'!$A:$A,0)),INDEX(Base!$V:$V,MATCH($A3,Base!$A:$A,0)),0)))</f>
        <v>12.71407</v>
      </c>
      <c r="CA3" s="21">
        <f>IF(CA$1&lt;INDEX('Valo FX'!$Q:$Q,MATCH($A3,'Valo FX'!$A:$A,0)),0,IF(CA$1&lt;INDEX('Valo FX'!$R:$R,MATCH($A3,'Valo FX'!$A:$A,0)),INDEX(Base!$U:$U,MATCH($A3,Base!$A:$A,0)),IF(CA$1=INDEX('Valo FX'!$R:$R,MATCH($A3,'Valo FX'!$A:$A,0)),INDEX(Base!$V:$V,MATCH($A3,Base!$A:$A,0)),0)))</f>
        <v>12.71407</v>
      </c>
      <c r="CB3" s="21">
        <f>IF(CB$1&lt;INDEX('Valo FX'!$Q:$Q,MATCH($A3,'Valo FX'!$A:$A,0)),0,IF(CB$1&lt;INDEX('Valo FX'!$R:$R,MATCH($A3,'Valo FX'!$A:$A,0)),INDEX(Base!$U:$U,MATCH($A3,Base!$A:$A,0)),IF(CB$1=INDEX('Valo FX'!$R:$R,MATCH($A3,'Valo FX'!$A:$A,0)),INDEX(Base!$V:$V,MATCH($A3,Base!$A:$A,0)),0)))</f>
        <v>12.71407</v>
      </c>
      <c r="CC3" s="21">
        <f>IF(CC$1&lt;INDEX('Valo FX'!$Q:$Q,MATCH($A3,'Valo FX'!$A:$A,0)),0,IF(CC$1&lt;INDEX('Valo FX'!$R:$R,MATCH($A3,'Valo FX'!$A:$A,0)),INDEX(Base!$U:$U,MATCH($A3,Base!$A:$A,0)),IF(CC$1=INDEX('Valo FX'!$R:$R,MATCH($A3,'Valo FX'!$A:$A,0)),INDEX(Base!$V:$V,MATCH($A3,Base!$A:$A,0)),0)))</f>
        <v>12.71407</v>
      </c>
      <c r="CD3" s="21">
        <f>IF(CD$1&lt;INDEX('Valo FX'!$Q:$Q,MATCH($A3,'Valo FX'!$A:$A,0)),0,IF(CD$1&lt;INDEX('Valo FX'!$R:$R,MATCH($A3,'Valo FX'!$A:$A,0)),INDEX(Base!$U:$U,MATCH($A3,Base!$A:$A,0)),IF(CD$1=INDEX('Valo FX'!$R:$R,MATCH($A3,'Valo FX'!$A:$A,0)),INDEX(Base!$V:$V,MATCH($A3,Base!$A:$A,0)),0)))</f>
        <v>12.71407</v>
      </c>
      <c r="CE3" s="21">
        <f>IF(CE$1&lt;INDEX('Valo FX'!$Q:$Q,MATCH($A3,'Valo FX'!$A:$A,0)),0,IF(CE$1&lt;INDEX('Valo FX'!$R:$R,MATCH($A3,'Valo FX'!$A:$A,0)),INDEX(Base!$U:$U,MATCH($A3,Base!$A:$A,0)),IF(CE$1=INDEX('Valo FX'!$R:$R,MATCH($A3,'Valo FX'!$A:$A,0)),INDEX(Base!$V:$V,MATCH($A3,Base!$A:$A,0)),0)))</f>
        <v>12.71407</v>
      </c>
      <c r="CF3" s="21">
        <f>IF(CF$1&lt;INDEX('Valo FX'!$Q:$Q,MATCH($A3,'Valo FX'!$A:$A,0)),0,IF(CF$1&lt;INDEX('Valo FX'!$R:$R,MATCH($A3,'Valo FX'!$A:$A,0)),INDEX(Base!$U:$U,MATCH($A3,Base!$A:$A,0)),IF(CF$1=INDEX('Valo FX'!$R:$R,MATCH($A3,'Valo FX'!$A:$A,0)),INDEX(Base!$V:$V,MATCH($A3,Base!$A:$A,0)),0)))</f>
        <v>12.71407</v>
      </c>
      <c r="CG3" s="21">
        <f>IF(CG$1&lt;INDEX('Valo FX'!$Q:$Q,MATCH($A3,'Valo FX'!$A:$A,0)),0,IF(CG$1&lt;INDEX('Valo FX'!$R:$R,MATCH($A3,'Valo FX'!$A:$A,0)),INDEX(Base!$U:$U,MATCH($A3,Base!$A:$A,0)),IF(CG$1=INDEX('Valo FX'!$R:$R,MATCH($A3,'Valo FX'!$A:$A,0)),INDEX(Base!$V:$V,MATCH($A3,Base!$A:$A,0)),0)))</f>
        <v>12.71407</v>
      </c>
      <c r="CH3" s="21">
        <f>IF(CH$1&lt;INDEX('Valo FX'!$Q:$Q,MATCH($A3,'Valo FX'!$A:$A,0)),0,IF(CH$1&lt;INDEX('Valo FX'!$R:$R,MATCH($A3,'Valo FX'!$A:$A,0)),INDEX(Base!$U:$U,MATCH($A3,Base!$A:$A,0)),IF(CH$1=INDEX('Valo FX'!$R:$R,MATCH($A3,'Valo FX'!$A:$A,0)),INDEX(Base!$V:$V,MATCH($A3,Base!$A:$A,0)),0)))</f>
        <v>12.71407</v>
      </c>
      <c r="CI3" s="21">
        <f>IF(CI$1&lt;INDEX('Valo FX'!$Q:$Q,MATCH($A3,'Valo FX'!$A:$A,0)),0,IF(CI$1&lt;INDEX('Valo FX'!$R:$R,MATCH($A3,'Valo FX'!$A:$A,0)),INDEX(Base!$U:$U,MATCH($A3,Base!$A:$A,0)),IF(CI$1=INDEX('Valo FX'!$R:$R,MATCH($A3,'Valo FX'!$A:$A,0)),INDEX(Base!$V:$V,MATCH($A3,Base!$A:$A,0)),0)))</f>
        <v>12.71407</v>
      </c>
      <c r="CJ3" s="21">
        <f>IF(CJ$1&lt;INDEX('Valo FX'!$Q:$Q,MATCH($A3,'Valo FX'!$A:$A,0)),0,IF(CJ$1&lt;INDEX('Valo FX'!$R:$R,MATCH($A3,'Valo FX'!$A:$A,0)),INDEX(Base!$U:$U,MATCH($A3,Base!$A:$A,0)),IF(CJ$1=INDEX('Valo FX'!$R:$R,MATCH($A3,'Valo FX'!$A:$A,0)),INDEX(Base!$V:$V,MATCH($A3,Base!$A:$A,0)),0)))</f>
        <v>12.71407</v>
      </c>
      <c r="CK3" s="21">
        <f>IF(CK$1&lt;INDEX('Valo FX'!$Q:$Q,MATCH($A3,'Valo FX'!$A:$A,0)),0,IF(CK$1&lt;INDEX('Valo FX'!$R:$R,MATCH($A3,'Valo FX'!$A:$A,0)),INDEX(Base!$U:$U,MATCH($A3,Base!$A:$A,0)),IF(CK$1=INDEX('Valo FX'!$R:$R,MATCH($A3,'Valo FX'!$A:$A,0)),INDEX(Base!$V:$V,MATCH($A3,Base!$A:$A,0)),0)))</f>
        <v>12.71407</v>
      </c>
      <c r="CL3" s="21">
        <f>IF(CL$1&lt;INDEX('Valo FX'!$Q:$Q,MATCH($A3,'Valo FX'!$A:$A,0)),0,IF(CL$1&lt;INDEX('Valo FX'!$R:$R,MATCH($A3,'Valo FX'!$A:$A,0)),INDEX(Base!$U:$U,MATCH($A3,Base!$A:$A,0)),IF(CL$1=INDEX('Valo FX'!$R:$R,MATCH($A3,'Valo FX'!$A:$A,0)),INDEX(Base!$V:$V,MATCH($A3,Base!$A:$A,0)),0)))</f>
        <v>12.71407</v>
      </c>
      <c r="CM3" s="21">
        <f>IF(CM$1&lt;INDEX('Valo FX'!$Q:$Q,MATCH($A3,'Valo FX'!$A:$A,0)),0,IF(CM$1&lt;INDEX('Valo FX'!$R:$R,MATCH($A3,'Valo FX'!$A:$A,0)),INDEX(Base!$U:$U,MATCH($A3,Base!$A:$A,0)),IF(CM$1=INDEX('Valo FX'!$R:$R,MATCH($A3,'Valo FX'!$A:$A,0)),INDEX(Base!$V:$V,MATCH($A3,Base!$A:$A,0)),0)))</f>
        <v>12.71407</v>
      </c>
      <c r="CN3" s="21">
        <f>IF(CN$1&lt;INDEX('Valo FX'!$Q:$Q,MATCH($A3,'Valo FX'!$A:$A,0)),0,IF(CN$1&lt;INDEX('Valo FX'!$R:$R,MATCH($A3,'Valo FX'!$A:$A,0)),INDEX(Base!$U:$U,MATCH($A3,Base!$A:$A,0)),IF(CN$1=INDEX('Valo FX'!$R:$R,MATCH($A3,'Valo FX'!$A:$A,0)),INDEX(Base!$V:$V,MATCH($A3,Base!$A:$A,0)),0)))</f>
        <v>12.71407</v>
      </c>
      <c r="CO3" s="21">
        <f>IF(CO$1&lt;INDEX('Valo FX'!$Q:$Q,MATCH($A3,'Valo FX'!$A:$A,0)),0,IF(CO$1&lt;INDEX('Valo FX'!$R:$R,MATCH($A3,'Valo FX'!$A:$A,0)),INDEX(Base!$U:$U,MATCH($A3,Base!$A:$A,0)),IF(CO$1=INDEX('Valo FX'!$R:$R,MATCH($A3,'Valo FX'!$A:$A,0)),INDEX(Base!$V:$V,MATCH($A3,Base!$A:$A,0)),0)))</f>
        <v>12.71407</v>
      </c>
      <c r="CP3" s="21">
        <f>IF(CP$1&lt;INDEX('Valo FX'!$Q:$Q,MATCH($A3,'Valo FX'!$A:$A,0)),0,IF(CP$1&lt;INDEX('Valo FX'!$R:$R,MATCH($A3,'Valo FX'!$A:$A,0)),INDEX(Base!$U:$U,MATCH($A3,Base!$A:$A,0)),IF(CP$1=INDEX('Valo FX'!$R:$R,MATCH($A3,'Valo FX'!$A:$A,0)),INDEX(Base!$V:$V,MATCH($A3,Base!$A:$A,0)),0)))</f>
        <v>12.71407</v>
      </c>
      <c r="CQ3" s="21">
        <f>IF(CQ$1&lt;INDEX('Valo FX'!$Q:$Q,MATCH($A3,'Valo FX'!$A:$A,0)),0,IF(CQ$1&lt;INDEX('Valo FX'!$R:$R,MATCH($A3,'Valo FX'!$A:$A,0)),INDEX(Base!$U:$U,MATCH($A3,Base!$A:$A,0)),IF(CQ$1=INDEX('Valo FX'!$R:$R,MATCH($A3,'Valo FX'!$A:$A,0)),INDEX(Base!$V:$V,MATCH($A3,Base!$A:$A,0)),0)))</f>
        <v>12.71407</v>
      </c>
      <c r="CR3" s="21">
        <f>IF(CR$1&lt;INDEX('Valo FX'!$Q:$Q,MATCH($A3,'Valo FX'!$A:$A,0)),0,IF(CR$1&lt;INDEX('Valo FX'!$R:$R,MATCH($A3,'Valo FX'!$A:$A,0)),INDEX(Base!$U:$U,MATCH($A3,Base!$A:$A,0)),IF(CR$1=INDEX('Valo FX'!$R:$R,MATCH($A3,'Valo FX'!$A:$A,0)),INDEX(Base!$V:$V,MATCH($A3,Base!$A:$A,0)),0)))</f>
        <v>12.71407</v>
      </c>
      <c r="CS3" s="21">
        <f>IF(CS$1&lt;INDEX('Valo FX'!$Q:$Q,MATCH($A3,'Valo FX'!$A:$A,0)),0,IF(CS$1&lt;INDEX('Valo FX'!$R:$R,MATCH($A3,'Valo FX'!$A:$A,0)),INDEX(Base!$U:$U,MATCH($A3,Base!$A:$A,0)),IF(CS$1=INDEX('Valo FX'!$R:$R,MATCH($A3,'Valo FX'!$A:$A,0)),INDEX(Base!$V:$V,MATCH($A3,Base!$A:$A,0)),0)))</f>
        <v>12.71407</v>
      </c>
      <c r="CT3" s="21">
        <f>IF(CT$1&lt;INDEX('Valo FX'!$Q:$Q,MATCH($A3,'Valo FX'!$A:$A,0)),0,IF(CT$1&lt;INDEX('Valo FX'!$R:$R,MATCH($A3,'Valo FX'!$A:$A,0)),INDEX(Base!$U:$U,MATCH($A3,Base!$A:$A,0)),IF(CT$1=INDEX('Valo FX'!$R:$R,MATCH($A3,'Valo FX'!$A:$A,0)),INDEX(Base!$V:$V,MATCH($A3,Base!$A:$A,0)),0)))</f>
        <v>12.71407</v>
      </c>
      <c r="CU3" s="21">
        <f>IF(CU$1&lt;INDEX('Valo FX'!$Q:$Q,MATCH($A3,'Valo FX'!$A:$A,0)),0,IF(CU$1&lt;INDEX('Valo FX'!$R:$R,MATCH($A3,'Valo FX'!$A:$A,0)),INDEX(Base!$U:$U,MATCH($A3,Base!$A:$A,0)),IF(CU$1=INDEX('Valo FX'!$R:$R,MATCH($A3,'Valo FX'!$A:$A,0)),INDEX(Base!$V:$V,MATCH($A3,Base!$A:$A,0)),0)))</f>
        <v>12.71407</v>
      </c>
      <c r="CV3" s="21">
        <f>IF(CV$1&lt;INDEX('Valo FX'!$Q:$Q,MATCH($A3,'Valo FX'!$A:$A,0)),0,IF(CV$1&lt;INDEX('Valo FX'!$R:$R,MATCH($A3,'Valo FX'!$A:$A,0)),INDEX(Base!$U:$U,MATCH($A3,Base!$A:$A,0)),IF(CV$1=INDEX('Valo FX'!$R:$R,MATCH($A3,'Valo FX'!$A:$A,0)),INDEX(Base!$V:$V,MATCH($A3,Base!$A:$A,0)),0)))</f>
        <v>12.71407</v>
      </c>
      <c r="CW3" s="21">
        <f>IF(CW$1&lt;INDEX('Valo FX'!$Q:$Q,MATCH($A3,'Valo FX'!$A:$A,0)),0,IF(CW$1&lt;INDEX('Valo FX'!$R:$R,MATCH($A3,'Valo FX'!$A:$A,0)),INDEX(Base!$U:$U,MATCH($A3,Base!$A:$A,0)),IF(CW$1=INDEX('Valo FX'!$R:$R,MATCH($A3,'Valo FX'!$A:$A,0)),INDEX(Base!$V:$V,MATCH($A3,Base!$A:$A,0)),0)))</f>
        <v>12.71407</v>
      </c>
      <c r="CX3" s="21">
        <f>IF(CX$1&lt;INDEX('Valo FX'!$Q:$Q,MATCH($A3,'Valo FX'!$A:$A,0)),0,IF(CX$1&lt;INDEX('Valo FX'!$R:$R,MATCH($A3,'Valo FX'!$A:$A,0)),INDEX(Base!$U:$U,MATCH($A3,Base!$A:$A,0)),IF(CX$1=INDEX('Valo FX'!$R:$R,MATCH($A3,'Valo FX'!$A:$A,0)),INDEX(Base!$V:$V,MATCH($A3,Base!$A:$A,0)),0)))</f>
        <v>12.71407</v>
      </c>
      <c r="CY3" s="21">
        <f>IF(CY$1&lt;INDEX('Valo FX'!$Q:$Q,MATCH($A3,'Valo FX'!$A:$A,0)),0,IF(CY$1&lt;INDEX('Valo FX'!$R:$R,MATCH($A3,'Valo FX'!$A:$A,0)),INDEX(Base!$U:$U,MATCH($A3,Base!$A:$A,0)),IF(CY$1=INDEX('Valo FX'!$R:$R,MATCH($A3,'Valo FX'!$A:$A,0)),INDEX(Base!$V:$V,MATCH($A3,Base!$A:$A,0)),0)))</f>
        <v>12.71407</v>
      </c>
      <c r="CZ3" s="21">
        <f>IF(CZ$1&lt;INDEX('Valo FX'!$Q:$Q,MATCH($A3,'Valo FX'!$A:$A,0)),0,IF(CZ$1&lt;INDEX('Valo FX'!$R:$R,MATCH($A3,'Valo FX'!$A:$A,0)),INDEX(Base!$U:$U,MATCH($A3,Base!$A:$A,0)),IF(CZ$1=INDEX('Valo FX'!$R:$R,MATCH($A3,'Valo FX'!$A:$A,0)),INDEX(Base!$V:$V,MATCH($A3,Base!$A:$A,0)),0)))</f>
        <v>12.71407</v>
      </c>
      <c r="DA3" s="21">
        <f>IF(DA$1&lt;INDEX('Valo FX'!$Q:$Q,MATCH($A3,'Valo FX'!$A:$A,0)),0,IF(DA$1&lt;INDEX('Valo FX'!$R:$R,MATCH($A3,'Valo FX'!$A:$A,0)),INDEX(Base!$U:$U,MATCH($A3,Base!$A:$A,0)),IF(DA$1=INDEX('Valo FX'!$R:$R,MATCH($A3,'Valo FX'!$A:$A,0)),INDEX(Base!$V:$V,MATCH($A3,Base!$A:$A,0)),0)))</f>
        <v>12.71407</v>
      </c>
      <c r="DB3" s="21">
        <f>IF(DB$1&lt;INDEX('Valo FX'!$Q:$Q,MATCH($A3,'Valo FX'!$A:$A,0)),0,IF(DB$1&lt;INDEX('Valo FX'!$R:$R,MATCH($A3,'Valo FX'!$A:$A,0)),INDEX(Base!$U:$U,MATCH($A3,Base!$A:$A,0)),IF(DB$1=INDEX('Valo FX'!$R:$R,MATCH($A3,'Valo FX'!$A:$A,0)),INDEX(Base!$V:$V,MATCH($A3,Base!$A:$A,0)),0)))</f>
        <v>12.71407</v>
      </c>
      <c r="DC3" s="21">
        <f>IF(DC$1&lt;INDEX('Valo FX'!$Q:$Q,MATCH($A3,'Valo FX'!$A:$A,0)),0,IF(DC$1&lt;INDEX('Valo FX'!$R:$R,MATCH($A3,'Valo FX'!$A:$A,0)),INDEX(Base!$U:$U,MATCH($A3,Base!$A:$A,0)),IF(DC$1=INDEX('Valo FX'!$R:$R,MATCH($A3,'Valo FX'!$A:$A,0)),INDEX(Base!$V:$V,MATCH($A3,Base!$A:$A,0)),0)))</f>
        <v>12.71407</v>
      </c>
      <c r="DD3" s="21">
        <f>IF(DD$1&lt;INDEX('Valo FX'!$Q:$Q,MATCH($A3,'Valo FX'!$A:$A,0)),0,IF(DD$1&lt;INDEX('Valo FX'!$R:$R,MATCH($A3,'Valo FX'!$A:$A,0)),INDEX(Base!$U:$U,MATCH($A3,Base!$A:$A,0)),IF(DD$1=INDEX('Valo FX'!$R:$R,MATCH($A3,'Valo FX'!$A:$A,0)),INDEX(Base!$V:$V,MATCH($A3,Base!$A:$A,0)),0)))</f>
        <v>12.71407</v>
      </c>
      <c r="DE3" s="21">
        <f>IF(DE$1&lt;INDEX('Valo FX'!$Q:$Q,MATCH($A3,'Valo FX'!$A:$A,0)),0,IF(DE$1&lt;INDEX('Valo FX'!$R:$R,MATCH($A3,'Valo FX'!$A:$A,0)),INDEX(Base!$U:$U,MATCH($A3,Base!$A:$A,0)),IF(DE$1=INDEX('Valo FX'!$R:$R,MATCH($A3,'Valo FX'!$A:$A,0)),INDEX(Base!$V:$V,MATCH($A3,Base!$A:$A,0)),0)))</f>
        <v>12.71407</v>
      </c>
      <c r="DF3" s="21">
        <f>IF(DF$1&lt;INDEX('Valo FX'!$Q:$Q,MATCH($A3,'Valo FX'!$A:$A,0)),0,IF(DF$1&lt;INDEX('Valo FX'!$R:$R,MATCH($A3,'Valo FX'!$A:$A,0)),INDEX(Base!$U:$U,MATCH($A3,Base!$A:$A,0)),IF(DF$1=INDEX('Valo FX'!$R:$R,MATCH($A3,'Valo FX'!$A:$A,0)),INDEX(Base!$V:$V,MATCH($A3,Base!$A:$A,0)),0)))</f>
        <v>12.71407</v>
      </c>
      <c r="DG3" s="21">
        <f>IF(DG$1&lt;INDEX('Valo FX'!$Q:$Q,MATCH($A3,'Valo FX'!$A:$A,0)),0,IF(DG$1&lt;INDEX('Valo FX'!$R:$R,MATCH($A3,'Valo FX'!$A:$A,0)),INDEX(Base!$U:$U,MATCH($A3,Base!$A:$A,0)),IF(DG$1=INDEX('Valo FX'!$R:$R,MATCH($A3,'Valo FX'!$A:$A,0)),INDEX(Base!$V:$V,MATCH($A3,Base!$A:$A,0)),0)))</f>
        <v>12.71407</v>
      </c>
      <c r="DH3" s="21">
        <f>IF(DH$1&lt;INDEX('Valo FX'!$Q:$Q,MATCH($A3,'Valo FX'!$A:$A,0)),0,IF(DH$1&lt;INDEX('Valo FX'!$R:$R,MATCH($A3,'Valo FX'!$A:$A,0)),INDEX(Base!$U:$U,MATCH($A3,Base!$A:$A,0)),IF(DH$1=INDEX('Valo FX'!$R:$R,MATCH($A3,'Valo FX'!$A:$A,0)),INDEX(Base!$V:$V,MATCH($A3,Base!$A:$A,0)),0)))</f>
        <v>12.71407</v>
      </c>
      <c r="DI3" s="21">
        <f>IF(DI$1&lt;INDEX('Valo FX'!$Q:$Q,MATCH($A3,'Valo FX'!$A:$A,0)),0,IF(DI$1&lt;INDEX('Valo FX'!$R:$R,MATCH($A3,'Valo FX'!$A:$A,0)),INDEX(Base!$U:$U,MATCH($A3,Base!$A:$A,0)),IF(DI$1=INDEX('Valo FX'!$R:$R,MATCH($A3,'Valo FX'!$A:$A,0)),INDEX(Base!$V:$V,MATCH($A3,Base!$A:$A,0)),0)))</f>
        <v>12.71407</v>
      </c>
      <c r="DJ3" s="21">
        <f>IF(DJ$1&lt;INDEX('Valo FX'!$Q:$Q,MATCH($A3,'Valo FX'!$A:$A,0)),0,IF(DJ$1&lt;INDEX('Valo FX'!$R:$R,MATCH($A3,'Valo FX'!$A:$A,0)),INDEX(Base!$U:$U,MATCH($A3,Base!$A:$A,0)),IF(DJ$1=INDEX('Valo FX'!$R:$R,MATCH($A3,'Valo FX'!$A:$A,0)),INDEX(Base!$V:$V,MATCH($A3,Base!$A:$A,0)),0)))</f>
        <v>12.71407</v>
      </c>
      <c r="DK3" s="21">
        <f>IF(DK$1&lt;INDEX('Valo FX'!$Q:$Q,MATCH($A3,'Valo FX'!$A:$A,0)),0,IF(DK$1&lt;INDEX('Valo FX'!$R:$R,MATCH($A3,'Valo FX'!$A:$A,0)),INDEX(Base!$U:$U,MATCH($A3,Base!$A:$A,0)),IF(DK$1=INDEX('Valo FX'!$R:$R,MATCH($A3,'Valo FX'!$A:$A,0)),INDEX(Base!$V:$V,MATCH($A3,Base!$A:$A,0)),0)))</f>
        <v>12.71407</v>
      </c>
      <c r="DL3" s="21">
        <f>IF(DL$1&lt;INDEX('Valo FX'!$Q:$Q,MATCH($A3,'Valo FX'!$A:$A,0)),0,IF(DL$1&lt;INDEX('Valo FX'!$R:$R,MATCH($A3,'Valo FX'!$A:$A,0)),INDEX(Base!$U:$U,MATCH($A3,Base!$A:$A,0)),IF(DL$1=INDEX('Valo FX'!$R:$R,MATCH($A3,'Valo FX'!$A:$A,0)),INDEX(Base!$V:$V,MATCH($A3,Base!$A:$A,0)),0)))</f>
        <v>12.71407</v>
      </c>
      <c r="DM3" s="21">
        <f>IF(DM$1&lt;INDEX('Valo FX'!$Q:$Q,MATCH($A3,'Valo FX'!$A:$A,0)),0,IF(DM$1&lt;INDEX('Valo FX'!$R:$R,MATCH($A3,'Valo FX'!$A:$A,0)),INDEX(Base!$U:$U,MATCH($A3,Base!$A:$A,0)),IF(DM$1=INDEX('Valo FX'!$R:$R,MATCH($A3,'Valo FX'!$A:$A,0)),INDEX(Base!$V:$V,MATCH($A3,Base!$A:$A,0)),0)))</f>
        <v>12.71407</v>
      </c>
      <c r="DN3" s="21">
        <f>IF(DN$1&lt;INDEX('Valo FX'!$Q:$Q,MATCH($A3,'Valo FX'!$A:$A,0)),0,IF(DN$1&lt;INDEX('Valo FX'!$R:$R,MATCH($A3,'Valo FX'!$A:$A,0)),INDEX(Base!$U:$U,MATCH($A3,Base!$A:$A,0)),IF(DN$1=INDEX('Valo FX'!$R:$R,MATCH($A3,'Valo FX'!$A:$A,0)),INDEX(Base!$V:$V,MATCH($A3,Base!$A:$A,0)),0)))</f>
        <v>12.71407</v>
      </c>
      <c r="DO3" s="21">
        <f>IF(DO$1&lt;INDEX('Valo FX'!$Q:$Q,MATCH($A3,'Valo FX'!$A:$A,0)),0,IF(DO$1&lt;INDEX('Valo FX'!$R:$R,MATCH($A3,'Valo FX'!$A:$A,0)),INDEX(Base!$U:$U,MATCH($A3,Base!$A:$A,0)),IF(DO$1=INDEX('Valo FX'!$R:$R,MATCH($A3,'Valo FX'!$A:$A,0)),INDEX(Base!$V:$V,MATCH($A3,Base!$A:$A,0)),0)))</f>
        <v>12.71407</v>
      </c>
      <c r="DP3" s="21">
        <f>IF(DP$1&lt;INDEX('Valo FX'!$Q:$Q,MATCH($A3,'Valo FX'!$A:$A,0)),0,IF(DP$1&lt;INDEX('Valo FX'!$R:$R,MATCH($A3,'Valo FX'!$A:$A,0)),INDEX(Base!$U:$U,MATCH($A3,Base!$A:$A,0)),IF(DP$1=INDEX('Valo FX'!$R:$R,MATCH($A3,'Valo FX'!$A:$A,0)),INDEX(Base!$V:$V,MATCH($A3,Base!$A:$A,0)),0)))</f>
        <v>12.71407</v>
      </c>
      <c r="DQ3" s="21">
        <f>IF(DQ$1&lt;INDEX('Valo FX'!$Q:$Q,MATCH($A3,'Valo FX'!$A:$A,0)),0,IF(DQ$1&lt;INDEX('Valo FX'!$R:$R,MATCH($A3,'Valo FX'!$A:$A,0)),INDEX(Base!$U:$U,MATCH($A3,Base!$A:$A,0)),IF(DQ$1=INDEX('Valo FX'!$R:$R,MATCH($A3,'Valo FX'!$A:$A,0)),INDEX(Base!$V:$V,MATCH($A3,Base!$A:$A,0)),0)))</f>
        <v>12.71407</v>
      </c>
      <c r="DR3" s="21">
        <f>IF(DR$1&lt;INDEX('Valo FX'!$Q:$Q,MATCH($A3,'Valo FX'!$A:$A,0)),0,IF(DR$1&lt;INDEX('Valo FX'!$R:$R,MATCH($A3,'Valo FX'!$A:$A,0)),INDEX(Base!$U:$U,MATCH($A3,Base!$A:$A,0)),IF(DR$1=INDEX('Valo FX'!$R:$R,MATCH($A3,'Valo FX'!$A:$A,0)),INDEX(Base!$V:$V,MATCH($A3,Base!$A:$A,0)),0)))</f>
        <v>12.71407</v>
      </c>
      <c r="DS3" s="21">
        <f>IF(DS$1&lt;INDEX('Valo FX'!$Q:$Q,MATCH($A3,'Valo FX'!$A:$A,0)),0,IF(DS$1&lt;INDEX('Valo FX'!$R:$R,MATCH($A3,'Valo FX'!$A:$A,0)),INDEX(Base!$U:$U,MATCH($A3,Base!$A:$A,0)),IF(DS$1=INDEX('Valo FX'!$R:$R,MATCH($A3,'Valo FX'!$A:$A,0)),INDEX(Base!$V:$V,MATCH($A3,Base!$A:$A,0)),0)))</f>
        <v>12.71407</v>
      </c>
      <c r="DT3" s="21">
        <f>IF(DT$1&lt;INDEX('Valo FX'!$Q:$Q,MATCH($A3,'Valo FX'!$A:$A,0)),0,IF(DT$1&lt;INDEX('Valo FX'!$R:$R,MATCH($A3,'Valo FX'!$A:$A,0)),INDEX(Base!$U:$U,MATCH($A3,Base!$A:$A,0)),IF(DT$1=INDEX('Valo FX'!$R:$R,MATCH($A3,'Valo FX'!$A:$A,0)),INDEX(Base!$V:$V,MATCH($A3,Base!$A:$A,0)),0)))</f>
        <v>12.71407</v>
      </c>
      <c r="DU3" s="21">
        <f>IF(DU$1&lt;INDEX('Valo FX'!$Q:$Q,MATCH($A3,'Valo FX'!$A:$A,0)),0,IF(DU$1&lt;INDEX('Valo FX'!$R:$R,MATCH($A3,'Valo FX'!$A:$A,0)),INDEX(Base!$U:$U,MATCH($A3,Base!$A:$A,0)),IF(DU$1=INDEX('Valo FX'!$R:$R,MATCH($A3,'Valo FX'!$A:$A,0)),INDEX(Base!$V:$V,MATCH($A3,Base!$A:$A,0)),0)))</f>
        <v>12.71407</v>
      </c>
      <c r="DV3" s="21">
        <f>IF(DV$1&lt;INDEX('Valo FX'!$Q:$Q,MATCH($A3,'Valo FX'!$A:$A,0)),0,IF(DV$1&lt;INDEX('Valo FX'!$R:$R,MATCH($A3,'Valo FX'!$A:$A,0)),INDEX(Base!$U:$U,MATCH($A3,Base!$A:$A,0)),IF(DV$1=INDEX('Valo FX'!$R:$R,MATCH($A3,'Valo FX'!$A:$A,0)),INDEX(Base!$V:$V,MATCH($A3,Base!$A:$A,0)),0)))</f>
        <v>12.71407</v>
      </c>
      <c r="DW3" s="21">
        <f>IF(DW$1&lt;INDEX('Valo FX'!$Q:$Q,MATCH($A3,'Valo FX'!$A:$A,0)),0,IF(DW$1&lt;INDEX('Valo FX'!$R:$R,MATCH($A3,'Valo FX'!$A:$A,0)),INDEX(Base!$U:$U,MATCH($A3,Base!$A:$A,0)),IF(DW$1=INDEX('Valo FX'!$R:$R,MATCH($A3,'Valo FX'!$A:$A,0)),INDEX(Base!$V:$V,MATCH($A3,Base!$A:$A,0)),0)))</f>
        <v>12.71407</v>
      </c>
      <c r="DX3" s="21">
        <f>IF(DX$1&lt;INDEX('Valo FX'!$Q:$Q,MATCH($A3,'Valo FX'!$A:$A,0)),0,IF(DX$1&lt;INDEX('Valo FX'!$R:$R,MATCH($A3,'Valo FX'!$A:$A,0)),INDEX(Base!$U:$U,MATCH($A3,Base!$A:$A,0)),IF(DX$1=INDEX('Valo FX'!$R:$R,MATCH($A3,'Valo FX'!$A:$A,0)),INDEX(Base!$V:$V,MATCH($A3,Base!$A:$A,0)),0)))</f>
        <v>12.71407</v>
      </c>
      <c r="DY3" s="21">
        <f>IF(DY$1&lt;INDEX('Valo FX'!$Q:$Q,MATCH($A3,'Valo FX'!$A:$A,0)),0,IF(DY$1&lt;INDEX('Valo FX'!$R:$R,MATCH($A3,'Valo FX'!$A:$A,0)),INDEX(Base!$U:$U,MATCH($A3,Base!$A:$A,0)),IF(DY$1=INDEX('Valo FX'!$R:$R,MATCH($A3,'Valo FX'!$A:$A,0)),INDEX(Base!$V:$V,MATCH($A3,Base!$A:$A,0)),0)))</f>
        <v>12.71407</v>
      </c>
      <c r="DZ3" s="21">
        <f>IF(DZ$1&lt;INDEX('Valo FX'!$Q:$Q,MATCH($A3,'Valo FX'!$A:$A,0)),0,IF(DZ$1&lt;INDEX('Valo FX'!$R:$R,MATCH($A3,'Valo FX'!$A:$A,0)),INDEX(Base!$U:$U,MATCH($A3,Base!$A:$A,0)),IF(DZ$1=INDEX('Valo FX'!$R:$R,MATCH($A3,'Valo FX'!$A:$A,0)),INDEX(Base!$V:$V,MATCH($A3,Base!$A:$A,0)),0)))</f>
        <v>12.71407</v>
      </c>
      <c r="EA3" s="21">
        <f>IF(EA$1&lt;INDEX('Valo FX'!$Q:$Q,MATCH($A3,'Valo FX'!$A:$A,0)),0,IF(EA$1&lt;INDEX('Valo FX'!$R:$R,MATCH($A3,'Valo FX'!$A:$A,0)),INDEX(Base!$U:$U,MATCH($A3,Base!$A:$A,0)),IF(EA$1=INDEX('Valo FX'!$R:$R,MATCH($A3,'Valo FX'!$A:$A,0)),INDEX(Base!$V:$V,MATCH($A3,Base!$A:$A,0)),0)))</f>
        <v>12.71407</v>
      </c>
      <c r="EB3" s="21">
        <f>IF(EB$1&lt;INDEX('Valo FX'!$Q:$Q,MATCH($A3,'Valo FX'!$A:$A,0)),0,IF(EB$1&lt;INDEX('Valo FX'!$R:$R,MATCH($A3,'Valo FX'!$A:$A,0)),INDEX(Base!$U:$U,MATCH($A3,Base!$A:$A,0)),IF(EB$1=INDEX('Valo FX'!$R:$R,MATCH($A3,'Valo FX'!$A:$A,0)),INDEX(Base!$V:$V,MATCH($A3,Base!$A:$A,0)),0)))</f>
        <v>12.71407</v>
      </c>
      <c r="EC3" s="21">
        <f>IF(EC$1&lt;INDEX('Valo FX'!$Q:$Q,MATCH($A3,'Valo FX'!$A:$A,0)),0,IF(EC$1&lt;INDEX('Valo FX'!$R:$R,MATCH($A3,'Valo FX'!$A:$A,0)),INDEX(Base!$U:$U,MATCH($A3,Base!$A:$A,0)),IF(EC$1=INDEX('Valo FX'!$R:$R,MATCH($A3,'Valo FX'!$A:$A,0)),INDEX(Base!$V:$V,MATCH($A3,Base!$A:$A,0)),0)))</f>
        <v>12.71407</v>
      </c>
      <c r="ED3" s="21">
        <f>IF(ED$1&lt;INDEX('Valo FX'!$Q:$Q,MATCH($A3,'Valo FX'!$A:$A,0)),0,IF(ED$1&lt;INDEX('Valo FX'!$R:$R,MATCH($A3,'Valo FX'!$A:$A,0)),INDEX(Base!$U:$U,MATCH($A3,Base!$A:$A,0)),IF(ED$1=INDEX('Valo FX'!$R:$R,MATCH($A3,'Valo FX'!$A:$A,0)),INDEX(Base!$V:$V,MATCH($A3,Base!$A:$A,0)),0)))</f>
        <v>12.71407</v>
      </c>
      <c r="EE3" s="21">
        <f>IF(EE$1&lt;INDEX('Valo FX'!$Q:$Q,MATCH($A3,'Valo FX'!$A:$A,0)),0,IF(EE$1&lt;INDEX('Valo FX'!$R:$R,MATCH($A3,'Valo FX'!$A:$A,0)),INDEX(Base!$U:$U,MATCH($A3,Base!$A:$A,0)),IF(EE$1=INDEX('Valo FX'!$R:$R,MATCH($A3,'Valo FX'!$A:$A,0)),INDEX(Base!$V:$V,MATCH($A3,Base!$A:$A,0)),0)))</f>
        <v>12.71407</v>
      </c>
      <c r="EF3" s="21">
        <f>IF(EF$1&lt;INDEX('Valo FX'!$Q:$Q,MATCH($A3,'Valo FX'!$A:$A,0)),0,IF(EF$1&lt;INDEX('Valo FX'!$R:$R,MATCH($A3,'Valo FX'!$A:$A,0)),INDEX(Base!$U:$U,MATCH($A3,Base!$A:$A,0)),IF(EF$1=INDEX('Valo FX'!$R:$R,MATCH($A3,'Valo FX'!$A:$A,0)),INDEX(Base!$V:$V,MATCH($A3,Base!$A:$A,0)),0)))</f>
        <v>12.71407</v>
      </c>
      <c r="EG3" s="21">
        <f>IF(EG$1&lt;INDEX('Valo FX'!$Q:$Q,MATCH($A3,'Valo FX'!$A:$A,0)),0,IF(EG$1&lt;INDEX('Valo FX'!$R:$R,MATCH($A3,'Valo FX'!$A:$A,0)),INDEX(Base!$U:$U,MATCH($A3,Base!$A:$A,0)),IF(EG$1=INDEX('Valo FX'!$R:$R,MATCH($A3,'Valo FX'!$A:$A,0)),INDEX(Base!$V:$V,MATCH($A3,Base!$A:$A,0)),0)))</f>
        <v>12.71407</v>
      </c>
      <c r="EH3" s="21">
        <f>IF(EH$1&lt;INDEX('Valo FX'!$Q:$Q,MATCH($A3,'Valo FX'!$A:$A,0)),0,IF(EH$1&lt;INDEX('Valo FX'!$R:$R,MATCH($A3,'Valo FX'!$A:$A,0)),INDEX(Base!$U:$U,MATCH($A3,Base!$A:$A,0)),IF(EH$1=INDEX('Valo FX'!$R:$R,MATCH($A3,'Valo FX'!$A:$A,0)),INDEX(Base!$V:$V,MATCH($A3,Base!$A:$A,0)),0)))</f>
        <v>12.71407</v>
      </c>
      <c r="EI3" s="21">
        <f>IF(EI$1&lt;INDEX('Valo FX'!$Q:$Q,MATCH($A3,'Valo FX'!$A:$A,0)),0,IF(EI$1&lt;INDEX('Valo FX'!$R:$R,MATCH($A3,'Valo FX'!$A:$A,0)),INDEX(Base!$U:$U,MATCH($A3,Base!$A:$A,0)),IF(EI$1=INDEX('Valo FX'!$R:$R,MATCH($A3,'Valo FX'!$A:$A,0)),INDEX(Base!$V:$V,MATCH($A3,Base!$A:$A,0)),0)))</f>
        <v>12.71407</v>
      </c>
      <c r="EJ3" s="21">
        <f>IF(EJ$1&lt;INDEX('Valo FX'!$Q:$Q,MATCH($A3,'Valo FX'!$A:$A,0)),0,IF(EJ$1&lt;INDEX('Valo FX'!$R:$R,MATCH($A3,'Valo FX'!$A:$A,0)),INDEX(Base!$U:$U,MATCH($A3,Base!$A:$A,0)),IF(EJ$1=INDEX('Valo FX'!$R:$R,MATCH($A3,'Valo FX'!$A:$A,0)),INDEX(Base!$V:$V,MATCH($A3,Base!$A:$A,0)),0)))</f>
        <v>12.71407</v>
      </c>
      <c r="EK3" s="21">
        <f>IF(EK$1&lt;INDEX('Valo FX'!$Q:$Q,MATCH($A3,'Valo FX'!$A:$A,0)),0,IF(EK$1&lt;INDEX('Valo FX'!$R:$R,MATCH($A3,'Valo FX'!$A:$A,0)),INDEX(Base!$U:$U,MATCH($A3,Base!$A:$A,0)),IF(EK$1=INDEX('Valo FX'!$R:$R,MATCH($A3,'Valo FX'!$A:$A,0)),INDEX(Base!$V:$V,MATCH($A3,Base!$A:$A,0)),0)))</f>
        <v>12.71407</v>
      </c>
      <c r="EL3" s="21">
        <f>IF(EL$1&lt;INDEX('Valo FX'!$Q:$Q,MATCH($A3,'Valo FX'!$A:$A,0)),0,IF(EL$1&lt;INDEX('Valo FX'!$R:$R,MATCH($A3,'Valo FX'!$A:$A,0)),INDEX(Base!$U:$U,MATCH($A3,Base!$A:$A,0)),IF(EL$1=INDEX('Valo FX'!$R:$R,MATCH($A3,'Valo FX'!$A:$A,0)),INDEX(Base!$V:$V,MATCH($A3,Base!$A:$A,0)),0)))</f>
        <v>12.71407</v>
      </c>
      <c r="EM3" s="21">
        <f>IF(EM$1&lt;INDEX('Valo FX'!$Q:$Q,MATCH($A3,'Valo FX'!$A:$A,0)),0,IF(EM$1&lt;INDEX('Valo FX'!$R:$R,MATCH($A3,'Valo FX'!$A:$A,0)),INDEX(Base!$U:$U,MATCH($A3,Base!$A:$A,0)),IF(EM$1=INDEX('Valo FX'!$R:$R,MATCH($A3,'Valo FX'!$A:$A,0)),INDEX(Base!$V:$V,MATCH($A3,Base!$A:$A,0)),0)))</f>
        <v>12.71407</v>
      </c>
      <c r="EN3" s="21">
        <f>IF(EN$1&lt;INDEX('Valo FX'!$Q:$Q,MATCH($A3,'Valo FX'!$A:$A,0)),0,IF(EN$1&lt;INDEX('Valo FX'!$R:$R,MATCH($A3,'Valo FX'!$A:$A,0)),INDEX(Base!$U:$U,MATCH($A3,Base!$A:$A,0)),IF(EN$1=INDEX('Valo FX'!$R:$R,MATCH($A3,'Valo FX'!$A:$A,0)),INDEX(Base!$V:$V,MATCH($A3,Base!$A:$A,0)),0)))</f>
        <v>12.71407</v>
      </c>
      <c r="EO3" s="21">
        <f>IF(EO$1&lt;INDEX('Valo FX'!$Q:$Q,MATCH($A3,'Valo FX'!$A:$A,0)),0,IF(EO$1&lt;INDEX('Valo FX'!$R:$R,MATCH($A3,'Valo FX'!$A:$A,0)),INDEX(Base!$U:$U,MATCH($A3,Base!$A:$A,0)),IF(EO$1=INDEX('Valo FX'!$R:$R,MATCH($A3,'Valo FX'!$A:$A,0)),INDEX(Base!$V:$V,MATCH($A3,Base!$A:$A,0)),0)))</f>
        <v>12.71407</v>
      </c>
      <c r="EP3" s="21">
        <f>IF(EP$1&lt;INDEX('Valo FX'!$Q:$Q,MATCH($A3,'Valo FX'!$A:$A,0)),0,IF(EP$1&lt;INDEX('Valo FX'!$R:$R,MATCH($A3,'Valo FX'!$A:$A,0)),INDEX(Base!$U:$U,MATCH($A3,Base!$A:$A,0)),IF(EP$1=INDEX('Valo FX'!$R:$R,MATCH($A3,'Valo FX'!$A:$A,0)),INDEX(Base!$V:$V,MATCH($A3,Base!$A:$A,0)),0)))</f>
        <v>12.71407</v>
      </c>
      <c r="EQ3" s="21">
        <f>IF(EQ$1&lt;INDEX('Valo FX'!$Q:$Q,MATCH($A3,'Valo FX'!$A:$A,0)),0,IF(EQ$1&lt;INDEX('Valo FX'!$R:$R,MATCH($A3,'Valo FX'!$A:$A,0)),INDEX(Base!$U:$U,MATCH($A3,Base!$A:$A,0)),IF(EQ$1=INDEX('Valo FX'!$R:$R,MATCH($A3,'Valo FX'!$A:$A,0)),INDEX(Base!$V:$V,MATCH($A3,Base!$A:$A,0)),0)))</f>
        <v>12.71407</v>
      </c>
      <c r="ER3" s="21">
        <f>IF(ER$1&lt;INDEX('Valo FX'!$Q:$Q,MATCH($A3,'Valo FX'!$A:$A,0)),0,IF(ER$1&lt;INDEX('Valo FX'!$R:$R,MATCH($A3,'Valo FX'!$A:$A,0)),INDEX(Base!$U:$U,MATCH($A3,Base!$A:$A,0)),IF(ER$1=INDEX('Valo FX'!$R:$R,MATCH($A3,'Valo FX'!$A:$A,0)),INDEX(Base!$V:$V,MATCH($A3,Base!$A:$A,0)),0)))</f>
        <v>12.71407</v>
      </c>
      <c r="ES3" s="21">
        <f>IF(ES$1&lt;INDEX('Valo FX'!$Q:$Q,MATCH($A3,'Valo FX'!$A:$A,0)),0,IF(ES$1&lt;INDEX('Valo FX'!$R:$R,MATCH($A3,'Valo FX'!$A:$A,0)),INDEX(Base!$U:$U,MATCH($A3,Base!$A:$A,0)),IF(ES$1=INDEX('Valo FX'!$R:$R,MATCH($A3,'Valo FX'!$A:$A,0)),INDEX(Base!$V:$V,MATCH($A3,Base!$A:$A,0)),0)))</f>
        <v>12.71407</v>
      </c>
      <c r="ET3" s="21">
        <f>IF(ET$1&lt;INDEX('Valo FX'!$Q:$Q,MATCH($A3,'Valo FX'!$A:$A,0)),0,IF(ET$1&lt;INDEX('Valo FX'!$R:$R,MATCH($A3,'Valo FX'!$A:$A,0)),INDEX(Base!$U:$U,MATCH($A3,Base!$A:$A,0)),IF(ET$1=INDEX('Valo FX'!$R:$R,MATCH($A3,'Valo FX'!$A:$A,0)),INDEX(Base!$V:$V,MATCH($A3,Base!$A:$A,0)),0)))</f>
        <v>12.71407</v>
      </c>
      <c r="EU3" s="21">
        <f>IF(EU$1&lt;INDEX('Valo FX'!$Q:$Q,MATCH($A3,'Valo FX'!$A:$A,0)),0,IF(EU$1&lt;INDEX('Valo FX'!$R:$R,MATCH($A3,'Valo FX'!$A:$A,0)),INDEX(Base!$U:$U,MATCH($A3,Base!$A:$A,0)),IF(EU$1=INDEX('Valo FX'!$R:$R,MATCH($A3,'Valo FX'!$A:$A,0)),INDEX(Base!$V:$V,MATCH($A3,Base!$A:$A,0)),0)))</f>
        <v>12.71407</v>
      </c>
      <c r="EV3" s="21">
        <f>IF(EV$1&lt;INDEX('Valo FX'!$Q:$Q,MATCH($A3,'Valo FX'!$A:$A,0)),0,IF(EV$1&lt;INDEX('Valo FX'!$R:$R,MATCH($A3,'Valo FX'!$A:$A,0)),INDEX(Base!$U:$U,MATCH($A3,Base!$A:$A,0)),IF(EV$1=INDEX('Valo FX'!$R:$R,MATCH($A3,'Valo FX'!$A:$A,0)),INDEX(Base!$V:$V,MATCH($A3,Base!$A:$A,0)),0)))</f>
        <v>12.71407</v>
      </c>
      <c r="EW3" s="21">
        <f>IF(EW$1&lt;INDEX('Valo FX'!$Q:$Q,MATCH($A3,'Valo FX'!$A:$A,0)),0,IF(EW$1&lt;INDEX('Valo FX'!$R:$R,MATCH($A3,'Valo FX'!$A:$A,0)),INDEX(Base!$U:$U,MATCH($A3,Base!$A:$A,0)),IF(EW$1=INDEX('Valo FX'!$R:$R,MATCH($A3,'Valo FX'!$A:$A,0)),INDEX(Base!$V:$V,MATCH($A3,Base!$A:$A,0)),0)))</f>
        <v>12.71407</v>
      </c>
      <c r="EX3" s="21">
        <f>IF(EX$1&lt;INDEX('Valo FX'!$Q:$Q,MATCH($A3,'Valo FX'!$A:$A,0)),0,IF(EX$1&lt;INDEX('Valo FX'!$R:$R,MATCH($A3,'Valo FX'!$A:$A,0)),INDEX(Base!$U:$U,MATCH($A3,Base!$A:$A,0)),IF(EX$1=INDEX('Valo FX'!$R:$R,MATCH($A3,'Valo FX'!$A:$A,0)),INDEX(Base!$V:$V,MATCH($A3,Base!$A:$A,0)),0)))</f>
        <v>12.71407</v>
      </c>
      <c r="EY3" s="21">
        <f>IF(EY$1&lt;INDEX('Valo FX'!$Q:$Q,MATCH($A3,'Valo FX'!$A:$A,0)),0,IF(EY$1&lt;INDEX('Valo FX'!$R:$R,MATCH($A3,'Valo FX'!$A:$A,0)),INDEX(Base!$U:$U,MATCH($A3,Base!$A:$A,0)),IF(EY$1=INDEX('Valo FX'!$R:$R,MATCH($A3,'Valo FX'!$A:$A,0)),INDEX(Base!$V:$V,MATCH($A3,Base!$A:$A,0)),0)))</f>
        <v>12.71407</v>
      </c>
      <c r="EZ3" s="21">
        <f>IF(EZ$1&lt;INDEX('Valo FX'!$Q:$Q,MATCH($A3,'Valo FX'!$A:$A,0)),0,IF(EZ$1&lt;INDEX('Valo FX'!$R:$R,MATCH($A3,'Valo FX'!$A:$A,0)),INDEX(Base!$U:$U,MATCH($A3,Base!$A:$A,0)),IF(EZ$1=INDEX('Valo FX'!$R:$R,MATCH($A3,'Valo FX'!$A:$A,0)),INDEX(Base!$V:$V,MATCH($A3,Base!$A:$A,0)),0)))</f>
        <v>12.71407</v>
      </c>
      <c r="FA3" s="21">
        <f>IF(FA$1&lt;INDEX('Valo FX'!$Q:$Q,MATCH($A3,'Valo FX'!$A:$A,0)),0,IF(FA$1&lt;INDEX('Valo FX'!$R:$R,MATCH($A3,'Valo FX'!$A:$A,0)),INDEX(Base!$U:$U,MATCH($A3,Base!$A:$A,0)),IF(FA$1=INDEX('Valo FX'!$R:$R,MATCH($A3,'Valo FX'!$A:$A,0)),INDEX(Base!$V:$V,MATCH($A3,Base!$A:$A,0)),0)))</f>
        <v>12.71407</v>
      </c>
      <c r="FB3" s="21">
        <f>IF(FB$1&lt;INDEX('Valo FX'!$Q:$Q,MATCH($A3,'Valo FX'!$A:$A,0)),0,IF(FB$1&lt;INDEX('Valo FX'!$R:$R,MATCH($A3,'Valo FX'!$A:$A,0)),INDEX(Base!$U:$U,MATCH($A3,Base!$A:$A,0)),IF(FB$1=INDEX('Valo FX'!$R:$R,MATCH($A3,'Valo FX'!$A:$A,0)),INDEX(Base!$V:$V,MATCH($A3,Base!$A:$A,0)),0)))</f>
        <v>12.71407</v>
      </c>
      <c r="FC3" s="21">
        <f>IF(FC$1&lt;INDEX('Valo FX'!$Q:$Q,MATCH($A3,'Valo FX'!$A:$A,0)),0,IF(FC$1&lt;INDEX('Valo FX'!$R:$R,MATCH($A3,'Valo FX'!$A:$A,0)),INDEX(Base!$U:$U,MATCH($A3,Base!$A:$A,0)),IF(FC$1=INDEX('Valo FX'!$R:$R,MATCH($A3,'Valo FX'!$A:$A,0)),INDEX(Base!$V:$V,MATCH($A3,Base!$A:$A,0)),0)))</f>
        <v>12.71407</v>
      </c>
      <c r="FD3" s="21">
        <f>IF(FD$1&lt;INDEX('Valo FX'!$Q:$Q,MATCH($A3,'Valo FX'!$A:$A,0)),0,IF(FD$1&lt;INDEX('Valo FX'!$R:$R,MATCH($A3,'Valo FX'!$A:$A,0)),INDEX(Base!$U:$U,MATCH($A3,Base!$A:$A,0)),IF(FD$1=INDEX('Valo FX'!$R:$R,MATCH($A3,'Valo FX'!$A:$A,0)),INDEX(Base!$V:$V,MATCH($A3,Base!$A:$A,0)),0)))</f>
        <v>12.71407</v>
      </c>
      <c r="FE3" s="21">
        <f>IF(FE$1&lt;INDEX('Valo FX'!$Q:$Q,MATCH($A3,'Valo FX'!$A:$A,0)),0,IF(FE$1&lt;INDEX('Valo FX'!$R:$R,MATCH($A3,'Valo FX'!$A:$A,0)),INDEX(Base!$U:$U,MATCH($A3,Base!$A:$A,0)),IF(FE$1=INDEX('Valo FX'!$R:$R,MATCH($A3,'Valo FX'!$A:$A,0)),INDEX(Base!$V:$V,MATCH($A3,Base!$A:$A,0)),0)))</f>
        <v>12.71407</v>
      </c>
      <c r="FF3" s="21">
        <f>IF(FF$1&lt;INDEX('Valo FX'!$Q:$Q,MATCH($A3,'Valo FX'!$A:$A,0)),0,IF(FF$1&lt;INDEX('Valo FX'!$R:$R,MATCH($A3,'Valo FX'!$A:$A,0)),INDEX(Base!$U:$U,MATCH($A3,Base!$A:$A,0)),IF(FF$1=INDEX('Valo FX'!$R:$R,MATCH($A3,'Valo FX'!$A:$A,0)),INDEX(Base!$V:$V,MATCH($A3,Base!$A:$A,0)),0)))</f>
        <v>12.71407</v>
      </c>
      <c r="FG3" s="21">
        <f>IF(FG$1&lt;INDEX('Valo FX'!$Q:$Q,MATCH($A3,'Valo FX'!$A:$A,0)),0,IF(FG$1&lt;INDEX('Valo FX'!$R:$R,MATCH($A3,'Valo FX'!$A:$A,0)),INDEX(Base!$U:$U,MATCH($A3,Base!$A:$A,0)),IF(FG$1=INDEX('Valo FX'!$R:$R,MATCH($A3,'Valo FX'!$A:$A,0)),INDEX(Base!$V:$V,MATCH($A3,Base!$A:$A,0)),0)))</f>
        <v>12.71407</v>
      </c>
      <c r="FH3" s="21">
        <f>IF(FH$1&lt;INDEX('Valo FX'!$Q:$Q,MATCH($A3,'Valo FX'!$A:$A,0)),0,IF(FH$1&lt;INDEX('Valo FX'!$R:$R,MATCH($A3,'Valo FX'!$A:$A,0)),INDEX(Base!$U:$U,MATCH($A3,Base!$A:$A,0)),IF(FH$1=INDEX('Valo FX'!$R:$R,MATCH($A3,'Valo FX'!$A:$A,0)),INDEX(Base!$V:$V,MATCH($A3,Base!$A:$A,0)),0)))</f>
        <v>12.71407</v>
      </c>
      <c r="FI3" s="21">
        <f>IF(FI$1&lt;INDEX('Valo FX'!$Q:$Q,MATCH($A3,'Valo FX'!$A:$A,0)),0,IF(FI$1&lt;INDEX('Valo FX'!$R:$R,MATCH($A3,'Valo FX'!$A:$A,0)),INDEX(Base!$U:$U,MATCH($A3,Base!$A:$A,0)),IF(FI$1=INDEX('Valo FX'!$R:$R,MATCH($A3,'Valo FX'!$A:$A,0)),INDEX(Base!$V:$V,MATCH($A3,Base!$A:$A,0)),0)))</f>
        <v>12.71407</v>
      </c>
      <c r="FJ3" s="21">
        <f>IF(FJ$1&lt;INDEX('Valo FX'!$Q:$Q,MATCH($A3,'Valo FX'!$A:$A,0)),0,IF(FJ$1&lt;INDEX('Valo FX'!$R:$R,MATCH($A3,'Valo FX'!$A:$A,0)),INDEX(Base!$U:$U,MATCH($A3,Base!$A:$A,0)),IF(FJ$1=INDEX('Valo FX'!$R:$R,MATCH($A3,'Valo FX'!$A:$A,0)),INDEX(Base!$V:$V,MATCH($A3,Base!$A:$A,0)),0)))</f>
        <v>12.71407</v>
      </c>
      <c r="FK3" s="21">
        <f>IF(FK$1&lt;INDEX('Valo FX'!$Q:$Q,MATCH($A3,'Valo FX'!$A:$A,0)),0,IF(FK$1&lt;INDEX('Valo FX'!$R:$R,MATCH($A3,'Valo FX'!$A:$A,0)),INDEX(Base!$U:$U,MATCH($A3,Base!$A:$A,0)),IF(FK$1=INDEX('Valo FX'!$R:$R,MATCH($A3,'Valo FX'!$A:$A,0)),INDEX(Base!$V:$V,MATCH($A3,Base!$A:$A,0)),0)))</f>
        <v>12.71407</v>
      </c>
      <c r="FL3" s="21">
        <f>IF(FL$1&lt;INDEX('Valo FX'!$Q:$Q,MATCH($A3,'Valo FX'!$A:$A,0)),0,IF(FL$1&lt;INDEX('Valo FX'!$R:$R,MATCH($A3,'Valo FX'!$A:$A,0)),INDEX(Base!$U:$U,MATCH($A3,Base!$A:$A,0)),IF(FL$1=INDEX('Valo FX'!$R:$R,MATCH($A3,'Valo FX'!$A:$A,0)),INDEX(Base!$V:$V,MATCH($A3,Base!$A:$A,0)),0)))</f>
        <v>12.71407</v>
      </c>
      <c r="FM3" s="21">
        <f>IF(FM$1&lt;INDEX('Valo FX'!$Q:$Q,MATCH($A3,'Valo FX'!$A:$A,0)),0,IF(FM$1&lt;INDEX('Valo FX'!$R:$R,MATCH($A3,'Valo FX'!$A:$A,0)),INDEX(Base!$U:$U,MATCH($A3,Base!$A:$A,0)),IF(FM$1=INDEX('Valo FX'!$R:$R,MATCH($A3,'Valo FX'!$A:$A,0)),INDEX(Base!$V:$V,MATCH($A3,Base!$A:$A,0)),0)))</f>
        <v>12.71407</v>
      </c>
      <c r="FN3" s="21">
        <f>IF(FN$1&lt;INDEX('Valo FX'!$Q:$Q,MATCH($A3,'Valo FX'!$A:$A,0)),0,IF(FN$1&lt;INDEX('Valo FX'!$R:$R,MATCH($A3,'Valo FX'!$A:$A,0)),INDEX(Base!$U:$U,MATCH($A3,Base!$A:$A,0)),IF(FN$1=INDEX('Valo FX'!$R:$R,MATCH($A3,'Valo FX'!$A:$A,0)),INDEX(Base!$V:$V,MATCH($A3,Base!$A:$A,0)),0)))</f>
        <v>12.71407</v>
      </c>
      <c r="FO3" s="21">
        <f>IF(FO$1&lt;INDEX('Valo FX'!$Q:$Q,MATCH($A3,'Valo FX'!$A:$A,0)),0,IF(FO$1&lt;INDEX('Valo FX'!$R:$R,MATCH($A3,'Valo FX'!$A:$A,0)),INDEX(Base!$U:$U,MATCH($A3,Base!$A:$A,0)),IF(FO$1=INDEX('Valo FX'!$R:$R,MATCH($A3,'Valo FX'!$A:$A,0)),INDEX(Base!$V:$V,MATCH($A3,Base!$A:$A,0)),0)))</f>
        <v>12.71407</v>
      </c>
      <c r="FP3" s="21">
        <f>IF(FP$1&lt;INDEX('Valo FX'!$Q:$Q,MATCH($A3,'Valo FX'!$A:$A,0)),0,IF(FP$1&lt;INDEX('Valo FX'!$R:$R,MATCH($A3,'Valo FX'!$A:$A,0)),INDEX(Base!$U:$U,MATCH($A3,Base!$A:$A,0)),IF(FP$1=INDEX('Valo FX'!$R:$R,MATCH($A3,'Valo FX'!$A:$A,0)),INDEX(Base!$V:$V,MATCH($A3,Base!$A:$A,0)),0)))</f>
        <v>12.71407</v>
      </c>
      <c r="FQ3" s="21">
        <f>IF(FQ$1&lt;INDEX('Valo FX'!$Q:$Q,MATCH($A3,'Valo FX'!$A:$A,0)),0,IF(FQ$1&lt;INDEX('Valo FX'!$R:$R,MATCH($A3,'Valo FX'!$A:$A,0)),INDEX(Base!$U:$U,MATCH($A3,Base!$A:$A,0)),IF(FQ$1=INDEX('Valo FX'!$R:$R,MATCH($A3,'Valo FX'!$A:$A,0)),INDEX(Base!$V:$V,MATCH($A3,Base!$A:$A,0)),0)))</f>
        <v>12.71407</v>
      </c>
      <c r="FR3" s="21">
        <f>IF(FR$1&lt;INDEX('Valo FX'!$Q:$Q,MATCH($A3,'Valo FX'!$A:$A,0)),0,IF(FR$1&lt;INDEX('Valo FX'!$R:$R,MATCH($A3,'Valo FX'!$A:$A,0)),INDEX(Base!$U:$U,MATCH($A3,Base!$A:$A,0)),IF(FR$1=INDEX('Valo FX'!$R:$R,MATCH($A3,'Valo FX'!$A:$A,0)),INDEX(Base!$V:$V,MATCH($A3,Base!$A:$A,0)),0)))</f>
        <v>12.71407</v>
      </c>
      <c r="FS3" s="21">
        <f>IF(FS$1&lt;INDEX('Valo FX'!$Q:$Q,MATCH($A3,'Valo FX'!$A:$A,0)),0,IF(FS$1&lt;INDEX('Valo FX'!$R:$R,MATCH($A3,'Valo FX'!$A:$A,0)),INDEX(Base!$U:$U,MATCH($A3,Base!$A:$A,0)),IF(FS$1=INDEX('Valo FX'!$R:$R,MATCH($A3,'Valo FX'!$A:$A,0)),INDEX(Base!$V:$V,MATCH($A3,Base!$A:$A,0)),0)))</f>
        <v>12.71407</v>
      </c>
      <c r="FT3" s="21">
        <f>IF(FT$1&lt;INDEX('Valo FX'!$Q:$Q,MATCH($A3,'Valo FX'!$A:$A,0)),0,IF(FT$1&lt;INDEX('Valo FX'!$R:$R,MATCH($A3,'Valo FX'!$A:$A,0)),INDEX(Base!$U:$U,MATCH($A3,Base!$A:$A,0)),IF(FT$1=INDEX('Valo FX'!$R:$R,MATCH($A3,'Valo FX'!$A:$A,0)),INDEX(Base!$V:$V,MATCH($A3,Base!$A:$A,0)),0)))</f>
        <v>12.71407</v>
      </c>
      <c r="FU3" s="21">
        <f>IF(FU$1&lt;INDEX('Valo FX'!$Q:$Q,MATCH($A3,'Valo FX'!$A:$A,0)),0,IF(FU$1&lt;INDEX('Valo FX'!$R:$R,MATCH($A3,'Valo FX'!$A:$A,0)),INDEX(Base!$U:$U,MATCH($A3,Base!$A:$A,0)),IF(FU$1=INDEX('Valo FX'!$R:$R,MATCH($A3,'Valo FX'!$A:$A,0)),INDEX(Base!$V:$V,MATCH($A3,Base!$A:$A,0)),0)))</f>
        <v>12.71407</v>
      </c>
      <c r="FV3" s="21">
        <f>IF(FV$1&lt;INDEX('Valo FX'!$Q:$Q,MATCH($A3,'Valo FX'!$A:$A,0)),0,IF(FV$1&lt;INDEX('Valo FX'!$R:$R,MATCH($A3,'Valo FX'!$A:$A,0)),INDEX(Base!$U:$U,MATCH($A3,Base!$A:$A,0)),IF(FV$1=INDEX('Valo FX'!$R:$R,MATCH($A3,'Valo FX'!$A:$A,0)),INDEX(Base!$V:$V,MATCH($A3,Base!$A:$A,0)),0)))</f>
        <v>12.71407</v>
      </c>
      <c r="FW3" s="21">
        <f>IF(FW$1&lt;INDEX('Valo FX'!$Q:$Q,MATCH($A3,'Valo FX'!$A:$A,0)),0,IF(FW$1&lt;INDEX('Valo FX'!$R:$R,MATCH($A3,'Valo FX'!$A:$A,0)),INDEX(Base!$U:$U,MATCH($A3,Base!$A:$A,0)),IF(FW$1=INDEX('Valo FX'!$R:$R,MATCH($A3,'Valo FX'!$A:$A,0)),INDEX(Base!$V:$V,MATCH($A3,Base!$A:$A,0)),0)))</f>
        <v>12.71407</v>
      </c>
      <c r="FX3" s="21">
        <f>IF(FX$1&lt;INDEX('Valo FX'!$Q:$Q,MATCH($A3,'Valo FX'!$A:$A,0)),0,IF(FX$1&lt;INDEX('Valo FX'!$R:$R,MATCH($A3,'Valo FX'!$A:$A,0)),INDEX(Base!$U:$U,MATCH($A3,Base!$A:$A,0)),IF(FX$1=INDEX('Valo FX'!$R:$R,MATCH($A3,'Valo FX'!$A:$A,0)),INDEX(Base!$V:$V,MATCH($A3,Base!$A:$A,0)),0)))</f>
        <v>12.71407</v>
      </c>
      <c r="FY3" s="21">
        <f>IF(FY$1&lt;INDEX('Valo FX'!$Q:$Q,MATCH($A3,'Valo FX'!$A:$A,0)),0,IF(FY$1&lt;INDEX('Valo FX'!$R:$R,MATCH($A3,'Valo FX'!$A:$A,0)),INDEX(Base!$U:$U,MATCH($A3,Base!$A:$A,0)),IF(FY$1=INDEX('Valo FX'!$R:$R,MATCH($A3,'Valo FX'!$A:$A,0)),INDEX(Base!$V:$V,MATCH($A3,Base!$A:$A,0)),0)))</f>
        <v>12.71407</v>
      </c>
      <c r="FZ3" s="21">
        <f>IF(FZ$1&lt;INDEX('Valo FX'!$Q:$Q,MATCH($A3,'Valo FX'!$A:$A,0)),0,IF(FZ$1&lt;INDEX('Valo FX'!$R:$R,MATCH($A3,'Valo FX'!$A:$A,0)),INDEX(Base!$U:$U,MATCH($A3,Base!$A:$A,0)),IF(FZ$1=INDEX('Valo FX'!$R:$R,MATCH($A3,'Valo FX'!$A:$A,0)),INDEX(Base!$V:$V,MATCH($A3,Base!$A:$A,0)),0)))</f>
        <v>12.71407</v>
      </c>
      <c r="GA3" s="21">
        <f>IF(GA$1&lt;INDEX('Valo FX'!$Q:$Q,MATCH($A3,'Valo FX'!$A:$A,0)),0,IF(GA$1&lt;INDEX('Valo FX'!$R:$R,MATCH($A3,'Valo FX'!$A:$A,0)),INDEX(Base!$U:$U,MATCH($A3,Base!$A:$A,0)),IF(GA$1=INDEX('Valo FX'!$R:$R,MATCH($A3,'Valo FX'!$A:$A,0)),INDEX(Base!$V:$V,MATCH($A3,Base!$A:$A,0)),0)))</f>
        <v>12.71407</v>
      </c>
      <c r="GB3" s="21">
        <f>IF(GB$1&lt;INDEX('Valo FX'!$Q:$Q,MATCH($A3,'Valo FX'!$A:$A,0)),0,IF(GB$1&lt;INDEX('Valo FX'!$R:$R,MATCH($A3,'Valo FX'!$A:$A,0)),INDEX(Base!$U:$U,MATCH($A3,Base!$A:$A,0)),IF(GB$1=INDEX('Valo FX'!$R:$R,MATCH($A3,'Valo FX'!$A:$A,0)),INDEX(Base!$V:$V,MATCH($A3,Base!$A:$A,0)),0)))</f>
        <v>12.71407</v>
      </c>
      <c r="GC3" s="21">
        <f>IF(GC$1&lt;INDEX('Valo FX'!$Q:$Q,MATCH($A3,'Valo FX'!$A:$A,0)),0,IF(GC$1&lt;INDEX('Valo FX'!$R:$R,MATCH($A3,'Valo FX'!$A:$A,0)),INDEX(Base!$U:$U,MATCH($A3,Base!$A:$A,0)),IF(GC$1=INDEX('Valo FX'!$R:$R,MATCH($A3,'Valo FX'!$A:$A,0)),INDEX(Base!$V:$V,MATCH($A3,Base!$A:$A,0)),0)))</f>
        <v>12.71407</v>
      </c>
      <c r="GD3" s="21">
        <f>IF(GD$1&lt;INDEX('Valo FX'!$Q:$Q,MATCH($A3,'Valo FX'!$A:$A,0)),0,IF(GD$1&lt;INDEX('Valo FX'!$R:$R,MATCH($A3,'Valo FX'!$A:$A,0)),INDEX(Base!$U:$U,MATCH($A3,Base!$A:$A,0)),IF(GD$1=INDEX('Valo FX'!$R:$R,MATCH($A3,'Valo FX'!$A:$A,0)),INDEX(Base!$V:$V,MATCH($A3,Base!$A:$A,0)),0)))</f>
        <v>12.71407</v>
      </c>
      <c r="GE3" s="21">
        <f>IF(GE$1&lt;INDEX('Valo FX'!$Q:$Q,MATCH($A3,'Valo FX'!$A:$A,0)),0,IF(GE$1&lt;INDEX('Valo FX'!$R:$R,MATCH($A3,'Valo FX'!$A:$A,0)),INDEX(Base!$U:$U,MATCH($A3,Base!$A:$A,0)),IF(GE$1=INDEX('Valo FX'!$R:$R,MATCH($A3,'Valo FX'!$A:$A,0)),INDEX(Base!$V:$V,MATCH($A3,Base!$A:$A,0)),0)))</f>
        <v>12.71407</v>
      </c>
      <c r="GF3" s="21">
        <f>IF(GF$1&lt;INDEX('Valo FX'!$Q:$Q,MATCH($A3,'Valo FX'!$A:$A,0)),0,IF(GF$1&lt;INDEX('Valo FX'!$R:$R,MATCH($A3,'Valo FX'!$A:$A,0)),INDEX(Base!$U:$U,MATCH($A3,Base!$A:$A,0)),IF(GF$1=INDEX('Valo FX'!$R:$R,MATCH($A3,'Valo FX'!$A:$A,0)),INDEX(Base!$V:$V,MATCH($A3,Base!$A:$A,0)),0)))</f>
        <v>12.71407</v>
      </c>
      <c r="GG3" s="21">
        <f>IF(GG$1&lt;INDEX('Valo FX'!$Q:$Q,MATCH($A3,'Valo FX'!$A:$A,0)),0,IF(GG$1&lt;INDEX('Valo FX'!$R:$R,MATCH($A3,'Valo FX'!$A:$A,0)),INDEX(Base!$U:$U,MATCH($A3,Base!$A:$A,0)),IF(GG$1=INDEX('Valo FX'!$R:$R,MATCH($A3,'Valo FX'!$A:$A,0)),INDEX(Base!$V:$V,MATCH($A3,Base!$A:$A,0)),0)))</f>
        <v>12.71407</v>
      </c>
      <c r="GH3" s="21">
        <f>IF(GH$1&lt;INDEX('Valo FX'!$Q:$Q,MATCH($A3,'Valo FX'!$A:$A,0)),0,IF(GH$1&lt;INDEX('Valo FX'!$R:$R,MATCH($A3,'Valo FX'!$A:$A,0)),INDEX(Base!$U:$U,MATCH($A3,Base!$A:$A,0)),IF(GH$1=INDEX('Valo FX'!$R:$R,MATCH($A3,'Valo FX'!$A:$A,0)),INDEX(Base!$V:$V,MATCH($A3,Base!$A:$A,0)),0)))</f>
        <v>12.71407</v>
      </c>
      <c r="GI3" s="21">
        <f>IF(GI$1&lt;INDEX('Valo FX'!$Q:$Q,MATCH($A3,'Valo FX'!$A:$A,0)),0,IF(GI$1&lt;INDEX('Valo FX'!$R:$R,MATCH($A3,'Valo FX'!$A:$A,0)),INDEX(Base!$U:$U,MATCH($A3,Base!$A:$A,0)),IF(GI$1=INDEX('Valo FX'!$R:$R,MATCH($A3,'Valo FX'!$A:$A,0)),INDEX(Base!$V:$V,MATCH($A3,Base!$A:$A,0)),0)))</f>
        <v>12.71407</v>
      </c>
      <c r="GJ3" s="21">
        <f>IF(GJ$1&lt;INDEX('Valo FX'!$Q:$Q,MATCH($A3,'Valo FX'!$A:$A,0)),0,IF(GJ$1&lt;INDEX('Valo FX'!$R:$R,MATCH($A3,'Valo FX'!$A:$A,0)),INDEX(Base!$U:$U,MATCH($A3,Base!$A:$A,0)),IF(GJ$1=INDEX('Valo FX'!$R:$R,MATCH($A3,'Valo FX'!$A:$A,0)),INDEX(Base!$V:$V,MATCH($A3,Base!$A:$A,0)),0)))</f>
        <v>12.71407</v>
      </c>
      <c r="GK3" s="21">
        <f>IF(GK$1&lt;INDEX('Valo FX'!$Q:$Q,MATCH($A3,'Valo FX'!$A:$A,0)),0,IF(GK$1&lt;INDEX('Valo FX'!$R:$R,MATCH($A3,'Valo FX'!$A:$A,0)),INDEX(Base!$U:$U,MATCH($A3,Base!$A:$A,0)),IF(GK$1=INDEX('Valo FX'!$R:$R,MATCH($A3,'Valo FX'!$A:$A,0)),INDEX(Base!$V:$V,MATCH($A3,Base!$A:$A,0)),0)))</f>
        <v>12.71407</v>
      </c>
      <c r="GL3" s="21">
        <f>IF(GL$1&lt;INDEX('Valo FX'!$Q:$Q,MATCH($A3,'Valo FX'!$A:$A,0)),0,IF(GL$1&lt;INDEX('Valo FX'!$R:$R,MATCH($A3,'Valo FX'!$A:$A,0)),INDEX(Base!$U:$U,MATCH($A3,Base!$A:$A,0)),IF(GL$1=INDEX('Valo FX'!$R:$R,MATCH($A3,'Valo FX'!$A:$A,0)),INDEX(Base!$V:$V,MATCH($A3,Base!$A:$A,0)),0)))</f>
        <v>12.71407</v>
      </c>
      <c r="GM3" s="21">
        <f>IF(GM$1&lt;INDEX('Valo FX'!$Q:$Q,MATCH($A3,'Valo FX'!$A:$A,0)),0,IF(GM$1&lt;INDEX('Valo FX'!$R:$R,MATCH($A3,'Valo FX'!$A:$A,0)),INDEX(Base!$U:$U,MATCH($A3,Base!$A:$A,0)),IF(GM$1=INDEX('Valo FX'!$R:$R,MATCH($A3,'Valo FX'!$A:$A,0)),INDEX(Base!$V:$V,MATCH($A3,Base!$A:$A,0)),0)))</f>
        <v>12.71407</v>
      </c>
      <c r="GN3" s="21">
        <f>IF(GN$1&lt;INDEX('Valo FX'!$Q:$Q,MATCH($A3,'Valo FX'!$A:$A,0)),0,IF(GN$1&lt;INDEX('Valo FX'!$R:$R,MATCH($A3,'Valo FX'!$A:$A,0)),INDEX(Base!$U:$U,MATCH($A3,Base!$A:$A,0)),IF(GN$1=INDEX('Valo FX'!$R:$R,MATCH($A3,'Valo FX'!$A:$A,0)),INDEX(Base!$V:$V,MATCH($A3,Base!$A:$A,0)),0)))</f>
        <v>12.71407</v>
      </c>
      <c r="GO3" s="21">
        <f>IF(GO$1&lt;INDEX('Valo FX'!$Q:$Q,MATCH($A3,'Valo FX'!$A:$A,0)),0,IF(GO$1&lt;INDEX('Valo FX'!$R:$R,MATCH($A3,'Valo FX'!$A:$A,0)),INDEX(Base!$U:$U,MATCH($A3,Base!$A:$A,0)),IF(GO$1=INDEX('Valo FX'!$R:$R,MATCH($A3,'Valo FX'!$A:$A,0)),INDEX(Base!$V:$V,MATCH($A3,Base!$A:$A,0)),0)))</f>
        <v>12.71407</v>
      </c>
      <c r="GP3" s="21">
        <f>IF(GP$1&lt;INDEX('Valo FX'!$Q:$Q,MATCH($A3,'Valo FX'!$A:$A,0)),0,IF(GP$1&lt;INDEX('Valo FX'!$R:$R,MATCH($A3,'Valo FX'!$A:$A,0)),INDEX(Base!$U:$U,MATCH($A3,Base!$A:$A,0)),IF(GP$1=INDEX('Valo FX'!$R:$R,MATCH($A3,'Valo FX'!$A:$A,0)),INDEX(Base!$V:$V,MATCH($A3,Base!$A:$A,0)),0)))</f>
        <v>12.71407</v>
      </c>
      <c r="GQ3" s="21">
        <f>IF(GQ$1&lt;INDEX('Valo FX'!$Q:$Q,MATCH($A3,'Valo FX'!$A:$A,0)),0,IF(GQ$1&lt;INDEX('Valo FX'!$R:$R,MATCH($A3,'Valo FX'!$A:$A,0)),INDEX(Base!$U:$U,MATCH($A3,Base!$A:$A,0)),IF(GQ$1=INDEX('Valo FX'!$R:$R,MATCH($A3,'Valo FX'!$A:$A,0)),INDEX(Base!$V:$V,MATCH($A3,Base!$A:$A,0)),0)))</f>
        <v>12.71407</v>
      </c>
      <c r="GR3" s="21">
        <f>IF(GR$1&lt;INDEX('Valo FX'!$Q:$Q,MATCH($A3,'Valo FX'!$A:$A,0)),0,IF(GR$1&lt;INDEX('Valo FX'!$R:$R,MATCH($A3,'Valo FX'!$A:$A,0)),INDEX(Base!$U:$U,MATCH($A3,Base!$A:$A,0)),IF(GR$1=INDEX('Valo FX'!$R:$R,MATCH($A3,'Valo FX'!$A:$A,0)),INDEX(Base!$V:$V,MATCH($A3,Base!$A:$A,0)),0)))</f>
        <v>12.71407</v>
      </c>
      <c r="GS3" s="21">
        <f>IF(GS$1&lt;INDEX('Valo FX'!$Q:$Q,MATCH($A3,'Valo FX'!$A:$A,0)),0,IF(GS$1&lt;INDEX('Valo FX'!$R:$R,MATCH($A3,'Valo FX'!$A:$A,0)),INDEX(Base!$U:$U,MATCH($A3,Base!$A:$A,0)),IF(GS$1=INDEX('Valo FX'!$R:$R,MATCH($A3,'Valo FX'!$A:$A,0)),INDEX(Base!$V:$V,MATCH($A3,Base!$A:$A,0)),0)))</f>
        <v>12.71407</v>
      </c>
      <c r="GT3" s="21">
        <f>IF(GT$1&lt;INDEX('Valo FX'!$Q:$Q,MATCH($A3,'Valo FX'!$A:$A,0)),0,IF(GT$1&lt;INDEX('Valo FX'!$R:$R,MATCH($A3,'Valo FX'!$A:$A,0)),INDEX(Base!$U:$U,MATCH($A3,Base!$A:$A,0)),IF(GT$1=INDEX('Valo FX'!$R:$R,MATCH($A3,'Valo FX'!$A:$A,0)),INDEX(Base!$V:$V,MATCH($A3,Base!$A:$A,0)),0)))</f>
        <v>12.71407</v>
      </c>
      <c r="GU3" s="21">
        <f>IF(GU$1&lt;INDEX('Valo FX'!$Q:$Q,MATCH($A3,'Valo FX'!$A:$A,0)),0,IF(GU$1&lt;INDEX('Valo FX'!$R:$R,MATCH($A3,'Valo FX'!$A:$A,0)),INDEX(Base!$U:$U,MATCH($A3,Base!$A:$A,0)),IF(GU$1=INDEX('Valo FX'!$R:$R,MATCH($A3,'Valo FX'!$A:$A,0)),INDEX(Base!$V:$V,MATCH($A3,Base!$A:$A,0)),0)))</f>
        <v>12.71407</v>
      </c>
      <c r="GV3" s="21">
        <f>IF(GV$1&lt;INDEX('Valo FX'!$Q:$Q,MATCH($A3,'Valo FX'!$A:$A,0)),0,IF(GV$1&lt;INDEX('Valo FX'!$R:$R,MATCH($A3,'Valo FX'!$A:$A,0)),INDEX(Base!$U:$U,MATCH($A3,Base!$A:$A,0)),IF(GV$1=INDEX('Valo FX'!$R:$R,MATCH($A3,'Valo FX'!$A:$A,0)),INDEX(Base!$V:$V,MATCH($A3,Base!$A:$A,0)),0)))</f>
        <v>12.71407</v>
      </c>
      <c r="GW3" s="21">
        <f>IF(GW$1&lt;INDEX('Valo FX'!$Q:$Q,MATCH($A3,'Valo FX'!$A:$A,0)),0,IF(GW$1&lt;INDEX('Valo FX'!$R:$R,MATCH($A3,'Valo FX'!$A:$A,0)),INDEX(Base!$U:$U,MATCH($A3,Base!$A:$A,0)),IF(GW$1=INDEX('Valo FX'!$R:$R,MATCH($A3,'Valo FX'!$A:$A,0)),INDEX(Base!$V:$V,MATCH($A3,Base!$A:$A,0)),0)))</f>
        <v>12.71407</v>
      </c>
      <c r="GX3" s="21">
        <f>IF(GX$1&lt;INDEX('Valo FX'!$Q:$Q,MATCH($A3,'Valo FX'!$A:$A,0)),0,IF(GX$1&lt;INDEX('Valo FX'!$R:$R,MATCH($A3,'Valo FX'!$A:$A,0)),INDEX(Base!$U:$U,MATCH($A3,Base!$A:$A,0)),IF(GX$1=INDEX('Valo FX'!$R:$R,MATCH($A3,'Valo FX'!$A:$A,0)),INDEX(Base!$V:$V,MATCH($A3,Base!$A:$A,0)),0)))</f>
        <v>12.71407</v>
      </c>
      <c r="GY3" s="21">
        <f>IF(GY$1&lt;INDEX('Valo FX'!$Q:$Q,MATCH($A3,'Valo FX'!$A:$A,0)),0,IF(GY$1&lt;INDEX('Valo FX'!$R:$R,MATCH($A3,'Valo FX'!$A:$A,0)),INDEX(Base!$U:$U,MATCH($A3,Base!$A:$A,0)),IF(GY$1=INDEX('Valo FX'!$R:$R,MATCH($A3,'Valo FX'!$A:$A,0)),INDEX(Base!$V:$V,MATCH($A3,Base!$A:$A,0)),0)))</f>
        <v>12.71407</v>
      </c>
      <c r="GZ3" s="21">
        <f>IF(GZ$1&lt;INDEX('Valo FX'!$Q:$Q,MATCH($A3,'Valo FX'!$A:$A,0)),0,IF(GZ$1&lt;INDEX('Valo FX'!$R:$R,MATCH($A3,'Valo FX'!$A:$A,0)),INDEX(Base!$U:$U,MATCH($A3,Base!$A:$A,0)),IF(GZ$1=INDEX('Valo FX'!$R:$R,MATCH($A3,'Valo FX'!$A:$A,0)),INDEX(Base!$V:$V,MATCH($A3,Base!$A:$A,0)),0)))</f>
        <v>12.71407</v>
      </c>
      <c r="HA3" s="21">
        <f>IF(HA$1&lt;INDEX('Valo FX'!$Q:$Q,MATCH($A3,'Valo FX'!$A:$A,0)),0,IF(HA$1&lt;INDEX('Valo FX'!$R:$R,MATCH($A3,'Valo FX'!$A:$A,0)),INDEX(Base!$U:$U,MATCH($A3,Base!$A:$A,0)),IF(HA$1=INDEX('Valo FX'!$R:$R,MATCH($A3,'Valo FX'!$A:$A,0)),INDEX(Base!$V:$V,MATCH($A3,Base!$A:$A,0)),0)))</f>
        <v>12.71407</v>
      </c>
      <c r="HB3" s="21">
        <f>IF(HB$1&lt;INDEX('Valo FX'!$Q:$Q,MATCH($A3,'Valo FX'!$A:$A,0)),0,IF(HB$1&lt;INDEX('Valo FX'!$R:$R,MATCH($A3,'Valo FX'!$A:$A,0)),INDEX(Base!$U:$U,MATCH($A3,Base!$A:$A,0)),IF(HB$1=INDEX('Valo FX'!$R:$R,MATCH($A3,'Valo FX'!$A:$A,0)),INDEX(Base!$V:$V,MATCH($A3,Base!$A:$A,0)),0)))</f>
        <v>12.71407</v>
      </c>
      <c r="HC3" s="21">
        <f>IF(HC$1&lt;INDEX('Valo FX'!$Q:$Q,MATCH($A3,'Valo FX'!$A:$A,0)),0,IF(HC$1&lt;INDEX('Valo FX'!$R:$R,MATCH($A3,'Valo FX'!$A:$A,0)),INDEX(Base!$U:$U,MATCH($A3,Base!$A:$A,0)),IF(HC$1=INDEX('Valo FX'!$R:$R,MATCH($A3,'Valo FX'!$A:$A,0)),INDEX(Base!$V:$V,MATCH($A3,Base!$A:$A,0)),0)))</f>
        <v>12.71407</v>
      </c>
      <c r="HD3" s="21">
        <f>IF(HD$1&lt;INDEX('Valo FX'!$Q:$Q,MATCH($A3,'Valo FX'!$A:$A,0)),0,IF(HD$1&lt;INDEX('Valo FX'!$R:$R,MATCH($A3,'Valo FX'!$A:$A,0)),INDEX(Base!$U:$U,MATCH($A3,Base!$A:$A,0)),IF(HD$1=INDEX('Valo FX'!$R:$R,MATCH($A3,'Valo FX'!$A:$A,0)),INDEX(Base!$V:$V,MATCH($A3,Base!$A:$A,0)),0)))</f>
        <v>12.71407</v>
      </c>
      <c r="HE3" s="21">
        <f>IF(HE$1&lt;INDEX('Valo FX'!$Q:$Q,MATCH($A3,'Valo FX'!$A:$A,0)),0,IF(HE$1&lt;INDEX('Valo FX'!$R:$R,MATCH($A3,'Valo FX'!$A:$A,0)),INDEX(Base!$U:$U,MATCH($A3,Base!$A:$A,0)),IF(HE$1=INDEX('Valo FX'!$R:$R,MATCH($A3,'Valo FX'!$A:$A,0)),INDEX(Base!$V:$V,MATCH($A3,Base!$A:$A,0)),0)))</f>
        <v>12.71407</v>
      </c>
      <c r="HF3" s="21">
        <f>IF(HF$1&lt;INDEX('Valo FX'!$Q:$Q,MATCH($A3,'Valo FX'!$A:$A,0)),0,IF(HF$1&lt;INDEX('Valo FX'!$R:$R,MATCH($A3,'Valo FX'!$A:$A,0)),INDEX(Base!$U:$U,MATCH($A3,Base!$A:$A,0)),IF(HF$1=INDEX('Valo FX'!$R:$R,MATCH($A3,'Valo FX'!$A:$A,0)),INDEX(Base!$V:$V,MATCH($A3,Base!$A:$A,0)),0)))</f>
        <v>12.71407</v>
      </c>
      <c r="HG3" s="21">
        <f>IF(HG$1&lt;INDEX('Valo FX'!$Q:$Q,MATCH($A3,'Valo FX'!$A:$A,0)),0,IF(HG$1&lt;INDEX('Valo FX'!$R:$R,MATCH($A3,'Valo FX'!$A:$A,0)),INDEX(Base!$U:$U,MATCH($A3,Base!$A:$A,0)),IF(HG$1=INDEX('Valo FX'!$R:$R,MATCH($A3,'Valo FX'!$A:$A,0)),INDEX(Base!$V:$V,MATCH($A3,Base!$A:$A,0)),0)))</f>
        <v>12.71407</v>
      </c>
      <c r="HH3" s="21">
        <f>IF(HH$1&lt;INDEX('Valo FX'!$Q:$Q,MATCH($A3,'Valo FX'!$A:$A,0)),0,IF(HH$1&lt;INDEX('Valo FX'!$R:$R,MATCH($A3,'Valo FX'!$A:$A,0)),INDEX(Base!$U:$U,MATCH($A3,Base!$A:$A,0)),IF(HH$1=INDEX('Valo FX'!$R:$R,MATCH($A3,'Valo FX'!$A:$A,0)),INDEX(Base!$V:$V,MATCH($A3,Base!$A:$A,0)),0)))</f>
        <v>12.71407</v>
      </c>
      <c r="HI3" s="21">
        <f>IF(HI$1&lt;INDEX('Valo FX'!$Q:$Q,MATCH($A3,'Valo FX'!$A:$A,0)),0,IF(HI$1&lt;INDEX('Valo FX'!$R:$R,MATCH($A3,'Valo FX'!$A:$A,0)),INDEX(Base!$U:$U,MATCH($A3,Base!$A:$A,0)),IF(HI$1=INDEX('Valo FX'!$R:$R,MATCH($A3,'Valo FX'!$A:$A,0)),INDEX(Base!$V:$V,MATCH($A3,Base!$A:$A,0)),0)))</f>
        <v>12.71407</v>
      </c>
      <c r="HJ3" s="21">
        <f>IF(HJ$1&lt;INDEX('Valo FX'!$Q:$Q,MATCH($A3,'Valo FX'!$A:$A,0)),0,IF(HJ$1&lt;INDEX('Valo FX'!$R:$R,MATCH($A3,'Valo FX'!$A:$A,0)),INDEX(Base!$U:$U,MATCH($A3,Base!$A:$A,0)),IF(HJ$1=INDEX('Valo FX'!$R:$R,MATCH($A3,'Valo FX'!$A:$A,0)),INDEX(Base!$V:$V,MATCH($A3,Base!$A:$A,0)),0)))</f>
        <v>12.71407</v>
      </c>
      <c r="HK3" s="21">
        <f>IF(HK$1&lt;INDEX('Valo FX'!$Q:$Q,MATCH($A3,'Valo FX'!$A:$A,0)),0,IF(HK$1&lt;INDEX('Valo FX'!$R:$R,MATCH($A3,'Valo FX'!$A:$A,0)),INDEX(Base!$U:$U,MATCH($A3,Base!$A:$A,0)),IF(HK$1=INDEX('Valo FX'!$R:$R,MATCH($A3,'Valo FX'!$A:$A,0)),INDEX(Base!$V:$V,MATCH($A3,Base!$A:$A,0)),0)))</f>
        <v>12.71407</v>
      </c>
      <c r="HL3" s="21">
        <f>IF(HL$1&lt;INDEX('Valo FX'!$Q:$Q,MATCH($A3,'Valo FX'!$A:$A,0)),0,IF(HL$1&lt;INDEX('Valo FX'!$R:$R,MATCH($A3,'Valo FX'!$A:$A,0)),INDEX(Base!$U:$U,MATCH($A3,Base!$A:$A,0)),IF(HL$1=INDEX('Valo FX'!$R:$R,MATCH($A3,'Valo FX'!$A:$A,0)),INDEX(Base!$V:$V,MATCH($A3,Base!$A:$A,0)),0)))</f>
        <v>12.71407</v>
      </c>
      <c r="HM3" s="21">
        <f>IF(HM$1&lt;INDEX('Valo FX'!$Q:$Q,MATCH($A3,'Valo FX'!$A:$A,0)),0,IF(HM$1&lt;INDEX('Valo FX'!$R:$R,MATCH($A3,'Valo FX'!$A:$A,0)),INDEX(Base!$U:$U,MATCH($A3,Base!$A:$A,0)),IF(HM$1=INDEX('Valo FX'!$R:$R,MATCH($A3,'Valo FX'!$A:$A,0)),INDEX(Base!$V:$V,MATCH($A3,Base!$A:$A,0)),0)))</f>
        <v>12.71407</v>
      </c>
      <c r="HN3" s="21">
        <f>IF(HN$1&lt;INDEX('Valo FX'!$Q:$Q,MATCH($A3,'Valo FX'!$A:$A,0)),0,IF(HN$1&lt;INDEX('Valo FX'!$R:$R,MATCH($A3,'Valo FX'!$A:$A,0)),INDEX(Base!$U:$U,MATCH($A3,Base!$A:$A,0)),IF(HN$1=INDEX('Valo FX'!$R:$R,MATCH($A3,'Valo FX'!$A:$A,0)),INDEX(Base!$V:$V,MATCH($A3,Base!$A:$A,0)),0)))</f>
        <v>12.71407</v>
      </c>
      <c r="HO3" s="21">
        <f>IF(HO$1&lt;INDEX('Valo FX'!$Q:$Q,MATCH($A3,'Valo FX'!$A:$A,0)),0,IF(HO$1&lt;INDEX('Valo FX'!$R:$R,MATCH($A3,'Valo FX'!$A:$A,0)),INDEX(Base!$U:$U,MATCH($A3,Base!$A:$A,0)),IF(HO$1=INDEX('Valo FX'!$R:$R,MATCH($A3,'Valo FX'!$A:$A,0)),INDEX(Base!$V:$V,MATCH($A3,Base!$A:$A,0)),0)))</f>
        <v>12.71407</v>
      </c>
      <c r="HP3" s="21">
        <f>IF(HP$1&lt;INDEX('Valo FX'!$Q:$Q,MATCH($A3,'Valo FX'!$A:$A,0)),0,IF(HP$1&lt;INDEX('Valo FX'!$R:$R,MATCH($A3,'Valo FX'!$A:$A,0)),INDEX(Base!$U:$U,MATCH($A3,Base!$A:$A,0)),IF(HP$1=INDEX('Valo FX'!$R:$R,MATCH($A3,'Valo FX'!$A:$A,0)),INDEX(Base!$V:$V,MATCH($A3,Base!$A:$A,0)),0)))</f>
        <v>12.71407</v>
      </c>
      <c r="HQ3" s="21">
        <f>IF(HQ$1&lt;INDEX('Valo FX'!$Q:$Q,MATCH($A3,'Valo FX'!$A:$A,0)),0,IF(HQ$1&lt;INDEX('Valo FX'!$R:$R,MATCH($A3,'Valo FX'!$A:$A,0)),INDEX(Base!$U:$U,MATCH($A3,Base!$A:$A,0)),IF(HQ$1=INDEX('Valo FX'!$R:$R,MATCH($A3,'Valo FX'!$A:$A,0)),INDEX(Base!$V:$V,MATCH($A3,Base!$A:$A,0)),0)))</f>
        <v>12.71407</v>
      </c>
      <c r="HR3" s="21">
        <f>IF(HR$1&lt;INDEX('Valo FX'!$Q:$Q,MATCH($A3,'Valo FX'!$A:$A,0)),0,IF(HR$1&lt;INDEX('Valo FX'!$R:$R,MATCH($A3,'Valo FX'!$A:$A,0)),INDEX(Base!$U:$U,MATCH($A3,Base!$A:$A,0)),IF(HR$1=INDEX('Valo FX'!$R:$R,MATCH($A3,'Valo FX'!$A:$A,0)),INDEX(Base!$V:$V,MATCH($A3,Base!$A:$A,0)),0)))</f>
        <v>12.71407</v>
      </c>
      <c r="HS3" s="21">
        <f>IF(HS$1&lt;INDEX('Valo FX'!$Q:$Q,MATCH($A3,'Valo FX'!$A:$A,0)),0,IF(HS$1&lt;INDEX('Valo FX'!$R:$R,MATCH($A3,'Valo FX'!$A:$A,0)),INDEX(Base!$U:$U,MATCH($A3,Base!$A:$A,0)),IF(HS$1=INDEX('Valo FX'!$R:$R,MATCH($A3,'Valo FX'!$A:$A,0)),INDEX(Base!$V:$V,MATCH($A3,Base!$A:$A,0)),0)))</f>
        <v>12.71407</v>
      </c>
      <c r="HT3" s="21">
        <f>IF(HT$1&lt;INDEX('Valo FX'!$Q:$Q,MATCH($A3,'Valo FX'!$A:$A,0)),0,IF(HT$1&lt;INDEX('Valo FX'!$R:$R,MATCH($A3,'Valo FX'!$A:$A,0)),INDEX(Base!$U:$U,MATCH($A3,Base!$A:$A,0)),IF(HT$1=INDEX('Valo FX'!$R:$R,MATCH($A3,'Valo FX'!$A:$A,0)),INDEX(Base!$V:$V,MATCH($A3,Base!$A:$A,0)),0)))</f>
        <v>12.71407</v>
      </c>
      <c r="HU3" s="21">
        <f>IF(HU$1&lt;INDEX('Valo FX'!$Q:$Q,MATCH($A3,'Valo FX'!$A:$A,0)),0,IF(HU$1&lt;INDEX('Valo FX'!$R:$R,MATCH($A3,'Valo FX'!$A:$A,0)),INDEX(Base!$U:$U,MATCH($A3,Base!$A:$A,0)),IF(HU$1=INDEX('Valo FX'!$R:$R,MATCH($A3,'Valo FX'!$A:$A,0)),INDEX(Base!$V:$V,MATCH($A3,Base!$A:$A,0)),0)))</f>
        <v>12.71407</v>
      </c>
      <c r="HV3" s="21">
        <f>IF(HV$1&lt;INDEX('Valo FX'!$Q:$Q,MATCH($A3,'Valo FX'!$A:$A,0)),0,IF(HV$1&lt;INDEX('Valo FX'!$R:$R,MATCH($A3,'Valo FX'!$A:$A,0)),INDEX(Base!$U:$U,MATCH($A3,Base!$A:$A,0)),IF(HV$1=INDEX('Valo FX'!$R:$R,MATCH($A3,'Valo FX'!$A:$A,0)),INDEX(Base!$V:$V,MATCH($A3,Base!$A:$A,0)),0)))</f>
        <v>12.71407</v>
      </c>
      <c r="HW3" s="21">
        <f>IF(HW$1&lt;INDEX('Valo FX'!$Q:$Q,MATCH($A3,'Valo FX'!$A:$A,0)),0,IF(HW$1&lt;INDEX('Valo FX'!$R:$R,MATCH($A3,'Valo FX'!$A:$A,0)),INDEX(Base!$U:$U,MATCH($A3,Base!$A:$A,0)),IF(HW$1=INDEX('Valo FX'!$R:$R,MATCH($A3,'Valo FX'!$A:$A,0)),INDEX(Base!$V:$V,MATCH($A3,Base!$A:$A,0)),0)))</f>
        <v>12.71407</v>
      </c>
      <c r="HX3" s="21">
        <f>IF(HX$1&lt;INDEX('Valo FX'!$Q:$Q,MATCH($A3,'Valo FX'!$A:$A,0)),0,IF(HX$1&lt;INDEX('Valo FX'!$R:$R,MATCH($A3,'Valo FX'!$A:$A,0)),INDEX(Base!$U:$U,MATCH($A3,Base!$A:$A,0)),IF(HX$1=INDEX('Valo FX'!$R:$R,MATCH($A3,'Valo FX'!$A:$A,0)),INDEX(Base!$V:$V,MATCH($A3,Base!$A:$A,0)),0)))</f>
        <v>12.71407</v>
      </c>
      <c r="HY3" s="21">
        <f>IF(HY$1&lt;INDEX('Valo FX'!$Q:$Q,MATCH($A3,'Valo FX'!$A:$A,0)),0,IF(HY$1&lt;INDEX('Valo FX'!$R:$R,MATCH($A3,'Valo FX'!$A:$A,0)),INDEX(Base!$U:$U,MATCH($A3,Base!$A:$A,0)),IF(HY$1=INDEX('Valo FX'!$R:$R,MATCH($A3,'Valo FX'!$A:$A,0)),INDEX(Base!$V:$V,MATCH($A3,Base!$A:$A,0)),0)))</f>
        <v>12.71407</v>
      </c>
      <c r="HZ3" s="21">
        <f>IF(HZ$1&lt;INDEX('Valo FX'!$Q:$Q,MATCH($A3,'Valo FX'!$A:$A,0)),0,IF(HZ$1&lt;INDEX('Valo FX'!$R:$R,MATCH($A3,'Valo FX'!$A:$A,0)),INDEX(Base!$U:$U,MATCH($A3,Base!$A:$A,0)),IF(HZ$1=INDEX('Valo FX'!$R:$R,MATCH($A3,'Valo FX'!$A:$A,0)),INDEX(Base!$V:$V,MATCH($A3,Base!$A:$A,0)),0)))</f>
        <v>12.71407</v>
      </c>
      <c r="IA3" s="21">
        <f>IF(IA$1&lt;INDEX('Valo FX'!$Q:$Q,MATCH($A3,'Valo FX'!$A:$A,0)),0,IF(IA$1&lt;INDEX('Valo FX'!$R:$R,MATCH($A3,'Valo FX'!$A:$A,0)),INDEX(Base!$U:$U,MATCH($A3,Base!$A:$A,0)),IF(IA$1=INDEX('Valo FX'!$R:$R,MATCH($A3,'Valo FX'!$A:$A,0)),INDEX(Base!$V:$V,MATCH($A3,Base!$A:$A,0)),0)))</f>
        <v>12.71407</v>
      </c>
      <c r="IB3" s="21">
        <f>IF(IB$1&lt;INDEX('Valo FX'!$Q:$Q,MATCH($A3,'Valo FX'!$A:$A,0)),0,IF(IB$1&lt;INDEX('Valo FX'!$R:$R,MATCH($A3,'Valo FX'!$A:$A,0)),INDEX(Base!$U:$U,MATCH($A3,Base!$A:$A,0)),IF(IB$1=INDEX('Valo FX'!$R:$R,MATCH($A3,'Valo FX'!$A:$A,0)),INDEX(Base!$V:$V,MATCH($A3,Base!$A:$A,0)),0)))</f>
        <v>12.71407</v>
      </c>
      <c r="IC3" s="21">
        <f>IF(IC$1&lt;INDEX('Valo FX'!$Q:$Q,MATCH($A3,'Valo FX'!$A:$A,0)),0,IF(IC$1&lt;INDEX('Valo FX'!$R:$R,MATCH($A3,'Valo FX'!$A:$A,0)),INDEX(Base!$U:$U,MATCH($A3,Base!$A:$A,0)),IF(IC$1=INDEX('Valo FX'!$R:$R,MATCH($A3,'Valo FX'!$A:$A,0)),INDEX(Base!$V:$V,MATCH($A3,Base!$A:$A,0)),0)))</f>
        <v>12.71407</v>
      </c>
      <c r="ID3" s="21">
        <f>IF(ID$1&lt;INDEX('Valo FX'!$Q:$Q,MATCH($A3,'Valo FX'!$A:$A,0)),0,IF(ID$1&lt;INDEX('Valo FX'!$R:$R,MATCH($A3,'Valo FX'!$A:$A,0)),INDEX(Base!$U:$U,MATCH($A3,Base!$A:$A,0)),IF(ID$1=INDEX('Valo FX'!$R:$R,MATCH($A3,'Valo FX'!$A:$A,0)),INDEX(Base!$V:$V,MATCH($A3,Base!$A:$A,0)),0)))</f>
        <v>12.71407</v>
      </c>
      <c r="IE3" s="21">
        <f>IF(IE$1&lt;INDEX('Valo FX'!$Q:$Q,MATCH($A3,'Valo FX'!$A:$A,0)),0,IF(IE$1&lt;INDEX('Valo FX'!$R:$R,MATCH($A3,'Valo FX'!$A:$A,0)),INDEX(Base!$U:$U,MATCH($A3,Base!$A:$A,0)),IF(IE$1=INDEX('Valo FX'!$R:$R,MATCH($A3,'Valo FX'!$A:$A,0)),INDEX(Base!$V:$V,MATCH($A3,Base!$A:$A,0)),0)))</f>
        <v>12.71407</v>
      </c>
      <c r="IF3" s="21">
        <f>IF(IF$1&lt;INDEX('Valo FX'!$Q:$Q,MATCH($A3,'Valo FX'!$A:$A,0)),0,IF(IF$1&lt;INDEX('Valo FX'!$R:$R,MATCH($A3,'Valo FX'!$A:$A,0)),INDEX(Base!$U:$U,MATCH($A3,Base!$A:$A,0)),IF(IF$1=INDEX('Valo FX'!$R:$R,MATCH($A3,'Valo FX'!$A:$A,0)),INDEX(Base!$V:$V,MATCH($A3,Base!$A:$A,0)),0)))</f>
        <v>12.71407</v>
      </c>
      <c r="IG3" s="21">
        <f>IF(IG$1&lt;INDEX('Valo FX'!$Q:$Q,MATCH($A3,'Valo FX'!$A:$A,0)),0,IF(IG$1&lt;INDEX('Valo FX'!$R:$R,MATCH($A3,'Valo FX'!$A:$A,0)),INDEX(Base!$U:$U,MATCH($A3,Base!$A:$A,0)),IF(IG$1=INDEX('Valo FX'!$R:$R,MATCH($A3,'Valo FX'!$A:$A,0)),INDEX(Base!$V:$V,MATCH($A3,Base!$A:$A,0)),0)))</f>
        <v>12.71407</v>
      </c>
      <c r="IH3" s="21">
        <f>IF(IH$1&lt;INDEX('Valo FX'!$Q:$Q,MATCH($A3,'Valo FX'!$A:$A,0)),0,IF(IH$1&lt;INDEX('Valo FX'!$R:$R,MATCH($A3,'Valo FX'!$A:$A,0)),INDEX(Base!$U:$U,MATCH($A3,Base!$A:$A,0)),IF(IH$1=INDEX('Valo FX'!$R:$R,MATCH($A3,'Valo FX'!$A:$A,0)),INDEX(Base!$V:$V,MATCH($A3,Base!$A:$A,0)),0)))</f>
        <v>12.71407</v>
      </c>
      <c r="II3" s="21">
        <f>IF(II$1&lt;INDEX('Valo FX'!$Q:$Q,MATCH($A3,'Valo FX'!$A:$A,0)),0,IF(II$1&lt;INDEX('Valo FX'!$R:$R,MATCH($A3,'Valo FX'!$A:$A,0)),INDEX(Base!$U:$U,MATCH($A3,Base!$A:$A,0)),IF(II$1=INDEX('Valo FX'!$R:$R,MATCH($A3,'Valo FX'!$A:$A,0)),INDEX(Base!$V:$V,MATCH($A3,Base!$A:$A,0)),0)))</f>
        <v>12.71407</v>
      </c>
      <c r="IJ3" s="21">
        <f>IF(IJ$1&lt;INDEX('Valo FX'!$Q:$Q,MATCH($A3,'Valo FX'!$A:$A,0)),0,IF(IJ$1&lt;INDEX('Valo FX'!$R:$R,MATCH($A3,'Valo FX'!$A:$A,0)),INDEX(Base!$U:$U,MATCH($A3,Base!$A:$A,0)),IF(IJ$1=INDEX('Valo FX'!$R:$R,MATCH($A3,'Valo FX'!$A:$A,0)),INDEX(Base!$V:$V,MATCH($A3,Base!$A:$A,0)),0)))</f>
        <v>12.71407</v>
      </c>
      <c r="IK3" s="21">
        <f>IF(IK$1&lt;INDEX('Valo FX'!$Q:$Q,MATCH($A3,'Valo FX'!$A:$A,0)),0,IF(IK$1&lt;INDEX('Valo FX'!$R:$R,MATCH($A3,'Valo FX'!$A:$A,0)),INDEX(Base!$U:$U,MATCH($A3,Base!$A:$A,0)),IF(IK$1=INDEX('Valo FX'!$R:$R,MATCH($A3,'Valo FX'!$A:$A,0)),INDEX(Base!$V:$V,MATCH($A3,Base!$A:$A,0)),0)))</f>
        <v>12.71407</v>
      </c>
      <c r="IL3" s="21">
        <f>IF(IL$1&lt;INDEX('Valo FX'!$Q:$Q,MATCH($A3,'Valo FX'!$A:$A,0)),0,IF(IL$1&lt;INDEX('Valo FX'!$R:$R,MATCH($A3,'Valo FX'!$A:$A,0)),INDEX(Base!$U:$U,MATCH($A3,Base!$A:$A,0)),IF(IL$1=INDEX('Valo FX'!$R:$R,MATCH($A3,'Valo FX'!$A:$A,0)),INDEX(Base!$V:$V,MATCH($A3,Base!$A:$A,0)),0)))</f>
        <v>12.71407</v>
      </c>
      <c r="IM3" s="21">
        <f>IF(IM$1&lt;INDEX('Valo FX'!$Q:$Q,MATCH($A3,'Valo FX'!$A:$A,0)),0,IF(IM$1&lt;INDEX('Valo FX'!$R:$R,MATCH($A3,'Valo FX'!$A:$A,0)),INDEX(Base!$U:$U,MATCH($A3,Base!$A:$A,0)),IF(IM$1=INDEX('Valo FX'!$R:$R,MATCH($A3,'Valo FX'!$A:$A,0)),INDEX(Base!$V:$V,MATCH($A3,Base!$A:$A,0)),0)))</f>
        <v>12.71407</v>
      </c>
      <c r="IN3" s="21">
        <f>IF(IN$1&lt;INDEX('Valo FX'!$Q:$Q,MATCH($A3,'Valo FX'!$A:$A,0)),0,IF(IN$1&lt;INDEX('Valo FX'!$R:$R,MATCH($A3,'Valo FX'!$A:$A,0)),INDEX(Base!$U:$U,MATCH($A3,Base!$A:$A,0)),IF(IN$1=INDEX('Valo FX'!$R:$R,MATCH($A3,'Valo FX'!$A:$A,0)),INDEX(Base!$V:$V,MATCH($A3,Base!$A:$A,0)),0)))</f>
        <v>12.71407</v>
      </c>
      <c r="IO3" s="21">
        <f>IF(IO$1&lt;INDEX('Valo FX'!$Q:$Q,MATCH($A3,'Valo FX'!$A:$A,0)),0,IF(IO$1&lt;INDEX('Valo FX'!$R:$R,MATCH($A3,'Valo FX'!$A:$A,0)),INDEX(Base!$U:$U,MATCH($A3,Base!$A:$A,0)),IF(IO$1=INDEX('Valo FX'!$R:$R,MATCH($A3,'Valo FX'!$A:$A,0)),INDEX(Base!$V:$V,MATCH($A3,Base!$A:$A,0)),0)))</f>
        <v>12.71407</v>
      </c>
      <c r="IP3" s="21">
        <f>IF(IP$1&lt;INDEX('Valo FX'!$Q:$Q,MATCH($A3,'Valo FX'!$A:$A,0)),0,IF(IP$1&lt;INDEX('Valo FX'!$R:$R,MATCH($A3,'Valo FX'!$A:$A,0)),INDEX(Base!$U:$U,MATCH($A3,Base!$A:$A,0)),IF(IP$1=INDEX('Valo FX'!$R:$R,MATCH($A3,'Valo FX'!$A:$A,0)),INDEX(Base!$V:$V,MATCH($A3,Base!$A:$A,0)),0)))</f>
        <v>12.71407</v>
      </c>
      <c r="IQ3" s="21">
        <f>IF(IQ$1&lt;INDEX('Valo FX'!$Q:$Q,MATCH($A3,'Valo FX'!$A:$A,0)),0,IF(IQ$1&lt;INDEX('Valo FX'!$R:$R,MATCH($A3,'Valo FX'!$A:$A,0)),INDEX(Base!$U:$U,MATCH($A3,Base!$A:$A,0)),IF(IQ$1=INDEX('Valo FX'!$R:$R,MATCH($A3,'Valo FX'!$A:$A,0)),INDEX(Base!$V:$V,MATCH($A3,Base!$A:$A,0)),0)))</f>
        <v>12.71407</v>
      </c>
      <c r="IR3" s="21">
        <f>IF(IR$1&lt;INDEX('Valo FX'!$Q:$Q,MATCH($A3,'Valo FX'!$A:$A,0)),0,IF(IR$1&lt;INDEX('Valo FX'!$R:$R,MATCH($A3,'Valo FX'!$A:$A,0)),INDEX(Base!$U:$U,MATCH($A3,Base!$A:$A,0)),IF(IR$1=INDEX('Valo FX'!$R:$R,MATCH($A3,'Valo FX'!$A:$A,0)),INDEX(Base!$V:$V,MATCH($A3,Base!$A:$A,0)),0)))</f>
        <v>12.71407</v>
      </c>
      <c r="IS3" s="21">
        <f>IF(IS$1&lt;INDEX('Valo FX'!$Q:$Q,MATCH($A3,'Valo FX'!$A:$A,0)),0,IF(IS$1&lt;INDEX('Valo FX'!$R:$R,MATCH($A3,'Valo FX'!$A:$A,0)),INDEX(Base!$U:$U,MATCH($A3,Base!$A:$A,0)),IF(IS$1=INDEX('Valo FX'!$R:$R,MATCH($A3,'Valo FX'!$A:$A,0)),INDEX(Base!$V:$V,MATCH($A3,Base!$A:$A,0)),0)))</f>
        <v>12.71407</v>
      </c>
      <c r="IT3" s="21">
        <f>IF(IT$1&lt;INDEX('Valo FX'!$Q:$Q,MATCH($A3,'Valo FX'!$A:$A,0)),0,IF(IT$1&lt;INDEX('Valo FX'!$R:$R,MATCH($A3,'Valo FX'!$A:$A,0)),INDEX(Base!$U:$U,MATCH($A3,Base!$A:$A,0)),IF(IT$1=INDEX('Valo FX'!$R:$R,MATCH($A3,'Valo FX'!$A:$A,0)),INDEX(Base!$V:$V,MATCH($A3,Base!$A:$A,0)),0)))</f>
        <v>12.71407</v>
      </c>
      <c r="IU3" s="21">
        <f>IF(IU$1&lt;INDEX('Valo FX'!$Q:$Q,MATCH($A3,'Valo FX'!$A:$A,0)),0,IF(IU$1&lt;INDEX('Valo FX'!$R:$R,MATCH($A3,'Valo FX'!$A:$A,0)),INDEX(Base!$U:$U,MATCH($A3,Base!$A:$A,0)),IF(IU$1=INDEX('Valo FX'!$R:$R,MATCH($A3,'Valo FX'!$A:$A,0)),INDEX(Base!$V:$V,MATCH($A3,Base!$A:$A,0)),0)))</f>
        <v>12.71407</v>
      </c>
      <c r="IV3" s="21">
        <f>IF(IV$1&lt;INDEX('Valo FX'!$Q:$Q,MATCH($A3,'Valo FX'!$A:$A,0)),0,IF(IV$1&lt;INDEX('Valo FX'!$R:$R,MATCH($A3,'Valo FX'!$A:$A,0)),INDEX(Base!$U:$U,MATCH($A3,Base!$A:$A,0)),IF(IV$1=INDEX('Valo FX'!$R:$R,MATCH($A3,'Valo FX'!$A:$A,0)),INDEX(Base!$V:$V,MATCH($A3,Base!$A:$A,0)),0)))</f>
        <v>12.71407</v>
      </c>
      <c r="IW3" s="21">
        <f>IF(IW$1&lt;INDEX('Valo FX'!$Q:$Q,MATCH($A3,'Valo FX'!$A:$A,0)),0,IF(IW$1&lt;INDEX('Valo FX'!$R:$R,MATCH($A3,'Valo FX'!$A:$A,0)),INDEX(Base!$U:$U,MATCH($A3,Base!$A:$A,0)),IF(IW$1=INDEX('Valo FX'!$R:$R,MATCH($A3,'Valo FX'!$A:$A,0)),INDEX(Base!$V:$V,MATCH($A3,Base!$A:$A,0)),0)))</f>
        <v>12.71407</v>
      </c>
      <c r="IX3" s="21">
        <f>IF(IX$1&lt;INDEX('Valo FX'!$Q:$Q,MATCH($A3,'Valo FX'!$A:$A,0)),0,IF(IX$1&lt;INDEX('Valo FX'!$R:$R,MATCH($A3,'Valo FX'!$A:$A,0)),INDEX(Base!$U:$U,MATCH($A3,Base!$A:$A,0)),IF(IX$1=INDEX('Valo FX'!$R:$R,MATCH($A3,'Valo FX'!$A:$A,0)),INDEX(Base!$V:$V,MATCH($A3,Base!$A:$A,0)),0)))</f>
        <v>12.71407</v>
      </c>
      <c r="IY3" s="21">
        <f>IF(IY$1&lt;INDEX('Valo FX'!$Q:$Q,MATCH($A3,'Valo FX'!$A:$A,0)),0,IF(IY$1&lt;INDEX('Valo FX'!$R:$R,MATCH($A3,'Valo FX'!$A:$A,0)),INDEX(Base!$U:$U,MATCH($A3,Base!$A:$A,0)),IF(IY$1=INDEX('Valo FX'!$R:$R,MATCH($A3,'Valo FX'!$A:$A,0)),INDEX(Base!$V:$V,MATCH($A3,Base!$A:$A,0)),0)))</f>
        <v>12.71407</v>
      </c>
      <c r="IZ3" s="21">
        <f>IF(IZ$1&lt;INDEX('Valo FX'!$Q:$Q,MATCH($A3,'Valo FX'!$A:$A,0)),0,IF(IZ$1&lt;INDEX('Valo FX'!$R:$R,MATCH($A3,'Valo FX'!$A:$A,0)),INDEX(Base!$U:$U,MATCH($A3,Base!$A:$A,0)),IF(IZ$1=INDEX('Valo FX'!$R:$R,MATCH($A3,'Valo FX'!$A:$A,0)),INDEX(Base!$V:$V,MATCH($A3,Base!$A:$A,0)),0)))</f>
        <v>12.71407</v>
      </c>
      <c r="JA3" s="21">
        <f>IF(JA$1&lt;INDEX('Valo FX'!$Q:$Q,MATCH($A3,'Valo FX'!$A:$A,0)),0,IF(JA$1&lt;INDEX('Valo FX'!$R:$R,MATCH($A3,'Valo FX'!$A:$A,0)),INDEX(Base!$U:$U,MATCH($A3,Base!$A:$A,0)),IF(JA$1=INDEX('Valo FX'!$R:$R,MATCH($A3,'Valo FX'!$A:$A,0)),INDEX(Base!$V:$V,MATCH($A3,Base!$A:$A,0)),0)))</f>
        <v>12.71407</v>
      </c>
      <c r="JB3" s="21">
        <f>IF(JB$1&lt;INDEX('Valo FX'!$Q:$Q,MATCH($A3,'Valo FX'!$A:$A,0)),0,IF(JB$1&lt;INDEX('Valo FX'!$R:$R,MATCH($A3,'Valo FX'!$A:$A,0)),INDEX(Base!$U:$U,MATCH($A3,Base!$A:$A,0)),IF(JB$1=INDEX('Valo FX'!$R:$R,MATCH($A3,'Valo FX'!$A:$A,0)),INDEX(Base!$V:$V,MATCH($A3,Base!$A:$A,0)),0)))</f>
        <v>12.71407</v>
      </c>
      <c r="JC3" s="21">
        <f>IF(JC$1&lt;INDEX('Valo FX'!$Q:$Q,MATCH($A3,'Valo FX'!$A:$A,0)),0,IF(JC$1&lt;INDEX('Valo FX'!$R:$R,MATCH($A3,'Valo FX'!$A:$A,0)),INDEX(Base!$U:$U,MATCH($A3,Base!$A:$A,0)),IF(JC$1=INDEX('Valo FX'!$R:$R,MATCH($A3,'Valo FX'!$A:$A,0)),INDEX(Base!$V:$V,MATCH($A3,Base!$A:$A,0)),0)))</f>
        <v>12.71407</v>
      </c>
      <c r="JD3" s="21">
        <f>IF(JD$1&lt;INDEX('Valo FX'!$Q:$Q,MATCH($A3,'Valo FX'!$A:$A,0)),0,IF(JD$1&lt;INDEX('Valo FX'!$R:$R,MATCH($A3,'Valo FX'!$A:$A,0)),INDEX(Base!$U:$U,MATCH($A3,Base!$A:$A,0)),IF(JD$1=INDEX('Valo FX'!$R:$R,MATCH($A3,'Valo FX'!$A:$A,0)),INDEX(Base!$V:$V,MATCH($A3,Base!$A:$A,0)),0)))</f>
        <v>12.71407</v>
      </c>
      <c r="JE3" s="21">
        <f>IF(JE$1&lt;INDEX('Valo FX'!$Q:$Q,MATCH($A3,'Valo FX'!$A:$A,0)),0,IF(JE$1&lt;INDEX('Valo FX'!$R:$R,MATCH($A3,'Valo FX'!$A:$A,0)),INDEX(Base!$U:$U,MATCH($A3,Base!$A:$A,0)),IF(JE$1=INDEX('Valo FX'!$R:$R,MATCH($A3,'Valo FX'!$A:$A,0)),INDEX(Base!$V:$V,MATCH($A3,Base!$A:$A,0)),0)))</f>
        <v>12.71407</v>
      </c>
      <c r="JF3" s="21">
        <f>IF(JF$1&lt;INDEX('Valo FX'!$Q:$Q,MATCH($A3,'Valo FX'!$A:$A,0)),0,IF(JF$1&lt;INDEX('Valo FX'!$R:$R,MATCH($A3,'Valo FX'!$A:$A,0)),INDEX(Base!$U:$U,MATCH($A3,Base!$A:$A,0)),IF(JF$1=INDEX('Valo FX'!$R:$R,MATCH($A3,'Valo FX'!$A:$A,0)),INDEX(Base!$V:$V,MATCH($A3,Base!$A:$A,0)),0)))</f>
        <v>12.71407</v>
      </c>
      <c r="JG3" s="21">
        <f>IF(JG$1&lt;INDEX('Valo FX'!$Q:$Q,MATCH($A3,'Valo FX'!$A:$A,0)),0,IF(JG$1&lt;INDEX('Valo FX'!$R:$R,MATCH($A3,'Valo FX'!$A:$A,0)),INDEX(Base!$U:$U,MATCH($A3,Base!$A:$A,0)),IF(JG$1=INDEX('Valo FX'!$R:$R,MATCH($A3,'Valo FX'!$A:$A,0)),INDEX(Base!$V:$V,MATCH($A3,Base!$A:$A,0)),0)))</f>
        <v>12.71407</v>
      </c>
      <c r="JH3" s="21">
        <f>IF(JH$1&lt;INDEX('Valo FX'!$Q:$Q,MATCH($A3,'Valo FX'!$A:$A,0)),0,IF(JH$1&lt;INDEX('Valo FX'!$R:$R,MATCH($A3,'Valo FX'!$A:$A,0)),INDEX(Base!$U:$U,MATCH($A3,Base!$A:$A,0)),IF(JH$1=INDEX('Valo FX'!$R:$R,MATCH($A3,'Valo FX'!$A:$A,0)),INDEX(Base!$V:$V,MATCH($A3,Base!$A:$A,0)),0)))</f>
        <v>12.71407</v>
      </c>
      <c r="JI3" s="21">
        <f>IF(JI$1&lt;INDEX('Valo FX'!$Q:$Q,MATCH($A3,'Valo FX'!$A:$A,0)),0,IF(JI$1&lt;INDEX('Valo FX'!$R:$R,MATCH($A3,'Valo FX'!$A:$A,0)),INDEX(Base!$U:$U,MATCH($A3,Base!$A:$A,0)),IF(JI$1=INDEX('Valo FX'!$R:$R,MATCH($A3,'Valo FX'!$A:$A,0)),INDEX(Base!$V:$V,MATCH($A3,Base!$A:$A,0)),0)))</f>
        <v>12.71407</v>
      </c>
      <c r="JJ3" s="21">
        <f>IF(JJ$1&lt;INDEX('Valo FX'!$Q:$Q,MATCH($A3,'Valo FX'!$A:$A,0)),0,IF(JJ$1&lt;INDEX('Valo FX'!$R:$R,MATCH($A3,'Valo FX'!$A:$A,0)),INDEX(Base!$U:$U,MATCH($A3,Base!$A:$A,0)),IF(JJ$1=INDEX('Valo FX'!$R:$R,MATCH($A3,'Valo FX'!$A:$A,0)),INDEX(Base!$V:$V,MATCH($A3,Base!$A:$A,0)),0)))</f>
        <v>12.71407</v>
      </c>
      <c r="JK3" s="21">
        <f>IF(JK$1&lt;INDEX('Valo FX'!$Q:$Q,MATCH($A3,'Valo FX'!$A:$A,0)),0,IF(JK$1&lt;INDEX('Valo FX'!$R:$R,MATCH($A3,'Valo FX'!$A:$A,0)),INDEX(Base!$U:$U,MATCH($A3,Base!$A:$A,0)),IF(JK$1=INDEX('Valo FX'!$R:$R,MATCH($A3,'Valo FX'!$A:$A,0)),INDEX(Base!$V:$V,MATCH($A3,Base!$A:$A,0)),0)))</f>
        <v>12.71407</v>
      </c>
      <c r="JL3" s="21">
        <f>IF(JL$1&lt;INDEX('Valo FX'!$Q:$Q,MATCH($A3,'Valo FX'!$A:$A,0)),0,IF(JL$1&lt;INDEX('Valo FX'!$R:$R,MATCH($A3,'Valo FX'!$A:$A,0)),INDEX(Base!$U:$U,MATCH($A3,Base!$A:$A,0)),IF(JL$1=INDEX('Valo FX'!$R:$R,MATCH($A3,'Valo FX'!$A:$A,0)),INDEX(Base!$V:$V,MATCH($A3,Base!$A:$A,0)),0)))</f>
        <v>12.71407</v>
      </c>
      <c r="JM3" s="21">
        <f>IF(JM$1&lt;INDEX('Valo FX'!$Q:$Q,MATCH($A3,'Valo FX'!$A:$A,0)),0,IF(JM$1&lt;INDEX('Valo FX'!$R:$R,MATCH($A3,'Valo FX'!$A:$A,0)),INDEX(Base!$U:$U,MATCH($A3,Base!$A:$A,0)),IF(JM$1=INDEX('Valo FX'!$R:$R,MATCH($A3,'Valo FX'!$A:$A,0)),INDEX(Base!$V:$V,MATCH($A3,Base!$A:$A,0)),0)))</f>
        <v>12.71407</v>
      </c>
      <c r="JN3" s="21">
        <f>IF(JN$1&lt;INDEX('Valo FX'!$Q:$Q,MATCH($A3,'Valo FX'!$A:$A,0)),0,IF(JN$1&lt;INDEX('Valo FX'!$R:$R,MATCH($A3,'Valo FX'!$A:$A,0)),INDEX(Base!$U:$U,MATCH($A3,Base!$A:$A,0)),IF(JN$1=INDEX('Valo FX'!$R:$R,MATCH($A3,'Valo FX'!$A:$A,0)),INDEX(Base!$V:$V,MATCH($A3,Base!$A:$A,0)),0)))</f>
        <v>12.71407</v>
      </c>
      <c r="JO3" s="21">
        <f>IF(JO$1&lt;INDEX('Valo FX'!$Q:$Q,MATCH($A3,'Valo FX'!$A:$A,0)),0,IF(JO$1&lt;INDEX('Valo FX'!$R:$R,MATCH($A3,'Valo FX'!$A:$A,0)),INDEX(Base!$U:$U,MATCH($A3,Base!$A:$A,0)),IF(JO$1=INDEX('Valo FX'!$R:$R,MATCH($A3,'Valo FX'!$A:$A,0)),INDEX(Base!$V:$V,MATCH($A3,Base!$A:$A,0)),0)))</f>
        <v>12.71407</v>
      </c>
      <c r="JP3" s="21">
        <f>IF(JP$1&lt;INDEX('Valo FX'!$Q:$Q,MATCH($A3,'Valo FX'!$A:$A,0)),0,IF(JP$1&lt;INDEX('Valo FX'!$R:$R,MATCH($A3,'Valo FX'!$A:$A,0)),INDEX(Base!$U:$U,MATCH($A3,Base!$A:$A,0)),IF(JP$1=INDEX('Valo FX'!$R:$R,MATCH($A3,'Valo FX'!$A:$A,0)),INDEX(Base!$V:$V,MATCH($A3,Base!$A:$A,0)),0)))</f>
        <v>12.71407</v>
      </c>
      <c r="JQ3" s="21">
        <f>IF(JQ$1&lt;INDEX('Valo FX'!$Q:$Q,MATCH($A3,'Valo FX'!$A:$A,0)),0,IF(JQ$1&lt;INDEX('Valo FX'!$R:$R,MATCH($A3,'Valo FX'!$A:$A,0)),INDEX(Base!$U:$U,MATCH($A3,Base!$A:$A,0)),IF(JQ$1=INDEX('Valo FX'!$R:$R,MATCH($A3,'Valo FX'!$A:$A,0)),INDEX(Base!$V:$V,MATCH($A3,Base!$A:$A,0)),0)))</f>
        <v>12.71407</v>
      </c>
      <c r="JR3" s="21">
        <f>IF(JR$1&lt;INDEX('Valo FX'!$Q:$Q,MATCH($A3,'Valo FX'!$A:$A,0)),0,IF(JR$1&lt;INDEX('Valo FX'!$R:$R,MATCH($A3,'Valo FX'!$A:$A,0)),INDEX(Base!$U:$U,MATCH($A3,Base!$A:$A,0)),IF(JR$1=INDEX('Valo FX'!$R:$R,MATCH($A3,'Valo FX'!$A:$A,0)),INDEX(Base!$V:$V,MATCH($A3,Base!$A:$A,0)),0)))</f>
        <v>12.71407</v>
      </c>
      <c r="JS3" s="21">
        <f>IF(JS$1&lt;INDEX('Valo FX'!$Q:$Q,MATCH($A3,'Valo FX'!$A:$A,0)),0,IF(JS$1&lt;INDEX('Valo FX'!$R:$R,MATCH($A3,'Valo FX'!$A:$A,0)),INDEX(Base!$U:$U,MATCH($A3,Base!$A:$A,0)),IF(JS$1=INDEX('Valo FX'!$R:$R,MATCH($A3,'Valo FX'!$A:$A,0)),INDEX(Base!$V:$V,MATCH($A3,Base!$A:$A,0)),0)))</f>
        <v>12.71407</v>
      </c>
      <c r="JT3" s="21">
        <f>IF(JT$1&lt;INDEX('Valo FX'!$Q:$Q,MATCH($A3,'Valo FX'!$A:$A,0)),0,IF(JT$1&lt;INDEX('Valo FX'!$R:$R,MATCH($A3,'Valo FX'!$A:$A,0)),INDEX(Base!$U:$U,MATCH($A3,Base!$A:$A,0)),IF(JT$1=INDEX('Valo FX'!$R:$R,MATCH($A3,'Valo FX'!$A:$A,0)),INDEX(Base!$V:$V,MATCH($A3,Base!$A:$A,0)),0)))</f>
        <v>12.71407</v>
      </c>
      <c r="JU3" s="21">
        <f>IF(JU$1&lt;INDEX('Valo FX'!$Q:$Q,MATCH($A3,'Valo FX'!$A:$A,0)),0,IF(JU$1&lt;INDEX('Valo FX'!$R:$R,MATCH($A3,'Valo FX'!$A:$A,0)),INDEX(Base!$U:$U,MATCH($A3,Base!$A:$A,0)),IF(JU$1=INDEX('Valo FX'!$R:$R,MATCH($A3,'Valo FX'!$A:$A,0)),INDEX(Base!$V:$V,MATCH($A3,Base!$A:$A,0)),0)))</f>
        <v>12.71407</v>
      </c>
      <c r="JV3" s="21">
        <f>IF(JV$1&lt;INDEX('Valo FX'!$Q:$Q,MATCH($A3,'Valo FX'!$A:$A,0)),0,IF(JV$1&lt;INDEX('Valo FX'!$R:$R,MATCH($A3,'Valo FX'!$A:$A,0)),INDEX(Base!$U:$U,MATCH($A3,Base!$A:$A,0)),IF(JV$1=INDEX('Valo FX'!$R:$R,MATCH($A3,'Valo FX'!$A:$A,0)),INDEX(Base!$V:$V,MATCH($A3,Base!$A:$A,0)),0)))</f>
        <v>12.71407</v>
      </c>
      <c r="JW3" s="21">
        <f>IF(JW$1&lt;INDEX('Valo FX'!$Q:$Q,MATCH($A3,'Valo FX'!$A:$A,0)),0,IF(JW$1&lt;INDEX('Valo FX'!$R:$R,MATCH($A3,'Valo FX'!$A:$A,0)),INDEX(Base!$U:$U,MATCH($A3,Base!$A:$A,0)),IF(JW$1=INDEX('Valo FX'!$R:$R,MATCH($A3,'Valo FX'!$A:$A,0)),INDEX(Base!$V:$V,MATCH($A3,Base!$A:$A,0)),0)))</f>
        <v>12.71407</v>
      </c>
      <c r="JX3" s="21">
        <f>IF(JX$1&lt;INDEX('Valo FX'!$Q:$Q,MATCH($A3,'Valo FX'!$A:$A,0)),0,IF(JX$1&lt;INDEX('Valo FX'!$R:$R,MATCH($A3,'Valo FX'!$A:$A,0)),INDEX(Base!$U:$U,MATCH($A3,Base!$A:$A,0)),IF(JX$1=INDEX('Valo FX'!$R:$R,MATCH($A3,'Valo FX'!$A:$A,0)),INDEX(Base!$V:$V,MATCH($A3,Base!$A:$A,0)),0)))</f>
        <v>12.71407</v>
      </c>
      <c r="JY3" s="21">
        <f>IF(JY$1&lt;INDEX('Valo FX'!$Q:$Q,MATCH($A3,'Valo FX'!$A:$A,0)),0,IF(JY$1&lt;INDEX('Valo FX'!$R:$R,MATCH($A3,'Valo FX'!$A:$A,0)),INDEX(Base!$U:$U,MATCH($A3,Base!$A:$A,0)),IF(JY$1=INDEX('Valo FX'!$R:$R,MATCH($A3,'Valo FX'!$A:$A,0)),INDEX(Base!$V:$V,MATCH($A3,Base!$A:$A,0)),0)))</f>
        <v>12.71407</v>
      </c>
      <c r="JZ3" s="21">
        <f>IF(JZ$1&lt;INDEX('Valo FX'!$Q:$Q,MATCH($A3,'Valo FX'!$A:$A,0)),0,IF(JZ$1&lt;INDEX('Valo FX'!$R:$R,MATCH($A3,'Valo FX'!$A:$A,0)),INDEX(Base!$U:$U,MATCH($A3,Base!$A:$A,0)),IF(JZ$1=INDEX('Valo FX'!$R:$R,MATCH($A3,'Valo FX'!$A:$A,0)),INDEX(Base!$V:$V,MATCH($A3,Base!$A:$A,0)),0)))</f>
        <v>12.71407</v>
      </c>
      <c r="KA3" s="21">
        <f>IF(KA$1&lt;INDEX('Valo FX'!$Q:$Q,MATCH($A3,'Valo FX'!$A:$A,0)),0,IF(KA$1&lt;INDEX('Valo FX'!$R:$R,MATCH($A3,'Valo FX'!$A:$A,0)),INDEX(Base!$U:$U,MATCH($A3,Base!$A:$A,0)),IF(KA$1=INDEX('Valo FX'!$R:$R,MATCH($A3,'Valo FX'!$A:$A,0)),INDEX(Base!$V:$V,MATCH($A3,Base!$A:$A,0)),0)))</f>
        <v>12.71407</v>
      </c>
      <c r="KB3" s="21">
        <f>IF(KB$1&lt;INDEX('Valo FX'!$Q:$Q,MATCH($A3,'Valo FX'!$A:$A,0)),0,IF(KB$1&lt;INDEX('Valo FX'!$R:$R,MATCH($A3,'Valo FX'!$A:$A,0)),INDEX(Base!$U:$U,MATCH($A3,Base!$A:$A,0)),IF(KB$1=INDEX('Valo FX'!$R:$R,MATCH($A3,'Valo FX'!$A:$A,0)),INDEX(Base!$V:$V,MATCH($A3,Base!$A:$A,0)),0)))</f>
        <v>12.71407</v>
      </c>
      <c r="KC3" s="21">
        <f>IF(KC$1&lt;INDEX('Valo FX'!$Q:$Q,MATCH($A3,'Valo FX'!$A:$A,0)),0,IF(KC$1&lt;INDEX('Valo FX'!$R:$R,MATCH($A3,'Valo FX'!$A:$A,0)),INDEX(Base!$U:$U,MATCH($A3,Base!$A:$A,0)),IF(KC$1=INDEX('Valo FX'!$R:$R,MATCH($A3,'Valo FX'!$A:$A,0)),INDEX(Base!$V:$V,MATCH($A3,Base!$A:$A,0)),0)))</f>
        <v>12.71407</v>
      </c>
      <c r="KD3" s="21">
        <f>IF(KD$1&lt;INDEX('Valo FX'!$Q:$Q,MATCH($A3,'Valo FX'!$A:$A,0)),0,IF(KD$1&lt;INDEX('Valo FX'!$R:$R,MATCH($A3,'Valo FX'!$A:$A,0)),INDEX(Base!$U:$U,MATCH($A3,Base!$A:$A,0)),IF(KD$1=INDEX('Valo FX'!$R:$R,MATCH($A3,'Valo FX'!$A:$A,0)),INDEX(Base!$V:$V,MATCH($A3,Base!$A:$A,0)),0)))</f>
        <v>12.71407</v>
      </c>
      <c r="KE3" s="21">
        <f>IF(KE$1&lt;INDEX('Valo FX'!$Q:$Q,MATCH($A3,'Valo FX'!$A:$A,0)),0,IF(KE$1&lt;INDEX('Valo FX'!$R:$R,MATCH($A3,'Valo FX'!$A:$A,0)),INDEX(Base!$U:$U,MATCH($A3,Base!$A:$A,0)),IF(KE$1=INDEX('Valo FX'!$R:$R,MATCH($A3,'Valo FX'!$A:$A,0)),INDEX(Base!$V:$V,MATCH($A3,Base!$A:$A,0)),0)))</f>
        <v>12.71407</v>
      </c>
      <c r="KF3" s="21">
        <f>IF(KF$1&lt;INDEX('Valo FX'!$Q:$Q,MATCH($A3,'Valo FX'!$A:$A,0)),0,IF(KF$1&lt;INDEX('Valo FX'!$R:$R,MATCH($A3,'Valo FX'!$A:$A,0)),INDEX(Base!$U:$U,MATCH($A3,Base!$A:$A,0)),IF(KF$1=INDEX('Valo FX'!$R:$R,MATCH($A3,'Valo FX'!$A:$A,0)),INDEX(Base!$V:$V,MATCH($A3,Base!$A:$A,0)),0)))</f>
        <v>12.71407</v>
      </c>
      <c r="KG3" s="21">
        <f>IF(KG$1&lt;INDEX('Valo FX'!$Q:$Q,MATCH($A3,'Valo FX'!$A:$A,0)),0,IF(KG$1&lt;INDEX('Valo FX'!$R:$R,MATCH($A3,'Valo FX'!$A:$A,0)),INDEX(Base!$U:$U,MATCH($A3,Base!$A:$A,0)),IF(KG$1=INDEX('Valo FX'!$R:$R,MATCH($A3,'Valo FX'!$A:$A,0)),INDEX(Base!$V:$V,MATCH($A3,Base!$A:$A,0)),0)))</f>
        <v>12.71407</v>
      </c>
      <c r="KH3" s="21">
        <f>IF(KH$1&lt;INDEX('Valo FX'!$Q:$Q,MATCH($A3,'Valo FX'!$A:$A,0)),0,IF(KH$1&lt;INDEX('Valo FX'!$R:$R,MATCH($A3,'Valo FX'!$A:$A,0)),INDEX(Base!$U:$U,MATCH($A3,Base!$A:$A,0)),IF(KH$1=INDEX('Valo FX'!$R:$R,MATCH($A3,'Valo FX'!$A:$A,0)),INDEX(Base!$V:$V,MATCH($A3,Base!$A:$A,0)),0)))</f>
        <v>12.71407</v>
      </c>
      <c r="KI3" s="21">
        <f>IF(KI$1&lt;INDEX('Valo FX'!$Q:$Q,MATCH($A3,'Valo FX'!$A:$A,0)),0,IF(KI$1&lt;INDEX('Valo FX'!$R:$R,MATCH($A3,'Valo FX'!$A:$A,0)),INDEX(Base!$U:$U,MATCH($A3,Base!$A:$A,0)),IF(KI$1=INDEX('Valo FX'!$R:$R,MATCH($A3,'Valo FX'!$A:$A,0)),INDEX(Base!$V:$V,MATCH($A3,Base!$A:$A,0)),0)))</f>
        <v>12.71407</v>
      </c>
      <c r="KJ3" s="21">
        <f>IF(KJ$1&lt;INDEX('Valo FX'!$Q:$Q,MATCH($A3,'Valo FX'!$A:$A,0)),0,IF(KJ$1&lt;INDEX('Valo FX'!$R:$R,MATCH($A3,'Valo FX'!$A:$A,0)),INDEX(Base!$U:$U,MATCH($A3,Base!$A:$A,0)),IF(KJ$1=INDEX('Valo FX'!$R:$R,MATCH($A3,'Valo FX'!$A:$A,0)),INDEX(Base!$V:$V,MATCH($A3,Base!$A:$A,0)),0)))</f>
        <v>12.71407</v>
      </c>
      <c r="KK3" s="21">
        <f>IF(KK$1&lt;INDEX('Valo FX'!$Q:$Q,MATCH($A3,'Valo FX'!$A:$A,0)),0,IF(KK$1&lt;INDEX('Valo FX'!$R:$R,MATCH($A3,'Valo FX'!$A:$A,0)),INDEX(Base!$U:$U,MATCH($A3,Base!$A:$A,0)),IF(KK$1=INDEX('Valo FX'!$R:$R,MATCH($A3,'Valo FX'!$A:$A,0)),INDEX(Base!$V:$V,MATCH($A3,Base!$A:$A,0)),0)))</f>
        <v>12.71407</v>
      </c>
      <c r="KL3" s="21">
        <f>IF(KL$1&lt;INDEX('Valo FX'!$Q:$Q,MATCH($A3,'Valo FX'!$A:$A,0)),0,IF(KL$1&lt;INDEX('Valo FX'!$R:$R,MATCH($A3,'Valo FX'!$A:$A,0)),INDEX(Base!$U:$U,MATCH($A3,Base!$A:$A,0)),IF(KL$1=INDEX('Valo FX'!$R:$R,MATCH($A3,'Valo FX'!$A:$A,0)),INDEX(Base!$V:$V,MATCH($A3,Base!$A:$A,0)),0)))</f>
        <v>12.71407</v>
      </c>
      <c r="KM3" s="21">
        <f>IF(KM$1&lt;INDEX('Valo FX'!$Q:$Q,MATCH($A3,'Valo FX'!$A:$A,0)),0,IF(KM$1&lt;INDEX('Valo FX'!$R:$R,MATCH($A3,'Valo FX'!$A:$A,0)),INDEX(Base!$U:$U,MATCH($A3,Base!$A:$A,0)),IF(KM$1=INDEX('Valo FX'!$R:$R,MATCH($A3,'Valo FX'!$A:$A,0)),INDEX(Base!$V:$V,MATCH($A3,Base!$A:$A,0)),0)))</f>
        <v>12.71407</v>
      </c>
      <c r="KN3" s="21">
        <f>IF(KN$1&lt;INDEX('Valo FX'!$Q:$Q,MATCH($A3,'Valo FX'!$A:$A,0)),0,IF(KN$1&lt;INDEX('Valo FX'!$R:$R,MATCH($A3,'Valo FX'!$A:$A,0)),INDEX(Base!$U:$U,MATCH($A3,Base!$A:$A,0)),IF(KN$1=INDEX('Valo FX'!$R:$R,MATCH($A3,'Valo FX'!$A:$A,0)),INDEX(Base!$V:$V,MATCH($A3,Base!$A:$A,0)),0)))</f>
        <v>12.71407</v>
      </c>
      <c r="KO3" s="21">
        <f>IF(KO$1&lt;INDEX('Valo FX'!$Q:$Q,MATCH($A3,'Valo FX'!$A:$A,0)),0,IF(KO$1&lt;INDEX('Valo FX'!$R:$R,MATCH($A3,'Valo FX'!$A:$A,0)),INDEX(Base!$U:$U,MATCH($A3,Base!$A:$A,0)),IF(KO$1=INDEX('Valo FX'!$R:$R,MATCH($A3,'Valo FX'!$A:$A,0)),INDEX(Base!$V:$V,MATCH($A3,Base!$A:$A,0)),0)))</f>
        <v>12.71407</v>
      </c>
      <c r="KP3" s="21">
        <f>IF(KP$1&lt;INDEX('Valo FX'!$Q:$Q,MATCH($A3,'Valo FX'!$A:$A,0)),0,IF(KP$1&lt;INDEX('Valo FX'!$R:$R,MATCH($A3,'Valo FX'!$A:$A,0)),INDEX(Base!$U:$U,MATCH($A3,Base!$A:$A,0)),IF(KP$1=INDEX('Valo FX'!$R:$R,MATCH($A3,'Valo FX'!$A:$A,0)),INDEX(Base!$V:$V,MATCH($A3,Base!$A:$A,0)),0)))</f>
        <v>12.71407</v>
      </c>
      <c r="KQ3" s="21">
        <f>IF(KQ$1&lt;INDEX('Valo FX'!$Q:$Q,MATCH($A3,'Valo FX'!$A:$A,0)),0,IF(KQ$1&lt;INDEX('Valo FX'!$R:$R,MATCH($A3,'Valo FX'!$A:$A,0)),INDEX(Base!$U:$U,MATCH($A3,Base!$A:$A,0)),IF(KQ$1=INDEX('Valo FX'!$R:$R,MATCH($A3,'Valo FX'!$A:$A,0)),INDEX(Base!$V:$V,MATCH($A3,Base!$A:$A,0)),0)))</f>
        <v>12.71407</v>
      </c>
      <c r="KR3" s="21">
        <f>IF(KR$1&lt;INDEX('Valo FX'!$Q:$Q,MATCH($A3,'Valo FX'!$A:$A,0)),0,IF(KR$1&lt;INDEX('Valo FX'!$R:$R,MATCH($A3,'Valo FX'!$A:$A,0)),INDEX(Base!$U:$U,MATCH($A3,Base!$A:$A,0)),IF(KR$1=INDEX('Valo FX'!$R:$R,MATCH($A3,'Valo FX'!$A:$A,0)),INDEX(Base!$V:$V,MATCH($A3,Base!$A:$A,0)),0)))</f>
        <v>12.71407</v>
      </c>
      <c r="KS3" s="21">
        <f>IF(KS$1&lt;INDEX('Valo FX'!$Q:$Q,MATCH($A3,'Valo FX'!$A:$A,0)),0,IF(KS$1&lt;INDEX('Valo FX'!$R:$R,MATCH($A3,'Valo FX'!$A:$A,0)),INDEX(Base!$U:$U,MATCH($A3,Base!$A:$A,0)),IF(KS$1=INDEX('Valo FX'!$R:$R,MATCH($A3,'Valo FX'!$A:$A,0)),INDEX(Base!$V:$V,MATCH($A3,Base!$A:$A,0)),0)))</f>
        <v>12.71407</v>
      </c>
      <c r="KT3" s="21">
        <f>IF(KT$1&lt;INDEX('Valo FX'!$Q:$Q,MATCH($A3,'Valo FX'!$A:$A,0)),0,IF(KT$1&lt;INDEX('Valo FX'!$R:$R,MATCH($A3,'Valo FX'!$A:$A,0)),INDEX(Base!$U:$U,MATCH($A3,Base!$A:$A,0)),IF(KT$1=INDEX('Valo FX'!$R:$R,MATCH($A3,'Valo FX'!$A:$A,0)),INDEX(Base!$V:$V,MATCH($A3,Base!$A:$A,0)),0)))</f>
        <v>12.71407</v>
      </c>
      <c r="KU3" s="21">
        <f>IF(KU$1&lt;INDEX('Valo FX'!$Q:$Q,MATCH($A3,'Valo FX'!$A:$A,0)),0,IF(KU$1&lt;INDEX('Valo FX'!$R:$R,MATCH($A3,'Valo FX'!$A:$A,0)),INDEX(Base!$U:$U,MATCH($A3,Base!$A:$A,0)),IF(KU$1=INDEX('Valo FX'!$R:$R,MATCH($A3,'Valo FX'!$A:$A,0)),INDEX(Base!$V:$V,MATCH($A3,Base!$A:$A,0)),0)))</f>
        <v>12.71407</v>
      </c>
      <c r="KV3" s="21">
        <f>IF(KV$1&lt;INDEX('Valo FX'!$Q:$Q,MATCH($A3,'Valo FX'!$A:$A,0)),0,IF(KV$1&lt;INDEX('Valo FX'!$R:$R,MATCH($A3,'Valo FX'!$A:$A,0)),INDEX(Base!$U:$U,MATCH($A3,Base!$A:$A,0)),IF(KV$1=INDEX('Valo FX'!$R:$R,MATCH($A3,'Valo FX'!$A:$A,0)),INDEX(Base!$V:$V,MATCH($A3,Base!$A:$A,0)),0)))</f>
        <v>12.71407</v>
      </c>
      <c r="KW3" s="21">
        <f>IF(KW$1&lt;INDEX('Valo FX'!$Q:$Q,MATCH($A3,'Valo FX'!$A:$A,0)),0,IF(KW$1&lt;INDEX('Valo FX'!$R:$R,MATCH($A3,'Valo FX'!$A:$A,0)),INDEX(Base!$U:$U,MATCH($A3,Base!$A:$A,0)),IF(KW$1=INDEX('Valo FX'!$R:$R,MATCH($A3,'Valo FX'!$A:$A,0)),INDEX(Base!$V:$V,MATCH($A3,Base!$A:$A,0)),0)))</f>
        <v>12.71407</v>
      </c>
      <c r="KX3" s="21">
        <f>IF(KX$1&lt;INDEX('Valo FX'!$Q:$Q,MATCH($A3,'Valo FX'!$A:$A,0)),0,IF(KX$1&lt;INDEX('Valo FX'!$R:$R,MATCH($A3,'Valo FX'!$A:$A,0)),INDEX(Base!$U:$U,MATCH($A3,Base!$A:$A,0)),IF(KX$1=INDEX('Valo FX'!$R:$R,MATCH($A3,'Valo FX'!$A:$A,0)),INDEX(Base!$V:$V,MATCH($A3,Base!$A:$A,0)),0)))</f>
        <v>12.71407</v>
      </c>
      <c r="KY3" s="21">
        <f>IF(KY$1&lt;INDEX('Valo FX'!$Q:$Q,MATCH($A3,'Valo FX'!$A:$A,0)),0,IF(KY$1&lt;INDEX('Valo FX'!$R:$R,MATCH($A3,'Valo FX'!$A:$A,0)),INDEX(Base!$U:$U,MATCH($A3,Base!$A:$A,0)),IF(KY$1=INDEX('Valo FX'!$R:$R,MATCH($A3,'Valo FX'!$A:$A,0)),INDEX(Base!$V:$V,MATCH($A3,Base!$A:$A,0)),0)))</f>
        <v>12.71407</v>
      </c>
      <c r="KZ3" s="21">
        <f>IF(KZ$1&lt;INDEX('Valo FX'!$Q:$Q,MATCH($A3,'Valo FX'!$A:$A,0)),0,IF(KZ$1&lt;INDEX('Valo FX'!$R:$R,MATCH($A3,'Valo FX'!$A:$A,0)),INDEX(Base!$U:$U,MATCH($A3,Base!$A:$A,0)),IF(KZ$1=INDEX('Valo FX'!$R:$R,MATCH($A3,'Valo FX'!$A:$A,0)),INDEX(Base!$V:$V,MATCH($A3,Base!$A:$A,0)),0)))</f>
        <v>12.71407</v>
      </c>
      <c r="LA3" s="21">
        <f>IF(LA$1&lt;INDEX('Valo FX'!$Q:$Q,MATCH($A3,'Valo FX'!$A:$A,0)),0,IF(LA$1&lt;INDEX('Valo FX'!$R:$R,MATCH($A3,'Valo FX'!$A:$A,0)),INDEX(Base!$U:$U,MATCH($A3,Base!$A:$A,0)),IF(LA$1=INDEX('Valo FX'!$R:$R,MATCH($A3,'Valo FX'!$A:$A,0)),INDEX(Base!$V:$V,MATCH($A3,Base!$A:$A,0)),0)))</f>
        <v>12.71407</v>
      </c>
      <c r="LB3" s="21">
        <f>IF(LB$1&lt;INDEX('Valo FX'!$Q:$Q,MATCH($A3,'Valo FX'!$A:$A,0)),0,IF(LB$1&lt;INDEX('Valo FX'!$R:$R,MATCH($A3,'Valo FX'!$A:$A,0)),INDEX(Base!$U:$U,MATCH($A3,Base!$A:$A,0)),IF(LB$1=INDEX('Valo FX'!$R:$R,MATCH($A3,'Valo FX'!$A:$A,0)),INDEX(Base!$V:$V,MATCH($A3,Base!$A:$A,0)),0)))</f>
        <v>12.71407</v>
      </c>
      <c r="LC3" s="21">
        <f>IF(LC$1&lt;INDEX('Valo FX'!$Q:$Q,MATCH($A3,'Valo FX'!$A:$A,0)),0,IF(LC$1&lt;INDEX('Valo FX'!$R:$R,MATCH($A3,'Valo FX'!$A:$A,0)),INDEX(Base!$U:$U,MATCH($A3,Base!$A:$A,0)),IF(LC$1=INDEX('Valo FX'!$R:$R,MATCH($A3,'Valo FX'!$A:$A,0)),INDEX(Base!$V:$V,MATCH($A3,Base!$A:$A,0)),0)))</f>
        <v>12.71407</v>
      </c>
      <c r="LD3" s="21">
        <f>IF(LD$1&lt;INDEX('Valo FX'!$Q:$Q,MATCH($A3,'Valo FX'!$A:$A,0)),0,IF(LD$1&lt;INDEX('Valo FX'!$R:$R,MATCH($A3,'Valo FX'!$A:$A,0)),INDEX(Base!$U:$U,MATCH($A3,Base!$A:$A,0)),IF(LD$1=INDEX('Valo FX'!$R:$R,MATCH($A3,'Valo FX'!$A:$A,0)),INDEX(Base!$V:$V,MATCH($A3,Base!$A:$A,0)),0)))</f>
        <v>12.71407</v>
      </c>
      <c r="LE3" s="21">
        <f>IF(LE$1&lt;INDEX('Valo FX'!$Q:$Q,MATCH($A3,'Valo FX'!$A:$A,0)),0,IF(LE$1&lt;INDEX('Valo FX'!$R:$R,MATCH($A3,'Valo FX'!$A:$A,0)),INDEX(Base!$U:$U,MATCH($A3,Base!$A:$A,0)),IF(LE$1=INDEX('Valo FX'!$R:$R,MATCH($A3,'Valo FX'!$A:$A,0)),INDEX(Base!$V:$V,MATCH($A3,Base!$A:$A,0)),0)))</f>
        <v>12.71407</v>
      </c>
      <c r="LF3" s="21">
        <f>IF(LF$1&lt;INDEX('Valo FX'!$Q:$Q,MATCH($A3,'Valo FX'!$A:$A,0)),0,IF(LF$1&lt;INDEX('Valo FX'!$R:$R,MATCH($A3,'Valo FX'!$A:$A,0)),INDEX(Base!$U:$U,MATCH($A3,Base!$A:$A,0)),IF(LF$1=INDEX('Valo FX'!$R:$R,MATCH($A3,'Valo FX'!$A:$A,0)),INDEX(Base!$V:$V,MATCH($A3,Base!$A:$A,0)),0)))</f>
        <v>12.71407</v>
      </c>
      <c r="LG3" s="21">
        <f>IF(LG$1&lt;INDEX('Valo FX'!$Q:$Q,MATCH($A3,'Valo FX'!$A:$A,0)),0,IF(LG$1&lt;INDEX('Valo FX'!$R:$R,MATCH($A3,'Valo FX'!$A:$A,0)),INDEX(Base!$U:$U,MATCH($A3,Base!$A:$A,0)),IF(LG$1=INDEX('Valo FX'!$R:$R,MATCH($A3,'Valo FX'!$A:$A,0)),INDEX(Base!$V:$V,MATCH($A3,Base!$A:$A,0)),0)))</f>
        <v>12.71407</v>
      </c>
      <c r="LH3" s="21">
        <f>IF(LH$1&lt;INDEX('Valo FX'!$Q:$Q,MATCH($A3,'Valo FX'!$A:$A,0)),0,IF(LH$1&lt;INDEX('Valo FX'!$R:$R,MATCH($A3,'Valo FX'!$A:$A,0)),INDEX(Base!$U:$U,MATCH($A3,Base!$A:$A,0)),IF(LH$1=INDEX('Valo FX'!$R:$R,MATCH($A3,'Valo FX'!$A:$A,0)),INDEX(Base!$V:$V,MATCH($A3,Base!$A:$A,0)),0)))</f>
        <v>12.71407</v>
      </c>
      <c r="LI3" s="21">
        <f>IF(LI$1&lt;INDEX('Valo FX'!$Q:$Q,MATCH($A3,'Valo FX'!$A:$A,0)),0,IF(LI$1&lt;INDEX('Valo FX'!$R:$R,MATCH($A3,'Valo FX'!$A:$A,0)),INDEX(Base!$U:$U,MATCH($A3,Base!$A:$A,0)),IF(LI$1=INDEX('Valo FX'!$R:$R,MATCH($A3,'Valo FX'!$A:$A,0)),INDEX(Base!$V:$V,MATCH($A3,Base!$A:$A,0)),0)))</f>
        <v>12.71407</v>
      </c>
      <c r="LJ3" s="21">
        <f>IF(LJ$1&lt;INDEX('Valo FX'!$Q:$Q,MATCH($A3,'Valo FX'!$A:$A,0)),0,IF(LJ$1&lt;INDEX('Valo FX'!$R:$R,MATCH($A3,'Valo FX'!$A:$A,0)),INDEX(Base!$U:$U,MATCH($A3,Base!$A:$A,0)),IF(LJ$1=INDEX('Valo FX'!$R:$R,MATCH($A3,'Valo FX'!$A:$A,0)),INDEX(Base!$V:$V,MATCH($A3,Base!$A:$A,0)),0)))</f>
        <v>12.71407</v>
      </c>
      <c r="LK3" s="21">
        <f>IF(LK$1&lt;INDEX('Valo FX'!$Q:$Q,MATCH($A3,'Valo FX'!$A:$A,0)),0,IF(LK$1&lt;INDEX('Valo FX'!$R:$R,MATCH($A3,'Valo FX'!$A:$A,0)),INDEX(Base!$U:$U,MATCH($A3,Base!$A:$A,0)),IF(LK$1=INDEX('Valo FX'!$R:$R,MATCH($A3,'Valo FX'!$A:$A,0)),INDEX(Base!$V:$V,MATCH($A3,Base!$A:$A,0)),0)))</f>
        <v>12.71407</v>
      </c>
      <c r="LL3" s="21">
        <f>IF(LL$1&lt;INDEX('Valo FX'!$Q:$Q,MATCH($A3,'Valo FX'!$A:$A,0)),0,IF(LL$1&lt;INDEX('Valo FX'!$R:$R,MATCH($A3,'Valo FX'!$A:$A,0)),INDEX(Base!$U:$U,MATCH($A3,Base!$A:$A,0)),IF(LL$1=INDEX('Valo FX'!$R:$R,MATCH($A3,'Valo FX'!$A:$A,0)),INDEX(Base!$V:$V,MATCH($A3,Base!$A:$A,0)),0)))</f>
        <v>12.71407</v>
      </c>
      <c r="LM3" s="21">
        <f>IF(LM$1&lt;INDEX('Valo FX'!$Q:$Q,MATCH($A3,'Valo FX'!$A:$A,0)),0,IF(LM$1&lt;INDEX('Valo FX'!$R:$R,MATCH($A3,'Valo FX'!$A:$A,0)),INDEX(Base!$U:$U,MATCH($A3,Base!$A:$A,0)),IF(LM$1=INDEX('Valo FX'!$R:$R,MATCH($A3,'Valo FX'!$A:$A,0)),INDEX(Base!$V:$V,MATCH($A3,Base!$A:$A,0)),0)))</f>
        <v>12.71407</v>
      </c>
      <c r="LN3" s="21">
        <f>IF(LN$1&lt;INDEX('Valo FX'!$Q:$Q,MATCH($A3,'Valo FX'!$A:$A,0)),0,IF(LN$1&lt;INDEX('Valo FX'!$R:$R,MATCH($A3,'Valo FX'!$A:$A,0)),INDEX(Base!$U:$U,MATCH($A3,Base!$A:$A,0)),IF(LN$1=INDEX('Valo FX'!$R:$R,MATCH($A3,'Valo FX'!$A:$A,0)),INDEX(Base!$V:$V,MATCH($A3,Base!$A:$A,0)),0)))</f>
        <v>12.71407</v>
      </c>
      <c r="LO3" s="21">
        <f>IF(LO$1&lt;INDEX('Valo FX'!$Q:$Q,MATCH($A3,'Valo FX'!$A:$A,0)),0,IF(LO$1&lt;INDEX('Valo FX'!$R:$R,MATCH($A3,'Valo FX'!$A:$A,0)),INDEX(Base!$U:$U,MATCH($A3,Base!$A:$A,0)),IF(LO$1=INDEX('Valo FX'!$R:$R,MATCH($A3,'Valo FX'!$A:$A,0)),INDEX(Base!$V:$V,MATCH($A3,Base!$A:$A,0)),0)))</f>
        <v>12.71407</v>
      </c>
      <c r="LP3" s="21">
        <f>IF(LP$1&lt;INDEX('Valo FX'!$Q:$Q,MATCH($A3,'Valo FX'!$A:$A,0)),0,IF(LP$1&lt;INDEX('Valo FX'!$R:$R,MATCH($A3,'Valo FX'!$A:$A,0)),INDEX(Base!$U:$U,MATCH($A3,Base!$A:$A,0)),IF(LP$1=INDEX('Valo FX'!$R:$R,MATCH($A3,'Valo FX'!$A:$A,0)),INDEX(Base!$V:$V,MATCH($A3,Base!$A:$A,0)),0)))</f>
        <v>12.71407</v>
      </c>
      <c r="LQ3" s="21">
        <f>IF(LQ$1&lt;INDEX('Valo FX'!$Q:$Q,MATCH($A3,'Valo FX'!$A:$A,0)),0,IF(LQ$1&lt;INDEX('Valo FX'!$R:$R,MATCH($A3,'Valo FX'!$A:$A,0)),INDEX(Base!$U:$U,MATCH($A3,Base!$A:$A,0)),IF(LQ$1=INDEX('Valo FX'!$R:$R,MATCH($A3,'Valo FX'!$A:$A,0)),INDEX(Base!$V:$V,MATCH($A3,Base!$A:$A,0)),0)))</f>
        <v>12.71407</v>
      </c>
      <c r="LR3" s="21">
        <f>IF(LR$1&lt;INDEX('Valo FX'!$Q:$Q,MATCH($A3,'Valo FX'!$A:$A,0)),0,IF(LR$1&lt;INDEX('Valo FX'!$R:$R,MATCH($A3,'Valo FX'!$A:$A,0)),INDEX(Base!$U:$U,MATCH($A3,Base!$A:$A,0)),IF(LR$1=INDEX('Valo FX'!$R:$R,MATCH($A3,'Valo FX'!$A:$A,0)),INDEX(Base!$V:$V,MATCH($A3,Base!$A:$A,0)),0)))</f>
        <v>12.71407</v>
      </c>
      <c r="LS3" s="21">
        <f>IF(LS$1&lt;INDEX('Valo FX'!$Q:$Q,MATCH($A3,'Valo FX'!$A:$A,0)),0,IF(LS$1&lt;INDEX('Valo FX'!$R:$R,MATCH($A3,'Valo FX'!$A:$A,0)),INDEX(Base!$U:$U,MATCH($A3,Base!$A:$A,0)),IF(LS$1=INDEX('Valo FX'!$R:$R,MATCH($A3,'Valo FX'!$A:$A,0)),INDEX(Base!$V:$V,MATCH($A3,Base!$A:$A,0)),0)))</f>
        <v>12.71407</v>
      </c>
      <c r="LT3" s="21">
        <f>IF(LT$1&lt;INDEX('Valo FX'!$Q:$Q,MATCH($A3,'Valo FX'!$A:$A,0)),0,IF(LT$1&lt;INDEX('Valo FX'!$R:$R,MATCH($A3,'Valo FX'!$A:$A,0)),INDEX(Base!$U:$U,MATCH($A3,Base!$A:$A,0)),IF(LT$1=INDEX('Valo FX'!$R:$R,MATCH($A3,'Valo FX'!$A:$A,0)),INDEX(Base!$V:$V,MATCH($A3,Base!$A:$A,0)),0)))</f>
        <v>12.71407</v>
      </c>
      <c r="LU3" s="21">
        <f>IF(LU$1&lt;INDEX('Valo FX'!$Q:$Q,MATCH($A3,'Valo FX'!$A:$A,0)),0,IF(LU$1&lt;INDEX('Valo FX'!$R:$R,MATCH($A3,'Valo FX'!$A:$A,0)),INDEX(Base!$U:$U,MATCH($A3,Base!$A:$A,0)),IF(LU$1=INDEX('Valo FX'!$R:$R,MATCH($A3,'Valo FX'!$A:$A,0)),INDEX(Base!$V:$V,MATCH($A3,Base!$A:$A,0)),0)))</f>
        <v>12.71407</v>
      </c>
      <c r="LV3" s="21">
        <f>IF(LV$1&lt;INDEX('Valo FX'!$Q:$Q,MATCH($A3,'Valo FX'!$A:$A,0)),0,IF(LV$1&lt;INDEX('Valo FX'!$R:$R,MATCH($A3,'Valo FX'!$A:$A,0)),INDEX(Base!$U:$U,MATCH($A3,Base!$A:$A,0)),IF(LV$1=INDEX('Valo FX'!$R:$R,MATCH($A3,'Valo FX'!$A:$A,0)),INDEX(Base!$V:$V,MATCH($A3,Base!$A:$A,0)),0)))</f>
        <v>12.71407</v>
      </c>
      <c r="LW3" s="21">
        <f>IF(LW$1&lt;INDEX('Valo FX'!$Q:$Q,MATCH($A3,'Valo FX'!$A:$A,0)),0,IF(LW$1&lt;INDEX('Valo FX'!$R:$R,MATCH($A3,'Valo FX'!$A:$A,0)),INDEX(Base!$U:$U,MATCH($A3,Base!$A:$A,0)),IF(LW$1=INDEX('Valo FX'!$R:$R,MATCH($A3,'Valo FX'!$A:$A,0)),INDEX(Base!$V:$V,MATCH($A3,Base!$A:$A,0)),0)))</f>
        <v>12.71407</v>
      </c>
      <c r="LX3" s="21">
        <f>IF(LX$1&lt;INDEX('Valo FX'!$Q:$Q,MATCH($A3,'Valo FX'!$A:$A,0)),0,IF(LX$1&lt;INDEX('Valo FX'!$R:$R,MATCH($A3,'Valo FX'!$A:$A,0)),INDEX(Base!$U:$U,MATCH($A3,Base!$A:$A,0)),IF(LX$1=INDEX('Valo FX'!$R:$R,MATCH($A3,'Valo FX'!$A:$A,0)),INDEX(Base!$V:$V,MATCH($A3,Base!$A:$A,0)),0)))</f>
        <v>12.71407</v>
      </c>
      <c r="LY3" s="21">
        <f>IF(LY$1&lt;INDEX('Valo FX'!$Q:$Q,MATCH($A3,'Valo FX'!$A:$A,0)),0,IF(LY$1&lt;INDEX('Valo FX'!$R:$R,MATCH($A3,'Valo FX'!$A:$A,0)),INDEX(Base!$U:$U,MATCH($A3,Base!$A:$A,0)),IF(LY$1=INDEX('Valo FX'!$R:$R,MATCH($A3,'Valo FX'!$A:$A,0)),INDEX(Base!$V:$V,MATCH($A3,Base!$A:$A,0)),0)))</f>
        <v>12.71407</v>
      </c>
      <c r="LZ3" s="21">
        <f>IF(LZ$1&lt;INDEX('Valo FX'!$Q:$Q,MATCH($A3,'Valo FX'!$A:$A,0)),0,IF(LZ$1&lt;INDEX('Valo FX'!$R:$R,MATCH($A3,'Valo FX'!$A:$A,0)),INDEX(Base!$U:$U,MATCH($A3,Base!$A:$A,0)),IF(LZ$1=INDEX('Valo FX'!$R:$R,MATCH($A3,'Valo FX'!$A:$A,0)),INDEX(Base!$V:$V,MATCH($A3,Base!$A:$A,0)),0)))</f>
        <v>12.71407</v>
      </c>
      <c r="MA3" s="21">
        <f>IF(MA$1&lt;INDEX('Valo FX'!$Q:$Q,MATCH($A3,'Valo FX'!$A:$A,0)),0,IF(MA$1&lt;INDEX('Valo FX'!$R:$R,MATCH($A3,'Valo FX'!$A:$A,0)),INDEX(Base!$U:$U,MATCH($A3,Base!$A:$A,0)),IF(MA$1=INDEX('Valo FX'!$R:$R,MATCH($A3,'Valo FX'!$A:$A,0)),INDEX(Base!$V:$V,MATCH($A3,Base!$A:$A,0)),0)))</f>
        <v>12.71407</v>
      </c>
      <c r="MB3" s="21">
        <f>IF(MB$1&lt;INDEX('Valo FX'!$Q:$Q,MATCH($A3,'Valo FX'!$A:$A,0)),0,IF(MB$1&lt;INDEX('Valo FX'!$R:$R,MATCH($A3,'Valo FX'!$A:$A,0)),INDEX(Base!$U:$U,MATCH($A3,Base!$A:$A,0)),IF(MB$1=INDEX('Valo FX'!$R:$R,MATCH($A3,'Valo FX'!$A:$A,0)),INDEX(Base!$V:$V,MATCH($A3,Base!$A:$A,0)),0)))</f>
        <v>12.71407</v>
      </c>
      <c r="MC3" s="21">
        <f>IF(MC$1&lt;INDEX('Valo FX'!$Q:$Q,MATCH($A3,'Valo FX'!$A:$A,0)),0,IF(MC$1&lt;INDEX('Valo FX'!$R:$R,MATCH($A3,'Valo FX'!$A:$A,0)),INDEX(Base!$U:$U,MATCH($A3,Base!$A:$A,0)),IF(MC$1=INDEX('Valo FX'!$R:$R,MATCH($A3,'Valo FX'!$A:$A,0)),INDEX(Base!$V:$V,MATCH($A3,Base!$A:$A,0)),0)))</f>
        <v>12.71407</v>
      </c>
      <c r="MD3" s="21">
        <f>IF(MD$1&lt;INDEX('Valo FX'!$Q:$Q,MATCH($A3,'Valo FX'!$A:$A,0)),0,IF(MD$1&lt;INDEX('Valo FX'!$R:$R,MATCH($A3,'Valo FX'!$A:$A,0)),INDEX(Base!$U:$U,MATCH($A3,Base!$A:$A,0)),IF(MD$1=INDEX('Valo FX'!$R:$R,MATCH($A3,'Valo FX'!$A:$A,0)),INDEX(Base!$V:$V,MATCH($A3,Base!$A:$A,0)),0)))</f>
        <v>12.71407</v>
      </c>
      <c r="ME3" s="21">
        <f>IF(ME$1&lt;INDEX('Valo FX'!$Q:$Q,MATCH($A3,'Valo FX'!$A:$A,0)),0,IF(ME$1&lt;INDEX('Valo FX'!$R:$R,MATCH($A3,'Valo FX'!$A:$A,0)),INDEX(Base!$U:$U,MATCH($A3,Base!$A:$A,0)),IF(ME$1=INDEX('Valo FX'!$R:$R,MATCH($A3,'Valo FX'!$A:$A,0)),INDEX(Base!$V:$V,MATCH($A3,Base!$A:$A,0)),0)))</f>
        <v>12.71407</v>
      </c>
      <c r="MF3" s="21">
        <f>IF(MF$1&lt;INDEX('Valo FX'!$Q:$Q,MATCH($A3,'Valo FX'!$A:$A,0)),0,IF(MF$1&lt;INDEX('Valo FX'!$R:$R,MATCH($A3,'Valo FX'!$A:$A,0)),INDEX(Base!$U:$U,MATCH($A3,Base!$A:$A,0)),IF(MF$1=INDEX('Valo FX'!$R:$R,MATCH($A3,'Valo FX'!$A:$A,0)),INDEX(Base!$V:$V,MATCH($A3,Base!$A:$A,0)),0)))</f>
        <v>12.71407</v>
      </c>
      <c r="MG3" s="21">
        <f>IF(MG$1&lt;INDEX('Valo FX'!$Q:$Q,MATCH($A3,'Valo FX'!$A:$A,0)),0,IF(MG$1&lt;INDEX('Valo FX'!$R:$R,MATCH($A3,'Valo FX'!$A:$A,0)),INDEX(Base!$U:$U,MATCH($A3,Base!$A:$A,0)),IF(MG$1=INDEX('Valo FX'!$R:$R,MATCH($A3,'Valo FX'!$A:$A,0)),INDEX(Base!$V:$V,MATCH($A3,Base!$A:$A,0)),0)))</f>
        <v>12.71407</v>
      </c>
      <c r="MH3" s="21">
        <f>IF(MH$1&lt;INDEX('Valo FX'!$Q:$Q,MATCH($A3,'Valo FX'!$A:$A,0)),0,IF(MH$1&lt;INDEX('Valo FX'!$R:$R,MATCH($A3,'Valo FX'!$A:$A,0)),INDEX(Base!$U:$U,MATCH($A3,Base!$A:$A,0)),IF(MH$1=INDEX('Valo FX'!$R:$R,MATCH($A3,'Valo FX'!$A:$A,0)),INDEX(Base!$V:$V,MATCH($A3,Base!$A:$A,0)),0)))</f>
        <v>12.71407</v>
      </c>
      <c r="MI3" s="21">
        <f>IF(MI$1&lt;INDEX('Valo FX'!$Q:$Q,MATCH($A3,'Valo FX'!$A:$A,0)),0,IF(MI$1&lt;INDEX('Valo FX'!$R:$R,MATCH($A3,'Valo FX'!$A:$A,0)),INDEX(Base!$U:$U,MATCH($A3,Base!$A:$A,0)),IF(MI$1=INDEX('Valo FX'!$R:$R,MATCH($A3,'Valo FX'!$A:$A,0)),INDEX(Base!$V:$V,MATCH($A3,Base!$A:$A,0)),0)))</f>
        <v>12.71407</v>
      </c>
      <c r="MJ3" s="21">
        <f>IF(MJ$1&lt;INDEX('Valo FX'!$Q:$Q,MATCH($A3,'Valo FX'!$A:$A,0)),0,IF(MJ$1&lt;INDEX('Valo FX'!$R:$R,MATCH($A3,'Valo FX'!$A:$A,0)),INDEX(Base!$U:$U,MATCH($A3,Base!$A:$A,0)),IF(MJ$1=INDEX('Valo FX'!$R:$R,MATCH($A3,'Valo FX'!$A:$A,0)),INDEX(Base!$V:$V,MATCH($A3,Base!$A:$A,0)),0)))</f>
        <v>12.71407</v>
      </c>
      <c r="MK3" s="21">
        <f>IF(MK$1&lt;INDEX('Valo FX'!$Q:$Q,MATCH($A3,'Valo FX'!$A:$A,0)),0,IF(MK$1&lt;INDEX('Valo FX'!$R:$R,MATCH($A3,'Valo FX'!$A:$A,0)),INDEX(Base!$U:$U,MATCH($A3,Base!$A:$A,0)),IF(MK$1=INDEX('Valo FX'!$R:$R,MATCH($A3,'Valo FX'!$A:$A,0)),INDEX(Base!$V:$V,MATCH($A3,Base!$A:$A,0)),0)))</f>
        <v>12.71407</v>
      </c>
      <c r="ML3" s="21">
        <f>IF(ML$1&lt;INDEX('Valo FX'!$Q:$Q,MATCH($A3,'Valo FX'!$A:$A,0)),0,IF(ML$1&lt;INDEX('Valo FX'!$R:$R,MATCH($A3,'Valo FX'!$A:$A,0)),INDEX(Base!$U:$U,MATCH($A3,Base!$A:$A,0)),IF(ML$1=INDEX('Valo FX'!$R:$R,MATCH($A3,'Valo FX'!$A:$A,0)),INDEX(Base!$V:$V,MATCH($A3,Base!$A:$A,0)),0)))</f>
        <v>12.71407</v>
      </c>
      <c r="MM3" s="21">
        <f>IF(MM$1&lt;INDEX('Valo FX'!$Q:$Q,MATCH($A3,'Valo FX'!$A:$A,0)),0,IF(MM$1&lt;INDEX('Valo FX'!$R:$R,MATCH($A3,'Valo FX'!$A:$A,0)),INDEX(Base!$U:$U,MATCH($A3,Base!$A:$A,0)),IF(MM$1=INDEX('Valo FX'!$R:$R,MATCH($A3,'Valo FX'!$A:$A,0)),INDEX(Base!$V:$V,MATCH($A3,Base!$A:$A,0)),0)))</f>
        <v>12.71407</v>
      </c>
      <c r="MN3" s="21">
        <f>IF(MN$1&lt;INDEX('Valo FX'!$Q:$Q,MATCH($A3,'Valo FX'!$A:$A,0)),0,IF(MN$1&lt;INDEX('Valo FX'!$R:$R,MATCH($A3,'Valo FX'!$A:$A,0)),INDEX(Base!$U:$U,MATCH($A3,Base!$A:$A,0)),IF(MN$1=INDEX('Valo FX'!$R:$R,MATCH($A3,'Valo FX'!$A:$A,0)),INDEX(Base!$V:$V,MATCH($A3,Base!$A:$A,0)),0)))</f>
        <v>12.71407</v>
      </c>
      <c r="MO3" s="21">
        <f>IF(MO$1&lt;INDEX('Valo FX'!$Q:$Q,MATCH($A3,'Valo FX'!$A:$A,0)),0,IF(MO$1&lt;INDEX('Valo FX'!$R:$R,MATCH($A3,'Valo FX'!$A:$A,0)),INDEX(Base!$U:$U,MATCH($A3,Base!$A:$A,0)),IF(MO$1=INDEX('Valo FX'!$R:$R,MATCH($A3,'Valo FX'!$A:$A,0)),INDEX(Base!$V:$V,MATCH($A3,Base!$A:$A,0)),0)))</f>
        <v>12.71407</v>
      </c>
      <c r="MP3" s="21">
        <f>IF(MP$1&lt;INDEX('Valo FX'!$Q:$Q,MATCH($A3,'Valo FX'!$A:$A,0)),0,IF(MP$1&lt;INDEX('Valo FX'!$R:$R,MATCH($A3,'Valo FX'!$A:$A,0)),INDEX(Base!$U:$U,MATCH($A3,Base!$A:$A,0)),IF(MP$1=INDEX('Valo FX'!$R:$R,MATCH($A3,'Valo FX'!$A:$A,0)),INDEX(Base!$V:$V,MATCH($A3,Base!$A:$A,0)),0)))</f>
        <v>12.71407</v>
      </c>
      <c r="MQ3" s="21">
        <f>IF(MQ$1&lt;INDEX('Valo FX'!$Q:$Q,MATCH($A3,'Valo FX'!$A:$A,0)),0,IF(MQ$1&lt;INDEX('Valo FX'!$R:$R,MATCH($A3,'Valo FX'!$A:$A,0)),INDEX(Base!$U:$U,MATCH($A3,Base!$A:$A,0)),IF(MQ$1=INDEX('Valo FX'!$R:$R,MATCH($A3,'Valo FX'!$A:$A,0)),INDEX(Base!$V:$V,MATCH($A3,Base!$A:$A,0)),0)))</f>
        <v>12.71407</v>
      </c>
      <c r="MR3" s="21">
        <f>IF(MR$1&lt;INDEX('Valo FX'!$Q:$Q,MATCH($A3,'Valo FX'!$A:$A,0)),0,IF(MR$1&lt;INDEX('Valo FX'!$R:$R,MATCH($A3,'Valo FX'!$A:$A,0)),INDEX(Base!$U:$U,MATCH($A3,Base!$A:$A,0)),IF(MR$1=INDEX('Valo FX'!$R:$R,MATCH($A3,'Valo FX'!$A:$A,0)),INDEX(Base!$V:$V,MATCH($A3,Base!$A:$A,0)),0)))</f>
        <v>12.71407</v>
      </c>
      <c r="MS3" s="21">
        <f>IF(MS$1&lt;INDEX('Valo FX'!$Q:$Q,MATCH($A3,'Valo FX'!$A:$A,0)),0,IF(MS$1&lt;INDEX('Valo FX'!$R:$R,MATCH($A3,'Valo FX'!$A:$A,0)),INDEX(Base!$U:$U,MATCH($A3,Base!$A:$A,0)),IF(MS$1=INDEX('Valo FX'!$R:$R,MATCH($A3,'Valo FX'!$A:$A,0)),INDEX(Base!$V:$V,MATCH($A3,Base!$A:$A,0)),0)))</f>
        <v>12.71407</v>
      </c>
      <c r="MT3" s="21">
        <f>IF(MT$1&lt;INDEX('Valo FX'!$Q:$Q,MATCH($A3,'Valo FX'!$A:$A,0)),0,IF(MT$1&lt;INDEX('Valo FX'!$R:$R,MATCH($A3,'Valo FX'!$A:$A,0)),INDEX(Base!$U:$U,MATCH($A3,Base!$A:$A,0)),IF(MT$1=INDEX('Valo FX'!$R:$R,MATCH($A3,'Valo FX'!$A:$A,0)),INDEX(Base!$V:$V,MATCH($A3,Base!$A:$A,0)),0)))</f>
        <v>12.71407</v>
      </c>
      <c r="MU3" s="21">
        <f>IF(MU$1&lt;INDEX('Valo FX'!$Q:$Q,MATCH($A3,'Valo FX'!$A:$A,0)),0,IF(MU$1&lt;INDEX('Valo FX'!$R:$R,MATCH($A3,'Valo FX'!$A:$A,0)),INDEX(Base!$U:$U,MATCH($A3,Base!$A:$A,0)),IF(MU$1=INDEX('Valo FX'!$R:$R,MATCH($A3,'Valo FX'!$A:$A,0)),INDEX(Base!$V:$V,MATCH($A3,Base!$A:$A,0)),0)))</f>
        <v>12.71407</v>
      </c>
      <c r="MV3" s="21">
        <f>IF(MV$1&lt;INDEX('Valo FX'!$Q:$Q,MATCH($A3,'Valo FX'!$A:$A,0)),0,IF(MV$1&lt;INDEX('Valo FX'!$R:$R,MATCH($A3,'Valo FX'!$A:$A,0)),INDEX(Base!$U:$U,MATCH($A3,Base!$A:$A,0)),IF(MV$1=INDEX('Valo FX'!$R:$R,MATCH($A3,'Valo FX'!$A:$A,0)),INDEX(Base!$V:$V,MATCH($A3,Base!$A:$A,0)),0)))</f>
        <v>12.71407</v>
      </c>
      <c r="MW3" s="21">
        <f>IF(MW$1&lt;INDEX('Valo FX'!$Q:$Q,MATCH($A3,'Valo FX'!$A:$A,0)),0,IF(MW$1&lt;INDEX('Valo FX'!$R:$R,MATCH($A3,'Valo FX'!$A:$A,0)),INDEX(Base!$U:$U,MATCH($A3,Base!$A:$A,0)),IF(MW$1=INDEX('Valo FX'!$R:$R,MATCH($A3,'Valo FX'!$A:$A,0)),INDEX(Base!$V:$V,MATCH($A3,Base!$A:$A,0)),0)))</f>
        <v>12.71407</v>
      </c>
      <c r="MX3" s="21">
        <f>IF(MX$1&lt;INDEX('Valo FX'!$Q:$Q,MATCH($A3,'Valo FX'!$A:$A,0)),0,IF(MX$1&lt;INDEX('Valo FX'!$R:$R,MATCH($A3,'Valo FX'!$A:$A,0)),INDEX(Base!$U:$U,MATCH($A3,Base!$A:$A,0)),IF(MX$1=INDEX('Valo FX'!$R:$R,MATCH($A3,'Valo FX'!$A:$A,0)),INDEX(Base!$V:$V,MATCH($A3,Base!$A:$A,0)),0)))</f>
        <v>13.752345</v>
      </c>
      <c r="MY3" s="21">
        <f>IF(MY$1&lt;INDEX('Valo FX'!$Q:$Q,MATCH($A3,'Valo FX'!$A:$A,0)),0,IF(MY$1&lt;INDEX('Valo FX'!$R:$R,MATCH($A3,'Valo FX'!$A:$A,0)),INDEX(Base!$U:$U,MATCH($A3,Base!$A:$A,0)),IF(MY$1=INDEX('Valo FX'!$R:$R,MATCH($A3,'Valo FX'!$A:$A,0)),INDEX(Base!$V:$V,MATCH($A3,Base!$A:$A,0)),0)))</f>
        <v>0</v>
      </c>
    </row>
    <row r="4" spans="1:363" x14ac:dyDescent="0.25">
      <c r="A4" s="7">
        <f>+'Valo FX'!A5</f>
        <v>2</v>
      </c>
      <c r="B4" s="59">
        <f>-'Valo FX'!T5</f>
        <v>-1839.4420662764096</v>
      </c>
      <c r="C4" s="21">
        <f>IF(C$1&lt;INDEX('Valo FX'!$Q:$Q,MATCH($A4,'Valo FX'!$A:$A,0)),0,IF(C$1&lt;INDEX('Valo FX'!$R:$R,MATCH($A4,'Valo FX'!$A:$A,0)),INDEX(Base!$U:$U,MATCH($A4,Base!$A:$A,0)),IF(C$1=INDEX('Valo FX'!$R:$R,MATCH($A4,'Valo FX'!$A:$A,0)),INDEX(Base!$V:$V,MATCH($A4,Base!$A:$A,0)),0)))</f>
        <v>0</v>
      </c>
      <c r="D4" s="21">
        <f>IF(D$1&lt;INDEX('Valo FX'!$Q:$Q,MATCH($A4,'Valo FX'!$A:$A,0)),0,IF(D$1&lt;INDEX('Valo FX'!$R:$R,MATCH($A4,'Valo FX'!$A:$A,0)),INDEX(Base!$U:$U,MATCH($A4,Base!$A:$A,0)),IF(D$1=INDEX('Valo FX'!$R:$R,MATCH($A4,'Valo FX'!$A:$A,0)),INDEX(Base!$V:$V,MATCH($A4,Base!$A:$A,0)),0)))</f>
        <v>0</v>
      </c>
      <c r="E4" s="21">
        <f>IF(E$1&lt;INDEX('Valo FX'!$Q:$Q,MATCH($A4,'Valo FX'!$A:$A,0)),0,IF(E$1&lt;INDEX('Valo FX'!$R:$R,MATCH($A4,'Valo FX'!$A:$A,0)),INDEX(Base!$U:$U,MATCH($A4,Base!$A:$A,0)),IF(E$1=INDEX('Valo FX'!$R:$R,MATCH($A4,'Valo FX'!$A:$A,0)),INDEX(Base!$V:$V,MATCH($A4,Base!$A:$A,0)),0)))</f>
        <v>0</v>
      </c>
      <c r="F4" s="21">
        <f>IF(F$1&lt;INDEX('Valo FX'!$Q:$Q,MATCH($A4,'Valo FX'!$A:$A,0)),0,IF(F$1&lt;INDEX('Valo FX'!$R:$R,MATCH($A4,'Valo FX'!$A:$A,0)),INDEX(Base!$U:$U,MATCH($A4,Base!$A:$A,0)),IF(F$1=INDEX('Valo FX'!$R:$R,MATCH($A4,'Valo FX'!$A:$A,0)),INDEX(Base!$V:$V,MATCH($A4,Base!$A:$A,0)),0)))</f>
        <v>0</v>
      </c>
      <c r="G4" s="21">
        <f>IF(G$1&lt;INDEX('Valo FX'!$Q:$Q,MATCH($A4,'Valo FX'!$A:$A,0)),0,IF(G$1&lt;INDEX('Valo FX'!$R:$R,MATCH($A4,'Valo FX'!$A:$A,0)),INDEX(Base!$U:$U,MATCH($A4,Base!$A:$A,0)),IF(G$1=INDEX('Valo FX'!$R:$R,MATCH($A4,'Valo FX'!$A:$A,0)),INDEX(Base!$V:$V,MATCH($A4,Base!$A:$A,0)),0)))</f>
        <v>0</v>
      </c>
      <c r="H4" s="21">
        <f>IF(H$1&lt;INDEX('Valo FX'!$Q:$Q,MATCH($A4,'Valo FX'!$A:$A,0)),0,IF(H$1&lt;INDEX('Valo FX'!$R:$R,MATCH($A4,'Valo FX'!$A:$A,0)),INDEX(Base!$U:$U,MATCH($A4,Base!$A:$A,0)),IF(H$1=INDEX('Valo FX'!$R:$R,MATCH($A4,'Valo FX'!$A:$A,0)),INDEX(Base!$V:$V,MATCH($A4,Base!$A:$A,0)),0)))</f>
        <v>12.823359999999999</v>
      </c>
      <c r="I4" s="21">
        <f>IF(I$1&lt;INDEX('Valo FX'!$Q:$Q,MATCH($A4,'Valo FX'!$A:$A,0)),0,IF(I$1&lt;INDEX('Valo FX'!$R:$R,MATCH($A4,'Valo FX'!$A:$A,0)),INDEX(Base!$U:$U,MATCH($A4,Base!$A:$A,0)),IF(I$1=INDEX('Valo FX'!$R:$R,MATCH($A4,'Valo FX'!$A:$A,0)),INDEX(Base!$V:$V,MATCH($A4,Base!$A:$A,0)),0)))</f>
        <v>12.823359999999999</v>
      </c>
      <c r="J4" s="21">
        <f>IF(J$1&lt;INDEX('Valo FX'!$Q:$Q,MATCH($A4,'Valo FX'!$A:$A,0)),0,IF(J$1&lt;INDEX('Valo FX'!$R:$R,MATCH($A4,'Valo FX'!$A:$A,0)),INDEX(Base!$U:$U,MATCH($A4,Base!$A:$A,0)),IF(J$1=INDEX('Valo FX'!$R:$R,MATCH($A4,'Valo FX'!$A:$A,0)),INDEX(Base!$V:$V,MATCH($A4,Base!$A:$A,0)),0)))</f>
        <v>12.823359999999999</v>
      </c>
      <c r="K4" s="21">
        <f>IF(K$1&lt;INDEX('Valo FX'!$Q:$Q,MATCH($A4,'Valo FX'!$A:$A,0)),0,IF(K$1&lt;INDEX('Valo FX'!$R:$R,MATCH($A4,'Valo FX'!$A:$A,0)),INDEX(Base!$U:$U,MATCH($A4,Base!$A:$A,0)),IF(K$1=INDEX('Valo FX'!$R:$R,MATCH($A4,'Valo FX'!$A:$A,0)),INDEX(Base!$V:$V,MATCH($A4,Base!$A:$A,0)),0)))</f>
        <v>12.823359999999999</v>
      </c>
      <c r="L4" s="21">
        <f>IF(L$1&lt;INDEX('Valo FX'!$Q:$Q,MATCH($A4,'Valo FX'!$A:$A,0)),0,IF(L$1&lt;INDEX('Valo FX'!$R:$R,MATCH($A4,'Valo FX'!$A:$A,0)),INDEX(Base!$U:$U,MATCH($A4,Base!$A:$A,0)),IF(L$1=INDEX('Valo FX'!$R:$R,MATCH($A4,'Valo FX'!$A:$A,0)),INDEX(Base!$V:$V,MATCH($A4,Base!$A:$A,0)),0)))</f>
        <v>12.823359999999999</v>
      </c>
      <c r="M4" s="21">
        <f>IF(M$1&lt;INDEX('Valo FX'!$Q:$Q,MATCH($A4,'Valo FX'!$A:$A,0)),0,IF(M$1&lt;INDEX('Valo FX'!$R:$R,MATCH($A4,'Valo FX'!$A:$A,0)),INDEX(Base!$U:$U,MATCH($A4,Base!$A:$A,0)),IF(M$1=INDEX('Valo FX'!$R:$R,MATCH($A4,'Valo FX'!$A:$A,0)),INDEX(Base!$V:$V,MATCH($A4,Base!$A:$A,0)),0)))</f>
        <v>12.823359999999999</v>
      </c>
      <c r="N4" s="21">
        <f>IF(N$1&lt;INDEX('Valo FX'!$Q:$Q,MATCH($A4,'Valo FX'!$A:$A,0)),0,IF(N$1&lt;INDEX('Valo FX'!$R:$R,MATCH($A4,'Valo FX'!$A:$A,0)),INDEX(Base!$U:$U,MATCH($A4,Base!$A:$A,0)),IF(N$1=INDEX('Valo FX'!$R:$R,MATCH($A4,'Valo FX'!$A:$A,0)),INDEX(Base!$V:$V,MATCH($A4,Base!$A:$A,0)),0)))</f>
        <v>12.823359999999999</v>
      </c>
      <c r="O4" s="21">
        <f>IF(O$1&lt;INDEX('Valo FX'!$Q:$Q,MATCH($A4,'Valo FX'!$A:$A,0)),0,IF(O$1&lt;INDEX('Valo FX'!$R:$R,MATCH($A4,'Valo FX'!$A:$A,0)),INDEX(Base!$U:$U,MATCH($A4,Base!$A:$A,0)),IF(O$1=INDEX('Valo FX'!$R:$R,MATCH($A4,'Valo FX'!$A:$A,0)),INDEX(Base!$V:$V,MATCH($A4,Base!$A:$A,0)),0)))</f>
        <v>12.823359999999999</v>
      </c>
      <c r="P4" s="21">
        <f>IF(P$1&lt;INDEX('Valo FX'!$Q:$Q,MATCH($A4,'Valo FX'!$A:$A,0)),0,IF(P$1&lt;INDEX('Valo FX'!$R:$R,MATCH($A4,'Valo FX'!$A:$A,0)),INDEX(Base!$U:$U,MATCH($A4,Base!$A:$A,0)),IF(P$1=INDEX('Valo FX'!$R:$R,MATCH($A4,'Valo FX'!$A:$A,0)),INDEX(Base!$V:$V,MATCH($A4,Base!$A:$A,0)),0)))</f>
        <v>12.823359999999999</v>
      </c>
      <c r="Q4" s="21">
        <f>IF(Q$1&lt;INDEX('Valo FX'!$Q:$Q,MATCH($A4,'Valo FX'!$A:$A,0)),0,IF(Q$1&lt;INDEX('Valo FX'!$R:$R,MATCH($A4,'Valo FX'!$A:$A,0)),INDEX(Base!$U:$U,MATCH($A4,Base!$A:$A,0)),IF(Q$1=INDEX('Valo FX'!$R:$R,MATCH($A4,'Valo FX'!$A:$A,0)),INDEX(Base!$V:$V,MATCH($A4,Base!$A:$A,0)),0)))</f>
        <v>12.823359999999999</v>
      </c>
      <c r="R4" s="21">
        <f>IF(R$1&lt;INDEX('Valo FX'!$Q:$Q,MATCH($A4,'Valo FX'!$A:$A,0)),0,IF(R$1&lt;INDEX('Valo FX'!$R:$R,MATCH($A4,'Valo FX'!$A:$A,0)),INDEX(Base!$U:$U,MATCH($A4,Base!$A:$A,0)),IF(R$1=INDEX('Valo FX'!$R:$R,MATCH($A4,'Valo FX'!$A:$A,0)),INDEX(Base!$V:$V,MATCH($A4,Base!$A:$A,0)),0)))</f>
        <v>12.823359999999999</v>
      </c>
      <c r="S4" s="21">
        <f>IF(S$1&lt;INDEX('Valo FX'!$Q:$Q,MATCH($A4,'Valo FX'!$A:$A,0)),0,IF(S$1&lt;INDEX('Valo FX'!$R:$R,MATCH($A4,'Valo FX'!$A:$A,0)),INDEX(Base!$U:$U,MATCH($A4,Base!$A:$A,0)),IF(S$1=INDEX('Valo FX'!$R:$R,MATCH($A4,'Valo FX'!$A:$A,0)),INDEX(Base!$V:$V,MATCH($A4,Base!$A:$A,0)),0)))</f>
        <v>12.823359999999999</v>
      </c>
      <c r="T4" s="21">
        <f>IF(T$1&lt;INDEX('Valo FX'!$Q:$Q,MATCH($A4,'Valo FX'!$A:$A,0)),0,IF(T$1&lt;INDEX('Valo FX'!$R:$R,MATCH($A4,'Valo FX'!$A:$A,0)),INDEX(Base!$U:$U,MATCH($A4,Base!$A:$A,0)),IF(T$1=INDEX('Valo FX'!$R:$R,MATCH($A4,'Valo FX'!$A:$A,0)),INDEX(Base!$V:$V,MATCH($A4,Base!$A:$A,0)),0)))</f>
        <v>12.823359999999999</v>
      </c>
      <c r="U4" s="21">
        <f>IF(U$1&lt;INDEX('Valo FX'!$Q:$Q,MATCH($A4,'Valo FX'!$A:$A,0)),0,IF(U$1&lt;INDEX('Valo FX'!$R:$R,MATCH($A4,'Valo FX'!$A:$A,0)),INDEX(Base!$U:$U,MATCH($A4,Base!$A:$A,0)),IF(U$1=INDEX('Valo FX'!$R:$R,MATCH($A4,'Valo FX'!$A:$A,0)),INDEX(Base!$V:$V,MATCH($A4,Base!$A:$A,0)),0)))</f>
        <v>12.823359999999999</v>
      </c>
      <c r="V4" s="21">
        <f>IF(V$1&lt;INDEX('Valo FX'!$Q:$Q,MATCH($A4,'Valo FX'!$A:$A,0)),0,IF(V$1&lt;INDEX('Valo FX'!$R:$R,MATCH($A4,'Valo FX'!$A:$A,0)),INDEX(Base!$U:$U,MATCH($A4,Base!$A:$A,0)),IF(V$1=INDEX('Valo FX'!$R:$R,MATCH($A4,'Valo FX'!$A:$A,0)),INDEX(Base!$V:$V,MATCH($A4,Base!$A:$A,0)),0)))</f>
        <v>12.823359999999999</v>
      </c>
      <c r="W4" s="21">
        <f>IF(W$1&lt;INDEX('Valo FX'!$Q:$Q,MATCH($A4,'Valo FX'!$A:$A,0)),0,IF(W$1&lt;INDEX('Valo FX'!$R:$R,MATCH($A4,'Valo FX'!$A:$A,0)),INDEX(Base!$U:$U,MATCH($A4,Base!$A:$A,0)),IF(W$1=INDEX('Valo FX'!$R:$R,MATCH($A4,'Valo FX'!$A:$A,0)),INDEX(Base!$V:$V,MATCH($A4,Base!$A:$A,0)),0)))</f>
        <v>12.823359999999999</v>
      </c>
      <c r="X4" s="21">
        <f>IF(X$1&lt;INDEX('Valo FX'!$Q:$Q,MATCH($A4,'Valo FX'!$A:$A,0)),0,IF(X$1&lt;INDEX('Valo FX'!$R:$R,MATCH($A4,'Valo FX'!$A:$A,0)),INDEX(Base!$U:$U,MATCH($A4,Base!$A:$A,0)),IF(X$1=INDEX('Valo FX'!$R:$R,MATCH($A4,'Valo FX'!$A:$A,0)),INDEX(Base!$V:$V,MATCH($A4,Base!$A:$A,0)),0)))</f>
        <v>12.823359999999999</v>
      </c>
      <c r="Y4" s="21">
        <f>IF(Y$1&lt;INDEX('Valo FX'!$Q:$Q,MATCH($A4,'Valo FX'!$A:$A,0)),0,IF(Y$1&lt;INDEX('Valo FX'!$R:$R,MATCH($A4,'Valo FX'!$A:$A,0)),INDEX(Base!$U:$U,MATCH($A4,Base!$A:$A,0)),IF(Y$1=INDEX('Valo FX'!$R:$R,MATCH($A4,'Valo FX'!$A:$A,0)),INDEX(Base!$V:$V,MATCH($A4,Base!$A:$A,0)),0)))</f>
        <v>12.823359999999999</v>
      </c>
      <c r="Z4" s="21">
        <f>IF(Z$1&lt;INDEX('Valo FX'!$Q:$Q,MATCH($A4,'Valo FX'!$A:$A,0)),0,IF(Z$1&lt;INDEX('Valo FX'!$R:$R,MATCH($A4,'Valo FX'!$A:$A,0)),INDEX(Base!$U:$U,MATCH($A4,Base!$A:$A,0)),IF(Z$1=INDEX('Valo FX'!$R:$R,MATCH($A4,'Valo FX'!$A:$A,0)),INDEX(Base!$V:$V,MATCH($A4,Base!$A:$A,0)),0)))</f>
        <v>12.823359999999999</v>
      </c>
      <c r="AA4" s="21">
        <f>IF(AA$1&lt;INDEX('Valo FX'!$Q:$Q,MATCH($A4,'Valo FX'!$A:$A,0)),0,IF(AA$1&lt;INDEX('Valo FX'!$R:$R,MATCH($A4,'Valo FX'!$A:$A,0)),INDEX(Base!$U:$U,MATCH($A4,Base!$A:$A,0)),IF(AA$1=INDEX('Valo FX'!$R:$R,MATCH($A4,'Valo FX'!$A:$A,0)),INDEX(Base!$V:$V,MATCH($A4,Base!$A:$A,0)),0)))</f>
        <v>12.823359999999999</v>
      </c>
      <c r="AB4" s="21">
        <f>IF(AB$1&lt;INDEX('Valo FX'!$Q:$Q,MATCH($A4,'Valo FX'!$A:$A,0)),0,IF(AB$1&lt;INDEX('Valo FX'!$R:$R,MATCH($A4,'Valo FX'!$A:$A,0)),INDEX(Base!$U:$U,MATCH($A4,Base!$A:$A,0)),IF(AB$1=INDEX('Valo FX'!$R:$R,MATCH($A4,'Valo FX'!$A:$A,0)),INDEX(Base!$V:$V,MATCH($A4,Base!$A:$A,0)),0)))</f>
        <v>12.823359999999999</v>
      </c>
      <c r="AC4" s="21">
        <f>IF(AC$1&lt;INDEX('Valo FX'!$Q:$Q,MATCH($A4,'Valo FX'!$A:$A,0)),0,IF(AC$1&lt;INDEX('Valo FX'!$R:$R,MATCH($A4,'Valo FX'!$A:$A,0)),INDEX(Base!$U:$U,MATCH($A4,Base!$A:$A,0)),IF(AC$1=INDEX('Valo FX'!$R:$R,MATCH($A4,'Valo FX'!$A:$A,0)),INDEX(Base!$V:$V,MATCH($A4,Base!$A:$A,0)),0)))</f>
        <v>12.823359999999999</v>
      </c>
      <c r="AD4" s="21">
        <f>IF(AD$1&lt;INDEX('Valo FX'!$Q:$Q,MATCH($A4,'Valo FX'!$A:$A,0)),0,IF(AD$1&lt;INDEX('Valo FX'!$R:$R,MATCH($A4,'Valo FX'!$A:$A,0)),INDEX(Base!$U:$U,MATCH($A4,Base!$A:$A,0)),IF(AD$1=INDEX('Valo FX'!$R:$R,MATCH($A4,'Valo FX'!$A:$A,0)),INDEX(Base!$V:$V,MATCH($A4,Base!$A:$A,0)),0)))</f>
        <v>12.823359999999999</v>
      </c>
      <c r="AE4" s="21">
        <f>IF(AE$1&lt;INDEX('Valo FX'!$Q:$Q,MATCH($A4,'Valo FX'!$A:$A,0)),0,IF(AE$1&lt;INDEX('Valo FX'!$R:$R,MATCH($A4,'Valo FX'!$A:$A,0)),INDEX(Base!$U:$U,MATCH($A4,Base!$A:$A,0)),IF(AE$1=INDEX('Valo FX'!$R:$R,MATCH($A4,'Valo FX'!$A:$A,0)),INDEX(Base!$V:$V,MATCH($A4,Base!$A:$A,0)),0)))</f>
        <v>12.823359999999999</v>
      </c>
      <c r="AF4" s="21">
        <f>IF(AF$1&lt;INDEX('Valo FX'!$Q:$Q,MATCH($A4,'Valo FX'!$A:$A,0)),0,IF(AF$1&lt;INDEX('Valo FX'!$R:$R,MATCH($A4,'Valo FX'!$A:$A,0)),INDEX(Base!$U:$U,MATCH($A4,Base!$A:$A,0)),IF(AF$1=INDEX('Valo FX'!$R:$R,MATCH($A4,'Valo FX'!$A:$A,0)),INDEX(Base!$V:$V,MATCH($A4,Base!$A:$A,0)),0)))</f>
        <v>12.823359999999999</v>
      </c>
      <c r="AG4" s="21">
        <f>IF(AG$1&lt;INDEX('Valo FX'!$Q:$Q,MATCH($A4,'Valo FX'!$A:$A,0)),0,IF(AG$1&lt;INDEX('Valo FX'!$R:$R,MATCH($A4,'Valo FX'!$A:$A,0)),INDEX(Base!$U:$U,MATCH($A4,Base!$A:$A,0)),IF(AG$1=INDEX('Valo FX'!$R:$R,MATCH($A4,'Valo FX'!$A:$A,0)),INDEX(Base!$V:$V,MATCH($A4,Base!$A:$A,0)),0)))</f>
        <v>12.823359999999999</v>
      </c>
      <c r="AH4" s="21">
        <f>IF(AH$1&lt;INDEX('Valo FX'!$Q:$Q,MATCH($A4,'Valo FX'!$A:$A,0)),0,IF(AH$1&lt;INDEX('Valo FX'!$R:$R,MATCH($A4,'Valo FX'!$A:$A,0)),INDEX(Base!$U:$U,MATCH($A4,Base!$A:$A,0)),IF(AH$1=INDEX('Valo FX'!$R:$R,MATCH($A4,'Valo FX'!$A:$A,0)),INDEX(Base!$V:$V,MATCH($A4,Base!$A:$A,0)),0)))</f>
        <v>12.823359999999999</v>
      </c>
      <c r="AI4" s="21">
        <f>IF(AI$1&lt;INDEX('Valo FX'!$Q:$Q,MATCH($A4,'Valo FX'!$A:$A,0)),0,IF(AI$1&lt;INDEX('Valo FX'!$R:$R,MATCH($A4,'Valo FX'!$A:$A,0)),INDEX(Base!$U:$U,MATCH($A4,Base!$A:$A,0)),IF(AI$1=INDEX('Valo FX'!$R:$R,MATCH($A4,'Valo FX'!$A:$A,0)),INDEX(Base!$V:$V,MATCH($A4,Base!$A:$A,0)),0)))</f>
        <v>12.823359999999999</v>
      </c>
      <c r="AJ4" s="21">
        <f>IF(AJ$1&lt;INDEX('Valo FX'!$Q:$Q,MATCH($A4,'Valo FX'!$A:$A,0)),0,IF(AJ$1&lt;INDEX('Valo FX'!$R:$R,MATCH($A4,'Valo FX'!$A:$A,0)),INDEX(Base!$U:$U,MATCH($A4,Base!$A:$A,0)),IF(AJ$1=INDEX('Valo FX'!$R:$R,MATCH($A4,'Valo FX'!$A:$A,0)),INDEX(Base!$V:$V,MATCH($A4,Base!$A:$A,0)),0)))</f>
        <v>12.823359999999999</v>
      </c>
      <c r="AK4" s="21">
        <f>IF(AK$1&lt;INDEX('Valo FX'!$Q:$Q,MATCH($A4,'Valo FX'!$A:$A,0)),0,IF(AK$1&lt;INDEX('Valo FX'!$R:$R,MATCH($A4,'Valo FX'!$A:$A,0)),INDEX(Base!$U:$U,MATCH($A4,Base!$A:$A,0)),IF(AK$1=INDEX('Valo FX'!$R:$R,MATCH($A4,'Valo FX'!$A:$A,0)),INDEX(Base!$V:$V,MATCH($A4,Base!$A:$A,0)),0)))</f>
        <v>12.823359999999999</v>
      </c>
      <c r="AL4" s="21">
        <f>IF(AL$1&lt;INDEX('Valo FX'!$Q:$Q,MATCH($A4,'Valo FX'!$A:$A,0)),0,IF(AL$1&lt;INDEX('Valo FX'!$R:$R,MATCH($A4,'Valo FX'!$A:$A,0)),INDEX(Base!$U:$U,MATCH($A4,Base!$A:$A,0)),IF(AL$1=INDEX('Valo FX'!$R:$R,MATCH($A4,'Valo FX'!$A:$A,0)),INDEX(Base!$V:$V,MATCH($A4,Base!$A:$A,0)),0)))</f>
        <v>12.823359999999999</v>
      </c>
      <c r="AM4" s="21">
        <f>IF(AM$1&lt;INDEX('Valo FX'!$Q:$Q,MATCH($A4,'Valo FX'!$A:$A,0)),0,IF(AM$1&lt;INDEX('Valo FX'!$R:$R,MATCH($A4,'Valo FX'!$A:$A,0)),INDEX(Base!$U:$U,MATCH($A4,Base!$A:$A,0)),IF(AM$1=INDEX('Valo FX'!$R:$R,MATCH($A4,'Valo FX'!$A:$A,0)),INDEX(Base!$V:$V,MATCH($A4,Base!$A:$A,0)),0)))</f>
        <v>12.823359999999999</v>
      </c>
      <c r="AN4" s="21">
        <f>IF(AN$1&lt;INDEX('Valo FX'!$Q:$Q,MATCH($A4,'Valo FX'!$A:$A,0)),0,IF(AN$1&lt;INDEX('Valo FX'!$R:$R,MATCH($A4,'Valo FX'!$A:$A,0)),INDEX(Base!$U:$U,MATCH($A4,Base!$A:$A,0)),IF(AN$1=INDEX('Valo FX'!$R:$R,MATCH($A4,'Valo FX'!$A:$A,0)),INDEX(Base!$V:$V,MATCH($A4,Base!$A:$A,0)),0)))</f>
        <v>12.823359999999999</v>
      </c>
      <c r="AO4" s="21">
        <f>IF(AO$1&lt;INDEX('Valo FX'!$Q:$Q,MATCH($A4,'Valo FX'!$A:$A,0)),0,IF(AO$1&lt;INDEX('Valo FX'!$R:$R,MATCH($A4,'Valo FX'!$A:$A,0)),INDEX(Base!$U:$U,MATCH($A4,Base!$A:$A,0)),IF(AO$1=INDEX('Valo FX'!$R:$R,MATCH($A4,'Valo FX'!$A:$A,0)),INDEX(Base!$V:$V,MATCH($A4,Base!$A:$A,0)),0)))</f>
        <v>12.823359999999999</v>
      </c>
      <c r="AP4" s="21">
        <f>IF(AP$1&lt;INDEX('Valo FX'!$Q:$Q,MATCH($A4,'Valo FX'!$A:$A,0)),0,IF(AP$1&lt;INDEX('Valo FX'!$R:$R,MATCH($A4,'Valo FX'!$A:$A,0)),INDEX(Base!$U:$U,MATCH($A4,Base!$A:$A,0)),IF(AP$1=INDEX('Valo FX'!$R:$R,MATCH($A4,'Valo FX'!$A:$A,0)),INDEX(Base!$V:$V,MATCH($A4,Base!$A:$A,0)),0)))</f>
        <v>12.823359999999999</v>
      </c>
      <c r="AQ4" s="21">
        <f>IF(AQ$1&lt;INDEX('Valo FX'!$Q:$Q,MATCH($A4,'Valo FX'!$A:$A,0)),0,IF(AQ$1&lt;INDEX('Valo FX'!$R:$R,MATCH($A4,'Valo FX'!$A:$A,0)),INDEX(Base!$U:$U,MATCH($A4,Base!$A:$A,0)),IF(AQ$1=INDEX('Valo FX'!$R:$R,MATCH($A4,'Valo FX'!$A:$A,0)),INDEX(Base!$V:$V,MATCH($A4,Base!$A:$A,0)),0)))</f>
        <v>12.823359999999999</v>
      </c>
      <c r="AR4" s="21">
        <f>IF(AR$1&lt;INDEX('Valo FX'!$Q:$Q,MATCH($A4,'Valo FX'!$A:$A,0)),0,IF(AR$1&lt;INDEX('Valo FX'!$R:$R,MATCH($A4,'Valo FX'!$A:$A,0)),INDEX(Base!$U:$U,MATCH($A4,Base!$A:$A,0)),IF(AR$1=INDEX('Valo FX'!$R:$R,MATCH($A4,'Valo FX'!$A:$A,0)),INDEX(Base!$V:$V,MATCH($A4,Base!$A:$A,0)),0)))</f>
        <v>12.823359999999999</v>
      </c>
      <c r="AS4" s="21">
        <f>IF(AS$1&lt;INDEX('Valo FX'!$Q:$Q,MATCH($A4,'Valo FX'!$A:$A,0)),0,IF(AS$1&lt;INDEX('Valo FX'!$R:$R,MATCH($A4,'Valo FX'!$A:$A,0)),INDEX(Base!$U:$U,MATCH($A4,Base!$A:$A,0)),IF(AS$1=INDEX('Valo FX'!$R:$R,MATCH($A4,'Valo FX'!$A:$A,0)),INDEX(Base!$V:$V,MATCH($A4,Base!$A:$A,0)),0)))</f>
        <v>12.823359999999999</v>
      </c>
      <c r="AT4" s="21">
        <f>IF(AT$1&lt;INDEX('Valo FX'!$Q:$Q,MATCH($A4,'Valo FX'!$A:$A,0)),0,IF(AT$1&lt;INDEX('Valo FX'!$R:$R,MATCH($A4,'Valo FX'!$A:$A,0)),INDEX(Base!$U:$U,MATCH($A4,Base!$A:$A,0)),IF(AT$1=INDEX('Valo FX'!$R:$R,MATCH($A4,'Valo FX'!$A:$A,0)),INDEX(Base!$V:$V,MATCH($A4,Base!$A:$A,0)),0)))</f>
        <v>12.823359999999999</v>
      </c>
      <c r="AU4" s="21">
        <f>IF(AU$1&lt;INDEX('Valo FX'!$Q:$Q,MATCH($A4,'Valo FX'!$A:$A,0)),0,IF(AU$1&lt;INDEX('Valo FX'!$R:$R,MATCH($A4,'Valo FX'!$A:$A,0)),INDEX(Base!$U:$U,MATCH($A4,Base!$A:$A,0)),IF(AU$1=INDEX('Valo FX'!$R:$R,MATCH($A4,'Valo FX'!$A:$A,0)),INDEX(Base!$V:$V,MATCH($A4,Base!$A:$A,0)),0)))</f>
        <v>12.823359999999999</v>
      </c>
      <c r="AV4" s="21">
        <f>IF(AV$1&lt;INDEX('Valo FX'!$Q:$Q,MATCH($A4,'Valo FX'!$A:$A,0)),0,IF(AV$1&lt;INDEX('Valo FX'!$R:$R,MATCH($A4,'Valo FX'!$A:$A,0)),INDEX(Base!$U:$U,MATCH($A4,Base!$A:$A,0)),IF(AV$1=INDEX('Valo FX'!$R:$R,MATCH($A4,'Valo FX'!$A:$A,0)),INDEX(Base!$V:$V,MATCH($A4,Base!$A:$A,0)),0)))</f>
        <v>12.823359999999999</v>
      </c>
      <c r="AW4" s="21">
        <f>IF(AW$1&lt;INDEX('Valo FX'!$Q:$Q,MATCH($A4,'Valo FX'!$A:$A,0)),0,IF(AW$1&lt;INDEX('Valo FX'!$R:$R,MATCH($A4,'Valo FX'!$A:$A,0)),INDEX(Base!$U:$U,MATCH($A4,Base!$A:$A,0)),IF(AW$1=INDEX('Valo FX'!$R:$R,MATCH($A4,'Valo FX'!$A:$A,0)),INDEX(Base!$V:$V,MATCH($A4,Base!$A:$A,0)),0)))</f>
        <v>12.823359999999999</v>
      </c>
      <c r="AX4" s="21">
        <f>IF(AX$1&lt;INDEX('Valo FX'!$Q:$Q,MATCH($A4,'Valo FX'!$A:$A,0)),0,IF(AX$1&lt;INDEX('Valo FX'!$R:$R,MATCH($A4,'Valo FX'!$A:$A,0)),INDEX(Base!$U:$U,MATCH($A4,Base!$A:$A,0)),IF(AX$1=INDEX('Valo FX'!$R:$R,MATCH($A4,'Valo FX'!$A:$A,0)),INDEX(Base!$V:$V,MATCH($A4,Base!$A:$A,0)),0)))</f>
        <v>12.823359999999999</v>
      </c>
      <c r="AY4" s="21">
        <f>IF(AY$1&lt;INDEX('Valo FX'!$Q:$Q,MATCH($A4,'Valo FX'!$A:$A,0)),0,IF(AY$1&lt;INDEX('Valo FX'!$R:$R,MATCH($A4,'Valo FX'!$A:$A,0)),INDEX(Base!$U:$U,MATCH($A4,Base!$A:$A,0)),IF(AY$1=INDEX('Valo FX'!$R:$R,MATCH($A4,'Valo FX'!$A:$A,0)),INDEX(Base!$V:$V,MATCH($A4,Base!$A:$A,0)),0)))</f>
        <v>12.823359999999999</v>
      </c>
      <c r="AZ4" s="21">
        <f>IF(AZ$1&lt;INDEX('Valo FX'!$Q:$Q,MATCH($A4,'Valo FX'!$A:$A,0)),0,IF(AZ$1&lt;INDEX('Valo FX'!$R:$R,MATCH($A4,'Valo FX'!$A:$A,0)),INDEX(Base!$U:$U,MATCH($A4,Base!$A:$A,0)),IF(AZ$1=INDEX('Valo FX'!$R:$R,MATCH($A4,'Valo FX'!$A:$A,0)),INDEX(Base!$V:$V,MATCH($A4,Base!$A:$A,0)),0)))</f>
        <v>12.823359999999999</v>
      </c>
      <c r="BA4" s="21">
        <f>IF(BA$1&lt;INDEX('Valo FX'!$Q:$Q,MATCH($A4,'Valo FX'!$A:$A,0)),0,IF(BA$1&lt;INDEX('Valo FX'!$R:$R,MATCH($A4,'Valo FX'!$A:$A,0)),INDEX(Base!$U:$U,MATCH($A4,Base!$A:$A,0)),IF(BA$1=INDEX('Valo FX'!$R:$R,MATCH($A4,'Valo FX'!$A:$A,0)),INDEX(Base!$V:$V,MATCH($A4,Base!$A:$A,0)),0)))</f>
        <v>12.823359999999999</v>
      </c>
      <c r="BB4" s="21">
        <f>IF(BB$1&lt;INDEX('Valo FX'!$Q:$Q,MATCH($A4,'Valo FX'!$A:$A,0)),0,IF(BB$1&lt;INDEX('Valo FX'!$R:$R,MATCH($A4,'Valo FX'!$A:$A,0)),INDEX(Base!$U:$U,MATCH($A4,Base!$A:$A,0)),IF(BB$1=INDEX('Valo FX'!$R:$R,MATCH($A4,'Valo FX'!$A:$A,0)),INDEX(Base!$V:$V,MATCH($A4,Base!$A:$A,0)),0)))</f>
        <v>12.823359999999999</v>
      </c>
      <c r="BC4" s="21">
        <f>IF(BC$1&lt;INDEX('Valo FX'!$Q:$Q,MATCH($A4,'Valo FX'!$A:$A,0)),0,IF(BC$1&lt;INDEX('Valo FX'!$R:$R,MATCH($A4,'Valo FX'!$A:$A,0)),INDEX(Base!$U:$U,MATCH($A4,Base!$A:$A,0)),IF(BC$1=INDEX('Valo FX'!$R:$R,MATCH($A4,'Valo FX'!$A:$A,0)),INDEX(Base!$V:$V,MATCH($A4,Base!$A:$A,0)),0)))</f>
        <v>12.823359999999999</v>
      </c>
      <c r="BD4" s="21">
        <f>IF(BD$1&lt;INDEX('Valo FX'!$Q:$Q,MATCH($A4,'Valo FX'!$A:$A,0)),0,IF(BD$1&lt;INDEX('Valo FX'!$R:$R,MATCH($A4,'Valo FX'!$A:$A,0)),INDEX(Base!$U:$U,MATCH($A4,Base!$A:$A,0)),IF(BD$1=INDEX('Valo FX'!$R:$R,MATCH($A4,'Valo FX'!$A:$A,0)),INDEX(Base!$V:$V,MATCH($A4,Base!$A:$A,0)),0)))</f>
        <v>12.823359999999999</v>
      </c>
      <c r="BE4" s="21">
        <f>IF(BE$1&lt;INDEX('Valo FX'!$Q:$Q,MATCH($A4,'Valo FX'!$A:$A,0)),0,IF(BE$1&lt;INDEX('Valo FX'!$R:$R,MATCH($A4,'Valo FX'!$A:$A,0)),INDEX(Base!$U:$U,MATCH($A4,Base!$A:$A,0)),IF(BE$1=INDEX('Valo FX'!$R:$R,MATCH($A4,'Valo FX'!$A:$A,0)),INDEX(Base!$V:$V,MATCH($A4,Base!$A:$A,0)),0)))</f>
        <v>12.823359999999999</v>
      </c>
      <c r="BF4" s="21">
        <f>IF(BF$1&lt;INDEX('Valo FX'!$Q:$Q,MATCH($A4,'Valo FX'!$A:$A,0)),0,IF(BF$1&lt;INDEX('Valo FX'!$R:$R,MATCH($A4,'Valo FX'!$A:$A,0)),INDEX(Base!$U:$U,MATCH($A4,Base!$A:$A,0)),IF(BF$1=INDEX('Valo FX'!$R:$R,MATCH($A4,'Valo FX'!$A:$A,0)),INDEX(Base!$V:$V,MATCH($A4,Base!$A:$A,0)),0)))</f>
        <v>12.823359999999999</v>
      </c>
      <c r="BG4" s="21">
        <f>IF(BG$1&lt;INDEX('Valo FX'!$Q:$Q,MATCH($A4,'Valo FX'!$A:$A,0)),0,IF(BG$1&lt;INDEX('Valo FX'!$R:$R,MATCH($A4,'Valo FX'!$A:$A,0)),INDEX(Base!$U:$U,MATCH($A4,Base!$A:$A,0)),IF(BG$1=INDEX('Valo FX'!$R:$R,MATCH($A4,'Valo FX'!$A:$A,0)),INDEX(Base!$V:$V,MATCH($A4,Base!$A:$A,0)),0)))</f>
        <v>12.823359999999999</v>
      </c>
      <c r="BH4" s="21">
        <f>IF(BH$1&lt;INDEX('Valo FX'!$Q:$Q,MATCH($A4,'Valo FX'!$A:$A,0)),0,IF(BH$1&lt;INDEX('Valo FX'!$R:$R,MATCH($A4,'Valo FX'!$A:$A,0)),INDEX(Base!$U:$U,MATCH($A4,Base!$A:$A,0)),IF(BH$1=INDEX('Valo FX'!$R:$R,MATCH($A4,'Valo FX'!$A:$A,0)),INDEX(Base!$V:$V,MATCH($A4,Base!$A:$A,0)),0)))</f>
        <v>12.823359999999999</v>
      </c>
      <c r="BI4" s="21">
        <f>IF(BI$1&lt;INDEX('Valo FX'!$Q:$Q,MATCH($A4,'Valo FX'!$A:$A,0)),0,IF(BI$1&lt;INDEX('Valo FX'!$R:$R,MATCH($A4,'Valo FX'!$A:$A,0)),INDEX(Base!$U:$U,MATCH($A4,Base!$A:$A,0)),IF(BI$1=INDEX('Valo FX'!$R:$R,MATCH($A4,'Valo FX'!$A:$A,0)),INDEX(Base!$V:$V,MATCH($A4,Base!$A:$A,0)),0)))</f>
        <v>12.823359999999999</v>
      </c>
      <c r="BJ4" s="21">
        <f>IF(BJ$1&lt;INDEX('Valo FX'!$Q:$Q,MATCH($A4,'Valo FX'!$A:$A,0)),0,IF(BJ$1&lt;INDEX('Valo FX'!$R:$R,MATCH($A4,'Valo FX'!$A:$A,0)),INDEX(Base!$U:$U,MATCH($A4,Base!$A:$A,0)),IF(BJ$1=INDEX('Valo FX'!$R:$R,MATCH($A4,'Valo FX'!$A:$A,0)),INDEX(Base!$V:$V,MATCH($A4,Base!$A:$A,0)),0)))</f>
        <v>12.823359999999999</v>
      </c>
      <c r="BK4" s="21">
        <f>IF(BK$1&lt;INDEX('Valo FX'!$Q:$Q,MATCH($A4,'Valo FX'!$A:$A,0)),0,IF(BK$1&lt;INDEX('Valo FX'!$R:$R,MATCH($A4,'Valo FX'!$A:$A,0)),INDEX(Base!$U:$U,MATCH($A4,Base!$A:$A,0)),IF(BK$1=INDEX('Valo FX'!$R:$R,MATCH($A4,'Valo FX'!$A:$A,0)),INDEX(Base!$V:$V,MATCH($A4,Base!$A:$A,0)),0)))</f>
        <v>12.823359999999999</v>
      </c>
      <c r="BL4" s="21">
        <f>IF(BL$1&lt;INDEX('Valo FX'!$Q:$Q,MATCH($A4,'Valo FX'!$A:$A,0)),0,IF(BL$1&lt;INDEX('Valo FX'!$R:$R,MATCH($A4,'Valo FX'!$A:$A,0)),INDEX(Base!$U:$U,MATCH($A4,Base!$A:$A,0)),IF(BL$1=INDEX('Valo FX'!$R:$R,MATCH($A4,'Valo FX'!$A:$A,0)),INDEX(Base!$V:$V,MATCH($A4,Base!$A:$A,0)),0)))</f>
        <v>12.823359999999999</v>
      </c>
      <c r="BM4" s="21">
        <f>IF(BM$1&lt;INDEX('Valo FX'!$Q:$Q,MATCH($A4,'Valo FX'!$A:$A,0)),0,IF(BM$1&lt;INDEX('Valo FX'!$R:$R,MATCH($A4,'Valo FX'!$A:$A,0)),INDEX(Base!$U:$U,MATCH($A4,Base!$A:$A,0)),IF(BM$1=INDEX('Valo FX'!$R:$R,MATCH($A4,'Valo FX'!$A:$A,0)),INDEX(Base!$V:$V,MATCH($A4,Base!$A:$A,0)),0)))</f>
        <v>12.823359999999999</v>
      </c>
      <c r="BN4" s="21">
        <f>IF(BN$1&lt;INDEX('Valo FX'!$Q:$Q,MATCH($A4,'Valo FX'!$A:$A,0)),0,IF(BN$1&lt;INDEX('Valo FX'!$R:$R,MATCH($A4,'Valo FX'!$A:$A,0)),INDEX(Base!$U:$U,MATCH($A4,Base!$A:$A,0)),IF(BN$1=INDEX('Valo FX'!$R:$R,MATCH($A4,'Valo FX'!$A:$A,0)),INDEX(Base!$V:$V,MATCH($A4,Base!$A:$A,0)),0)))</f>
        <v>12.823359999999999</v>
      </c>
      <c r="BO4" s="21">
        <f>IF(BO$1&lt;INDEX('Valo FX'!$Q:$Q,MATCH($A4,'Valo FX'!$A:$A,0)),0,IF(BO$1&lt;INDEX('Valo FX'!$R:$R,MATCH($A4,'Valo FX'!$A:$A,0)),INDEX(Base!$U:$U,MATCH($A4,Base!$A:$A,0)),IF(BO$1=INDEX('Valo FX'!$R:$R,MATCH($A4,'Valo FX'!$A:$A,0)),INDEX(Base!$V:$V,MATCH($A4,Base!$A:$A,0)),0)))</f>
        <v>12.823359999999999</v>
      </c>
      <c r="BP4" s="21">
        <f>IF(BP$1&lt;INDEX('Valo FX'!$Q:$Q,MATCH($A4,'Valo FX'!$A:$A,0)),0,IF(BP$1&lt;INDEX('Valo FX'!$R:$R,MATCH($A4,'Valo FX'!$A:$A,0)),INDEX(Base!$U:$U,MATCH($A4,Base!$A:$A,0)),IF(BP$1=INDEX('Valo FX'!$R:$R,MATCH($A4,'Valo FX'!$A:$A,0)),INDEX(Base!$V:$V,MATCH($A4,Base!$A:$A,0)),0)))</f>
        <v>12.823359999999999</v>
      </c>
      <c r="BQ4" s="21">
        <f>IF(BQ$1&lt;INDEX('Valo FX'!$Q:$Q,MATCH($A4,'Valo FX'!$A:$A,0)),0,IF(BQ$1&lt;INDEX('Valo FX'!$R:$R,MATCH($A4,'Valo FX'!$A:$A,0)),INDEX(Base!$U:$U,MATCH($A4,Base!$A:$A,0)),IF(BQ$1=INDEX('Valo FX'!$R:$R,MATCH($A4,'Valo FX'!$A:$A,0)),INDEX(Base!$V:$V,MATCH($A4,Base!$A:$A,0)),0)))</f>
        <v>12.823359999999999</v>
      </c>
      <c r="BR4" s="21">
        <f>IF(BR$1&lt;INDEX('Valo FX'!$Q:$Q,MATCH($A4,'Valo FX'!$A:$A,0)),0,IF(BR$1&lt;INDEX('Valo FX'!$R:$R,MATCH($A4,'Valo FX'!$A:$A,0)),INDEX(Base!$U:$U,MATCH($A4,Base!$A:$A,0)),IF(BR$1=INDEX('Valo FX'!$R:$R,MATCH($A4,'Valo FX'!$A:$A,0)),INDEX(Base!$V:$V,MATCH($A4,Base!$A:$A,0)),0)))</f>
        <v>12.823359999999999</v>
      </c>
      <c r="BS4" s="21">
        <f>IF(BS$1&lt;INDEX('Valo FX'!$Q:$Q,MATCH($A4,'Valo FX'!$A:$A,0)),0,IF(BS$1&lt;INDEX('Valo FX'!$R:$R,MATCH($A4,'Valo FX'!$A:$A,0)),INDEX(Base!$U:$U,MATCH($A4,Base!$A:$A,0)),IF(BS$1=INDEX('Valo FX'!$R:$R,MATCH($A4,'Valo FX'!$A:$A,0)),INDEX(Base!$V:$V,MATCH($A4,Base!$A:$A,0)),0)))</f>
        <v>12.823359999999999</v>
      </c>
      <c r="BT4" s="21">
        <f>IF(BT$1&lt;INDEX('Valo FX'!$Q:$Q,MATCH($A4,'Valo FX'!$A:$A,0)),0,IF(BT$1&lt;INDEX('Valo FX'!$R:$R,MATCH($A4,'Valo FX'!$A:$A,0)),INDEX(Base!$U:$U,MATCH($A4,Base!$A:$A,0)),IF(BT$1=INDEX('Valo FX'!$R:$R,MATCH($A4,'Valo FX'!$A:$A,0)),INDEX(Base!$V:$V,MATCH($A4,Base!$A:$A,0)),0)))</f>
        <v>12.823359999999999</v>
      </c>
      <c r="BU4" s="21">
        <f>IF(BU$1&lt;INDEX('Valo FX'!$Q:$Q,MATCH($A4,'Valo FX'!$A:$A,0)),0,IF(BU$1&lt;INDEX('Valo FX'!$R:$R,MATCH($A4,'Valo FX'!$A:$A,0)),INDEX(Base!$U:$U,MATCH($A4,Base!$A:$A,0)),IF(BU$1=INDEX('Valo FX'!$R:$R,MATCH($A4,'Valo FX'!$A:$A,0)),INDEX(Base!$V:$V,MATCH($A4,Base!$A:$A,0)),0)))</f>
        <v>12.823359999999999</v>
      </c>
      <c r="BV4" s="21">
        <f>IF(BV$1&lt;INDEX('Valo FX'!$Q:$Q,MATCH($A4,'Valo FX'!$A:$A,0)),0,IF(BV$1&lt;INDEX('Valo FX'!$R:$R,MATCH($A4,'Valo FX'!$A:$A,0)),INDEX(Base!$U:$U,MATCH($A4,Base!$A:$A,0)),IF(BV$1=INDEX('Valo FX'!$R:$R,MATCH($A4,'Valo FX'!$A:$A,0)),INDEX(Base!$V:$V,MATCH($A4,Base!$A:$A,0)),0)))</f>
        <v>12.823359999999999</v>
      </c>
      <c r="BW4" s="21">
        <f>IF(BW$1&lt;INDEX('Valo FX'!$Q:$Q,MATCH($A4,'Valo FX'!$A:$A,0)),0,IF(BW$1&lt;INDEX('Valo FX'!$R:$R,MATCH($A4,'Valo FX'!$A:$A,0)),INDEX(Base!$U:$U,MATCH($A4,Base!$A:$A,0)),IF(BW$1=INDEX('Valo FX'!$R:$R,MATCH($A4,'Valo FX'!$A:$A,0)),INDEX(Base!$V:$V,MATCH($A4,Base!$A:$A,0)),0)))</f>
        <v>12.823359999999999</v>
      </c>
      <c r="BX4" s="21">
        <f>IF(BX$1&lt;INDEX('Valo FX'!$Q:$Q,MATCH($A4,'Valo FX'!$A:$A,0)),0,IF(BX$1&lt;INDEX('Valo FX'!$R:$R,MATCH($A4,'Valo FX'!$A:$A,0)),INDEX(Base!$U:$U,MATCH($A4,Base!$A:$A,0)),IF(BX$1=INDEX('Valo FX'!$R:$R,MATCH($A4,'Valo FX'!$A:$A,0)),INDEX(Base!$V:$V,MATCH($A4,Base!$A:$A,0)),0)))</f>
        <v>12.823359999999999</v>
      </c>
      <c r="BY4" s="21">
        <f>IF(BY$1&lt;INDEX('Valo FX'!$Q:$Q,MATCH($A4,'Valo FX'!$A:$A,0)),0,IF(BY$1&lt;INDEX('Valo FX'!$R:$R,MATCH($A4,'Valo FX'!$A:$A,0)),INDEX(Base!$U:$U,MATCH($A4,Base!$A:$A,0)),IF(BY$1=INDEX('Valo FX'!$R:$R,MATCH($A4,'Valo FX'!$A:$A,0)),INDEX(Base!$V:$V,MATCH($A4,Base!$A:$A,0)),0)))</f>
        <v>12.823359999999999</v>
      </c>
      <c r="BZ4" s="21">
        <f>IF(BZ$1&lt;INDEX('Valo FX'!$Q:$Q,MATCH($A4,'Valo FX'!$A:$A,0)),0,IF(BZ$1&lt;INDEX('Valo FX'!$R:$R,MATCH($A4,'Valo FX'!$A:$A,0)),INDEX(Base!$U:$U,MATCH($A4,Base!$A:$A,0)),IF(BZ$1=INDEX('Valo FX'!$R:$R,MATCH($A4,'Valo FX'!$A:$A,0)),INDEX(Base!$V:$V,MATCH($A4,Base!$A:$A,0)),0)))</f>
        <v>12.823359999999999</v>
      </c>
      <c r="CA4" s="21">
        <f>IF(CA$1&lt;INDEX('Valo FX'!$Q:$Q,MATCH($A4,'Valo FX'!$A:$A,0)),0,IF(CA$1&lt;INDEX('Valo FX'!$R:$R,MATCH($A4,'Valo FX'!$A:$A,0)),INDEX(Base!$U:$U,MATCH($A4,Base!$A:$A,0)),IF(CA$1=INDEX('Valo FX'!$R:$R,MATCH($A4,'Valo FX'!$A:$A,0)),INDEX(Base!$V:$V,MATCH($A4,Base!$A:$A,0)),0)))</f>
        <v>12.823359999999999</v>
      </c>
      <c r="CB4" s="21">
        <f>IF(CB$1&lt;INDEX('Valo FX'!$Q:$Q,MATCH($A4,'Valo FX'!$A:$A,0)),0,IF(CB$1&lt;INDEX('Valo FX'!$R:$R,MATCH($A4,'Valo FX'!$A:$A,0)),INDEX(Base!$U:$U,MATCH($A4,Base!$A:$A,0)),IF(CB$1=INDEX('Valo FX'!$R:$R,MATCH($A4,'Valo FX'!$A:$A,0)),INDEX(Base!$V:$V,MATCH($A4,Base!$A:$A,0)),0)))</f>
        <v>12.823359999999999</v>
      </c>
      <c r="CC4" s="21">
        <f>IF(CC$1&lt;INDEX('Valo FX'!$Q:$Q,MATCH($A4,'Valo FX'!$A:$A,0)),0,IF(CC$1&lt;INDEX('Valo FX'!$R:$R,MATCH($A4,'Valo FX'!$A:$A,0)),INDEX(Base!$U:$U,MATCH($A4,Base!$A:$A,0)),IF(CC$1=INDEX('Valo FX'!$R:$R,MATCH($A4,'Valo FX'!$A:$A,0)),INDEX(Base!$V:$V,MATCH($A4,Base!$A:$A,0)),0)))</f>
        <v>12.823359999999999</v>
      </c>
      <c r="CD4" s="21">
        <f>IF(CD$1&lt;INDEX('Valo FX'!$Q:$Q,MATCH($A4,'Valo FX'!$A:$A,0)),0,IF(CD$1&lt;INDEX('Valo FX'!$R:$R,MATCH($A4,'Valo FX'!$A:$A,0)),INDEX(Base!$U:$U,MATCH($A4,Base!$A:$A,0)),IF(CD$1=INDEX('Valo FX'!$R:$R,MATCH($A4,'Valo FX'!$A:$A,0)),INDEX(Base!$V:$V,MATCH($A4,Base!$A:$A,0)),0)))</f>
        <v>12.823359999999999</v>
      </c>
      <c r="CE4" s="21">
        <f>IF(CE$1&lt;INDEX('Valo FX'!$Q:$Q,MATCH($A4,'Valo FX'!$A:$A,0)),0,IF(CE$1&lt;INDEX('Valo FX'!$R:$R,MATCH($A4,'Valo FX'!$A:$A,0)),INDEX(Base!$U:$U,MATCH($A4,Base!$A:$A,0)),IF(CE$1=INDEX('Valo FX'!$R:$R,MATCH($A4,'Valo FX'!$A:$A,0)),INDEX(Base!$V:$V,MATCH($A4,Base!$A:$A,0)),0)))</f>
        <v>12.823359999999999</v>
      </c>
      <c r="CF4" s="21">
        <f>IF(CF$1&lt;INDEX('Valo FX'!$Q:$Q,MATCH($A4,'Valo FX'!$A:$A,0)),0,IF(CF$1&lt;INDEX('Valo FX'!$R:$R,MATCH($A4,'Valo FX'!$A:$A,0)),INDEX(Base!$U:$U,MATCH($A4,Base!$A:$A,0)),IF(CF$1=INDEX('Valo FX'!$R:$R,MATCH($A4,'Valo FX'!$A:$A,0)),INDEX(Base!$V:$V,MATCH($A4,Base!$A:$A,0)),0)))</f>
        <v>12.823359999999999</v>
      </c>
      <c r="CG4" s="21">
        <f>IF(CG$1&lt;INDEX('Valo FX'!$Q:$Q,MATCH($A4,'Valo FX'!$A:$A,0)),0,IF(CG$1&lt;INDEX('Valo FX'!$R:$R,MATCH($A4,'Valo FX'!$A:$A,0)),INDEX(Base!$U:$U,MATCH($A4,Base!$A:$A,0)),IF(CG$1=INDEX('Valo FX'!$R:$R,MATCH($A4,'Valo FX'!$A:$A,0)),INDEX(Base!$V:$V,MATCH($A4,Base!$A:$A,0)),0)))</f>
        <v>12.823359999999999</v>
      </c>
      <c r="CH4" s="21">
        <f>IF(CH$1&lt;INDEX('Valo FX'!$Q:$Q,MATCH($A4,'Valo FX'!$A:$A,0)),0,IF(CH$1&lt;INDEX('Valo FX'!$R:$R,MATCH($A4,'Valo FX'!$A:$A,0)),INDEX(Base!$U:$U,MATCH($A4,Base!$A:$A,0)),IF(CH$1=INDEX('Valo FX'!$R:$R,MATCH($A4,'Valo FX'!$A:$A,0)),INDEX(Base!$V:$V,MATCH($A4,Base!$A:$A,0)),0)))</f>
        <v>12.823359999999999</v>
      </c>
      <c r="CI4" s="21">
        <f>IF(CI$1&lt;INDEX('Valo FX'!$Q:$Q,MATCH($A4,'Valo FX'!$A:$A,0)),0,IF(CI$1&lt;INDEX('Valo FX'!$R:$R,MATCH($A4,'Valo FX'!$A:$A,0)),INDEX(Base!$U:$U,MATCH($A4,Base!$A:$A,0)),IF(CI$1=INDEX('Valo FX'!$R:$R,MATCH($A4,'Valo FX'!$A:$A,0)),INDEX(Base!$V:$V,MATCH($A4,Base!$A:$A,0)),0)))</f>
        <v>12.823359999999999</v>
      </c>
      <c r="CJ4" s="21">
        <f>IF(CJ$1&lt;INDEX('Valo FX'!$Q:$Q,MATCH($A4,'Valo FX'!$A:$A,0)),0,IF(CJ$1&lt;INDEX('Valo FX'!$R:$R,MATCH($A4,'Valo FX'!$A:$A,0)),INDEX(Base!$U:$U,MATCH($A4,Base!$A:$A,0)),IF(CJ$1=INDEX('Valo FX'!$R:$R,MATCH($A4,'Valo FX'!$A:$A,0)),INDEX(Base!$V:$V,MATCH($A4,Base!$A:$A,0)),0)))</f>
        <v>12.823359999999999</v>
      </c>
      <c r="CK4" s="21">
        <f>IF(CK$1&lt;INDEX('Valo FX'!$Q:$Q,MATCH($A4,'Valo FX'!$A:$A,0)),0,IF(CK$1&lt;INDEX('Valo FX'!$R:$R,MATCH($A4,'Valo FX'!$A:$A,0)),INDEX(Base!$U:$U,MATCH($A4,Base!$A:$A,0)),IF(CK$1=INDEX('Valo FX'!$R:$R,MATCH($A4,'Valo FX'!$A:$A,0)),INDEX(Base!$V:$V,MATCH($A4,Base!$A:$A,0)),0)))</f>
        <v>12.823359999999999</v>
      </c>
      <c r="CL4" s="21">
        <f>IF(CL$1&lt;INDEX('Valo FX'!$Q:$Q,MATCH($A4,'Valo FX'!$A:$A,0)),0,IF(CL$1&lt;INDEX('Valo FX'!$R:$R,MATCH($A4,'Valo FX'!$A:$A,0)),INDEX(Base!$U:$U,MATCH($A4,Base!$A:$A,0)),IF(CL$1=INDEX('Valo FX'!$R:$R,MATCH($A4,'Valo FX'!$A:$A,0)),INDEX(Base!$V:$V,MATCH($A4,Base!$A:$A,0)),0)))</f>
        <v>12.823359999999999</v>
      </c>
      <c r="CM4" s="21">
        <f>IF(CM$1&lt;INDEX('Valo FX'!$Q:$Q,MATCH($A4,'Valo FX'!$A:$A,0)),0,IF(CM$1&lt;INDEX('Valo FX'!$R:$R,MATCH($A4,'Valo FX'!$A:$A,0)),INDEX(Base!$U:$U,MATCH($A4,Base!$A:$A,0)),IF(CM$1=INDEX('Valo FX'!$R:$R,MATCH($A4,'Valo FX'!$A:$A,0)),INDEX(Base!$V:$V,MATCH($A4,Base!$A:$A,0)),0)))</f>
        <v>12.823359999999999</v>
      </c>
      <c r="CN4" s="21">
        <f>IF(CN$1&lt;INDEX('Valo FX'!$Q:$Q,MATCH($A4,'Valo FX'!$A:$A,0)),0,IF(CN$1&lt;INDEX('Valo FX'!$R:$R,MATCH($A4,'Valo FX'!$A:$A,0)),INDEX(Base!$U:$U,MATCH($A4,Base!$A:$A,0)),IF(CN$1=INDEX('Valo FX'!$R:$R,MATCH($A4,'Valo FX'!$A:$A,0)),INDEX(Base!$V:$V,MATCH($A4,Base!$A:$A,0)),0)))</f>
        <v>12.823359999999999</v>
      </c>
      <c r="CO4" s="21">
        <f>IF(CO$1&lt;INDEX('Valo FX'!$Q:$Q,MATCH($A4,'Valo FX'!$A:$A,0)),0,IF(CO$1&lt;INDEX('Valo FX'!$R:$R,MATCH($A4,'Valo FX'!$A:$A,0)),INDEX(Base!$U:$U,MATCH($A4,Base!$A:$A,0)),IF(CO$1=INDEX('Valo FX'!$R:$R,MATCH($A4,'Valo FX'!$A:$A,0)),INDEX(Base!$V:$V,MATCH($A4,Base!$A:$A,0)),0)))</f>
        <v>12.823359999999999</v>
      </c>
      <c r="CP4" s="21">
        <f>IF(CP$1&lt;INDEX('Valo FX'!$Q:$Q,MATCH($A4,'Valo FX'!$A:$A,0)),0,IF(CP$1&lt;INDEX('Valo FX'!$R:$R,MATCH($A4,'Valo FX'!$A:$A,0)),INDEX(Base!$U:$U,MATCH($A4,Base!$A:$A,0)),IF(CP$1=INDEX('Valo FX'!$R:$R,MATCH($A4,'Valo FX'!$A:$A,0)),INDEX(Base!$V:$V,MATCH($A4,Base!$A:$A,0)),0)))</f>
        <v>12.823359999999999</v>
      </c>
      <c r="CQ4" s="21">
        <f>IF(CQ$1&lt;INDEX('Valo FX'!$Q:$Q,MATCH($A4,'Valo FX'!$A:$A,0)),0,IF(CQ$1&lt;INDEX('Valo FX'!$R:$R,MATCH($A4,'Valo FX'!$A:$A,0)),INDEX(Base!$U:$U,MATCH($A4,Base!$A:$A,0)),IF(CQ$1=INDEX('Valo FX'!$R:$R,MATCH($A4,'Valo FX'!$A:$A,0)),INDEX(Base!$V:$V,MATCH($A4,Base!$A:$A,0)),0)))</f>
        <v>12.823359999999999</v>
      </c>
      <c r="CR4" s="21">
        <f>IF(CR$1&lt;INDEX('Valo FX'!$Q:$Q,MATCH($A4,'Valo FX'!$A:$A,0)),0,IF(CR$1&lt;INDEX('Valo FX'!$R:$R,MATCH($A4,'Valo FX'!$A:$A,0)),INDEX(Base!$U:$U,MATCH($A4,Base!$A:$A,0)),IF(CR$1=INDEX('Valo FX'!$R:$R,MATCH($A4,'Valo FX'!$A:$A,0)),INDEX(Base!$V:$V,MATCH($A4,Base!$A:$A,0)),0)))</f>
        <v>12.823359999999999</v>
      </c>
      <c r="CS4" s="21">
        <f>IF(CS$1&lt;INDEX('Valo FX'!$Q:$Q,MATCH($A4,'Valo FX'!$A:$A,0)),0,IF(CS$1&lt;INDEX('Valo FX'!$R:$R,MATCH($A4,'Valo FX'!$A:$A,0)),INDEX(Base!$U:$U,MATCH($A4,Base!$A:$A,0)),IF(CS$1=INDEX('Valo FX'!$R:$R,MATCH($A4,'Valo FX'!$A:$A,0)),INDEX(Base!$V:$V,MATCH($A4,Base!$A:$A,0)),0)))</f>
        <v>12.823359999999999</v>
      </c>
      <c r="CT4" s="21">
        <f>IF(CT$1&lt;INDEX('Valo FX'!$Q:$Q,MATCH($A4,'Valo FX'!$A:$A,0)),0,IF(CT$1&lt;INDEX('Valo FX'!$R:$R,MATCH($A4,'Valo FX'!$A:$A,0)),INDEX(Base!$U:$U,MATCH($A4,Base!$A:$A,0)),IF(CT$1=INDEX('Valo FX'!$R:$R,MATCH($A4,'Valo FX'!$A:$A,0)),INDEX(Base!$V:$V,MATCH($A4,Base!$A:$A,0)),0)))</f>
        <v>12.823359999999999</v>
      </c>
      <c r="CU4" s="21">
        <f>IF(CU$1&lt;INDEX('Valo FX'!$Q:$Q,MATCH($A4,'Valo FX'!$A:$A,0)),0,IF(CU$1&lt;INDEX('Valo FX'!$R:$R,MATCH($A4,'Valo FX'!$A:$A,0)),INDEX(Base!$U:$U,MATCH($A4,Base!$A:$A,0)),IF(CU$1=INDEX('Valo FX'!$R:$R,MATCH($A4,'Valo FX'!$A:$A,0)),INDEX(Base!$V:$V,MATCH($A4,Base!$A:$A,0)),0)))</f>
        <v>12.823359999999999</v>
      </c>
      <c r="CV4" s="21">
        <f>IF(CV$1&lt;INDEX('Valo FX'!$Q:$Q,MATCH($A4,'Valo FX'!$A:$A,0)),0,IF(CV$1&lt;INDEX('Valo FX'!$R:$R,MATCH($A4,'Valo FX'!$A:$A,0)),INDEX(Base!$U:$U,MATCH($A4,Base!$A:$A,0)),IF(CV$1=INDEX('Valo FX'!$R:$R,MATCH($A4,'Valo FX'!$A:$A,0)),INDEX(Base!$V:$V,MATCH($A4,Base!$A:$A,0)),0)))</f>
        <v>12.823359999999999</v>
      </c>
      <c r="CW4" s="21">
        <f>IF(CW$1&lt;INDEX('Valo FX'!$Q:$Q,MATCH($A4,'Valo FX'!$A:$A,0)),0,IF(CW$1&lt;INDEX('Valo FX'!$R:$R,MATCH($A4,'Valo FX'!$A:$A,0)),INDEX(Base!$U:$U,MATCH($A4,Base!$A:$A,0)),IF(CW$1=INDEX('Valo FX'!$R:$R,MATCH($A4,'Valo FX'!$A:$A,0)),INDEX(Base!$V:$V,MATCH($A4,Base!$A:$A,0)),0)))</f>
        <v>12.823359999999999</v>
      </c>
      <c r="CX4" s="21">
        <f>IF(CX$1&lt;INDEX('Valo FX'!$Q:$Q,MATCH($A4,'Valo FX'!$A:$A,0)),0,IF(CX$1&lt;INDEX('Valo FX'!$R:$R,MATCH($A4,'Valo FX'!$A:$A,0)),INDEX(Base!$U:$U,MATCH($A4,Base!$A:$A,0)),IF(CX$1=INDEX('Valo FX'!$R:$R,MATCH($A4,'Valo FX'!$A:$A,0)),INDEX(Base!$V:$V,MATCH($A4,Base!$A:$A,0)),0)))</f>
        <v>12.823359999999999</v>
      </c>
      <c r="CY4" s="21">
        <f>IF(CY$1&lt;INDEX('Valo FX'!$Q:$Q,MATCH($A4,'Valo FX'!$A:$A,0)),0,IF(CY$1&lt;INDEX('Valo FX'!$R:$R,MATCH($A4,'Valo FX'!$A:$A,0)),INDEX(Base!$U:$U,MATCH($A4,Base!$A:$A,0)),IF(CY$1=INDEX('Valo FX'!$R:$R,MATCH($A4,'Valo FX'!$A:$A,0)),INDEX(Base!$V:$V,MATCH($A4,Base!$A:$A,0)),0)))</f>
        <v>12.823359999999999</v>
      </c>
      <c r="CZ4" s="21">
        <f>IF(CZ$1&lt;INDEX('Valo FX'!$Q:$Q,MATCH($A4,'Valo FX'!$A:$A,0)),0,IF(CZ$1&lt;INDEX('Valo FX'!$R:$R,MATCH($A4,'Valo FX'!$A:$A,0)),INDEX(Base!$U:$U,MATCH($A4,Base!$A:$A,0)),IF(CZ$1=INDEX('Valo FX'!$R:$R,MATCH($A4,'Valo FX'!$A:$A,0)),INDEX(Base!$V:$V,MATCH($A4,Base!$A:$A,0)),0)))</f>
        <v>12.823359999999999</v>
      </c>
      <c r="DA4" s="21">
        <f>IF(DA$1&lt;INDEX('Valo FX'!$Q:$Q,MATCH($A4,'Valo FX'!$A:$A,0)),0,IF(DA$1&lt;INDEX('Valo FX'!$R:$R,MATCH($A4,'Valo FX'!$A:$A,0)),INDEX(Base!$U:$U,MATCH($A4,Base!$A:$A,0)),IF(DA$1=INDEX('Valo FX'!$R:$R,MATCH($A4,'Valo FX'!$A:$A,0)),INDEX(Base!$V:$V,MATCH($A4,Base!$A:$A,0)),0)))</f>
        <v>12.823359999999999</v>
      </c>
      <c r="DB4" s="21">
        <f>IF(DB$1&lt;INDEX('Valo FX'!$Q:$Q,MATCH($A4,'Valo FX'!$A:$A,0)),0,IF(DB$1&lt;INDEX('Valo FX'!$R:$R,MATCH($A4,'Valo FX'!$A:$A,0)),INDEX(Base!$U:$U,MATCH($A4,Base!$A:$A,0)),IF(DB$1=INDEX('Valo FX'!$R:$R,MATCH($A4,'Valo FX'!$A:$A,0)),INDEX(Base!$V:$V,MATCH($A4,Base!$A:$A,0)),0)))</f>
        <v>12.823359999999999</v>
      </c>
      <c r="DC4" s="21">
        <f>IF(DC$1&lt;INDEX('Valo FX'!$Q:$Q,MATCH($A4,'Valo FX'!$A:$A,0)),0,IF(DC$1&lt;INDEX('Valo FX'!$R:$R,MATCH($A4,'Valo FX'!$A:$A,0)),INDEX(Base!$U:$U,MATCH($A4,Base!$A:$A,0)),IF(DC$1=INDEX('Valo FX'!$R:$R,MATCH($A4,'Valo FX'!$A:$A,0)),INDEX(Base!$V:$V,MATCH($A4,Base!$A:$A,0)),0)))</f>
        <v>12.823359999999999</v>
      </c>
      <c r="DD4" s="21">
        <f>IF(DD$1&lt;INDEX('Valo FX'!$Q:$Q,MATCH($A4,'Valo FX'!$A:$A,0)),0,IF(DD$1&lt;INDEX('Valo FX'!$R:$R,MATCH($A4,'Valo FX'!$A:$A,0)),INDEX(Base!$U:$U,MATCH($A4,Base!$A:$A,0)),IF(DD$1=INDEX('Valo FX'!$R:$R,MATCH($A4,'Valo FX'!$A:$A,0)),INDEX(Base!$V:$V,MATCH($A4,Base!$A:$A,0)),0)))</f>
        <v>12.823359999999999</v>
      </c>
      <c r="DE4" s="21">
        <f>IF(DE$1&lt;INDEX('Valo FX'!$Q:$Q,MATCH($A4,'Valo FX'!$A:$A,0)),0,IF(DE$1&lt;INDEX('Valo FX'!$R:$R,MATCH($A4,'Valo FX'!$A:$A,0)),INDEX(Base!$U:$U,MATCH($A4,Base!$A:$A,0)),IF(DE$1=INDEX('Valo FX'!$R:$R,MATCH($A4,'Valo FX'!$A:$A,0)),INDEX(Base!$V:$V,MATCH($A4,Base!$A:$A,0)),0)))</f>
        <v>12.823359999999999</v>
      </c>
      <c r="DF4" s="21">
        <f>IF(DF$1&lt;INDEX('Valo FX'!$Q:$Q,MATCH($A4,'Valo FX'!$A:$A,0)),0,IF(DF$1&lt;INDEX('Valo FX'!$R:$R,MATCH($A4,'Valo FX'!$A:$A,0)),INDEX(Base!$U:$U,MATCH($A4,Base!$A:$A,0)),IF(DF$1=INDEX('Valo FX'!$R:$R,MATCH($A4,'Valo FX'!$A:$A,0)),INDEX(Base!$V:$V,MATCH($A4,Base!$A:$A,0)),0)))</f>
        <v>12.823359999999999</v>
      </c>
      <c r="DG4" s="21">
        <f>IF(DG$1&lt;INDEX('Valo FX'!$Q:$Q,MATCH($A4,'Valo FX'!$A:$A,0)),0,IF(DG$1&lt;INDEX('Valo FX'!$R:$R,MATCH($A4,'Valo FX'!$A:$A,0)),INDEX(Base!$U:$U,MATCH($A4,Base!$A:$A,0)),IF(DG$1=INDEX('Valo FX'!$R:$R,MATCH($A4,'Valo FX'!$A:$A,0)),INDEX(Base!$V:$V,MATCH($A4,Base!$A:$A,0)),0)))</f>
        <v>12.823359999999999</v>
      </c>
      <c r="DH4" s="21">
        <f>IF(DH$1&lt;INDEX('Valo FX'!$Q:$Q,MATCH($A4,'Valo FX'!$A:$A,0)),0,IF(DH$1&lt;INDEX('Valo FX'!$R:$R,MATCH($A4,'Valo FX'!$A:$A,0)),INDEX(Base!$U:$U,MATCH($A4,Base!$A:$A,0)),IF(DH$1=INDEX('Valo FX'!$R:$R,MATCH($A4,'Valo FX'!$A:$A,0)),INDEX(Base!$V:$V,MATCH($A4,Base!$A:$A,0)),0)))</f>
        <v>12.823359999999999</v>
      </c>
      <c r="DI4" s="21">
        <f>IF(DI$1&lt;INDEX('Valo FX'!$Q:$Q,MATCH($A4,'Valo FX'!$A:$A,0)),0,IF(DI$1&lt;INDEX('Valo FX'!$R:$R,MATCH($A4,'Valo FX'!$A:$A,0)),INDEX(Base!$U:$U,MATCH($A4,Base!$A:$A,0)),IF(DI$1=INDEX('Valo FX'!$R:$R,MATCH($A4,'Valo FX'!$A:$A,0)),INDEX(Base!$V:$V,MATCH($A4,Base!$A:$A,0)),0)))</f>
        <v>12.823359999999999</v>
      </c>
      <c r="DJ4" s="21">
        <f>IF(DJ$1&lt;INDEX('Valo FX'!$Q:$Q,MATCH($A4,'Valo FX'!$A:$A,0)),0,IF(DJ$1&lt;INDEX('Valo FX'!$R:$R,MATCH($A4,'Valo FX'!$A:$A,0)),INDEX(Base!$U:$U,MATCH($A4,Base!$A:$A,0)),IF(DJ$1=INDEX('Valo FX'!$R:$R,MATCH($A4,'Valo FX'!$A:$A,0)),INDEX(Base!$V:$V,MATCH($A4,Base!$A:$A,0)),0)))</f>
        <v>12.823359999999999</v>
      </c>
      <c r="DK4" s="21">
        <f>IF(DK$1&lt;INDEX('Valo FX'!$Q:$Q,MATCH($A4,'Valo FX'!$A:$A,0)),0,IF(DK$1&lt;INDEX('Valo FX'!$R:$R,MATCH($A4,'Valo FX'!$A:$A,0)),INDEX(Base!$U:$U,MATCH($A4,Base!$A:$A,0)),IF(DK$1=INDEX('Valo FX'!$R:$R,MATCH($A4,'Valo FX'!$A:$A,0)),INDEX(Base!$V:$V,MATCH($A4,Base!$A:$A,0)),0)))</f>
        <v>12.823359999999999</v>
      </c>
      <c r="DL4" s="21">
        <f>IF(DL$1&lt;INDEX('Valo FX'!$Q:$Q,MATCH($A4,'Valo FX'!$A:$A,0)),0,IF(DL$1&lt;INDEX('Valo FX'!$R:$R,MATCH($A4,'Valo FX'!$A:$A,0)),INDEX(Base!$U:$U,MATCH($A4,Base!$A:$A,0)),IF(DL$1=INDEX('Valo FX'!$R:$R,MATCH($A4,'Valo FX'!$A:$A,0)),INDEX(Base!$V:$V,MATCH($A4,Base!$A:$A,0)),0)))</f>
        <v>12.823359999999999</v>
      </c>
      <c r="DM4" s="21">
        <f>IF(DM$1&lt;INDEX('Valo FX'!$Q:$Q,MATCH($A4,'Valo FX'!$A:$A,0)),0,IF(DM$1&lt;INDEX('Valo FX'!$R:$R,MATCH($A4,'Valo FX'!$A:$A,0)),INDEX(Base!$U:$U,MATCH($A4,Base!$A:$A,0)),IF(DM$1=INDEX('Valo FX'!$R:$R,MATCH($A4,'Valo FX'!$A:$A,0)),INDEX(Base!$V:$V,MATCH($A4,Base!$A:$A,0)),0)))</f>
        <v>12.823359999999999</v>
      </c>
      <c r="DN4" s="21">
        <f>IF(DN$1&lt;INDEX('Valo FX'!$Q:$Q,MATCH($A4,'Valo FX'!$A:$A,0)),0,IF(DN$1&lt;INDEX('Valo FX'!$R:$R,MATCH($A4,'Valo FX'!$A:$A,0)),INDEX(Base!$U:$U,MATCH($A4,Base!$A:$A,0)),IF(DN$1=INDEX('Valo FX'!$R:$R,MATCH($A4,'Valo FX'!$A:$A,0)),INDEX(Base!$V:$V,MATCH($A4,Base!$A:$A,0)),0)))</f>
        <v>12.823359999999999</v>
      </c>
      <c r="DO4" s="21">
        <f>IF(DO$1&lt;INDEX('Valo FX'!$Q:$Q,MATCH($A4,'Valo FX'!$A:$A,0)),0,IF(DO$1&lt;INDEX('Valo FX'!$R:$R,MATCH($A4,'Valo FX'!$A:$A,0)),INDEX(Base!$U:$U,MATCH($A4,Base!$A:$A,0)),IF(DO$1=INDEX('Valo FX'!$R:$R,MATCH($A4,'Valo FX'!$A:$A,0)),INDEX(Base!$V:$V,MATCH($A4,Base!$A:$A,0)),0)))</f>
        <v>12.823359999999999</v>
      </c>
      <c r="DP4" s="21">
        <f>IF(DP$1&lt;INDEX('Valo FX'!$Q:$Q,MATCH($A4,'Valo FX'!$A:$A,0)),0,IF(DP$1&lt;INDEX('Valo FX'!$R:$R,MATCH($A4,'Valo FX'!$A:$A,0)),INDEX(Base!$U:$U,MATCH($A4,Base!$A:$A,0)),IF(DP$1=INDEX('Valo FX'!$R:$R,MATCH($A4,'Valo FX'!$A:$A,0)),INDEX(Base!$V:$V,MATCH($A4,Base!$A:$A,0)),0)))</f>
        <v>12.823359999999999</v>
      </c>
      <c r="DQ4" s="21">
        <f>IF(DQ$1&lt;INDEX('Valo FX'!$Q:$Q,MATCH($A4,'Valo FX'!$A:$A,0)),0,IF(DQ$1&lt;INDEX('Valo FX'!$R:$R,MATCH($A4,'Valo FX'!$A:$A,0)),INDEX(Base!$U:$U,MATCH($A4,Base!$A:$A,0)),IF(DQ$1=INDEX('Valo FX'!$R:$R,MATCH($A4,'Valo FX'!$A:$A,0)),INDEX(Base!$V:$V,MATCH($A4,Base!$A:$A,0)),0)))</f>
        <v>12.823359999999999</v>
      </c>
      <c r="DR4" s="21">
        <f>IF(DR$1&lt;INDEX('Valo FX'!$Q:$Q,MATCH($A4,'Valo FX'!$A:$A,0)),0,IF(DR$1&lt;INDEX('Valo FX'!$R:$R,MATCH($A4,'Valo FX'!$A:$A,0)),INDEX(Base!$U:$U,MATCH($A4,Base!$A:$A,0)),IF(DR$1=INDEX('Valo FX'!$R:$R,MATCH($A4,'Valo FX'!$A:$A,0)),INDEX(Base!$V:$V,MATCH($A4,Base!$A:$A,0)),0)))</f>
        <v>12.823359999999999</v>
      </c>
      <c r="DS4" s="21">
        <f>IF(DS$1&lt;INDEX('Valo FX'!$Q:$Q,MATCH($A4,'Valo FX'!$A:$A,0)),0,IF(DS$1&lt;INDEX('Valo FX'!$R:$R,MATCH($A4,'Valo FX'!$A:$A,0)),INDEX(Base!$U:$U,MATCH($A4,Base!$A:$A,0)),IF(DS$1=INDEX('Valo FX'!$R:$R,MATCH($A4,'Valo FX'!$A:$A,0)),INDEX(Base!$V:$V,MATCH($A4,Base!$A:$A,0)),0)))</f>
        <v>12.823359999999999</v>
      </c>
      <c r="DT4" s="21">
        <f>IF(DT$1&lt;INDEX('Valo FX'!$Q:$Q,MATCH($A4,'Valo FX'!$A:$A,0)),0,IF(DT$1&lt;INDEX('Valo FX'!$R:$R,MATCH($A4,'Valo FX'!$A:$A,0)),INDEX(Base!$U:$U,MATCH($A4,Base!$A:$A,0)),IF(DT$1=INDEX('Valo FX'!$R:$R,MATCH($A4,'Valo FX'!$A:$A,0)),INDEX(Base!$V:$V,MATCH($A4,Base!$A:$A,0)),0)))</f>
        <v>12.823359999999999</v>
      </c>
      <c r="DU4" s="21">
        <f>IF(DU$1&lt;INDEX('Valo FX'!$Q:$Q,MATCH($A4,'Valo FX'!$A:$A,0)),0,IF(DU$1&lt;INDEX('Valo FX'!$R:$R,MATCH($A4,'Valo FX'!$A:$A,0)),INDEX(Base!$U:$U,MATCH($A4,Base!$A:$A,0)),IF(DU$1=INDEX('Valo FX'!$R:$R,MATCH($A4,'Valo FX'!$A:$A,0)),INDEX(Base!$V:$V,MATCH($A4,Base!$A:$A,0)),0)))</f>
        <v>12.823359999999999</v>
      </c>
      <c r="DV4" s="21">
        <f>IF(DV$1&lt;INDEX('Valo FX'!$Q:$Q,MATCH($A4,'Valo FX'!$A:$A,0)),0,IF(DV$1&lt;INDEX('Valo FX'!$R:$R,MATCH($A4,'Valo FX'!$A:$A,0)),INDEX(Base!$U:$U,MATCH($A4,Base!$A:$A,0)),IF(DV$1=INDEX('Valo FX'!$R:$R,MATCH($A4,'Valo FX'!$A:$A,0)),INDEX(Base!$V:$V,MATCH($A4,Base!$A:$A,0)),0)))</f>
        <v>12.823359999999999</v>
      </c>
      <c r="DW4" s="21">
        <f>IF(DW$1&lt;INDEX('Valo FX'!$Q:$Q,MATCH($A4,'Valo FX'!$A:$A,0)),0,IF(DW$1&lt;INDEX('Valo FX'!$R:$R,MATCH($A4,'Valo FX'!$A:$A,0)),INDEX(Base!$U:$U,MATCH($A4,Base!$A:$A,0)),IF(DW$1=INDEX('Valo FX'!$R:$R,MATCH($A4,'Valo FX'!$A:$A,0)),INDEX(Base!$V:$V,MATCH($A4,Base!$A:$A,0)),0)))</f>
        <v>12.823359999999999</v>
      </c>
      <c r="DX4" s="21">
        <f>IF(DX$1&lt;INDEX('Valo FX'!$Q:$Q,MATCH($A4,'Valo FX'!$A:$A,0)),0,IF(DX$1&lt;INDEX('Valo FX'!$R:$R,MATCH($A4,'Valo FX'!$A:$A,0)),INDEX(Base!$U:$U,MATCH($A4,Base!$A:$A,0)),IF(DX$1=INDEX('Valo FX'!$R:$R,MATCH($A4,'Valo FX'!$A:$A,0)),INDEX(Base!$V:$V,MATCH($A4,Base!$A:$A,0)),0)))</f>
        <v>12.823359999999999</v>
      </c>
      <c r="DY4" s="21">
        <f>IF(DY$1&lt;INDEX('Valo FX'!$Q:$Q,MATCH($A4,'Valo FX'!$A:$A,0)),0,IF(DY$1&lt;INDEX('Valo FX'!$R:$R,MATCH($A4,'Valo FX'!$A:$A,0)),INDEX(Base!$U:$U,MATCH($A4,Base!$A:$A,0)),IF(DY$1=INDEX('Valo FX'!$R:$R,MATCH($A4,'Valo FX'!$A:$A,0)),INDEX(Base!$V:$V,MATCH($A4,Base!$A:$A,0)),0)))</f>
        <v>12.823359999999999</v>
      </c>
      <c r="DZ4" s="21">
        <f>IF(DZ$1&lt;INDEX('Valo FX'!$Q:$Q,MATCH($A4,'Valo FX'!$A:$A,0)),0,IF(DZ$1&lt;INDEX('Valo FX'!$R:$R,MATCH($A4,'Valo FX'!$A:$A,0)),INDEX(Base!$U:$U,MATCH($A4,Base!$A:$A,0)),IF(DZ$1=INDEX('Valo FX'!$R:$R,MATCH($A4,'Valo FX'!$A:$A,0)),INDEX(Base!$V:$V,MATCH($A4,Base!$A:$A,0)),0)))</f>
        <v>12.823359999999999</v>
      </c>
      <c r="EA4" s="21">
        <f>IF(EA$1&lt;INDEX('Valo FX'!$Q:$Q,MATCH($A4,'Valo FX'!$A:$A,0)),0,IF(EA$1&lt;INDEX('Valo FX'!$R:$R,MATCH($A4,'Valo FX'!$A:$A,0)),INDEX(Base!$U:$U,MATCH($A4,Base!$A:$A,0)),IF(EA$1=INDEX('Valo FX'!$R:$R,MATCH($A4,'Valo FX'!$A:$A,0)),INDEX(Base!$V:$V,MATCH($A4,Base!$A:$A,0)),0)))</f>
        <v>12.823359999999999</v>
      </c>
      <c r="EB4" s="21">
        <f>IF(EB$1&lt;INDEX('Valo FX'!$Q:$Q,MATCH($A4,'Valo FX'!$A:$A,0)),0,IF(EB$1&lt;INDEX('Valo FX'!$R:$R,MATCH($A4,'Valo FX'!$A:$A,0)),INDEX(Base!$U:$U,MATCH($A4,Base!$A:$A,0)),IF(EB$1=INDEX('Valo FX'!$R:$R,MATCH($A4,'Valo FX'!$A:$A,0)),INDEX(Base!$V:$V,MATCH($A4,Base!$A:$A,0)),0)))</f>
        <v>12.823359999999999</v>
      </c>
      <c r="EC4" s="21">
        <f>IF(EC$1&lt;INDEX('Valo FX'!$Q:$Q,MATCH($A4,'Valo FX'!$A:$A,0)),0,IF(EC$1&lt;INDEX('Valo FX'!$R:$R,MATCH($A4,'Valo FX'!$A:$A,0)),INDEX(Base!$U:$U,MATCH($A4,Base!$A:$A,0)),IF(EC$1=INDEX('Valo FX'!$R:$R,MATCH($A4,'Valo FX'!$A:$A,0)),INDEX(Base!$V:$V,MATCH($A4,Base!$A:$A,0)),0)))</f>
        <v>12.823359999999999</v>
      </c>
      <c r="ED4" s="21">
        <f>IF(ED$1&lt;INDEX('Valo FX'!$Q:$Q,MATCH($A4,'Valo FX'!$A:$A,0)),0,IF(ED$1&lt;INDEX('Valo FX'!$R:$R,MATCH($A4,'Valo FX'!$A:$A,0)),INDEX(Base!$U:$U,MATCH($A4,Base!$A:$A,0)),IF(ED$1=INDEX('Valo FX'!$R:$R,MATCH($A4,'Valo FX'!$A:$A,0)),INDEX(Base!$V:$V,MATCH($A4,Base!$A:$A,0)),0)))</f>
        <v>12.823359999999999</v>
      </c>
      <c r="EE4" s="21">
        <f>IF(EE$1&lt;INDEX('Valo FX'!$Q:$Q,MATCH($A4,'Valo FX'!$A:$A,0)),0,IF(EE$1&lt;INDEX('Valo FX'!$R:$R,MATCH($A4,'Valo FX'!$A:$A,0)),INDEX(Base!$U:$U,MATCH($A4,Base!$A:$A,0)),IF(EE$1=INDEX('Valo FX'!$R:$R,MATCH($A4,'Valo FX'!$A:$A,0)),INDEX(Base!$V:$V,MATCH($A4,Base!$A:$A,0)),0)))</f>
        <v>12.823359999999999</v>
      </c>
      <c r="EF4" s="21">
        <f>IF(EF$1&lt;INDEX('Valo FX'!$Q:$Q,MATCH($A4,'Valo FX'!$A:$A,0)),0,IF(EF$1&lt;INDEX('Valo FX'!$R:$R,MATCH($A4,'Valo FX'!$A:$A,0)),INDEX(Base!$U:$U,MATCH($A4,Base!$A:$A,0)),IF(EF$1=INDEX('Valo FX'!$R:$R,MATCH($A4,'Valo FX'!$A:$A,0)),INDEX(Base!$V:$V,MATCH($A4,Base!$A:$A,0)),0)))</f>
        <v>12.823359999999999</v>
      </c>
      <c r="EG4" s="21">
        <f>IF(EG$1&lt;INDEX('Valo FX'!$Q:$Q,MATCH($A4,'Valo FX'!$A:$A,0)),0,IF(EG$1&lt;INDEX('Valo FX'!$R:$R,MATCH($A4,'Valo FX'!$A:$A,0)),INDEX(Base!$U:$U,MATCH($A4,Base!$A:$A,0)),IF(EG$1=INDEX('Valo FX'!$R:$R,MATCH($A4,'Valo FX'!$A:$A,0)),INDEX(Base!$V:$V,MATCH($A4,Base!$A:$A,0)),0)))</f>
        <v>12.823359999999999</v>
      </c>
      <c r="EH4" s="21">
        <f>IF(EH$1&lt;INDEX('Valo FX'!$Q:$Q,MATCH($A4,'Valo FX'!$A:$A,0)),0,IF(EH$1&lt;INDEX('Valo FX'!$R:$R,MATCH($A4,'Valo FX'!$A:$A,0)),INDEX(Base!$U:$U,MATCH($A4,Base!$A:$A,0)),IF(EH$1=INDEX('Valo FX'!$R:$R,MATCH($A4,'Valo FX'!$A:$A,0)),INDEX(Base!$V:$V,MATCH($A4,Base!$A:$A,0)),0)))</f>
        <v>12.823359999999999</v>
      </c>
      <c r="EI4" s="21">
        <f>IF(EI$1&lt;INDEX('Valo FX'!$Q:$Q,MATCH($A4,'Valo FX'!$A:$A,0)),0,IF(EI$1&lt;INDEX('Valo FX'!$R:$R,MATCH($A4,'Valo FX'!$A:$A,0)),INDEX(Base!$U:$U,MATCH($A4,Base!$A:$A,0)),IF(EI$1=INDEX('Valo FX'!$R:$R,MATCH($A4,'Valo FX'!$A:$A,0)),INDEX(Base!$V:$V,MATCH($A4,Base!$A:$A,0)),0)))</f>
        <v>12.823359999999999</v>
      </c>
      <c r="EJ4" s="21">
        <f>IF(EJ$1&lt;INDEX('Valo FX'!$Q:$Q,MATCH($A4,'Valo FX'!$A:$A,0)),0,IF(EJ$1&lt;INDEX('Valo FX'!$R:$R,MATCH($A4,'Valo FX'!$A:$A,0)),INDEX(Base!$U:$U,MATCH($A4,Base!$A:$A,0)),IF(EJ$1=INDEX('Valo FX'!$R:$R,MATCH($A4,'Valo FX'!$A:$A,0)),INDEX(Base!$V:$V,MATCH($A4,Base!$A:$A,0)),0)))</f>
        <v>12.823359999999999</v>
      </c>
      <c r="EK4" s="21">
        <f>IF(EK$1&lt;INDEX('Valo FX'!$Q:$Q,MATCH($A4,'Valo FX'!$A:$A,0)),0,IF(EK$1&lt;INDEX('Valo FX'!$R:$R,MATCH($A4,'Valo FX'!$A:$A,0)),INDEX(Base!$U:$U,MATCH($A4,Base!$A:$A,0)),IF(EK$1=INDEX('Valo FX'!$R:$R,MATCH($A4,'Valo FX'!$A:$A,0)),INDEX(Base!$V:$V,MATCH($A4,Base!$A:$A,0)),0)))</f>
        <v>12.823359999999999</v>
      </c>
      <c r="EL4" s="21">
        <f>IF(EL$1&lt;INDEX('Valo FX'!$Q:$Q,MATCH($A4,'Valo FX'!$A:$A,0)),0,IF(EL$1&lt;INDEX('Valo FX'!$R:$R,MATCH($A4,'Valo FX'!$A:$A,0)),INDEX(Base!$U:$U,MATCH($A4,Base!$A:$A,0)),IF(EL$1=INDEX('Valo FX'!$R:$R,MATCH($A4,'Valo FX'!$A:$A,0)),INDEX(Base!$V:$V,MATCH($A4,Base!$A:$A,0)),0)))</f>
        <v>12.823359999999999</v>
      </c>
      <c r="EM4" s="21">
        <f>IF(EM$1&lt;INDEX('Valo FX'!$Q:$Q,MATCH($A4,'Valo FX'!$A:$A,0)),0,IF(EM$1&lt;INDEX('Valo FX'!$R:$R,MATCH($A4,'Valo FX'!$A:$A,0)),INDEX(Base!$U:$U,MATCH($A4,Base!$A:$A,0)),IF(EM$1=INDEX('Valo FX'!$R:$R,MATCH($A4,'Valo FX'!$A:$A,0)),INDEX(Base!$V:$V,MATCH($A4,Base!$A:$A,0)),0)))</f>
        <v>12.823359999999999</v>
      </c>
      <c r="EN4" s="21">
        <f>IF(EN$1&lt;INDEX('Valo FX'!$Q:$Q,MATCH($A4,'Valo FX'!$A:$A,0)),0,IF(EN$1&lt;INDEX('Valo FX'!$R:$R,MATCH($A4,'Valo FX'!$A:$A,0)),INDEX(Base!$U:$U,MATCH($A4,Base!$A:$A,0)),IF(EN$1=INDEX('Valo FX'!$R:$R,MATCH($A4,'Valo FX'!$A:$A,0)),INDEX(Base!$V:$V,MATCH($A4,Base!$A:$A,0)),0)))</f>
        <v>12.823359999999999</v>
      </c>
      <c r="EO4" s="21">
        <f>IF(EO$1&lt;INDEX('Valo FX'!$Q:$Q,MATCH($A4,'Valo FX'!$A:$A,0)),0,IF(EO$1&lt;INDEX('Valo FX'!$R:$R,MATCH($A4,'Valo FX'!$A:$A,0)),INDEX(Base!$U:$U,MATCH($A4,Base!$A:$A,0)),IF(EO$1=INDEX('Valo FX'!$R:$R,MATCH($A4,'Valo FX'!$A:$A,0)),INDEX(Base!$V:$V,MATCH($A4,Base!$A:$A,0)),0)))</f>
        <v>12.823359999999999</v>
      </c>
      <c r="EP4" s="21">
        <f>IF(EP$1&lt;INDEX('Valo FX'!$Q:$Q,MATCH($A4,'Valo FX'!$A:$A,0)),0,IF(EP$1&lt;INDEX('Valo FX'!$R:$R,MATCH($A4,'Valo FX'!$A:$A,0)),INDEX(Base!$U:$U,MATCH($A4,Base!$A:$A,0)),IF(EP$1=INDEX('Valo FX'!$R:$R,MATCH($A4,'Valo FX'!$A:$A,0)),INDEX(Base!$V:$V,MATCH($A4,Base!$A:$A,0)),0)))</f>
        <v>12.823359999999999</v>
      </c>
      <c r="EQ4" s="21">
        <f>IF(EQ$1&lt;INDEX('Valo FX'!$Q:$Q,MATCH($A4,'Valo FX'!$A:$A,0)),0,IF(EQ$1&lt;INDEX('Valo FX'!$R:$R,MATCH($A4,'Valo FX'!$A:$A,0)),INDEX(Base!$U:$U,MATCH($A4,Base!$A:$A,0)),IF(EQ$1=INDEX('Valo FX'!$R:$R,MATCH($A4,'Valo FX'!$A:$A,0)),INDEX(Base!$V:$V,MATCH($A4,Base!$A:$A,0)),0)))</f>
        <v>12.823359999999999</v>
      </c>
      <c r="ER4" s="21">
        <f>IF(ER$1&lt;INDEX('Valo FX'!$Q:$Q,MATCH($A4,'Valo FX'!$A:$A,0)),0,IF(ER$1&lt;INDEX('Valo FX'!$R:$R,MATCH($A4,'Valo FX'!$A:$A,0)),INDEX(Base!$U:$U,MATCH($A4,Base!$A:$A,0)),IF(ER$1=INDEX('Valo FX'!$R:$R,MATCH($A4,'Valo FX'!$A:$A,0)),INDEX(Base!$V:$V,MATCH($A4,Base!$A:$A,0)),0)))</f>
        <v>12.823359999999999</v>
      </c>
      <c r="ES4" s="21">
        <f>IF(ES$1&lt;INDEX('Valo FX'!$Q:$Q,MATCH($A4,'Valo FX'!$A:$A,0)),0,IF(ES$1&lt;INDEX('Valo FX'!$R:$R,MATCH($A4,'Valo FX'!$A:$A,0)),INDEX(Base!$U:$U,MATCH($A4,Base!$A:$A,0)),IF(ES$1=INDEX('Valo FX'!$R:$R,MATCH($A4,'Valo FX'!$A:$A,0)),INDEX(Base!$V:$V,MATCH($A4,Base!$A:$A,0)),0)))</f>
        <v>12.823359999999999</v>
      </c>
      <c r="ET4" s="21">
        <f>IF(ET$1&lt;INDEX('Valo FX'!$Q:$Q,MATCH($A4,'Valo FX'!$A:$A,0)),0,IF(ET$1&lt;INDEX('Valo FX'!$R:$R,MATCH($A4,'Valo FX'!$A:$A,0)),INDEX(Base!$U:$U,MATCH($A4,Base!$A:$A,0)),IF(ET$1=INDEX('Valo FX'!$R:$R,MATCH($A4,'Valo FX'!$A:$A,0)),INDEX(Base!$V:$V,MATCH($A4,Base!$A:$A,0)),0)))</f>
        <v>12.823359999999999</v>
      </c>
      <c r="EU4" s="21">
        <f>IF(EU$1&lt;INDEX('Valo FX'!$Q:$Q,MATCH($A4,'Valo FX'!$A:$A,0)),0,IF(EU$1&lt;INDEX('Valo FX'!$R:$R,MATCH($A4,'Valo FX'!$A:$A,0)),INDEX(Base!$U:$U,MATCH($A4,Base!$A:$A,0)),IF(EU$1=INDEX('Valo FX'!$R:$R,MATCH($A4,'Valo FX'!$A:$A,0)),INDEX(Base!$V:$V,MATCH($A4,Base!$A:$A,0)),0)))</f>
        <v>12.823359999999999</v>
      </c>
      <c r="EV4" s="21">
        <f>IF(EV$1&lt;INDEX('Valo FX'!$Q:$Q,MATCH($A4,'Valo FX'!$A:$A,0)),0,IF(EV$1&lt;INDEX('Valo FX'!$R:$R,MATCH($A4,'Valo FX'!$A:$A,0)),INDEX(Base!$U:$U,MATCH($A4,Base!$A:$A,0)),IF(EV$1=INDEX('Valo FX'!$R:$R,MATCH($A4,'Valo FX'!$A:$A,0)),INDEX(Base!$V:$V,MATCH($A4,Base!$A:$A,0)),0)))</f>
        <v>12.823359999999999</v>
      </c>
      <c r="EW4" s="21">
        <f>IF(EW$1&lt;INDEX('Valo FX'!$Q:$Q,MATCH($A4,'Valo FX'!$A:$A,0)),0,IF(EW$1&lt;INDEX('Valo FX'!$R:$R,MATCH($A4,'Valo FX'!$A:$A,0)),INDEX(Base!$U:$U,MATCH($A4,Base!$A:$A,0)),IF(EW$1=INDEX('Valo FX'!$R:$R,MATCH($A4,'Valo FX'!$A:$A,0)),INDEX(Base!$V:$V,MATCH($A4,Base!$A:$A,0)),0)))</f>
        <v>12.823359999999999</v>
      </c>
      <c r="EX4" s="21">
        <f>IF(EX$1&lt;INDEX('Valo FX'!$Q:$Q,MATCH($A4,'Valo FX'!$A:$A,0)),0,IF(EX$1&lt;INDEX('Valo FX'!$R:$R,MATCH($A4,'Valo FX'!$A:$A,0)),INDEX(Base!$U:$U,MATCH($A4,Base!$A:$A,0)),IF(EX$1=INDEX('Valo FX'!$R:$R,MATCH($A4,'Valo FX'!$A:$A,0)),INDEX(Base!$V:$V,MATCH($A4,Base!$A:$A,0)),0)))</f>
        <v>12.823359999999999</v>
      </c>
      <c r="EY4" s="21">
        <f>IF(EY$1&lt;INDEX('Valo FX'!$Q:$Q,MATCH($A4,'Valo FX'!$A:$A,0)),0,IF(EY$1&lt;INDEX('Valo FX'!$R:$R,MATCH($A4,'Valo FX'!$A:$A,0)),INDEX(Base!$U:$U,MATCH($A4,Base!$A:$A,0)),IF(EY$1=INDEX('Valo FX'!$R:$R,MATCH($A4,'Valo FX'!$A:$A,0)),INDEX(Base!$V:$V,MATCH($A4,Base!$A:$A,0)),0)))</f>
        <v>12.823359999999999</v>
      </c>
      <c r="EZ4" s="21">
        <f>IF(EZ$1&lt;INDEX('Valo FX'!$Q:$Q,MATCH($A4,'Valo FX'!$A:$A,0)),0,IF(EZ$1&lt;INDEX('Valo FX'!$R:$R,MATCH($A4,'Valo FX'!$A:$A,0)),INDEX(Base!$U:$U,MATCH($A4,Base!$A:$A,0)),IF(EZ$1=INDEX('Valo FX'!$R:$R,MATCH($A4,'Valo FX'!$A:$A,0)),INDEX(Base!$V:$V,MATCH($A4,Base!$A:$A,0)),0)))</f>
        <v>12.823359999999999</v>
      </c>
      <c r="FA4" s="21">
        <f>IF(FA$1&lt;INDEX('Valo FX'!$Q:$Q,MATCH($A4,'Valo FX'!$A:$A,0)),0,IF(FA$1&lt;INDEX('Valo FX'!$R:$R,MATCH($A4,'Valo FX'!$A:$A,0)),INDEX(Base!$U:$U,MATCH($A4,Base!$A:$A,0)),IF(FA$1=INDEX('Valo FX'!$R:$R,MATCH($A4,'Valo FX'!$A:$A,0)),INDEX(Base!$V:$V,MATCH($A4,Base!$A:$A,0)),0)))</f>
        <v>12.823359999999999</v>
      </c>
      <c r="FB4" s="21">
        <f>IF(FB$1&lt;INDEX('Valo FX'!$Q:$Q,MATCH($A4,'Valo FX'!$A:$A,0)),0,IF(FB$1&lt;INDEX('Valo FX'!$R:$R,MATCH($A4,'Valo FX'!$A:$A,0)),INDEX(Base!$U:$U,MATCH($A4,Base!$A:$A,0)),IF(FB$1=INDEX('Valo FX'!$R:$R,MATCH($A4,'Valo FX'!$A:$A,0)),INDEX(Base!$V:$V,MATCH($A4,Base!$A:$A,0)),0)))</f>
        <v>12.823359999999999</v>
      </c>
      <c r="FC4" s="21">
        <f>IF(FC$1&lt;INDEX('Valo FX'!$Q:$Q,MATCH($A4,'Valo FX'!$A:$A,0)),0,IF(FC$1&lt;INDEX('Valo FX'!$R:$R,MATCH($A4,'Valo FX'!$A:$A,0)),INDEX(Base!$U:$U,MATCH($A4,Base!$A:$A,0)),IF(FC$1=INDEX('Valo FX'!$R:$R,MATCH($A4,'Valo FX'!$A:$A,0)),INDEX(Base!$V:$V,MATCH($A4,Base!$A:$A,0)),0)))</f>
        <v>12.823359999999999</v>
      </c>
      <c r="FD4" s="21">
        <f>IF(FD$1&lt;INDEX('Valo FX'!$Q:$Q,MATCH($A4,'Valo FX'!$A:$A,0)),0,IF(FD$1&lt;INDEX('Valo FX'!$R:$R,MATCH($A4,'Valo FX'!$A:$A,0)),INDEX(Base!$U:$U,MATCH($A4,Base!$A:$A,0)),IF(FD$1=INDEX('Valo FX'!$R:$R,MATCH($A4,'Valo FX'!$A:$A,0)),INDEX(Base!$V:$V,MATCH($A4,Base!$A:$A,0)),0)))</f>
        <v>12.823359999999999</v>
      </c>
      <c r="FE4" s="21">
        <f>IF(FE$1&lt;INDEX('Valo FX'!$Q:$Q,MATCH($A4,'Valo FX'!$A:$A,0)),0,IF(FE$1&lt;INDEX('Valo FX'!$R:$R,MATCH($A4,'Valo FX'!$A:$A,0)),INDEX(Base!$U:$U,MATCH($A4,Base!$A:$A,0)),IF(FE$1=INDEX('Valo FX'!$R:$R,MATCH($A4,'Valo FX'!$A:$A,0)),INDEX(Base!$V:$V,MATCH($A4,Base!$A:$A,0)),0)))</f>
        <v>12.823359999999999</v>
      </c>
      <c r="FF4" s="21">
        <f>IF(FF$1&lt;INDEX('Valo FX'!$Q:$Q,MATCH($A4,'Valo FX'!$A:$A,0)),0,IF(FF$1&lt;INDEX('Valo FX'!$R:$R,MATCH($A4,'Valo FX'!$A:$A,0)),INDEX(Base!$U:$U,MATCH($A4,Base!$A:$A,0)),IF(FF$1=INDEX('Valo FX'!$R:$R,MATCH($A4,'Valo FX'!$A:$A,0)),INDEX(Base!$V:$V,MATCH($A4,Base!$A:$A,0)),0)))</f>
        <v>12.823359999999999</v>
      </c>
      <c r="FG4" s="21">
        <f>IF(FG$1&lt;INDEX('Valo FX'!$Q:$Q,MATCH($A4,'Valo FX'!$A:$A,0)),0,IF(FG$1&lt;INDEX('Valo FX'!$R:$R,MATCH($A4,'Valo FX'!$A:$A,0)),INDEX(Base!$U:$U,MATCH($A4,Base!$A:$A,0)),IF(FG$1=INDEX('Valo FX'!$R:$R,MATCH($A4,'Valo FX'!$A:$A,0)),INDEX(Base!$V:$V,MATCH($A4,Base!$A:$A,0)),0)))</f>
        <v>12.823359999999999</v>
      </c>
      <c r="FH4" s="21">
        <f>IF(FH$1&lt;INDEX('Valo FX'!$Q:$Q,MATCH($A4,'Valo FX'!$A:$A,0)),0,IF(FH$1&lt;INDEX('Valo FX'!$R:$R,MATCH($A4,'Valo FX'!$A:$A,0)),INDEX(Base!$U:$U,MATCH($A4,Base!$A:$A,0)),IF(FH$1=INDEX('Valo FX'!$R:$R,MATCH($A4,'Valo FX'!$A:$A,0)),INDEX(Base!$V:$V,MATCH($A4,Base!$A:$A,0)),0)))</f>
        <v>12.823359999999999</v>
      </c>
      <c r="FI4" s="21">
        <f>IF(FI$1&lt;INDEX('Valo FX'!$Q:$Q,MATCH($A4,'Valo FX'!$A:$A,0)),0,IF(FI$1&lt;INDEX('Valo FX'!$R:$R,MATCH($A4,'Valo FX'!$A:$A,0)),INDEX(Base!$U:$U,MATCH($A4,Base!$A:$A,0)),IF(FI$1=INDEX('Valo FX'!$R:$R,MATCH($A4,'Valo FX'!$A:$A,0)),INDEX(Base!$V:$V,MATCH($A4,Base!$A:$A,0)),0)))</f>
        <v>12.823359999999999</v>
      </c>
      <c r="FJ4" s="21">
        <f>IF(FJ$1&lt;INDEX('Valo FX'!$Q:$Q,MATCH($A4,'Valo FX'!$A:$A,0)),0,IF(FJ$1&lt;INDEX('Valo FX'!$R:$R,MATCH($A4,'Valo FX'!$A:$A,0)),INDEX(Base!$U:$U,MATCH($A4,Base!$A:$A,0)),IF(FJ$1=INDEX('Valo FX'!$R:$R,MATCH($A4,'Valo FX'!$A:$A,0)),INDEX(Base!$V:$V,MATCH($A4,Base!$A:$A,0)),0)))</f>
        <v>12.823359999999999</v>
      </c>
      <c r="FK4" s="21">
        <f>IF(FK$1&lt;INDEX('Valo FX'!$Q:$Q,MATCH($A4,'Valo FX'!$A:$A,0)),0,IF(FK$1&lt;INDEX('Valo FX'!$R:$R,MATCH($A4,'Valo FX'!$A:$A,0)),INDEX(Base!$U:$U,MATCH($A4,Base!$A:$A,0)),IF(FK$1=INDEX('Valo FX'!$R:$R,MATCH($A4,'Valo FX'!$A:$A,0)),INDEX(Base!$V:$V,MATCH($A4,Base!$A:$A,0)),0)))</f>
        <v>12.823359999999999</v>
      </c>
      <c r="FL4" s="21">
        <f>IF(FL$1&lt;INDEX('Valo FX'!$Q:$Q,MATCH($A4,'Valo FX'!$A:$A,0)),0,IF(FL$1&lt;INDEX('Valo FX'!$R:$R,MATCH($A4,'Valo FX'!$A:$A,0)),INDEX(Base!$U:$U,MATCH($A4,Base!$A:$A,0)),IF(FL$1=INDEX('Valo FX'!$R:$R,MATCH($A4,'Valo FX'!$A:$A,0)),INDEX(Base!$V:$V,MATCH($A4,Base!$A:$A,0)),0)))</f>
        <v>12.823359999999999</v>
      </c>
      <c r="FM4" s="21">
        <f>IF(FM$1&lt;INDEX('Valo FX'!$Q:$Q,MATCH($A4,'Valo FX'!$A:$A,0)),0,IF(FM$1&lt;INDEX('Valo FX'!$R:$R,MATCH($A4,'Valo FX'!$A:$A,0)),INDEX(Base!$U:$U,MATCH($A4,Base!$A:$A,0)),IF(FM$1=INDEX('Valo FX'!$R:$R,MATCH($A4,'Valo FX'!$A:$A,0)),INDEX(Base!$V:$V,MATCH($A4,Base!$A:$A,0)),0)))</f>
        <v>12.823359999999999</v>
      </c>
      <c r="FN4" s="21">
        <f>IF(FN$1&lt;INDEX('Valo FX'!$Q:$Q,MATCH($A4,'Valo FX'!$A:$A,0)),0,IF(FN$1&lt;INDEX('Valo FX'!$R:$R,MATCH($A4,'Valo FX'!$A:$A,0)),INDEX(Base!$U:$U,MATCH($A4,Base!$A:$A,0)),IF(FN$1=INDEX('Valo FX'!$R:$R,MATCH($A4,'Valo FX'!$A:$A,0)),INDEX(Base!$V:$V,MATCH($A4,Base!$A:$A,0)),0)))</f>
        <v>12.823359999999999</v>
      </c>
      <c r="FO4" s="21">
        <f>IF(FO$1&lt;INDEX('Valo FX'!$Q:$Q,MATCH($A4,'Valo FX'!$A:$A,0)),0,IF(FO$1&lt;INDEX('Valo FX'!$R:$R,MATCH($A4,'Valo FX'!$A:$A,0)),INDEX(Base!$U:$U,MATCH($A4,Base!$A:$A,0)),IF(FO$1=INDEX('Valo FX'!$R:$R,MATCH($A4,'Valo FX'!$A:$A,0)),INDEX(Base!$V:$V,MATCH($A4,Base!$A:$A,0)),0)))</f>
        <v>12.823359999999999</v>
      </c>
      <c r="FP4" s="21">
        <f>IF(FP$1&lt;INDEX('Valo FX'!$Q:$Q,MATCH($A4,'Valo FX'!$A:$A,0)),0,IF(FP$1&lt;INDEX('Valo FX'!$R:$R,MATCH($A4,'Valo FX'!$A:$A,0)),INDEX(Base!$U:$U,MATCH($A4,Base!$A:$A,0)),IF(FP$1=INDEX('Valo FX'!$R:$R,MATCH($A4,'Valo FX'!$A:$A,0)),INDEX(Base!$V:$V,MATCH($A4,Base!$A:$A,0)),0)))</f>
        <v>12.823359999999999</v>
      </c>
      <c r="FQ4" s="21">
        <f>IF(FQ$1&lt;INDEX('Valo FX'!$Q:$Q,MATCH($A4,'Valo FX'!$A:$A,0)),0,IF(FQ$1&lt;INDEX('Valo FX'!$R:$R,MATCH($A4,'Valo FX'!$A:$A,0)),INDEX(Base!$U:$U,MATCH($A4,Base!$A:$A,0)),IF(FQ$1=INDEX('Valo FX'!$R:$R,MATCH($A4,'Valo FX'!$A:$A,0)),INDEX(Base!$V:$V,MATCH($A4,Base!$A:$A,0)),0)))</f>
        <v>12.823359999999999</v>
      </c>
      <c r="FR4" s="21">
        <f>IF(FR$1&lt;INDEX('Valo FX'!$Q:$Q,MATCH($A4,'Valo FX'!$A:$A,0)),0,IF(FR$1&lt;INDEX('Valo FX'!$R:$R,MATCH($A4,'Valo FX'!$A:$A,0)),INDEX(Base!$U:$U,MATCH($A4,Base!$A:$A,0)),IF(FR$1=INDEX('Valo FX'!$R:$R,MATCH($A4,'Valo FX'!$A:$A,0)),INDEX(Base!$V:$V,MATCH($A4,Base!$A:$A,0)),0)))</f>
        <v>12.823359999999999</v>
      </c>
      <c r="FS4" s="21">
        <f>IF(FS$1&lt;INDEX('Valo FX'!$Q:$Q,MATCH($A4,'Valo FX'!$A:$A,0)),0,IF(FS$1&lt;INDEX('Valo FX'!$R:$R,MATCH($A4,'Valo FX'!$A:$A,0)),INDEX(Base!$U:$U,MATCH($A4,Base!$A:$A,0)),IF(FS$1=INDEX('Valo FX'!$R:$R,MATCH($A4,'Valo FX'!$A:$A,0)),INDEX(Base!$V:$V,MATCH($A4,Base!$A:$A,0)),0)))</f>
        <v>12.823359999999999</v>
      </c>
      <c r="FT4" s="21">
        <f>IF(FT$1&lt;INDEX('Valo FX'!$Q:$Q,MATCH($A4,'Valo FX'!$A:$A,0)),0,IF(FT$1&lt;INDEX('Valo FX'!$R:$R,MATCH($A4,'Valo FX'!$A:$A,0)),INDEX(Base!$U:$U,MATCH($A4,Base!$A:$A,0)),IF(FT$1=INDEX('Valo FX'!$R:$R,MATCH($A4,'Valo FX'!$A:$A,0)),INDEX(Base!$V:$V,MATCH($A4,Base!$A:$A,0)),0)))</f>
        <v>12.823359999999999</v>
      </c>
      <c r="FU4" s="21">
        <f>IF(FU$1&lt;INDEX('Valo FX'!$Q:$Q,MATCH($A4,'Valo FX'!$A:$A,0)),0,IF(FU$1&lt;INDEX('Valo FX'!$R:$R,MATCH($A4,'Valo FX'!$A:$A,0)),INDEX(Base!$U:$U,MATCH($A4,Base!$A:$A,0)),IF(FU$1=INDEX('Valo FX'!$R:$R,MATCH($A4,'Valo FX'!$A:$A,0)),INDEX(Base!$V:$V,MATCH($A4,Base!$A:$A,0)),0)))</f>
        <v>12.823359999999999</v>
      </c>
      <c r="FV4" s="21">
        <f>IF(FV$1&lt;INDEX('Valo FX'!$Q:$Q,MATCH($A4,'Valo FX'!$A:$A,0)),0,IF(FV$1&lt;INDEX('Valo FX'!$R:$R,MATCH($A4,'Valo FX'!$A:$A,0)),INDEX(Base!$U:$U,MATCH($A4,Base!$A:$A,0)),IF(FV$1=INDEX('Valo FX'!$R:$R,MATCH($A4,'Valo FX'!$A:$A,0)),INDEX(Base!$V:$V,MATCH($A4,Base!$A:$A,0)),0)))</f>
        <v>12.823359999999999</v>
      </c>
      <c r="FW4" s="21">
        <f>IF(FW$1&lt;INDEX('Valo FX'!$Q:$Q,MATCH($A4,'Valo FX'!$A:$A,0)),0,IF(FW$1&lt;INDEX('Valo FX'!$R:$R,MATCH($A4,'Valo FX'!$A:$A,0)),INDEX(Base!$U:$U,MATCH($A4,Base!$A:$A,0)),IF(FW$1=INDEX('Valo FX'!$R:$R,MATCH($A4,'Valo FX'!$A:$A,0)),INDEX(Base!$V:$V,MATCH($A4,Base!$A:$A,0)),0)))</f>
        <v>12.823359999999999</v>
      </c>
      <c r="FX4" s="21">
        <f>IF(FX$1&lt;INDEX('Valo FX'!$Q:$Q,MATCH($A4,'Valo FX'!$A:$A,0)),0,IF(FX$1&lt;INDEX('Valo FX'!$R:$R,MATCH($A4,'Valo FX'!$A:$A,0)),INDEX(Base!$U:$U,MATCH($A4,Base!$A:$A,0)),IF(FX$1=INDEX('Valo FX'!$R:$R,MATCH($A4,'Valo FX'!$A:$A,0)),INDEX(Base!$V:$V,MATCH($A4,Base!$A:$A,0)),0)))</f>
        <v>12.823359999999999</v>
      </c>
      <c r="FY4" s="21">
        <f>IF(FY$1&lt;INDEX('Valo FX'!$Q:$Q,MATCH($A4,'Valo FX'!$A:$A,0)),0,IF(FY$1&lt;INDEX('Valo FX'!$R:$R,MATCH($A4,'Valo FX'!$A:$A,0)),INDEX(Base!$U:$U,MATCH($A4,Base!$A:$A,0)),IF(FY$1=INDEX('Valo FX'!$R:$R,MATCH($A4,'Valo FX'!$A:$A,0)),INDEX(Base!$V:$V,MATCH($A4,Base!$A:$A,0)),0)))</f>
        <v>12.823359999999999</v>
      </c>
      <c r="FZ4" s="21">
        <f>IF(FZ$1&lt;INDEX('Valo FX'!$Q:$Q,MATCH($A4,'Valo FX'!$A:$A,0)),0,IF(FZ$1&lt;INDEX('Valo FX'!$R:$R,MATCH($A4,'Valo FX'!$A:$A,0)),INDEX(Base!$U:$U,MATCH($A4,Base!$A:$A,0)),IF(FZ$1=INDEX('Valo FX'!$R:$R,MATCH($A4,'Valo FX'!$A:$A,0)),INDEX(Base!$V:$V,MATCH($A4,Base!$A:$A,0)),0)))</f>
        <v>12.823359999999999</v>
      </c>
      <c r="GA4" s="21">
        <f>IF(GA$1&lt;INDEX('Valo FX'!$Q:$Q,MATCH($A4,'Valo FX'!$A:$A,0)),0,IF(GA$1&lt;INDEX('Valo FX'!$R:$R,MATCH($A4,'Valo FX'!$A:$A,0)),INDEX(Base!$U:$U,MATCH($A4,Base!$A:$A,0)),IF(GA$1=INDEX('Valo FX'!$R:$R,MATCH($A4,'Valo FX'!$A:$A,0)),INDEX(Base!$V:$V,MATCH($A4,Base!$A:$A,0)),0)))</f>
        <v>12.823359999999999</v>
      </c>
      <c r="GB4" s="21">
        <f>IF(GB$1&lt;INDEX('Valo FX'!$Q:$Q,MATCH($A4,'Valo FX'!$A:$A,0)),0,IF(GB$1&lt;INDEX('Valo FX'!$R:$R,MATCH($A4,'Valo FX'!$A:$A,0)),INDEX(Base!$U:$U,MATCH($A4,Base!$A:$A,0)),IF(GB$1=INDEX('Valo FX'!$R:$R,MATCH($A4,'Valo FX'!$A:$A,0)),INDEX(Base!$V:$V,MATCH($A4,Base!$A:$A,0)),0)))</f>
        <v>12.823359999999999</v>
      </c>
      <c r="GC4" s="21">
        <f>IF(GC$1&lt;INDEX('Valo FX'!$Q:$Q,MATCH($A4,'Valo FX'!$A:$A,0)),0,IF(GC$1&lt;INDEX('Valo FX'!$R:$R,MATCH($A4,'Valo FX'!$A:$A,0)),INDEX(Base!$U:$U,MATCH($A4,Base!$A:$A,0)),IF(GC$1=INDEX('Valo FX'!$R:$R,MATCH($A4,'Valo FX'!$A:$A,0)),INDEX(Base!$V:$V,MATCH($A4,Base!$A:$A,0)),0)))</f>
        <v>12.823359999999999</v>
      </c>
      <c r="GD4" s="21">
        <f>IF(GD$1&lt;INDEX('Valo FX'!$Q:$Q,MATCH($A4,'Valo FX'!$A:$A,0)),0,IF(GD$1&lt;INDEX('Valo FX'!$R:$R,MATCH($A4,'Valo FX'!$A:$A,0)),INDEX(Base!$U:$U,MATCH($A4,Base!$A:$A,0)),IF(GD$1=INDEX('Valo FX'!$R:$R,MATCH($A4,'Valo FX'!$A:$A,0)),INDEX(Base!$V:$V,MATCH($A4,Base!$A:$A,0)),0)))</f>
        <v>12.823359999999999</v>
      </c>
      <c r="GE4" s="21">
        <f>IF(GE$1&lt;INDEX('Valo FX'!$Q:$Q,MATCH($A4,'Valo FX'!$A:$A,0)),0,IF(GE$1&lt;INDEX('Valo FX'!$R:$R,MATCH($A4,'Valo FX'!$A:$A,0)),INDEX(Base!$U:$U,MATCH($A4,Base!$A:$A,0)),IF(GE$1=INDEX('Valo FX'!$R:$R,MATCH($A4,'Valo FX'!$A:$A,0)),INDEX(Base!$V:$V,MATCH($A4,Base!$A:$A,0)),0)))</f>
        <v>12.823359999999999</v>
      </c>
      <c r="GF4" s="21">
        <f>IF(GF$1&lt;INDEX('Valo FX'!$Q:$Q,MATCH($A4,'Valo FX'!$A:$A,0)),0,IF(GF$1&lt;INDEX('Valo FX'!$R:$R,MATCH($A4,'Valo FX'!$A:$A,0)),INDEX(Base!$U:$U,MATCH($A4,Base!$A:$A,0)),IF(GF$1=INDEX('Valo FX'!$R:$R,MATCH($A4,'Valo FX'!$A:$A,0)),INDEX(Base!$V:$V,MATCH($A4,Base!$A:$A,0)),0)))</f>
        <v>12.823359999999999</v>
      </c>
      <c r="GG4" s="21">
        <f>IF(GG$1&lt;INDEX('Valo FX'!$Q:$Q,MATCH($A4,'Valo FX'!$A:$A,0)),0,IF(GG$1&lt;INDEX('Valo FX'!$R:$R,MATCH($A4,'Valo FX'!$A:$A,0)),INDEX(Base!$U:$U,MATCH($A4,Base!$A:$A,0)),IF(GG$1=INDEX('Valo FX'!$R:$R,MATCH($A4,'Valo FX'!$A:$A,0)),INDEX(Base!$V:$V,MATCH($A4,Base!$A:$A,0)),0)))</f>
        <v>12.823359999999999</v>
      </c>
      <c r="GH4" s="21">
        <f>IF(GH$1&lt;INDEX('Valo FX'!$Q:$Q,MATCH($A4,'Valo FX'!$A:$A,0)),0,IF(GH$1&lt;INDEX('Valo FX'!$R:$R,MATCH($A4,'Valo FX'!$A:$A,0)),INDEX(Base!$U:$U,MATCH($A4,Base!$A:$A,0)),IF(GH$1=INDEX('Valo FX'!$R:$R,MATCH($A4,'Valo FX'!$A:$A,0)),INDEX(Base!$V:$V,MATCH($A4,Base!$A:$A,0)),0)))</f>
        <v>12.823359999999999</v>
      </c>
      <c r="GI4" s="21">
        <f>IF(GI$1&lt;INDEX('Valo FX'!$Q:$Q,MATCH($A4,'Valo FX'!$A:$A,0)),0,IF(GI$1&lt;INDEX('Valo FX'!$R:$R,MATCH($A4,'Valo FX'!$A:$A,0)),INDEX(Base!$U:$U,MATCH($A4,Base!$A:$A,0)),IF(GI$1=INDEX('Valo FX'!$R:$R,MATCH($A4,'Valo FX'!$A:$A,0)),INDEX(Base!$V:$V,MATCH($A4,Base!$A:$A,0)),0)))</f>
        <v>12.823359999999999</v>
      </c>
      <c r="GJ4" s="21">
        <f>IF(GJ$1&lt;INDEX('Valo FX'!$Q:$Q,MATCH($A4,'Valo FX'!$A:$A,0)),0,IF(GJ$1&lt;INDEX('Valo FX'!$R:$R,MATCH($A4,'Valo FX'!$A:$A,0)),INDEX(Base!$U:$U,MATCH($A4,Base!$A:$A,0)),IF(GJ$1=INDEX('Valo FX'!$R:$R,MATCH($A4,'Valo FX'!$A:$A,0)),INDEX(Base!$V:$V,MATCH($A4,Base!$A:$A,0)),0)))</f>
        <v>12.823359999999999</v>
      </c>
      <c r="GK4" s="21">
        <f>IF(GK$1&lt;INDEX('Valo FX'!$Q:$Q,MATCH($A4,'Valo FX'!$A:$A,0)),0,IF(GK$1&lt;INDEX('Valo FX'!$R:$R,MATCH($A4,'Valo FX'!$A:$A,0)),INDEX(Base!$U:$U,MATCH($A4,Base!$A:$A,0)),IF(GK$1=INDEX('Valo FX'!$R:$R,MATCH($A4,'Valo FX'!$A:$A,0)),INDEX(Base!$V:$V,MATCH($A4,Base!$A:$A,0)),0)))</f>
        <v>12.823359999999999</v>
      </c>
      <c r="GL4" s="21">
        <f>IF(GL$1&lt;INDEX('Valo FX'!$Q:$Q,MATCH($A4,'Valo FX'!$A:$A,0)),0,IF(GL$1&lt;INDEX('Valo FX'!$R:$R,MATCH($A4,'Valo FX'!$A:$A,0)),INDEX(Base!$U:$U,MATCH($A4,Base!$A:$A,0)),IF(GL$1=INDEX('Valo FX'!$R:$R,MATCH($A4,'Valo FX'!$A:$A,0)),INDEX(Base!$V:$V,MATCH($A4,Base!$A:$A,0)),0)))</f>
        <v>12.823359999999999</v>
      </c>
      <c r="GM4" s="21">
        <f>IF(GM$1&lt;INDEX('Valo FX'!$Q:$Q,MATCH($A4,'Valo FX'!$A:$A,0)),0,IF(GM$1&lt;INDEX('Valo FX'!$R:$R,MATCH($A4,'Valo FX'!$A:$A,0)),INDEX(Base!$U:$U,MATCH($A4,Base!$A:$A,0)),IF(GM$1=INDEX('Valo FX'!$R:$R,MATCH($A4,'Valo FX'!$A:$A,0)),INDEX(Base!$V:$V,MATCH($A4,Base!$A:$A,0)),0)))</f>
        <v>12.823359999999999</v>
      </c>
      <c r="GN4" s="21">
        <f>IF(GN$1&lt;INDEX('Valo FX'!$Q:$Q,MATCH($A4,'Valo FX'!$A:$A,0)),0,IF(GN$1&lt;INDEX('Valo FX'!$R:$R,MATCH($A4,'Valo FX'!$A:$A,0)),INDEX(Base!$U:$U,MATCH($A4,Base!$A:$A,0)),IF(GN$1=INDEX('Valo FX'!$R:$R,MATCH($A4,'Valo FX'!$A:$A,0)),INDEX(Base!$V:$V,MATCH($A4,Base!$A:$A,0)),0)))</f>
        <v>12.823359999999999</v>
      </c>
      <c r="GO4" s="21">
        <f>IF(GO$1&lt;INDEX('Valo FX'!$Q:$Q,MATCH($A4,'Valo FX'!$A:$A,0)),0,IF(GO$1&lt;INDEX('Valo FX'!$R:$R,MATCH($A4,'Valo FX'!$A:$A,0)),INDEX(Base!$U:$U,MATCH($A4,Base!$A:$A,0)),IF(GO$1=INDEX('Valo FX'!$R:$R,MATCH($A4,'Valo FX'!$A:$A,0)),INDEX(Base!$V:$V,MATCH($A4,Base!$A:$A,0)),0)))</f>
        <v>12.823359999999999</v>
      </c>
      <c r="GP4" s="21">
        <f>IF(GP$1&lt;INDEX('Valo FX'!$Q:$Q,MATCH($A4,'Valo FX'!$A:$A,0)),0,IF(GP$1&lt;INDEX('Valo FX'!$R:$R,MATCH($A4,'Valo FX'!$A:$A,0)),INDEX(Base!$U:$U,MATCH($A4,Base!$A:$A,0)),IF(GP$1=INDEX('Valo FX'!$R:$R,MATCH($A4,'Valo FX'!$A:$A,0)),INDEX(Base!$V:$V,MATCH($A4,Base!$A:$A,0)),0)))</f>
        <v>12.823359999999999</v>
      </c>
      <c r="GQ4" s="21">
        <f>IF(GQ$1&lt;INDEX('Valo FX'!$Q:$Q,MATCH($A4,'Valo FX'!$A:$A,0)),0,IF(GQ$1&lt;INDEX('Valo FX'!$R:$R,MATCH($A4,'Valo FX'!$A:$A,0)),INDEX(Base!$U:$U,MATCH($A4,Base!$A:$A,0)),IF(GQ$1=INDEX('Valo FX'!$R:$R,MATCH($A4,'Valo FX'!$A:$A,0)),INDEX(Base!$V:$V,MATCH($A4,Base!$A:$A,0)),0)))</f>
        <v>12.823359999999999</v>
      </c>
      <c r="GR4" s="21">
        <f>IF(GR$1&lt;INDEX('Valo FX'!$Q:$Q,MATCH($A4,'Valo FX'!$A:$A,0)),0,IF(GR$1&lt;INDEX('Valo FX'!$R:$R,MATCH($A4,'Valo FX'!$A:$A,0)),INDEX(Base!$U:$U,MATCH($A4,Base!$A:$A,0)),IF(GR$1=INDEX('Valo FX'!$R:$R,MATCH($A4,'Valo FX'!$A:$A,0)),INDEX(Base!$V:$V,MATCH($A4,Base!$A:$A,0)),0)))</f>
        <v>12.823359999999999</v>
      </c>
      <c r="GS4" s="21">
        <f>IF(GS$1&lt;INDEX('Valo FX'!$Q:$Q,MATCH($A4,'Valo FX'!$A:$A,0)),0,IF(GS$1&lt;INDEX('Valo FX'!$R:$R,MATCH($A4,'Valo FX'!$A:$A,0)),INDEX(Base!$U:$U,MATCH($A4,Base!$A:$A,0)),IF(GS$1=INDEX('Valo FX'!$R:$R,MATCH($A4,'Valo FX'!$A:$A,0)),INDEX(Base!$V:$V,MATCH($A4,Base!$A:$A,0)),0)))</f>
        <v>12.823359999999999</v>
      </c>
      <c r="GT4" s="21">
        <f>IF(GT$1&lt;INDEX('Valo FX'!$Q:$Q,MATCH($A4,'Valo FX'!$A:$A,0)),0,IF(GT$1&lt;INDEX('Valo FX'!$R:$R,MATCH($A4,'Valo FX'!$A:$A,0)),INDEX(Base!$U:$U,MATCH($A4,Base!$A:$A,0)),IF(GT$1=INDEX('Valo FX'!$R:$R,MATCH($A4,'Valo FX'!$A:$A,0)),INDEX(Base!$V:$V,MATCH($A4,Base!$A:$A,0)),0)))</f>
        <v>12.823359999999999</v>
      </c>
      <c r="GU4" s="21">
        <f>IF(GU$1&lt;INDEX('Valo FX'!$Q:$Q,MATCH($A4,'Valo FX'!$A:$A,0)),0,IF(GU$1&lt;INDEX('Valo FX'!$R:$R,MATCH($A4,'Valo FX'!$A:$A,0)),INDEX(Base!$U:$U,MATCH($A4,Base!$A:$A,0)),IF(GU$1=INDEX('Valo FX'!$R:$R,MATCH($A4,'Valo FX'!$A:$A,0)),INDEX(Base!$V:$V,MATCH($A4,Base!$A:$A,0)),0)))</f>
        <v>12.823359999999999</v>
      </c>
      <c r="GV4" s="21">
        <f>IF(GV$1&lt;INDEX('Valo FX'!$Q:$Q,MATCH($A4,'Valo FX'!$A:$A,0)),0,IF(GV$1&lt;INDEX('Valo FX'!$R:$R,MATCH($A4,'Valo FX'!$A:$A,0)),INDEX(Base!$U:$U,MATCH($A4,Base!$A:$A,0)),IF(GV$1=INDEX('Valo FX'!$R:$R,MATCH($A4,'Valo FX'!$A:$A,0)),INDEX(Base!$V:$V,MATCH($A4,Base!$A:$A,0)),0)))</f>
        <v>12.823359999999999</v>
      </c>
      <c r="GW4" s="21">
        <f>IF(GW$1&lt;INDEX('Valo FX'!$Q:$Q,MATCH($A4,'Valo FX'!$A:$A,0)),0,IF(GW$1&lt;INDEX('Valo FX'!$R:$R,MATCH($A4,'Valo FX'!$A:$A,0)),INDEX(Base!$U:$U,MATCH($A4,Base!$A:$A,0)),IF(GW$1=INDEX('Valo FX'!$R:$R,MATCH($A4,'Valo FX'!$A:$A,0)),INDEX(Base!$V:$V,MATCH($A4,Base!$A:$A,0)),0)))</f>
        <v>12.823359999999999</v>
      </c>
      <c r="GX4" s="21">
        <f>IF(GX$1&lt;INDEX('Valo FX'!$Q:$Q,MATCH($A4,'Valo FX'!$A:$A,0)),0,IF(GX$1&lt;INDEX('Valo FX'!$R:$R,MATCH($A4,'Valo FX'!$A:$A,0)),INDEX(Base!$U:$U,MATCH($A4,Base!$A:$A,0)),IF(GX$1=INDEX('Valo FX'!$R:$R,MATCH($A4,'Valo FX'!$A:$A,0)),INDEX(Base!$V:$V,MATCH($A4,Base!$A:$A,0)),0)))</f>
        <v>12.823359999999999</v>
      </c>
      <c r="GY4" s="21">
        <f>IF(GY$1&lt;INDEX('Valo FX'!$Q:$Q,MATCH($A4,'Valo FX'!$A:$A,0)),0,IF(GY$1&lt;INDEX('Valo FX'!$R:$R,MATCH($A4,'Valo FX'!$A:$A,0)),INDEX(Base!$U:$U,MATCH($A4,Base!$A:$A,0)),IF(GY$1=INDEX('Valo FX'!$R:$R,MATCH($A4,'Valo FX'!$A:$A,0)),INDEX(Base!$V:$V,MATCH($A4,Base!$A:$A,0)),0)))</f>
        <v>12.823359999999999</v>
      </c>
      <c r="GZ4" s="21">
        <f>IF(GZ$1&lt;INDEX('Valo FX'!$Q:$Q,MATCH($A4,'Valo FX'!$A:$A,0)),0,IF(GZ$1&lt;INDEX('Valo FX'!$R:$R,MATCH($A4,'Valo FX'!$A:$A,0)),INDEX(Base!$U:$U,MATCH($A4,Base!$A:$A,0)),IF(GZ$1=INDEX('Valo FX'!$R:$R,MATCH($A4,'Valo FX'!$A:$A,0)),INDEX(Base!$V:$V,MATCH($A4,Base!$A:$A,0)),0)))</f>
        <v>12.823359999999999</v>
      </c>
      <c r="HA4" s="21">
        <f>IF(HA$1&lt;INDEX('Valo FX'!$Q:$Q,MATCH($A4,'Valo FX'!$A:$A,0)),0,IF(HA$1&lt;INDEX('Valo FX'!$R:$R,MATCH($A4,'Valo FX'!$A:$A,0)),INDEX(Base!$U:$U,MATCH($A4,Base!$A:$A,0)),IF(HA$1=INDEX('Valo FX'!$R:$R,MATCH($A4,'Valo FX'!$A:$A,0)),INDEX(Base!$V:$V,MATCH($A4,Base!$A:$A,0)),0)))</f>
        <v>12.823359999999999</v>
      </c>
      <c r="HB4" s="21">
        <f>IF(HB$1&lt;INDEX('Valo FX'!$Q:$Q,MATCH($A4,'Valo FX'!$A:$A,0)),0,IF(HB$1&lt;INDEX('Valo FX'!$R:$R,MATCH($A4,'Valo FX'!$A:$A,0)),INDEX(Base!$U:$U,MATCH($A4,Base!$A:$A,0)),IF(HB$1=INDEX('Valo FX'!$R:$R,MATCH($A4,'Valo FX'!$A:$A,0)),INDEX(Base!$V:$V,MATCH($A4,Base!$A:$A,0)),0)))</f>
        <v>12.823359999999999</v>
      </c>
      <c r="HC4" s="21">
        <f>IF(HC$1&lt;INDEX('Valo FX'!$Q:$Q,MATCH($A4,'Valo FX'!$A:$A,0)),0,IF(HC$1&lt;INDEX('Valo FX'!$R:$R,MATCH($A4,'Valo FX'!$A:$A,0)),INDEX(Base!$U:$U,MATCH($A4,Base!$A:$A,0)),IF(HC$1=INDEX('Valo FX'!$R:$R,MATCH($A4,'Valo FX'!$A:$A,0)),INDEX(Base!$V:$V,MATCH($A4,Base!$A:$A,0)),0)))</f>
        <v>12.823359999999999</v>
      </c>
      <c r="HD4" s="21">
        <f>IF(HD$1&lt;INDEX('Valo FX'!$Q:$Q,MATCH($A4,'Valo FX'!$A:$A,0)),0,IF(HD$1&lt;INDEX('Valo FX'!$R:$R,MATCH($A4,'Valo FX'!$A:$A,0)),INDEX(Base!$U:$U,MATCH($A4,Base!$A:$A,0)),IF(HD$1=INDEX('Valo FX'!$R:$R,MATCH($A4,'Valo FX'!$A:$A,0)),INDEX(Base!$V:$V,MATCH($A4,Base!$A:$A,0)),0)))</f>
        <v>12.823359999999999</v>
      </c>
      <c r="HE4" s="21">
        <f>IF(HE$1&lt;INDEX('Valo FX'!$Q:$Q,MATCH($A4,'Valo FX'!$A:$A,0)),0,IF(HE$1&lt;INDEX('Valo FX'!$R:$R,MATCH($A4,'Valo FX'!$A:$A,0)),INDEX(Base!$U:$U,MATCH($A4,Base!$A:$A,0)),IF(HE$1=INDEX('Valo FX'!$R:$R,MATCH($A4,'Valo FX'!$A:$A,0)),INDEX(Base!$V:$V,MATCH($A4,Base!$A:$A,0)),0)))</f>
        <v>12.823359999999999</v>
      </c>
      <c r="HF4" s="21">
        <f>IF(HF$1&lt;INDEX('Valo FX'!$Q:$Q,MATCH($A4,'Valo FX'!$A:$A,0)),0,IF(HF$1&lt;INDEX('Valo FX'!$R:$R,MATCH($A4,'Valo FX'!$A:$A,0)),INDEX(Base!$U:$U,MATCH($A4,Base!$A:$A,0)),IF(HF$1=INDEX('Valo FX'!$R:$R,MATCH($A4,'Valo FX'!$A:$A,0)),INDEX(Base!$V:$V,MATCH($A4,Base!$A:$A,0)),0)))</f>
        <v>12.823359999999999</v>
      </c>
      <c r="HG4" s="21">
        <f>IF(HG$1&lt;INDEX('Valo FX'!$Q:$Q,MATCH($A4,'Valo FX'!$A:$A,0)),0,IF(HG$1&lt;INDEX('Valo FX'!$R:$R,MATCH($A4,'Valo FX'!$A:$A,0)),INDEX(Base!$U:$U,MATCH($A4,Base!$A:$A,0)),IF(HG$1=INDEX('Valo FX'!$R:$R,MATCH($A4,'Valo FX'!$A:$A,0)),INDEX(Base!$V:$V,MATCH($A4,Base!$A:$A,0)),0)))</f>
        <v>12.823359999999999</v>
      </c>
      <c r="HH4" s="21">
        <f>IF(HH$1&lt;INDEX('Valo FX'!$Q:$Q,MATCH($A4,'Valo FX'!$A:$A,0)),0,IF(HH$1&lt;INDEX('Valo FX'!$R:$R,MATCH($A4,'Valo FX'!$A:$A,0)),INDEX(Base!$U:$U,MATCH($A4,Base!$A:$A,0)),IF(HH$1=INDEX('Valo FX'!$R:$R,MATCH($A4,'Valo FX'!$A:$A,0)),INDEX(Base!$V:$V,MATCH($A4,Base!$A:$A,0)),0)))</f>
        <v>12.823359999999999</v>
      </c>
      <c r="HI4" s="21">
        <f>IF(HI$1&lt;INDEX('Valo FX'!$Q:$Q,MATCH($A4,'Valo FX'!$A:$A,0)),0,IF(HI$1&lt;INDEX('Valo FX'!$R:$R,MATCH($A4,'Valo FX'!$A:$A,0)),INDEX(Base!$U:$U,MATCH($A4,Base!$A:$A,0)),IF(HI$1=INDEX('Valo FX'!$R:$R,MATCH($A4,'Valo FX'!$A:$A,0)),INDEX(Base!$V:$V,MATCH($A4,Base!$A:$A,0)),0)))</f>
        <v>12.823359999999999</v>
      </c>
      <c r="HJ4" s="21">
        <f>IF(HJ$1&lt;INDEX('Valo FX'!$Q:$Q,MATCH($A4,'Valo FX'!$A:$A,0)),0,IF(HJ$1&lt;INDEX('Valo FX'!$R:$R,MATCH($A4,'Valo FX'!$A:$A,0)),INDEX(Base!$U:$U,MATCH($A4,Base!$A:$A,0)),IF(HJ$1=INDEX('Valo FX'!$R:$R,MATCH($A4,'Valo FX'!$A:$A,0)),INDEX(Base!$V:$V,MATCH($A4,Base!$A:$A,0)),0)))</f>
        <v>12.823359999999999</v>
      </c>
      <c r="HK4" s="21">
        <f>IF(HK$1&lt;INDEX('Valo FX'!$Q:$Q,MATCH($A4,'Valo FX'!$A:$A,0)),0,IF(HK$1&lt;INDEX('Valo FX'!$R:$R,MATCH($A4,'Valo FX'!$A:$A,0)),INDEX(Base!$U:$U,MATCH($A4,Base!$A:$A,0)),IF(HK$1=INDEX('Valo FX'!$R:$R,MATCH($A4,'Valo FX'!$A:$A,0)),INDEX(Base!$V:$V,MATCH($A4,Base!$A:$A,0)),0)))</f>
        <v>12.823359999999999</v>
      </c>
      <c r="HL4" s="21">
        <f>IF(HL$1&lt;INDEX('Valo FX'!$Q:$Q,MATCH($A4,'Valo FX'!$A:$A,0)),0,IF(HL$1&lt;INDEX('Valo FX'!$R:$R,MATCH($A4,'Valo FX'!$A:$A,0)),INDEX(Base!$U:$U,MATCH($A4,Base!$A:$A,0)),IF(HL$1=INDEX('Valo FX'!$R:$R,MATCH($A4,'Valo FX'!$A:$A,0)),INDEX(Base!$V:$V,MATCH($A4,Base!$A:$A,0)),0)))</f>
        <v>12.823359999999999</v>
      </c>
      <c r="HM4" s="21">
        <f>IF(HM$1&lt;INDEX('Valo FX'!$Q:$Q,MATCH($A4,'Valo FX'!$A:$A,0)),0,IF(HM$1&lt;INDEX('Valo FX'!$R:$R,MATCH($A4,'Valo FX'!$A:$A,0)),INDEX(Base!$U:$U,MATCH($A4,Base!$A:$A,0)),IF(HM$1=INDEX('Valo FX'!$R:$R,MATCH($A4,'Valo FX'!$A:$A,0)),INDEX(Base!$V:$V,MATCH($A4,Base!$A:$A,0)),0)))</f>
        <v>12.823359999999999</v>
      </c>
      <c r="HN4" s="21">
        <f>IF(HN$1&lt;INDEX('Valo FX'!$Q:$Q,MATCH($A4,'Valo FX'!$A:$A,0)),0,IF(HN$1&lt;INDEX('Valo FX'!$R:$R,MATCH($A4,'Valo FX'!$A:$A,0)),INDEX(Base!$U:$U,MATCH($A4,Base!$A:$A,0)),IF(HN$1=INDEX('Valo FX'!$R:$R,MATCH($A4,'Valo FX'!$A:$A,0)),INDEX(Base!$V:$V,MATCH($A4,Base!$A:$A,0)),0)))</f>
        <v>12.823359999999999</v>
      </c>
      <c r="HO4" s="21">
        <f>IF(HO$1&lt;INDEX('Valo FX'!$Q:$Q,MATCH($A4,'Valo FX'!$A:$A,0)),0,IF(HO$1&lt;INDEX('Valo FX'!$R:$R,MATCH($A4,'Valo FX'!$A:$A,0)),INDEX(Base!$U:$U,MATCH($A4,Base!$A:$A,0)),IF(HO$1=INDEX('Valo FX'!$R:$R,MATCH($A4,'Valo FX'!$A:$A,0)),INDEX(Base!$V:$V,MATCH($A4,Base!$A:$A,0)),0)))</f>
        <v>12.823359999999999</v>
      </c>
      <c r="HP4" s="21">
        <f>IF(HP$1&lt;INDEX('Valo FX'!$Q:$Q,MATCH($A4,'Valo FX'!$A:$A,0)),0,IF(HP$1&lt;INDEX('Valo FX'!$R:$R,MATCH($A4,'Valo FX'!$A:$A,0)),INDEX(Base!$U:$U,MATCH($A4,Base!$A:$A,0)),IF(HP$1=INDEX('Valo FX'!$R:$R,MATCH($A4,'Valo FX'!$A:$A,0)),INDEX(Base!$V:$V,MATCH($A4,Base!$A:$A,0)),0)))</f>
        <v>12.823359999999999</v>
      </c>
      <c r="HQ4" s="21">
        <f>IF(HQ$1&lt;INDEX('Valo FX'!$Q:$Q,MATCH($A4,'Valo FX'!$A:$A,0)),0,IF(HQ$1&lt;INDEX('Valo FX'!$R:$R,MATCH($A4,'Valo FX'!$A:$A,0)),INDEX(Base!$U:$U,MATCH($A4,Base!$A:$A,0)),IF(HQ$1=INDEX('Valo FX'!$R:$R,MATCH($A4,'Valo FX'!$A:$A,0)),INDEX(Base!$V:$V,MATCH($A4,Base!$A:$A,0)),0)))</f>
        <v>12.823359999999999</v>
      </c>
      <c r="HR4" s="21">
        <f>IF(HR$1&lt;INDEX('Valo FX'!$Q:$Q,MATCH($A4,'Valo FX'!$A:$A,0)),0,IF(HR$1&lt;INDEX('Valo FX'!$R:$R,MATCH($A4,'Valo FX'!$A:$A,0)),INDEX(Base!$U:$U,MATCH($A4,Base!$A:$A,0)),IF(HR$1=INDEX('Valo FX'!$R:$R,MATCH($A4,'Valo FX'!$A:$A,0)),INDEX(Base!$V:$V,MATCH($A4,Base!$A:$A,0)),0)))</f>
        <v>12.823359999999999</v>
      </c>
      <c r="HS4" s="21">
        <f>IF(HS$1&lt;INDEX('Valo FX'!$Q:$Q,MATCH($A4,'Valo FX'!$A:$A,0)),0,IF(HS$1&lt;INDEX('Valo FX'!$R:$R,MATCH($A4,'Valo FX'!$A:$A,0)),INDEX(Base!$U:$U,MATCH($A4,Base!$A:$A,0)),IF(HS$1=INDEX('Valo FX'!$R:$R,MATCH($A4,'Valo FX'!$A:$A,0)),INDEX(Base!$V:$V,MATCH($A4,Base!$A:$A,0)),0)))</f>
        <v>12.823359999999999</v>
      </c>
      <c r="HT4" s="21">
        <f>IF(HT$1&lt;INDEX('Valo FX'!$Q:$Q,MATCH($A4,'Valo FX'!$A:$A,0)),0,IF(HT$1&lt;INDEX('Valo FX'!$R:$R,MATCH($A4,'Valo FX'!$A:$A,0)),INDEX(Base!$U:$U,MATCH($A4,Base!$A:$A,0)),IF(HT$1=INDEX('Valo FX'!$R:$R,MATCH($A4,'Valo FX'!$A:$A,0)),INDEX(Base!$V:$V,MATCH($A4,Base!$A:$A,0)),0)))</f>
        <v>12.823359999999999</v>
      </c>
      <c r="HU4" s="21">
        <f>IF(HU$1&lt;INDEX('Valo FX'!$Q:$Q,MATCH($A4,'Valo FX'!$A:$A,0)),0,IF(HU$1&lt;INDEX('Valo FX'!$R:$R,MATCH($A4,'Valo FX'!$A:$A,0)),INDEX(Base!$U:$U,MATCH($A4,Base!$A:$A,0)),IF(HU$1=INDEX('Valo FX'!$R:$R,MATCH($A4,'Valo FX'!$A:$A,0)),INDEX(Base!$V:$V,MATCH($A4,Base!$A:$A,0)),0)))</f>
        <v>12.823359999999999</v>
      </c>
      <c r="HV4" s="21">
        <f>IF(HV$1&lt;INDEX('Valo FX'!$Q:$Q,MATCH($A4,'Valo FX'!$A:$A,0)),0,IF(HV$1&lt;INDEX('Valo FX'!$R:$R,MATCH($A4,'Valo FX'!$A:$A,0)),INDEX(Base!$U:$U,MATCH($A4,Base!$A:$A,0)),IF(HV$1=INDEX('Valo FX'!$R:$R,MATCH($A4,'Valo FX'!$A:$A,0)),INDEX(Base!$V:$V,MATCH($A4,Base!$A:$A,0)),0)))</f>
        <v>12.823359999999999</v>
      </c>
      <c r="HW4" s="21">
        <f>IF(HW$1&lt;INDEX('Valo FX'!$Q:$Q,MATCH($A4,'Valo FX'!$A:$A,0)),0,IF(HW$1&lt;INDEX('Valo FX'!$R:$R,MATCH($A4,'Valo FX'!$A:$A,0)),INDEX(Base!$U:$U,MATCH($A4,Base!$A:$A,0)),IF(HW$1=INDEX('Valo FX'!$R:$R,MATCH($A4,'Valo FX'!$A:$A,0)),INDEX(Base!$V:$V,MATCH($A4,Base!$A:$A,0)),0)))</f>
        <v>12.823359999999999</v>
      </c>
      <c r="HX4" s="21">
        <f>IF(HX$1&lt;INDEX('Valo FX'!$Q:$Q,MATCH($A4,'Valo FX'!$A:$A,0)),0,IF(HX$1&lt;INDEX('Valo FX'!$R:$R,MATCH($A4,'Valo FX'!$A:$A,0)),INDEX(Base!$U:$U,MATCH($A4,Base!$A:$A,0)),IF(HX$1=INDEX('Valo FX'!$R:$R,MATCH($A4,'Valo FX'!$A:$A,0)),INDEX(Base!$V:$V,MATCH($A4,Base!$A:$A,0)),0)))</f>
        <v>12.823359999999999</v>
      </c>
      <c r="HY4" s="21">
        <f>IF(HY$1&lt;INDEX('Valo FX'!$Q:$Q,MATCH($A4,'Valo FX'!$A:$A,0)),0,IF(HY$1&lt;INDEX('Valo FX'!$R:$R,MATCH($A4,'Valo FX'!$A:$A,0)),INDEX(Base!$U:$U,MATCH($A4,Base!$A:$A,0)),IF(HY$1=INDEX('Valo FX'!$R:$R,MATCH($A4,'Valo FX'!$A:$A,0)),INDEX(Base!$V:$V,MATCH($A4,Base!$A:$A,0)),0)))</f>
        <v>12.823359999999999</v>
      </c>
      <c r="HZ4" s="21">
        <f>IF(HZ$1&lt;INDEX('Valo FX'!$Q:$Q,MATCH($A4,'Valo FX'!$A:$A,0)),0,IF(HZ$1&lt;INDEX('Valo FX'!$R:$R,MATCH($A4,'Valo FX'!$A:$A,0)),INDEX(Base!$U:$U,MATCH($A4,Base!$A:$A,0)),IF(HZ$1=INDEX('Valo FX'!$R:$R,MATCH($A4,'Valo FX'!$A:$A,0)),INDEX(Base!$V:$V,MATCH($A4,Base!$A:$A,0)),0)))</f>
        <v>12.823359999999999</v>
      </c>
      <c r="IA4" s="21">
        <f>IF(IA$1&lt;INDEX('Valo FX'!$Q:$Q,MATCH($A4,'Valo FX'!$A:$A,0)),0,IF(IA$1&lt;INDEX('Valo FX'!$R:$R,MATCH($A4,'Valo FX'!$A:$A,0)),INDEX(Base!$U:$U,MATCH($A4,Base!$A:$A,0)),IF(IA$1=INDEX('Valo FX'!$R:$R,MATCH($A4,'Valo FX'!$A:$A,0)),INDEX(Base!$V:$V,MATCH($A4,Base!$A:$A,0)),0)))</f>
        <v>12.823359999999999</v>
      </c>
      <c r="IB4" s="21">
        <f>IF(IB$1&lt;INDEX('Valo FX'!$Q:$Q,MATCH($A4,'Valo FX'!$A:$A,0)),0,IF(IB$1&lt;INDEX('Valo FX'!$R:$R,MATCH($A4,'Valo FX'!$A:$A,0)),INDEX(Base!$U:$U,MATCH($A4,Base!$A:$A,0)),IF(IB$1=INDEX('Valo FX'!$R:$R,MATCH($A4,'Valo FX'!$A:$A,0)),INDEX(Base!$V:$V,MATCH($A4,Base!$A:$A,0)),0)))</f>
        <v>12.823359999999999</v>
      </c>
      <c r="IC4" s="21">
        <f>IF(IC$1&lt;INDEX('Valo FX'!$Q:$Q,MATCH($A4,'Valo FX'!$A:$A,0)),0,IF(IC$1&lt;INDEX('Valo FX'!$R:$R,MATCH($A4,'Valo FX'!$A:$A,0)),INDEX(Base!$U:$U,MATCH($A4,Base!$A:$A,0)),IF(IC$1=INDEX('Valo FX'!$R:$R,MATCH($A4,'Valo FX'!$A:$A,0)),INDEX(Base!$V:$V,MATCH($A4,Base!$A:$A,0)),0)))</f>
        <v>12.823359999999999</v>
      </c>
      <c r="ID4" s="21">
        <f>IF(ID$1&lt;INDEX('Valo FX'!$Q:$Q,MATCH($A4,'Valo FX'!$A:$A,0)),0,IF(ID$1&lt;INDEX('Valo FX'!$R:$R,MATCH($A4,'Valo FX'!$A:$A,0)),INDEX(Base!$U:$U,MATCH($A4,Base!$A:$A,0)),IF(ID$1=INDEX('Valo FX'!$R:$R,MATCH($A4,'Valo FX'!$A:$A,0)),INDEX(Base!$V:$V,MATCH($A4,Base!$A:$A,0)),0)))</f>
        <v>12.823359999999999</v>
      </c>
      <c r="IE4" s="21">
        <f>IF(IE$1&lt;INDEX('Valo FX'!$Q:$Q,MATCH($A4,'Valo FX'!$A:$A,0)),0,IF(IE$1&lt;INDEX('Valo FX'!$R:$R,MATCH($A4,'Valo FX'!$A:$A,0)),INDEX(Base!$U:$U,MATCH($A4,Base!$A:$A,0)),IF(IE$1=INDEX('Valo FX'!$R:$R,MATCH($A4,'Valo FX'!$A:$A,0)),INDEX(Base!$V:$V,MATCH($A4,Base!$A:$A,0)),0)))</f>
        <v>12.823359999999999</v>
      </c>
      <c r="IF4" s="21">
        <f>IF(IF$1&lt;INDEX('Valo FX'!$Q:$Q,MATCH($A4,'Valo FX'!$A:$A,0)),0,IF(IF$1&lt;INDEX('Valo FX'!$R:$R,MATCH($A4,'Valo FX'!$A:$A,0)),INDEX(Base!$U:$U,MATCH($A4,Base!$A:$A,0)),IF(IF$1=INDEX('Valo FX'!$R:$R,MATCH($A4,'Valo FX'!$A:$A,0)),INDEX(Base!$V:$V,MATCH($A4,Base!$A:$A,0)),0)))</f>
        <v>12.823359999999999</v>
      </c>
      <c r="IG4" s="21">
        <f>IF(IG$1&lt;INDEX('Valo FX'!$Q:$Q,MATCH($A4,'Valo FX'!$A:$A,0)),0,IF(IG$1&lt;INDEX('Valo FX'!$R:$R,MATCH($A4,'Valo FX'!$A:$A,0)),INDEX(Base!$U:$U,MATCH($A4,Base!$A:$A,0)),IF(IG$1=INDEX('Valo FX'!$R:$R,MATCH($A4,'Valo FX'!$A:$A,0)),INDEX(Base!$V:$V,MATCH($A4,Base!$A:$A,0)),0)))</f>
        <v>12.823359999999999</v>
      </c>
      <c r="IH4" s="21">
        <f>IF(IH$1&lt;INDEX('Valo FX'!$Q:$Q,MATCH($A4,'Valo FX'!$A:$A,0)),0,IF(IH$1&lt;INDEX('Valo FX'!$R:$R,MATCH($A4,'Valo FX'!$A:$A,0)),INDEX(Base!$U:$U,MATCH($A4,Base!$A:$A,0)),IF(IH$1=INDEX('Valo FX'!$R:$R,MATCH($A4,'Valo FX'!$A:$A,0)),INDEX(Base!$V:$V,MATCH($A4,Base!$A:$A,0)),0)))</f>
        <v>12.823359999999999</v>
      </c>
      <c r="II4" s="21">
        <f>IF(II$1&lt;INDEX('Valo FX'!$Q:$Q,MATCH($A4,'Valo FX'!$A:$A,0)),0,IF(II$1&lt;INDEX('Valo FX'!$R:$R,MATCH($A4,'Valo FX'!$A:$A,0)),INDEX(Base!$U:$U,MATCH($A4,Base!$A:$A,0)),IF(II$1=INDEX('Valo FX'!$R:$R,MATCH($A4,'Valo FX'!$A:$A,0)),INDEX(Base!$V:$V,MATCH($A4,Base!$A:$A,0)),0)))</f>
        <v>12.823359999999999</v>
      </c>
      <c r="IJ4" s="21">
        <f>IF(IJ$1&lt;INDEX('Valo FX'!$Q:$Q,MATCH($A4,'Valo FX'!$A:$A,0)),0,IF(IJ$1&lt;INDEX('Valo FX'!$R:$R,MATCH($A4,'Valo FX'!$A:$A,0)),INDEX(Base!$U:$U,MATCH($A4,Base!$A:$A,0)),IF(IJ$1=INDEX('Valo FX'!$R:$R,MATCH($A4,'Valo FX'!$A:$A,0)),INDEX(Base!$V:$V,MATCH($A4,Base!$A:$A,0)),0)))</f>
        <v>12.823359999999999</v>
      </c>
      <c r="IK4" s="21">
        <f>IF(IK$1&lt;INDEX('Valo FX'!$Q:$Q,MATCH($A4,'Valo FX'!$A:$A,0)),0,IF(IK$1&lt;INDEX('Valo FX'!$R:$R,MATCH($A4,'Valo FX'!$A:$A,0)),INDEX(Base!$U:$U,MATCH($A4,Base!$A:$A,0)),IF(IK$1=INDEX('Valo FX'!$R:$R,MATCH($A4,'Valo FX'!$A:$A,0)),INDEX(Base!$V:$V,MATCH($A4,Base!$A:$A,0)),0)))</f>
        <v>12.823359999999999</v>
      </c>
      <c r="IL4" s="21">
        <f>IF(IL$1&lt;INDEX('Valo FX'!$Q:$Q,MATCH($A4,'Valo FX'!$A:$A,0)),0,IF(IL$1&lt;INDEX('Valo FX'!$R:$R,MATCH($A4,'Valo FX'!$A:$A,0)),INDEX(Base!$U:$U,MATCH($A4,Base!$A:$A,0)),IF(IL$1=INDEX('Valo FX'!$R:$R,MATCH($A4,'Valo FX'!$A:$A,0)),INDEX(Base!$V:$V,MATCH($A4,Base!$A:$A,0)),0)))</f>
        <v>12.823359999999999</v>
      </c>
      <c r="IM4" s="21">
        <f>IF(IM$1&lt;INDEX('Valo FX'!$Q:$Q,MATCH($A4,'Valo FX'!$A:$A,0)),0,IF(IM$1&lt;INDEX('Valo FX'!$R:$R,MATCH($A4,'Valo FX'!$A:$A,0)),INDEX(Base!$U:$U,MATCH($A4,Base!$A:$A,0)),IF(IM$1=INDEX('Valo FX'!$R:$R,MATCH($A4,'Valo FX'!$A:$A,0)),INDEX(Base!$V:$V,MATCH($A4,Base!$A:$A,0)),0)))</f>
        <v>12.823359999999999</v>
      </c>
      <c r="IN4" s="21">
        <f>IF(IN$1&lt;INDEX('Valo FX'!$Q:$Q,MATCH($A4,'Valo FX'!$A:$A,0)),0,IF(IN$1&lt;INDEX('Valo FX'!$R:$R,MATCH($A4,'Valo FX'!$A:$A,0)),INDEX(Base!$U:$U,MATCH($A4,Base!$A:$A,0)),IF(IN$1=INDEX('Valo FX'!$R:$R,MATCH($A4,'Valo FX'!$A:$A,0)),INDEX(Base!$V:$V,MATCH($A4,Base!$A:$A,0)),0)))</f>
        <v>12.823359999999999</v>
      </c>
      <c r="IO4" s="21">
        <f>IF(IO$1&lt;INDEX('Valo FX'!$Q:$Q,MATCH($A4,'Valo FX'!$A:$A,0)),0,IF(IO$1&lt;INDEX('Valo FX'!$R:$R,MATCH($A4,'Valo FX'!$A:$A,0)),INDEX(Base!$U:$U,MATCH($A4,Base!$A:$A,0)),IF(IO$1=INDEX('Valo FX'!$R:$R,MATCH($A4,'Valo FX'!$A:$A,0)),INDEX(Base!$V:$V,MATCH($A4,Base!$A:$A,0)),0)))</f>
        <v>12.823359999999999</v>
      </c>
      <c r="IP4" s="21">
        <f>IF(IP$1&lt;INDEX('Valo FX'!$Q:$Q,MATCH($A4,'Valo FX'!$A:$A,0)),0,IF(IP$1&lt;INDEX('Valo FX'!$R:$R,MATCH($A4,'Valo FX'!$A:$A,0)),INDEX(Base!$U:$U,MATCH($A4,Base!$A:$A,0)),IF(IP$1=INDEX('Valo FX'!$R:$R,MATCH($A4,'Valo FX'!$A:$A,0)),INDEX(Base!$V:$V,MATCH($A4,Base!$A:$A,0)),0)))</f>
        <v>12.823359999999999</v>
      </c>
      <c r="IQ4" s="21">
        <f>IF(IQ$1&lt;INDEX('Valo FX'!$Q:$Q,MATCH($A4,'Valo FX'!$A:$A,0)),0,IF(IQ$1&lt;INDEX('Valo FX'!$R:$R,MATCH($A4,'Valo FX'!$A:$A,0)),INDEX(Base!$U:$U,MATCH($A4,Base!$A:$A,0)),IF(IQ$1=INDEX('Valo FX'!$R:$R,MATCH($A4,'Valo FX'!$A:$A,0)),INDEX(Base!$V:$V,MATCH($A4,Base!$A:$A,0)),0)))</f>
        <v>12.823359999999999</v>
      </c>
      <c r="IR4" s="21">
        <f>IF(IR$1&lt;INDEX('Valo FX'!$Q:$Q,MATCH($A4,'Valo FX'!$A:$A,0)),0,IF(IR$1&lt;INDEX('Valo FX'!$R:$R,MATCH($A4,'Valo FX'!$A:$A,0)),INDEX(Base!$U:$U,MATCH($A4,Base!$A:$A,0)),IF(IR$1=INDEX('Valo FX'!$R:$R,MATCH($A4,'Valo FX'!$A:$A,0)),INDEX(Base!$V:$V,MATCH($A4,Base!$A:$A,0)),0)))</f>
        <v>12.823359999999999</v>
      </c>
      <c r="IS4" s="21">
        <f>IF(IS$1&lt;INDEX('Valo FX'!$Q:$Q,MATCH($A4,'Valo FX'!$A:$A,0)),0,IF(IS$1&lt;INDEX('Valo FX'!$R:$R,MATCH($A4,'Valo FX'!$A:$A,0)),INDEX(Base!$U:$U,MATCH($A4,Base!$A:$A,0)),IF(IS$1=INDEX('Valo FX'!$R:$R,MATCH($A4,'Valo FX'!$A:$A,0)),INDEX(Base!$V:$V,MATCH($A4,Base!$A:$A,0)),0)))</f>
        <v>12.823359999999999</v>
      </c>
      <c r="IT4" s="21">
        <f>IF(IT$1&lt;INDEX('Valo FX'!$Q:$Q,MATCH($A4,'Valo FX'!$A:$A,0)),0,IF(IT$1&lt;INDEX('Valo FX'!$R:$R,MATCH($A4,'Valo FX'!$A:$A,0)),INDEX(Base!$U:$U,MATCH($A4,Base!$A:$A,0)),IF(IT$1=INDEX('Valo FX'!$R:$R,MATCH($A4,'Valo FX'!$A:$A,0)),INDEX(Base!$V:$V,MATCH($A4,Base!$A:$A,0)),0)))</f>
        <v>12.823359999999999</v>
      </c>
      <c r="IU4" s="21">
        <f>IF(IU$1&lt;INDEX('Valo FX'!$Q:$Q,MATCH($A4,'Valo FX'!$A:$A,0)),0,IF(IU$1&lt;INDEX('Valo FX'!$R:$R,MATCH($A4,'Valo FX'!$A:$A,0)),INDEX(Base!$U:$U,MATCH($A4,Base!$A:$A,0)),IF(IU$1=INDEX('Valo FX'!$R:$R,MATCH($A4,'Valo FX'!$A:$A,0)),INDEX(Base!$V:$V,MATCH($A4,Base!$A:$A,0)),0)))</f>
        <v>12.823359999999999</v>
      </c>
      <c r="IV4" s="21">
        <f>IF(IV$1&lt;INDEX('Valo FX'!$Q:$Q,MATCH($A4,'Valo FX'!$A:$A,0)),0,IF(IV$1&lt;INDEX('Valo FX'!$R:$R,MATCH($A4,'Valo FX'!$A:$A,0)),INDEX(Base!$U:$U,MATCH($A4,Base!$A:$A,0)),IF(IV$1=INDEX('Valo FX'!$R:$R,MATCH($A4,'Valo FX'!$A:$A,0)),INDEX(Base!$V:$V,MATCH($A4,Base!$A:$A,0)),0)))</f>
        <v>12.823359999999999</v>
      </c>
      <c r="IW4" s="21">
        <f>IF(IW$1&lt;INDEX('Valo FX'!$Q:$Q,MATCH($A4,'Valo FX'!$A:$A,0)),0,IF(IW$1&lt;INDEX('Valo FX'!$R:$R,MATCH($A4,'Valo FX'!$A:$A,0)),INDEX(Base!$U:$U,MATCH($A4,Base!$A:$A,0)),IF(IW$1=INDEX('Valo FX'!$R:$R,MATCH($A4,'Valo FX'!$A:$A,0)),INDEX(Base!$V:$V,MATCH($A4,Base!$A:$A,0)),0)))</f>
        <v>12.823359999999999</v>
      </c>
      <c r="IX4" s="21">
        <f>IF(IX$1&lt;INDEX('Valo FX'!$Q:$Q,MATCH($A4,'Valo FX'!$A:$A,0)),0,IF(IX$1&lt;INDEX('Valo FX'!$R:$R,MATCH($A4,'Valo FX'!$A:$A,0)),INDEX(Base!$U:$U,MATCH($A4,Base!$A:$A,0)),IF(IX$1=INDEX('Valo FX'!$R:$R,MATCH($A4,'Valo FX'!$A:$A,0)),INDEX(Base!$V:$V,MATCH($A4,Base!$A:$A,0)),0)))</f>
        <v>12.823359999999999</v>
      </c>
      <c r="IY4" s="21">
        <f>IF(IY$1&lt;INDEX('Valo FX'!$Q:$Q,MATCH($A4,'Valo FX'!$A:$A,0)),0,IF(IY$1&lt;INDEX('Valo FX'!$R:$R,MATCH($A4,'Valo FX'!$A:$A,0)),INDEX(Base!$U:$U,MATCH($A4,Base!$A:$A,0)),IF(IY$1=INDEX('Valo FX'!$R:$R,MATCH($A4,'Valo FX'!$A:$A,0)),INDEX(Base!$V:$V,MATCH($A4,Base!$A:$A,0)),0)))</f>
        <v>12.823359999999999</v>
      </c>
      <c r="IZ4" s="21">
        <f>IF(IZ$1&lt;INDEX('Valo FX'!$Q:$Q,MATCH($A4,'Valo FX'!$A:$A,0)),0,IF(IZ$1&lt;INDEX('Valo FX'!$R:$R,MATCH($A4,'Valo FX'!$A:$A,0)),INDEX(Base!$U:$U,MATCH($A4,Base!$A:$A,0)),IF(IZ$1=INDEX('Valo FX'!$R:$R,MATCH($A4,'Valo FX'!$A:$A,0)),INDEX(Base!$V:$V,MATCH($A4,Base!$A:$A,0)),0)))</f>
        <v>12.823359999999999</v>
      </c>
      <c r="JA4" s="21">
        <f>IF(JA$1&lt;INDEX('Valo FX'!$Q:$Q,MATCH($A4,'Valo FX'!$A:$A,0)),0,IF(JA$1&lt;INDEX('Valo FX'!$R:$R,MATCH($A4,'Valo FX'!$A:$A,0)),INDEX(Base!$U:$U,MATCH($A4,Base!$A:$A,0)),IF(JA$1=INDEX('Valo FX'!$R:$R,MATCH($A4,'Valo FX'!$A:$A,0)),INDEX(Base!$V:$V,MATCH($A4,Base!$A:$A,0)),0)))</f>
        <v>12.823359999999999</v>
      </c>
      <c r="JB4" s="21">
        <f>IF(JB$1&lt;INDEX('Valo FX'!$Q:$Q,MATCH($A4,'Valo FX'!$A:$A,0)),0,IF(JB$1&lt;INDEX('Valo FX'!$R:$R,MATCH($A4,'Valo FX'!$A:$A,0)),INDEX(Base!$U:$U,MATCH($A4,Base!$A:$A,0)),IF(JB$1=INDEX('Valo FX'!$R:$R,MATCH($A4,'Valo FX'!$A:$A,0)),INDEX(Base!$V:$V,MATCH($A4,Base!$A:$A,0)),0)))</f>
        <v>12.823359999999999</v>
      </c>
      <c r="JC4" s="21">
        <f>IF(JC$1&lt;INDEX('Valo FX'!$Q:$Q,MATCH($A4,'Valo FX'!$A:$A,0)),0,IF(JC$1&lt;INDEX('Valo FX'!$R:$R,MATCH($A4,'Valo FX'!$A:$A,0)),INDEX(Base!$U:$U,MATCH($A4,Base!$A:$A,0)),IF(JC$1=INDEX('Valo FX'!$R:$R,MATCH($A4,'Valo FX'!$A:$A,0)),INDEX(Base!$V:$V,MATCH($A4,Base!$A:$A,0)),0)))</f>
        <v>12.823359999999999</v>
      </c>
      <c r="JD4" s="21">
        <f>IF(JD$1&lt;INDEX('Valo FX'!$Q:$Q,MATCH($A4,'Valo FX'!$A:$A,0)),0,IF(JD$1&lt;INDEX('Valo FX'!$R:$R,MATCH($A4,'Valo FX'!$A:$A,0)),INDEX(Base!$U:$U,MATCH($A4,Base!$A:$A,0)),IF(JD$1=INDEX('Valo FX'!$R:$R,MATCH($A4,'Valo FX'!$A:$A,0)),INDEX(Base!$V:$V,MATCH($A4,Base!$A:$A,0)),0)))</f>
        <v>12.823359999999999</v>
      </c>
      <c r="JE4" s="21">
        <f>IF(JE$1&lt;INDEX('Valo FX'!$Q:$Q,MATCH($A4,'Valo FX'!$A:$A,0)),0,IF(JE$1&lt;INDEX('Valo FX'!$R:$R,MATCH($A4,'Valo FX'!$A:$A,0)),INDEX(Base!$U:$U,MATCH($A4,Base!$A:$A,0)),IF(JE$1=INDEX('Valo FX'!$R:$R,MATCH($A4,'Valo FX'!$A:$A,0)),INDEX(Base!$V:$V,MATCH($A4,Base!$A:$A,0)),0)))</f>
        <v>12.823359999999999</v>
      </c>
      <c r="JF4" s="21">
        <f>IF(JF$1&lt;INDEX('Valo FX'!$Q:$Q,MATCH($A4,'Valo FX'!$A:$A,0)),0,IF(JF$1&lt;INDEX('Valo FX'!$R:$R,MATCH($A4,'Valo FX'!$A:$A,0)),INDEX(Base!$U:$U,MATCH($A4,Base!$A:$A,0)),IF(JF$1=INDEX('Valo FX'!$R:$R,MATCH($A4,'Valo FX'!$A:$A,0)),INDEX(Base!$V:$V,MATCH($A4,Base!$A:$A,0)),0)))</f>
        <v>12.823359999999999</v>
      </c>
      <c r="JG4" s="21">
        <f>IF(JG$1&lt;INDEX('Valo FX'!$Q:$Q,MATCH($A4,'Valo FX'!$A:$A,0)),0,IF(JG$1&lt;INDEX('Valo FX'!$R:$R,MATCH($A4,'Valo FX'!$A:$A,0)),INDEX(Base!$U:$U,MATCH($A4,Base!$A:$A,0)),IF(JG$1=INDEX('Valo FX'!$R:$R,MATCH($A4,'Valo FX'!$A:$A,0)),INDEX(Base!$V:$V,MATCH($A4,Base!$A:$A,0)),0)))</f>
        <v>12.823359999999999</v>
      </c>
      <c r="JH4" s="21">
        <f>IF(JH$1&lt;INDEX('Valo FX'!$Q:$Q,MATCH($A4,'Valo FX'!$A:$A,0)),0,IF(JH$1&lt;INDEX('Valo FX'!$R:$R,MATCH($A4,'Valo FX'!$A:$A,0)),INDEX(Base!$U:$U,MATCH($A4,Base!$A:$A,0)),IF(JH$1=INDEX('Valo FX'!$R:$R,MATCH($A4,'Valo FX'!$A:$A,0)),INDEX(Base!$V:$V,MATCH($A4,Base!$A:$A,0)),0)))</f>
        <v>12.823359999999999</v>
      </c>
      <c r="JI4" s="21">
        <f>IF(JI$1&lt;INDEX('Valo FX'!$Q:$Q,MATCH($A4,'Valo FX'!$A:$A,0)),0,IF(JI$1&lt;INDEX('Valo FX'!$R:$R,MATCH($A4,'Valo FX'!$A:$A,0)),INDEX(Base!$U:$U,MATCH($A4,Base!$A:$A,0)),IF(JI$1=INDEX('Valo FX'!$R:$R,MATCH($A4,'Valo FX'!$A:$A,0)),INDEX(Base!$V:$V,MATCH($A4,Base!$A:$A,0)),0)))</f>
        <v>12.823359999999999</v>
      </c>
      <c r="JJ4" s="21">
        <f>IF(JJ$1&lt;INDEX('Valo FX'!$Q:$Q,MATCH($A4,'Valo FX'!$A:$A,0)),0,IF(JJ$1&lt;INDEX('Valo FX'!$R:$R,MATCH($A4,'Valo FX'!$A:$A,0)),INDEX(Base!$U:$U,MATCH($A4,Base!$A:$A,0)),IF(JJ$1=INDEX('Valo FX'!$R:$R,MATCH($A4,'Valo FX'!$A:$A,0)),INDEX(Base!$V:$V,MATCH($A4,Base!$A:$A,0)),0)))</f>
        <v>12.823359999999999</v>
      </c>
      <c r="JK4" s="21">
        <f>IF(JK$1&lt;INDEX('Valo FX'!$Q:$Q,MATCH($A4,'Valo FX'!$A:$A,0)),0,IF(JK$1&lt;INDEX('Valo FX'!$R:$R,MATCH($A4,'Valo FX'!$A:$A,0)),INDEX(Base!$U:$U,MATCH($A4,Base!$A:$A,0)),IF(JK$1=INDEX('Valo FX'!$R:$R,MATCH($A4,'Valo FX'!$A:$A,0)),INDEX(Base!$V:$V,MATCH($A4,Base!$A:$A,0)),0)))</f>
        <v>12.823359999999999</v>
      </c>
      <c r="JL4" s="21">
        <f>IF(JL$1&lt;INDEX('Valo FX'!$Q:$Q,MATCH($A4,'Valo FX'!$A:$A,0)),0,IF(JL$1&lt;INDEX('Valo FX'!$R:$R,MATCH($A4,'Valo FX'!$A:$A,0)),INDEX(Base!$U:$U,MATCH($A4,Base!$A:$A,0)),IF(JL$1=INDEX('Valo FX'!$R:$R,MATCH($A4,'Valo FX'!$A:$A,0)),INDEX(Base!$V:$V,MATCH($A4,Base!$A:$A,0)),0)))</f>
        <v>12.823359999999999</v>
      </c>
      <c r="JM4" s="21">
        <f>IF(JM$1&lt;INDEX('Valo FX'!$Q:$Q,MATCH($A4,'Valo FX'!$A:$A,0)),0,IF(JM$1&lt;INDEX('Valo FX'!$R:$R,MATCH($A4,'Valo FX'!$A:$A,0)),INDEX(Base!$U:$U,MATCH($A4,Base!$A:$A,0)),IF(JM$1=INDEX('Valo FX'!$R:$R,MATCH($A4,'Valo FX'!$A:$A,0)),INDEX(Base!$V:$V,MATCH($A4,Base!$A:$A,0)),0)))</f>
        <v>12.823359999999999</v>
      </c>
      <c r="JN4" s="21">
        <f>IF(JN$1&lt;INDEX('Valo FX'!$Q:$Q,MATCH($A4,'Valo FX'!$A:$A,0)),0,IF(JN$1&lt;INDEX('Valo FX'!$R:$R,MATCH($A4,'Valo FX'!$A:$A,0)),INDEX(Base!$U:$U,MATCH($A4,Base!$A:$A,0)),IF(JN$1=INDEX('Valo FX'!$R:$R,MATCH($A4,'Valo FX'!$A:$A,0)),INDEX(Base!$V:$V,MATCH($A4,Base!$A:$A,0)),0)))</f>
        <v>12.823359999999999</v>
      </c>
      <c r="JO4" s="21">
        <f>IF(JO$1&lt;INDEX('Valo FX'!$Q:$Q,MATCH($A4,'Valo FX'!$A:$A,0)),0,IF(JO$1&lt;INDEX('Valo FX'!$R:$R,MATCH($A4,'Valo FX'!$A:$A,0)),INDEX(Base!$U:$U,MATCH($A4,Base!$A:$A,0)),IF(JO$1=INDEX('Valo FX'!$R:$R,MATCH($A4,'Valo FX'!$A:$A,0)),INDEX(Base!$V:$V,MATCH($A4,Base!$A:$A,0)),0)))</f>
        <v>12.823359999999999</v>
      </c>
      <c r="JP4" s="21">
        <f>IF(JP$1&lt;INDEX('Valo FX'!$Q:$Q,MATCH($A4,'Valo FX'!$A:$A,0)),0,IF(JP$1&lt;INDEX('Valo FX'!$R:$R,MATCH($A4,'Valo FX'!$A:$A,0)),INDEX(Base!$U:$U,MATCH($A4,Base!$A:$A,0)),IF(JP$1=INDEX('Valo FX'!$R:$R,MATCH($A4,'Valo FX'!$A:$A,0)),INDEX(Base!$V:$V,MATCH($A4,Base!$A:$A,0)),0)))</f>
        <v>12.823359999999999</v>
      </c>
      <c r="JQ4" s="21">
        <f>IF(JQ$1&lt;INDEX('Valo FX'!$Q:$Q,MATCH($A4,'Valo FX'!$A:$A,0)),0,IF(JQ$1&lt;INDEX('Valo FX'!$R:$R,MATCH($A4,'Valo FX'!$A:$A,0)),INDEX(Base!$U:$U,MATCH($A4,Base!$A:$A,0)),IF(JQ$1=INDEX('Valo FX'!$R:$R,MATCH($A4,'Valo FX'!$A:$A,0)),INDEX(Base!$V:$V,MATCH($A4,Base!$A:$A,0)),0)))</f>
        <v>12.823359999999999</v>
      </c>
      <c r="JR4" s="21">
        <f>IF(JR$1&lt;INDEX('Valo FX'!$Q:$Q,MATCH($A4,'Valo FX'!$A:$A,0)),0,IF(JR$1&lt;INDEX('Valo FX'!$R:$R,MATCH($A4,'Valo FX'!$A:$A,0)),INDEX(Base!$U:$U,MATCH($A4,Base!$A:$A,0)),IF(JR$1=INDEX('Valo FX'!$R:$R,MATCH($A4,'Valo FX'!$A:$A,0)),INDEX(Base!$V:$V,MATCH($A4,Base!$A:$A,0)),0)))</f>
        <v>12.823359999999999</v>
      </c>
      <c r="JS4" s="21">
        <f>IF(JS$1&lt;INDEX('Valo FX'!$Q:$Q,MATCH($A4,'Valo FX'!$A:$A,0)),0,IF(JS$1&lt;INDEX('Valo FX'!$R:$R,MATCH($A4,'Valo FX'!$A:$A,0)),INDEX(Base!$U:$U,MATCH($A4,Base!$A:$A,0)),IF(JS$1=INDEX('Valo FX'!$R:$R,MATCH($A4,'Valo FX'!$A:$A,0)),INDEX(Base!$V:$V,MATCH($A4,Base!$A:$A,0)),0)))</f>
        <v>12.823359999999999</v>
      </c>
      <c r="JT4" s="21">
        <f>IF(JT$1&lt;INDEX('Valo FX'!$Q:$Q,MATCH($A4,'Valo FX'!$A:$A,0)),0,IF(JT$1&lt;INDEX('Valo FX'!$R:$R,MATCH($A4,'Valo FX'!$A:$A,0)),INDEX(Base!$U:$U,MATCH($A4,Base!$A:$A,0)),IF(JT$1=INDEX('Valo FX'!$R:$R,MATCH($A4,'Valo FX'!$A:$A,0)),INDEX(Base!$V:$V,MATCH($A4,Base!$A:$A,0)),0)))</f>
        <v>12.823359999999999</v>
      </c>
      <c r="JU4" s="21">
        <f>IF(JU$1&lt;INDEX('Valo FX'!$Q:$Q,MATCH($A4,'Valo FX'!$A:$A,0)),0,IF(JU$1&lt;INDEX('Valo FX'!$R:$R,MATCH($A4,'Valo FX'!$A:$A,0)),INDEX(Base!$U:$U,MATCH($A4,Base!$A:$A,0)),IF(JU$1=INDEX('Valo FX'!$R:$R,MATCH($A4,'Valo FX'!$A:$A,0)),INDEX(Base!$V:$V,MATCH($A4,Base!$A:$A,0)),0)))</f>
        <v>12.823359999999999</v>
      </c>
      <c r="JV4" s="21">
        <f>IF(JV$1&lt;INDEX('Valo FX'!$Q:$Q,MATCH($A4,'Valo FX'!$A:$A,0)),0,IF(JV$1&lt;INDEX('Valo FX'!$R:$R,MATCH($A4,'Valo FX'!$A:$A,0)),INDEX(Base!$U:$U,MATCH($A4,Base!$A:$A,0)),IF(JV$1=INDEX('Valo FX'!$R:$R,MATCH($A4,'Valo FX'!$A:$A,0)),INDEX(Base!$V:$V,MATCH($A4,Base!$A:$A,0)),0)))</f>
        <v>12.823359999999999</v>
      </c>
      <c r="JW4" s="21">
        <f>IF(JW$1&lt;INDEX('Valo FX'!$Q:$Q,MATCH($A4,'Valo FX'!$A:$A,0)),0,IF(JW$1&lt;INDEX('Valo FX'!$R:$R,MATCH($A4,'Valo FX'!$A:$A,0)),INDEX(Base!$U:$U,MATCH($A4,Base!$A:$A,0)),IF(JW$1=INDEX('Valo FX'!$R:$R,MATCH($A4,'Valo FX'!$A:$A,0)),INDEX(Base!$V:$V,MATCH($A4,Base!$A:$A,0)),0)))</f>
        <v>12.823359999999999</v>
      </c>
      <c r="JX4" s="21">
        <f>IF(JX$1&lt;INDEX('Valo FX'!$Q:$Q,MATCH($A4,'Valo FX'!$A:$A,0)),0,IF(JX$1&lt;INDEX('Valo FX'!$R:$R,MATCH($A4,'Valo FX'!$A:$A,0)),INDEX(Base!$U:$U,MATCH($A4,Base!$A:$A,0)),IF(JX$1=INDEX('Valo FX'!$R:$R,MATCH($A4,'Valo FX'!$A:$A,0)),INDEX(Base!$V:$V,MATCH($A4,Base!$A:$A,0)),0)))</f>
        <v>12.823359999999999</v>
      </c>
      <c r="JY4" s="21">
        <f>IF(JY$1&lt;INDEX('Valo FX'!$Q:$Q,MATCH($A4,'Valo FX'!$A:$A,0)),0,IF(JY$1&lt;INDEX('Valo FX'!$R:$R,MATCH($A4,'Valo FX'!$A:$A,0)),INDEX(Base!$U:$U,MATCH($A4,Base!$A:$A,0)),IF(JY$1=INDEX('Valo FX'!$R:$R,MATCH($A4,'Valo FX'!$A:$A,0)),INDEX(Base!$V:$V,MATCH($A4,Base!$A:$A,0)),0)))</f>
        <v>12.823359999999999</v>
      </c>
      <c r="JZ4" s="21">
        <f>IF(JZ$1&lt;INDEX('Valo FX'!$Q:$Q,MATCH($A4,'Valo FX'!$A:$A,0)),0,IF(JZ$1&lt;INDEX('Valo FX'!$R:$R,MATCH($A4,'Valo FX'!$A:$A,0)),INDEX(Base!$U:$U,MATCH($A4,Base!$A:$A,0)),IF(JZ$1=INDEX('Valo FX'!$R:$R,MATCH($A4,'Valo FX'!$A:$A,0)),INDEX(Base!$V:$V,MATCH($A4,Base!$A:$A,0)),0)))</f>
        <v>12.823359999999999</v>
      </c>
      <c r="KA4" s="21">
        <f>IF(KA$1&lt;INDEX('Valo FX'!$Q:$Q,MATCH($A4,'Valo FX'!$A:$A,0)),0,IF(KA$1&lt;INDEX('Valo FX'!$R:$R,MATCH($A4,'Valo FX'!$A:$A,0)),INDEX(Base!$U:$U,MATCH($A4,Base!$A:$A,0)),IF(KA$1=INDEX('Valo FX'!$R:$R,MATCH($A4,'Valo FX'!$A:$A,0)),INDEX(Base!$V:$V,MATCH($A4,Base!$A:$A,0)),0)))</f>
        <v>12.823359999999999</v>
      </c>
      <c r="KB4" s="21">
        <f>IF(KB$1&lt;INDEX('Valo FX'!$Q:$Q,MATCH($A4,'Valo FX'!$A:$A,0)),0,IF(KB$1&lt;INDEX('Valo FX'!$R:$R,MATCH($A4,'Valo FX'!$A:$A,0)),INDEX(Base!$U:$U,MATCH($A4,Base!$A:$A,0)),IF(KB$1=INDEX('Valo FX'!$R:$R,MATCH($A4,'Valo FX'!$A:$A,0)),INDEX(Base!$V:$V,MATCH($A4,Base!$A:$A,0)),0)))</f>
        <v>12.823359999999999</v>
      </c>
      <c r="KC4" s="21">
        <f>IF(KC$1&lt;INDEX('Valo FX'!$Q:$Q,MATCH($A4,'Valo FX'!$A:$A,0)),0,IF(KC$1&lt;INDEX('Valo FX'!$R:$R,MATCH($A4,'Valo FX'!$A:$A,0)),INDEX(Base!$U:$U,MATCH($A4,Base!$A:$A,0)),IF(KC$1=INDEX('Valo FX'!$R:$R,MATCH($A4,'Valo FX'!$A:$A,0)),INDEX(Base!$V:$V,MATCH($A4,Base!$A:$A,0)),0)))</f>
        <v>12.823359999999999</v>
      </c>
      <c r="KD4" s="21">
        <f>IF(KD$1&lt;INDEX('Valo FX'!$Q:$Q,MATCH($A4,'Valo FX'!$A:$A,0)),0,IF(KD$1&lt;INDEX('Valo FX'!$R:$R,MATCH($A4,'Valo FX'!$A:$A,0)),INDEX(Base!$U:$U,MATCH($A4,Base!$A:$A,0)),IF(KD$1=INDEX('Valo FX'!$R:$R,MATCH($A4,'Valo FX'!$A:$A,0)),INDEX(Base!$V:$V,MATCH($A4,Base!$A:$A,0)),0)))</f>
        <v>12.823359999999999</v>
      </c>
      <c r="KE4" s="21">
        <f>IF(KE$1&lt;INDEX('Valo FX'!$Q:$Q,MATCH($A4,'Valo FX'!$A:$A,0)),0,IF(KE$1&lt;INDEX('Valo FX'!$R:$R,MATCH($A4,'Valo FX'!$A:$A,0)),INDEX(Base!$U:$U,MATCH($A4,Base!$A:$A,0)),IF(KE$1=INDEX('Valo FX'!$R:$R,MATCH($A4,'Valo FX'!$A:$A,0)),INDEX(Base!$V:$V,MATCH($A4,Base!$A:$A,0)),0)))</f>
        <v>12.823359999999999</v>
      </c>
      <c r="KF4" s="21">
        <f>IF(KF$1&lt;INDEX('Valo FX'!$Q:$Q,MATCH($A4,'Valo FX'!$A:$A,0)),0,IF(KF$1&lt;INDEX('Valo FX'!$R:$R,MATCH($A4,'Valo FX'!$A:$A,0)),INDEX(Base!$U:$U,MATCH($A4,Base!$A:$A,0)),IF(KF$1=INDEX('Valo FX'!$R:$R,MATCH($A4,'Valo FX'!$A:$A,0)),INDEX(Base!$V:$V,MATCH($A4,Base!$A:$A,0)),0)))</f>
        <v>12.823359999999999</v>
      </c>
      <c r="KG4" s="21">
        <f>IF(KG$1&lt;INDEX('Valo FX'!$Q:$Q,MATCH($A4,'Valo FX'!$A:$A,0)),0,IF(KG$1&lt;INDEX('Valo FX'!$R:$R,MATCH($A4,'Valo FX'!$A:$A,0)),INDEX(Base!$U:$U,MATCH($A4,Base!$A:$A,0)),IF(KG$1=INDEX('Valo FX'!$R:$R,MATCH($A4,'Valo FX'!$A:$A,0)),INDEX(Base!$V:$V,MATCH($A4,Base!$A:$A,0)),0)))</f>
        <v>12.823359999999999</v>
      </c>
      <c r="KH4" s="21">
        <f>IF(KH$1&lt;INDEX('Valo FX'!$Q:$Q,MATCH($A4,'Valo FX'!$A:$A,0)),0,IF(KH$1&lt;INDEX('Valo FX'!$R:$R,MATCH($A4,'Valo FX'!$A:$A,0)),INDEX(Base!$U:$U,MATCH($A4,Base!$A:$A,0)),IF(KH$1=INDEX('Valo FX'!$R:$R,MATCH($A4,'Valo FX'!$A:$A,0)),INDEX(Base!$V:$V,MATCH($A4,Base!$A:$A,0)),0)))</f>
        <v>12.823359999999999</v>
      </c>
      <c r="KI4" s="21">
        <f>IF(KI$1&lt;INDEX('Valo FX'!$Q:$Q,MATCH($A4,'Valo FX'!$A:$A,0)),0,IF(KI$1&lt;INDEX('Valo FX'!$R:$R,MATCH($A4,'Valo FX'!$A:$A,0)),INDEX(Base!$U:$U,MATCH($A4,Base!$A:$A,0)),IF(KI$1=INDEX('Valo FX'!$R:$R,MATCH($A4,'Valo FX'!$A:$A,0)),INDEX(Base!$V:$V,MATCH($A4,Base!$A:$A,0)),0)))</f>
        <v>12.823359999999999</v>
      </c>
      <c r="KJ4" s="21">
        <f>IF(KJ$1&lt;INDEX('Valo FX'!$Q:$Q,MATCH($A4,'Valo FX'!$A:$A,0)),0,IF(KJ$1&lt;INDEX('Valo FX'!$R:$R,MATCH($A4,'Valo FX'!$A:$A,0)),INDEX(Base!$U:$U,MATCH($A4,Base!$A:$A,0)),IF(KJ$1=INDEX('Valo FX'!$R:$R,MATCH($A4,'Valo FX'!$A:$A,0)),INDEX(Base!$V:$V,MATCH($A4,Base!$A:$A,0)),0)))</f>
        <v>12.823359999999999</v>
      </c>
      <c r="KK4" s="21">
        <f>IF(KK$1&lt;INDEX('Valo FX'!$Q:$Q,MATCH($A4,'Valo FX'!$A:$A,0)),0,IF(KK$1&lt;INDEX('Valo FX'!$R:$R,MATCH($A4,'Valo FX'!$A:$A,0)),INDEX(Base!$U:$U,MATCH($A4,Base!$A:$A,0)),IF(KK$1=INDEX('Valo FX'!$R:$R,MATCH($A4,'Valo FX'!$A:$A,0)),INDEX(Base!$V:$V,MATCH($A4,Base!$A:$A,0)),0)))</f>
        <v>12.823359999999999</v>
      </c>
      <c r="KL4" s="21">
        <f>IF(KL$1&lt;INDEX('Valo FX'!$Q:$Q,MATCH($A4,'Valo FX'!$A:$A,0)),0,IF(KL$1&lt;INDEX('Valo FX'!$R:$R,MATCH($A4,'Valo FX'!$A:$A,0)),INDEX(Base!$U:$U,MATCH($A4,Base!$A:$A,0)),IF(KL$1=INDEX('Valo FX'!$R:$R,MATCH($A4,'Valo FX'!$A:$A,0)),INDEX(Base!$V:$V,MATCH($A4,Base!$A:$A,0)),0)))</f>
        <v>12.823359999999999</v>
      </c>
      <c r="KM4" s="21">
        <f>IF(KM$1&lt;INDEX('Valo FX'!$Q:$Q,MATCH($A4,'Valo FX'!$A:$A,0)),0,IF(KM$1&lt;INDEX('Valo FX'!$R:$R,MATCH($A4,'Valo FX'!$A:$A,0)),INDEX(Base!$U:$U,MATCH($A4,Base!$A:$A,0)),IF(KM$1=INDEX('Valo FX'!$R:$R,MATCH($A4,'Valo FX'!$A:$A,0)),INDEX(Base!$V:$V,MATCH($A4,Base!$A:$A,0)),0)))</f>
        <v>12.823359999999999</v>
      </c>
      <c r="KN4" s="21">
        <f>IF(KN$1&lt;INDEX('Valo FX'!$Q:$Q,MATCH($A4,'Valo FX'!$A:$A,0)),0,IF(KN$1&lt;INDEX('Valo FX'!$R:$R,MATCH($A4,'Valo FX'!$A:$A,0)),INDEX(Base!$U:$U,MATCH($A4,Base!$A:$A,0)),IF(KN$1=INDEX('Valo FX'!$R:$R,MATCH($A4,'Valo FX'!$A:$A,0)),INDEX(Base!$V:$V,MATCH($A4,Base!$A:$A,0)),0)))</f>
        <v>12.823359999999999</v>
      </c>
      <c r="KO4" s="21">
        <f>IF(KO$1&lt;INDEX('Valo FX'!$Q:$Q,MATCH($A4,'Valo FX'!$A:$A,0)),0,IF(KO$1&lt;INDEX('Valo FX'!$R:$R,MATCH($A4,'Valo FX'!$A:$A,0)),INDEX(Base!$U:$U,MATCH($A4,Base!$A:$A,0)),IF(KO$1=INDEX('Valo FX'!$R:$R,MATCH($A4,'Valo FX'!$A:$A,0)),INDEX(Base!$V:$V,MATCH($A4,Base!$A:$A,0)),0)))</f>
        <v>12.823359999999999</v>
      </c>
      <c r="KP4" s="21">
        <f>IF(KP$1&lt;INDEX('Valo FX'!$Q:$Q,MATCH($A4,'Valo FX'!$A:$A,0)),0,IF(KP$1&lt;INDEX('Valo FX'!$R:$R,MATCH($A4,'Valo FX'!$A:$A,0)),INDEX(Base!$U:$U,MATCH($A4,Base!$A:$A,0)),IF(KP$1=INDEX('Valo FX'!$R:$R,MATCH($A4,'Valo FX'!$A:$A,0)),INDEX(Base!$V:$V,MATCH($A4,Base!$A:$A,0)),0)))</f>
        <v>12.823359999999999</v>
      </c>
      <c r="KQ4" s="21">
        <f>IF(KQ$1&lt;INDEX('Valo FX'!$Q:$Q,MATCH($A4,'Valo FX'!$A:$A,0)),0,IF(KQ$1&lt;INDEX('Valo FX'!$R:$R,MATCH($A4,'Valo FX'!$A:$A,0)),INDEX(Base!$U:$U,MATCH($A4,Base!$A:$A,0)),IF(KQ$1=INDEX('Valo FX'!$R:$R,MATCH($A4,'Valo FX'!$A:$A,0)),INDEX(Base!$V:$V,MATCH($A4,Base!$A:$A,0)),0)))</f>
        <v>12.823359999999999</v>
      </c>
      <c r="KR4" s="21">
        <f>IF(KR$1&lt;INDEX('Valo FX'!$Q:$Q,MATCH($A4,'Valo FX'!$A:$A,0)),0,IF(KR$1&lt;INDEX('Valo FX'!$R:$R,MATCH($A4,'Valo FX'!$A:$A,0)),INDEX(Base!$U:$U,MATCH($A4,Base!$A:$A,0)),IF(KR$1=INDEX('Valo FX'!$R:$R,MATCH($A4,'Valo FX'!$A:$A,0)),INDEX(Base!$V:$V,MATCH($A4,Base!$A:$A,0)),0)))</f>
        <v>12.823359999999999</v>
      </c>
      <c r="KS4" s="21">
        <f>IF(KS$1&lt;INDEX('Valo FX'!$Q:$Q,MATCH($A4,'Valo FX'!$A:$A,0)),0,IF(KS$1&lt;INDEX('Valo FX'!$R:$R,MATCH($A4,'Valo FX'!$A:$A,0)),INDEX(Base!$U:$U,MATCH($A4,Base!$A:$A,0)),IF(KS$1=INDEX('Valo FX'!$R:$R,MATCH($A4,'Valo FX'!$A:$A,0)),INDEX(Base!$V:$V,MATCH($A4,Base!$A:$A,0)),0)))</f>
        <v>12.823359999999999</v>
      </c>
      <c r="KT4" s="21">
        <f>IF(KT$1&lt;INDEX('Valo FX'!$Q:$Q,MATCH($A4,'Valo FX'!$A:$A,0)),0,IF(KT$1&lt;INDEX('Valo FX'!$R:$R,MATCH($A4,'Valo FX'!$A:$A,0)),INDEX(Base!$U:$U,MATCH($A4,Base!$A:$A,0)),IF(KT$1=INDEX('Valo FX'!$R:$R,MATCH($A4,'Valo FX'!$A:$A,0)),INDEX(Base!$V:$V,MATCH($A4,Base!$A:$A,0)),0)))</f>
        <v>12.823359999999999</v>
      </c>
      <c r="KU4" s="21">
        <f>IF(KU$1&lt;INDEX('Valo FX'!$Q:$Q,MATCH($A4,'Valo FX'!$A:$A,0)),0,IF(KU$1&lt;INDEX('Valo FX'!$R:$R,MATCH($A4,'Valo FX'!$A:$A,0)),INDEX(Base!$U:$U,MATCH($A4,Base!$A:$A,0)),IF(KU$1=INDEX('Valo FX'!$R:$R,MATCH($A4,'Valo FX'!$A:$A,0)),INDEX(Base!$V:$V,MATCH($A4,Base!$A:$A,0)),0)))</f>
        <v>12.823359999999999</v>
      </c>
      <c r="KV4" s="21">
        <f>IF(KV$1&lt;INDEX('Valo FX'!$Q:$Q,MATCH($A4,'Valo FX'!$A:$A,0)),0,IF(KV$1&lt;INDEX('Valo FX'!$R:$R,MATCH($A4,'Valo FX'!$A:$A,0)),INDEX(Base!$U:$U,MATCH($A4,Base!$A:$A,0)),IF(KV$1=INDEX('Valo FX'!$R:$R,MATCH($A4,'Valo FX'!$A:$A,0)),INDEX(Base!$V:$V,MATCH($A4,Base!$A:$A,0)),0)))</f>
        <v>12.823359999999999</v>
      </c>
      <c r="KW4" s="21">
        <f>IF(KW$1&lt;INDEX('Valo FX'!$Q:$Q,MATCH($A4,'Valo FX'!$A:$A,0)),0,IF(KW$1&lt;INDEX('Valo FX'!$R:$R,MATCH($A4,'Valo FX'!$A:$A,0)),INDEX(Base!$U:$U,MATCH($A4,Base!$A:$A,0)),IF(KW$1=INDEX('Valo FX'!$R:$R,MATCH($A4,'Valo FX'!$A:$A,0)),INDEX(Base!$V:$V,MATCH($A4,Base!$A:$A,0)),0)))</f>
        <v>12.823359999999999</v>
      </c>
      <c r="KX4" s="21">
        <f>IF(KX$1&lt;INDEX('Valo FX'!$Q:$Q,MATCH($A4,'Valo FX'!$A:$A,0)),0,IF(KX$1&lt;INDEX('Valo FX'!$R:$R,MATCH($A4,'Valo FX'!$A:$A,0)),INDEX(Base!$U:$U,MATCH($A4,Base!$A:$A,0)),IF(KX$1=INDEX('Valo FX'!$R:$R,MATCH($A4,'Valo FX'!$A:$A,0)),INDEX(Base!$V:$V,MATCH($A4,Base!$A:$A,0)),0)))</f>
        <v>12.823359999999999</v>
      </c>
      <c r="KY4" s="21">
        <f>IF(KY$1&lt;INDEX('Valo FX'!$Q:$Q,MATCH($A4,'Valo FX'!$A:$A,0)),0,IF(KY$1&lt;INDEX('Valo FX'!$R:$R,MATCH($A4,'Valo FX'!$A:$A,0)),INDEX(Base!$U:$U,MATCH($A4,Base!$A:$A,0)),IF(KY$1=INDEX('Valo FX'!$R:$R,MATCH($A4,'Valo FX'!$A:$A,0)),INDEX(Base!$V:$V,MATCH($A4,Base!$A:$A,0)),0)))</f>
        <v>12.823359999999999</v>
      </c>
      <c r="KZ4" s="21">
        <f>IF(KZ$1&lt;INDEX('Valo FX'!$Q:$Q,MATCH($A4,'Valo FX'!$A:$A,0)),0,IF(KZ$1&lt;INDEX('Valo FX'!$R:$R,MATCH($A4,'Valo FX'!$A:$A,0)),INDEX(Base!$U:$U,MATCH($A4,Base!$A:$A,0)),IF(KZ$1=INDEX('Valo FX'!$R:$R,MATCH($A4,'Valo FX'!$A:$A,0)),INDEX(Base!$V:$V,MATCH($A4,Base!$A:$A,0)),0)))</f>
        <v>12.823359999999999</v>
      </c>
      <c r="LA4" s="21">
        <f>IF(LA$1&lt;INDEX('Valo FX'!$Q:$Q,MATCH($A4,'Valo FX'!$A:$A,0)),0,IF(LA$1&lt;INDEX('Valo FX'!$R:$R,MATCH($A4,'Valo FX'!$A:$A,0)),INDEX(Base!$U:$U,MATCH($A4,Base!$A:$A,0)),IF(LA$1=INDEX('Valo FX'!$R:$R,MATCH($A4,'Valo FX'!$A:$A,0)),INDEX(Base!$V:$V,MATCH($A4,Base!$A:$A,0)),0)))</f>
        <v>12.823359999999999</v>
      </c>
      <c r="LB4" s="21">
        <f>IF(LB$1&lt;INDEX('Valo FX'!$Q:$Q,MATCH($A4,'Valo FX'!$A:$A,0)),0,IF(LB$1&lt;INDEX('Valo FX'!$R:$R,MATCH($A4,'Valo FX'!$A:$A,0)),INDEX(Base!$U:$U,MATCH($A4,Base!$A:$A,0)),IF(LB$1=INDEX('Valo FX'!$R:$R,MATCH($A4,'Valo FX'!$A:$A,0)),INDEX(Base!$V:$V,MATCH($A4,Base!$A:$A,0)),0)))</f>
        <v>12.823359999999999</v>
      </c>
      <c r="LC4" s="21">
        <f>IF(LC$1&lt;INDEX('Valo FX'!$Q:$Q,MATCH($A4,'Valo FX'!$A:$A,0)),0,IF(LC$1&lt;INDEX('Valo FX'!$R:$R,MATCH($A4,'Valo FX'!$A:$A,0)),INDEX(Base!$U:$U,MATCH($A4,Base!$A:$A,0)),IF(LC$1=INDEX('Valo FX'!$R:$R,MATCH($A4,'Valo FX'!$A:$A,0)),INDEX(Base!$V:$V,MATCH($A4,Base!$A:$A,0)),0)))</f>
        <v>12.823359999999999</v>
      </c>
      <c r="LD4" s="21">
        <f>IF(LD$1&lt;INDEX('Valo FX'!$Q:$Q,MATCH($A4,'Valo FX'!$A:$A,0)),0,IF(LD$1&lt;INDEX('Valo FX'!$R:$R,MATCH($A4,'Valo FX'!$A:$A,0)),INDEX(Base!$U:$U,MATCH($A4,Base!$A:$A,0)),IF(LD$1=INDEX('Valo FX'!$R:$R,MATCH($A4,'Valo FX'!$A:$A,0)),INDEX(Base!$V:$V,MATCH($A4,Base!$A:$A,0)),0)))</f>
        <v>12.823359999999999</v>
      </c>
      <c r="LE4" s="21">
        <f>IF(LE$1&lt;INDEX('Valo FX'!$Q:$Q,MATCH($A4,'Valo FX'!$A:$A,0)),0,IF(LE$1&lt;INDEX('Valo FX'!$R:$R,MATCH($A4,'Valo FX'!$A:$A,0)),INDEX(Base!$U:$U,MATCH($A4,Base!$A:$A,0)),IF(LE$1=INDEX('Valo FX'!$R:$R,MATCH($A4,'Valo FX'!$A:$A,0)),INDEX(Base!$V:$V,MATCH($A4,Base!$A:$A,0)),0)))</f>
        <v>12.823359999999999</v>
      </c>
      <c r="LF4" s="21">
        <f>IF(LF$1&lt;INDEX('Valo FX'!$Q:$Q,MATCH($A4,'Valo FX'!$A:$A,0)),0,IF(LF$1&lt;INDEX('Valo FX'!$R:$R,MATCH($A4,'Valo FX'!$A:$A,0)),INDEX(Base!$U:$U,MATCH($A4,Base!$A:$A,0)),IF(LF$1=INDEX('Valo FX'!$R:$R,MATCH($A4,'Valo FX'!$A:$A,0)),INDEX(Base!$V:$V,MATCH($A4,Base!$A:$A,0)),0)))</f>
        <v>12.823359999999999</v>
      </c>
      <c r="LG4" s="21">
        <f>IF(LG$1&lt;INDEX('Valo FX'!$Q:$Q,MATCH($A4,'Valo FX'!$A:$A,0)),0,IF(LG$1&lt;INDEX('Valo FX'!$R:$R,MATCH($A4,'Valo FX'!$A:$A,0)),INDEX(Base!$U:$U,MATCH($A4,Base!$A:$A,0)),IF(LG$1=INDEX('Valo FX'!$R:$R,MATCH($A4,'Valo FX'!$A:$A,0)),INDEX(Base!$V:$V,MATCH($A4,Base!$A:$A,0)),0)))</f>
        <v>12.823359999999999</v>
      </c>
      <c r="LH4" s="21">
        <f>IF(LH$1&lt;INDEX('Valo FX'!$Q:$Q,MATCH($A4,'Valo FX'!$A:$A,0)),0,IF(LH$1&lt;INDEX('Valo FX'!$R:$R,MATCH($A4,'Valo FX'!$A:$A,0)),INDEX(Base!$U:$U,MATCH($A4,Base!$A:$A,0)),IF(LH$1=INDEX('Valo FX'!$R:$R,MATCH($A4,'Valo FX'!$A:$A,0)),INDEX(Base!$V:$V,MATCH($A4,Base!$A:$A,0)),0)))</f>
        <v>12.823359999999999</v>
      </c>
      <c r="LI4" s="21">
        <f>IF(LI$1&lt;INDEX('Valo FX'!$Q:$Q,MATCH($A4,'Valo FX'!$A:$A,0)),0,IF(LI$1&lt;INDEX('Valo FX'!$R:$R,MATCH($A4,'Valo FX'!$A:$A,0)),INDEX(Base!$U:$U,MATCH($A4,Base!$A:$A,0)),IF(LI$1=INDEX('Valo FX'!$R:$R,MATCH($A4,'Valo FX'!$A:$A,0)),INDEX(Base!$V:$V,MATCH($A4,Base!$A:$A,0)),0)))</f>
        <v>12.823359999999999</v>
      </c>
      <c r="LJ4" s="21">
        <f>IF(LJ$1&lt;INDEX('Valo FX'!$Q:$Q,MATCH($A4,'Valo FX'!$A:$A,0)),0,IF(LJ$1&lt;INDEX('Valo FX'!$R:$R,MATCH($A4,'Valo FX'!$A:$A,0)),INDEX(Base!$U:$U,MATCH($A4,Base!$A:$A,0)),IF(LJ$1=INDEX('Valo FX'!$R:$R,MATCH($A4,'Valo FX'!$A:$A,0)),INDEX(Base!$V:$V,MATCH($A4,Base!$A:$A,0)),0)))</f>
        <v>12.823359999999999</v>
      </c>
      <c r="LK4" s="21">
        <f>IF(LK$1&lt;INDEX('Valo FX'!$Q:$Q,MATCH($A4,'Valo FX'!$A:$A,0)),0,IF(LK$1&lt;INDEX('Valo FX'!$R:$R,MATCH($A4,'Valo FX'!$A:$A,0)),INDEX(Base!$U:$U,MATCH($A4,Base!$A:$A,0)),IF(LK$1=INDEX('Valo FX'!$R:$R,MATCH($A4,'Valo FX'!$A:$A,0)),INDEX(Base!$V:$V,MATCH($A4,Base!$A:$A,0)),0)))</f>
        <v>12.823359999999999</v>
      </c>
      <c r="LL4" s="21">
        <f>IF(LL$1&lt;INDEX('Valo FX'!$Q:$Q,MATCH($A4,'Valo FX'!$A:$A,0)),0,IF(LL$1&lt;INDEX('Valo FX'!$R:$R,MATCH($A4,'Valo FX'!$A:$A,0)),INDEX(Base!$U:$U,MATCH($A4,Base!$A:$A,0)),IF(LL$1=INDEX('Valo FX'!$R:$R,MATCH($A4,'Valo FX'!$A:$A,0)),INDEX(Base!$V:$V,MATCH($A4,Base!$A:$A,0)),0)))</f>
        <v>12.823359999999999</v>
      </c>
      <c r="LM4" s="21">
        <f>IF(LM$1&lt;INDEX('Valo FX'!$Q:$Q,MATCH($A4,'Valo FX'!$A:$A,0)),0,IF(LM$1&lt;INDEX('Valo FX'!$R:$R,MATCH($A4,'Valo FX'!$A:$A,0)),INDEX(Base!$U:$U,MATCH($A4,Base!$A:$A,0)),IF(LM$1=INDEX('Valo FX'!$R:$R,MATCH($A4,'Valo FX'!$A:$A,0)),INDEX(Base!$V:$V,MATCH($A4,Base!$A:$A,0)),0)))</f>
        <v>12.823359999999999</v>
      </c>
      <c r="LN4" s="21">
        <f>IF(LN$1&lt;INDEX('Valo FX'!$Q:$Q,MATCH($A4,'Valo FX'!$A:$A,0)),0,IF(LN$1&lt;INDEX('Valo FX'!$R:$R,MATCH($A4,'Valo FX'!$A:$A,0)),INDEX(Base!$U:$U,MATCH($A4,Base!$A:$A,0)),IF(LN$1=INDEX('Valo FX'!$R:$R,MATCH($A4,'Valo FX'!$A:$A,0)),INDEX(Base!$V:$V,MATCH($A4,Base!$A:$A,0)),0)))</f>
        <v>12.823359999999999</v>
      </c>
      <c r="LO4" s="21">
        <f>IF(LO$1&lt;INDEX('Valo FX'!$Q:$Q,MATCH($A4,'Valo FX'!$A:$A,0)),0,IF(LO$1&lt;INDEX('Valo FX'!$R:$R,MATCH($A4,'Valo FX'!$A:$A,0)),INDEX(Base!$U:$U,MATCH($A4,Base!$A:$A,0)),IF(LO$1=INDEX('Valo FX'!$R:$R,MATCH($A4,'Valo FX'!$A:$A,0)),INDEX(Base!$V:$V,MATCH($A4,Base!$A:$A,0)),0)))</f>
        <v>12.823359999999999</v>
      </c>
      <c r="LP4" s="21">
        <f>IF(LP$1&lt;INDEX('Valo FX'!$Q:$Q,MATCH($A4,'Valo FX'!$A:$A,0)),0,IF(LP$1&lt;INDEX('Valo FX'!$R:$R,MATCH($A4,'Valo FX'!$A:$A,0)),INDEX(Base!$U:$U,MATCH($A4,Base!$A:$A,0)),IF(LP$1=INDEX('Valo FX'!$R:$R,MATCH($A4,'Valo FX'!$A:$A,0)),INDEX(Base!$V:$V,MATCH($A4,Base!$A:$A,0)),0)))</f>
        <v>12.823359999999999</v>
      </c>
      <c r="LQ4" s="21">
        <f>IF(LQ$1&lt;INDEX('Valo FX'!$Q:$Q,MATCH($A4,'Valo FX'!$A:$A,0)),0,IF(LQ$1&lt;INDEX('Valo FX'!$R:$R,MATCH($A4,'Valo FX'!$A:$A,0)),INDEX(Base!$U:$U,MATCH($A4,Base!$A:$A,0)),IF(LQ$1=INDEX('Valo FX'!$R:$R,MATCH($A4,'Valo FX'!$A:$A,0)),INDEX(Base!$V:$V,MATCH($A4,Base!$A:$A,0)),0)))</f>
        <v>12.823359999999999</v>
      </c>
      <c r="LR4" s="21">
        <f>IF(LR$1&lt;INDEX('Valo FX'!$Q:$Q,MATCH($A4,'Valo FX'!$A:$A,0)),0,IF(LR$1&lt;INDEX('Valo FX'!$R:$R,MATCH($A4,'Valo FX'!$A:$A,0)),INDEX(Base!$U:$U,MATCH($A4,Base!$A:$A,0)),IF(LR$1=INDEX('Valo FX'!$R:$R,MATCH($A4,'Valo FX'!$A:$A,0)),INDEX(Base!$V:$V,MATCH($A4,Base!$A:$A,0)),0)))</f>
        <v>12.823359999999999</v>
      </c>
      <c r="LS4" s="21">
        <f>IF(LS$1&lt;INDEX('Valo FX'!$Q:$Q,MATCH($A4,'Valo FX'!$A:$A,0)),0,IF(LS$1&lt;INDEX('Valo FX'!$R:$R,MATCH($A4,'Valo FX'!$A:$A,0)),INDEX(Base!$U:$U,MATCH($A4,Base!$A:$A,0)),IF(LS$1=INDEX('Valo FX'!$R:$R,MATCH($A4,'Valo FX'!$A:$A,0)),INDEX(Base!$V:$V,MATCH($A4,Base!$A:$A,0)),0)))</f>
        <v>12.823359999999999</v>
      </c>
      <c r="LT4" s="21">
        <f>IF(LT$1&lt;INDEX('Valo FX'!$Q:$Q,MATCH($A4,'Valo FX'!$A:$A,0)),0,IF(LT$1&lt;INDEX('Valo FX'!$R:$R,MATCH($A4,'Valo FX'!$A:$A,0)),INDEX(Base!$U:$U,MATCH($A4,Base!$A:$A,0)),IF(LT$1=INDEX('Valo FX'!$R:$R,MATCH($A4,'Valo FX'!$A:$A,0)),INDEX(Base!$V:$V,MATCH($A4,Base!$A:$A,0)),0)))</f>
        <v>12.823359999999999</v>
      </c>
      <c r="LU4" s="21">
        <f>IF(LU$1&lt;INDEX('Valo FX'!$Q:$Q,MATCH($A4,'Valo FX'!$A:$A,0)),0,IF(LU$1&lt;INDEX('Valo FX'!$R:$R,MATCH($A4,'Valo FX'!$A:$A,0)),INDEX(Base!$U:$U,MATCH($A4,Base!$A:$A,0)),IF(LU$1=INDEX('Valo FX'!$R:$R,MATCH($A4,'Valo FX'!$A:$A,0)),INDEX(Base!$V:$V,MATCH($A4,Base!$A:$A,0)),0)))</f>
        <v>12.823359999999999</v>
      </c>
      <c r="LV4" s="21">
        <f>IF(LV$1&lt;INDEX('Valo FX'!$Q:$Q,MATCH($A4,'Valo FX'!$A:$A,0)),0,IF(LV$1&lt;INDEX('Valo FX'!$R:$R,MATCH($A4,'Valo FX'!$A:$A,0)),INDEX(Base!$U:$U,MATCH($A4,Base!$A:$A,0)),IF(LV$1=INDEX('Valo FX'!$R:$R,MATCH($A4,'Valo FX'!$A:$A,0)),INDEX(Base!$V:$V,MATCH($A4,Base!$A:$A,0)),0)))</f>
        <v>12.823359999999999</v>
      </c>
      <c r="LW4" s="21">
        <f>IF(LW$1&lt;INDEX('Valo FX'!$Q:$Q,MATCH($A4,'Valo FX'!$A:$A,0)),0,IF(LW$1&lt;INDEX('Valo FX'!$R:$R,MATCH($A4,'Valo FX'!$A:$A,0)),INDEX(Base!$U:$U,MATCH($A4,Base!$A:$A,0)),IF(LW$1=INDEX('Valo FX'!$R:$R,MATCH($A4,'Valo FX'!$A:$A,0)),INDEX(Base!$V:$V,MATCH($A4,Base!$A:$A,0)),0)))</f>
        <v>12.823359999999999</v>
      </c>
      <c r="LX4" s="21">
        <f>IF(LX$1&lt;INDEX('Valo FX'!$Q:$Q,MATCH($A4,'Valo FX'!$A:$A,0)),0,IF(LX$1&lt;INDEX('Valo FX'!$R:$R,MATCH($A4,'Valo FX'!$A:$A,0)),INDEX(Base!$U:$U,MATCH($A4,Base!$A:$A,0)),IF(LX$1=INDEX('Valo FX'!$R:$R,MATCH($A4,'Valo FX'!$A:$A,0)),INDEX(Base!$V:$V,MATCH($A4,Base!$A:$A,0)),0)))</f>
        <v>12.823359999999999</v>
      </c>
      <c r="LY4" s="21">
        <f>IF(LY$1&lt;INDEX('Valo FX'!$Q:$Q,MATCH($A4,'Valo FX'!$A:$A,0)),0,IF(LY$1&lt;INDEX('Valo FX'!$R:$R,MATCH($A4,'Valo FX'!$A:$A,0)),INDEX(Base!$U:$U,MATCH($A4,Base!$A:$A,0)),IF(LY$1=INDEX('Valo FX'!$R:$R,MATCH($A4,'Valo FX'!$A:$A,0)),INDEX(Base!$V:$V,MATCH($A4,Base!$A:$A,0)),0)))</f>
        <v>12.823359999999999</v>
      </c>
      <c r="LZ4" s="21">
        <f>IF(LZ$1&lt;INDEX('Valo FX'!$Q:$Q,MATCH($A4,'Valo FX'!$A:$A,0)),0,IF(LZ$1&lt;INDEX('Valo FX'!$R:$R,MATCH($A4,'Valo FX'!$A:$A,0)),INDEX(Base!$U:$U,MATCH($A4,Base!$A:$A,0)),IF(LZ$1=INDEX('Valo FX'!$R:$R,MATCH($A4,'Valo FX'!$A:$A,0)),INDEX(Base!$V:$V,MATCH($A4,Base!$A:$A,0)),0)))</f>
        <v>12.823359999999999</v>
      </c>
      <c r="MA4" s="21">
        <f>IF(MA$1&lt;INDEX('Valo FX'!$Q:$Q,MATCH($A4,'Valo FX'!$A:$A,0)),0,IF(MA$1&lt;INDEX('Valo FX'!$R:$R,MATCH($A4,'Valo FX'!$A:$A,0)),INDEX(Base!$U:$U,MATCH($A4,Base!$A:$A,0)),IF(MA$1=INDEX('Valo FX'!$R:$R,MATCH($A4,'Valo FX'!$A:$A,0)),INDEX(Base!$V:$V,MATCH($A4,Base!$A:$A,0)),0)))</f>
        <v>12.823359999999999</v>
      </c>
      <c r="MB4" s="21">
        <f>IF(MB$1&lt;INDEX('Valo FX'!$Q:$Q,MATCH($A4,'Valo FX'!$A:$A,0)),0,IF(MB$1&lt;INDEX('Valo FX'!$R:$R,MATCH($A4,'Valo FX'!$A:$A,0)),INDEX(Base!$U:$U,MATCH($A4,Base!$A:$A,0)),IF(MB$1=INDEX('Valo FX'!$R:$R,MATCH($A4,'Valo FX'!$A:$A,0)),INDEX(Base!$V:$V,MATCH($A4,Base!$A:$A,0)),0)))</f>
        <v>12.823359999999999</v>
      </c>
      <c r="MC4" s="21">
        <f>IF(MC$1&lt;INDEX('Valo FX'!$Q:$Q,MATCH($A4,'Valo FX'!$A:$A,0)),0,IF(MC$1&lt;INDEX('Valo FX'!$R:$R,MATCH($A4,'Valo FX'!$A:$A,0)),INDEX(Base!$U:$U,MATCH($A4,Base!$A:$A,0)),IF(MC$1=INDEX('Valo FX'!$R:$R,MATCH($A4,'Valo FX'!$A:$A,0)),INDEX(Base!$V:$V,MATCH($A4,Base!$A:$A,0)),0)))</f>
        <v>12.823359999999999</v>
      </c>
      <c r="MD4" s="21">
        <f>IF(MD$1&lt;INDEX('Valo FX'!$Q:$Q,MATCH($A4,'Valo FX'!$A:$A,0)),0,IF(MD$1&lt;INDEX('Valo FX'!$R:$R,MATCH($A4,'Valo FX'!$A:$A,0)),INDEX(Base!$U:$U,MATCH($A4,Base!$A:$A,0)),IF(MD$1=INDEX('Valo FX'!$R:$R,MATCH($A4,'Valo FX'!$A:$A,0)),INDEX(Base!$V:$V,MATCH($A4,Base!$A:$A,0)),0)))</f>
        <v>12.823359999999999</v>
      </c>
      <c r="ME4" s="21">
        <f>IF(ME$1&lt;INDEX('Valo FX'!$Q:$Q,MATCH($A4,'Valo FX'!$A:$A,0)),0,IF(ME$1&lt;INDEX('Valo FX'!$R:$R,MATCH($A4,'Valo FX'!$A:$A,0)),INDEX(Base!$U:$U,MATCH($A4,Base!$A:$A,0)),IF(ME$1=INDEX('Valo FX'!$R:$R,MATCH($A4,'Valo FX'!$A:$A,0)),INDEX(Base!$V:$V,MATCH($A4,Base!$A:$A,0)),0)))</f>
        <v>12.823359999999999</v>
      </c>
      <c r="MF4" s="21">
        <f>IF(MF$1&lt;INDEX('Valo FX'!$Q:$Q,MATCH($A4,'Valo FX'!$A:$A,0)),0,IF(MF$1&lt;INDEX('Valo FX'!$R:$R,MATCH($A4,'Valo FX'!$A:$A,0)),INDEX(Base!$U:$U,MATCH($A4,Base!$A:$A,0)),IF(MF$1=INDEX('Valo FX'!$R:$R,MATCH($A4,'Valo FX'!$A:$A,0)),INDEX(Base!$V:$V,MATCH($A4,Base!$A:$A,0)),0)))</f>
        <v>12.823359999999999</v>
      </c>
      <c r="MG4" s="21">
        <f>IF(MG$1&lt;INDEX('Valo FX'!$Q:$Q,MATCH($A4,'Valo FX'!$A:$A,0)),0,IF(MG$1&lt;INDEX('Valo FX'!$R:$R,MATCH($A4,'Valo FX'!$A:$A,0)),INDEX(Base!$U:$U,MATCH($A4,Base!$A:$A,0)),IF(MG$1=INDEX('Valo FX'!$R:$R,MATCH($A4,'Valo FX'!$A:$A,0)),INDEX(Base!$V:$V,MATCH($A4,Base!$A:$A,0)),0)))</f>
        <v>12.823359999999999</v>
      </c>
      <c r="MH4" s="21">
        <f>IF(MH$1&lt;INDEX('Valo FX'!$Q:$Q,MATCH($A4,'Valo FX'!$A:$A,0)),0,IF(MH$1&lt;INDEX('Valo FX'!$R:$R,MATCH($A4,'Valo FX'!$A:$A,0)),INDEX(Base!$U:$U,MATCH($A4,Base!$A:$A,0)),IF(MH$1=INDEX('Valo FX'!$R:$R,MATCH($A4,'Valo FX'!$A:$A,0)),INDEX(Base!$V:$V,MATCH($A4,Base!$A:$A,0)),0)))</f>
        <v>12.823359999999999</v>
      </c>
      <c r="MI4" s="21">
        <f>IF(MI$1&lt;INDEX('Valo FX'!$Q:$Q,MATCH($A4,'Valo FX'!$A:$A,0)),0,IF(MI$1&lt;INDEX('Valo FX'!$R:$R,MATCH($A4,'Valo FX'!$A:$A,0)),INDEX(Base!$U:$U,MATCH($A4,Base!$A:$A,0)),IF(MI$1=INDEX('Valo FX'!$R:$R,MATCH($A4,'Valo FX'!$A:$A,0)),INDEX(Base!$V:$V,MATCH($A4,Base!$A:$A,0)),0)))</f>
        <v>12.823359999999999</v>
      </c>
      <c r="MJ4" s="21">
        <f>IF(MJ$1&lt;INDEX('Valo FX'!$Q:$Q,MATCH($A4,'Valo FX'!$A:$A,0)),0,IF(MJ$1&lt;INDEX('Valo FX'!$R:$R,MATCH($A4,'Valo FX'!$A:$A,0)),INDEX(Base!$U:$U,MATCH($A4,Base!$A:$A,0)),IF(MJ$1=INDEX('Valo FX'!$R:$R,MATCH($A4,'Valo FX'!$A:$A,0)),INDEX(Base!$V:$V,MATCH($A4,Base!$A:$A,0)),0)))</f>
        <v>12.823359999999999</v>
      </c>
      <c r="MK4" s="21">
        <f>IF(MK$1&lt;INDEX('Valo FX'!$Q:$Q,MATCH($A4,'Valo FX'!$A:$A,0)),0,IF(MK$1&lt;INDEX('Valo FX'!$R:$R,MATCH($A4,'Valo FX'!$A:$A,0)),INDEX(Base!$U:$U,MATCH($A4,Base!$A:$A,0)),IF(MK$1=INDEX('Valo FX'!$R:$R,MATCH($A4,'Valo FX'!$A:$A,0)),INDEX(Base!$V:$V,MATCH($A4,Base!$A:$A,0)),0)))</f>
        <v>12.823359999999999</v>
      </c>
      <c r="ML4" s="21">
        <f>IF(ML$1&lt;INDEX('Valo FX'!$Q:$Q,MATCH($A4,'Valo FX'!$A:$A,0)),0,IF(ML$1&lt;INDEX('Valo FX'!$R:$R,MATCH($A4,'Valo FX'!$A:$A,0)),INDEX(Base!$U:$U,MATCH($A4,Base!$A:$A,0)),IF(ML$1=INDEX('Valo FX'!$R:$R,MATCH($A4,'Valo FX'!$A:$A,0)),INDEX(Base!$V:$V,MATCH($A4,Base!$A:$A,0)),0)))</f>
        <v>12.823359999999999</v>
      </c>
      <c r="MM4" s="21">
        <f>IF(MM$1&lt;INDEX('Valo FX'!$Q:$Q,MATCH($A4,'Valo FX'!$A:$A,0)),0,IF(MM$1&lt;INDEX('Valo FX'!$R:$R,MATCH($A4,'Valo FX'!$A:$A,0)),INDEX(Base!$U:$U,MATCH($A4,Base!$A:$A,0)),IF(MM$1=INDEX('Valo FX'!$R:$R,MATCH($A4,'Valo FX'!$A:$A,0)),INDEX(Base!$V:$V,MATCH($A4,Base!$A:$A,0)),0)))</f>
        <v>12.823359999999999</v>
      </c>
      <c r="MN4" s="21">
        <f>IF(MN$1&lt;INDEX('Valo FX'!$Q:$Q,MATCH($A4,'Valo FX'!$A:$A,0)),0,IF(MN$1&lt;INDEX('Valo FX'!$R:$R,MATCH($A4,'Valo FX'!$A:$A,0)),INDEX(Base!$U:$U,MATCH($A4,Base!$A:$A,0)),IF(MN$1=INDEX('Valo FX'!$R:$R,MATCH($A4,'Valo FX'!$A:$A,0)),INDEX(Base!$V:$V,MATCH($A4,Base!$A:$A,0)),0)))</f>
        <v>12.823359999999999</v>
      </c>
      <c r="MO4" s="21">
        <f>IF(MO$1&lt;INDEX('Valo FX'!$Q:$Q,MATCH($A4,'Valo FX'!$A:$A,0)),0,IF(MO$1&lt;INDEX('Valo FX'!$R:$R,MATCH($A4,'Valo FX'!$A:$A,0)),INDEX(Base!$U:$U,MATCH($A4,Base!$A:$A,0)),IF(MO$1=INDEX('Valo FX'!$R:$R,MATCH($A4,'Valo FX'!$A:$A,0)),INDEX(Base!$V:$V,MATCH($A4,Base!$A:$A,0)),0)))</f>
        <v>12.823359999999999</v>
      </c>
      <c r="MP4" s="21">
        <f>IF(MP$1&lt;INDEX('Valo FX'!$Q:$Q,MATCH($A4,'Valo FX'!$A:$A,0)),0,IF(MP$1&lt;INDEX('Valo FX'!$R:$R,MATCH($A4,'Valo FX'!$A:$A,0)),INDEX(Base!$U:$U,MATCH($A4,Base!$A:$A,0)),IF(MP$1=INDEX('Valo FX'!$R:$R,MATCH($A4,'Valo FX'!$A:$A,0)),INDEX(Base!$V:$V,MATCH($A4,Base!$A:$A,0)),0)))</f>
        <v>12.823359999999999</v>
      </c>
      <c r="MQ4" s="21">
        <f>IF(MQ$1&lt;INDEX('Valo FX'!$Q:$Q,MATCH($A4,'Valo FX'!$A:$A,0)),0,IF(MQ$1&lt;INDEX('Valo FX'!$R:$R,MATCH($A4,'Valo FX'!$A:$A,0)),INDEX(Base!$U:$U,MATCH($A4,Base!$A:$A,0)),IF(MQ$1=INDEX('Valo FX'!$R:$R,MATCH($A4,'Valo FX'!$A:$A,0)),INDEX(Base!$V:$V,MATCH($A4,Base!$A:$A,0)),0)))</f>
        <v>12.823359999999999</v>
      </c>
      <c r="MR4" s="21">
        <f>IF(MR$1&lt;INDEX('Valo FX'!$Q:$Q,MATCH($A4,'Valo FX'!$A:$A,0)),0,IF(MR$1&lt;INDEX('Valo FX'!$R:$R,MATCH($A4,'Valo FX'!$A:$A,0)),INDEX(Base!$U:$U,MATCH($A4,Base!$A:$A,0)),IF(MR$1=INDEX('Valo FX'!$R:$R,MATCH($A4,'Valo FX'!$A:$A,0)),INDEX(Base!$V:$V,MATCH($A4,Base!$A:$A,0)),0)))</f>
        <v>12.823359999999999</v>
      </c>
      <c r="MS4" s="21">
        <f>IF(MS$1&lt;INDEX('Valo FX'!$Q:$Q,MATCH($A4,'Valo FX'!$A:$A,0)),0,IF(MS$1&lt;INDEX('Valo FX'!$R:$R,MATCH($A4,'Valo FX'!$A:$A,0)),INDEX(Base!$U:$U,MATCH($A4,Base!$A:$A,0)),IF(MS$1=INDEX('Valo FX'!$R:$R,MATCH($A4,'Valo FX'!$A:$A,0)),INDEX(Base!$V:$V,MATCH($A4,Base!$A:$A,0)),0)))</f>
        <v>12.823359999999999</v>
      </c>
      <c r="MT4" s="21">
        <f>IF(MT$1&lt;INDEX('Valo FX'!$Q:$Q,MATCH($A4,'Valo FX'!$A:$A,0)),0,IF(MT$1&lt;INDEX('Valo FX'!$R:$R,MATCH($A4,'Valo FX'!$A:$A,0)),INDEX(Base!$U:$U,MATCH($A4,Base!$A:$A,0)),IF(MT$1=INDEX('Valo FX'!$R:$R,MATCH($A4,'Valo FX'!$A:$A,0)),INDEX(Base!$V:$V,MATCH($A4,Base!$A:$A,0)),0)))</f>
        <v>12.823359999999999</v>
      </c>
      <c r="MU4" s="21">
        <f>IF(MU$1&lt;INDEX('Valo FX'!$Q:$Q,MATCH($A4,'Valo FX'!$A:$A,0)),0,IF(MU$1&lt;INDEX('Valo FX'!$R:$R,MATCH($A4,'Valo FX'!$A:$A,0)),INDEX(Base!$U:$U,MATCH($A4,Base!$A:$A,0)),IF(MU$1=INDEX('Valo FX'!$R:$R,MATCH($A4,'Valo FX'!$A:$A,0)),INDEX(Base!$V:$V,MATCH($A4,Base!$A:$A,0)),0)))</f>
        <v>12.823359999999999</v>
      </c>
      <c r="MV4" s="21">
        <f>IF(MV$1&lt;INDEX('Valo FX'!$Q:$Q,MATCH($A4,'Valo FX'!$A:$A,0)),0,IF(MV$1&lt;INDEX('Valo FX'!$R:$R,MATCH($A4,'Valo FX'!$A:$A,0)),INDEX(Base!$U:$U,MATCH($A4,Base!$A:$A,0)),IF(MV$1=INDEX('Valo FX'!$R:$R,MATCH($A4,'Valo FX'!$A:$A,0)),INDEX(Base!$V:$V,MATCH($A4,Base!$A:$A,0)),0)))</f>
        <v>12.823359999999999</v>
      </c>
      <c r="MW4" s="21">
        <f>IF(MW$1&lt;INDEX('Valo FX'!$Q:$Q,MATCH($A4,'Valo FX'!$A:$A,0)),0,IF(MW$1&lt;INDEX('Valo FX'!$R:$R,MATCH($A4,'Valo FX'!$A:$A,0)),INDEX(Base!$U:$U,MATCH($A4,Base!$A:$A,0)),IF(MW$1=INDEX('Valo FX'!$R:$R,MATCH($A4,'Valo FX'!$A:$A,0)),INDEX(Base!$V:$V,MATCH($A4,Base!$A:$A,0)),0)))</f>
        <v>12.823359999999999</v>
      </c>
      <c r="MX4" s="21">
        <f>IF(MX$1&lt;INDEX('Valo FX'!$Q:$Q,MATCH($A4,'Valo FX'!$A:$A,0)),0,IF(MX$1&lt;INDEX('Valo FX'!$R:$R,MATCH($A4,'Valo FX'!$A:$A,0)),INDEX(Base!$U:$U,MATCH($A4,Base!$A:$A,0)),IF(MX$1=INDEX('Valo FX'!$R:$R,MATCH($A4,'Valo FX'!$A:$A,0)),INDEX(Base!$V:$V,MATCH($A4,Base!$A:$A,0)),0)))</f>
        <v>13.870559999999999</v>
      </c>
      <c r="MY4" s="21">
        <f>IF(MY$1&lt;INDEX('Valo FX'!$Q:$Q,MATCH($A4,'Valo FX'!$A:$A,0)),0,IF(MY$1&lt;INDEX('Valo FX'!$R:$R,MATCH($A4,'Valo FX'!$A:$A,0)),INDEX(Base!$U:$U,MATCH($A4,Base!$A:$A,0)),IF(MY$1=INDEX('Valo FX'!$R:$R,MATCH($A4,'Valo FX'!$A:$A,0)),INDEX(Base!$V:$V,MATCH($A4,Base!$A:$A,0)),0)))</f>
        <v>0</v>
      </c>
    </row>
    <row r="5" spans="1:363" x14ac:dyDescent="0.25">
      <c r="A5" s="7">
        <f>+'Valo FX'!A6</f>
        <v>3</v>
      </c>
      <c r="B5" s="59">
        <f>-'Valo FX'!T6</f>
        <v>-1535.594116221715</v>
      </c>
      <c r="C5" s="21">
        <f>IF(C$1&lt;INDEX('Valo FX'!$Q:$Q,MATCH($A5,'Valo FX'!$A:$A,0)),0,IF(C$1&lt;INDEX('Valo FX'!$R:$R,MATCH($A5,'Valo FX'!$A:$A,0)),INDEX(Base!$U:$U,MATCH($A5,Base!$A:$A,0)),IF(C$1=INDEX('Valo FX'!$R:$R,MATCH($A5,'Valo FX'!$A:$A,0)),INDEX(Base!$V:$V,MATCH($A5,Base!$A:$A,0)),0)))</f>
        <v>0</v>
      </c>
      <c r="D5" s="21">
        <f>IF(D$1&lt;INDEX('Valo FX'!$Q:$Q,MATCH($A5,'Valo FX'!$A:$A,0)),0,IF(D$1&lt;INDEX('Valo FX'!$R:$R,MATCH($A5,'Valo FX'!$A:$A,0)),INDEX(Base!$U:$U,MATCH($A5,Base!$A:$A,0)),IF(D$1=INDEX('Valo FX'!$R:$R,MATCH($A5,'Valo FX'!$A:$A,0)),INDEX(Base!$V:$V,MATCH($A5,Base!$A:$A,0)),0)))</f>
        <v>0</v>
      </c>
      <c r="E5" s="21">
        <f>IF(E$1&lt;INDEX('Valo FX'!$Q:$Q,MATCH($A5,'Valo FX'!$A:$A,0)),0,IF(E$1&lt;INDEX('Valo FX'!$R:$R,MATCH($A5,'Valo FX'!$A:$A,0)),INDEX(Base!$U:$U,MATCH($A5,Base!$A:$A,0)),IF(E$1=INDEX('Valo FX'!$R:$R,MATCH($A5,'Valo FX'!$A:$A,0)),INDEX(Base!$V:$V,MATCH($A5,Base!$A:$A,0)),0)))</f>
        <v>0</v>
      </c>
      <c r="F5" s="21">
        <f>IF(F$1&lt;INDEX('Valo FX'!$Q:$Q,MATCH($A5,'Valo FX'!$A:$A,0)),0,IF(F$1&lt;INDEX('Valo FX'!$R:$R,MATCH($A5,'Valo FX'!$A:$A,0)),INDEX(Base!$U:$U,MATCH($A5,Base!$A:$A,0)),IF(F$1=INDEX('Valo FX'!$R:$R,MATCH($A5,'Valo FX'!$A:$A,0)),INDEX(Base!$V:$V,MATCH($A5,Base!$A:$A,0)),0)))</f>
        <v>0</v>
      </c>
      <c r="G5" s="21">
        <f>IF(G$1&lt;INDEX('Valo FX'!$Q:$Q,MATCH($A5,'Valo FX'!$A:$A,0)),0,IF(G$1&lt;INDEX('Valo FX'!$R:$R,MATCH($A5,'Valo FX'!$A:$A,0)),INDEX(Base!$U:$U,MATCH($A5,Base!$A:$A,0)),IF(G$1=INDEX('Valo FX'!$R:$R,MATCH($A5,'Valo FX'!$A:$A,0)),INDEX(Base!$V:$V,MATCH($A5,Base!$A:$A,0)),0)))</f>
        <v>0</v>
      </c>
      <c r="H5" s="21">
        <f>IF(H$1&lt;INDEX('Valo FX'!$Q:$Q,MATCH($A5,'Valo FX'!$A:$A,0)),0,IF(H$1&lt;INDEX('Valo FX'!$R:$R,MATCH($A5,'Valo FX'!$A:$A,0)),INDEX(Base!$U:$U,MATCH($A5,Base!$A:$A,0)),IF(H$1=INDEX('Valo FX'!$R:$R,MATCH($A5,'Valo FX'!$A:$A,0)),INDEX(Base!$V:$V,MATCH($A5,Base!$A:$A,0)),0)))</f>
        <v>13.151160000000001</v>
      </c>
      <c r="I5" s="21">
        <f>IF(I$1&lt;INDEX('Valo FX'!$Q:$Q,MATCH($A5,'Valo FX'!$A:$A,0)),0,IF(I$1&lt;INDEX('Valo FX'!$R:$R,MATCH($A5,'Valo FX'!$A:$A,0)),INDEX(Base!$U:$U,MATCH($A5,Base!$A:$A,0)),IF(I$1=INDEX('Valo FX'!$R:$R,MATCH($A5,'Valo FX'!$A:$A,0)),INDEX(Base!$V:$V,MATCH($A5,Base!$A:$A,0)),0)))</f>
        <v>13.151160000000001</v>
      </c>
      <c r="J5" s="21">
        <f>IF(J$1&lt;INDEX('Valo FX'!$Q:$Q,MATCH($A5,'Valo FX'!$A:$A,0)),0,IF(J$1&lt;INDEX('Valo FX'!$R:$R,MATCH($A5,'Valo FX'!$A:$A,0)),INDEX(Base!$U:$U,MATCH($A5,Base!$A:$A,0)),IF(J$1=INDEX('Valo FX'!$R:$R,MATCH($A5,'Valo FX'!$A:$A,0)),INDEX(Base!$V:$V,MATCH($A5,Base!$A:$A,0)),0)))</f>
        <v>13.151160000000001</v>
      </c>
      <c r="K5" s="21">
        <f>IF(K$1&lt;INDEX('Valo FX'!$Q:$Q,MATCH($A5,'Valo FX'!$A:$A,0)),0,IF(K$1&lt;INDEX('Valo FX'!$R:$R,MATCH($A5,'Valo FX'!$A:$A,0)),INDEX(Base!$U:$U,MATCH($A5,Base!$A:$A,0)),IF(K$1=INDEX('Valo FX'!$R:$R,MATCH($A5,'Valo FX'!$A:$A,0)),INDEX(Base!$V:$V,MATCH($A5,Base!$A:$A,0)),0)))</f>
        <v>13.151160000000001</v>
      </c>
      <c r="L5" s="21">
        <f>IF(L$1&lt;INDEX('Valo FX'!$Q:$Q,MATCH($A5,'Valo FX'!$A:$A,0)),0,IF(L$1&lt;INDEX('Valo FX'!$R:$R,MATCH($A5,'Valo FX'!$A:$A,0)),INDEX(Base!$U:$U,MATCH($A5,Base!$A:$A,0)),IF(L$1=INDEX('Valo FX'!$R:$R,MATCH($A5,'Valo FX'!$A:$A,0)),INDEX(Base!$V:$V,MATCH($A5,Base!$A:$A,0)),0)))</f>
        <v>13.151160000000001</v>
      </c>
      <c r="M5" s="21">
        <f>IF(M$1&lt;INDEX('Valo FX'!$Q:$Q,MATCH($A5,'Valo FX'!$A:$A,0)),0,IF(M$1&lt;INDEX('Valo FX'!$R:$R,MATCH($A5,'Valo FX'!$A:$A,0)),INDEX(Base!$U:$U,MATCH($A5,Base!$A:$A,0)),IF(M$1=INDEX('Valo FX'!$R:$R,MATCH($A5,'Valo FX'!$A:$A,0)),INDEX(Base!$V:$V,MATCH($A5,Base!$A:$A,0)),0)))</f>
        <v>13.151160000000001</v>
      </c>
      <c r="N5" s="21">
        <f>IF(N$1&lt;INDEX('Valo FX'!$Q:$Q,MATCH($A5,'Valo FX'!$A:$A,0)),0,IF(N$1&lt;INDEX('Valo FX'!$R:$R,MATCH($A5,'Valo FX'!$A:$A,0)),INDEX(Base!$U:$U,MATCH($A5,Base!$A:$A,0)),IF(N$1=INDEX('Valo FX'!$R:$R,MATCH($A5,'Valo FX'!$A:$A,0)),INDEX(Base!$V:$V,MATCH($A5,Base!$A:$A,0)),0)))</f>
        <v>13.151160000000001</v>
      </c>
      <c r="O5" s="21">
        <f>IF(O$1&lt;INDEX('Valo FX'!$Q:$Q,MATCH($A5,'Valo FX'!$A:$A,0)),0,IF(O$1&lt;INDEX('Valo FX'!$R:$R,MATCH($A5,'Valo FX'!$A:$A,0)),INDEX(Base!$U:$U,MATCH($A5,Base!$A:$A,0)),IF(O$1=INDEX('Valo FX'!$R:$R,MATCH($A5,'Valo FX'!$A:$A,0)),INDEX(Base!$V:$V,MATCH($A5,Base!$A:$A,0)),0)))</f>
        <v>13.151160000000001</v>
      </c>
      <c r="P5" s="21">
        <f>IF(P$1&lt;INDEX('Valo FX'!$Q:$Q,MATCH($A5,'Valo FX'!$A:$A,0)),0,IF(P$1&lt;INDEX('Valo FX'!$R:$R,MATCH($A5,'Valo FX'!$A:$A,0)),INDEX(Base!$U:$U,MATCH($A5,Base!$A:$A,0)),IF(P$1=INDEX('Valo FX'!$R:$R,MATCH($A5,'Valo FX'!$A:$A,0)),INDEX(Base!$V:$V,MATCH($A5,Base!$A:$A,0)),0)))</f>
        <v>13.151160000000001</v>
      </c>
      <c r="Q5" s="21">
        <f>IF(Q$1&lt;INDEX('Valo FX'!$Q:$Q,MATCH($A5,'Valo FX'!$A:$A,0)),0,IF(Q$1&lt;INDEX('Valo FX'!$R:$R,MATCH($A5,'Valo FX'!$A:$A,0)),INDEX(Base!$U:$U,MATCH($A5,Base!$A:$A,0)),IF(Q$1=INDEX('Valo FX'!$R:$R,MATCH($A5,'Valo FX'!$A:$A,0)),INDEX(Base!$V:$V,MATCH($A5,Base!$A:$A,0)),0)))</f>
        <v>13.151160000000001</v>
      </c>
      <c r="R5" s="21">
        <f>IF(R$1&lt;INDEX('Valo FX'!$Q:$Q,MATCH($A5,'Valo FX'!$A:$A,0)),0,IF(R$1&lt;INDEX('Valo FX'!$R:$R,MATCH($A5,'Valo FX'!$A:$A,0)),INDEX(Base!$U:$U,MATCH($A5,Base!$A:$A,0)),IF(R$1=INDEX('Valo FX'!$R:$R,MATCH($A5,'Valo FX'!$A:$A,0)),INDEX(Base!$V:$V,MATCH($A5,Base!$A:$A,0)),0)))</f>
        <v>13.151160000000001</v>
      </c>
      <c r="S5" s="21">
        <f>IF(S$1&lt;INDEX('Valo FX'!$Q:$Q,MATCH($A5,'Valo FX'!$A:$A,0)),0,IF(S$1&lt;INDEX('Valo FX'!$R:$R,MATCH($A5,'Valo FX'!$A:$A,0)),INDEX(Base!$U:$U,MATCH($A5,Base!$A:$A,0)),IF(S$1=INDEX('Valo FX'!$R:$R,MATCH($A5,'Valo FX'!$A:$A,0)),INDEX(Base!$V:$V,MATCH($A5,Base!$A:$A,0)),0)))</f>
        <v>13.151160000000001</v>
      </c>
      <c r="T5" s="21">
        <f>IF(T$1&lt;INDEX('Valo FX'!$Q:$Q,MATCH($A5,'Valo FX'!$A:$A,0)),0,IF(T$1&lt;INDEX('Valo FX'!$R:$R,MATCH($A5,'Valo FX'!$A:$A,0)),INDEX(Base!$U:$U,MATCH($A5,Base!$A:$A,0)),IF(T$1=INDEX('Valo FX'!$R:$R,MATCH($A5,'Valo FX'!$A:$A,0)),INDEX(Base!$V:$V,MATCH($A5,Base!$A:$A,0)),0)))</f>
        <v>13.151160000000001</v>
      </c>
      <c r="U5" s="21">
        <f>IF(U$1&lt;INDEX('Valo FX'!$Q:$Q,MATCH($A5,'Valo FX'!$A:$A,0)),0,IF(U$1&lt;INDEX('Valo FX'!$R:$R,MATCH($A5,'Valo FX'!$A:$A,0)),INDEX(Base!$U:$U,MATCH($A5,Base!$A:$A,0)),IF(U$1=INDEX('Valo FX'!$R:$R,MATCH($A5,'Valo FX'!$A:$A,0)),INDEX(Base!$V:$V,MATCH($A5,Base!$A:$A,0)),0)))</f>
        <v>13.151160000000001</v>
      </c>
      <c r="V5" s="21">
        <f>IF(V$1&lt;INDEX('Valo FX'!$Q:$Q,MATCH($A5,'Valo FX'!$A:$A,0)),0,IF(V$1&lt;INDEX('Valo FX'!$R:$R,MATCH($A5,'Valo FX'!$A:$A,0)),INDEX(Base!$U:$U,MATCH($A5,Base!$A:$A,0)),IF(V$1=INDEX('Valo FX'!$R:$R,MATCH($A5,'Valo FX'!$A:$A,0)),INDEX(Base!$V:$V,MATCH($A5,Base!$A:$A,0)),0)))</f>
        <v>13.151160000000001</v>
      </c>
      <c r="W5" s="21">
        <f>IF(W$1&lt;INDEX('Valo FX'!$Q:$Q,MATCH($A5,'Valo FX'!$A:$A,0)),0,IF(W$1&lt;INDEX('Valo FX'!$R:$R,MATCH($A5,'Valo FX'!$A:$A,0)),INDEX(Base!$U:$U,MATCH($A5,Base!$A:$A,0)),IF(W$1=INDEX('Valo FX'!$R:$R,MATCH($A5,'Valo FX'!$A:$A,0)),INDEX(Base!$V:$V,MATCH($A5,Base!$A:$A,0)),0)))</f>
        <v>13.151160000000001</v>
      </c>
      <c r="X5" s="21">
        <f>IF(X$1&lt;INDEX('Valo FX'!$Q:$Q,MATCH($A5,'Valo FX'!$A:$A,0)),0,IF(X$1&lt;INDEX('Valo FX'!$R:$R,MATCH($A5,'Valo FX'!$A:$A,0)),INDEX(Base!$U:$U,MATCH($A5,Base!$A:$A,0)),IF(X$1=INDEX('Valo FX'!$R:$R,MATCH($A5,'Valo FX'!$A:$A,0)),INDEX(Base!$V:$V,MATCH($A5,Base!$A:$A,0)),0)))</f>
        <v>13.151160000000001</v>
      </c>
      <c r="Y5" s="21">
        <f>IF(Y$1&lt;INDEX('Valo FX'!$Q:$Q,MATCH($A5,'Valo FX'!$A:$A,0)),0,IF(Y$1&lt;INDEX('Valo FX'!$R:$R,MATCH($A5,'Valo FX'!$A:$A,0)),INDEX(Base!$U:$U,MATCH($A5,Base!$A:$A,0)),IF(Y$1=INDEX('Valo FX'!$R:$R,MATCH($A5,'Valo FX'!$A:$A,0)),INDEX(Base!$V:$V,MATCH($A5,Base!$A:$A,0)),0)))</f>
        <v>13.151160000000001</v>
      </c>
      <c r="Z5" s="21">
        <f>IF(Z$1&lt;INDEX('Valo FX'!$Q:$Q,MATCH($A5,'Valo FX'!$A:$A,0)),0,IF(Z$1&lt;INDEX('Valo FX'!$R:$R,MATCH($A5,'Valo FX'!$A:$A,0)),INDEX(Base!$U:$U,MATCH($A5,Base!$A:$A,0)),IF(Z$1=INDEX('Valo FX'!$R:$R,MATCH($A5,'Valo FX'!$A:$A,0)),INDEX(Base!$V:$V,MATCH($A5,Base!$A:$A,0)),0)))</f>
        <v>13.151160000000001</v>
      </c>
      <c r="AA5" s="21">
        <f>IF(AA$1&lt;INDEX('Valo FX'!$Q:$Q,MATCH($A5,'Valo FX'!$A:$A,0)),0,IF(AA$1&lt;INDEX('Valo FX'!$R:$R,MATCH($A5,'Valo FX'!$A:$A,0)),INDEX(Base!$U:$U,MATCH($A5,Base!$A:$A,0)),IF(AA$1=INDEX('Valo FX'!$R:$R,MATCH($A5,'Valo FX'!$A:$A,0)),INDEX(Base!$V:$V,MATCH($A5,Base!$A:$A,0)),0)))</f>
        <v>13.151160000000001</v>
      </c>
      <c r="AB5" s="21">
        <f>IF(AB$1&lt;INDEX('Valo FX'!$Q:$Q,MATCH($A5,'Valo FX'!$A:$A,0)),0,IF(AB$1&lt;INDEX('Valo FX'!$R:$R,MATCH($A5,'Valo FX'!$A:$A,0)),INDEX(Base!$U:$U,MATCH($A5,Base!$A:$A,0)),IF(AB$1=INDEX('Valo FX'!$R:$R,MATCH($A5,'Valo FX'!$A:$A,0)),INDEX(Base!$V:$V,MATCH($A5,Base!$A:$A,0)),0)))</f>
        <v>13.151160000000001</v>
      </c>
      <c r="AC5" s="21">
        <f>IF(AC$1&lt;INDEX('Valo FX'!$Q:$Q,MATCH($A5,'Valo FX'!$A:$A,0)),0,IF(AC$1&lt;INDEX('Valo FX'!$R:$R,MATCH($A5,'Valo FX'!$A:$A,0)),INDEX(Base!$U:$U,MATCH($A5,Base!$A:$A,0)),IF(AC$1=INDEX('Valo FX'!$R:$R,MATCH($A5,'Valo FX'!$A:$A,0)),INDEX(Base!$V:$V,MATCH($A5,Base!$A:$A,0)),0)))</f>
        <v>13.151160000000001</v>
      </c>
      <c r="AD5" s="21">
        <f>IF(AD$1&lt;INDEX('Valo FX'!$Q:$Q,MATCH($A5,'Valo FX'!$A:$A,0)),0,IF(AD$1&lt;INDEX('Valo FX'!$R:$R,MATCH($A5,'Valo FX'!$A:$A,0)),INDEX(Base!$U:$U,MATCH($A5,Base!$A:$A,0)),IF(AD$1=INDEX('Valo FX'!$R:$R,MATCH($A5,'Valo FX'!$A:$A,0)),INDEX(Base!$V:$V,MATCH($A5,Base!$A:$A,0)),0)))</f>
        <v>13.151160000000001</v>
      </c>
      <c r="AE5" s="21">
        <f>IF(AE$1&lt;INDEX('Valo FX'!$Q:$Q,MATCH($A5,'Valo FX'!$A:$A,0)),0,IF(AE$1&lt;INDEX('Valo FX'!$R:$R,MATCH($A5,'Valo FX'!$A:$A,0)),INDEX(Base!$U:$U,MATCH($A5,Base!$A:$A,0)),IF(AE$1=INDEX('Valo FX'!$R:$R,MATCH($A5,'Valo FX'!$A:$A,0)),INDEX(Base!$V:$V,MATCH($A5,Base!$A:$A,0)),0)))</f>
        <v>13.151160000000001</v>
      </c>
      <c r="AF5" s="21">
        <f>IF(AF$1&lt;INDEX('Valo FX'!$Q:$Q,MATCH($A5,'Valo FX'!$A:$A,0)),0,IF(AF$1&lt;INDEX('Valo FX'!$R:$R,MATCH($A5,'Valo FX'!$A:$A,0)),INDEX(Base!$U:$U,MATCH($A5,Base!$A:$A,0)),IF(AF$1=INDEX('Valo FX'!$R:$R,MATCH($A5,'Valo FX'!$A:$A,0)),INDEX(Base!$V:$V,MATCH($A5,Base!$A:$A,0)),0)))</f>
        <v>13.151160000000001</v>
      </c>
      <c r="AG5" s="21">
        <f>IF(AG$1&lt;INDEX('Valo FX'!$Q:$Q,MATCH($A5,'Valo FX'!$A:$A,0)),0,IF(AG$1&lt;INDEX('Valo FX'!$R:$R,MATCH($A5,'Valo FX'!$A:$A,0)),INDEX(Base!$U:$U,MATCH($A5,Base!$A:$A,0)),IF(AG$1=INDEX('Valo FX'!$R:$R,MATCH($A5,'Valo FX'!$A:$A,0)),INDEX(Base!$V:$V,MATCH($A5,Base!$A:$A,0)),0)))</f>
        <v>13.151160000000001</v>
      </c>
      <c r="AH5" s="21">
        <f>IF(AH$1&lt;INDEX('Valo FX'!$Q:$Q,MATCH($A5,'Valo FX'!$A:$A,0)),0,IF(AH$1&lt;INDEX('Valo FX'!$R:$R,MATCH($A5,'Valo FX'!$A:$A,0)),INDEX(Base!$U:$U,MATCH($A5,Base!$A:$A,0)),IF(AH$1=INDEX('Valo FX'!$R:$R,MATCH($A5,'Valo FX'!$A:$A,0)),INDEX(Base!$V:$V,MATCH($A5,Base!$A:$A,0)),0)))</f>
        <v>13.151160000000001</v>
      </c>
      <c r="AI5" s="21">
        <f>IF(AI$1&lt;INDEX('Valo FX'!$Q:$Q,MATCH($A5,'Valo FX'!$A:$A,0)),0,IF(AI$1&lt;INDEX('Valo FX'!$R:$R,MATCH($A5,'Valo FX'!$A:$A,0)),INDEX(Base!$U:$U,MATCH($A5,Base!$A:$A,0)),IF(AI$1=INDEX('Valo FX'!$R:$R,MATCH($A5,'Valo FX'!$A:$A,0)),INDEX(Base!$V:$V,MATCH($A5,Base!$A:$A,0)),0)))</f>
        <v>13.151160000000001</v>
      </c>
      <c r="AJ5" s="21">
        <f>IF(AJ$1&lt;INDEX('Valo FX'!$Q:$Q,MATCH($A5,'Valo FX'!$A:$A,0)),0,IF(AJ$1&lt;INDEX('Valo FX'!$R:$R,MATCH($A5,'Valo FX'!$A:$A,0)),INDEX(Base!$U:$U,MATCH($A5,Base!$A:$A,0)),IF(AJ$1=INDEX('Valo FX'!$R:$R,MATCH($A5,'Valo FX'!$A:$A,0)),INDEX(Base!$V:$V,MATCH($A5,Base!$A:$A,0)),0)))</f>
        <v>13.151160000000001</v>
      </c>
      <c r="AK5" s="21">
        <f>IF(AK$1&lt;INDEX('Valo FX'!$Q:$Q,MATCH($A5,'Valo FX'!$A:$A,0)),0,IF(AK$1&lt;INDEX('Valo FX'!$R:$R,MATCH($A5,'Valo FX'!$A:$A,0)),INDEX(Base!$U:$U,MATCH($A5,Base!$A:$A,0)),IF(AK$1=INDEX('Valo FX'!$R:$R,MATCH($A5,'Valo FX'!$A:$A,0)),INDEX(Base!$V:$V,MATCH($A5,Base!$A:$A,0)),0)))</f>
        <v>13.151160000000001</v>
      </c>
      <c r="AL5" s="21">
        <f>IF(AL$1&lt;INDEX('Valo FX'!$Q:$Q,MATCH($A5,'Valo FX'!$A:$A,0)),0,IF(AL$1&lt;INDEX('Valo FX'!$R:$R,MATCH($A5,'Valo FX'!$A:$A,0)),INDEX(Base!$U:$U,MATCH($A5,Base!$A:$A,0)),IF(AL$1=INDEX('Valo FX'!$R:$R,MATCH($A5,'Valo FX'!$A:$A,0)),INDEX(Base!$V:$V,MATCH($A5,Base!$A:$A,0)),0)))</f>
        <v>13.151160000000001</v>
      </c>
      <c r="AM5" s="21">
        <f>IF(AM$1&lt;INDEX('Valo FX'!$Q:$Q,MATCH($A5,'Valo FX'!$A:$A,0)),0,IF(AM$1&lt;INDEX('Valo FX'!$R:$R,MATCH($A5,'Valo FX'!$A:$A,0)),INDEX(Base!$U:$U,MATCH($A5,Base!$A:$A,0)),IF(AM$1=INDEX('Valo FX'!$R:$R,MATCH($A5,'Valo FX'!$A:$A,0)),INDEX(Base!$V:$V,MATCH($A5,Base!$A:$A,0)),0)))</f>
        <v>13.151160000000001</v>
      </c>
      <c r="AN5" s="21">
        <f>IF(AN$1&lt;INDEX('Valo FX'!$Q:$Q,MATCH($A5,'Valo FX'!$A:$A,0)),0,IF(AN$1&lt;INDEX('Valo FX'!$R:$R,MATCH($A5,'Valo FX'!$A:$A,0)),INDEX(Base!$U:$U,MATCH($A5,Base!$A:$A,0)),IF(AN$1=INDEX('Valo FX'!$R:$R,MATCH($A5,'Valo FX'!$A:$A,0)),INDEX(Base!$V:$V,MATCH($A5,Base!$A:$A,0)),0)))</f>
        <v>13.151160000000001</v>
      </c>
      <c r="AO5" s="21">
        <f>IF(AO$1&lt;INDEX('Valo FX'!$Q:$Q,MATCH($A5,'Valo FX'!$A:$A,0)),0,IF(AO$1&lt;INDEX('Valo FX'!$R:$R,MATCH($A5,'Valo FX'!$A:$A,0)),INDEX(Base!$U:$U,MATCH($A5,Base!$A:$A,0)),IF(AO$1=INDEX('Valo FX'!$R:$R,MATCH($A5,'Valo FX'!$A:$A,0)),INDEX(Base!$V:$V,MATCH($A5,Base!$A:$A,0)),0)))</f>
        <v>13.151160000000001</v>
      </c>
      <c r="AP5" s="21">
        <f>IF(AP$1&lt;INDEX('Valo FX'!$Q:$Q,MATCH($A5,'Valo FX'!$A:$A,0)),0,IF(AP$1&lt;INDEX('Valo FX'!$R:$R,MATCH($A5,'Valo FX'!$A:$A,0)),INDEX(Base!$U:$U,MATCH($A5,Base!$A:$A,0)),IF(AP$1=INDEX('Valo FX'!$R:$R,MATCH($A5,'Valo FX'!$A:$A,0)),INDEX(Base!$V:$V,MATCH($A5,Base!$A:$A,0)),0)))</f>
        <v>13.151160000000001</v>
      </c>
      <c r="AQ5" s="21">
        <f>IF(AQ$1&lt;INDEX('Valo FX'!$Q:$Q,MATCH($A5,'Valo FX'!$A:$A,0)),0,IF(AQ$1&lt;INDEX('Valo FX'!$R:$R,MATCH($A5,'Valo FX'!$A:$A,0)),INDEX(Base!$U:$U,MATCH($A5,Base!$A:$A,0)),IF(AQ$1=INDEX('Valo FX'!$R:$R,MATCH($A5,'Valo FX'!$A:$A,0)),INDEX(Base!$V:$V,MATCH($A5,Base!$A:$A,0)),0)))</f>
        <v>13.151160000000001</v>
      </c>
      <c r="AR5" s="21">
        <f>IF(AR$1&lt;INDEX('Valo FX'!$Q:$Q,MATCH($A5,'Valo FX'!$A:$A,0)),0,IF(AR$1&lt;INDEX('Valo FX'!$R:$R,MATCH($A5,'Valo FX'!$A:$A,0)),INDEX(Base!$U:$U,MATCH($A5,Base!$A:$A,0)),IF(AR$1=INDEX('Valo FX'!$R:$R,MATCH($A5,'Valo FX'!$A:$A,0)),INDEX(Base!$V:$V,MATCH($A5,Base!$A:$A,0)),0)))</f>
        <v>13.151160000000001</v>
      </c>
      <c r="AS5" s="21">
        <f>IF(AS$1&lt;INDEX('Valo FX'!$Q:$Q,MATCH($A5,'Valo FX'!$A:$A,0)),0,IF(AS$1&lt;INDEX('Valo FX'!$R:$R,MATCH($A5,'Valo FX'!$A:$A,0)),INDEX(Base!$U:$U,MATCH($A5,Base!$A:$A,0)),IF(AS$1=INDEX('Valo FX'!$R:$R,MATCH($A5,'Valo FX'!$A:$A,0)),INDEX(Base!$V:$V,MATCH($A5,Base!$A:$A,0)),0)))</f>
        <v>13.151160000000001</v>
      </c>
      <c r="AT5" s="21">
        <f>IF(AT$1&lt;INDEX('Valo FX'!$Q:$Q,MATCH($A5,'Valo FX'!$A:$A,0)),0,IF(AT$1&lt;INDEX('Valo FX'!$R:$R,MATCH($A5,'Valo FX'!$A:$A,0)),INDEX(Base!$U:$U,MATCH($A5,Base!$A:$A,0)),IF(AT$1=INDEX('Valo FX'!$R:$R,MATCH($A5,'Valo FX'!$A:$A,0)),INDEX(Base!$V:$V,MATCH($A5,Base!$A:$A,0)),0)))</f>
        <v>13.151160000000001</v>
      </c>
      <c r="AU5" s="21">
        <f>IF(AU$1&lt;INDEX('Valo FX'!$Q:$Q,MATCH($A5,'Valo FX'!$A:$A,0)),0,IF(AU$1&lt;INDEX('Valo FX'!$R:$R,MATCH($A5,'Valo FX'!$A:$A,0)),INDEX(Base!$U:$U,MATCH($A5,Base!$A:$A,0)),IF(AU$1=INDEX('Valo FX'!$R:$R,MATCH($A5,'Valo FX'!$A:$A,0)),INDEX(Base!$V:$V,MATCH($A5,Base!$A:$A,0)),0)))</f>
        <v>13.151160000000001</v>
      </c>
      <c r="AV5" s="21">
        <f>IF(AV$1&lt;INDEX('Valo FX'!$Q:$Q,MATCH($A5,'Valo FX'!$A:$A,0)),0,IF(AV$1&lt;INDEX('Valo FX'!$R:$R,MATCH($A5,'Valo FX'!$A:$A,0)),INDEX(Base!$U:$U,MATCH($A5,Base!$A:$A,0)),IF(AV$1=INDEX('Valo FX'!$R:$R,MATCH($A5,'Valo FX'!$A:$A,0)),INDEX(Base!$V:$V,MATCH($A5,Base!$A:$A,0)),0)))</f>
        <v>13.151160000000001</v>
      </c>
      <c r="AW5" s="21">
        <f>IF(AW$1&lt;INDEX('Valo FX'!$Q:$Q,MATCH($A5,'Valo FX'!$A:$A,0)),0,IF(AW$1&lt;INDEX('Valo FX'!$R:$R,MATCH($A5,'Valo FX'!$A:$A,0)),INDEX(Base!$U:$U,MATCH($A5,Base!$A:$A,0)),IF(AW$1=INDEX('Valo FX'!$R:$R,MATCH($A5,'Valo FX'!$A:$A,0)),INDEX(Base!$V:$V,MATCH($A5,Base!$A:$A,0)),0)))</f>
        <v>13.151160000000001</v>
      </c>
      <c r="AX5" s="21">
        <f>IF(AX$1&lt;INDEX('Valo FX'!$Q:$Q,MATCH($A5,'Valo FX'!$A:$A,0)),0,IF(AX$1&lt;INDEX('Valo FX'!$R:$R,MATCH($A5,'Valo FX'!$A:$A,0)),INDEX(Base!$U:$U,MATCH($A5,Base!$A:$A,0)),IF(AX$1=INDEX('Valo FX'!$R:$R,MATCH($A5,'Valo FX'!$A:$A,0)),INDEX(Base!$V:$V,MATCH($A5,Base!$A:$A,0)),0)))</f>
        <v>13.151160000000001</v>
      </c>
      <c r="AY5" s="21">
        <f>IF(AY$1&lt;INDEX('Valo FX'!$Q:$Q,MATCH($A5,'Valo FX'!$A:$A,0)),0,IF(AY$1&lt;INDEX('Valo FX'!$R:$R,MATCH($A5,'Valo FX'!$A:$A,0)),INDEX(Base!$U:$U,MATCH($A5,Base!$A:$A,0)),IF(AY$1=INDEX('Valo FX'!$R:$R,MATCH($A5,'Valo FX'!$A:$A,0)),INDEX(Base!$V:$V,MATCH($A5,Base!$A:$A,0)),0)))</f>
        <v>13.151160000000001</v>
      </c>
      <c r="AZ5" s="21">
        <f>IF(AZ$1&lt;INDEX('Valo FX'!$Q:$Q,MATCH($A5,'Valo FX'!$A:$A,0)),0,IF(AZ$1&lt;INDEX('Valo FX'!$R:$R,MATCH($A5,'Valo FX'!$A:$A,0)),INDEX(Base!$U:$U,MATCH($A5,Base!$A:$A,0)),IF(AZ$1=INDEX('Valo FX'!$R:$R,MATCH($A5,'Valo FX'!$A:$A,0)),INDEX(Base!$V:$V,MATCH($A5,Base!$A:$A,0)),0)))</f>
        <v>13.151160000000001</v>
      </c>
      <c r="BA5" s="21">
        <f>IF(BA$1&lt;INDEX('Valo FX'!$Q:$Q,MATCH($A5,'Valo FX'!$A:$A,0)),0,IF(BA$1&lt;INDEX('Valo FX'!$R:$R,MATCH($A5,'Valo FX'!$A:$A,0)),INDEX(Base!$U:$U,MATCH($A5,Base!$A:$A,0)),IF(BA$1=INDEX('Valo FX'!$R:$R,MATCH($A5,'Valo FX'!$A:$A,0)),INDEX(Base!$V:$V,MATCH($A5,Base!$A:$A,0)),0)))</f>
        <v>13.151160000000001</v>
      </c>
      <c r="BB5" s="21">
        <f>IF(BB$1&lt;INDEX('Valo FX'!$Q:$Q,MATCH($A5,'Valo FX'!$A:$A,0)),0,IF(BB$1&lt;INDEX('Valo FX'!$R:$R,MATCH($A5,'Valo FX'!$A:$A,0)),INDEX(Base!$U:$U,MATCH($A5,Base!$A:$A,0)),IF(BB$1=INDEX('Valo FX'!$R:$R,MATCH($A5,'Valo FX'!$A:$A,0)),INDEX(Base!$V:$V,MATCH($A5,Base!$A:$A,0)),0)))</f>
        <v>13.151160000000001</v>
      </c>
      <c r="BC5" s="21">
        <f>IF(BC$1&lt;INDEX('Valo FX'!$Q:$Q,MATCH($A5,'Valo FX'!$A:$A,0)),0,IF(BC$1&lt;INDEX('Valo FX'!$R:$R,MATCH($A5,'Valo FX'!$A:$A,0)),INDEX(Base!$U:$U,MATCH($A5,Base!$A:$A,0)),IF(BC$1=INDEX('Valo FX'!$R:$R,MATCH($A5,'Valo FX'!$A:$A,0)),INDEX(Base!$V:$V,MATCH($A5,Base!$A:$A,0)),0)))</f>
        <v>13.151160000000001</v>
      </c>
      <c r="BD5" s="21">
        <f>IF(BD$1&lt;INDEX('Valo FX'!$Q:$Q,MATCH($A5,'Valo FX'!$A:$A,0)),0,IF(BD$1&lt;INDEX('Valo FX'!$R:$R,MATCH($A5,'Valo FX'!$A:$A,0)),INDEX(Base!$U:$U,MATCH($A5,Base!$A:$A,0)),IF(BD$1=INDEX('Valo FX'!$R:$R,MATCH($A5,'Valo FX'!$A:$A,0)),INDEX(Base!$V:$V,MATCH($A5,Base!$A:$A,0)),0)))</f>
        <v>13.151160000000001</v>
      </c>
      <c r="BE5" s="21">
        <f>IF(BE$1&lt;INDEX('Valo FX'!$Q:$Q,MATCH($A5,'Valo FX'!$A:$A,0)),0,IF(BE$1&lt;INDEX('Valo FX'!$R:$R,MATCH($A5,'Valo FX'!$A:$A,0)),INDEX(Base!$U:$U,MATCH($A5,Base!$A:$A,0)),IF(BE$1=INDEX('Valo FX'!$R:$R,MATCH($A5,'Valo FX'!$A:$A,0)),INDEX(Base!$V:$V,MATCH($A5,Base!$A:$A,0)),0)))</f>
        <v>13.151160000000001</v>
      </c>
      <c r="BF5" s="21">
        <f>IF(BF$1&lt;INDEX('Valo FX'!$Q:$Q,MATCH($A5,'Valo FX'!$A:$A,0)),0,IF(BF$1&lt;INDEX('Valo FX'!$R:$R,MATCH($A5,'Valo FX'!$A:$A,0)),INDEX(Base!$U:$U,MATCH($A5,Base!$A:$A,0)),IF(BF$1=INDEX('Valo FX'!$R:$R,MATCH($A5,'Valo FX'!$A:$A,0)),INDEX(Base!$V:$V,MATCH($A5,Base!$A:$A,0)),0)))</f>
        <v>13.151160000000001</v>
      </c>
      <c r="BG5" s="21">
        <f>IF(BG$1&lt;INDEX('Valo FX'!$Q:$Q,MATCH($A5,'Valo FX'!$A:$A,0)),0,IF(BG$1&lt;INDEX('Valo FX'!$R:$R,MATCH($A5,'Valo FX'!$A:$A,0)),INDEX(Base!$U:$U,MATCH($A5,Base!$A:$A,0)),IF(BG$1=INDEX('Valo FX'!$R:$R,MATCH($A5,'Valo FX'!$A:$A,0)),INDEX(Base!$V:$V,MATCH($A5,Base!$A:$A,0)),0)))</f>
        <v>13.151160000000001</v>
      </c>
      <c r="BH5" s="21">
        <f>IF(BH$1&lt;INDEX('Valo FX'!$Q:$Q,MATCH($A5,'Valo FX'!$A:$A,0)),0,IF(BH$1&lt;INDEX('Valo FX'!$R:$R,MATCH($A5,'Valo FX'!$A:$A,0)),INDEX(Base!$U:$U,MATCH($A5,Base!$A:$A,0)),IF(BH$1=INDEX('Valo FX'!$R:$R,MATCH($A5,'Valo FX'!$A:$A,0)),INDEX(Base!$V:$V,MATCH($A5,Base!$A:$A,0)),0)))</f>
        <v>13.151160000000001</v>
      </c>
      <c r="BI5" s="21">
        <f>IF(BI$1&lt;INDEX('Valo FX'!$Q:$Q,MATCH($A5,'Valo FX'!$A:$A,0)),0,IF(BI$1&lt;INDEX('Valo FX'!$R:$R,MATCH($A5,'Valo FX'!$A:$A,0)),INDEX(Base!$U:$U,MATCH($A5,Base!$A:$A,0)),IF(BI$1=INDEX('Valo FX'!$R:$R,MATCH($A5,'Valo FX'!$A:$A,0)),INDEX(Base!$V:$V,MATCH($A5,Base!$A:$A,0)),0)))</f>
        <v>13.151160000000001</v>
      </c>
      <c r="BJ5" s="21">
        <f>IF(BJ$1&lt;INDEX('Valo FX'!$Q:$Q,MATCH($A5,'Valo FX'!$A:$A,0)),0,IF(BJ$1&lt;INDEX('Valo FX'!$R:$R,MATCH($A5,'Valo FX'!$A:$A,0)),INDEX(Base!$U:$U,MATCH($A5,Base!$A:$A,0)),IF(BJ$1=INDEX('Valo FX'!$R:$R,MATCH($A5,'Valo FX'!$A:$A,0)),INDEX(Base!$V:$V,MATCH($A5,Base!$A:$A,0)),0)))</f>
        <v>13.151160000000001</v>
      </c>
      <c r="BK5" s="21">
        <f>IF(BK$1&lt;INDEX('Valo FX'!$Q:$Q,MATCH($A5,'Valo FX'!$A:$A,0)),0,IF(BK$1&lt;INDEX('Valo FX'!$R:$R,MATCH($A5,'Valo FX'!$A:$A,0)),INDEX(Base!$U:$U,MATCH($A5,Base!$A:$A,0)),IF(BK$1=INDEX('Valo FX'!$R:$R,MATCH($A5,'Valo FX'!$A:$A,0)),INDEX(Base!$V:$V,MATCH($A5,Base!$A:$A,0)),0)))</f>
        <v>13.151160000000001</v>
      </c>
      <c r="BL5" s="21">
        <f>IF(BL$1&lt;INDEX('Valo FX'!$Q:$Q,MATCH($A5,'Valo FX'!$A:$A,0)),0,IF(BL$1&lt;INDEX('Valo FX'!$R:$R,MATCH($A5,'Valo FX'!$A:$A,0)),INDEX(Base!$U:$U,MATCH($A5,Base!$A:$A,0)),IF(BL$1=INDEX('Valo FX'!$R:$R,MATCH($A5,'Valo FX'!$A:$A,0)),INDEX(Base!$V:$V,MATCH($A5,Base!$A:$A,0)),0)))</f>
        <v>13.151160000000001</v>
      </c>
      <c r="BM5" s="21">
        <f>IF(BM$1&lt;INDEX('Valo FX'!$Q:$Q,MATCH($A5,'Valo FX'!$A:$A,0)),0,IF(BM$1&lt;INDEX('Valo FX'!$R:$R,MATCH($A5,'Valo FX'!$A:$A,0)),INDEX(Base!$U:$U,MATCH($A5,Base!$A:$A,0)),IF(BM$1=INDEX('Valo FX'!$R:$R,MATCH($A5,'Valo FX'!$A:$A,0)),INDEX(Base!$V:$V,MATCH($A5,Base!$A:$A,0)),0)))</f>
        <v>13.151160000000001</v>
      </c>
      <c r="BN5" s="21">
        <f>IF(BN$1&lt;INDEX('Valo FX'!$Q:$Q,MATCH($A5,'Valo FX'!$A:$A,0)),0,IF(BN$1&lt;INDEX('Valo FX'!$R:$R,MATCH($A5,'Valo FX'!$A:$A,0)),INDEX(Base!$U:$U,MATCH($A5,Base!$A:$A,0)),IF(BN$1=INDEX('Valo FX'!$R:$R,MATCH($A5,'Valo FX'!$A:$A,0)),INDEX(Base!$V:$V,MATCH($A5,Base!$A:$A,0)),0)))</f>
        <v>13.151160000000001</v>
      </c>
      <c r="BO5" s="21">
        <f>IF(BO$1&lt;INDEX('Valo FX'!$Q:$Q,MATCH($A5,'Valo FX'!$A:$A,0)),0,IF(BO$1&lt;INDEX('Valo FX'!$R:$R,MATCH($A5,'Valo FX'!$A:$A,0)),INDEX(Base!$U:$U,MATCH($A5,Base!$A:$A,0)),IF(BO$1=INDEX('Valo FX'!$R:$R,MATCH($A5,'Valo FX'!$A:$A,0)),INDEX(Base!$V:$V,MATCH($A5,Base!$A:$A,0)),0)))</f>
        <v>13.151160000000001</v>
      </c>
      <c r="BP5" s="21">
        <f>IF(BP$1&lt;INDEX('Valo FX'!$Q:$Q,MATCH($A5,'Valo FX'!$A:$A,0)),0,IF(BP$1&lt;INDEX('Valo FX'!$R:$R,MATCH($A5,'Valo FX'!$A:$A,0)),INDEX(Base!$U:$U,MATCH($A5,Base!$A:$A,0)),IF(BP$1=INDEX('Valo FX'!$R:$R,MATCH($A5,'Valo FX'!$A:$A,0)),INDEX(Base!$V:$V,MATCH($A5,Base!$A:$A,0)),0)))</f>
        <v>13.151160000000001</v>
      </c>
      <c r="BQ5" s="21">
        <f>IF(BQ$1&lt;INDEX('Valo FX'!$Q:$Q,MATCH($A5,'Valo FX'!$A:$A,0)),0,IF(BQ$1&lt;INDEX('Valo FX'!$R:$R,MATCH($A5,'Valo FX'!$A:$A,0)),INDEX(Base!$U:$U,MATCH($A5,Base!$A:$A,0)),IF(BQ$1=INDEX('Valo FX'!$R:$R,MATCH($A5,'Valo FX'!$A:$A,0)),INDEX(Base!$V:$V,MATCH($A5,Base!$A:$A,0)),0)))</f>
        <v>13.151160000000001</v>
      </c>
      <c r="BR5" s="21">
        <f>IF(BR$1&lt;INDEX('Valo FX'!$Q:$Q,MATCH($A5,'Valo FX'!$A:$A,0)),0,IF(BR$1&lt;INDEX('Valo FX'!$R:$R,MATCH($A5,'Valo FX'!$A:$A,0)),INDEX(Base!$U:$U,MATCH($A5,Base!$A:$A,0)),IF(BR$1=INDEX('Valo FX'!$R:$R,MATCH($A5,'Valo FX'!$A:$A,0)),INDEX(Base!$V:$V,MATCH($A5,Base!$A:$A,0)),0)))</f>
        <v>13.151160000000001</v>
      </c>
      <c r="BS5" s="21">
        <f>IF(BS$1&lt;INDEX('Valo FX'!$Q:$Q,MATCH($A5,'Valo FX'!$A:$A,0)),0,IF(BS$1&lt;INDEX('Valo FX'!$R:$R,MATCH($A5,'Valo FX'!$A:$A,0)),INDEX(Base!$U:$U,MATCH($A5,Base!$A:$A,0)),IF(BS$1=INDEX('Valo FX'!$R:$R,MATCH($A5,'Valo FX'!$A:$A,0)),INDEX(Base!$V:$V,MATCH($A5,Base!$A:$A,0)),0)))</f>
        <v>13.151160000000001</v>
      </c>
      <c r="BT5" s="21">
        <f>IF(BT$1&lt;INDEX('Valo FX'!$Q:$Q,MATCH($A5,'Valo FX'!$A:$A,0)),0,IF(BT$1&lt;INDEX('Valo FX'!$R:$R,MATCH($A5,'Valo FX'!$A:$A,0)),INDEX(Base!$U:$U,MATCH($A5,Base!$A:$A,0)),IF(BT$1=INDEX('Valo FX'!$R:$R,MATCH($A5,'Valo FX'!$A:$A,0)),INDEX(Base!$V:$V,MATCH($A5,Base!$A:$A,0)),0)))</f>
        <v>13.151160000000001</v>
      </c>
      <c r="BU5" s="21">
        <f>IF(BU$1&lt;INDEX('Valo FX'!$Q:$Q,MATCH($A5,'Valo FX'!$A:$A,0)),0,IF(BU$1&lt;INDEX('Valo FX'!$R:$R,MATCH($A5,'Valo FX'!$A:$A,0)),INDEX(Base!$U:$U,MATCH($A5,Base!$A:$A,0)),IF(BU$1=INDEX('Valo FX'!$R:$R,MATCH($A5,'Valo FX'!$A:$A,0)),INDEX(Base!$V:$V,MATCH($A5,Base!$A:$A,0)),0)))</f>
        <v>13.151160000000001</v>
      </c>
      <c r="BV5" s="21">
        <f>IF(BV$1&lt;INDEX('Valo FX'!$Q:$Q,MATCH($A5,'Valo FX'!$A:$A,0)),0,IF(BV$1&lt;INDEX('Valo FX'!$R:$R,MATCH($A5,'Valo FX'!$A:$A,0)),INDEX(Base!$U:$U,MATCH($A5,Base!$A:$A,0)),IF(BV$1=INDEX('Valo FX'!$R:$R,MATCH($A5,'Valo FX'!$A:$A,0)),INDEX(Base!$V:$V,MATCH($A5,Base!$A:$A,0)),0)))</f>
        <v>13.151160000000001</v>
      </c>
      <c r="BW5" s="21">
        <f>IF(BW$1&lt;INDEX('Valo FX'!$Q:$Q,MATCH($A5,'Valo FX'!$A:$A,0)),0,IF(BW$1&lt;INDEX('Valo FX'!$R:$R,MATCH($A5,'Valo FX'!$A:$A,0)),INDEX(Base!$U:$U,MATCH($A5,Base!$A:$A,0)),IF(BW$1=INDEX('Valo FX'!$R:$R,MATCH($A5,'Valo FX'!$A:$A,0)),INDEX(Base!$V:$V,MATCH($A5,Base!$A:$A,0)),0)))</f>
        <v>13.151160000000001</v>
      </c>
      <c r="BX5" s="21">
        <f>IF(BX$1&lt;INDEX('Valo FX'!$Q:$Q,MATCH($A5,'Valo FX'!$A:$A,0)),0,IF(BX$1&lt;INDEX('Valo FX'!$R:$R,MATCH($A5,'Valo FX'!$A:$A,0)),INDEX(Base!$U:$U,MATCH($A5,Base!$A:$A,0)),IF(BX$1=INDEX('Valo FX'!$R:$R,MATCH($A5,'Valo FX'!$A:$A,0)),INDEX(Base!$V:$V,MATCH($A5,Base!$A:$A,0)),0)))</f>
        <v>13.151160000000001</v>
      </c>
      <c r="BY5" s="21">
        <f>IF(BY$1&lt;INDEX('Valo FX'!$Q:$Q,MATCH($A5,'Valo FX'!$A:$A,0)),0,IF(BY$1&lt;INDEX('Valo FX'!$R:$R,MATCH($A5,'Valo FX'!$A:$A,0)),INDEX(Base!$U:$U,MATCH($A5,Base!$A:$A,0)),IF(BY$1=INDEX('Valo FX'!$R:$R,MATCH($A5,'Valo FX'!$A:$A,0)),INDEX(Base!$V:$V,MATCH($A5,Base!$A:$A,0)),0)))</f>
        <v>13.151160000000001</v>
      </c>
      <c r="BZ5" s="21">
        <f>IF(BZ$1&lt;INDEX('Valo FX'!$Q:$Q,MATCH($A5,'Valo FX'!$A:$A,0)),0,IF(BZ$1&lt;INDEX('Valo FX'!$R:$R,MATCH($A5,'Valo FX'!$A:$A,0)),INDEX(Base!$U:$U,MATCH($A5,Base!$A:$A,0)),IF(BZ$1=INDEX('Valo FX'!$R:$R,MATCH($A5,'Valo FX'!$A:$A,0)),INDEX(Base!$V:$V,MATCH($A5,Base!$A:$A,0)),0)))</f>
        <v>13.151160000000001</v>
      </c>
      <c r="CA5" s="21">
        <f>IF(CA$1&lt;INDEX('Valo FX'!$Q:$Q,MATCH($A5,'Valo FX'!$A:$A,0)),0,IF(CA$1&lt;INDEX('Valo FX'!$R:$R,MATCH($A5,'Valo FX'!$A:$A,0)),INDEX(Base!$U:$U,MATCH($A5,Base!$A:$A,0)),IF(CA$1=INDEX('Valo FX'!$R:$R,MATCH($A5,'Valo FX'!$A:$A,0)),INDEX(Base!$V:$V,MATCH($A5,Base!$A:$A,0)),0)))</f>
        <v>13.151160000000001</v>
      </c>
      <c r="CB5" s="21">
        <f>IF(CB$1&lt;INDEX('Valo FX'!$Q:$Q,MATCH($A5,'Valo FX'!$A:$A,0)),0,IF(CB$1&lt;INDEX('Valo FX'!$R:$R,MATCH($A5,'Valo FX'!$A:$A,0)),INDEX(Base!$U:$U,MATCH($A5,Base!$A:$A,0)),IF(CB$1=INDEX('Valo FX'!$R:$R,MATCH($A5,'Valo FX'!$A:$A,0)),INDEX(Base!$V:$V,MATCH($A5,Base!$A:$A,0)),0)))</f>
        <v>13.151160000000001</v>
      </c>
      <c r="CC5" s="21">
        <f>IF(CC$1&lt;INDEX('Valo FX'!$Q:$Q,MATCH($A5,'Valo FX'!$A:$A,0)),0,IF(CC$1&lt;INDEX('Valo FX'!$R:$R,MATCH($A5,'Valo FX'!$A:$A,0)),INDEX(Base!$U:$U,MATCH($A5,Base!$A:$A,0)),IF(CC$1=INDEX('Valo FX'!$R:$R,MATCH($A5,'Valo FX'!$A:$A,0)),INDEX(Base!$V:$V,MATCH($A5,Base!$A:$A,0)),0)))</f>
        <v>13.151160000000001</v>
      </c>
      <c r="CD5" s="21">
        <f>IF(CD$1&lt;INDEX('Valo FX'!$Q:$Q,MATCH($A5,'Valo FX'!$A:$A,0)),0,IF(CD$1&lt;INDEX('Valo FX'!$R:$R,MATCH($A5,'Valo FX'!$A:$A,0)),INDEX(Base!$U:$U,MATCH($A5,Base!$A:$A,0)),IF(CD$1=INDEX('Valo FX'!$R:$R,MATCH($A5,'Valo FX'!$A:$A,0)),INDEX(Base!$V:$V,MATCH($A5,Base!$A:$A,0)),0)))</f>
        <v>13.151160000000001</v>
      </c>
      <c r="CE5" s="21">
        <f>IF(CE$1&lt;INDEX('Valo FX'!$Q:$Q,MATCH($A5,'Valo FX'!$A:$A,0)),0,IF(CE$1&lt;INDEX('Valo FX'!$R:$R,MATCH($A5,'Valo FX'!$A:$A,0)),INDEX(Base!$U:$U,MATCH($A5,Base!$A:$A,0)),IF(CE$1=INDEX('Valo FX'!$R:$R,MATCH($A5,'Valo FX'!$A:$A,0)),INDEX(Base!$V:$V,MATCH($A5,Base!$A:$A,0)),0)))</f>
        <v>13.151160000000001</v>
      </c>
      <c r="CF5" s="21">
        <f>IF(CF$1&lt;INDEX('Valo FX'!$Q:$Q,MATCH($A5,'Valo FX'!$A:$A,0)),0,IF(CF$1&lt;INDEX('Valo FX'!$R:$R,MATCH($A5,'Valo FX'!$A:$A,0)),INDEX(Base!$U:$U,MATCH($A5,Base!$A:$A,0)),IF(CF$1=INDEX('Valo FX'!$R:$R,MATCH($A5,'Valo FX'!$A:$A,0)),INDEX(Base!$V:$V,MATCH($A5,Base!$A:$A,0)),0)))</f>
        <v>13.151160000000001</v>
      </c>
      <c r="CG5" s="21">
        <f>IF(CG$1&lt;INDEX('Valo FX'!$Q:$Q,MATCH($A5,'Valo FX'!$A:$A,0)),0,IF(CG$1&lt;INDEX('Valo FX'!$R:$R,MATCH($A5,'Valo FX'!$A:$A,0)),INDEX(Base!$U:$U,MATCH($A5,Base!$A:$A,0)),IF(CG$1=INDEX('Valo FX'!$R:$R,MATCH($A5,'Valo FX'!$A:$A,0)),INDEX(Base!$V:$V,MATCH($A5,Base!$A:$A,0)),0)))</f>
        <v>13.151160000000001</v>
      </c>
      <c r="CH5" s="21">
        <f>IF(CH$1&lt;INDEX('Valo FX'!$Q:$Q,MATCH($A5,'Valo FX'!$A:$A,0)),0,IF(CH$1&lt;INDEX('Valo FX'!$R:$R,MATCH($A5,'Valo FX'!$A:$A,0)),INDEX(Base!$U:$U,MATCH($A5,Base!$A:$A,0)),IF(CH$1=INDEX('Valo FX'!$R:$R,MATCH($A5,'Valo FX'!$A:$A,0)),INDEX(Base!$V:$V,MATCH($A5,Base!$A:$A,0)),0)))</f>
        <v>13.151160000000001</v>
      </c>
      <c r="CI5" s="21">
        <f>IF(CI$1&lt;INDEX('Valo FX'!$Q:$Q,MATCH($A5,'Valo FX'!$A:$A,0)),0,IF(CI$1&lt;INDEX('Valo FX'!$R:$R,MATCH($A5,'Valo FX'!$A:$A,0)),INDEX(Base!$U:$U,MATCH($A5,Base!$A:$A,0)),IF(CI$1=INDEX('Valo FX'!$R:$R,MATCH($A5,'Valo FX'!$A:$A,0)),INDEX(Base!$V:$V,MATCH($A5,Base!$A:$A,0)),0)))</f>
        <v>13.151160000000001</v>
      </c>
      <c r="CJ5" s="21">
        <f>IF(CJ$1&lt;INDEX('Valo FX'!$Q:$Q,MATCH($A5,'Valo FX'!$A:$A,0)),0,IF(CJ$1&lt;INDEX('Valo FX'!$R:$R,MATCH($A5,'Valo FX'!$A:$A,0)),INDEX(Base!$U:$U,MATCH($A5,Base!$A:$A,0)),IF(CJ$1=INDEX('Valo FX'!$R:$R,MATCH($A5,'Valo FX'!$A:$A,0)),INDEX(Base!$V:$V,MATCH($A5,Base!$A:$A,0)),0)))</f>
        <v>13.151160000000001</v>
      </c>
      <c r="CK5" s="21">
        <f>IF(CK$1&lt;INDEX('Valo FX'!$Q:$Q,MATCH($A5,'Valo FX'!$A:$A,0)),0,IF(CK$1&lt;INDEX('Valo FX'!$R:$R,MATCH($A5,'Valo FX'!$A:$A,0)),INDEX(Base!$U:$U,MATCH($A5,Base!$A:$A,0)),IF(CK$1=INDEX('Valo FX'!$R:$R,MATCH($A5,'Valo FX'!$A:$A,0)),INDEX(Base!$V:$V,MATCH($A5,Base!$A:$A,0)),0)))</f>
        <v>13.151160000000001</v>
      </c>
      <c r="CL5" s="21">
        <f>IF(CL$1&lt;INDEX('Valo FX'!$Q:$Q,MATCH($A5,'Valo FX'!$A:$A,0)),0,IF(CL$1&lt;INDEX('Valo FX'!$R:$R,MATCH($A5,'Valo FX'!$A:$A,0)),INDEX(Base!$U:$U,MATCH($A5,Base!$A:$A,0)),IF(CL$1=INDEX('Valo FX'!$R:$R,MATCH($A5,'Valo FX'!$A:$A,0)),INDEX(Base!$V:$V,MATCH($A5,Base!$A:$A,0)),0)))</f>
        <v>13.151160000000001</v>
      </c>
      <c r="CM5" s="21">
        <f>IF(CM$1&lt;INDEX('Valo FX'!$Q:$Q,MATCH($A5,'Valo FX'!$A:$A,0)),0,IF(CM$1&lt;INDEX('Valo FX'!$R:$R,MATCH($A5,'Valo FX'!$A:$A,0)),INDEX(Base!$U:$U,MATCH($A5,Base!$A:$A,0)),IF(CM$1=INDEX('Valo FX'!$R:$R,MATCH($A5,'Valo FX'!$A:$A,0)),INDEX(Base!$V:$V,MATCH($A5,Base!$A:$A,0)),0)))</f>
        <v>13.151160000000001</v>
      </c>
      <c r="CN5" s="21">
        <f>IF(CN$1&lt;INDEX('Valo FX'!$Q:$Q,MATCH($A5,'Valo FX'!$A:$A,0)),0,IF(CN$1&lt;INDEX('Valo FX'!$R:$R,MATCH($A5,'Valo FX'!$A:$A,0)),INDEX(Base!$U:$U,MATCH($A5,Base!$A:$A,0)),IF(CN$1=INDEX('Valo FX'!$R:$R,MATCH($A5,'Valo FX'!$A:$A,0)),INDEX(Base!$V:$V,MATCH($A5,Base!$A:$A,0)),0)))</f>
        <v>13.151160000000001</v>
      </c>
      <c r="CO5" s="21">
        <f>IF(CO$1&lt;INDEX('Valo FX'!$Q:$Q,MATCH($A5,'Valo FX'!$A:$A,0)),0,IF(CO$1&lt;INDEX('Valo FX'!$R:$R,MATCH($A5,'Valo FX'!$A:$A,0)),INDEX(Base!$U:$U,MATCH($A5,Base!$A:$A,0)),IF(CO$1=INDEX('Valo FX'!$R:$R,MATCH($A5,'Valo FX'!$A:$A,0)),INDEX(Base!$V:$V,MATCH($A5,Base!$A:$A,0)),0)))</f>
        <v>13.151160000000001</v>
      </c>
      <c r="CP5" s="21">
        <f>IF(CP$1&lt;INDEX('Valo FX'!$Q:$Q,MATCH($A5,'Valo FX'!$A:$A,0)),0,IF(CP$1&lt;INDEX('Valo FX'!$R:$R,MATCH($A5,'Valo FX'!$A:$A,0)),INDEX(Base!$U:$U,MATCH($A5,Base!$A:$A,0)),IF(CP$1=INDEX('Valo FX'!$R:$R,MATCH($A5,'Valo FX'!$A:$A,0)),INDEX(Base!$V:$V,MATCH($A5,Base!$A:$A,0)),0)))</f>
        <v>13.151160000000001</v>
      </c>
      <c r="CQ5" s="21">
        <f>IF(CQ$1&lt;INDEX('Valo FX'!$Q:$Q,MATCH($A5,'Valo FX'!$A:$A,0)),0,IF(CQ$1&lt;INDEX('Valo FX'!$R:$R,MATCH($A5,'Valo FX'!$A:$A,0)),INDEX(Base!$U:$U,MATCH($A5,Base!$A:$A,0)),IF(CQ$1=INDEX('Valo FX'!$R:$R,MATCH($A5,'Valo FX'!$A:$A,0)),INDEX(Base!$V:$V,MATCH($A5,Base!$A:$A,0)),0)))</f>
        <v>13.151160000000001</v>
      </c>
      <c r="CR5" s="21">
        <f>IF(CR$1&lt;INDEX('Valo FX'!$Q:$Q,MATCH($A5,'Valo FX'!$A:$A,0)),0,IF(CR$1&lt;INDEX('Valo FX'!$R:$R,MATCH($A5,'Valo FX'!$A:$A,0)),INDEX(Base!$U:$U,MATCH($A5,Base!$A:$A,0)),IF(CR$1=INDEX('Valo FX'!$R:$R,MATCH($A5,'Valo FX'!$A:$A,0)),INDEX(Base!$V:$V,MATCH($A5,Base!$A:$A,0)),0)))</f>
        <v>13.151160000000001</v>
      </c>
      <c r="CS5" s="21">
        <f>IF(CS$1&lt;INDEX('Valo FX'!$Q:$Q,MATCH($A5,'Valo FX'!$A:$A,0)),0,IF(CS$1&lt;INDEX('Valo FX'!$R:$R,MATCH($A5,'Valo FX'!$A:$A,0)),INDEX(Base!$U:$U,MATCH($A5,Base!$A:$A,0)),IF(CS$1=INDEX('Valo FX'!$R:$R,MATCH($A5,'Valo FX'!$A:$A,0)),INDEX(Base!$V:$V,MATCH($A5,Base!$A:$A,0)),0)))</f>
        <v>13.151160000000001</v>
      </c>
      <c r="CT5" s="21">
        <f>IF(CT$1&lt;INDEX('Valo FX'!$Q:$Q,MATCH($A5,'Valo FX'!$A:$A,0)),0,IF(CT$1&lt;INDEX('Valo FX'!$R:$R,MATCH($A5,'Valo FX'!$A:$A,0)),INDEX(Base!$U:$U,MATCH($A5,Base!$A:$A,0)),IF(CT$1=INDEX('Valo FX'!$R:$R,MATCH($A5,'Valo FX'!$A:$A,0)),INDEX(Base!$V:$V,MATCH($A5,Base!$A:$A,0)),0)))</f>
        <v>13.151160000000001</v>
      </c>
      <c r="CU5" s="21">
        <f>IF(CU$1&lt;INDEX('Valo FX'!$Q:$Q,MATCH($A5,'Valo FX'!$A:$A,0)),0,IF(CU$1&lt;INDEX('Valo FX'!$R:$R,MATCH($A5,'Valo FX'!$A:$A,0)),INDEX(Base!$U:$U,MATCH($A5,Base!$A:$A,0)),IF(CU$1=INDEX('Valo FX'!$R:$R,MATCH($A5,'Valo FX'!$A:$A,0)),INDEX(Base!$V:$V,MATCH($A5,Base!$A:$A,0)),0)))</f>
        <v>13.151160000000001</v>
      </c>
      <c r="CV5" s="21">
        <f>IF(CV$1&lt;INDEX('Valo FX'!$Q:$Q,MATCH($A5,'Valo FX'!$A:$A,0)),0,IF(CV$1&lt;INDEX('Valo FX'!$R:$R,MATCH($A5,'Valo FX'!$A:$A,0)),INDEX(Base!$U:$U,MATCH($A5,Base!$A:$A,0)),IF(CV$1=INDEX('Valo FX'!$R:$R,MATCH($A5,'Valo FX'!$A:$A,0)),INDEX(Base!$V:$V,MATCH($A5,Base!$A:$A,0)),0)))</f>
        <v>13.151160000000001</v>
      </c>
      <c r="CW5" s="21">
        <f>IF(CW$1&lt;INDEX('Valo FX'!$Q:$Q,MATCH($A5,'Valo FX'!$A:$A,0)),0,IF(CW$1&lt;INDEX('Valo FX'!$R:$R,MATCH($A5,'Valo FX'!$A:$A,0)),INDEX(Base!$U:$U,MATCH($A5,Base!$A:$A,0)),IF(CW$1=INDEX('Valo FX'!$R:$R,MATCH($A5,'Valo FX'!$A:$A,0)),INDEX(Base!$V:$V,MATCH($A5,Base!$A:$A,0)),0)))</f>
        <v>13.151160000000001</v>
      </c>
      <c r="CX5" s="21">
        <f>IF(CX$1&lt;INDEX('Valo FX'!$Q:$Q,MATCH($A5,'Valo FX'!$A:$A,0)),0,IF(CX$1&lt;INDEX('Valo FX'!$R:$R,MATCH($A5,'Valo FX'!$A:$A,0)),INDEX(Base!$U:$U,MATCH($A5,Base!$A:$A,0)),IF(CX$1=INDEX('Valo FX'!$R:$R,MATCH($A5,'Valo FX'!$A:$A,0)),INDEX(Base!$V:$V,MATCH($A5,Base!$A:$A,0)),0)))</f>
        <v>13.151160000000001</v>
      </c>
      <c r="CY5" s="21">
        <f>IF(CY$1&lt;INDEX('Valo FX'!$Q:$Q,MATCH($A5,'Valo FX'!$A:$A,0)),0,IF(CY$1&lt;INDEX('Valo FX'!$R:$R,MATCH($A5,'Valo FX'!$A:$A,0)),INDEX(Base!$U:$U,MATCH($A5,Base!$A:$A,0)),IF(CY$1=INDEX('Valo FX'!$R:$R,MATCH($A5,'Valo FX'!$A:$A,0)),INDEX(Base!$V:$V,MATCH($A5,Base!$A:$A,0)),0)))</f>
        <v>13.151160000000001</v>
      </c>
      <c r="CZ5" s="21">
        <f>IF(CZ$1&lt;INDEX('Valo FX'!$Q:$Q,MATCH($A5,'Valo FX'!$A:$A,0)),0,IF(CZ$1&lt;INDEX('Valo FX'!$R:$R,MATCH($A5,'Valo FX'!$A:$A,0)),INDEX(Base!$U:$U,MATCH($A5,Base!$A:$A,0)),IF(CZ$1=INDEX('Valo FX'!$R:$R,MATCH($A5,'Valo FX'!$A:$A,0)),INDEX(Base!$V:$V,MATCH($A5,Base!$A:$A,0)),0)))</f>
        <v>13.151160000000001</v>
      </c>
      <c r="DA5" s="21">
        <f>IF(DA$1&lt;INDEX('Valo FX'!$Q:$Q,MATCH($A5,'Valo FX'!$A:$A,0)),0,IF(DA$1&lt;INDEX('Valo FX'!$R:$R,MATCH($A5,'Valo FX'!$A:$A,0)),INDEX(Base!$U:$U,MATCH($A5,Base!$A:$A,0)),IF(DA$1=INDEX('Valo FX'!$R:$R,MATCH($A5,'Valo FX'!$A:$A,0)),INDEX(Base!$V:$V,MATCH($A5,Base!$A:$A,0)),0)))</f>
        <v>13.151160000000001</v>
      </c>
      <c r="DB5" s="21">
        <f>IF(DB$1&lt;INDEX('Valo FX'!$Q:$Q,MATCH($A5,'Valo FX'!$A:$A,0)),0,IF(DB$1&lt;INDEX('Valo FX'!$R:$R,MATCH($A5,'Valo FX'!$A:$A,0)),INDEX(Base!$U:$U,MATCH($A5,Base!$A:$A,0)),IF(DB$1=INDEX('Valo FX'!$R:$R,MATCH($A5,'Valo FX'!$A:$A,0)),INDEX(Base!$V:$V,MATCH($A5,Base!$A:$A,0)),0)))</f>
        <v>13.151160000000001</v>
      </c>
      <c r="DC5" s="21">
        <f>IF(DC$1&lt;INDEX('Valo FX'!$Q:$Q,MATCH($A5,'Valo FX'!$A:$A,0)),0,IF(DC$1&lt;INDEX('Valo FX'!$R:$R,MATCH($A5,'Valo FX'!$A:$A,0)),INDEX(Base!$U:$U,MATCH($A5,Base!$A:$A,0)),IF(DC$1=INDEX('Valo FX'!$R:$R,MATCH($A5,'Valo FX'!$A:$A,0)),INDEX(Base!$V:$V,MATCH($A5,Base!$A:$A,0)),0)))</f>
        <v>13.151160000000001</v>
      </c>
      <c r="DD5" s="21">
        <f>IF(DD$1&lt;INDEX('Valo FX'!$Q:$Q,MATCH($A5,'Valo FX'!$A:$A,0)),0,IF(DD$1&lt;INDEX('Valo FX'!$R:$R,MATCH($A5,'Valo FX'!$A:$A,0)),INDEX(Base!$U:$U,MATCH($A5,Base!$A:$A,0)),IF(DD$1=INDEX('Valo FX'!$R:$R,MATCH($A5,'Valo FX'!$A:$A,0)),INDEX(Base!$V:$V,MATCH($A5,Base!$A:$A,0)),0)))</f>
        <v>13.151160000000001</v>
      </c>
      <c r="DE5" s="21">
        <f>IF(DE$1&lt;INDEX('Valo FX'!$Q:$Q,MATCH($A5,'Valo FX'!$A:$A,0)),0,IF(DE$1&lt;INDEX('Valo FX'!$R:$R,MATCH($A5,'Valo FX'!$A:$A,0)),INDEX(Base!$U:$U,MATCH($A5,Base!$A:$A,0)),IF(DE$1=INDEX('Valo FX'!$R:$R,MATCH($A5,'Valo FX'!$A:$A,0)),INDEX(Base!$V:$V,MATCH($A5,Base!$A:$A,0)),0)))</f>
        <v>13.151160000000001</v>
      </c>
      <c r="DF5" s="21">
        <f>IF(DF$1&lt;INDEX('Valo FX'!$Q:$Q,MATCH($A5,'Valo FX'!$A:$A,0)),0,IF(DF$1&lt;INDEX('Valo FX'!$R:$R,MATCH($A5,'Valo FX'!$A:$A,0)),INDEX(Base!$U:$U,MATCH($A5,Base!$A:$A,0)),IF(DF$1=INDEX('Valo FX'!$R:$R,MATCH($A5,'Valo FX'!$A:$A,0)),INDEX(Base!$V:$V,MATCH($A5,Base!$A:$A,0)),0)))</f>
        <v>13.151160000000001</v>
      </c>
      <c r="DG5" s="21">
        <f>IF(DG$1&lt;INDEX('Valo FX'!$Q:$Q,MATCH($A5,'Valo FX'!$A:$A,0)),0,IF(DG$1&lt;INDEX('Valo FX'!$R:$R,MATCH($A5,'Valo FX'!$A:$A,0)),INDEX(Base!$U:$U,MATCH($A5,Base!$A:$A,0)),IF(DG$1=INDEX('Valo FX'!$R:$R,MATCH($A5,'Valo FX'!$A:$A,0)),INDEX(Base!$V:$V,MATCH($A5,Base!$A:$A,0)),0)))</f>
        <v>13.151160000000001</v>
      </c>
      <c r="DH5" s="21">
        <f>IF(DH$1&lt;INDEX('Valo FX'!$Q:$Q,MATCH($A5,'Valo FX'!$A:$A,0)),0,IF(DH$1&lt;INDEX('Valo FX'!$R:$R,MATCH($A5,'Valo FX'!$A:$A,0)),INDEX(Base!$U:$U,MATCH($A5,Base!$A:$A,0)),IF(DH$1=INDEX('Valo FX'!$R:$R,MATCH($A5,'Valo FX'!$A:$A,0)),INDEX(Base!$V:$V,MATCH($A5,Base!$A:$A,0)),0)))</f>
        <v>13.151160000000001</v>
      </c>
      <c r="DI5" s="21">
        <f>IF(DI$1&lt;INDEX('Valo FX'!$Q:$Q,MATCH($A5,'Valo FX'!$A:$A,0)),0,IF(DI$1&lt;INDEX('Valo FX'!$R:$R,MATCH($A5,'Valo FX'!$A:$A,0)),INDEX(Base!$U:$U,MATCH($A5,Base!$A:$A,0)),IF(DI$1=INDEX('Valo FX'!$R:$R,MATCH($A5,'Valo FX'!$A:$A,0)),INDEX(Base!$V:$V,MATCH($A5,Base!$A:$A,0)),0)))</f>
        <v>13.151160000000001</v>
      </c>
      <c r="DJ5" s="21">
        <f>IF(DJ$1&lt;INDEX('Valo FX'!$Q:$Q,MATCH($A5,'Valo FX'!$A:$A,0)),0,IF(DJ$1&lt;INDEX('Valo FX'!$R:$R,MATCH($A5,'Valo FX'!$A:$A,0)),INDEX(Base!$U:$U,MATCH($A5,Base!$A:$A,0)),IF(DJ$1=INDEX('Valo FX'!$R:$R,MATCH($A5,'Valo FX'!$A:$A,0)),INDEX(Base!$V:$V,MATCH($A5,Base!$A:$A,0)),0)))</f>
        <v>13.151160000000001</v>
      </c>
      <c r="DK5" s="21">
        <f>IF(DK$1&lt;INDEX('Valo FX'!$Q:$Q,MATCH($A5,'Valo FX'!$A:$A,0)),0,IF(DK$1&lt;INDEX('Valo FX'!$R:$R,MATCH($A5,'Valo FX'!$A:$A,0)),INDEX(Base!$U:$U,MATCH($A5,Base!$A:$A,0)),IF(DK$1=INDEX('Valo FX'!$R:$R,MATCH($A5,'Valo FX'!$A:$A,0)),INDEX(Base!$V:$V,MATCH($A5,Base!$A:$A,0)),0)))</f>
        <v>13.151160000000001</v>
      </c>
      <c r="DL5" s="21">
        <f>IF(DL$1&lt;INDEX('Valo FX'!$Q:$Q,MATCH($A5,'Valo FX'!$A:$A,0)),0,IF(DL$1&lt;INDEX('Valo FX'!$R:$R,MATCH($A5,'Valo FX'!$A:$A,0)),INDEX(Base!$U:$U,MATCH($A5,Base!$A:$A,0)),IF(DL$1=INDEX('Valo FX'!$R:$R,MATCH($A5,'Valo FX'!$A:$A,0)),INDEX(Base!$V:$V,MATCH($A5,Base!$A:$A,0)),0)))</f>
        <v>13.151160000000001</v>
      </c>
      <c r="DM5" s="21">
        <f>IF(DM$1&lt;INDEX('Valo FX'!$Q:$Q,MATCH($A5,'Valo FX'!$A:$A,0)),0,IF(DM$1&lt;INDEX('Valo FX'!$R:$R,MATCH($A5,'Valo FX'!$A:$A,0)),INDEX(Base!$U:$U,MATCH($A5,Base!$A:$A,0)),IF(DM$1=INDEX('Valo FX'!$R:$R,MATCH($A5,'Valo FX'!$A:$A,0)),INDEX(Base!$V:$V,MATCH($A5,Base!$A:$A,0)),0)))</f>
        <v>13.151160000000001</v>
      </c>
      <c r="DN5" s="21">
        <f>IF(DN$1&lt;INDEX('Valo FX'!$Q:$Q,MATCH($A5,'Valo FX'!$A:$A,0)),0,IF(DN$1&lt;INDEX('Valo FX'!$R:$R,MATCH($A5,'Valo FX'!$A:$A,0)),INDEX(Base!$U:$U,MATCH($A5,Base!$A:$A,0)),IF(DN$1=INDEX('Valo FX'!$R:$R,MATCH($A5,'Valo FX'!$A:$A,0)),INDEX(Base!$V:$V,MATCH($A5,Base!$A:$A,0)),0)))</f>
        <v>13.151160000000001</v>
      </c>
      <c r="DO5" s="21">
        <f>IF(DO$1&lt;INDEX('Valo FX'!$Q:$Q,MATCH($A5,'Valo FX'!$A:$A,0)),0,IF(DO$1&lt;INDEX('Valo FX'!$R:$R,MATCH($A5,'Valo FX'!$A:$A,0)),INDEX(Base!$U:$U,MATCH($A5,Base!$A:$A,0)),IF(DO$1=INDEX('Valo FX'!$R:$R,MATCH($A5,'Valo FX'!$A:$A,0)),INDEX(Base!$V:$V,MATCH($A5,Base!$A:$A,0)),0)))</f>
        <v>13.151160000000001</v>
      </c>
      <c r="DP5" s="21">
        <f>IF(DP$1&lt;INDEX('Valo FX'!$Q:$Q,MATCH($A5,'Valo FX'!$A:$A,0)),0,IF(DP$1&lt;INDEX('Valo FX'!$R:$R,MATCH($A5,'Valo FX'!$A:$A,0)),INDEX(Base!$U:$U,MATCH($A5,Base!$A:$A,0)),IF(DP$1=INDEX('Valo FX'!$R:$R,MATCH($A5,'Valo FX'!$A:$A,0)),INDEX(Base!$V:$V,MATCH($A5,Base!$A:$A,0)),0)))</f>
        <v>13.151160000000001</v>
      </c>
      <c r="DQ5" s="21">
        <f>IF(DQ$1&lt;INDEX('Valo FX'!$Q:$Q,MATCH($A5,'Valo FX'!$A:$A,0)),0,IF(DQ$1&lt;INDEX('Valo FX'!$R:$R,MATCH($A5,'Valo FX'!$A:$A,0)),INDEX(Base!$U:$U,MATCH($A5,Base!$A:$A,0)),IF(DQ$1=INDEX('Valo FX'!$R:$R,MATCH($A5,'Valo FX'!$A:$A,0)),INDEX(Base!$V:$V,MATCH($A5,Base!$A:$A,0)),0)))</f>
        <v>13.151160000000001</v>
      </c>
      <c r="DR5" s="21">
        <f>IF(DR$1&lt;INDEX('Valo FX'!$Q:$Q,MATCH($A5,'Valo FX'!$A:$A,0)),0,IF(DR$1&lt;INDEX('Valo FX'!$R:$R,MATCH($A5,'Valo FX'!$A:$A,0)),INDEX(Base!$U:$U,MATCH($A5,Base!$A:$A,0)),IF(DR$1=INDEX('Valo FX'!$R:$R,MATCH($A5,'Valo FX'!$A:$A,0)),INDEX(Base!$V:$V,MATCH($A5,Base!$A:$A,0)),0)))</f>
        <v>13.151160000000001</v>
      </c>
      <c r="DS5" s="21">
        <f>IF(DS$1&lt;INDEX('Valo FX'!$Q:$Q,MATCH($A5,'Valo FX'!$A:$A,0)),0,IF(DS$1&lt;INDEX('Valo FX'!$R:$R,MATCH($A5,'Valo FX'!$A:$A,0)),INDEX(Base!$U:$U,MATCH($A5,Base!$A:$A,0)),IF(DS$1=INDEX('Valo FX'!$R:$R,MATCH($A5,'Valo FX'!$A:$A,0)),INDEX(Base!$V:$V,MATCH($A5,Base!$A:$A,0)),0)))</f>
        <v>13.151160000000001</v>
      </c>
      <c r="DT5" s="21">
        <f>IF(DT$1&lt;INDEX('Valo FX'!$Q:$Q,MATCH($A5,'Valo FX'!$A:$A,0)),0,IF(DT$1&lt;INDEX('Valo FX'!$R:$R,MATCH($A5,'Valo FX'!$A:$A,0)),INDEX(Base!$U:$U,MATCH($A5,Base!$A:$A,0)),IF(DT$1=INDEX('Valo FX'!$R:$R,MATCH($A5,'Valo FX'!$A:$A,0)),INDEX(Base!$V:$V,MATCH($A5,Base!$A:$A,0)),0)))</f>
        <v>13.151160000000001</v>
      </c>
      <c r="DU5" s="21">
        <f>IF(DU$1&lt;INDEX('Valo FX'!$Q:$Q,MATCH($A5,'Valo FX'!$A:$A,0)),0,IF(DU$1&lt;INDEX('Valo FX'!$R:$R,MATCH($A5,'Valo FX'!$A:$A,0)),INDEX(Base!$U:$U,MATCH($A5,Base!$A:$A,0)),IF(DU$1=INDEX('Valo FX'!$R:$R,MATCH($A5,'Valo FX'!$A:$A,0)),INDEX(Base!$V:$V,MATCH($A5,Base!$A:$A,0)),0)))</f>
        <v>13.151160000000001</v>
      </c>
      <c r="DV5" s="21">
        <f>IF(DV$1&lt;INDEX('Valo FX'!$Q:$Q,MATCH($A5,'Valo FX'!$A:$A,0)),0,IF(DV$1&lt;INDEX('Valo FX'!$R:$R,MATCH($A5,'Valo FX'!$A:$A,0)),INDEX(Base!$U:$U,MATCH($A5,Base!$A:$A,0)),IF(DV$1=INDEX('Valo FX'!$R:$R,MATCH($A5,'Valo FX'!$A:$A,0)),INDEX(Base!$V:$V,MATCH($A5,Base!$A:$A,0)),0)))</f>
        <v>13.151160000000001</v>
      </c>
      <c r="DW5" s="21">
        <f>IF(DW$1&lt;INDEX('Valo FX'!$Q:$Q,MATCH($A5,'Valo FX'!$A:$A,0)),0,IF(DW$1&lt;INDEX('Valo FX'!$R:$R,MATCH($A5,'Valo FX'!$A:$A,0)),INDEX(Base!$U:$U,MATCH($A5,Base!$A:$A,0)),IF(DW$1=INDEX('Valo FX'!$R:$R,MATCH($A5,'Valo FX'!$A:$A,0)),INDEX(Base!$V:$V,MATCH($A5,Base!$A:$A,0)),0)))</f>
        <v>13.151160000000001</v>
      </c>
      <c r="DX5" s="21">
        <f>IF(DX$1&lt;INDEX('Valo FX'!$Q:$Q,MATCH($A5,'Valo FX'!$A:$A,0)),0,IF(DX$1&lt;INDEX('Valo FX'!$R:$R,MATCH($A5,'Valo FX'!$A:$A,0)),INDEX(Base!$U:$U,MATCH($A5,Base!$A:$A,0)),IF(DX$1=INDEX('Valo FX'!$R:$R,MATCH($A5,'Valo FX'!$A:$A,0)),INDEX(Base!$V:$V,MATCH($A5,Base!$A:$A,0)),0)))</f>
        <v>13.151160000000001</v>
      </c>
      <c r="DY5" s="21">
        <f>IF(DY$1&lt;INDEX('Valo FX'!$Q:$Q,MATCH($A5,'Valo FX'!$A:$A,0)),0,IF(DY$1&lt;INDEX('Valo FX'!$R:$R,MATCH($A5,'Valo FX'!$A:$A,0)),INDEX(Base!$U:$U,MATCH($A5,Base!$A:$A,0)),IF(DY$1=INDEX('Valo FX'!$R:$R,MATCH($A5,'Valo FX'!$A:$A,0)),INDEX(Base!$V:$V,MATCH($A5,Base!$A:$A,0)),0)))</f>
        <v>13.151160000000001</v>
      </c>
      <c r="DZ5" s="21">
        <f>IF(DZ$1&lt;INDEX('Valo FX'!$Q:$Q,MATCH($A5,'Valo FX'!$A:$A,0)),0,IF(DZ$1&lt;INDEX('Valo FX'!$R:$R,MATCH($A5,'Valo FX'!$A:$A,0)),INDEX(Base!$U:$U,MATCH($A5,Base!$A:$A,0)),IF(DZ$1=INDEX('Valo FX'!$R:$R,MATCH($A5,'Valo FX'!$A:$A,0)),INDEX(Base!$V:$V,MATCH($A5,Base!$A:$A,0)),0)))</f>
        <v>13.151160000000001</v>
      </c>
      <c r="EA5" s="21">
        <f>IF(EA$1&lt;INDEX('Valo FX'!$Q:$Q,MATCH($A5,'Valo FX'!$A:$A,0)),0,IF(EA$1&lt;INDEX('Valo FX'!$R:$R,MATCH($A5,'Valo FX'!$A:$A,0)),INDEX(Base!$U:$U,MATCH($A5,Base!$A:$A,0)),IF(EA$1=INDEX('Valo FX'!$R:$R,MATCH($A5,'Valo FX'!$A:$A,0)),INDEX(Base!$V:$V,MATCH($A5,Base!$A:$A,0)),0)))</f>
        <v>13.151160000000001</v>
      </c>
      <c r="EB5" s="21">
        <f>IF(EB$1&lt;INDEX('Valo FX'!$Q:$Q,MATCH($A5,'Valo FX'!$A:$A,0)),0,IF(EB$1&lt;INDEX('Valo FX'!$R:$R,MATCH($A5,'Valo FX'!$A:$A,0)),INDEX(Base!$U:$U,MATCH($A5,Base!$A:$A,0)),IF(EB$1=INDEX('Valo FX'!$R:$R,MATCH($A5,'Valo FX'!$A:$A,0)),INDEX(Base!$V:$V,MATCH($A5,Base!$A:$A,0)),0)))</f>
        <v>13.151160000000001</v>
      </c>
      <c r="EC5" s="21">
        <f>IF(EC$1&lt;INDEX('Valo FX'!$Q:$Q,MATCH($A5,'Valo FX'!$A:$A,0)),0,IF(EC$1&lt;INDEX('Valo FX'!$R:$R,MATCH($A5,'Valo FX'!$A:$A,0)),INDEX(Base!$U:$U,MATCH($A5,Base!$A:$A,0)),IF(EC$1=INDEX('Valo FX'!$R:$R,MATCH($A5,'Valo FX'!$A:$A,0)),INDEX(Base!$V:$V,MATCH($A5,Base!$A:$A,0)),0)))</f>
        <v>13.151160000000001</v>
      </c>
      <c r="ED5" s="21">
        <f>IF(ED$1&lt;INDEX('Valo FX'!$Q:$Q,MATCH($A5,'Valo FX'!$A:$A,0)),0,IF(ED$1&lt;INDEX('Valo FX'!$R:$R,MATCH($A5,'Valo FX'!$A:$A,0)),INDEX(Base!$U:$U,MATCH($A5,Base!$A:$A,0)),IF(ED$1=INDEX('Valo FX'!$R:$R,MATCH($A5,'Valo FX'!$A:$A,0)),INDEX(Base!$V:$V,MATCH($A5,Base!$A:$A,0)),0)))</f>
        <v>13.151160000000001</v>
      </c>
      <c r="EE5" s="21">
        <f>IF(EE$1&lt;INDEX('Valo FX'!$Q:$Q,MATCH($A5,'Valo FX'!$A:$A,0)),0,IF(EE$1&lt;INDEX('Valo FX'!$R:$R,MATCH($A5,'Valo FX'!$A:$A,0)),INDEX(Base!$U:$U,MATCH($A5,Base!$A:$A,0)),IF(EE$1=INDEX('Valo FX'!$R:$R,MATCH($A5,'Valo FX'!$A:$A,0)),INDEX(Base!$V:$V,MATCH($A5,Base!$A:$A,0)),0)))</f>
        <v>13.151160000000001</v>
      </c>
      <c r="EF5" s="21">
        <f>IF(EF$1&lt;INDEX('Valo FX'!$Q:$Q,MATCH($A5,'Valo FX'!$A:$A,0)),0,IF(EF$1&lt;INDEX('Valo FX'!$R:$R,MATCH($A5,'Valo FX'!$A:$A,0)),INDEX(Base!$U:$U,MATCH($A5,Base!$A:$A,0)),IF(EF$1=INDEX('Valo FX'!$R:$R,MATCH($A5,'Valo FX'!$A:$A,0)),INDEX(Base!$V:$V,MATCH($A5,Base!$A:$A,0)),0)))</f>
        <v>13.151160000000001</v>
      </c>
      <c r="EG5" s="21">
        <f>IF(EG$1&lt;INDEX('Valo FX'!$Q:$Q,MATCH($A5,'Valo FX'!$A:$A,0)),0,IF(EG$1&lt;INDEX('Valo FX'!$R:$R,MATCH($A5,'Valo FX'!$A:$A,0)),INDEX(Base!$U:$U,MATCH($A5,Base!$A:$A,0)),IF(EG$1=INDEX('Valo FX'!$R:$R,MATCH($A5,'Valo FX'!$A:$A,0)),INDEX(Base!$V:$V,MATCH($A5,Base!$A:$A,0)),0)))</f>
        <v>13.151160000000001</v>
      </c>
      <c r="EH5" s="21">
        <f>IF(EH$1&lt;INDEX('Valo FX'!$Q:$Q,MATCH($A5,'Valo FX'!$A:$A,0)),0,IF(EH$1&lt;INDEX('Valo FX'!$R:$R,MATCH($A5,'Valo FX'!$A:$A,0)),INDEX(Base!$U:$U,MATCH($A5,Base!$A:$A,0)),IF(EH$1=INDEX('Valo FX'!$R:$R,MATCH($A5,'Valo FX'!$A:$A,0)),INDEX(Base!$V:$V,MATCH($A5,Base!$A:$A,0)),0)))</f>
        <v>13.151160000000001</v>
      </c>
      <c r="EI5" s="21">
        <f>IF(EI$1&lt;INDEX('Valo FX'!$Q:$Q,MATCH($A5,'Valo FX'!$A:$A,0)),0,IF(EI$1&lt;INDEX('Valo FX'!$R:$R,MATCH($A5,'Valo FX'!$A:$A,0)),INDEX(Base!$U:$U,MATCH($A5,Base!$A:$A,0)),IF(EI$1=INDEX('Valo FX'!$R:$R,MATCH($A5,'Valo FX'!$A:$A,0)),INDEX(Base!$V:$V,MATCH($A5,Base!$A:$A,0)),0)))</f>
        <v>13.151160000000001</v>
      </c>
      <c r="EJ5" s="21">
        <f>IF(EJ$1&lt;INDEX('Valo FX'!$Q:$Q,MATCH($A5,'Valo FX'!$A:$A,0)),0,IF(EJ$1&lt;INDEX('Valo FX'!$R:$R,MATCH($A5,'Valo FX'!$A:$A,0)),INDEX(Base!$U:$U,MATCH($A5,Base!$A:$A,0)),IF(EJ$1=INDEX('Valo FX'!$R:$R,MATCH($A5,'Valo FX'!$A:$A,0)),INDEX(Base!$V:$V,MATCH($A5,Base!$A:$A,0)),0)))</f>
        <v>13.151160000000001</v>
      </c>
      <c r="EK5" s="21">
        <f>IF(EK$1&lt;INDEX('Valo FX'!$Q:$Q,MATCH($A5,'Valo FX'!$A:$A,0)),0,IF(EK$1&lt;INDEX('Valo FX'!$R:$R,MATCH($A5,'Valo FX'!$A:$A,0)),INDEX(Base!$U:$U,MATCH($A5,Base!$A:$A,0)),IF(EK$1=INDEX('Valo FX'!$R:$R,MATCH($A5,'Valo FX'!$A:$A,0)),INDEX(Base!$V:$V,MATCH($A5,Base!$A:$A,0)),0)))</f>
        <v>13.151160000000001</v>
      </c>
      <c r="EL5" s="21">
        <f>IF(EL$1&lt;INDEX('Valo FX'!$Q:$Q,MATCH($A5,'Valo FX'!$A:$A,0)),0,IF(EL$1&lt;INDEX('Valo FX'!$R:$R,MATCH($A5,'Valo FX'!$A:$A,0)),INDEX(Base!$U:$U,MATCH($A5,Base!$A:$A,0)),IF(EL$1=INDEX('Valo FX'!$R:$R,MATCH($A5,'Valo FX'!$A:$A,0)),INDEX(Base!$V:$V,MATCH($A5,Base!$A:$A,0)),0)))</f>
        <v>13.151160000000001</v>
      </c>
      <c r="EM5" s="21">
        <f>IF(EM$1&lt;INDEX('Valo FX'!$Q:$Q,MATCH($A5,'Valo FX'!$A:$A,0)),0,IF(EM$1&lt;INDEX('Valo FX'!$R:$R,MATCH($A5,'Valo FX'!$A:$A,0)),INDEX(Base!$U:$U,MATCH($A5,Base!$A:$A,0)),IF(EM$1=INDEX('Valo FX'!$R:$R,MATCH($A5,'Valo FX'!$A:$A,0)),INDEX(Base!$V:$V,MATCH($A5,Base!$A:$A,0)),0)))</f>
        <v>13.151160000000001</v>
      </c>
      <c r="EN5" s="21">
        <f>IF(EN$1&lt;INDEX('Valo FX'!$Q:$Q,MATCH($A5,'Valo FX'!$A:$A,0)),0,IF(EN$1&lt;INDEX('Valo FX'!$R:$R,MATCH($A5,'Valo FX'!$A:$A,0)),INDEX(Base!$U:$U,MATCH($A5,Base!$A:$A,0)),IF(EN$1=INDEX('Valo FX'!$R:$R,MATCH($A5,'Valo FX'!$A:$A,0)),INDEX(Base!$V:$V,MATCH($A5,Base!$A:$A,0)),0)))</f>
        <v>13.151160000000001</v>
      </c>
      <c r="EO5" s="21">
        <f>IF(EO$1&lt;INDEX('Valo FX'!$Q:$Q,MATCH($A5,'Valo FX'!$A:$A,0)),0,IF(EO$1&lt;INDEX('Valo FX'!$R:$R,MATCH($A5,'Valo FX'!$A:$A,0)),INDEX(Base!$U:$U,MATCH($A5,Base!$A:$A,0)),IF(EO$1=INDEX('Valo FX'!$R:$R,MATCH($A5,'Valo FX'!$A:$A,0)),INDEX(Base!$V:$V,MATCH($A5,Base!$A:$A,0)),0)))</f>
        <v>13.151160000000001</v>
      </c>
      <c r="EP5" s="21">
        <f>IF(EP$1&lt;INDEX('Valo FX'!$Q:$Q,MATCH($A5,'Valo FX'!$A:$A,0)),0,IF(EP$1&lt;INDEX('Valo FX'!$R:$R,MATCH($A5,'Valo FX'!$A:$A,0)),INDEX(Base!$U:$U,MATCH($A5,Base!$A:$A,0)),IF(EP$1=INDEX('Valo FX'!$R:$R,MATCH($A5,'Valo FX'!$A:$A,0)),INDEX(Base!$V:$V,MATCH($A5,Base!$A:$A,0)),0)))</f>
        <v>13.151160000000001</v>
      </c>
      <c r="EQ5" s="21">
        <f>IF(EQ$1&lt;INDEX('Valo FX'!$Q:$Q,MATCH($A5,'Valo FX'!$A:$A,0)),0,IF(EQ$1&lt;INDEX('Valo FX'!$R:$R,MATCH($A5,'Valo FX'!$A:$A,0)),INDEX(Base!$U:$U,MATCH($A5,Base!$A:$A,0)),IF(EQ$1=INDEX('Valo FX'!$R:$R,MATCH($A5,'Valo FX'!$A:$A,0)),INDEX(Base!$V:$V,MATCH($A5,Base!$A:$A,0)),0)))</f>
        <v>13.151160000000001</v>
      </c>
      <c r="ER5" s="21">
        <f>IF(ER$1&lt;INDEX('Valo FX'!$Q:$Q,MATCH($A5,'Valo FX'!$A:$A,0)),0,IF(ER$1&lt;INDEX('Valo FX'!$R:$R,MATCH($A5,'Valo FX'!$A:$A,0)),INDEX(Base!$U:$U,MATCH($A5,Base!$A:$A,0)),IF(ER$1=INDEX('Valo FX'!$R:$R,MATCH($A5,'Valo FX'!$A:$A,0)),INDEX(Base!$V:$V,MATCH($A5,Base!$A:$A,0)),0)))</f>
        <v>13.151160000000001</v>
      </c>
      <c r="ES5" s="21">
        <f>IF(ES$1&lt;INDEX('Valo FX'!$Q:$Q,MATCH($A5,'Valo FX'!$A:$A,0)),0,IF(ES$1&lt;INDEX('Valo FX'!$R:$R,MATCH($A5,'Valo FX'!$A:$A,0)),INDEX(Base!$U:$U,MATCH($A5,Base!$A:$A,0)),IF(ES$1=INDEX('Valo FX'!$R:$R,MATCH($A5,'Valo FX'!$A:$A,0)),INDEX(Base!$V:$V,MATCH($A5,Base!$A:$A,0)),0)))</f>
        <v>13.151160000000001</v>
      </c>
      <c r="ET5" s="21">
        <f>IF(ET$1&lt;INDEX('Valo FX'!$Q:$Q,MATCH($A5,'Valo FX'!$A:$A,0)),0,IF(ET$1&lt;INDEX('Valo FX'!$R:$R,MATCH($A5,'Valo FX'!$A:$A,0)),INDEX(Base!$U:$U,MATCH($A5,Base!$A:$A,0)),IF(ET$1=INDEX('Valo FX'!$R:$R,MATCH($A5,'Valo FX'!$A:$A,0)),INDEX(Base!$V:$V,MATCH($A5,Base!$A:$A,0)),0)))</f>
        <v>13.151160000000001</v>
      </c>
      <c r="EU5" s="21">
        <f>IF(EU$1&lt;INDEX('Valo FX'!$Q:$Q,MATCH($A5,'Valo FX'!$A:$A,0)),0,IF(EU$1&lt;INDEX('Valo FX'!$R:$R,MATCH($A5,'Valo FX'!$A:$A,0)),INDEX(Base!$U:$U,MATCH($A5,Base!$A:$A,0)),IF(EU$1=INDEX('Valo FX'!$R:$R,MATCH($A5,'Valo FX'!$A:$A,0)),INDEX(Base!$V:$V,MATCH($A5,Base!$A:$A,0)),0)))</f>
        <v>13.151160000000001</v>
      </c>
      <c r="EV5" s="21">
        <f>IF(EV$1&lt;INDEX('Valo FX'!$Q:$Q,MATCH($A5,'Valo FX'!$A:$A,0)),0,IF(EV$1&lt;INDEX('Valo FX'!$R:$R,MATCH($A5,'Valo FX'!$A:$A,0)),INDEX(Base!$U:$U,MATCH($A5,Base!$A:$A,0)),IF(EV$1=INDEX('Valo FX'!$R:$R,MATCH($A5,'Valo FX'!$A:$A,0)),INDEX(Base!$V:$V,MATCH($A5,Base!$A:$A,0)),0)))</f>
        <v>13.151160000000001</v>
      </c>
      <c r="EW5" s="21">
        <f>IF(EW$1&lt;INDEX('Valo FX'!$Q:$Q,MATCH($A5,'Valo FX'!$A:$A,0)),0,IF(EW$1&lt;INDEX('Valo FX'!$R:$R,MATCH($A5,'Valo FX'!$A:$A,0)),INDEX(Base!$U:$U,MATCH($A5,Base!$A:$A,0)),IF(EW$1=INDEX('Valo FX'!$R:$R,MATCH($A5,'Valo FX'!$A:$A,0)),INDEX(Base!$V:$V,MATCH($A5,Base!$A:$A,0)),0)))</f>
        <v>13.151160000000001</v>
      </c>
      <c r="EX5" s="21">
        <f>IF(EX$1&lt;INDEX('Valo FX'!$Q:$Q,MATCH($A5,'Valo FX'!$A:$A,0)),0,IF(EX$1&lt;INDEX('Valo FX'!$R:$R,MATCH($A5,'Valo FX'!$A:$A,0)),INDEX(Base!$U:$U,MATCH($A5,Base!$A:$A,0)),IF(EX$1=INDEX('Valo FX'!$R:$R,MATCH($A5,'Valo FX'!$A:$A,0)),INDEX(Base!$V:$V,MATCH($A5,Base!$A:$A,0)),0)))</f>
        <v>13.151160000000001</v>
      </c>
      <c r="EY5" s="21">
        <f>IF(EY$1&lt;INDEX('Valo FX'!$Q:$Q,MATCH($A5,'Valo FX'!$A:$A,0)),0,IF(EY$1&lt;INDEX('Valo FX'!$R:$R,MATCH($A5,'Valo FX'!$A:$A,0)),INDEX(Base!$U:$U,MATCH($A5,Base!$A:$A,0)),IF(EY$1=INDEX('Valo FX'!$R:$R,MATCH($A5,'Valo FX'!$A:$A,0)),INDEX(Base!$V:$V,MATCH($A5,Base!$A:$A,0)),0)))</f>
        <v>13.151160000000001</v>
      </c>
      <c r="EZ5" s="21">
        <f>IF(EZ$1&lt;INDEX('Valo FX'!$Q:$Q,MATCH($A5,'Valo FX'!$A:$A,0)),0,IF(EZ$1&lt;INDEX('Valo FX'!$R:$R,MATCH($A5,'Valo FX'!$A:$A,0)),INDEX(Base!$U:$U,MATCH($A5,Base!$A:$A,0)),IF(EZ$1=INDEX('Valo FX'!$R:$R,MATCH($A5,'Valo FX'!$A:$A,0)),INDEX(Base!$V:$V,MATCH($A5,Base!$A:$A,0)),0)))</f>
        <v>13.151160000000001</v>
      </c>
      <c r="FA5" s="21">
        <f>IF(FA$1&lt;INDEX('Valo FX'!$Q:$Q,MATCH($A5,'Valo FX'!$A:$A,0)),0,IF(FA$1&lt;INDEX('Valo FX'!$R:$R,MATCH($A5,'Valo FX'!$A:$A,0)),INDEX(Base!$U:$U,MATCH($A5,Base!$A:$A,0)),IF(FA$1=INDEX('Valo FX'!$R:$R,MATCH($A5,'Valo FX'!$A:$A,0)),INDEX(Base!$V:$V,MATCH($A5,Base!$A:$A,0)),0)))</f>
        <v>13.151160000000001</v>
      </c>
      <c r="FB5" s="21">
        <f>IF(FB$1&lt;INDEX('Valo FX'!$Q:$Q,MATCH($A5,'Valo FX'!$A:$A,0)),0,IF(FB$1&lt;INDEX('Valo FX'!$R:$R,MATCH($A5,'Valo FX'!$A:$A,0)),INDEX(Base!$U:$U,MATCH($A5,Base!$A:$A,0)),IF(FB$1=INDEX('Valo FX'!$R:$R,MATCH($A5,'Valo FX'!$A:$A,0)),INDEX(Base!$V:$V,MATCH($A5,Base!$A:$A,0)),0)))</f>
        <v>13.151160000000001</v>
      </c>
      <c r="FC5" s="21">
        <f>IF(FC$1&lt;INDEX('Valo FX'!$Q:$Q,MATCH($A5,'Valo FX'!$A:$A,0)),0,IF(FC$1&lt;INDEX('Valo FX'!$R:$R,MATCH($A5,'Valo FX'!$A:$A,0)),INDEX(Base!$U:$U,MATCH($A5,Base!$A:$A,0)),IF(FC$1=INDEX('Valo FX'!$R:$R,MATCH($A5,'Valo FX'!$A:$A,0)),INDEX(Base!$V:$V,MATCH($A5,Base!$A:$A,0)),0)))</f>
        <v>13.151160000000001</v>
      </c>
      <c r="FD5" s="21">
        <f>IF(FD$1&lt;INDEX('Valo FX'!$Q:$Q,MATCH($A5,'Valo FX'!$A:$A,0)),0,IF(FD$1&lt;INDEX('Valo FX'!$R:$R,MATCH($A5,'Valo FX'!$A:$A,0)),INDEX(Base!$U:$U,MATCH($A5,Base!$A:$A,0)),IF(FD$1=INDEX('Valo FX'!$R:$R,MATCH($A5,'Valo FX'!$A:$A,0)),INDEX(Base!$V:$V,MATCH($A5,Base!$A:$A,0)),0)))</f>
        <v>13.151160000000001</v>
      </c>
      <c r="FE5" s="21">
        <f>IF(FE$1&lt;INDEX('Valo FX'!$Q:$Q,MATCH($A5,'Valo FX'!$A:$A,0)),0,IF(FE$1&lt;INDEX('Valo FX'!$R:$R,MATCH($A5,'Valo FX'!$A:$A,0)),INDEX(Base!$U:$U,MATCH($A5,Base!$A:$A,0)),IF(FE$1=INDEX('Valo FX'!$R:$R,MATCH($A5,'Valo FX'!$A:$A,0)),INDEX(Base!$V:$V,MATCH($A5,Base!$A:$A,0)),0)))</f>
        <v>13.151160000000001</v>
      </c>
      <c r="FF5" s="21">
        <f>IF(FF$1&lt;INDEX('Valo FX'!$Q:$Q,MATCH($A5,'Valo FX'!$A:$A,0)),0,IF(FF$1&lt;INDEX('Valo FX'!$R:$R,MATCH($A5,'Valo FX'!$A:$A,0)),INDEX(Base!$U:$U,MATCH($A5,Base!$A:$A,0)),IF(FF$1=INDEX('Valo FX'!$R:$R,MATCH($A5,'Valo FX'!$A:$A,0)),INDEX(Base!$V:$V,MATCH($A5,Base!$A:$A,0)),0)))</f>
        <v>13.151160000000001</v>
      </c>
      <c r="FG5" s="21">
        <f>IF(FG$1&lt;INDEX('Valo FX'!$Q:$Q,MATCH($A5,'Valo FX'!$A:$A,0)),0,IF(FG$1&lt;INDEX('Valo FX'!$R:$R,MATCH($A5,'Valo FX'!$A:$A,0)),INDEX(Base!$U:$U,MATCH($A5,Base!$A:$A,0)),IF(FG$1=INDEX('Valo FX'!$R:$R,MATCH($A5,'Valo FX'!$A:$A,0)),INDEX(Base!$V:$V,MATCH($A5,Base!$A:$A,0)),0)))</f>
        <v>13.151160000000001</v>
      </c>
      <c r="FH5" s="21">
        <f>IF(FH$1&lt;INDEX('Valo FX'!$Q:$Q,MATCH($A5,'Valo FX'!$A:$A,0)),0,IF(FH$1&lt;INDEX('Valo FX'!$R:$R,MATCH($A5,'Valo FX'!$A:$A,0)),INDEX(Base!$U:$U,MATCH($A5,Base!$A:$A,0)),IF(FH$1=INDEX('Valo FX'!$R:$R,MATCH($A5,'Valo FX'!$A:$A,0)),INDEX(Base!$V:$V,MATCH($A5,Base!$A:$A,0)),0)))</f>
        <v>13.151160000000001</v>
      </c>
      <c r="FI5" s="21">
        <f>IF(FI$1&lt;INDEX('Valo FX'!$Q:$Q,MATCH($A5,'Valo FX'!$A:$A,0)),0,IF(FI$1&lt;INDEX('Valo FX'!$R:$R,MATCH($A5,'Valo FX'!$A:$A,0)),INDEX(Base!$U:$U,MATCH($A5,Base!$A:$A,0)),IF(FI$1=INDEX('Valo FX'!$R:$R,MATCH($A5,'Valo FX'!$A:$A,0)),INDEX(Base!$V:$V,MATCH($A5,Base!$A:$A,0)),0)))</f>
        <v>13.151160000000001</v>
      </c>
      <c r="FJ5" s="21">
        <f>IF(FJ$1&lt;INDEX('Valo FX'!$Q:$Q,MATCH($A5,'Valo FX'!$A:$A,0)),0,IF(FJ$1&lt;INDEX('Valo FX'!$R:$R,MATCH($A5,'Valo FX'!$A:$A,0)),INDEX(Base!$U:$U,MATCH($A5,Base!$A:$A,0)),IF(FJ$1=INDEX('Valo FX'!$R:$R,MATCH($A5,'Valo FX'!$A:$A,0)),INDEX(Base!$V:$V,MATCH($A5,Base!$A:$A,0)),0)))</f>
        <v>13.151160000000001</v>
      </c>
      <c r="FK5" s="21">
        <f>IF(FK$1&lt;INDEX('Valo FX'!$Q:$Q,MATCH($A5,'Valo FX'!$A:$A,0)),0,IF(FK$1&lt;INDEX('Valo FX'!$R:$R,MATCH($A5,'Valo FX'!$A:$A,0)),INDEX(Base!$U:$U,MATCH($A5,Base!$A:$A,0)),IF(FK$1=INDEX('Valo FX'!$R:$R,MATCH($A5,'Valo FX'!$A:$A,0)),INDEX(Base!$V:$V,MATCH($A5,Base!$A:$A,0)),0)))</f>
        <v>13.151160000000001</v>
      </c>
      <c r="FL5" s="21">
        <f>IF(FL$1&lt;INDEX('Valo FX'!$Q:$Q,MATCH($A5,'Valo FX'!$A:$A,0)),0,IF(FL$1&lt;INDEX('Valo FX'!$R:$R,MATCH($A5,'Valo FX'!$A:$A,0)),INDEX(Base!$U:$U,MATCH($A5,Base!$A:$A,0)),IF(FL$1=INDEX('Valo FX'!$R:$R,MATCH($A5,'Valo FX'!$A:$A,0)),INDEX(Base!$V:$V,MATCH($A5,Base!$A:$A,0)),0)))</f>
        <v>13.151160000000001</v>
      </c>
      <c r="FM5" s="21">
        <f>IF(FM$1&lt;INDEX('Valo FX'!$Q:$Q,MATCH($A5,'Valo FX'!$A:$A,0)),0,IF(FM$1&lt;INDEX('Valo FX'!$R:$R,MATCH($A5,'Valo FX'!$A:$A,0)),INDEX(Base!$U:$U,MATCH($A5,Base!$A:$A,0)),IF(FM$1=INDEX('Valo FX'!$R:$R,MATCH($A5,'Valo FX'!$A:$A,0)),INDEX(Base!$V:$V,MATCH($A5,Base!$A:$A,0)),0)))</f>
        <v>13.151160000000001</v>
      </c>
      <c r="FN5" s="21">
        <f>IF(FN$1&lt;INDEX('Valo FX'!$Q:$Q,MATCH($A5,'Valo FX'!$A:$A,0)),0,IF(FN$1&lt;INDEX('Valo FX'!$R:$R,MATCH($A5,'Valo FX'!$A:$A,0)),INDEX(Base!$U:$U,MATCH($A5,Base!$A:$A,0)),IF(FN$1=INDEX('Valo FX'!$R:$R,MATCH($A5,'Valo FX'!$A:$A,0)),INDEX(Base!$V:$V,MATCH($A5,Base!$A:$A,0)),0)))</f>
        <v>13.151160000000001</v>
      </c>
      <c r="FO5" s="21">
        <f>IF(FO$1&lt;INDEX('Valo FX'!$Q:$Q,MATCH($A5,'Valo FX'!$A:$A,0)),0,IF(FO$1&lt;INDEX('Valo FX'!$R:$R,MATCH($A5,'Valo FX'!$A:$A,0)),INDEX(Base!$U:$U,MATCH($A5,Base!$A:$A,0)),IF(FO$1=INDEX('Valo FX'!$R:$R,MATCH($A5,'Valo FX'!$A:$A,0)),INDEX(Base!$V:$V,MATCH($A5,Base!$A:$A,0)),0)))</f>
        <v>13.151160000000001</v>
      </c>
      <c r="FP5" s="21">
        <f>IF(FP$1&lt;INDEX('Valo FX'!$Q:$Q,MATCH($A5,'Valo FX'!$A:$A,0)),0,IF(FP$1&lt;INDEX('Valo FX'!$R:$R,MATCH($A5,'Valo FX'!$A:$A,0)),INDEX(Base!$U:$U,MATCH($A5,Base!$A:$A,0)),IF(FP$1=INDEX('Valo FX'!$R:$R,MATCH($A5,'Valo FX'!$A:$A,0)),INDEX(Base!$V:$V,MATCH($A5,Base!$A:$A,0)),0)))</f>
        <v>13.151160000000001</v>
      </c>
      <c r="FQ5" s="21">
        <f>IF(FQ$1&lt;INDEX('Valo FX'!$Q:$Q,MATCH($A5,'Valo FX'!$A:$A,0)),0,IF(FQ$1&lt;INDEX('Valo FX'!$R:$R,MATCH($A5,'Valo FX'!$A:$A,0)),INDEX(Base!$U:$U,MATCH($A5,Base!$A:$A,0)),IF(FQ$1=INDEX('Valo FX'!$R:$R,MATCH($A5,'Valo FX'!$A:$A,0)),INDEX(Base!$V:$V,MATCH($A5,Base!$A:$A,0)),0)))</f>
        <v>13.151160000000001</v>
      </c>
      <c r="FR5" s="21">
        <f>IF(FR$1&lt;INDEX('Valo FX'!$Q:$Q,MATCH($A5,'Valo FX'!$A:$A,0)),0,IF(FR$1&lt;INDEX('Valo FX'!$R:$R,MATCH($A5,'Valo FX'!$A:$A,0)),INDEX(Base!$U:$U,MATCH($A5,Base!$A:$A,0)),IF(FR$1=INDEX('Valo FX'!$R:$R,MATCH($A5,'Valo FX'!$A:$A,0)),INDEX(Base!$V:$V,MATCH($A5,Base!$A:$A,0)),0)))</f>
        <v>13.151160000000001</v>
      </c>
      <c r="FS5" s="21">
        <f>IF(FS$1&lt;INDEX('Valo FX'!$Q:$Q,MATCH($A5,'Valo FX'!$A:$A,0)),0,IF(FS$1&lt;INDEX('Valo FX'!$R:$R,MATCH($A5,'Valo FX'!$A:$A,0)),INDEX(Base!$U:$U,MATCH($A5,Base!$A:$A,0)),IF(FS$1=INDEX('Valo FX'!$R:$R,MATCH($A5,'Valo FX'!$A:$A,0)),INDEX(Base!$V:$V,MATCH($A5,Base!$A:$A,0)),0)))</f>
        <v>13.151160000000001</v>
      </c>
      <c r="FT5" s="21">
        <f>IF(FT$1&lt;INDEX('Valo FX'!$Q:$Q,MATCH($A5,'Valo FX'!$A:$A,0)),0,IF(FT$1&lt;INDEX('Valo FX'!$R:$R,MATCH($A5,'Valo FX'!$A:$A,0)),INDEX(Base!$U:$U,MATCH($A5,Base!$A:$A,0)),IF(FT$1=INDEX('Valo FX'!$R:$R,MATCH($A5,'Valo FX'!$A:$A,0)),INDEX(Base!$V:$V,MATCH($A5,Base!$A:$A,0)),0)))</f>
        <v>13.151160000000001</v>
      </c>
      <c r="FU5" s="21">
        <f>IF(FU$1&lt;INDEX('Valo FX'!$Q:$Q,MATCH($A5,'Valo FX'!$A:$A,0)),0,IF(FU$1&lt;INDEX('Valo FX'!$R:$R,MATCH($A5,'Valo FX'!$A:$A,0)),INDEX(Base!$U:$U,MATCH($A5,Base!$A:$A,0)),IF(FU$1=INDEX('Valo FX'!$R:$R,MATCH($A5,'Valo FX'!$A:$A,0)),INDEX(Base!$V:$V,MATCH($A5,Base!$A:$A,0)),0)))</f>
        <v>13.151160000000001</v>
      </c>
      <c r="FV5" s="21">
        <f>IF(FV$1&lt;INDEX('Valo FX'!$Q:$Q,MATCH($A5,'Valo FX'!$A:$A,0)),0,IF(FV$1&lt;INDEX('Valo FX'!$R:$R,MATCH($A5,'Valo FX'!$A:$A,0)),INDEX(Base!$U:$U,MATCH($A5,Base!$A:$A,0)),IF(FV$1=INDEX('Valo FX'!$R:$R,MATCH($A5,'Valo FX'!$A:$A,0)),INDEX(Base!$V:$V,MATCH($A5,Base!$A:$A,0)),0)))</f>
        <v>13.151160000000001</v>
      </c>
      <c r="FW5" s="21">
        <f>IF(FW$1&lt;INDEX('Valo FX'!$Q:$Q,MATCH($A5,'Valo FX'!$A:$A,0)),0,IF(FW$1&lt;INDEX('Valo FX'!$R:$R,MATCH($A5,'Valo FX'!$A:$A,0)),INDEX(Base!$U:$U,MATCH($A5,Base!$A:$A,0)),IF(FW$1=INDEX('Valo FX'!$R:$R,MATCH($A5,'Valo FX'!$A:$A,0)),INDEX(Base!$V:$V,MATCH($A5,Base!$A:$A,0)),0)))</f>
        <v>13.151160000000001</v>
      </c>
      <c r="FX5" s="21">
        <f>IF(FX$1&lt;INDEX('Valo FX'!$Q:$Q,MATCH($A5,'Valo FX'!$A:$A,0)),0,IF(FX$1&lt;INDEX('Valo FX'!$R:$R,MATCH($A5,'Valo FX'!$A:$A,0)),INDEX(Base!$U:$U,MATCH($A5,Base!$A:$A,0)),IF(FX$1=INDEX('Valo FX'!$R:$R,MATCH($A5,'Valo FX'!$A:$A,0)),INDEX(Base!$V:$V,MATCH($A5,Base!$A:$A,0)),0)))</f>
        <v>13.151160000000001</v>
      </c>
      <c r="FY5" s="21">
        <f>IF(FY$1&lt;INDEX('Valo FX'!$Q:$Q,MATCH($A5,'Valo FX'!$A:$A,0)),0,IF(FY$1&lt;INDEX('Valo FX'!$R:$R,MATCH($A5,'Valo FX'!$A:$A,0)),INDEX(Base!$U:$U,MATCH($A5,Base!$A:$A,0)),IF(FY$1=INDEX('Valo FX'!$R:$R,MATCH($A5,'Valo FX'!$A:$A,0)),INDEX(Base!$V:$V,MATCH($A5,Base!$A:$A,0)),0)))</f>
        <v>13.151160000000001</v>
      </c>
      <c r="FZ5" s="21">
        <f>IF(FZ$1&lt;INDEX('Valo FX'!$Q:$Q,MATCH($A5,'Valo FX'!$A:$A,0)),0,IF(FZ$1&lt;INDEX('Valo FX'!$R:$R,MATCH($A5,'Valo FX'!$A:$A,0)),INDEX(Base!$U:$U,MATCH($A5,Base!$A:$A,0)),IF(FZ$1=INDEX('Valo FX'!$R:$R,MATCH($A5,'Valo FX'!$A:$A,0)),INDEX(Base!$V:$V,MATCH($A5,Base!$A:$A,0)),0)))</f>
        <v>13.151160000000001</v>
      </c>
      <c r="GA5" s="21">
        <f>IF(GA$1&lt;INDEX('Valo FX'!$Q:$Q,MATCH($A5,'Valo FX'!$A:$A,0)),0,IF(GA$1&lt;INDEX('Valo FX'!$R:$R,MATCH($A5,'Valo FX'!$A:$A,0)),INDEX(Base!$U:$U,MATCH($A5,Base!$A:$A,0)),IF(GA$1=INDEX('Valo FX'!$R:$R,MATCH($A5,'Valo FX'!$A:$A,0)),INDEX(Base!$V:$V,MATCH($A5,Base!$A:$A,0)),0)))</f>
        <v>13.151160000000001</v>
      </c>
      <c r="GB5" s="21">
        <f>IF(GB$1&lt;INDEX('Valo FX'!$Q:$Q,MATCH($A5,'Valo FX'!$A:$A,0)),0,IF(GB$1&lt;INDEX('Valo FX'!$R:$R,MATCH($A5,'Valo FX'!$A:$A,0)),INDEX(Base!$U:$U,MATCH($A5,Base!$A:$A,0)),IF(GB$1=INDEX('Valo FX'!$R:$R,MATCH($A5,'Valo FX'!$A:$A,0)),INDEX(Base!$V:$V,MATCH($A5,Base!$A:$A,0)),0)))</f>
        <v>13.151160000000001</v>
      </c>
      <c r="GC5" s="21">
        <f>IF(GC$1&lt;INDEX('Valo FX'!$Q:$Q,MATCH($A5,'Valo FX'!$A:$A,0)),0,IF(GC$1&lt;INDEX('Valo FX'!$R:$R,MATCH($A5,'Valo FX'!$A:$A,0)),INDEX(Base!$U:$U,MATCH($A5,Base!$A:$A,0)),IF(GC$1=INDEX('Valo FX'!$R:$R,MATCH($A5,'Valo FX'!$A:$A,0)),INDEX(Base!$V:$V,MATCH($A5,Base!$A:$A,0)),0)))</f>
        <v>13.151160000000001</v>
      </c>
      <c r="GD5" s="21">
        <f>IF(GD$1&lt;INDEX('Valo FX'!$Q:$Q,MATCH($A5,'Valo FX'!$A:$A,0)),0,IF(GD$1&lt;INDEX('Valo FX'!$R:$R,MATCH($A5,'Valo FX'!$A:$A,0)),INDEX(Base!$U:$U,MATCH($A5,Base!$A:$A,0)),IF(GD$1=INDEX('Valo FX'!$R:$R,MATCH($A5,'Valo FX'!$A:$A,0)),INDEX(Base!$V:$V,MATCH($A5,Base!$A:$A,0)),0)))</f>
        <v>13.151160000000001</v>
      </c>
      <c r="GE5" s="21">
        <f>IF(GE$1&lt;INDEX('Valo FX'!$Q:$Q,MATCH($A5,'Valo FX'!$A:$A,0)),0,IF(GE$1&lt;INDEX('Valo FX'!$R:$R,MATCH($A5,'Valo FX'!$A:$A,0)),INDEX(Base!$U:$U,MATCH($A5,Base!$A:$A,0)),IF(GE$1=INDEX('Valo FX'!$R:$R,MATCH($A5,'Valo FX'!$A:$A,0)),INDEX(Base!$V:$V,MATCH($A5,Base!$A:$A,0)),0)))</f>
        <v>13.151160000000001</v>
      </c>
      <c r="GF5" s="21">
        <f>IF(GF$1&lt;INDEX('Valo FX'!$Q:$Q,MATCH($A5,'Valo FX'!$A:$A,0)),0,IF(GF$1&lt;INDEX('Valo FX'!$R:$R,MATCH($A5,'Valo FX'!$A:$A,0)),INDEX(Base!$U:$U,MATCH($A5,Base!$A:$A,0)),IF(GF$1=INDEX('Valo FX'!$R:$R,MATCH($A5,'Valo FX'!$A:$A,0)),INDEX(Base!$V:$V,MATCH($A5,Base!$A:$A,0)),0)))</f>
        <v>13.151160000000001</v>
      </c>
      <c r="GG5" s="21">
        <f>IF(GG$1&lt;INDEX('Valo FX'!$Q:$Q,MATCH($A5,'Valo FX'!$A:$A,0)),0,IF(GG$1&lt;INDEX('Valo FX'!$R:$R,MATCH($A5,'Valo FX'!$A:$A,0)),INDEX(Base!$U:$U,MATCH($A5,Base!$A:$A,0)),IF(GG$1=INDEX('Valo FX'!$R:$R,MATCH($A5,'Valo FX'!$A:$A,0)),INDEX(Base!$V:$V,MATCH($A5,Base!$A:$A,0)),0)))</f>
        <v>13.151160000000001</v>
      </c>
      <c r="GH5" s="21">
        <f>IF(GH$1&lt;INDEX('Valo FX'!$Q:$Q,MATCH($A5,'Valo FX'!$A:$A,0)),0,IF(GH$1&lt;INDEX('Valo FX'!$R:$R,MATCH($A5,'Valo FX'!$A:$A,0)),INDEX(Base!$U:$U,MATCH($A5,Base!$A:$A,0)),IF(GH$1=INDEX('Valo FX'!$R:$R,MATCH($A5,'Valo FX'!$A:$A,0)),INDEX(Base!$V:$V,MATCH($A5,Base!$A:$A,0)),0)))</f>
        <v>13.151160000000001</v>
      </c>
      <c r="GI5" s="21">
        <f>IF(GI$1&lt;INDEX('Valo FX'!$Q:$Q,MATCH($A5,'Valo FX'!$A:$A,0)),0,IF(GI$1&lt;INDEX('Valo FX'!$R:$R,MATCH($A5,'Valo FX'!$A:$A,0)),INDEX(Base!$U:$U,MATCH($A5,Base!$A:$A,0)),IF(GI$1=INDEX('Valo FX'!$R:$R,MATCH($A5,'Valo FX'!$A:$A,0)),INDEX(Base!$V:$V,MATCH($A5,Base!$A:$A,0)),0)))</f>
        <v>13.151160000000001</v>
      </c>
      <c r="GJ5" s="21">
        <f>IF(GJ$1&lt;INDEX('Valo FX'!$Q:$Q,MATCH($A5,'Valo FX'!$A:$A,0)),0,IF(GJ$1&lt;INDEX('Valo FX'!$R:$R,MATCH($A5,'Valo FX'!$A:$A,0)),INDEX(Base!$U:$U,MATCH($A5,Base!$A:$A,0)),IF(GJ$1=INDEX('Valo FX'!$R:$R,MATCH($A5,'Valo FX'!$A:$A,0)),INDEX(Base!$V:$V,MATCH($A5,Base!$A:$A,0)),0)))</f>
        <v>13.151160000000001</v>
      </c>
      <c r="GK5" s="21">
        <f>IF(GK$1&lt;INDEX('Valo FX'!$Q:$Q,MATCH($A5,'Valo FX'!$A:$A,0)),0,IF(GK$1&lt;INDEX('Valo FX'!$R:$R,MATCH($A5,'Valo FX'!$A:$A,0)),INDEX(Base!$U:$U,MATCH($A5,Base!$A:$A,0)),IF(GK$1=INDEX('Valo FX'!$R:$R,MATCH($A5,'Valo FX'!$A:$A,0)),INDEX(Base!$V:$V,MATCH($A5,Base!$A:$A,0)),0)))</f>
        <v>13.151160000000001</v>
      </c>
      <c r="GL5" s="21">
        <f>IF(GL$1&lt;INDEX('Valo FX'!$Q:$Q,MATCH($A5,'Valo FX'!$A:$A,0)),0,IF(GL$1&lt;INDEX('Valo FX'!$R:$R,MATCH($A5,'Valo FX'!$A:$A,0)),INDEX(Base!$U:$U,MATCH($A5,Base!$A:$A,0)),IF(GL$1=INDEX('Valo FX'!$R:$R,MATCH($A5,'Valo FX'!$A:$A,0)),INDEX(Base!$V:$V,MATCH($A5,Base!$A:$A,0)),0)))</f>
        <v>13.151160000000001</v>
      </c>
      <c r="GM5" s="21">
        <f>IF(GM$1&lt;INDEX('Valo FX'!$Q:$Q,MATCH($A5,'Valo FX'!$A:$A,0)),0,IF(GM$1&lt;INDEX('Valo FX'!$R:$R,MATCH($A5,'Valo FX'!$A:$A,0)),INDEX(Base!$U:$U,MATCH($A5,Base!$A:$A,0)),IF(GM$1=INDEX('Valo FX'!$R:$R,MATCH($A5,'Valo FX'!$A:$A,0)),INDEX(Base!$V:$V,MATCH($A5,Base!$A:$A,0)),0)))</f>
        <v>13.151160000000001</v>
      </c>
      <c r="GN5" s="21">
        <f>IF(GN$1&lt;INDEX('Valo FX'!$Q:$Q,MATCH($A5,'Valo FX'!$A:$A,0)),0,IF(GN$1&lt;INDEX('Valo FX'!$R:$R,MATCH($A5,'Valo FX'!$A:$A,0)),INDEX(Base!$U:$U,MATCH($A5,Base!$A:$A,0)),IF(GN$1=INDEX('Valo FX'!$R:$R,MATCH($A5,'Valo FX'!$A:$A,0)),INDEX(Base!$V:$V,MATCH($A5,Base!$A:$A,0)),0)))</f>
        <v>13.151160000000001</v>
      </c>
      <c r="GO5" s="21">
        <f>IF(GO$1&lt;INDEX('Valo FX'!$Q:$Q,MATCH($A5,'Valo FX'!$A:$A,0)),0,IF(GO$1&lt;INDEX('Valo FX'!$R:$R,MATCH($A5,'Valo FX'!$A:$A,0)),INDEX(Base!$U:$U,MATCH($A5,Base!$A:$A,0)),IF(GO$1=INDEX('Valo FX'!$R:$R,MATCH($A5,'Valo FX'!$A:$A,0)),INDEX(Base!$V:$V,MATCH($A5,Base!$A:$A,0)),0)))</f>
        <v>13.151160000000001</v>
      </c>
      <c r="GP5" s="21">
        <f>IF(GP$1&lt;INDEX('Valo FX'!$Q:$Q,MATCH($A5,'Valo FX'!$A:$A,0)),0,IF(GP$1&lt;INDEX('Valo FX'!$R:$R,MATCH($A5,'Valo FX'!$A:$A,0)),INDEX(Base!$U:$U,MATCH($A5,Base!$A:$A,0)),IF(GP$1=INDEX('Valo FX'!$R:$R,MATCH($A5,'Valo FX'!$A:$A,0)),INDEX(Base!$V:$V,MATCH($A5,Base!$A:$A,0)),0)))</f>
        <v>13.151160000000001</v>
      </c>
      <c r="GQ5" s="21">
        <f>IF(GQ$1&lt;INDEX('Valo FX'!$Q:$Q,MATCH($A5,'Valo FX'!$A:$A,0)),0,IF(GQ$1&lt;INDEX('Valo FX'!$R:$R,MATCH($A5,'Valo FX'!$A:$A,0)),INDEX(Base!$U:$U,MATCH($A5,Base!$A:$A,0)),IF(GQ$1=INDEX('Valo FX'!$R:$R,MATCH($A5,'Valo FX'!$A:$A,0)),INDEX(Base!$V:$V,MATCH($A5,Base!$A:$A,0)),0)))</f>
        <v>13.151160000000001</v>
      </c>
      <c r="GR5" s="21">
        <f>IF(GR$1&lt;INDEX('Valo FX'!$Q:$Q,MATCH($A5,'Valo FX'!$A:$A,0)),0,IF(GR$1&lt;INDEX('Valo FX'!$R:$R,MATCH($A5,'Valo FX'!$A:$A,0)),INDEX(Base!$U:$U,MATCH($A5,Base!$A:$A,0)),IF(GR$1=INDEX('Valo FX'!$R:$R,MATCH($A5,'Valo FX'!$A:$A,0)),INDEX(Base!$V:$V,MATCH($A5,Base!$A:$A,0)),0)))</f>
        <v>13.151160000000001</v>
      </c>
      <c r="GS5" s="21">
        <f>IF(GS$1&lt;INDEX('Valo FX'!$Q:$Q,MATCH($A5,'Valo FX'!$A:$A,0)),0,IF(GS$1&lt;INDEX('Valo FX'!$R:$R,MATCH($A5,'Valo FX'!$A:$A,0)),INDEX(Base!$U:$U,MATCH($A5,Base!$A:$A,0)),IF(GS$1=INDEX('Valo FX'!$R:$R,MATCH($A5,'Valo FX'!$A:$A,0)),INDEX(Base!$V:$V,MATCH($A5,Base!$A:$A,0)),0)))</f>
        <v>13.151160000000001</v>
      </c>
      <c r="GT5" s="21">
        <f>IF(GT$1&lt;INDEX('Valo FX'!$Q:$Q,MATCH($A5,'Valo FX'!$A:$A,0)),0,IF(GT$1&lt;INDEX('Valo FX'!$R:$R,MATCH($A5,'Valo FX'!$A:$A,0)),INDEX(Base!$U:$U,MATCH($A5,Base!$A:$A,0)),IF(GT$1=INDEX('Valo FX'!$R:$R,MATCH($A5,'Valo FX'!$A:$A,0)),INDEX(Base!$V:$V,MATCH($A5,Base!$A:$A,0)),0)))</f>
        <v>13.151160000000001</v>
      </c>
      <c r="GU5" s="21">
        <f>IF(GU$1&lt;INDEX('Valo FX'!$Q:$Q,MATCH($A5,'Valo FX'!$A:$A,0)),0,IF(GU$1&lt;INDEX('Valo FX'!$R:$R,MATCH($A5,'Valo FX'!$A:$A,0)),INDEX(Base!$U:$U,MATCH($A5,Base!$A:$A,0)),IF(GU$1=INDEX('Valo FX'!$R:$R,MATCH($A5,'Valo FX'!$A:$A,0)),INDEX(Base!$V:$V,MATCH($A5,Base!$A:$A,0)),0)))</f>
        <v>13.151160000000001</v>
      </c>
      <c r="GV5" s="21">
        <f>IF(GV$1&lt;INDEX('Valo FX'!$Q:$Q,MATCH($A5,'Valo FX'!$A:$A,0)),0,IF(GV$1&lt;INDEX('Valo FX'!$R:$R,MATCH($A5,'Valo FX'!$A:$A,0)),INDEX(Base!$U:$U,MATCH($A5,Base!$A:$A,0)),IF(GV$1=INDEX('Valo FX'!$R:$R,MATCH($A5,'Valo FX'!$A:$A,0)),INDEX(Base!$V:$V,MATCH($A5,Base!$A:$A,0)),0)))</f>
        <v>13.151160000000001</v>
      </c>
      <c r="GW5" s="21">
        <f>IF(GW$1&lt;INDEX('Valo FX'!$Q:$Q,MATCH($A5,'Valo FX'!$A:$A,0)),0,IF(GW$1&lt;INDEX('Valo FX'!$R:$R,MATCH($A5,'Valo FX'!$A:$A,0)),INDEX(Base!$U:$U,MATCH($A5,Base!$A:$A,0)),IF(GW$1=INDEX('Valo FX'!$R:$R,MATCH($A5,'Valo FX'!$A:$A,0)),INDEX(Base!$V:$V,MATCH($A5,Base!$A:$A,0)),0)))</f>
        <v>13.151160000000001</v>
      </c>
      <c r="GX5" s="21">
        <f>IF(GX$1&lt;INDEX('Valo FX'!$Q:$Q,MATCH($A5,'Valo FX'!$A:$A,0)),0,IF(GX$1&lt;INDEX('Valo FX'!$R:$R,MATCH($A5,'Valo FX'!$A:$A,0)),INDEX(Base!$U:$U,MATCH($A5,Base!$A:$A,0)),IF(GX$1=INDEX('Valo FX'!$R:$R,MATCH($A5,'Valo FX'!$A:$A,0)),INDEX(Base!$V:$V,MATCH($A5,Base!$A:$A,0)),0)))</f>
        <v>13.151160000000001</v>
      </c>
      <c r="GY5" s="21">
        <f>IF(GY$1&lt;INDEX('Valo FX'!$Q:$Q,MATCH($A5,'Valo FX'!$A:$A,0)),0,IF(GY$1&lt;INDEX('Valo FX'!$R:$R,MATCH($A5,'Valo FX'!$A:$A,0)),INDEX(Base!$U:$U,MATCH($A5,Base!$A:$A,0)),IF(GY$1=INDEX('Valo FX'!$R:$R,MATCH($A5,'Valo FX'!$A:$A,0)),INDEX(Base!$V:$V,MATCH($A5,Base!$A:$A,0)),0)))</f>
        <v>13.151160000000001</v>
      </c>
      <c r="GZ5" s="21">
        <f>IF(GZ$1&lt;INDEX('Valo FX'!$Q:$Q,MATCH($A5,'Valo FX'!$A:$A,0)),0,IF(GZ$1&lt;INDEX('Valo FX'!$R:$R,MATCH($A5,'Valo FX'!$A:$A,0)),INDEX(Base!$U:$U,MATCH($A5,Base!$A:$A,0)),IF(GZ$1=INDEX('Valo FX'!$R:$R,MATCH($A5,'Valo FX'!$A:$A,0)),INDEX(Base!$V:$V,MATCH($A5,Base!$A:$A,0)),0)))</f>
        <v>13.151160000000001</v>
      </c>
      <c r="HA5" s="21">
        <f>IF(HA$1&lt;INDEX('Valo FX'!$Q:$Q,MATCH($A5,'Valo FX'!$A:$A,0)),0,IF(HA$1&lt;INDEX('Valo FX'!$R:$R,MATCH($A5,'Valo FX'!$A:$A,0)),INDEX(Base!$U:$U,MATCH($A5,Base!$A:$A,0)),IF(HA$1=INDEX('Valo FX'!$R:$R,MATCH($A5,'Valo FX'!$A:$A,0)),INDEX(Base!$V:$V,MATCH($A5,Base!$A:$A,0)),0)))</f>
        <v>13.151160000000001</v>
      </c>
      <c r="HB5" s="21">
        <f>IF(HB$1&lt;INDEX('Valo FX'!$Q:$Q,MATCH($A5,'Valo FX'!$A:$A,0)),0,IF(HB$1&lt;INDEX('Valo FX'!$R:$R,MATCH($A5,'Valo FX'!$A:$A,0)),INDEX(Base!$U:$U,MATCH($A5,Base!$A:$A,0)),IF(HB$1=INDEX('Valo FX'!$R:$R,MATCH($A5,'Valo FX'!$A:$A,0)),INDEX(Base!$V:$V,MATCH($A5,Base!$A:$A,0)),0)))</f>
        <v>13.151160000000001</v>
      </c>
      <c r="HC5" s="21">
        <f>IF(HC$1&lt;INDEX('Valo FX'!$Q:$Q,MATCH($A5,'Valo FX'!$A:$A,0)),0,IF(HC$1&lt;INDEX('Valo FX'!$R:$R,MATCH($A5,'Valo FX'!$A:$A,0)),INDEX(Base!$U:$U,MATCH($A5,Base!$A:$A,0)),IF(HC$1=INDEX('Valo FX'!$R:$R,MATCH($A5,'Valo FX'!$A:$A,0)),INDEX(Base!$V:$V,MATCH($A5,Base!$A:$A,0)),0)))</f>
        <v>13.151160000000001</v>
      </c>
      <c r="HD5" s="21">
        <f>IF(HD$1&lt;INDEX('Valo FX'!$Q:$Q,MATCH($A5,'Valo FX'!$A:$A,0)),0,IF(HD$1&lt;INDEX('Valo FX'!$R:$R,MATCH($A5,'Valo FX'!$A:$A,0)),INDEX(Base!$U:$U,MATCH($A5,Base!$A:$A,0)),IF(HD$1=INDEX('Valo FX'!$R:$R,MATCH($A5,'Valo FX'!$A:$A,0)),INDEX(Base!$V:$V,MATCH($A5,Base!$A:$A,0)),0)))</f>
        <v>13.151160000000001</v>
      </c>
      <c r="HE5" s="21">
        <f>IF(HE$1&lt;INDEX('Valo FX'!$Q:$Q,MATCH($A5,'Valo FX'!$A:$A,0)),0,IF(HE$1&lt;INDEX('Valo FX'!$R:$R,MATCH($A5,'Valo FX'!$A:$A,0)),INDEX(Base!$U:$U,MATCH($A5,Base!$A:$A,0)),IF(HE$1=INDEX('Valo FX'!$R:$R,MATCH($A5,'Valo FX'!$A:$A,0)),INDEX(Base!$V:$V,MATCH($A5,Base!$A:$A,0)),0)))</f>
        <v>13.151160000000001</v>
      </c>
      <c r="HF5" s="21">
        <f>IF(HF$1&lt;INDEX('Valo FX'!$Q:$Q,MATCH($A5,'Valo FX'!$A:$A,0)),0,IF(HF$1&lt;INDEX('Valo FX'!$R:$R,MATCH($A5,'Valo FX'!$A:$A,0)),INDEX(Base!$U:$U,MATCH($A5,Base!$A:$A,0)),IF(HF$1=INDEX('Valo FX'!$R:$R,MATCH($A5,'Valo FX'!$A:$A,0)),INDEX(Base!$V:$V,MATCH($A5,Base!$A:$A,0)),0)))</f>
        <v>13.151160000000001</v>
      </c>
      <c r="HG5" s="21">
        <f>IF(HG$1&lt;INDEX('Valo FX'!$Q:$Q,MATCH($A5,'Valo FX'!$A:$A,0)),0,IF(HG$1&lt;INDEX('Valo FX'!$R:$R,MATCH($A5,'Valo FX'!$A:$A,0)),INDEX(Base!$U:$U,MATCH($A5,Base!$A:$A,0)),IF(HG$1=INDEX('Valo FX'!$R:$R,MATCH($A5,'Valo FX'!$A:$A,0)),INDEX(Base!$V:$V,MATCH($A5,Base!$A:$A,0)),0)))</f>
        <v>13.151160000000001</v>
      </c>
      <c r="HH5" s="21">
        <f>IF(HH$1&lt;INDEX('Valo FX'!$Q:$Q,MATCH($A5,'Valo FX'!$A:$A,0)),0,IF(HH$1&lt;INDEX('Valo FX'!$R:$R,MATCH($A5,'Valo FX'!$A:$A,0)),INDEX(Base!$U:$U,MATCH($A5,Base!$A:$A,0)),IF(HH$1=INDEX('Valo FX'!$R:$R,MATCH($A5,'Valo FX'!$A:$A,0)),INDEX(Base!$V:$V,MATCH($A5,Base!$A:$A,0)),0)))</f>
        <v>13.151160000000001</v>
      </c>
      <c r="HI5" s="21">
        <f>IF(HI$1&lt;INDEX('Valo FX'!$Q:$Q,MATCH($A5,'Valo FX'!$A:$A,0)),0,IF(HI$1&lt;INDEX('Valo FX'!$R:$R,MATCH($A5,'Valo FX'!$A:$A,0)),INDEX(Base!$U:$U,MATCH($A5,Base!$A:$A,0)),IF(HI$1=INDEX('Valo FX'!$R:$R,MATCH($A5,'Valo FX'!$A:$A,0)),INDEX(Base!$V:$V,MATCH($A5,Base!$A:$A,0)),0)))</f>
        <v>13.151160000000001</v>
      </c>
      <c r="HJ5" s="21">
        <f>IF(HJ$1&lt;INDEX('Valo FX'!$Q:$Q,MATCH($A5,'Valo FX'!$A:$A,0)),0,IF(HJ$1&lt;INDEX('Valo FX'!$R:$R,MATCH($A5,'Valo FX'!$A:$A,0)),INDEX(Base!$U:$U,MATCH($A5,Base!$A:$A,0)),IF(HJ$1=INDEX('Valo FX'!$R:$R,MATCH($A5,'Valo FX'!$A:$A,0)),INDEX(Base!$V:$V,MATCH($A5,Base!$A:$A,0)),0)))</f>
        <v>12.92544</v>
      </c>
      <c r="HK5" s="21">
        <f>IF(HK$1&lt;INDEX('Valo FX'!$Q:$Q,MATCH($A5,'Valo FX'!$A:$A,0)),0,IF(HK$1&lt;INDEX('Valo FX'!$R:$R,MATCH($A5,'Valo FX'!$A:$A,0)),INDEX(Base!$U:$U,MATCH($A5,Base!$A:$A,0)),IF(HK$1=INDEX('Valo FX'!$R:$R,MATCH($A5,'Valo FX'!$A:$A,0)),INDEX(Base!$V:$V,MATCH($A5,Base!$A:$A,0)),0)))</f>
        <v>0</v>
      </c>
      <c r="HL5" s="21">
        <f>IF(HL$1&lt;INDEX('Valo FX'!$Q:$Q,MATCH($A5,'Valo FX'!$A:$A,0)),0,IF(HL$1&lt;INDEX('Valo FX'!$R:$R,MATCH($A5,'Valo FX'!$A:$A,0)),INDEX(Base!$U:$U,MATCH($A5,Base!$A:$A,0)),IF(HL$1=INDEX('Valo FX'!$R:$R,MATCH($A5,'Valo FX'!$A:$A,0)),INDEX(Base!$V:$V,MATCH($A5,Base!$A:$A,0)),0)))</f>
        <v>0</v>
      </c>
      <c r="HM5" s="21">
        <f>IF(HM$1&lt;INDEX('Valo FX'!$Q:$Q,MATCH($A5,'Valo FX'!$A:$A,0)),0,IF(HM$1&lt;INDEX('Valo FX'!$R:$R,MATCH($A5,'Valo FX'!$A:$A,0)),INDEX(Base!$U:$U,MATCH($A5,Base!$A:$A,0)),IF(HM$1=INDEX('Valo FX'!$R:$R,MATCH($A5,'Valo FX'!$A:$A,0)),INDEX(Base!$V:$V,MATCH($A5,Base!$A:$A,0)),0)))</f>
        <v>0</v>
      </c>
      <c r="HN5" s="21">
        <f>IF(HN$1&lt;INDEX('Valo FX'!$Q:$Q,MATCH($A5,'Valo FX'!$A:$A,0)),0,IF(HN$1&lt;INDEX('Valo FX'!$R:$R,MATCH($A5,'Valo FX'!$A:$A,0)),INDEX(Base!$U:$U,MATCH($A5,Base!$A:$A,0)),IF(HN$1=INDEX('Valo FX'!$R:$R,MATCH($A5,'Valo FX'!$A:$A,0)),INDEX(Base!$V:$V,MATCH($A5,Base!$A:$A,0)),0)))</f>
        <v>0</v>
      </c>
      <c r="HO5" s="21">
        <f>IF(HO$1&lt;INDEX('Valo FX'!$Q:$Q,MATCH($A5,'Valo FX'!$A:$A,0)),0,IF(HO$1&lt;INDEX('Valo FX'!$R:$R,MATCH($A5,'Valo FX'!$A:$A,0)),INDEX(Base!$U:$U,MATCH($A5,Base!$A:$A,0)),IF(HO$1=INDEX('Valo FX'!$R:$R,MATCH($A5,'Valo FX'!$A:$A,0)),INDEX(Base!$V:$V,MATCH($A5,Base!$A:$A,0)),0)))</f>
        <v>0</v>
      </c>
      <c r="HP5" s="21">
        <f>IF(HP$1&lt;INDEX('Valo FX'!$Q:$Q,MATCH($A5,'Valo FX'!$A:$A,0)),0,IF(HP$1&lt;INDEX('Valo FX'!$R:$R,MATCH($A5,'Valo FX'!$A:$A,0)),INDEX(Base!$U:$U,MATCH($A5,Base!$A:$A,0)),IF(HP$1=INDEX('Valo FX'!$R:$R,MATCH($A5,'Valo FX'!$A:$A,0)),INDEX(Base!$V:$V,MATCH($A5,Base!$A:$A,0)),0)))</f>
        <v>0</v>
      </c>
      <c r="HQ5" s="21">
        <f>IF(HQ$1&lt;INDEX('Valo FX'!$Q:$Q,MATCH($A5,'Valo FX'!$A:$A,0)),0,IF(HQ$1&lt;INDEX('Valo FX'!$R:$R,MATCH($A5,'Valo FX'!$A:$A,0)),INDEX(Base!$U:$U,MATCH($A5,Base!$A:$A,0)),IF(HQ$1=INDEX('Valo FX'!$R:$R,MATCH($A5,'Valo FX'!$A:$A,0)),INDEX(Base!$V:$V,MATCH($A5,Base!$A:$A,0)),0)))</f>
        <v>0</v>
      </c>
      <c r="HR5" s="21">
        <f>IF(HR$1&lt;INDEX('Valo FX'!$Q:$Q,MATCH($A5,'Valo FX'!$A:$A,0)),0,IF(HR$1&lt;INDEX('Valo FX'!$R:$R,MATCH($A5,'Valo FX'!$A:$A,0)),INDEX(Base!$U:$U,MATCH($A5,Base!$A:$A,0)),IF(HR$1=INDEX('Valo FX'!$R:$R,MATCH($A5,'Valo FX'!$A:$A,0)),INDEX(Base!$V:$V,MATCH($A5,Base!$A:$A,0)),0)))</f>
        <v>0</v>
      </c>
      <c r="HS5" s="21">
        <f>IF(HS$1&lt;INDEX('Valo FX'!$Q:$Q,MATCH($A5,'Valo FX'!$A:$A,0)),0,IF(HS$1&lt;INDEX('Valo FX'!$R:$R,MATCH($A5,'Valo FX'!$A:$A,0)),INDEX(Base!$U:$U,MATCH($A5,Base!$A:$A,0)),IF(HS$1=INDEX('Valo FX'!$R:$R,MATCH($A5,'Valo FX'!$A:$A,0)),INDEX(Base!$V:$V,MATCH($A5,Base!$A:$A,0)),0)))</f>
        <v>0</v>
      </c>
      <c r="HT5" s="21">
        <f>IF(HT$1&lt;INDEX('Valo FX'!$Q:$Q,MATCH($A5,'Valo FX'!$A:$A,0)),0,IF(HT$1&lt;INDEX('Valo FX'!$R:$R,MATCH($A5,'Valo FX'!$A:$A,0)),INDEX(Base!$U:$U,MATCH($A5,Base!$A:$A,0)),IF(HT$1=INDEX('Valo FX'!$R:$R,MATCH($A5,'Valo FX'!$A:$A,0)),INDEX(Base!$V:$V,MATCH($A5,Base!$A:$A,0)),0)))</f>
        <v>0</v>
      </c>
      <c r="HU5" s="21">
        <f>IF(HU$1&lt;INDEX('Valo FX'!$Q:$Q,MATCH($A5,'Valo FX'!$A:$A,0)),0,IF(HU$1&lt;INDEX('Valo FX'!$R:$R,MATCH($A5,'Valo FX'!$A:$A,0)),INDEX(Base!$U:$U,MATCH($A5,Base!$A:$A,0)),IF(HU$1=INDEX('Valo FX'!$R:$R,MATCH($A5,'Valo FX'!$A:$A,0)),INDEX(Base!$V:$V,MATCH($A5,Base!$A:$A,0)),0)))</f>
        <v>0</v>
      </c>
      <c r="HV5" s="21">
        <f>IF(HV$1&lt;INDEX('Valo FX'!$Q:$Q,MATCH($A5,'Valo FX'!$A:$A,0)),0,IF(HV$1&lt;INDEX('Valo FX'!$R:$R,MATCH($A5,'Valo FX'!$A:$A,0)),INDEX(Base!$U:$U,MATCH($A5,Base!$A:$A,0)),IF(HV$1=INDEX('Valo FX'!$R:$R,MATCH($A5,'Valo FX'!$A:$A,0)),INDEX(Base!$V:$V,MATCH($A5,Base!$A:$A,0)),0)))</f>
        <v>0</v>
      </c>
      <c r="HW5" s="21">
        <f>IF(HW$1&lt;INDEX('Valo FX'!$Q:$Q,MATCH($A5,'Valo FX'!$A:$A,0)),0,IF(HW$1&lt;INDEX('Valo FX'!$R:$R,MATCH($A5,'Valo FX'!$A:$A,0)),INDEX(Base!$U:$U,MATCH($A5,Base!$A:$A,0)),IF(HW$1=INDEX('Valo FX'!$R:$R,MATCH($A5,'Valo FX'!$A:$A,0)),INDEX(Base!$V:$V,MATCH($A5,Base!$A:$A,0)),0)))</f>
        <v>0</v>
      </c>
      <c r="HX5" s="21">
        <f>IF(HX$1&lt;INDEX('Valo FX'!$Q:$Q,MATCH($A5,'Valo FX'!$A:$A,0)),0,IF(HX$1&lt;INDEX('Valo FX'!$R:$R,MATCH($A5,'Valo FX'!$A:$A,0)),INDEX(Base!$U:$U,MATCH($A5,Base!$A:$A,0)),IF(HX$1=INDEX('Valo FX'!$R:$R,MATCH($A5,'Valo FX'!$A:$A,0)),INDEX(Base!$V:$V,MATCH($A5,Base!$A:$A,0)),0)))</f>
        <v>0</v>
      </c>
      <c r="HY5" s="21">
        <f>IF(HY$1&lt;INDEX('Valo FX'!$Q:$Q,MATCH($A5,'Valo FX'!$A:$A,0)),0,IF(HY$1&lt;INDEX('Valo FX'!$R:$R,MATCH($A5,'Valo FX'!$A:$A,0)),INDEX(Base!$U:$U,MATCH($A5,Base!$A:$A,0)),IF(HY$1=INDEX('Valo FX'!$R:$R,MATCH($A5,'Valo FX'!$A:$A,0)),INDEX(Base!$V:$V,MATCH($A5,Base!$A:$A,0)),0)))</f>
        <v>0</v>
      </c>
      <c r="HZ5" s="21">
        <f>IF(HZ$1&lt;INDEX('Valo FX'!$Q:$Q,MATCH($A5,'Valo FX'!$A:$A,0)),0,IF(HZ$1&lt;INDEX('Valo FX'!$R:$R,MATCH($A5,'Valo FX'!$A:$A,0)),INDEX(Base!$U:$U,MATCH($A5,Base!$A:$A,0)),IF(HZ$1=INDEX('Valo FX'!$R:$R,MATCH($A5,'Valo FX'!$A:$A,0)),INDEX(Base!$V:$V,MATCH($A5,Base!$A:$A,0)),0)))</f>
        <v>0</v>
      </c>
      <c r="IA5" s="21">
        <f>IF(IA$1&lt;INDEX('Valo FX'!$Q:$Q,MATCH($A5,'Valo FX'!$A:$A,0)),0,IF(IA$1&lt;INDEX('Valo FX'!$R:$R,MATCH($A5,'Valo FX'!$A:$A,0)),INDEX(Base!$U:$U,MATCH($A5,Base!$A:$A,0)),IF(IA$1=INDEX('Valo FX'!$R:$R,MATCH($A5,'Valo FX'!$A:$A,0)),INDEX(Base!$V:$V,MATCH($A5,Base!$A:$A,0)),0)))</f>
        <v>0</v>
      </c>
      <c r="IB5" s="21">
        <f>IF(IB$1&lt;INDEX('Valo FX'!$Q:$Q,MATCH($A5,'Valo FX'!$A:$A,0)),0,IF(IB$1&lt;INDEX('Valo FX'!$R:$R,MATCH($A5,'Valo FX'!$A:$A,0)),INDEX(Base!$U:$U,MATCH($A5,Base!$A:$A,0)),IF(IB$1=INDEX('Valo FX'!$R:$R,MATCH($A5,'Valo FX'!$A:$A,0)),INDEX(Base!$V:$V,MATCH($A5,Base!$A:$A,0)),0)))</f>
        <v>0</v>
      </c>
      <c r="IC5" s="21">
        <f>IF(IC$1&lt;INDEX('Valo FX'!$Q:$Q,MATCH($A5,'Valo FX'!$A:$A,0)),0,IF(IC$1&lt;INDEX('Valo FX'!$R:$R,MATCH($A5,'Valo FX'!$A:$A,0)),INDEX(Base!$U:$U,MATCH($A5,Base!$A:$A,0)),IF(IC$1=INDEX('Valo FX'!$R:$R,MATCH($A5,'Valo FX'!$A:$A,0)),INDEX(Base!$V:$V,MATCH($A5,Base!$A:$A,0)),0)))</f>
        <v>0</v>
      </c>
      <c r="ID5" s="21">
        <f>IF(ID$1&lt;INDEX('Valo FX'!$Q:$Q,MATCH($A5,'Valo FX'!$A:$A,0)),0,IF(ID$1&lt;INDEX('Valo FX'!$R:$R,MATCH($A5,'Valo FX'!$A:$A,0)),INDEX(Base!$U:$U,MATCH($A5,Base!$A:$A,0)),IF(ID$1=INDEX('Valo FX'!$R:$R,MATCH($A5,'Valo FX'!$A:$A,0)),INDEX(Base!$V:$V,MATCH($A5,Base!$A:$A,0)),0)))</f>
        <v>0</v>
      </c>
      <c r="IE5" s="21">
        <f>IF(IE$1&lt;INDEX('Valo FX'!$Q:$Q,MATCH($A5,'Valo FX'!$A:$A,0)),0,IF(IE$1&lt;INDEX('Valo FX'!$R:$R,MATCH($A5,'Valo FX'!$A:$A,0)),INDEX(Base!$U:$U,MATCH($A5,Base!$A:$A,0)),IF(IE$1=INDEX('Valo FX'!$R:$R,MATCH($A5,'Valo FX'!$A:$A,0)),INDEX(Base!$V:$V,MATCH($A5,Base!$A:$A,0)),0)))</f>
        <v>0</v>
      </c>
      <c r="IF5" s="21">
        <f>IF(IF$1&lt;INDEX('Valo FX'!$Q:$Q,MATCH($A5,'Valo FX'!$A:$A,0)),0,IF(IF$1&lt;INDEX('Valo FX'!$R:$R,MATCH($A5,'Valo FX'!$A:$A,0)),INDEX(Base!$U:$U,MATCH($A5,Base!$A:$A,0)),IF(IF$1=INDEX('Valo FX'!$R:$R,MATCH($A5,'Valo FX'!$A:$A,0)),INDEX(Base!$V:$V,MATCH($A5,Base!$A:$A,0)),0)))</f>
        <v>0</v>
      </c>
      <c r="IG5" s="21">
        <f>IF(IG$1&lt;INDEX('Valo FX'!$Q:$Q,MATCH($A5,'Valo FX'!$A:$A,0)),0,IF(IG$1&lt;INDEX('Valo FX'!$R:$R,MATCH($A5,'Valo FX'!$A:$A,0)),INDEX(Base!$U:$U,MATCH($A5,Base!$A:$A,0)),IF(IG$1=INDEX('Valo FX'!$R:$R,MATCH($A5,'Valo FX'!$A:$A,0)),INDEX(Base!$V:$V,MATCH($A5,Base!$A:$A,0)),0)))</f>
        <v>0</v>
      </c>
      <c r="IH5" s="21">
        <f>IF(IH$1&lt;INDEX('Valo FX'!$Q:$Q,MATCH($A5,'Valo FX'!$A:$A,0)),0,IF(IH$1&lt;INDEX('Valo FX'!$R:$R,MATCH($A5,'Valo FX'!$A:$A,0)),INDEX(Base!$U:$U,MATCH($A5,Base!$A:$A,0)),IF(IH$1=INDEX('Valo FX'!$R:$R,MATCH($A5,'Valo FX'!$A:$A,0)),INDEX(Base!$V:$V,MATCH($A5,Base!$A:$A,0)),0)))</f>
        <v>0</v>
      </c>
      <c r="II5" s="21">
        <f>IF(II$1&lt;INDEX('Valo FX'!$Q:$Q,MATCH($A5,'Valo FX'!$A:$A,0)),0,IF(II$1&lt;INDEX('Valo FX'!$R:$R,MATCH($A5,'Valo FX'!$A:$A,0)),INDEX(Base!$U:$U,MATCH($A5,Base!$A:$A,0)),IF(II$1=INDEX('Valo FX'!$R:$R,MATCH($A5,'Valo FX'!$A:$A,0)),INDEX(Base!$V:$V,MATCH($A5,Base!$A:$A,0)),0)))</f>
        <v>0</v>
      </c>
      <c r="IJ5" s="21">
        <f>IF(IJ$1&lt;INDEX('Valo FX'!$Q:$Q,MATCH($A5,'Valo FX'!$A:$A,0)),0,IF(IJ$1&lt;INDEX('Valo FX'!$R:$R,MATCH($A5,'Valo FX'!$A:$A,0)),INDEX(Base!$U:$U,MATCH($A5,Base!$A:$A,0)),IF(IJ$1=INDEX('Valo FX'!$R:$R,MATCH($A5,'Valo FX'!$A:$A,0)),INDEX(Base!$V:$V,MATCH($A5,Base!$A:$A,0)),0)))</f>
        <v>0</v>
      </c>
      <c r="IK5" s="21">
        <f>IF(IK$1&lt;INDEX('Valo FX'!$Q:$Q,MATCH($A5,'Valo FX'!$A:$A,0)),0,IF(IK$1&lt;INDEX('Valo FX'!$R:$R,MATCH($A5,'Valo FX'!$A:$A,0)),INDEX(Base!$U:$U,MATCH($A5,Base!$A:$A,0)),IF(IK$1=INDEX('Valo FX'!$R:$R,MATCH($A5,'Valo FX'!$A:$A,0)),INDEX(Base!$V:$V,MATCH($A5,Base!$A:$A,0)),0)))</f>
        <v>0</v>
      </c>
      <c r="IL5" s="21">
        <f>IF(IL$1&lt;INDEX('Valo FX'!$Q:$Q,MATCH($A5,'Valo FX'!$A:$A,0)),0,IF(IL$1&lt;INDEX('Valo FX'!$R:$R,MATCH($A5,'Valo FX'!$A:$A,0)),INDEX(Base!$U:$U,MATCH($A5,Base!$A:$A,0)),IF(IL$1=INDEX('Valo FX'!$R:$R,MATCH($A5,'Valo FX'!$A:$A,0)),INDEX(Base!$V:$V,MATCH($A5,Base!$A:$A,0)),0)))</f>
        <v>0</v>
      </c>
      <c r="IM5" s="21">
        <f>IF(IM$1&lt;INDEX('Valo FX'!$Q:$Q,MATCH($A5,'Valo FX'!$A:$A,0)),0,IF(IM$1&lt;INDEX('Valo FX'!$R:$R,MATCH($A5,'Valo FX'!$A:$A,0)),INDEX(Base!$U:$U,MATCH($A5,Base!$A:$A,0)),IF(IM$1=INDEX('Valo FX'!$R:$R,MATCH($A5,'Valo FX'!$A:$A,0)),INDEX(Base!$V:$V,MATCH($A5,Base!$A:$A,0)),0)))</f>
        <v>0</v>
      </c>
      <c r="IN5" s="21">
        <f>IF(IN$1&lt;INDEX('Valo FX'!$Q:$Q,MATCH($A5,'Valo FX'!$A:$A,0)),0,IF(IN$1&lt;INDEX('Valo FX'!$R:$R,MATCH($A5,'Valo FX'!$A:$A,0)),INDEX(Base!$U:$U,MATCH($A5,Base!$A:$A,0)),IF(IN$1=INDEX('Valo FX'!$R:$R,MATCH($A5,'Valo FX'!$A:$A,0)),INDEX(Base!$V:$V,MATCH($A5,Base!$A:$A,0)),0)))</f>
        <v>0</v>
      </c>
      <c r="IO5" s="21">
        <f>IF(IO$1&lt;INDEX('Valo FX'!$Q:$Q,MATCH($A5,'Valo FX'!$A:$A,0)),0,IF(IO$1&lt;INDEX('Valo FX'!$R:$R,MATCH($A5,'Valo FX'!$A:$A,0)),INDEX(Base!$U:$U,MATCH($A5,Base!$A:$A,0)),IF(IO$1=INDEX('Valo FX'!$R:$R,MATCH($A5,'Valo FX'!$A:$A,0)),INDEX(Base!$V:$V,MATCH($A5,Base!$A:$A,0)),0)))</f>
        <v>0</v>
      </c>
      <c r="IP5" s="21">
        <f>IF(IP$1&lt;INDEX('Valo FX'!$Q:$Q,MATCH($A5,'Valo FX'!$A:$A,0)),0,IF(IP$1&lt;INDEX('Valo FX'!$R:$R,MATCH($A5,'Valo FX'!$A:$A,0)),INDEX(Base!$U:$U,MATCH($A5,Base!$A:$A,0)),IF(IP$1=INDEX('Valo FX'!$R:$R,MATCH($A5,'Valo FX'!$A:$A,0)),INDEX(Base!$V:$V,MATCH($A5,Base!$A:$A,0)),0)))</f>
        <v>0</v>
      </c>
      <c r="IQ5" s="21">
        <f>IF(IQ$1&lt;INDEX('Valo FX'!$Q:$Q,MATCH($A5,'Valo FX'!$A:$A,0)),0,IF(IQ$1&lt;INDEX('Valo FX'!$R:$R,MATCH($A5,'Valo FX'!$A:$A,0)),INDEX(Base!$U:$U,MATCH($A5,Base!$A:$A,0)),IF(IQ$1=INDEX('Valo FX'!$R:$R,MATCH($A5,'Valo FX'!$A:$A,0)),INDEX(Base!$V:$V,MATCH($A5,Base!$A:$A,0)),0)))</f>
        <v>0</v>
      </c>
      <c r="IR5" s="21">
        <f>IF(IR$1&lt;INDEX('Valo FX'!$Q:$Q,MATCH($A5,'Valo FX'!$A:$A,0)),0,IF(IR$1&lt;INDEX('Valo FX'!$R:$R,MATCH($A5,'Valo FX'!$A:$A,0)),INDEX(Base!$U:$U,MATCH($A5,Base!$A:$A,0)),IF(IR$1=INDEX('Valo FX'!$R:$R,MATCH($A5,'Valo FX'!$A:$A,0)),INDEX(Base!$V:$V,MATCH($A5,Base!$A:$A,0)),0)))</f>
        <v>0</v>
      </c>
      <c r="IS5" s="21">
        <f>IF(IS$1&lt;INDEX('Valo FX'!$Q:$Q,MATCH($A5,'Valo FX'!$A:$A,0)),0,IF(IS$1&lt;INDEX('Valo FX'!$R:$R,MATCH($A5,'Valo FX'!$A:$A,0)),INDEX(Base!$U:$U,MATCH($A5,Base!$A:$A,0)),IF(IS$1=INDEX('Valo FX'!$R:$R,MATCH($A5,'Valo FX'!$A:$A,0)),INDEX(Base!$V:$V,MATCH($A5,Base!$A:$A,0)),0)))</f>
        <v>0</v>
      </c>
      <c r="IT5" s="21">
        <f>IF(IT$1&lt;INDEX('Valo FX'!$Q:$Q,MATCH($A5,'Valo FX'!$A:$A,0)),0,IF(IT$1&lt;INDEX('Valo FX'!$R:$R,MATCH($A5,'Valo FX'!$A:$A,0)),INDEX(Base!$U:$U,MATCH($A5,Base!$A:$A,0)),IF(IT$1=INDEX('Valo FX'!$R:$R,MATCH($A5,'Valo FX'!$A:$A,0)),INDEX(Base!$V:$V,MATCH($A5,Base!$A:$A,0)),0)))</f>
        <v>0</v>
      </c>
      <c r="IU5" s="21">
        <f>IF(IU$1&lt;INDEX('Valo FX'!$Q:$Q,MATCH($A5,'Valo FX'!$A:$A,0)),0,IF(IU$1&lt;INDEX('Valo FX'!$R:$R,MATCH($A5,'Valo FX'!$A:$A,0)),INDEX(Base!$U:$U,MATCH($A5,Base!$A:$A,0)),IF(IU$1=INDEX('Valo FX'!$R:$R,MATCH($A5,'Valo FX'!$A:$A,0)),INDEX(Base!$V:$V,MATCH($A5,Base!$A:$A,0)),0)))</f>
        <v>0</v>
      </c>
      <c r="IV5" s="21">
        <f>IF(IV$1&lt;INDEX('Valo FX'!$Q:$Q,MATCH($A5,'Valo FX'!$A:$A,0)),0,IF(IV$1&lt;INDEX('Valo FX'!$R:$R,MATCH($A5,'Valo FX'!$A:$A,0)),INDEX(Base!$U:$U,MATCH($A5,Base!$A:$A,0)),IF(IV$1=INDEX('Valo FX'!$R:$R,MATCH($A5,'Valo FX'!$A:$A,0)),INDEX(Base!$V:$V,MATCH($A5,Base!$A:$A,0)),0)))</f>
        <v>0</v>
      </c>
      <c r="IW5" s="21">
        <f>IF(IW$1&lt;INDEX('Valo FX'!$Q:$Q,MATCH($A5,'Valo FX'!$A:$A,0)),0,IF(IW$1&lt;INDEX('Valo FX'!$R:$R,MATCH($A5,'Valo FX'!$A:$A,0)),INDEX(Base!$U:$U,MATCH($A5,Base!$A:$A,0)),IF(IW$1=INDEX('Valo FX'!$R:$R,MATCH($A5,'Valo FX'!$A:$A,0)),INDEX(Base!$V:$V,MATCH($A5,Base!$A:$A,0)),0)))</f>
        <v>0</v>
      </c>
      <c r="IX5" s="21">
        <f>IF(IX$1&lt;INDEX('Valo FX'!$Q:$Q,MATCH($A5,'Valo FX'!$A:$A,0)),0,IF(IX$1&lt;INDEX('Valo FX'!$R:$R,MATCH($A5,'Valo FX'!$A:$A,0)),INDEX(Base!$U:$U,MATCH($A5,Base!$A:$A,0)),IF(IX$1=INDEX('Valo FX'!$R:$R,MATCH($A5,'Valo FX'!$A:$A,0)),INDEX(Base!$V:$V,MATCH($A5,Base!$A:$A,0)),0)))</f>
        <v>0</v>
      </c>
      <c r="IY5" s="21">
        <f>IF(IY$1&lt;INDEX('Valo FX'!$Q:$Q,MATCH($A5,'Valo FX'!$A:$A,0)),0,IF(IY$1&lt;INDEX('Valo FX'!$R:$R,MATCH($A5,'Valo FX'!$A:$A,0)),INDEX(Base!$U:$U,MATCH($A5,Base!$A:$A,0)),IF(IY$1=INDEX('Valo FX'!$R:$R,MATCH($A5,'Valo FX'!$A:$A,0)),INDEX(Base!$V:$V,MATCH($A5,Base!$A:$A,0)),0)))</f>
        <v>0</v>
      </c>
      <c r="IZ5" s="21">
        <f>IF(IZ$1&lt;INDEX('Valo FX'!$Q:$Q,MATCH($A5,'Valo FX'!$A:$A,0)),0,IF(IZ$1&lt;INDEX('Valo FX'!$R:$R,MATCH($A5,'Valo FX'!$A:$A,0)),INDEX(Base!$U:$U,MATCH($A5,Base!$A:$A,0)),IF(IZ$1=INDEX('Valo FX'!$R:$R,MATCH($A5,'Valo FX'!$A:$A,0)),INDEX(Base!$V:$V,MATCH($A5,Base!$A:$A,0)),0)))</f>
        <v>0</v>
      </c>
      <c r="JA5" s="21">
        <f>IF(JA$1&lt;INDEX('Valo FX'!$Q:$Q,MATCH($A5,'Valo FX'!$A:$A,0)),0,IF(JA$1&lt;INDEX('Valo FX'!$R:$R,MATCH($A5,'Valo FX'!$A:$A,0)),INDEX(Base!$U:$U,MATCH($A5,Base!$A:$A,0)),IF(JA$1=INDEX('Valo FX'!$R:$R,MATCH($A5,'Valo FX'!$A:$A,0)),INDEX(Base!$V:$V,MATCH($A5,Base!$A:$A,0)),0)))</f>
        <v>0</v>
      </c>
      <c r="JB5" s="21">
        <f>IF(JB$1&lt;INDEX('Valo FX'!$Q:$Q,MATCH($A5,'Valo FX'!$A:$A,0)),0,IF(JB$1&lt;INDEX('Valo FX'!$R:$R,MATCH($A5,'Valo FX'!$A:$A,0)),INDEX(Base!$U:$U,MATCH($A5,Base!$A:$A,0)),IF(JB$1=INDEX('Valo FX'!$R:$R,MATCH($A5,'Valo FX'!$A:$A,0)),INDEX(Base!$V:$V,MATCH($A5,Base!$A:$A,0)),0)))</f>
        <v>0</v>
      </c>
      <c r="JC5" s="21">
        <f>IF(JC$1&lt;INDEX('Valo FX'!$Q:$Q,MATCH($A5,'Valo FX'!$A:$A,0)),0,IF(JC$1&lt;INDEX('Valo FX'!$R:$R,MATCH($A5,'Valo FX'!$A:$A,0)),INDEX(Base!$U:$U,MATCH($A5,Base!$A:$A,0)),IF(JC$1=INDEX('Valo FX'!$R:$R,MATCH($A5,'Valo FX'!$A:$A,0)),INDEX(Base!$V:$V,MATCH($A5,Base!$A:$A,0)),0)))</f>
        <v>0</v>
      </c>
      <c r="JD5" s="21">
        <f>IF(JD$1&lt;INDEX('Valo FX'!$Q:$Q,MATCH($A5,'Valo FX'!$A:$A,0)),0,IF(JD$1&lt;INDEX('Valo FX'!$R:$R,MATCH($A5,'Valo FX'!$A:$A,0)),INDEX(Base!$U:$U,MATCH($A5,Base!$A:$A,0)),IF(JD$1=INDEX('Valo FX'!$R:$R,MATCH($A5,'Valo FX'!$A:$A,0)),INDEX(Base!$V:$V,MATCH($A5,Base!$A:$A,0)),0)))</f>
        <v>0</v>
      </c>
      <c r="JE5" s="21">
        <f>IF(JE$1&lt;INDEX('Valo FX'!$Q:$Q,MATCH($A5,'Valo FX'!$A:$A,0)),0,IF(JE$1&lt;INDEX('Valo FX'!$R:$R,MATCH($A5,'Valo FX'!$A:$A,0)),INDEX(Base!$U:$U,MATCH($A5,Base!$A:$A,0)),IF(JE$1=INDEX('Valo FX'!$R:$R,MATCH($A5,'Valo FX'!$A:$A,0)),INDEX(Base!$V:$V,MATCH($A5,Base!$A:$A,0)),0)))</f>
        <v>0</v>
      </c>
      <c r="JF5" s="21">
        <f>IF(JF$1&lt;INDEX('Valo FX'!$Q:$Q,MATCH($A5,'Valo FX'!$A:$A,0)),0,IF(JF$1&lt;INDEX('Valo FX'!$R:$R,MATCH($A5,'Valo FX'!$A:$A,0)),INDEX(Base!$U:$U,MATCH($A5,Base!$A:$A,0)),IF(JF$1=INDEX('Valo FX'!$R:$R,MATCH($A5,'Valo FX'!$A:$A,0)),INDEX(Base!$V:$V,MATCH($A5,Base!$A:$A,0)),0)))</f>
        <v>0</v>
      </c>
      <c r="JG5" s="21">
        <f>IF(JG$1&lt;INDEX('Valo FX'!$Q:$Q,MATCH($A5,'Valo FX'!$A:$A,0)),0,IF(JG$1&lt;INDEX('Valo FX'!$R:$R,MATCH($A5,'Valo FX'!$A:$A,0)),INDEX(Base!$U:$U,MATCH($A5,Base!$A:$A,0)),IF(JG$1=INDEX('Valo FX'!$R:$R,MATCH($A5,'Valo FX'!$A:$A,0)),INDEX(Base!$V:$V,MATCH($A5,Base!$A:$A,0)),0)))</f>
        <v>0</v>
      </c>
      <c r="JH5" s="21">
        <f>IF(JH$1&lt;INDEX('Valo FX'!$Q:$Q,MATCH($A5,'Valo FX'!$A:$A,0)),0,IF(JH$1&lt;INDEX('Valo FX'!$R:$R,MATCH($A5,'Valo FX'!$A:$A,0)),INDEX(Base!$U:$U,MATCH($A5,Base!$A:$A,0)),IF(JH$1=INDEX('Valo FX'!$R:$R,MATCH($A5,'Valo FX'!$A:$A,0)),INDEX(Base!$V:$V,MATCH($A5,Base!$A:$A,0)),0)))</f>
        <v>0</v>
      </c>
      <c r="JI5" s="21">
        <f>IF(JI$1&lt;INDEX('Valo FX'!$Q:$Q,MATCH($A5,'Valo FX'!$A:$A,0)),0,IF(JI$1&lt;INDEX('Valo FX'!$R:$R,MATCH($A5,'Valo FX'!$A:$A,0)),INDEX(Base!$U:$U,MATCH($A5,Base!$A:$A,0)),IF(JI$1=INDEX('Valo FX'!$R:$R,MATCH($A5,'Valo FX'!$A:$A,0)),INDEX(Base!$V:$V,MATCH($A5,Base!$A:$A,0)),0)))</f>
        <v>0</v>
      </c>
      <c r="JJ5" s="21">
        <f>IF(JJ$1&lt;INDEX('Valo FX'!$Q:$Q,MATCH($A5,'Valo FX'!$A:$A,0)),0,IF(JJ$1&lt;INDEX('Valo FX'!$R:$R,MATCH($A5,'Valo FX'!$A:$A,0)),INDEX(Base!$U:$U,MATCH($A5,Base!$A:$A,0)),IF(JJ$1=INDEX('Valo FX'!$R:$R,MATCH($A5,'Valo FX'!$A:$A,0)),INDEX(Base!$V:$V,MATCH($A5,Base!$A:$A,0)),0)))</f>
        <v>0</v>
      </c>
      <c r="JK5" s="21">
        <f>IF(JK$1&lt;INDEX('Valo FX'!$Q:$Q,MATCH($A5,'Valo FX'!$A:$A,0)),0,IF(JK$1&lt;INDEX('Valo FX'!$R:$R,MATCH($A5,'Valo FX'!$A:$A,0)),INDEX(Base!$U:$U,MATCH($A5,Base!$A:$A,0)),IF(JK$1=INDEX('Valo FX'!$R:$R,MATCH($A5,'Valo FX'!$A:$A,0)),INDEX(Base!$V:$V,MATCH($A5,Base!$A:$A,0)),0)))</f>
        <v>0</v>
      </c>
      <c r="JL5" s="21">
        <f>IF(JL$1&lt;INDEX('Valo FX'!$Q:$Q,MATCH($A5,'Valo FX'!$A:$A,0)),0,IF(JL$1&lt;INDEX('Valo FX'!$R:$R,MATCH($A5,'Valo FX'!$A:$A,0)),INDEX(Base!$U:$U,MATCH($A5,Base!$A:$A,0)),IF(JL$1=INDEX('Valo FX'!$R:$R,MATCH($A5,'Valo FX'!$A:$A,0)),INDEX(Base!$V:$V,MATCH($A5,Base!$A:$A,0)),0)))</f>
        <v>0</v>
      </c>
      <c r="JM5" s="21">
        <f>IF(JM$1&lt;INDEX('Valo FX'!$Q:$Q,MATCH($A5,'Valo FX'!$A:$A,0)),0,IF(JM$1&lt;INDEX('Valo FX'!$R:$R,MATCH($A5,'Valo FX'!$A:$A,0)),INDEX(Base!$U:$U,MATCH($A5,Base!$A:$A,0)),IF(JM$1=INDEX('Valo FX'!$R:$R,MATCH($A5,'Valo FX'!$A:$A,0)),INDEX(Base!$V:$V,MATCH($A5,Base!$A:$A,0)),0)))</f>
        <v>0</v>
      </c>
      <c r="JN5" s="21">
        <f>IF(JN$1&lt;INDEX('Valo FX'!$Q:$Q,MATCH($A5,'Valo FX'!$A:$A,0)),0,IF(JN$1&lt;INDEX('Valo FX'!$R:$R,MATCH($A5,'Valo FX'!$A:$A,0)),INDEX(Base!$U:$U,MATCH($A5,Base!$A:$A,0)),IF(JN$1=INDEX('Valo FX'!$R:$R,MATCH($A5,'Valo FX'!$A:$A,0)),INDEX(Base!$V:$V,MATCH($A5,Base!$A:$A,0)),0)))</f>
        <v>0</v>
      </c>
      <c r="JO5" s="21">
        <f>IF(JO$1&lt;INDEX('Valo FX'!$Q:$Q,MATCH($A5,'Valo FX'!$A:$A,0)),0,IF(JO$1&lt;INDEX('Valo FX'!$R:$R,MATCH($A5,'Valo FX'!$A:$A,0)),INDEX(Base!$U:$U,MATCH($A5,Base!$A:$A,0)),IF(JO$1=INDEX('Valo FX'!$R:$R,MATCH($A5,'Valo FX'!$A:$A,0)),INDEX(Base!$V:$V,MATCH($A5,Base!$A:$A,0)),0)))</f>
        <v>0</v>
      </c>
      <c r="JP5" s="21">
        <f>IF(JP$1&lt;INDEX('Valo FX'!$Q:$Q,MATCH($A5,'Valo FX'!$A:$A,0)),0,IF(JP$1&lt;INDEX('Valo FX'!$R:$R,MATCH($A5,'Valo FX'!$A:$A,0)),INDEX(Base!$U:$U,MATCH($A5,Base!$A:$A,0)),IF(JP$1=INDEX('Valo FX'!$R:$R,MATCH($A5,'Valo FX'!$A:$A,0)),INDEX(Base!$V:$V,MATCH($A5,Base!$A:$A,0)),0)))</f>
        <v>0</v>
      </c>
      <c r="JQ5" s="21">
        <f>IF(JQ$1&lt;INDEX('Valo FX'!$Q:$Q,MATCH($A5,'Valo FX'!$A:$A,0)),0,IF(JQ$1&lt;INDEX('Valo FX'!$R:$R,MATCH($A5,'Valo FX'!$A:$A,0)),INDEX(Base!$U:$U,MATCH($A5,Base!$A:$A,0)),IF(JQ$1=INDEX('Valo FX'!$R:$R,MATCH($A5,'Valo FX'!$A:$A,0)),INDEX(Base!$V:$V,MATCH($A5,Base!$A:$A,0)),0)))</f>
        <v>0</v>
      </c>
      <c r="JR5" s="21">
        <f>IF(JR$1&lt;INDEX('Valo FX'!$Q:$Q,MATCH($A5,'Valo FX'!$A:$A,0)),0,IF(JR$1&lt;INDEX('Valo FX'!$R:$R,MATCH($A5,'Valo FX'!$A:$A,0)),INDEX(Base!$U:$U,MATCH($A5,Base!$A:$A,0)),IF(JR$1=INDEX('Valo FX'!$R:$R,MATCH($A5,'Valo FX'!$A:$A,0)),INDEX(Base!$V:$V,MATCH($A5,Base!$A:$A,0)),0)))</f>
        <v>0</v>
      </c>
      <c r="JS5" s="21">
        <f>IF(JS$1&lt;INDEX('Valo FX'!$Q:$Q,MATCH($A5,'Valo FX'!$A:$A,0)),0,IF(JS$1&lt;INDEX('Valo FX'!$R:$R,MATCH($A5,'Valo FX'!$A:$A,0)),INDEX(Base!$U:$U,MATCH($A5,Base!$A:$A,0)),IF(JS$1=INDEX('Valo FX'!$R:$R,MATCH($A5,'Valo FX'!$A:$A,0)),INDEX(Base!$V:$V,MATCH($A5,Base!$A:$A,0)),0)))</f>
        <v>0</v>
      </c>
      <c r="JT5" s="21">
        <f>IF(JT$1&lt;INDEX('Valo FX'!$Q:$Q,MATCH($A5,'Valo FX'!$A:$A,0)),0,IF(JT$1&lt;INDEX('Valo FX'!$R:$R,MATCH($A5,'Valo FX'!$A:$A,0)),INDEX(Base!$U:$U,MATCH($A5,Base!$A:$A,0)),IF(JT$1=INDEX('Valo FX'!$R:$R,MATCH($A5,'Valo FX'!$A:$A,0)),INDEX(Base!$V:$V,MATCH($A5,Base!$A:$A,0)),0)))</f>
        <v>0</v>
      </c>
      <c r="JU5" s="21">
        <f>IF(JU$1&lt;INDEX('Valo FX'!$Q:$Q,MATCH($A5,'Valo FX'!$A:$A,0)),0,IF(JU$1&lt;INDEX('Valo FX'!$R:$R,MATCH($A5,'Valo FX'!$A:$A,0)),INDEX(Base!$U:$U,MATCH($A5,Base!$A:$A,0)),IF(JU$1=INDEX('Valo FX'!$R:$R,MATCH($A5,'Valo FX'!$A:$A,0)),INDEX(Base!$V:$V,MATCH($A5,Base!$A:$A,0)),0)))</f>
        <v>0</v>
      </c>
      <c r="JV5" s="21">
        <f>IF(JV$1&lt;INDEX('Valo FX'!$Q:$Q,MATCH($A5,'Valo FX'!$A:$A,0)),0,IF(JV$1&lt;INDEX('Valo FX'!$R:$R,MATCH($A5,'Valo FX'!$A:$A,0)),INDEX(Base!$U:$U,MATCH($A5,Base!$A:$A,0)),IF(JV$1=INDEX('Valo FX'!$R:$R,MATCH($A5,'Valo FX'!$A:$A,0)),INDEX(Base!$V:$V,MATCH($A5,Base!$A:$A,0)),0)))</f>
        <v>0</v>
      </c>
      <c r="JW5" s="21">
        <f>IF(JW$1&lt;INDEX('Valo FX'!$Q:$Q,MATCH($A5,'Valo FX'!$A:$A,0)),0,IF(JW$1&lt;INDEX('Valo FX'!$R:$R,MATCH($A5,'Valo FX'!$A:$A,0)),INDEX(Base!$U:$U,MATCH($A5,Base!$A:$A,0)),IF(JW$1=INDEX('Valo FX'!$R:$R,MATCH($A5,'Valo FX'!$A:$A,0)),INDEX(Base!$V:$V,MATCH($A5,Base!$A:$A,0)),0)))</f>
        <v>0</v>
      </c>
      <c r="JX5" s="21">
        <f>IF(JX$1&lt;INDEX('Valo FX'!$Q:$Q,MATCH($A5,'Valo FX'!$A:$A,0)),0,IF(JX$1&lt;INDEX('Valo FX'!$R:$R,MATCH($A5,'Valo FX'!$A:$A,0)),INDEX(Base!$U:$U,MATCH($A5,Base!$A:$A,0)),IF(JX$1=INDEX('Valo FX'!$R:$R,MATCH($A5,'Valo FX'!$A:$A,0)),INDEX(Base!$V:$V,MATCH($A5,Base!$A:$A,0)),0)))</f>
        <v>0</v>
      </c>
      <c r="JY5" s="21">
        <f>IF(JY$1&lt;INDEX('Valo FX'!$Q:$Q,MATCH($A5,'Valo FX'!$A:$A,0)),0,IF(JY$1&lt;INDEX('Valo FX'!$R:$R,MATCH($A5,'Valo FX'!$A:$A,0)),INDEX(Base!$U:$U,MATCH($A5,Base!$A:$A,0)),IF(JY$1=INDEX('Valo FX'!$R:$R,MATCH($A5,'Valo FX'!$A:$A,0)),INDEX(Base!$V:$V,MATCH($A5,Base!$A:$A,0)),0)))</f>
        <v>0</v>
      </c>
      <c r="JZ5" s="21">
        <f>IF(JZ$1&lt;INDEX('Valo FX'!$Q:$Q,MATCH($A5,'Valo FX'!$A:$A,0)),0,IF(JZ$1&lt;INDEX('Valo FX'!$R:$R,MATCH($A5,'Valo FX'!$A:$A,0)),INDEX(Base!$U:$U,MATCH($A5,Base!$A:$A,0)),IF(JZ$1=INDEX('Valo FX'!$R:$R,MATCH($A5,'Valo FX'!$A:$A,0)),INDEX(Base!$V:$V,MATCH($A5,Base!$A:$A,0)),0)))</f>
        <v>0</v>
      </c>
      <c r="KA5" s="21">
        <f>IF(KA$1&lt;INDEX('Valo FX'!$Q:$Q,MATCH($A5,'Valo FX'!$A:$A,0)),0,IF(KA$1&lt;INDEX('Valo FX'!$R:$R,MATCH($A5,'Valo FX'!$A:$A,0)),INDEX(Base!$U:$U,MATCH($A5,Base!$A:$A,0)),IF(KA$1=INDEX('Valo FX'!$R:$R,MATCH($A5,'Valo FX'!$A:$A,0)),INDEX(Base!$V:$V,MATCH($A5,Base!$A:$A,0)),0)))</f>
        <v>0</v>
      </c>
      <c r="KB5" s="21">
        <f>IF(KB$1&lt;INDEX('Valo FX'!$Q:$Q,MATCH($A5,'Valo FX'!$A:$A,0)),0,IF(KB$1&lt;INDEX('Valo FX'!$R:$R,MATCH($A5,'Valo FX'!$A:$A,0)),INDEX(Base!$U:$U,MATCH($A5,Base!$A:$A,0)),IF(KB$1=INDEX('Valo FX'!$R:$R,MATCH($A5,'Valo FX'!$A:$A,0)),INDEX(Base!$V:$V,MATCH($A5,Base!$A:$A,0)),0)))</f>
        <v>0</v>
      </c>
      <c r="KC5" s="21">
        <f>IF(KC$1&lt;INDEX('Valo FX'!$Q:$Q,MATCH($A5,'Valo FX'!$A:$A,0)),0,IF(KC$1&lt;INDEX('Valo FX'!$R:$R,MATCH($A5,'Valo FX'!$A:$A,0)),INDEX(Base!$U:$U,MATCH($A5,Base!$A:$A,0)),IF(KC$1=INDEX('Valo FX'!$R:$R,MATCH($A5,'Valo FX'!$A:$A,0)),INDEX(Base!$V:$V,MATCH($A5,Base!$A:$A,0)),0)))</f>
        <v>0</v>
      </c>
      <c r="KD5" s="21">
        <f>IF(KD$1&lt;INDEX('Valo FX'!$Q:$Q,MATCH($A5,'Valo FX'!$A:$A,0)),0,IF(KD$1&lt;INDEX('Valo FX'!$R:$R,MATCH($A5,'Valo FX'!$A:$A,0)),INDEX(Base!$U:$U,MATCH($A5,Base!$A:$A,0)),IF(KD$1=INDEX('Valo FX'!$R:$R,MATCH($A5,'Valo FX'!$A:$A,0)),INDEX(Base!$V:$V,MATCH($A5,Base!$A:$A,0)),0)))</f>
        <v>0</v>
      </c>
      <c r="KE5" s="21">
        <f>IF(KE$1&lt;INDEX('Valo FX'!$Q:$Q,MATCH($A5,'Valo FX'!$A:$A,0)),0,IF(KE$1&lt;INDEX('Valo FX'!$R:$R,MATCH($A5,'Valo FX'!$A:$A,0)),INDEX(Base!$U:$U,MATCH($A5,Base!$A:$A,0)),IF(KE$1=INDEX('Valo FX'!$R:$R,MATCH($A5,'Valo FX'!$A:$A,0)),INDEX(Base!$V:$V,MATCH($A5,Base!$A:$A,0)),0)))</f>
        <v>0</v>
      </c>
      <c r="KF5" s="21">
        <f>IF(KF$1&lt;INDEX('Valo FX'!$Q:$Q,MATCH($A5,'Valo FX'!$A:$A,0)),0,IF(KF$1&lt;INDEX('Valo FX'!$R:$R,MATCH($A5,'Valo FX'!$A:$A,0)),INDEX(Base!$U:$U,MATCH($A5,Base!$A:$A,0)),IF(KF$1=INDEX('Valo FX'!$R:$R,MATCH($A5,'Valo FX'!$A:$A,0)),INDEX(Base!$V:$V,MATCH($A5,Base!$A:$A,0)),0)))</f>
        <v>0</v>
      </c>
      <c r="KG5" s="21">
        <f>IF(KG$1&lt;INDEX('Valo FX'!$Q:$Q,MATCH($A5,'Valo FX'!$A:$A,0)),0,IF(KG$1&lt;INDEX('Valo FX'!$R:$R,MATCH($A5,'Valo FX'!$A:$A,0)),INDEX(Base!$U:$U,MATCH($A5,Base!$A:$A,0)),IF(KG$1=INDEX('Valo FX'!$R:$R,MATCH($A5,'Valo FX'!$A:$A,0)),INDEX(Base!$V:$V,MATCH($A5,Base!$A:$A,0)),0)))</f>
        <v>0</v>
      </c>
      <c r="KH5" s="21">
        <f>IF(KH$1&lt;INDEX('Valo FX'!$Q:$Q,MATCH($A5,'Valo FX'!$A:$A,0)),0,IF(KH$1&lt;INDEX('Valo FX'!$R:$R,MATCH($A5,'Valo FX'!$A:$A,0)),INDEX(Base!$U:$U,MATCH($A5,Base!$A:$A,0)),IF(KH$1=INDEX('Valo FX'!$R:$R,MATCH($A5,'Valo FX'!$A:$A,0)),INDEX(Base!$V:$V,MATCH($A5,Base!$A:$A,0)),0)))</f>
        <v>0</v>
      </c>
      <c r="KI5" s="21">
        <f>IF(KI$1&lt;INDEX('Valo FX'!$Q:$Q,MATCH($A5,'Valo FX'!$A:$A,0)),0,IF(KI$1&lt;INDEX('Valo FX'!$R:$R,MATCH($A5,'Valo FX'!$A:$A,0)),INDEX(Base!$U:$U,MATCH($A5,Base!$A:$A,0)),IF(KI$1=INDEX('Valo FX'!$R:$R,MATCH($A5,'Valo FX'!$A:$A,0)),INDEX(Base!$V:$V,MATCH($A5,Base!$A:$A,0)),0)))</f>
        <v>0</v>
      </c>
      <c r="KJ5" s="21">
        <f>IF(KJ$1&lt;INDEX('Valo FX'!$Q:$Q,MATCH($A5,'Valo FX'!$A:$A,0)),0,IF(KJ$1&lt;INDEX('Valo FX'!$R:$R,MATCH($A5,'Valo FX'!$A:$A,0)),INDEX(Base!$U:$U,MATCH($A5,Base!$A:$A,0)),IF(KJ$1=INDEX('Valo FX'!$R:$R,MATCH($A5,'Valo FX'!$A:$A,0)),INDEX(Base!$V:$V,MATCH($A5,Base!$A:$A,0)),0)))</f>
        <v>0</v>
      </c>
      <c r="KK5" s="21">
        <f>IF(KK$1&lt;INDEX('Valo FX'!$Q:$Q,MATCH($A5,'Valo FX'!$A:$A,0)),0,IF(KK$1&lt;INDEX('Valo FX'!$R:$R,MATCH($A5,'Valo FX'!$A:$A,0)),INDEX(Base!$U:$U,MATCH($A5,Base!$A:$A,0)),IF(KK$1=INDEX('Valo FX'!$R:$R,MATCH($A5,'Valo FX'!$A:$A,0)),INDEX(Base!$V:$V,MATCH($A5,Base!$A:$A,0)),0)))</f>
        <v>0</v>
      </c>
      <c r="KL5" s="21">
        <f>IF(KL$1&lt;INDEX('Valo FX'!$Q:$Q,MATCH($A5,'Valo FX'!$A:$A,0)),0,IF(KL$1&lt;INDEX('Valo FX'!$R:$R,MATCH($A5,'Valo FX'!$A:$A,0)),INDEX(Base!$U:$U,MATCH($A5,Base!$A:$A,0)),IF(KL$1=INDEX('Valo FX'!$R:$R,MATCH($A5,'Valo FX'!$A:$A,0)),INDEX(Base!$V:$V,MATCH($A5,Base!$A:$A,0)),0)))</f>
        <v>0</v>
      </c>
      <c r="KM5" s="21">
        <f>IF(KM$1&lt;INDEX('Valo FX'!$Q:$Q,MATCH($A5,'Valo FX'!$A:$A,0)),0,IF(KM$1&lt;INDEX('Valo FX'!$R:$R,MATCH($A5,'Valo FX'!$A:$A,0)),INDEX(Base!$U:$U,MATCH($A5,Base!$A:$A,0)),IF(KM$1=INDEX('Valo FX'!$R:$R,MATCH($A5,'Valo FX'!$A:$A,0)),INDEX(Base!$V:$V,MATCH($A5,Base!$A:$A,0)),0)))</f>
        <v>0</v>
      </c>
      <c r="KN5" s="21">
        <f>IF(KN$1&lt;INDEX('Valo FX'!$Q:$Q,MATCH($A5,'Valo FX'!$A:$A,0)),0,IF(KN$1&lt;INDEX('Valo FX'!$R:$R,MATCH($A5,'Valo FX'!$A:$A,0)),INDEX(Base!$U:$U,MATCH($A5,Base!$A:$A,0)),IF(KN$1=INDEX('Valo FX'!$R:$R,MATCH($A5,'Valo FX'!$A:$A,0)),INDEX(Base!$V:$V,MATCH($A5,Base!$A:$A,0)),0)))</f>
        <v>0</v>
      </c>
      <c r="KO5" s="21">
        <f>IF(KO$1&lt;INDEX('Valo FX'!$Q:$Q,MATCH($A5,'Valo FX'!$A:$A,0)),0,IF(KO$1&lt;INDEX('Valo FX'!$R:$R,MATCH($A5,'Valo FX'!$A:$A,0)),INDEX(Base!$U:$U,MATCH($A5,Base!$A:$A,0)),IF(KO$1=INDEX('Valo FX'!$R:$R,MATCH($A5,'Valo FX'!$A:$A,0)),INDEX(Base!$V:$V,MATCH($A5,Base!$A:$A,0)),0)))</f>
        <v>0</v>
      </c>
      <c r="KP5" s="21">
        <f>IF(KP$1&lt;INDEX('Valo FX'!$Q:$Q,MATCH($A5,'Valo FX'!$A:$A,0)),0,IF(KP$1&lt;INDEX('Valo FX'!$R:$R,MATCH($A5,'Valo FX'!$A:$A,0)),INDEX(Base!$U:$U,MATCH($A5,Base!$A:$A,0)),IF(KP$1=INDEX('Valo FX'!$R:$R,MATCH($A5,'Valo FX'!$A:$A,0)),INDEX(Base!$V:$V,MATCH($A5,Base!$A:$A,0)),0)))</f>
        <v>0</v>
      </c>
      <c r="KQ5" s="21">
        <f>IF(KQ$1&lt;INDEX('Valo FX'!$Q:$Q,MATCH($A5,'Valo FX'!$A:$A,0)),0,IF(KQ$1&lt;INDEX('Valo FX'!$R:$R,MATCH($A5,'Valo FX'!$A:$A,0)),INDEX(Base!$U:$U,MATCH($A5,Base!$A:$A,0)),IF(KQ$1=INDEX('Valo FX'!$R:$R,MATCH($A5,'Valo FX'!$A:$A,0)),INDEX(Base!$V:$V,MATCH($A5,Base!$A:$A,0)),0)))</f>
        <v>0</v>
      </c>
      <c r="KR5" s="21">
        <f>IF(KR$1&lt;INDEX('Valo FX'!$Q:$Q,MATCH($A5,'Valo FX'!$A:$A,0)),0,IF(KR$1&lt;INDEX('Valo FX'!$R:$R,MATCH($A5,'Valo FX'!$A:$A,0)),INDEX(Base!$U:$U,MATCH($A5,Base!$A:$A,0)),IF(KR$1=INDEX('Valo FX'!$R:$R,MATCH($A5,'Valo FX'!$A:$A,0)),INDEX(Base!$V:$V,MATCH($A5,Base!$A:$A,0)),0)))</f>
        <v>0</v>
      </c>
      <c r="KS5" s="21">
        <f>IF(KS$1&lt;INDEX('Valo FX'!$Q:$Q,MATCH($A5,'Valo FX'!$A:$A,0)),0,IF(KS$1&lt;INDEX('Valo FX'!$R:$R,MATCH($A5,'Valo FX'!$A:$A,0)),INDEX(Base!$U:$U,MATCH($A5,Base!$A:$A,0)),IF(KS$1=INDEX('Valo FX'!$R:$R,MATCH($A5,'Valo FX'!$A:$A,0)),INDEX(Base!$V:$V,MATCH($A5,Base!$A:$A,0)),0)))</f>
        <v>0</v>
      </c>
      <c r="KT5" s="21">
        <f>IF(KT$1&lt;INDEX('Valo FX'!$Q:$Q,MATCH($A5,'Valo FX'!$A:$A,0)),0,IF(KT$1&lt;INDEX('Valo FX'!$R:$R,MATCH($A5,'Valo FX'!$A:$A,0)),INDEX(Base!$U:$U,MATCH($A5,Base!$A:$A,0)),IF(KT$1=INDEX('Valo FX'!$R:$R,MATCH($A5,'Valo FX'!$A:$A,0)),INDEX(Base!$V:$V,MATCH($A5,Base!$A:$A,0)),0)))</f>
        <v>0</v>
      </c>
      <c r="KU5" s="21">
        <f>IF(KU$1&lt;INDEX('Valo FX'!$Q:$Q,MATCH($A5,'Valo FX'!$A:$A,0)),0,IF(KU$1&lt;INDEX('Valo FX'!$R:$R,MATCH($A5,'Valo FX'!$A:$A,0)),INDEX(Base!$U:$U,MATCH($A5,Base!$A:$A,0)),IF(KU$1=INDEX('Valo FX'!$R:$R,MATCH($A5,'Valo FX'!$A:$A,0)),INDEX(Base!$V:$V,MATCH($A5,Base!$A:$A,0)),0)))</f>
        <v>0</v>
      </c>
      <c r="KV5" s="21">
        <f>IF(KV$1&lt;INDEX('Valo FX'!$Q:$Q,MATCH($A5,'Valo FX'!$A:$A,0)),0,IF(KV$1&lt;INDEX('Valo FX'!$R:$R,MATCH($A5,'Valo FX'!$A:$A,0)),INDEX(Base!$U:$U,MATCH($A5,Base!$A:$A,0)),IF(KV$1=INDEX('Valo FX'!$R:$R,MATCH($A5,'Valo FX'!$A:$A,0)),INDEX(Base!$V:$V,MATCH($A5,Base!$A:$A,0)),0)))</f>
        <v>0</v>
      </c>
      <c r="KW5" s="21">
        <f>IF(KW$1&lt;INDEX('Valo FX'!$Q:$Q,MATCH($A5,'Valo FX'!$A:$A,0)),0,IF(KW$1&lt;INDEX('Valo FX'!$R:$R,MATCH($A5,'Valo FX'!$A:$A,0)),INDEX(Base!$U:$U,MATCH($A5,Base!$A:$A,0)),IF(KW$1=INDEX('Valo FX'!$R:$R,MATCH($A5,'Valo FX'!$A:$A,0)),INDEX(Base!$V:$V,MATCH($A5,Base!$A:$A,0)),0)))</f>
        <v>0</v>
      </c>
      <c r="KX5" s="21">
        <f>IF(KX$1&lt;INDEX('Valo FX'!$Q:$Q,MATCH($A5,'Valo FX'!$A:$A,0)),0,IF(KX$1&lt;INDEX('Valo FX'!$R:$R,MATCH($A5,'Valo FX'!$A:$A,0)),INDEX(Base!$U:$U,MATCH($A5,Base!$A:$A,0)),IF(KX$1=INDEX('Valo FX'!$R:$R,MATCH($A5,'Valo FX'!$A:$A,0)),INDEX(Base!$V:$V,MATCH($A5,Base!$A:$A,0)),0)))</f>
        <v>0</v>
      </c>
      <c r="KY5" s="21">
        <f>IF(KY$1&lt;INDEX('Valo FX'!$Q:$Q,MATCH($A5,'Valo FX'!$A:$A,0)),0,IF(KY$1&lt;INDEX('Valo FX'!$R:$R,MATCH($A5,'Valo FX'!$A:$A,0)),INDEX(Base!$U:$U,MATCH($A5,Base!$A:$A,0)),IF(KY$1=INDEX('Valo FX'!$R:$R,MATCH($A5,'Valo FX'!$A:$A,0)),INDEX(Base!$V:$V,MATCH($A5,Base!$A:$A,0)),0)))</f>
        <v>0</v>
      </c>
      <c r="KZ5" s="21">
        <f>IF(KZ$1&lt;INDEX('Valo FX'!$Q:$Q,MATCH($A5,'Valo FX'!$A:$A,0)),0,IF(KZ$1&lt;INDEX('Valo FX'!$R:$R,MATCH($A5,'Valo FX'!$A:$A,0)),INDEX(Base!$U:$U,MATCH($A5,Base!$A:$A,0)),IF(KZ$1=INDEX('Valo FX'!$R:$R,MATCH($A5,'Valo FX'!$A:$A,0)),INDEX(Base!$V:$V,MATCH($A5,Base!$A:$A,0)),0)))</f>
        <v>0</v>
      </c>
      <c r="LA5" s="21">
        <f>IF(LA$1&lt;INDEX('Valo FX'!$Q:$Q,MATCH($A5,'Valo FX'!$A:$A,0)),0,IF(LA$1&lt;INDEX('Valo FX'!$R:$R,MATCH($A5,'Valo FX'!$A:$A,0)),INDEX(Base!$U:$U,MATCH($A5,Base!$A:$A,0)),IF(LA$1=INDEX('Valo FX'!$R:$R,MATCH($A5,'Valo FX'!$A:$A,0)),INDEX(Base!$V:$V,MATCH($A5,Base!$A:$A,0)),0)))</f>
        <v>0</v>
      </c>
      <c r="LB5" s="21">
        <f>IF(LB$1&lt;INDEX('Valo FX'!$Q:$Q,MATCH($A5,'Valo FX'!$A:$A,0)),0,IF(LB$1&lt;INDEX('Valo FX'!$R:$R,MATCH($A5,'Valo FX'!$A:$A,0)),INDEX(Base!$U:$U,MATCH($A5,Base!$A:$A,0)),IF(LB$1=INDEX('Valo FX'!$R:$R,MATCH($A5,'Valo FX'!$A:$A,0)),INDEX(Base!$V:$V,MATCH($A5,Base!$A:$A,0)),0)))</f>
        <v>0</v>
      </c>
      <c r="LC5" s="21">
        <f>IF(LC$1&lt;INDEX('Valo FX'!$Q:$Q,MATCH($A5,'Valo FX'!$A:$A,0)),0,IF(LC$1&lt;INDEX('Valo FX'!$R:$R,MATCH($A5,'Valo FX'!$A:$A,0)),INDEX(Base!$U:$U,MATCH($A5,Base!$A:$A,0)),IF(LC$1=INDEX('Valo FX'!$R:$R,MATCH($A5,'Valo FX'!$A:$A,0)),INDEX(Base!$V:$V,MATCH($A5,Base!$A:$A,0)),0)))</f>
        <v>0</v>
      </c>
      <c r="LD5" s="21">
        <f>IF(LD$1&lt;INDEX('Valo FX'!$Q:$Q,MATCH($A5,'Valo FX'!$A:$A,0)),0,IF(LD$1&lt;INDEX('Valo FX'!$R:$R,MATCH($A5,'Valo FX'!$A:$A,0)),INDEX(Base!$U:$U,MATCH($A5,Base!$A:$A,0)),IF(LD$1=INDEX('Valo FX'!$R:$R,MATCH($A5,'Valo FX'!$A:$A,0)),INDEX(Base!$V:$V,MATCH($A5,Base!$A:$A,0)),0)))</f>
        <v>0</v>
      </c>
      <c r="LE5" s="21">
        <f>IF(LE$1&lt;INDEX('Valo FX'!$Q:$Q,MATCH($A5,'Valo FX'!$A:$A,0)),0,IF(LE$1&lt;INDEX('Valo FX'!$R:$R,MATCH($A5,'Valo FX'!$A:$A,0)),INDEX(Base!$U:$U,MATCH($A5,Base!$A:$A,0)),IF(LE$1=INDEX('Valo FX'!$R:$R,MATCH($A5,'Valo FX'!$A:$A,0)),INDEX(Base!$V:$V,MATCH($A5,Base!$A:$A,0)),0)))</f>
        <v>0</v>
      </c>
      <c r="LF5" s="21">
        <f>IF(LF$1&lt;INDEX('Valo FX'!$Q:$Q,MATCH($A5,'Valo FX'!$A:$A,0)),0,IF(LF$1&lt;INDEX('Valo FX'!$R:$R,MATCH($A5,'Valo FX'!$A:$A,0)),INDEX(Base!$U:$U,MATCH($A5,Base!$A:$A,0)),IF(LF$1=INDEX('Valo FX'!$R:$R,MATCH($A5,'Valo FX'!$A:$A,0)),INDEX(Base!$V:$V,MATCH($A5,Base!$A:$A,0)),0)))</f>
        <v>0</v>
      </c>
      <c r="LG5" s="21">
        <f>IF(LG$1&lt;INDEX('Valo FX'!$Q:$Q,MATCH($A5,'Valo FX'!$A:$A,0)),0,IF(LG$1&lt;INDEX('Valo FX'!$R:$R,MATCH($A5,'Valo FX'!$A:$A,0)),INDEX(Base!$U:$U,MATCH($A5,Base!$A:$A,0)),IF(LG$1=INDEX('Valo FX'!$R:$R,MATCH($A5,'Valo FX'!$A:$A,0)),INDEX(Base!$V:$V,MATCH($A5,Base!$A:$A,0)),0)))</f>
        <v>0</v>
      </c>
      <c r="LH5" s="21">
        <f>IF(LH$1&lt;INDEX('Valo FX'!$Q:$Q,MATCH($A5,'Valo FX'!$A:$A,0)),0,IF(LH$1&lt;INDEX('Valo FX'!$R:$R,MATCH($A5,'Valo FX'!$A:$A,0)),INDEX(Base!$U:$U,MATCH($A5,Base!$A:$A,0)),IF(LH$1=INDEX('Valo FX'!$R:$R,MATCH($A5,'Valo FX'!$A:$A,0)),INDEX(Base!$V:$V,MATCH($A5,Base!$A:$A,0)),0)))</f>
        <v>0</v>
      </c>
      <c r="LI5" s="21">
        <f>IF(LI$1&lt;INDEX('Valo FX'!$Q:$Q,MATCH($A5,'Valo FX'!$A:$A,0)),0,IF(LI$1&lt;INDEX('Valo FX'!$R:$R,MATCH($A5,'Valo FX'!$A:$A,0)),INDEX(Base!$U:$U,MATCH($A5,Base!$A:$A,0)),IF(LI$1=INDEX('Valo FX'!$R:$R,MATCH($A5,'Valo FX'!$A:$A,0)),INDEX(Base!$V:$V,MATCH($A5,Base!$A:$A,0)),0)))</f>
        <v>0</v>
      </c>
      <c r="LJ5" s="21">
        <f>IF(LJ$1&lt;INDEX('Valo FX'!$Q:$Q,MATCH($A5,'Valo FX'!$A:$A,0)),0,IF(LJ$1&lt;INDEX('Valo FX'!$R:$R,MATCH($A5,'Valo FX'!$A:$A,0)),INDEX(Base!$U:$U,MATCH($A5,Base!$A:$A,0)),IF(LJ$1=INDEX('Valo FX'!$R:$R,MATCH($A5,'Valo FX'!$A:$A,0)),INDEX(Base!$V:$V,MATCH($A5,Base!$A:$A,0)),0)))</f>
        <v>0</v>
      </c>
      <c r="LK5" s="21">
        <f>IF(LK$1&lt;INDEX('Valo FX'!$Q:$Q,MATCH($A5,'Valo FX'!$A:$A,0)),0,IF(LK$1&lt;INDEX('Valo FX'!$R:$R,MATCH($A5,'Valo FX'!$A:$A,0)),INDEX(Base!$U:$U,MATCH($A5,Base!$A:$A,0)),IF(LK$1=INDEX('Valo FX'!$R:$R,MATCH($A5,'Valo FX'!$A:$A,0)),INDEX(Base!$V:$V,MATCH($A5,Base!$A:$A,0)),0)))</f>
        <v>0</v>
      </c>
      <c r="LL5" s="21">
        <f>IF(LL$1&lt;INDEX('Valo FX'!$Q:$Q,MATCH($A5,'Valo FX'!$A:$A,0)),0,IF(LL$1&lt;INDEX('Valo FX'!$R:$R,MATCH($A5,'Valo FX'!$A:$A,0)),INDEX(Base!$U:$U,MATCH($A5,Base!$A:$A,0)),IF(LL$1=INDEX('Valo FX'!$R:$R,MATCH($A5,'Valo FX'!$A:$A,0)),INDEX(Base!$V:$V,MATCH($A5,Base!$A:$A,0)),0)))</f>
        <v>0</v>
      </c>
      <c r="LM5" s="21">
        <f>IF(LM$1&lt;INDEX('Valo FX'!$Q:$Q,MATCH($A5,'Valo FX'!$A:$A,0)),0,IF(LM$1&lt;INDEX('Valo FX'!$R:$R,MATCH($A5,'Valo FX'!$A:$A,0)),INDEX(Base!$U:$U,MATCH($A5,Base!$A:$A,0)),IF(LM$1=INDEX('Valo FX'!$R:$R,MATCH($A5,'Valo FX'!$A:$A,0)),INDEX(Base!$V:$V,MATCH($A5,Base!$A:$A,0)),0)))</f>
        <v>0</v>
      </c>
      <c r="LN5" s="21">
        <f>IF(LN$1&lt;INDEX('Valo FX'!$Q:$Q,MATCH($A5,'Valo FX'!$A:$A,0)),0,IF(LN$1&lt;INDEX('Valo FX'!$R:$R,MATCH($A5,'Valo FX'!$A:$A,0)),INDEX(Base!$U:$U,MATCH($A5,Base!$A:$A,0)),IF(LN$1=INDEX('Valo FX'!$R:$R,MATCH($A5,'Valo FX'!$A:$A,0)),INDEX(Base!$V:$V,MATCH($A5,Base!$A:$A,0)),0)))</f>
        <v>0</v>
      </c>
      <c r="LO5" s="21">
        <f>IF(LO$1&lt;INDEX('Valo FX'!$Q:$Q,MATCH($A5,'Valo FX'!$A:$A,0)),0,IF(LO$1&lt;INDEX('Valo FX'!$R:$R,MATCH($A5,'Valo FX'!$A:$A,0)),INDEX(Base!$U:$U,MATCH($A5,Base!$A:$A,0)),IF(LO$1=INDEX('Valo FX'!$R:$R,MATCH($A5,'Valo FX'!$A:$A,0)),INDEX(Base!$V:$V,MATCH($A5,Base!$A:$A,0)),0)))</f>
        <v>0</v>
      </c>
      <c r="LP5" s="21">
        <f>IF(LP$1&lt;INDEX('Valo FX'!$Q:$Q,MATCH($A5,'Valo FX'!$A:$A,0)),0,IF(LP$1&lt;INDEX('Valo FX'!$R:$R,MATCH($A5,'Valo FX'!$A:$A,0)),INDEX(Base!$U:$U,MATCH($A5,Base!$A:$A,0)),IF(LP$1=INDEX('Valo FX'!$R:$R,MATCH($A5,'Valo FX'!$A:$A,0)),INDEX(Base!$V:$V,MATCH($A5,Base!$A:$A,0)),0)))</f>
        <v>0</v>
      </c>
      <c r="LQ5" s="21">
        <f>IF(LQ$1&lt;INDEX('Valo FX'!$Q:$Q,MATCH($A5,'Valo FX'!$A:$A,0)),0,IF(LQ$1&lt;INDEX('Valo FX'!$R:$R,MATCH($A5,'Valo FX'!$A:$A,0)),INDEX(Base!$U:$U,MATCH($A5,Base!$A:$A,0)),IF(LQ$1=INDEX('Valo FX'!$R:$R,MATCH($A5,'Valo FX'!$A:$A,0)),INDEX(Base!$V:$V,MATCH($A5,Base!$A:$A,0)),0)))</f>
        <v>0</v>
      </c>
      <c r="LR5" s="21">
        <f>IF(LR$1&lt;INDEX('Valo FX'!$Q:$Q,MATCH($A5,'Valo FX'!$A:$A,0)),0,IF(LR$1&lt;INDEX('Valo FX'!$R:$R,MATCH($A5,'Valo FX'!$A:$A,0)),INDEX(Base!$U:$U,MATCH($A5,Base!$A:$A,0)),IF(LR$1=INDEX('Valo FX'!$R:$R,MATCH($A5,'Valo FX'!$A:$A,0)),INDEX(Base!$V:$V,MATCH($A5,Base!$A:$A,0)),0)))</f>
        <v>0</v>
      </c>
      <c r="LS5" s="21">
        <f>IF(LS$1&lt;INDEX('Valo FX'!$Q:$Q,MATCH($A5,'Valo FX'!$A:$A,0)),0,IF(LS$1&lt;INDEX('Valo FX'!$R:$R,MATCH($A5,'Valo FX'!$A:$A,0)),INDEX(Base!$U:$U,MATCH($A5,Base!$A:$A,0)),IF(LS$1=INDEX('Valo FX'!$R:$R,MATCH($A5,'Valo FX'!$A:$A,0)),INDEX(Base!$V:$V,MATCH($A5,Base!$A:$A,0)),0)))</f>
        <v>0</v>
      </c>
      <c r="LT5" s="21">
        <f>IF(LT$1&lt;INDEX('Valo FX'!$Q:$Q,MATCH($A5,'Valo FX'!$A:$A,0)),0,IF(LT$1&lt;INDEX('Valo FX'!$R:$R,MATCH($A5,'Valo FX'!$A:$A,0)),INDEX(Base!$U:$U,MATCH($A5,Base!$A:$A,0)),IF(LT$1=INDEX('Valo FX'!$R:$R,MATCH($A5,'Valo FX'!$A:$A,0)),INDEX(Base!$V:$V,MATCH($A5,Base!$A:$A,0)),0)))</f>
        <v>0</v>
      </c>
      <c r="LU5" s="21">
        <f>IF(LU$1&lt;INDEX('Valo FX'!$Q:$Q,MATCH($A5,'Valo FX'!$A:$A,0)),0,IF(LU$1&lt;INDEX('Valo FX'!$R:$R,MATCH($A5,'Valo FX'!$A:$A,0)),INDEX(Base!$U:$U,MATCH($A5,Base!$A:$A,0)),IF(LU$1=INDEX('Valo FX'!$R:$R,MATCH($A5,'Valo FX'!$A:$A,0)),INDEX(Base!$V:$V,MATCH($A5,Base!$A:$A,0)),0)))</f>
        <v>0</v>
      </c>
      <c r="LV5" s="21">
        <f>IF(LV$1&lt;INDEX('Valo FX'!$Q:$Q,MATCH($A5,'Valo FX'!$A:$A,0)),0,IF(LV$1&lt;INDEX('Valo FX'!$R:$R,MATCH($A5,'Valo FX'!$A:$A,0)),INDEX(Base!$U:$U,MATCH($A5,Base!$A:$A,0)),IF(LV$1=INDEX('Valo FX'!$R:$R,MATCH($A5,'Valo FX'!$A:$A,0)),INDEX(Base!$V:$V,MATCH($A5,Base!$A:$A,0)),0)))</f>
        <v>0</v>
      </c>
      <c r="LW5" s="21">
        <f>IF(LW$1&lt;INDEX('Valo FX'!$Q:$Q,MATCH($A5,'Valo FX'!$A:$A,0)),0,IF(LW$1&lt;INDEX('Valo FX'!$R:$R,MATCH($A5,'Valo FX'!$A:$A,0)),INDEX(Base!$U:$U,MATCH($A5,Base!$A:$A,0)),IF(LW$1=INDEX('Valo FX'!$R:$R,MATCH($A5,'Valo FX'!$A:$A,0)),INDEX(Base!$V:$V,MATCH($A5,Base!$A:$A,0)),0)))</f>
        <v>0</v>
      </c>
      <c r="LX5" s="21">
        <f>IF(LX$1&lt;INDEX('Valo FX'!$Q:$Q,MATCH($A5,'Valo FX'!$A:$A,0)),0,IF(LX$1&lt;INDEX('Valo FX'!$R:$R,MATCH($A5,'Valo FX'!$A:$A,0)),INDEX(Base!$U:$U,MATCH($A5,Base!$A:$A,0)),IF(LX$1=INDEX('Valo FX'!$R:$R,MATCH($A5,'Valo FX'!$A:$A,0)),INDEX(Base!$V:$V,MATCH($A5,Base!$A:$A,0)),0)))</f>
        <v>0</v>
      </c>
      <c r="LY5" s="21">
        <f>IF(LY$1&lt;INDEX('Valo FX'!$Q:$Q,MATCH($A5,'Valo FX'!$A:$A,0)),0,IF(LY$1&lt;INDEX('Valo FX'!$R:$R,MATCH($A5,'Valo FX'!$A:$A,0)),INDEX(Base!$U:$U,MATCH($A5,Base!$A:$A,0)),IF(LY$1=INDEX('Valo FX'!$R:$R,MATCH($A5,'Valo FX'!$A:$A,0)),INDEX(Base!$V:$V,MATCH($A5,Base!$A:$A,0)),0)))</f>
        <v>0</v>
      </c>
      <c r="LZ5" s="21">
        <f>IF(LZ$1&lt;INDEX('Valo FX'!$Q:$Q,MATCH($A5,'Valo FX'!$A:$A,0)),0,IF(LZ$1&lt;INDEX('Valo FX'!$R:$R,MATCH($A5,'Valo FX'!$A:$A,0)),INDEX(Base!$U:$U,MATCH($A5,Base!$A:$A,0)),IF(LZ$1=INDEX('Valo FX'!$R:$R,MATCH($A5,'Valo FX'!$A:$A,0)),INDEX(Base!$V:$V,MATCH($A5,Base!$A:$A,0)),0)))</f>
        <v>0</v>
      </c>
      <c r="MA5" s="21">
        <f>IF(MA$1&lt;INDEX('Valo FX'!$Q:$Q,MATCH($A5,'Valo FX'!$A:$A,0)),0,IF(MA$1&lt;INDEX('Valo FX'!$R:$R,MATCH($A5,'Valo FX'!$A:$A,0)),INDEX(Base!$U:$U,MATCH($A5,Base!$A:$A,0)),IF(MA$1=INDEX('Valo FX'!$R:$R,MATCH($A5,'Valo FX'!$A:$A,0)),INDEX(Base!$V:$V,MATCH($A5,Base!$A:$A,0)),0)))</f>
        <v>0</v>
      </c>
      <c r="MB5" s="21">
        <f>IF(MB$1&lt;INDEX('Valo FX'!$Q:$Q,MATCH($A5,'Valo FX'!$A:$A,0)),0,IF(MB$1&lt;INDEX('Valo FX'!$R:$R,MATCH($A5,'Valo FX'!$A:$A,0)),INDEX(Base!$U:$U,MATCH($A5,Base!$A:$A,0)),IF(MB$1=INDEX('Valo FX'!$R:$R,MATCH($A5,'Valo FX'!$A:$A,0)),INDEX(Base!$V:$V,MATCH($A5,Base!$A:$A,0)),0)))</f>
        <v>0</v>
      </c>
      <c r="MC5" s="21">
        <f>IF(MC$1&lt;INDEX('Valo FX'!$Q:$Q,MATCH($A5,'Valo FX'!$A:$A,0)),0,IF(MC$1&lt;INDEX('Valo FX'!$R:$R,MATCH($A5,'Valo FX'!$A:$A,0)),INDEX(Base!$U:$U,MATCH($A5,Base!$A:$A,0)),IF(MC$1=INDEX('Valo FX'!$R:$R,MATCH($A5,'Valo FX'!$A:$A,0)),INDEX(Base!$V:$V,MATCH($A5,Base!$A:$A,0)),0)))</f>
        <v>0</v>
      </c>
      <c r="MD5" s="21">
        <f>IF(MD$1&lt;INDEX('Valo FX'!$Q:$Q,MATCH($A5,'Valo FX'!$A:$A,0)),0,IF(MD$1&lt;INDEX('Valo FX'!$R:$R,MATCH($A5,'Valo FX'!$A:$A,0)),INDEX(Base!$U:$U,MATCH($A5,Base!$A:$A,0)),IF(MD$1=INDEX('Valo FX'!$R:$R,MATCH($A5,'Valo FX'!$A:$A,0)),INDEX(Base!$V:$V,MATCH($A5,Base!$A:$A,0)),0)))</f>
        <v>0</v>
      </c>
      <c r="ME5" s="21">
        <f>IF(ME$1&lt;INDEX('Valo FX'!$Q:$Q,MATCH($A5,'Valo FX'!$A:$A,0)),0,IF(ME$1&lt;INDEX('Valo FX'!$R:$R,MATCH($A5,'Valo FX'!$A:$A,0)),INDEX(Base!$U:$U,MATCH($A5,Base!$A:$A,0)),IF(ME$1=INDEX('Valo FX'!$R:$R,MATCH($A5,'Valo FX'!$A:$A,0)),INDEX(Base!$V:$V,MATCH($A5,Base!$A:$A,0)),0)))</f>
        <v>0</v>
      </c>
      <c r="MF5" s="21">
        <f>IF(MF$1&lt;INDEX('Valo FX'!$Q:$Q,MATCH($A5,'Valo FX'!$A:$A,0)),0,IF(MF$1&lt;INDEX('Valo FX'!$R:$R,MATCH($A5,'Valo FX'!$A:$A,0)),INDEX(Base!$U:$U,MATCH($A5,Base!$A:$A,0)),IF(MF$1=INDEX('Valo FX'!$R:$R,MATCH($A5,'Valo FX'!$A:$A,0)),INDEX(Base!$V:$V,MATCH($A5,Base!$A:$A,0)),0)))</f>
        <v>0</v>
      </c>
      <c r="MG5" s="21">
        <f>IF(MG$1&lt;INDEX('Valo FX'!$Q:$Q,MATCH($A5,'Valo FX'!$A:$A,0)),0,IF(MG$1&lt;INDEX('Valo FX'!$R:$R,MATCH($A5,'Valo FX'!$A:$A,0)),INDEX(Base!$U:$U,MATCH($A5,Base!$A:$A,0)),IF(MG$1=INDEX('Valo FX'!$R:$R,MATCH($A5,'Valo FX'!$A:$A,0)),INDEX(Base!$V:$V,MATCH($A5,Base!$A:$A,0)),0)))</f>
        <v>0</v>
      </c>
      <c r="MH5" s="21">
        <f>IF(MH$1&lt;INDEX('Valo FX'!$Q:$Q,MATCH($A5,'Valo FX'!$A:$A,0)),0,IF(MH$1&lt;INDEX('Valo FX'!$R:$R,MATCH($A5,'Valo FX'!$A:$A,0)),INDEX(Base!$U:$U,MATCH($A5,Base!$A:$A,0)),IF(MH$1=INDEX('Valo FX'!$R:$R,MATCH($A5,'Valo FX'!$A:$A,0)),INDEX(Base!$V:$V,MATCH($A5,Base!$A:$A,0)),0)))</f>
        <v>0</v>
      </c>
      <c r="MI5" s="21">
        <f>IF(MI$1&lt;INDEX('Valo FX'!$Q:$Q,MATCH($A5,'Valo FX'!$A:$A,0)),0,IF(MI$1&lt;INDEX('Valo FX'!$R:$R,MATCH($A5,'Valo FX'!$A:$A,0)),INDEX(Base!$U:$U,MATCH($A5,Base!$A:$A,0)),IF(MI$1=INDEX('Valo FX'!$R:$R,MATCH($A5,'Valo FX'!$A:$A,0)),INDEX(Base!$V:$V,MATCH($A5,Base!$A:$A,0)),0)))</f>
        <v>0</v>
      </c>
      <c r="MJ5" s="21">
        <f>IF(MJ$1&lt;INDEX('Valo FX'!$Q:$Q,MATCH($A5,'Valo FX'!$A:$A,0)),0,IF(MJ$1&lt;INDEX('Valo FX'!$R:$R,MATCH($A5,'Valo FX'!$A:$A,0)),INDEX(Base!$U:$U,MATCH($A5,Base!$A:$A,0)),IF(MJ$1=INDEX('Valo FX'!$R:$R,MATCH($A5,'Valo FX'!$A:$A,0)),INDEX(Base!$V:$V,MATCH($A5,Base!$A:$A,0)),0)))</f>
        <v>0</v>
      </c>
      <c r="MK5" s="21">
        <f>IF(MK$1&lt;INDEX('Valo FX'!$Q:$Q,MATCH($A5,'Valo FX'!$A:$A,0)),0,IF(MK$1&lt;INDEX('Valo FX'!$R:$R,MATCH($A5,'Valo FX'!$A:$A,0)),INDEX(Base!$U:$U,MATCH($A5,Base!$A:$A,0)),IF(MK$1=INDEX('Valo FX'!$R:$R,MATCH($A5,'Valo FX'!$A:$A,0)),INDEX(Base!$V:$V,MATCH($A5,Base!$A:$A,0)),0)))</f>
        <v>0</v>
      </c>
      <c r="ML5" s="21">
        <f>IF(ML$1&lt;INDEX('Valo FX'!$Q:$Q,MATCH($A5,'Valo FX'!$A:$A,0)),0,IF(ML$1&lt;INDEX('Valo FX'!$R:$R,MATCH($A5,'Valo FX'!$A:$A,0)),INDEX(Base!$U:$U,MATCH($A5,Base!$A:$A,0)),IF(ML$1=INDEX('Valo FX'!$R:$R,MATCH($A5,'Valo FX'!$A:$A,0)),INDEX(Base!$V:$V,MATCH($A5,Base!$A:$A,0)),0)))</f>
        <v>0</v>
      </c>
      <c r="MM5" s="21">
        <f>IF(MM$1&lt;INDEX('Valo FX'!$Q:$Q,MATCH($A5,'Valo FX'!$A:$A,0)),0,IF(MM$1&lt;INDEX('Valo FX'!$R:$R,MATCH($A5,'Valo FX'!$A:$A,0)),INDEX(Base!$U:$U,MATCH($A5,Base!$A:$A,0)),IF(MM$1=INDEX('Valo FX'!$R:$R,MATCH($A5,'Valo FX'!$A:$A,0)),INDEX(Base!$V:$V,MATCH($A5,Base!$A:$A,0)),0)))</f>
        <v>0</v>
      </c>
      <c r="MN5" s="21">
        <f>IF(MN$1&lt;INDEX('Valo FX'!$Q:$Q,MATCH($A5,'Valo FX'!$A:$A,0)),0,IF(MN$1&lt;INDEX('Valo FX'!$R:$R,MATCH($A5,'Valo FX'!$A:$A,0)),INDEX(Base!$U:$U,MATCH($A5,Base!$A:$A,0)),IF(MN$1=INDEX('Valo FX'!$R:$R,MATCH($A5,'Valo FX'!$A:$A,0)),INDEX(Base!$V:$V,MATCH($A5,Base!$A:$A,0)),0)))</f>
        <v>0</v>
      </c>
      <c r="MO5" s="21">
        <f>IF(MO$1&lt;INDEX('Valo FX'!$Q:$Q,MATCH($A5,'Valo FX'!$A:$A,0)),0,IF(MO$1&lt;INDEX('Valo FX'!$R:$R,MATCH($A5,'Valo FX'!$A:$A,0)),INDEX(Base!$U:$U,MATCH($A5,Base!$A:$A,0)),IF(MO$1=INDEX('Valo FX'!$R:$R,MATCH($A5,'Valo FX'!$A:$A,0)),INDEX(Base!$V:$V,MATCH($A5,Base!$A:$A,0)),0)))</f>
        <v>0</v>
      </c>
      <c r="MP5" s="21">
        <f>IF(MP$1&lt;INDEX('Valo FX'!$Q:$Q,MATCH($A5,'Valo FX'!$A:$A,0)),0,IF(MP$1&lt;INDEX('Valo FX'!$R:$R,MATCH($A5,'Valo FX'!$A:$A,0)),INDEX(Base!$U:$U,MATCH($A5,Base!$A:$A,0)),IF(MP$1=INDEX('Valo FX'!$R:$R,MATCH($A5,'Valo FX'!$A:$A,0)),INDEX(Base!$V:$V,MATCH($A5,Base!$A:$A,0)),0)))</f>
        <v>0</v>
      </c>
      <c r="MQ5" s="21">
        <f>IF(MQ$1&lt;INDEX('Valo FX'!$Q:$Q,MATCH($A5,'Valo FX'!$A:$A,0)),0,IF(MQ$1&lt;INDEX('Valo FX'!$R:$R,MATCH($A5,'Valo FX'!$A:$A,0)),INDEX(Base!$U:$U,MATCH($A5,Base!$A:$A,0)),IF(MQ$1=INDEX('Valo FX'!$R:$R,MATCH($A5,'Valo FX'!$A:$A,0)),INDEX(Base!$V:$V,MATCH($A5,Base!$A:$A,0)),0)))</f>
        <v>0</v>
      </c>
      <c r="MR5" s="21">
        <f>IF(MR$1&lt;INDEX('Valo FX'!$Q:$Q,MATCH($A5,'Valo FX'!$A:$A,0)),0,IF(MR$1&lt;INDEX('Valo FX'!$R:$R,MATCH($A5,'Valo FX'!$A:$A,0)),INDEX(Base!$U:$U,MATCH($A5,Base!$A:$A,0)),IF(MR$1=INDEX('Valo FX'!$R:$R,MATCH($A5,'Valo FX'!$A:$A,0)),INDEX(Base!$V:$V,MATCH($A5,Base!$A:$A,0)),0)))</f>
        <v>0</v>
      </c>
      <c r="MS5" s="21">
        <f>IF(MS$1&lt;INDEX('Valo FX'!$Q:$Q,MATCH($A5,'Valo FX'!$A:$A,0)),0,IF(MS$1&lt;INDEX('Valo FX'!$R:$R,MATCH($A5,'Valo FX'!$A:$A,0)),INDEX(Base!$U:$U,MATCH($A5,Base!$A:$A,0)),IF(MS$1=INDEX('Valo FX'!$R:$R,MATCH($A5,'Valo FX'!$A:$A,0)),INDEX(Base!$V:$V,MATCH($A5,Base!$A:$A,0)),0)))</f>
        <v>0</v>
      </c>
      <c r="MT5" s="21">
        <f>IF(MT$1&lt;INDEX('Valo FX'!$Q:$Q,MATCH($A5,'Valo FX'!$A:$A,0)),0,IF(MT$1&lt;INDEX('Valo FX'!$R:$R,MATCH($A5,'Valo FX'!$A:$A,0)),INDEX(Base!$U:$U,MATCH($A5,Base!$A:$A,0)),IF(MT$1=INDEX('Valo FX'!$R:$R,MATCH($A5,'Valo FX'!$A:$A,0)),INDEX(Base!$V:$V,MATCH($A5,Base!$A:$A,0)),0)))</f>
        <v>0</v>
      </c>
      <c r="MU5" s="21">
        <f>IF(MU$1&lt;INDEX('Valo FX'!$Q:$Q,MATCH($A5,'Valo FX'!$A:$A,0)),0,IF(MU$1&lt;INDEX('Valo FX'!$R:$R,MATCH($A5,'Valo FX'!$A:$A,0)),INDEX(Base!$U:$U,MATCH($A5,Base!$A:$A,0)),IF(MU$1=INDEX('Valo FX'!$R:$R,MATCH($A5,'Valo FX'!$A:$A,0)),INDEX(Base!$V:$V,MATCH($A5,Base!$A:$A,0)),0)))</f>
        <v>0</v>
      </c>
      <c r="MV5" s="21">
        <f>IF(MV$1&lt;INDEX('Valo FX'!$Q:$Q,MATCH($A5,'Valo FX'!$A:$A,0)),0,IF(MV$1&lt;INDEX('Valo FX'!$R:$R,MATCH($A5,'Valo FX'!$A:$A,0)),INDEX(Base!$U:$U,MATCH($A5,Base!$A:$A,0)),IF(MV$1=INDEX('Valo FX'!$R:$R,MATCH($A5,'Valo FX'!$A:$A,0)),INDEX(Base!$V:$V,MATCH($A5,Base!$A:$A,0)),0)))</f>
        <v>0</v>
      </c>
      <c r="MW5" s="21">
        <f>IF(MW$1&lt;INDEX('Valo FX'!$Q:$Q,MATCH($A5,'Valo FX'!$A:$A,0)),0,IF(MW$1&lt;INDEX('Valo FX'!$R:$R,MATCH($A5,'Valo FX'!$A:$A,0)),INDEX(Base!$U:$U,MATCH($A5,Base!$A:$A,0)),IF(MW$1=INDEX('Valo FX'!$R:$R,MATCH($A5,'Valo FX'!$A:$A,0)),INDEX(Base!$V:$V,MATCH($A5,Base!$A:$A,0)),0)))</f>
        <v>0</v>
      </c>
      <c r="MX5" s="21">
        <f>IF(MX$1&lt;INDEX('Valo FX'!$Q:$Q,MATCH($A5,'Valo FX'!$A:$A,0)),0,IF(MX$1&lt;INDEX('Valo FX'!$R:$R,MATCH($A5,'Valo FX'!$A:$A,0)),INDEX(Base!$U:$U,MATCH($A5,Base!$A:$A,0)),IF(MX$1=INDEX('Valo FX'!$R:$R,MATCH($A5,'Valo FX'!$A:$A,0)),INDEX(Base!$V:$V,MATCH($A5,Base!$A:$A,0)),0)))</f>
        <v>0</v>
      </c>
      <c r="MY5" s="21">
        <f>IF(MY$1&lt;INDEX('Valo FX'!$Q:$Q,MATCH($A5,'Valo FX'!$A:$A,0)),0,IF(MY$1&lt;INDEX('Valo FX'!$R:$R,MATCH($A5,'Valo FX'!$A:$A,0)),INDEX(Base!$U:$U,MATCH($A5,Base!$A:$A,0)),IF(MY$1=INDEX('Valo FX'!$R:$R,MATCH($A5,'Valo FX'!$A:$A,0)),INDEX(Base!$V:$V,MATCH($A5,Base!$A:$A,0)),0)))</f>
        <v>0</v>
      </c>
    </row>
    <row r="6" spans="1:363" x14ac:dyDescent="0.25">
      <c r="A6" s="7">
        <f>+'Valo FX'!A7</f>
        <v>4</v>
      </c>
      <c r="B6" s="59">
        <f>-'Valo FX'!T7</f>
        <v>-1574.3324441319294</v>
      </c>
      <c r="C6" s="21">
        <f>IF(C$1&lt;INDEX('Valo FX'!$Q:$Q,MATCH($A6,'Valo FX'!$A:$A,0)),0,IF(C$1&lt;INDEX('Valo FX'!$R:$R,MATCH($A6,'Valo FX'!$A:$A,0)),INDEX(Base!$U:$U,MATCH($A6,Base!$A:$A,0)),IF(C$1=INDEX('Valo FX'!$R:$R,MATCH($A6,'Valo FX'!$A:$A,0)),INDEX(Base!$V:$V,MATCH($A6,Base!$A:$A,0)),0)))</f>
        <v>0</v>
      </c>
      <c r="D6" s="21">
        <f>IF(D$1&lt;INDEX('Valo FX'!$Q:$Q,MATCH($A6,'Valo FX'!$A:$A,0)),0,IF(D$1&lt;INDEX('Valo FX'!$R:$R,MATCH($A6,'Valo FX'!$A:$A,0)),INDEX(Base!$U:$U,MATCH($A6,Base!$A:$A,0)),IF(D$1=INDEX('Valo FX'!$R:$R,MATCH($A6,'Valo FX'!$A:$A,0)),INDEX(Base!$V:$V,MATCH($A6,Base!$A:$A,0)),0)))</f>
        <v>0</v>
      </c>
      <c r="E6" s="21">
        <f>IF(E$1&lt;INDEX('Valo FX'!$Q:$Q,MATCH($A6,'Valo FX'!$A:$A,0)),0,IF(E$1&lt;INDEX('Valo FX'!$R:$R,MATCH($A6,'Valo FX'!$A:$A,0)),INDEX(Base!$U:$U,MATCH($A6,Base!$A:$A,0)),IF(E$1=INDEX('Valo FX'!$R:$R,MATCH($A6,'Valo FX'!$A:$A,0)),INDEX(Base!$V:$V,MATCH($A6,Base!$A:$A,0)),0)))</f>
        <v>0</v>
      </c>
      <c r="F6" s="21">
        <f>IF(F$1&lt;INDEX('Valo FX'!$Q:$Q,MATCH($A6,'Valo FX'!$A:$A,0)),0,IF(F$1&lt;INDEX('Valo FX'!$R:$R,MATCH($A6,'Valo FX'!$A:$A,0)),INDEX(Base!$U:$U,MATCH($A6,Base!$A:$A,0)),IF(F$1=INDEX('Valo FX'!$R:$R,MATCH($A6,'Valo FX'!$A:$A,0)),INDEX(Base!$V:$V,MATCH($A6,Base!$A:$A,0)),0)))</f>
        <v>0</v>
      </c>
      <c r="G6" s="21">
        <f>IF(G$1&lt;INDEX('Valo FX'!$Q:$Q,MATCH($A6,'Valo FX'!$A:$A,0)),0,IF(G$1&lt;INDEX('Valo FX'!$R:$R,MATCH($A6,'Valo FX'!$A:$A,0)),INDEX(Base!$U:$U,MATCH($A6,Base!$A:$A,0)),IF(G$1=INDEX('Valo FX'!$R:$R,MATCH($A6,'Valo FX'!$A:$A,0)),INDEX(Base!$V:$V,MATCH($A6,Base!$A:$A,0)),0)))</f>
        <v>0</v>
      </c>
      <c r="H6" s="21">
        <f>IF(H$1&lt;INDEX('Valo FX'!$Q:$Q,MATCH($A6,'Valo FX'!$A:$A,0)),0,IF(H$1&lt;INDEX('Valo FX'!$R:$R,MATCH($A6,'Valo FX'!$A:$A,0)),INDEX(Base!$U:$U,MATCH($A6,Base!$A:$A,0)),IF(H$1=INDEX('Valo FX'!$R:$R,MATCH($A6,'Valo FX'!$A:$A,0)),INDEX(Base!$V:$V,MATCH($A6,Base!$A:$A,0)),0)))</f>
        <v>10.975193000000001</v>
      </c>
      <c r="I6" s="21">
        <f>IF(I$1&lt;INDEX('Valo FX'!$Q:$Q,MATCH($A6,'Valo FX'!$A:$A,0)),0,IF(I$1&lt;INDEX('Valo FX'!$R:$R,MATCH($A6,'Valo FX'!$A:$A,0)),INDEX(Base!$U:$U,MATCH($A6,Base!$A:$A,0)),IF(I$1=INDEX('Valo FX'!$R:$R,MATCH($A6,'Valo FX'!$A:$A,0)),INDEX(Base!$V:$V,MATCH($A6,Base!$A:$A,0)),0)))</f>
        <v>10.975193000000001</v>
      </c>
      <c r="J6" s="21">
        <f>IF(J$1&lt;INDEX('Valo FX'!$Q:$Q,MATCH($A6,'Valo FX'!$A:$A,0)),0,IF(J$1&lt;INDEX('Valo FX'!$R:$R,MATCH($A6,'Valo FX'!$A:$A,0)),INDEX(Base!$U:$U,MATCH($A6,Base!$A:$A,0)),IF(J$1=INDEX('Valo FX'!$R:$R,MATCH($A6,'Valo FX'!$A:$A,0)),INDEX(Base!$V:$V,MATCH($A6,Base!$A:$A,0)),0)))</f>
        <v>10.975193000000001</v>
      </c>
      <c r="K6" s="21">
        <f>IF(K$1&lt;INDEX('Valo FX'!$Q:$Q,MATCH($A6,'Valo FX'!$A:$A,0)),0,IF(K$1&lt;INDEX('Valo FX'!$R:$R,MATCH($A6,'Valo FX'!$A:$A,0)),INDEX(Base!$U:$U,MATCH($A6,Base!$A:$A,0)),IF(K$1=INDEX('Valo FX'!$R:$R,MATCH($A6,'Valo FX'!$A:$A,0)),INDEX(Base!$V:$V,MATCH($A6,Base!$A:$A,0)),0)))</f>
        <v>10.975193000000001</v>
      </c>
      <c r="L6" s="21">
        <f>IF(L$1&lt;INDEX('Valo FX'!$Q:$Q,MATCH($A6,'Valo FX'!$A:$A,0)),0,IF(L$1&lt;INDEX('Valo FX'!$R:$R,MATCH($A6,'Valo FX'!$A:$A,0)),INDEX(Base!$U:$U,MATCH($A6,Base!$A:$A,0)),IF(L$1=INDEX('Valo FX'!$R:$R,MATCH($A6,'Valo FX'!$A:$A,0)),INDEX(Base!$V:$V,MATCH($A6,Base!$A:$A,0)),0)))</f>
        <v>10.975193000000001</v>
      </c>
      <c r="M6" s="21">
        <f>IF(M$1&lt;INDEX('Valo FX'!$Q:$Q,MATCH($A6,'Valo FX'!$A:$A,0)),0,IF(M$1&lt;INDEX('Valo FX'!$R:$R,MATCH($A6,'Valo FX'!$A:$A,0)),INDEX(Base!$U:$U,MATCH($A6,Base!$A:$A,0)),IF(M$1=INDEX('Valo FX'!$R:$R,MATCH($A6,'Valo FX'!$A:$A,0)),INDEX(Base!$V:$V,MATCH($A6,Base!$A:$A,0)),0)))</f>
        <v>10.975193000000001</v>
      </c>
      <c r="N6" s="21">
        <f>IF(N$1&lt;INDEX('Valo FX'!$Q:$Q,MATCH($A6,'Valo FX'!$A:$A,0)),0,IF(N$1&lt;INDEX('Valo FX'!$R:$R,MATCH($A6,'Valo FX'!$A:$A,0)),INDEX(Base!$U:$U,MATCH($A6,Base!$A:$A,0)),IF(N$1=INDEX('Valo FX'!$R:$R,MATCH($A6,'Valo FX'!$A:$A,0)),INDEX(Base!$V:$V,MATCH($A6,Base!$A:$A,0)),0)))</f>
        <v>10.975193000000001</v>
      </c>
      <c r="O6" s="21">
        <f>IF(O$1&lt;INDEX('Valo FX'!$Q:$Q,MATCH($A6,'Valo FX'!$A:$A,0)),0,IF(O$1&lt;INDEX('Valo FX'!$R:$R,MATCH($A6,'Valo FX'!$A:$A,0)),INDEX(Base!$U:$U,MATCH($A6,Base!$A:$A,0)),IF(O$1=INDEX('Valo FX'!$R:$R,MATCH($A6,'Valo FX'!$A:$A,0)),INDEX(Base!$V:$V,MATCH($A6,Base!$A:$A,0)),0)))</f>
        <v>10.975193000000001</v>
      </c>
      <c r="P6" s="21">
        <f>IF(P$1&lt;INDEX('Valo FX'!$Q:$Q,MATCH($A6,'Valo FX'!$A:$A,0)),0,IF(P$1&lt;INDEX('Valo FX'!$R:$R,MATCH($A6,'Valo FX'!$A:$A,0)),INDEX(Base!$U:$U,MATCH($A6,Base!$A:$A,0)),IF(P$1=INDEX('Valo FX'!$R:$R,MATCH($A6,'Valo FX'!$A:$A,0)),INDEX(Base!$V:$V,MATCH($A6,Base!$A:$A,0)),0)))</f>
        <v>10.975193000000001</v>
      </c>
      <c r="Q6" s="21">
        <f>IF(Q$1&lt;INDEX('Valo FX'!$Q:$Q,MATCH($A6,'Valo FX'!$A:$A,0)),0,IF(Q$1&lt;INDEX('Valo FX'!$R:$R,MATCH($A6,'Valo FX'!$A:$A,0)),INDEX(Base!$U:$U,MATCH($A6,Base!$A:$A,0)),IF(Q$1=INDEX('Valo FX'!$R:$R,MATCH($A6,'Valo FX'!$A:$A,0)),INDEX(Base!$V:$V,MATCH($A6,Base!$A:$A,0)),0)))</f>
        <v>10.975193000000001</v>
      </c>
      <c r="R6" s="21">
        <f>IF(R$1&lt;INDEX('Valo FX'!$Q:$Q,MATCH($A6,'Valo FX'!$A:$A,0)),0,IF(R$1&lt;INDEX('Valo FX'!$R:$R,MATCH($A6,'Valo FX'!$A:$A,0)),INDEX(Base!$U:$U,MATCH($A6,Base!$A:$A,0)),IF(R$1=INDEX('Valo FX'!$R:$R,MATCH($A6,'Valo FX'!$A:$A,0)),INDEX(Base!$V:$V,MATCH($A6,Base!$A:$A,0)),0)))</f>
        <v>10.975193000000001</v>
      </c>
      <c r="S6" s="21">
        <f>IF(S$1&lt;INDEX('Valo FX'!$Q:$Q,MATCH($A6,'Valo FX'!$A:$A,0)),0,IF(S$1&lt;INDEX('Valo FX'!$R:$R,MATCH($A6,'Valo FX'!$A:$A,0)),INDEX(Base!$U:$U,MATCH($A6,Base!$A:$A,0)),IF(S$1=INDEX('Valo FX'!$R:$R,MATCH($A6,'Valo FX'!$A:$A,0)),INDEX(Base!$V:$V,MATCH($A6,Base!$A:$A,0)),0)))</f>
        <v>10.975193000000001</v>
      </c>
      <c r="T6" s="21">
        <f>IF(T$1&lt;INDEX('Valo FX'!$Q:$Q,MATCH($A6,'Valo FX'!$A:$A,0)),0,IF(T$1&lt;INDEX('Valo FX'!$R:$R,MATCH($A6,'Valo FX'!$A:$A,0)),INDEX(Base!$U:$U,MATCH($A6,Base!$A:$A,0)),IF(T$1=INDEX('Valo FX'!$R:$R,MATCH($A6,'Valo FX'!$A:$A,0)),INDEX(Base!$V:$V,MATCH($A6,Base!$A:$A,0)),0)))</f>
        <v>10.975193000000001</v>
      </c>
      <c r="U6" s="21">
        <f>IF(U$1&lt;INDEX('Valo FX'!$Q:$Q,MATCH($A6,'Valo FX'!$A:$A,0)),0,IF(U$1&lt;INDEX('Valo FX'!$R:$R,MATCH($A6,'Valo FX'!$A:$A,0)),INDEX(Base!$U:$U,MATCH($A6,Base!$A:$A,0)),IF(U$1=INDEX('Valo FX'!$R:$R,MATCH($A6,'Valo FX'!$A:$A,0)),INDEX(Base!$V:$V,MATCH($A6,Base!$A:$A,0)),0)))</f>
        <v>10.975193000000001</v>
      </c>
      <c r="V6" s="21">
        <f>IF(V$1&lt;INDEX('Valo FX'!$Q:$Q,MATCH($A6,'Valo FX'!$A:$A,0)),0,IF(V$1&lt;INDEX('Valo FX'!$R:$R,MATCH($A6,'Valo FX'!$A:$A,0)),INDEX(Base!$U:$U,MATCH($A6,Base!$A:$A,0)),IF(V$1=INDEX('Valo FX'!$R:$R,MATCH($A6,'Valo FX'!$A:$A,0)),INDEX(Base!$V:$V,MATCH($A6,Base!$A:$A,0)),0)))</f>
        <v>10.975193000000001</v>
      </c>
      <c r="W6" s="21">
        <f>IF(W$1&lt;INDEX('Valo FX'!$Q:$Q,MATCH($A6,'Valo FX'!$A:$A,0)),0,IF(W$1&lt;INDEX('Valo FX'!$R:$R,MATCH($A6,'Valo FX'!$A:$A,0)),INDEX(Base!$U:$U,MATCH($A6,Base!$A:$A,0)),IF(W$1=INDEX('Valo FX'!$R:$R,MATCH($A6,'Valo FX'!$A:$A,0)),INDEX(Base!$V:$V,MATCH($A6,Base!$A:$A,0)),0)))</f>
        <v>10.975193000000001</v>
      </c>
      <c r="X6" s="21">
        <f>IF(X$1&lt;INDEX('Valo FX'!$Q:$Q,MATCH($A6,'Valo FX'!$A:$A,0)),0,IF(X$1&lt;INDEX('Valo FX'!$R:$R,MATCH($A6,'Valo FX'!$A:$A,0)),INDEX(Base!$U:$U,MATCH($A6,Base!$A:$A,0)),IF(X$1=INDEX('Valo FX'!$R:$R,MATCH($A6,'Valo FX'!$A:$A,0)),INDEX(Base!$V:$V,MATCH($A6,Base!$A:$A,0)),0)))</f>
        <v>10.975193000000001</v>
      </c>
      <c r="Y6" s="21">
        <f>IF(Y$1&lt;INDEX('Valo FX'!$Q:$Q,MATCH($A6,'Valo FX'!$A:$A,0)),0,IF(Y$1&lt;INDEX('Valo FX'!$R:$R,MATCH($A6,'Valo FX'!$A:$A,0)),INDEX(Base!$U:$U,MATCH($A6,Base!$A:$A,0)),IF(Y$1=INDEX('Valo FX'!$R:$R,MATCH($A6,'Valo FX'!$A:$A,0)),INDEX(Base!$V:$V,MATCH($A6,Base!$A:$A,0)),0)))</f>
        <v>10.975193000000001</v>
      </c>
      <c r="Z6" s="21">
        <f>IF(Z$1&lt;INDEX('Valo FX'!$Q:$Q,MATCH($A6,'Valo FX'!$A:$A,0)),0,IF(Z$1&lt;INDEX('Valo FX'!$R:$R,MATCH($A6,'Valo FX'!$A:$A,0)),INDEX(Base!$U:$U,MATCH($A6,Base!$A:$A,0)),IF(Z$1=INDEX('Valo FX'!$R:$R,MATCH($A6,'Valo FX'!$A:$A,0)),INDEX(Base!$V:$V,MATCH($A6,Base!$A:$A,0)),0)))</f>
        <v>10.975193000000001</v>
      </c>
      <c r="AA6" s="21">
        <f>IF(AA$1&lt;INDEX('Valo FX'!$Q:$Q,MATCH($A6,'Valo FX'!$A:$A,0)),0,IF(AA$1&lt;INDEX('Valo FX'!$R:$R,MATCH($A6,'Valo FX'!$A:$A,0)),INDEX(Base!$U:$U,MATCH($A6,Base!$A:$A,0)),IF(AA$1=INDEX('Valo FX'!$R:$R,MATCH($A6,'Valo FX'!$A:$A,0)),INDEX(Base!$V:$V,MATCH($A6,Base!$A:$A,0)),0)))</f>
        <v>10.975193000000001</v>
      </c>
      <c r="AB6" s="21">
        <f>IF(AB$1&lt;INDEX('Valo FX'!$Q:$Q,MATCH($A6,'Valo FX'!$A:$A,0)),0,IF(AB$1&lt;INDEX('Valo FX'!$R:$R,MATCH($A6,'Valo FX'!$A:$A,0)),INDEX(Base!$U:$U,MATCH($A6,Base!$A:$A,0)),IF(AB$1=INDEX('Valo FX'!$R:$R,MATCH($A6,'Valo FX'!$A:$A,0)),INDEX(Base!$V:$V,MATCH($A6,Base!$A:$A,0)),0)))</f>
        <v>10.975193000000001</v>
      </c>
      <c r="AC6" s="21">
        <f>IF(AC$1&lt;INDEX('Valo FX'!$Q:$Q,MATCH($A6,'Valo FX'!$A:$A,0)),0,IF(AC$1&lt;INDEX('Valo FX'!$R:$R,MATCH($A6,'Valo FX'!$A:$A,0)),INDEX(Base!$U:$U,MATCH($A6,Base!$A:$A,0)),IF(AC$1=INDEX('Valo FX'!$R:$R,MATCH($A6,'Valo FX'!$A:$A,0)),INDEX(Base!$V:$V,MATCH($A6,Base!$A:$A,0)),0)))</f>
        <v>10.975193000000001</v>
      </c>
      <c r="AD6" s="21">
        <f>IF(AD$1&lt;INDEX('Valo FX'!$Q:$Q,MATCH($A6,'Valo FX'!$A:$A,0)),0,IF(AD$1&lt;INDEX('Valo FX'!$R:$R,MATCH($A6,'Valo FX'!$A:$A,0)),INDEX(Base!$U:$U,MATCH($A6,Base!$A:$A,0)),IF(AD$1=INDEX('Valo FX'!$R:$R,MATCH($A6,'Valo FX'!$A:$A,0)),INDEX(Base!$V:$V,MATCH($A6,Base!$A:$A,0)),0)))</f>
        <v>10.975193000000001</v>
      </c>
      <c r="AE6" s="21">
        <f>IF(AE$1&lt;INDEX('Valo FX'!$Q:$Q,MATCH($A6,'Valo FX'!$A:$A,0)),0,IF(AE$1&lt;INDEX('Valo FX'!$R:$R,MATCH($A6,'Valo FX'!$A:$A,0)),INDEX(Base!$U:$U,MATCH($A6,Base!$A:$A,0)),IF(AE$1=INDEX('Valo FX'!$R:$R,MATCH($A6,'Valo FX'!$A:$A,0)),INDEX(Base!$V:$V,MATCH($A6,Base!$A:$A,0)),0)))</f>
        <v>10.975193000000001</v>
      </c>
      <c r="AF6" s="21">
        <f>IF(AF$1&lt;INDEX('Valo FX'!$Q:$Q,MATCH($A6,'Valo FX'!$A:$A,0)),0,IF(AF$1&lt;INDEX('Valo FX'!$R:$R,MATCH($A6,'Valo FX'!$A:$A,0)),INDEX(Base!$U:$U,MATCH($A6,Base!$A:$A,0)),IF(AF$1=INDEX('Valo FX'!$R:$R,MATCH($A6,'Valo FX'!$A:$A,0)),INDEX(Base!$V:$V,MATCH($A6,Base!$A:$A,0)),0)))</f>
        <v>10.975193000000001</v>
      </c>
      <c r="AG6" s="21">
        <f>IF(AG$1&lt;INDEX('Valo FX'!$Q:$Q,MATCH($A6,'Valo FX'!$A:$A,0)),0,IF(AG$1&lt;INDEX('Valo FX'!$R:$R,MATCH($A6,'Valo FX'!$A:$A,0)),INDEX(Base!$U:$U,MATCH($A6,Base!$A:$A,0)),IF(AG$1=INDEX('Valo FX'!$R:$R,MATCH($A6,'Valo FX'!$A:$A,0)),INDEX(Base!$V:$V,MATCH($A6,Base!$A:$A,0)),0)))</f>
        <v>10.975193000000001</v>
      </c>
      <c r="AH6" s="21">
        <f>IF(AH$1&lt;INDEX('Valo FX'!$Q:$Q,MATCH($A6,'Valo FX'!$A:$A,0)),0,IF(AH$1&lt;INDEX('Valo FX'!$R:$R,MATCH($A6,'Valo FX'!$A:$A,0)),INDEX(Base!$U:$U,MATCH($A6,Base!$A:$A,0)),IF(AH$1=INDEX('Valo FX'!$R:$R,MATCH($A6,'Valo FX'!$A:$A,0)),INDEX(Base!$V:$V,MATCH($A6,Base!$A:$A,0)),0)))</f>
        <v>10.975193000000001</v>
      </c>
      <c r="AI6" s="21">
        <f>IF(AI$1&lt;INDEX('Valo FX'!$Q:$Q,MATCH($A6,'Valo FX'!$A:$A,0)),0,IF(AI$1&lt;INDEX('Valo FX'!$R:$R,MATCH($A6,'Valo FX'!$A:$A,0)),INDEX(Base!$U:$U,MATCH($A6,Base!$A:$A,0)),IF(AI$1=INDEX('Valo FX'!$R:$R,MATCH($A6,'Valo FX'!$A:$A,0)),INDEX(Base!$V:$V,MATCH($A6,Base!$A:$A,0)),0)))</f>
        <v>10.975193000000001</v>
      </c>
      <c r="AJ6" s="21">
        <f>IF(AJ$1&lt;INDEX('Valo FX'!$Q:$Q,MATCH($A6,'Valo FX'!$A:$A,0)),0,IF(AJ$1&lt;INDEX('Valo FX'!$R:$R,MATCH($A6,'Valo FX'!$A:$A,0)),INDEX(Base!$U:$U,MATCH($A6,Base!$A:$A,0)),IF(AJ$1=INDEX('Valo FX'!$R:$R,MATCH($A6,'Valo FX'!$A:$A,0)),INDEX(Base!$V:$V,MATCH($A6,Base!$A:$A,0)),0)))</f>
        <v>10.975193000000001</v>
      </c>
      <c r="AK6" s="21">
        <f>IF(AK$1&lt;INDEX('Valo FX'!$Q:$Q,MATCH($A6,'Valo FX'!$A:$A,0)),0,IF(AK$1&lt;INDEX('Valo FX'!$R:$R,MATCH($A6,'Valo FX'!$A:$A,0)),INDEX(Base!$U:$U,MATCH($A6,Base!$A:$A,0)),IF(AK$1=INDEX('Valo FX'!$R:$R,MATCH($A6,'Valo FX'!$A:$A,0)),INDEX(Base!$V:$V,MATCH($A6,Base!$A:$A,0)),0)))</f>
        <v>10.975193000000001</v>
      </c>
      <c r="AL6" s="21">
        <f>IF(AL$1&lt;INDEX('Valo FX'!$Q:$Q,MATCH($A6,'Valo FX'!$A:$A,0)),0,IF(AL$1&lt;INDEX('Valo FX'!$R:$R,MATCH($A6,'Valo FX'!$A:$A,0)),INDEX(Base!$U:$U,MATCH($A6,Base!$A:$A,0)),IF(AL$1=INDEX('Valo FX'!$R:$R,MATCH($A6,'Valo FX'!$A:$A,0)),INDEX(Base!$V:$V,MATCH($A6,Base!$A:$A,0)),0)))</f>
        <v>10.975193000000001</v>
      </c>
      <c r="AM6" s="21">
        <f>IF(AM$1&lt;INDEX('Valo FX'!$Q:$Q,MATCH($A6,'Valo FX'!$A:$A,0)),0,IF(AM$1&lt;INDEX('Valo FX'!$R:$R,MATCH($A6,'Valo FX'!$A:$A,0)),INDEX(Base!$U:$U,MATCH($A6,Base!$A:$A,0)),IF(AM$1=INDEX('Valo FX'!$R:$R,MATCH($A6,'Valo FX'!$A:$A,0)),INDEX(Base!$V:$V,MATCH($A6,Base!$A:$A,0)),0)))</f>
        <v>10.975193000000001</v>
      </c>
      <c r="AN6" s="21">
        <f>IF(AN$1&lt;INDEX('Valo FX'!$Q:$Q,MATCH($A6,'Valo FX'!$A:$A,0)),0,IF(AN$1&lt;INDEX('Valo FX'!$R:$R,MATCH($A6,'Valo FX'!$A:$A,0)),INDEX(Base!$U:$U,MATCH($A6,Base!$A:$A,0)),IF(AN$1=INDEX('Valo FX'!$R:$R,MATCH($A6,'Valo FX'!$A:$A,0)),INDEX(Base!$V:$V,MATCH($A6,Base!$A:$A,0)),0)))</f>
        <v>10.975193000000001</v>
      </c>
      <c r="AO6" s="21">
        <f>IF(AO$1&lt;INDEX('Valo FX'!$Q:$Q,MATCH($A6,'Valo FX'!$A:$A,0)),0,IF(AO$1&lt;INDEX('Valo FX'!$R:$R,MATCH($A6,'Valo FX'!$A:$A,0)),INDEX(Base!$U:$U,MATCH($A6,Base!$A:$A,0)),IF(AO$1=INDEX('Valo FX'!$R:$R,MATCH($A6,'Valo FX'!$A:$A,0)),INDEX(Base!$V:$V,MATCH($A6,Base!$A:$A,0)),0)))</f>
        <v>10.975193000000001</v>
      </c>
      <c r="AP6" s="21">
        <f>IF(AP$1&lt;INDEX('Valo FX'!$Q:$Q,MATCH($A6,'Valo FX'!$A:$A,0)),0,IF(AP$1&lt;INDEX('Valo FX'!$R:$R,MATCH($A6,'Valo FX'!$A:$A,0)),INDEX(Base!$U:$U,MATCH($A6,Base!$A:$A,0)),IF(AP$1=INDEX('Valo FX'!$R:$R,MATCH($A6,'Valo FX'!$A:$A,0)),INDEX(Base!$V:$V,MATCH($A6,Base!$A:$A,0)),0)))</f>
        <v>10.975193000000001</v>
      </c>
      <c r="AQ6" s="21">
        <f>IF(AQ$1&lt;INDEX('Valo FX'!$Q:$Q,MATCH($A6,'Valo FX'!$A:$A,0)),0,IF(AQ$1&lt;INDEX('Valo FX'!$R:$R,MATCH($A6,'Valo FX'!$A:$A,0)),INDEX(Base!$U:$U,MATCH($A6,Base!$A:$A,0)),IF(AQ$1=INDEX('Valo FX'!$R:$R,MATCH($A6,'Valo FX'!$A:$A,0)),INDEX(Base!$V:$V,MATCH($A6,Base!$A:$A,0)),0)))</f>
        <v>10.975193000000001</v>
      </c>
      <c r="AR6" s="21">
        <f>IF(AR$1&lt;INDEX('Valo FX'!$Q:$Q,MATCH($A6,'Valo FX'!$A:$A,0)),0,IF(AR$1&lt;INDEX('Valo FX'!$R:$R,MATCH($A6,'Valo FX'!$A:$A,0)),INDEX(Base!$U:$U,MATCH($A6,Base!$A:$A,0)),IF(AR$1=INDEX('Valo FX'!$R:$R,MATCH($A6,'Valo FX'!$A:$A,0)),INDEX(Base!$V:$V,MATCH($A6,Base!$A:$A,0)),0)))</f>
        <v>10.975193000000001</v>
      </c>
      <c r="AS6" s="21">
        <f>IF(AS$1&lt;INDEX('Valo FX'!$Q:$Q,MATCH($A6,'Valo FX'!$A:$A,0)),0,IF(AS$1&lt;INDEX('Valo FX'!$R:$R,MATCH($A6,'Valo FX'!$A:$A,0)),INDEX(Base!$U:$U,MATCH($A6,Base!$A:$A,0)),IF(AS$1=INDEX('Valo FX'!$R:$R,MATCH($A6,'Valo FX'!$A:$A,0)),INDEX(Base!$V:$V,MATCH($A6,Base!$A:$A,0)),0)))</f>
        <v>10.975193000000001</v>
      </c>
      <c r="AT6" s="21">
        <f>IF(AT$1&lt;INDEX('Valo FX'!$Q:$Q,MATCH($A6,'Valo FX'!$A:$A,0)),0,IF(AT$1&lt;INDEX('Valo FX'!$R:$R,MATCH($A6,'Valo FX'!$A:$A,0)),INDEX(Base!$U:$U,MATCH($A6,Base!$A:$A,0)),IF(AT$1=INDEX('Valo FX'!$R:$R,MATCH($A6,'Valo FX'!$A:$A,0)),INDEX(Base!$V:$V,MATCH($A6,Base!$A:$A,0)),0)))</f>
        <v>10.975193000000001</v>
      </c>
      <c r="AU6" s="21">
        <f>IF(AU$1&lt;INDEX('Valo FX'!$Q:$Q,MATCH($A6,'Valo FX'!$A:$A,0)),0,IF(AU$1&lt;INDEX('Valo FX'!$R:$R,MATCH($A6,'Valo FX'!$A:$A,0)),INDEX(Base!$U:$U,MATCH($A6,Base!$A:$A,0)),IF(AU$1=INDEX('Valo FX'!$R:$R,MATCH($A6,'Valo FX'!$A:$A,0)),INDEX(Base!$V:$V,MATCH($A6,Base!$A:$A,0)),0)))</f>
        <v>10.975193000000001</v>
      </c>
      <c r="AV6" s="21">
        <f>IF(AV$1&lt;INDEX('Valo FX'!$Q:$Q,MATCH($A6,'Valo FX'!$A:$A,0)),0,IF(AV$1&lt;INDEX('Valo FX'!$R:$R,MATCH($A6,'Valo FX'!$A:$A,0)),INDEX(Base!$U:$U,MATCH($A6,Base!$A:$A,0)),IF(AV$1=INDEX('Valo FX'!$R:$R,MATCH($A6,'Valo FX'!$A:$A,0)),INDEX(Base!$V:$V,MATCH($A6,Base!$A:$A,0)),0)))</f>
        <v>10.975193000000001</v>
      </c>
      <c r="AW6" s="21">
        <f>IF(AW$1&lt;INDEX('Valo FX'!$Q:$Q,MATCH($A6,'Valo FX'!$A:$A,0)),0,IF(AW$1&lt;INDEX('Valo FX'!$R:$R,MATCH($A6,'Valo FX'!$A:$A,0)),INDEX(Base!$U:$U,MATCH($A6,Base!$A:$A,0)),IF(AW$1=INDEX('Valo FX'!$R:$R,MATCH($A6,'Valo FX'!$A:$A,0)),INDEX(Base!$V:$V,MATCH($A6,Base!$A:$A,0)),0)))</f>
        <v>10.975193000000001</v>
      </c>
      <c r="AX6" s="21">
        <f>IF(AX$1&lt;INDEX('Valo FX'!$Q:$Q,MATCH($A6,'Valo FX'!$A:$A,0)),0,IF(AX$1&lt;INDEX('Valo FX'!$R:$R,MATCH($A6,'Valo FX'!$A:$A,0)),INDEX(Base!$U:$U,MATCH($A6,Base!$A:$A,0)),IF(AX$1=INDEX('Valo FX'!$R:$R,MATCH($A6,'Valo FX'!$A:$A,0)),INDEX(Base!$V:$V,MATCH($A6,Base!$A:$A,0)),0)))</f>
        <v>10.975193000000001</v>
      </c>
      <c r="AY6" s="21">
        <f>IF(AY$1&lt;INDEX('Valo FX'!$Q:$Q,MATCH($A6,'Valo FX'!$A:$A,0)),0,IF(AY$1&lt;INDEX('Valo FX'!$R:$R,MATCH($A6,'Valo FX'!$A:$A,0)),INDEX(Base!$U:$U,MATCH($A6,Base!$A:$A,0)),IF(AY$1=INDEX('Valo FX'!$R:$R,MATCH($A6,'Valo FX'!$A:$A,0)),INDEX(Base!$V:$V,MATCH($A6,Base!$A:$A,0)),0)))</f>
        <v>10.975193000000001</v>
      </c>
      <c r="AZ6" s="21">
        <f>IF(AZ$1&lt;INDEX('Valo FX'!$Q:$Q,MATCH($A6,'Valo FX'!$A:$A,0)),0,IF(AZ$1&lt;INDEX('Valo FX'!$R:$R,MATCH($A6,'Valo FX'!$A:$A,0)),INDEX(Base!$U:$U,MATCH($A6,Base!$A:$A,0)),IF(AZ$1=INDEX('Valo FX'!$R:$R,MATCH($A6,'Valo FX'!$A:$A,0)),INDEX(Base!$V:$V,MATCH($A6,Base!$A:$A,0)),0)))</f>
        <v>10.975193000000001</v>
      </c>
      <c r="BA6" s="21">
        <f>IF(BA$1&lt;INDEX('Valo FX'!$Q:$Q,MATCH($A6,'Valo FX'!$A:$A,0)),0,IF(BA$1&lt;INDEX('Valo FX'!$R:$R,MATCH($A6,'Valo FX'!$A:$A,0)),INDEX(Base!$U:$U,MATCH($A6,Base!$A:$A,0)),IF(BA$1=INDEX('Valo FX'!$R:$R,MATCH($A6,'Valo FX'!$A:$A,0)),INDEX(Base!$V:$V,MATCH($A6,Base!$A:$A,0)),0)))</f>
        <v>10.975193000000001</v>
      </c>
      <c r="BB6" s="21">
        <f>IF(BB$1&lt;INDEX('Valo FX'!$Q:$Q,MATCH($A6,'Valo FX'!$A:$A,0)),0,IF(BB$1&lt;INDEX('Valo FX'!$R:$R,MATCH($A6,'Valo FX'!$A:$A,0)),INDEX(Base!$U:$U,MATCH($A6,Base!$A:$A,0)),IF(BB$1=INDEX('Valo FX'!$R:$R,MATCH($A6,'Valo FX'!$A:$A,0)),INDEX(Base!$V:$V,MATCH($A6,Base!$A:$A,0)),0)))</f>
        <v>10.975193000000001</v>
      </c>
      <c r="BC6" s="21">
        <f>IF(BC$1&lt;INDEX('Valo FX'!$Q:$Q,MATCH($A6,'Valo FX'!$A:$A,0)),0,IF(BC$1&lt;INDEX('Valo FX'!$R:$R,MATCH($A6,'Valo FX'!$A:$A,0)),INDEX(Base!$U:$U,MATCH($A6,Base!$A:$A,0)),IF(BC$1=INDEX('Valo FX'!$R:$R,MATCH($A6,'Valo FX'!$A:$A,0)),INDEX(Base!$V:$V,MATCH($A6,Base!$A:$A,0)),0)))</f>
        <v>10.975193000000001</v>
      </c>
      <c r="BD6" s="21">
        <f>IF(BD$1&lt;INDEX('Valo FX'!$Q:$Q,MATCH($A6,'Valo FX'!$A:$A,0)),0,IF(BD$1&lt;INDEX('Valo FX'!$R:$R,MATCH($A6,'Valo FX'!$A:$A,0)),INDEX(Base!$U:$U,MATCH($A6,Base!$A:$A,0)),IF(BD$1=INDEX('Valo FX'!$R:$R,MATCH($A6,'Valo FX'!$A:$A,0)),INDEX(Base!$V:$V,MATCH($A6,Base!$A:$A,0)),0)))</f>
        <v>10.975193000000001</v>
      </c>
      <c r="BE6" s="21">
        <f>IF(BE$1&lt;INDEX('Valo FX'!$Q:$Q,MATCH($A6,'Valo FX'!$A:$A,0)),0,IF(BE$1&lt;INDEX('Valo FX'!$R:$R,MATCH($A6,'Valo FX'!$A:$A,0)),INDEX(Base!$U:$U,MATCH($A6,Base!$A:$A,0)),IF(BE$1=INDEX('Valo FX'!$R:$R,MATCH($A6,'Valo FX'!$A:$A,0)),INDEX(Base!$V:$V,MATCH($A6,Base!$A:$A,0)),0)))</f>
        <v>10.975193000000001</v>
      </c>
      <c r="BF6" s="21">
        <f>IF(BF$1&lt;INDEX('Valo FX'!$Q:$Q,MATCH($A6,'Valo FX'!$A:$A,0)),0,IF(BF$1&lt;INDEX('Valo FX'!$R:$R,MATCH($A6,'Valo FX'!$A:$A,0)),INDEX(Base!$U:$U,MATCH($A6,Base!$A:$A,0)),IF(BF$1=INDEX('Valo FX'!$R:$R,MATCH($A6,'Valo FX'!$A:$A,0)),INDEX(Base!$V:$V,MATCH($A6,Base!$A:$A,0)),0)))</f>
        <v>10.975193000000001</v>
      </c>
      <c r="BG6" s="21">
        <f>IF(BG$1&lt;INDEX('Valo FX'!$Q:$Q,MATCH($A6,'Valo FX'!$A:$A,0)),0,IF(BG$1&lt;INDEX('Valo FX'!$R:$R,MATCH($A6,'Valo FX'!$A:$A,0)),INDEX(Base!$U:$U,MATCH($A6,Base!$A:$A,0)),IF(BG$1=INDEX('Valo FX'!$R:$R,MATCH($A6,'Valo FX'!$A:$A,0)),INDEX(Base!$V:$V,MATCH($A6,Base!$A:$A,0)),0)))</f>
        <v>10.975193000000001</v>
      </c>
      <c r="BH6" s="21">
        <f>IF(BH$1&lt;INDEX('Valo FX'!$Q:$Q,MATCH($A6,'Valo FX'!$A:$A,0)),0,IF(BH$1&lt;INDEX('Valo FX'!$R:$R,MATCH($A6,'Valo FX'!$A:$A,0)),INDEX(Base!$U:$U,MATCH($A6,Base!$A:$A,0)),IF(BH$1=INDEX('Valo FX'!$R:$R,MATCH($A6,'Valo FX'!$A:$A,0)),INDEX(Base!$V:$V,MATCH($A6,Base!$A:$A,0)),0)))</f>
        <v>10.975193000000001</v>
      </c>
      <c r="BI6" s="21">
        <f>IF(BI$1&lt;INDEX('Valo FX'!$Q:$Q,MATCH($A6,'Valo FX'!$A:$A,0)),0,IF(BI$1&lt;INDEX('Valo FX'!$R:$R,MATCH($A6,'Valo FX'!$A:$A,0)),INDEX(Base!$U:$U,MATCH($A6,Base!$A:$A,0)),IF(BI$1=INDEX('Valo FX'!$R:$R,MATCH($A6,'Valo FX'!$A:$A,0)),INDEX(Base!$V:$V,MATCH($A6,Base!$A:$A,0)),0)))</f>
        <v>10.975193000000001</v>
      </c>
      <c r="BJ6" s="21">
        <f>IF(BJ$1&lt;INDEX('Valo FX'!$Q:$Q,MATCH($A6,'Valo FX'!$A:$A,0)),0,IF(BJ$1&lt;INDEX('Valo FX'!$R:$R,MATCH($A6,'Valo FX'!$A:$A,0)),INDEX(Base!$U:$U,MATCH($A6,Base!$A:$A,0)),IF(BJ$1=INDEX('Valo FX'!$R:$R,MATCH($A6,'Valo FX'!$A:$A,0)),INDEX(Base!$V:$V,MATCH($A6,Base!$A:$A,0)),0)))</f>
        <v>10.975193000000001</v>
      </c>
      <c r="BK6" s="21">
        <f>IF(BK$1&lt;INDEX('Valo FX'!$Q:$Q,MATCH($A6,'Valo FX'!$A:$A,0)),0,IF(BK$1&lt;INDEX('Valo FX'!$R:$R,MATCH($A6,'Valo FX'!$A:$A,0)),INDEX(Base!$U:$U,MATCH($A6,Base!$A:$A,0)),IF(BK$1=INDEX('Valo FX'!$R:$R,MATCH($A6,'Valo FX'!$A:$A,0)),INDEX(Base!$V:$V,MATCH($A6,Base!$A:$A,0)),0)))</f>
        <v>10.975193000000001</v>
      </c>
      <c r="BL6" s="21">
        <f>IF(BL$1&lt;INDEX('Valo FX'!$Q:$Q,MATCH($A6,'Valo FX'!$A:$A,0)),0,IF(BL$1&lt;INDEX('Valo FX'!$R:$R,MATCH($A6,'Valo FX'!$A:$A,0)),INDEX(Base!$U:$U,MATCH($A6,Base!$A:$A,0)),IF(BL$1=INDEX('Valo FX'!$R:$R,MATCH($A6,'Valo FX'!$A:$A,0)),INDEX(Base!$V:$V,MATCH($A6,Base!$A:$A,0)),0)))</f>
        <v>10.975193000000001</v>
      </c>
      <c r="BM6" s="21">
        <f>IF(BM$1&lt;INDEX('Valo FX'!$Q:$Q,MATCH($A6,'Valo FX'!$A:$A,0)),0,IF(BM$1&lt;INDEX('Valo FX'!$R:$R,MATCH($A6,'Valo FX'!$A:$A,0)),INDEX(Base!$U:$U,MATCH($A6,Base!$A:$A,0)),IF(BM$1=INDEX('Valo FX'!$R:$R,MATCH($A6,'Valo FX'!$A:$A,0)),INDEX(Base!$V:$V,MATCH($A6,Base!$A:$A,0)),0)))</f>
        <v>10.975193000000001</v>
      </c>
      <c r="BN6" s="21">
        <f>IF(BN$1&lt;INDEX('Valo FX'!$Q:$Q,MATCH($A6,'Valo FX'!$A:$A,0)),0,IF(BN$1&lt;INDEX('Valo FX'!$R:$R,MATCH($A6,'Valo FX'!$A:$A,0)),INDEX(Base!$U:$U,MATCH($A6,Base!$A:$A,0)),IF(BN$1=INDEX('Valo FX'!$R:$R,MATCH($A6,'Valo FX'!$A:$A,0)),INDEX(Base!$V:$V,MATCH($A6,Base!$A:$A,0)),0)))</f>
        <v>10.975193000000001</v>
      </c>
      <c r="BO6" s="21">
        <f>IF(BO$1&lt;INDEX('Valo FX'!$Q:$Q,MATCH($A6,'Valo FX'!$A:$A,0)),0,IF(BO$1&lt;INDEX('Valo FX'!$R:$R,MATCH($A6,'Valo FX'!$A:$A,0)),INDEX(Base!$U:$U,MATCH($A6,Base!$A:$A,0)),IF(BO$1=INDEX('Valo FX'!$R:$R,MATCH($A6,'Valo FX'!$A:$A,0)),INDEX(Base!$V:$V,MATCH($A6,Base!$A:$A,0)),0)))</f>
        <v>10.975193000000001</v>
      </c>
      <c r="BP6" s="21">
        <f>IF(BP$1&lt;INDEX('Valo FX'!$Q:$Q,MATCH($A6,'Valo FX'!$A:$A,0)),0,IF(BP$1&lt;INDEX('Valo FX'!$R:$R,MATCH($A6,'Valo FX'!$A:$A,0)),INDEX(Base!$U:$U,MATCH($A6,Base!$A:$A,0)),IF(BP$1=INDEX('Valo FX'!$R:$R,MATCH($A6,'Valo FX'!$A:$A,0)),INDEX(Base!$V:$V,MATCH($A6,Base!$A:$A,0)),0)))</f>
        <v>10.975193000000001</v>
      </c>
      <c r="BQ6" s="21">
        <f>IF(BQ$1&lt;INDEX('Valo FX'!$Q:$Q,MATCH($A6,'Valo FX'!$A:$A,0)),0,IF(BQ$1&lt;INDEX('Valo FX'!$R:$R,MATCH($A6,'Valo FX'!$A:$A,0)),INDEX(Base!$U:$U,MATCH($A6,Base!$A:$A,0)),IF(BQ$1=INDEX('Valo FX'!$R:$R,MATCH($A6,'Valo FX'!$A:$A,0)),INDEX(Base!$V:$V,MATCH($A6,Base!$A:$A,0)),0)))</f>
        <v>10.975193000000001</v>
      </c>
      <c r="BR6" s="21">
        <f>IF(BR$1&lt;INDEX('Valo FX'!$Q:$Q,MATCH($A6,'Valo FX'!$A:$A,0)),0,IF(BR$1&lt;INDEX('Valo FX'!$R:$R,MATCH($A6,'Valo FX'!$A:$A,0)),INDEX(Base!$U:$U,MATCH($A6,Base!$A:$A,0)),IF(BR$1=INDEX('Valo FX'!$R:$R,MATCH($A6,'Valo FX'!$A:$A,0)),INDEX(Base!$V:$V,MATCH($A6,Base!$A:$A,0)),0)))</f>
        <v>10.975193000000001</v>
      </c>
      <c r="BS6" s="21">
        <f>IF(BS$1&lt;INDEX('Valo FX'!$Q:$Q,MATCH($A6,'Valo FX'!$A:$A,0)),0,IF(BS$1&lt;INDEX('Valo FX'!$R:$R,MATCH($A6,'Valo FX'!$A:$A,0)),INDEX(Base!$U:$U,MATCH($A6,Base!$A:$A,0)),IF(BS$1=INDEX('Valo FX'!$R:$R,MATCH($A6,'Valo FX'!$A:$A,0)),INDEX(Base!$V:$V,MATCH($A6,Base!$A:$A,0)),0)))</f>
        <v>10.975193000000001</v>
      </c>
      <c r="BT6" s="21">
        <f>IF(BT$1&lt;INDEX('Valo FX'!$Q:$Q,MATCH($A6,'Valo FX'!$A:$A,0)),0,IF(BT$1&lt;INDEX('Valo FX'!$R:$R,MATCH($A6,'Valo FX'!$A:$A,0)),INDEX(Base!$U:$U,MATCH($A6,Base!$A:$A,0)),IF(BT$1=INDEX('Valo FX'!$R:$R,MATCH($A6,'Valo FX'!$A:$A,0)),INDEX(Base!$V:$V,MATCH($A6,Base!$A:$A,0)),0)))</f>
        <v>10.975193000000001</v>
      </c>
      <c r="BU6" s="21">
        <f>IF(BU$1&lt;INDEX('Valo FX'!$Q:$Q,MATCH($A6,'Valo FX'!$A:$A,0)),0,IF(BU$1&lt;INDEX('Valo FX'!$R:$R,MATCH($A6,'Valo FX'!$A:$A,0)),INDEX(Base!$U:$U,MATCH($A6,Base!$A:$A,0)),IF(BU$1=INDEX('Valo FX'!$R:$R,MATCH($A6,'Valo FX'!$A:$A,0)),INDEX(Base!$V:$V,MATCH($A6,Base!$A:$A,0)),0)))</f>
        <v>10.975193000000001</v>
      </c>
      <c r="BV6" s="21">
        <f>IF(BV$1&lt;INDEX('Valo FX'!$Q:$Q,MATCH($A6,'Valo FX'!$A:$A,0)),0,IF(BV$1&lt;INDEX('Valo FX'!$R:$R,MATCH($A6,'Valo FX'!$A:$A,0)),INDEX(Base!$U:$U,MATCH($A6,Base!$A:$A,0)),IF(BV$1=INDEX('Valo FX'!$R:$R,MATCH($A6,'Valo FX'!$A:$A,0)),INDEX(Base!$V:$V,MATCH($A6,Base!$A:$A,0)),0)))</f>
        <v>10.975193000000001</v>
      </c>
      <c r="BW6" s="21">
        <f>IF(BW$1&lt;INDEX('Valo FX'!$Q:$Q,MATCH($A6,'Valo FX'!$A:$A,0)),0,IF(BW$1&lt;INDEX('Valo FX'!$R:$R,MATCH($A6,'Valo FX'!$A:$A,0)),INDEX(Base!$U:$U,MATCH($A6,Base!$A:$A,0)),IF(BW$1=INDEX('Valo FX'!$R:$R,MATCH($A6,'Valo FX'!$A:$A,0)),INDEX(Base!$V:$V,MATCH($A6,Base!$A:$A,0)),0)))</f>
        <v>10.975193000000001</v>
      </c>
      <c r="BX6" s="21">
        <f>IF(BX$1&lt;INDEX('Valo FX'!$Q:$Q,MATCH($A6,'Valo FX'!$A:$A,0)),0,IF(BX$1&lt;INDEX('Valo FX'!$R:$R,MATCH($A6,'Valo FX'!$A:$A,0)),INDEX(Base!$U:$U,MATCH($A6,Base!$A:$A,0)),IF(BX$1=INDEX('Valo FX'!$R:$R,MATCH($A6,'Valo FX'!$A:$A,0)),INDEX(Base!$V:$V,MATCH($A6,Base!$A:$A,0)),0)))</f>
        <v>10.975193000000001</v>
      </c>
      <c r="BY6" s="21">
        <f>IF(BY$1&lt;INDEX('Valo FX'!$Q:$Q,MATCH($A6,'Valo FX'!$A:$A,0)),0,IF(BY$1&lt;INDEX('Valo FX'!$R:$R,MATCH($A6,'Valo FX'!$A:$A,0)),INDEX(Base!$U:$U,MATCH($A6,Base!$A:$A,0)),IF(BY$1=INDEX('Valo FX'!$R:$R,MATCH($A6,'Valo FX'!$A:$A,0)),INDEX(Base!$V:$V,MATCH($A6,Base!$A:$A,0)),0)))</f>
        <v>10.975193000000001</v>
      </c>
      <c r="BZ6" s="21">
        <f>IF(BZ$1&lt;INDEX('Valo FX'!$Q:$Q,MATCH($A6,'Valo FX'!$A:$A,0)),0,IF(BZ$1&lt;INDEX('Valo FX'!$R:$R,MATCH($A6,'Valo FX'!$A:$A,0)),INDEX(Base!$U:$U,MATCH($A6,Base!$A:$A,0)),IF(BZ$1=INDEX('Valo FX'!$R:$R,MATCH($A6,'Valo FX'!$A:$A,0)),INDEX(Base!$V:$V,MATCH($A6,Base!$A:$A,0)),0)))</f>
        <v>10.975193000000001</v>
      </c>
      <c r="CA6" s="21">
        <f>IF(CA$1&lt;INDEX('Valo FX'!$Q:$Q,MATCH($A6,'Valo FX'!$A:$A,0)),0,IF(CA$1&lt;INDEX('Valo FX'!$R:$R,MATCH($A6,'Valo FX'!$A:$A,0)),INDEX(Base!$U:$U,MATCH($A6,Base!$A:$A,0)),IF(CA$1=INDEX('Valo FX'!$R:$R,MATCH($A6,'Valo FX'!$A:$A,0)),INDEX(Base!$V:$V,MATCH($A6,Base!$A:$A,0)),0)))</f>
        <v>10.975193000000001</v>
      </c>
      <c r="CB6" s="21">
        <f>IF(CB$1&lt;INDEX('Valo FX'!$Q:$Q,MATCH($A6,'Valo FX'!$A:$A,0)),0,IF(CB$1&lt;INDEX('Valo FX'!$R:$R,MATCH($A6,'Valo FX'!$A:$A,0)),INDEX(Base!$U:$U,MATCH($A6,Base!$A:$A,0)),IF(CB$1=INDEX('Valo FX'!$R:$R,MATCH($A6,'Valo FX'!$A:$A,0)),INDEX(Base!$V:$V,MATCH($A6,Base!$A:$A,0)),0)))</f>
        <v>10.975193000000001</v>
      </c>
      <c r="CC6" s="21">
        <f>IF(CC$1&lt;INDEX('Valo FX'!$Q:$Q,MATCH($A6,'Valo FX'!$A:$A,0)),0,IF(CC$1&lt;INDEX('Valo FX'!$R:$R,MATCH($A6,'Valo FX'!$A:$A,0)),INDEX(Base!$U:$U,MATCH($A6,Base!$A:$A,0)),IF(CC$1=INDEX('Valo FX'!$R:$R,MATCH($A6,'Valo FX'!$A:$A,0)),INDEX(Base!$V:$V,MATCH($A6,Base!$A:$A,0)),0)))</f>
        <v>10.975193000000001</v>
      </c>
      <c r="CD6" s="21">
        <f>IF(CD$1&lt;INDEX('Valo FX'!$Q:$Q,MATCH($A6,'Valo FX'!$A:$A,0)),0,IF(CD$1&lt;INDEX('Valo FX'!$R:$R,MATCH($A6,'Valo FX'!$A:$A,0)),INDEX(Base!$U:$U,MATCH($A6,Base!$A:$A,0)),IF(CD$1=INDEX('Valo FX'!$R:$R,MATCH($A6,'Valo FX'!$A:$A,0)),INDEX(Base!$V:$V,MATCH($A6,Base!$A:$A,0)),0)))</f>
        <v>10.975193000000001</v>
      </c>
      <c r="CE6" s="21">
        <f>IF(CE$1&lt;INDEX('Valo FX'!$Q:$Q,MATCH($A6,'Valo FX'!$A:$A,0)),0,IF(CE$1&lt;INDEX('Valo FX'!$R:$R,MATCH($A6,'Valo FX'!$A:$A,0)),INDEX(Base!$U:$U,MATCH($A6,Base!$A:$A,0)),IF(CE$1=INDEX('Valo FX'!$R:$R,MATCH($A6,'Valo FX'!$A:$A,0)),INDEX(Base!$V:$V,MATCH($A6,Base!$A:$A,0)),0)))</f>
        <v>10.975193000000001</v>
      </c>
      <c r="CF6" s="21">
        <f>IF(CF$1&lt;INDEX('Valo FX'!$Q:$Q,MATCH($A6,'Valo FX'!$A:$A,0)),0,IF(CF$1&lt;INDEX('Valo FX'!$R:$R,MATCH($A6,'Valo FX'!$A:$A,0)),INDEX(Base!$U:$U,MATCH($A6,Base!$A:$A,0)),IF(CF$1=INDEX('Valo FX'!$R:$R,MATCH($A6,'Valo FX'!$A:$A,0)),INDEX(Base!$V:$V,MATCH($A6,Base!$A:$A,0)),0)))</f>
        <v>10.975193000000001</v>
      </c>
      <c r="CG6" s="21">
        <f>IF(CG$1&lt;INDEX('Valo FX'!$Q:$Q,MATCH($A6,'Valo FX'!$A:$A,0)),0,IF(CG$1&lt;INDEX('Valo FX'!$R:$R,MATCH($A6,'Valo FX'!$A:$A,0)),INDEX(Base!$U:$U,MATCH($A6,Base!$A:$A,0)),IF(CG$1=INDEX('Valo FX'!$R:$R,MATCH($A6,'Valo FX'!$A:$A,0)),INDEX(Base!$V:$V,MATCH($A6,Base!$A:$A,0)),0)))</f>
        <v>10.975193000000001</v>
      </c>
      <c r="CH6" s="21">
        <f>IF(CH$1&lt;INDEX('Valo FX'!$Q:$Q,MATCH($A6,'Valo FX'!$A:$A,0)),0,IF(CH$1&lt;INDEX('Valo FX'!$R:$R,MATCH($A6,'Valo FX'!$A:$A,0)),INDEX(Base!$U:$U,MATCH($A6,Base!$A:$A,0)),IF(CH$1=INDEX('Valo FX'!$R:$R,MATCH($A6,'Valo FX'!$A:$A,0)),INDEX(Base!$V:$V,MATCH($A6,Base!$A:$A,0)),0)))</f>
        <v>10.975193000000001</v>
      </c>
      <c r="CI6" s="21">
        <f>IF(CI$1&lt;INDEX('Valo FX'!$Q:$Q,MATCH($A6,'Valo FX'!$A:$A,0)),0,IF(CI$1&lt;INDEX('Valo FX'!$R:$R,MATCH($A6,'Valo FX'!$A:$A,0)),INDEX(Base!$U:$U,MATCH($A6,Base!$A:$A,0)),IF(CI$1=INDEX('Valo FX'!$R:$R,MATCH($A6,'Valo FX'!$A:$A,0)),INDEX(Base!$V:$V,MATCH($A6,Base!$A:$A,0)),0)))</f>
        <v>10.975193000000001</v>
      </c>
      <c r="CJ6" s="21">
        <f>IF(CJ$1&lt;INDEX('Valo FX'!$Q:$Q,MATCH($A6,'Valo FX'!$A:$A,0)),0,IF(CJ$1&lt;INDEX('Valo FX'!$R:$R,MATCH($A6,'Valo FX'!$A:$A,0)),INDEX(Base!$U:$U,MATCH($A6,Base!$A:$A,0)),IF(CJ$1=INDEX('Valo FX'!$R:$R,MATCH($A6,'Valo FX'!$A:$A,0)),INDEX(Base!$V:$V,MATCH($A6,Base!$A:$A,0)),0)))</f>
        <v>10.975193000000001</v>
      </c>
      <c r="CK6" s="21">
        <f>IF(CK$1&lt;INDEX('Valo FX'!$Q:$Q,MATCH($A6,'Valo FX'!$A:$A,0)),0,IF(CK$1&lt;INDEX('Valo FX'!$R:$R,MATCH($A6,'Valo FX'!$A:$A,0)),INDEX(Base!$U:$U,MATCH($A6,Base!$A:$A,0)),IF(CK$1=INDEX('Valo FX'!$R:$R,MATCH($A6,'Valo FX'!$A:$A,0)),INDEX(Base!$V:$V,MATCH($A6,Base!$A:$A,0)),0)))</f>
        <v>10.975193000000001</v>
      </c>
      <c r="CL6" s="21">
        <f>IF(CL$1&lt;INDEX('Valo FX'!$Q:$Q,MATCH($A6,'Valo FX'!$A:$A,0)),0,IF(CL$1&lt;INDEX('Valo FX'!$R:$R,MATCH($A6,'Valo FX'!$A:$A,0)),INDEX(Base!$U:$U,MATCH($A6,Base!$A:$A,0)),IF(CL$1=INDEX('Valo FX'!$R:$R,MATCH($A6,'Valo FX'!$A:$A,0)),INDEX(Base!$V:$V,MATCH($A6,Base!$A:$A,0)),0)))</f>
        <v>10.975193000000001</v>
      </c>
      <c r="CM6" s="21">
        <f>IF(CM$1&lt;INDEX('Valo FX'!$Q:$Q,MATCH($A6,'Valo FX'!$A:$A,0)),0,IF(CM$1&lt;INDEX('Valo FX'!$R:$R,MATCH($A6,'Valo FX'!$A:$A,0)),INDEX(Base!$U:$U,MATCH($A6,Base!$A:$A,0)),IF(CM$1=INDEX('Valo FX'!$R:$R,MATCH($A6,'Valo FX'!$A:$A,0)),INDEX(Base!$V:$V,MATCH($A6,Base!$A:$A,0)),0)))</f>
        <v>10.975193000000001</v>
      </c>
      <c r="CN6" s="21">
        <f>IF(CN$1&lt;INDEX('Valo FX'!$Q:$Q,MATCH($A6,'Valo FX'!$A:$A,0)),0,IF(CN$1&lt;INDEX('Valo FX'!$R:$R,MATCH($A6,'Valo FX'!$A:$A,0)),INDEX(Base!$U:$U,MATCH($A6,Base!$A:$A,0)),IF(CN$1=INDEX('Valo FX'!$R:$R,MATCH($A6,'Valo FX'!$A:$A,0)),INDEX(Base!$V:$V,MATCH($A6,Base!$A:$A,0)),0)))</f>
        <v>10.975193000000001</v>
      </c>
      <c r="CO6" s="21">
        <f>IF(CO$1&lt;INDEX('Valo FX'!$Q:$Q,MATCH($A6,'Valo FX'!$A:$A,0)),0,IF(CO$1&lt;INDEX('Valo FX'!$R:$R,MATCH($A6,'Valo FX'!$A:$A,0)),INDEX(Base!$U:$U,MATCH($A6,Base!$A:$A,0)),IF(CO$1=INDEX('Valo FX'!$R:$R,MATCH($A6,'Valo FX'!$A:$A,0)),INDEX(Base!$V:$V,MATCH($A6,Base!$A:$A,0)),0)))</f>
        <v>10.975193000000001</v>
      </c>
      <c r="CP6" s="21">
        <f>IF(CP$1&lt;INDEX('Valo FX'!$Q:$Q,MATCH($A6,'Valo FX'!$A:$A,0)),0,IF(CP$1&lt;INDEX('Valo FX'!$R:$R,MATCH($A6,'Valo FX'!$A:$A,0)),INDEX(Base!$U:$U,MATCH($A6,Base!$A:$A,0)),IF(CP$1=INDEX('Valo FX'!$R:$R,MATCH($A6,'Valo FX'!$A:$A,0)),INDEX(Base!$V:$V,MATCH($A6,Base!$A:$A,0)),0)))</f>
        <v>10.975193000000001</v>
      </c>
      <c r="CQ6" s="21">
        <f>IF(CQ$1&lt;INDEX('Valo FX'!$Q:$Q,MATCH($A6,'Valo FX'!$A:$A,0)),0,IF(CQ$1&lt;INDEX('Valo FX'!$R:$R,MATCH($A6,'Valo FX'!$A:$A,0)),INDEX(Base!$U:$U,MATCH($A6,Base!$A:$A,0)),IF(CQ$1=INDEX('Valo FX'!$R:$R,MATCH($A6,'Valo FX'!$A:$A,0)),INDEX(Base!$V:$V,MATCH($A6,Base!$A:$A,0)),0)))</f>
        <v>10.975193000000001</v>
      </c>
      <c r="CR6" s="21">
        <f>IF(CR$1&lt;INDEX('Valo FX'!$Q:$Q,MATCH($A6,'Valo FX'!$A:$A,0)),0,IF(CR$1&lt;INDEX('Valo FX'!$R:$R,MATCH($A6,'Valo FX'!$A:$A,0)),INDEX(Base!$U:$U,MATCH($A6,Base!$A:$A,0)),IF(CR$1=INDEX('Valo FX'!$R:$R,MATCH($A6,'Valo FX'!$A:$A,0)),INDEX(Base!$V:$V,MATCH($A6,Base!$A:$A,0)),0)))</f>
        <v>10.975193000000001</v>
      </c>
      <c r="CS6" s="21">
        <f>IF(CS$1&lt;INDEX('Valo FX'!$Q:$Q,MATCH($A6,'Valo FX'!$A:$A,0)),0,IF(CS$1&lt;INDEX('Valo FX'!$R:$R,MATCH($A6,'Valo FX'!$A:$A,0)),INDEX(Base!$U:$U,MATCH($A6,Base!$A:$A,0)),IF(CS$1=INDEX('Valo FX'!$R:$R,MATCH($A6,'Valo FX'!$A:$A,0)),INDEX(Base!$V:$V,MATCH($A6,Base!$A:$A,0)),0)))</f>
        <v>10.975193000000001</v>
      </c>
      <c r="CT6" s="21">
        <f>IF(CT$1&lt;INDEX('Valo FX'!$Q:$Q,MATCH($A6,'Valo FX'!$A:$A,0)),0,IF(CT$1&lt;INDEX('Valo FX'!$R:$R,MATCH($A6,'Valo FX'!$A:$A,0)),INDEX(Base!$U:$U,MATCH($A6,Base!$A:$A,0)),IF(CT$1=INDEX('Valo FX'!$R:$R,MATCH($A6,'Valo FX'!$A:$A,0)),INDEX(Base!$V:$V,MATCH($A6,Base!$A:$A,0)),0)))</f>
        <v>10.975193000000001</v>
      </c>
      <c r="CU6" s="21">
        <f>IF(CU$1&lt;INDEX('Valo FX'!$Q:$Q,MATCH($A6,'Valo FX'!$A:$A,0)),0,IF(CU$1&lt;INDEX('Valo FX'!$R:$R,MATCH($A6,'Valo FX'!$A:$A,0)),INDEX(Base!$U:$U,MATCH($A6,Base!$A:$A,0)),IF(CU$1=INDEX('Valo FX'!$R:$R,MATCH($A6,'Valo FX'!$A:$A,0)),INDEX(Base!$V:$V,MATCH($A6,Base!$A:$A,0)),0)))</f>
        <v>10.975193000000001</v>
      </c>
      <c r="CV6" s="21">
        <f>IF(CV$1&lt;INDEX('Valo FX'!$Q:$Q,MATCH($A6,'Valo FX'!$A:$A,0)),0,IF(CV$1&lt;INDEX('Valo FX'!$R:$R,MATCH($A6,'Valo FX'!$A:$A,0)),INDEX(Base!$U:$U,MATCH($A6,Base!$A:$A,0)),IF(CV$1=INDEX('Valo FX'!$R:$R,MATCH($A6,'Valo FX'!$A:$A,0)),INDEX(Base!$V:$V,MATCH($A6,Base!$A:$A,0)),0)))</f>
        <v>10.975193000000001</v>
      </c>
      <c r="CW6" s="21">
        <f>IF(CW$1&lt;INDEX('Valo FX'!$Q:$Q,MATCH($A6,'Valo FX'!$A:$A,0)),0,IF(CW$1&lt;INDEX('Valo FX'!$R:$R,MATCH($A6,'Valo FX'!$A:$A,0)),INDEX(Base!$U:$U,MATCH($A6,Base!$A:$A,0)),IF(CW$1=INDEX('Valo FX'!$R:$R,MATCH($A6,'Valo FX'!$A:$A,0)),INDEX(Base!$V:$V,MATCH($A6,Base!$A:$A,0)),0)))</f>
        <v>10.975193000000001</v>
      </c>
      <c r="CX6" s="21">
        <f>IF(CX$1&lt;INDEX('Valo FX'!$Q:$Q,MATCH($A6,'Valo FX'!$A:$A,0)),0,IF(CX$1&lt;INDEX('Valo FX'!$R:$R,MATCH($A6,'Valo FX'!$A:$A,0)),INDEX(Base!$U:$U,MATCH($A6,Base!$A:$A,0)),IF(CX$1=INDEX('Valo FX'!$R:$R,MATCH($A6,'Valo FX'!$A:$A,0)),INDEX(Base!$V:$V,MATCH($A6,Base!$A:$A,0)),0)))</f>
        <v>10.975193000000001</v>
      </c>
      <c r="CY6" s="21">
        <f>IF(CY$1&lt;INDEX('Valo FX'!$Q:$Q,MATCH($A6,'Valo FX'!$A:$A,0)),0,IF(CY$1&lt;INDEX('Valo FX'!$R:$R,MATCH($A6,'Valo FX'!$A:$A,0)),INDEX(Base!$U:$U,MATCH($A6,Base!$A:$A,0)),IF(CY$1=INDEX('Valo FX'!$R:$R,MATCH($A6,'Valo FX'!$A:$A,0)),INDEX(Base!$V:$V,MATCH($A6,Base!$A:$A,0)),0)))</f>
        <v>10.975193000000001</v>
      </c>
      <c r="CZ6" s="21">
        <f>IF(CZ$1&lt;INDEX('Valo FX'!$Q:$Q,MATCH($A6,'Valo FX'!$A:$A,0)),0,IF(CZ$1&lt;INDEX('Valo FX'!$R:$R,MATCH($A6,'Valo FX'!$A:$A,0)),INDEX(Base!$U:$U,MATCH($A6,Base!$A:$A,0)),IF(CZ$1=INDEX('Valo FX'!$R:$R,MATCH($A6,'Valo FX'!$A:$A,0)),INDEX(Base!$V:$V,MATCH($A6,Base!$A:$A,0)),0)))</f>
        <v>10.975193000000001</v>
      </c>
      <c r="DA6" s="21">
        <f>IF(DA$1&lt;INDEX('Valo FX'!$Q:$Q,MATCH($A6,'Valo FX'!$A:$A,0)),0,IF(DA$1&lt;INDEX('Valo FX'!$R:$R,MATCH($A6,'Valo FX'!$A:$A,0)),INDEX(Base!$U:$U,MATCH($A6,Base!$A:$A,0)),IF(DA$1=INDEX('Valo FX'!$R:$R,MATCH($A6,'Valo FX'!$A:$A,0)),INDEX(Base!$V:$V,MATCH($A6,Base!$A:$A,0)),0)))</f>
        <v>10.975193000000001</v>
      </c>
      <c r="DB6" s="21">
        <f>IF(DB$1&lt;INDEX('Valo FX'!$Q:$Q,MATCH($A6,'Valo FX'!$A:$A,0)),0,IF(DB$1&lt;INDEX('Valo FX'!$R:$R,MATCH($A6,'Valo FX'!$A:$A,0)),INDEX(Base!$U:$U,MATCH($A6,Base!$A:$A,0)),IF(DB$1=INDEX('Valo FX'!$R:$R,MATCH($A6,'Valo FX'!$A:$A,0)),INDEX(Base!$V:$V,MATCH($A6,Base!$A:$A,0)),0)))</f>
        <v>10.975193000000001</v>
      </c>
      <c r="DC6" s="21">
        <f>IF(DC$1&lt;INDEX('Valo FX'!$Q:$Q,MATCH($A6,'Valo FX'!$A:$A,0)),0,IF(DC$1&lt;INDEX('Valo FX'!$R:$R,MATCH($A6,'Valo FX'!$A:$A,0)),INDEX(Base!$U:$U,MATCH($A6,Base!$A:$A,0)),IF(DC$1=INDEX('Valo FX'!$R:$R,MATCH($A6,'Valo FX'!$A:$A,0)),INDEX(Base!$V:$V,MATCH($A6,Base!$A:$A,0)),0)))</f>
        <v>10.975193000000001</v>
      </c>
      <c r="DD6" s="21">
        <f>IF(DD$1&lt;INDEX('Valo FX'!$Q:$Q,MATCH($A6,'Valo FX'!$A:$A,0)),0,IF(DD$1&lt;INDEX('Valo FX'!$R:$R,MATCH($A6,'Valo FX'!$A:$A,0)),INDEX(Base!$U:$U,MATCH($A6,Base!$A:$A,0)),IF(DD$1=INDEX('Valo FX'!$R:$R,MATCH($A6,'Valo FX'!$A:$A,0)),INDEX(Base!$V:$V,MATCH($A6,Base!$A:$A,0)),0)))</f>
        <v>10.975193000000001</v>
      </c>
      <c r="DE6" s="21">
        <f>IF(DE$1&lt;INDEX('Valo FX'!$Q:$Q,MATCH($A6,'Valo FX'!$A:$A,0)),0,IF(DE$1&lt;INDEX('Valo FX'!$R:$R,MATCH($A6,'Valo FX'!$A:$A,0)),INDEX(Base!$U:$U,MATCH($A6,Base!$A:$A,0)),IF(DE$1=INDEX('Valo FX'!$R:$R,MATCH($A6,'Valo FX'!$A:$A,0)),INDEX(Base!$V:$V,MATCH($A6,Base!$A:$A,0)),0)))</f>
        <v>10.975193000000001</v>
      </c>
      <c r="DF6" s="21">
        <f>IF(DF$1&lt;INDEX('Valo FX'!$Q:$Q,MATCH($A6,'Valo FX'!$A:$A,0)),0,IF(DF$1&lt;INDEX('Valo FX'!$R:$R,MATCH($A6,'Valo FX'!$A:$A,0)),INDEX(Base!$U:$U,MATCH($A6,Base!$A:$A,0)),IF(DF$1=INDEX('Valo FX'!$R:$R,MATCH($A6,'Valo FX'!$A:$A,0)),INDEX(Base!$V:$V,MATCH($A6,Base!$A:$A,0)),0)))</f>
        <v>10.975193000000001</v>
      </c>
      <c r="DG6" s="21">
        <f>IF(DG$1&lt;INDEX('Valo FX'!$Q:$Q,MATCH($A6,'Valo FX'!$A:$A,0)),0,IF(DG$1&lt;INDEX('Valo FX'!$R:$R,MATCH($A6,'Valo FX'!$A:$A,0)),INDEX(Base!$U:$U,MATCH($A6,Base!$A:$A,0)),IF(DG$1=INDEX('Valo FX'!$R:$R,MATCH($A6,'Valo FX'!$A:$A,0)),INDEX(Base!$V:$V,MATCH($A6,Base!$A:$A,0)),0)))</f>
        <v>10.975193000000001</v>
      </c>
      <c r="DH6" s="21">
        <f>IF(DH$1&lt;INDEX('Valo FX'!$Q:$Q,MATCH($A6,'Valo FX'!$A:$A,0)),0,IF(DH$1&lt;INDEX('Valo FX'!$R:$R,MATCH($A6,'Valo FX'!$A:$A,0)),INDEX(Base!$U:$U,MATCH($A6,Base!$A:$A,0)),IF(DH$1=INDEX('Valo FX'!$R:$R,MATCH($A6,'Valo FX'!$A:$A,0)),INDEX(Base!$V:$V,MATCH($A6,Base!$A:$A,0)),0)))</f>
        <v>10.975193000000001</v>
      </c>
      <c r="DI6" s="21">
        <f>IF(DI$1&lt;INDEX('Valo FX'!$Q:$Q,MATCH($A6,'Valo FX'!$A:$A,0)),0,IF(DI$1&lt;INDEX('Valo FX'!$R:$R,MATCH($A6,'Valo FX'!$A:$A,0)),INDEX(Base!$U:$U,MATCH($A6,Base!$A:$A,0)),IF(DI$1=INDEX('Valo FX'!$R:$R,MATCH($A6,'Valo FX'!$A:$A,0)),INDEX(Base!$V:$V,MATCH($A6,Base!$A:$A,0)),0)))</f>
        <v>10.975193000000001</v>
      </c>
      <c r="DJ6" s="21">
        <f>IF(DJ$1&lt;INDEX('Valo FX'!$Q:$Q,MATCH($A6,'Valo FX'!$A:$A,0)),0,IF(DJ$1&lt;INDEX('Valo FX'!$R:$R,MATCH($A6,'Valo FX'!$A:$A,0)),INDEX(Base!$U:$U,MATCH($A6,Base!$A:$A,0)),IF(DJ$1=INDEX('Valo FX'!$R:$R,MATCH($A6,'Valo FX'!$A:$A,0)),INDEX(Base!$V:$V,MATCH($A6,Base!$A:$A,0)),0)))</f>
        <v>10.975193000000001</v>
      </c>
      <c r="DK6" s="21">
        <f>IF(DK$1&lt;INDEX('Valo FX'!$Q:$Q,MATCH($A6,'Valo FX'!$A:$A,0)),0,IF(DK$1&lt;INDEX('Valo FX'!$R:$R,MATCH($A6,'Valo FX'!$A:$A,0)),INDEX(Base!$U:$U,MATCH($A6,Base!$A:$A,0)),IF(DK$1=INDEX('Valo FX'!$R:$R,MATCH($A6,'Valo FX'!$A:$A,0)),INDEX(Base!$V:$V,MATCH($A6,Base!$A:$A,0)),0)))</f>
        <v>10.975193000000001</v>
      </c>
      <c r="DL6" s="21">
        <f>IF(DL$1&lt;INDEX('Valo FX'!$Q:$Q,MATCH($A6,'Valo FX'!$A:$A,0)),0,IF(DL$1&lt;INDEX('Valo FX'!$R:$R,MATCH($A6,'Valo FX'!$A:$A,0)),INDEX(Base!$U:$U,MATCH($A6,Base!$A:$A,0)),IF(DL$1=INDEX('Valo FX'!$R:$R,MATCH($A6,'Valo FX'!$A:$A,0)),INDEX(Base!$V:$V,MATCH($A6,Base!$A:$A,0)),0)))</f>
        <v>10.975193000000001</v>
      </c>
      <c r="DM6" s="21">
        <f>IF(DM$1&lt;INDEX('Valo FX'!$Q:$Q,MATCH($A6,'Valo FX'!$A:$A,0)),0,IF(DM$1&lt;INDEX('Valo FX'!$R:$R,MATCH($A6,'Valo FX'!$A:$A,0)),INDEX(Base!$U:$U,MATCH($A6,Base!$A:$A,0)),IF(DM$1=INDEX('Valo FX'!$R:$R,MATCH($A6,'Valo FX'!$A:$A,0)),INDEX(Base!$V:$V,MATCH($A6,Base!$A:$A,0)),0)))</f>
        <v>10.975193000000001</v>
      </c>
      <c r="DN6" s="21">
        <f>IF(DN$1&lt;INDEX('Valo FX'!$Q:$Q,MATCH($A6,'Valo FX'!$A:$A,0)),0,IF(DN$1&lt;INDEX('Valo FX'!$R:$R,MATCH($A6,'Valo FX'!$A:$A,0)),INDEX(Base!$U:$U,MATCH($A6,Base!$A:$A,0)),IF(DN$1=INDEX('Valo FX'!$R:$R,MATCH($A6,'Valo FX'!$A:$A,0)),INDEX(Base!$V:$V,MATCH($A6,Base!$A:$A,0)),0)))</f>
        <v>10.975193000000001</v>
      </c>
      <c r="DO6" s="21">
        <f>IF(DO$1&lt;INDEX('Valo FX'!$Q:$Q,MATCH($A6,'Valo FX'!$A:$A,0)),0,IF(DO$1&lt;INDEX('Valo FX'!$R:$R,MATCH($A6,'Valo FX'!$A:$A,0)),INDEX(Base!$U:$U,MATCH($A6,Base!$A:$A,0)),IF(DO$1=INDEX('Valo FX'!$R:$R,MATCH($A6,'Valo FX'!$A:$A,0)),INDEX(Base!$V:$V,MATCH($A6,Base!$A:$A,0)),0)))</f>
        <v>10.975193000000001</v>
      </c>
      <c r="DP6" s="21">
        <f>IF(DP$1&lt;INDEX('Valo FX'!$Q:$Q,MATCH($A6,'Valo FX'!$A:$A,0)),0,IF(DP$1&lt;INDEX('Valo FX'!$R:$R,MATCH($A6,'Valo FX'!$A:$A,0)),INDEX(Base!$U:$U,MATCH($A6,Base!$A:$A,0)),IF(DP$1=INDEX('Valo FX'!$R:$R,MATCH($A6,'Valo FX'!$A:$A,0)),INDEX(Base!$V:$V,MATCH($A6,Base!$A:$A,0)),0)))</f>
        <v>10.975193000000001</v>
      </c>
      <c r="DQ6" s="21">
        <f>IF(DQ$1&lt;INDEX('Valo FX'!$Q:$Q,MATCH($A6,'Valo FX'!$A:$A,0)),0,IF(DQ$1&lt;INDEX('Valo FX'!$R:$R,MATCH($A6,'Valo FX'!$A:$A,0)),INDEX(Base!$U:$U,MATCH($A6,Base!$A:$A,0)),IF(DQ$1=INDEX('Valo FX'!$R:$R,MATCH($A6,'Valo FX'!$A:$A,0)),INDEX(Base!$V:$V,MATCH($A6,Base!$A:$A,0)),0)))</f>
        <v>10.975193000000001</v>
      </c>
      <c r="DR6" s="21">
        <f>IF(DR$1&lt;INDEX('Valo FX'!$Q:$Q,MATCH($A6,'Valo FX'!$A:$A,0)),0,IF(DR$1&lt;INDEX('Valo FX'!$R:$R,MATCH($A6,'Valo FX'!$A:$A,0)),INDEX(Base!$U:$U,MATCH($A6,Base!$A:$A,0)),IF(DR$1=INDEX('Valo FX'!$R:$R,MATCH($A6,'Valo FX'!$A:$A,0)),INDEX(Base!$V:$V,MATCH($A6,Base!$A:$A,0)),0)))</f>
        <v>10.975193000000001</v>
      </c>
      <c r="DS6" s="21">
        <f>IF(DS$1&lt;INDEX('Valo FX'!$Q:$Q,MATCH($A6,'Valo FX'!$A:$A,0)),0,IF(DS$1&lt;INDEX('Valo FX'!$R:$R,MATCH($A6,'Valo FX'!$A:$A,0)),INDEX(Base!$U:$U,MATCH($A6,Base!$A:$A,0)),IF(DS$1=INDEX('Valo FX'!$R:$R,MATCH($A6,'Valo FX'!$A:$A,0)),INDEX(Base!$V:$V,MATCH($A6,Base!$A:$A,0)),0)))</f>
        <v>10.975193000000001</v>
      </c>
      <c r="DT6" s="21">
        <f>IF(DT$1&lt;INDEX('Valo FX'!$Q:$Q,MATCH($A6,'Valo FX'!$A:$A,0)),0,IF(DT$1&lt;INDEX('Valo FX'!$R:$R,MATCH($A6,'Valo FX'!$A:$A,0)),INDEX(Base!$U:$U,MATCH($A6,Base!$A:$A,0)),IF(DT$1=INDEX('Valo FX'!$R:$R,MATCH($A6,'Valo FX'!$A:$A,0)),INDEX(Base!$V:$V,MATCH($A6,Base!$A:$A,0)),0)))</f>
        <v>10.975193000000001</v>
      </c>
      <c r="DU6" s="21">
        <f>IF(DU$1&lt;INDEX('Valo FX'!$Q:$Q,MATCH($A6,'Valo FX'!$A:$A,0)),0,IF(DU$1&lt;INDEX('Valo FX'!$R:$R,MATCH($A6,'Valo FX'!$A:$A,0)),INDEX(Base!$U:$U,MATCH($A6,Base!$A:$A,0)),IF(DU$1=INDEX('Valo FX'!$R:$R,MATCH($A6,'Valo FX'!$A:$A,0)),INDEX(Base!$V:$V,MATCH($A6,Base!$A:$A,0)),0)))</f>
        <v>10.975193000000001</v>
      </c>
      <c r="DV6" s="21">
        <f>IF(DV$1&lt;INDEX('Valo FX'!$Q:$Q,MATCH($A6,'Valo FX'!$A:$A,0)),0,IF(DV$1&lt;INDEX('Valo FX'!$R:$R,MATCH($A6,'Valo FX'!$A:$A,0)),INDEX(Base!$U:$U,MATCH($A6,Base!$A:$A,0)),IF(DV$1=INDEX('Valo FX'!$R:$R,MATCH($A6,'Valo FX'!$A:$A,0)),INDEX(Base!$V:$V,MATCH($A6,Base!$A:$A,0)),0)))</f>
        <v>10.975193000000001</v>
      </c>
      <c r="DW6" s="21">
        <f>IF(DW$1&lt;INDEX('Valo FX'!$Q:$Q,MATCH($A6,'Valo FX'!$A:$A,0)),0,IF(DW$1&lt;INDEX('Valo FX'!$R:$R,MATCH($A6,'Valo FX'!$A:$A,0)),INDEX(Base!$U:$U,MATCH($A6,Base!$A:$A,0)),IF(DW$1=INDEX('Valo FX'!$R:$R,MATCH($A6,'Valo FX'!$A:$A,0)),INDEX(Base!$V:$V,MATCH($A6,Base!$A:$A,0)),0)))</f>
        <v>10.975193000000001</v>
      </c>
      <c r="DX6" s="21">
        <f>IF(DX$1&lt;INDEX('Valo FX'!$Q:$Q,MATCH($A6,'Valo FX'!$A:$A,0)),0,IF(DX$1&lt;INDEX('Valo FX'!$R:$R,MATCH($A6,'Valo FX'!$A:$A,0)),INDEX(Base!$U:$U,MATCH($A6,Base!$A:$A,0)),IF(DX$1=INDEX('Valo FX'!$R:$R,MATCH($A6,'Valo FX'!$A:$A,0)),INDEX(Base!$V:$V,MATCH($A6,Base!$A:$A,0)),0)))</f>
        <v>10.975193000000001</v>
      </c>
      <c r="DY6" s="21">
        <f>IF(DY$1&lt;INDEX('Valo FX'!$Q:$Q,MATCH($A6,'Valo FX'!$A:$A,0)),0,IF(DY$1&lt;INDEX('Valo FX'!$R:$R,MATCH($A6,'Valo FX'!$A:$A,0)),INDEX(Base!$U:$U,MATCH($A6,Base!$A:$A,0)),IF(DY$1=INDEX('Valo FX'!$R:$R,MATCH($A6,'Valo FX'!$A:$A,0)),INDEX(Base!$V:$V,MATCH($A6,Base!$A:$A,0)),0)))</f>
        <v>10.975193000000001</v>
      </c>
      <c r="DZ6" s="21">
        <f>IF(DZ$1&lt;INDEX('Valo FX'!$Q:$Q,MATCH($A6,'Valo FX'!$A:$A,0)),0,IF(DZ$1&lt;INDEX('Valo FX'!$R:$R,MATCH($A6,'Valo FX'!$A:$A,0)),INDEX(Base!$U:$U,MATCH($A6,Base!$A:$A,0)),IF(DZ$1=INDEX('Valo FX'!$R:$R,MATCH($A6,'Valo FX'!$A:$A,0)),INDEX(Base!$V:$V,MATCH($A6,Base!$A:$A,0)),0)))</f>
        <v>10.975193000000001</v>
      </c>
      <c r="EA6" s="21">
        <f>IF(EA$1&lt;INDEX('Valo FX'!$Q:$Q,MATCH($A6,'Valo FX'!$A:$A,0)),0,IF(EA$1&lt;INDEX('Valo FX'!$R:$R,MATCH($A6,'Valo FX'!$A:$A,0)),INDEX(Base!$U:$U,MATCH($A6,Base!$A:$A,0)),IF(EA$1=INDEX('Valo FX'!$R:$R,MATCH($A6,'Valo FX'!$A:$A,0)),INDEX(Base!$V:$V,MATCH($A6,Base!$A:$A,0)),0)))</f>
        <v>10.975193000000001</v>
      </c>
      <c r="EB6" s="21">
        <f>IF(EB$1&lt;INDEX('Valo FX'!$Q:$Q,MATCH($A6,'Valo FX'!$A:$A,0)),0,IF(EB$1&lt;INDEX('Valo FX'!$R:$R,MATCH($A6,'Valo FX'!$A:$A,0)),INDEX(Base!$U:$U,MATCH($A6,Base!$A:$A,0)),IF(EB$1=INDEX('Valo FX'!$R:$R,MATCH($A6,'Valo FX'!$A:$A,0)),INDEX(Base!$V:$V,MATCH($A6,Base!$A:$A,0)),0)))</f>
        <v>10.975193000000001</v>
      </c>
      <c r="EC6" s="21">
        <f>IF(EC$1&lt;INDEX('Valo FX'!$Q:$Q,MATCH($A6,'Valo FX'!$A:$A,0)),0,IF(EC$1&lt;INDEX('Valo FX'!$R:$R,MATCH($A6,'Valo FX'!$A:$A,0)),INDEX(Base!$U:$U,MATCH($A6,Base!$A:$A,0)),IF(EC$1=INDEX('Valo FX'!$R:$R,MATCH($A6,'Valo FX'!$A:$A,0)),INDEX(Base!$V:$V,MATCH($A6,Base!$A:$A,0)),0)))</f>
        <v>10.975193000000001</v>
      </c>
      <c r="ED6" s="21">
        <f>IF(ED$1&lt;INDEX('Valo FX'!$Q:$Q,MATCH($A6,'Valo FX'!$A:$A,0)),0,IF(ED$1&lt;INDEX('Valo FX'!$R:$R,MATCH($A6,'Valo FX'!$A:$A,0)),INDEX(Base!$U:$U,MATCH($A6,Base!$A:$A,0)),IF(ED$1=INDEX('Valo FX'!$R:$R,MATCH($A6,'Valo FX'!$A:$A,0)),INDEX(Base!$V:$V,MATCH($A6,Base!$A:$A,0)),0)))</f>
        <v>10.975193000000001</v>
      </c>
      <c r="EE6" s="21">
        <f>IF(EE$1&lt;INDEX('Valo FX'!$Q:$Q,MATCH($A6,'Valo FX'!$A:$A,0)),0,IF(EE$1&lt;INDEX('Valo FX'!$R:$R,MATCH($A6,'Valo FX'!$A:$A,0)),INDEX(Base!$U:$U,MATCH($A6,Base!$A:$A,0)),IF(EE$1=INDEX('Valo FX'!$R:$R,MATCH($A6,'Valo FX'!$A:$A,0)),INDEX(Base!$V:$V,MATCH($A6,Base!$A:$A,0)),0)))</f>
        <v>10.975193000000001</v>
      </c>
      <c r="EF6" s="21">
        <f>IF(EF$1&lt;INDEX('Valo FX'!$Q:$Q,MATCH($A6,'Valo FX'!$A:$A,0)),0,IF(EF$1&lt;INDEX('Valo FX'!$R:$R,MATCH($A6,'Valo FX'!$A:$A,0)),INDEX(Base!$U:$U,MATCH($A6,Base!$A:$A,0)),IF(EF$1=INDEX('Valo FX'!$R:$R,MATCH($A6,'Valo FX'!$A:$A,0)),INDEX(Base!$V:$V,MATCH($A6,Base!$A:$A,0)),0)))</f>
        <v>10.975193000000001</v>
      </c>
      <c r="EG6" s="21">
        <f>IF(EG$1&lt;INDEX('Valo FX'!$Q:$Q,MATCH($A6,'Valo FX'!$A:$A,0)),0,IF(EG$1&lt;INDEX('Valo FX'!$R:$R,MATCH($A6,'Valo FX'!$A:$A,0)),INDEX(Base!$U:$U,MATCH($A6,Base!$A:$A,0)),IF(EG$1=INDEX('Valo FX'!$R:$R,MATCH($A6,'Valo FX'!$A:$A,0)),INDEX(Base!$V:$V,MATCH($A6,Base!$A:$A,0)),0)))</f>
        <v>10.975193000000001</v>
      </c>
      <c r="EH6" s="21">
        <f>IF(EH$1&lt;INDEX('Valo FX'!$Q:$Q,MATCH($A6,'Valo FX'!$A:$A,0)),0,IF(EH$1&lt;INDEX('Valo FX'!$R:$R,MATCH($A6,'Valo FX'!$A:$A,0)),INDEX(Base!$U:$U,MATCH($A6,Base!$A:$A,0)),IF(EH$1=INDEX('Valo FX'!$R:$R,MATCH($A6,'Valo FX'!$A:$A,0)),INDEX(Base!$V:$V,MATCH($A6,Base!$A:$A,0)),0)))</f>
        <v>10.975193000000001</v>
      </c>
      <c r="EI6" s="21">
        <f>IF(EI$1&lt;INDEX('Valo FX'!$Q:$Q,MATCH($A6,'Valo FX'!$A:$A,0)),0,IF(EI$1&lt;INDEX('Valo FX'!$R:$R,MATCH($A6,'Valo FX'!$A:$A,0)),INDEX(Base!$U:$U,MATCH($A6,Base!$A:$A,0)),IF(EI$1=INDEX('Valo FX'!$R:$R,MATCH($A6,'Valo FX'!$A:$A,0)),INDEX(Base!$V:$V,MATCH($A6,Base!$A:$A,0)),0)))</f>
        <v>10.975193000000001</v>
      </c>
      <c r="EJ6" s="21">
        <f>IF(EJ$1&lt;INDEX('Valo FX'!$Q:$Q,MATCH($A6,'Valo FX'!$A:$A,0)),0,IF(EJ$1&lt;INDEX('Valo FX'!$R:$R,MATCH($A6,'Valo FX'!$A:$A,0)),INDEX(Base!$U:$U,MATCH($A6,Base!$A:$A,0)),IF(EJ$1=INDEX('Valo FX'!$R:$R,MATCH($A6,'Valo FX'!$A:$A,0)),INDEX(Base!$V:$V,MATCH($A6,Base!$A:$A,0)),0)))</f>
        <v>10.975193000000001</v>
      </c>
      <c r="EK6" s="21">
        <f>IF(EK$1&lt;INDEX('Valo FX'!$Q:$Q,MATCH($A6,'Valo FX'!$A:$A,0)),0,IF(EK$1&lt;INDEX('Valo FX'!$R:$R,MATCH($A6,'Valo FX'!$A:$A,0)),INDEX(Base!$U:$U,MATCH($A6,Base!$A:$A,0)),IF(EK$1=INDEX('Valo FX'!$R:$R,MATCH($A6,'Valo FX'!$A:$A,0)),INDEX(Base!$V:$V,MATCH($A6,Base!$A:$A,0)),0)))</f>
        <v>10.975193000000001</v>
      </c>
      <c r="EL6" s="21">
        <f>IF(EL$1&lt;INDEX('Valo FX'!$Q:$Q,MATCH($A6,'Valo FX'!$A:$A,0)),0,IF(EL$1&lt;INDEX('Valo FX'!$R:$R,MATCH($A6,'Valo FX'!$A:$A,0)),INDEX(Base!$U:$U,MATCH($A6,Base!$A:$A,0)),IF(EL$1=INDEX('Valo FX'!$R:$R,MATCH($A6,'Valo FX'!$A:$A,0)),INDEX(Base!$V:$V,MATCH($A6,Base!$A:$A,0)),0)))</f>
        <v>10.975193000000001</v>
      </c>
      <c r="EM6" s="21">
        <f>IF(EM$1&lt;INDEX('Valo FX'!$Q:$Q,MATCH($A6,'Valo FX'!$A:$A,0)),0,IF(EM$1&lt;INDEX('Valo FX'!$R:$R,MATCH($A6,'Valo FX'!$A:$A,0)),INDEX(Base!$U:$U,MATCH($A6,Base!$A:$A,0)),IF(EM$1=INDEX('Valo FX'!$R:$R,MATCH($A6,'Valo FX'!$A:$A,0)),INDEX(Base!$V:$V,MATCH($A6,Base!$A:$A,0)),0)))</f>
        <v>10.975193000000001</v>
      </c>
      <c r="EN6" s="21">
        <f>IF(EN$1&lt;INDEX('Valo FX'!$Q:$Q,MATCH($A6,'Valo FX'!$A:$A,0)),0,IF(EN$1&lt;INDEX('Valo FX'!$R:$R,MATCH($A6,'Valo FX'!$A:$A,0)),INDEX(Base!$U:$U,MATCH($A6,Base!$A:$A,0)),IF(EN$1=INDEX('Valo FX'!$R:$R,MATCH($A6,'Valo FX'!$A:$A,0)),INDEX(Base!$V:$V,MATCH($A6,Base!$A:$A,0)),0)))</f>
        <v>10.975193000000001</v>
      </c>
      <c r="EO6" s="21">
        <f>IF(EO$1&lt;INDEX('Valo FX'!$Q:$Q,MATCH($A6,'Valo FX'!$A:$A,0)),0,IF(EO$1&lt;INDEX('Valo FX'!$R:$R,MATCH($A6,'Valo FX'!$A:$A,0)),INDEX(Base!$U:$U,MATCH($A6,Base!$A:$A,0)),IF(EO$1=INDEX('Valo FX'!$R:$R,MATCH($A6,'Valo FX'!$A:$A,0)),INDEX(Base!$V:$V,MATCH($A6,Base!$A:$A,0)),0)))</f>
        <v>10.975193000000001</v>
      </c>
      <c r="EP6" s="21">
        <f>IF(EP$1&lt;INDEX('Valo FX'!$Q:$Q,MATCH($A6,'Valo FX'!$A:$A,0)),0,IF(EP$1&lt;INDEX('Valo FX'!$R:$R,MATCH($A6,'Valo FX'!$A:$A,0)),INDEX(Base!$U:$U,MATCH($A6,Base!$A:$A,0)),IF(EP$1=INDEX('Valo FX'!$R:$R,MATCH($A6,'Valo FX'!$A:$A,0)),INDEX(Base!$V:$V,MATCH($A6,Base!$A:$A,0)),0)))</f>
        <v>10.975193000000001</v>
      </c>
      <c r="EQ6" s="21">
        <f>IF(EQ$1&lt;INDEX('Valo FX'!$Q:$Q,MATCH($A6,'Valo FX'!$A:$A,0)),0,IF(EQ$1&lt;INDEX('Valo FX'!$R:$R,MATCH($A6,'Valo FX'!$A:$A,0)),INDEX(Base!$U:$U,MATCH($A6,Base!$A:$A,0)),IF(EQ$1=INDEX('Valo FX'!$R:$R,MATCH($A6,'Valo FX'!$A:$A,0)),INDEX(Base!$V:$V,MATCH($A6,Base!$A:$A,0)),0)))</f>
        <v>10.975193000000001</v>
      </c>
      <c r="ER6" s="21">
        <f>IF(ER$1&lt;INDEX('Valo FX'!$Q:$Q,MATCH($A6,'Valo FX'!$A:$A,0)),0,IF(ER$1&lt;INDEX('Valo FX'!$R:$R,MATCH($A6,'Valo FX'!$A:$A,0)),INDEX(Base!$U:$U,MATCH($A6,Base!$A:$A,0)),IF(ER$1=INDEX('Valo FX'!$R:$R,MATCH($A6,'Valo FX'!$A:$A,0)),INDEX(Base!$V:$V,MATCH($A6,Base!$A:$A,0)),0)))</f>
        <v>10.975193000000001</v>
      </c>
      <c r="ES6" s="21">
        <f>IF(ES$1&lt;INDEX('Valo FX'!$Q:$Q,MATCH($A6,'Valo FX'!$A:$A,0)),0,IF(ES$1&lt;INDEX('Valo FX'!$R:$R,MATCH($A6,'Valo FX'!$A:$A,0)),INDEX(Base!$U:$U,MATCH($A6,Base!$A:$A,0)),IF(ES$1=INDEX('Valo FX'!$R:$R,MATCH($A6,'Valo FX'!$A:$A,0)),INDEX(Base!$V:$V,MATCH($A6,Base!$A:$A,0)),0)))</f>
        <v>10.975193000000001</v>
      </c>
      <c r="ET6" s="21">
        <f>IF(ET$1&lt;INDEX('Valo FX'!$Q:$Q,MATCH($A6,'Valo FX'!$A:$A,0)),0,IF(ET$1&lt;INDEX('Valo FX'!$R:$R,MATCH($A6,'Valo FX'!$A:$A,0)),INDEX(Base!$U:$U,MATCH($A6,Base!$A:$A,0)),IF(ET$1=INDEX('Valo FX'!$R:$R,MATCH($A6,'Valo FX'!$A:$A,0)),INDEX(Base!$V:$V,MATCH($A6,Base!$A:$A,0)),0)))</f>
        <v>10.975193000000001</v>
      </c>
      <c r="EU6" s="21">
        <f>IF(EU$1&lt;INDEX('Valo FX'!$Q:$Q,MATCH($A6,'Valo FX'!$A:$A,0)),0,IF(EU$1&lt;INDEX('Valo FX'!$R:$R,MATCH($A6,'Valo FX'!$A:$A,0)),INDEX(Base!$U:$U,MATCH($A6,Base!$A:$A,0)),IF(EU$1=INDEX('Valo FX'!$R:$R,MATCH($A6,'Valo FX'!$A:$A,0)),INDEX(Base!$V:$V,MATCH($A6,Base!$A:$A,0)),0)))</f>
        <v>10.975193000000001</v>
      </c>
      <c r="EV6" s="21">
        <f>IF(EV$1&lt;INDEX('Valo FX'!$Q:$Q,MATCH($A6,'Valo FX'!$A:$A,0)),0,IF(EV$1&lt;INDEX('Valo FX'!$R:$R,MATCH($A6,'Valo FX'!$A:$A,0)),INDEX(Base!$U:$U,MATCH($A6,Base!$A:$A,0)),IF(EV$1=INDEX('Valo FX'!$R:$R,MATCH($A6,'Valo FX'!$A:$A,0)),INDEX(Base!$V:$V,MATCH($A6,Base!$A:$A,0)),0)))</f>
        <v>10.975193000000001</v>
      </c>
      <c r="EW6" s="21">
        <f>IF(EW$1&lt;INDEX('Valo FX'!$Q:$Q,MATCH($A6,'Valo FX'!$A:$A,0)),0,IF(EW$1&lt;INDEX('Valo FX'!$R:$R,MATCH($A6,'Valo FX'!$A:$A,0)),INDEX(Base!$U:$U,MATCH($A6,Base!$A:$A,0)),IF(EW$1=INDEX('Valo FX'!$R:$R,MATCH($A6,'Valo FX'!$A:$A,0)),INDEX(Base!$V:$V,MATCH($A6,Base!$A:$A,0)),0)))</f>
        <v>10.975193000000001</v>
      </c>
      <c r="EX6" s="21">
        <f>IF(EX$1&lt;INDEX('Valo FX'!$Q:$Q,MATCH($A6,'Valo FX'!$A:$A,0)),0,IF(EX$1&lt;INDEX('Valo FX'!$R:$R,MATCH($A6,'Valo FX'!$A:$A,0)),INDEX(Base!$U:$U,MATCH($A6,Base!$A:$A,0)),IF(EX$1=INDEX('Valo FX'!$R:$R,MATCH($A6,'Valo FX'!$A:$A,0)),INDEX(Base!$V:$V,MATCH($A6,Base!$A:$A,0)),0)))</f>
        <v>10.975193000000001</v>
      </c>
      <c r="EY6" s="21">
        <f>IF(EY$1&lt;INDEX('Valo FX'!$Q:$Q,MATCH($A6,'Valo FX'!$A:$A,0)),0,IF(EY$1&lt;INDEX('Valo FX'!$R:$R,MATCH($A6,'Valo FX'!$A:$A,0)),INDEX(Base!$U:$U,MATCH($A6,Base!$A:$A,0)),IF(EY$1=INDEX('Valo FX'!$R:$R,MATCH($A6,'Valo FX'!$A:$A,0)),INDEX(Base!$V:$V,MATCH($A6,Base!$A:$A,0)),0)))</f>
        <v>10.975193000000001</v>
      </c>
      <c r="EZ6" s="21">
        <f>IF(EZ$1&lt;INDEX('Valo FX'!$Q:$Q,MATCH($A6,'Valo FX'!$A:$A,0)),0,IF(EZ$1&lt;INDEX('Valo FX'!$R:$R,MATCH($A6,'Valo FX'!$A:$A,0)),INDEX(Base!$U:$U,MATCH($A6,Base!$A:$A,0)),IF(EZ$1=INDEX('Valo FX'!$R:$R,MATCH($A6,'Valo FX'!$A:$A,0)),INDEX(Base!$V:$V,MATCH($A6,Base!$A:$A,0)),0)))</f>
        <v>10.975193000000001</v>
      </c>
      <c r="FA6" s="21">
        <f>IF(FA$1&lt;INDEX('Valo FX'!$Q:$Q,MATCH($A6,'Valo FX'!$A:$A,0)),0,IF(FA$1&lt;INDEX('Valo FX'!$R:$R,MATCH($A6,'Valo FX'!$A:$A,0)),INDEX(Base!$U:$U,MATCH($A6,Base!$A:$A,0)),IF(FA$1=INDEX('Valo FX'!$R:$R,MATCH($A6,'Valo FX'!$A:$A,0)),INDEX(Base!$V:$V,MATCH($A6,Base!$A:$A,0)),0)))</f>
        <v>10.975193000000001</v>
      </c>
      <c r="FB6" s="21">
        <f>IF(FB$1&lt;INDEX('Valo FX'!$Q:$Q,MATCH($A6,'Valo FX'!$A:$A,0)),0,IF(FB$1&lt;INDEX('Valo FX'!$R:$R,MATCH($A6,'Valo FX'!$A:$A,0)),INDEX(Base!$U:$U,MATCH($A6,Base!$A:$A,0)),IF(FB$1=INDEX('Valo FX'!$R:$R,MATCH($A6,'Valo FX'!$A:$A,0)),INDEX(Base!$V:$V,MATCH($A6,Base!$A:$A,0)),0)))</f>
        <v>10.975193000000001</v>
      </c>
      <c r="FC6" s="21">
        <f>IF(FC$1&lt;INDEX('Valo FX'!$Q:$Q,MATCH($A6,'Valo FX'!$A:$A,0)),0,IF(FC$1&lt;INDEX('Valo FX'!$R:$R,MATCH($A6,'Valo FX'!$A:$A,0)),INDEX(Base!$U:$U,MATCH($A6,Base!$A:$A,0)),IF(FC$1=INDEX('Valo FX'!$R:$R,MATCH($A6,'Valo FX'!$A:$A,0)),INDEX(Base!$V:$V,MATCH($A6,Base!$A:$A,0)),0)))</f>
        <v>10.975193000000001</v>
      </c>
      <c r="FD6" s="21">
        <f>IF(FD$1&lt;INDEX('Valo FX'!$Q:$Q,MATCH($A6,'Valo FX'!$A:$A,0)),0,IF(FD$1&lt;INDEX('Valo FX'!$R:$R,MATCH($A6,'Valo FX'!$A:$A,0)),INDEX(Base!$U:$U,MATCH($A6,Base!$A:$A,0)),IF(FD$1=INDEX('Valo FX'!$R:$R,MATCH($A6,'Valo FX'!$A:$A,0)),INDEX(Base!$V:$V,MATCH($A6,Base!$A:$A,0)),0)))</f>
        <v>10.975193000000001</v>
      </c>
      <c r="FE6" s="21">
        <f>IF(FE$1&lt;INDEX('Valo FX'!$Q:$Q,MATCH($A6,'Valo FX'!$A:$A,0)),0,IF(FE$1&lt;INDEX('Valo FX'!$R:$R,MATCH($A6,'Valo FX'!$A:$A,0)),INDEX(Base!$U:$U,MATCH($A6,Base!$A:$A,0)),IF(FE$1=INDEX('Valo FX'!$R:$R,MATCH($A6,'Valo FX'!$A:$A,0)),INDEX(Base!$V:$V,MATCH($A6,Base!$A:$A,0)),0)))</f>
        <v>10.975193000000001</v>
      </c>
      <c r="FF6" s="21">
        <f>IF(FF$1&lt;INDEX('Valo FX'!$Q:$Q,MATCH($A6,'Valo FX'!$A:$A,0)),0,IF(FF$1&lt;INDEX('Valo FX'!$R:$R,MATCH($A6,'Valo FX'!$A:$A,0)),INDEX(Base!$U:$U,MATCH($A6,Base!$A:$A,0)),IF(FF$1=INDEX('Valo FX'!$R:$R,MATCH($A6,'Valo FX'!$A:$A,0)),INDEX(Base!$V:$V,MATCH($A6,Base!$A:$A,0)),0)))</f>
        <v>10.975193000000001</v>
      </c>
      <c r="FG6" s="21">
        <f>IF(FG$1&lt;INDEX('Valo FX'!$Q:$Q,MATCH($A6,'Valo FX'!$A:$A,0)),0,IF(FG$1&lt;INDEX('Valo FX'!$R:$R,MATCH($A6,'Valo FX'!$A:$A,0)),INDEX(Base!$U:$U,MATCH($A6,Base!$A:$A,0)),IF(FG$1=INDEX('Valo FX'!$R:$R,MATCH($A6,'Valo FX'!$A:$A,0)),INDEX(Base!$V:$V,MATCH($A6,Base!$A:$A,0)),0)))</f>
        <v>10.975193000000001</v>
      </c>
      <c r="FH6" s="21">
        <f>IF(FH$1&lt;INDEX('Valo FX'!$Q:$Q,MATCH($A6,'Valo FX'!$A:$A,0)),0,IF(FH$1&lt;INDEX('Valo FX'!$R:$R,MATCH($A6,'Valo FX'!$A:$A,0)),INDEX(Base!$U:$U,MATCH($A6,Base!$A:$A,0)),IF(FH$1=INDEX('Valo FX'!$R:$R,MATCH($A6,'Valo FX'!$A:$A,0)),INDEX(Base!$V:$V,MATCH($A6,Base!$A:$A,0)),0)))</f>
        <v>10.975193000000001</v>
      </c>
      <c r="FI6" s="21">
        <f>IF(FI$1&lt;INDEX('Valo FX'!$Q:$Q,MATCH($A6,'Valo FX'!$A:$A,0)),0,IF(FI$1&lt;INDEX('Valo FX'!$R:$R,MATCH($A6,'Valo FX'!$A:$A,0)),INDEX(Base!$U:$U,MATCH($A6,Base!$A:$A,0)),IF(FI$1=INDEX('Valo FX'!$R:$R,MATCH($A6,'Valo FX'!$A:$A,0)),INDEX(Base!$V:$V,MATCH($A6,Base!$A:$A,0)),0)))</f>
        <v>10.975193000000001</v>
      </c>
      <c r="FJ6" s="21">
        <f>IF(FJ$1&lt;INDEX('Valo FX'!$Q:$Q,MATCH($A6,'Valo FX'!$A:$A,0)),0,IF(FJ$1&lt;INDEX('Valo FX'!$R:$R,MATCH($A6,'Valo FX'!$A:$A,0)),INDEX(Base!$U:$U,MATCH($A6,Base!$A:$A,0)),IF(FJ$1=INDEX('Valo FX'!$R:$R,MATCH($A6,'Valo FX'!$A:$A,0)),INDEX(Base!$V:$V,MATCH($A6,Base!$A:$A,0)),0)))</f>
        <v>10.975193000000001</v>
      </c>
      <c r="FK6" s="21">
        <f>IF(FK$1&lt;INDEX('Valo FX'!$Q:$Q,MATCH($A6,'Valo FX'!$A:$A,0)),0,IF(FK$1&lt;INDEX('Valo FX'!$R:$R,MATCH($A6,'Valo FX'!$A:$A,0)),INDEX(Base!$U:$U,MATCH($A6,Base!$A:$A,0)),IF(FK$1=INDEX('Valo FX'!$R:$R,MATCH($A6,'Valo FX'!$A:$A,0)),INDEX(Base!$V:$V,MATCH($A6,Base!$A:$A,0)),0)))</f>
        <v>10.975193000000001</v>
      </c>
      <c r="FL6" s="21">
        <f>IF(FL$1&lt;INDEX('Valo FX'!$Q:$Q,MATCH($A6,'Valo FX'!$A:$A,0)),0,IF(FL$1&lt;INDEX('Valo FX'!$R:$R,MATCH($A6,'Valo FX'!$A:$A,0)),INDEX(Base!$U:$U,MATCH($A6,Base!$A:$A,0)),IF(FL$1=INDEX('Valo FX'!$R:$R,MATCH($A6,'Valo FX'!$A:$A,0)),INDEX(Base!$V:$V,MATCH($A6,Base!$A:$A,0)),0)))</f>
        <v>10.975193000000001</v>
      </c>
      <c r="FM6" s="21">
        <f>IF(FM$1&lt;INDEX('Valo FX'!$Q:$Q,MATCH($A6,'Valo FX'!$A:$A,0)),0,IF(FM$1&lt;INDEX('Valo FX'!$R:$R,MATCH($A6,'Valo FX'!$A:$A,0)),INDEX(Base!$U:$U,MATCH($A6,Base!$A:$A,0)),IF(FM$1=INDEX('Valo FX'!$R:$R,MATCH($A6,'Valo FX'!$A:$A,0)),INDEX(Base!$V:$V,MATCH($A6,Base!$A:$A,0)),0)))</f>
        <v>10.975193000000001</v>
      </c>
      <c r="FN6" s="21">
        <f>IF(FN$1&lt;INDEX('Valo FX'!$Q:$Q,MATCH($A6,'Valo FX'!$A:$A,0)),0,IF(FN$1&lt;INDEX('Valo FX'!$R:$R,MATCH($A6,'Valo FX'!$A:$A,0)),INDEX(Base!$U:$U,MATCH($A6,Base!$A:$A,0)),IF(FN$1=INDEX('Valo FX'!$R:$R,MATCH($A6,'Valo FX'!$A:$A,0)),INDEX(Base!$V:$V,MATCH($A6,Base!$A:$A,0)),0)))</f>
        <v>10.975193000000001</v>
      </c>
      <c r="FO6" s="21">
        <f>IF(FO$1&lt;INDEX('Valo FX'!$Q:$Q,MATCH($A6,'Valo FX'!$A:$A,0)),0,IF(FO$1&lt;INDEX('Valo FX'!$R:$R,MATCH($A6,'Valo FX'!$A:$A,0)),INDEX(Base!$U:$U,MATCH($A6,Base!$A:$A,0)),IF(FO$1=INDEX('Valo FX'!$R:$R,MATCH($A6,'Valo FX'!$A:$A,0)),INDEX(Base!$V:$V,MATCH($A6,Base!$A:$A,0)),0)))</f>
        <v>10.975193000000001</v>
      </c>
      <c r="FP6" s="21">
        <f>IF(FP$1&lt;INDEX('Valo FX'!$Q:$Q,MATCH($A6,'Valo FX'!$A:$A,0)),0,IF(FP$1&lt;INDEX('Valo FX'!$R:$R,MATCH($A6,'Valo FX'!$A:$A,0)),INDEX(Base!$U:$U,MATCH($A6,Base!$A:$A,0)),IF(FP$1=INDEX('Valo FX'!$R:$R,MATCH($A6,'Valo FX'!$A:$A,0)),INDEX(Base!$V:$V,MATCH($A6,Base!$A:$A,0)),0)))</f>
        <v>10.975193000000001</v>
      </c>
      <c r="FQ6" s="21">
        <f>IF(FQ$1&lt;INDEX('Valo FX'!$Q:$Q,MATCH($A6,'Valo FX'!$A:$A,0)),0,IF(FQ$1&lt;INDEX('Valo FX'!$R:$R,MATCH($A6,'Valo FX'!$A:$A,0)),INDEX(Base!$U:$U,MATCH($A6,Base!$A:$A,0)),IF(FQ$1=INDEX('Valo FX'!$R:$R,MATCH($A6,'Valo FX'!$A:$A,0)),INDEX(Base!$V:$V,MATCH($A6,Base!$A:$A,0)),0)))</f>
        <v>10.975193000000001</v>
      </c>
      <c r="FR6" s="21">
        <f>IF(FR$1&lt;INDEX('Valo FX'!$Q:$Q,MATCH($A6,'Valo FX'!$A:$A,0)),0,IF(FR$1&lt;INDEX('Valo FX'!$R:$R,MATCH($A6,'Valo FX'!$A:$A,0)),INDEX(Base!$U:$U,MATCH($A6,Base!$A:$A,0)),IF(FR$1=INDEX('Valo FX'!$R:$R,MATCH($A6,'Valo FX'!$A:$A,0)),INDEX(Base!$V:$V,MATCH($A6,Base!$A:$A,0)),0)))</f>
        <v>10.975193000000001</v>
      </c>
      <c r="FS6" s="21">
        <f>IF(FS$1&lt;INDEX('Valo FX'!$Q:$Q,MATCH($A6,'Valo FX'!$A:$A,0)),0,IF(FS$1&lt;INDEX('Valo FX'!$R:$R,MATCH($A6,'Valo FX'!$A:$A,0)),INDEX(Base!$U:$U,MATCH($A6,Base!$A:$A,0)),IF(FS$1=INDEX('Valo FX'!$R:$R,MATCH($A6,'Valo FX'!$A:$A,0)),INDEX(Base!$V:$V,MATCH($A6,Base!$A:$A,0)),0)))</f>
        <v>10.975193000000001</v>
      </c>
      <c r="FT6" s="21">
        <f>IF(FT$1&lt;INDEX('Valo FX'!$Q:$Q,MATCH($A6,'Valo FX'!$A:$A,0)),0,IF(FT$1&lt;INDEX('Valo FX'!$R:$R,MATCH($A6,'Valo FX'!$A:$A,0)),INDEX(Base!$U:$U,MATCH($A6,Base!$A:$A,0)),IF(FT$1=INDEX('Valo FX'!$R:$R,MATCH($A6,'Valo FX'!$A:$A,0)),INDEX(Base!$V:$V,MATCH($A6,Base!$A:$A,0)),0)))</f>
        <v>10.975193000000001</v>
      </c>
      <c r="FU6" s="21">
        <f>IF(FU$1&lt;INDEX('Valo FX'!$Q:$Q,MATCH($A6,'Valo FX'!$A:$A,0)),0,IF(FU$1&lt;INDEX('Valo FX'!$R:$R,MATCH($A6,'Valo FX'!$A:$A,0)),INDEX(Base!$U:$U,MATCH($A6,Base!$A:$A,0)),IF(FU$1=INDEX('Valo FX'!$R:$R,MATCH($A6,'Valo FX'!$A:$A,0)),INDEX(Base!$V:$V,MATCH($A6,Base!$A:$A,0)),0)))</f>
        <v>10.975193000000001</v>
      </c>
      <c r="FV6" s="21">
        <f>IF(FV$1&lt;INDEX('Valo FX'!$Q:$Q,MATCH($A6,'Valo FX'!$A:$A,0)),0,IF(FV$1&lt;INDEX('Valo FX'!$R:$R,MATCH($A6,'Valo FX'!$A:$A,0)),INDEX(Base!$U:$U,MATCH($A6,Base!$A:$A,0)),IF(FV$1=INDEX('Valo FX'!$R:$R,MATCH($A6,'Valo FX'!$A:$A,0)),INDEX(Base!$V:$V,MATCH($A6,Base!$A:$A,0)),0)))</f>
        <v>10.975193000000001</v>
      </c>
      <c r="FW6" s="21">
        <f>IF(FW$1&lt;INDEX('Valo FX'!$Q:$Q,MATCH($A6,'Valo FX'!$A:$A,0)),0,IF(FW$1&lt;INDEX('Valo FX'!$R:$R,MATCH($A6,'Valo FX'!$A:$A,0)),INDEX(Base!$U:$U,MATCH($A6,Base!$A:$A,0)),IF(FW$1=INDEX('Valo FX'!$R:$R,MATCH($A6,'Valo FX'!$A:$A,0)),INDEX(Base!$V:$V,MATCH($A6,Base!$A:$A,0)),0)))</f>
        <v>10.975193000000001</v>
      </c>
      <c r="FX6" s="21">
        <f>IF(FX$1&lt;INDEX('Valo FX'!$Q:$Q,MATCH($A6,'Valo FX'!$A:$A,0)),0,IF(FX$1&lt;INDEX('Valo FX'!$R:$R,MATCH($A6,'Valo FX'!$A:$A,0)),INDEX(Base!$U:$U,MATCH($A6,Base!$A:$A,0)),IF(FX$1=INDEX('Valo FX'!$R:$R,MATCH($A6,'Valo FX'!$A:$A,0)),INDEX(Base!$V:$V,MATCH($A6,Base!$A:$A,0)),0)))</f>
        <v>10.975193000000001</v>
      </c>
      <c r="FY6" s="21">
        <f>IF(FY$1&lt;INDEX('Valo FX'!$Q:$Q,MATCH($A6,'Valo FX'!$A:$A,0)),0,IF(FY$1&lt;INDEX('Valo FX'!$R:$R,MATCH($A6,'Valo FX'!$A:$A,0)),INDEX(Base!$U:$U,MATCH($A6,Base!$A:$A,0)),IF(FY$1=INDEX('Valo FX'!$R:$R,MATCH($A6,'Valo FX'!$A:$A,0)),INDEX(Base!$V:$V,MATCH($A6,Base!$A:$A,0)),0)))</f>
        <v>10.975193000000001</v>
      </c>
      <c r="FZ6" s="21">
        <f>IF(FZ$1&lt;INDEX('Valo FX'!$Q:$Q,MATCH($A6,'Valo FX'!$A:$A,0)),0,IF(FZ$1&lt;INDEX('Valo FX'!$R:$R,MATCH($A6,'Valo FX'!$A:$A,0)),INDEX(Base!$U:$U,MATCH($A6,Base!$A:$A,0)),IF(FZ$1=INDEX('Valo FX'!$R:$R,MATCH($A6,'Valo FX'!$A:$A,0)),INDEX(Base!$V:$V,MATCH($A6,Base!$A:$A,0)),0)))</f>
        <v>10.975193000000001</v>
      </c>
      <c r="GA6" s="21">
        <f>IF(GA$1&lt;INDEX('Valo FX'!$Q:$Q,MATCH($A6,'Valo FX'!$A:$A,0)),0,IF(GA$1&lt;INDEX('Valo FX'!$R:$R,MATCH($A6,'Valo FX'!$A:$A,0)),INDEX(Base!$U:$U,MATCH($A6,Base!$A:$A,0)),IF(GA$1=INDEX('Valo FX'!$R:$R,MATCH($A6,'Valo FX'!$A:$A,0)),INDEX(Base!$V:$V,MATCH($A6,Base!$A:$A,0)),0)))</f>
        <v>10.975193000000001</v>
      </c>
      <c r="GB6" s="21">
        <f>IF(GB$1&lt;INDEX('Valo FX'!$Q:$Q,MATCH($A6,'Valo FX'!$A:$A,0)),0,IF(GB$1&lt;INDEX('Valo FX'!$R:$R,MATCH($A6,'Valo FX'!$A:$A,0)),INDEX(Base!$U:$U,MATCH($A6,Base!$A:$A,0)),IF(GB$1=INDEX('Valo FX'!$R:$R,MATCH($A6,'Valo FX'!$A:$A,0)),INDEX(Base!$V:$V,MATCH($A6,Base!$A:$A,0)),0)))</f>
        <v>10.975193000000001</v>
      </c>
      <c r="GC6" s="21">
        <f>IF(GC$1&lt;INDEX('Valo FX'!$Q:$Q,MATCH($A6,'Valo FX'!$A:$A,0)),0,IF(GC$1&lt;INDEX('Valo FX'!$R:$R,MATCH($A6,'Valo FX'!$A:$A,0)),INDEX(Base!$U:$U,MATCH($A6,Base!$A:$A,0)),IF(GC$1=INDEX('Valo FX'!$R:$R,MATCH($A6,'Valo FX'!$A:$A,0)),INDEX(Base!$V:$V,MATCH($A6,Base!$A:$A,0)),0)))</f>
        <v>10.975193000000001</v>
      </c>
      <c r="GD6" s="21">
        <f>IF(GD$1&lt;INDEX('Valo FX'!$Q:$Q,MATCH($A6,'Valo FX'!$A:$A,0)),0,IF(GD$1&lt;INDEX('Valo FX'!$R:$R,MATCH($A6,'Valo FX'!$A:$A,0)),INDEX(Base!$U:$U,MATCH($A6,Base!$A:$A,0)),IF(GD$1=INDEX('Valo FX'!$R:$R,MATCH($A6,'Valo FX'!$A:$A,0)),INDEX(Base!$V:$V,MATCH($A6,Base!$A:$A,0)),0)))</f>
        <v>10.975193000000001</v>
      </c>
      <c r="GE6" s="21">
        <f>IF(GE$1&lt;INDEX('Valo FX'!$Q:$Q,MATCH($A6,'Valo FX'!$A:$A,0)),0,IF(GE$1&lt;INDEX('Valo FX'!$R:$R,MATCH($A6,'Valo FX'!$A:$A,0)),INDEX(Base!$U:$U,MATCH($A6,Base!$A:$A,0)),IF(GE$1=INDEX('Valo FX'!$R:$R,MATCH($A6,'Valo FX'!$A:$A,0)),INDEX(Base!$V:$V,MATCH($A6,Base!$A:$A,0)),0)))</f>
        <v>10.975193000000001</v>
      </c>
      <c r="GF6" s="21">
        <f>IF(GF$1&lt;INDEX('Valo FX'!$Q:$Q,MATCH($A6,'Valo FX'!$A:$A,0)),0,IF(GF$1&lt;INDEX('Valo FX'!$R:$R,MATCH($A6,'Valo FX'!$A:$A,0)),INDEX(Base!$U:$U,MATCH($A6,Base!$A:$A,0)),IF(GF$1=INDEX('Valo FX'!$R:$R,MATCH($A6,'Valo FX'!$A:$A,0)),INDEX(Base!$V:$V,MATCH($A6,Base!$A:$A,0)),0)))</f>
        <v>10.975193000000001</v>
      </c>
      <c r="GG6" s="21">
        <f>IF(GG$1&lt;INDEX('Valo FX'!$Q:$Q,MATCH($A6,'Valo FX'!$A:$A,0)),0,IF(GG$1&lt;INDEX('Valo FX'!$R:$R,MATCH($A6,'Valo FX'!$A:$A,0)),INDEX(Base!$U:$U,MATCH($A6,Base!$A:$A,0)),IF(GG$1=INDEX('Valo FX'!$R:$R,MATCH($A6,'Valo FX'!$A:$A,0)),INDEX(Base!$V:$V,MATCH($A6,Base!$A:$A,0)),0)))</f>
        <v>10.975193000000001</v>
      </c>
      <c r="GH6" s="21">
        <f>IF(GH$1&lt;INDEX('Valo FX'!$Q:$Q,MATCH($A6,'Valo FX'!$A:$A,0)),0,IF(GH$1&lt;INDEX('Valo FX'!$R:$R,MATCH($A6,'Valo FX'!$A:$A,0)),INDEX(Base!$U:$U,MATCH($A6,Base!$A:$A,0)),IF(GH$1=INDEX('Valo FX'!$R:$R,MATCH($A6,'Valo FX'!$A:$A,0)),INDEX(Base!$V:$V,MATCH($A6,Base!$A:$A,0)),0)))</f>
        <v>10.975193000000001</v>
      </c>
      <c r="GI6" s="21">
        <f>IF(GI$1&lt;INDEX('Valo FX'!$Q:$Q,MATCH($A6,'Valo FX'!$A:$A,0)),0,IF(GI$1&lt;INDEX('Valo FX'!$R:$R,MATCH($A6,'Valo FX'!$A:$A,0)),INDEX(Base!$U:$U,MATCH($A6,Base!$A:$A,0)),IF(GI$1=INDEX('Valo FX'!$R:$R,MATCH($A6,'Valo FX'!$A:$A,0)),INDEX(Base!$V:$V,MATCH($A6,Base!$A:$A,0)),0)))</f>
        <v>10.975193000000001</v>
      </c>
      <c r="GJ6" s="21">
        <f>IF(GJ$1&lt;INDEX('Valo FX'!$Q:$Q,MATCH($A6,'Valo FX'!$A:$A,0)),0,IF(GJ$1&lt;INDEX('Valo FX'!$R:$R,MATCH($A6,'Valo FX'!$A:$A,0)),INDEX(Base!$U:$U,MATCH($A6,Base!$A:$A,0)),IF(GJ$1=INDEX('Valo FX'!$R:$R,MATCH($A6,'Valo FX'!$A:$A,0)),INDEX(Base!$V:$V,MATCH($A6,Base!$A:$A,0)),0)))</f>
        <v>10.975193000000001</v>
      </c>
      <c r="GK6" s="21">
        <f>IF(GK$1&lt;INDEX('Valo FX'!$Q:$Q,MATCH($A6,'Valo FX'!$A:$A,0)),0,IF(GK$1&lt;INDEX('Valo FX'!$R:$R,MATCH($A6,'Valo FX'!$A:$A,0)),INDEX(Base!$U:$U,MATCH($A6,Base!$A:$A,0)),IF(GK$1=INDEX('Valo FX'!$R:$R,MATCH($A6,'Valo FX'!$A:$A,0)),INDEX(Base!$V:$V,MATCH($A6,Base!$A:$A,0)),0)))</f>
        <v>10.975193000000001</v>
      </c>
      <c r="GL6" s="21">
        <f>IF(GL$1&lt;INDEX('Valo FX'!$Q:$Q,MATCH($A6,'Valo FX'!$A:$A,0)),0,IF(GL$1&lt;INDEX('Valo FX'!$R:$R,MATCH($A6,'Valo FX'!$A:$A,0)),INDEX(Base!$U:$U,MATCH($A6,Base!$A:$A,0)),IF(GL$1=INDEX('Valo FX'!$R:$R,MATCH($A6,'Valo FX'!$A:$A,0)),INDEX(Base!$V:$V,MATCH($A6,Base!$A:$A,0)),0)))</f>
        <v>10.975193000000001</v>
      </c>
      <c r="GM6" s="21">
        <f>IF(GM$1&lt;INDEX('Valo FX'!$Q:$Q,MATCH($A6,'Valo FX'!$A:$A,0)),0,IF(GM$1&lt;INDEX('Valo FX'!$R:$R,MATCH($A6,'Valo FX'!$A:$A,0)),INDEX(Base!$U:$U,MATCH($A6,Base!$A:$A,0)),IF(GM$1=INDEX('Valo FX'!$R:$R,MATCH($A6,'Valo FX'!$A:$A,0)),INDEX(Base!$V:$V,MATCH($A6,Base!$A:$A,0)),0)))</f>
        <v>10.975193000000001</v>
      </c>
      <c r="GN6" s="21">
        <f>IF(GN$1&lt;INDEX('Valo FX'!$Q:$Q,MATCH($A6,'Valo FX'!$A:$A,0)),0,IF(GN$1&lt;INDEX('Valo FX'!$R:$R,MATCH($A6,'Valo FX'!$A:$A,0)),INDEX(Base!$U:$U,MATCH($A6,Base!$A:$A,0)),IF(GN$1=INDEX('Valo FX'!$R:$R,MATCH($A6,'Valo FX'!$A:$A,0)),INDEX(Base!$V:$V,MATCH($A6,Base!$A:$A,0)),0)))</f>
        <v>10.975193000000001</v>
      </c>
      <c r="GO6" s="21">
        <f>IF(GO$1&lt;INDEX('Valo FX'!$Q:$Q,MATCH($A6,'Valo FX'!$A:$A,0)),0,IF(GO$1&lt;INDEX('Valo FX'!$R:$R,MATCH($A6,'Valo FX'!$A:$A,0)),INDEX(Base!$U:$U,MATCH($A6,Base!$A:$A,0)),IF(GO$1=INDEX('Valo FX'!$R:$R,MATCH($A6,'Valo FX'!$A:$A,0)),INDEX(Base!$V:$V,MATCH($A6,Base!$A:$A,0)),0)))</f>
        <v>10.975193000000001</v>
      </c>
      <c r="GP6" s="21">
        <f>IF(GP$1&lt;INDEX('Valo FX'!$Q:$Q,MATCH($A6,'Valo FX'!$A:$A,0)),0,IF(GP$1&lt;INDEX('Valo FX'!$R:$R,MATCH($A6,'Valo FX'!$A:$A,0)),INDEX(Base!$U:$U,MATCH($A6,Base!$A:$A,0)),IF(GP$1=INDEX('Valo FX'!$R:$R,MATCH($A6,'Valo FX'!$A:$A,0)),INDEX(Base!$V:$V,MATCH($A6,Base!$A:$A,0)),0)))</f>
        <v>10.975193000000001</v>
      </c>
      <c r="GQ6" s="21">
        <f>IF(GQ$1&lt;INDEX('Valo FX'!$Q:$Q,MATCH($A6,'Valo FX'!$A:$A,0)),0,IF(GQ$1&lt;INDEX('Valo FX'!$R:$R,MATCH($A6,'Valo FX'!$A:$A,0)),INDEX(Base!$U:$U,MATCH($A6,Base!$A:$A,0)),IF(GQ$1=INDEX('Valo FX'!$R:$R,MATCH($A6,'Valo FX'!$A:$A,0)),INDEX(Base!$V:$V,MATCH($A6,Base!$A:$A,0)),0)))</f>
        <v>10.975193000000001</v>
      </c>
      <c r="GR6" s="21">
        <f>IF(GR$1&lt;INDEX('Valo FX'!$Q:$Q,MATCH($A6,'Valo FX'!$A:$A,0)),0,IF(GR$1&lt;INDEX('Valo FX'!$R:$R,MATCH($A6,'Valo FX'!$A:$A,0)),INDEX(Base!$U:$U,MATCH($A6,Base!$A:$A,0)),IF(GR$1=INDEX('Valo FX'!$R:$R,MATCH($A6,'Valo FX'!$A:$A,0)),INDEX(Base!$V:$V,MATCH($A6,Base!$A:$A,0)),0)))</f>
        <v>10.975193000000001</v>
      </c>
      <c r="GS6" s="21">
        <f>IF(GS$1&lt;INDEX('Valo FX'!$Q:$Q,MATCH($A6,'Valo FX'!$A:$A,0)),0,IF(GS$1&lt;INDEX('Valo FX'!$R:$R,MATCH($A6,'Valo FX'!$A:$A,0)),INDEX(Base!$U:$U,MATCH($A6,Base!$A:$A,0)),IF(GS$1=INDEX('Valo FX'!$R:$R,MATCH($A6,'Valo FX'!$A:$A,0)),INDEX(Base!$V:$V,MATCH($A6,Base!$A:$A,0)),0)))</f>
        <v>10.975193000000001</v>
      </c>
      <c r="GT6" s="21">
        <f>IF(GT$1&lt;INDEX('Valo FX'!$Q:$Q,MATCH($A6,'Valo FX'!$A:$A,0)),0,IF(GT$1&lt;INDEX('Valo FX'!$R:$R,MATCH($A6,'Valo FX'!$A:$A,0)),INDEX(Base!$U:$U,MATCH($A6,Base!$A:$A,0)),IF(GT$1=INDEX('Valo FX'!$R:$R,MATCH($A6,'Valo FX'!$A:$A,0)),INDEX(Base!$V:$V,MATCH($A6,Base!$A:$A,0)),0)))</f>
        <v>10.975193000000001</v>
      </c>
      <c r="GU6" s="21">
        <f>IF(GU$1&lt;INDEX('Valo FX'!$Q:$Q,MATCH($A6,'Valo FX'!$A:$A,0)),0,IF(GU$1&lt;INDEX('Valo FX'!$R:$R,MATCH($A6,'Valo FX'!$A:$A,0)),INDEX(Base!$U:$U,MATCH($A6,Base!$A:$A,0)),IF(GU$1=INDEX('Valo FX'!$R:$R,MATCH($A6,'Valo FX'!$A:$A,0)),INDEX(Base!$V:$V,MATCH($A6,Base!$A:$A,0)),0)))</f>
        <v>10.975193000000001</v>
      </c>
      <c r="GV6" s="21">
        <f>IF(GV$1&lt;INDEX('Valo FX'!$Q:$Q,MATCH($A6,'Valo FX'!$A:$A,0)),0,IF(GV$1&lt;INDEX('Valo FX'!$R:$R,MATCH($A6,'Valo FX'!$A:$A,0)),INDEX(Base!$U:$U,MATCH($A6,Base!$A:$A,0)),IF(GV$1=INDEX('Valo FX'!$R:$R,MATCH($A6,'Valo FX'!$A:$A,0)),INDEX(Base!$V:$V,MATCH($A6,Base!$A:$A,0)),0)))</f>
        <v>10.975193000000001</v>
      </c>
      <c r="GW6" s="21">
        <f>IF(GW$1&lt;INDEX('Valo FX'!$Q:$Q,MATCH($A6,'Valo FX'!$A:$A,0)),0,IF(GW$1&lt;INDEX('Valo FX'!$R:$R,MATCH($A6,'Valo FX'!$A:$A,0)),INDEX(Base!$U:$U,MATCH($A6,Base!$A:$A,0)),IF(GW$1=INDEX('Valo FX'!$R:$R,MATCH($A6,'Valo FX'!$A:$A,0)),INDEX(Base!$V:$V,MATCH($A6,Base!$A:$A,0)),0)))</f>
        <v>10.975193000000001</v>
      </c>
      <c r="GX6" s="21">
        <f>IF(GX$1&lt;INDEX('Valo FX'!$Q:$Q,MATCH($A6,'Valo FX'!$A:$A,0)),0,IF(GX$1&lt;INDEX('Valo FX'!$R:$R,MATCH($A6,'Valo FX'!$A:$A,0)),INDEX(Base!$U:$U,MATCH($A6,Base!$A:$A,0)),IF(GX$1=INDEX('Valo FX'!$R:$R,MATCH($A6,'Valo FX'!$A:$A,0)),INDEX(Base!$V:$V,MATCH($A6,Base!$A:$A,0)),0)))</f>
        <v>10.975193000000001</v>
      </c>
      <c r="GY6" s="21">
        <f>IF(GY$1&lt;INDEX('Valo FX'!$Q:$Q,MATCH($A6,'Valo FX'!$A:$A,0)),0,IF(GY$1&lt;INDEX('Valo FX'!$R:$R,MATCH($A6,'Valo FX'!$A:$A,0)),INDEX(Base!$U:$U,MATCH($A6,Base!$A:$A,0)),IF(GY$1=INDEX('Valo FX'!$R:$R,MATCH($A6,'Valo FX'!$A:$A,0)),INDEX(Base!$V:$V,MATCH($A6,Base!$A:$A,0)),0)))</f>
        <v>10.975193000000001</v>
      </c>
      <c r="GZ6" s="21">
        <f>IF(GZ$1&lt;INDEX('Valo FX'!$Q:$Q,MATCH($A6,'Valo FX'!$A:$A,0)),0,IF(GZ$1&lt;INDEX('Valo FX'!$R:$R,MATCH($A6,'Valo FX'!$A:$A,0)),INDEX(Base!$U:$U,MATCH($A6,Base!$A:$A,0)),IF(GZ$1=INDEX('Valo FX'!$R:$R,MATCH($A6,'Valo FX'!$A:$A,0)),INDEX(Base!$V:$V,MATCH($A6,Base!$A:$A,0)),0)))</f>
        <v>10.975193000000001</v>
      </c>
      <c r="HA6" s="21">
        <f>IF(HA$1&lt;INDEX('Valo FX'!$Q:$Q,MATCH($A6,'Valo FX'!$A:$A,0)),0,IF(HA$1&lt;INDEX('Valo FX'!$R:$R,MATCH($A6,'Valo FX'!$A:$A,0)),INDEX(Base!$U:$U,MATCH($A6,Base!$A:$A,0)),IF(HA$1=INDEX('Valo FX'!$R:$R,MATCH($A6,'Valo FX'!$A:$A,0)),INDEX(Base!$V:$V,MATCH($A6,Base!$A:$A,0)),0)))</f>
        <v>10.975193000000001</v>
      </c>
      <c r="HB6" s="21">
        <f>IF(HB$1&lt;INDEX('Valo FX'!$Q:$Q,MATCH($A6,'Valo FX'!$A:$A,0)),0,IF(HB$1&lt;INDEX('Valo FX'!$R:$R,MATCH($A6,'Valo FX'!$A:$A,0)),INDEX(Base!$U:$U,MATCH($A6,Base!$A:$A,0)),IF(HB$1=INDEX('Valo FX'!$R:$R,MATCH($A6,'Valo FX'!$A:$A,0)),INDEX(Base!$V:$V,MATCH($A6,Base!$A:$A,0)),0)))</f>
        <v>10.975193000000001</v>
      </c>
      <c r="HC6" s="21">
        <f>IF(HC$1&lt;INDEX('Valo FX'!$Q:$Q,MATCH($A6,'Valo FX'!$A:$A,0)),0,IF(HC$1&lt;INDEX('Valo FX'!$R:$R,MATCH($A6,'Valo FX'!$A:$A,0)),INDEX(Base!$U:$U,MATCH($A6,Base!$A:$A,0)),IF(HC$1=INDEX('Valo FX'!$R:$R,MATCH($A6,'Valo FX'!$A:$A,0)),INDEX(Base!$V:$V,MATCH($A6,Base!$A:$A,0)),0)))</f>
        <v>10.975193000000001</v>
      </c>
      <c r="HD6" s="21">
        <f>IF(HD$1&lt;INDEX('Valo FX'!$Q:$Q,MATCH($A6,'Valo FX'!$A:$A,0)),0,IF(HD$1&lt;INDEX('Valo FX'!$R:$R,MATCH($A6,'Valo FX'!$A:$A,0)),INDEX(Base!$U:$U,MATCH($A6,Base!$A:$A,0)),IF(HD$1=INDEX('Valo FX'!$R:$R,MATCH($A6,'Valo FX'!$A:$A,0)),INDEX(Base!$V:$V,MATCH($A6,Base!$A:$A,0)),0)))</f>
        <v>10.975193000000001</v>
      </c>
      <c r="HE6" s="21">
        <f>IF(HE$1&lt;INDEX('Valo FX'!$Q:$Q,MATCH($A6,'Valo FX'!$A:$A,0)),0,IF(HE$1&lt;INDEX('Valo FX'!$R:$R,MATCH($A6,'Valo FX'!$A:$A,0)),INDEX(Base!$U:$U,MATCH($A6,Base!$A:$A,0)),IF(HE$1=INDEX('Valo FX'!$R:$R,MATCH($A6,'Valo FX'!$A:$A,0)),INDEX(Base!$V:$V,MATCH($A6,Base!$A:$A,0)),0)))</f>
        <v>10.975193000000001</v>
      </c>
      <c r="HF6" s="21">
        <f>IF(HF$1&lt;INDEX('Valo FX'!$Q:$Q,MATCH($A6,'Valo FX'!$A:$A,0)),0,IF(HF$1&lt;INDEX('Valo FX'!$R:$R,MATCH($A6,'Valo FX'!$A:$A,0)),INDEX(Base!$U:$U,MATCH($A6,Base!$A:$A,0)),IF(HF$1=INDEX('Valo FX'!$R:$R,MATCH($A6,'Valo FX'!$A:$A,0)),INDEX(Base!$V:$V,MATCH($A6,Base!$A:$A,0)),0)))</f>
        <v>10.975193000000001</v>
      </c>
      <c r="HG6" s="21">
        <f>IF(HG$1&lt;INDEX('Valo FX'!$Q:$Q,MATCH($A6,'Valo FX'!$A:$A,0)),0,IF(HG$1&lt;INDEX('Valo FX'!$R:$R,MATCH($A6,'Valo FX'!$A:$A,0)),INDEX(Base!$U:$U,MATCH($A6,Base!$A:$A,0)),IF(HG$1=INDEX('Valo FX'!$R:$R,MATCH($A6,'Valo FX'!$A:$A,0)),INDEX(Base!$V:$V,MATCH($A6,Base!$A:$A,0)),0)))</f>
        <v>10.975193000000001</v>
      </c>
      <c r="HH6" s="21">
        <f>IF(HH$1&lt;INDEX('Valo FX'!$Q:$Q,MATCH($A6,'Valo FX'!$A:$A,0)),0,IF(HH$1&lt;INDEX('Valo FX'!$R:$R,MATCH($A6,'Valo FX'!$A:$A,0)),INDEX(Base!$U:$U,MATCH($A6,Base!$A:$A,0)),IF(HH$1=INDEX('Valo FX'!$R:$R,MATCH($A6,'Valo FX'!$A:$A,0)),INDEX(Base!$V:$V,MATCH($A6,Base!$A:$A,0)),0)))</f>
        <v>10.975193000000001</v>
      </c>
      <c r="HI6" s="21">
        <f>IF(HI$1&lt;INDEX('Valo FX'!$Q:$Q,MATCH($A6,'Valo FX'!$A:$A,0)),0,IF(HI$1&lt;INDEX('Valo FX'!$R:$R,MATCH($A6,'Valo FX'!$A:$A,0)),INDEX(Base!$U:$U,MATCH($A6,Base!$A:$A,0)),IF(HI$1=INDEX('Valo FX'!$R:$R,MATCH($A6,'Valo FX'!$A:$A,0)),INDEX(Base!$V:$V,MATCH($A6,Base!$A:$A,0)),0)))</f>
        <v>10.975193000000001</v>
      </c>
      <c r="HJ6" s="21">
        <f>IF(HJ$1&lt;INDEX('Valo FX'!$Q:$Q,MATCH($A6,'Valo FX'!$A:$A,0)),0,IF(HJ$1&lt;INDEX('Valo FX'!$R:$R,MATCH($A6,'Valo FX'!$A:$A,0)),INDEX(Base!$U:$U,MATCH($A6,Base!$A:$A,0)),IF(HJ$1=INDEX('Valo FX'!$R:$R,MATCH($A6,'Valo FX'!$A:$A,0)),INDEX(Base!$V:$V,MATCH($A6,Base!$A:$A,0)),0)))</f>
        <v>10.975193000000001</v>
      </c>
      <c r="HK6" s="21">
        <f>IF(HK$1&lt;INDEX('Valo FX'!$Q:$Q,MATCH($A6,'Valo FX'!$A:$A,0)),0,IF(HK$1&lt;INDEX('Valo FX'!$R:$R,MATCH($A6,'Valo FX'!$A:$A,0)),INDEX(Base!$U:$U,MATCH($A6,Base!$A:$A,0)),IF(HK$1=INDEX('Valo FX'!$R:$R,MATCH($A6,'Valo FX'!$A:$A,0)),INDEX(Base!$V:$V,MATCH($A6,Base!$A:$A,0)),0)))</f>
        <v>10.975193000000001</v>
      </c>
      <c r="HL6" s="21">
        <f>IF(HL$1&lt;INDEX('Valo FX'!$Q:$Q,MATCH($A6,'Valo FX'!$A:$A,0)),0,IF(HL$1&lt;INDEX('Valo FX'!$R:$R,MATCH($A6,'Valo FX'!$A:$A,0)),INDEX(Base!$U:$U,MATCH($A6,Base!$A:$A,0)),IF(HL$1=INDEX('Valo FX'!$R:$R,MATCH($A6,'Valo FX'!$A:$A,0)),INDEX(Base!$V:$V,MATCH($A6,Base!$A:$A,0)),0)))</f>
        <v>10.975193000000001</v>
      </c>
      <c r="HM6" s="21">
        <f>IF(HM$1&lt;INDEX('Valo FX'!$Q:$Q,MATCH($A6,'Valo FX'!$A:$A,0)),0,IF(HM$1&lt;INDEX('Valo FX'!$R:$R,MATCH($A6,'Valo FX'!$A:$A,0)),INDEX(Base!$U:$U,MATCH($A6,Base!$A:$A,0)),IF(HM$1=INDEX('Valo FX'!$R:$R,MATCH($A6,'Valo FX'!$A:$A,0)),INDEX(Base!$V:$V,MATCH($A6,Base!$A:$A,0)),0)))</f>
        <v>10.975193000000001</v>
      </c>
      <c r="HN6" s="21">
        <f>IF(HN$1&lt;INDEX('Valo FX'!$Q:$Q,MATCH($A6,'Valo FX'!$A:$A,0)),0,IF(HN$1&lt;INDEX('Valo FX'!$R:$R,MATCH($A6,'Valo FX'!$A:$A,0)),INDEX(Base!$U:$U,MATCH($A6,Base!$A:$A,0)),IF(HN$1=INDEX('Valo FX'!$R:$R,MATCH($A6,'Valo FX'!$A:$A,0)),INDEX(Base!$V:$V,MATCH($A6,Base!$A:$A,0)),0)))</f>
        <v>10.975193000000001</v>
      </c>
      <c r="HO6" s="21">
        <f>IF(HO$1&lt;INDEX('Valo FX'!$Q:$Q,MATCH($A6,'Valo FX'!$A:$A,0)),0,IF(HO$1&lt;INDEX('Valo FX'!$R:$R,MATCH($A6,'Valo FX'!$A:$A,0)),INDEX(Base!$U:$U,MATCH($A6,Base!$A:$A,0)),IF(HO$1=INDEX('Valo FX'!$R:$R,MATCH($A6,'Valo FX'!$A:$A,0)),INDEX(Base!$V:$V,MATCH($A6,Base!$A:$A,0)),0)))</f>
        <v>10.975193000000001</v>
      </c>
      <c r="HP6" s="21">
        <f>IF(HP$1&lt;INDEX('Valo FX'!$Q:$Q,MATCH($A6,'Valo FX'!$A:$A,0)),0,IF(HP$1&lt;INDEX('Valo FX'!$R:$R,MATCH($A6,'Valo FX'!$A:$A,0)),INDEX(Base!$U:$U,MATCH($A6,Base!$A:$A,0)),IF(HP$1=INDEX('Valo FX'!$R:$R,MATCH($A6,'Valo FX'!$A:$A,0)),INDEX(Base!$V:$V,MATCH($A6,Base!$A:$A,0)),0)))</f>
        <v>10.975193000000001</v>
      </c>
      <c r="HQ6" s="21">
        <f>IF(HQ$1&lt;INDEX('Valo FX'!$Q:$Q,MATCH($A6,'Valo FX'!$A:$A,0)),0,IF(HQ$1&lt;INDEX('Valo FX'!$R:$R,MATCH($A6,'Valo FX'!$A:$A,0)),INDEX(Base!$U:$U,MATCH($A6,Base!$A:$A,0)),IF(HQ$1=INDEX('Valo FX'!$R:$R,MATCH($A6,'Valo FX'!$A:$A,0)),INDEX(Base!$V:$V,MATCH($A6,Base!$A:$A,0)),0)))</f>
        <v>10.975193000000001</v>
      </c>
      <c r="HR6" s="21">
        <f>IF(HR$1&lt;INDEX('Valo FX'!$Q:$Q,MATCH($A6,'Valo FX'!$A:$A,0)),0,IF(HR$1&lt;INDEX('Valo FX'!$R:$R,MATCH($A6,'Valo FX'!$A:$A,0)),INDEX(Base!$U:$U,MATCH($A6,Base!$A:$A,0)),IF(HR$1=INDEX('Valo FX'!$R:$R,MATCH($A6,'Valo FX'!$A:$A,0)),INDEX(Base!$V:$V,MATCH($A6,Base!$A:$A,0)),0)))</f>
        <v>10.975193000000001</v>
      </c>
      <c r="HS6" s="21">
        <f>IF(HS$1&lt;INDEX('Valo FX'!$Q:$Q,MATCH($A6,'Valo FX'!$A:$A,0)),0,IF(HS$1&lt;INDEX('Valo FX'!$R:$R,MATCH($A6,'Valo FX'!$A:$A,0)),INDEX(Base!$U:$U,MATCH($A6,Base!$A:$A,0)),IF(HS$1=INDEX('Valo FX'!$R:$R,MATCH($A6,'Valo FX'!$A:$A,0)),INDEX(Base!$V:$V,MATCH($A6,Base!$A:$A,0)),0)))</f>
        <v>10.975193000000001</v>
      </c>
      <c r="HT6" s="21">
        <f>IF(HT$1&lt;INDEX('Valo FX'!$Q:$Q,MATCH($A6,'Valo FX'!$A:$A,0)),0,IF(HT$1&lt;INDEX('Valo FX'!$R:$R,MATCH($A6,'Valo FX'!$A:$A,0)),INDEX(Base!$U:$U,MATCH($A6,Base!$A:$A,0)),IF(HT$1=INDEX('Valo FX'!$R:$R,MATCH($A6,'Valo FX'!$A:$A,0)),INDEX(Base!$V:$V,MATCH($A6,Base!$A:$A,0)),0)))</f>
        <v>10.975193000000001</v>
      </c>
      <c r="HU6" s="21">
        <f>IF(HU$1&lt;INDEX('Valo FX'!$Q:$Q,MATCH($A6,'Valo FX'!$A:$A,0)),0,IF(HU$1&lt;INDEX('Valo FX'!$R:$R,MATCH($A6,'Valo FX'!$A:$A,0)),INDEX(Base!$U:$U,MATCH($A6,Base!$A:$A,0)),IF(HU$1=INDEX('Valo FX'!$R:$R,MATCH($A6,'Valo FX'!$A:$A,0)),INDEX(Base!$V:$V,MATCH($A6,Base!$A:$A,0)),0)))</f>
        <v>10.975193000000001</v>
      </c>
      <c r="HV6" s="21">
        <f>IF(HV$1&lt;INDEX('Valo FX'!$Q:$Q,MATCH($A6,'Valo FX'!$A:$A,0)),0,IF(HV$1&lt;INDEX('Valo FX'!$R:$R,MATCH($A6,'Valo FX'!$A:$A,0)),INDEX(Base!$U:$U,MATCH($A6,Base!$A:$A,0)),IF(HV$1=INDEX('Valo FX'!$R:$R,MATCH($A6,'Valo FX'!$A:$A,0)),INDEX(Base!$V:$V,MATCH($A6,Base!$A:$A,0)),0)))</f>
        <v>10.975193000000001</v>
      </c>
      <c r="HW6" s="21">
        <f>IF(HW$1&lt;INDEX('Valo FX'!$Q:$Q,MATCH($A6,'Valo FX'!$A:$A,0)),0,IF(HW$1&lt;INDEX('Valo FX'!$R:$R,MATCH($A6,'Valo FX'!$A:$A,0)),INDEX(Base!$U:$U,MATCH($A6,Base!$A:$A,0)),IF(HW$1=INDEX('Valo FX'!$R:$R,MATCH($A6,'Valo FX'!$A:$A,0)),INDEX(Base!$V:$V,MATCH($A6,Base!$A:$A,0)),0)))</f>
        <v>10.975193000000001</v>
      </c>
      <c r="HX6" s="21">
        <f>IF(HX$1&lt;INDEX('Valo FX'!$Q:$Q,MATCH($A6,'Valo FX'!$A:$A,0)),0,IF(HX$1&lt;INDEX('Valo FX'!$R:$R,MATCH($A6,'Valo FX'!$A:$A,0)),INDEX(Base!$U:$U,MATCH($A6,Base!$A:$A,0)),IF(HX$1=INDEX('Valo FX'!$R:$R,MATCH($A6,'Valo FX'!$A:$A,0)),INDEX(Base!$V:$V,MATCH($A6,Base!$A:$A,0)),0)))</f>
        <v>10.975193000000001</v>
      </c>
      <c r="HY6" s="21">
        <f>IF(HY$1&lt;INDEX('Valo FX'!$Q:$Q,MATCH($A6,'Valo FX'!$A:$A,0)),0,IF(HY$1&lt;INDEX('Valo FX'!$R:$R,MATCH($A6,'Valo FX'!$A:$A,0)),INDEX(Base!$U:$U,MATCH($A6,Base!$A:$A,0)),IF(HY$1=INDEX('Valo FX'!$R:$R,MATCH($A6,'Valo FX'!$A:$A,0)),INDEX(Base!$V:$V,MATCH($A6,Base!$A:$A,0)),0)))</f>
        <v>10.975193000000001</v>
      </c>
      <c r="HZ6" s="21">
        <f>IF(HZ$1&lt;INDEX('Valo FX'!$Q:$Q,MATCH($A6,'Valo FX'!$A:$A,0)),0,IF(HZ$1&lt;INDEX('Valo FX'!$R:$R,MATCH($A6,'Valo FX'!$A:$A,0)),INDEX(Base!$U:$U,MATCH($A6,Base!$A:$A,0)),IF(HZ$1=INDEX('Valo FX'!$R:$R,MATCH($A6,'Valo FX'!$A:$A,0)),INDEX(Base!$V:$V,MATCH($A6,Base!$A:$A,0)),0)))</f>
        <v>10.975193000000001</v>
      </c>
      <c r="IA6" s="21">
        <f>IF(IA$1&lt;INDEX('Valo FX'!$Q:$Q,MATCH($A6,'Valo FX'!$A:$A,0)),0,IF(IA$1&lt;INDEX('Valo FX'!$R:$R,MATCH($A6,'Valo FX'!$A:$A,0)),INDEX(Base!$U:$U,MATCH($A6,Base!$A:$A,0)),IF(IA$1=INDEX('Valo FX'!$R:$R,MATCH($A6,'Valo FX'!$A:$A,0)),INDEX(Base!$V:$V,MATCH($A6,Base!$A:$A,0)),0)))</f>
        <v>10.975193000000001</v>
      </c>
      <c r="IB6" s="21">
        <f>IF(IB$1&lt;INDEX('Valo FX'!$Q:$Q,MATCH($A6,'Valo FX'!$A:$A,0)),0,IF(IB$1&lt;INDEX('Valo FX'!$R:$R,MATCH($A6,'Valo FX'!$A:$A,0)),INDEX(Base!$U:$U,MATCH($A6,Base!$A:$A,0)),IF(IB$1=INDEX('Valo FX'!$R:$R,MATCH($A6,'Valo FX'!$A:$A,0)),INDEX(Base!$V:$V,MATCH($A6,Base!$A:$A,0)),0)))</f>
        <v>10.975193000000001</v>
      </c>
      <c r="IC6" s="21">
        <f>IF(IC$1&lt;INDEX('Valo FX'!$Q:$Q,MATCH($A6,'Valo FX'!$A:$A,0)),0,IF(IC$1&lt;INDEX('Valo FX'!$R:$R,MATCH($A6,'Valo FX'!$A:$A,0)),INDEX(Base!$U:$U,MATCH($A6,Base!$A:$A,0)),IF(IC$1=INDEX('Valo FX'!$R:$R,MATCH($A6,'Valo FX'!$A:$A,0)),INDEX(Base!$V:$V,MATCH($A6,Base!$A:$A,0)),0)))</f>
        <v>10.975193000000001</v>
      </c>
      <c r="ID6" s="21">
        <f>IF(ID$1&lt;INDEX('Valo FX'!$Q:$Q,MATCH($A6,'Valo FX'!$A:$A,0)),0,IF(ID$1&lt;INDEX('Valo FX'!$R:$R,MATCH($A6,'Valo FX'!$A:$A,0)),INDEX(Base!$U:$U,MATCH($A6,Base!$A:$A,0)),IF(ID$1=INDEX('Valo FX'!$R:$R,MATCH($A6,'Valo FX'!$A:$A,0)),INDEX(Base!$V:$V,MATCH($A6,Base!$A:$A,0)),0)))</f>
        <v>10.975193000000001</v>
      </c>
      <c r="IE6" s="21">
        <f>IF(IE$1&lt;INDEX('Valo FX'!$Q:$Q,MATCH($A6,'Valo FX'!$A:$A,0)),0,IF(IE$1&lt;INDEX('Valo FX'!$R:$R,MATCH($A6,'Valo FX'!$A:$A,0)),INDEX(Base!$U:$U,MATCH($A6,Base!$A:$A,0)),IF(IE$1=INDEX('Valo FX'!$R:$R,MATCH($A6,'Valo FX'!$A:$A,0)),INDEX(Base!$V:$V,MATCH($A6,Base!$A:$A,0)),0)))</f>
        <v>10.975193000000001</v>
      </c>
      <c r="IF6" s="21">
        <f>IF(IF$1&lt;INDEX('Valo FX'!$Q:$Q,MATCH($A6,'Valo FX'!$A:$A,0)),0,IF(IF$1&lt;INDEX('Valo FX'!$R:$R,MATCH($A6,'Valo FX'!$A:$A,0)),INDEX(Base!$U:$U,MATCH($A6,Base!$A:$A,0)),IF(IF$1=INDEX('Valo FX'!$R:$R,MATCH($A6,'Valo FX'!$A:$A,0)),INDEX(Base!$V:$V,MATCH($A6,Base!$A:$A,0)),0)))</f>
        <v>10.975193000000001</v>
      </c>
      <c r="IG6" s="21">
        <f>IF(IG$1&lt;INDEX('Valo FX'!$Q:$Q,MATCH($A6,'Valo FX'!$A:$A,0)),0,IF(IG$1&lt;INDEX('Valo FX'!$R:$R,MATCH($A6,'Valo FX'!$A:$A,0)),INDEX(Base!$U:$U,MATCH($A6,Base!$A:$A,0)),IF(IG$1=INDEX('Valo FX'!$R:$R,MATCH($A6,'Valo FX'!$A:$A,0)),INDEX(Base!$V:$V,MATCH($A6,Base!$A:$A,0)),0)))</f>
        <v>10.975193000000001</v>
      </c>
      <c r="IH6" s="21">
        <f>IF(IH$1&lt;INDEX('Valo FX'!$Q:$Q,MATCH($A6,'Valo FX'!$A:$A,0)),0,IF(IH$1&lt;INDEX('Valo FX'!$R:$R,MATCH($A6,'Valo FX'!$A:$A,0)),INDEX(Base!$U:$U,MATCH($A6,Base!$A:$A,0)),IF(IH$1=INDEX('Valo FX'!$R:$R,MATCH($A6,'Valo FX'!$A:$A,0)),INDEX(Base!$V:$V,MATCH($A6,Base!$A:$A,0)),0)))</f>
        <v>10.975193000000001</v>
      </c>
      <c r="II6" s="21">
        <f>IF(II$1&lt;INDEX('Valo FX'!$Q:$Q,MATCH($A6,'Valo FX'!$A:$A,0)),0,IF(II$1&lt;INDEX('Valo FX'!$R:$R,MATCH($A6,'Valo FX'!$A:$A,0)),INDEX(Base!$U:$U,MATCH($A6,Base!$A:$A,0)),IF(II$1=INDEX('Valo FX'!$R:$R,MATCH($A6,'Valo FX'!$A:$A,0)),INDEX(Base!$V:$V,MATCH($A6,Base!$A:$A,0)),0)))</f>
        <v>10.975193000000001</v>
      </c>
      <c r="IJ6" s="21">
        <f>IF(IJ$1&lt;INDEX('Valo FX'!$Q:$Q,MATCH($A6,'Valo FX'!$A:$A,0)),0,IF(IJ$1&lt;INDEX('Valo FX'!$R:$R,MATCH($A6,'Valo FX'!$A:$A,0)),INDEX(Base!$U:$U,MATCH($A6,Base!$A:$A,0)),IF(IJ$1=INDEX('Valo FX'!$R:$R,MATCH($A6,'Valo FX'!$A:$A,0)),INDEX(Base!$V:$V,MATCH($A6,Base!$A:$A,0)),0)))</f>
        <v>10.975193000000001</v>
      </c>
      <c r="IK6" s="21">
        <f>IF(IK$1&lt;INDEX('Valo FX'!$Q:$Q,MATCH($A6,'Valo FX'!$A:$A,0)),0,IF(IK$1&lt;INDEX('Valo FX'!$R:$R,MATCH($A6,'Valo FX'!$A:$A,0)),INDEX(Base!$U:$U,MATCH($A6,Base!$A:$A,0)),IF(IK$1=INDEX('Valo FX'!$R:$R,MATCH($A6,'Valo FX'!$A:$A,0)),INDEX(Base!$V:$V,MATCH($A6,Base!$A:$A,0)),0)))</f>
        <v>10.975193000000001</v>
      </c>
      <c r="IL6" s="21">
        <f>IF(IL$1&lt;INDEX('Valo FX'!$Q:$Q,MATCH($A6,'Valo FX'!$A:$A,0)),0,IF(IL$1&lt;INDEX('Valo FX'!$R:$R,MATCH($A6,'Valo FX'!$A:$A,0)),INDEX(Base!$U:$U,MATCH($A6,Base!$A:$A,0)),IF(IL$1=INDEX('Valo FX'!$R:$R,MATCH($A6,'Valo FX'!$A:$A,0)),INDEX(Base!$V:$V,MATCH($A6,Base!$A:$A,0)),0)))</f>
        <v>10.975193000000001</v>
      </c>
      <c r="IM6" s="21">
        <f>IF(IM$1&lt;INDEX('Valo FX'!$Q:$Q,MATCH($A6,'Valo FX'!$A:$A,0)),0,IF(IM$1&lt;INDEX('Valo FX'!$R:$R,MATCH($A6,'Valo FX'!$A:$A,0)),INDEX(Base!$U:$U,MATCH($A6,Base!$A:$A,0)),IF(IM$1=INDEX('Valo FX'!$R:$R,MATCH($A6,'Valo FX'!$A:$A,0)),INDEX(Base!$V:$V,MATCH($A6,Base!$A:$A,0)),0)))</f>
        <v>10.975193000000001</v>
      </c>
      <c r="IN6" s="21">
        <f>IF(IN$1&lt;INDEX('Valo FX'!$Q:$Q,MATCH($A6,'Valo FX'!$A:$A,0)),0,IF(IN$1&lt;INDEX('Valo FX'!$R:$R,MATCH($A6,'Valo FX'!$A:$A,0)),INDEX(Base!$U:$U,MATCH($A6,Base!$A:$A,0)),IF(IN$1=INDEX('Valo FX'!$R:$R,MATCH($A6,'Valo FX'!$A:$A,0)),INDEX(Base!$V:$V,MATCH($A6,Base!$A:$A,0)),0)))</f>
        <v>10.975193000000001</v>
      </c>
      <c r="IO6" s="21">
        <f>IF(IO$1&lt;INDEX('Valo FX'!$Q:$Q,MATCH($A6,'Valo FX'!$A:$A,0)),0,IF(IO$1&lt;INDEX('Valo FX'!$R:$R,MATCH($A6,'Valo FX'!$A:$A,0)),INDEX(Base!$U:$U,MATCH($A6,Base!$A:$A,0)),IF(IO$1=INDEX('Valo FX'!$R:$R,MATCH($A6,'Valo FX'!$A:$A,0)),INDEX(Base!$V:$V,MATCH($A6,Base!$A:$A,0)),0)))</f>
        <v>10.975193000000001</v>
      </c>
      <c r="IP6" s="21">
        <f>IF(IP$1&lt;INDEX('Valo FX'!$Q:$Q,MATCH($A6,'Valo FX'!$A:$A,0)),0,IF(IP$1&lt;INDEX('Valo FX'!$R:$R,MATCH($A6,'Valo FX'!$A:$A,0)),INDEX(Base!$U:$U,MATCH($A6,Base!$A:$A,0)),IF(IP$1=INDEX('Valo FX'!$R:$R,MATCH($A6,'Valo FX'!$A:$A,0)),INDEX(Base!$V:$V,MATCH($A6,Base!$A:$A,0)),0)))</f>
        <v>10.975193000000001</v>
      </c>
      <c r="IQ6" s="21">
        <f>IF(IQ$1&lt;INDEX('Valo FX'!$Q:$Q,MATCH($A6,'Valo FX'!$A:$A,0)),0,IF(IQ$1&lt;INDEX('Valo FX'!$R:$R,MATCH($A6,'Valo FX'!$A:$A,0)),INDEX(Base!$U:$U,MATCH($A6,Base!$A:$A,0)),IF(IQ$1=INDEX('Valo FX'!$R:$R,MATCH($A6,'Valo FX'!$A:$A,0)),INDEX(Base!$V:$V,MATCH($A6,Base!$A:$A,0)),0)))</f>
        <v>10.975193000000001</v>
      </c>
      <c r="IR6" s="21">
        <f>IF(IR$1&lt;INDEX('Valo FX'!$Q:$Q,MATCH($A6,'Valo FX'!$A:$A,0)),0,IF(IR$1&lt;INDEX('Valo FX'!$R:$R,MATCH($A6,'Valo FX'!$A:$A,0)),INDEX(Base!$U:$U,MATCH($A6,Base!$A:$A,0)),IF(IR$1=INDEX('Valo FX'!$R:$R,MATCH($A6,'Valo FX'!$A:$A,0)),INDEX(Base!$V:$V,MATCH($A6,Base!$A:$A,0)),0)))</f>
        <v>10.975193000000001</v>
      </c>
      <c r="IS6" s="21">
        <f>IF(IS$1&lt;INDEX('Valo FX'!$Q:$Q,MATCH($A6,'Valo FX'!$A:$A,0)),0,IF(IS$1&lt;INDEX('Valo FX'!$R:$R,MATCH($A6,'Valo FX'!$A:$A,0)),INDEX(Base!$U:$U,MATCH($A6,Base!$A:$A,0)),IF(IS$1=INDEX('Valo FX'!$R:$R,MATCH($A6,'Valo FX'!$A:$A,0)),INDEX(Base!$V:$V,MATCH($A6,Base!$A:$A,0)),0)))</f>
        <v>10.975193000000001</v>
      </c>
      <c r="IT6" s="21">
        <f>IF(IT$1&lt;INDEX('Valo FX'!$Q:$Q,MATCH($A6,'Valo FX'!$A:$A,0)),0,IF(IT$1&lt;INDEX('Valo FX'!$R:$R,MATCH($A6,'Valo FX'!$A:$A,0)),INDEX(Base!$U:$U,MATCH($A6,Base!$A:$A,0)),IF(IT$1=INDEX('Valo FX'!$R:$R,MATCH($A6,'Valo FX'!$A:$A,0)),INDEX(Base!$V:$V,MATCH($A6,Base!$A:$A,0)),0)))</f>
        <v>10.975193000000001</v>
      </c>
      <c r="IU6" s="21">
        <f>IF(IU$1&lt;INDEX('Valo FX'!$Q:$Q,MATCH($A6,'Valo FX'!$A:$A,0)),0,IF(IU$1&lt;INDEX('Valo FX'!$R:$R,MATCH($A6,'Valo FX'!$A:$A,0)),INDEX(Base!$U:$U,MATCH($A6,Base!$A:$A,0)),IF(IU$1=INDEX('Valo FX'!$R:$R,MATCH($A6,'Valo FX'!$A:$A,0)),INDEX(Base!$V:$V,MATCH($A6,Base!$A:$A,0)),0)))</f>
        <v>10.975193000000001</v>
      </c>
      <c r="IV6" s="21">
        <f>IF(IV$1&lt;INDEX('Valo FX'!$Q:$Q,MATCH($A6,'Valo FX'!$A:$A,0)),0,IF(IV$1&lt;INDEX('Valo FX'!$R:$R,MATCH($A6,'Valo FX'!$A:$A,0)),INDEX(Base!$U:$U,MATCH($A6,Base!$A:$A,0)),IF(IV$1=INDEX('Valo FX'!$R:$R,MATCH($A6,'Valo FX'!$A:$A,0)),INDEX(Base!$V:$V,MATCH($A6,Base!$A:$A,0)),0)))</f>
        <v>10.975193000000001</v>
      </c>
      <c r="IW6" s="21">
        <f>IF(IW$1&lt;INDEX('Valo FX'!$Q:$Q,MATCH($A6,'Valo FX'!$A:$A,0)),0,IF(IW$1&lt;INDEX('Valo FX'!$R:$R,MATCH($A6,'Valo FX'!$A:$A,0)),INDEX(Base!$U:$U,MATCH($A6,Base!$A:$A,0)),IF(IW$1=INDEX('Valo FX'!$R:$R,MATCH($A6,'Valo FX'!$A:$A,0)),INDEX(Base!$V:$V,MATCH($A6,Base!$A:$A,0)),0)))</f>
        <v>10.975193000000001</v>
      </c>
      <c r="IX6" s="21">
        <f>IF(IX$1&lt;INDEX('Valo FX'!$Q:$Q,MATCH($A6,'Valo FX'!$A:$A,0)),0,IF(IX$1&lt;INDEX('Valo FX'!$R:$R,MATCH($A6,'Valo FX'!$A:$A,0)),INDEX(Base!$U:$U,MATCH($A6,Base!$A:$A,0)),IF(IX$1=INDEX('Valo FX'!$R:$R,MATCH($A6,'Valo FX'!$A:$A,0)),INDEX(Base!$V:$V,MATCH($A6,Base!$A:$A,0)),0)))</f>
        <v>10.975193000000001</v>
      </c>
      <c r="IY6" s="21">
        <f>IF(IY$1&lt;INDEX('Valo FX'!$Q:$Q,MATCH($A6,'Valo FX'!$A:$A,0)),0,IF(IY$1&lt;INDEX('Valo FX'!$R:$R,MATCH($A6,'Valo FX'!$A:$A,0)),INDEX(Base!$U:$U,MATCH($A6,Base!$A:$A,0)),IF(IY$1=INDEX('Valo FX'!$R:$R,MATCH($A6,'Valo FX'!$A:$A,0)),INDEX(Base!$V:$V,MATCH($A6,Base!$A:$A,0)),0)))</f>
        <v>10.975193000000001</v>
      </c>
      <c r="IZ6" s="21">
        <f>IF(IZ$1&lt;INDEX('Valo FX'!$Q:$Q,MATCH($A6,'Valo FX'!$A:$A,0)),0,IF(IZ$1&lt;INDEX('Valo FX'!$R:$R,MATCH($A6,'Valo FX'!$A:$A,0)),INDEX(Base!$U:$U,MATCH($A6,Base!$A:$A,0)),IF(IZ$1=INDEX('Valo FX'!$R:$R,MATCH($A6,'Valo FX'!$A:$A,0)),INDEX(Base!$V:$V,MATCH($A6,Base!$A:$A,0)),0)))</f>
        <v>10.975193000000001</v>
      </c>
      <c r="JA6" s="21">
        <f>IF(JA$1&lt;INDEX('Valo FX'!$Q:$Q,MATCH($A6,'Valo FX'!$A:$A,0)),0,IF(JA$1&lt;INDEX('Valo FX'!$R:$R,MATCH($A6,'Valo FX'!$A:$A,0)),INDEX(Base!$U:$U,MATCH($A6,Base!$A:$A,0)),IF(JA$1=INDEX('Valo FX'!$R:$R,MATCH($A6,'Valo FX'!$A:$A,0)),INDEX(Base!$V:$V,MATCH($A6,Base!$A:$A,0)),0)))</f>
        <v>10.975193000000001</v>
      </c>
      <c r="JB6" s="21">
        <f>IF(JB$1&lt;INDEX('Valo FX'!$Q:$Q,MATCH($A6,'Valo FX'!$A:$A,0)),0,IF(JB$1&lt;INDEX('Valo FX'!$R:$R,MATCH($A6,'Valo FX'!$A:$A,0)),INDEX(Base!$U:$U,MATCH($A6,Base!$A:$A,0)),IF(JB$1=INDEX('Valo FX'!$R:$R,MATCH($A6,'Valo FX'!$A:$A,0)),INDEX(Base!$V:$V,MATCH($A6,Base!$A:$A,0)),0)))</f>
        <v>10.975193000000001</v>
      </c>
      <c r="JC6" s="21">
        <f>IF(JC$1&lt;INDEX('Valo FX'!$Q:$Q,MATCH($A6,'Valo FX'!$A:$A,0)),0,IF(JC$1&lt;INDEX('Valo FX'!$R:$R,MATCH($A6,'Valo FX'!$A:$A,0)),INDEX(Base!$U:$U,MATCH($A6,Base!$A:$A,0)),IF(JC$1=INDEX('Valo FX'!$R:$R,MATCH($A6,'Valo FX'!$A:$A,0)),INDEX(Base!$V:$V,MATCH($A6,Base!$A:$A,0)),0)))</f>
        <v>10.975193000000001</v>
      </c>
      <c r="JD6" s="21">
        <f>IF(JD$1&lt;INDEX('Valo FX'!$Q:$Q,MATCH($A6,'Valo FX'!$A:$A,0)),0,IF(JD$1&lt;INDEX('Valo FX'!$R:$R,MATCH($A6,'Valo FX'!$A:$A,0)),INDEX(Base!$U:$U,MATCH($A6,Base!$A:$A,0)),IF(JD$1=INDEX('Valo FX'!$R:$R,MATCH($A6,'Valo FX'!$A:$A,0)),INDEX(Base!$V:$V,MATCH($A6,Base!$A:$A,0)),0)))</f>
        <v>10.975193000000001</v>
      </c>
      <c r="JE6" s="21">
        <f>IF(JE$1&lt;INDEX('Valo FX'!$Q:$Q,MATCH($A6,'Valo FX'!$A:$A,0)),0,IF(JE$1&lt;INDEX('Valo FX'!$R:$R,MATCH($A6,'Valo FX'!$A:$A,0)),INDEX(Base!$U:$U,MATCH($A6,Base!$A:$A,0)),IF(JE$1=INDEX('Valo FX'!$R:$R,MATCH($A6,'Valo FX'!$A:$A,0)),INDEX(Base!$V:$V,MATCH($A6,Base!$A:$A,0)),0)))</f>
        <v>10.975193000000001</v>
      </c>
      <c r="JF6" s="21">
        <f>IF(JF$1&lt;INDEX('Valo FX'!$Q:$Q,MATCH($A6,'Valo FX'!$A:$A,0)),0,IF(JF$1&lt;INDEX('Valo FX'!$R:$R,MATCH($A6,'Valo FX'!$A:$A,0)),INDEX(Base!$U:$U,MATCH($A6,Base!$A:$A,0)),IF(JF$1=INDEX('Valo FX'!$R:$R,MATCH($A6,'Valo FX'!$A:$A,0)),INDEX(Base!$V:$V,MATCH($A6,Base!$A:$A,0)),0)))</f>
        <v>10.975193000000001</v>
      </c>
      <c r="JG6" s="21">
        <f>IF(JG$1&lt;INDEX('Valo FX'!$Q:$Q,MATCH($A6,'Valo FX'!$A:$A,0)),0,IF(JG$1&lt;INDEX('Valo FX'!$R:$R,MATCH($A6,'Valo FX'!$A:$A,0)),INDEX(Base!$U:$U,MATCH($A6,Base!$A:$A,0)),IF(JG$1=INDEX('Valo FX'!$R:$R,MATCH($A6,'Valo FX'!$A:$A,0)),INDEX(Base!$V:$V,MATCH($A6,Base!$A:$A,0)),0)))</f>
        <v>10.975193000000001</v>
      </c>
      <c r="JH6" s="21">
        <f>IF(JH$1&lt;INDEX('Valo FX'!$Q:$Q,MATCH($A6,'Valo FX'!$A:$A,0)),0,IF(JH$1&lt;INDEX('Valo FX'!$R:$R,MATCH($A6,'Valo FX'!$A:$A,0)),INDEX(Base!$U:$U,MATCH($A6,Base!$A:$A,0)),IF(JH$1=INDEX('Valo FX'!$R:$R,MATCH($A6,'Valo FX'!$A:$A,0)),INDEX(Base!$V:$V,MATCH($A6,Base!$A:$A,0)),0)))</f>
        <v>10.975193000000001</v>
      </c>
      <c r="JI6" s="21">
        <f>IF(JI$1&lt;INDEX('Valo FX'!$Q:$Q,MATCH($A6,'Valo FX'!$A:$A,0)),0,IF(JI$1&lt;INDEX('Valo FX'!$R:$R,MATCH($A6,'Valo FX'!$A:$A,0)),INDEX(Base!$U:$U,MATCH($A6,Base!$A:$A,0)),IF(JI$1=INDEX('Valo FX'!$R:$R,MATCH($A6,'Valo FX'!$A:$A,0)),INDEX(Base!$V:$V,MATCH($A6,Base!$A:$A,0)),0)))</f>
        <v>10.975193000000001</v>
      </c>
      <c r="JJ6" s="21">
        <f>IF(JJ$1&lt;INDEX('Valo FX'!$Q:$Q,MATCH($A6,'Valo FX'!$A:$A,0)),0,IF(JJ$1&lt;INDEX('Valo FX'!$R:$R,MATCH($A6,'Valo FX'!$A:$A,0)),INDEX(Base!$U:$U,MATCH($A6,Base!$A:$A,0)),IF(JJ$1=INDEX('Valo FX'!$R:$R,MATCH($A6,'Valo FX'!$A:$A,0)),INDEX(Base!$V:$V,MATCH($A6,Base!$A:$A,0)),0)))</f>
        <v>10.975193000000001</v>
      </c>
      <c r="JK6" s="21">
        <f>IF(JK$1&lt;INDEX('Valo FX'!$Q:$Q,MATCH($A6,'Valo FX'!$A:$A,0)),0,IF(JK$1&lt;INDEX('Valo FX'!$R:$R,MATCH($A6,'Valo FX'!$A:$A,0)),INDEX(Base!$U:$U,MATCH($A6,Base!$A:$A,0)),IF(JK$1=INDEX('Valo FX'!$R:$R,MATCH($A6,'Valo FX'!$A:$A,0)),INDEX(Base!$V:$V,MATCH($A6,Base!$A:$A,0)),0)))</f>
        <v>10.975193000000001</v>
      </c>
      <c r="JL6" s="21">
        <f>IF(JL$1&lt;INDEX('Valo FX'!$Q:$Q,MATCH($A6,'Valo FX'!$A:$A,0)),0,IF(JL$1&lt;INDEX('Valo FX'!$R:$R,MATCH($A6,'Valo FX'!$A:$A,0)),INDEX(Base!$U:$U,MATCH($A6,Base!$A:$A,0)),IF(JL$1=INDEX('Valo FX'!$R:$R,MATCH($A6,'Valo FX'!$A:$A,0)),INDEX(Base!$V:$V,MATCH($A6,Base!$A:$A,0)),0)))</f>
        <v>10.975193000000001</v>
      </c>
      <c r="JM6" s="21">
        <f>IF(JM$1&lt;INDEX('Valo FX'!$Q:$Q,MATCH($A6,'Valo FX'!$A:$A,0)),0,IF(JM$1&lt;INDEX('Valo FX'!$R:$R,MATCH($A6,'Valo FX'!$A:$A,0)),INDEX(Base!$U:$U,MATCH($A6,Base!$A:$A,0)),IF(JM$1=INDEX('Valo FX'!$R:$R,MATCH($A6,'Valo FX'!$A:$A,0)),INDEX(Base!$V:$V,MATCH($A6,Base!$A:$A,0)),0)))</f>
        <v>10.975193000000001</v>
      </c>
      <c r="JN6" s="21">
        <f>IF(JN$1&lt;INDEX('Valo FX'!$Q:$Q,MATCH($A6,'Valo FX'!$A:$A,0)),0,IF(JN$1&lt;INDEX('Valo FX'!$R:$R,MATCH($A6,'Valo FX'!$A:$A,0)),INDEX(Base!$U:$U,MATCH($A6,Base!$A:$A,0)),IF(JN$1=INDEX('Valo FX'!$R:$R,MATCH($A6,'Valo FX'!$A:$A,0)),INDEX(Base!$V:$V,MATCH($A6,Base!$A:$A,0)),0)))</f>
        <v>10.975193000000001</v>
      </c>
      <c r="JO6" s="21">
        <f>IF(JO$1&lt;INDEX('Valo FX'!$Q:$Q,MATCH($A6,'Valo FX'!$A:$A,0)),0,IF(JO$1&lt;INDEX('Valo FX'!$R:$R,MATCH($A6,'Valo FX'!$A:$A,0)),INDEX(Base!$U:$U,MATCH($A6,Base!$A:$A,0)),IF(JO$1=INDEX('Valo FX'!$R:$R,MATCH($A6,'Valo FX'!$A:$A,0)),INDEX(Base!$V:$V,MATCH($A6,Base!$A:$A,0)),0)))</f>
        <v>10.975193000000001</v>
      </c>
      <c r="JP6" s="21">
        <f>IF(JP$1&lt;INDEX('Valo FX'!$Q:$Q,MATCH($A6,'Valo FX'!$A:$A,0)),0,IF(JP$1&lt;INDEX('Valo FX'!$R:$R,MATCH($A6,'Valo FX'!$A:$A,0)),INDEX(Base!$U:$U,MATCH($A6,Base!$A:$A,0)),IF(JP$1=INDEX('Valo FX'!$R:$R,MATCH($A6,'Valo FX'!$A:$A,0)),INDEX(Base!$V:$V,MATCH($A6,Base!$A:$A,0)),0)))</f>
        <v>10.975193000000001</v>
      </c>
      <c r="JQ6" s="21">
        <f>IF(JQ$1&lt;INDEX('Valo FX'!$Q:$Q,MATCH($A6,'Valo FX'!$A:$A,0)),0,IF(JQ$1&lt;INDEX('Valo FX'!$R:$R,MATCH($A6,'Valo FX'!$A:$A,0)),INDEX(Base!$U:$U,MATCH($A6,Base!$A:$A,0)),IF(JQ$1=INDEX('Valo FX'!$R:$R,MATCH($A6,'Valo FX'!$A:$A,0)),INDEX(Base!$V:$V,MATCH($A6,Base!$A:$A,0)),0)))</f>
        <v>10.975193000000001</v>
      </c>
      <c r="JR6" s="21">
        <f>IF(JR$1&lt;INDEX('Valo FX'!$Q:$Q,MATCH($A6,'Valo FX'!$A:$A,0)),0,IF(JR$1&lt;INDEX('Valo FX'!$R:$R,MATCH($A6,'Valo FX'!$A:$A,0)),INDEX(Base!$U:$U,MATCH($A6,Base!$A:$A,0)),IF(JR$1=INDEX('Valo FX'!$R:$R,MATCH($A6,'Valo FX'!$A:$A,0)),INDEX(Base!$V:$V,MATCH($A6,Base!$A:$A,0)),0)))</f>
        <v>10.975193000000001</v>
      </c>
      <c r="JS6" s="21">
        <f>IF(JS$1&lt;INDEX('Valo FX'!$Q:$Q,MATCH($A6,'Valo FX'!$A:$A,0)),0,IF(JS$1&lt;INDEX('Valo FX'!$R:$R,MATCH($A6,'Valo FX'!$A:$A,0)),INDEX(Base!$U:$U,MATCH($A6,Base!$A:$A,0)),IF(JS$1=INDEX('Valo FX'!$R:$R,MATCH($A6,'Valo FX'!$A:$A,0)),INDEX(Base!$V:$V,MATCH($A6,Base!$A:$A,0)),0)))</f>
        <v>10.975193000000001</v>
      </c>
      <c r="JT6" s="21">
        <f>IF(JT$1&lt;INDEX('Valo FX'!$Q:$Q,MATCH($A6,'Valo FX'!$A:$A,0)),0,IF(JT$1&lt;INDEX('Valo FX'!$R:$R,MATCH($A6,'Valo FX'!$A:$A,0)),INDEX(Base!$U:$U,MATCH($A6,Base!$A:$A,0)),IF(JT$1=INDEX('Valo FX'!$R:$R,MATCH($A6,'Valo FX'!$A:$A,0)),INDEX(Base!$V:$V,MATCH($A6,Base!$A:$A,0)),0)))</f>
        <v>10.975193000000001</v>
      </c>
      <c r="JU6" s="21">
        <f>IF(JU$1&lt;INDEX('Valo FX'!$Q:$Q,MATCH($A6,'Valo FX'!$A:$A,0)),0,IF(JU$1&lt;INDEX('Valo FX'!$R:$R,MATCH($A6,'Valo FX'!$A:$A,0)),INDEX(Base!$U:$U,MATCH($A6,Base!$A:$A,0)),IF(JU$1=INDEX('Valo FX'!$R:$R,MATCH($A6,'Valo FX'!$A:$A,0)),INDEX(Base!$V:$V,MATCH($A6,Base!$A:$A,0)),0)))</f>
        <v>10.975193000000001</v>
      </c>
      <c r="JV6" s="21">
        <f>IF(JV$1&lt;INDEX('Valo FX'!$Q:$Q,MATCH($A6,'Valo FX'!$A:$A,0)),0,IF(JV$1&lt;INDEX('Valo FX'!$R:$R,MATCH($A6,'Valo FX'!$A:$A,0)),INDEX(Base!$U:$U,MATCH($A6,Base!$A:$A,0)),IF(JV$1=INDEX('Valo FX'!$R:$R,MATCH($A6,'Valo FX'!$A:$A,0)),INDEX(Base!$V:$V,MATCH($A6,Base!$A:$A,0)),0)))</f>
        <v>10.975193000000001</v>
      </c>
      <c r="JW6" s="21">
        <f>IF(JW$1&lt;INDEX('Valo FX'!$Q:$Q,MATCH($A6,'Valo FX'!$A:$A,0)),0,IF(JW$1&lt;INDEX('Valo FX'!$R:$R,MATCH($A6,'Valo FX'!$A:$A,0)),INDEX(Base!$U:$U,MATCH($A6,Base!$A:$A,0)),IF(JW$1=INDEX('Valo FX'!$R:$R,MATCH($A6,'Valo FX'!$A:$A,0)),INDEX(Base!$V:$V,MATCH($A6,Base!$A:$A,0)),0)))</f>
        <v>10.975193000000001</v>
      </c>
      <c r="JX6" s="21">
        <f>IF(JX$1&lt;INDEX('Valo FX'!$Q:$Q,MATCH($A6,'Valo FX'!$A:$A,0)),0,IF(JX$1&lt;INDEX('Valo FX'!$R:$R,MATCH($A6,'Valo FX'!$A:$A,0)),INDEX(Base!$U:$U,MATCH($A6,Base!$A:$A,0)),IF(JX$1=INDEX('Valo FX'!$R:$R,MATCH($A6,'Valo FX'!$A:$A,0)),INDEX(Base!$V:$V,MATCH($A6,Base!$A:$A,0)),0)))</f>
        <v>10.975193000000001</v>
      </c>
      <c r="JY6" s="21">
        <f>IF(JY$1&lt;INDEX('Valo FX'!$Q:$Q,MATCH($A6,'Valo FX'!$A:$A,0)),0,IF(JY$1&lt;INDEX('Valo FX'!$R:$R,MATCH($A6,'Valo FX'!$A:$A,0)),INDEX(Base!$U:$U,MATCH($A6,Base!$A:$A,0)),IF(JY$1=INDEX('Valo FX'!$R:$R,MATCH($A6,'Valo FX'!$A:$A,0)),INDEX(Base!$V:$V,MATCH($A6,Base!$A:$A,0)),0)))</f>
        <v>10.975193000000001</v>
      </c>
      <c r="JZ6" s="21">
        <f>IF(JZ$1&lt;INDEX('Valo FX'!$Q:$Q,MATCH($A6,'Valo FX'!$A:$A,0)),0,IF(JZ$1&lt;INDEX('Valo FX'!$R:$R,MATCH($A6,'Valo FX'!$A:$A,0)),INDEX(Base!$U:$U,MATCH($A6,Base!$A:$A,0)),IF(JZ$1=INDEX('Valo FX'!$R:$R,MATCH($A6,'Valo FX'!$A:$A,0)),INDEX(Base!$V:$V,MATCH($A6,Base!$A:$A,0)),0)))</f>
        <v>10.975193000000001</v>
      </c>
      <c r="KA6" s="21">
        <f>IF(KA$1&lt;INDEX('Valo FX'!$Q:$Q,MATCH($A6,'Valo FX'!$A:$A,0)),0,IF(KA$1&lt;INDEX('Valo FX'!$R:$R,MATCH($A6,'Valo FX'!$A:$A,0)),INDEX(Base!$U:$U,MATCH($A6,Base!$A:$A,0)),IF(KA$1=INDEX('Valo FX'!$R:$R,MATCH($A6,'Valo FX'!$A:$A,0)),INDEX(Base!$V:$V,MATCH($A6,Base!$A:$A,0)),0)))</f>
        <v>10.975193000000001</v>
      </c>
      <c r="KB6" s="21">
        <f>IF(KB$1&lt;INDEX('Valo FX'!$Q:$Q,MATCH($A6,'Valo FX'!$A:$A,0)),0,IF(KB$1&lt;INDEX('Valo FX'!$R:$R,MATCH($A6,'Valo FX'!$A:$A,0)),INDEX(Base!$U:$U,MATCH($A6,Base!$A:$A,0)),IF(KB$1=INDEX('Valo FX'!$R:$R,MATCH($A6,'Valo FX'!$A:$A,0)),INDEX(Base!$V:$V,MATCH($A6,Base!$A:$A,0)),0)))</f>
        <v>10.975193000000001</v>
      </c>
      <c r="KC6" s="21">
        <f>IF(KC$1&lt;INDEX('Valo FX'!$Q:$Q,MATCH($A6,'Valo FX'!$A:$A,0)),0,IF(KC$1&lt;INDEX('Valo FX'!$R:$R,MATCH($A6,'Valo FX'!$A:$A,0)),INDEX(Base!$U:$U,MATCH($A6,Base!$A:$A,0)),IF(KC$1=INDEX('Valo FX'!$R:$R,MATCH($A6,'Valo FX'!$A:$A,0)),INDEX(Base!$V:$V,MATCH($A6,Base!$A:$A,0)),0)))</f>
        <v>10.975193000000001</v>
      </c>
      <c r="KD6" s="21">
        <f>IF(KD$1&lt;INDEX('Valo FX'!$Q:$Q,MATCH($A6,'Valo FX'!$A:$A,0)),0,IF(KD$1&lt;INDEX('Valo FX'!$R:$R,MATCH($A6,'Valo FX'!$A:$A,0)),INDEX(Base!$U:$U,MATCH($A6,Base!$A:$A,0)),IF(KD$1=INDEX('Valo FX'!$R:$R,MATCH($A6,'Valo FX'!$A:$A,0)),INDEX(Base!$V:$V,MATCH($A6,Base!$A:$A,0)),0)))</f>
        <v>10.975193000000001</v>
      </c>
      <c r="KE6" s="21">
        <f>IF(KE$1&lt;INDEX('Valo FX'!$Q:$Q,MATCH($A6,'Valo FX'!$A:$A,0)),0,IF(KE$1&lt;INDEX('Valo FX'!$R:$R,MATCH($A6,'Valo FX'!$A:$A,0)),INDEX(Base!$U:$U,MATCH($A6,Base!$A:$A,0)),IF(KE$1=INDEX('Valo FX'!$R:$R,MATCH($A6,'Valo FX'!$A:$A,0)),INDEX(Base!$V:$V,MATCH($A6,Base!$A:$A,0)),0)))</f>
        <v>10.975193000000001</v>
      </c>
      <c r="KF6" s="21">
        <f>IF(KF$1&lt;INDEX('Valo FX'!$Q:$Q,MATCH($A6,'Valo FX'!$A:$A,0)),0,IF(KF$1&lt;INDEX('Valo FX'!$R:$R,MATCH($A6,'Valo FX'!$A:$A,0)),INDEX(Base!$U:$U,MATCH($A6,Base!$A:$A,0)),IF(KF$1=INDEX('Valo FX'!$R:$R,MATCH($A6,'Valo FX'!$A:$A,0)),INDEX(Base!$V:$V,MATCH($A6,Base!$A:$A,0)),0)))</f>
        <v>10.975193000000001</v>
      </c>
      <c r="KG6" s="21">
        <f>IF(KG$1&lt;INDEX('Valo FX'!$Q:$Q,MATCH($A6,'Valo FX'!$A:$A,0)),0,IF(KG$1&lt;INDEX('Valo FX'!$R:$R,MATCH($A6,'Valo FX'!$A:$A,0)),INDEX(Base!$U:$U,MATCH($A6,Base!$A:$A,0)),IF(KG$1=INDEX('Valo FX'!$R:$R,MATCH($A6,'Valo FX'!$A:$A,0)),INDEX(Base!$V:$V,MATCH($A6,Base!$A:$A,0)),0)))</f>
        <v>10.975193000000001</v>
      </c>
      <c r="KH6" s="21">
        <f>IF(KH$1&lt;INDEX('Valo FX'!$Q:$Q,MATCH($A6,'Valo FX'!$A:$A,0)),0,IF(KH$1&lt;INDEX('Valo FX'!$R:$R,MATCH($A6,'Valo FX'!$A:$A,0)),INDEX(Base!$U:$U,MATCH($A6,Base!$A:$A,0)),IF(KH$1=INDEX('Valo FX'!$R:$R,MATCH($A6,'Valo FX'!$A:$A,0)),INDEX(Base!$V:$V,MATCH($A6,Base!$A:$A,0)),0)))</f>
        <v>10.975193000000001</v>
      </c>
      <c r="KI6" s="21">
        <f>IF(KI$1&lt;INDEX('Valo FX'!$Q:$Q,MATCH($A6,'Valo FX'!$A:$A,0)),0,IF(KI$1&lt;INDEX('Valo FX'!$R:$R,MATCH($A6,'Valo FX'!$A:$A,0)),INDEX(Base!$U:$U,MATCH($A6,Base!$A:$A,0)),IF(KI$1=INDEX('Valo FX'!$R:$R,MATCH($A6,'Valo FX'!$A:$A,0)),INDEX(Base!$V:$V,MATCH($A6,Base!$A:$A,0)),0)))</f>
        <v>10.975193000000001</v>
      </c>
      <c r="KJ6" s="21">
        <f>IF(KJ$1&lt;INDEX('Valo FX'!$Q:$Q,MATCH($A6,'Valo FX'!$A:$A,0)),0,IF(KJ$1&lt;INDEX('Valo FX'!$R:$R,MATCH($A6,'Valo FX'!$A:$A,0)),INDEX(Base!$U:$U,MATCH($A6,Base!$A:$A,0)),IF(KJ$1=INDEX('Valo FX'!$R:$R,MATCH($A6,'Valo FX'!$A:$A,0)),INDEX(Base!$V:$V,MATCH($A6,Base!$A:$A,0)),0)))</f>
        <v>10.975193000000001</v>
      </c>
      <c r="KK6" s="21">
        <f>IF(KK$1&lt;INDEX('Valo FX'!$Q:$Q,MATCH($A6,'Valo FX'!$A:$A,0)),0,IF(KK$1&lt;INDEX('Valo FX'!$R:$R,MATCH($A6,'Valo FX'!$A:$A,0)),INDEX(Base!$U:$U,MATCH($A6,Base!$A:$A,0)),IF(KK$1=INDEX('Valo FX'!$R:$R,MATCH($A6,'Valo FX'!$A:$A,0)),INDEX(Base!$V:$V,MATCH($A6,Base!$A:$A,0)),0)))</f>
        <v>10.975193000000001</v>
      </c>
      <c r="KL6" s="21">
        <f>IF(KL$1&lt;INDEX('Valo FX'!$Q:$Q,MATCH($A6,'Valo FX'!$A:$A,0)),0,IF(KL$1&lt;INDEX('Valo FX'!$R:$R,MATCH($A6,'Valo FX'!$A:$A,0)),INDEX(Base!$U:$U,MATCH($A6,Base!$A:$A,0)),IF(KL$1=INDEX('Valo FX'!$R:$R,MATCH($A6,'Valo FX'!$A:$A,0)),INDEX(Base!$V:$V,MATCH($A6,Base!$A:$A,0)),0)))</f>
        <v>10.975193000000001</v>
      </c>
      <c r="KM6" s="21">
        <f>IF(KM$1&lt;INDEX('Valo FX'!$Q:$Q,MATCH($A6,'Valo FX'!$A:$A,0)),0,IF(KM$1&lt;INDEX('Valo FX'!$R:$R,MATCH($A6,'Valo FX'!$A:$A,0)),INDEX(Base!$U:$U,MATCH($A6,Base!$A:$A,0)),IF(KM$1=INDEX('Valo FX'!$R:$R,MATCH($A6,'Valo FX'!$A:$A,0)),INDEX(Base!$V:$V,MATCH($A6,Base!$A:$A,0)),0)))</f>
        <v>10.975193000000001</v>
      </c>
      <c r="KN6" s="21">
        <f>IF(KN$1&lt;INDEX('Valo FX'!$Q:$Q,MATCH($A6,'Valo FX'!$A:$A,0)),0,IF(KN$1&lt;INDEX('Valo FX'!$R:$R,MATCH($A6,'Valo FX'!$A:$A,0)),INDEX(Base!$U:$U,MATCH($A6,Base!$A:$A,0)),IF(KN$1=INDEX('Valo FX'!$R:$R,MATCH($A6,'Valo FX'!$A:$A,0)),INDEX(Base!$V:$V,MATCH($A6,Base!$A:$A,0)),0)))</f>
        <v>10.975193000000001</v>
      </c>
      <c r="KO6" s="21">
        <f>IF(KO$1&lt;INDEX('Valo FX'!$Q:$Q,MATCH($A6,'Valo FX'!$A:$A,0)),0,IF(KO$1&lt;INDEX('Valo FX'!$R:$R,MATCH($A6,'Valo FX'!$A:$A,0)),INDEX(Base!$U:$U,MATCH($A6,Base!$A:$A,0)),IF(KO$1=INDEX('Valo FX'!$R:$R,MATCH($A6,'Valo FX'!$A:$A,0)),INDEX(Base!$V:$V,MATCH($A6,Base!$A:$A,0)),0)))</f>
        <v>10.975193000000001</v>
      </c>
      <c r="KP6" s="21">
        <f>IF(KP$1&lt;INDEX('Valo FX'!$Q:$Q,MATCH($A6,'Valo FX'!$A:$A,0)),0,IF(KP$1&lt;INDEX('Valo FX'!$R:$R,MATCH($A6,'Valo FX'!$A:$A,0)),INDEX(Base!$U:$U,MATCH($A6,Base!$A:$A,0)),IF(KP$1=INDEX('Valo FX'!$R:$R,MATCH($A6,'Valo FX'!$A:$A,0)),INDEX(Base!$V:$V,MATCH($A6,Base!$A:$A,0)),0)))</f>
        <v>10.975193000000001</v>
      </c>
      <c r="KQ6" s="21">
        <f>IF(KQ$1&lt;INDEX('Valo FX'!$Q:$Q,MATCH($A6,'Valo FX'!$A:$A,0)),0,IF(KQ$1&lt;INDEX('Valo FX'!$R:$R,MATCH($A6,'Valo FX'!$A:$A,0)),INDEX(Base!$U:$U,MATCH($A6,Base!$A:$A,0)),IF(KQ$1=INDEX('Valo FX'!$R:$R,MATCH($A6,'Valo FX'!$A:$A,0)),INDEX(Base!$V:$V,MATCH($A6,Base!$A:$A,0)),0)))</f>
        <v>10.975193000000001</v>
      </c>
      <c r="KR6" s="21">
        <f>IF(KR$1&lt;INDEX('Valo FX'!$Q:$Q,MATCH($A6,'Valo FX'!$A:$A,0)),0,IF(KR$1&lt;INDEX('Valo FX'!$R:$R,MATCH($A6,'Valo FX'!$A:$A,0)),INDEX(Base!$U:$U,MATCH($A6,Base!$A:$A,0)),IF(KR$1=INDEX('Valo FX'!$R:$R,MATCH($A6,'Valo FX'!$A:$A,0)),INDEX(Base!$V:$V,MATCH($A6,Base!$A:$A,0)),0)))</f>
        <v>10.975193000000001</v>
      </c>
      <c r="KS6" s="21">
        <f>IF(KS$1&lt;INDEX('Valo FX'!$Q:$Q,MATCH($A6,'Valo FX'!$A:$A,0)),0,IF(KS$1&lt;INDEX('Valo FX'!$R:$R,MATCH($A6,'Valo FX'!$A:$A,0)),INDEX(Base!$U:$U,MATCH($A6,Base!$A:$A,0)),IF(KS$1=INDEX('Valo FX'!$R:$R,MATCH($A6,'Valo FX'!$A:$A,0)),INDEX(Base!$V:$V,MATCH($A6,Base!$A:$A,0)),0)))</f>
        <v>10.975193000000001</v>
      </c>
      <c r="KT6" s="21">
        <f>IF(KT$1&lt;INDEX('Valo FX'!$Q:$Q,MATCH($A6,'Valo FX'!$A:$A,0)),0,IF(KT$1&lt;INDEX('Valo FX'!$R:$R,MATCH($A6,'Valo FX'!$A:$A,0)),INDEX(Base!$U:$U,MATCH($A6,Base!$A:$A,0)),IF(KT$1=INDEX('Valo FX'!$R:$R,MATCH($A6,'Valo FX'!$A:$A,0)),INDEX(Base!$V:$V,MATCH($A6,Base!$A:$A,0)),0)))</f>
        <v>10.975193000000001</v>
      </c>
      <c r="KU6" s="21">
        <f>IF(KU$1&lt;INDEX('Valo FX'!$Q:$Q,MATCH($A6,'Valo FX'!$A:$A,0)),0,IF(KU$1&lt;INDEX('Valo FX'!$R:$R,MATCH($A6,'Valo FX'!$A:$A,0)),INDEX(Base!$U:$U,MATCH($A6,Base!$A:$A,0)),IF(KU$1=INDEX('Valo FX'!$R:$R,MATCH($A6,'Valo FX'!$A:$A,0)),INDEX(Base!$V:$V,MATCH($A6,Base!$A:$A,0)),0)))</f>
        <v>10.975193000000001</v>
      </c>
      <c r="KV6" s="21">
        <f>IF(KV$1&lt;INDEX('Valo FX'!$Q:$Q,MATCH($A6,'Valo FX'!$A:$A,0)),0,IF(KV$1&lt;INDEX('Valo FX'!$R:$R,MATCH($A6,'Valo FX'!$A:$A,0)),INDEX(Base!$U:$U,MATCH($A6,Base!$A:$A,0)),IF(KV$1=INDEX('Valo FX'!$R:$R,MATCH($A6,'Valo FX'!$A:$A,0)),INDEX(Base!$V:$V,MATCH($A6,Base!$A:$A,0)),0)))</f>
        <v>10.975193000000001</v>
      </c>
      <c r="KW6" s="21">
        <f>IF(KW$1&lt;INDEX('Valo FX'!$Q:$Q,MATCH($A6,'Valo FX'!$A:$A,0)),0,IF(KW$1&lt;INDEX('Valo FX'!$R:$R,MATCH($A6,'Valo FX'!$A:$A,0)),INDEX(Base!$U:$U,MATCH($A6,Base!$A:$A,0)),IF(KW$1=INDEX('Valo FX'!$R:$R,MATCH($A6,'Valo FX'!$A:$A,0)),INDEX(Base!$V:$V,MATCH($A6,Base!$A:$A,0)),0)))</f>
        <v>10.975193000000001</v>
      </c>
      <c r="KX6" s="21">
        <f>IF(KX$1&lt;INDEX('Valo FX'!$Q:$Q,MATCH($A6,'Valo FX'!$A:$A,0)),0,IF(KX$1&lt;INDEX('Valo FX'!$R:$R,MATCH($A6,'Valo FX'!$A:$A,0)),INDEX(Base!$U:$U,MATCH($A6,Base!$A:$A,0)),IF(KX$1=INDEX('Valo FX'!$R:$R,MATCH($A6,'Valo FX'!$A:$A,0)),INDEX(Base!$V:$V,MATCH($A6,Base!$A:$A,0)),0)))</f>
        <v>10.975193000000001</v>
      </c>
      <c r="KY6" s="21">
        <f>IF(KY$1&lt;INDEX('Valo FX'!$Q:$Q,MATCH($A6,'Valo FX'!$A:$A,0)),0,IF(KY$1&lt;INDEX('Valo FX'!$R:$R,MATCH($A6,'Valo FX'!$A:$A,0)),INDEX(Base!$U:$U,MATCH($A6,Base!$A:$A,0)),IF(KY$1=INDEX('Valo FX'!$R:$R,MATCH($A6,'Valo FX'!$A:$A,0)),INDEX(Base!$V:$V,MATCH($A6,Base!$A:$A,0)),0)))</f>
        <v>10.975193000000001</v>
      </c>
      <c r="KZ6" s="21">
        <f>IF(KZ$1&lt;INDEX('Valo FX'!$Q:$Q,MATCH($A6,'Valo FX'!$A:$A,0)),0,IF(KZ$1&lt;INDEX('Valo FX'!$R:$R,MATCH($A6,'Valo FX'!$A:$A,0)),INDEX(Base!$U:$U,MATCH($A6,Base!$A:$A,0)),IF(KZ$1=INDEX('Valo FX'!$R:$R,MATCH($A6,'Valo FX'!$A:$A,0)),INDEX(Base!$V:$V,MATCH($A6,Base!$A:$A,0)),0)))</f>
        <v>10.975193000000001</v>
      </c>
      <c r="LA6" s="21">
        <f>IF(LA$1&lt;INDEX('Valo FX'!$Q:$Q,MATCH($A6,'Valo FX'!$A:$A,0)),0,IF(LA$1&lt;INDEX('Valo FX'!$R:$R,MATCH($A6,'Valo FX'!$A:$A,0)),INDEX(Base!$U:$U,MATCH($A6,Base!$A:$A,0)),IF(LA$1=INDEX('Valo FX'!$R:$R,MATCH($A6,'Valo FX'!$A:$A,0)),INDEX(Base!$V:$V,MATCH($A6,Base!$A:$A,0)),0)))</f>
        <v>10.975193000000001</v>
      </c>
      <c r="LB6" s="21">
        <f>IF(LB$1&lt;INDEX('Valo FX'!$Q:$Q,MATCH($A6,'Valo FX'!$A:$A,0)),0,IF(LB$1&lt;INDEX('Valo FX'!$R:$R,MATCH($A6,'Valo FX'!$A:$A,0)),INDEX(Base!$U:$U,MATCH($A6,Base!$A:$A,0)),IF(LB$1=INDEX('Valo FX'!$R:$R,MATCH($A6,'Valo FX'!$A:$A,0)),INDEX(Base!$V:$V,MATCH($A6,Base!$A:$A,0)),0)))</f>
        <v>10.975193000000001</v>
      </c>
      <c r="LC6" s="21">
        <f>IF(LC$1&lt;INDEX('Valo FX'!$Q:$Q,MATCH($A6,'Valo FX'!$A:$A,0)),0,IF(LC$1&lt;INDEX('Valo FX'!$R:$R,MATCH($A6,'Valo FX'!$A:$A,0)),INDEX(Base!$U:$U,MATCH($A6,Base!$A:$A,0)),IF(LC$1=INDEX('Valo FX'!$R:$R,MATCH($A6,'Valo FX'!$A:$A,0)),INDEX(Base!$V:$V,MATCH($A6,Base!$A:$A,0)),0)))</f>
        <v>10.975193000000001</v>
      </c>
      <c r="LD6" s="21">
        <f>IF(LD$1&lt;INDEX('Valo FX'!$Q:$Q,MATCH($A6,'Valo FX'!$A:$A,0)),0,IF(LD$1&lt;INDEX('Valo FX'!$R:$R,MATCH($A6,'Valo FX'!$A:$A,0)),INDEX(Base!$U:$U,MATCH($A6,Base!$A:$A,0)),IF(LD$1=INDEX('Valo FX'!$R:$R,MATCH($A6,'Valo FX'!$A:$A,0)),INDEX(Base!$V:$V,MATCH($A6,Base!$A:$A,0)),0)))</f>
        <v>10.975193000000001</v>
      </c>
      <c r="LE6" s="21">
        <f>IF(LE$1&lt;INDEX('Valo FX'!$Q:$Q,MATCH($A6,'Valo FX'!$A:$A,0)),0,IF(LE$1&lt;INDEX('Valo FX'!$R:$R,MATCH($A6,'Valo FX'!$A:$A,0)),INDEX(Base!$U:$U,MATCH($A6,Base!$A:$A,0)),IF(LE$1=INDEX('Valo FX'!$R:$R,MATCH($A6,'Valo FX'!$A:$A,0)),INDEX(Base!$V:$V,MATCH($A6,Base!$A:$A,0)),0)))</f>
        <v>10.975193000000001</v>
      </c>
      <c r="LF6" s="21">
        <f>IF(LF$1&lt;INDEX('Valo FX'!$Q:$Q,MATCH($A6,'Valo FX'!$A:$A,0)),0,IF(LF$1&lt;INDEX('Valo FX'!$R:$R,MATCH($A6,'Valo FX'!$A:$A,0)),INDEX(Base!$U:$U,MATCH($A6,Base!$A:$A,0)),IF(LF$1=INDEX('Valo FX'!$R:$R,MATCH($A6,'Valo FX'!$A:$A,0)),INDEX(Base!$V:$V,MATCH($A6,Base!$A:$A,0)),0)))</f>
        <v>10.975193000000001</v>
      </c>
      <c r="LG6" s="21">
        <f>IF(LG$1&lt;INDEX('Valo FX'!$Q:$Q,MATCH($A6,'Valo FX'!$A:$A,0)),0,IF(LG$1&lt;INDEX('Valo FX'!$R:$R,MATCH($A6,'Valo FX'!$A:$A,0)),INDEX(Base!$U:$U,MATCH($A6,Base!$A:$A,0)),IF(LG$1=INDEX('Valo FX'!$R:$R,MATCH($A6,'Valo FX'!$A:$A,0)),INDEX(Base!$V:$V,MATCH($A6,Base!$A:$A,0)),0)))</f>
        <v>10.975193000000001</v>
      </c>
      <c r="LH6" s="21">
        <f>IF(LH$1&lt;INDEX('Valo FX'!$Q:$Q,MATCH($A6,'Valo FX'!$A:$A,0)),0,IF(LH$1&lt;INDEX('Valo FX'!$R:$R,MATCH($A6,'Valo FX'!$A:$A,0)),INDEX(Base!$U:$U,MATCH($A6,Base!$A:$A,0)),IF(LH$1=INDEX('Valo FX'!$R:$R,MATCH($A6,'Valo FX'!$A:$A,0)),INDEX(Base!$V:$V,MATCH($A6,Base!$A:$A,0)),0)))</f>
        <v>10.975193000000001</v>
      </c>
      <c r="LI6" s="21">
        <f>IF(LI$1&lt;INDEX('Valo FX'!$Q:$Q,MATCH($A6,'Valo FX'!$A:$A,0)),0,IF(LI$1&lt;INDEX('Valo FX'!$R:$R,MATCH($A6,'Valo FX'!$A:$A,0)),INDEX(Base!$U:$U,MATCH($A6,Base!$A:$A,0)),IF(LI$1=INDEX('Valo FX'!$R:$R,MATCH($A6,'Valo FX'!$A:$A,0)),INDEX(Base!$V:$V,MATCH($A6,Base!$A:$A,0)),0)))</f>
        <v>10.975193000000001</v>
      </c>
      <c r="LJ6" s="21">
        <f>IF(LJ$1&lt;INDEX('Valo FX'!$Q:$Q,MATCH($A6,'Valo FX'!$A:$A,0)),0,IF(LJ$1&lt;INDEX('Valo FX'!$R:$R,MATCH($A6,'Valo FX'!$A:$A,0)),INDEX(Base!$U:$U,MATCH($A6,Base!$A:$A,0)),IF(LJ$1=INDEX('Valo FX'!$R:$R,MATCH($A6,'Valo FX'!$A:$A,0)),INDEX(Base!$V:$V,MATCH($A6,Base!$A:$A,0)),0)))</f>
        <v>10.975193000000001</v>
      </c>
      <c r="LK6" s="21">
        <f>IF(LK$1&lt;INDEX('Valo FX'!$Q:$Q,MATCH($A6,'Valo FX'!$A:$A,0)),0,IF(LK$1&lt;INDEX('Valo FX'!$R:$R,MATCH($A6,'Valo FX'!$A:$A,0)),INDEX(Base!$U:$U,MATCH($A6,Base!$A:$A,0)),IF(LK$1=INDEX('Valo FX'!$R:$R,MATCH($A6,'Valo FX'!$A:$A,0)),INDEX(Base!$V:$V,MATCH($A6,Base!$A:$A,0)),0)))</f>
        <v>10.975193000000001</v>
      </c>
      <c r="LL6" s="21">
        <f>IF(LL$1&lt;INDEX('Valo FX'!$Q:$Q,MATCH($A6,'Valo FX'!$A:$A,0)),0,IF(LL$1&lt;INDEX('Valo FX'!$R:$R,MATCH($A6,'Valo FX'!$A:$A,0)),INDEX(Base!$U:$U,MATCH($A6,Base!$A:$A,0)),IF(LL$1=INDEX('Valo FX'!$R:$R,MATCH($A6,'Valo FX'!$A:$A,0)),INDEX(Base!$V:$V,MATCH($A6,Base!$A:$A,0)),0)))</f>
        <v>10.975193000000001</v>
      </c>
      <c r="LM6" s="21">
        <f>IF(LM$1&lt;INDEX('Valo FX'!$Q:$Q,MATCH($A6,'Valo FX'!$A:$A,0)),0,IF(LM$1&lt;INDEX('Valo FX'!$R:$R,MATCH($A6,'Valo FX'!$A:$A,0)),INDEX(Base!$U:$U,MATCH($A6,Base!$A:$A,0)),IF(LM$1=INDEX('Valo FX'!$R:$R,MATCH($A6,'Valo FX'!$A:$A,0)),INDEX(Base!$V:$V,MATCH($A6,Base!$A:$A,0)),0)))</f>
        <v>10.975193000000001</v>
      </c>
      <c r="LN6" s="21">
        <f>IF(LN$1&lt;INDEX('Valo FX'!$Q:$Q,MATCH($A6,'Valo FX'!$A:$A,0)),0,IF(LN$1&lt;INDEX('Valo FX'!$R:$R,MATCH($A6,'Valo FX'!$A:$A,0)),INDEX(Base!$U:$U,MATCH($A6,Base!$A:$A,0)),IF(LN$1=INDEX('Valo FX'!$R:$R,MATCH($A6,'Valo FX'!$A:$A,0)),INDEX(Base!$V:$V,MATCH($A6,Base!$A:$A,0)),0)))</f>
        <v>10.975193000000001</v>
      </c>
      <c r="LO6" s="21">
        <f>IF(LO$1&lt;INDEX('Valo FX'!$Q:$Q,MATCH($A6,'Valo FX'!$A:$A,0)),0,IF(LO$1&lt;INDEX('Valo FX'!$R:$R,MATCH($A6,'Valo FX'!$A:$A,0)),INDEX(Base!$U:$U,MATCH($A6,Base!$A:$A,0)),IF(LO$1=INDEX('Valo FX'!$R:$R,MATCH($A6,'Valo FX'!$A:$A,0)),INDEX(Base!$V:$V,MATCH($A6,Base!$A:$A,0)),0)))</f>
        <v>10.975193000000001</v>
      </c>
      <c r="LP6" s="21">
        <f>IF(LP$1&lt;INDEX('Valo FX'!$Q:$Q,MATCH($A6,'Valo FX'!$A:$A,0)),0,IF(LP$1&lt;INDEX('Valo FX'!$R:$R,MATCH($A6,'Valo FX'!$A:$A,0)),INDEX(Base!$U:$U,MATCH($A6,Base!$A:$A,0)),IF(LP$1=INDEX('Valo FX'!$R:$R,MATCH($A6,'Valo FX'!$A:$A,0)),INDEX(Base!$V:$V,MATCH($A6,Base!$A:$A,0)),0)))</f>
        <v>10.975193000000001</v>
      </c>
      <c r="LQ6" s="21">
        <f>IF(LQ$1&lt;INDEX('Valo FX'!$Q:$Q,MATCH($A6,'Valo FX'!$A:$A,0)),0,IF(LQ$1&lt;INDEX('Valo FX'!$R:$R,MATCH($A6,'Valo FX'!$A:$A,0)),INDEX(Base!$U:$U,MATCH($A6,Base!$A:$A,0)),IF(LQ$1=INDEX('Valo FX'!$R:$R,MATCH($A6,'Valo FX'!$A:$A,0)),INDEX(Base!$V:$V,MATCH($A6,Base!$A:$A,0)),0)))</f>
        <v>10.975193000000001</v>
      </c>
      <c r="LR6" s="21">
        <f>IF(LR$1&lt;INDEX('Valo FX'!$Q:$Q,MATCH($A6,'Valo FX'!$A:$A,0)),0,IF(LR$1&lt;INDEX('Valo FX'!$R:$R,MATCH($A6,'Valo FX'!$A:$A,0)),INDEX(Base!$U:$U,MATCH($A6,Base!$A:$A,0)),IF(LR$1=INDEX('Valo FX'!$R:$R,MATCH($A6,'Valo FX'!$A:$A,0)),INDEX(Base!$V:$V,MATCH($A6,Base!$A:$A,0)),0)))</f>
        <v>10.975193000000001</v>
      </c>
      <c r="LS6" s="21">
        <f>IF(LS$1&lt;INDEX('Valo FX'!$Q:$Q,MATCH($A6,'Valo FX'!$A:$A,0)),0,IF(LS$1&lt;INDEX('Valo FX'!$R:$R,MATCH($A6,'Valo FX'!$A:$A,0)),INDEX(Base!$U:$U,MATCH($A6,Base!$A:$A,0)),IF(LS$1=INDEX('Valo FX'!$R:$R,MATCH($A6,'Valo FX'!$A:$A,0)),INDEX(Base!$V:$V,MATCH($A6,Base!$A:$A,0)),0)))</f>
        <v>10.975193000000001</v>
      </c>
      <c r="LT6" s="21">
        <f>IF(LT$1&lt;INDEX('Valo FX'!$Q:$Q,MATCH($A6,'Valo FX'!$A:$A,0)),0,IF(LT$1&lt;INDEX('Valo FX'!$R:$R,MATCH($A6,'Valo FX'!$A:$A,0)),INDEX(Base!$U:$U,MATCH($A6,Base!$A:$A,0)),IF(LT$1=INDEX('Valo FX'!$R:$R,MATCH($A6,'Valo FX'!$A:$A,0)),INDEX(Base!$V:$V,MATCH($A6,Base!$A:$A,0)),0)))</f>
        <v>10.975193000000001</v>
      </c>
      <c r="LU6" s="21">
        <f>IF(LU$1&lt;INDEX('Valo FX'!$Q:$Q,MATCH($A6,'Valo FX'!$A:$A,0)),0,IF(LU$1&lt;INDEX('Valo FX'!$R:$R,MATCH($A6,'Valo FX'!$A:$A,0)),INDEX(Base!$U:$U,MATCH($A6,Base!$A:$A,0)),IF(LU$1=INDEX('Valo FX'!$R:$R,MATCH($A6,'Valo FX'!$A:$A,0)),INDEX(Base!$V:$V,MATCH($A6,Base!$A:$A,0)),0)))</f>
        <v>10.975193000000001</v>
      </c>
      <c r="LV6" s="21">
        <f>IF(LV$1&lt;INDEX('Valo FX'!$Q:$Q,MATCH($A6,'Valo FX'!$A:$A,0)),0,IF(LV$1&lt;INDEX('Valo FX'!$R:$R,MATCH($A6,'Valo FX'!$A:$A,0)),INDEX(Base!$U:$U,MATCH($A6,Base!$A:$A,0)),IF(LV$1=INDEX('Valo FX'!$R:$R,MATCH($A6,'Valo FX'!$A:$A,0)),INDEX(Base!$V:$V,MATCH($A6,Base!$A:$A,0)),0)))</f>
        <v>10.975193000000001</v>
      </c>
      <c r="LW6" s="21">
        <f>IF(LW$1&lt;INDEX('Valo FX'!$Q:$Q,MATCH($A6,'Valo FX'!$A:$A,0)),0,IF(LW$1&lt;INDEX('Valo FX'!$R:$R,MATCH($A6,'Valo FX'!$A:$A,0)),INDEX(Base!$U:$U,MATCH($A6,Base!$A:$A,0)),IF(LW$1=INDEX('Valo FX'!$R:$R,MATCH($A6,'Valo FX'!$A:$A,0)),INDEX(Base!$V:$V,MATCH($A6,Base!$A:$A,0)),0)))</f>
        <v>10.975193000000001</v>
      </c>
      <c r="LX6" s="21">
        <f>IF(LX$1&lt;INDEX('Valo FX'!$Q:$Q,MATCH($A6,'Valo FX'!$A:$A,0)),0,IF(LX$1&lt;INDEX('Valo FX'!$R:$R,MATCH($A6,'Valo FX'!$A:$A,0)),INDEX(Base!$U:$U,MATCH($A6,Base!$A:$A,0)),IF(LX$1=INDEX('Valo FX'!$R:$R,MATCH($A6,'Valo FX'!$A:$A,0)),INDEX(Base!$V:$V,MATCH($A6,Base!$A:$A,0)),0)))</f>
        <v>10.975193000000001</v>
      </c>
      <c r="LY6" s="21">
        <f>IF(LY$1&lt;INDEX('Valo FX'!$Q:$Q,MATCH($A6,'Valo FX'!$A:$A,0)),0,IF(LY$1&lt;INDEX('Valo FX'!$R:$R,MATCH($A6,'Valo FX'!$A:$A,0)),INDEX(Base!$U:$U,MATCH($A6,Base!$A:$A,0)),IF(LY$1=INDEX('Valo FX'!$R:$R,MATCH($A6,'Valo FX'!$A:$A,0)),INDEX(Base!$V:$V,MATCH($A6,Base!$A:$A,0)),0)))</f>
        <v>10.975193000000001</v>
      </c>
      <c r="LZ6" s="21">
        <f>IF(LZ$1&lt;INDEX('Valo FX'!$Q:$Q,MATCH($A6,'Valo FX'!$A:$A,0)),0,IF(LZ$1&lt;INDEX('Valo FX'!$R:$R,MATCH($A6,'Valo FX'!$A:$A,0)),INDEX(Base!$U:$U,MATCH($A6,Base!$A:$A,0)),IF(LZ$1=INDEX('Valo FX'!$R:$R,MATCH($A6,'Valo FX'!$A:$A,0)),INDEX(Base!$V:$V,MATCH($A6,Base!$A:$A,0)),0)))</f>
        <v>10.975193000000001</v>
      </c>
      <c r="MA6" s="21">
        <f>IF(MA$1&lt;INDEX('Valo FX'!$Q:$Q,MATCH($A6,'Valo FX'!$A:$A,0)),0,IF(MA$1&lt;INDEX('Valo FX'!$R:$R,MATCH($A6,'Valo FX'!$A:$A,0)),INDEX(Base!$U:$U,MATCH($A6,Base!$A:$A,0)),IF(MA$1=INDEX('Valo FX'!$R:$R,MATCH($A6,'Valo FX'!$A:$A,0)),INDEX(Base!$V:$V,MATCH($A6,Base!$A:$A,0)),0)))</f>
        <v>10.975193000000001</v>
      </c>
      <c r="MB6" s="21">
        <f>IF(MB$1&lt;INDEX('Valo FX'!$Q:$Q,MATCH($A6,'Valo FX'!$A:$A,0)),0,IF(MB$1&lt;INDEX('Valo FX'!$R:$R,MATCH($A6,'Valo FX'!$A:$A,0)),INDEX(Base!$U:$U,MATCH($A6,Base!$A:$A,0)),IF(MB$1=INDEX('Valo FX'!$R:$R,MATCH($A6,'Valo FX'!$A:$A,0)),INDEX(Base!$V:$V,MATCH($A6,Base!$A:$A,0)),0)))</f>
        <v>10.975193000000001</v>
      </c>
      <c r="MC6" s="21">
        <f>IF(MC$1&lt;INDEX('Valo FX'!$Q:$Q,MATCH($A6,'Valo FX'!$A:$A,0)),0,IF(MC$1&lt;INDEX('Valo FX'!$R:$R,MATCH($A6,'Valo FX'!$A:$A,0)),INDEX(Base!$U:$U,MATCH($A6,Base!$A:$A,0)),IF(MC$1=INDEX('Valo FX'!$R:$R,MATCH($A6,'Valo FX'!$A:$A,0)),INDEX(Base!$V:$V,MATCH($A6,Base!$A:$A,0)),0)))</f>
        <v>10.975193000000001</v>
      </c>
      <c r="MD6" s="21">
        <f>IF(MD$1&lt;INDEX('Valo FX'!$Q:$Q,MATCH($A6,'Valo FX'!$A:$A,0)),0,IF(MD$1&lt;INDEX('Valo FX'!$R:$R,MATCH($A6,'Valo FX'!$A:$A,0)),INDEX(Base!$U:$U,MATCH($A6,Base!$A:$A,0)),IF(MD$1=INDEX('Valo FX'!$R:$R,MATCH($A6,'Valo FX'!$A:$A,0)),INDEX(Base!$V:$V,MATCH($A6,Base!$A:$A,0)),0)))</f>
        <v>10.975193000000001</v>
      </c>
      <c r="ME6" s="21">
        <f>IF(ME$1&lt;INDEX('Valo FX'!$Q:$Q,MATCH($A6,'Valo FX'!$A:$A,0)),0,IF(ME$1&lt;INDEX('Valo FX'!$R:$R,MATCH($A6,'Valo FX'!$A:$A,0)),INDEX(Base!$U:$U,MATCH($A6,Base!$A:$A,0)),IF(ME$1=INDEX('Valo FX'!$R:$R,MATCH($A6,'Valo FX'!$A:$A,0)),INDEX(Base!$V:$V,MATCH($A6,Base!$A:$A,0)),0)))</f>
        <v>10.975193000000001</v>
      </c>
      <c r="MF6" s="21">
        <f>IF(MF$1&lt;INDEX('Valo FX'!$Q:$Q,MATCH($A6,'Valo FX'!$A:$A,0)),0,IF(MF$1&lt;INDEX('Valo FX'!$R:$R,MATCH($A6,'Valo FX'!$A:$A,0)),INDEX(Base!$U:$U,MATCH($A6,Base!$A:$A,0)),IF(MF$1=INDEX('Valo FX'!$R:$R,MATCH($A6,'Valo FX'!$A:$A,0)),INDEX(Base!$V:$V,MATCH($A6,Base!$A:$A,0)),0)))</f>
        <v>10.975193000000001</v>
      </c>
      <c r="MG6" s="21">
        <f>IF(MG$1&lt;INDEX('Valo FX'!$Q:$Q,MATCH($A6,'Valo FX'!$A:$A,0)),0,IF(MG$1&lt;INDEX('Valo FX'!$R:$R,MATCH($A6,'Valo FX'!$A:$A,0)),INDEX(Base!$U:$U,MATCH($A6,Base!$A:$A,0)),IF(MG$1=INDEX('Valo FX'!$R:$R,MATCH($A6,'Valo FX'!$A:$A,0)),INDEX(Base!$V:$V,MATCH($A6,Base!$A:$A,0)),0)))</f>
        <v>10.975193000000001</v>
      </c>
      <c r="MH6" s="21">
        <f>IF(MH$1&lt;INDEX('Valo FX'!$Q:$Q,MATCH($A6,'Valo FX'!$A:$A,0)),0,IF(MH$1&lt;INDEX('Valo FX'!$R:$R,MATCH($A6,'Valo FX'!$A:$A,0)),INDEX(Base!$U:$U,MATCH($A6,Base!$A:$A,0)),IF(MH$1=INDEX('Valo FX'!$R:$R,MATCH($A6,'Valo FX'!$A:$A,0)),INDEX(Base!$V:$V,MATCH($A6,Base!$A:$A,0)),0)))</f>
        <v>10.975193000000001</v>
      </c>
      <c r="MI6" s="21">
        <f>IF(MI$1&lt;INDEX('Valo FX'!$Q:$Q,MATCH($A6,'Valo FX'!$A:$A,0)),0,IF(MI$1&lt;INDEX('Valo FX'!$R:$R,MATCH($A6,'Valo FX'!$A:$A,0)),INDEX(Base!$U:$U,MATCH($A6,Base!$A:$A,0)),IF(MI$1=INDEX('Valo FX'!$R:$R,MATCH($A6,'Valo FX'!$A:$A,0)),INDEX(Base!$V:$V,MATCH($A6,Base!$A:$A,0)),0)))</f>
        <v>10.975193000000001</v>
      </c>
      <c r="MJ6" s="21">
        <f>IF(MJ$1&lt;INDEX('Valo FX'!$Q:$Q,MATCH($A6,'Valo FX'!$A:$A,0)),0,IF(MJ$1&lt;INDEX('Valo FX'!$R:$R,MATCH($A6,'Valo FX'!$A:$A,0)),INDEX(Base!$U:$U,MATCH($A6,Base!$A:$A,0)),IF(MJ$1=INDEX('Valo FX'!$R:$R,MATCH($A6,'Valo FX'!$A:$A,0)),INDEX(Base!$V:$V,MATCH($A6,Base!$A:$A,0)),0)))</f>
        <v>10.975193000000001</v>
      </c>
      <c r="MK6" s="21">
        <f>IF(MK$1&lt;INDEX('Valo FX'!$Q:$Q,MATCH($A6,'Valo FX'!$A:$A,0)),0,IF(MK$1&lt;INDEX('Valo FX'!$R:$R,MATCH($A6,'Valo FX'!$A:$A,0)),INDEX(Base!$U:$U,MATCH($A6,Base!$A:$A,0)),IF(MK$1=INDEX('Valo FX'!$R:$R,MATCH($A6,'Valo FX'!$A:$A,0)),INDEX(Base!$V:$V,MATCH($A6,Base!$A:$A,0)),0)))</f>
        <v>10.975193000000001</v>
      </c>
      <c r="ML6" s="21">
        <f>IF(ML$1&lt;INDEX('Valo FX'!$Q:$Q,MATCH($A6,'Valo FX'!$A:$A,0)),0,IF(ML$1&lt;INDEX('Valo FX'!$R:$R,MATCH($A6,'Valo FX'!$A:$A,0)),INDEX(Base!$U:$U,MATCH($A6,Base!$A:$A,0)),IF(ML$1=INDEX('Valo FX'!$R:$R,MATCH($A6,'Valo FX'!$A:$A,0)),INDEX(Base!$V:$V,MATCH($A6,Base!$A:$A,0)),0)))</f>
        <v>10.975193000000001</v>
      </c>
      <c r="MM6" s="21">
        <f>IF(MM$1&lt;INDEX('Valo FX'!$Q:$Q,MATCH($A6,'Valo FX'!$A:$A,0)),0,IF(MM$1&lt;INDEX('Valo FX'!$R:$R,MATCH($A6,'Valo FX'!$A:$A,0)),INDEX(Base!$U:$U,MATCH($A6,Base!$A:$A,0)),IF(MM$1=INDEX('Valo FX'!$R:$R,MATCH($A6,'Valo FX'!$A:$A,0)),INDEX(Base!$V:$V,MATCH($A6,Base!$A:$A,0)),0)))</f>
        <v>10.975193000000001</v>
      </c>
      <c r="MN6" s="21">
        <f>IF(MN$1&lt;INDEX('Valo FX'!$Q:$Q,MATCH($A6,'Valo FX'!$A:$A,0)),0,IF(MN$1&lt;INDEX('Valo FX'!$R:$R,MATCH($A6,'Valo FX'!$A:$A,0)),INDEX(Base!$U:$U,MATCH($A6,Base!$A:$A,0)),IF(MN$1=INDEX('Valo FX'!$R:$R,MATCH($A6,'Valo FX'!$A:$A,0)),INDEX(Base!$V:$V,MATCH($A6,Base!$A:$A,0)),0)))</f>
        <v>10.975193000000001</v>
      </c>
      <c r="MO6" s="21">
        <f>IF(MO$1&lt;INDEX('Valo FX'!$Q:$Q,MATCH($A6,'Valo FX'!$A:$A,0)),0,IF(MO$1&lt;INDEX('Valo FX'!$R:$R,MATCH($A6,'Valo FX'!$A:$A,0)),INDEX(Base!$U:$U,MATCH($A6,Base!$A:$A,0)),IF(MO$1=INDEX('Valo FX'!$R:$R,MATCH($A6,'Valo FX'!$A:$A,0)),INDEX(Base!$V:$V,MATCH($A6,Base!$A:$A,0)),0)))</f>
        <v>10.975193000000001</v>
      </c>
      <c r="MP6" s="21">
        <f>IF(MP$1&lt;INDEX('Valo FX'!$Q:$Q,MATCH($A6,'Valo FX'!$A:$A,0)),0,IF(MP$1&lt;INDEX('Valo FX'!$R:$R,MATCH($A6,'Valo FX'!$A:$A,0)),INDEX(Base!$U:$U,MATCH($A6,Base!$A:$A,0)),IF(MP$1=INDEX('Valo FX'!$R:$R,MATCH($A6,'Valo FX'!$A:$A,0)),INDEX(Base!$V:$V,MATCH($A6,Base!$A:$A,0)),0)))</f>
        <v>10.975193000000001</v>
      </c>
      <c r="MQ6" s="21">
        <f>IF(MQ$1&lt;INDEX('Valo FX'!$Q:$Q,MATCH($A6,'Valo FX'!$A:$A,0)),0,IF(MQ$1&lt;INDEX('Valo FX'!$R:$R,MATCH($A6,'Valo FX'!$A:$A,0)),INDEX(Base!$U:$U,MATCH($A6,Base!$A:$A,0)),IF(MQ$1=INDEX('Valo FX'!$R:$R,MATCH($A6,'Valo FX'!$A:$A,0)),INDEX(Base!$V:$V,MATCH($A6,Base!$A:$A,0)),0)))</f>
        <v>10.975193000000001</v>
      </c>
      <c r="MR6" s="21">
        <f>IF(MR$1&lt;INDEX('Valo FX'!$Q:$Q,MATCH($A6,'Valo FX'!$A:$A,0)),0,IF(MR$1&lt;INDEX('Valo FX'!$R:$R,MATCH($A6,'Valo FX'!$A:$A,0)),INDEX(Base!$U:$U,MATCH($A6,Base!$A:$A,0)),IF(MR$1=INDEX('Valo FX'!$R:$R,MATCH($A6,'Valo FX'!$A:$A,0)),INDEX(Base!$V:$V,MATCH($A6,Base!$A:$A,0)),0)))</f>
        <v>10.975193000000001</v>
      </c>
      <c r="MS6" s="21">
        <f>IF(MS$1&lt;INDEX('Valo FX'!$Q:$Q,MATCH($A6,'Valo FX'!$A:$A,0)),0,IF(MS$1&lt;INDEX('Valo FX'!$R:$R,MATCH($A6,'Valo FX'!$A:$A,0)),INDEX(Base!$U:$U,MATCH($A6,Base!$A:$A,0)),IF(MS$1=INDEX('Valo FX'!$R:$R,MATCH($A6,'Valo FX'!$A:$A,0)),INDEX(Base!$V:$V,MATCH($A6,Base!$A:$A,0)),0)))</f>
        <v>10.975193000000001</v>
      </c>
      <c r="MT6" s="21">
        <f>IF(MT$1&lt;INDEX('Valo FX'!$Q:$Q,MATCH($A6,'Valo FX'!$A:$A,0)),0,IF(MT$1&lt;INDEX('Valo FX'!$R:$R,MATCH($A6,'Valo FX'!$A:$A,0)),INDEX(Base!$U:$U,MATCH($A6,Base!$A:$A,0)),IF(MT$1=INDEX('Valo FX'!$R:$R,MATCH($A6,'Valo FX'!$A:$A,0)),INDEX(Base!$V:$V,MATCH($A6,Base!$A:$A,0)),0)))</f>
        <v>10.975193000000001</v>
      </c>
      <c r="MU6" s="21">
        <f>IF(MU$1&lt;INDEX('Valo FX'!$Q:$Q,MATCH($A6,'Valo FX'!$A:$A,0)),0,IF(MU$1&lt;INDEX('Valo FX'!$R:$R,MATCH($A6,'Valo FX'!$A:$A,0)),INDEX(Base!$U:$U,MATCH($A6,Base!$A:$A,0)),IF(MU$1=INDEX('Valo FX'!$R:$R,MATCH($A6,'Valo FX'!$A:$A,0)),INDEX(Base!$V:$V,MATCH($A6,Base!$A:$A,0)),0)))</f>
        <v>10.975193000000001</v>
      </c>
      <c r="MV6" s="21">
        <f>IF(MV$1&lt;INDEX('Valo FX'!$Q:$Q,MATCH($A6,'Valo FX'!$A:$A,0)),0,IF(MV$1&lt;INDEX('Valo FX'!$R:$R,MATCH($A6,'Valo FX'!$A:$A,0)),INDEX(Base!$U:$U,MATCH($A6,Base!$A:$A,0)),IF(MV$1=INDEX('Valo FX'!$R:$R,MATCH($A6,'Valo FX'!$A:$A,0)),INDEX(Base!$V:$V,MATCH($A6,Base!$A:$A,0)),0)))</f>
        <v>10.975193000000001</v>
      </c>
      <c r="MW6" s="21">
        <f>IF(MW$1&lt;INDEX('Valo FX'!$Q:$Q,MATCH($A6,'Valo FX'!$A:$A,0)),0,IF(MW$1&lt;INDEX('Valo FX'!$R:$R,MATCH($A6,'Valo FX'!$A:$A,0)),INDEX(Base!$U:$U,MATCH($A6,Base!$A:$A,0)),IF(MW$1=INDEX('Valo FX'!$R:$R,MATCH($A6,'Valo FX'!$A:$A,0)),INDEX(Base!$V:$V,MATCH($A6,Base!$A:$A,0)),0)))</f>
        <v>10.975193000000001</v>
      </c>
      <c r="MX6" s="21">
        <f>IF(MX$1&lt;INDEX('Valo FX'!$Q:$Q,MATCH($A6,'Valo FX'!$A:$A,0)),0,IF(MX$1&lt;INDEX('Valo FX'!$R:$R,MATCH($A6,'Valo FX'!$A:$A,0)),INDEX(Base!$U:$U,MATCH($A6,Base!$A:$A,0)),IF(MX$1=INDEX('Valo FX'!$R:$R,MATCH($A6,'Valo FX'!$A:$A,0)),INDEX(Base!$V:$V,MATCH($A6,Base!$A:$A,0)),0)))</f>
        <v>11.871466</v>
      </c>
      <c r="MY6" s="21">
        <f>IF(MY$1&lt;INDEX('Valo FX'!$Q:$Q,MATCH($A6,'Valo FX'!$A:$A,0)),0,IF(MY$1&lt;INDEX('Valo FX'!$R:$R,MATCH($A6,'Valo FX'!$A:$A,0)),INDEX(Base!$U:$U,MATCH($A6,Base!$A:$A,0)),IF(MY$1=INDEX('Valo FX'!$R:$R,MATCH($A6,'Valo FX'!$A:$A,0)),INDEX(Base!$V:$V,MATCH($A6,Base!$A:$A,0)),0)))</f>
        <v>0</v>
      </c>
    </row>
    <row r="7" spans="1:363" x14ac:dyDescent="0.25">
      <c r="A7" s="7">
        <f>+'Valo FX'!A8</f>
        <v>5</v>
      </c>
      <c r="B7" s="59">
        <f>-'Valo FX'!T8</f>
        <v>-1343.0017358893097</v>
      </c>
      <c r="C7" s="21">
        <f>IF(C$1&lt;INDEX('Valo FX'!$Q:$Q,MATCH($A7,'Valo FX'!$A:$A,0)),0,IF(C$1&lt;INDEX('Valo FX'!$R:$R,MATCH($A7,'Valo FX'!$A:$A,0)),INDEX(Base!$U:$U,MATCH($A7,Base!$A:$A,0)),IF(C$1=INDEX('Valo FX'!$R:$R,MATCH($A7,'Valo FX'!$A:$A,0)),INDEX(Base!$V:$V,MATCH($A7,Base!$A:$A,0)),0)))</f>
        <v>0</v>
      </c>
      <c r="D7" s="21">
        <f>IF(D$1&lt;INDEX('Valo FX'!$Q:$Q,MATCH($A7,'Valo FX'!$A:$A,0)),0,IF(D$1&lt;INDEX('Valo FX'!$R:$R,MATCH($A7,'Valo FX'!$A:$A,0)),INDEX(Base!$U:$U,MATCH($A7,Base!$A:$A,0)),IF(D$1=INDEX('Valo FX'!$R:$R,MATCH($A7,'Valo FX'!$A:$A,0)),INDEX(Base!$V:$V,MATCH($A7,Base!$A:$A,0)),0)))</f>
        <v>0</v>
      </c>
      <c r="E7" s="21">
        <f>IF(E$1&lt;INDEX('Valo FX'!$Q:$Q,MATCH($A7,'Valo FX'!$A:$A,0)),0,IF(E$1&lt;INDEX('Valo FX'!$R:$R,MATCH($A7,'Valo FX'!$A:$A,0)),INDEX(Base!$U:$U,MATCH($A7,Base!$A:$A,0)),IF(E$1=INDEX('Valo FX'!$R:$R,MATCH($A7,'Valo FX'!$A:$A,0)),INDEX(Base!$V:$V,MATCH($A7,Base!$A:$A,0)),0)))</f>
        <v>0</v>
      </c>
      <c r="F7" s="21">
        <f>IF(F$1&lt;INDEX('Valo FX'!$Q:$Q,MATCH($A7,'Valo FX'!$A:$A,0)),0,IF(F$1&lt;INDEX('Valo FX'!$R:$R,MATCH($A7,'Valo FX'!$A:$A,0)),INDEX(Base!$U:$U,MATCH($A7,Base!$A:$A,0)),IF(F$1=INDEX('Valo FX'!$R:$R,MATCH($A7,'Valo FX'!$A:$A,0)),INDEX(Base!$V:$V,MATCH($A7,Base!$A:$A,0)),0)))</f>
        <v>0</v>
      </c>
      <c r="G7" s="21">
        <f>IF(G$1&lt;INDEX('Valo FX'!$Q:$Q,MATCH($A7,'Valo FX'!$A:$A,0)),0,IF(G$1&lt;INDEX('Valo FX'!$R:$R,MATCH($A7,'Valo FX'!$A:$A,0)),INDEX(Base!$U:$U,MATCH($A7,Base!$A:$A,0)),IF(G$1=INDEX('Valo FX'!$R:$R,MATCH($A7,'Valo FX'!$A:$A,0)),INDEX(Base!$V:$V,MATCH($A7,Base!$A:$A,0)),0)))</f>
        <v>0</v>
      </c>
      <c r="H7" s="21">
        <f>IF(H$1&lt;INDEX('Valo FX'!$Q:$Q,MATCH($A7,'Valo FX'!$A:$A,0)),0,IF(H$1&lt;INDEX('Valo FX'!$R:$R,MATCH($A7,'Valo FX'!$A:$A,0)),INDEX(Base!$U:$U,MATCH($A7,Base!$A:$A,0)),IF(H$1=INDEX('Valo FX'!$R:$R,MATCH($A7,'Valo FX'!$A:$A,0)),INDEX(Base!$V:$V,MATCH($A7,Base!$A:$A,0)),0)))</f>
        <v>9.3625100000000003</v>
      </c>
      <c r="I7" s="21">
        <f>IF(I$1&lt;INDEX('Valo FX'!$Q:$Q,MATCH($A7,'Valo FX'!$A:$A,0)),0,IF(I$1&lt;INDEX('Valo FX'!$R:$R,MATCH($A7,'Valo FX'!$A:$A,0)),INDEX(Base!$U:$U,MATCH($A7,Base!$A:$A,0)),IF(I$1=INDEX('Valo FX'!$R:$R,MATCH($A7,'Valo FX'!$A:$A,0)),INDEX(Base!$V:$V,MATCH($A7,Base!$A:$A,0)),0)))</f>
        <v>9.3625100000000003</v>
      </c>
      <c r="J7" s="21">
        <f>IF(J$1&lt;INDEX('Valo FX'!$Q:$Q,MATCH($A7,'Valo FX'!$A:$A,0)),0,IF(J$1&lt;INDEX('Valo FX'!$R:$R,MATCH($A7,'Valo FX'!$A:$A,0)),INDEX(Base!$U:$U,MATCH($A7,Base!$A:$A,0)),IF(J$1=INDEX('Valo FX'!$R:$R,MATCH($A7,'Valo FX'!$A:$A,0)),INDEX(Base!$V:$V,MATCH($A7,Base!$A:$A,0)),0)))</f>
        <v>9.3625100000000003</v>
      </c>
      <c r="K7" s="21">
        <f>IF(K$1&lt;INDEX('Valo FX'!$Q:$Q,MATCH($A7,'Valo FX'!$A:$A,0)),0,IF(K$1&lt;INDEX('Valo FX'!$R:$R,MATCH($A7,'Valo FX'!$A:$A,0)),INDEX(Base!$U:$U,MATCH($A7,Base!$A:$A,0)),IF(K$1=INDEX('Valo FX'!$R:$R,MATCH($A7,'Valo FX'!$A:$A,0)),INDEX(Base!$V:$V,MATCH($A7,Base!$A:$A,0)),0)))</f>
        <v>9.3625100000000003</v>
      </c>
      <c r="L7" s="21">
        <f>IF(L$1&lt;INDEX('Valo FX'!$Q:$Q,MATCH($A7,'Valo FX'!$A:$A,0)),0,IF(L$1&lt;INDEX('Valo FX'!$R:$R,MATCH($A7,'Valo FX'!$A:$A,0)),INDEX(Base!$U:$U,MATCH($A7,Base!$A:$A,0)),IF(L$1=INDEX('Valo FX'!$R:$R,MATCH($A7,'Valo FX'!$A:$A,0)),INDEX(Base!$V:$V,MATCH($A7,Base!$A:$A,0)),0)))</f>
        <v>9.3625100000000003</v>
      </c>
      <c r="M7" s="21">
        <f>IF(M$1&lt;INDEX('Valo FX'!$Q:$Q,MATCH($A7,'Valo FX'!$A:$A,0)),0,IF(M$1&lt;INDEX('Valo FX'!$R:$R,MATCH($A7,'Valo FX'!$A:$A,0)),INDEX(Base!$U:$U,MATCH($A7,Base!$A:$A,0)),IF(M$1=INDEX('Valo FX'!$R:$R,MATCH($A7,'Valo FX'!$A:$A,0)),INDEX(Base!$V:$V,MATCH($A7,Base!$A:$A,0)),0)))</f>
        <v>9.3625100000000003</v>
      </c>
      <c r="N7" s="21">
        <f>IF(N$1&lt;INDEX('Valo FX'!$Q:$Q,MATCH($A7,'Valo FX'!$A:$A,0)),0,IF(N$1&lt;INDEX('Valo FX'!$R:$R,MATCH($A7,'Valo FX'!$A:$A,0)),INDEX(Base!$U:$U,MATCH($A7,Base!$A:$A,0)),IF(N$1=INDEX('Valo FX'!$R:$R,MATCH($A7,'Valo FX'!$A:$A,0)),INDEX(Base!$V:$V,MATCH($A7,Base!$A:$A,0)),0)))</f>
        <v>9.3625100000000003</v>
      </c>
      <c r="O7" s="21">
        <f>IF(O$1&lt;INDEX('Valo FX'!$Q:$Q,MATCH($A7,'Valo FX'!$A:$A,0)),0,IF(O$1&lt;INDEX('Valo FX'!$R:$R,MATCH($A7,'Valo FX'!$A:$A,0)),INDEX(Base!$U:$U,MATCH($A7,Base!$A:$A,0)),IF(O$1=INDEX('Valo FX'!$R:$R,MATCH($A7,'Valo FX'!$A:$A,0)),INDEX(Base!$V:$V,MATCH($A7,Base!$A:$A,0)),0)))</f>
        <v>9.3625100000000003</v>
      </c>
      <c r="P7" s="21">
        <f>IF(P$1&lt;INDEX('Valo FX'!$Q:$Q,MATCH($A7,'Valo FX'!$A:$A,0)),0,IF(P$1&lt;INDEX('Valo FX'!$R:$R,MATCH($A7,'Valo FX'!$A:$A,0)),INDEX(Base!$U:$U,MATCH($A7,Base!$A:$A,0)),IF(P$1=INDEX('Valo FX'!$R:$R,MATCH($A7,'Valo FX'!$A:$A,0)),INDEX(Base!$V:$V,MATCH($A7,Base!$A:$A,0)),0)))</f>
        <v>9.3625100000000003</v>
      </c>
      <c r="Q7" s="21">
        <f>IF(Q$1&lt;INDEX('Valo FX'!$Q:$Q,MATCH($A7,'Valo FX'!$A:$A,0)),0,IF(Q$1&lt;INDEX('Valo FX'!$R:$R,MATCH($A7,'Valo FX'!$A:$A,0)),INDEX(Base!$U:$U,MATCH($A7,Base!$A:$A,0)),IF(Q$1=INDEX('Valo FX'!$R:$R,MATCH($A7,'Valo FX'!$A:$A,0)),INDEX(Base!$V:$V,MATCH($A7,Base!$A:$A,0)),0)))</f>
        <v>9.3625100000000003</v>
      </c>
      <c r="R7" s="21">
        <f>IF(R$1&lt;INDEX('Valo FX'!$Q:$Q,MATCH($A7,'Valo FX'!$A:$A,0)),0,IF(R$1&lt;INDEX('Valo FX'!$R:$R,MATCH($A7,'Valo FX'!$A:$A,0)),INDEX(Base!$U:$U,MATCH($A7,Base!$A:$A,0)),IF(R$1=INDEX('Valo FX'!$R:$R,MATCH($A7,'Valo FX'!$A:$A,0)),INDEX(Base!$V:$V,MATCH($A7,Base!$A:$A,0)),0)))</f>
        <v>9.3625100000000003</v>
      </c>
      <c r="S7" s="21">
        <f>IF(S$1&lt;INDEX('Valo FX'!$Q:$Q,MATCH($A7,'Valo FX'!$A:$A,0)),0,IF(S$1&lt;INDEX('Valo FX'!$R:$R,MATCH($A7,'Valo FX'!$A:$A,0)),INDEX(Base!$U:$U,MATCH($A7,Base!$A:$A,0)),IF(S$1=INDEX('Valo FX'!$R:$R,MATCH($A7,'Valo FX'!$A:$A,0)),INDEX(Base!$V:$V,MATCH($A7,Base!$A:$A,0)),0)))</f>
        <v>9.3625100000000003</v>
      </c>
      <c r="T7" s="21">
        <f>IF(T$1&lt;INDEX('Valo FX'!$Q:$Q,MATCH($A7,'Valo FX'!$A:$A,0)),0,IF(T$1&lt;INDEX('Valo FX'!$R:$R,MATCH($A7,'Valo FX'!$A:$A,0)),INDEX(Base!$U:$U,MATCH($A7,Base!$A:$A,0)),IF(T$1=INDEX('Valo FX'!$R:$R,MATCH($A7,'Valo FX'!$A:$A,0)),INDEX(Base!$V:$V,MATCH($A7,Base!$A:$A,0)),0)))</f>
        <v>9.3625100000000003</v>
      </c>
      <c r="U7" s="21">
        <f>IF(U$1&lt;INDEX('Valo FX'!$Q:$Q,MATCH($A7,'Valo FX'!$A:$A,0)),0,IF(U$1&lt;INDEX('Valo FX'!$R:$R,MATCH($A7,'Valo FX'!$A:$A,0)),INDEX(Base!$U:$U,MATCH($A7,Base!$A:$A,0)),IF(U$1=INDEX('Valo FX'!$R:$R,MATCH($A7,'Valo FX'!$A:$A,0)),INDEX(Base!$V:$V,MATCH($A7,Base!$A:$A,0)),0)))</f>
        <v>9.3625100000000003</v>
      </c>
      <c r="V7" s="21">
        <f>IF(V$1&lt;INDEX('Valo FX'!$Q:$Q,MATCH($A7,'Valo FX'!$A:$A,0)),0,IF(V$1&lt;INDEX('Valo FX'!$R:$R,MATCH($A7,'Valo FX'!$A:$A,0)),INDEX(Base!$U:$U,MATCH($A7,Base!$A:$A,0)),IF(V$1=INDEX('Valo FX'!$R:$R,MATCH($A7,'Valo FX'!$A:$A,0)),INDEX(Base!$V:$V,MATCH($A7,Base!$A:$A,0)),0)))</f>
        <v>9.3625100000000003</v>
      </c>
      <c r="W7" s="21">
        <f>IF(W$1&lt;INDEX('Valo FX'!$Q:$Q,MATCH($A7,'Valo FX'!$A:$A,0)),0,IF(W$1&lt;INDEX('Valo FX'!$R:$R,MATCH($A7,'Valo FX'!$A:$A,0)),INDEX(Base!$U:$U,MATCH($A7,Base!$A:$A,0)),IF(W$1=INDEX('Valo FX'!$R:$R,MATCH($A7,'Valo FX'!$A:$A,0)),INDEX(Base!$V:$V,MATCH($A7,Base!$A:$A,0)),0)))</f>
        <v>9.3625100000000003</v>
      </c>
      <c r="X7" s="21">
        <f>IF(X$1&lt;INDEX('Valo FX'!$Q:$Q,MATCH($A7,'Valo FX'!$A:$A,0)),0,IF(X$1&lt;INDEX('Valo FX'!$R:$R,MATCH($A7,'Valo FX'!$A:$A,0)),INDEX(Base!$U:$U,MATCH($A7,Base!$A:$A,0)),IF(X$1=INDEX('Valo FX'!$R:$R,MATCH($A7,'Valo FX'!$A:$A,0)),INDEX(Base!$V:$V,MATCH($A7,Base!$A:$A,0)),0)))</f>
        <v>9.3625100000000003</v>
      </c>
      <c r="Y7" s="21">
        <f>IF(Y$1&lt;INDEX('Valo FX'!$Q:$Q,MATCH($A7,'Valo FX'!$A:$A,0)),0,IF(Y$1&lt;INDEX('Valo FX'!$R:$R,MATCH($A7,'Valo FX'!$A:$A,0)),INDEX(Base!$U:$U,MATCH($A7,Base!$A:$A,0)),IF(Y$1=INDEX('Valo FX'!$R:$R,MATCH($A7,'Valo FX'!$A:$A,0)),INDEX(Base!$V:$V,MATCH($A7,Base!$A:$A,0)),0)))</f>
        <v>9.3625100000000003</v>
      </c>
      <c r="Z7" s="21">
        <f>IF(Z$1&lt;INDEX('Valo FX'!$Q:$Q,MATCH($A7,'Valo FX'!$A:$A,0)),0,IF(Z$1&lt;INDEX('Valo FX'!$R:$R,MATCH($A7,'Valo FX'!$A:$A,0)),INDEX(Base!$U:$U,MATCH($A7,Base!$A:$A,0)),IF(Z$1=INDEX('Valo FX'!$R:$R,MATCH($A7,'Valo FX'!$A:$A,0)),INDEX(Base!$V:$V,MATCH($A7,Base!$A:$A,0)),0)))</f>
        <v>9.3625100000000003</v>
      </c>
      <c r="AA7" s="21">
        <f>IF(AA$1&lt;INDEX('Valo FX'!$Q:$Q,MATCH($A7,'Valo FX'!$A:$A,0)),0,IF(AA$1&lt;INDEX('Valo FX'!$R:$R,MATCH($A7,'Valo FX'!$A:$A,0)),INDEX(Base!$U:$U,MATCH($A7,Base!$A:$A,0)),IF(AA$1=INDEX('Valo FX'!$R:$R,MATCH($A7,'Valo FX'!$A:$A,0)),INDEX(Base!$V:$V,MATCH($A7,Base!$A:$A,0)),0)))</f>
        <v>9.3625100000000003</v>
      </c>
      <c r="AB7" s="21">
        <f>IF(AB$1&lt;INDEX('Valo FX'!$Q:$Q,MATCH($A7,'Valo FX'!$A:$A,0)),0,IF(AB$1&lt;INDEX('Valo FX'!$R:$R,MATCH($A7,'Valo FX'!$A:$A,0)),INDEX(Base!$U:$U,MATCH($A7,Base!$A:$A,0)),IF(AB$1=INDEX('Valo FX'!$R:$R,MATCH($A7,'Valo FX'!$A:$A,0)),INDEX(Base!$V:$V,MATCH($A7,Base!$A:$A,0)),0)))</f>
        <v>9.3625100000000003</v>
      </c>
      <c r="AC7" s="21">
        <f>IF(AC$1&lt;INDEX('Valo FX'!$Q:$Q,MATCH($A7,'Valo FX'!$A:$A,0)),0,IF(AC$1&lt;INDEX('Valo FX'!$R:$R,MATCH($A7,'Valo FX'!$A:$A,0)),INDEX(Base!$U:$U,MATCH($A7,Base!$A:$A,0)),IF(AC$1=INDEX('Valo FX'!$R:$R,MATCH($A7,'Valo FX'!$A:$A,0)),INDEX(Base!$V:$V,MATCH($A7,Base!$A:$A,0)),0)))</f>
        <v>9.3625100000000003</v>
      </c>
      <c r="AD7" s="21">
        <f>IF(AD$1&lt;INDEX('Valo FX'!$Q:$Q,MATCH($A7,'Valo FX'!$A:$A,0)),0,IF(AD$1&lt;INDEX('Valo FX'!$R:$R,MATCH($A7,'Valo FX'!$A:$A,0)),INDEX(Base!$U:$U,MATCH($A7,Base!$A:$A,0)),IF(AD$1=INDEX('Valo FX'!$R:$R,MATCH($A7,'Valo FX'!$A:$A,0)),INDEX(Base!$V:$V,MATCH($A7,Base!$A:$A,0)),0)))</f>
        <v>9.3625100000000003</v>
      </c>
      <c r="AE7" s="21">
        <f>IF(AE$1&lt;INDEX('Valo FX'!$Q:$Q,MATCH($A7,'Valo FX'!$A:$A,0)),0,IF(AE$1&lt;INDEX('Valo FX'!$R:$R,MATCH($A7,'Valo FX'!$A:$A,0)),INDEX(Base!$U:$U,MATCH($A7,Base!$A:$A,0)),IF(AE$1=INDEX('Valo FX'!$R:$R,MATCH($A7,'Valo FX'!$A:$A,0)),INDEX(Base!$V:$V,MATCH($A7,Base!$A:$A,0)),0)))</f>
        <v>9.3625100000000003</v>
      </c>
      <c r="AF7" s="21">
        <f>IF(AF$1&lt;INDEX('Valo FX'!$Q:$Q,MATCH($A7,'Valo FX'!$A:$A,0)),0,IF(AF$1&lt;INDEX('Valo FX'!$R:$R,MATCH($A7,'Valo FX'!$A:$A,0)),INDEX(Base!$U:$U,MATCH($A7,Base!$A:$A,0)),IF(AF$1=INDEX('Valo FX'!$R:$R,MATCH($A7,'Valo FX'!$A:$A,0)),INDEX(Base!$V:$V,MATCH($A7,Base!$A:$A,0)),0)))</f>
        <v>9.3625100000000003</v>
      </c>
      <c r="AG7" s="21">
        <f>IF(AG$1&lt;INDEX('Valo FX'!$Q:$Q,MATCH($A7,'Valo FX'!$A:$A,0)),0,IF(AG$1&lt;INDEX('Valo FX'!$R:$R,MATCH($A7,'Valo FX'!$A:$A,0)),INDEX(Base!$U:$U,MATCH($A7,Base!$A:$A,0)),IF(AG$1=INDEX('Valo FX'!$R:$R,MATCH($A7,'Valo FX'!$A:$A,0)),INDEX(Base!$V:$V,MATCH($A7,Base!$A:$A,0)),0)))</f>
        <v>9.3625100000000003</v>
      </c>
      <c r="AH7" s="21">
        <f>IF(AH$1&lt;INDEX('Valo FX'!$Q:$Q,MATCH($A7,'Valo FX'!$A:$A,0)),0,IF(AH$1&lt;INDEX('Valo FX'!$R:$R,MATCH($A7,'Valo FX'!$A:$A,0)),INDEX(Base!$U:$U,MATCH($A7,Base!$A:$A,0)),IF(AH$1=INDEX('Valo FX'!$R:$R,MATCH($A7,'Valo FX'!$A:$A,0)),INDEX(Base!$V:$V,MATCH($A7,Base!$A:$A,0)),0)))</f>
        <v>9.3625100000000003</v>
      </c>
      <c r="AI7" s="21">
        <f>IF(AI$1&lt;INDEX('Valo FX'!$Q:$Q,MATCH($A7,'Valo FX'!$A:$A,0)),0,IF(AI$1&lt;INDEX('Valo FX'!$R:$R,MATCH($A7,'Valo FX'!$A:$A,0)),INDEX(Base!$U:$U,MATCH($A7,Base!$A:$A,0)),IF(AI$1=INDEX('Valo FX'!$R:$R,MATCH($A7,'Valo FX'!$A:$A,0)),INDEX(Base!$V:$V,MATCH($A7,Base!$A:$A,0)),0)))</f>
        <v>9.3625100000000003</v>
      </c>
      <c r="AJ7" s="21">
        <f>IF(AJ$1&lt;INDEX('Valo FX'!$Q:$Q,MATCH($A7,'Valo FX'!$A:$A,0)),0,IF(AJ$1&lt;INDEX('Valo FX'!$R:$R,MATCH($A7,'Valo FX'!$A:$A,0)),INDEX(Base!$U:$U,MATCH($A7,Base!$A:$A,0)),IF(AJ$1=INDEX('Valo FX'!$R:$R,MATCH($A7,'Valo FX'!$A:$A,0)),INDEX(Base!$V:$V,MATCH($A7,Base!$A:$A,0)),0)))</f>
        <v>9.3625100000000003</v>
      </c>
      <c r="AK7" s="21">
        <f>IF(AK$1&lt;INDEX('Valo FX'!$Q:$Q,MATCH($A7,'Valo FX'!$A:$A,0)),0,IF(AK$1&lt;INDEX('Valo FX'!$R:$R,MATCH($A7,'Valo FX'!$A:$A,0)),INDEX(Base!$U:$U,MATCH($A7,Base!$A:$A,0)),IF(AK$1=INDEX('Valo FX'!$R:$R,MATCH($A7,'Valo FX'!$A:$A,0)),INDEX(Base!$V:$V,MATCH($A7,Base!$A:$A,0)),0)))</f>
        <v>9.3625100000000003</v>
      </c>
      <c r="AL7" s="21">
        <f>IF(AL$1&lt;INDEX('Valo FX'!$Q:$Q,MATCH($A7,'Valo FX'!$A:$A,0)),0,IF(AL$1&lt;INDEX('Valo FX'!$R:$R,MATCH($A7,'Valo FX'!$A:$A,0)),INDEX(Base!$U:$U,MATCH($A7,Base!$A:$A,0)),IF(AL$1=INDEX('Valo FX'!$R:$R,MATCH($A7,'Valo FX'!$A:$A,0)),INDEX(Base!$V:$V,MATCH($A7,Base!$A:$A,0)),0)))</f>
        <v>9.3625100000000003</v>
      </c>
      <c r="AM7" s="21">
        <f>IF(AM$1&lt;INDEX('Valo FX'!$Q:$Q,MATCH($A7,'Valo FX'!$A:$A,0)),0,IF(AM$1&lt;INDEX('Valo FX'!$R:$R,MATCH($A7,'Valo FX'!$A:$A,0)),INDEX(Base!$U:$U,MATCH($A7,Base!$A:$A,0)),IF(AM$1=INDEX('Valo FX'!$R:$R,MATCH($A7,'Valo FX'!$A:$A,0)),INDEX(Base!$V:$V,MATCH($A7,Base!$A:$A,0)),0)))</f>
        <v>9.3625100000000003</v>
      </c>
      <c r="AN7" s="21">
        <f>IF(AN$1&lt;INDEX('Valo FX'!$Q:$Q,MATCH($A7,'Valo FX'!$A:$A,0)),0,IF(AN$1&lt;INDEX('Valo FX'!$R:$R,MATCH($A7,'Valo FX'!$A:$A,0)),INDEX(Base!$U:$U,MATCH($A7,Base!$A:$A,0)),IF(AN$1=INDEX('Valo FX'!$R:$R,MATCH($A7,'Valo FX'!$A:$A,0)),INDEX(Base!$V:$V,MATCH($A7,Base!$A:$A,0)),0)))</f>
        <v>9.3625100000000003</v>
      </c>
      <c r="AO7" s="21">
        <f>IF(AO$1&lt;INDEX('Valo FX'!$Q:$Q,MATCH($A7,'Valo FX'!$A:$A,0)),0,IF(AO$1&lt;INDEX('Valo FX'!$R:$R,MATCH($A7,'Valo FX'!$A:$A,0)),INDEX(Base!$U:$U,MATCH($A7,Base!$A:$A,0)),IF(AO$1=INDEX('Valo FX'!$R:$R,MATCH($A7,'Valo FX'!$A:$A,0)),INDEX(Base!$V:$V,MATCH($A7,Base!$A:$A,0)),0)))</f>
        <v>9.3625100000000003</v>
      </c>
      <c r="AP7" s="21">
        <f>IF(AP$1&lt;INDEX('Valo FX'!$Q:$Q,MATCH($A7,'Valo FX'!$A:$A,0)),0,IF(AP$1&lt;INDEX('Valo FX'!$R:$R,MATCH($A7,'Valo FX'!$A:$A,0)),INDEX(Base!$U:$U,MATCH($A7,Base!$A:$A,0)),IF(AP$1=INDEX('Valo FX'!$R:$R,MATCH($A7,'Valo FX'!$A:$A,0)),INDEX(Base!$V:$V,MATCH($A7,Base!$A:$A,0)),0)))</f>
        <v>9.3625100000000003</v>
      </c>
      <c r="AQ7" s="21">
        <f>IF(AQ$1&lt;INDEX('Valo FX'!$Q:$Q,MATCH($A7,'Valo FX'!$A:$A,0)),0,IF(AQ$1&lt;INDEX('Valo FX'!$R:$R,MATCH($A7,'Valo FX'!$A:$A,0)),INDEX(Base!$U:$U,MATCH($A7,Base!$A:$A,0)),IF(AQ$1=INDEX('Valo FX'!$R:$R,MATCH($A7,'Valo FX'!$A:$A,0)),INDEX(Base!$V:$V,MATCH($A7,Base!$A:$A,0)),0)))</f>
        <v>9.3625100000000003</v>
      </c>
      <c r="AR7" s="21">
        <f>IF(AR$1&lt;INDEX('Valo FX'!$Q:$Q,MATCH($A7,'Valo FX'!$A:$A,0)),0,IF(AR$1&lt;INDEX('Valo FX'!$R:$R,MATCH($A7,'Valo FX'!$A:$A,0)),INDEX(Base!$U:$U,MATCH($A7,Base!$A:$A,0)),IF(AR$1=INDEX('Valo FX'!$R:$R,MATCH($A7,'Valo FX'!$A:$A,0)),INDEX(Base!$V:$V,MATCH($A7,Base!$A:$A,0)),0)))</f>
        <v>9.3625100000000003</v>
      </c>
      <c r="AS7" s="21">
        <f>IF(AS$1&lt;INDEX('Valo FX'!$Q:$Q,MATCH($A7,'Valo FX'!$A:$A,0)),0,IF(AS$1&lt;INDEX('Valo FX'!$R:$R,MATCH($A7,'Valo FX'!$A:$A,0)),INDEX(Base!$U:$U,MATCH($A7,Base!$A:$A,0)),IF(AS$1=INDEX('Valo FX'!$R:$R,MATCH($A7,'Valo FX'!$A:$A,0)),INDEX(Base!$V:$V,MATCH($A7,Base!$A:$A,0)),0)))</f>
        <v>9.3625100000000003</v>
      </c>
      <c r="AT7" s="21">
        <f>IF(AT$1&lt;INDEX('Valo FX'!$Q:$Q,MATCH($A7,'Valo FX'!$A:$A,0)),0,IF(AT$1&lt;INDEX('Valo FX'!$R:$R,MATCH($A7,'Valo FX'!$A:$A,0)),INDEX(Base!$U:$U,MATCH($A7,Base!$A:$A,0)),IF(AT$1=INDEX('Valo FX'!$R:$R,MATCH($A7,'Valo FX'!$A:$A,0)),INDEX(Base!$V:$V,MATCH($A7,Base!$A:$A,0)),0)))</f>
        <v>9.3625100000000003</v>
      </c>
      <c r="AU7" s="21">
        <f>IF(AU$1&lt;INDEX('Valo FX'!$Q:$Q,MATCH($A7,'Valo FX'!$A:$A,0)),0,IF(AU$1&lt;INDEX('Valo FX'!$R:$R,MATCH($A7,'Valo FX'!$A:$A,0)),INDEX(Base!$U:$U,MATCH($A7,Base!$A:$A,0)),IF(AU$1=INDEX('Valo FX'!$R:$R,MATCH($A7,'Valo FX'!$A:$A,0)),INDEX(Base!$V:$V,MATCH($A7,Base!$A:$A,0)),0)))</f>
        <v>9.3625100000000003</v>
      </c>
      <c r="AV7" s="21">
        <f>IF(AV$1&lt;INDEX('Valo FX'!$Q:$Q,MATCH($A7,'Valo FX'!$A:$A,0)),0,IF(AV$1&lt;INDEX('Valo FX'!$R:$R,MATCH($A7,'Valo FX'!$A:$A,0)),INDEX(Base!$U:$U,MATCH($A7,Base!$A:$A,0)),IF(AV$1=INDEX('Valo FX'!$R:$R,MATCH($A7,'Valo FX'!$A:$A,0)),INDEX(Base!$V:$V,MATCH($A7,Base!$A:$A,0)),0)))</f>
        <v>9.3625100000000003</v>
      </c>
      <c r="AW7" s="21">
        <f>IF(AW$1&lt;INDEX('Valo FX'!$Q:$Q,MATCH($A7,'Valo FX'!$A:$A,0)),0,IF(AW$1&lt;INDEX('Valo FX'!$R:$R,MATCH($A7,'Valo FX'!$A:$A,0)),INDEX(Base!$U:$U,MATCH($A7,Base!$A:$A,0)),IF(AW$1=INDEX('Valo FX'!$R:$R,MATCH($A7,'Valo FX'!$A:$A,0)),INDEX(Base!$V:$V,MATCH($A7,Base!$A:$A,0)),0)))</f>
        <v>9.3625100000000003</v>
      </c>
      <c r="AX7" s="21">
        <f>IF(AX$1&lt;INDEX('Valo FX'!$Q:$Q,MATCH($A7,'Valo FX'!$A:$A,0)),0,IF(AX$1&lt;INDEX('Valo FX'!$R:$R,MATCH($A7,'Valo FX'!$A:$A,0)),INDEX(Base!$U:$U,MATCH($A7,Base!$A:$A,0)),IF(AX$1=INDEX('Valo FX'!$R:$R,MATCH($A7,'Valo FX'!$A:$A,0)),INDEX(Base!$V:$V,MATCH($A7,Base!$A:$A,0)),0)))</f>
        <v>9.3625100000000003</v>
      </c>
      <c r="AY7" s="21">
        <f>IF(AY$1&lt;INDEX('Valo FX'!$Q:$Q,MATCH($A7,'Valo FX'!$A:$A,0)),0,IF(AY$1&lt;INDEX('Valo FX'!$R:$R,MATCH($A7,'Valo FX'!$A:$A,0)),INDEX(Base!$U:$U,MATCH($A7,Base!$A:$A,0)),IF(AY$1=INDEX('Valo FX'!$R:$R,MATCH($A7,'Valo FX'!$A:$A,0)),INDEX(Base!$V:$V,MATCH($A7,Base!$A:$A,0)),0)))</f>
        <v>9.3625100000000003</v>
      </c>
      <c r="AZ7" s="21">
        <f>IF(AZ$1&lt;INDEX('Valo FX'!$Q:$Q,MATCH($A7,'Valo FX'!$A:$A,0)),0,IF(AZ$1&lt;INDEX('Valo FX'!$R:$R,MATCH($A7,'Valo FX'!$A:$A,0)),INDEX(Base!$U:$U,MATCH($A7,Base!$A:$A,0)),IF(AZ$1=INDEX('Valo FX'!$R:$R,MATCH($A7,'Valo FX'!$A:$A,0)),INDEX(Base!$V:$V,MATCH($A7,Base!$A:$A,0)),0)))</f>
        <v>9.3625100000000003</v>
      </c>
      <c r="BA7" s="21">
        <f>IF(BA$1&lt;INDEX('Valo FX'!$Q:$Q,MATCH($A7,'Valo FX'!$A:$A,0)),0,IF(BA$1&lt;INDEX('Valo FX'!$R:$R,MATCH($A7,'Valo FX'!$A:$A,0)),INDEX(Base!$U:$U,MATCH($A7,Base!$A:$A,0)),IF(BA$1=INDEX('Valo FX'!$R:$R,MATCH($A7,'Valo FX'!$A:$A,0)),INDEX(Base!$V:$V,MATCH($A7,Base!$A:$A,0)),0)))</f>
        <v>9.3625100000000003</v>
      </c>
      <c r="BB7" s="21">
        <f>IF(BB$1&lt;INDEX('Valo FX'!$Q:$Q,MATCH($A7,'Valo FX'!$A:$A,0)),0,IF(BB$1&lt;INDEX('Valo FX'!$R:$R,MATCH($A7,'Valo FX'!$A:$A,0)),INDEX(Base!$U:$U,MATCH($A7,Base!$A:$A,0)),IF(BB$1=INDEX('Valo FX'!$R:$R,MATCH($A7,'Valo FX'!$A:$A,0)),INDEX(Base!$V:$V,MATCH($A7,Base!$A:$A,0)),0)))</f>
        <v>9.3625100000000003</v>
      </c>
      <c r="BC7" s="21">
        <f>IF(BC$1&lt;INDEX('Valo FX'!$Q:$Q,MATCH($A7,'Valo FX'!$A:$A,0)),0,IF(BC$1&lt;INDEX('Valo FX'!$R:$R,MATCH($A7,'Valo FX'!$A:$A,0)),INDEX(Base!$U:$U,MATCH($A7,Base!$A:$A,0)),IF(BC$1=INDEX('Valo FX'!$R:$R,MATCH($A7,'Valo FX'!$A:$A,0)),INDEX(Base!$V:$V,MATCH($A7,Base!$A:$A,0)),0)))</f>
        <v>9.3625100000000003</v>
      </c>
      <c r="BD7" s="21">
        <f>IF(BD$1&lt;INDEX('Valo FX'!$Q:$Q,MATCH($A7,'Valo FX'!$A:$A,0)),0,IF(BD$1&lt;INDEX('Valo FX'!$R:$R,MATCH($A7,'Valo FX'!$A:$A,0)),INDEX(Base!$U:$U,MATCH($A7,Base!$A:$A,0)),IF(BD$1=INDEX('Valo FX'!$R:$R,MATCH($A7,'Valo FX'!$A:$A,0)),INDEX(Base!$V:$V,MATCH($A7,Base!$A:$A,0)),0)))</f>
        <v>9.3625100000000003</v>
      </c>
      <c r="BE7" s="21">
        <f>IF(BE$1&lt;INDEX('Valo FX'!$Q:$Q,MATCH($A7,'Valo FX'!$A:$A,0)),0,IF(BE$1&lt;INDEX('Valo FX'!$R:$R,MATCH($A7,'Valo FX'!$A:$A,0)),INDEX(Base!$U:$U,MATCH($A7,Base!$A:$A,0)),IF(BE$1=INDEX('Valo FX'!$R:$R,MATCH($A7,'Valo FX'!$A:$A,0)),INDEX(Base!$V:$V,MATCH($A7,Base!$A:$A,0)),0)))</f>
        <v>9.3625100000000003</v>
      </c>
      <c r="BF7" s="21">
        <f>IF(BF$1&lt;INDEX('Valo FX'!$Q:$Q,MATCH($A7,'Valo FX'!$A:$A,0)),0,IF(BF$1&lt;INDEX('Valo FX'!$R:$R,MATCH($A7,'Valo FX'!$A:$A,0)),INDEX(Base!$U:$U,MATCH($A7,Base!$A:$A,0)),IF(BF$1=INDEX('Valo FX'!$R:$R,MATCH($A7,'Valo FX'!$A:$A,0)),INDEX(Base!$V:$V,MATCH($A7,Base!$A:$A,0)),0)))</f>
        <v>9.3625100000000003</v>
      </c>
      <c r="BG7" s="21">
        <f>IF(BG$1&lt;INDEX('Valo FX'!$Q:$Q,MATCH($A7,'Valo FX'!$A:$A,0)),0,IF(BG$1&lt;INDEX('Valo FX'!$R:$R,MATCH($A7,'Valo FX'!$A:$A,0)),INDEX(Base!$U:$U,MATCH($A7,Base!$A:$A,0)),IF(BG$1=INDEX('Valo FX'!$R:$R,MATCH($A7,'Valo FX'!$A:$A,0)),INDEX(Base!$V:$V,MATCH($A7,Base!$A:$A,0)),0)))</f>
        <v>9.3625100000000003</v>
      </c>
      <c r="BH7" s="21">
        <f>IF(BH$1&lt;INDEX('Valo FX'!$Q:$Q,MATCH($A7,'Valo FX'!$A:$A,0)),0,IF(BH$1&lt;INDEX('Valo FX'!$R:$R,MATCH($A7,'Valo FX'!$A:$A,0)),INDEX(Base!$U:$U,MATCH($A7,Base!$A:$A,0)),IF(BH$1=INDEX('Valo FX'!$R:$R,MATCH($A7,'Valo FX'!$A:$A,0)),INDEX(Base!$V:$V,MATCH($A7,Base!$A:$A,0)),0)))</f>
        <v>9.3625100000000003</v>
      </c>
      <c r="BI7" s="21">
        <f>IF(BI$1&lt;INDEX('Valo FX'!$Q:$Q,MATCH($A7,'Valo FX'!$A:$A,0)),0,IF(BI$1&lt;INDEX('Valo FX'!$R:$R,MATCH($A7,'Valo FX'!$A:$A,0)),INDEX(Base!$U:$U,MATCH($A7,Base!$A:$A,0)),IF(BI$1=INDEX('Valo FX'!$R:$R,MATCH($A7,'Valo FX'!$A:$A,0)),INDEX(Base!$V:$V,MATCH($A7,Base!$A:$A,0)),0)))</f>
        <v>9.3625100000000003</v>
      </c>
      <c r="BJ7" s="21">
        <f>IF(BJ$1&lt;INDEX('Valo FX'!$Q:$Q,MATCH($A7,'Valo FX'!$A:$A,0)),0,IF(BJ$1&lt;INDEX('Valo FX'!$R:$R,MATCH($A7,'Valo FX'!$A:$A,0)),INDEX(Base!$U:$U,MATCH($A7,Base!$A:$A,0)),IF(BJ$1=INDEX('Valo FX'!$R:$R,MATCH($A7,'Valo FX'!$A:$A,0)),INDEX(Base!$V:$V,MATCH($A7,Base!$A:$A,0)),0)))</f>
        <v>9.3625100000000003</v>
      </c>
      <c r="BK7" s="21">
        <f>IF(BK$1&lt;INDEX('Valo FX'!$Q:$Q,MATCH($A7,'Valo FX'!$A:$A,0)),0,IF(BK$1&lt;INDEX('Valo FX'!$R:$R,MATCH($A7,'Valo FX'!$A:$A,0)),INDEX(Base!$U:$U,MATCH($A7,Base!$A:$A,0)),IF(BK$1=INDEX('Valo FX'!$R:$R,MATCH($A7,'Valo FX'!$A:$A,0)),INDEX(Base!$V:$V,MATCH($A7,Base!$A:$A,0)),0)))</f>
        <v>9.3625100000000003</v>
      </c>
      <c r="BL7" s="21">
        <f>IF(BL$1&lt;INDEX('Valo FX'!$Q:$Q,MATCH($A7,'Valo FX'!$A:$A,0)),0,IF(BL$1&lt;INDEX('Valo FX'!$R:$R,MATCH($A7,'Valo FX'!$A:$A,0)),INDEX(Base!$U:$U,MATCH($A7,Base!$A:$A,0)),IF(BL$1=INDEX('Valo FX'!$R:$R,MATCH($A7,'Valo FX'!$A:$A,0)),INDEX(Base!$V:$V,MATCH($A7,Base!$A:$A,0)),0)))</f>
        <v>9.3625100000000003</v>
      </c>
      <c r="BM7" s="21">
        <f>IF(BM$1&lt;INDEX('Valo FX'!$Q:$Q,MATCH($A7,'Valo FX'!$A:$A,0)),0,IF(BM$1&lt;INDEX('Valo FX'!$R:$R,MATCH($A7,'Valo FX'!$A:$A,0)),INDEX(Base!$U:$U,MATCH($A7,Base!$A:$A,0)),IF(BM$1=INDEX('Valo FX'!$R:$R,MATCH($A7,'Valo FX'!$A:$A,0)),INDEX(Base!$V:$V,MATCH($A7,Base!$A:$A,0)),0)))</f>
        <v>9.3625100000000003</v>
      </c>
      <c r="BN7" s="21">
        <f>IF(BN$1&lt;INDEX('Valo FX'!$Q:$Q,MATCH($A7,'Valo FX'!$A:$A,0)),0,IF(BN$1&lt;INDEX('Valo FX'!$R:$R,MATCH($A7,'Valo FX'!$A:$A,0)),INDEX(Base!$U:$U,MATCH($A7,Base!$A:$A,0)),IF(BN$1=INDEX('Valo FX'!$R:$R,MATCH($A7,'Valo FX'!$A:$A,0)),INDEX(Base!$V:$V,MATCH($A7,Base!$A:$A,0)),0)))</f>
        <v>9.3625100000000003</v>
      </c>
      <c r="BO7" s="21">
        <f>IF(BO$1&lt;INDEX('Valo FX'!$Q:$Q,MATCH($A7,'Valo FX'!$A:$A,0)),0,IF(BO$1&lt;INDEX('Valo FX'!$R:$R,MATCH($A7,'Valo FX'!$A:$A,0)),INDEX(Base!$U:$U,MATCH($A7,Base!$A:$A,0)),IF(BO$1=INDEX('Valo FX'!$R:$R,MATCH($A7,'Valo FX'!$A:$A,0)),INDEX(Base!$V:$V,MATCH($A7,Base!$A:$A,0)),0)))</f>
        <v>9.3625100000000003</v>
      </c>
      <c r="BP7" s="21">
        <f>IF(BP$1&lt;INDEX('Valo FX'!$Q:$Q,MATCH($A7,'Valo FX'!$A:$A,0)),0,IF(BP$1&lt;INDEX('Valo FX'!$R:$R,MATCH($A7,'Valo FX'!$A:$A,0)),INDEX(Base!$U:$U,MATCH($A7,Base!$A:$A,0)),IF(BP$1=INDEX('Valo FX'!$R:$R,MATCH($A7,'Valo FX'!$A:$A,0)),INDEX(Base!$V:$V,MATCH($A7,Base!$A:$A,0)),0)))</f>
        <v>9.3625100000000003</v>
      </c>
      <c r="BQ7" s="21">
        <f>IF(BQ$1&lt;INDEX('Valo FX'!$Q:$Q,MATCH($A7,'Valo FX'!$A:$A,0)),0,IF(BQ$1&lt;INDEX('Valo FX'!$R:$R,MATCH($A7,'Valo FX'!$A:$A,0)),INDEX(Base!$U:$U,MATCH($A7,Base!$A:$A,0)),IF(BQ$1=INDEX('Valo FX'!$R:$R,MATCH($A7,'Valo FX'!$A:$A,0)),INDEX(Base!$V:$V,MATCH($A7,Base!$A:$A,0)),0)))</f>
        <v>9.3625100000000003</v>
      </c>
      <c r="BR7" s="21">
        <f>IF(BR$1&lt;INDEX('Valo FX'!$Q:$Q,MATCH($A7,'Valo FX'!$A:$A,0)),0,IF(BR$1&lt;INDEX('Valo FX'!$R:$R,MATCH($A7,'Valo FX'!$A:$A,0)),INDEX(Base!$U:$U,MATCH($A7,Base!$A:$A,0)),IF(BR$1=INDEX('Valo FX'!$R:$R,MATCH($A7,'Valo FX'!$A:$A,0)),INDEX(Base!$V:$V,MATCH($A7,Base!$A:$A,0)),0)))</f>
        <v>9.3625100000000003</v>
      </c>
      <c r="BS7" s="21">
        <f>IF(BS$1&lt;INDEX('Valo FX'!$Q:$Q,MATCH($A7,'Valo FX'!$A:$A,0)),0,IF(BS$1&lt;INDEX('Valo FX'!$R:$R,MATCH($A7,'Valo FX'!$A:$A,0)),INDEX(Base!$U:$U,MATCH($A7,Base!$A:$A,0)),IF(BS$1=INDEX('Valo FX'!$R:$R,MATCH($A7,'Valo FX'!$A:$A,0)),INDEX(Base!$V:$V,MATCH($A7,Base!$A:$A,0)),0)))</f>
        <v>9.3625100000000003</v>
      </c>
      <c r="BT7" s="21">
        <f>IF(BT$1&lt;INDEX('Valo FX'!$Q:$Q,MATCH($A7,'Valo FX'!$A:$A,0)),0,IF(BT$1&lt;INDEX('Valo FX'!$R:$R,MATCH($A7,'Valo FX'!$A:$A,0)),INDEX(Base!$U:$U,MATCH($A7,Base!$A:$A,0)),IF(BT$1=INDEX('Valo FX'!$R:$R,MATCH($A7,'Valo FX'!$A:$A,0)),INDEX(Base!$V:$V,MATCH($A7,Base!$A:$A,0)),0)))</f>
        <v>9.3625100000000003</v>
      </c>
      <c r="BU7" s="21">
        <f>IF(BU$1&lt;INDEX('Valo FX'!$Q:$Q,MATCH($A7,'Valo FX'!$A:$A,0)),0,IF(BU$1&lt;INDEX('Valo FX'!$R:$R,MATCH($A7,'Valo FX'!$A:$A,0)),INDEX(Base!$U:$U,MATCH($A7,Base!$A:$A,0)),IF(BU$1=INDEX('Valo FX'!$R:$R,MATCH($A7,'Valo FX'!$A:$A,0)),INDEX(Base!$V:$V,MATCH($A7,Base!$A:$A,0)),0)))</f>
        <v>9.3625100000000003</v>
      </c>
      <c r="BV7" s="21">
        <f>IF(BV$1&lt;INDEX('Valo FX'!$Q:$Q,MATCH($A7,'Valo FX'!$A:$A,0)),0,IF(BV$1&lt;INDEX('Valo FX'!$R:$R,MATCH($A7,'Valo FX'!$A:$A,0)),INDEX(Base!$U:$U,MATCH($A7,Base!$A:$A,0)),IF(BV$1=INDEX('Valo FX'!$R:$R,MATCH($A7,'Valo FX'!$A:$A,0)),INDEX(Base!$V:$V,MATCH($A7,Base!$A:$A,0)),0)))</f>
        <v>9.3625100000000003</v>
      </c>
      <c r="BW7" s="21">
        <f>IF(BW$1&lt;INDEX('Valo FX'!$Q:$Q,MATCH($A7,'Valo FX'!$A:$A,0)),0,IF(BW$1&lt;INDEX('Valo FX'!$R:$R,MATCH($A7,'Valo FX'!$A:$A,0)),INDEX(Base!$U:$U,MATCH($A7,Base!$A:$A,0)),IF(BW$1=INDEX('Valo FX'!$R:$R,MATCH($A7,'Valo FX'!$A:$A,0)),INDEX(Base!$V:$V,MATCH($A7,Base!$A:$A,0)),0)))</f>
        <v>9.3625100000000003</v>
      </c>
      <c r="BX7" s="21">
        <f>IF(BX$1&lt;INDEX('Valo FX'!$Q:$Q,MATCH($A7,'Valo FX'!$A:$A,0)),0,IF(BX$1&lt;INDEX('Valo FX'!$R:$R,MATCH($A7,'Valo FX'!$A:$A,0)),INDEX(Base!$U:$U,MATCH($A7,Base!$A:$A,0)),IF(BX$1=INDEX('Valo FX'!$R:$R,MATCH($A7,'Valo FX'!$A:$A,0)),INDEX(Base!$V:$V,MATCH($A7,Base!$A:$A,0)),0)))</f>
        <v>9.3625100000000003</v>
      </c>
      <c r="BY7" s="21">
        <f>IF(BY$1&lt;INDEX('Valo FX'!$Q:$Q,MATCH($A7,'Valo FX'!$A:$A,0)),0,IF(BY$1&lt;INDEX('Valo FX'!$R:$R,MATCH($A7,'Valo FX'!$A:$A,0)),INDEX(Base!$U:$U,MATCH($A7,Base!$A:$A,0)),IF(BY$1=INDEX('Valo FX'!$R:$R,MATCH($A7,'Valo FX'!$A:$A,0)),INDEX(Base!$V:$V,MATCH($A7,Base!$A:$A,0)),0)))</f>
        <v>9.3625100000000003</v>
      </c>
      <c r="BZ7" s="21">
        <f>IF(BZ$1&lt;INDEX('Valo FX'!$Q:$Q,MATCH($A7,'Valo FX'!$A:$A,0)),0,IF(BZ$1&lt;INDEX('Valo FX'!$R:$R,MATCH($A7,'Valo FX'!$A:$A,0)),INDEX(Base!$U:$U,MATCH($A7,Base!$A:$A,0)),IF(BZ$1=INDEX('Valo FX'!$R:$R,MATCH($A7,'Valo FX'!$A:$A,0)),INDEX(Base!$V:$V,MATCH($A7,Base!$A:$A,0)),0)))</f>
        <v>9.3625100000000003</v>
      </c>
      <c r="CA7" s="21">
        <f>IF(CA$1&lt;INDEX('Valo FX'!$Q:$Q,MATCH($A7,'Valo FX'!$A:$A,0)),0,IF(CA$1&lt;INDEX('Valo FX'!$R:$R,MATCH($A7,'Valo FX'!$A:$A,0)),INDEX(Base!$U:$U,MATCH($A7,Base!$A:$A,0)),IF(CA$1=INDEX('Valo FX'!$R:$R,MATCH($A7,'Valo FX'!$A:$A,0)),INDEX(Base!$V:$V,MATCH($A7,Base!$A:$A,0)),0)))</f>
        <v>9.3625100000000003</v>
      </c>
      <c r="CB7" s="21">
        <f>IF(CB$1&lt;INDEX('Valo FX'!$Q:$Q,MATCH($A7,'Valo FX'!$A:$A,0)),0,IF(CB$1&lt;INDEX('Valo FX'!$R:$R,MATCH($A7,'Valo FX'!$A:$A,0)),INDEX(Base!$U:$U,MATCH($A7,Base!$A:$A,0)),IF(CB$1=INDEX('Valo FX'!$R:$R,MATCH($A7,'Valo FX'!$A:$A,0)),INDEX(Base!$V:$V,MATCH($A7,Base!$A:$A,0)),0)))</f>
        <v>9.3625100000000003</v>
      </c>
      <c r="CC7" s="21">
        <f>IF(CC$1&lt;INDEX('Valo FX'!$Q:$Q,MATCH($A7,'Valo FX'!$A:$A,0)),0,IF(CC$1&lt;INDEX('Valo FX'!$R:$R,MATCH($A7,'Valo FX'!$A:$A,0)),INDEX(Base!$U:$U,MATCH($A7,Base!$A:$A,0)),IF(CC$1=INDEX('Valo FX'!$R:$R,MATCH($A7,'Valo FX'!$A:$A,0)),INDEX(Base!$V:$V,MATCH($A7,Base!$A:$A,0)),0)))</f>
        <v>9.3625100000000003</v>
      </c>
      <c r="CD7" s="21">
        <f>IF(CD$1&lt;INDEX('Valo FX'!$Q:$Q,MATCH($A7,'Valo FX'!$A:$A,0)),0,IF(CD$1&lt;INDEX('Valo FX'!$R:$R,MATCH($A7,'Valo FX'!$A:$A,0)),INDEX(Base!$U:$U,MATCH($A7,Base!$A:$A,0)),IF(CD$1=INDEX('Valo FX'!$R:$R,MATCH($A7,'Valo FX'!$A:$A,0)),INDEX(Base!$V:$V,MATCH($A7,Base!$A:$A,0)),0)))</f>
        <v>9.3625100000000003</v>
      </c>
      <c r="CE7" s="21">
        <f>IF(CE$1&lt;INDEX('Valo FX'!$Q:$Q,MATCH($A7,'Valo FX'!$A:$A,0)),0,IF(CE$1&lt;INDEX('Valo FX'!$R:$R,MATCH($A7,'Valo FX'!$A:$A,0)),INDEX(Base!$U:$U,MATCH($A7,Base!$A:$A,0)),IF(CE$1=INDEX('Valo FX'!$R:$R,MATCH($A7,'Valo FX'!$A:$A,0)),INDEX(Base!$V:$V,MATCH($A7,Base!$A:$A,0)),0)))</f>
        <v>9.3625100000000003</v>
      </c>
      <c r="CF7" s="21">
        <f>IF(CF$1&lt;INDEX('Valo FX'!$Q:$Q,MATCH($A7,'Valo FX'!$A:$A,0)),0,IF(CF$1&lt;INDEX('Valo FX'!$R:$R,MATCH($A7,'Valo FX'!$A:$A,0)),INDEX(Base!$U:$U,MATCH($A7,Base!$A:$A,0)),IF(CF$1=INDEX('Valo FX'!$R:$R,MATCH($A7,'Valo FX'!$A:$A,0)),INDEX(Base!$V:$V,MATCH($A7,Base!$A:$A,0)),0)))</f>
        <v>9.3625100000000003</v>
      </c>
      <c r="CG7" s="21">
        <f>IF(CG$1&lt;INDEX('Valo FX'!$Q:$Q,MATCH($A7,'Valo FX'!$A:$A,0)),0,IF(CG$1&lt;INDEX('Valo FX'!$R:$R,MATCH($A7,'Valo FX'!$A:$A,0)),INDEX(Base!$U:$U,MATCH($A7,Base!$A:$A,0)),IF(CG$1=INDEX('Valo FX'!$R:$R,MATCH($A7,'Valo FX'!$A:$A,0)),INDEX(Base!$V:$V,MATCH($A7,Base!$A:$A,0)),0)))</f>
        <v>9.3625100000000003</v>
      </c>
      <c r="CH7" s="21">
        <f>IF(CH$1&lt;INDEX('Valo FX'!$Q:$Q,MATCH($A7,'Valo FX'!$A:$A,0)),0,IF(CH$1&lt;INDEX('Valo FX'!$R:$R,MATCH($A7,'Valo FX'!$A:$A,0)),INDEX(Base!$U:$U,MATCH($A7,Base!$A:$A,0)),IF(CH$1=INDEX('Valo FX'!$R:$R,MATCH($A7,'Valo FX'!$A:$A,0)),INDEX(Base!$V:$V,MATCH($A7,Base!$A:$A,0)),0)))</f>
        <v>9.3625100000000003</v>
      </c>
      <c r="CI7" s="21">
        <f>IF(CI$1&lt;INDEX('Valo FX'!$Q:$Q,MATCH($A7,'Valo FX'!$A:$A,0)),0,IF(CI$1&lt;INDEX('Valo FX'!$R:$R,MATCH($A7,'Valo FX'!$A:$A,0)),INDEX(Base!$U:$U,MATCH($A7,Base!$A:$A,0)),IF(CI$1=INDEX('Valo FX'!$R:$R,MATCH($A7,'Valo FX'!$A:$A,0)),INDEX(Base!$V:$V,MATCH($A7,Base!$A:$A,0)),0)))</f>
        <v>9.3625100000000003</v>
      </c>
      <c r="CJ7" s="21">
        <f>IF(CJ$1&lt;INDEX('Valo FX'!$Q:$Q,MATCH($A7,'Valo FX'!$A:$A,0)),0,IF(CJ$1&lt;INDEX('Valo FX'!$R:$R,MATCH($A7,'Valo FX'!$A:$A,0)),INDEX(Base!$U:$U,MATCH($A7,Base!$A:$A,0)),IF(CJ$1=INDEX('Valo FX'!$R:$R,MATCH($A7,'Valo FX'!$A:$A,0)),INDEX(Base!$V:$V,MATCH($A7,Base!$A:$A,0)),0)))</f>
        <v>9.3625100000000003</v>
      </c>
      <c r="CK7" s="21">
        <f>IF(CK$1&lt;INDEX('Valo FX'!$Q:$Q,MATCH($A7,'Valo FX'!$A:$A,0)),0,IF(CK$1&lt;INDEX('Valo FX'!$R:$R,MATCH($A7,'Valo FX'!$A:$A,0)),INDEX(Base!$U:$U,MATCH($A7,Base!$A:$A,0)),IF(CK$1=INDEX('Valo FX'!$R:$R,MATCH($A7,'Valo FX'!$A:$A,0)),INDEX(Base!$V:$V,MATCH($A7,Base!$A:$A,0)),0)))</f>
        <v>9.3625100000000003</v>
      </c>
      <c r="CL7" s="21">
        <f>IF(CL$1&lt;INDEX('Valo FX'!$Q:$Q,MATCH($A7,'Valo FX'!$A:$A,0)),0,IF(CL$1&lt;INDEX('Valo FX'!$R:$R,MATCH($A7,'Valo FX'!$A:$A,0)),INDEX(Base!$U:$U,MATCH($A7,Base!$A:$A,0)),IF(CL$1=INDEX('Valo FX'!$R:$R,MATCH($A7,'Valo FX'!$A:$A,0)),INDEX(Base!$V:$V,MATCH($A7,Base!$A:$A,0)),0)))</f>
        <v>9.3625100000000003</v>
      </c>
      <c r="CM7" s="21">
        <f>IF(CM$1&lt;INDEX('Valo FX'!$Q:$Q,MATCH($A7,'Valo FX'!$A:$A,0)),0,IF(CM$1&lt;INDEX('Valo FX'!$R:$R,MATCH($A7,'Valo FX'!$A:$A,0)),INDEX(Base!$U:$U,MATCH($A7,Base!$A:$A,0)),IF(CM$1=INDEX('Valo FX'!$R:$R,MATCH($A7,'Valo FX'!$A:$A,0)),INDEX(Base!$V:$V,MATCH($A7,Base!$A:$A,0)),0)))</f>
        <v>9.3625100000000003</v>
      </c>
      <c r="CN7" s="21">
        <f>IF(CN$1&lt;INDEX('Valo FX'!$Q:$Q,MATCH($A7,'Valo FX'!$A:$A,0)),0,IF(CN$1&lt;INDEX('Valo FX'!$R:$R,MATCH($A7,'Valo FX'!$A:$A,0)),INDEX(Base!$U:$U,MATCH($A7,Base!$A:$A,0)),IF(CN$1=INDEX('Valo FX'!$R:$R,MATCH($A7,'Valo FX'!$A:$A,0)),INDEX(Base!$V:$V,MATCH($A7,Base!$A:$A,0)),0)))</f>
        <v>9.3625100000000003</v>
      </c>
      <c r="CO7" s="21">
        <f>IF(CO$1&lt;INDEX('Valo FX'!$Q:$Q,MATCH($A7,'Valo FX'!$A:$A,0)),0,IF(CO$1&lt;INDEX('Valo FX'!$R:$R,MATCH($A7,'Valo FX'!$A:$A,0)),INDEX(Base!$U:$U,MATCH($A7,Base!$A:$A,0)),IF(CO$1=INDEX('Valo FX'!$R:$R,MATCH($A7,'Valo FX'!$A:$A,0)),INDEX(Base!$V:$V,MATCH($A7,Base!$A:$A,0)),0)))</f>
        <v>9.3625100000000003</v>
      </c>
      <c r="CP7" s="21">
        <f>IF(CP$1&lt;INDEX('Valo FX'!$Q:$Q,MATCH($A7,'Valo FX'!$A:$A,0)),0,IF(CP$1&lt;INDEX('Valo FX'!$R:$R,MATCH($A7,'Valo FX'!$A:$A,0)),INDEX(Base!$U:$U,MATCH($A7,Base!$A:$A,0)),IF(CP$1=INDEX('Valo FX'!$R:$R,MATCH($A7,'Valo FX'!$A:$A,0)),INDEX(Base!$V:$V,MATCH($A7,Base!$A:$A,0)),0)))</f>
        <v>9.3625100000000003</v>
      </c>
      <c r="CQ7" s="21">
        <f>IF(CQ$1&lt;INDEX('Valo FX'!$Q:$Q,MATCH($A7,'Valo FX'!$A:$A,0)),0,IF(CQ$1&lt;INDEX('Valo FX'!$R:$R,MATCH($A7,'Valo FX'!$A:$A,0)),INDEX(Base!$U:$U,MATCH($A7,Base!$A:$A,0)),IF(CQ$1=INDEX('Valo FX'!$R:$R,MATCH($A7,'Valo FX'!$A:$A,0)),INDEX(Base!$V:$V,MATCH($A7,Base!$A:$A,0)),0)))</f>
        <v>9.3625100000000003</v>
      </c>
      <c r="CR7" s="21">
        <f>IF(CR$1&lt;INDEX('Valo FX'!$Q:$Q,MATCH($A7,'Valo FX'!$A:$A,0)),0,IF(CR$1&lt;INDEX('Valo FX'!$R:$R,MATCH($A7,'Valo FX'!$A:$A,0)),INDEX(Base!$U:$U,MATCH($A7,Base!$A:$A,0)),IF(CR$1=INDEX('Valo FX'!$R:$R,MATCH($A7,'Valo FX'!$A:$A,0)),INDEX(Base!$V:$V,MATCH($A7,Base!$A:$A,0)),0)))</f>
        <v>9.3625100000000003</v>
      </c>
      <c r="CS7" s="21">
        <f>IF(CS$1&lt;INDEX('Valo FX'!$Q:$Q,MATCH($A7,'Valo FX'!$A:$A,0)),0,IF(CS$1&lt;INDEX('Valo FX'!$R:$R,MATCH($A7,'Valo FX'!$A:$A,0)),INDEX(Base!$U:$U,MATCH($A7,Base!$A:$A,0)),IF(CS$1=INDEX('Valo FX'!$R:$R,MATCH($A7,'Valo FX'!$A:$A,0)),INDEX(Base!$V:$V,MATCH($A7,Base!$A:$A,0)),0)))</f>
        <v>9.3625100000000003</v>
      </c>
      <c r="CT7" s="21">
        <f>IF(CT$1&lt;INDEX('Valo FX'!$Q:$Q,MATCH($A7,'Valo FX'!$A:$A,0)),0,IF(CT$1&lt;INDEX('Valo FX'!$R:$R,MATCH($A7,'Valo FX'!$A:$A,0)),INDEX(Base!$U:$U,MATCH($A7,Base!$A:$A,0)),IF(CT$1=INDEX('Valo FX'!$R:$R,MATCH($A7,'Valo FX'!$A:$A,0)),INDEX(Base!$V:$V,MATCH($A7,Base!$A:$A,0)),0)))</f>
        <v>9.3625100000000003</v>
      </c>
      <c r="CU7" s="21">
        <f>IF(CU$1&lt;INDEX('Valo FX'!$Q:$Q,MATCH($A7,'Valo FX'!$A:$A,0)),0,IF(CU$1&lt;INDEX('Valo FX'!$R:$R,MATCH($A7,'Valo FX'!$A:$A,0)),INDEX(Base!$U:$U,MATCH($A7,Base!$A:$A,0)),IF(CU$1=INDEX('Valo FX'!$R:$R,MATCH($A7,'Valo FX'!$A:$A,0)),INDEX(Base!$V:$V,MATCH($A7,Base!$A:$A,0)),0)))</f>
        <v>9.3625100000000003</v>
      </c>
      <c r="CV7" s="21">
        <f>IF(CV$1&lt;INDEX('Valo FX'!$Q:$Q,MATCH($A7,'Valo FX'!$A:$A,0)),0,IF(CV$1&lt;INDEX('Valo FX'!$R:$R,MATCH($A7,'Valo FX'!$A:$A,0)),INDEX(Base!$U:$U,MATCH($A7,Base!$A:$A,0)),IF(CV$1=INDEX('Valo FX'!$R:$R,MATCH($A7,'Valo FX'!$A:$A,0)),INDEX(Base!$V:$V,MATCH($A7,Base!$A:$A,0)),0)))</f>
        <v>9.3625100000000003</v>
      </c>
      <c r="CW7" s="21">
        <f>IF(CW$1&lt;INDEX('Valo FX'!$Q:$Q,MATCH($A7,'Valo FX'!$A:$A,0)),0,IF(CW$1&lt;INDEX('Valo FX'!$R:$R,MATCH($A7,'Valo FX'!$A:$A,0)),INDEX(Base!$U:$U,MATCH($A7,Base!$A:$A,0)),IF(CW$1=INDEX('Valo FX'!$R:$R,MATCH($A7,'Valo FX'!$A:$A,0)),INDEX(Base!$V:$V,MATCH($A7,Base!$A:$A,0)),0)))</f>
        <v>9.3625100000000003</v>
      </c>
      <c r="CX7" s="21">
        <f>IF(CX$1&lt;INDEX('Valo FX'!$Q:$Q,MATCH($A7,'Valo FX'!$A:$A,0)),0,IF(CX$1&lt;INDEX('Valo FX'!$R:$R,MATCH($A7,'Valo FX'!$A:$A,0)),INDEX(Base!$U:$U,MATCH($A7,Base!$A:$A,0)),IF(CX$1=INDEX('Valo FX'!$R:$R,MATCH($A7,'Valo FX'!$A:$A,0)),INDEX(Base!$V:$V,MATCH($A7,Base!$A:$A,0)),0)))</f>
        <v>9.3625100000000003</v>
      </c>
      <c r="CY7" s="21">
        <f>IF(CY$1&lt;INDEX('Valo FX'!$Q:$Q,MATCH($A7,'Valo FX'!$A:$A,0)),0,IF(CY$1&lt;INDEX('Valo FX'!$R:$R,MATCH($A7,'Valo FX'!$A:$A,0)),INDEX(Base!$U:$U,MATCH($A7,Base!$A:$A,0)),IF(CY$1=INDEX('Valo FX'!$R:$R,MATCH($A7,'Valo FX'!$A:$A,0)),INDEX(Base!$V:$V,MATCH($A7,Base!$A:$A,0)),0)))</f>
        <v>9.3625100000000003</v>
      </c>
      <c r="CZ7" s="21">
        <f>IF(CZ$1&lt;INDEX('Valo FX'!$Q:$Q,MATCH($A7,'Valo FX'!$A:$A,0)),0,IF(CZ$1&lt;INDEX('Valo FX'!$R:$R,MATCH($A7,'Valo FX'!$A:$A,0)),INDEX(Base!$U:$U,MATCH($A7,Base!$A:$A,0)),IF(CZ$1=INDEX('Valo FX'!$R:$R,MATCH($A7,'Valo FX'!$A:$A,0)),INDEX(Base!$V:$V,MATCH($A7,Base!$A:$A,0)),0)))</f>
        <v>9.3625100000000003</v>
      </c>
      <c r="DA7" s="21">
        <f>IF(DA$1&lt;INDEX('Valo FX'!$Q:$Q,MATCH($A7,'Valo FX'!$A:$A,0)),0,IF(DA$1&lt;INDEX('Valo FX'!$R:$R,MATCH($A7,'Valo FX'!$A:$A,0)),INDEX(Base!$U:$U,MATCH($A7,Base!$A:$A,0)),IF(DA$1=INDEX('Valo FX'!$R:$R,MATCH($A7,'Valo FX'!$A:$A,0)),INDEX(Base!$V:$V,MATCH($A7,Base!$A:$A,0)),0)))</f>
        <v>9.3625100000000003</v>
      </c>
      <c r="DB7" s="21">
        <f>IF(DB$1&lt;INDEX('Valo FX'!$Q:$Q,MATCH($A7,'Valo FX'!$A:$A,0)),0,IF(DB$1&lt;INDEX('Valo FX'!$R:$R,MATCH($A7,'Valo FX'!$A:$A,0)),INDEX(Base!$U:$U,MATCH($A7,Base!$A:$A,0)),IF(DB$1=INDEX('Valo FX'!$R:$R,MATCH($A7,'Valo FX'!$A:$A,0)),INDEX(Base!$V:$V,MATCH($A7,Base!$A:$A,0)),0)))</f>
        <v>9.3625100000000003</v>
      </c>
      <c r="DC7" s="21">
        <f>IF(DC$1&lt;INDEX('Valo FX'!$Q:$Q,MATCH($A7,'Valo FX'!$A:$A,0)),0,IF(DC$1&lt;INDEX('Valo FX'!$R:$R,MATCH($A7,'Valo FX'!$A:$A,0)),INDEX(Base!$U:$U,MATCH($A7,Base!$A:$A,0)),IF(DC$1=INDEX('Valo FX'!$R:$R,MATCH($A7,'Valo FX'!$A:$A,0)),INDEX(Base!$V:$V,MATCH($A7,Base!$A:$A,0)),0)))</f>
        <v>9.3625100000000003</v>
      </c>
      <c r="DD7" s="21">
        <f>IF(DD$1&lt;INDEX('Valo FX'!$Q:$Q,MATCH($A7,'Valo FX'!$A:$A,0)),0,IF(DD$1&lt;INDEX('Valo FX'!$R:$R,MATCH($A7,'Valo FX'!$A:$A,0)),INDEX(Base!$U:$U,MATCH($A7,Base!$A:$A,0)),IF(DD$1=INDEX('Valo FX'!$R:$R,MATCH($A7,'Valo FX'!$A:$A,0)),INDEX(Base!$V:$V,MATCH($A7,Base!$A:$A,0)),0)))</f>
        <v>9.3625100000000003</v>
      </c>
      <c r="DE7" s="21">
        <f>IF(DE$1&lt;INDEX('Valo FX'!$Q:$Q,MATCH($A7,'Valo FX'!$A:$A,0)),0,IF(DE$1&lt;INDEX('Valo FX'!$R:$R,MATCH($A7,'Valo FX'!$A:$A,0)),INDEX(Base!$U:$U,MATCH($A7,Base!$A:$A,0)),IF(DE$1=INDEX('Valo FX'!$R:$R,MATCH($A7,'Valo FX'!$A:$A,0)),INDEX(Base!$V:$V,MATCH($A7,Base!$A:$A,0)),0)))</f>
        <v>9.3625100000000003</v>
      </c>
      <c r="DF7" s="21">
        <f>IF(DF$1&lt;INDEX('Valo FX'!$Q:$Q,MATCH($A7,'Valo FX'!$A:$A,0)),0,IF(DF$1&lt;INDEX('Valo FX'!$R:$R,MATCH($A7,'Valo FX'!$A:$A,0)),INDEX(Base!$U:$U,MATCH($A7,Base!$A:$A,0)),IF(DF$1=INDEX('Valo FX'!$R:$R,MATCH($A7,'Valo FX'!$A:$A,0)),INDEX(Base!$V:$V,MATCH($A7,Base!$A:$A,0)),0)))</f>
        <v>9.3625100000000003</v>
      </c>
      <c r="DG7" s="21">
        <f>IF(DG$1&lt;INDEX('Valo FX'!$Q:$Q,MATCH($A7,'Valo FX'!$A:$A,0)),0,IF(DG$1&lt;INDEX('Valo FX'!$R:$R,MATCH($A7,'Valo FX'!$A:$A,0)),INDEX(Base!$U:$U,MATCH($A7,Base!$A:$A,0)),IF(DG$1=INDEX('Valo FX'!$R:$R,MATCH($A7,'Valo FX'!$A:$A,0)),INDEX(Base!$V:$V,MATCH($A7,Base!$A:$A,0)),0)))</f>
        <v>9.3625100000000003</v>
      </c>
      <c r="DH7" s="21">
        <f>IF(DH$1&lt;INDEX('Valo FX'!$Q:$Q,MATCH($A7,'Valo FX'!$A:$A,0)),0,IF(DH$1&lt;INDEX('Valo FX'!$R:$R,MATCH($A7,'Valo FX'!$A:$A,0)),INDEX(Base!$U:$U,MATCH($A7,Base!$A:$A,0)),IF(DH$1=INDEX('Valo FX'!$R:$R,MATCH($A7,'Valo FX'!$A:$A,0)),INDEX(Base!$V:$V,MATCH($A7,Base!$A:$A,0)),0)))</f>
        <v>9.3625100000000003</v>
      </c>
      <c r="DI7" s="21">
        <f>IF(DI$1&lt;INDEX('Valo FX'!$Q:$Q,MATCH($A7,'Valo FX'!$A:$A,0)),0,IF(DI$1&lt;INDEX('Valo FX'!$R:$R,MATCH($A7,'Valo FX'!$A:$A,0)),INDEX(Base!$U:$U,MATCH($A7,Base!$A:$A,0)),IF(DI$1=INDEX('Valo FX'!$R:$R,MATCH($A7,'Valo FX'!$A:$A,0)),INDEX(Base!$V:$V,MATCH($A7,Base!$A:$A,0)),0)))</f>
        <v>9.3625100000000003</v>
      </c>
      <c r="DJ7" s="21">
        <f>IF(DJ$1&lt;INDEX('Valo FX'!$Q:$Q,MATCH($A7,'Valo FX'!$A:$A,0)),0,IF(DJ$1&lt;INDEX('Valo FX'!$R:$R,MATCH($A7,'Valo FX'!$A:$A,0)),INDEX(Base!$U:$U,MATCH($A7,Base!$A:$A,0)),IF(DJ$1=INDEX('Valo FX'!$R:$R,MATCH($A7,'Valo FX'!$A:$A,0)),INDEX(Base!$V:$V,MATCH($A7,Base!$A:$A,0)),0)))</f>
        <v>9.3625100000000003</v>
      </c>
      <c r="DK7" s="21">
        <f>IF(DK$1&lt;INDEX('Valo FX'!$Q:$Q,MATCH($A7,'Valo FX'!$A:$A,0)),0,IF(DK$1&lt;INDEX('Valo FX'!$R:$R,MATCH($A7,'Valo FX'!$A:$A,0)),INDEX(Base!$U:$U,MATCH($A7,Base!$A:$A,0)),IF(DK$1=INDEX('Valo FX'!$R:$R,MATCH($A7,'Valo FX'!$A:$A,0)),INDEX(Base!$V:$V,MATCH($A7,Base!$A:$A,0)),0)))</f>
        <v>9.3625100000000003</v>
      </c>
      <c r="DL7" s="21">
        <f>IF(DL$1&lt;INDEX('Valo FX'!$Q:$Q,MATCH($A7,'Valo FX'!$A:$A,0)),0,IF(DL$1&lt;INDEX('Valo FX'!$R:$R,MATCH($A7,'Valo FX'!$A:$A,0)),INDEX(Base!$U:$U,MATCH($A7,Base!$A:$A,0)),IF(DL$1=INDEX('Valo FX'!$R:$R,MATCH($A7,'Valo FX'!$A:$A,0)),INDEX(Base!$V:$V,MATCH($A7,Base!$A:$A,0)),0)))</f>
        <v>9.3625100000000003</v>
      </c>
      <c r="DM7" s="21">
        <f>IF(DM$1&lt;INDEX('Valo FX'!$Q:$Q,MATCH($A7,'Valo FX'!$A:$A,0)),0,IF(DM$1&lt;INDEX('Valo FX'!$R:$R,MATCH($A7,'Valo FX'!$A:$A,0)),INDEX(Base!$U:$U,MATCH($A7,Base!$A:$A,0)),IF(DM$1=INDEX('Valo FX'!$R:$R,MATCH($A7,'Valo FX'!$A:$A,0)),INDEX(Base!$V:$V,MATCH($A7,Base!$A:$A,0)),0)))</f>
        <v>9.3625100000000003</v>
      </c>
      <c r="DN7" s="21">
        <f>IF(DN$1&lt;INDEX('Valo FX'!$Q:$Q,MATCH($A7,'Valo FX'!$A:$A,0)),0,IF(DN$1&lt;INDEX('Valo FX'!$R:$R,MATCH($A7,'Valo FX'!$A:$A,0)),INDEX(Base!$U:$U,MATCH($A7,Base!$A:$A,0)),IF(DN$1=INDEX('Valo FX'!$R:$R,MATCH($A7,'Valo FX'!$A:$A,0)),INDEX(Base!$V:$V,MATCH($A7,Base!$A:$A,0)),0)))</f>
        <v>9.3625100000000003</v>
      </c>
      <c r="DO7" s="21">
        <f>IF(DO$1&lt;INDEX('Valo FX'!$Q:$Q,MATCH($A7,'Valo FX'!$A:$A,0)),0,IF(DO$1&lt;INDEX('Valo FX'!$R:$R,MATCH($A7,'Valo FX'!$A:$A,0)),INDEX(Base!$U:$U,MATCH($A7,Base!$A:$A,0)),IF(DO$1=INDEX('Valo FX'!$R:$R,MATCH($A7,'Valo FX'!$A:$A,0)),INDEX(Base!$V:$V,MATCH($A7,Base!$A:$A,0)),0)))</f>
        <v>9.3625100000000003</v>
      </c>
      <c r="DP7" s="21">
        <f>IF(DP$1&lt;INDEX('Valo FX'!$Q:$Q,MATCH($A7,'Valo FX'!$A:$A,0)),0,IF(DP$1&lt;INDEX('Valo FX'!$R:$R,MATCH($A7,'Valo FX'!$A:$A,0)),INDEX(Base!$U:$U,MATCH($A7,Base!$A:$A,0)),IF(DP$1=INDEX('Valo FX'!$R:$R,MATCH($A7,'Valo FX'!$A:$A,0)),INDEX(Base!$V:$V,MATCH($A7,Base!$A:$A,0)),0)))</f>
        <v>9.3625100000000003</v>
      </c>
      <c r="DQ7" s="21">
        <f>IF(DQ$1&lt;INDEX('Valo FX'!$Q:$Q,MATCH($A7,'Valo FX'!$A:$A,0)),0,IF(DQ$1&lt;INDEX('Valo FX'!$R:$R,MATCH($A7,'Valo FX'!$A:$A,0)),INDEX(Base!$U:$U,MATCH($A7,Base!$A:$A,0)),IF(DQ$1=INDEX('Valo FX'!$R:$R,MATCH($A7,'Valo FX'!$A:$A,0)),INDEX(Base!$V:$V,MATCH($A7,Base!$A:$A,0)),0)))</f>
        <v>9.3625100000000003</v>
      </c>
      <c r="DR7" s="21">
        <f>IF(DR$1&lt;INDEX('Valo FX'!$Q:$Q,MATCH($A7,'Valo FX'!$A:$A,0)),0,IF(DR$1&lt;INDEX('Valo FX'!$R:$R,MATCH($A7,'Valo FX'!$A:$A,0)),INDEX(Base!$U:$U,MATCH($A7,Base!$A:$A,0)),IF(DR$1=INDEX('Valo FX'!$R:$R,MATCH($A7,'Valo FX'!$A:$A,0)),INDEX(Base!$V:$V,MATCH($A7,Base!$A:$A,0)),0)))</f>
        <v>9.3625100000000003</v>
      </c>
      <c r="DS7" s="21">
        <f>IF(DS$1&lt;INDEX('Valo FX'!$Q:$Q,MATCH($A7,'Valo FX'!$A:$A,0)),0,IF(DS$1&lt;INDEX('Valo FX'!$R:$R,MATCH($A7,'Valo FX'!$A:$A,0)),INDEX(Base!$U:$U,MATCH($A7,Base!$A:$A,0)),IF(DS$1=INDEX('Valo FX'!$R:$R,MATCH($A7,'Valo FX'!$A:$A,0)),INDEX(Base!$V:$V,MATCH($A7,Base!$A:$A,0)),0)))</f>
        <v>9.3625100000000003</v>
      </c>
      <c r="DT7" s="21">
        <f>IF(DT$1&lt;INDEX('Valo FX'!$Q:$Q,MATCH($A7,'Valo FX'!$A:$A,0)),0,IF(DT$1&lt;INDEX('Valo FX'!$R:$R,MATCH($A7,'Valo FX'!$A:$A,0)),INDEX(Base!$U:$U,MATCH($A7,Base!$A:$A,0)),IF(DT$1=INDEX('Valo FX'!$R:$R,MATCH($A7,'Valo FX'!$A:$A,0)),INDEX(Base!$V:$V,MATCH($A7,Base!$A:$A,0)),0)))</f>
        <v>9.3625100000000003</v>
      </c>
      <c r="DU7" s="21">
        <f>IF(DU$1&lt;INDEX('Valo FX'!$Q:$Q,MATCH($A7,'Valo FX'!$A:$A,0)),0,IF(DU$1&lt;INDEX('Valo FX'!$R:$R,MATCH($A7,'Valo FX'!$A:$A,0)),INDEX(Base!$U:$U,MATCH($A7,Base!$A:$A,0)),IF(DU$1=INDEX('Valo FX'!$R:$R,MATCH($A7,'Valo FX'!$A:$A,0)),INDEX(Base!$V:$V,MATCH($A7,Base!$A:$A,0)),0)))</f>
        <v>9.3625100000000003</v>
      </c>
      <c r="DV7" s="21">
        <f>IF(DV$1&lt;INDEX('Valo FX'!$Q:$Q,MATCH($A7,'Valo FX'!$A:$A,0)),0,IF(DV$1&lt;INDEX('Valo FX'!$R:$R,MATCH($A7,'Valo FX'!$A:$A,0)),INDEX(Base!$U:$U,MATCH($A7,Base!$A:$A,0)),IF(DV$1=INDEX('Valo FX'!$R:$R,MATCH($A7,'Valo FX'!$A:$A,0)),INDEX(Base!$V:$V,MATCH($A7,Base!$A:$A,0)),0)))</f>
        <v>9.3625100000000003</v>
      </c>
      <c r="DW7" s="21">
        <f>IF(DW$1&lt;INDEX('Valo FX'!$Q:$Q,MATCH($A7,'Valo FX'!$A:$A,0)),0,IF(DW$1&lt;INDEX('Valo FX'!$R:$R,MATCH($A7,'Valo FX'!$A:$A,0)),INDEX(Base!$U:$U,MATCH($A7,Base!$A:$A,0)),IF(DW$1=INDEX('Valo FX'!$R:$R,MATCH($A7,'Valo FX'!$A:$A,0)),INDEX(Base!$V:$V,MATCH($A7,Base!$A:$A,0)),0)))</f>
        <v>9.3625100000000003</v>
      </c>
      <c r="DX7" s="21">
        <f>IF(DX$1&lt;INDEX('Valo FX'!$Q:$Q,MATCH($A7,'Valo FX'!$A:$A,0)),0,IF(DX$1&lt;INDEX('Valo FX'!$R:$R,MATCH($A7,'Valo FX'!$A:$A,0)),INDEX(Base!$U:$U,MATCH($A7,Base!$A:$A,0)),IF(DX$1=INDEX('Valo FX'!$R:$R,MATCH($A7,'Valo FX'!$A:$A,0)),INDEX(Base!$V:$V,MATCH($A7,Base!$A:$A,0)),0)))</f>
        <v>9.3625100000000003</v>
      </c>
      <c r="DY7" s="21">
        <f>IF(DY$1&lt;INDEX('Valo FX'!$Q:$Q,MATCH($A7,'Valo FX'!$A:$A,0)),0,IF(DY$1&lt;INDEX('Valo FX'!$R:$R,MATCH($A7,'Valo FX'!$A:$A,0)),INDEX(Base!$U:$U,MATCH($A7,Base!$A:$A,0)),IF(DY$1=INDEX('Valo FX'!$R:$R,MATCH($A7,'Valo FX'!$A:$A,0)),INDEX(Base!$V:$V,MATCH($A7,Base!$A:$A,0)),0)))</f>
        <v>9.3625100000000003</v>
      </c>
      <c r="DZ7" s="21">
        <f>IF(DZ$1&lt;INDEX('Valo FX'!$Q:$Q,MATCH($A7,'Valo FX'!$A:$A,0)),0,IF(DZ$1&lt;INDEX('Valo FX'!$R:$R,MATCH($A7,'Valo FX'!$A:$A,0)),INDEX(Base!$U:$U,MATCH($A7,Base!$A:$A,0)),IF(DZ$1=INDEX('Valo FX'!$R:$R,MATCH($A7,'Valo FX'!$A:$A,0)),INDEX(Base!$V:$V,MATCH($A7,Base!$A:$A,0)),0)))</f>
        <v>9.3625100000000003</v>
      </c>
      <c r="EA7" s="21">
        <f>IF(EA$1&lt;INDEX('Valo FX'!$Q:$Q,MATCH($A7,'Valo FX'!$A:$A,0)),0,IF(EA$1&lt;INDEX('Valo FX'!$R:$R,MATCH($A7,'Valo FX'!$A:$A,0)),INDEX(Base!$U:$U,MATCH($A7,Base!$A:$A,0)),IF(EA$1=INDEX('Valo FX'!$R:$R,MATCH($A7,'Valo FX'!$A:$A,0)),INDEX(Base!$V:$V,MATCH($A7,Base!$A:$A,0)),0)))</f>
        <v>9.3625100000000003</v>
      </c>
      <c r="EB7" s="21">
        <f>IF(EB$1&lt;INDEX('Valo FX'!$Q:$Q,MATCH($A7,'Valo FX'!$A:$A,0)),0,IF(EB$1&lt;INDEX('Valo FX'!$R:$R,MATCH($A7,'Valo FX'!$A:$A,0)),INDEX(Base!$U:$U,MATCH($A7,Base!$A:$A,0)),IF(EB$1=INDEX('Valo FX'!$R:$R,MATCH($A7,'Valo FX'!$A:$A,0)),INDEX(Base!$V:$V,MATCH($A7,Base!$A:$A,0)),0)))</f>
        <v>9.3625100000000003</v>
      </c>
      <c r="EC7" s="21">
        <f>IF(EC$1&lt;INDEX('Valo FX'!$Q:$Q,MATCH($A7,'Valo FX'!$A:$A,0)),0,IF(EC$1&lt;INDEX('Valo FX'!$R:$R,MATCH($A7,'Valo FX'!$A:$A,0)),INDEX(Base!$U:$U,MATCH($A7,Base!$A:$A,0)),IF(EC$1=INDEX('Valo FX'!$R:$R,MATCH($A7,'Valo FX'!$A:$A,0)),INDEX(Base!$V:$V,MATCH($A7,Base!$A:$A,0)),0)))</f>
        <v>9.3625100000000003</v>
      </c>
      <c r="ED7" s="21">
        <f>IF(ED$1&lt;INDEX('Valo FX'!$Q:$Q,MATCH($A7,'Valo FX'!$A:$A,0)),0,IF(ED$1&lt;INDEX('Valo FX'!$R:$R,MATCH($A7,'Valo FX'!$A:$A,0)),INDEX(Base!$U:$U,MATCH($A7,Base!$A:$A,0)),IF(ED$1=INDEX('Valo FX'!$R:$R,MATCH($A7,'Valo FX'!$A:$A,0)),INDEX(Base!$V:$V,MATCH($A7,Base!$A:$A,0)),0)))</f>
        <v>9.3625100000000003</v>
      </c>
      <c r="EE7" s="21">
        <f>IF(EE$1&lt;INDEX('Valo FX'!$Q:$Q,MATCH($A7,'Valo FX'!$A:$A,0)),0,IF(EE$1&lt;INDEX('Valo FX'!$R:$R,MATCH($A7,'Valo FX'!$A:$A,0)),INDEX(Base!$U:$U,MATCH($A7,Base!$A:$A,0)),IF(EE$1=INDEX('Valo FX'!$R:$R,MATCH($A7,'Valo FX'!$A:$A,0)),INDEX(Base!$V:$V,MATCH($A7,Base!$A:$A,0)),0)))</f>
        <v>9.3625100000000003</v>
      </c>
      <c r="EF7" s="21">
        <f>IF(EF$1&lt;INDEX('Valo FX'!$Q:$Q,MATCH($A7,'Valo FX'!$A:$A,0)),0,IF(EF$1&lt;INDEX('Valo FX'!$R:$R,MATCH($A7,'Valo FX'!$A:$A,0)),INDEX(Base!$U:$U,MATCH($A7,Base!$A:$A,0)),IF(EF$1=INDEX('Valo FX'!$R:$R,MATCH($A7,'Valo FX'!$A:$A,0)),INDEX(Base!$V:$V,MATCH($A7,Base!$A:$A,0)),0)))</f>
        <v>9.3625100000000003</v>
      </c>
      <c r="EG7" s="21">
        <f>IF(EG$1&lt;INDEX('Valo FX'!$Q:$Q,MATCH($A7,'Valo FX'!$A:$A,0)),0,IF(EG$1&lt;INDEX('Valo FX'!$R:$R,MATCH($A7,'Valo FX'!$A:$A,0)),INDEX(Base!$U:$U,MATCH($A7,Base!$A:$A,0)),IF(EG$1=INDEX('Valo FX'!$R:$R,MATCH($A7,'Valo FX'!$A:$A,0)),INDEX(Base!$V:$V,MATCH($A7,Base!$A:$A,0)),0)))</f>
        <v>9.3625100000000003</v>
      </c>
      <c r="EH7" s="21">
        <f>IF(EH$1&lt;INDEX('Valo FX'!$Q:$Q,MATCH($A7,'Valo FX'!$A:$A,0)),0,IF(EH$1&lt;INDEX('Valo FX'!$R:$R,MATCH($A7,'Valo FX'!$A:$A,0)),INDEX(Base!$U:$U,MATCH($A7,Base!$A:$A,0)),IF(EH$1=INDEX('Valo FX'!$R:$R,MATCH($A7,'Valo FX'!$A:$A,0)),INDEX(Base!$V:$V,MATCH($A7,Base!$A:$A,0)),0)))</f>
        <v>9.3625100000000003</v>
      </c>
      <c r="EI7" s="21">
        <f>IF(EI$1&lt;INDEX('Valo FX'!$Q:$Q,MATCH($A7,'Valo FX'!$A:$A,0)),0,IF(EI$1&lt;INDEX('Valo FX'!$R:$R,MATCH($A7,'Valo FX'!$A:$A,0)),INDEX(Base!$U:$U,MATCH($A7,Base!$A:$A,0)),IF(EI$1=INDEX('Valo FX'!$R:$R,MATCH($A7,'Valo FX'!$A:$A,0)),INDEX(Base!$V:$V,MATCH($A7,Base!$A:$A,0)),0)))</f>
        <v>9.3625100000000003</v>
      </c>
      <c r="EJ7" s="21">
        <f>IF(EJ$1&lt;INDEX('Valo FX'!$Q:$Q,MATCH($A7,'Valo FX'!$A:$A,0)),0,IF(EJ$1&lt;INDEX('Valo FX'!$R:$R,MATCH($A7,'Valo FX'!$A:$A,0)),INDEX(Base!$U:$U,MATCH($A7,Base!$A:$A,0)),IF(EJ$1=INDEX('Valo FX'!$R:$R,MATCH($A7,'Valo FX'!$A:$A,0)),INDEX(Base!$V:$V,MATCH($A7,Base!$A:$A,0)),0)))</f>
        <v>9.3625100000000003</v>
      </c>
      <c r="EK7" s="21">
        <f>IF(EK$1&lt;INDEX('Valo FX'!$Q:$Q,MATCH($A7,'Valo FX'!$A:$A,0)),0,IF(EK$1&lt;INDEX('Valo FX'!$R:$R,MATCH($A7,'Valo FX'!$A:$A,0)),INDEX(Base!$U:$U,MATCH($A7,Base!$A:$A,0)),IF(EK$1=INDEX('Valo FX'!$R:$R,MATCH($A7,'Valo FX'!$A:$A,0)),INDEX(Base!$V:$V,MATCH($A7,Base!$A:$A,0)),0)))</f>
        <v>9.3625100000000003</v>
      </c>
      <c r="EL7" s="21">
        <f>IF(EL$1&lt;INDEX('Valo FX'!$Q:$Q,MATCH($A7,'Valo FX'!$A:$A,0)),0,IF(EL$1&lt;INDEX('Valo FX'!$R:$R,MATCH($A7,'Valo FX'!$A:$A,0)),INDEX(Base!$U:$U,MATCH($A7,Base!$A:$A,0)),IF(EL$1=INDEX('Valo FX'!$R:$R,MATCH($A7,'Valo FX'!$A:$A,0)),INDEX(Base!$V:$V,MATCH($A7,Base!$A:$A,0)),0)))</f>
        <v>9.3625100000000003</v>
      </c>
      <c r="EM7" s="21">
        <f>IF(EM$1&lt;INDEX('Valo FX'!$Q:$Q,MATCH($A7,'Valo FX'!$A:$A,0)),0,IF(EM$1&lt;INDEX('Valo FX'!$R:$R,MATCH($A7,'Valo FX'!$A:$A,0)),INDEX(Base!$U:$U,MATCH($A7,Base!$A:$A,0)),IF(EM$1=INDEX('Valo FX'!$R:$R,MATCH($A7,'Valo FX'!$A:$A,0)),INDEX(Base!$V:$V,MATCH($A7,Base!$A:$A,0)),0)))</f>
        <v>9.3625100000000003</v>
      </c>
      <c r="EN7" s="21">
        <f>IF(EN$1&lt;INDEX('Valo FX'!$Q:$Q,MATCH($A7,'Valo FX'!$A:$A,0)),0,IF(EN$1&lt;INDEX('Valo FX'!$R:$R,MATCH($A7,'Valo FX'!$A:$A,0)),INDEX(Base!$U:$U,MATCH($A7,Base!$A:$A,0)),IF(EN$1=INDEX('Valo FX'!$R:$R,MATCH($A7,'Valo FX'!$A:$A,0)),INDEX(Base!$V:$V,MATCH($A7,Base!$A:$A,0)),0)))</f>
        <v>9.3625100000000003</v>
      </c>
      <c r="EO7" s="21">
        <f>IF(EO$1&lt;INDEX('Valo FX'!$Q:$Q,MATCH($A7,'Valo FX'!$A:$A,0)),0,IF(EO$1&lt;INDEX('Valo FX'!$R:$R,MATCH($A7,'Valo FX'!$A:$A,0)),INDEX(Base!$U:$U,MATCH($A7,Base!$A:$A,0)),IF(EO$1=INDEX('Valo FX'!$R:$R,MATCH($A7,'Valo FX'!$A:$A,0)),INDEX(Base!$V:$V,MATCH($A7,Base!$A:$A,0)),0)))</f>
        <v>9.3625100000000003</v>
      </c>
      <c r="EP7" s="21">
        <f>IF(EP$1&lt;INDEX('Valo FX'!$Q:$Q,MATCH($A7,'Valo FX'!$A:$A,0)),0,IF(EP$1&lt;INDEX('Valo FX'!$R:$R,MATCH($A7,'Valo FX'!$A:$A,0)),INDEX(Base!$U:$U,MATCH($A7,Base!$A:$A,0)),IF(EP$1=INDEX('Valo FX'!$R:$R,MATCH($A7,'Valo FX'!$A:$A,0)),INDEX(Base!$V:$V,MATCH($A7,Base!$A:$A,0)),0)))</f>
        <v>9.3625100000000003</v>
      </c>
      <c r="EQ7" s="21">
        <f>IF(EQ$1&lt;INDEX('Valo FX'!$Q:$Q,MATCH($A7,'Valo FX'!$A:$A,0)),0,IF(EQ$1&lt;INDEX('Valo FX'!$R:$R,MATCH($A7,'Valo FX'!$A:$A,0)),INDEX(Base!$U:$U,MATCH($A7,Base!$A:$A,0)),IF(EQ$1=INDEX('Valo FX'!$R:$R,MATCH($A7,'Valo FX'!$A:$A,0)),INDEX(Base!$V:$V,MATCH($A7,Base!$A:$A,0)),0)))</f>
        <v>9.3625100000000003</v>
      </c>
      <c r="ER7" s="21">
        <f>IF(ER$1&lt;INDEX('Valo FX'!$Q:$Q,MATCH($A7,'Valo FX'!$A:$A,0)),0,IF(ER$1&lt;INDEX('Valo FX'!$R:$R,MATCH($A7,'Valo FX'!$A:$A,0)),INDEX(Base!$U:$U,MATCH($A7,Base!$A:$A,0)),IF(ER$1=INDEX('Valo FX'!$R:$R,MATCH($A7,'Valo FX'!$A:$A,0)),INDEX(Base!$V:$V,MATCH($A7,Base!$A:$A,0)),0)))</f>
        <v>9.3625100000000003</v>
      </c>
      <c r="ES7" s="21">
        <f>IF(ES$1&lt;INDEX('Valo FX'!$Q:$Q,MATCH($A7,'Valo FX'!$A:$A,0)),0,IF(ES$1&lt;INDEX('Valo FX'!$R:$R,MATCH($A7,'Valo FX'!$A:$A,0)),INDEX(Base!$U:$U,MATCH($A7,Base!$A:$A,0)),IF(ES$1=INDEX('Valo FX'!$R:$R,MATCH($A7,'Valo FX'!$A:$A,0)),INDEX(Base!$V:$V,MATCH($A7,Base!$A:$A,0)),0)))</f>
        <v>9.3625100000000003</v>
      </c>
      <c r="ET7" s="21">
        <f>IF(ET$1&lt;INDEX('Valo FX'!$Q:$Q,MATCH($A7,'Valo FX'!$A:$A,0)),0,IF(ET$1&lt;INDEX('Valo FX'!$R:$R,MATCH($A7,'Valo FX'!$A:$A,0)),INDEX(Base!$U:$U,MATCH($A7,Base!$A:$A,0)),IF(ET$1=INDEX('Valo FX'!$R:$R,MATCH($A7,'Valo FX'!$A:$A,0)),INDEX(Base!$V:$V,MATCH($A7,Base!$A:$A,0)),0)))</f>
        <v>9.3625100000000003</v>
      </c>
      <c r="EU7" s="21">
        <f>IF(EU$1&lt;INDEX('Valo FX'!$Q:$Q,MATCH($A7,'Valo FX'!$A:$A,0)),0,IF(EU$1&lt;INDEX('Valo FX'!$R:$R,MATCH($A7,'Valo FX'!$A:$A,0)),INDEX(Base!$U:$U,MATCH($A7,Base!$A:$A,0)),IF(EU$1=INDEX('Valo FX'!$R:$R,MATCH($A7,'Valo FX'!$A:$A,0)),INDEX(Base!$V:$V,MATCH($A7,Base!$A:$A,0)),0)))</f>
        <v>9.3625100000000003</v>
      </c>
      <c r="EV7" s="21">
        <f>IF(EV$1&lt;INDEX('Valo FX'!$Q:$Q,MATCH($A7,'Valo FX'!$A:$A,0)),0,IF(EV$1&lt;INDEX('Valo FX'!$R:$R,MATCH($A7,'Valo FX'!$A:$A,0)),INDEX(Base!$U:$U,MATCH($A7,Base!$A:$A,0)),IF(EV$1=INDEX('Valo FX'!$R:$R,MATCH($A7,'Valo FX'!$A:$A,0)),INDEX(Base!$V:$V,MATCH($A7,Base!$A:$A,0)),0)))</f>
        <v>9.3625100000000003</v>
      </c>
      <c r="EW7" s="21">
        <f>IF(EW$1&lt;INDEX('Valo FX'!$Q:$Q,MATCH($A7,'Valo FX'!$A:$A,0)),0,IF(EW$1&lt;INDEX('Valo FX'!$R:$R,MATCH($A7,'Valo FX'!$A:$A,0)),INDEX(Base!$U:$U,MATCH($A7,Base!$A:$A,0)),IF(EW$1=INDEX('Valo FX'!$R:$R,MATCH($A7,'Valo FX'!$A:$A,0)),INDEX(Base!$V:$V,MATCH($A7,Base!$A:$A,0)),0)))</f>
        <v>9.3625100000000003</v>
      </c>
      <c r="EX7" s="21">
        <f>IF(EX$1&lt;INDEX('Valo FX'!$Q:$Q,MATCH($A7,'Valo FX'!$A:$A,0)),0,IF(EX$1&lt;INDEX('Valo FX'!$R:$R,MATCH($A7,'Valo FX'!$A:$A,0)),INDEX(Base!$U:$U,MATCH($A7,Base!$A:$A,0)),IF(EX$1=INDEX('Valo FX'!$R:$R,MATCH($A7,'Valo FX'!$A:$A,0)),INDEX(Base!$V:$V,MATCH($A7,Base!$A:$A,0)),0)))</f>
        <v>9.3625100000000003</v>
      </c>
      <c r="EY7" s="21">
        <f>IF(EY$1&lt;INDEX('Valo FX'!$Q:$Q,MATCH($A7,'Valo FX'!$A:$A,0)),0,IF(EY$1&lt;INDEX('Valo FX'!$R:$R,MATCH($A7,'Valo FX'!$A:$A,0)),INDEX(Base!$U:$U,MATCH($A7,Base!$A:$A,0)),IF(EY$1=INDEX('Valo FX'!$R:$R,MATCH($A7,'Valo FX'!$A:$A,0)),INDEX(Base!$V:$V,MATCH($A7,Base!$A:$A,0)),0)))</f>
        <v>9.3625100000000003</v>
      </c>
      <c r="EZ7" s="21">
        <f>IF(EZ$1&lt;INDEX('Valo FX'!$Q:$Q,MATCH($A7,'Valo FX'!$A:$A,0)),0,IF(EZ$1&lt;INDEX('Valo FX'!$R:$R,MATCH($A7,'Valo FX'!$A:$A,0)),INDEX(Base!$U:$U,MATCH($A7,Base!$A:$A,0)),IF(EZ$1=INDEX('Valo FX'!$R:$R,MATCH($A7,'Valo FX'!$A:$A,0)),INDEX(Base!$V:$V,MATCH($A7,Base!$A:$A,0)),0)))</f>
        <v>9.3625100000000003</v>
      </c>
      <c r="FA7" s="21">
        <f>IF(FA$1&lt;INDEX('Valo FX'!$Q:$Q,MATCH($A7,'Valo FX'!$A:$A,0)),0,IF(FA$1&lt;INDEX('Valo FX'!$R:$R,MATCH($A7,'Valo FX'!$A:$A,0)),INDEX(Base!$U:$U,MATCH($A7,Base!$A:$A,0)),IF(FA$1=INDEX('Valo FX'!$R:$R,MATCH($A7,'Valo FX'!$A:$A,0)),INDEX(Base!$V:$V,MATCH($A7,Base!$A:$A,0)),0)))</f>
        <v>9.3625100000000003</v>
      </c>
      <c r="FB7" s="21">
        <f>IF(FB$1&lt;INDEX('Valo FX'!$Q:$Q,MATCH($A7,'Valo FX'!$A:$A,0)),0,IF(FB$1&lt;INDEX('Valo FX'!$R:$R,MATCH($A7,'Valo FX'!$A:$A,0)),INDEX(Base!$U:$U,MATCH($A7,Base!$A:$A,0)),IF(FB$1=INDEX('Valo FX'!$R:$R,MATCH($A7,'Valo FX'!$A:$A,0)),INDEX(Base!$V:$V,MATCH($A7,Base!$A:$A,0)),0)))</f>
        <v>9.3625100000000003</v>
      </c>
      <c r="FC7" s="21">
        <f>IF(FC$1&lt;INDEX('Valo FX'!$Q:$Q,MATCH($A7,'Valo FX'!$A:$A,0)),0,IF(FC$1&lt;INDEX('Valo FX'!$R:$R,MATCH($A7,'Valo FX'!$A:$A,0)),INDEX(Base!$U:$U,MATCH($A7,Base!$A:$A,0)),IF(FC$1=INDEX('Valo FX'!$R:$R,MATCH($A7,'Valo FX'!$A:$A,0)),INDEX(Base!$V:$V,MATCH($A7,Base!$A:$A,0)),0)))</f>
        <v>9.3625100000000003</v>
      </c>
      <c r="FD7" s="21">
        <f>IF(FD$1&lt;INDEX('Valo FX'!$Q:$Q,MATCH($A7,'Valo FX'!$A:$A,0)),0,IF(FD$1&lt;INDEX('Valo FX'!$R:$R,MATCH($A7,'Valo FX'!$A:$A,0)),INDEX(Base!$U:$U,MATCH($A7,Base!$A:$A,0)),IF(FD$1=INDEX('Valo FX'!$R:$R,MATCH($A7,'Valo FX'!$A:$A,0)),INDEX(Base!$V:$V,MATCH($A7,Base!$A:$A,0)),0)))</f>
        <v>9.3625100000000003</v>
      </c>
      <c r="FE7" s="21">
        <f>IF(FE$1&lt;INDEX('Valo FX'!$Q:$Q,MATCH($A7,'Valo FX'!$A:$A,0)),0,IF(FE$1&lt;INDEX('Valo FX'!$R:$R,MATCH($A7,'Valo FX'!$A:$A,0)),INDEX(Base!$U:$U,MATCH($A7,Base!$A:$A,0)),IF(FE$1=INDEX('Valo FX'!$R:$R,MATCH($A7,'Valo FX'!$A:$A,0)),INDEX(Base!$V:$V,MATCH($A7,Base!$A:$A,0)),0)))</f>
        <v>9.3625100000000003</v>
      </c>
      <c r="FF7" s="21">
        <f>IF(FF$1&lt;INDEX('Valo FX'!$Q:$Q,MATCH($A7,'Valo FX'!$A:$A,0)),0,IF(FF$1&lt;INDEX('Valo FX'!$R:$R,MATCH($A7,'Valo FX'!$A:$A,0)),INDEX(Base!$U:$U,MATCH($A7,Base!$A:$A,0)),IF(FF$1=INDEX('Valo FX'!$R:$R,MATCH($A7,'Valo FX'!$A:$A,0)),INDEX(Base!$V:$V,MATCH($A7,Base!$A:$A,0)),0)))</f>
        <v>9.3625100000000003</v>
      </c>
      <c r="FG7" s="21">
        <f>IF(FG$1&lt;INDEX('Valo FX'!$Q:$Q,MATCH($A7,'Valo FX'!$A:$A,0)),0,IF(FG$1&lt;INDEX('Valo FX'!$R:$R,MATCH($A7,'Valo FX'!$A:$A,0)),INDEX(Base!$U:$U,MATCH($A7,Base!$A:$A,0)),IF(FG$1=INDEX('Valo FX'!$R:$R,MATCH($A7,'Valo FX'!$A:$A,0)),INDEX(Base!$V:$V,MATCH($A7,Base!$A:$A,0)),0)))</f>
        <v>9.3625100000000003</v>
      </c>
      <c r="FH7" s="21">
        <f>IF(FH$1&lt;INDEX('Valo FX'!$Q:$Q,MATCH($A7,'Valo FX'!$A:$A,0)),0,IF(FH$1&lt;INDEX('Valo FX'!$R:$R,MATCH($A7,'Valo FX'!$A:$A,0)),INDEX(Base!$U:$U,MATCH($A7,Base!$A:$A,0)),IF(FH$1=INDEX('Valo FX'!$R:$R,MATCH($A7,'Valo FX'!$A:$A,0)),INDEX(Base!$V:$V,MATCH($A7,Base!$A:$A,0)),0)))</f>
        <v>9.3625100000000003</v>
      </c>
      <c r="FI7" s="21">
        <f>IF(FI$1&lt;INDEX('Valo FX'!$Q:$Q,MATCH($A7,'Valo FX'!$A:$A,0)),0,IF(FI$1&lt;INDEX('Valo FX'!$R:$R,MATCH($A7,'Valo FX'!$A:$A,0)),INDEX(Base!$U:$U,MATCH($A7,Base!$A:$A,0)),IF(FI$1=INDEX('Valo FX'!$R:$R,MATCH($A7,'Valo FX'!$A:$A,0)),INDEX(Base!$V:$V,MATCH($A7,Base!$A:$A,0)),0)))</f>
        <v>9.3625100000000003</v>
      </c>
      <c r="FJ7" s="21">
        <f>IF(FJ$1&lt;INDEX('Valo FX'!$Q:$Q,MATCH($A7,'Valo FX'!$A:$A,0)),0,IF(FJ$1&lt;INDEX('Valo FX'!$R:$R,MATCH($A7,'Valo FX'!$A:$A,0)),INDEX(Base!$U:$U,MATCH($A7,Base!$A:$A,0)),IF(FJ$1=INDEX('Valo FX'!$R:$R,MATCH($A7,'Valo FX'!$A:$A,0)),INDEX(Base!$V:$V,MATCH($A7,Base!$A:$A,0)),0)))</f>
        <v>9.3625100000000003</v>
      </c>
      <c r="FK7" s="21">
        <f>IF(FK$1&lt;INDEX('Valo FX'!$Q:$Q,MATCH($A7,'Valo FX'!$A:$A,0)),0,IF(FK$1&lt;INDEX('Valo FX'!$R:$R,MATCH($A7,'Valo FX'!$A:$A,0)),INDEX(Base!$U:$U,MATCH($A7,Base!$A:$A,0)),IF(FK$1=INDEX('Valo FX'!$R:$R,MATCH($A7,'Valo FX'!$A:$A,0)),INDEX(Base!$V:$V,MATCH($A7,Base!$A:$A,0)),0)))</f>
        <v>9.3625100000000003</v>
      </c>
      <c r="FL7" s="21">
        <f>IF(FL$1&lt;INDEX('Valo FX'!$Q:$Q,MATCH($A7,'Valo FX'!$A:$A,0)),0,IF(FL$1&lt;INDEX('Valo FX'!$R:$R,MATCH($A7,'Valo FX'!$A:$A,0)),INDEX(Base!$U:$U,MATCH($A7,Base!$A:$A,0)),IF(FL$1=INDEX('Valo FX'!$R:$R,MATCH($A7,'Valo FX'!$A:$A,0)),INDEX(Base!$V:$V,MATCH($A7,Base!$A:$A,0)),0)))</f>
        <v>9.3625100000000003</v>
      </c>
      <c r="FM7" s="21">
        <f>IF(FM$1&lt;INDEX('Valo FX'!$Q:$Q,MATCH($A7,'Valo FX'!$A:$A,0)),0,IF(FM$1&lt;INDEX('Valo FX'!$R:$R,MATCH($A7,'Valo FX'!$A:$A,0)),INDEX(Base!$U:$U,MATCH($A7,Base!$A:$A,0)),IF(FM$1=INDEX('Valo FX'!$R:$R,MATCH($A7,'Valo FX'!$A:$A,0)),INDEX(Base!$V:$V,MATCH($A7,Base!$A:$A,0)),0)))</f>
        <v>9.3625100000000003</v>
      </c>
      <c r="FN7" s="21">
        <f>IF(FN$1&lt;INDEX('Valo FX'!$Q:$Q,MATCH($A7,'Valo FX'!$A:$A,0)),0,IF(FN$1&lt;INDEX('Valo FX'!$R:$R,MATCH($A7,'Valo FX'!$A:$A,0)),INDEX(Base!$U:$U,MATCH($A7,Base!$A:$A,0)),IF(FN$1=INDEX('Valo FX'!$R:$R,MATCH($A7,'Valo FX'!$A:$A,0)),INDEX(Base!$V:$V,MATCH($A7,Base!$A:$A,0)),0)))</f>
        <v>9.3625100000000003</v>
      </c>
      <c r="FO7" s="21">
        <f>IF(FO$1&lt;INDEX('Valo FX'!$Q:$Q,MATCH($A7,'Valo FX'!$A:$A,0)),0,IF(FO$1&lt;INDEX('Valo FX'!$R:$R,MATCH($A7,'Valo FX'!$A:$A,0)),INDEX(Base!$U:$U,MATCH($A7,Base!$A:$A,0)),IF(FO$1=INDEX('Valo FX'!$R:$R,MATCH($A7,'Valo FX'!$A:$A,0)),INDEX(Base!$V:$V,MATCH($A7,Base!$A:$A,0)),0)))</f>
        <v>9.3625100000000003</v>
      </c>
      <c r="FP7" s="21">
        <f>IF(FP$1&lt;INDEX('Valo FX'!$Q:$Q,MATCH($A7,'Valo FX'!$A:$A,0)),0,IF(FP$1&lt;INDEX('Valo FX'!$R:$R,MATCH($A7,'Valo FX'!$A:$A,0)),INDEX(Base!$U:$U,MATCH($A7,Base!$A:$A,0)),IF(FP$1=INDEX('Valo FX'!$R:$R,MATCH($A7,'Valo FX'!$A:$A,0)),INDEX(Base!$V:$V,MATCH($A7,Base!$A:$A,0)),0)))</f>
        <v>9.3625100000000003</v>
      </c>
      <c r="FQ7" s="21">
        <f>IF(FQ$1&lt;INDEX('Valo FX'!$Q:$Q,MATCH($A7,'Valo FX'!$A:$A,0)),0,IF(FQ$1&lt;INDEX('Valo FX'!$R:$R,MATCH($A7,'Valo FX'!$A:$A,0)),INDEX(Base!$U:$U,MATCH($A7,Base!$A:$A,0)),IF(FQ$1=INDEX('Valo FX'!$R:$R,MATCH($A7,'Valo FX'!$A:$A,0)),INDEX(Base!$V:$V,MATCH($A7,Base!$A:$A,0)),0)))</f>
        <v>9.3625100000000003</v>
      </c>
      <c r="FR7" s="21">
        <f>IF(FR$1&lt;INDEX('Valo FX'!$Q:$Q,MATCH($A7,'Valo FX'!$A:$A,0)),0,IF(FR$1&lt;INDEX('Valo FX'!$R:$R,MATCH($A7,'Valo FX'!$A:$A,0)),INDEX(Base!$U:$U,MATCH($A7,Base!$A:$A,0)),IF(FR$1=INDEX('Valo FX'!$R:$R,MATCH($A7,'Valo FX'!$A:$A,0)),INDEX(Base!$V:$V,MATCH($A7,Base!$A:$A,0)),0)))</f>
        <v>9.3625100000000003</v>
      </c>
      <c r="FS7" s="21">
        <f>IF(FS$1&lt;INDEX('Valo FX'!$Q:$Q,MATCH($A7,'Valo FX'!$A:$A,0)),0,IF(FS$1&lt;INDEX('Valo FX'!$R:$R,MATCH($A7,'Valo FX'!$A:$A,0)),INDEX(Base!$U:$U,MATCH($A7,Base!$A:$A,0)),IF(FS$1=INDEX('Valo FX'!$R:$R,MATCH($A7,'Valo FX'!$A:$A,0)),INDEX(Base!$V:$V,MATCH($A7,Base!$A:$A,0)),0)))</f>
        <v>9.3625100000000003</v>
      </c>
      <c r="FT7" s="21">
        <f>IF(FT$1&lt;INDEX('Valo FX'!$Q:$Q,MATCH($A7,'Valo FX'!$A:$A,0)),0,IF(FT$1&lt;INDEX('Valo FX'!$R:$R,MATCH($A7,'Valo FX'!$A:$A,0)),INDEX(Base!$U:$U,MATCH($A7,Base!$A:$A,0)),IF(FT$1=INDEX('Valo FX'!$R:$R,MATCH($A7,'Valo FX'!$A:$A,0)),INDEX(Base!$V:$V,MATCH($A7,Base!$A:$A,0)),0)))</f>
        <v>9.3625100000000003</v>
      </c>
      <c r="FU7" s="21">
        <f>IF(FU$1&lt;INDEX('Valo FX'!$Q:$Q,MATCH($A7,'Valo FX'!$A:$A,0)),0,IF(FU$1&lt;INDEX('Valo FX'!$R:$R,MATCH($A7,'Valo FX'!$A:$A,0)),INDEX(Base!$U:$U,MATCH($A7,Base!$A:$A,0)),IF(FU$1=INDEX('Valo FX'!$R:$R,MATCH($A7,'Valo FX'!$A:$A,0)),INDEX(Base!$V:$V,MATCH($A7,Base!$A:$A,0)),0)))</f>
        <v>9.3625100000000003</v>
      </c>
      <c r="FV7" s="21">
        <f>IF(FV$1&lt;INDEX('Valo FX'!$Q:$Q,MATCH($A7,'Valo FX'!$A:$A,0)),0,IF(FV$1&lt;INDEX('Valo FX'!$R:$R,MATCH($A7,'Valo FX'!$A:$A,0)),INDEX(Base!$U:$U,MATCH($A7,Base!$A:$A,0)),IF(FV$1=INDEX('Valo FX'!$R:$R,MATCH($A7,'Valo FX'!$A:$A,0)),INDEX(Base!$V:$V,MATCH($A7,Base!$A:$A,0)),0)))</f>
        <v>9.3625100000000003</v>
      </c>
      <c r="FW7" s="21">
        <f>IF(FW$1&lt;INDEX('Valo FX'!$Q:$Q,MATCH($A7,'Valo FX'!$A:$A,0)),0,IF(FW$1&lt;INDEX('Valo FX'!$R:$R,MATCH($A7,'Valo FX'!$A:$A,0)),INDEX(Base!$U:$U,MATCH($A7,Base!$A:$A,0)),IF(FW$1=INDEX('Valo FX'!$R:$R,MATCH($A7,'Valo FX'!$A:$A,0)),INDEX(Base!$V:$V,MATCH($A7,Base!$A:$A,0)),0)))</f>
        <v>9.3625100000000003</v>
      </c>
      <c r="FX7" s="21">
        <f>IF(FX$1&lt;INDEX('Valo FX'!$Q:$Q,MATCH($A7,'Valo FX'!$A:$A,0)),0,IF(FX$1&lt;INDEX('Valo FX'!$R:$R,MATCH($A7,'Valo FX'!$A:$A,0)),INDEX(Base!$U:$U,MATCH($A7,Base!$A:$A,0)),IF(FX$1=INDEX('Valo FX'!$R:$R,MATCH($A7,'Valo FX'!$A:$A,0)),INDEX(Base!$V:$V,MATCH($A7,Base!$A:$A,0)),0)))</f>
        <v>9.3625100000000003</v>
      </c>
      <c r="FY7" s="21">
        <f>IF(FY$1&lt;INDEX('Valo FX'!$Q:$Q,MATCH($A7,'Valo FX'!$A:$A,0)),0,IF(FY$1&lt;INDEX('Valo FX'!$R:$R,MATCH($A7,'Valo FX'!$A:$A,0)),INDEX(Base!$U:$U,MATCH($A7,Base!$A:$A,0)),IF(FY$1=INDEX('Valo FX'!$R:$R,MATCH($A7,'Valo FX'!$A:$A,0)),INDEX(Base!$V:$V,MATCH($A7,Base!$A:$A,0)),0)))</f>
        <v>9.3625100000000003</v>
      </c>
      <c r="FZ7" s="21">
        <f>IF(FZ$1&lt;INDEX('Valo FX'!$Q:$Q,MATCH($A7,'Valo FX'!$A:$A,0)),0,IF(FZ$1&lt;INDEX('Valo FX'!$R:$R,MATCH($A7,'Valo FX'!$A:$A,0)),INDEX(Base!$U:$U,MATCH($A7,Base!$A:$A,0)),IF(FZ$1=INDEX('Valo FX'!$R:$R,MATCH($A7,'Valo FX'!$A:$A,0)),INDEX(Base!$V:$V,MATCH($A7,Base!$A:$A,0)),0)))</f>
        <v>9.3625100000000003</v>
      </c>
      <c r="GA7" s="21">
        <f>IF(GA$1&lt;INDEX('Valo FX'!$Q:$Q,MATCH($A7,'Valo FX'!$A:$A,0)),0,IF(GA$1&lt;INDEX('Valo FX'!$R:$R,MATCH($A7,'Valo FX'!$A:$A,0)),INDEX(Base!$U:$U,MATCH($A7,Base!$A:$A,0)),IF(GA$1=INDEX('Valo FX'!$R:$R,MATCH($A7,'Valo FX'!$A:$A,0)),INDEX(Base!$V:$V,MATCH($A7,Base!$A:$A,0)),0)))</f>
        <v>9.3625100000000003</v>
      </c>
      <c r="GB7" s="21">
        <f>IF(GB$1&lt;INDEX('Valo FX'!$Q:$Q,MATCH($A7,'Valo FX'!$A:$A,0)),0,IF(GB$1&lt;INDEX('Valo FX'!$R:$R,MATCH($A7,'Valo FX'!$A:$A,0)),INDEX(Base!$U:$U,MATCH($A7,Base!$A:$A,0)),IF(GB$1=INDEX('Valo FX'!$R:$R,MATCH($A7,'Valo FX'!$A:$A,0)),INDEX(Base!$V:$V,MATCH($A7,Base!$A:$A,0)),0)))</f>
        <v>9.3625100000000003</v>
      </c>
      <c r="GC7" s="21">
        <f>IF(GC$1&lt;INDEX('Valo FX'!$Q:$Q,MATCH($A7,'Valo FX'!$A:$A,0)),0,IF(GC$1&lt;INDEX('Valo FX'!$R:$R,MATCH($A7,'Valo FX'!$A:$A,0)),INDEX(Base!$U:$U,MATCH($A7,Base!$A:$A,0)),IF(GC$1=INDEX('Valo FX'!$R:$R,MATCH($A7,'Valo FX'!$A:$A,0)),INDEX(Base!$V:$V,MATCH($A7,Base!$A:$A,0)),0)))</f>
        <v>9.3625100000000003</v>
      </c>
      <c r="GD7" s="21">
        <f>IF(GD$1&lt;INDEX('Valo FX'!$Q:$Q,MATCH($A7,'Valo FX'!$A:$A,0)),0,IF(GD$1&lt;INDEX('Valo FX'!$R:$R,MATCH($A7,'Valo FX'!$A:$A,0)),INDEX(Base!$U:$U,MATCH($A7,Base!$A:$A,0)),IF(GD$1=INDEX('Valo FX'!$R:$R,MATCH($A7,'Valo FX'!$A:$A,0)),INDEX(Base!$V:$V,MATCH($A7,Base!$A:$A,0)),0)))</f>
        <v>9.3625100000000003</v>
      </c>
      <c r="GE7" s="21">
        <f>IF(GE$1&lt;INDEX('Valo FX'!$Q:$Q,MATCH($A7,'Valo FX'!$A:$A,0)),0,IF(GE$1&lt;INDEX('Valo FX'!$R:$R,MATCH($A7,'Valo FX'!$A:$A,0)),INDEX(Base!$U:$U,MATCH($A7,Base!$A:$A,0)),IF(GE$1=INDEX('Valo FX'!$R:$R,MATCH($A7,'Valo FX'!$A:$A,0)),INDEX(Base!$V:$V,MATCH($A7,Base!$A:$A,0)),0)))</f>
        <v>9.3625100000000003</v>
      </c>
      <c r="GF7" s="21">
        <f>IF(GF$1&lt;INDEX('Valo FX'!$Q:$Q,MATCH($A7,'Valo FX'!$A:$A,0)),0,IF(GF$1&lt;INDEX('Valo FX'!$R:$R,MATCH($A7,'Valo FX'!$A:$A,0)),INDEX(Base!$U:$U,MATCH($A7,Base!$A:$A,0)),IF(GF$1=INDEX('Valo FX'!$R:$R,MATCH($A7,'Valo FX'!$A:$A,0)),INDEX(Base!$V:$V,MATCH($A7,Base!$A:$A,0)),0)))</f>
        <v>9.3625100000000003</v>
      </c>
      <c r="GG7" s="21">
        <f>IF(GG$1&lt;INDEX('Valo FX'!$Q:$Q,MATCH($A7,'Valo FX'!$A:$A,0)),0,IF(GG$1&lt;INDEX('Valo FX'!$R:$R,MATCH($A7,'Valo FX'!$A:$A,0)),INDEX(Base!$U:$U,MATCH($A7,Base!$A:$A,0)),IF(GG$1=INDEX('Valo FX'!$R:$R,MATCH($A7,'Valo FX'!$A:$A,0)),INDEX(Base!$V:$V,MATCH($A7,Base!$A:$A,0)),0)))</f>
        <v>9.3625100000000003</v>
      </c>
      <c r="GH7" s="21">
        <f>IF(GH$1&lt;INDEX('Valo FX'!$Q:$Q,MATCH($A7,'Valo FX'!$A:$A,0)),0,IF(GH$1&lt;INDEX('Valo FX'!$R:$R,MATCH($A7,'Valo FX'!$A:$A,0)),INDEX(Base!$U:$U,MATCH($A7,Base!$A:$A,0)),IF(GH$1=INDEX('Valo FX'!$R:$R,MATCH($A7,'Valo FX'!$A:$A,0)),INDEX(Base!$V:$V,MATCH($A7,Base!$A:$A,0)),0)))</f>
        <v>9.3625100000000003</v>
      </c>
      <c r="GI7" s="21">
        <f>IF(GI$1&lt;INDEX('Valo FX'!$Q:$Q,MATCH($A7,'Valo FX'!$A:$A,0)),0,IF(GI$1&lt;INDEX('Valo FX'!$R:$R,MATCH($A7,'Valo FX'!$A:$A,0)),INDEX(Base!$U:$U,MATCH($A7,Base!$A:$A,0)),IF(GI$1=INDEX('Valo FX'!$R:$R,MATCH($A7,'Valo FX'!$A:$A,0)),INDEX(Base!$V:$V,MATCH($A7,Base!$A:$A,0)),0)))</f>
        <v>9.3625100000000003</v>
      </c>
      <c r="GJ7" s="21">
        <f>IF(GJ$1&lt;INDEX('Valo FX'!$Q:$Q,MATCH($A7,'Valo FX'!$A:$A,0)),0,IF(GJ$1&lt;INDEX('Valo FX'!$R:$R,MATCH($A7,'Valo FX'!$A:$A,0)),INDEX(Base!$U:$U,MATCH($A7,Base!$A:$A,0)),IF(GJ$1=INDEX('Valo FX'!$R:$R,MATCH($A7,'Valo FX'!$A:$A,0)),INDEX(Base!$V:$V,MATCH($A7,Base!$A:$A,0)),0)))</f>
        <v>9.3625100000000003</v>
      </c>
      <c r="GK7" s="21">
        <f>IF(GK$1&lt;INDEX('Valo FX'!$Q:$Q,MATCH($A7,'Valo FX'!$A:$A,0)),0,IF(GK$1&lt;INDEX('Valo FX'!$R:$R,MATCH($A7,'Valo FX'!$A:$A,0)),INDEX(Base!$U:$U,MATCH($A7,Base!$A:$A,0)),IF(GK$1=INDEX('Valo FX'!$R:$R,MATCH($A7,'Valo FX'!$A:$A,0)),INDEX(Base!$V:$V,MATCH($A7,Base!$A:$A,0)),0)))</f>
        <v>9.3625100000000003</v>
      </c>
      <c r="GL7" s="21">
        <f>IF(GL$1&lt;INDEX('Valo FX'!$Q:$Q,MATCH($A7,'Valo FX'!$A:$A,0)),0,IF(GL$1&lt;INDEX('Valo FX'!$R:$R,MATCH($A7,'Valo FX'!$A:$A,0)),INDEX(Base!$U:$U,MATCH($A7,Base!$A:$A,0)),IF(GL$1=INDEX('Valo FX'!$R:$R,MATCH($A7,'Valo FX'!$A:$A,0)),INDEX(Base!$V:$V,MATCH($A7,Base!$A:$A,0)),0)))</f>
        <v>9.3625100000000003</v>
      </c>
      <c r="GM7" s="21">
        <f>IF(GM$1&lt;INDEX('Valo FX'!$Q:$Q,MATCH($A7,'Valo FX'!$A:$A,0)),0,IF(GM$1&lt;INDEX('Valo FX'!$R:$R,MATCH($A7,'Valo FX'!$A:$A,0)),INDEX(Base!$U:$U,MATCH($A7,Base!$A:$A,0)),IF(GM$1=INDEX('Valo FX'!$R:$R,MATCH($A7,'Valo FX'!$A:$A,0)),INDEX(Base!$V:$V,MATCH($A7,Base!$A:$A,0)),0)))</f>
        <v>9.3625100000000003</v>
      </c>
      <c r="GN7" s="21">
        <f>IF(GN$1&lt;INDEX('Valo FX'!$Q:$Q,MATCH($A7,'Valo FX'!$A:$A,0)),0,IF(GN$1&lt;INDEX('Valo FX'!$R:$R,MATCH($A7,'Valo FX'!$A:$A,0)),INDEX(Base!$U:$U,MATCH($A7,Base!$A:$A,0)),IF(GN$1=INDEX('Valo FX'!$R:$R,MATCH($A7,'Valo FX'!$A:$A,0)),INDEX(Base!$V:$V,MATCH($A7,Base!$A:$A,0)),0)))</f>
        <v>9.3625100000000003</v>
      </c>
      <c r="GO7" s="21">
        <f>IF(GO$1&lt;INDEX('Valo FX'!$Q:$Q,MATCH($A7,'Valo FX'!$A:$A,0)),0,IF(GO$1&lt;INDEX('Valo FX'!$R:$R,MATCH($A7,'Valo FX'!$A:$A,0)),INDEX(Base!$U:$U,MATCH($A7,Base!$A:$A,0)),IF(GO$1=INDEX('Valo FX'!$R:$R,MATCH($A7,'Valo FX'!$A:$A,0)),INDEX(Base!$V:$V,MATCH($A7,Base!$A:$A,0)),0)))</f>
        <v>9.3625100000000003</v>
      </c>
      <c r="GP7" s="21">
        <f>IF(GP$1&lt;INDEX('Valo FX'!$Q:$Q,MATCH($A7,'Valo FX'!$A:$A,0)),0,IF(GP$1&lt;INDEX('Valo FX'!$R:$R,MATCH($A7,'Valo FX'!$A:$A,0)),INDEX(Base!$U:$U,MATCH($A7,Base!$A:$A,0)),IF(GP$1=INDEX('Valo FX'!$R:$R,MATCH($A7,'Valo FX'!$A:$A,0)),INDEX(Base!$V:$V,MATCH($A7,Base!$A:$A,0)),0)))</f>
        <v>9.3625100000000003</v>
      </c>
      <c r="GQ7" s="21">
        <f>IF(GQ$1&lt;INDEX('Valo FX'!$Q:$Q,MATCH($A7,'Valo FX'!$A:$A,0)),0,IF(GQ$1&lt;INDEX('Valo FX'!$R:$R,MATCH($A7,'Valo FX'!$A:$A,0)),INDEX(Base!$U:$U,MATCH($A7,Base!$A:$A,0)),IF(GQ$1=INDEX('Valo FX'!$R:$R,MATCH($A7,'Valo FX'!$A:$A,0)),INDEX(Base!$V:$V,MATCH($A7,Base!$A:$A,0)),0)))</f>
        <v>9.3625100000000003</v>
      </c>
      <c r="GR7" s="21">
        <f>IF(GR$1&lt;INDEX('Valo FX'!$Q:$Q,MATCH($A7,'Valo FX'!$A:$A,0)),0,IF(GR$1&lt;INDEX('Valo FX'!$R:$R,MATCH($A7,'Valo FX'!$A:$A,0)),INDEX(Base!$U:$U,MATCH($A7,Base!$A:$A,0)),IF(GR$1=INDEX('Valo FX'!$R:$R,MATCH($A7,'Valo FX'!$A:$A,0)),INDEX(Base!$V:$V,MATCH($A7,Base!$A:$A,0)),0)))</f>
        <v>9.3625100000000003</v>
      </c>
      <c r="GS7" s="21">
        <f>IF(GS$1&lt;INDEX('Valo FX'!$Q:$Q,MATCH($A7,'Valo FX'!$A:$A,0)),0,IF(GS$1&lt;INDEX('Valo FX'!$R:$R,MATCH($A7,'Valo FX'!$A:$A,0)),INDEX(Base!$U:$U,MATCH($A7,Base!$A:$A,0)),IF(GS$1=INDEX('Valo FX'!$R:$R,MATCH($A7,'Valo FX'!$A:$A,0)),INDEX(Base!$V:$V,MATCH($A7,Base!$A:$A,0)),0)))</f>
        <v>9.3625100000000003</v>
      </c>
      <c r="GT7" s="21">
        <f>IF(GT$1&lt;INDEX('Valo FX'!$Q:$Q,MATCH($A7,'Valo FX'!$A:$A,0)),0,IF(GT$1&lt;INDEX('Valo FX'!$R:$R,MATCH($A7,'Valo FX'!$A:$A,0)),INDEX(Base!$U:$U,MATCH($A7,Base!$A:$A,0)),IF(GT$1=INDEX('Valo FX'!$R:$R,MATCH($A7,'Valo FX'!$A:$A,0)),INDEX(Base!$V:$V,MATCH($A7,Base!$A:$A,0)),0)))</f>
        <v>9.3625100000000003</v>
      </c>
      <c r="GU7" s="21">
        <f>IF(GU$1&lt;INDEX('Valo FX'!$Q:$Q,MATCH($A7,'Valo FX'!$A:$A,0)),0,IF(GU$1&lt;INDEX('Valo FX'!$R:$R,MATCH($A7,'Valo FX'!$A:$A,0)),INDEX(Base!$U:$U,MATCH($A7,Base!$A:$A,0)),IF(GU$1=INDEX('Valo FX'!$R:$R,MATCH($A7,'Valo FX'!$A:$A,0)),INDEX(Base!$V:$V,MATCH($A7,Base!$A:$A,0)),0)))</f>
        <v>9.3625100000000003</v>
      </c>
      <c r="GV7" s="21">
        <f>IF(GV$1&lt;INDEX('Valo FX'!$Q:$Q,MATCH($A7,'Valo FX'!$A:$A,0)),0,IF(GV$1&lt;INDEX('Valo FX'!$R:$R,MATCH($A7,'Valo FX'!$A:$A,0)),INDEX(Base!$U:$U,MATCH($A7,Base!$A:$A,0)),IF(GV$1=INDEX('Valo FX'!$R:$R,MATCH($A7,'Valo FX'!$A:$A,0)),INDEX(Base!$V:$V,MATCH($A7,Base!$A:$A,0)),0)))</f>
        <v>9.3625100000000003</v>
      </c>
      <c r="GW7" s="21">
        <f>IF(GW$1&lt;INDEX('Valo FX'!$Q:$Q,MATCH($A7,'Valo FX'!$A:$A,0)),0,IF(GW$1&lt;INDEX('Valo FX'!$R:$R,MATCH($A7,'Valo FX'!$A:$A,0)),INDEX(Base!$U:$U,MATCH($A7,Base!$A:$A,0)),IF(GW$1=INDEX('Valo FX'!$R:$R,MATCH($A7,'Valo FX'!$A:$A,0)),INDEX(Base!$V:$V,MATCH($A7,Base!$A:$A,0)),0)))</f>
        <v>9.3625100000000003</v>
      </c>
      <c r="GX7" s="21">
        <f>IF(GX$1&lt;INDEX('Valo FX'!$Q:$Q,MATCH($A7,'Valo FX'!$A:$A,0)),0,IF(GX$1&lt;INDEX('Valo FX'!$R:$R,MATCH($A7,'Valo FX'!$A:$A,0)),INDEX(Base!$U:$U,MATCH($A7,Base!$A:$A,0)),IF(GX$1=INDEX('Valo FX'!$R:$R,MATCH($A7,'Valo FX'!$A:$A,0)),INDEX(Base!$V:$V,MATCH($A7,Base!$A:$A,0)),0)))</f>
        <v>9.3625100000000003</v>
      </c>
      <c r="GY7" s="21">
        <f>IF(GY$1&lt;INDEX('Valo FX'!$Q:$Q,MATCH($A7,'Valo FX'!$A:$A,0)),0,IF(GY$1&lt;INDEX('Valo FX'!$R:$R,MATCH($A7,'Valo FX'!$A:$A,0)),INDEX(Base!$U:$U,MATCH($A7,Base!$A:$A,0)),IF(GY$1=INDEX('Valo FX'!$R:$R,MATCH($A7,'Valo FX'!$A:$A,0)),INDEX(Base!$V:$V,MATCH($A7,Base!$A:$A,0)),0)))</f>
        <v>9.3625100000000003</v>
      </c>
      <c r="GZ7" s="21">
        <f>IF(GZ$1&lt;INDEX('Valo FX'!$Q:$Q,MATCH($A7,'Valo FX'!$A:$A,0)),0,IF(GZ$1&lt;INDEX('Valo FX'!$R:$R,MATCH($A7,'Valo FX'!$A:$A,0)),INDEX(Base!$U:$U,MATCH($A7,Base!$A:$A,0)),IF(GZ$1=INDEX('Valo FX'!$R:$R,MATCH($A7,'Valo FX'!$A:$A,0)),INDEX(Base!$V:$V,MATCH($A7,Base!$A:$A,0)),0)))</f>
        <v>9.3625100000000003</v>
      </c>
      <c r="HA7" s="21">
        <f>IF(HA$1&lt;INDEX('Valo FX'!$Q:$Q,MATCH($A7,'Valo FX'!$A:$A,0)),0,IF(HA$1&lt;INDEX('Valo FX'!$R:$R,MATCH($A7,'Valo FX'!$A:$A,0)),INDEX(Base!$U:$U,MATCH($A7,Base!$A:$A,0)),IF(HA$1=INDEX('Valo FX'!$R:$R,MATCH($A7,'Valo FX'!$A:$A,0)),INDEX(Base!$V:$V,MATCH($A7,Base!$A:$A,0)),0)))</f>
        <v>9.3625100000000003</v>
      </c>
      <c r="HB7" s="21">
        <f>IF(HB$1&lt;INDEX('Valo FX'!$Q:$Q,MATCH($A7,'Valo FX'!$A:$A,0)),0,IF(HB$1&lt;INDEX('Valo FX'!$R:$R,MATCH($A7,'Valo FX'!$A:$A,0)),INDEX(Base!$U:$U,MATCH($A7,Base!$A:$A,0)),IF(HB$1=INDEX('Valo FX'!$R:$R,MATCH($A7,'Valo FX'!$A:$A,0)),INDEX(Base!$V:$V,MATCH($A7,Base!$A:$A,0)),0)))</f>
        <v>9.3625100000000003</v>
      </c>
      <c r="HC7" s="21">
        <f>IF(HC$1&lt;INDEX('Valo FX'!$Q:$Q,MATCH($A7,'Valo FX'!$A:$A,0)),0,IF(HC$1&lt;INDEX('Valo FX'!$R:$R,MATCH($A7,'Valo FX'!$A:$A,0)),INDEX(Base!$U:$U,MATCH($A7,Base!$A:$A,0)),IF(HC$1=INDEX('Valo FX'!$R:$R,MATCH($A7,'Valo FX'!$A:$A,0)),INDEX(Base!$V:$V,MATCH($A7,Base!$A:$A,0)),0)))</f>
        <v>9.3625100000000003</v>
      </c>
      <c r="HD7" s="21">
        <f>IF(HD$1&lt;INDEX('Valo FX'!$Q:$Q,MATCH($A7,'Valo FX'!$A:$A,0)),0,IF(HD$1&lt;INDEX('Valo FX'!$R:$R,MATCH($A7,'Valo FX'!$A:$A,0)),INDEX(Base!$U:$U,MATCH($A7,Base!$A:$A,0)),IF(HD$1=INDEX('Valo FX'!$R:$R,MATCH($A7,'Valo FX'!$A:$A,0)),INDEX(Base!$V:$V,MATCH($A7,Base!$A:$A,0)),0)))</f>
        <v>9.3625100000000003</v>
      </c>
      <c r="HE7" s="21">
        <f>IF(HE$1&lt;INDEX('Valo FX'!$Q:$Q,MATCH($A7,'Valo FX'!$A:$A,0)),0,IF(HE$1&lt;INDEX('Valo FX'!$R:$R,MATCH($A7,'Valo FX'!$A:$A,0)),INDEX(Base!$U:$U,MATCH($A7,Base!$A:$A,0)),IF(HE$1=INDEX('Valo FX'!$R:$R,MATCH($A7,'Valo FX'!$A:$A,0)),INDEX(Base!$V:$V,MATCH($A7,Base!$A:$A,0)),0)))</f>
        <v>9.3625100000000003</v>
      </c>
      <c r="HF7" s="21">
        <f>IF(HF$1&lt;INDEX('Valo FX'!$Q:$Q,MATCH($A7,'Valo FX'!$A:$A,0)),0,IF(HF$1&lt;INDEX('Valo FX'!$R:$R,MATCH($A7,'Valo FX'!$A:$A,0)),INDEX(Base!$U:$U,MATCH($A7,Base!$A:$A,0)),IF(HF$1=INDEX('Valo FX'!$R:$R,MATCH($A7,'Valo FX'!$A:$A,0)),INDEX(Base!$V:$V,MATCH($A7,Base!$A:$A,0)),0)))</f>
        <v>9.3625100000000003</v>
      </c>
      <c r="HG7" s="21">
        <f>IF(HG$1&lt;INDEX('Valo FX'!$Q:$Q,MATCH($A7,'Valo FX'!$A:$A,0)),0,IF(HG$1&lt;INDEX('Valo FX'!$R:$R,MATCH($A7,'Valo FX'!$A:$A,0)),INDEX(Base!$U:$U,MATCH($A7,Base!$A:$A,0)),IF(HG$1=INDEX('Valo FX'!$R:$R,MATCH($A7,'Valo FX'!$A:$A,0)),INDEX(Base!$V:$V,MATCH($A7,Base!$A:$A,0)),0)))</f>
        <v>9.3625100000000003</v>
      </c>
      <c r="HH7" s="21">
        <f>IF(HH$1&lt;INDEX('Valo FX'!$Q:$Q,MATCH($A7,'Valo FX'!$A:$A,0)),0,IF(HH$1&lt;INDEX('Valo FX'!$R:$R,MATCH($A7,'Valo FX'!$A:$A,0)),INDEX(Base!$U:$U,MATCH($A7,Base!$A:$A,0)),IF(HH$1=INDEX('Valo FX'!$R:$R,MATCH($A7,'Valo FX'!$A:$A,0)),INDEX(Base!$V:$V,MATCH($A7,Base!$A:$A,0)),0)))</f>
        <v>9.3625100000000003</v>
      </c>
      <c r="HI7" s="21">
        <f>IF(HI$1&lt;INDEX('Valo FX'!$Q:$Q,MATCH($A7,'Valo FX'!$A:$A,0)),0,IF(HI$1&lt;INDEX('Valo FX'!$R:$R,MATCH($A7,'Valo FX'!$A:$A,0)),INDEX(Base!$U:$U,MATCH($A7,Base!$A:$A,0)),IF(HI$1=INDEX('Valo FX'!$R:$R,MATCH($A7,'Valo FX'!$A:$A,0)),INDEX(Base!$V:$V,MATCH($A7,Base!$A:$A,0)),0)))</f>
        <v>9.3625100000000003</v>
      </c>
      <c r="HJ7" s="21">
        <f>IF(HJ$1&lt;INDEX('Valo FX'!$Q:$Q,MATCH($A7,'Valo FX'!$A:$A,0)),0,IF(HJ$1&lt;INDEX('Valo FX'!$R:$R,MATCH($A7,'Valo FX'!$A:$A,0)),INDEX(Base!$U:$U,MATCH($A7,Base!$A:$A,0)),IF(HJ$1=INDEX('Valo FX'!$R:$R,MATCH($A7,'Valo FX'!$A:$A,0)),INDEX(Base!$V:$V,MATCH($A7,Base!$A:$A,0)),0)))</f>
        <v>9.3625100000000003</v>
      </c>
      <c r="HK7" s="21">
        <f>IF(HK$1&lt;INDEX('Valo FX'!$Q:$Q,MATCH($A7,'Valo FX'!$A:$A,0)),0,IF(HK$1&lt;INDEX('Valo FX'!$R:$R,MATCH($A7,'Valo FX'!$A:$A,0)),INDEX(Base!$U:$U,MATCH($A7,Base!$A:$A,0)),IF(HK$1=INDEX('Valo FX'!$R:$R,MATCH($A7,'Valo FX'!$A:$A,0)),INDEX(Base!$V:$V,MATCH($A7,Base!$A:$A,0)),0)))</f>
        <v>9.3625100000000003</v>
      </c>
      <c r="HL7" s="21">
        <f>IF(HL$1&lt;INDEX('Valo FX'!$Q:$Q,MATCH($A7,'Valo FX'!$A:$A,0)),0,IF(HL$1&lt;INDEX('Valo FX'!$R:$R,MATCH($A7,'Valo FX'!$A:$A,0)),INDEX(Base!$U:$U,MATCH($A7,Base!$A:$A,0)),IF(HL$1=INDEX('Valo FX'!$R:$R,MATCH($A7,'Valo FX'!$A:$A,0)),INDEX(Base!$V:$V,MATCH($A7,Base!$A:$A,0)),0)))</f>
        <v>9.3625100000000003</v>
      </c>
      <c r="HM7" s="21">
        <f>IF(HM$1&lt;INDEX('Valo FX'!$Q:$Q,MATCH($A7,'Valo FX'!$A:$A,0)),0,IF(HM$1&lt;INDEX('Valo FX'!$R:$R,MATCH($A7,'Valo FX'!$A:$A,0)),INDEX(Base!$U:$U,MATCH($A7,Base!$A:$A,0)),IF(HM$1=INDEX('Valo FX'!$R:$R,MATCH($A7,'Valo FX'!$A:$A,0)),INDEX(Base!$V:$V,MATCH($A7,Base!$A:$A,0)),0)))</f>
        <v>9.3625100000000003</v>
      </c>
      <c r="HN7" s="21">
        <f>IF(HN$1&lt;INDEX('Valo FX'!$Q:$Q,MATCH($A7,'Valo FX'!$A:$A,0)),0,IF(HN$1&lt;INDEX('Valo FX'!$R:$R,MATCH($A7,'Valo FX'!$A:$A,0)),INDEX(Base!$U:$U,MATCH($A7,Base!$A:$A,0)),IF(HN$1=INDEX('Valo FX'!$R:$R,MATCH($A7,'Valo FX'!$A:$A,0)),INDEX(Base!$V:$V,MATCH($A7,Base!$A:$A,0)),0)))</f>
        <v>9.3625100000000003</v>
      </c>
      <c r="HO7" s="21">
        <f>IF(HO$1&lt;INDEX('Valo FX'!$Q:$Q,MATCH($A7,'Valo FX'!$A:$A,0)),0,IF(HO$1&lt;INDEX('Valo FX'!$R:$R,MATCH($A7,'Valo FX'!$A:$A,0)),INDEX(Base!$U:$U,MATCH($A7,Base!$A:$A,0)),IF(HO$1=INDEX('Valo FX'!$R:$R,MATCH($A7,'Valo FX'!$A:$A,0)),INDEX(Base!$V:$V,MATCH($A7,Base!$A:$A,0)),0)))</f>
        <v>9.3625100000000003</v>
      </c>
      <c r="HP7" s="21">
        <f>IF(HP$1&lt;INDEX('Valo FX'!$Q:$Q,MATCH($A7,'Valo FX'!$A:$A,0)),0,IF(HP$1&lt;INDEX('Valo FX'!$R:$R,MATCH($A7,'Valo FX'!$A:$A,0)),INDEX(Base!$U:$U,MATCH($A7,Base!$A:$A,0)),IF(HP$1=INDEX('Valo FX'!$R:$R,MATCH($A7,'Valo FX'!$A:$A,0)),INDEX(Base!$V:$V,MATCH($A7,Base!$A:$A,0)),0)))</f>
        <v>9.3625100000000003</v>
      </c>
      <c r="HQ7" s="21">
        <f>IF(HQ$1&lt;INDEX('Valo FX'!$Q:$Q,MATCH($A7,'Valo FX'!$A:$A,0)),0,IF(HQ$1&lt;INDEX('Valo FX'!$R:$R,MATCH($A7,'Valo FX'!$A:$A,0)),INDEX(Base!$U:$U,MATCH($A7,Base!$A:$A,0)),IF(HQ$1=INDEX('Valo FX'!$R:$R,MATCH($A7,'Valo FX'!$A:$A,0)),INDEX(Base!$V:$V,MATCH($A7,Base!$A:$A,0)),0)))</f>
        <v>9.3625100000000003</v>
      </c>
      <c r="HR7" s="21">
        <f>IF(HR$1&lt;INDEX('Valo FX'!$Q:$Q,MATCH($A7,'Valo FX'!$A:$A,0)),0,IF(HR$1&lt;INDEX('Valo FX'!$R:$R,MATCH($A7,'Valo FX'!$A:$A,0)),INDEX(Base!$U:$U,MATCH($A7,Base!$A:$A,0)),IF(HR$1=INDEX('Valo FX'!$R:$R,MATCH($A7,'Valo FX'!$A:$A,0)),INDEX(Base!$V:$V,MATCH($A7,Base!$A:$A,0)),0)))</f>
        <v>9.3625100000000003</v>
      </c>
      <c r="HS7" s="21">
        <f>IF(HS$1&lt;INDEX('Valo FX'!$Q:$Q,MATCH($A7,'Valo FX'!$A:$A,0)),0,IF(HS$1&lt;INDEX('Valo FX'!$R:$R,MATCH($A7,'Valo FX'!$A:$A,0)),INDEX(Base!$U:$U,MATCH($A7,Base!$A:$A,0)),IF(HS$1=INDEX('Valo FX'!$R:$R,MATCH($A7,'Valo FX'!$A:$A,0)),INDEX(Base!$V:$V,MATCH($A7,Base!$A:$A,0)),0)))</f>
        <v>9.3625100000000003</v>
      </c>
      <c r="HT7" s="21">
        <f>IF(HT$1&lt;INDEX('Valo FX'!$Q:$Q,MATCH($A7,'Valo FX'!$A:$A,0)),0,IF(HT$1&lt;INDEX('Valo FX'!$R:$R,MATCH($A7,'Valo FX'!$A:$A,0)),INDEX(Base!$U:$U,MATCH($A7,Base!$A:$A,0)),IF(HT$1=INDEX('Valo FX'!$R:$R,MATCH($A7,'Valo FX'!$A:$A,0)),INDEX(Base!$V:$V,MATCH($A7,Base!$A:$A,0)),0)))</f>
        <v>9.3625100000000003</v>
      </c>
      <c r="HU7" s="21">
        <f>IF(HU$1&lt;INDEX('Valo FX'!$Q:$Q,MATCH($A7,'Valo FX'!$A:$A,0)),0,IF(HU$1&lt;INDEX('Valo FX'!$R:$R,MATCH($A7,'Valo FX'!$A:$A,0)),INDEX(Base!$U:$U,MATCH($A7,Base!$A:$A,0)),IF(HU$1=INDEX('Valo FX'!$R:$R,MATCH($A7,'Valo FX'!$A:$A,0)),INDEX(Base!$V:$V,MATCH($A7,Base!$A:$A,0)),0)))</f>
        <v>9.3625100000000003</v>
      </c>
      <c r="HV7" s="21">
        <f>IF(HV$1&lt;INDEX('Valo FX'!$Q:$Q,MATCH($A7,'Valo FX'!$A:$A,0)),0,IF(HV$1&lt;INDEX('Valo FX'!$R:$R,MATCH($A7,'Valo FX'!$A:$A,0)),INDEX(Base!$U:$U,MATCH($A7,Base!$A:$A,0)),IF(HV$1=INDEX('Valo FX'!$R:$R,MATCH($A7,'Valo FX'!$A:$A,0)),INDEX(Base!$V:$V,MATCH($A7,Base!$A:$A,0)),0)))</f>
        <v>9.3625100000000003</v>
      </c>
      <c r="HW7" s="21">
        <f>IF(HW$1&lt;INDEX('Valo FX'!$Q:$Q,MATCH($A7,'Valo FX'!$A:$A,0)),0,IF(HW$1&lt;INDEX('Valo FX'!$R:$R,MATCH($A7,'Valo FX'!$A:$A,0)),INDEX(Base!$U:$U,MATCH($A7,Base!$A:$A,0)),IF(HW$1=INDEX('Valo FX'!$R:$R,MATCH($A7,'Valo FX'!$A:$A,0)),INDEX(Base!$V:$V,MATCH($A7,Base!$A:$A,0)),0)))</f>
        <v>9.3625100000000003</v>
      </c>
      <c r="HX7" s="21">
        <f>IF(HX$1&lt;INDEX('Valo FX'!$Q:$Q,MATCH($A7,'Valo FX'!$A:$A,0)),0,IF(HX$1&lt;INDEX('Valo FX'!$R:$R,MATCH($A7,'Valo FX'!$A:$A,0)),INDEX(Base!$U:$U,MATCH($A7,Base!$A:$A,0)),IF(HX$1=INDEX('Valo FX'!$R:$R,MATCH($A7,'Valo FX'!$A:$A,0)),INDEX(Base!$V:$V,MATCH($A7,Base!$A:$A,0)),0)))</f>
        <v>9.3625100000000003</v>
      </c>
      <c r="HY7" s="21">
        <f>IF(HY$1&lt;INDEX('Valo FX'!$Q:$Q,MATCH($A7,'Valo FX'!$A:$A,0)),0,IF(HY$1&lt;INDEX('Valo FX'!$R:$R,MATCH($A7,'Valo FX'!$A:$A,0)),INDEX(Base!$U:$U,MATCH($A7,Base!$A:$A,0)),IF(HY$1=INDEX('Valo FX'!$R:$R,MATCH($A7,'Valo FX'!$A:$A,0)),INDEX(Base!$V:$V,MATCH($A7,Base!$A:$A,0)),0)))</f>
        <v>9.3625100000000003</v>
      </c>
      <c r="HZ7" s="21">
        <f>IF(HZ$1&lt;INDEX('Valo FX'!$Q:$Q,MATCH($A7,'Valo FX'!$A:$A,0)),0,IF(HZ$1&lt;INDEX('Valo FX'!$R:$R,MATCH($A7,'Valo FX'!$A:$A,0)),INDEX(Base!$U:$U,MATCH($A7,Base!$A:$A,0)),IF(HZ$1=INDEX('Valo FX'!$R:$R,MATCH($A7,'Valo FX'!$A:$A,0)),INDEX(Base!$V:$V,MATCH($A7,Base!$A:$A,0)),0)))</f>
        <v>9.3625100000000003</v>
      </c>
      <c r="IA7" s="21">
        <f>IF(IA$1&lt;INDEX('Valo FX'!$Q:$Q,MATCH($A7,'Valo FX'!$A:$A,0)),0,IF(IA$1&lt;INDEX('Valo FX'!$R:$R,MATCH($A7,'Valo FX'!$A:$A,0)),INDEX(Base!$U:$U,MATCH($A7,Base!$A:$A,0)),IF(IA$1=INDEX('Valo FX'!$R:$R,MATCH($A7,'Valo FX'!$A:$A,0)),INDEX(Base!$V:$V,MATCH($A7,Base!$A:$A,0)),0)))</f>
        <v>9.3625100000000003</v>
      </c>
      <c r="IB7" s="21">
        <f>IF(IB$1&lt;INDEX('Valo FX'!$Q:$Q,MATCH($A7,'Valo FX'!$A:$A,0)),0,IF(IB$1&lt;INDEX('Valo FX'!$R:$R,MATCH($A7,'Valo FX'!$A:$A,0)),INDEX(Base!$U:$U,MATCH($A7,Base!$A:$A,0)),IF(IB$1=INDEX('Valo FX'!$R:$R,MATCH($A7,'Valo FX'!$A:$A,0)),INDEX(Base!$V:$V,MATCH($A7,Base!$A:$A,0)),0)))</f>
        <v>9.3625100000000003</v>
      </c>
      <c r="IC7" s="21">
        <f>IF(IC$1&lt;INDEX('Valo FX'!$Q:$Q,MATCH($A7,'Valo FX'!$A:$A,0)),0,IF(IC$1&lt;INDEX('Valo FX'!$R:$R,MATCH($A7,'Valo FX'!$A:$A,0)),INDEX(Base!$U:$U,MATCH($A7,Base!$A:$A,0)),IF(IC$1=INDEX('Valo FX'!$R:$R,MATCH($A7,'Valo FX'!$A:$A,0)),INDEX(Base!$V:$V,MATCH($A7,Base!$A:$A,0)),0)))</f>
        <v>9.3625100000000003</v>
      </c>
      <c r="ID7" s="21">
        <f>IF(ID$1&lt;INDEX('Valo FX'!$Q:$Q,MATCH($A7,'Valo FX'!$A:$A,0)),0,IF(ID$1&lt;INDEX('Valo FX'!$R:$R,MATCH($A7,'Valo FX'!$A:$A,0)),INDEX(Base!$U:$U,MATCH($A7,Base!$A:$A,0)),IF(ID$1=INDEX('Valo FX'!$R:$R,MATCH($A7,'Valo FX'!$A:$A,0)),INDEX(Base!$V:$V,MATCH($A7,Base!$A:$A,0)),0)))</f>
        <v>9.3625100000000003</v>
      </c>
      <c r="IE7" s="21">
        <f>IF(IE$1&lt;INDEX('Valo FX'!$Q:$Q,MATCH($A7,'Valo FX'!$A:$A,0)),0,IF(IE$1&lt;INDEX('Valo FX'!$R:$R,MATCH($A7,'Valo FX'!$A:$A,0)),INDEX(Base!$U:$U,MATCH($A7,Base!$A:$A,0)),IF(IE$1=INDEX('Valo FX'!$R:$R,MATCH($A7,'Valo FX'!$A:$A,0)),INDEX(Base!$V:$V,MATCH($A7,Base!$A:$A,0)),0)))</f>
        <v>9.3625100000000003</v>
      </c>
      <c r="IF7" s="21">
        <f>IF(IF$1&lt;INDEX('Valo FX'!$Q:$Q,MATCH($A7,'Valo FX'!$A:$A,0)),0,IF(IF$1&lt;INDEX('Valo FX'!$R:$R,MATCH($A7,'Valo FX'!$A:$A,0)),INDEX(Base!$U:$U,MATCH($A7,Base!$A:$A,0)),IF(IF$1=INDEX('Valo FX'!$R:$R,MATCH($A7,'Valo FX'!$A:$A,0)),INDEX(Base!$V:$V,MATCH($A7,Base!$A:$A,0)),0)))</f>
        <v>9.3625100000000003</v>
      </c>
      <c r="IG7" s="21">
        <f>IF(IG$1&lt;INDEX('Valo FX'!$Q:$Q,MATCH($A7,'Valo FX'!$A:$A,0)),0,IF(IG$1&lt;INDEX('Valo FX'!$R:$R,MATCH($A7,'Valo FX'!$A:$A,0)),INDEX(Base!$U:$U,MATCH($A7,Base!$A:$A,0)),IF(IG$1=INDEX('Valo FX'!$R:$R,MATCH($A7,'Valo FX'!$A:$A,0)),INDEX(Base!$V:$V,MATCH($A7,Base!$A:$A,0)),0)))</f>
        <v>9.3625100000000003</v>
      </c>
      <c r="IH7" s="21">
        <f>IF(IH$1&lt;INDEX('Valo FX'!$Q:$Q,MATCH($A7,'Valo FX'!$A:$A,0)),0,IF(IH$1&lt;INDEX('Valo FX'!$R:$R,MATCH($A7,'Valo FX'!$A:$A,0)),INDEX(Base!$U:$U,MATCH($A7,Base!$A:$A,0)),IF(IH$1=INDEX('Valo FX'!$R:$R,MATCH($A7,'Valo FX'!$A:$A,0)),INDEX(Base!$V:$V,MATCH($A7,Base!$A:$A,0)),0)))</f>
        <v>9.3625100000000003</v>
      </c>
      <c r="II7" s="21">
        <f>IF(II$1&lt;INDEX('Valo FX'!$Q:$Q,MATCH($A7,'Valo FX'!$A:$A,0)),0,IF(II$1&lt;INDEX('Valo FX'!$R:$R,MATCH($A7,'Valo FX'!$A:$A,0)),INDEX(Base!$U:$U,MATCH($A7,Base!$A:$A,0)),IF(II$1=INDEX('Valo FX'!$R:$R,MATCH($A7,'Valo FX'!$A:$A,0)),INDEX(Base!$V:$V,MATCH($A7,Base!$A:$A,0)),0)))</f>
        <v>9.3625100000000003</v>
      </c>
      <c r="IJ7" s="21">
        <f>IF(IJ$1&lt;INDEX('Valo FX'!$Q:$Q,MATCH($A7,'Valo FX'!$A:$A,0)),0,IF(IJ$1&lt;INDEX('Valo FX'!$R:$R,MATCH($A7,'Valo FX'!$A:$A,0)),INDEX(Base!$U:$U,MATCH($A7,Base!$A:$A,0)),IF(IJ$1=INDEX('Valo FX'!$R:$R,MATCH($A7,'Valo FX'!$A:$A,0)),INDEX(Base!$V:$V,MATCH($A7,Base!$A:$A,0)),0)))</f>
        <v>9.3625100000000003</v>
      </c>
      <c r="IK7" s="21">
        <f>IF(IK$1&lt;INDEX('Valo FX'!$Q:$Q,MATCH($A7,'Valo FX'!$A:$A,0)),0,IF(IK$1&lt;INDEX('Valo FX'!$R:$R,MATCH($A7,'Valo FX'!$A:$A,0)),INDEX(Base!$U:$U,MATCH($A7,Base!$A:$A,0)),IF(IK$1=INDEX('Valo FX'!$R:$R,MATCH($A7,'Valo FX'!$A:$A,0)),INDEX(Base!$V:$V,MATCH($A7,Base!$A:$A,0)),0)))</f>
        <v>9.3625100000000003</v>
      </c>
      <c r="IL7" s="21">
        <f>IF(IL$1&lt;INDEX('Valo FX'!$Q:$Q,MATCH($A7,'Valo FX'!$A:$A,0)),0,IF(IL$1&lt;INDEX('Valo FX'!$R:$R,MATCH($A7,'Valo FX'!$A:$A,0)),INDEX(Base!$U:$U,MATCH($A7,Base!$A:$A,0)),IF(IL$1=INDEX('Valo FX'!$R:$R,MATCH($A7,'Valo FX'!$A:$A,0)),INDEX(Base!$V:$V,MATCH($A7,Base!$A:$A,0)),0)))</f>
        <v>9.3625100000000003</v>
      </c>
      <c r="IM7" s="21">
        <f>IF(IM$1&lt;INDEX('Valo FX'!$Q:$Q,MATCH($A7,'Valo FX'!$A:$A,0)),0,IF(IM$1&lt;INDEX('Valo FX'!$R:$R,MATCH($A7,'Valo FX'!$A:$A,0)),INDEX(Base!$U:$U,MATCH($A7,Base!$A:$A,0)),IF(IM$1=INDEX('Valo FX'!$R:$R,MATCH($A7,'Valo FX'!$A:$A,0)),INDEX(Base!$V:$V,MATCH($A7,Base!$A:$A,0)),0)))</f>
        <v>9.3625100000000003</v>
      </c>
      <c r="IN7" s="21">
        <f>IF(IN$1&lt;INDEX('Valo FX'!$Q:$Q,MATCH($A7,'Valo FX'!$A:$A,0)),0,IF(IN$1&lt;INDEX('Valo FX'!$R:$R,MATCH($A7,'Valo FX'!$A:$A,0)),INDEX(Base!$U:$U,MATCH($A7,Base!$A:$A,0)),IF(IN$1=INDEX('Valo FX'!$R:$R,MATCH($A7,'Valo FX'!$A:$A,0)),INDEX(Base!$V:$V,MATCH($A7,Base!$A:$A,0)),0)))</f>
        <v>9.3625100000000003</v>
      </c>
      <c r="IO7" s="21">
        <f>IF(IO$1&lt;INDEX('Valo FX'!$Q:$Q,MATCH($A7,'Valo FX'!$A:$A,0)),0,IF(IO$1&lt;INDEX('Valo FX'!$R:$R,MATCH($A7,'Valo FX'!$A:$A,0)),INDEX(Base!$U:$U,MATCH($A7,Base!$A:$A,0)),IF(IO$1=INDEX('Valo FX'!$R:$R,MATCH($A7,'Valo FX'!$A:$A,0)),INDEX(Base!$V:$V,MATCH($A7,Base!$A:$A,0)),0)))</f>
        <v>9.3625100000000003</v>
      </c>
      <c r="IP7" s="21">
        <f>IF(IP$1&lt;INDEX('Valo FX'!$Q:$Q,MATCH($A7,'Valo FX'!$A:$A,0)),0,IF(IP$1&lt;INDEX('Valo FX'!$R:$R,MATCH($A7,'Valo FX'!$A:$A,0)),INDEX(Base!$U:$U,MATCH($A7,Base!$A:$A,0)),IF(IP$1=INDEX('Valo FX'!$R:$R,MATCH($A7,'Valo FX'!$A:$A,0)),INDEX(Base!$V:$V,MATCH($A7,Base!$A:$A,0)),0)))</f>
        <v>9.3625100000000003</v>
      </c>
      <c r="IQ7" s="21">
        <f>IF(IQ$1&lt;INDEX('Valo FX'!$Q:$Q,MATCH($A7,'Valo FX'!$A:$A,0)),0,IF(IQ$1&lt;INDEX('Valo FX'!$R:$R,MATCH($A7,'Valo FX'!$A:$A,0)),INDEX(Base!$U:$U,MATCH($A7,Base!$A:$A,0)),IF(IQ$1=INDEX('Valo FX'!$R:$R,MATCH($A7,'Valo FX'!$A:$A,0)),INDEX(Base!$V:$V,MATCH($A7,Base!$A:$A,0)),0)))</f>
        <v>9.3625100000000003</v>
      </c>
      <c r="IR7" s="21">
        <f>IF(IR$1&lt;INDEX('Valo FX'!$Q:$Q,MATCH($A7,'Valo FX'!$A:$A,0)),0,IF(IR$1&lt;INDEX('Valo FX'!$R:$R,MATCH($A7,'Valo FX'!$A:$A,0)),INDEX(Base!$U:$U,MATCH($A7,Base!$A:$A,0)),IF(IR$1=INDEX('Valo FX'!$R:$R,MATCH($A7,'Valo FX'!$A:$A,0)),INDEX(Base!$V:$V,MATCH($A7,Base!$A:$A,0)),0)))</f>
        <v>9.3625100000000003</v>
      </c>
      <c r="IS7" s="21">
        <f>IF(IS$1&lt;INDEX('Valo FX'!$Q:$Q,MATCH($A7,'Valo FX'!$A:$A,0)),0,IF(IS$1&lt;INDEX('Valo FX'!$R:$R,MATCH($A7,'Valo FX'!$A:$A,0)),INDEX(Base!$U:$U,MATCH($A7,Base!$A:$A,0)),IF(IS$1=INDEX('Valo FX'!$R:$R,MATCH($A7,'Valo FX'!$A:$A,0)),INDEX(Base!$V:$V,MATCH($A7,Base!$A:$A,0)),0)))</f>
        <v>9.3625100000000003</v>
      </c>
      <c r="IT7" s="21">
        <f>IF(IT$1&lt;INDEX('Valo FX'!$Q:$Q,MATCH($A7,'Valo FX'!$A:$A,0)),0,IF(IT$1&lt;INDEX('Valo FX'!$R:$R,MATCH($A7,'Valo FX'!$A:$A,0)),INDEX(Base!$U:$U,MATCH($A7,Base!$A:$A,0)),IF(IT$1=INDEX('Valo FX'!$R:$R,MATCH($A7,'Valo FX'!$A:$A,0)),INDEX(Base!$V:$V,MATCH($A7,Base!$A:$A,0)),0)))</f>
        <v>9.3625100000000003</v>
      </c>
      <c r="IU7" s="21">
        <f>IF(IU$1&lt;INDEX('Valo FX'!$Q:$Q,MATCH($A7,'Valo FX'!$A:$A,0)),0,IF(IU$1&lt;INDEX('Valo FX'!$R:$R,MATCH($A7,'Valo FX'!$A:$A,0)),INDEX(Base!$U:$U,MATCH($A7,Base!$A:$A,0)),IF(IU$1=INDEX('Valo FX'!$R:$R,MATCH($A7,'Valo FX'!$A:$A,0)),INDEX(Base!$V:$V,MATCH($A7,Base!$A:$A,0)),0)))</f>
        <v>9.3625100000000003</v>
      </c>
      <c r="IV7" s="21">
        <f>IF(IV$1&lt;INDEX('Valo FX'!$Q:$Q,MATCH($A7,'Valo FX'!$A:$A,0)),0,IF(IV$1&lt;INDEX('Valo FX'!$R:$R,MATCH($A7,'Valo FX'!$A:$A,0)),INDEX(Base!$U:$U,MATCH($A7,Base!$A:$A,0)),IF(IV$1=INDEX('Valo FX'!$R:$R,MATCH($A7,'Valo FX'!$A:$A,0)),INDEX(Base!$V:$V,MATCH($A7,Base!$A:$A,0)),0)))</f>
        <v>9.3625100000000003</v>
      </c>
      <c r="IW7" s="21">
        <f>IF(IW$1&lt;INDEX('Valo FX'!$Q:$Q,MATCH($A7,'Valo FX'!$A:$A,0)),0,IF(IW$1&lt;INDEX('Valo FX'!$R:$R,MATCH($A7,'Valo FX'!$A:$A,0)),INDEX(Base!$U:$U,MATCH($A7,Base!$A:$A,0)),IF(IW$1=INDEX('Valo FX'!$R:$R,MATCH($A7,'Valo FX'!$A:$A,0)),INDEX(Base!$V:$V,MATCH($A7,Base!$A:$A,0)),0)))</f>
        <v>9.3625100000000003</v>
      </c>
      <c r="IX7" s="21">
        <f>IF(IX$1&lt;INDEX('Valo FX'!$Q:$Q,MATCH($A7,'Valo FX'!$A:$A,0)),0,IF(IX$1&lt;INDEX('Valo FX'!$R:$R,MATCH($A7,'Valo FX'!$A:$A,0)),INDEX(Base!$U:$U,MATCH($A7,Base!$A:$A,0)),IF(IX$1=INDEX('Valo FX'!$R:$R,MATCH($A7,'Valo FX'!$A:$A,0)),INDEX(Base!$V:$V,MATCH($A7,Base!$A:$A,0)),0)))</f>
        <v>9.3625100000000003</v>
      </c>
      <c r="IY7" s="21">
        <f>IF(IY$1&lt;INDEX('Valo FX'!$Q:$Q,MATCH($A7,'Valo FX'!$A:$A,0)),0,IF(IY$1&lt;INDEX('Valo FX'!$R:$R,MATCH($A7,'Valo FX'!$A:$A,0)),INDEX(Base!$U:$U,MATCH($A7,Base!$A:$A,0)),IF(IY$1=INDEX('Valo FX'!$R:$R,MATCH($A7,'Valo FX'!$A:$A,0)),INDEX(Base!$V:$V,MATCH($A7,Base!$A:$A,0)),0)))</f>
        <v>9.3625100000000003</v>
      </c>
      <c r="IZ7" s="21">
        <f>IF(IZ$1&lt;INDEX('Valo FX'!$Q:$Q,MATCH($A7,'Valo FX'!$A:$A,0)),0,IF(IZ$1&lt;INDEX('Valo FX'!$R:$R,MATCH($A7,'Valo FX'!$A:$A,0)),INDEX(Base!$U:$U,MATCH($A7,Base!$A:$A,0)),IF(IZ$1=INDEX('Valo FX'!$R:$R,MATCH($A7,'Valo FX'!$A:$A,0)),INDEX(Base!$V:$V,MATCH($A7,Base!$A:$A,0)),0)))</f>
        <v>9.3625100000000003</v>
      </c>
      <c r="JA7" s="21">
        <f>IF(JA$1&lt;INDEX('Valo FX'!$Q:$Q,MATCH($A7,'Valo FX'!$A:$A,0)),0,IF(JA$1&lt;INDEX('Valo FX'!$R:$R,MATCH($A7,'Valo FX'!$A:$A,0)),INDEX(Base!$U:$U,MATCH($A7,Base!$A:$A,0)),IF(JA$1=INDEX('Valo FX'!$R:$R,MATCH($A7,'Valo FX'!$A:$A,0)),INDEX(Base!$V:$V,MATCH($A7,Base!$A:$A,0)),0)))</f>
        <v>9.3625100000000003</v>
      </c>
      <c r="JB7" s="21">
        <f>IF(JB$1&lt;INDEX('Valo FX'!$Q:$Q,MATCH($A7,'Valo FX'!$A:$A,0)),0,IF(JB$1&lt;INDEX('Valo FX'!$R:$R,MATCH($A7,'Valo FX'!$A:$A,0)),INDEX(Base!$U:$U,MATCH($A7,Base!$A:$A,0)),IF(JB$1=INDEX('Valo FX'!$R:$R,MATCH($A7,'Valo FX'!$A:$A,0)),INDEX(Base!$V:$V,MATCH($A7,Base!$A:$A,0)),0)))</f>
        <v>9.3625100000000003</v>
      </c>
      <c r="JC7" s="21">
        <f>IF(JC$1&lt;INDEX('Valo FX'!$Q:$Q,MATCH($A7,'Valo FX'!$A:$A,0)),0,IF(JC$1&lt;INDEX('Valo FX'!$R:$R,MATCH($A7,'Valo FX'!$A:$A,0)),INDEX(Base!$U:$U,MATCH($A7,Base!$A:$A,0)),IF(JC$1=INDEX('Valo FX'!$R:$R,MATCH($A7,'Valo FX'!$A:$A,0)),INDEX(Base!$V:$V,MATCH($A7,Base!$A:$A,0)),0)))</f>
        <v>9.3625100000000003</v>
      </c>
      <c r="JD7" s="21">
        <f>IF(JD$1&lt;INDEX('Valo FX'!$Q:$Q,MATCH($A7,'Valo FX'!$A:$A,0)),0,IF(JD$1&lt;INDEX('Valo FX'!$R:$R,MATCH($A7,'Valo FX'!$A:$A,0)),INDEX(Base!$U:$U,MATCH($A7,Base!$A:$A,0)),IF(JD$1=INDEX('Valo FX'!$R:$R,MATCH($A7,'Valo FX'!$A:$A,0)),INDEX(Base!$V:$V,MATCH($A7,Base!$A:$A,0)),0)))</f>
        <v>9.3625100000000003</v>
      </c>
      <c r="JE7" s="21">
        <f>IF(JE$1&lt;INDEX('Valo FX'!$Q:$Q,MATCH($A7,'Valo FX'!$A:$A,0)),0,IF(JE$1&lt;INDEX('Valo FX'!$R:$R,MATCH($A7,'Valo FX'!$A:$A,0)),INDEX(Base!$U:$U,MATCH($A7,Base!$A:$A,0)),IF(JE$1=INDEX('Valo FX'!$R:$R,MATCH($A7,'Valo FX'!$A:$A,0)),INDEX(Base!$V:$V,MATCH($A7,Base!$A:$A,0)),0)))</f>
        <v>9.3625100000000003</v>
      </c>
      <c r="JF7" s="21">
        <f>IF(JF$1&lt;INDEX('Valo FX'!$Q:$Q,MATCH($A7,'Valo FX'!$A:$A,0)),0,IF(JF$1&lt;INDEX('Valo FX'!$R:$R,MATCH($A7,'Valo FX'!$A:$A,0)),INDEX(Base!$U:$U,MATCH($A7,Base!$A:$A,0)),IF(JF$1=INDEX('Valo FX'!$R:$R,MATCH($A7,'Valo FX'!$A:$A,0)),INDEX(Base!$V:$V,MATCH($A7,Base!$A:$A,0)),0)))</f>
        <v>9.3625100000000003</v>
      </c>
      <c r="JG7" s="21">
        <f>IF(JG$1&lt;INDEX('Valo FX'!$Q:$Q,MATCH($A7,'Valo FX'!$A:$A,0)),0,IF(JG$1&lt;INDEX('Valo FX'!$R:$R,MATCH($A7,'Valo FX'!$A:$A,0)),INDEX(Base!$U:$U,MATCH($A7,Base!$A:$A,0)),IF(JG$1=INDEX('Valo FX'!$R:$R,MATCH($A7,'Valo FX'!$A:$A,0)),INDEX(Base!$V:$V,MATCH($A7,Base!$A:$A,0)),0)))</f>
        <v>9.3625100000000003</v>
      </c>
      <c r="JH7" s="21">
        <f>IF(JH$1&lt;INDEX('Valo FX'!$Q:$Q,MATCH($A7,'Valo FX'!$A:$A,0)),0,IF(JH$1&lt;INDEX('Valo FX'!$R:$R,MATCH($A7,'Valo FX'!$A:$A,0)),INDEX(Base!$U:$U,MATCH($A7,Base!$A:$A,0)),IF(JH$1=INDEX('Valo FX'!$R:$R,MATCH($A7,'Valo FX'!$A:$A,0)),INDEX(Base!$V:$V,MATCH($A7,Base!$A:$A,0)),0)))</f>
        <v>9.3625100000000003</v>
      </c>
      <c r="JI7" s="21">
        <f>IF(JI$1&lt;INDEX('Valo FX'!$Q:$Q,MATCH($A7,'Valo FX'!$A:$A,0)),0,IF(JI$1&lt;INDEX('Valo FX'!$R:$R,MATCH($A7,'Valo FX'!$A:$A,0)),INDEX(Base!$U:$U,MATCH($A7,Base!$A:$A,0)),IF(JI$1=INDEX('Valo FX'!$R:$R,MATCH($A7,'Valo FX'!$A:$A,0)),INDEX(Base!$V:$V,MATCH($A7,Base!$A:$A,0)),0)))</f>
        <v>9.3625100000000003</v>
      </c>
      <c r="JJ7" s="21">
        <f>IF(JJ$1&lt;INDEX('Valo FX'!$Q:$Q,MATCH($A7,'Valo FX'!$A:$A,0)),0,IF(JJ$1&lt;INDEX('Valo FX'!$R:$R,MATCH($A7,'Valo FX'!$A:$A,0)),INDEX(Base!$U:$U,MATCH($A7,Base!$A:$A,0)),IF(JJ$1=INDEX('Valo FX'!$R:$R,MATCH($A7,'Valo FX'!$A:$A,0)),INDEX(Base!$V:$V,MATCH($A7,Base!$A:$A,0)),0)))</f>
        <v>9.3625100000000003</v>
      </c>
      <c r="JK7" s="21">
        <f>IF(JK$1&lt;INDEX('Valo FX'!$Q:$Q,MATCH($A7,'Valo FX'!$A:$A,0)),0,IF(JK$1&lt;INDEX('Valo FX'!$R:$R,MATCH($A7,'Valo FX'!$A:$A,0)),INDEX(Base!$U:$U,MATCH($A7,Base!$A:$A,0)),IF(JK$1=INDEX('Valo FX'!$R:$R,MATCH($A7,'Valo FX'!$A:$A,0)),INDEX(Base!$V:$V,MATCH($A7,Base!$A:$A,0)),0)))</f>
        <v>9.3625100000000003</v>
      </c>
      <c r="JL7" s="21">
        <f>IF(JL$1&lt;INDEX('Valo FX'!$Q:$Q,MATCH($A7,'Valo FX'!$A:$A,0)),0,IF(JL$1&lt;INDEX('Valo FX'!$R:$R,MATCH($A7,'Valo FX'!$A:$A,0)),INDEX(Base!$U:$U,MATCH($A7,Base!$A:$A,0)),IF(JL$1=INDEX('Valo FX'!$R:$R,MATCH($A7,'Valo FX'!$A:$A,0)),INDEX(Base!$V:$V,MATCH($A7,Base!$A:$A,0)),0)))</f>
        <v>9.3625100000000003</v>
      </c>
      <c r="JM7" s="21">
        <f>IF(JM$1&lt;INDEX('Valo FX'!$Q:$Q,MATCH($A7,'Valo FX'!$A:$A,0)),0,IF(JM$1&lt;INDEX('Valo FX'!$R:$R,MATCH($A7,'Valo FX'!$A:$A,0)),INDEX(Base!$U:$U,MATCH($A7,Base!$A:$A,0)),IF(JM$1=INDEX('Valo FX'!$R:$R,MATCH($A7,'Valo FX'!$A:$A,0)),INDEX(Base!$V:$V,MATCH($A7,Base!$A:$A,0)),0)))</f>
        <v>9.3625100000000003</v>
      </c>
      <c r="JN7" s="21">
        <f>IF(JN$1&lt;INDEX('Valo FX'!$Q:$Q,MATCH($A7,'Valo FX'!$A:$A,0)),0,IF(JN$1&lt;INDEX('Valo FX'!$R:$R,MATCH($A7,'Valo FX'!$A:$A,0)),INDEX(Base!$U:$U,MATCH($A7,Base!$A:$A,0)),IF(JN$1=INDEX('Valo FX'!$R:$R,MATCH($A7,'Valo FX'!$A:$A,0)),INDEX(Base!$V:$V,MATCH($A7,Base!$A:$A,0)),0)))</f>
        <v>9.3625100000000003</v>
      </c>
      <c r="JO7" s="21">
        <f>IF(JO$1&lt;INDEX('Valo FX'!$Q:$Q,MATCH($A7,'Valo FX'!$A:$A,0)),0,IF(JO$1&lt;INDEX('Valo FX'!$R:$R,MATCH($A7,'Valo FX'!$A:$A,0)),INDEX(Base!$U:$U,MATCH($A7,Base!$A:$A,0)),IF(JO$1=INDEX('Valo FX'!$R:$R,MATCH($A7,'Valo FX'!$A:$A,0)),INDEX(Base!$V:$V,MATCH($A7,Base!$A:$A,0)),0)))</f>
        <v>9.3625100000000003</v>
      </c>
      <c r="JP7" s="21">
        <f>IF(JP$1&lt;INDEX('Valo FX'!$Q:$Q,MATCH($A7,'Valo FX'!$A:$A,0)),0,IF(JP$1&lt;INDEX('Valo FX'!$R:$R,MATCH($A7,'Valo FX'!$A:$A,0)),INDEX(Base!$U:$U,MATCH($A7,Base!$A:$A,0)),IF(JP$1=INDEX('Valo FX'!$R:$R,MATCH($A7,'Valo FX'!$A:$A,0)),INDEX(Base!$V:$V,MATCH($A7,Base!$A:$A,0)),0)))</f>
        <v>9.3625100000000003</v>
      </c>
      <c r="JQ7" s="21">
        <f>IF(JQ$1&lt;INDEX('Valo FX'!$Q:$Q,MATCH($A7,'Valo FX'!$A:$A,0)),0,IF(JQ$1&lt;INDEX('Valo FX'!$R:$R,MATCH($A7,'Valo FX'!$A:$A,0)),INDEX(Base!$U:$U,MATCH($A7,Base!$A:$A,0)),IF(JQ$1=INDEX('Valo FX'!$R:$R,MATCH($A7,'Valo FX'!$A:$A,0)),INDEX(Base!$V:$V,MATCH($A7,Base!$A:$A,0)),0)))</f>
        <v>9.3625100000000003</v>
      </c>
      <c r="JR7" s="21">
        <f>IF(JR$1&lt;INDEX('Valo FX'!$Q:$Q,MATCH($A7,'Valo FX'!$A:$A,0)),0,IF(JR$1&lt;INDEX('Valo FX'!$R:$R,MATCH($A7,'Valo FX'!$A:$A,0)),INDEX(Base!$U:$U,MATCH($A7,Base!$A:$A,0)),IF(JR$1=INDEX('Valo FX'!$R:$R,MATCH($A7,'Valo FX'!$A:$A,0)),INDEX(Base!$V:$V,MATCH($A7,Base!$A:$A,0)),0)))</f>
        <v>9.3625100000000003</v>
      </c>
      <c r="JS7" s="21">
        <f>IF(JS$1&lt;INDEX('Valo FX'!$Q:$Q,MATCH($A7,'Valo FX'!$A:$A,0)),0,IF(JS$1&lt;INDEX('Valo FX'!$R:$R,MATCH($A7,'Valo FX'!$A:$A,0)),INDEX(Base!$U:$U,MATCH($A7,Base!$A:$A,0)),IF(JS$1=INDEX('Valo FX'!$R:$R,MATCH($A7,'Valo FX'!$A:$A,0)),INDEX(Base!$V:$V,MATCH($A7,Base!$A:$A,0)),0)))</f>
        <v>9.3625100000000003</v>
      </c>
      <c r="JT7" s="21">
        <f>IF(JT$1&lt;INDEX('Valo FX'!$Q:$Q,MATCH($A7,'Valo FX'!$A:$A,0)),0,IF(JT$1&lt;INDEX('Valo FX'!$R:$R,MATCH($A7,'Valo FX'!$A:$A,0)),INDEX(Base!$U:$U,MATCH($A7,Base!$A:$A,0)),IF(JT$1=INDEX('Valo FX'!$R:$R,MATCH($A7,'Valo FX'!$A:$A,0)),INDEX(Base!$V:$V,MATCH($A7,Base!$A:$A,0)),0)))</f>
        <v>9.3625100000000003</v>
      </c>
      <c r="JU7" s="21">
        <f>IF(JU$1&lt;INDEX('Valo FX'!$Q:$Q,MATCH($A7,'Valo FX'!$A:$A,0)),0,IF(JU$1&lt;INDEX('Valo FX'!$R:$R,MATCH($A7,'Valo FX'!$A:$A,0)),INDEX(Base!$U:$U,MATCH($A7,Base!$A:$A,0)),IF(JU$1=INDEX('Valo FX'!$R:$R,MATCH($A7,'Valo FX'!$A:$A,0)),INDEX(Base!$V:$V,MATCH($A7,Base!$A:$A,0)),0)))</f>
        <v>9.3625100000000003</v>
      </c>
      <c r="JV7" s="21">
        <f>IF(JV$1&lt;INDEX('Valo FX'!$Q:$Q,MATCH($A7,'Valo FX'!$A:$A,0)),0,IF(JV$1&lt;INDEX('Valo FX'!$R:$R,MATCH($A7,'Valo FX'!$A:$A,0)),INDEX(Base!$U:$U,MATCH($A7,Base!$A:$A,0)),IF(JV$1=INDEX('Valo FX'!$R:$R,MATCH($A7,'Valo FX'!$A:$A,0)),INDEX(Base!$V:$V,MATCH($A7,Base!$A:$A,0)),0)))</f>
        <v>9.3625100000000003</v>
      </c>
      <c r="JW7" s="21">
        <f>IF(JW$1&lt;INDEX('Valo FX'!$Q:$Q,MATCH($A7,'Valo FX'!$A:$A,0)),0,IF(JW$1&lt;INDEX('Valo FX'!$R:$R,MATCH($A7,'Valo FX'!$A:$A,0)),INDEX(Base!$U:$U,MATCH($A7,Base!$A:$A,0)),IF(JW$1=INDEX('Valo FX'!$R:$R,MATCH($A7,'Valo FX'!$A:$A,0)),INDEX(Base!$V:$V,MATCH($A7,Base!$A:$A,0)),0)))</f>
        <v>9.3625100000000003</v>
      </c>
      <c r="JX7" s="21">
        <f>IF(JX$1&lt;INDEX('Valo FX'!$Q:$Q,MATCH($A7,'Valo FX'!$A:$A,0)),0,IF(JX$1&lt;INDEX('Valo FX'!$R:$R,MATCH($A7,'Valo FX'!$A:$A,0)),INDEX(Base!$U:$U,MATCH($A7,Base!$A:$A,0)),IF(JX$1=INDEX('Valo FX'!$R:$R,MATCH($A7,'Valo FX'!$A:$A,0)),INDEX(Base!$V:$V,MATCH($A7,Base!$A:$A,0)),0)))</f>
        <v>9.3625100000000003</v>
      </c>
      <c r="JY7" s="21">
        <f>IF(JY$1&lt;INDEX('Valo FX'!$Q:$Q,MATCH($A7,'Valo FX'!$A:$A,0)),0,IF(JY$1&lt;INDEX('Valo FX'!$R:$R,MATCH($A7,'Valo FX'!$A:$A,0)),INDEX(Base!$U:$U,MATCH($A7,Base!$A:$A,0)),IF(JY$1=INDEX('Valo FX'!$R:$R,MATCH($A7,'Valo FX'!$A:$A,0)),INDEX(Base!$V:$V,MATCH($A7,Base!$A:$A,0)),0)))</f>
        <v>9.3625100000000003</v>
      </c>
      <c r="JZ7" s="21">
        <f>IF(JZ$1&lt;INDEX('Valo FX'!$Q:$Q,MATCH($A7,'Valo FX'!$A:$A,0)),0,IF(JZ$1&lt;INDEX('Valo FX'!$R:$R,MATCH($A7,'Valo FX'!$A:$A,0)),INDEX(Base!$U:$U,MATCH($A7,Base!$A:$A,0)),IF(JZ$1=INDEX('Valo FX'!$R:$R,MATCH($A7,'Valo FX'!$A:$A,0)),INDEX(Base!$V:$V,MATCH($A7,Base!$A:$A,0)),0)))</f>
        <v>9.3625100000000003</v>
      </c>
      <c r="KA7" s="21">
        <f>IF(KA$1&lt;INDEX('Valo FX'!$Q:$Q,MATCH($A7,'Valo FX'!$A:$A,0)),0,IF(KA$1&lt;INDEX('Valo FX'!$R:$R,MATCH($A7,'Valo FX'!$A:$A,0)),INDEX(Base!$U:$U,MATCH($A7,Base!$A:$A,0)),IF(KA$1=INDEX('Valo FX'!$R:$R,MATCH($A7,'Valo FX'!$A:$A,0)),INDEX(Base!$V:$V,MATCH($A7,Base!$A:$A,0)),0)))</f>
        <v>9.3625100000000003</v>
      </c>
      <c r="KB7" s="21">
        <f>IF(KB$1&lt;INDEX('Valo FX'!$Q:$Q,MATCH($A7,'Valo FX'!$A:$A,0)),0,IF(KB$1&lt;INDEX('Valo FX'!$R:$R,MATCH($A7,'Valo FX'!$A:$A,0)),INDEX(Base!$U:$U,MATCH($A7,Base!$A:$A,0)),IF(KB$1=INDEX('Valo FX'!$R:$R,MATCH($A7,'Valo FX'!$A:$A,0)),INDEX(Base!$V:$V,MATCH($A7,Base!$A:$A,0)),0)))</f>
        <v>9.3625100000000003</v>
      </c>
      <c r="KC7" s="21">
        <f>IF(KC$1&lt;INDEX('Valo FX'!$Q:$Q,MATCH($A7,'Valo FX'!$A:$A,0)),0,IF(KC$1&lt;INDEX('Valo FX'!$R:$R,MATCH($A7,'Valo FX'!$A:$A,0)),INDEX(Base!$U:$U,MATCH($A7,Base!$A:$A,0)),IF(KC$1=INDEX('Valo FX'!$R:$R,MATCH($A7,'Valo FX'!$A:$A,0)),INDEX(Base!$V:$V,MATCH($A7,Base!$A:$A,0)),0)))</f>
        <v>9.3625100000000003</v>
      </c>
      <c r="KD7" s="21">
        <f>IF(KD$1&lt;INDEX('Valo FX'!$Q:$Q,MATCH($A7,'Valo FX'!$A:$A,0)),0,IF(KD$1&lt;INDEX('Valo FX'!$R:$R,MATCH($A7,'Valo FX'!$A:$A,0)),INDEX(Base!$U:$U,MATCH($A7,Base!$A:$A,0)),IF(KD$1=INDEX('Valo FX'!$R:$R,MATCH($A7,'Valo FX'!$A:$A,0)),INDEX(Base!$V:$V,MATCH($A7,Base!$A:$A,0)),0)))</f>
        <v>9.3625100000000003</v>
      </c>
      <c r="KE7" s="21">
        <f>IF(KE$1&lt;INDEX('Valo FX'!$Q:$Q,MATCH($A7,'Valo FX'!$A:$A,0)),0,IF(KE$1&lt;INDEX('Valo FX'!$R:$R,MATCH($A7,'Valo FX'!$A:$A,0)),INDEX(Base!$U:$U,MATCH($A7,Base!$A:$A,0)),IF(KE$1=INDEX('Valo FX'!$R:$R,MATCH($A7,'Valo FX'!$A:$A,0)),INDEX(Base!$V:$V,MATCH($A7,Base!$A:$A,0)),0)))</f>
        <v>9.3625100000000003</v>
      </c>
      <c r="KF7" s="21">
        <f>IF(KF$1&lt;INDEX('Valo FX'!$Q:$Q,MATCH($A7,'Valo FX'!$A:$A,0)),0,IF(KF$1&lt;INDEX('Valo FX'!$R:$R,MATCH($A7,'Valo FX'!$A:$A,0)),INDEX(Base!$U:$U,MATCH($A7,Base!$A:$A,0)),IF(KF$1=INDEX('Valo FX'!$R:$R,MATCH($A7,'Valo FX'!$A:$A,0)),INDEX(Base!$V:$V,MATCH($A7,Base!$A:$A,0)),0)))</f>
        <v>9.3625100000000003</v>
      </c>
      <c r="KG7" s="21">
        <f>IF(KG$1&lt;INDEX('Valo FX'!$Q:$Q,MATCH($A7,'Valo FX'!$A:$A,0)),0,IF(KG$1&lt;INDEX('Valo FX'!$R:$R,MATCH($A7,'Valo FX'!$A:$A,0)),INDEX(Base!$U:$U,MATCH($A7,Base!$A:$A,0)),IF(KG$1=INDEX('Valo FX'!$R:$R,MATCH($A7,'Valo FX'!$A:$A,0)),INDEX(Base!$V:$V,MATCH($A7,Base!$A:$A,0)),0)))</f>
        <v>9.3625100000000003</v>
      </c>
      <c r="KH7" s="21">
        <f>IF(KH$1&lt;INDEX('Valo FX'!$Q:$Q,MATCH($A7,'Valo FX'!$A:$A,0)),0,IF(KH$1&lt;INDEX('Valo FX'!$R:$R,MATCH($A7,'Valo FX'!$A:$A,0)),INDEX(Base!$U:$U,MATCH($A7,Base!$A:$A,0)),IF(KH$1=INDEX('Valo FX'!$R:$R,MATCH($A7,'Valo FX'!$A:$A,0)),INDEX(Base!$V:$V,MATCH($A7,Base!$A:$A,0)),0)))</f>
        <v>9.3625100000000003</v>
      </c>
      <c r="KI7" s="21">
        <f>IF(KI$1&lt;INDEX('Valo FX'!$Q:$Q,MATCH($A7,'Valo FX'!$A:$A,0)),0,IF(KI$1&lt;INDEX('Valo FX'!$R:$R,MATCH($A7,'Valo FX'!$A:$A,0)),INDEX(Base!$U:$U,MATCH($A7,Base!$A:$A,0)),IF(KI$1=INDEX('Valo FX'!$R:$R,MATCH($A7,'Valo FX'!$A:$A,0)),INDEX(Base!$V:$V,MATCH($A7,Base!$A:$A,0)),0)))</f>
        <v>9.3625100000000003</v>
      </c>
      <c r="KJ7" s="21">
        <f>IF(KJ$1&lt;INDEX('Valo FX'!$Q:$Q,MATCH($A7,'Valo FX'!$A:$A,0)),0,IF(KJ$1&lt;INDEX('Valo FX'!$R:$R,MATCH($A7,'Valo FX'!$A:$A,0)),INDEX(Base!$U:$U,MATCH($A7,Base!$A:$A,0)),IF(KJ$1=INDEX('Valo FX'!$R:$R,MATCH($A7,'Valo FX'!$A:$A,0)),INDEX(Base!$V:$V,MATCH($A7,Base!$A:$A,0)),0)))</f>
        <v>9.3625100000000003</v>
      </c>
      <c r="KK7" s="21">
        <f>IF(KK$1&lt;INDEX('Valo FX'!$Q:$Q,MATCH($A7,'Valo FX'!$A:$A,0)),0,IF(KK$1&lt;INDEX('Valo FX'!$R:$R,MATCH($A7,'Valo FX'!$A:$A,0)),INDEX(Base!$U:$U,MATCH($A7,Base!$A:$A,0)),IF(KK$1=INDEX('Valo FX'!$R:$R,MATCH($A7,'Valo FX'!$A:$A,0)),INDEX(Base!$V:$V,MATCH($A7,Base!$A:$A,0)),0)))</f>
        <v>9.3625100000000003</v>
      </c>
      <c r="KL7" s="21">
        <f>IF(KL$1&lt;INDEX('Valo FX'!$Q:$Q,MATCH($A7,'Valo FX'!$A:$A,0)),0,IF(KL$1&lt;INDEX('Valo FX'!$R:$R,MATCH($A7,'Valo FX'!$A:$A,0)),INDEX(Base!$U:$U,MATCH($A7,Base!$A:$A,0)),IF(KL$1=INDEX('Valo FX'!$R:$R,MATCH($A7,'Valo FX'!$A:$A,0)),INDEX(Base!$V:$V,MATCH($A7,Base!$A:$A,0)),0)))</f>
        <v>9.3625100000000003</v>
      </c>
      <c r="KM7" s="21">
        <f>IF(KM$1&lt;INDEX('Valo FX'!$Q:$Q,MATCH($A7,'Valo FX'!$A:$A,0)),0,IF(KM$1&lt;INDEX('Valo FX'!$R:$R,MATCH($A7,'Valo FX'!$A:$A,0)),INDEX(Base!$U:$U,MATCH($A7,Base!$A:$A,0)),IF(KM$1=INDEX('Valo FX'!$R:$R,MATCH($A7,'Valo FX'!$A:$A,0)),INDEX(Base!$V:$V,MATCH($A7,Base!$A:$A,0)),0)))</f>
        <v>9.3625100000000003</v>
      </c>
      <c r="KN7" s="21">
        <f>IF(KN$1&lt;INDEX('Valo FX'!$Q:$Q,MATCH($A7,'Valo FX'!$A:$A,0)),0,IF(KN$1&lt;INDEX('Valo FX'!$R:$R,MATCH($A7,'Valo FX'!$A:$A,0)),INDEX(Base!$U:$U,MATCH($A7,Base!$A:$A,0)),IF(KN$1=INDEX('Valo FX'!$R:$R,MATCH($A7,'Valo FX'!$A:$A,0)),INDEX(Base!$V:$V,MATCH($A7,Base!$A:$A,0)),0)))</f>
        <v>9.3625100000000003</v>
      </c>
      <c r="KO7" s="21">
        <f>IF(KO$1&lt;INDEX('Valo FX'!$Q:$Q,MATCH($A7,'Valo FX'!$A:$A,0)),0,IF(KO$1&lt;INDEX('Valo FX'!$R:$R,MATCH($A7,'Valo FX'!$A:$A,0)),INDEX(Base!$U:$U,MATCH($A7,Base!$A:$A,0)),IF(KO$1=INDEX('Valo FX'!$R:$R,MATCH($A7,'Valo FX'!$A:$A,0)),INDEX(Base!$V:$V,MATCH($A7,Base!$A:$A,0)),0)))</f>
        <v>9.3625100000000003</v>
      </c>
      <c r="KP7" s="21">
        <f>IF(KP$1&lt;INDEX('Valo FX'!$Q:$Q,MATCH($A7,'Valo FX'!$A:$A,0)),0,IF(KP$1&lt;INDEX('Valo FX'!$R:$R,MATCH($A7,'Valo FX'!$A:$A,0)),INDEX(Base!$U:$U,MATCH($A7,Base!$A:$A,0)),IF(KP$1=INDEX('Valo FX'!$R:$R,MATCH($A7,'Valo FX'!$A:$A,0)),INDEX(Base!$V:$V,MATCH($A7,Base!$A:$A,0)),0)))</f>
        <v>9.3625100000000003</v>
      </c>
      <c r="KQ7" s="21">
        <f>IF(KQ$1&lt;INDEX('Valo FX'!$Q:$Q,MATCH($A7,'Valo FX'!$A:$A,0)),0,IF(KQ$1&lt;INDEX('Valo FX'!$R:$R,MATCH($A7,'Valo FX'!$A:$A,0)),INDEX(Base!$U:$U,MATCH($A7,Base!$A:$A,0)),IF(KQ$1=INDEX('Valo FX'!$R:$R,MATCH($A7,'Valo FX'!$A:$A,0)),INDEX(Base!$V:$V,MATCH($A7,Base!$A:$A,0)),0)))</f>
        <v>9.3625100000000003</v>
      </c>
      <c r="KR7" s="21">
        <f>IF(KR$1&lt;INDEX('Valo FX'!$Q:$Q,MATCH($A7,'Valo FX'!$A:$A,0)),0,IF(KR$1&lt;INDEX('Valo FX'!$R:$R,MATCH($A7,'Valo FX'!$A:$A,0)),INDEX(Base!$U:$U,MATCH($A7,Base!$A:$A,0)),IF(KR$1=INDEX('Valo FX'!$R:$R,MATCH($A7,'Valo FX'!$A:$A,0)),INDEX(Base!$V:$V,MATCH($A7,Base!$A:$A,0)),0)))</f>
        <v>9.3625100000000003</v>
      </c>
      <c r="KS7" s="21">
        <f>IF(KS$1&lt;INDEX('Valo FX'!$Q:$Q,MATCH($A7,'Valo FX'!$A:$A,0)),0,IF(KS$1&lt;INDEX('Valo FX'!$R:$R,MATCH($A7,'Valo FX'!$A:$A,0)),INDEX(Base!$U:$U,MATCH($A7,Base!$A:$A,0)),IF(KS$1=INDEX('Valo FX'!$R:$R,MATCH($A7,'Valo FX'!$A:$A,0)),INDEX(Base!$V:$V,MATCH($A7,Base!$A:$A,0)),0)))</f>
        <v>9.3625100000000003</v>
      </c>
      <c r="KT7" s="21">
        <f>IF(KT$1&lt;INDEX('Valo FX'!$Q:$Q,MATCH($A7,'Valo FX'!$A:$A,0)),0,IF(KT$1&lt;INDEX('Valo FX'!$R:$R,MATCH($A7,'Valo FX'!$A:$A,0)),INDEX(Base!$U:$U,MATCH($A7,Base!$A:$A,0)),IF(KT$1=INDEX('Valo FX'!$R:$R,MATCH($A7,'Valo FX'!$A:$A,0)),INDEX(Base!$V:$V,MATCH($A7,Base!$A:$A,0)),0)))</f>
        <v>9.3625100000000003</v>
      </c>
      <c r="KU7" s="21">
        <f>IF(KU$1&lt;INDEX('Valo FX'!$Q:$Q,MATCH($A7,'Valo FX'!$A:$A,0)),0,IF(KU$1&lt;INDEX('Valo FX'!$R:$R,MATCH($A7,'Valo FX'!$A:$A,0)),INDEX(Base!$U:$U,MATCH($A7,Base!$A:$A,0)),IF(KU$1=INDEX('Valo FX'!$R:$R,MATCH($A7,'Valo FX'!$A:$A,0)),INDEX(Base!$V:$V,MATCH($A7,Base!$A:$A,0)),0)))</f>
        <v>9.3625100000000003</v>
      </c>
      <c r="KV7" s="21">
        <f>IF(KV$1&lt;INDEX('Valo FX'!$Q:$Q,MATCH($A7,'Valo FX'!$A:$A,0)),0,IF(KV$1&lt;INDEX('Valo FX'!$R:$R,MATCH($A7,'Valo FX'!$A:$A,0)),INDEX(Base!$U:$U,MATCH($A7,Base!$A:$A,0)),IF(KV$1=INDEX('Valo FX'!$R:$R,MATCH($A7,'Valo FX'!$A:$A,0)),INDEX(Base!$V:$V,MATCH($A7,Base!$A:$A,0)),0)))</f>
        <v>9.3625100000000003</v>
      </c>
      <c r="KW7" s="21">
        <f>IF(KW$1&lt;INDEX('Valo FX'!$Q:$Q,MATCH($A7,'Valo FX'!$A:$A,0)),0,IF(KW$1&lt;INDEX('Valo FX'!$R:$R,MATCH($A7,'Valo FX'!$A:$A,0)),INDEX(Base!$U:$U,MATCH($A7,Base!$A:$A,0)),IF(KW$1=INDEX('Valo FX'!$R:$R,MATCH($A7,'Valo FX'!$A:$A,0)),INDEX(Base!$V:$V,MATCH($A7,Base!$A:$A,0)),0)))</f>
        <v>9.3625100000000003</v>
      </c>
      <c r="KX7" s="21">
        <f>IF(KX$1&lt;INDEX('Valo FX'!$Q:$Q,MATCH($A7,'Valo FX'!$A:$A,0)),0,IF(KX$1&lt;INDEX('Valo FX'!$R:$R,MATCH($A7,'Valo FX'!$A:$A,0)),INDEX(Base!$U:$U,MATCH($A7,Base!$A:$A,0)),IF(KX$1=INDEX('Valo FX'!$R:$R,MATCH($A7,'Valo FX'!$A:$A,0)),INDEX(Base!$V:$V,MATCH($A7,Base!$A:$A,0)),0)))</f>
        <v>9.3625100000000003</v>
      </c>
      <c r="KY7" s="21">
        <f>IF(KY$1&lt;INDEX('Valo FX'!$Q:$Q,MATCH($A7,'Valo FX'!$A:$A,0)),0,IF(KY$1&lt;INDEX('Valo FX'!$R:$R,MATCH($A7,'Valo FX'!$A:$A,0)),INDEX(Base!$U:$U,MATCH($A7,Base!$A:$A,0)),IF(KY$1=INDEX('Valo FX'!$R:$R,MATCH($A7,'Valo FX'!$A:$A,0)),INDEX(Base!$V:$V,MATCH($A7,Base!$A:$A,0)),0)))</f>
        <v>9.3625100000000003</v>
      </c>
      <c r="KZ7" s="21">
        <f>IF(KZ$1&lt;INDEX('Valo FX'!$Q:$Q,MATCH($A7,'Valo FX'!$A:$A,0)),0,IF(KZ$1&lt;INDEX('Valo FX'!$R:$R,MATCH($A7,'Valo FX'!$A:$A,0)),INDEX(Base!$U:$U,MATCH($A7,Base!$A:$A,0)),IF(KZ$1=INDEX('Valo FX'!$R:$R,MATCH($A7,'Valo FX'!$A:$A,0)),INDEX(Base!$V:$V,MATCH($A7,Base!$A:$A,0)),0)))</f>
        <v>9.3625100000000003</v>
      </c>
      <c r="LA7" s="21">
        <f>IF(LA$1&lt;INDEX('Valo FX'!$Q:$Q,MATCH($A7,'Valo FX'!$A:$A,0)),0,IF(LA$1&lt;INDEX('Valo FX'!$R:$R,MATCH($A7,'Valo FX'!$A:$A,0)),INDEX(Base!$U:$U,MATCH($A7,Base!$A:$A,0)),IF(LA$1=INDEX('Valo FX'!$R:$R,MATCH($A7,'Valo FX'!$A:$A,0)),INDEX(Base!$V:$V,MATCH($A7,Base!$A:$A,0)),0)))</f>
        <v>9.3625100000000003</v>
      </c>
      <c r="LB7" s="21">
        <f>IF(LB$1&lt;INDEX('Valo FX'!$Q:$Q,MATCH($A7,'Valo FX'!$A:$A,0)),0,IF(LB$1&lt;INDEX('Valo FX'!$R:$R,MATCH($A7,'Valo FX'!$A:$A,0)),INDEX(Base!$U:$U,MATCH($A7,Base!$A:$A,0)),IF(LB$1=INDEX('Valo FX'!$R:$R,MATCH($A7,'Valo FX'!$A:$A,0)),INDEX(Base!$V:$V,MATCH($A7,Base!$A:$A,0)),0)))</f>
        <v>9.3625100000000003</v>
      </c>
      <c r="LC7" s="21">
        <f>IF(LC$1&lt;INDEX('Valo FX'!$Q:$Q,MATCH($A7,'Valo FX'!$A:$A,0)),0,IF(LC$1&lt;INDEX('Valo FX'!$R:$R,MATCH($A7,'Valo FX'!$A:$A,0)),INDEX(Base!$U:$U,MATCH($A7,Base!$A:$A,0)),IF(LC$1=INDEX('Valo FX'!$R:$R,MATCH($A7,'Valo FX'!$A:$A,0)),INDEX(Base!$V:$V,MATCH($A7,Base!$A:$A,0)),0)))</f>
        <v>9.3625100000000003</v>
      </c>
      <c r="LD7" s="21">
        <f>IF(LD$1&lt;INDEX('Valo FX'!$Q:$Q,MATCH($A7,'Valo FX'!$A:$A,0)),0,IF(LD$1&lt;INDEX('Valo FX'!$R:$R,MATCH($A7,'Valo FX'!$A:$A,0)),INDEX(Base!$U:$U,MATCH($A7,Base!$A:$A,0)),IF(LD$1=INDEX('Valo FX'!$R:$R,MATCH($A7,'Valo FX'!$A:$A,0)),INDEX(Base!$V:$V,MATCH($A7,Base!$A:$A,0)),0)))</f>
        <v>9.3625100000000003</v>
      </c>
      <c r="LE7" s="21">
        <f>IF(LE$1&lt;INDEX('Valo FX'!$Q:$Q,MATCH($A7,'Valo FX'!$A:$A,0)),0,IF(LE$1&lt;INDEX('Valo FX'!$R:$R,MATCH($A7,'Valo FX'!$A:$A,0)),INDEX(Base!$U:$U,MATCH($A7,Base!$A:$A,0)),IF(LE$1=INDEX('Valo FX'!$R:$R,MATCH($A7,'Valo FX'!$A:$A,0)),INDEX(Base!$V:$V,MATCH($A7,Base!$A:$A,0)),0)))</f>
        <v>9.3625100000000003</v>
      </c>
      <c r="LF7" s="21">
        <f>IF(LF$1&lt;INDEX('Valo FX'!$Q:$Q,MATCH($A7,'Valo FX'!$A:$A,0)),0,IF(LF$1&lt;INDEX('Valo FX'!$R:$R,MATCH($A7,'Valo FX'!$A:$A,0)),INDEX(Base!$U:$U,MATCH($A7,Base!$A:$A,0)),IF(LF$1=INDEX('Valo FX'!$R:$R,MATCH($A7,'Valo FX'!$A:$A,0)),INDEX(Base!$V:$V,MATCH($A7,Base!$A:$A,0)),0)))</f>
        <v>9.3625100000000003</v>
      </c>
      <c r="LG7" s="21">
        <f>IF(LG$1&lt;INDEX('Valo FX'!$Q:$Q,MATCH($A7,'Valo FX'!$A:$A,0)),0,IF(LG$1&lt;INDEX('Valo FX'!$R:$R,MATCH($A7,'Valo FX'!$A:$A,0)),INDEX(Base!$U:$U,MATCH($A7,Base!$A:$A,0)),IF(LG$1=INDEX('Valo FX'!$R:$R,MATCH($A7,'Valo FX'!$A:$A,0)),INDEX(Base!$V:$V,MATCH($A7,Base!$A:$A,0)),0)))</f>
        <v>9.3625100000000003</v>
      </c>
      <c r="LH7" s="21">
        <f>IF(LH$1&lt;INDEX('Valo FX'!$Q:$Q,MATCH($A7,'Valo FX'!$A:$A,0)),0,IF(LH$1&lt;INDEX('Valo FX'!$R:$R,MATCH($A7,'Valo FX'!$A:$A,0)),INDEX(Base!$U:$U,MATCH($A7,Base!$A:$A,0)),IF(LH$1=INDEX('Valo FX'!$R:$R,MATCH($A7,'Valo FX'!$A:$A,0)),INDEX(Base!$V:$V,MATCH($A7,Base!$A:$A,0)),0)))</f>
        <v>9.3625100000000003</v>
      </c>
      <c r="LI7" s="21">
        <f>IF(LI$1&lt;INDEX('Valo FX'!$Q:$Q,MATCH($A7,'Valo FX'!$A:$A,0)),0,IF(LI$1&lt;INDEX('Valo FX'!$R:$R,MATCH($A7,'Valo FX'!$A:$A,0)),INDEX(Base!$U:$U,MATCH($A7,Base!$A:$A,0)),IF(LI$1=INDEX('Valo FX'!$R:$R,MATCH($A7,'Valo FX'!$A:$A,0)),INDEX(Base!$V:$V,MATCH($A7,Base!$A:$A,0)),0)))</f>
        <v>9.3625100000000003</v>
      </c>
      <c r="LJ7" s="21">
        <f>IF(LJ$1&lt;INDEX('Valo FX'!$Q:$Q,MATCH($A7,'Valo FX'!$A:$A,0)),0,IF(LJ$1&lt;INDEX('Valo FX'!$R:$R,MATCH($A7,'Valo FX'!$A:$A,0)),INDEX(Base!$U:$U,MATCH($A7,Base!$A:$A,0)),IF(LJ$1=INDEX('Valo FX'!$R:$R,MATCH($A7,'Valo FX'!$A:$A,0)),INDEX(Base!$V:$V,MATCH($A7,Base!$A:$A,0)),0)))</f>
        <v>9.3625100000000003</v>
      </c>
      <c r="LK7" s="21">
        <f>IF(LK$1&lt;INDEX('Valo FX'!$Q:$Q,MATCH($A7,'Valo FX'!$A:$A,0)),0,IF(LK$1&lt;INDEX('Valo FX'!$R:$R,MATCH($A7,'Valo FX'!$A:$A,0)),INDEX(Base!$U:$U,MATCH($A7,Base!$A:$A,0)),IF(LK$1=INDEX('Valo FX'!$R:$R,MATCH($A7,'Valo FX'!$A:$A,0)),INDEX(Base!$V:$V,MATCH($A7,Base!$A:$A,0)),0)))</f>
        <v>9.3625100000000003</v>
      </c>
      <c r="LL7" s="21">
        <f>IF(LL$1&lt;INDEX('Valo FX'!$Q:$Q,MATCH($A7,'Valo FX'!$A:$A,0)),0,IF(LL$1&lt;INDEX('Valo FX'!$R:$R,MATCH($A7,'Valo FX'!$A:$A,0)),INDEX(Base!$U:$U,MATCH($A7,Base!$A:$A,0)),IF(LL$1=INDEX('Valo FX'!$R:$R,MATCH($A7,'Valo FX'!$A:$A,0)),INDEX(Base!$V:$V,MATCH($A7,Base!$A:$A,0)),0)))</f>
        <v>9.3625100000000003</v>
      </c>
      <c r="LM7" s="21">
        <f>IF(LM$1&lt;INDEX('Valo FX'!$Q:$Q,MATCH($A7,'Valo FX'!$A:$A,0)),0,IF(LM$1&lt;INDEX('Valo FX'!$R:$R,MATCH($A7,'Valo FX'!$A:$A,0)),INDEX(Base!$U:$U,MATCH($A7,Base!$A:$A,0)),IF(LM$1=INDEX('Valo FX'!$R:$R,MATCH($A7,'Valo FX'!$A:$A,0)),INDEX(Base!$V:$V,MATCH($A7,Base!$A:$A,0)),0)))</f>
        <v>9.3625100000000003</v>
      </c>
      <c r="LN7" s="21">
        <f>IF(LN$1&lt;INDEX('Valo FX'!$Q:$Q,MATCH($A7,'Valo FX'!$A:$A,0)),0,IF(LN$1&lt;INDEX('Valo FX'!$R:$R,MATCH($A7,'Valo FX'!$A:$A,0)),INDEX(Base!$U:$U,MATCH($A7,Base!$A:$A,0)),IF(LN$1=INDEX('Valo FX'!$R:$R,MATCH($A7,'Valo FX'!$A:$A,0)),INDEX(Base!$V:$V,MATCH($A7,Base!$A:$A,0)),0)))</f>
        <v>9.3625100000000003</v>
      </c>
      <c r="LO7" s="21">
        <f>IF(LO$1&lt;INDEX('Valo FX'!$Q:$Q,MATCH($A7,'Valo FX'!$A:$A,0)),0,IF(LO$1&lt;INDEX('Valo FX'!$R:$R,MATCH($A7,'Valo FX'!$A:$A,0)),INDEX(Base!$U:$U,MATCH($A7,Base!$A:$A,0)),IF(LO$1=INDEX('Valo FX'!$R:$R,MATCH($A7,'Valo FX'!$A:$A,0)),INDEX(Base!$V:$V,MATCH($A7,Base!$A:$A,0)),0)))</f>
        <v>9.3625100000000003</v>
      </c>
      <c r="LP7" s="21">
        <f>IF(LP$1&lt;INDEX('Valo FX'!$Q:$Q,MATCH($A7,'Valo FX'!$A:$A,0)),0,IF(LP$1&lt;INDEX('Valo FX'!$R:$R,MATCH($A7,'Valo FX'!$A:$A,0)),INDEX(Base!$U:$U,MATCH($A7,Base!$A:$A,0)),IF(LP$1=INDEX('Valo FX'!$R:$R,MATCH($A7,'Valo FX'!$A:$A,0)),INDEX(Base!$V:$V,MATCH($A7,Base!$A:$A,0)),0)))</f>
        <v>9.3625100000000003</v>
      </c>
      <c r="LQ7" s="21">
        <f>IF(LQ$1&lt;INDEX('Valo FX'!$Q:$Q,MATCH($A7,'Valo FX'!$A:$A,0)),0,IF(LQ$1&lt;INDEX('Valo FX'!$R:$R,MATCH($A7,'Valo FX'!$A:$A,0)),INDEX(Base!$U:$U,MATCH($A7,Base!$A:$A,0)),IF(LQ$1=INDEX('Valo FX'!$R:$R,MATCH($A7,'Valo FX'!$A:$A,0)),INDEX(Base!$V:$V,MATCH($A7,Base!$A:$A,0)),0)))</f>
        <v>9.3625100000000003</v>
      </c>
      <c r="LR7" s="21">
        <f>IF(LR$1&lt;INDEX('Valo FX'!$Q:$Q,MATCH($A7,'Valo FX'!$A:$A,0)),0,IF(LR$1&lt;INDEX('Valo FX'!$R:$R,MATCH($A7,'Valo FX'!$A:$A,0)),INDEX(Base!$U:$U,MATCH($A7,Base!$A:$A,0)),IF(LR$1=INDEX('Valo FX'!$R:$R,MATCH($A7,'Valo FX'!$A:$A,0)),INDEX(Base!$V:$V,MATCH($A7,Base!$A:$A,0)),0)))</f>
        <v>9.3625100000000003</v>
      </c>
      <c r="LS7" s="21">
        <f>IF(LS$1&lt;INDEX('Valo FX'!$Q:$Q,MATCH($A7,'Valo FX'!$A:$A,0)),0,IF(LS$1&lt;INDEX('Valo FX'!$R:$R,MATCH($A7,'Valo FX'!$A:$A,0)),INDEX(Base!$U:$U,MATCH($A7,Base!$A:$A,0)),IF(LS$1=INDEX('Valo FX'!$R:$R,MATCH($A7,'Valo FX'!$A:$A,0)),INDEX(Base!$V:$V,MATCH($A7,Base!$A:$A,0)),0)))</f>
        <v>9.3625100000000003</v>
      </c>
      <c r="LT7" s="21">
        <f>IF(LT$1&lt;INDEX('Valo FX'!$Q:$Q,MATCH($A7,'Valo FX'!$A:$A,0)),0,IF(LT$1&lt;INDEX('Valo FX'!$R:$R,MATCH($A7,'Valo FX'!$A:$A,0)),INDEX(Base!$U:$U,MATCH($A7,Base!$A:$A,0)),IF(LT$1=INDEX('Valo FX'!$R:$R,MATCH($A7,'Valo FX'!$A:$A,0)),INDEX(Base!$V:$V,MATCH($A7,Base!$A:$A,0)),0)))</f>
        <v>9.3625100000000003</v>
      </c>
      <c r="LU7" s="21">
        <f>IF(LU$1&lt;INDEX('Valo FX'!$Q:$Q,MATCH($A7,'Valo FX'!$A:$A,0)),0,IF(LU$1&lt;INDEX('Valo FX'!$R:$R,MATCH($A7,'Valo FX'!$A:$A,0)),INDEX(Base!$U:$U,MATCH($A7,Base!$A:$A,0)),IF(LU$1=INDEX('Valo FX'!$R:$R,MATCH($A7,'Valo FX'!$A:$A,0)),INDEX(Base!$V:$V,MATCH($A7,Base!$A:$A,0)),0)))</f>
        <v>9.3625100000000003</v>
      </c>
      <c r="LV7" s="21">
        <f>IF(LV$1&lt;INDEX('Valo FX'!$Q:$Q,MATCH($A7,'Valo FX'!$A:$A,0)),0,IF(LV$1&lt;INDEX('Valo FX'!$R:$R,MATCH($A7,'Valo FX'!$A:$A,0)),INDEX(Base!$U:$U,MATCH($A7,Base!$A:$A,0)),IF(LV$1=INDEX('Valo FX'!$R:$R,MATCH($A7,'Valo FX'!$A:$A,0)),INDEX(Base!$V:$V,MATCH($A7,Base!$A:$A,0)),0)))</f>
        <v>9.3625100000000003</v>
      </c>
      <c r="LW7" s="21">
        <f>IF(LW$1&lt;INDEX('Valo FX'!$Q:$Q,MATCH($A7,'Valo FX'!$A:$A,0)),0,IF(LW$1&lt;INDEX('Valo FX'!$R:$R,MATCH($A7,'Valo FX'!$A:$A,0)),INDEX(Base!$U:$U,MATCH($A7,Base!$A:$A,0)),IF(LW$1=INDEX('Valo FX'!$R:$R,MATCH($A7,'Valo FX'!$A:$A,0)),INDEX(Base!$V:$V,MATCH($A7,Base!$A:$A,0)),0)))</f>
        <v>9.3625100000000003</v>
      </c>
      <c r="LX7" s="21">
        <f>IF(LX$1&lt;INDEX('Valo FX'!$Q:$Q,MATCH($A7,'Valo FX'!$A:$A,0)),0,IF(LX$1&lt;INDEX('Valo FX'!$R:$R,MATCH($A7,'Valo FX'!$A:$A,0)),INDEX(Base!$U:$U,MATCH($A7,Base!$A:$A,0)),IF(LX$1=INDEX('Valo FX'!$R:$R,MATCH($A7,'Valo FX'!$A:$A,0)),INDEX(Base!$V:$V,MATCH($A7,Base!$A:$A,0)),0)))</f>
        <v>9.3625100000000003</v>
      </c>
      <c r="LY7" s="21">
        <f>IF(LY$1&lt;INDEX('Valo FX'!$Q:$Q,MATCH($A7,'Valo FX'!$A:$A,0)),0,IF(LY$1&lt;INDEX('Valo FX'!$R:$R,MATCH($A7,'Valo FX'!$A:$A,0)),INDEX(Base!$U:$U,MATCH($A7,Base!$A:$A,0)),IF(LY$1=INDEX('Valo FX'!$R:$R,MATCH($A7,'Valo FX'!$A:$A,0)),INDEX(Base!$V:$V,MATCH($A7,Base!$A:$A,0)),0)))</f>
        <v>9.3625100000000003</v>
      </c>
      <c r="LZ7" s="21">
        <f>IF(LZ$1&lt;INDEX('Valo FX'!$Q:$Q,MATCH($A7,'Valo FX'!$A:$A,0)),0,IF(LZ$1&lt;INDEX('Valo FX'!$R:$R,MATCH($A7,'Valo FX'!$A:$A,0)),INDEX(Base!$U:$U,MATCH($A7,Base!$A:$A,0)),IF(LZ$1=INDEX('Valo FX'!$R:$R,MATCH($A7,'Valo FX'!$A:$A,0)),INDEX(Base!$V:$V,MATCH($A7,Base!$A:$A,0)),0)))</f>
        <v>9.3625100000000003</v>
      </c>
      <c r="MA7" s="21">
        <f>IF(MA$1&lt;INDEX('Valo FX'!$Q:$Q,MATCH($A7,'Valo FX'!$A:$A,0)),0,IF(MA$1&lt;INDEX('Valo FX'!$R:$R,MATCH($A7,'Valo FX'!$A:$A,0)),INDEX(Base!$U:$U,MATCH($A7,Base!$A:$A,0)),IF(MA$1=INDEX('Valo FX'!$R:$R,MATCH($A7,'Valo FX'!$A:$A,0)),INDEX(Base!$V:$V,MATCH($A7,Base!$A:$A,0)),0)))</f>
        <v>9.3625100000000003</v>
      </c>
      <c r="MB7" s="21">
        <f>IF(MB$1&lt;INDEX('Valo FX'!$Q:$Q,MATCH($A7,'Valo FX'!$A:$A,0)),0,IF(MB$1&lt;INDEX('Valo FX'!$R:$R,MATCH($A7,'Valo FX'!$A:$A,0)),INDEX(Base!$U:$U,MATCH($A7,Base!$A:$A,0)),IF(MB$1=INDEX('Valo FX'!$R:$R,MATCH($A7,'Valo FX'!$A:$A,0)),INDEX(Base!$V:$V,MATCH($A7,Base!$A:$A,0)),0)))</f>
        <v>9.3625100000000003</v>
      </c>
      <c r="MC7" s="21">
        <f>IF(MC$1&lt;INDEX('Valo FX'!$Q:$Q,MATCH($A7,'Valo FX'!$A:$A,0)),0,IF(MC$1&lt;INDEX('Valo FX'!$R:$R,MATCH($A7,'Valo FX'!$A:$A,0)),INDEX(Base!$U:$U,MATCH($A7,Base!$A:$A,0)),IF(MC$1=INDEX('Valo FX'!$R:$R,MATCH($A7,'Valo FX'!$A:$A,0)),INDEX(Base!$V:$V,MATCH($A7,Base!$A:$A,0)),0)))</f>
        <v>9.3625100000000003</v>
      </c>
      <c r="MD7" s="21">
        <f>IF(MD$1&lt;INDEX('Valo FX'!$Q:$Q,MATCH($A7,'Valo FX'!$A:$A,0)),0,IF(MD$1&lt;INDEX('Valo FX'!$R:$R,MATCH($A7,'Valo FX'!$A:$A,0)),INDEX(Base!$U:$U,MATCH($A7,Base!$A:$A,0)),IF(MD$1=INDEX('Valo FX'!$R:$R,MATCH($A7,'Valo FX'!$A:$A,0)),INDEX(Base!$V:$V,MATCH($A7,Base!$A:$A,0)),0)))</f>
        <v>9.3625100000000003</v>
      </c>
      <c r="ME7" s="21">
        <f>IF(ME$1&lt;INDEX('Valo FX'!$Q:$Q,MATCH($A7,'Valo FX'!$A:$A,0)),0,IF(ME$1&lt;INDEX('Valo FX'!$R:$R,MATCH($A7,'Valo FX'!$A:$A,0)),INDEX(Base!$U:$U,MATCH($A7,Base!$A:$A,0)),IF(ME$1=INDEX('Valo FX'!$R:$R,MATCH($A7,'Valo FX'!$A:$A,0)),INDEX(Base!$V:$V,MATCH($A7,Base!$A:$A,0)),0)))</f>
        <v>9.3625100000000003</v>
      </c>
      <c r="MF7" s="21">
        <f>IF(MF$1&lt;INDEX('Valo FX'!$Q:$Q,MATCH($A7,'Valo FX'!$A:$A,0)),0,IF(MF$1&lt;INDEX('Valo FX'!$R:$R,MATCH($A7,'Valo FX'!$A:$A,0)),INDEX(Base!$U:$U,MATCH($A7,Base!$A:$A,0)),IF(MF$1=INDEX('Valo FX'!$R:$R,MATCH($A7,'Valo FX'!$A:$A,0)),INDEX(Base!$V:$V,MATCH($A7,Base!$A:$A,0)),0)))</f>
        <v>9.3625100000000003</v>
      </c>
      <c r="MG7" s="21">
        <f>IF(MG$1&lt;INDEX('Valo FX'!$Q:$Q,MATCH($A7,'Valo FX'!$A:$A,0)),0,IF(MG$1&lt;INDEX('Valo FX'!$R:$R,MATCH($A7,'Valo FX'!$A:$A,0)),INDEX(Base!$U:$U,MATCH($A7,Base!$A:$A,0)),IF(MG$1=INDEX('Valo FX'!$R:$R,MATCH($A7,'Valo FX'!$A:$A,0)),INDEX(Base!$V:$V,MATCH($A7,Base!$A:$A,0)),0)))</f>
        <v>9.3625100000000003</v>
      </c>
      <c r="MH7" s="21">
        <f>IF(MH$1&lt;INDEX('Valo FX'!$Q:$Q,MATCH($A7,'Valo FX'!$A:$A,0)),0,IF(MH$1&lt;INDEX('Valo FX'!$R:$R,MATCH($A7,'Valo FX'!$A:$A,0)),INDEX(Base!$U:$U,MATCH($A7,Base!$A:$A,0)),IF(MH$1=INDEX('Valo FX'!$R:$R,MATCH($A7,'Valo FX'!$A:$A,0)),INDEX(Base!$V:$V,MATCH($A7,Base!$A:$A,0)),0)))</f>
        <v>9.3625100000000003</v>
      </c>
      <c r="MI7" s="21">
        <f>IF(MI$1&lt;INDEX('Valo FX'!$Q:$Q,MATCH($A7,'Valo FX'!$A:$A,0)),0,IF(MI$1&lt;INDEX('Valo FX'!$R:$R,MATCH($A7,'Valo FX'!$A:$A,0)),INDEX(Base!$U:$U,MATCH($A7,Base!$A:$A,0)),IF(MI$1=INDEX('Valo FX'!$R:$R,MATCH($A7,'Valo FX'!$A:$A,0)),INDEX(Base!$V:$V,MATCH($A7,Base!$A:$A,0)),0)))</f>
        <v>9.3625100000000003</v>
      </c>
      <c r="MJ7" s="21">
        <f>IF(MJ$1&lt;INDEX('Valo FX'!$Q:$Q,MATCH($A7,'Valo FX'!$A:$A,0)),0,IF(MJ$1&lt;INDEX('Valo FX'!$R:$R,MATCH($A7,'Valo FX'!$A:$A,0)),INDEX(Base!$U:$U,MATCH($A7,Base!$A:$A,0)),IF(MJ$1=INDEX('Valo FX'!$R:$R,MATCH($A7,'Valo FX'!$A:$A,0)),INDEX(Base!$V:$V,MATCH($A7,Base!$A:$A,0)),0)))</f>
        <v>9.3625100000000003</v>
      </c>
      <c r="MK7" s="21">
        <f>IF(MK$1&lt;INDEX('Valo FX'!$Q:$Q,MATCH($A7,'Valo FX'!$A:$A,0)),0,IF(MK$1&lt;INDEX('Valo FX'!$R:$R,MATCH($A7,'Valo FX'!$A:$A,0)),INDEX(Base!$U:$U,MATCH($A7,Base!$A:$A,0)),IF(MK$1=INDEX('Valo FX'!$R:$R,MATCH($A7,'Valo FX'!$A:$A,0)),INDEX(Base!$V:$V,MATCH($A7,Base!$A:$A,0)),0)))</f>
        <v>9.3625100000000003</v>
      </c>
      <c r="ML7" s="21">
        <f>IF(ML$1&lt;INDEX('Valo FX'!$Q:$Q,MATCH($A7,'Valo FX'!$A:$A,0)),0,IF(ML$1&lt;INDEX('Valo FX'!$R:$R,MATCH($A7,'Valo FX'!$A:$A,0)),INDEX(Base!$U:$U,MATCH($A7,Base!$A:$A,0)),IF(ML$1=INDEX('Valo FX'!$R:$R,MATCH($A7,'Valo FX'!$A:$A,0)),INDEX(Base!$V:$V,MATCH($A7,Base!$A:$A,0)),0)))</f>
        <v>9.3625100000000003</v>
      </c>
      <c r="MM7" s="21">
        <f>IF(MM$1&lt;INDEX('Valo FX'!$Q:$Q,MATCH($A7,'Valo FX'!$A:$A,0)),0,IF(MM$1&lt;INDEX('Valo FX'!$R:$R,MATCH($A7,'Valo FX'!$A:$A,0)),INDEX(Base!$U:$U,MATCH($A7,Base!$A:$A,0)),IF(MM$1=INDEX('Valo FX'!$R:$R,MATCH($A7,'Valo FX'!$A:$A,0)),INDEX(Base!$V:$V,MATCH($A7,Base!$A:$A,0)),0)))</f>
        <v>9.3625100000000003</v>
      </c>
      <c r="MN7" s="21">
        <f>IF(MN$1&lt;INDEX('Valo FX'!$Q:$Q,MATCH($A7,'Valo FX'!$A:$A,0)),0,IF(MN$1&lt;INDEX('Valo FX'!$R:$R,MATCH($A7,'Valo FX'!$A:$A,0)),INDEX(Base!$U:$U,MATCH($A7,Base!$A:$A,0)),IF(MN$1=INDEX('Valo FX'!$R:$R,MATCH($A7,'Valo FX'!$A:$A,0)),INDEX(Base!$V:$V,MATCH($A7,Base!$A:$A,0)),0)))</f>
        <v>9.3625100000000003</v>
      </c>
      <c r="MO7" s="21">
        <f>IF(MO$1&lt;INDEX('Valo FX'!$Q:$Q,MATCH($A7,'Valo FX'!$A:$A,0)),0,IF(MO$1&lt;INDEX('Valo FX'!$R:$R,MATCH($A7,'Valo FX'!$A:$A,0)),INDEX(Base!$U:$U,MATCH($A7,Base!$A:$A,0)),IF(MO$1=INDEX('Valo FX'!$R:$R,MATCH($A7,'Valo FX'!$A:$A,0)),INDEX(Base!$V:$V,MATCH($A7,Base!$A:$A,0)),0)))</f>
        <v>9.3625100000000003</v>
      </c>
      <c r="MP7" s="21">
        <f>IF(MP$1&lt;INDEX('Valo FX'!$Q:$Q,MATCH($A7,'Valo FX'!$A:$A,0)),0,IF(MP$1&lt;INDEX('Valo FX'!$R:$R,MATCH($A7,'Valo FX'!$A:$A,0)),INDEX(Base!$U:$U,MATCH($A7,Base!$A:$A,0)),IF(MP$1=INDEX('Valo FX'!$R:$R,MATCH($A7,'Valo FX'!$A:$A,0)),INDEX(Base!$V:$V,MATCH($A7,Base!$A:$A,0)),0)))</f>
        <v>9.3625100000000003</v>
      </c>
      <c r="MQ7" s="21">
        <f>IF(MQ$1&lt;INDEX('Valo FX'!$Q:$Q,MATCH($A7,'Valo FX'!$A:$A,0)),0,IF(MQ$1&lt;INDEX('Valo FX'!$R:$R,MATCH($A7,'Valo FX'!$A:$A,0)),INDEX(Base!$U:$U,MATCH($A7,Base!$A:$A,0)),IF(MQ$1=INDEX('Valo FX'!$R:$R,MATCH($A7,'Valo FX'!$A:$A,0)),INDEX(Base!$V:$V,MATCH($A7,Base!$A:$A,0)),0)))</f>
        <v>9.3625100000000003</v>
      </c>
      <c r="MR7" s="21">
        <f>IF(MR$1&lt;INDEX('Valo FX'!$Q:$Q,MATCH($A7,'Valo FX'!$A:$A,0)),0,IF(MR$1&lt;INDEX('Valo FX'!$R:$R,MATCH($A7,'Valo FX'!$A:$A,0)),INDEX(Base!$U:$U,MATCH($A7,Base!$A:$A,0)),IF(MR$1=INDEX('Valo FX'!$R:$R,MATCH($A7,'Valo FX'!$A:$A,0)),INDEX(Base!$V:$V,MATCH($A7,Base!$A:$A,0)),0)))</f>
        <v>9.3625100000000003</v>
      </c>
      <c r="MS7" s="21">
        <f>IF(MS$1&lt;INDEX('Valo FX'!$Q:$Q,MATCH($A7,'Valo FX'!$A:$A,0)),0,IF(MS$1&lt;INDEX('Valo FX'!$R:$R,MATCH($A7,'Valo FX'!$A:$A,0)),INDEX(Base!$U:$U,MATCH($A7,Base!$A:$A,0)),IF(MS$1=INDEX('Valo FX'!$R:$R,MATCH($A7,'Valo FX'!$A:$A,0)),INDEX(Base!$V:$V,MATCH($A7,Base!$A:$A,0)),0)))</f>
        <v>9.3625100000000003</v>
      </c>
      <c r="MT7" s="21">
        <f>IF(MT$1&lt;INDEX('Valo FX'!$Q:$Q,MATCH($A7,'Valo FX'!$A:$A,0)),0,IF(MT$1&lt;INDEX('Valo FX'!$R:$R,MATCH($A7,'Valo FX'!$A:$A,0)),INDEX(Base!$U:$U,MATCH($A7,Base!$A:$A,0)),IF(MT$1=INDEX('Valo FX'!$R:$R,MATCH($A7,'Valo FX'!$A:$A,0)),INDEX(Base!$V:$V,MATCH($A7,Base!$A:$A,0)),0)))</f>
        <v>9.3625100000000003</v>
      </c>
      <c r="MU7" s="21">
        <f>IF(MU$1&lt;INDEX('Valo FX'!$Q:$Q,MATCH($A7,'Valo FX'!$A:$A,0)),0,IF(MU$1&lt;INDEX('Valo FX'!$R:$R,MATCH($A7,'Valo FX'!$A:$A,0)),INDEX(Base!$U:$U,MATCH($A7,Base!$A:$A,0)),IF(MU$1=INDEX('Valo FX'!$R:$R,MATCH($A7,'Valo FX'!$A:$A,0)),INDEX(Base!$V:$V,MATCH($A7,Base!$A:$A,0)),0)))</f>
        <v>9.3625100000000003</v>
      </c>
      <c r="MV7" s="21">
        <f>IF(MV$1&lt;INDEX('Valo FX'!$Q:$Q,MATCH($A7,'Valo FX'!$A:$A,0)),0,IF(MV$1&lt;INDEX('Valo FX'!$R:$R,MATCH($A7,'Valo FX'!$A:$A,0)),INDEX(Base!$U:$U,MATCH($A7,Base!$A:$A,0)),IF(MV$1=INDEX('Valo FX'!$R:$R,MATCH($A7,'Valo FX'!$A:$A,0)),INDEX(Base!$V:$V,MATCH($A7,Base!$A:$A,0)),0)))</f>
        <v>9.3625100000000003</v>
      </c>
      <c r="MW7" s="21">
        <f>IF(MW$1&lt;INDEX('Valo FX'!$Q:$Q,MATCH($A7,'Valo FX'!$A:$A,0)),0,IF(MW$1&lt;INDEX('Valo FX'!$R:$R,MATCH($A7,'Valo FX'!$A:$A,0)),INDEX(Base!$U:$U,MATCH($A7,Base!$A:$A,0)),IF(MW$1=INDEX('Valo FX'!$R:$R,MATCH($A7,'Valo FX'!$A:$A,0)),INDEX(Base!$V:$V,MATCH($A7,Base!$A:$A,0)),0)))</f>
        <v>9.3625100000000003</v>
      </c>
      <c r="MX7" s="21">
        <f>IF(MX$1&lt;INDEX('Valo FX'!$Q:$Q,MATCH($A7,'Valo FX'!$A:$A,0)),0,IF(MX$1&lt;INDEX('Valo FX'!$R:$R,MATCH($A7,'Valo FX'!$A:$A,0)),INDEX(Base!$U:$U,MATCH($A7,Base!$A:$A,0)),IF(MX$1=INDEX('Valo FX'!$R:$R,MATCH($A7,'Valo FX'!$A:$A,0)),INDEX(Base!$V:$V,MATCH($A7,Base!$A:$A,0)),0)))</f>
        <v>10.127084999999999</v>
      </c>
      <c r="MY7" s="21">
        <f>IF(MY$1&lt;INDEX('Valo FX'!$Q:$Q,MATCH($A7,'Valo FX'!$A:$A,0)),0,IF(MY$1&lt;INDEX('Valo FX'!$R:$R,MATCH($A7,'Valo FX'!$A:$A,0)),INDEX(Base!$U:$U,MATCH($A7,Base!$A:$A,0)),IF(MY$1=INDEX('Valo FX'!$R:$R,MATCH($A7,'Valo FX'!$A:$A,0)),INDEX(Base!$V:$V,MATCH($A7,Base!$A:$A,0)),0)))</f>
        <v>0</v>
      </c>
    </row>
    <row r="8" spans="1:363" x14ac:dyDescent="0.25">
      <c r="A8" s="7">
        <f>+'Valo FX'!A9</f>
        <v>6</v>
      </c>
      <c r="B8" s="59">
        <f>-'Valo FX'!T9</f>
        <v>-932.71930915983853</v>
      </c>
      <c r="C8" s="21">
        <f>IF(C$1&lt;INDEX('Valo FX'!$Q:$Q,MATCH($A8,'Valo FX'!$A:$A,0)),0,IF(C$1&lt;INDEX('Valo FX'!$R:$R,MATCH($A8,'Valo FX'!$A:$A,0)),INDEX(Base!$U:$U,MATCH($A8,Base!$A:$A,0)),IF(C$1=INDEX('Valo FX'!$R:$R,MATCH($A8,'Valo FX'!$A:$A,0)),INDEX(Base!$V:$V,MATCH($A8,Base!$A:$A,0)),0)))</f>
        <v>0</v>
      </c>
      <c r="D8" s="21">
        <f>IF(D$1&lt;INDEX('Valo FX'!$Q:$Q,MATCH($A8,'Valo FX'!$A:$A,0)),0,IF(D$1&lt;INDEX('Valo FX'!$R:$R,MATCH($A8,'Valo FX'!$A:$A,0)),INDEX(Base!$U:$U,MATCH($A8,Base!$A:$A,0)),IF(D$1=INDEX('Valo FX'!$R:$R,MATCH($A8,'Valo FX'!$A:$A,0)),INDEX(Base!$V:$V,MATCH($A8,Base!$A:$A,0)),0)))</f>
        <v>0</v>
      </c>
      <c r="E8" s="21">
        <f>IF(E$1&lt;INDEX('Valo FX'!$Q:$Q,MATCH($A8,'Valo FX'!$A:$A,0)),0,IF(E$1&lt;INDEX('Valo FX'!$R:$R,MATCH($A8,'Valo FX'!$A:$A,0)),INDEX(Base!$U:$U,MATCH($A8,Base!$A:$A,0)),IF(E$1=INDEX('Valo FX'!$R:$R,MATCH($A8,'Valo FX'!$A:$A,0)),INDEX(Base!$V:$V,MATCH($A8,Base!$A:$A,0)),0)))</f>
        <v>0</v>
      </c>
      <c r="F8" s="21">
        <f>IF(F$1&lt;INDEX('Valo FX'!$Q:$Q,MATCH($A8,'Valo FX'!$A:$A,0)),0,IF(F$1&lt;INDEX('Valo FX'!$R:$R,MATCH($A8,'Valo FX'!$A:$A,0)),INDEX(Base!$U:$U,MATCH($A8,Base!$A:$A,0)),IF(F$1=INDEX('Valo FX'!$R:$R,MATCH($A8,'Valo FX'!$A:$A,0)),INDEX(Base!$V:$V,MATCH($A8,Base!$A:$A,0)),0)))</f>
        <v>0</v>
      </c>
      <c r="G8" s="21">
        <f>IF(G$1&lt;INDEX('Valo FX'!$Q:$Q,MATCH($A8,'Valo FX'!$A:$A,0)),0,IF(G$1&lt;INDEX('Valo FX'!$R:$R,MATCH($A8,'Valo FX'!$A:$A,0)),INDEX(Base!$U:$U,MATCH($A8,Base!$A:$A,0)),IF(G$1=INDEX('Valo FX'!$R:$R,MATCH($A8,'Valo FX'!$A:$A,0)),INDEX(Base!$V:$V,MATCH($A8,Base!$A:$A,0)),0)))</f>
        <v>0</v>
      </c>
      <c r="H8" s="21">
        <f>IF(H$1&lt;INDEX('Valo FX'!$Q:$Q,MATCH($A8,'Valo FX'!$A:$A,0)),0,IF(H$1&lt;INDEX('Valo FX'!$R:$R,MATCH($A8,'Valo FX'!$A:$A,0)),INDEX(Base!$U:$U,MATCH($A8,Base!$A:$A,0)),IF(H$1=INDEX('Valo FX'!$R:$R,MATCH($A8,'Valo FX'!$A:$A,0)),INDEX(Base!$V:$V,MATCH($A8,Base!$A:$A,0)),0)))</f>
        <v>8.8259229999999995</v>
      </c>
      <c r="I8" s="21">
        <f>IF(I$1&lt;INDEX('Valo FX'!$Q:$Q,MATCH($A8,'Valo FX'!$A:$A,0)),0,IF(I$1&lt;INDEX('Valo FX'!$R:$R,MATCH($A8,'Valo FX'!$A:$A,0)),INDEX(Base!$U:$U,MATCH($A8,Base!$A:$A,0)),IF(I$1=INDEX('Valo FX'!$R:$R,MATCH($A8,'Valo FX'!$A:$A,0)),INDEX(Base!$V:$V,MATCH($A8,Base!$A:$A,0)),0)))</f>
        <v>8.8259229999999995</v>
      </c>
      <c r="J8" s="21">
        <f>IF(J$1&lt;INDEX('Valo FX'!$Q:$Q,MATCH($A8,'Valo FX'!$A:$A,0)),0,IF(J$1&lt;INDEX('Valo FX'!$R:$R,MATCH($A8,'Valo FX'!$A:$A,0)),INDEX(Base!$U:$U,MATCH($A8,Base!$A:$A,0)),IF(J$1=INDEX('Valo FX'!$R:$R,MATCH($A8,'Valo FX'!$A:$A,0)),INDEX(Base!$V:$V,MATCH($A8,Base!$A:$A,0)),0)))</f>
        <v>8.8259229999999995</v>
      </c>
      <c r="K8" s="21">
        <f>IF(K$1&lt;INDEX('Valo FX'!$Q:$Q,MATCH($A8,'Valo FX'!$A:$A,0)),0,IF(K$1&lt;INDEX('Valo FX'!$R:$R,MATCH($A8,'Valo FX'!$A:$A,0)),INDEX(Base!$U:$U,MATCH($A8,Base!$A:$A,0)),IF(K$1=INDEX('Valo FX'!$R:$R,MATCH($A8,'Valo FX'!$A:$A,0)),INDEX(Base!$V:$V,MATCH($A8,Base!$A:$A,0)),0)))</f>
        <v>8.8259229999999995</v>
      </c>
      <c r="L8" s="21">
        <f>IF(L$1&lt;INDEX('Valo FX'!$Q:$Q,MATCH($A8,'Valo FX'!$A:$A,0)),0,IF(L$1&lt;INDEX('Valo FX'!$R:$R,MATCH($A8,'Valo FX'!$A:$A,0)),INDEX(Base!$U:$U,MATCH($A8,Base!$A:$A,0)),IF(L$1=INDEX('Valo FX'!$R:$R,MATCH($A8,'Valo FX'!$A:$A,0)),INDEX(Base!$V:$V,MATCH($A8,Base!$A:$A,0)),0)))</f>
        <v>8.8259229999999995</v>
      </c>
      <c r="M8" s="21">
        <f>IF(M$1&lt;INDEX('Valo FX'!$Q:$Q,MATCH($A8,'Valo FX'!$A:$A,0)),0,IF(M$1&lt;INDEX('Valo FX'!$R:$R,MATCH($A8,'Valo FX'!$A:$A,0)),INDEX(Base!$U:$U,MATCH($A8,Base!$A:$A,0)),IF(M$1=INDEX('Valo FX'!$R:$R,MATCH($A8,'Valo FX'!$A:$A,0)),INDEX(Base!$V:$V,MATCH($A8,Base!$A:$A,0)),0)))</f>
        <v>8.8259229999999995</v>
      </c>
      <c r="N8" s="21">
        <f>IF(N$1&lt;INDEX('Valo FX'!$Q:$Q,MATCH($A8,'Valo FX'!$A:$A,0)),0,IF(N$1&lt;INDEX('Valo FX'!$R:$R,MATCH($A8,'Valo FX'!$A:$A,0)),INDEX(Base!$U:$U,MATCH($A8,Base!$A:$A,0)),IF(N$1=INDEX('Valo FX'!$R:$R,MATCH($A8,'Valo FX'!$A:$A,0)),INDEX(Base!$V:$V,MATCH($A8,Base!$A:$A,0)),0)))</f>
        <v>8.8259229999999995</v>
      </c>
      <c r="O8" s="21">
        <f>IF(O$1&lt;INDEX('Valo FX'!$Q:$Q,MATCH($A8,'Valo FX'!$A:$A,0)),0,IF(O$1&lt;INDEX('Valo FX'!$R:$R,MATCH($A8,'Valo FX'!$A:$A,0)),INDEX(Base!$U:$U,MATCH($A8,Base!$A:$A,0)),IF(O$1=INDEX('Valo FX'!$R:$R,MATCH($A8,'Valo FX'!$A:$A,0)),INDEX(Base!$V:$V,MATCH($A8,Base!$A:$A,0)),0)))</f>
        <v>8.8259229999999995</v>
      </c>
      <c r="P8" s="21">
        <f>IF(P$1&lt;INDEX('Valo FX'!$Q:$Q,MATCH($A8,'Valo FX'!$A:$A,0)),0,IF(P$1&lt;INDEX('Valo FX'!$R:$R,MATCH($A8,'Valo FX'!$A:$A,0)),INDEX(Base!$U:$U,MATCH($A8,Base!$A:$A,0)),IF(P$1=INDEX('Valo FX'!$R:$R,MATCH($A8,'Valo FX'!$A:$A,0)),INDEX(Base!$V:$V,MATCH($A8,Base!$A:$A,0)),0)))</f>
        <v>8.8259229999999995</v>
      </c>
      <c r="Q8" s="21">
        <f>IF(Q$1&lt;INDEX('Valo FX'!$Q:$Q,MATCH($A8,'Valo FX'!$A:$A,0)),0,IF(Q$1&lt;INDEX('Valo FX'!$R:$R,MATCH($A8,'Valo FX'!$A:$A,0)),INDEX(Base!$U:$U,MATCH($A8,Base!$A:$A,0)),IF(Q$1=INDEX('Valo FX'!$R:$R,MATCH($A8,'Valo FX'!$A:$A,0)),INDEX(Base!$V:$V,MATCH($A8,Base!$A:$A,0)),0)))</f>
        <v>8.8259229999999995</v>
      </c>
      <c r="R8" s="21">
        <f>IF(R$1&lt;INDEX('Valo FX'!$Q:$Q,MATCH($A8,'Valo FX'!$A:$A,0)),0,IF(R$1&lt;INDEX('Valo FX'!$R:$R,MATCH($A8,'Valo FX'!$A:$A,0)),INDEX(Base!$U:$U,MATCH($A8,Base!$A:$A,0)),IF(R$1=INDEX('Valo FX'!$R:$R,MATCH($A8,'Valo FX'!$A:$A,0)),INDEX(Base!$V:$V,MATCH($A8,Base!$A:$A,0)),0)))</f>
        <v>8.8259229999999995</v>
      </c>
      <c r="S8" s="21">
        <f>IF(S$1&lt;INDEX('Valo FX'!$Q:$Q,MATCH($A8,'Valo FX'!$A:$A,0)),0,IF(S$1&lt;INDEX('Valo FX'!$R:$R,MATCH($A8,'Valo FX'!$A:$A,0)),INDEX(Base!$U:$U,MATCH($A8,Base!$A:$A,0)),IF(S$1=INDEX('Valo FX'!$R:$R,MATCH($A8,'Valo FX'!$A:$A,0)),INDEX(Base!$V:$V,MATCH($A8,Base!$A:$A,0)),0)))</f>
        <v>8.8259229999999995</v>
      </c>
      <c r="T8" s="21">
        <f>IF(T$1&lt;INDEX('Valo FX'!$Q:$Q,MATCH($A8,'Valo FX'!$A:$A,0)),0,IF(T$1&lt;INDEX('Valo FX'!$R:$R,MATCH($A8,'Valo FX'!$A:$A,0)),INDEX(Base!$U:$U,MATCH($A8,Base!$A:$A,0)),IF(T$1=INDEX('Valo FX'!$R:$R,MATCH($A8,'Valo FX'!$A:$A,0)),INDEX(Base!$V:$V,MATCH($A8,Base!$A:$A,0)),0)))</f>
        <v>8.8259229999999995</v>
      </c>
      <c r="U8" s="21">
        <f>IF(U$1&lt;INDEX('Valo FX'!$Q:$Q,MATCH($A8,'Valo FX'!$A:$A,0)),0,IF(U$1&lt;INDEX('Valo FX'!$R:$R,MATCH($A8,'Valo FX'!$A:$A,0)),INDEX(Base!$U:$U,MATCH($A8,Base!$A:$A,0)),IF(U$1=INDEX('Valo FX'!$R:$R,MATCH($A8,'Valo FX'!$A:$A,0)),INDEX(Base!$V:$V,MATCH($A8,Base!$A:$A,0)),0)))</f>
        <v>8.8259229999999995</v>
      </c>
      <c r="V8" s="21">
        <f>IF(V$1&lt;INDEX('Valo FX'!$Q:$Q,MATCH($A8,'Valo FX'!$A:$A,0)),0,IF(V$1&lt;INDEX('Valo FX'!$R:$R,MATCH($A8,'Valo FX'!$A:$A,0)),INDEX(Base!$U:$U,MATCH($A8,Base!$A:$A,0)),IF(V$1=INDEX('Valo FX'!$R:$R,MATCH($A8,'Valo FX'!$A:$A,0)),INDEX(Base!$V:$V,MATCH($A8,Base!$A:$A,0)),0)))</f>
        <v>8.8259229999999995</v>
      </c>
      <c r="W8" s="21">
        <f>IF(W$1&lt;INDEX('Valo FX'!$Q:$Q,MATCH($A8,'Valo FX'!$A:$A,0)),0,IF(W$1&lt;INDEX('Valo FX'!$R:$R,MATCH($A8,'Valo FX'!$A:$A,0)),INDEX(Base!$U:$U,MATCH($A8,Base!$A:$A,0)),IF(W$1=INDEX('Valo FX'!$R:$R,MATCH($A8,'Valo FX'!$A:$A,0)),INDEX(Base!$V:$V,MATCH($A8,Base!$A:$A,0)),0)))</f>
        <v>8.8259229999999995</v>
      </c>
      <c r="X8" s="21">
        <f>IF(X$1&lt;INDEX('Valo FX'!$Q:$Q,MATCH($A8,'Valo FX'!$A:$A,0)),0,IF(X$1&lt;INDEX('Valo FX'!$R:$R,MATCH($A8,'Valo FX'!$A:$A,0)),INDEX(Base!$U:$U,MATCH($A8,Base!$A:$A,0)),IF(X$1=INDEX('Valo FX'!$R:$R,MATCH($A8,'Valo FX'!$A:$A,0)),INDEX(Base!$V:$V,MATCH($A8,Base!$A:$A,0)),0)))</f>
        <v>8.8259229999999995</v>
      </c>
      <c r="Y8" s="21">
        <f>IF(Y$1&lt;INDEX('Valo FX'!$Q:$Q,MATCH($A8,'Valo FX'!$A:$A,0)),0,IF(Y$1&lt;INDEX('Valo FX'!$R:$R,MATCH($A8,'Valo FX'!$A:$A,0)),INDEX(Base!$U:$U,MATCH($A8,Base!$A:$A,0)),IF(Y$1=INDEX('Valo FX'!$R:$R,MATCH($A8,'Valo FX'!$A:$A,0)),INDEX(Base!$V:$V,MATCH($A8,Base!$A:$A,0)),0)))</f>
        <v>8.8259229999999995</v>
      </c>
      <c r="Z8" s="21">
        <f>IF(Z$1&lt;INDEX('Valo FX'!$Q:$Q,MATCH($A8,'Valo FX'!$A:$A,0)),0,IF(Z$1&lt;INDEX('Valo FX'!$R:$R,MATCH($A8,'Valo FX'!$A:$A,0)),INDEX(Base!$U:$U,MATCH($A8,Base!$A:$A,0)),IF(Z$1=INDEX('Valo FX'!$R:$R,MATCH($A8,'Valo FX'!$A:$A,0)),INDEX(Base!$V:$V,MATCH($A8,Base!$A:$A,0)),0)))</f>
        <v>8.8259229999999995</v>
      </c>
      <c r="AA8" s="21">
        <f>IF(AA$1&lt;INDEX('Valo FX'!$Q:$Q,MATCH($A8,'Valo FX'!$A:$A,0)),0,IF(AA$1&lt;INDEX('Valo FX'!$R:$R,MATCH($A8,'Valo FX'!$A:$A,0)),INDEX(Base!$U:$U,MATCH($A8,Base!$A:$A,0)),IF(AA$1=INDEX('Valo FX'!$R:$R,MATCH($A8,'Valo FX'!$A:$A,0)),INDEX(Base!$V:$V,MATCH($A8,Base!$A:$A,0)),0)))</f>
        <v>8.8259229999999995</v>
      </c>
      <c r="AB8" s="21">
        <f>IF(AB$1&lt;INDEX('Valo FX'!$Q:$Q,MATCH($A8,'Valo FX'!$A:$A,0)),0,IF(AB$1&lt;INDEX('Valo FX'!$R:$R,MATCH($A8,'Valo FX'!$A:$A,0)),INDEX(Base!$U:$U,MATCH($A8,Base!$A:$A,0)),IF(AB$1=INDEX('Valo FX'!$R:$R,MATCH($A8,'Valo FX'!$A:$A,0)),INDEX(Base!$V:$V,MATCH($A8,Base!$A:$A,0)),0)))</f>
        <v>8.8259229999999995</v>
      </c>
      <c r="AC8" s="21">
        <f>IF(AC$1&lt;INDEX('Valo FX'!$Q:$Q,MATCH($A8,'Valo FX'!$A:$A,0)),0,IF(AC$1&lt;INDEX('Valo FX'!$R:$R,MATCH($A8,'Valo FX'!$A:$A,0)),INDEX(Base!$U:$U,MATCH($A8,Base!$A:$A,0)),IF(AC$1=INDEX('Valo FX'!$R:$R,MATCH($A8,'Valo FX'!$A:$A,0)),INDEX(Base!$V:$V,MATCH($A8,Base!$A:$A,0)),0)))</f>
        <v>8.8259229999999995</v>
      </c>
      <c r="AD8" s="21">
        <f>IF(AD$1&lt;INDEX('Valo FX'!$Q:$Q,MATCH($A8,'Valo FX'!$A:$A,0)),0,IF(AD$1&lt;INDEX('Valo FX'!$R:$R,MATCH($A8,'Valo FX'!$A:$A,0)),INDEX(Base!$U:$U,MATCH($A8,Base!$A:$A,0)),IF(AD$1=INDEX('Valo FX'!$R:$R,MATCH($A8,'Valo FX'!$A:$A,0)),INDEX(Base!$V:$V,MATCH($A8,Base!$A:$A,0)),0)))</f>
        <v>8.8259229999999995</v>
      </c>
      <c r="AE8" s="21">
        <f>IF(AE$1&lt;INDEX('Valo FX'!$Q:$Q,MATCH($A8,'Valo FX'!$A:$A,0)),0,IF(AE$1&lt;INDEX('Valo FX'!$R:$R,MATCH($A8,'Valo FX'!$A:$A,0)),INDEX(Base!$U:$U,MATCH($A8,Base!$A:$A,0)),IF(AE$1=INDEX('Valo FX'!$R:$R,MATCH($A8,'Valo FX'!$A:$A,0)),INDEX(Base!$V:$V,MATCH($A8,Base!$A:$A,0)),0)))</f>
        <v>8.8259229999999995</v>
      </c>
      <c r="AF8" s="21">
        <f>IF(AF$1&lt;INDEX('Valo FX'!$Q:$Q,MATCH($A8,'Valo FX'!$A:$A,0)),0,IF(AF$1&lt;INDEX('Valo FX'!$R:$R,MATCH($A8,'Valo FX'!$A:$A,0)),INDEX(Base!$U:$U,MATCH($A8,Base!$A:$A,0)),IF(AF$1=INDEX('Valo FX'!$R:$R,MATCH($A8,'Valo FX'!$A:$A,0)),INDEX(Base!$V:$V,MATCH($A8,Base!$A:$A,0)),0)))</f>
        <v>8.8259229999999995</v>
      </c>
      <c r="AG8" s="21">
        <f>IF(AG$1&lt;INDEX('Valo FX'!$Q:$Q,MATCH($A8,'Valo FX'!$A:$A,0)),0,IF(AG$1&lt;INDEX('Valo FX'!$R:$R,MATCH($A8,'Valo FX'!$A:$A,0)),INDEX(Base!$U:$U,MATCH($A8,Base!$A:$A,0)),IF(AG$1=INDEX('Valo FX'!$R:$R,MATCH($A8,'Valo FX'!$A:$A,0)),INDEX(Base!$V:$V,MATCH($A8,Base!$A:$A,0)),0)))</f>
        <v>8.8259229999999995</v>
      </c>
      <c r="AH8" s="21">
        <f>IF(AH$1&lt;INDEX('Valo FX'!$Q:$Q,MATCH($A8,'Valo FX'!$A:$A,0)),0,IF(AH$1&lt;INDEX('Valo FX'!$R:$R,MATCH($A8,'Valo FX'!$A:$A,0)),INDEX(Base!$U:$U,MATCH($A8,Base!$A:$A,0)),IF(AH$1=INDEX('Valo FX'!$R:$R,MATCH($A8,'Valo FX'!$A:$A,0)),INDEX(Base!$V:$V,MATCH($A8,Base!$A:$A,0)),0)))</f>
        <v>8.8259229999999995</v>
      </c>
      <c r="AI8" s="21">
        <f>IF(AI$1&lt;INDEX('Valo FX'!$Q:$Q,MATCH($A8,'Valo FX'!$A:$A,0)),0,IF(AI$1&lt;INDEX('Valo FX'!$R:$R,MATCH($A8,'Valo FX'!$A:$A,0)),INDEX(Base!$U:$U,MATCH($A8,Base!$A:$A,0)),IF(AI$1=INDEX('Valo FX'!$R:$R,MATCH($A8,'Valo FX'!$A:$A,0)),INDEX(Base!$V:$V,MATCH($A8,Base!$A:$A,0)),0)))</f>
        <v>8.8259229999999995</v>
      </c>
      <c r="AJ8" s="21">
        <f>IF(AJ$1&lt;INDEX('Valo FX'!$Q:$Q,MATCH($A8,'Valo FX'!$A:$A,0)),0,IF(AJ$1&lt;INDEX('Valo FX'!$R:$R,MATCH($A8,'Valo FX'!$A:$A,0)),INDEX(Base!$U:$U,MATCH($A8,Base!$A:$A,0)),IF(AJ$1=INDEX('Valo FX'!$R:$R,MATCH($A8,'Valo FX'!$A:$A,0)),INDEX(Base!$V:$V,MATCH($A8,Base!$A:$A,0)),0)))</f>
        <v>8.8259229999999995</v>
      </c>
      <c r="AK8" s="21">
        <f>IF(AK$1&lt;INDEX('Valo FX'!$Q:$Q,MATCH($A8,'Valo FX'!$A:$A,0)),0,IF(AK$1&lt;INDEX('Valo FX'!$R:$R,MATCH($A8,'Valo FX'!$A:$A,0)),INDEX(Base!$U:$U,MATCH($A8,Base!$A:$A,0)),IF(AK$1=INDEX('Valo FX'!$R:$R,MATCH($A8,'Valo FX'!$A:$A,0)),INDEX(Base!$V:$V,MATCH($A8,Base!$A:$A,0)),0)))</f>
        <v>8.8259229999999995</v>
      </c>
      <c r="AL8" s="21">
        <f>IF(AL$1&lt;INDEX('Valo FX'!$Q:$Q,MATCH($A8,'Valo FX'!$A:$A,0)),0,IF(AL$1&lt;INDEX('Valo FX'!$R:$R,MATCH($A8,'Valo FX'!$A:$A,0)),INDEX(Base!$U:$U,MATCH($A8,Base!$A:$A,0)),IF(AL$1=INDEX('Valo FX'!$R:$R,MATCH($A8,'Valo FX'!$A:$A,0)),INDEX(Base!$V:$V,MATCH($A8,Base!$A:$A,0)),0)))</f>
        <v>8.8259229999999995</v>
      </c>
      <c r="AM8" s="21">
        <f>IF(AM$1&lt;INDEX('Valo FX'!$Q:$Q,MATCH($A8,'Valo FX'!$A:$A,0)),0,IF(AM$1&lt;INDEX('Valo FX'!$R:$R,MATCH($A8,'Valo FX'!$A:$A,0)),INDEX(Base!$U:$U,MATCH($A8,Base!$A:$A,0)),IF(AM$1=INDEX('Valo FX'!$R:$R,MATCH($A8,'Valo FX'!$A:$A,0)),INDEX(Base!$V:$V,MATCH($A8,Base!$A:$A,0)),0)))</f>
        <v>8.8259229999999995</v>
      </c>
      <c r="AN8" s="21">
        <f>IF(AN$1&lt;INDEX('Valo FX'!$Q:$Q,MATCH($A8,'Valo FX'!$A:$A,0)),0,IF(AN$1&lt;INDEX('Valo FX'!$R:$R,MATCH($A8,'Valo FX'!$A:$A,0)),INDEX(Base!$U:$U,MATCH($A8,Base!$A:$A,0)),IF(AN$1=INDEX('Valo FX'!$R:$R,MATCH($A8,'Valo FX'!$A:$A,0)),INDEX(Base!$V:$V,MATCH($A8,Base!$A:$A,0)),0)))</f>
        <v>8.8259229999999995</v>
      </c>
      <c r="AO8" s="21">
        <f>IF(AO$1&lt;INDEX('Valo FX'!$Q:$Q,MATCH($A8,'Valo FX'!$A:$A,0)),0,IF(AO$1&lt;INDEX('Valo FX'!$R:$R,MATCH($A8,'Valo FX'!$A:$A,0)),INDEX(Base!$U:$U,MATCH($A8,Base!$A:$A,0)),IF(AO$1=INDEX('Valo FX'!$R:$R,MATCH($A8,'Valo FX'!$A:$A,0)),INDEX(Base!$V:$V,MATCH($A8,Base!$A:$A,0)),0)))</f>
        <v>8.8259229999999995</v>
      </c>
      <c r="AP8" s="21">
        <f>IF(AP$1&lt;INDEX('Valo FX'!$Q:$Q,MATCH($A8,'Valo FX'!$A:$A,0)),0,IF(AP$1&lt;INDEX('Valo FX'!$R:$R,MATCH($A8,'Valo FX'!$A:$A,0)),INDEX(Base!$U:$U,MATCH($A8,Base!$A:$A,0)),IF(AP$1=INDEX('Valo FX'!$R:$R,MATCH($A8,'Valo FX'!$A:$A,0)),INDEX(Base!$V:$V,MATCH($A8,Base!$A:$A,0)),0)))</f>
        <v>8.8259229999999995</v>
      </c>
      <c r="AQ8" s="21">
        <f>IF(AQ$1&lt;INDEX('Valo FX'!$Q:$Q,MATCH($A8,'Valo FX'!$A:$A,0)),0,IF(AQ$1&lt;INDEX('Valo FX'!$R:$R,MATCH($A8,'Valo FX'!$A:$A,0)),INDEX(Base!$U:$U,MATCH($A8,Base!$A:$A,0)),IF(AQ$1=INDEX('Valo FX'!$R:$R,MATCH($A8,'Valo FX'!$A:$A,0)),INDEX(Base!$V:$V,MATCH($A8,Base!$A:$A,0)),0)))</f>
        <v>8.8259229999999995</v>
      </c>
      <c r="AR8" s="21">
        <f>IF(AR$1&lt;INDEX('Valo FX'!$Q:$Q,MATCH($A8,'Valo FX'!$A:$A,0)),0,IF(AR$1&lt;INDEX('Valo FX'!$R:$R,MATCH($A8,'Valo FX'!$A:$A,0)),INDEX(Base!$U:$U,MATCH($A8,Base!$A:$A,0)),IF(AR$1=INDEX('Valo FX'!$R:$R,MATCH($A8,'Valo FX'!$A:$A,0)),INDEX(Base!$V:$V,MATCH($A8,Base!$A:$A,0)),0)))</f>
        <v>8.8259229999999995</v>
      </c>
      <c r="AS8" s="21">
        <f>IF(AS$1&lt;INDEX('Valo FX'!$Q:$Q,MATCH($A8,'Valo FX'!$A:$A,0)),0,IF(AS$1&lt;INDEX('Valo FX'!$R:$R,MATCH($A8,'Valo FX'!$A:$A,0)),INDEX(Base!$U:$U,MATCH($A8,Base!$A:$A,0)),IF(AS$1=INDEX('Valo FX'!$R:$R,MATCH($A8,'Valo FX'!$A:$A,0)),INDEX(Base!$V:$V,MATCH($A8,Base!$A:$A,0)),0)))</f>
        <v>8.8259229999999995</v>
      </c>
      <c r="AT8" s="21">
        <f>IF(AT$1&lt;INDEX('Valo FX'!$Q:$Q,MATCH($A8,'Valo FX'!$A:$A,0)),0,IF(AT$1&lt;INDEX('Valo FX'!$R:$R,MATCH($A8,'Valo FX'!$A:$A,0)),INDEX(Base!$U:$U,MATCH($A8,Base!$A:$A,0)),IF(AT$1=INDEX('Valo FX'!$R:$R,MATCH($A8,'Valo FX'!$A:$A,0)),INDEX(Base!$V:$V,MATCH($A8,Base!$A:$A,0)),0)))</f>
        <v>8.8259229999999995</v>
      </c>
      <c r="AU8" s="21">
        <f>IF(AU$1&lt;INDEX('Valo FX'!$Q:$Q,MATCH($A8,'Valo FX'!$A:$A,0)),0,IF(AU$1&lt;INDEX('Valo FX'!$R:$R,MATCH($A8,'Valo FX'!$A:$A,0)),INDEX(Base!$U:$U,MATCH($A8,Base!$A:$A,0)),IF(AU$1=INDEX('Valo FX'!$R:$R,MATCH($A8,'Valo FX'!$A:$A,0)),INDEX(Base!$V:$V,MATCH($A8,Base!$A:$A,0)),0)))</f>
        <v>8.8259229999999995</v>
      </c>
      <c r="AV8" s="21">
        <f>IF(AV$1&lt;INDEX('Valo FX'!$Q:$Q,MATCH($A8,'Valo FX'!$A:$A,0)),0,IF(AV$1&lt;INDEX('Valo FX'!$R:$R,MATCH($A8,'Valo FX'!$A:$A,0)),INDEX(Base!$U:$U,MATCH($A8,Base!$A:$A,0)),IF(AV$1=INDEX('Valo FX'!$R:$R,MATCH($A8,'Valo FX'!$A:$A,0)),INDEX(Base!$V:$V,MATCH($A8,Base!$A:$A,0)),0)))</f>
        <v>8.8259229999999995</v>
      </c>
      <c r="AW8" s="21">
        <f>IF(AW$1&lt;INDEX('Valo FX'!$Q:$Q,MATCH($A8,'Valo FX'!$A:$A,0)),0,IF(AW$1&lt;INDEX('Valo FX'!$R:$R,MATCH($A8,'Valo FX'!$A:$A,0)),INDEX(Base!$U:$U,MATCH($A8,Base!$A:$A,0)),IF(AW$1=INDEX('Valo FX'!$R:$R,MATCH($A8,'Valo FX'!$A:$A,0)),INDEX(Base!$V:$V,MATCH($A8,Base!$A:$A,0)),0)))</f>
        <v>8.8259229999999995</v>
      </c>
      <c r="AX8" s="21">
        <f>IF(AX$1&lt;INDEX('Valo FX'!$Q:$Q,MATCH($A8,'Valo FX'!$A:$A,0)),0,IF(AX$1&lt;INDEX('Valo FX'!$R:$R,MATCH($A8,'Valo FX'!$A:$A,0)),INDEX(Base!$U:$U,MATCH($A8,Base!$A:$A,0)),IF(AX$1=INDEX('Valo FX'!$R:$R,MATCH($A8,'Valo FX'!$A:$A,0)),INDEX(Base!$V:$V,MATCH($A8,Base!$A:$A,0)),0)))</f>
        <v>8.8259229999999995</v>
      </c>
      <c r="AY8" s="21">
        <f>IF(AY$1&lt;INDEX('Valo FX'!$Q:$Q,MATCH($A8,'Valo FX'!$A:$A,0)),0,IF(AY$1&lt;INDEX('Valo FX'!$R:$R,MATCH($A8,'Valo FX'!$A:$A,0)),INDEX(Base!$U:$U,MATCH($A8,Base!$A:$A,0)),IF(AY$1=INDEX('Valo FX'!$R:$R,MATCH($A8,'Valo FX'!$A:$A,0)),INDEX(Base!$V:$V,MATCH($A8,Base!$A:$A,0)),0)))</f>
        <v>8.8259229999999995</v>
      </c>
      <c r="AZ8" s="21">
        <f>IF(AZ$1&lt;INDEX('Valo FX'!$Q:$Q,MATCH($A8,'Valo FX'!$A:$A,0)),0,IF(AZ$1&lt;INDEX('Valo FX'!$R:$R,MATCH($A8,'Valo FX'!$A:$A,0)),INDEX(Base!$U:$U,MATCH($A8,Base!$A:$A,0)),IF(AZ$1=INDEX('Valo FX'!$R:$R,MATCH($A8,'Valo FX'!$A:$A,0)),INDEX(Base!$V:$V,MATCH($A8,Base!$A:$A,0)),0)))</f>
        <v>8.8259229999999995</v>
      </c>
      <c r="BA8" s="21">
        <f>IF(BA$1&lt;INDEX('Valo FX'!$Q:$Q,MATCH($A8,'Valo FX'!$A:$A,0)),0,IF(BA$1&lt;INDEX('Valo FX'!$R:$R,MATCH($A8,'Valo FX'!$A:$A,0)),INDEX(Base!$U:$U,MATCH($A8,Base!$A:$A,0)),IF(BA$1=INDEX('Valo FX'!$R:$R,MATCH($A8,'Valo FX'!$A:$A,0)),INDEX(Base!$V:$V,MATCH($A8,Base!$A:$A,0)),0)))</f>
        <v>8.8259229999999995</v>
      </c>
      <c r="BB8" s="21">
        <f>IF(BB$1&lt;INDEX('Valo FX'!$Q:$Q,MATCH($A8,'Valo FX'!$A:$A,0)),0,IF(BB$1&lt;INDEX('Valo FX'!$R:$R,MATCH($A8,'Valo FX'!$A:$A,0)),INDEX(Base!$U:$U,MATCH($A8,Base!$A:$A,0)),IF(BB$1=INDEX('Valo FX'!$R:$R,MATCH($A8,'Valo FX'!$A:$A,0)),INDEX(Base!$V:$V,MATCH($A8,Base!$A:$A,0)),0)))</f>
        <v>8.8259229999999995</v>
      </c>
      <c r="BC8" s="21">
        <f>IF(BC$1&lt;INDEX('Valo FX'!$Q:$Q,MATCH($A8,'Valo FX'!$A:$A,0)),0,IF(BC$1&lt;INDEX('Valo FX'!$R:$R,MATCH($A8,'Valo FX'!$A:$A,0)),INDEX(Base!$U:$U,MATCH($A8,Base!$A:$A,0)),IF(BC$1=INDEX('Valo FX'!$R:$R,MATCH($A8,'Valo FX'!$A:$A,0)),INDEX(Base!$V:$V,MATCH($A8,Base!$A:$A,0)),0)))</f>
        <v>8.8259229999999995</v>
      </c>
      <c r="BD8" s="21">
        <f>IF(BD$1&lt;INDEX('Valo FX'!$Q:$Q,MATCH($A8,'Valo FX'!$A:$A,0)),0,IF(BD$1&lt;INDEX('Valo FX'!$R:$R,MATCH($A8,'Valo FX'!$A:$A,0)),INDEX(Base!$U:$U,MATCH($A8,Base!$A:$A,0)),IF(BD$1=INDEX('Valo FX'!$R:$R,MATCH($A8,'Valo FX'!$A:$A,0)),INDEX(Base!$V:$V,MATCH($A8,Base!$A:$A,0)),0)))</f>
        <v>8.8259229999999995</v>
      </c>
      <c r="BE8" s="21">
        <f>IF(BE$1&lt;INDEX('Valo FX'!$Q:$Q,MATCH($A8,'Valo FX'!$A:$A,0)),0,IF(BE$1&lt;INDEX('Valo FX'!$R:$R,MATCH($A8,'Valo FX'!$A:$A,0)),INDEX(Base!$U:$U,MATCH($A8,Base!$A:$A,0)),IF(BE$1=INDEX('Valo FX'!$R:$R,MATCH($A8,'Valo FX'!$A:$A,0)),INDEX(Base!$V:$V,MATCH($A8,Base!$A:$A,0)),0)))</f>
        <v>8.8259229999999995</v>
      </c>
      <c r="BF8" s="21">
        <f>IF(BF$1&lt;INDEX('Valo FX'!$Q:$Q,MATCH($A8,'Valo FX'!$A:$A,0)),0,IF(BF$1&lt;INDEX('Valo FX'!$R:$R,MATCH($A8,'Valo FX'!$A:$A,0)),INDEX(Base!$U:$U,MATCH($A8,Base!$A:$A,0)),IF(BF$1=INDEX('Valo FX'!$R:$R,MATCH($A8,'Valo FX'!$A:$A,0)),INDEX(Base!$V:$V,MATCH($A8,Base!$A:$A,0)),0)))</f>
        <v>8.8259229999999995</v>
      </c>
      <c r="BG8" s="21">
        <f>IF(BG$1&lt;INDEX('Valo FX'!$Q:$Q,MATCH($A8,'Valo FX'!$A:$A,0)),0,IF(BG$1&lt;INDEX('Valo FX'!$R:$R,MATCH($A8,'Valo FX'!$A:$A,0)),INDEX(Base!$U:$U,MATCH($A8,Base!$A:$A,0)),IF(BG$1=INDEX('Valo FX'!$R:$R,MATCH($A8,'Valo FX'!$A:$A,0)),INDEX(Base!$V:$V,MATCH($A8,Base!$A:$A,0)),0)))</f>
        <v>8.8259229999999995</v>
      </c>
      <c r="BH8" s="21">
        <f>IF(BH$1&lt;INDEX('Valo FX'!$Q:$Q,MATCH($A8,'Valo FX'!$A:$A,0)),0,IF(BH$1&lt;INDEX('Valo FX'!$R:$R,MATCH($A8,'Valo FX'!$A:$A,0)),INDEX(Base!$U:$U,MATCH($A8,Base!$A:$A,0)),IF(BH$1=INDEX('Valo FX'!$R:$R,MATCH($A8,'Valo FX'!$A:$A,0)),INDEX(Base!$V:$V,MATCH($A8,Base!$A:$A,0)),0)))</f>
        <v>8.8259229999999995</v>
      </c>
      <c r="BI8" s="21">
        <f>IF(BI$1&lt;INDEX('Valo FX'!$Q:$Q,MATCH($A8,'Valo FX'!$A:$A,0)),0,IF(BI$1&lt;INDEX('Valo FX'!$R:$R,MATCH($A8,'Valo FX'!$A:$A,0)),INDEX(Base!$U:$U,MATCH($A8,Base!$A:$A,0)),IF(BI$1=INDEX('Valo FX'!$R:$R,MATCH($A8,'Valo FX'!$A:$A,0)),INDEX(Base!$V:$V,MATCH($A8,Base!$A:$A,0)),0)))</f>
        <v>8.8259229999999995</v>
      </c>
      <c r="BJ8" s="21">
        <f>IF(BJ$1&lt;INDEX('Valo FX'!$Q:$Q,MATCH($A8,'Valo FX'!$A:$A,0)),0,IF(BJ$1&lt;INDEX('Valo FX'!$R:$R,MATCH($A8,'Valo FX'!$A:$A,0)),INDEX(Base!$U:$U,MATCH($A8,Base!$A:$A,0)),IF(BJ$1=INDEX('Valo FX'!$R:$R,MATCH($A8,'Valo FX'!$A:$A,0)),INDEX(Base!$V:$V,MATCH($A8,Base!$A:$A,0)),0)))</f>
        <v>8.8259229999999995</v>
      </c>
      <c r="BK8" s="21">
        <f>IF(BK$1&lt;INDEX('Valo FX'!$Q:$Q,MATCH($A8,'Valo FX'!$A:$A,0)),0,IF(BK$1&lt;INDEX('Valo FX'!$R:$R,MATCH($A8,'Valo FX'!$A:$A,0)),INDEX(Base!$U:$U,MATCH($A8,Base!$A:$A,0)),IF(BK$1=INDEX('Valo FX'!$R:$R,MATCH($A8,'Valo FX'!$A:$A,0)),INDEX(Base!$V:$V,MATCH($A8,Base!$A:$A,0)),0)))</f>
        <v>8.8259229999999995</v>
      </c>
      <c r="BL8" s="21">
        <f>IF(BL$1&lt;INDEX('Valo FX'!$Q:$Q,MATCH($A8,'Valo FX'!$A:$A,0)),0,IF(BL$1&lt;INDEX('Valo FX'!$R:$R,MATCH($A8,'Valo FX'!$A:$A,0)),INDEX(Base!$U:$U,MATCH($A8,Base!$A:$A,0)),IF(BL$1=INDEX('Valo FX'!$R:$R,MATCH($A8,'Valo FX'!$A:$A,0)),INDEX(Base!$V:$V,MATCH($A8,Base!$A:$A,0)),0)))</f>
        <v>8.8259229999999995</v>
      </c>
      <c r="BM8" s="21">
        <f>IF(BM$1&lt;INDEX('Valo FX'!$Q:$Q,MATCH($A8,'Valo FX'!$A:$A,0)),0,IF(BM$1&lt;INDEX('Valo FX'!$R:$R,MATCH($A8,'Valo FX'!$A:$A,0)),INDEX(Base!$U:$U,MATCH($A8,Base!$A:$A,0)),IF(BM$1=INDEX('Valo FX'!$R:$R,MATCH($A8,'Valo FX'!$A:$A,0)),INDEX(Base!$V:$V,MATCH($A8,Base!$A:$A,0)),0)))</f>
        <v>8.8259229999999995</v>
      </c>
      <c r="BN8" s="21">
        <f>IF(BN$1&lt;INDEX('Valo FX'!$Q:$Q,MATCH($A8,'Valo FX'!$A:$A,0)),0,IF(BN$1&lt;INDEX('Valo FX'!$R:$R,MATCH($A8,'Valo FX'!$A:$A,0)),INDEX(Base!$U:$U,MATCH($A8,Base!$A:$A,0)),IF(BN$1=INDEX('Valo FX'!$R:$R,MATCH($A8,'Valo FX'!$A:$A,0)),INDEX(Base!$V:$V,MATCH($A8,Base!$A:$A,0)),0)))</f>
        <v>8.8259229999999995</v>
      </c>
      <c r="BO8" s="21">
        <f>IF(BO$1&lt;INDEX('Valo FX'!$Q:$Q,MATCH($A8,'Valo FX'!$A:$A,0)),0,IF(BO$1&lt;INDEX('Valo FX'!$R:$R,MATCH($A8,'Valo FX'!$A:$A,0)),INDEX(Base!$U:$U,MATCH($A8,Base!$A:$A,0)),IF(BO$1=INDEX('Valo FX'!$R:$R,MATCH($A8,'Valo FX'!$A:$A,0)),INDEX(Base!$V:$V,MATCH($A8,Base!$A:$A,0)),0)))</f>
        <v>8.8259229999999995</v>
      </c>
      <c r="BP8" s="21">
        <f>IF(BP$1&lt;INDEX('Valo FX'!$Q:$Q,MATCH($A8,'Valo FX'!$A:$A,0)),0,IF(BP$1&lt;INDEX('Valo FX'!$R:$R,MATCH($A8,'Valo FX'!$A:$A,0)),INDEX(Base!$U:$U,MATCH($A8,Base!$A:$A,0)),IF(BP$1=INDEX('Valo FX'!$R:$R,MATCH($A8,'Valo FX'!$A:$A,0)),INDEX(Base!$V:$V,MATCH($A8,Base!$A:$A,0)),0)))</f>
        <v>8.8259229999999995</v>
      </c>
      <c r="BQ8" s="21">
        <f>IF(BQ$1&lt;INDEX('Valo FX'!$Q:$Q,MATCH($A8,'Valo FX'!$A:$A,0)),0,IF(BQ$1&lt;INDEX('Valo FX'!$R:$R,MATCH($A8,'Valo FX'!$A:$A,0)),INDEX(Base!$U:$U,MATCH($A8,Base!$A:$A,0)),IF(BQ$1=INDEX('Valo FX'!$R:$R,MATCH($A8,'Valo FX'!$A:$A,0)),INDEX(Base!$V:$V,MATCH($A8,Base!$A:$A,0)),0)))</f>
        <v>8.8259229999999995</v>
      </c>
      <c r="BR8" s="21">
        <f>IF(BR$1&lt;INDEX('Valo FX'!$Q:$Q,MATCH($A8,'Valo FX'!$A:$A,0)),0,IF(BR$1&lt;INDEX('Valo FX'!$R:$R,MATCH($A8,'Valo FX'!$A:$A,0)),INDEX(Base!$U:$U,MATCH($A8,Base!$A:$A,0)),IF(BR$1=INDEX('Valo FX'!$R:$R,MATCH($A8,'Valo FX'!$A:$A,0)),INDEX(Base!$V:$V,MATCH($A8,Base!$A:$A,0)),0)))</f>
        <v>8.8259229999999995</v>
      </c>
      <c r="BS8" s="21">
        <f>IF(BS$1&lt;INDEX('Valo FX'!$Q:$Q,MATCH($A8,'Valo FX'!$A:$A,0)),0,IF(BS$1&lt;INDEX('Valo FX'!$R:$R,MATCH($A8,'Valo FX'!$A:$A,0)),INDEX(Base!$U:$U,MATCH($A8,Base!$A:$A,0)),IF(BS$1=INDEX('Valo FX'!$R:$R,MATCH($A8,'Valo FX'!$A:$A,0)),INDEX(Base!$V:$V,MATCH($A8,Base!$A:$A,0)),0)))</f>
        <v>8.8259229999999995</v>
      </c>
      <c r="BT8" s="21">
        <f>IF(BT$1&lt;INDEX('Valo FX'!$Q:$Q,MATCH($A8,'Valo FX'!$A:$A,0)),0,IF(BT$1&lt;INDEX('Valo FX'!$R:$R,MATCH($A8,'Valo FX'!$A:$A,0)),INDEX(Base!$U:$U,MATCH($A8,Base!$A:$A,0)),IF(BT$1=INDEX('Valo FX'!$R:$R,MATCH($A8,'Valo FX'!$A:$A,0)),INDEX(Base!$V:$V,MATCH($A8,Base!$A:$A,0)),0)))</f>
        <v>8.8259229999999995</v>
      </c>
      <c r="BU8" s="21">
        <f>IF(BU$1&lt;INDEX('Valo FX'!$Q:$Q,MATCH($A8,'Valo FX'!$A:$A,0)),0,IF(BU$1&lt;INDEX('Valo FX'!$R:$R,MATCH($A8,'Valo FX'!$A:$A,0)),INDEX(Base!$U:$U,MATCH($A8,Base!$A:$A,0)),IF(BU$1=INDEX('Valo FX'!$R:$R,MATCH($A8,'Valo FX'!$A:$A,0)),INDEX(Base!$V:$V,MATCH($A8,Base!$A:$A,0)),0)))</f>
        <v>8.8259229999999995</v>
      </c>
      <c r="BV8" s="21">
        <f>IF(BV$1&lt;INDEX('Valo FX'!$Q:$Q,MATCH($A8,'Valo FX'!$A:$A,0)),0,IF(BV$1&lt;INDEX('Valo FX'!$R:$R,MATCH($A8,'Valo FX'!$A:$A,0)),INDEX(Base!$U:$U,MATCH($A8,Base!$A:$A,0)),IF(BV$1=INDEX('Valo FX'!$R:$R,MATCH($A8,'Valo FX'!$A:$A,0)),INDEX(Base!$V:$V,MATCH($A8,Base!$A:$A,0)),0)))</f>
        <v>8.8259229999999995</v>
      </c>
      <c r="BW8" s="21">
        <f>IF(BW$1&lt;INDEX('Valo FX'!$Q:$Q,MATCH($A8,'Valo FX'!$A:$A,0)),0,IF(BW$1&lt;INDEX('Valo FX'!$R:$R,MATCH($A8,'Valo FX'!$A:$A,0)),INDEX(Base!$U:$U,MATCH($A8,Base!$A:$A,0)),IF(BW$1=INDEX('Valo FX'!$R:$R,MATCH($A8,'Valo FX'!$A:$A,0)),INDEX(Base!$V:$V,MATCH($A8,Base!$A:$A,0)),0)))</f>
        <v>8.8259229999999995</v>
      </c>
      <c r="BX8" s="21">
        <f>IF(BX$1&lt;INDEX('Valo FX'!$Q:$Q,MATCH($A8,'Valo FX'!$A:$A,0)),0,IF(BX$1&lt;INDEX('Valo FX'!$R:$R,MATCH($A8,'Valo FX'!$A:$A,0)),INDEX(Base!$U:$U,MATCH($A8,Base!$A:$A,0)),IF(BX$1=INDEX('Valo FX'!$R:$R,MATCH($A8,'Valo FX'!$A:$A,0)),INDEX(Base!$V:$V,MATCH($A8,Base!$A:$A,0)),0)))</f>
        <v>8.8259229999999995</v>
      </c>
      <c r="BY8" s="21">
        <f>IF(BY$1&lt;INDEX('Valo FX'!$Q:$Q,MATCH($A8,'Valo FX'!$A:$A,0)),0,IF(BY$1&lt;INDEX('Valo FX'!$R:$R,MATCH($A8,'Valo FX'!$A:$A,0)),INDEX(Base!$U:$U,MATCH($A8,Base!$A:$A,0)),IF(BY$1=INDEX('Valo FX'!$R:$R,MATCH($A8,'Valo FX'!$A:$A,0)),INDEX(Base!$V:$V,MATCH($A8,Base!$A:$A,0)),0)))</f>
        <v>8.8259229999999995</v>
      </c>
      <c r="BZ8" s="21">
        <f>IF(BZ$1&lt;INDEX('Valo FX'!$Q:$Q,MATCH($A8,'Valo FX'!$A:$A,0)),0,IF(BZ$1&lt;INDEX('Valo FX'!$R:$R,MATCH($A8,'Valo FX'!$A:$A,0)),INDEX(Base!$U:$U,MATCH($A8,Base!$A:$A,0)),IF(BZ$1=INDEX('Valo FX'!$R:$R,MATCH($A8,'Valo FX'!$A:$A,0)),INDEX(Base!$V:$V,MATCH($A8,Base!$A:$A,0)),0)))</f>
        <v>8.8259229999999995</v>
      </c>
      <c r="CA8" s="21">
        <f>IF(CA$1&lt;INDEX('Valo FX'!$Q:$Q,MATCH($A8,'Valo FX'!$A:$A,0)),0,IF(CA$1&lt;INDEX('Valo FX'!$R:$R,MATCH($A8,'Valo FX'!$A:$A,0)),INDEX(Base!$U:$U,MATCH($A8,Base!$A:$A,0)),IF(CA$1=INDEX('Valo FX'!$R:$R,MATCH($A8,'Valo FX'!$A:$A,0)),INDEX(Base!$V:$V,MATCH($A8,Base!$A:$A,0)),0)))</f>
        <v>8.8259229999999995</v>
      </c>
      <c r="CB8" s="21">
        <f>IF(CB$1&lt;INDEX('Valo FX'!$Q:$Q,MATCH($A8,'Valo FX'!$A:$A,0)),0,IF(CB$1&lt;INDEX('Valo FX'!$R:$R,MATCH($A8,'Valo FX'!$A:$A,0)),INDEX(Base!$U:$U,MATCH($A8,Base!$A:$A,0)),IF(CB$1=INDEX('Valo FX'!$R:$R,MATCH($A8,'Valo FX'!$A:$A,0)),INDEX(Base!$V:$V,MATCH($A8,Base!$A:$A,0)),0)))</f>
        <v>8.8259229999999995</v>
      </c>
      <c r="CC8" s="21">
        <f>IF(CC$1&lt;INDEX('Valo FX'!$Q:$Q,MATCH($A8,'Valo FX'!$A:$A,0)),0,IF(CC$1&lt;INDEX('Valo FX'!$R:$R,MATCH($A8,'Valo FX'!$A:$A,0)),INDEX(Base!$U:$U,MATCH($A8,Base!$A:$A,0)),IF(CC$1=INDEX('Valo FX'!$R:$R,MATCH($A8,'Valo FX'!$A:$A,0)),INDEX(Base!$V:$V,MATCH($A8,Base!$A:$A,0)),0)))</f>
        <v>8.8259229999999995</v>
      </c>
      <c r="CD8" s="21">
        <f>IF(CD$1&lt;INDEX('Valo FX'!$Q:$Q,MATCH($A8,'Valo FX'!$A:$A,0)),0,IF(CD$1&lt;INDEX('Valo FX'!$R:$R,MATCH($A8,'Valo FX'!$A:$A,0)),INDEX(Base!$U:$U,MATCH($A8,Base!$A:$A,0)),IF(CD$1=INDEX('Valo FX'!$R:$R,MATCH($A8,'Valo FX'!$A:$A,0)),INDEX(Base!$V:$V,MATCH($A8,Base!$A:$A,0)),0)))</f>
        <v>8.8259229999999995</v>
      </c>
      <c r="CE8" s="21">
        <f>IF(CE$1&lt;INDEX('Valo FX'!$Q:$Q,MATCH($A8,'Valo FX'!$A:$A,0)),0,IF(CE$1&lt;INDEX('Valo FX'!$R:$R,MATCH($A8,'Valo FX'!$A:$A,0)),INDEX(Base!$U:$U,MATCH($A8,Base!$A:$A,0)),IF(CE$1=INDEX('Valo FX'!$R:$R,MATCH($A8,'Valo FX'!$A:$A,0)),INDEX(Base!$V:$V,MATCH($A8,Base!$A:$A,0)),0)))</f>
        <v>8.8259229999999995</v>
      </c>
      <c r="CF8" s="21">
        <f>IF(CF$1&lt;INDEX('Valo FX'!$Q:$Q,MATCH($A8,'Valo FX'!$A:$A,0)),0,IF(CF$1&lt;INDEX('Valo FX'!$R:$R,MATCH($A8,'Valo FX'!$A:$A,0)),INDEX(Base!$U:$U,MATCH($A8,Base!$A:$A,0)),IF(CF$1=INDEX('Valo FX'!$R:$R,MATCH($A8,'Valo FX'!$A:$A,0)),INDEX(Base!$V:$V,MATCH($A8,Base!$A:$A,0)),0)))</f>
        <v>8.8259229999999995</v>
      </c>
      <c r="CG8" s="21">
        <f>IF(CG$1&lt;INDEX('Valo FX'!$Q:$Q,MATCH($A8,'Valo FX'!$A:$A,0)),0,IF(CG$1&lt;INDEX('Valo FX'!$R:$R,MATCH($A8,'Valo FX'!$A:$A,0)),INDEX(Base!$U:$U,MATCH($A8,Base!$A:$A,0)),IF(CG$1=INDEX('Valo FX'!$R:$R,MATCH($A8,'Valo FX'!$A:$A,0)),INDEX(Base!$V:$V,MATCH($A8,Base!$A:$A,0)),0)))</f>
        <v>8.8259229999999995</v>
      </c>
      <c r="CH8" s="21">
        <f>IF(CH$1&lt;INDEX('Valo FX'!$Q:$Q,MATCH($A8,'Valo FX'!$A:$A,0)),0,IF(CH$1&lt;INDEX('Valo FX'!$R:$R,MATCH($A8,'Valo FX'!$A:$A,0)),INDEX(Base!$U:$U,MATCH($A8,Base!$A:$A,0)),IF(CH$1=INDEX('Valo FX'!$R:$R,MATCH($A8,'Valo FX'!$A:$A,0)),INDEX(Base!$V:$V,MATCH($A8,Base!$A:$A,0)),0)))</f>
        <v>8.8259229999999995</v>
      </c>
      <c r="CI8" s="21">
        <f>IF(CI$1&lt;INDEX('Valo FX'!$Q:$Q,MATCH($A8,'Valo FX'!$A:$A,0)),0,IF(CI$1&lt;INDEX('Valo FX'!$R:$R,MATCH($A8,'Valo FX'!$A:$A,0)),INDEX(Base!$U:$U,MATCH($A8,Base!$A:$A,0)),IF(CI$1=INDEX('Valo FX'!$R:$R,MATCH($A8,'Valo FX'!$A:$A,0)),INDEX(Base!$V:$V,MATCH($A8,Base!$A:$A,0)),0)))</f>
        <v>8.8259229999999995</v>
      </c>
      <c r="CJ8" s="21">
        <f>IF(CJ$1&lt;INDEX('Valo FX'!$Q:$Q,MATCH($A8,'Valo FX'!$A:$A,0)),0,IF(CJ$1&lt;INDEX('Valo FX'!$R:$R,MATCH($A8,'Valo FX'!$A:$A,0)),INDEX(Base!$U:$U,MATCH($A8,Base!$A:$A,0)),IF(CJ$1=INDEX('Valo FX'!$R:$R,MATCH($A8,'Valo FX'!$A:$A,0)),INDEX(Base!$V:$V,MATCH($A8,Base!$A:$A,0)),0)))</f>
        <v>8.8259229999999995</v>
      </c>
      <c r="CK8" s="21">
        <f>IF(CK$1&lt;INDEX('Valo FX'!$Q:$Q,MATCH($A8,'Valo FX'!$A:$A,0)),0,IF(CK$1&lt;INDEX('Valo FX'!$R:$R,MATCH($A8,'Valo FX'!$A:$A,0)),INDEX(Base!$U:$U,MATCH($A8,Base!$A:$A,0)),IF(CK$1=INDEX('Valo FX'!$R:$R,MATCH($A8,'Valo FX'!$A:$A,0)),INDEX(Base!$V:$V,MATCH($A8,Base!$A:$A,0)),0)))</f>
        <v>8.8259229999999995</v>
      </c>
      <c r="CL8" s="21">
        <f>IF(CL$1&lt;INDEX('Valo FX'!$Q:$Q,MATCH($A8,'Valo FX'!$A:$A,0)),0,IF(CL$1&lt;INDEX('Valo FX'!$R:$R,MATCH($A8,'Valo FX'!$A:$A,0)),INDEX(Base!$U:$U,MATCH($A8,Base!$A:$A,0)),IF(CL$1=INDEX('Valo FX'!$R:$R,MATCH($A8,'Valo FX'!$A:$A,0)),INDEX(Base!$V:$V,MATCH($A8,Base!$A:$A,0)),0)))</f>
        <v>8.8259229999999995</v>
      </c>
      <c r="CM8" s="21">
        <f>IF(CM$1&lt;INDEX('Valo FX'!$Q:$Q,MATCH($A8,'Valo FX'!$A:$A,0)),0,IF(CM$1&lt;INDEX('Valo FX'!$R:$R,MATCH($A8,'Valo FX'!$A:$A,0)),INDEX(Base!$U:$U,MATCH($A8,Base!$A:$A,0)),IF(CM$1=INDEX('Valo FX'!$R:$R,MATCH($A8,'Valo FX'!$A:$A,0)),INDEX(Base!$V:$V,MATCH($A8,Base!$A:$A,0)),0)))</f>
        <v>8.8259229999999995</v>
      </c>
      <c r="CN8" s="21">
        <f>IF(CN$1&lt;INDEX('Valo FX'!$Q:$Q,MATCH($A8,'Valo FX'!$A:$A,0)),0,IF(CN$1&lt;INDEX('Valo FX'!$R:$R,MATCH($A8,'Valo FX'!$A:$A,0)),INDEX(Base!$U:$U,MATCH($A8,Base!$A:$A,0)),IF(CN$1=INDEX('Valo FX'!$R:$R,MATCH($A8,'Valo FX'!$A:$A,0)),INDEX(Base!$V:$V,MATCH($A8,Base!$A:$A,0)),0)))</f>
        <v>8.8259229999999995</v>
      </c>
      <c r="CO8" s="21">
        <f>IF(CO$1&lt;INDEX('Valo FX'!$Q:$Q,MATCH($A8,'Valo FX'!$A:$A,0)),0,IF(CO$1&lt;INDEX('Valo FX'!$R:$R,MATCH($A8,'Valo FX'!$A:$A,0)),INDEX(Base!$U:$U,MATCH($A8,Base!$A:$A,0)),IF(CO$1=INDEX('Valo FX'!$R:$R,MATCH($A8,'Valo FX'!$A:$A,0)),INDEX(Base!$V:$V,MATCH($A8,Base!$A:$A,0)),0)))</f>
        <v>8.8259229999999995</v>
      </c>
      <c r="CP8" s="21">
        <f>IF(CP$1&lt;INDEX('Valo FX'!$Q:$Q,MATCH($A8,'Valo FX'!$A:$A,0)),0,IF(CP$1&lt;INDEX('Valo FX'!$R:$R,MATCH($A8,'Valo FX'!$A:$A,0)),INDEX(Base!$U:$U,MATCH($A8,Base!$A:$A,0)),IF(CP$1=INDEX('Valo FX'!$R:$R,MATCH($A8,'Valo FX'!$A:$A,0)),INDEX(Base!$V:$V,MATCH($A8,Base!$A:$A,0)),0)))</f>
        <v>8.8259229999999995</v>
      </c>
      <c r="CQ8" s="21">
        <f>IF(CQ$1&lt;INDEX('Valo FX'!$Q:$Q,MATCH($A8,'Valo FX'!$A:$A,0)),0,IF(CQ$1&lt;INDEX('Valo FX'!$R:$R,MATCH($A8,'Valo FX'!$A:$A,0)),INDEX(Base!$U:$U,MATCH($A8,Base!$A:$A,0)),IF(CQ$1=INDEX('Valo FX'!$R:$R,MATCH($A8,'Valo FX'!$A:$A,0)),INDEX(Base!$V:$V,MATCH($A8,Base!$A:$A,0)),0)))</f>
        <v>8.8259229999999995</v>
      </c>
      <c r="CR8" s="21">
        <f>IF(CR$1&lt;INDEX('Valo FX'!$Q:$Q,MATCH($A8,'Valo FX'!$A:$A,0)),0,IF(CR$1&lt;INDEX('Valo FX'!$R:$R,MATCH($A8,'Valo FX'!$A:$A,0)),INDEX(Base!$U:$U,MATCH($A8,Base!$A:$A,0)),IF(CR$1=INDEX('Valo FX'!$R:$R,MATCH($A8,'Valo FX'!$A:$A,0)),INDEX(Base!$V:$V,MATCH($A8,Base!$A:$A,0)),0)))</f>
        <v>8.8259229999999995</v>
      </c>
      <c r="CS8" s="21">
        <f>IF(CS$1&lt;INDEX('Valo FX'!$Q:$Q,MATCH($A8,'Valo FX'!$A:$A,0)),0,IF(CS$1&lt;INDEX('Valo FX'!$R:$R,MATCH($A8,'Valo FX'!$A:$A,0)),INDEX(Base!$U:$U,MATCH($A8,Base!$A:$A,0)),IF(CS$1=INDEX('Valo FX'!$R:$R,MATCH($A8,'Valo FX'!$A:$A,0)),INDEX(Base!$V:$V,MATCH($A8,Base!$A:$A,0)),0)))</f>
        <v>8.8259229999999995</v>
      </c>
      <c r="CT8" s="21">
        <f>IF(CT$1&lt;INDEX('Valo FX'!$Q:$Q,MATCH($A8,'Valo FX'!$A:$A,0)),0,IF(CT$1&lt;INDEX('Valo FX'!$R:$R,MATCH($A8,'Valo FX'!$A:$A,0)),INDEX(Base!$U:$U,MATCH($A8,Base!$A:$A,0)),IF(CT$1=INDEX('Valo FX'!$R:$R,MATCH($A8,'Valo FX'!$A:$A,0)),INDEX(Base!$V:$V,MATCH($A8,Base!$A:$A,0)),0)))</f>
        <v>8.8259229999999995</v>
      </c>
      <c r="CU8" s="21">
        <f>IF(CU$1&lt;INDEX('Valo FX'!$Q:$Q,MATCH($A8,'Valo FX'!$A:$A,0)),0,IF(CU$1&lt;INDEX('Valo FX'!$R:$R,MATCH($A8,'Valo FX'!$A:$A,0)),INDEX(Base!$U:$U,MATCH($A8,Base!$A:$A,0)),IF(CU$1=INDEX('Valo FX'!$R:$R,MATCH($A8,'Valo FX'!$A:$A,0)),INDEX(Base!$V:$V,MATCH($A8,Base!$A:$A,0)),0)))</f>
        <v>8.8259229999999995</v>
      </c>
      <c r="CV8" s="21">
        <f>IF(CV$1&lt;INDEX('Valo FX'!$Q:$Q,MATCH($A8,'Valo FX'!$A:$A,0)),0,IF(CV$1&lt;INDEX('Valo FX'!$R:$R,MATCH($A8,'Valo FX'!$A:$A,0)),INDEX(Base!$U:$U,MATCH($A8,Base!$A:$A,0)),IF(CV$1=INDEX('Valo FX'!$R:$R,MATCH($A8,'Valo FX'!$A:$A,0)),INDEX(Base!$V:$V,MATCH($A8,Base!$A:$A,0)),0)))</f>
        <v>8.8259229999999995</v>
      </c>
      <c r="CW8" s="21">
        <f>IF(CW$1&lt;INDEX('Valo FX'!$Q:$Q,MATCH($A8,'Valo FX'!$A:$A,0)),0,IF(CW$1&lt;INDEX('Valo FX'!$R:$R,MATCH($A8,'Valo FX'!$A:$A,0)),INDEX(Base!$U:$U,MATCH($A8,Base!$A:$A,0)),IF(CW$1=INDEX('Valo FX'!$R:$R,MATCH($A8,'Valo FX'!$A:$A,0)),INDEX(Base!$V:$V,MATCH($A8,Base!$A:$A,0)),0)))</f>
        <v>8.8259229999999995</v>
      </c>
      <c r="CX8" s="21">
        <f>IF(CX$1&lt;INDEX('Valo FX'!$Q:$Q,MATCH($A8,'Valo FX'!$A:$A,0)),0,IF(CX$1&lt;INDEX('Valo FX'!$R:$R,MATCH($A8,'Valo FX'!$A:$A,0)),INDEX(Base!$U:$U,MATCH($A8,Base!$A:$A,0)),IF(CX$1=INDEX('Valo FX'!$R:$R,MATCH($A8,'Valo FX'!$A:$A,0)),INDEX(Base!$V:$V,MATCH($A8,Base!$A:$A,0)),0)))</f>
        <v>8.8259229999999995</v>
      </c>
      <c r="CY8" s="21">
        <f>IF(CY$1&lt;INDEX('Valo FX'!$Q:$Q,MATCH($A8,'Valo FX'!$A:$A,0)),0,IF(CY$1&lt;INDEX('Valo FX'!$R:$R,MATCH($A8,'Valo FX'!$A:$A,0)),INDEX(Base!$U:$U,MATCH($A8,Base!$A:$A,0)),IF(CY$1=INDEX('Valo FX'!$R:$R,MATCH($A8,'Valo FX'!$A:$A,0)),INDEX(Base!$V:$V,MATCH($A8,Base!$A:$A,0)),0)))</f>
        <v>8.8259229999999995</v>
      </c>
      <c r="CZ8" s="21">
        <f>IF(CZ$1&lt;INDEX('Valo FX'!$Q:$Q,MATCH($A8,'Valo FX'!$A:$A,0)),0,IF(CZ$1&lt;INDEX('Valo FX'!$R:$R,MATCH($A8,'Valo FX'!$A:$A,0)),INDEX(Base!$U:$U,MATCH($A8,Base!$A:$A,0)),IF(CZ$1=INDEX('Valo FX'!$R:$R,MATCH($A8,'Valo FX'!$A:$A,0)),INDEX(Base!$V:$V,MATCH($A8,Base!$A:$A,0)),0)))</f>
        <v>8.8259229999999995</v>
      </c>
      <c r="DA8" s="21">
        <f>IF(DA$1&lt;INDEX('Valo FX'!$Q:$Q,MATCH($A8,'Valo FX'!$A:$A,0)),0,IF(DA$1&lt;INDEX('Valo FX'!$R:$R,MATCH($A8,'Valo FX'!$A:$A,0)),INDEX(Base!$U:$U,MATCH($A8,Base!$A:$A,0)),IF(DA$1=INDEX('Valo FX'!$R:$R,MATCH($A8,'Valo FX'!$A:$A,0)),INDEX(Base!$V:$V,MATCH($A8,Base!$A:$A,0)),0)))</f>
        <v>8.8259229999999995</v>
      </c>
      <c r="DB8" s="21">
        <f>IF(DB$1&lt;INDEX('Valo FX'!$Q:$Q,MATCH($A8,'Valo FX'!$A:$A,0)),0,IF(DB$1&lt;INDEX('Valo FX'!$R:$R,MATCH($A8,'Valo FX'!$A:$A,0)),INDEX(Base!$U:$U,MATCH($A8,Base!$A:$A,0)),IF(DB$1=INDEX('Valo FX'!$R:$R,MATCH($A8,'Valo FX'!$A:$A,0)),INDEX(Base!$V:$V,MATCH($A8,Base!$A:$A,0)),0)))</f>
        <v>8.8259229999999995</v>
      </c>
      <c r="DC8" s="21">
        <f>IF(DC$1&lt;INDEX('Valo FX'!$Q:$Q,MATCH($A8,'Valo FX'!$A:$A,0)),0,IF(DC$1&lt;INDEX('Valo FX'!$R:$R,MATCH($A8,'Valo FX'!$A:$A,0)),INDEX(Base!$U:$U,MATCH($A8,Base!$A:$A,0)),IF(DC$1=INDEX('Valo FX'!$R:$R,MATCH($A8,'Valo FX'!$A:$A,0)),INDEX(Base!$V:$V,MATCH($A8,Base!$A:$A,0)),0)))</f>
        <v>8.8259229999999995</v>
      </c>
      <c r="DD8" s="21">
        <f>IF(DD$1&lt;INDEX('Valo FX'!$Q:$Q,MATCH($A8,'Valo FX'!$A:$A,0)),0,IF(DD$1&lt;INDEX('Valo FX'!$R:$R,MATCH($A8,'Valo FX'!$A:$A,0)),INDEX(Base!$U:$U,MATCH($A8,Base!$A:$A,0)),IF(DD$1=INDEX('Valo FX'!$R:$R,MATCH($A8,'Valo FX'!$A:$A,0)),INDEX(Base!$V:$V,MATCH($A8,Base!$A:$A,0)),0)))</f>
        <v>8.8259229999999995</v>
      </c>
      <c r="DE8" s="21">
        <f>IF(DE$1&lt;INDEX('Valo FX'!$Q:$Q,MATCH($A8,'Valo FX'!$A:$A,0)),0,IF(DE$1&lt;INDEX('Valo FX'!$R:$R,MATCH($A8,'Valo FX'!$A:$A,0)),INDEX(Base!$U:$U,MATCH($A8,Base!$A:$A,0)),IF(DE$1=INDEX('Valo FX'!$R:$R,MATCH($A8,'Valo FX'!$A:$A,0)),INDEX(Base!$V:$V,MATCH($A8,Base!$A:$A,0)),0)))</f>
        <v>8.8259229999999995</v>
      </c>
      <c r="DF8" s="21">
        <f>IF(DF$1&lt;INDEX('Valo FX'!$Q:$Q,MATCH($A8,'Valo FX'!$A:$A,0)),0,IF(DF$1&lt;INDEX('Valo FX'!$R:$R,MATCH($A8,'Valo FX'!$A:$A,0)),INDEX(Base!$U:$U,MATCH($A8,Base!$A:$A,0)),IF(DF$1=INDEX('Valo FX'!$R:$R,MATCH($A8,'Valo FX'!$A:$A,0)),INDEX(Base!$V:$V,MATCH($A8,Base!$A:$A,0)),0)))</f>
        <v>8.8259229999999995</v>
      </c>
      <c r="DG8" s="21">
        <f>IF(DG$1&lt;INDEX('Valo FX'!$Q:$Q,MATCH($A8,'Valo FX'!$A:$A,0)),0,IF(DG$1&lt;INDEX('Valo FX'!$R:$R,MATCH($A8,'Valo FX'!$A:$A,0)),INDEX(Base!$U:$U,MATCH($A8,Base!$A:$A,0)),IF(DG$1=INDEX('Valo FX'!$R:$R,MATCH($A8,'Valo FX'!$A:$A,0)),INDEX(Base!$V:$V,MATCH($A8,Base!$A:$A,0)),0)))</f>
        <v>8.8259229999999995</v>
      </c>
      <c r="DH8" s="21">
        <f>IF(DH$1&lt;INDEX('Valo FX'!$Q:$Q,MATCH($A8,'Valo FX'!$A:$A,0)),0,IF(DH$1&lt;INDEX('Valo FX'!$R:$R,MATCH($A8,'Valo FX'!$A:$A,0)),INDEX(Base!$U:$U,MATCH($A8,Base!$A:$A,0)),IF(DH$1=INDEX('Valo FX'!$R:$R,MATCH($A8,'Valo FX'!$A:$A,0)),INDEX(Base!$V:$V,MATCH($A8,Base!$A:$A,0)),0)))</f>
        <v>8.8259229999999995</v>
      </c>
      <c r="DI8" s="21">
        <f>IF(DI$1&lt;INDEX('Valo FX'!$Q:$Q,MATCH($A8,'Valo FX'!$A:$A,0)),0,IF(DI$1&lt;INDEX('Valo FX'!$R:$R,MATCH($A8,'Valo FX'!$A:$A,0)),INDEX(Base!$U:$U,MATCH($A8,Base!$A:$A,0)),IF(DI$1=INDEX('Valo FX'!$R:$R,MATCH($A8,'Valo FX'!$A:$A,0)),INDEX(Base!$V:$V,MATCH($A8,Base!$A:$A,0)),0)))</f>
        <v>8.8259229999999995</v>
      </c>
      <c r="DJ8" s="21">
        <f>IF(DJ$1&lt;INDEX('Valo FX'!$Q:$Q,MATCH($A8,'Valo FX'!$A:$A,0)),0,IF(DJ$1&lt;INDEX('Valo FX'!$R:$R,MATCH($A8,'Valo FX'!$A:$A,0)),INDEX(Base!$U:$U,MATCH($A8,Base!$A:$A,0)),IF(DJ$1=INDEX('Valo FX'!$R:$R,MATCH($A8,'Valo FX'!$A:$A,0)),INDEX(Base!$V:$V,MATCH($A8,Base!$A:$A,0)),0)))</f>
        <v>8.8259229999999995</v>
      </c>
      <c r="DK8" s="21">
        <f>IF(DK$1&lt;INDEX('Valo FX'!$Q:$Q,MATCH($A8,'Valo FX'!$A:$A,0)),0,IF(DK$1&lt;INDEX('Valo FX'!$R:$R,MATCH($A8,'Valo FX'!$A:$A,0)),INDEX(Base!$U:$U,MATCH($A8,Base!$A:$A,0)),IF(DK$1=INDEX('Valo FX'!$R:$R,MATCH($A8,'Valo FX'!$A:$A,0)),INDEX(Base!$V:$V,MATCH($A8,Base!$A:$A,0)),0)))</f>
        <v>8.8259229999999995</v>
      </c>
      <c r="DL8" s="21">
        <f>IF(DL$1&lt;INDEX('Valo FX'!$Q:$Q,MATCH($A8,'Valo FX'!$A:$A,0)),0,IF(DL$1&lt;INDEX('Valo FX'!$R:$R,MATCH($A8,'Valo FX'!$A:$A,0)),INDEX(Base!$U:$U,MATCH($A8,Base!$A:$A,0)),IF(DL$1=INDEX('Valo FX'!$R:$R,MATCH($A8,'Valo FX'!$A:$A,0)),INDEX(Base!$V:$V,MATCH($A8,Base!$A:$A,0)),0)))</f>
        <v>8.8259229999999995</v>
      </c>
      <c r="DM8" s="21">
        <f>IF(DM$1&lt;INDEX('Valo FX'!$Q:$Q,MATCH($A8,'Valo FX'!$A:$A,0)),0,IF(DM$1&lt;INDEX('Valo FX'!$R:$R,MATCH($A8,'Valo FX'!$A:$A,0)),INDEX(Base!$U:$U,MATCH($A8,Base!$A:$A,0)),IF(DM$1=INDEX('Valo FX'!$R:$R,MATCH($A8,'Valo FX'!$A:$A,0)),INDEX(Base!$V:$V,MATCH($A8,Base!$A:$A,0)),0)))</f>
        <v>8.8259229999999995</v>
      </c>
      <c r="DN8" s="21">
        <f>IF(DN$1&lt;INDEX('Valo FX'!$Q:$Q,MATCH($A8,'Valo FX'!$A:$A,0)),0,IF(DN$1&lt;INDEX('Valo FX'!$R:$R,MATCH($A8,'Valo FX'!$A:$A,0)),INDEX(Base!$U:$U,MATCH($A8,Base!$A:$A,0)),IF(DN$1=INDEX('Valo FX'!$R:$R,MATCH($A8,'Valo FX'!$A:$A,0)),INDEX(Base!$V:$V,MATCH($A8,Base!$A:$A,0)),0)))</f>
        <v>8.8259229999999995</v>
      </c>
      <c r="DO8" s="21">
        <f>IF(DO$1&lt;INDEX('Valo FX'!$Q:$Q,MATCH($A8,'Valo FX'!$A:$A,0)),0,IF(DO$1&lt;INDEX('Valo FX'!$R:$R,MATCH($A8,'Valo FX'!$A:$A,0)),INDEX(Base!$U:$U,MATCH($A8,Base!$A:$A,0)),IF(DO$1=INDEX('Valo FX'!$R:$R,MATCH($A8,'Valo FX'!$A:$A,0)),INDEX(Base!$V:$V,MATCH($A8,Base!$A:$A,0)),0)))</f>
        <v>8.8259229999999995</v>
      </c>
      <c r="DP8" s="21">
        <f>IF(DP$1&lt;INDEX('Valo FX'!$Q:$Q,MATCH($A8,'Valo FX'!$A:$A,0)),0,IF(DP$1&lt;INDEX('Valo FX'!$R:$R,MATCH($A8,'Valo FX'!$A:$A,0)),INDEX(Base!$U:$U,MATCH($A8,Base!$A:$A,0)),IF(DP$1=INDEX('Valo FX'!$R:$R,MATCH($A8,'Valo FX'!$A:$A,0)),INDEX(Base!$V:$V,MATCH($A8,Base!$A:$A,0)),0)))</f>
        <v>8.8259229999999995</v>
      </c>
      <c r="DQ8" s="21">
        <f>IF(DQ$1&lt;INDEX('Valo FX'!$Q:$Q,MATCH($A8,'Valo FX'!$A:$A,0)),0,IF(DQ$1&lt;INDEX('Valo FX'!$R:$R,MATCH($A8,'Valo FX'!$A:$A,0)),INDEX(Base!$U:$U,MATCH($A8,Base!$A:$A,0)),IF(DQ$1=INDEX('Valo FX'!$R:$R,MATCH($A8,'Valo FX'!$A:$A,0)),INDEX(Base!$V:$V,MATCH($A8,Base!$A:$A,0)),0)))</f>
        <v>8.8259229999999995</v>
      </c>
      <c r="DR8" s="21">
        <f>IF(DR$1&lt;INDEX('Valo FX'!$Q:$Q,MATCH($A8,'Valo FX'!$A:$A,0)),0,IF(DR$1&lt;INDEX('Valo FX'!$R:$R,MATCH($A8,'Valo FX'!$A:$A,0)),INDEX(Base!$U:$U,MATCH($A8,Base!$A:$A,0)),IF(DR$1=INDEX('Valo FX'!$R:$R,MATCH($A8,'Valo FX'!$A:$A,0)),INDEX(Base!$V:$V,MATCH($A8,Base!$A:$A,0)),0)))</f>
        <v>8.8259229999999995</v>
      </c>
      <c r="DS8" s="21">
        <f>IF(DS$1&lt;INDEX('Valo FX'!$Q:$Q,MATCH($A8,'Valo FX'!$A:$A,0)),0,IF(DS$1&lt;INDEX('Valo FX'!$R:$R,MATCH($A8,'Valo FX'!$A:$A,0)),INDEX(Base!$U:$U,MATCH($A8,Base!$A:$A,0)),IF(DS$1=INDEX('Valo FX'!$R:$R,MATCH($A8,'Valo FX'!$A:$A,0)),INDEX(Base!$V:$V,MATCH($A8,Base!$A:$A,0)),0)))</f>
        <v>8.8259229999999995</v>
      </c>
      <c r="DT8" s="21">
        <f>IF(DT$1&lt;INDEX('Valo FX'!$Q:$Q,MATCH($A8,'Valo FX'!$A:$A,0)),0,IF(DT$1&lt;INDEX('Valo FX'!$R:$R,MATCH($A8,'Valo FX'!$A:$A,0)),INDEX(Base!$U:$U,MATCH($A8,Base!$A:$A,0)),IF(DT$1=INDEX('Valo FX'!$R:$R,MATCH($A8,'Valo FX'!$A:$A,0)),INDEX(Base!$V:$V,MATCH($A8,Base!$A:$A,0)),0)))</f>
        <v>8.8259229999999995</v>
      </c>
      <c r="DU8" s="21">
        <f>IF(DU$1&lt;INDEX('Valo FX'!$Q:$Q,MATCH($A8,'Valo FX'!$A:$A,0)),0,IF(DU$1&lt;INDEX('Valo FX'!$R:$R,MATCH($A8,'Valo FX'!$A:$A,0)),INDEX(Base!$U:$U,MATCH($A8,Base!$A:$A,0)),IF(DU$1=INDEX('Valo FX'!$R:$R,MATCH($A8,'Valo FX'!$A:$A,0)),INDEX(Base!$V:$V,MATCH($A8,Base!$A:$A,0)),0)))</f>
        <v>8.8259229999999995</v>
      </c>
      <c r="DV8" s="21">
        <f>IF(DV$1&lt;INDEX('Valo FX'!$Q:$Q,MATCH($A8,'Valo FX'!$A:$A,0)),0,IF(DV$1&lt;INDEX('Valo FX'!$R:$R,MATCH($A8,'Valo FX'!$A:$A,0)),INDEX(Base!$U:$U,MATCH($A8,Base!$A:$A,0)),IF(DV$1=INDEX('Valo FX'!$R:$R,MATCH($A8,'Valo FX'!$A:$A,0)),INDEX(Base!$V:$V,MATCH($A8,Base!$A:$A,0)),0)))</f>
        <v>8.8259229999999995</v>
      </c>
      <c r="DW8" s="21">
        <f>IF(DW$1&lt;INDEX('Valo FX'!$Q:$Q,MATCH($A8,'Valo FX'!$A:$A,0)),0,IF(DW$1&lt;INDEX('Valo FX'!$R:$R,MATCH($A8,'Valo FX'!$A:$A,0)),INDEX(Base!$U:$U,MATCH($A8,Base!$A:$A,0)),IF(DW$1=INDEX('Valo FX'!$R:$R,MATCH($A8,'Valo FX'!$A:$A,0)),INDEX(Base!$V:$V,MATCH($A8,Base!$A:$A,0)),0)))</f>
        <v>8.8259229999999995</v>
      </c>
      <c r="DX8" s="21">
        <f>IF(DX$1&lt;INDEX('Valo FX'!$Q:$Q,MATCH($A8,'Valo FX'!$A:$A,0)),0,IF(DX$1&lt;INDEX('Valo FX'!$R:$R,MATCH($A8,'Valo FX'!$A:$A,0)),INDEX(Base!$U:$U,MATCH($A8,Base!$A:$A,0)),IF(DX$1=INDEX('Valo FX'!$R:$R,MATCH($A8,'Valo FX'!$A:$A,0)),INDEX(Base!$V:$V,MATCH($A8,Base!$A:$A,0)),0)))</f>
        <v>8.8259229999999995</v>
      </c>
      <c r="DY8" s="21">
        <f>IF(DY$1&lt;INDEX('Valo FX'!$Q:$Q,MATCH($A8,'Valo FX'!$A:$A,0)),0,IF(DY$1&lt;INDEX('Valo FX'!$R:$R,MATCH($A8,'Valo FX'!$A:$A,0)),INDEX(Base!$U:$U,MATCH($A8,Base!$A:$A,0)),IF(DY$1=INDEX('Valo FX'!$R:$R,MATCH($A8,'Valo FX'!$A:$A,0)),INDEX(Base!$V:$V,MATCH($A8,Base!$A:$A,0)),0)))</f>
        <v>8.8259229999999995</v>
      </c>
      <c r="DZ8" s="21">
        <f>IF(DZ$1&lt;INDEX('Valo FX'!$Q:$Q,MATCH($A8,'Valo FX'!$A:$A,0)),0,IF(DZ$1&lt;INDEX('Valo FX'!$R:$R,MATCH($A8,'Valo FX'!$A:$A,0)),INDEX(Base!$U:$U,MATCH($A8,Base!$A:$A,0)),IF(DZ$1=INDEX('Valo FX'!$R:$R,MATCH($A8,'Valo FX'!$A:$A,0)),INDEX(Base!$V:$V,MATCH($A8,Base!$A:$A,0)),0)))</f>
        <v>8.8259229999999995</v>
      </c>
      <c r="EA8" s="21">
        <f>IF(EA$1&lt;INDEX('Valo FX'!$Q:$Q,MATCH($A8,'Valo FX'!$A:$A,0)),0,IF(EA$1&lt;INDEX('Valo FX'!$R:$R,MATCH($A8,'Valo FX'!$A:$A,0)),INDEX(Base!$U:$U,MATCH($A8,Base!$A:$A,0)),IF(EA$1=INDEX('Valo FX'!$R:$R,MATCH($A8,'Valo FX'!$A:$A,0)),INDEX(Base!$V:$V,MATCH($A8,Base!$A:$A,0)),0)))</f>
        <v>8.8259229999999995</v>
      </c>
      <c r="EB8" s="21">
        <f>IF(EB$1&lt;INDEX('Valo FX'!$Q:$Q,MATCH($A8,'Valo FX'!$A:$A,0)),0,IF(EB$1&lt;INDEX('Valo FX'!$R:$R,MATCH($A8,'Valo FX'!$A:$A,0)),INDEX(Base!$U:$U,MATCH($A8,Base!$A:$A,0)),IF(EB$1=INDEX('Valo FX'!$R:$R,MATCH($A8,'Valo FX'!$A:$A,0)),INDEX(Base!$V:$V,MATCH($A8,Base!$A:$A,0)),0)))</f>
        <v>8.8259229999999995</v>
      </c>
      <c r="EC8" s="21">
        <f>IF(EC$1&lt;INDEX('Valo FX'!$Q:$Q,MATCH($A8,'Valo FX'!$A:$A,0)),0,IF(EC$1&lt;INDEX('Valo FX'!$R:$R,MATCH($A8,'Valo FX'!$A:$A,0)),INDEX(Base!$U:$U,MATCH($A8,Base!$A:$A,0)),IF(EC$1=INDEX('Valo FX'!$R:$R,MATCH($A8,'Valo FX'!$A:$A,0)),INDEX(Base!$V:$V,MATCH($A8,Base!$A:$A,0)),0)))</f>
        <v>8.8259229999999995</v>
      </c>
      <c r="ED8" s="21">
        <f>IF(ED$1&lt;INDEX('Valo FX'!$Q:$Q,MATCH($A8,'Valo FX'!$A:$A,0)),0,IF(ED$1&lt;INDEX('Valo FX'!$R:$R,MATCH($A8,'Valo FX'!$A:$A,0)),INDEX(Base!$U:$U,MATCH($A8,Base!$A:$A,0)),IF(ED$1=INDEX('Valo FX'!$R:$R,MATCH($A8,'Valo FX'!$A:$A,0)),INDEX(Base!$V:$V,MATCH($A8,Base!$A:$A,0)),0)))</f>
        <v>8.8259229999999995</v>
      </c>
      <c r="EE8" s="21">
        <f>IF(EE$1&lt;INDEX('Valo FX'!$Q:$Q,MATCH($A8,'Valo FX'!$A:$A,0)),0,IF(EE$1&lt;INDEX('Valo FX'!$R:$R,MATCH($A8,'Valo FX'!$A:$A,0)),INDEX(Base!$U:$U,MATCH($A8,Base!$A:$A,0)),IF(EE$1=INDEX('Valo FX'!$R:$R,MATCH($A8,'Valo FX'!$A:$A,0)),INDEX(Base!$V:$V,MATCH($A8,Base!$A:$A,0)),0)))</f>
        <v>8.8259229999999995</v>
      </c>
      <c r="EF8" s="21">
        <f>IF(EF$1&lt;INDEX('Valo FX'!$Q:$Q,MATCH($A8,'Valo FX'!$A:$A,0)),0,IF(EF$1&lt;INDEX('Valo FX'!$R:$R,MATCH($A8,'Valo FX'!$A:$A,0)),INDEX(Base!$U:$U,MATCH($A8,Base!$A:$A,0)),IF(EF$1=INDEX('Valo FX'!$R:$R,MATCH($A8,'Valo FX'!$A:$A,0)),INDEX(Base!$V:$V,MATCH($A8,Base!$A:$A,0)),0)))</f>
        <v>8.8259229999999995</v>
      </c>
      <c r="EG8" s="21">
        <f>IF(EG$1&lt;INDEX('Valo FX'!$Q:$Q,MATCH($A8,'Valo FX'!$A:$A,0)),0,IF(EG$1&lt;INDEX('Valo FX'!$R:$R,MATCH($A8,'Valo FX'!$A:$A,0)),INDEX(Base!$U:$U,MATCH($A8,Base!$A:$A,0)),IF(EG$1=INDEX('Valo FX'!$R:$R,MATCH($A8,'Valo FX'!$A:$A,0)),INDEX(Base!$V:$V,MATCH($A8,Base!$A:$A,0)),0)))</f>
        <v>8.8259229999999995</v>
      </c>
      <c r="EH8" s="21">
        <f>IF(EH$1&lt;INDEX('Valo FX'!$Q:$Q,MATCH($A8,'Valo FX'!$A:$A,0)),0,IF(EH$1&lt;INDEX('Valo FX'!$R:$R,MATCH($A8,'Valo FX'!$A:$A,0)),INDEX(Base!$U:$U,MATCH($A8,Base!$A:$A,0)),IF(EH$1=INDEX('Valo FX'!$R:$R,MATCH($A8,'Valo FX'!$A:$A,0)),INDEX(Base!$V:$V,MATCH($A8,Base!$A:$A,0)),0)))</f>
        <v>8.8259229999999995</v>
      </c>
      <c r="EI8" s="21">
        <f>IF(EI$1&lt;INDEX('Valo FX'!$Q:$Q,MATCH($A8,'Valo FX'!$A:$A,0)),0,IF(EI$1&lt;INDEX('Valo FX'!$R:$R,MATCH($A8,'Valo FX'!$A:$A,0)),INDEX(Base!$U:$U,MATCH($A8,Base!$A:$A,0)),IF(EI$1=INDEX('Valo FX'!$R:$R,MATCH($A8,'Valo FX'!$A:$A,0)),INDEX(Base!$V:$V,MATCH($A8,Base!$A:$A,0)),0)))</f>
        <v>8.8259229999999995</v>
      </c>
      <c r="EJ8" s="21">
        <f>IF(EJ$1&lt;INDEX('Valo FX'!$Q:$Q,MATCH($A8,'Valo FX'!$A:$A,0)),0,IF(EJ$1&lt;INDEX('Valo FX'!$R:$R,MATCH($A8,'Valo FX'!$A:$A,0)),INDEX(Base!$U:$U,MATCH($A8,Base!$A:$A,0)),IF(EJ$1=INDEX('Valo FX'!$R:$R,MATCH($A8,'Valo FX'!$A:$A,0)),INDEX(Base!$V:$V,MATCH($A8,Base!$A:$A,0)),0)))</f>
        <v>8.8259229999999995</v>
      </c>
      <c r="EK8" s="21">
        <f>IF(EK$1&lt;INDEX('Valo FX'!$Q:$Q,MATCH($A8,'Valo FX'!$A:$A,0)),0,IF(EK$1&lt;INDEX('Valo FX'!$R:$R,MATCH($A8,'Valo FX'!$A:$A,0)),INDEX(Base!$U:$U,MATCH($A8,Base!$A:$A,0)),IF(EK$1=INDEX('Valo FX'!$R:$R,MATCH($A8,'Valo FX'!$A:$A,0)),INDEX(Base!$V:$V,MATCH($A8,Base!$A:$A,0)),0)))</f>
        <v>8.8259229999999995</v>
      </c>
      <c r="EL8" s="21">
        <f>IF(EL$1&lt;INDEX('Valo FX'!$Q:$Q,MATCH($A8,'Valo FX'!$A:$A,0)),0,IF(EL$1&lt;INDEX('Valo FX'!$R:$R,MATCH($A8,'Valo FX'!$A:$A,0)),INDEX(Base!$U:$U,MATCH($A8,Base!$A:$A,0)),IF(EL$1=INDEX('Valo FX'!$R:$R,MATCH($A8,'Valo FX'!$A:$A,0)),INDEX(Base!$V:$V,MATCH($A8,Base!$A:$A,0)),0)))</f>
        <v>8.8259229999999995</v>
      </c>
      <c r="EM8" s="21">
        <f>IF(EM$1&lt;INDEX('Valo FX'!$Q:$Q,MATCH($A8,'Valo FX'!$A:$A,0)),0,IF(EM$1&lt;INDEX('Valo FX'!$R:$R,MATCH($A8,'Valo FX'!$A:$A,0)),INDEX(Base!$U:$U,MATCH($A8,Base!$A:$A,0)),IF(EM$1=INDEX('Valo FX'!$R:$R,MATCH($A8,'Valo FX'!$A:$A,0)),INDEX(Base!$V:$V,MATCH($A8,Base!$A:$A,0)),0)))</f>
        <v>8.8259229999999995</v>
      </c>
      <c r="EN8" s="21">
        <f>IF(EN$1&lt;INDEX('Valo FX'!$Q:$Q,MATCH($A8,'Valo FX'!$A:$A,0)),0,IF(EN$1&lt;INDEX('Valo FX'!$R:$R,MATCH($A8,'Valo FX'!$A:$A,0)),INDEX(Base!$U:$U,MATCH($A8,Base!$A:$A,0)),IF(EN$1=INDEX('Valo FX'!$R:$R,MATCH($A8,'Valo FX'!$A:$A,0)),INDEX(Base!$V:$V,MATCH($A8,Base!$A:$A,0)),0)))</f>
        <v>8.8259229999999995</v>
      </c>
      <c r="EO8" s="21">
        <f>IF(EO$1&lt;INDEX('Valo FX'!$Q:$Q,MATCH($A8,'Valo FX'!$A:$A,0)),0,IF(EO$1&lt;INDEX('Valo FX'!$R:$R,MATCH($A8,'Valo FX'!$A:$A,0)),INDEX(Base!$U:$U,MATCH($A8,Base!$A:$A,0)),IF(EO$1=INDEX('Valo FX'!$R:$R,MATCH($A8,'Valo FX'!$A:$A,0)),INDEX(Base!$V:$V,MATCH($A8,Base!$A:$A,0)),0)))</f>
        <v>8.8259229999999995</v>
      </c>
      <c r="EP8" s="21">
        <f>IF(EP$1&lt;INDEX('Valo FX'!$Q:$Q,MATCH($A8,'Valo FX'!$A:$A,0)),0,IF(EP$1&lt;INDEX('Valo FX'!$R:$R,MATCH($A8,'Valo FX'!$A:$A,0)),INDEX(Base!$U:$U,MATCH($A8,Base!$A:$A,0)),IF(EP$1=INDEX('Valo FX'!$R:$R,MATCH($A8,'Valo FX'!$A:$A,0)),INDEX(Base!$V:$V,MATCH($A8,Base!$A:$A,0)),0)))</f>
        <v>8.8259229999999995</v>
      </c>
      <c r="EQ8" s="21">
        <f>IF(EQ$1&lt;INDEX('Valo FX'!$Q:$Q,MATCH($A8,'Valo FX'!$A:$A,0)),0,IF(EQ$1&lt;INDEX('Valo FX'!$R:$R,MATCH($A8,'Valo FX'!$A:$A,0)),INDEX(Base!$U:$U,MATCH($A8,Base!$A:$A,0)),IF(EQ$1=INDEX('Valo FX'!$R:$R,MATCH($A8,'Valo FX'!$A:$A,0)),INDEX(Base!$V:$V,MATCH($A8,Base!$A:$A,0)),0)))</f>
        <v>8.8259229999999995</v>
      </c>
      <c r="ER8" s="21">
        <f>IF(ER$1&lt;INDEX('Valo FX'!$Q:$Q,MATCH($A8,'Valo FX'!$A:$A,0)),0,IF(ER$1&lt;INDEX('Valo FX'!$R:$R,MATCH($A8,'Valo FX'!$A:$A,0)),INDEX(Base!$U:$U,MATCH($A8,Base!$A:$A,0)),IF(ER$1=INDEX('Valo FX'!$R:$R,MATCH($A8,'Valo FX'!$A:$A,0)),INDEX(Base!$V:$V,MATCH($A8,Base!$A:$A,0)),0)))</f>
        <v>8.8259229999999995</v>
      </c>
      <c r="ES8" s="21">
        <f>IF(ES$1&lt;INDEX('Valo FX'!$Q:$Q,MATCH($A8,'Valo FX'!$A:$A,0)),0,IF(ES$1&lt;INDEX('Valo FX'!$R:$R,MATCH($A8,'Valo FX'!$A:$A,0)),INDEX(Base!$U:$U,MATCH($A8,Base!$A:$A,0)),IF(ES$1=INDEX('Valo FX'!$R:$R,MATCH($A8,'Valo FX'!$A:$A,0)),INDEX(Base!$V:$V,MATCH($A8,Base!$A:$A,0)),0)))</f>
        <v>8.8259229999999995</v>
      </c>
      <c r="ET8" s="21">
        <f>IF(ET$1&lt;INDEX('Valo FX'!$Q:$Q,MATCH($A8,'Valo FX'!$A:$A,0)),0,IF(ET$1&lt;INDEX('Valo FX'!$R:$R,MATCH($A8,'Valo FX'!$A:$A,0)),INDEX(Base!$U:$U,MATCH($A8,Base!$A:$A,0)),IF(ET$1=INDEX('Valo FX'!$R:$R,MATCH($A8,'Valo FX'!$A:$A,0)),INDEX(Base!$V:$V,MATCH($A8,Base!$A:$A,0)),0)))</f>
        <v>8.8259229999999995</v>
      </c>
      <c r="EU8" s="21">
        <f>IF(EU$1&lt;INDEX('Valo FX'!$Q:$Q,MATCH($A8,'Valo FX'!$A:$A,0)),0,IF(EU$1&lt;INDEX('Valo FX'!$R:$R,MATCH($A8,'Valo FX'!$A:$A,0)),INDEX(Base!$U:$U,MATCH($A8,Base!$A:$A,0)),IF(EU$1=INDEX('Valo FX'!$R:$R,MATCH($A8,'Valo FX'!$A:$A,0)),INDEX(Base!$V:$V,MATCH($A8,Base!$A:$A,0)),0)))</f>
        <v>8.8259229999999995</v>
      </c>
      <c r="EV8" s="21">
        <f>IF(EV$1&lt;INDEX('Valo FX'!$Q:$Q,MATCH($A8,'Valo FX'!$A:$A,0)),0,IF(EV$1&lt;INDEX('Valo FX'!$R:$R,MATCH($A8,'Valo FX'!$A:$A,0)),INDEX(Base!$U:$U,MATCH($A8,Base!$A:$A,0)),IF(EV$1=INDEX('Valo FX'!$R:$R,MATCH($A8,'Valo FX'!$A:$A,0)),INDEX(Base!$V:$V,MATCH($A8,Base!$A:$A,0)),0)))</f>
        <v>8.8259229999999995</v>
      </c>
      <c r="EW8" s="21">
        <f>IF(EW$1&lt;INDEX('Valo FX'!$Q:$Q,MATCH($A8,'Valo FX'!$A:$A,0)),0,IF(EW$1&lt;INDEX('Valo FX'!$R:$R,MATCH($A8,'Valo FX'!$A:$A,0)),INDEX(Base!$U:$U,MATCH($A8,Base!$A:$A,0)),IF(EW$1=INDEX('Valo FX'!$R:$R,MATCH($A8,'Valo FX'!$A:$A,0)),INDEX(Base!$V:$V,MATCH($A8,Base!$A:$A,0)),0)))</f>
        <v>8.8259229999999995</v>
      </c>
      <c r="EX8" s="21">
        <f>IF(EX$1&lt;INDEX('Valo FX'!$Q:$Q,MATCH($A8,'Valo FX'!$A:$A,0)),0,IF(EX$1&lt;INDEX('Valo FX'!$R:$R,MATCH($A8,'Valo FX'!$A:$A,0)),INDEX(Base!$U:$U,MATCH($A8,Base!$A:$A,0)),IF(EX$1=INDEX('Valo FX'!$R:$R,MATCH($A8,'Valo FX'!$A:$A,0)),INDEX(Base!$V:$V,MATCH($A8,Base!$A:$A,0)),0)))</f>
        <v>8.8259229999999995</v>
      </c>
      <c r="EY8" s="21">
        <f>IF(EY$1&lt;INDEX('Valo FX'!$Q:$Q,MATCH($A8,'Valo FX'!$A:$A,0)),0,IF(EY$1&lt;INDEX('Valo FX'!$R:$R,MATCH($A8,'Valo FX'!$A:$A,0)),INDEX(Base!$U:$U,MATCH($A8,Base!$A:$A,0)),IF(EY$1=INDEX('Valo FX'!$R:$R,MATCH($A8,'Valo FX'!$A:$A,0)),INDEX(Base!$V:$V,MATCH($A8,Base!$A:$A,0)),0)))</f>
        <v>8.8259229999999995</v>
      </c>
      <c r="EZ8" s="21">
        <f>IF(EZ$1&lt;INDEX('Valo FX'!$Q:$Q,MATCH($A8,'Valo FX'!$A:$A,0)),0,IF(EZ$1&lt;INDEX('Valo FX'!$R:$R,MATCH($A8,'Valo FX'!$A:$A,0)),INDEX(Base!$U:$U,MATCH($A8,Base!$A:$A,0)),IF(EZ$1=INDEX('Valo FX'!$R:$R,MATCH($A8,'Valo FX'!$A:$A,0)),INDEX(Base!$V:$V,MATCH($A8,Base!$A:$A,0)),0)))</f>
        <v>8.8259229999999995</v>
      </c>
      <c r="FA8" s="21">
        <f>IF(FA$1&lt;INDEX('Valo FX'!$Q:$Q,MATCH($A8,'Valo FX'!$A:$A,0)),0,IF(FA$1&lt;INDEX('Valo FX'!$R:$R,MATCH($A8,'Valo FX'!$A:$A,0)),INDEX(Base!$U:$U,MATCH($A8,Base!$A:$A,0)),IF(FA$1=INDEX('Valo FX'!$R:$R,MATCH($A8,'Valo FX'!$A:$A,0)),INDEX(Base!$V:$V,MATCH($A8,Base!$A:$A,0)),0)))</f>
        <v>8.8259229999999995</v>
      </c>
      <c r="FB8" s="21">
        <f>IF(FB$1&lt;INDEX('Valo FX'!$Q:$Q,MATCH($A8,'Valo FX'!$A:$A,0)),0,IF(FB$1&lt;INDEX('Valo FX'!$R:$R,MATCH($A8,'Valo FX'!$A:$A,0)),INDEX(Base!$U:$U,MATCH($A8,Base!$A:$A,0)),IF(FB$1=INDEX('Valo FX'!$R:$R,MATCH($A8,'Valo FX'!$A:$A,0)),INDEX(Base!$V:$V,MATCH($A8,Base!$A:$A,0)),0)))</f>
        <v>8.8259229999999995</v>
      </c>
      <c r="FC8" s="21">
        <f>IF(FC$1&lt;INDEX('Valo FX'!$Q:$Q,MATCH($A8,'Valo FX'!$A:$A,0)),0,IF(FC$1&lt;INDEX('Valo FX'!$R:$R,MATCH($A8,'Valo FX'!$A:$A,0)),INDEX(Base!$U:$U,MATCH($A8,Base!$A:$A,0)),IF(FC$1=INDEX('Valo FX'!$R:$R,MATCH($A8,'Valo FX'!$A:$A,0)),INDEX(Base!$V:$V,MATCH($A8,Base!$A:$A,0)),0)))</f>
        <v>8.8259229999999995</v>
      </c>
      <c r="FD8" s="21">
        <f>IF(FD$1&lt;INDEX('Valo FX'!$Q:$Q,MATCH($A8,'Valo FX'!$A:$A,0)),0,IF(FD$1&lt;INDEX('Valo FX'!$R:$R,MATCH($A8,'Valo FX'!$A:$A,0)),INDEX(Base!$U:$U,MATCH($A8,Base!$A:$A,0)),IF(FD$1=INDEX('Valo FX'!$R:$R,MATCH($A8,'Valo FX'!$A:$A,0)),INDEX(Base!$V:$V,MATCH($A8,Base!$A:$A,0)),0)))</f>
        <v>8.8259229999999995</v>
      </c>
      <c r="FE8" s="21">
        <f>IF(FE$1&lt;INDEX('Valo FX'!$Q:$Q,MATCH($A8,'Valo FX'!$A:$A,0)),0,IF(FE$1&lt;INDEX('Valo FX'!$R:$R,MATCH($A8,'Valo FX'!$A:$A,0)),INDEX(Base!$U:$U,MATCH($A8,Base!$A:$A,0)),IF(FE$1=INDEX('Valo FX'!$R:$R,MATCH($A8,'Valo FX'!$A:$A,0)),INDEX(Base!$V:$V,MATCH($A8,Base!$A:$A,0)),0)))</f>
        <v>8.8259229999999995</v>
      </c>
      <c r="FF8" s="21">
        <f>IF(FF$1&lt;INDEX('Valo FX'!$Q:$Q,MATCH($A8,'Valo FX'!$A:$A,0)),0,IF(FF$1&lt;INDEX('Valo FX'!$R:$R,MATCH($A8,'Valo FX'!$A:$A,0)),INDEX(Base!$U:$U,MATCH($A8,Base!$A:$A,0)),IF(FF$1=INDEX('Valo FX'!$R:$R,MATCH($A8,'Valo FX'!$A:$A,0)),INDEX(Base!$V:$V,MATCH($A8,Base!$A:$A,0)),0)))</f>
        <v>8.8259229999999995</v>
      </c>
      <c r="FG8" s="21">
        <f>IF(FG$1&lt;INDEX('Valo FX'!$Q:$Q,MATCH($A8,'Valo FX'!$A:$A,0)),0,IF(FG$1&lt;INDEX('Valo FX'!$R:$R,MATCH($A8,'Valo FX'!$A:$A,0)),INDEX(Base!$U:$U,MATCH($A8,Base!$A:$A,0)),IF(FG$1=INDEX('Valo FX'!$R:$R,MATCH($A8,'Valo FX'!$A:$A,0)),INDEX(Base!$V:$V,MATCH($A8,Base!$A:$A,0)),0)))</f>
        <v>8.8259229999999995</v>
      </c>
      <c r="FH8" s="21">
        <f>IF(FH$1&lt;INDEX('Valo FX'!$Q:$Q,MATCH($A8,'Valo FX'!$A:$A,0)),0,IF(FH$1&lt;INDEX('Valo FX'!$R:$R,MATCH($A8,'Valo FX'!$A:$A,0)),INDEX(Base!$U:$U,MATCH($A8,Base!$A:$A,0)),IF(FH$1=INDEX('Valo FX'!$R:$R,MATCH($A8,'Valo FX'!$A:$A,0)),INDEX(Base!$V:$V,MATCH($A8,Base!$A:$A,0)),0)))</f>
        <v>8.8259229999999995</v>
      </c>
      <c r="FI8" s="21">
        <f>IF(FI$1&lt;INDEX('Valo FX'!$Q:$Q,MATCH($A8,'Valo FX'!$A:$A,0)),0,IF(FI$1&lt;INDEX('Valo FX'!$R:$R,MATCH($A8,'Valo FX'!$A:$A,0)),INDEX(Base!$U:$U,MATCH($A8,Base!$A:$A,0)),IF(FI$1=INDEX('Valo FX'!$R:$R,MATCH($A8,'Valo FX'!$A:$A,0)),INDEX(Base!$V:$V,MATCH($A8,Base!$A:$A,0)),0)))</f>
        <v>8.8259229999999995</v>
      </c>
      <c r="FJ8" s="21">
        <f>IF(FJ$1&lt;INDEX('Valo FX'!$Q:$Q,MATCH($A8,'Valo FX'!$A:$A,0)),0,IF(FJ$1&lt;INDEX('Valo FX'!$R:$R,MATCH($A8,'Valo FX'!$A:$A,0)),INDEX(Base!$U:$U,MATCH($A8,Base!$A:$A,0)),IF(FJ$1=INDEX('Valo FX'!$R:$R,MATCH($A8,'Valo FX'!$A:$A,0)),INDEX(Base!$V:$V,MATCH($A8,Base!$A:$A,0)),0)))</f>
        <v>8.8259229999999995</v>
      </c>
      <c r="FK8" s="21">
        <f>IF(FK$1&lt;INDEX('Valo FX'!$Q:$Q,MATCH($A8,'Valo FX'!$A:$A,0)),0,IF(FK$1&lt;INDEX('Valo FX'!$R:$R,MATCH($A8,'Valo FX'!$A:$A,0)),INDEX(Base!$U:$U,MATCH($A8,Base!$A:$A,0)),IF(FK$1=INDEX('Valo FX'!$R:$R,MATCH($A8,'Valo FX'!$A:$A,0)),INDEX(Base!$V:$V,MATCH($A8,Base!$A:$A,0)),0)))</f>
        <v>8.8259229999999995</v>
      </c>
      <c r="FL8" s="21">
        <f>IF(FL$1&lt;INDEX('Valo FX'!$Q:$Q,MATCH($A8,'Valo FX'!$A:$A,0)),0,IF(FL$1&lt;INDEX('Valo FX'!$R:$R,MATCH($A8,'Valo FX'!$A:$A,0)),INDEX(Base!$U:$U,MATCH($A8,Base!$A:$A,0)),IF(FL$1=INDEX('Valo FX'!$R:$R,MATCH($A8,'Valo FX'!$A:$A,0)),INDEX(Base!$V:$V,MATCH($A8,Base!$A:$A,0)),0)))</f>
        <v>8.8259229999999995</v>
      </c>
      <c r="FM8" s="21">
        <f>IF(FM$1&lt;INDEX('Valo FX'!$Q:$Q,MATCH($A8,'Valo FX'!$A:$A,0)),0,IF(FM$1&lt;INDEX('Valo FX'!$R:$R,MATCH($A8,'Valo FX'!$A:$A,0)),INDEX(Base!$U:$U,MATCH($A8,Base!$A:$A,0)),IF(FM$1=INDEX('Valo FX'!$R:$R,MATCH($A8,'Valo FX'!$A:$A,0)),INDEX(Base!$V:$V,MATCH($A8,Base!$A:$A,0)),0)))</f>
        <v>8.8259229999999995</v>
      </c>
      <c r="FN8" s="21">
        <f>IF(FN$1&lt;INDEX('Valo FX'!$Q:$Q,MATCH($A8,'Valo FX'!$A:$A,0)),0,IF(FN$1&lt;INDEX('Valo FX'!$R:$R,MATCH($A8,'Valo FX'!$A:$A,0)),INDEX(Base!$U:$U,MATCH($A8,Base!$A:$A,0)),IF(FN$1=INDEX('Valo FX'!$R:$R,MATCH($A8,'Valo FX'!$A:$A,0)),INDEX(Base!$V:$V,MATCH($A8,Base!$A:$A,0)),0)))</f>
        <v>8.8259229999999995</v>
      </c>
      <c r="FO8" s="21">
        <f>IF(FO$1&lt;INDEX('Valo FX'!$Q:$Q,MATCH($A8,'Valo FX'!$A:$A,0)),0,IF(FO$1&lt;INDEX('Valo FX'!$R:$R,MATCH($A8,'Valo FX'!$A:$A,0)),INDEX(Base!$U:$U,MATCH($A8,Base!$A:$A,0)),IF(FO$1=INDEX('Valo FX'!$R:$R,MATCH($A8,'Valo FX'!$A:$A,0)),INDEX(Base!$V:$V,MATCH($A8,Base!$A:$A,0)),0)))</f>
        <v>8.8259229999999995</v>
      </c>
      <c r="FP8" s="21">
        <f>IF(FP$1&lt;INDEX('Valo FX'!$Q:$Q,MATCH($A8,'Valo FX'!$A:$A,0)),0,IF(FP$1&lt;INDEX('Valo FX'!$R:$R,MATCH($A8,'Valo FX'!$A:$A,0)),INDEX(Base!$U:$U,MATCH($A8,Base!$A:$A,0)),IF(FP$1=INDEX('Valo FX'!$R:$R,MATCH($A8,'Valo FX'!$A:$A,0)),INDEX(Base!$V:$V,MATCH($A8,Base!$A:$A,0)),0)))</f>
        <v>8.8259229999999995</v>
      </c>
      <c r="FQ8" s="21">
        <f>IF(FQ$1&lt;INDEX('Valo FX'!$Q:$Q,MATCH($A8,'Valo FX'!$A:$A,0)),0,IF(FQ$1&lt;INDEX('Valo FX'!$R:$R,MATCH($A8,'Valo FX'!$A:$A,0)),INDEX(Base!$U:$U,MATCH($A8,Base!$A:$A,0)),IF(FQ$1=INDEX('Valo FX'!$R:$R,MATCH($A8,'Valo FX'!$A:$A,0)),INDEX(Base!$V:$V,MATCH($A8,Base!$A:$A,0)),0)))</f>
        <v>8.8259229999999995</v>
      </c>
      <c r="FR8" s="21">
        <f>IF(FR$1&lt;INDEX('Valo FX'!$Q:$Q,MATCH($A8,'Valo FX'!$A:$A,0)),0,IF(FR$1&lt;INDEX('Valo FX'!$R:$R,MATCH($A8,'Valo FX'!$A:$A,0)),INDEX(Base!$U:$U,MATCH($A8,Base!$A:$A,0)),IF(FR$1=INDEX('Valo FX'!$R:$R,MATCH($A8,'Valo FX'!$A:$A,0)),INDEX(Base!$V:$V,MATCH($A8,Base!$A:$A,0)),0)))</f>
        <v>8.8259229999999995</v>
      </c>
      <c r="FS8" s="21">
        <f>IF(FS$1&lt;INDEX('Valo FX'!$Q:$Q,MATCH($A8,'Valo FX'!$A:$A,0)),0,IF(FS$1&lt;INDEX('Valo FX'!$R:$R,MATCH($A8,'Valo FX'!$A:$A,0)),INDEX(Base!$U:$U,MATCH($A8,Base!$A:$A,0)),IF(FS$1=INDEX('Valo FX'!$R:$R,MATCH($A8,'Valo FX'!$A:$A,0)),INDEX(Base!$V:$V,MATCH($A8,Base!$A:$A,0)),0)))</f>
        <v>8.8259229999999995</v>
      </c>
      <c r="FT8" s="21">
        <f>IF(FT$1&lt;INDEX('Valo FX'!$Q:$Q,MATCH($A8,'Valo FX'!$A:$A,0)),0,IF(FT$1&lt;INDEX('Valo FX'!$R:$R,MATCH($A8,'Valo FX'!$A:$A,0)),INDEX(Base!$U:$U,MATCH($A8,Base!$A:$A,0)),IF(FT$1=INDEX('Valo FX'!$R:$R,MATCH($A8,'Valo FX'!$A:$A,0)),INDEX(Base!$V:$V,MATCH($A8,Base!$A:$A,0)),0)))</f>
        <v>8.8259229999999995</v>
      </c>
      <c r="FU8" s="21">
        <f>IF(FU$1&lt;INDEX('Valo FX'!$Q:$Q,MATCH($A8,'Valo FX'!$A:$A,0)),0,IF(FU$1&lt;INDEX('Valo FX'!$R:$R,MATCH($A8,'Valo FX'!$A:$A,0)),INDEX(Base!$U:$U,MATCH($A8,Base!$A:$A,0)),IF(FU$1=INDEX('Valo FX'!$R:$R,MATCH($A8,'Valo FX'!$A:$A,0)),INDEX(Base!$V:$V,MATCH($A8,Base!$A:$A,0)),0)))</f>
        <v>8.8259229999999995</v>
      </c>
      <c r="FV8" s="21">
        <f>IF(FV$1&lt;INDEX('Valo FX'!$Q:$Q,MATCH($A8,'Valo FX'!$A:$A,0)),0,IF(FV$1&lt;INDEX('Valo FX'!$R:$R,MATCH($A8,'Valo FX'!$A:$A,0)),INDEX(Base!$U:$U,MATCH($A8,Base!$A:$A,0)),IF(FV$1=INDEX('Valo FX'!$R:$R,MATCH($A8,'Valo FX'!$A:$A,0)),INDEX(Base!$V:$V,MATCH($A8,Base!$A:$A,0)),0)))</f>
        <v>8.8259229999999995</v>
      </c>
      <c r="FW8" s="21">
        <f>IF(FW$1&lt;INDEX('Valo FX'!$Q:$Q,MATCH($A8,'Valo FX'!$A:$A,0)),0,IF(FW$1&lt;INDEX('Valo FX'!$R:$R,MATCH($A8,'Valo FX'!$A:$A,0)),INDEX(Base!$U:$U,MATCH($A8,Base!$A:$A,0)),IF(FW$1=INDEX('Valo FX'!$R:$R,MATCH($A8,'Valo FX'!$A:$A,0)),INDEX(Base!$V:$V,MATCH($A8,Base!$A:$A,0)),0)))</f>
        <v>8.8259229999999995</v>
      </c>
      <c r="FX8" s="21">
        <f>IF(FX$1&lt;INDEX('Valo FX'!$Q:$Q,MATCH($A8,'Valo FX'!$A:$A,0)),0,IF(FX$1&lt;INDEX('Valo FX'!$R:$R,MATCH($A8,'Valo FX'!$A:$A,0)),INDEX(Base!$U:$U,MATCH($A8,Base!$A:$A,0)),IF(FX$1=INDEX('Valo FX'!$R:$R,MATCH($A8,'Valo FX'!$A:$A,0)),INDEX(Base!$V:$V,MATCH($A8,Base!$A:$A,0)),0)))</f>
        <v>8.8259229999999995</v>
      </c>
      <c r="FY8" s="21">
        <f>IF(FY$1&lt;INDEX('Valo FX'!$Q:$Q,MATCH($A8,'Valo FX'!$A:$A,0)),0,IF(FY$1&lt;INDEX('Valo FX'!$R:$R,MATCH($A8,'Valo FX'!$A:$A,0)),INDEX(Base!$U:$U,MATCH($A8,Base!$A:$A,0)),IF(FY$1=INDEX('Valo FX'!$R:$R,MATCH($A8,'Valo FX'!$A:$A,0)),INDEX(Base!$V:$V,MATCH($A8,Base!$A:$A,0)),0)))</f>
        <v>8.8259229999999995</v>
      </c>
      <c r="FZ8" s="21">
        <f>IF(FZ$1&lt;INDEX('Valo FX'!$Q:$Q,MATCH($A8,'Valo FX'!$A:$A,0)),0,IF(FZ$1&lt;INDEX('Valo FX'!$R:$R,MATCH($A8,'Valo FX'!$A:$A,0)),INDEX(Base!$U:$U,MATCH($A8,Base!$A:$A,0)),IF(FZ$1=INDEX('Valo FX'!$R:$R,MATCH($A8,'Valo FX'!$A:$A,0)),INDEX(Base!$V:$V,MATCH($A8,Base!$A:$A,0)),0)))</f>
        <v>8.7770460000000003</v>
      </c>
      <c r="GA8" s="21">
        <f>IF(GA$1&lt;INDEX('Valo FX'!$Q:$Q,MATCH($A8,'Valo FX'!$A:$A,0)),0,IF(GA$1&lt;INDEX('Valo FX'!$R:$R,MATCH($A8,'Valo FX'!$A:$A,0)),INDEX(Base!$U:$U,MATCH($A8,Base!$A:$A,0)),IF(GA$1=INDEX('Valo FX'!$R:$R,MATCH($A8,'Valo FX'!$A:$A,0)),INDEX(Base!$V:$V,MATCH($A8,Base!$A:$A,0)),0)))</f>
        <v>0</v>
      </c>
      <c r="GB8" s="21">
        <f>IF(GB$1&lt;INDEX('Valo FX'!$Q:$Q,MATCH($A8,'Valo FX'!$A:$A,0)),0,IF(GB$1&lt;INDEX('Valo FX'!$R:$R,MATCH($A8,'Valo FX'!$A:$A,0)),INDEX(Base!$U:$U,MATCH($A8,Base!$A:$A,0)),IF(GB$1=INDEX('Valo FX'!$R:$R,MATCH($A8,'Valo FX'!$A:$A,0)),INDEX(Base!$V:$V,MATCH($A8,Base!$A:$A,0)),0)))</f>
        <v>0</v>
      </c>
      <c r="GC8" s="21">
        <f>IF(GC$1&lt;INDEX('Valo FX'!$Q:$Q,MATCH($A8,'Valo FX'!$A:$A,0)),0,IF(GC$1&lt;INDEX('Valo FX'!$R:$R,MATCH($A8,'Valo FX'!$A:$A,0)),INDEX(Base!$U:$U,MATCH($A8,Base!$A:$A,0)),IF(GC$1=INDEX('Valo FX'!$R:$R,MATCH($A8,'Valo FX'!$A:$A,0)),INDEX(Base!$V:$V,MATCH($A8,Base!$A:$A,0)),0)))</f>
        <v>0</v>
      </c>
      <c r="GD8" s="21">
        <f>IF(GD$1&lt;INDEX('Valo FX'!$Q:$Q,MATCH($A8,'Valo FX'!$A:$A,0)),0,IF(GD$1&lt;INDEX('Valo FX'!$R:$R,MATCH($A8,'Valo FX'!$A:$A,0)),INDEX(Base!$U:$U,MATCH($A8,Base!$A:$A,0)),IF(GD$1=INDEX('Valo FX'!$R:$R,MATCH($A8,'Valo FX'!$A:$A,0)),INDEX(Base!$V:$V,MATCH($A8,Base!$A:$A,0)),0)))</f>
        <v>0</v>
      </c>
      <c r="GE8" s="21">
        <f>IF(GE$1&lt;INDEX('Valo FX'!$Q:$Q,MATCH($A8,'Valo FX'!$A:$A,0)),0,IF(GE$1&lt;INDEX('Valo FX'!$R:$R,MATCH($A8,'Valo FX'!$A:$A,0)),INDEX(Base!$U:$U,MATCH($A8,Base!$A:$A,0)),IF(GE$1=INDEX('Valo FX'!$R:$R,MATCH($A8,'Valo FX'!$A:$A,0)),INDEX(Base!$V:$V,MATCH($A8,Base!$A:$A,0)),0)))</f>
        <v>0</v>
      </c>
      <c r="GF8" s="21">
        <f>IF(GF$1&lt;INDEX('Valo FX'!$Q:$Q,MATCH($A8,'Valo FX'!$A:$A,0)),0,IF(GF$1&lt;INDEX('Valo FX'!$R:$R,MATCH($A8,'Valo FX'!$A:$A,0)),INDEX(Base!$U:$U,MATCH($A8,Base!$A:$A,0)),IF(GF$1=INDEX('Valo FX'!$R:$R,MATCH($A8,'Valo FX'!$A:$A,0)),INDEX(Base!$V:$V,MATCH($A8,Base!$A:$A,0)),0)))</f>
        <v>0</v>
      </c>
      <c r="GG8" s="21">
        <f>IF(GG$1&lt;INDEX('Valo FX'!$Q:$Q,MATCH($A8,'Valo FX'!$A:$A,0)),0,IF(GG$1&lt;INDEX('Valo FX'!$R:$R,MATCH($A8,'Valo FX'!$A:$A,0)),INDEX(Base!$U:$U,MATCH($A8,Base!$A:$A,0)),IF(GG$1=INDEX('Valo FX'!$R:$R,MATCH($A8,'Valo FX'!$A:$A,0)),INDEX(Base!$V:$V,MATCH($A8,Base!$A:$A,0)),0)))</f>
        <v>0</v>
      </c>
      <c r="GH8" s="21">
        <f>IF(GH$1&lt;INDEX('Valo FX'!$Q:$Q,MATCH($A8,'Valo FX'!$A:$A,0)),0,IF(GH$1&lt;INDEX('Valo FX'!$R:$R,MATCH($A8,'Valo FX'!$A:$A,0)),INDEX(Base!$U:$U,MATCH($A8,Base!$A:$A,0)),IF(GH$1=INDEX('Valo FX'!$R:$R,MATCH($A8,'Valo FX'!$A:$A,0)),INDEX(Base!$V:$V,MATCH($A8,Base!$A:$A,0)),0)))</f>
        <v>0</v>
      </c>
      <c r="GI8" s="21">
        <f>IF(GI$1&lt;INDEX('Valo FX'!$Q:$Q,MATCH($A8,'Valo FX'!$A:$A,0)),0,IF(GI$1&lt;INDEX('Valo FX'!$R:$R,MATCH($A8,'Valo FX'!$A:$A,0)),INDEX(Base!$U:$U,MATCH($A8,Base!$A:$A,0)),IF(GI$1=INDEX('Valo FX'!$R:$R,MATCH($A8,'Valo FX'!$A:$A,0)),INDEX(Base!$V:$V,MATCH($A8,Base!$A:$A,0)),0)))</f>
        <v>0</v>
      </c>
      <c r="GJ8" s="21">
        <f>IF(GJ$1&lt;INDEX('Valo FX'!$Q:$Q,MATCH($A8,'Valo FX'!$A:$A,0)),0,IF(GJ$1&lt;INDEX('Valo FX'!$R:$R,MATCH($A8,'Valo FX'!$A:$A,0)),INDEX(Base!$U:$U,MATCH($A8,Base!$A:$A,0)),IF(GJ$1=INDEX('Valo FX'!$R:$R,MATCH($A8,'Valo FX'!$A:$A,0)),INDEX(Base!$V:$V,MATCH($A8,Base!$A:$A,0)),0)))</f>
        <v>0</v>
      </c>
      <c r="GK8" s="21">
        <f>IF(GK$1&lt;INDEX('Valo FX'!$Q:$Q,MATCH($A8,'Valo FX'!$A:$A,0)),0,IF(GK$1&lt;INDEX('Valo FX'!$R:$R,MATCH($A8,'Valo FX'!$A:$A,0)),INDEX(Base!$U:$U,MATCH($A8,Base!$A:$A,0)),IF(GK$1=INDEX('Valo FX'!$R:$R,MATCH($A8,'Valo FX'!$A:$A,0)),INDEX(Base!$V:$V,MATCH($A8,Base!$A:$A,0)),0)))</f>
        <v>0</v>
      </c>
      <c r="GL8" s="21">
        <f>IF(GL$1&lt;INDEX('Valo FX'!$Q:$Q,MATCH($A8,'Valo FX'!$A:$A,0)),0,IF(GL$1&lt;INDEX('Valo FX'!$R:$R,MATCH($A8,'Valo FX'!$A:$A,0)),INDEX(Base!$U:$U,MATCH($A8,Base!$A:$A,0)),IF(GL$1=INDEX('Valo FX'!$R:$R,MATCH($A8,'Valo FX'!$A:$A,0)),INDEX(Base!$V:$V,MATCH($A8,Base!$A:$A,0)),0)))</f>
        <v>0</v>
      </c>
      <c r="GM8" s="21">
        <f>IF(GM$1&lt;INDEX('Valo FX'!$Q:$Q,MATCH($A8,'Valo FX'!$A:$A,0)),0,IF(GM$1&lt;INDEX('Valo FX'!$R:$R,MATCH($A8,'Valo FX'!$A:$A,0)),INDEX(Base!$U:$U,MATCH($A8,Base!$A:$A,0)),IF(GM$1=INDEX('Valo FX'!$R:$R,MATCH($A8,'Valo FX'!$A:$A,0)),INDEX(Base!$V:$V,MATCH($A8,Base!$A:$A,0)),0)))</f>
        <v>0</v>
      </c>
      <c r="GN8" s="21">
        <f>IF(GN$1&lt;INDEX('Valo FX'!$Q:$Q,MATCH($A8,'Valo FX'!$A:$A,0)),0,IF(GN$1&lt;INDEX('Valo FX'!$R:$R,MATCH($A8,'Valo FX'!$A:$A,0)),INDEX(Base!$U:$U,MATCH($A8,Base!$A:$A,0)),IF(GN$1=INDEX('Valo FX'!$R:$R,MATCH($A8,'Valo FX'!$A:$A,0)),INDEX(Base!$V:$V,MATCH($A8,Base!$A:$A,0)),0)))</f>
        <v>0</v>
      </c>
      <c r="GO8" s="21">
        <f>IF(GO$1&lt;INDEX('Valo FX'!$Q:$Q,MATCH($A8,'Valo FX'!$A:$A,0)),0,IF(GO$1&lt;INDEX('Valo FX'!$R:$R,MATCH($A8,'Valo FX'!$A:$A,0)),INDEX(Base!$U:$U,MATCH($A8,Base!$A:$A,0)),IF(GO$1=INDEX('Valo FX'!$R:$R,MATCH($A8,'Valo FX'!$A:$A,0)),INDEX(Base!$V:$V,MATCH($A8,Base!$A:$A,0)),0)))</f>
        <v>0</v>
      </c>
      <c r="GP8" s="21">
        <f>IF(GP$1&lt;INDEX('Valo FX'!$Q:$Q,MATCH($A8,'Valo FX'!$A:$A,0)),0,IF(GP$1&lt;INDEX('Valo FX'!$R:$R,MATCH($A8,'Valo FX'!$A:$A,0)),INDEX(Base!$U:$U,MATCH($A8,Base!$A:$A,0)),IF(GP$1=INDEX('Valo FX'!$R:$R,MATCH($A8,'Valo FX'!$A:$A,0)),INDEX(Base!$V:$V,MATCH($A8,Base!$A:$A,0)),0)))</f>
        <v>0</v>
      </c>
      <c r="GQ8" s="21">
        <f>IF(GQ$1&lt;INDEX('Valo FX'!$Q:$Q,MATCH($A8,'Valo FX'!$A:$A,0)),0,IF(GQ$1&lt;INDEX('Valo FX'!$R:$R,MATCH($A8,'Valo FX'!$A:$A,0)),INDEX(Base!$U:$U,MATCH($A8,Base!$A:$A,0)),IF(GQ$1=INDEX('Valo FX'!$R:$R,MATCH($A8,'Valo FX'!$A:$A,0)),INDEX(Base!$V:$V,MATCH($A8,Base!$A:$A,0)),0)))</f>
        <v>0</v>
      </c>
      <c r="GR8" s="21">
        <f>IF(GR$1&lt;INDEX('Valo FX'!$Q:$Q,MATCH($A8,'Valo FX'!$A:$A,0)),0,IF(GR$1&lt;INDEX('Valo FX'!$R:$R,MATCH($A8,'Valo FX'!$A:$A,0)),INDEX(Base!$U:$U,MATCH($A8,Base!$A:$A,0)),IF(GR$1=INDEX('Valo FX'!$R:$R,MATCH($A8,'Valo FX'!$A:$A,0)),INDEX(Base!$V:$V,MATCH($A8,Base!$A:$A,0)),0)))</f>
        <v>0</v>
      </c>
      <c r="GS8" s="21">
        <f>IF(GS$1&lt;INDEX('Valo FX'!$Q:$Q,MATCH($A8,'Valo FX'!$A:$A,0)),0,IF(GS$1&lt;INDEX('Valo FX'!$R:$R,MATCH($A8,'Valo FX'!$A:$A,0)),INDEX(Base!$U:$U,MATCH($A8,Base!$A:$A,0)),IF(GS$1=INDEX('Valo FX'!$R:$R,MATCH($A8,'Valo FX'!$A:$A,0)),INDEX(Base!$V:$V,MATCH($A8,Base!$A:$A,0)),0)))</f>
        <v>0</v>
      </c>
      <c r="GT8" s="21">
        <f>IF(GT$1&lt;INDEX('Valo FX'!$Q:$Q,MATCH($A8,'Valo FX'!$A:$A,0)),0,IF(GT$1&lt;INDEX('Valo FX'!$R:$R,MATCH($A8,'Valo FX'!$A:$A,0)),INDEX(Base!$U:$U,MATCH($A8,Base!$A:$A,0)),IF(GT$1=INDEX('Valo FX'!$R:$R,MATCH($A8,'Valo FX'!$A:$A,0)),INDEX(Base!$V:$V,MATCH($A8,Base!$A:$A,0)),0)))</f>
        <v>0</v>
      </c>
      <c r="GU8" s="21">
        <f>IF(GU$1&lt;INDEX('Valo FX'!$Q:$Q,MATCH($A8,'Valo FX'!$A:$A,0)),0,IF(GU$1&lt;INDEX('Valo FX'!$R:$R,MATCH($A8,'Valo FX'!$A:$A,0)),INDEX(Base!$U:$U,MATCH($A8,Base!$A:$A,0)),IF(GU$1=INDEX('Valo FX'!$R:$R,MATCH($A8,'Valo FX'!$A:$A,0)),INDEX(Base!$V:$V,MATCH($A8,Base!$A:$A,0)),0)))</f>
        <v>0</v>
      </c>
      <c r="GV8" s="21">
        <f>IF(GV$1&lt;INDEX('Valo FX'!$Q:$Q,MATCH($A8,'Valo FX'!$A:$A,0)),0,IF(GV$1&lt;INDEX('Valo FX'!$R:$R,MATCH($A8,'Valo FX'!$A:$A,0)),INDEX(Base!$U:$U,MATCH($A8,Base!$A:$A,0)),IF(GV$1=INDEX('Valo FX'!$R:$R,MATCH($A8,'Valo FX'!$A:$A,0)),INDEX(Base!$V:$V,MATCH($A8,Base!$A:$A,0)),0)))</f>
        <v>0</v>
      </c>
      <c r="GW8" s="21">
        <f>IF(GW$1&lt;INDEX('Valo FX'!$Q:$Q,MATCH($A8,'Valo FX'!$A:$A,0)),0,IF(GW$1&lt;INDEX('Valo FX'!$R:$R,MATCH($A8,'Valo FX'!$A:$A,0)),INDEX(Base!$U:$U,MATCH($A8,Base!$A:$A,0)),IF(GW$1=INDEX('Valo FX'!$R:$R,MATCH($A8,'Valo FX'!$A:$A,0)),INDEX(Base!$V:$V,MATCH($A8,Base!$A:$A,0)),0)))</f>
        <v>0</v>
      </c>
      <c r="GX8" s="21">
        <f>IF(GX$1&lt;INDEX('Valo FX'!$Q:$Q,MATCH($A8,'Valo FX'!$A:$A,0)),0,IF(GX$1&lt;INDEX('Valo FX'!$R:$R,MATCH($A8,'Valo FX'!$A:$A,0)),INDEX(Base!$U:$U,MATCH($A8,Base!$A:$A,0)),IF(GX$1=INDEX('Valo FX'!$R:$R,MATCH($A8,'Valo FX'!$A:$A,0)),INDEX(Base!$V:$V,MATCH($A8,Base!$A:$A,0)),0)))</f>
        <v>0</v>
      </c>
      <c r="GY8" s="21">
        <f>IF(GY$1&lt;INDEX('Valo FX'!$Q:$Q,MATCH($A8,'Valo FX'!$A:$A,0)),0,IF(GY$1&lt;INDEX('Valo FX'!$R:$R,MATCH($A8,'Valo FX'!$A:$A,0)),INDEX(Base!$U:$U,MATCH($A8,Base!$A:$A,0)),IF(GY$1=INDEX('Valo FX'!$R:$R,MATCH($A8,'Valo FX'!$A:$A,0)),INDEX(Base!$V:$V,MATCH($A8,Base!$A:$A,0)),0)))</f>
        <v>0</v>
      </c>
      <c r="GZ8" s="21">
        <f>IF(GZ$1&lt;INDEX('Valo FX'!$Q:$Q,MATCH($A8,'Valo FX'!$A:$A,0)),0,IF(GZ$1&lt;INDEX('Valo FX'!$R:$R,MATCH($A8,'Valo FX'!$A:$A,0)),INDEX(Base!$U:$U,MATCH($A8,Base!$A:$A,0)),IF(GZ$1=INDEX('Valo FX'!$R:$R,MATCH($A8,'Valo FX'!$A:$A,0)),INDEX(Base!$V:$V,MATCH($A8,Base!$A:$A,0)),0)))</f>
        <v>0</v>
      </c>
      <c r="HA8" s="21">
        <f>IF(HA$1&lt;INDEX('Valo FX'!$Q:$Q,MATCH($A8,'Valo FX'!$A:$A,0)),0,IF(HA$1&lt;INDEX('Valo FX'!$R:$R,MATCH($A8,'Valo FX'!$A:$A,0)),INDEX(Base!$U:$U,MATCH($A8,Base!$A:$A,0)),IF(HA$1=INDEX('Valo FX'!$R:$R,MATCH($A8,'Valo FX'!$A:$A,0)),INDEX(Base!$V:$V,MATCH($A8,Base!$A:$A,0)),0)))</f>
        <v>0</v>
      </c>
      <c r="HB8" s="21">
        <f>IF(HB$1&lt;INDEX('Valo FX'!$Q:$Q,MATCH($A8,'Valo FX'!$A:$A,0)),0,IF(HB$1&lt;INDEX('Valo FX'!$R:$R,MATCH($A8,'Valo FX'!$A:$A,0)),INDEX(Base!$U:$U,MATCH($A8,Base!$A:$A,0)),IF(HB$1=INDEX('Valo FX'!$R:$R,MATCH($A8,'Valo FX'!$A:$A,0)),INDEX(Base!$V:$V,MATCH($A8,Base!$A:$A,0)),0)))</f>
        <v>0</v>
      </c>
      <c r="HC8" s="21">
        <f>IF(HC$1&lt;INDEX('Valo FX'!$Q:$Q,MATCH($A8,'Valo FX'!$A:$A,0)),0,IF(HC$1&lt;INDEX('Valo FX'!$R:$R,MATCH($A8,'Valo FX'!$A:$A,0)),INDEX(Base!$U:$U,MATCH($A8,Base!$A:$A,0)),IF(HC$1=INDEX('Valo FX'!$R:$R,MATCH($A8,'Valo FX'!$A:$A,0)),INDEX(Base!$V:$V,MATCH($A8,Base!$A:$A,0)),0)))</f>
        <v>0</v>
      </c>
      <c r="HD8" s="21">
        <f>IF(HD$1&lt;INDEX('Valo FX'!$Q:$Q,MATCH($A8,'Valo FX'!$A:$A,0)),0,IF(HD$1&lt;INDEX('Valo FX'!$R:$R,MATCH($A8,'Valo FX'!$A:$A,0)),INDEX(Base!$U:$U,MATCH($A8,Base!$A:$A,0)),IF(HD$1=INDEX('Valo FX'!$R:$R,MATCH($A8,'Valo FX'!$A:$A,0)),INDEX(Base!$V:$V,MATCH($A8,Base!$A:$A,0)),0)))</f>
        <v>0</v>
      </c>
      <c r="HE8" s="21">
        <f>IF(HE$1&lt;INDEX('Valo FX'!$Q:$Q,MATCH($A8,'Valo FX'!$A:$A,0)),0,IF(HE$1&lt;INDEX('Valo FX'!$R:$R,MATCH($A8,'Valo FX'!$A:$A,0)),INDEX(Base!$U:$U,MATCH($A8,Base!$A:$A,0)),IF(HE$1=INDEX('Valo FX'!$R:$R,MATCH($A8,'Valo FX'!$A:$A,0)),INDEX(Base!$V:$V,MATCH($A8,Base!$A:$A,0)),0)))</f>
        <v>0</v>
      </c>
      <c r="HF8" s="21">
        <f>IF(HF$1&lt;INDEX('Valo FX'!$Q:$Q,MATCH($A8,'Valo FX'!$A:$A,0)),0,IF(HF$1&lt;INDEX('Valo FX'!$R:$R,MATCH($A8,'Valo FX'!$A:$A,0)),INDEX(Base!$U:$U,MATCH($A8,Base!$A:$A,0)),IF(HF$1=INDEX('Valo FX'!$R:$R,MATCH($A8,'Valo FX'!$A:$A,0)),INDEX(Base!$V:$V,MATCH($A8,Base!$A:$A,0)),0)))</f>
        <v>0</v>
      </c>
      <c r="HG8" s="21">
        <f>IF(HG$1&lt;INDEX('Valo FX'!$Q:$Q,MATCH($A8,'Valo FX'!$A:$A,0)),0,IF(HG$1&lt;INDEX('Valo FX'!$R:$R,MATCH($A8,'Valo FX'!$A:$A,0)),INDEX(Base!$U:$U,MATCH($A8,Base!$A:$A,0)),IF(HG$1=INDEX('Valo FX'!$R:$R,MATCH($A8,'Valo FX'!$A:$A,0)),INDEX(Base!$V:$V,MATCH($A8,Base!$A:$A,0)),0)))</f>
        <v>0</v>
      </c>
      <c r="HH8" s="21">
        <f>IF(HH$1&lt;INDEX('Valo FX'!$Q:$Q,MATCH($A8,'Valo FX'!$A:$A,0)),0,IF(HH$1&lt;INDEX('Valo FX'!$R:$R,MATCH($A8,'Valo FX'!$A:$A,0)),INDEX(Base!$U:$U,MATCH($A8,Base!$A:$A,0)),IF(HH$1=INDEX('Valo FX'!$R:$R,MATCH($A8,'Valo FX'!$A:$A,0)),INDEX(Base!$V:$V,MATCH($A8,Base!$A:$A,0)),0)))</f>
        <v>0</v>
      </c>
      <c r="HI8" s="21">
        <f>IF(HI$1&lt;INDEX('Valo FX'!$Q:$Q,MATCH($A8,'Valo FX'!$A:$A,0)),0,IF(HI$1&lt;INDEX('Valo FX'!$R:$R,MATCH($A8,'Valo FX'!$A:$A,0)),INDEX(Base!$U:$U,MATCH($A8,Base!$A:$A,0)),IF(HI$1=INDEX('Valo FX'!$R:$R,MATCH($A8,'Valo FX'!$A:$A,0)),INDEX(Base!$V:$V,MATCH($A8,Base!$A:$A,0)),0)))</f>
        <v>0</v>
      </c>
      <c r="HJ8" s="21">
        <f>IF(HJ$1&lt;INDEX('Valo FX'!$Q:$Q,MATCH($A8,'Valo FX'!$A:$A,0)),0,IF(HJ$1&lt;INDEX('Valo FX'!$R:$R,MATCH($A8,'Valo FX'!$A:$A,0)),INDEX(Base!$U:$U,MATCH($A8,Base!$A:$A,0)),IF(HJ$1=INDEX('Valo FX'!$R:$R,MATCH($A8,'Valo FX'!$A:$A,0)),INDEX(Base!$V:$V,MATCH($A8,Base!$A:$A,0)),0)))</f>
        <v>0</v>
      </c>
      <c r="HK8" s="21">
        <f>IF(HK$1&lt;INDEX('Valo FX'!$Q:$Q,MATCH($A8,'Valo FX'!$A:$A,0)),0,IF(HK$1&lt;INDEX('Valo FX'!$R:$R,MATCH($A8,'Valo FX'!$A:$A,0)),INDEX(Base!$U:$U,MATCH($A8,Base!$A:$A,0)),IF(HK$1=INDEX('Valo FX'!$R:$R,MATCH($A8,'Valo FX'!$A:$A,0)),INDEX(Base!$V:$V,MATCH($A8,Base!$A:$A,0)),0)))</f>
        <v>0</v>
      </c>
      <c r="HL8" s="21">
        <f>IF(HL$1&lt;INDEX('Valo FX'!$Q:$Q,MATCH($A8,'Valo FX'!$A:$A,0)),0,IF(HL$1&lt;INDEX('Valo FX'!$R:$R,MATCH($A8,'Valo FX'!$A:$A,0)),INDEX(Base!$U:$U,MATCH($A8,Base!$A:$A,0)),IF(HL$1=INDEX('Valo FX'!$R:$R,MATCH($A8,'Valo FX'!$A:$A,0)),INDEX(Base!$V:$V,MATCH($A8,Base!$A:$A,0)),0)))</f>
        <v>0</v>
      </c>
      <c r="HM8" s="21">
        <f>IF(HM$1&lt;INDEX('Valo FX'!$Q:$Q,MATCH($A8,'Valo FX'!$A:$A,0)),0,IF(HM$1&lt;INDEX('Valo FX'!$R:$R,MATCH($A8,'Valo FX'!$A:$A,0)),INDEX(Base!$U:$U,MATCH($A8,Base!$A:$A,0)),IF(HM$1=INDEX('Valo FX'!$R:$R,MATCH($A8,'Valo FX'!$A:$A,0)),INDEX(Base!$V:$V,MATCH($A8,Base!$A:$A,0)),0)))</f>
        <v>0</v>
      </c>
      <c r="HN8" s="21">
        <f>IF(HN$1&lt;INDEX('Valo FX'!$Q:$Q,MATCH($A8,'Valo FX'!$A:$A,0)),0,IF(HN$1&lt;INDEX('Valo FX'!$R:$R,MATCH($A8,'Valo FX'!$A:$A,0)),INDEX(Base!$U:$U,MATCH($A8,Base!$A:$A,0)),IF(HN$1=INDEX('Valo FX'!$R:$R,MATCH($A8,'Valo FX'!$A:$A,0)),INDEX(Base!$V:$V,MATCH($A8,Base!$A:$A,0)),0)))</f>
        <v>0</v>
      </c>
      <c r="HO8" s="21">
        <f>IF(HO$1&lt;INDEX('Valo FX'!$Q:$Q,MATCH($A8,'Valo FX'!$A:$A,0)),0,IF(HO$1&lt;INDEX('Valo FX'!$R:$R,MATCH($A8,'Valo FX'!$A:$A,0)),INDEX(Base!$U:$U,MATCH($A8,Base!$A:$A,0)),IF(HO$1=INDEX('Valo FX'!$R:$R,MATCH($A8,'Valo FX'!$A:$A,0)),INDEX(Base!$V:$V,MATCH($A8,Base!$A:$A,0)),0)))</f>
        <v>0</v>
      </c>
      <c r="HP8" s="21">
        <f>IF(HP$1&lt;INDEX('Valo FX'!$Q:$Q,MATCH($A8,'Valo FX'!$A:$A,0)),0,IF(HP$1&lt;INDEX('Valo FX'!$R:$R,MATCH($A8,'Valo FX'!$A:$A,0)),INDEX(Base!$U:$U,MATCH($A8,Base!$A:$A,0)),IF(HP$1=INDEX('Valo FX'!$R:$R,MATCH($A8,'Valo FX'!$A:$A,0)),INDEX(Base!$V:$V,MATCH($A8,Base!$A:$A,0)),0)))</f>
        <v>0</v>
      </c>
      <c r="HQ8" s="21">
        <f>IF(HQ$1&lt;INDEX('Valo FX'!$Q:$Q,MATCH($A8,'Valo FX'!$A:$A,0)),0,IF(HQ$1&lt;INDEX('Valo FX'!$R:$R,MATCH($A8,'Valo FX'!$A:$A,0)),INDEX(Base!$U:$U,MATCH($A8,Base!$A:$A,0)),IF(HQ$1=INDEX('Valo FX'!$R:$R,MATCH($A8,'Valo FX'!$A:$A,0)),INDEX(Base!$V:$V,MATCH($A8,Base!$A:$A,0)),0)))</f>
        <v>0</v>
      </c>
      <c r="HR8" s="21">
        <f>IF(HR$1&lt;INDEX('Valo FX'!$Q:$Q,MATCH($A8,'Valo FX'!$A:$A,0)),0,IF(HR$1&lt;INDEX('Valo FX'!$R:$R,MATCH($A8,'Valo FX'!$A:$A,0)),INDEX(Base!$U:$U,MATCH($A8,Base!$A:$A,0)),IF(HR$1=INDEX('Valo FX'!$R:$R,MATCH($A8,'Valo FX'!$A:$A,0)),INDEX(Base!$V:$V,MATCH($A8,Base!$A:$A,0)),0)))</f>
        <v>0</v>
      </c>
      <c r="HS8" s="21">
        <f>IF(HS$1&lt;INDEX('Valo FX'!$Q:$Q,MATCH($A8,'Valo FX'!$A:$A,0)),0,IF(HS$1&lt;INDEX('Valo FX'!$R:$R,MATCH($A8,'Valo FX'!$A:$A,0)),INDEX(Base!$U:$U,MATCH($A8,Base!$A:$A,0)),IF(HS$1=INDEX('Valo FX'!$R:$R,MATCH($A8,'Valo FX'!$A:$A,0)),INDEX(Base!$V:$V,MATCH($A8,Base!$A:$A,0)),0)))</f>
        <v>0</v>
      </c>
      <c r="HT8" s="21">
        <f>IF(HT$1&lt;INDEX('Valo FX'!$Q:$Q,MATCH($A8,'Valo FX'!$A:$A,0)),0,IF(HT$1&lt;INDEX('Valo FX'!$R:$R,MATCH($A8,'Valo FX'!$A:$A,0)),INDEX(Base!$U:$U,MATCH($A8,Base!$A:$A,0)),IF(HT$1=INDEX('Valo FX'!$R:$R,MATCH($A8,'Valo FX'!$A:$A,0)),INDEX(Base!$V:$V,MATCH($A8,Base!$A:$A,0)),0)))</f>
        <v>0</v>
      </c>
      <c r="HU8" s="21">
        <f>IF(HU$1&lt;INDEX('Valo FX'!$Q:$Q,MATCH($A8,'Valo FX'!$A:$A,0)),0,IF(HU$1&lt;INDEX('Valo FX'!$R:$R,MATCH($A8,'Valo FX'!$A:$A,0)),INDEX(Base!$U:$U,MATCH($A8,Base!$A:$A,0)),IF(HU$1=INDEX('Valo FX'!$R:$R,MATCH($A8,'Valo FX'!$A:$A,0)),INDEX(Base!$V:$V,MATCH($A8,Base!$A:$A,0)),0)))</f>
        <v>0</v>
      </c>
      <c r="HV8" s="21">
        <f>IF(HV$1&lt;INDEX('Valo FX'!$Q:$Q,MATCH($A8,'Valo FX'!$A:$A,0)),0,IF(HV$1&lt;INDEX('Valo FX'!$R:$R,MATCH($A8,'Valo FX'!$A:$A,0)),INDEX(Base!$U:$U,MATCH($A8,Base!$A:$A,0)),IF(HV$1=INDEX('Valo FX'!$R:$R,MATCH($A8,'Valo FX'!$A:$A,0)),INDEX(Base!$V:$V,MATCH($A8,Base!$A:$A,0)),0)))</f>
        <v>0</v>
      </c>
      <c r="HW8" s="21">
        <f>IF(HW$1&lt;INDEX('Valo FX'!$Q:$Q,MATCH($A8,'Valo FX'!$A:$A,0)),0,IF(HW$1&lt;INDEX('Valo FX'!$R:$R,MATCH($A8,'Valo FX'!$A:$A,0)),INDEX(Base!$U:$U,MATCH($A8,Base!$A:$A,0)),IF(HW$1=INDEX('Valo FX'!$R:$R,MATCH($A8,'Valo FX'!$A:$A,0)),INDEX(Base!$V:$V,MATCH($A8,Base!$A:$A,0)),0)))</f>
        <v>0</v>
      </c>
      <c r="HX8" s="21">
        <f>IF(HX$1&lt;INDEX('Valo FX'!$Q:$Q,MATCH($A8,'Valo FX'!$A:$A,0)),0,IF(HX$1&lt;INDEX('Valo FX'!$R:$R,MATCH($A8,'Valo FX'!$A:$A,0)),INDEX(Base!$U:$U,MATCH($A8,Base!$A:$A,0)),IF(HX$1=INDEX('Valo FX'!$R:$R,MATCH($A8,'Valo FX'!$A:$A,0)),INDEX(Base!$V:$V,MATCH($A8,Base!$A:$A,0)),0)))</f>
        <v>0</v>
      </c>
      <c r="HY8" s="21">
        <f>IF(HY$1&lt;INDEX('Valo FX'!$Q:$Q,MATCH($A8,'Valo FX'!$A:$A,0)),0,IF(HY$1&lt;INDEX('Valo FX'!$R:$R,MATCH($A8,'Valo FX'!$A:$A,0)),INDEX(Base!$U:$U,MATCH($A8,Base!$A:$A,0)),IF(HY$1=INDEX('Valo FX'!$R:$R,MATCH($A8,'Valo FX'!$A:$A,0)),INDEX(Base!$V:$V,MATCH($A8,Base!$A:$A,0)),0)))</f>
        <v>0</v>
      </c>
      <c r="HZ8" s="21">
        <f>IF(HZ$1&lt;INDEX('Valo FX'!$Q:$Q,MATCH($A8,'Valo FX'!$A:$A,0)),0,IF(HZ$1&lt;INDEX('Valo FX'!$R:$R,MATCH($A8,'Valo FX'!$A:$A,0)),INDEX(Base!$U:$U,MATCH($A8,Base!$A:$A,0)),IF(HZ$1=INDEX('Valo FX'!$R:$R,MATCH($A8,'Valo FX'!$A:$A,0)),INDEX(Base!$V:$V,MATCH($A8,Base!$A:$A,0)),0)))</f>
        <v>0</v>
      </c>
      <c r="IA8" s="21">
        <f>IF(IA$1&lt;INDEX('Valo FX'!$Q:$Q,MATCH($A8,'Valo FX'!$A:$A,0)),0,IF(IA$1&lt;INDEX('Valo FX'!$R:$R,MATCH($A8,'Valo FX'!$A:$A,0)),INDEX(Base!$U:$U,MATCH($A8,Base!$A:$A,0)),IF(IA$1=INDEX('Valo FX'!$R:$R,MATCH($A8,'Valo FX'!$A:$A,0)),INDEX(Base!$V:$V,MATCH($A8,Base!$A:$A,0)),0)))</f>
        <v>0</v>
      </c>
      <c r="IB8" s="21">
        <f>IF(IB$1&lt;INDEX('Valo FX'!$Q:$Q,MATCH($A8,'Valo FX'!$A:$A,0)),0,IF(IB$1&lt;INDEX('Valo FX'!$R:$R,MATCH($A8,'Valo FX'!$A:$A,0)),INDEX(Base!$U:$U,MATCH($A8,Base!$A:$A,0)),IF(IB$1=INDEX('Valo FX'!$R:$R,MATCH($A8,'Valo FX'!$A:$A,0)),INDEX(Base!$V:$V,MATCH($A8,Base!$A:$A,0)),0)))</f>
        <v>0</v>
      </c>
      <c r="IC8" s="21">
        <f>IF(IC$1&lt;INDEX('Valo FX'!$Q:$Q,MATCH($A8,'Valo FX'!$A:$A,0)),0,IF(IC$1&lt;INDEX('Valo FX'!$R:$R,MATCH($A8,'Valo FX'!$A:$A,0)),INDEX(Base!$U:$U,MATCH($A8,Base!$A:$A,0)),IF(IC$1=INDEX('Valo FX'!$R:$R,MATCH($A8,'Valo FX'!$A:$A,0)),INDEX(Base!$V:$V,MATCH($A8,Base!$A:$A,0)),0)))</f>
        <v>0</v>
      </c>
      <c r="ID8" s="21">
        <f>IF(ID$1&lt;INDEX('Valo FX'!$Q:$Q,MATCH($A8,'Valo FX'!$A:$A,0)),0,IF(ID$1&lt;INDEX('Valo FX'!$R:$R,MATCH($A8,'Valo FX'!$A:$A,0)),INDEX(Base!$U:$U,MATCH($A8,Base!$A:$A,0)),IF(ID$1=INDEX('Valo FX'!$R:$R,MATCH($A8,'Valo FX'!$A:$A,0)),INDEX(Base!$V:$V,MATCH($A8,Base!$A:$A,0)),0)))</f>
        <v>0</v>
      </c>
      <c r="IE8" s="21">
        <f>IF(IE$1&lt;INDEX('Valo FX'!$Q:$Q,MATCH($A8,'Valo FX'!$A:$A,0)),0,IF(IE$1&lt;INDEX('Valo FX'!$R:$R,MATCH($A8,'Valo FX'!$A:$A,0)),INDEX(Base!$U:$U,MATCH($A8,Base!$A:$A,0)),IF(IE$1=INDEX('Valo FX'!$R:$R,MATCH($A8,'Valo FX'!$A:$A,0)),INDEX(Base!$V:$V,MATCH($A8,Base!$A:$A,0)),0)))</f>
        <v>0</v>
      </c>
      <c r="IF8" s="21">
        <f>IF(IF$1&lt;INDEX('Valo FX'!$Q:$Q,MATCH($A8,'Valo FX'!$A:$A,0)),0,IF(IF$1&lt;INDEX('Valo FX'!$R:$R,MATCH($A8,'Valo FX'!$A:$A,0)),INDEX(Base!$U:$U,MATCH($A8,Base!$A:$A,0)),IF(IF$1=INDEX('Valo FX'!$R:$R,MATCH($A8,'Valo FX'!$A:$A,0)),INDEX(Base!$V:$V,MATCH($A8,Base!$A:$A,0)),0)))</f>
        <v>0</v>
      </c>
      <c r="IG8" s="21">
        <f>IF(IG$1&lt;INDEX('Valo FX'!$Q:$Q,MATCH($A8,'Valo FX'!$A:$A,0)),0,IF(IG$1&lt;INDEX('Valo FX'!$R:$R,MATCH($A8,'Valo FX'!$A:$A,0)),INDEX(Base!$U:$U,MATCH($A8,Base!$A:$A,0)),IF(IG$1=INDEX('Valo FX'!$R:$R,MATCH($A8,'Valo FX'!$A:$A,0)),INDEX(Base!$V:$V,MATCH($A8,Base!$A:$A,0)),0)))</f>
        <v>0</v>
      </c>
      <c r="IH8" s="21">
        <f>IF(IH$1&lt;INDEX('Valo FX'!$Q:$Q,MATCH($A8,'Valo FX'!$A:$A,0)),0,IF(IH$1&lt;INDEX('Valo FX'!$R:$R,MATCH($A8,'Valo FX'!$A:$A,0)),INDEX(Base!$U:$U,MATCH($A8,Base!$A:$A,0)),IF(IH$1=INDEX('Valo FX'!$R:$R,MATCH($A8,'Valo FX'!$A:$A,0)),INDEX(Base!$V:$V,MATCH($A8,Base!$A:$A,0)),0)))</f>
        <v>0</v>
      </c>
      <c r="II8" s="21">
        <f>IF(II$1&lt;INDEX('Valo FX'!$Q:$Q,MATCH($A8,'Valo FX'!$A:$A,0)),0,IF(II$1&lt;INDEX('Valo FX'!$R:$R,MATCH($A8,'Valo FX'!$A:$A,0)),INDEX(Base!$U:$U,MATCH($A8,Base!$A:$A,0)),IF(II$1=INDEX('Valo FX'!$R:$R,MATCH($A8,'Valo FX'!$A:$A,0)),INDEX(Base!$V:$V,MATCH($A8,Base!$A:$A,0)),0)))</f>
        <v>0</v>
      </c>
      <c r="IJ8" s="21">
        <f>IF(IJ$1&lt;INDEX('Valo FX'!$Q:$Q,MATCH($A8,'Valo FX'!$A:$A,0)),0,IF(IJ$1&lt;INDEX('Valo FX'!$R:$R,MATCH($A8,'Valo FX'!$A:$A,0)),INDEX(Base!$U:$U,MATCH($A8,Base!$A:$A,0)),IF(IJ$1=INDEX('Valo FX'!$R:$R,MATCH($A8,'Valo FX'!$A:$A,0)),INDEX(Base!$V:$V,MATCH($A8,Base!$A:$A,0)),0)))</f>
        <v>0</v>
      </c>
      <c r="IK8" s="21">
        <f>IF(IK$1&lt;INDEX('Valo FX'!$Q:$Q,MATCH($A8,'Valo FX'!$A:$A,0)),0,IF(IK$1&lt;INDEX('Valo FX'!$R:$R,MATCH($A8,'Valo FX'!$A:$A,0)),INDEX(Base!$U:$U,MATCH($A8,Base!$A:$A,0)),IF(IK$1=INDEX('Valo FX'!$R:$R,MATCH($A8,'Valo FX'!$A:$A,0)),INDEX(Base!$V:$V,MATCH($A8,Base!$A:$A,0)),0)))</f>
        <v>0</v>
      </c>
      <c r="IL8" s="21">
        <f>IF(IL$1&lt;INDEX('Valo FX'!$Q:$Q,MATCH($A8,'Valo FX'!$A:$A,0)),0,IF(IL$1&lt;INDEX('Valo FX'!$R:$R,MATCH($A8,'Valo FX'!$A:$A,0)),INDEX(Base!$U:$U,MATCH($A8,Base!$A:$A,0)),IF(IL$1=INDEX('Valo FX'!$R:$R,MATCH($A8,'Valo FX'!$A:$A,0)),INDEX(Base!$V:$V,MATCH($A8,Base!$A:$A,0)),0)))</f>
        <v>0</v>
      </c>
      <c r="IM8" s="21">
        <f>IF(IM$1&lt;INDEX('Valo FX'!$Q:$Q,MATCH($A8,'Valo FX'!$A:$A,0)),0,IF(IM$1&lt;INDEX('Valo FX'!$R:$R,MATCH($A8,'Valo FX'!$A:$A,0)),INDEX(Base!$U:$U,MATCH($A8,Base!$A:$A,0)),IF(IM$1=INDEX('Valo FX'!$R:$R,MATCH($A8,'Valo FX'!$A:$A,0)),INDEX(Base!$V:$V,MATCH($A8,Base!$A:$A,0)),0)))</f>
        <v>0</v>
      </c>
      <c r="IN8" s="21">
        <f>IF(IN$1&lt;INDEX('Valo FX'!$Q:$Q,MATCH($A8,'Valo FX'!$A:$A,0)),0,IF(IN$1&lt;INDEX('Valo FX'!$R:$R,MATCH($A8,'Valo FX'!$A:$A,0)),INDEX(Base!$U:$U,MATCH($A8,Base!$A:$A,0)),IF(IN$1=INDEX('Valo FX'!$R:$R,MATCH($A8,'Valo FX'!$A:$A,0)),INDEX(Base!$V:$V,MATCH($A8,Base!$A:$A,0)),0)))</f>
        <v>0</v>
      </c>
      <c r="IO8" s="21">
        <f>IF(IO$1&lt;INDEX('Valo FX'!$Q:$Q,MATCH($A8,'Valo FX'!$A:$A,0)),0,IF(IO$1&lt;INDEX('Valo FX'!$R:$R,MATCH($A8,'Valo FX'!$A:$A,0)),INDEX(Base!$U:$U,MATCH($A8,Base!$A:$A,0)),IF(IO$1=INDEX('Valo FX'!$R:$R,MATCH($A8,'Valo FX'!$A:$A,0)),INDEX(Base!$V:$V,MATCH($A8,Base!$A:$A,0)),0)))</f>
        <v>0</v>
      </c>
      <c r="IP8" s="21">
        <f>IF(IP$1&lt;INDEX('Valo FX'!$Q:$Q,MATCH($A8,'Valo FX'!$A:$A,0)),0,IF(IP$1&lt;INDEX('Valo FX'!$R:$R,MATCH($A8,'Valo FX'!$A:$A,0)),INDEX(Base!$U:$U,MATCH($A8,Base!$A:$A,0)),IF(IP$1=INDEX('Valo FX'!$R:$R,MATCH($A8,'Valo FX'!$A:$A,0)),INDEX(Base!$V:$V,MATCH($A8,Base!$A:$A,0)),0)))</f>
        <v>0</v>
      </c>
      <c r="IQ8" s="21">
        <f>IF(IQ$1&lt;INDEX('Valo FX'!$Q:$Q,MATCH($A8,'Valo FX'!$A:$A,0)),0,IF(IQ$1&lt;INDEX('Valo FX'!$R:$R,MATCH($A8,'Valo FX'!$A:$A,0)),INDEX(Base!$U:$U,MATCH($A8,Base!$A:$A,0)),IF(IQ$1=INDEX('Valo FX'!$R:$R,MATCH($A8,'Valo FX'!$A:$A,0)),INDEX(Base!$V:$V,MATCH($A8,Base!$A:$A,0)),0)))</f>
        <v>0</v>
      </c>
      <c r="IR8" s="21">
        <f>IF(IR$1&lt;INDEX('Valo FX'!$Q:$Q,MATCH($A8,'Valo FX'!$A:$A,0)),0,IF(IR$1&lt;INDEX('Valo FX'!$R:$R,MATCH($A8,'Valo FX'!$A:$A,0)),INDEX(Base!$U:$U,MATCH($A8,Base!$A:$A,0)),IF(IR$1=INDEX('Valo FX'!$R:$R,MATCH($A8,'Valo FX'!$A:$A,0)),INDEX(Base!$V:$V,MATCH($A8,Base!$A:$A,0)),0)))</f>
        <v>0</v>
      </c>
      <c r="IS8" s="21">
        <f>IF(IS$1&lt;INDEX('Valo FX'!$Q:$Q,MATCH($A8,'Valo FX'!$A:$A,0)),0,IF(IS$1&lt;INDEX('Valo FX'!$R:$R,MATCH($A8,'Valo FX'!$A:$A,0)),INDEX(Base!$U:$U,MATCH($A8,Base!$A:$A,0)),IF(IS$1=INDEX('Valo FX'!$R:$R,MATCH($A8,'Valo FX'!$A:$A,0)),INDEX(Base!$V:$V,MATCH($A8,Base!$A:$A,0)),0)))</f>
        <v>0</v>
      </c>
      <c r="IT8" s="21">
        <f>IF(IT$1&lt;INDEX('Valo FX'!$Q:$Q,MATCH($A8,'Valo FX'!$A:$A,0)),0,IF(IT$1&lt;INDEX('Valo FX'!$R:$R,MATCH($A8,'Valo FX'!$A:$A,0)),INDEX(Base!$U:$U,MATCH($A8,Base!$A:$A,0)),IF(IT$1=INDEX('Valo FX'!$R:$R,MATCH($A8,'Valo FX'!$A:$A,0)),INDEX(Base!$V:$V,MATCH($A8,Base!$A:$A,0)),0)))</f>
        <v>0</v>
      </c>
      <c r="IU8" s="21">
        <f>IF(IU$1&lt;INDEX('Valo FX'!$Q:$Q,MATCH($A8,'Valo FX'!$A:$A,0)),0,IF(IU$1&lt;INDEX('Valo FX'!$R:$R,MATCH($A8,'Valo FX'!$A:$A,0)),INDEX(Base!$U:$U,MATCH($A8,Base!$A:$A,0)),IF(IU$1=INDEX('Valo FX'!$R:$R,MATCH($A8,'Valo FX'!$A:$A,0)),INDEX(Base!$V:$V,MATCH($A8,Base!$A:$A,0)),0)))</f>
        <v>0</v>
      </c>
      <c r="IV8" s="21">
        <f>IF(IV$1&lt;INDEX('Valo FX'!$Q:$Q,MATCH($A8,'Valo FX'!$A:$A,0)),0,IF(IV$1&lt;INDEX('Valo FX'!$R:$R,MATCH($A8,'Valo FX'!$A:$A,0)),INDEX(Base!$U:$U,MATCH($A8,Base!$A:$A,0)),IF(IV$1=INDEX('Valo FX'!$R:$R,MATCH($A8,'Valo FX'!$A:$A,0)),INDEX(Base!$V:$V,MATCH($A8,Base!$A:$A,0)),0)))</f>
        <v>0</v>
      </c>
      <c r="IW8" s="21">
        <f>IF(IW$1&lt;INDEX('Valo FX'!$Q:$Q,MATCH($A8,'Valo FX'!$A:$A,0)),0,IF(IW$1&lt;INDEX('Valo FX'!$R:$R,MATCH($A8,'Valo FX'!$A:$A,0)),INDEX(Base!$U:$U,MATCH($A8,Base!$A:$A,0)),IF(IW$1=INDEX('Valo FX'!$R:$R,MATCH($A8,'Valo FX'!$A:$A,0)),INDEX(Base!$V:$V,MATCH($A8,Base!$A:$A,0)),0)))</f>
        <v>0</v>
      </c>
      <c r="IX8" s="21">
        <f>IF(IX$1&lt;INDEX('Valo FX'!$Q:$Q,MATCH($A8,'Valo FX'!$A:$A,0)),0,IF(IX$1&lt;INDEX('Valo FX'!$R:$R,MATCH($A8,'Valo FX'!$A:$A,0)),INDEX(Base!$U:$U,MATCH($A8,Base!$A:$A,0)),IF(IX$1=INDEX('Valo FX'!$R:$R,MATCH($A8,'Valo FX'!$A:$A,0)),INDEX(Base!$V:$V,MATCH($A8,Base!$A:$A,0)),0)))</f>
        <v>0</v>
      </c>
      <c r="IY8" s="21">
        <f>IF(IY$1&lt;INDEX('Valo FX'!$Q:$Q,MATCH($A8,'Valo FX'!$A:$A,0)),0,IF(IY$1&lt;INDEX('Valo FX'!$R:$R,MATCH($A8,'Valo FX'!$A:$A,0)),INDEX(Base!$U:$U,MATCH($A8,Base!$A:$A,0)),IF(IY$1=INDEX('Valo FX'!$R:$R,MATCH($A8,'Valo FX'!$A:$A,0)),INDEX(Base!$V:$V,MATCH($A8,Base!$A:$A,0)),0)))</f>
        <v>0</v>
      </c>
      <c r="IZ8" s="21">
        <f>IF(IZ$1&lt;INDEX('Valo FX'!$Q:$Q,MATCH($A8,'Valo FX'!$A:$A,0)),0,IF(IZ$1&lt;INDEX('Valo FX'!$R:$R,MATCH($A8,'Valo FX'!$A:$A,0)),INDEX(Base!$U:$U,MATCH($A8,Base!$A:$A,0)),IF(IZ$1=INDEX('Valo FX'!$R:$R,MATCH($A8,'Valo FX'!$A:$A,0)),INDEX(Base!$V:$V,MATCH($A8,Base!$A:$A,0)),0)))</f>
        <v>0</v>
      </c>
      <c r="JA8" s="21">
        <f>IF(JA$1&lt;INDEX('Valo FX'!$Q:$Q,MATCH($A8,'Valo FX'!$A:$A,0)),0,IF(JA$1&lt;INDEX('Valo FX'!$R:$R,MATCH($A8,'Valo FX'!$A:$A,0)),INDEX(Base!$U:$U,MATCH($A8,Base!$A:$A,0)),IF(JA$1=INDEX('Valo FX'!$R:$R,MATCH($A8,'Valo FX'!$A:$A,0)),INDEX(Base!$V:$V,MATCH($A8,Base!$A:$A,0)),0)))</f>
        <v>0</v>
      </c>
      <c r="JB8" s="21">
        <f>IF(JB$1&lt;INDEX('Valo FX'!$Q:$Q,MATCH($A8,'Valo FX'!$A:$A,0)),0,IF(JB$1&lt;INDEX('Valo FX'!$R:$R,MATCH($A8,'Valo FX'!$A:$A,0)),INDEX(Base!$U:$U,MATCH($A8,Base!$A:$A,0)),IF(JB$1=INDEX('Valo FX'!$R:$R,MATCH($A8,'Valo FX'!$A:$A,0)),INDEX(Base!$V:$V,MATCH($A8,Base!$A:$A,0)),0)))</f>
        <v>0</v>
      </c>
      <c r="JC8" s="21">
        <f>IF(JC$1&lt;INDEX('Valo FX'!$Q:$Q,MATCH($A8,'Valo FX'!$A:$A,0)),0,IF(JC$1&lt;INDEX('Valo FX'!$R:$R,MATCH($A8,'Valo FX'!$A:$A,0)),INDEX(Base!$U:$U,MATCH($A8,Base!$A:$A,0)),IF(JC$1=INDEX('Valo FX'!$R:$R,MATCH($A8,'Valo FX'!$A:$A,0)),INDEX(Base!$V:$V,MATCH($A8,Base!$A:$A,0)),0)))</f>
        <v>0</v>
      </c>
      <c r="JD8" s="21">
        <f>IF(JD$1&lt;INDEX('Valo FX'!$Q:$Q,MATCH($A8,'Valo FX'!$A:$A,0)),0,IF(JD$1&lt;INDEX('Valo FX'!$R:$R,MATCH($A8,'Valo FX'!$A:$A,0)),INDEX(Base!$U:$U,MATCH($A8,Base!$A:$A,0)),IF(JD$1=INDEX('Valo FX'!$R:$R,MATCH($A8,'Valo FX'!$A:$A,0)),INDEX(Base!$V:$V,MATCH($A8,Base!$A:$A,0)),0)))</f>
        <v>0</v>
      </c>
      <c r="JE8" s="21">
        <f>IF(JE$1&lt;INDEX('Valo FX'!$Q:$Q,MATCH($A8,'Valo FX'!$A:$A,0)),0,IF(JE$1&lt;INDEX('Valo FX'!$R:$R,MATCH($A8,'Valo FX'!$A:$A,0)),INDEX(Base!$U:$U,MATCH($A8,Base!$A:$A,0)),IF(JE$1=INDEX('Valo FX'!$R:$R,MATCH($A8,'Valo FX'!$A:$A,0)),INDEX(Base!$V:$V,MATCH($A8,Base!$A:$A,0)),0)))</f>
        <v>0</v>
      </c>
      <c r="JF8" s="21">
        <f>IF(JF$1&lt;INDEX('Valo FX'!$Q:$Q,MATCH($A8,'Valo FX'!$A:$A,0)),0,IF(JF$1&lt;INDEX('Valo FX'!$R:$R,MATCH($A8,'Valo FX'!$A:$A,0)),INDEX(Base!$U:$U,MATCH($A8,Base!$A:$A,0)),IF(JF$1=INDEX('Valo FX'!$R:$R,MATCH($A8,'Valo FX'!$A:$A,0)),INDEX(Base!$V:$V,MATCH($A8,Base!$A:$A,0)),0)))</f>
        <v>0</v>
      </c>
      <c r="JG8" s="21">
        <f>IF(JG$1&lt;INDEX('Valo FX'!$Q:$Q,MATCH($A8,'Valo FX'!$A:$A,0)),0,IF(JG$1&lt;INDEX('Valo FX'!$R:$R,MATCH($A8,'Valo FX'!$A:$A,0)),INDEX(Base!$U:$U,MATCH($A8,Base!$A:$A,0)),IF(JG$1=INDEX('Valo FX'!$R:$R,MATCH($A8,'Valo FX'!$A:$A,0)),INDEX(Base!$V:$V,MATCH($A8,Base!$A:$A,0)),0)))</f>
        <v>0</v>
      </c>
      <c r="JH8" s="21">
        <f>IF(JH$1&lt;INDEX('Valo FX'!$Q:$Q,MATCH($A8,'Valo FX'!$A:$A,0)),0,IF(JH$1&lt;INDEX('Valo FX'!$R:$R,MATCH($A8,'Valo FX'!$A:$A,0)),INDEX(Base!$U:$U,MATCH($A8,Base!$A:$A,0)),IF(JH$1=INDEX('Valo FX'!$R:$R,MATCH($A8,'Valo FX'!$A:$A,0)),INDEX(Base!$V:$V,MATCH($A8,Base!$A:$A,0)),0)))</f>
        <v>0</v>
      </c>
      <c r="JI8" s="21">
        <f>IF(JI$1&lt;INDEX('Valo FX'!$Q:$Q,MATCH($A8,'Valo FX'!$A:$A,0)),0,IF(JI$1&lt;INDEX('Valo FX'!$R:$R,MATCH($A8,'Valo FX'!$A:$A,0)),INDEX(Base!$U:$U,MATCH($A8,Base!$A:$A,0)),IF(JI$1=INDEX('Valo FX'!$R:$R,MATCH($A8,'Valo FX'!$A:$A,0)),INDEX(Base!$V:$V,MATCH($A8,Base!$A:$A,0)),0)))</f>
        <v>0</v>
      </c>
      <c r="JJ8" s="21">
        <f>IF(JJ$1&lt;INDEX('Valo FX'!$Q:$Q,MATCH($A8,'Valo FX'!$A:$A,0)),0,IF(JJ$1&lt;INDEX('Valo FX'!$R:$R,MATCH($A8,'Valo FX'!$A:$A,0)),INDEX(Base!$U:$U,MATCH($A8,Base!$A:$A,0)),IF(JJ$1=INDEX('Valo FX'!$R:$R,MATCH($A8,'Valo FX'!$A:$A,0)),INDEX(Base!$V:$V,MATCH($A8,Base!$A:$A,0)),0)))</f>
        <v>0</v>
      </c>
      <c r="JK8" s="21">
        <f>IF(JK$1&lt;INDEX('Valo FX'!$Q:$Q,MATCH($A8,'Valo FX'!$A:$A,0)),0,IF(JK$1&lt;INDEX('Valo FX'!$R:$R,MATCH($A8,'Valo FX'!$A:$A,0)),INDEX(Base!$U:$U,MATCH($A8,Base!$A:$A,0)),IF(JK$1=INDEX('Valo FX'!$R:$R,MATCH($A8,'Valo FX'!$A:$A,0)),INDEX(Base!$V:$V,MATCH($A8,Base!$A:$A,0)),0)))</f>
        <v>0</v>
      </c>
      <c r="JL8" s="21">
        <f>IF(JL$1&lt;INDEX('Valo FX'!$Q:$Q,MATCH($A8,'Valo FX'!$A:$A,0)),0,IF(JL$1&lt;INDEX('Valo FX'!$R:$R,MATCH($A8,'Valo FX'!$A:$A,0)),INDEX(Base!$U:$U,MATCH($A8,Base!$A:$A,0)),IF(JL$1=INDEX('Valo FX'!$R:$R,MATCH($A8,'Valo FX'!$A:$A,0)),INDEX(Base!$V:$V,MATCH($A8,Base!$A:$A,0)),0)))</f>
        <v>0</v>
      </c>
      <c r="JM8" s="21">
        <f>IF(JM$1&lt;INDEX('Valo FX'!$Q:$Q,MATCH($A8,'Valo FX'!$A:$A,0)),0,IF(JM$1&lt;INDEX('Valo FX'!$R:$R,MATCH($A8,'Valo FX'!$A:$A,0)),INDEX(Base!$U:$U,MATCH($A8,Base!$A:$A,0)),IF(JM$1=INDEX('Valo FX'!$R:$R,MATCH($A8,'Valo FX'!$A:$A,0)),INDEX(Base!$V:$V,MATCH($A8,Base!$A:$A,0)),0)))</f>
        <v>0</v>
      </c>
      <c r="JN8" s="21">
        <f>IF(JN$1&lt;INDEX('Valo FX'!$Q:$Q,MATCH($A8,'Valo FX'!$A:$A,0)),0,IF(JN$1&lt;INDEX('Valo FX'!$R:$R,MATCH($A8,'Valo FX'!$A:$A,0)),INDEX(Base!$U:$U,MATCH($A8,Base!$A:$A,0)),IF(JN$1=INDEX('Valo FX'!$R:$R,MATCH($A8,'Valo FX'!$A:$A,0)),INDEX(Base!$V:$V,MATCH($A8,Base!$A:$A,0)),0)))</f>
        <v>0</v>
      </c>
      <c r="JO8" s="21">
        <f>IF(JO$1&lt;INDEX('Valo FX'!$Q:$Q,MATCH($A8,'Valo FX'!$A:$A,0)),0,IF(JO$1&lt;INDEX('Valo FX'!$R:$R,MATCH($A8,'Valo FX'!$A:$A,0)),INDEX(Base!$U:$U,MATCH($A8,Base!$A:$A,0)),IF(JO$1=INDEX('Valo FX'!$R:$R,MATCH($A8,'Valo FX'!$A:$A,0)),INDEX(Base!$V:$V,MATCH($A8,Base!$A:$A,0)),0)))</f>
        <v>0</v>
      </c>
      <c r="JP8" s="21">
        <f>IF(JP$1&lt;INDEX('Valo FX'!$Q:$Q,MATCH($A8,'Valo FX'!$A:$A,0)),0,IF(JP$1&lt;INDEX('Valo FX'!$R:$R,MATCH($A8,'Valo FX'!$A:$A,0)),INDEX(Base!$U:$U,MATCH($A8,Base!$A:$A,0)),IF(JP$1=INDEX('Valo FX'!$R:$R,MATCH($A8,'Valo FX'!$A:$A,0)),INDEX(Base!$V:$V,MATCH($A8,Base!$A:$A,0)),0)))</f>
        <v>0</v>
      </c>
      <c r="JQ8" s="21">
        <f>IF(JQ$1&lt;INDEX('Valo FX'!$Q:$Q,MATCH($A8,'Valo FX'!$A:$A,0)),0,IF(JQ$1&lt;INDEX('Valo FX'!$R:$R,MATCH($A8,'Valo FX'!$A:$A,0)),INDEX(Base!$U:$U,MATCH($A8,Base!$A:$A,0)),IF(JQ$1=INDEX('Valo FX'!$R:$R,MATCH($A8,'Valo FX'!$A:$A,0)),INDEX(Base!$V:$V,MATCH($A8,Base!$A:$A,0)),0)))</f>
        <v>0</v>
      </c>
      <c r="JR8" s="21">
        <f>IF(JR$1&lt;INDEX('Valo FX'!$Q:$Q,MATCH($A8,'Valo FX'!$A:$A,0)),0,IF(JR$1&lt;INDEX('Valo FX'!$R:$R,MATCH($A8,'Valo FX'!$A:$A,0)),INDEX(Base!$U:$U,MATCH($A8,Base!$A:$A,0)),IF(JR$1=INDEX('Valo FX'!$R:$R,MATCH($A8,'Valo FX'!$A:$A,0)),INDEX(Base!$V:$V,MATCH($A8,Base!$A:$A,0)),0)))</f>
        <v>0</v>
      </c>
      <c r="JS8" s="21">
        <f>IF(JS$1&lt;INDEX('Valo FX'!$Q:$Q,MATCH($A8,'Valo FX'!$A:$A,0)),0,IF(JS$1&lt;INDEX('Valo FX'!$R:$R,MATCH($A8,'Valo FX'!$A:$A,0)),INDEX(Base!$U:$U,MATCH($A8,Base!$A:$A,0)),IF(JS$1=INDEX('Valo FX'!$R:$R,MATCH($A8,'Valo FX'!$A:$A,0)),INDEX(Base!$V:$V,MATCH($A8,Base!$A:$A,0)),0)))</f>
        <v>0</v>
      </c>
      <c r="JT8" s="21">
        <f>IF(JT$1&lt;INDEX('Valo FX'!$Q:$Q,MATCH($A8,'Valo FX'!$A:$A,0)),0,IF(JT$1&lt;INDEX('Valo FX'!$R:$R,MATCH($A8,'Valo FX'!$A:$A,0)),INDEX(Base!$U:$U,MATCH($A8,Base!$A:$A,0)),IF(JT$1=INDEX('Valo FX'!$R:$R,MATCH($A8,'Valo FX'!$A:$A,0)),INDEX(Base!$V:$V,MATCH($A8,Base!$A:$A,0)),0)))</f>
        <v>0</v>
      </c>
      <c r="JU8" s="21">
        <f>IF(JU$1&lt;INDEX('Valo FX'!$Q:$Q,MATCH($A8,'Valo FX'!$A:$A,0)),0,IF(JU$1&lt;INDEX('Valo FX'!$R:$R,MATCH($A8,'Valo FX'!$A:$A,0)),INDEX(Base!$U:$U,MATCH($A8,Base!$A:$A,0)),IF(JU$1=INDEX('Valo FX'!$R:$R,MATCH($A8,'Valo FX'!$A:$A,0)),INDEX(Base!$V:$V,MATCH($A8,Base!$A:$A,0)),0)))</f>
        <v>0</v>
      </c>
      <c r="JV8" s="21">
        <f>IF(JV$1&lt;INDEX('Valo FX'!$Q:$Q,MATCH($A8,'Valo FX'!$A:$A,0)),0,IF(JV$1&lt;INDEX('Valo FX'!$R:$R,MATCH($A8,'Valo FX'!$A:$A,0)),INDEX(Base!$U:$U,MATCH($A8,Base!$A:$A,0)),IF(JV$1=INDEX('Valo FX'!$R:$R,MATCH($A8,'Valo FX'!$A:$A,0)),INDEX(Base!$V:$V,MATCH($A8,Base!$A:$A,0)),0)))</f>
        <v>0</v>
      </c>
      <c r="JW8" s="21">
        <f>IF(JW$1&lt;INDEX('Valo FX'!$Q:$Q,MATCH($A8,'Valo FX'!$A:$A,0)),0,IF(JW$1&lt;INDEX('Valo FX'!$R:$R,MATCH($A8,'Valo FX'!$A:$A,0)),INDEX(Base!$U:$U,MATCH($A8,Base!$A:$A,0)),IF(JW$1=INDEX('Valo FX'!$R:$R,MATCH($A8,'Valo FX'!$A:$A,0)),INDEX(Base!$V:$V,MATCH($A8,Base!$A:$A,0)),0)))</f>
        <v>0</v>
      </c>
      <c r="JX8" s="21">
        <f>IF(JX$1&lt;INDEX('Valo FX'!$Q:$Q,MATCH($A8,'Valo FX'!$A:$A,0)),0,IF(JX$1&lt;INDEX('Valo FX'!$R:$R,MATCH($A8,'Valo FX'!$A:$A,0)),INDEX(Base!$U:$U,MATCH($A8,Base!$A:$A,0)),IF(JX$1=INDEX('Valo FX'!$R:$R,MATCH($A8,'Valo FX'!$A:$A,0)),INDEX(Base!$V:$V,MATCH($A8,Base!$A:$A,0)),0)))</f>
        <v>0</v>
      </c>
      <c r="JY8" s="21">
        <f>IF(JY$1&lt;INDEX('Valo FX'!$Q:$Q,MATCH($A8,'Valo FX'!$A:$A,0)),0,IF(JY$1&lt;INDEX('Valo FX'!$R:$R,MATCH($A8,'Valo FX'!$A:$A,0)),INDEX(Base!$U:$U,MATCH($A8,Base!$A:$A,0)),IF(JY$1=INDEX('Valo FX'!$R:$R,MATCH($A8,'Valo FX'!$A:$A,0)),INDEX(Base!$V:$V,MATCH($A8,Base!$A:$A,0)),0)))</f>
        <v>0</v>
      </c>
      <c r="JZ8" s="21">
        <f>IF(JZ$1&lt;INDEX('Valo FX'!$Q:$Q,MATCH($A8,'Valo FX'!$A:$A,0)),0,IF(JZ$1&lt;INDEX('Valo FX'!$R:$R,MATCH($A8,'Valo FX'!$A:$A,0)),INDEX(Base!$U:$U,MATCH($A8,Base!$A:$A,0)),IF(JZ$1=INDEX('Valo FX'!$R:$R,MATCH($A8,'Valo FX'!$A:$A,0)),INDEX(Base!$V:$V,MATCH($A8,Base!$A:$A,0)),0)))</f>
        <v>0</v>
      </c>
      <c r="KA8" s="21">
        <f>IF(KA$1&lt;INDEX('Valo FX'!$Q:$Q,MATCH($A8,'Valo FX'!$A:$A,0)),0,IF(KA$1&lt;INDEX('Valo FX'!$R:$R,MATCH($A8,'Valo FX'!$A:$A,0)),INDEX(Base!$U:$U,MATCH($A8,Base!$A:$A,0)),IF(KA$1=INDEX('Valo FX'!$R:$R,MATCH($A8,'Valo FX'!$A:$A,0)),INDEX(Base!$V:$V,MATCH($A8,Base!$A:$A,0)),0)))</f>
        <v>0</v>
      </c>
      <c r="KB8" s="21">
        <f>IF(KB$1&lt;INDEX('Valo FX'!$Q:$Q,MATCH($A8,'Valo FX'!$A:$A,0)),0,IF(KB$1&lt;INDEX('Valo FX'!$R:$R,MATCH($A8,'Valo FX'!$A:$A,0)),INDEX(Base!$U:$U,MATCH($A8,Base!$A:$A,0)),IF(KB$1=INDEX('Valo FX'!$R:$R,MATCH($A8,'Valo FX'!$A:$A,0)),INDEX(Base!$V:$V,MATCH($A8,Base!$A:$A,0)),0)))</f>
        <v>0</v>
      </c>
      <c r="KC8" s="21">
        <f>IF(KC$1&lt;INDEX('Valo FX'!$Q:$Q,MATCH($A8,'Valo FX'!$A:$A,0)),0,IF(KC$1&lt;INDEX('Valo FX'!$R:$R,MATCH($A8,'Valo FX'!$A:$A,0)),INDEX(Base!$U:$U,MATCH($A8,Base!$A:$A,0)),IF(KC$1=INDEX('Valo FX'!$R:$R,MATCH($A8,'Valo FX'!$A:$A,0)),INDEX(Base!$V:$V,MATCH($A8,Base!$A:$A,0)),0)))</f>
        <v>0</v>
      </c>
      <c r="KD8" s="21">
        <f>IF(KD$1&lt;INDEX('Valo FX'!$Q:$Q,MATCH($A8,'Valo FX'!$A:$A,0)),0,IF(KD$1&lt;INDEX('Valo FX'!$R:$R,MATCH($A8,'Valo FX'!$A:$A,0)),INDEX(Base!$U:$U,MATCH($A8,Base!$A:$A,0)),IF(KD$1=INDEX('Valo FX'!$R:$R,MATCH($A8,'Valo FX'!$A:$A,0)),INDEX(Base!$V:$V,MATCH($A8,Base!$A:$A,0)),0)))</f>
        <v>0</v>
      </c>
      <c r="KE8" s="21">
        <f>IF(KE$1&lt;INDEX('Valo FX'!$Q:$Q,MATCH($A8,'Valo FX'!$A:$A,0)),0,IF(KE$1&lt;INDEX('Valo FX'!$R:$R,MATCH($A8,'Valo FX'!$A:$A,0)),INDEX(Base!$U:$U,MATCH($A8,Base!$A:$A,0)),IF(KE$1=INDEX('Valo FX'!$R:$R,MATCH($A8,'Valo FX'!$A:$A,0)),INDEX(Base!$V:$V,MATCH($A8,Base!$A:$A,0)),0)))</f>
        <v>0</v>
      </c>
      <c r="KF8" s="21">
        <f>IF(KF$1&lt;INDEX('Valo FX'!$Q:$Q,MATCH($A8,'Valo FX'!$A:$A,0)),0,IF(KF$1&lt;INDEX('Valo FX'!$R:$R,MATCH($A8,'Valo FX'!$A:$A,0)),INDEX(Base!$U:$U,MATCH($A8,Base!$A:$A,0)),IF(KF$1=INDEX('Valo FX'!$R:$R,MATCH($A8,'Valo FX'!$A:$A,0)),INDEX(Base!$V:$V,MATCH($A8,Base!$A:$A,0)),0)))</f>
        <v>0</v>
      </c>
      <c r="KG8" s="21">
        <f>IF(KG$1&lt;INDEX('Valo FX'!$Q:$Q,MATCH($A8,'Valo FX'!$A:$A,0)),0,IF(KG$1&lt;INDEX('Valo FX'!$R:$R,MATCH($A8,'Valo FX'!$A:$A,0)),INDEX(Base!$U:$U,MATCH($A8,Base!$A:$A,0)),IF(KG$1=INDEX('Valo FX'!$R:$R,MATCH($A8,'Valo FX'!$A:$A,0)),INDEX(Base!$V:$V,MATCH($A8,Base!$A:$A,0)),0)))</f>
        <v>0</v>
      </c>
      <c r="KH8" s="21">
        <f>IF(KH$1&lt;INDEX('Valo FX'!$Q:$Q,MATCH($A8,'Valo FX'!$A:$A,0)),0,IF(KH$1&lt;INDEX('Valo FX'!$R:$R,MATCH($A8,'Valo FX'!$A:$A,0)),INDEX(Base!$U:$U,MATCH($A8,Base!$A:$A,0)),IF(KH$1=INDEX('Valo FX'!$R:$R,MATCH($A8,'Valo FX'!$A:$A,0)),INDEX(Base!$V:$V,MATCH($A8,Base!$A:$A,0)),0)))</f>
        <v>0</v>
      </c>
      <c r="KI8" s="21">
        <f>IF(KI$1&lt;INDEX('Valo FX'!$Q:$Q,MATCH($A8,'Valo FX'!$A:$A,0)),0,IF(KI$1&lt;INDEX('Valo FX'!$R:$R,MATCH($A8,'Valo FX'!$A:$A,0)),INDEX(Base!$U:$U,MATCH($A8,Base!$A:$A,0)),IF(KI$1=INDEX('Valo FX'!$R:$R,MATCH($A8,'Valo FX'!$A:$A,0)),INDEX(Base!$V:$V,MATCH($A8,Base!$A:$A,0)),0)))</f>
        <v>0</v>
      </c>
      <c r="KJ8" s="21">
        <f>IF(KJ$1&lt;INDEX('Valo FX'!$Q:$Q,MATCH($A8,'Valo FX'!$A:$A,0)),0,IF(KJ$1&lt;INDEX('Valo FX'!$R:$R,MATCH($A8,'Valo FX'!$A:$A,0)),INDEX(Base!$U:$U,MATCH($A8,Base!$A:$A,0)),IF(KJ$1=INDEX('Valo FX'!$R:$R,MATCH($A8,'Valo FX'!$A:$A,0)),INDEX(Base!$V:$V,MATCH($A8,Base!$A:$A,0)),0)))</f>
        <v>0</v>
      </c>
      <c r="KK8" s="21">
        <f>IF(KK$1&lt;INDEX('Valo FX'!$Q:$Q,MATCH($A8,'Valo FX'!$A:$A,0)),0,IF(KK$1&lt;INDEX('Valo FX'!$R:$R,MATCH($A8,'Valo FX'!$A:$A,0)),INDEX(Base!$U:$U,MATCH($A8,Base!$A:$A,0)),IF(KK$1=INDEX('Valo FX'!$R:$R,MATCH($A8,'Valo FX'!$A:$A,0)),INDEX(Base!$V:$V,MATCH($A8,Base!$A:$A,0)),0)))</f>
        <v>0</v>
      </c>
      <c r="KL8" s="21">
        <f>IF(KL$1&lt;INDEX('Valo FX'!$Q:$Q,MATCH($A8,'Valo FX'!$A:$A,0)),0,IF(KL$1&lt;INDEX('Valo FX'!$R:$R,MATCH($A8,'Valo FX'!$A:$A,0)),INDEX(Base!$U:$U,MATCH($A8,Base!$A:$A,0)),IF(KL$1=INDEX('Valo FX'!$R:$R,MATCH($A8,'Valo FX'!$A:$A,0)),INDEX(Base!$V:$V,MATCH($A8,Base!$A:$A,0)),0)))</f>
        <v>0</v>
      </c>
      <c r="KM8" s="21">
        <f>IF(KM$1&lt;INDEX('Valo FX'!$Q:$Q,MATCH($A8,'Valo FX'!$A:$A,0)),0,IF(KM$1&lt;INDEX('Valo FX'!$R:$R,MATCH($A8,'Valo FX'!$A:$A,0)),INDEX(Base!$U:$U,MATCH($A8,Base!$A:$A,0)),IF(KM$1=INDEX('Valo FX'!$R:$R,MATCH($A8,'Valo FX'!$A:$A,0)),INDEX(Base!$V:$V,MATCH($A8,Base!$A:$A,0)),0)))</f>
        <v>0</v>
      </c>
      <c r="KN8" s="21">
        <f>IF(KN$1&lt;INDEX('Valo FX'!$Q:$Q,MATCH($A8,'Valo FX'!$A:$A,0)),0,IF(KN$1&lt;INDEX('Valo FX'!$R:$R,MATCH($A8,'Valo FX'!$A:$A,0)),INDEX(Base!$U:$U,MATCH($A8,Base!$A:$A,0)),IF(KN$1=INDEX('Valo FX'!$R:$R,MATCH($A8,'Valo FX'!$A:$A,0)),INDEX(Base!$V:$V,MATCH($A8,Base!$A:$A,0)),0)))</f>
        <v>0</v>
      </c>
      <c r="KO8" s="21">
        <f>IF(KO$1&lt;INDEX('Valo FX'!$Q:$Q,MATCH($A8,'Valo FX'!$A:$A,0)),0,IF(KO$1&lt;INDEX('Valo FX'!$R:$R,MATCH($A8,'Valo FX'!$A:$A,0)),INDEX(Base!$U:$U,MATCH($A8,Base!$A:$A,0)),IF(KO$1=INDEX('Valo FX'!$R:$R,MATCH($A8,'Valo FX'!$A:$A,0)),INDEX(Base!$V:$V,MATCH($A8,Base!$A:$A,0)),0)))</f>
        <v>0</v>
      </c>
      <c r="KP8" s="21">
        <f>IF(KP$1&lt;INDEX('Valo FX'!$Q:$Q,MATCH($A8,'Valo FX'!$A:$A,0)),0,IF(KP$1&lt;INDEX('Valo FX'!$R:$R,MATCH($A8,'Valo FX'!$A:$A,0)),INDEX(Base!$U:$U,MATCH($A8,Base!$A:$A,0)),IF(KP$1=INDEX('Valo FX'!$R:$R,MATCH($A8,'Valo FX'!$A:$A,0)),INDEX(Base!$V:$V,MATCH($A8,Base!$A:$A,0)),0)))</f>
        <v>0</v>
      </c>
      <c r="KQ8" s="21">
        <f>IF(KQ$1&lt;INDEX('Valo FX'!$Q:$Q,MATCH($A8,'Valo FX'!$A:$A,0)),0,IF(KQ$1&lt;INDEX('Valo FX'!$R:$R,MATCH($A8,'Valo FX'!$A:$A,0)),INDEX(Base!$U:$U,MATCH($A8,Base!$A:$A,0)),IF(KQ$1=INDEX('Valo FX'!$R:$R,MATCH($A8,'Valo FX'!$A:$A,0)),INDEX(Base!$V:$V,MATCH($A8,Base!$A:$A,0)),0)))</f>
        <v>0</v>
      </c>
      <c r="KR8" s="21">
        <f>IF(KR$1&lt;INDEX('Valo FX'!$Q:$Q,MATCH($A8,'Valo FX'!$A:$A,0)),0,IF(KR$1&lt;INDEX('Valo FX'!$R:$R,MATCH($A8,'Valo FX'!$A:$A,0)),INDEX(Base!$U:$U,MATCH($A8,Base!$A:$A,0)),IF(KR$1=INDEX('Valo FX'!$R:$R,MATCH($A8,'Valo FX'!$A:$A,0)),INDEX(Base!$V:$V,MATCH($A8,Base!$A:$A,0)),0)))</f>
        <v>0</v>
      </c>
      <c r="KS8" s="21">
        <f>IF(KS$1&lt;INDEX('Valo FX'!$Q:$Q,MATCH($A8,'Valo FX'!$A:$A,0)),0,IF(KS$1&lt;INDEX('Valo FX'!$R:$R,MATCH($A8,'Valo FX'!$A:$A,0)),INDEX(Base!$U:$U,MATCH($A8,Base!$A:$A,0)),IF(KS$1=INDEX('Valo FX'!$R:$R,MATCH($A8,'Valo FX'!$A:$A,0)),INDEX(Base!$V:$V,MATCH($A8,Base!$A:$A,0)),0)))</f>
        <v>0</v>
      </c>
      <c r="KT8" s="21">
        <f>IF(KT$1&lt;INDEX('Valo FX'!$Q:$Q,MATCH($A8,'Valo FX'!$A:$A,0)),0,IF(KT$1&lt;INDEX('Valo FX'!$R:$R,MATCH($A8,'Valo FX'!$A:$A,0)),INDEX(Base!$U:$U,MATCH($A8,Base!$A:$A,0)),IF(KT$1=INDEX('Valo FX'!$R:$R,MATCH($A8,'Valo FX'!$A:$A,0)),INDEX(Base!$V:$V,MATCH($A8,Base!$A:$A,0)),0)))</f>
        <v>0</v>
      </c>
      <c r="KU8" s="21">
        <f>IF(KU$1&lt;INDEX('Valo FX'!$Q:$Q,MATCH($A8,'Valo FX'!$A:$A,0)),0,IF(KU$1&lt;INDEX('Valo FX'!$R:$R,MATCH($A8,'Valo FX'!$A:$A,0)),INDEX(Base!$U:$U,MATCH($A8,Base!$A:$A,0)),IF(KU$1=INDEX('Valo FX'!$R:$R,MATCH($A8,'Valo FX'!$A:$A,0)),INDEX(Base!$V:$V,MATCH($A8,Base!$A:$A,0)),0)))</f>
        <v>0</v>
      </c>
      <c r="KV8" s="21">
        <f>IF(KV$1&lt;INDEX('Valo FX'!$Q:$Q,MATCH($A8,'Valo FX'!$A:$A,0)),0,IF(KV$1&lt;INDEX('Valo FX'!$R:$R,MATCH($A8,'Valo FX'!$A:$A,0)),INDEX(Base!$U:$U,MATCH($A8,Base!$A:$A,0)),IF(KV$1=INDEX('Valo FX'!$R:$R,MATCH($A8,'Valo FX'!$A:$A,0)),INDEX(Base!$V:$V,MATCH($A8,Base!$A:$A,0)),0)))</f>
        <v>0</v>
      </c>
      <c r="KW8" s="21">
        <f>IF(KW$1&lt;INDEX('Valo FX'!$Q:$Q,MATCH($A8,'Valo FX'!$A:$A,0)),0,IF(KW$1&lt;INDEX('Valo FX'!$R:$R,MATCH($A8,'Valo FX'!$A:$A,0)),INDEX(Base!$U:$U,MATCH($A8,Base!$A:$A,0)),IF(KW$1=INDEX('Valo FX'!$R:$R,MATCH($A8,'Valo FX'!$A:$A,0)),INDEX(Base!$V:$V,MATCH($A8,Base!$A:$A,0)),0)))</f>
        <v>0</v>
      </c>
      <c r="KX8" s="21">
        <f>IF(KX$1&lt;INDEX('Valo FX'!$Q:$Q,MATCH($A8,'Valo FX'!$A:$A,0)),0,IF(KX$1&lt;INDEX('Valo FX'!$R:$R,MATCH($A8,'Valo FX'!$A:$A,0)),INDEX(Base!$U:$U,MATCH($A8,Base!$A:$A,0)),IF(KX$1=INDEX('Valo FX'!$R:$R,MATCH($A8,'Valo FX'!$A:$A,0)),INDEX(Base!$V:$V,MATCH($A8,Base!$A:$A,0)),0)))</f>
        <v>0</v>
      </c>
      <c r="KY8" s="21">
        <f>IF(KY$1&lt;INDEX('Valo FX'!$Q:$Q,MATCH($A8,'Valo FX'!$A:$A,0)),0,IF(KY$1&lt;INDEX('Valo FX'!$R:$R,MATCH($A8,'Valo FX'!$A:$A,0)),INDEX(Base!$U:$U,MATCH($A8,Base!$A:$A,0)),IF(KY$1=INDEX('Valo FX'!$R:$R,MATCH($A8,'Valo FX'!$A:$A,0)),INDEX(Base!$V:$V,MATCH($A8,Base!$A:$A,0)),0)))</f>
        <v>0</v>
      </c>
      <c r="KZ8" s="21">
        <f>IF(KZ$1&lt;INDEX('Valo FX'!$Q:$Q,MATCH($A8,'Valo FX'!$A:$A,0)),0,IF(KZ$1&lt;INDEX('Valo FX'!$R:$R,MATCH($A8,'Valo FX'!$A:$A,0)),INDEX(Base!$U:$U,MATCH($A8,Base!$A:$A,0)),IF(KZ$1=INDEX('Valo FX'!$R:$R,MATCH($A8,'Valo FX'!$A:$A,0)),INDEX(Base!$V:$V,MATCH($A8,Base!$A:$A,0)),0)))</f>
        <v>0</v>
      </c>
      <c r="LA8" s="21">
        <f>IF(LA$1&lt;INDEX('Valo FX'!$Q:$Q,MATCH($A8,'Valo FX'!$A:$A,0)),0,IF(LA$1&lt;INDEX('Valo FX'!$R:$R,MATCH($A8,'Valo FX'!$A:$A,0)),INDEX(Base!$U:$U,MATCH($A8,Base!$A:$A,0)),IF(LA$1=INDEX('Valo FX'!$R:$R,MATCH($A8,'Valo FX'!$A:$A,0)),INDEX(Base!$V:$V,MATCH($A8,Base!$A:$A,0)),0)))</f>
        <v>0</v>
      </c>
      <c r="LB8" s="21">
        <f>IF(LB$1&lt;INDEX('Valo FX'!$Q:$Q,MATCH($A8,'Valo FX'!$A:$A,0)),0,IF(LB$1&lt;INDEX('Valo FX'!$R:$R,MATCH($A8,'Valo FX'!$A:$A,0)),INDEX(Base!$U:$U,MATCH($A8,Base!$A:$A,0)),IF(LB$1=INDEX('Valo FX'!$R:$R,MATCH($A8,'Valo FX'!$A:$A,0)),INDEX(Base!$V:$V,MATCH($A8,Base!$A:$A,0)),0)))</f>
        <v>0</v>
      </c>
      <c r="LC8" s="21">
        <f>IF(LC$1&lt;INDEX('Valo FX'!$Q:$Q,MATCH($A8,'Valo FX'!$A:$A,0)),0,IF(LC$1&lt;INDEX('Valo FX'!$R:$R,MATCH($A8,'Valo FX'!$A:$A,0)),INDEX(Base!$U:$U,MATCH($A8,Base!$A:$A,0)),IF(LC$1=INDEX('Valo FX'!$R:$R,MATCH($A8,'Valo FX'!$A:$A,0)),INDEX(Base!$V:$V,MATCH($A8,Base!$A:$A,0)),0)))</f>
        <v>0</v>
      </c>
      <c r="LD8" s="21">
        <f>IF(LD$1&lt;INDEX('Valo FX'!$Q:$Q,MATCH($A8,'Valo FX'!$A:$A,0)),0,IF(LD$1&lt;INDEX('Valo FX'!$R:$R,MATCH($A8,'Valo FX'!$A:$A,0)),INDEX(Base!$U:$U,MATCH($A8,Base!$A:$A,0)),IF(LD$1=INDEX('Valo FX'!$R:$R,MATCH($A8,'Valo FX'!$A:$A,0)),INDEX(Base!$V:$V,MATCH($A8,Base!$A:$A,0)),0)))</f>
        <v>0</v>
      </c>
      <c r="LE8" s="21">
        <f>IF(LE$1&lt;INDEX('Valo FX'!$Q:$Q,MATCH($A8,'Valo FX'!$A:$A,0)),0,IF(LE$1&lt;INDEX('Valo FX'!$R:$R,MATCH($A8,'Valo FX'!$A:$A,0)),INDEX(Base!$U:$U,MATCH($A8,Base!$A:$A,0)),IF(LE$1=INDEX('Valo FX'!$R:$R,MATCH($A8,'Valo FX'!$A:$A,0)),INDEX(Base!$V:$V,MATCH($A8,Base!$A:$A,0)),0)))</f>
        <v>0</v>
      </c>
      <c r="LF8" s="21">
        <f>IF(LF$1&lt;INDEX('Valo FX'!$Q:$Q,MATCH($A8,'Valo FX'!$A:$A,0)),0,IF(LF$1&lt;INDEX('Valo FX'!$R:$R,MATCH($A8,'Valo FX'!$A:$A,0)),INDEX(Base!$U:$U,MATCH($A8,Base!$A:$A,0)),IF(LF$1=INDEX('Valo FX'!$R:$R,MATCH($A8,'Valo FX'!$A:$A,0)),INDEX(Base!$V:$V,MATCH($A8,Base!$A:$A,0)),0)))</f>
        <v>0</v>
      </c>
      <c r="LG8" s="21">
        <f>IF(LG$1&lt;INDEX('Valo FX'!$Q:$Q,MATCH($A8,'Valo FX'!$A:$A,0)),0,IF(LG$1&lt;INDEX('Valo FX'!$R:$R,MATCH($A8,'Valo FX'!$A:$A,0)),INDEX(Base!$U:$U,MATCH($A8,Base!$A:$A,0)),IF(LG$1=INDEX('Valo FX'!$R:$R,MATCH($A8,'Valo FX'!$A:$A,0)),INDEX(Base!$V:$V,MATCH($A8,Base!$A:$A,0)),0)))</f>
        <v>0</v>
      </c>
      <c r="LH8" s="21">
        <f>IF(LH$1&lt;INDEX('Valo FX'!$Q:$Q,MATCH($A8,'Valo FX'!$A:$A,0)),0,IF(LH$1&lt;INDEX('Valo FX'!$R:$R,MATCH($A8,'Valo FX'!$A:$A,0)),INDEX(Base!$U:$U,MATCH($A8,Base!$A:$A,0)),IF(LH$1=INDEX('Valo FX'!$R:$R,MATCH($A8,'Valo FX'!$A:$A,0)),INDEX(Base!$V:$V,MATCH($A8,Base!$A:$A,0)),0)))</f>
        <v>0</v>
      </c>
      <c r="LI8" s="21">
        <f>IF(LI$1&lt;INDEX('Valo FX'!$Q:$Q,MATCH($A8,'Valo FX'!$A:$A,0)),0,IF(LI$1&lt;INDEX('Valo FX'!$R:$R,MATCH($A8,'Valo FX'!$A:$A,0)),INDEX(Base!$U:$U,MATCH($A8,Base!$A:$A,0)),IF(LI$1=INDEX('Valo FX'!$R:$R,MATCH($A8,'Valo FX'!$A:$A,0)),INDEX(Base!$V:$V,MATCH($A8,Base!$A:$A,0)),0)))</f>
        <v>0</v>
      </c>
      <c r="LJ8" s="21">
        <f>IF(LJ$1&lt;INDEX('Valo FX'!$Q:$Q,MATCH($A8,'Valo FX'!$A:$A,0)),0,IF(LJ$1&lt;INDEX('Valo FX'!$R:$R,MATCH($A8,'Valo FX'!$A:$A,0)),INDEX(Base!$U:$U,MATCH($A8,Base!$A:$A,0)),IF(LJ$1=INDEX('Valo FX'!$R:$R,MATCH($A8,'Valo FX'!$A:$A,0)),INDEX(Base!$V:$V,MATCH($A8,Base!$A:$A,0)),0)))</f>
        <v>0</v>
      </c>
      <c r="LK8" s="21">
        <f>IF(LK$1&lt;INDEX('Valo FX'!$Q:$Q,MATCH($A8,'Valo FX'!$A:$A,0)),0,IF(LK$1&lt;INDEX('Valo FX'!$R:$R,MATCH($A8,'Valo FX'!$A:$A,0)),INDEX(Base!$U:$U,MATCH($A8,Base!$A:$A,0)),IF(LK$1=INDEX('Valo FX'!$R:$R,MATCH($A8,'Valo FX'!$A:$A,0)),INDEX(Base!$V:$V,MATCH($A8,Base!$A:$A,0)),0)))</f>
        <v>0</v>
      </c>
      <c r="LL8" s="21">
        <f>IF(LL$1&lt;INDEX('Valo FX'!$Q:$Q,MATCH($A8,'Valo FX'!$A:$A,0)),0,IF(LL$1&lt;INDEX('Valo FX'!$R:$R,MATCH($A8,'Valo FX'!$A:$A,0)),INDEX(Base!$U:$U,MATCH($A8,Base!$A:$A,0)),IF(LL$1=INDEX('Valo FX'!$R:$R,MATCH($A8,'Valo FX'!$A:$A,0)),INDEX(Base!$V:$V,MATCH($A8,Base!$A:$A,0)),0)))</f>
        <v>0</v>
      </c>
      <c r="LM8" s="21">
        <f>IF(LM$1&lt;INDEX('Valo FX'!$Q:$Q,MATCH($A8,'Valo FX'!$A:$A,0)),0,IF(LM$1&lt;INDEX('Valo FX'!$R:$R,MATCH($A8,'Valo FX'!$A:$A,0)),INDEX(Base!$U:$U,MATCH($A8,Base!$A:$A,0)),IF(LM$1=INDEX('Valo FX'!$R:$R,MATCH($A8,'Valo FX'!$A:$A,0)),INDEX(Base!$V:$V,MATCH($A8,Base!$A:$A,0)),0)))</f>
        <v>0</v>
      </c>
      <c r="LN8" s="21">
        <f>IF(LN$1&lt;INDEX('Valo FX'!$Q:$Q,MATCH($A8,'Valo FX'!$A:$A,0)),0,IF(LN$1&lt;INDEX('Valo FX'!$R:$R,MATCH($A8,'Valo FX'!$A:$A,0)),INDEX(Base!$U:$U,MATCH($A8,Base!$A:$A,0)),IF(LN$1=INDEX('Valo FX'!$R:$R,MATCH($A8,'Valo FX'!$A:$A,0)),INDEX(Base!$V:$V,MATCH($A8,Base!$A:$A,0)),0)))</f>
        <v>0</v>
      </c>
      <c r="LO8" s="21">
        <f>IF(LO$1&lt;INDEX('Valo FX'!$Q:$Q,MATCH($A8,'Valo FX'!$A:$A,0)),0,IF(LO$1&lt;INDEX('Valo FX'!$R:$R,MATCH($A8,'Valo FX'!$A:$A,0)),INDEX(Base!$U:$U,MATCH($A8,Base!$A:$A,0)),IF(LO$1=INDEX('Valo FX'!$R:$R,MATCH($A8,'Valo FX'!$A:$A,0)),INDEX(Base!$V:$V,MATCH($A8,Base!$A:$A,0)),0)))</f>
        <v>0</v>
      </c>
      <c r="LP8" s="21">
        <f>IF(LP$1&lt;INDEX('Valo FX'!$Q:$Q,MATCH($A8,'Valo FX'!$A:$A,0)),0,IF(LP$1&lt;INDEX('Valo FX'!$R:$R,MATCH($A8,'Valo FX'!$A:$A,0)),INDEX(Base!$U:$U,MATCH($A8,Base!$A:$A,0)),IF(LP$1=INDEX('Valo FX'!$R:$R,MATCH($A8,'Valo FX'!$A:$A,0)),INDEX(Base!$V:$V,MATCH($A8,Base!$A:$A,0)),0)))</f>
        <v>0</v>
      </c>
      <c r="LQ8" s="21">
        <f>IF(LQ$1&lt;INDEX('Valo FX'!$Q:$Q,MATCH($A8,'Valo FX'!$A:$A,0)),0,IF(LQ$1&lt;INDEX('Valo FX'!$R:$R,MATCH($A8,'Valo FX'!$A:$A,0)),INDEX(Base!$U:$U,MATCH($A8,Base!$A:$A,0)),IF(LQ$1=INDEX('Valo FX'!$R:$R,MATCH($A8,'Valo FX'!$A:$A,0)),INDEX(Base!$V:$V,MATCH($A8,Base!$A:$A,0)),0)))</f>
        <v>0</v>
      </c>
      <c r="LR8" s="21">
        <f>IF(LR$1&lt;INDEX('Valo FX'!$Q:$Q,MATCH($A8,'Valo FX'!$A:$A,0)),0,IF(LR$1&lt;INDEX('Valo FX'!$R:$R,MATCH($A8,'Valo FX'!$A:$A,0)),INDEX(Base!$U:$U,MATCH($A8,Base!$A:$A,0)),IF(LR$1=INDEX('Valo FX'!$R:$R,MATCH($A8,'Valo FX'!$A:$A,0)),INDEX(Base!$V:$V,MATCH($A8,Base!$A:$A,0)),0)))</f>
        <v>0</v>
      </c>
      <c r="LS8" s="21">
        <f>IF(LS$1&lt;INDEX('Valo FX'!$Q:$Q,MATCH($A8,'Valo FX'!$A:$A,0)),0,IF(LS$1&lt;INDEX('Valo FX'!$R:$R,MATCH($A8,'Valo FX'!$A:$A,0)),INDEX(Base!$U:$U,MATCH($A8,Base!$A:$A,0)),IF(LS$1=INDEX('Valo FX'!$R:$R,MATCH($A8,'Valo FX'!$A:$A,0)),INDEX(Base!$V:$V,MATCH($A8,Base!$A:$A,0)),0)))</f>
        <v>0</v>
      </c>
      <c r="LT8" s="21">
        <f>IF(LT$1&lt;INDEX('Valo FX'!$Q:$Q,MATCH($A8,'Valo FX'!$A:$A,0)),0,IF(LT$1&lt;INDEX('Valo FX'!$R:$R,MATCH($A8,'Valo FX'!$A:$A,0)),INDEX(Base!$U:$U,MATCH($A8,Base!$A:$A,0)),IF(LT$1=INDEX('Valo FX'!$R:$R,MATCH($A8,'Valo FX'!$A:$A,0)),INDEX(Base!$V:$V,MATCH($A8,Base!$A:$A,0)),0)))</f>
        <v>0</v>
      </c>
      <c r="LU8" s="21">
        <f>IF(LU$1&lt;INDEX('Valo FX'!$Q:$Q,MATCH($A8,'Valo FX'!$A:$A,0)),0,IF(LU$1&lt;INDEX('Valo FX'!$R:$R,MATCH($A8,'Valo FX'!$A:$A,0)),INDEX(Base!$U:$U,MATCH($A8,Base!$A:$A,0)),IF(LU$1=INDEX('Valo FX'!$R:$R,MATCH($A8,'Valo FX'!$A:$A,0)),INDEX(Base!$V:$V,MATCH($A8,Base!$A:$A,0)),0)))</f>
        <v>0</v>
      </c>
      <c r="LV8" s="21">
        <f>IF(LV$1&lt;INDEX('Valo FX'!$Q:$Q,MATCH($A8,'Valo FX'!$A:$A,0)),0,IF(LV$1&lt;INDEX('Valo FX'!$R:$R,MATCH($A8,'Valo FX'!$A:$A,0)),INDEX(Base!$U:$U,MATCH($A8,Base!$A:$A,0)),IF(LV$1=INDEX('Valo FX'!$R:$R,MATCH($A8,'Valo FX'!$A:$A,0)),INDEX(Base!$V:$V,MATCH($A8,Base!$A:$A,0)),0)))</f>
        <v>0</v>
      </c>
      <c r="LW8" s="21">
        <f>IF(LW$1&lt;INDEX('Valo FX'!$Q:$Q,MATCH($A8,'Valo FX'!$A:$A,0)),0,IF(LW$1&lt;INDEX('Valo FX'!$R:$R,MATCH($A8,'Valo FX'!$A:$A,0)),INDEX(Base!$U:$U,MATCH($A8,Base!$A:$A,0)),IF(LW$1=INDEX('Valo FX'!$R:$R,MATCH($A8,'Valo FX'!$A:$A,0)),INDEX(Base!$V:$V,MATCH($A8,Base!$A:$A,0)),0)))</f>
        <v>0</v>
      </c>
      <c r="LX8" s="21">
        <f>IF(LX$1&lt;INDEX('Valo FX'!$Q:$Q,MATCH($A8,'Valo FX'!$A:$A,0)),0,IF(LX$1&lt;INDEX('Valo FX'!$R:$R,MATCH($A8,'Valo FX'!$A:$A,0)),INDEX(Base!$U:$U,MATCH($A8,Base!$A:$A,0)),IF(LX$1=INDEX('Valo FX'!$R:$R,MATCH($A8,'Valo FX'!$A:$A,0)),INDEX(Base!$V:$V,MATCH($A8,Base!$A:$A,0)),0)))</f>
        <v>0</v>
      </c>
      <c r="LY8" s="21">
        <f>IF(LY$1&lt;INDEX('Valo FX'!$Q:$Q,MATCH($A8,'Valo FX'!$A:$A,0)),0,IF(LY$1&lt;INDEX('Valo FX'!$R:$R,MATCH($A8,'Valo FX'!$A:$A,0)),INDEX(Base!$U:$U,MATCH($A8,Base!$A:$A,0)),IF(LY$1=INDEX('Valo FX'!$R:$R,MATCH($A8,'Valo FX'!$A:$A,0)),INDEX(Base!$V:$V,MATCH($A8,Base!$A:$A,0)),0)))</f>
        <v>0</v>
      </c>
      <c r="LZ8" s="21">
        <f>IF(LZ$1&lt;INDEX('Valo FX'!$Q:$Q,MATCH($A8,'Valo FX'!$A:$A,0)),0,IF(LZ$1&lt;INDEX('Valo FX'!$R:$R,MATCH($A8,'Valo FX'!$A:$A,0)),INDEX(Base!$U:$U,MATCH($A8,Base!$A:$A,0)),IF(LZ$1=INDEX('Valo FX'!$R:$R,MATCH($A8,'Valo FX'!$A:$A,0)),INDEX(Base!$V:$V,MATCH($A8,Base!$A:$A,0)),0)))</f>
        <v>0</v>
      </c>
      <c r="MA8" s="21">
        <f>IF(MA$1&lt;INDEX('Valo FX'!$Q:$Q,MATCH($A8,'Valo FX'!$A:$A,0)),0,IF(MA$1&lt;INDEX('Valo FX'!$R:$R,MATCH($A8,'Valo FX'!$A:$A,0)),INDEX(Base!$U:$U,MATCH($A8,Base!$A:$A,0)),IF(MA$1=INDEX('Valo FX'!$R:$R,MATCH($A8,'Valo FX'!$A:$A,0)),INDEX(Base!$V:$V,MATCH($A8,Base!$A:$A,0)),0)))</f>
        <v>0</v>
      </c>
      <c r="MB8" s="21">
        <f>IF(MB$1&lt;INDEX('Valo FX'!$Q:$Q,MATCH($A8,'Valo FX'!$A:$A,0)),0,IF(MB$1&lt;INDEX('Valo FX'!$R:$R,MATCH($A8,'Valo FX'!$A:$A,0)),INDEX(Base!$U:$U,MATCH($A8,Base!$A:$A,0)),IF(MB$1=INDEX('Valo FX'!$R:$R,MATCH($A8,'Valo FX'!$A:$A,0)),INDEX(Base!$V:$V,MATCH($A8,Base!$A:$A,0)),0)))</f>
        <v>0</v>
      </c>
      <c r="MC8" s="21">
        <f>IF(MC$1&lt;INDEX('Valo FX'!$Q:$Q,MATCH($A8,'Valo FX'!$A:$A,0)),0,IF(MC$1&lt;INDEX('Valo FX'!$R:$R,MATCH($A8,'Valo FX'!$A:$A,0)),INDEX(Base!$U:$U,MATCH($A8,Base!$A:$A,0)),IF(MC$1=INDEX('Valo FX'!$R:$R,MATCH($A8,'Valo FX'!$A:$A,0)),INDEX(Base!$V:$V,MATCH($A8,Base!$A:$A,0)),0)))</f>
        <v>0</v>
      </c>
      <c r="MD8" s="21">
        <f>IF(MD$1&lt;INDEX('Valo FX'!$Q:$Q,MATCH($A8,'Valo FX'!$A:$A,0)),0,IF(MD$1&lt;INDEX('Valo FX'!$R:$R,MATCH($A8,'Valo FX'!$A:$A,0)),INDEX(Base!$U:$U,MATCH($A8,Base!$A:$A,0)),IF(MD$1=INDEX('Valo FX'!$R:$R,MATCH($A8,'Valo FX'!$A:$A,0)),INDEX(Base!$V:$V,MATCH($A8,Base!$A:$A,0)),0)))</f>
        <v>0</v>
      </c>
      <c r="ME8" s="21">
        <f>IF(ME$1&lt;INDEX('Valo FX'!$Q:$Q,MATCH($A8,'Valo FX'!$A:$A,0)),0,IF(ME$1&lt;INDEX('Valo FX'!$R:$R,MATCH($A8,'Valo FX'!$A:$A,0)),INDEX(Base!$U:$U,MATCH($A8,Base!$A:$A,0)),IF(ME$1=INDEX('Valo FX'!$R:$R,MATCH($A8,'Valo FX'!$A:$A,0)),INDEX(Base!$V:$V,MATCH($A8,Base!$A:$A,0)),0)))</f>
        <v>0</v>
      </c>
      <c r="MF8" s="21">
        <f>IF(MF$1&lt;INDEX('Valo FX'!$Q:$Q,MATCH($A8,'Valo FX'!$A:$A,0)),0,IF(MF$1&lt;INDEX('Valo FX'!$R:$R,MATCH($A8,'Valo FX'!$A:$A,0)),INDEX(Base!$U:$U,MATCH($A8,Base!$A:$A,0)),IF(MF$1=INDEX('Valo FX'!$R:$R,MATCH($A8,'Valo FX'!$A:$A,0)),INDEX(Base!$V:$V,MATCH($A8,Base!$A:$A,0)),0)))</f>
        <v>0</v>
      </c>
      <c r="MG8" s="21">
        <f>IF(MG$1&lt;INDEX('Valo FX'!$Q:$Q,MATCH($A8,'Valo FX'!$A:$A,0)),0,IF(MG$1&lt;INDEX('Valo FX'!$R:$R,MATCH($A8,'Valo FX'!$A:$A,0)),INDEX(Base!$U:$U,MATCH($A8,Base!$A:$A,0)),IF(MG$1=INDEX('Valo FX'!$R:$R,MATCH($A8,'Valo FX'!$A:$A,0)),INDEX(Base!$V:$V,MATCH($A8,Base!$A:$A,0)),0)))</f>
        <v>0</v>
      </c>
      <c r="MH8" s="21">
        <f>IF(MH$1&lt;INDEX('Valo FX'!$Q:$Q,MATCH($A8,'Valo FX'!$A:$A,0)),0,IF(MH$1&lt;INDEX('Valo FX'!$R:$R,MATCH($A8,'Valo FX'!$A:$A,0)),INDEX(Base!$U:$U,MATCH($A8,Base!$A:$A,0)),IF(MH$1=INDEX('Valo FX'!$R:$R,MATCH($A8,'Valo FX'!$A:$A,0)),INDEX(Base!$V:$V,MATCH($A8,Base!$A:$A,0)),0)))</f>
        <v>0</v>
      </c>
      <c r="MI8" s="21">
        <f>IF(MI$1&lt;INDEX('Valo FX'!$Q:$Q,MATCH($A8,'Valo FX'!$A:$A,0)),0,IF(MI$1&lt;INDEX('Valo FX'!$R:$R,MATCH($A8,'Valo FX'!$A:$A,0)),INDEX(Base!$U:$U,MATCH($A8,Base!$A:$A,0)),IF(MI$1=INDEX('Valo FX'!$R:$R,MATCH($A8,'Valo FX'!$A:$A,0)),INDEX(Base!$V:$V,MATCH($A8,Base!$A:$A,0)),0)))</f>
        <v>0</v>
      </c>
      <c r="MJ8" s="21">
        <f>IF(MJ$1&lt;INDEX('Valo FX'!$Q:$Q,MATCH($A8,'Valo FX'!$A:$A,0)),0,IF(MJ$1&lt;INDEX('Valo FX'!$R:$R,MATCH($A8,'Valo FX'!$A:$A,0)),INDEX(Base!$U:$U,MATCH($A8,Base!$A:$A,0)),IF(MJ$1=INDEX('Valo FX'!$R:$R,MATCH($A8,'Valo FX'!$A:$A,0)),INDEX(Base!$V:$V,MATCH($A8,Base!$A:$A,0)),0)))</f>
        <v>0</v>
      </c>
      <c r="MK8" s="21">
        <f>IF(MK$1&lt;INDEX('Valo FX'!$Q:$Q,MATCH($A8,'Valo FX'!$A:$A,0)),0,IF(MK$1&lt;INDEX('Valo FX'!$R:$R,MATCH($A8,'Valo FX'!$A:$A,0)),INDEX(Base!$U:$U,MATCH($A8,Base!$A:$A,0)),IF(MK$1=INDEX('Valo FX'!$R:$R,MATCH($A8,'Valo FX'!$A:$A,0)),INDEX(Base!$V:$V,MATCH($A8,Base!$A:$A,0)),0)))</f>
        <v>0</v>
      </c>
      <c r="ML8" s="21">
        <f>IF(ML$1&lt;INDEX('Valo FX'!$Q:$Q,MATCH($A8,'Valo FX'!$A:$A,0)),0,IF(ML$1&lt;INDEX('Valo FX'!$R:$R,MATCH($A8,'Valo FX'!$A:$A,0)),INDEX(Base!$U:$U,MATCH($A8,Base!$A:$A,0)),IF(ML$1=INDEX('Valo FX'!$R:$R,MATCH($A8,'Valo FX'!$A:$A,0)),INDEX(Base!$V:$V,MATCH($A8,Base!$A:$A,0)),0)))</f>
        <v>0</v>
      </c>
      <c r="MM8" s="21">
        <f>IF(MM$1&lt;INDEX('Valo FX'!$Q:$Q,MATCH($A8,'Valo FX'!$A:$A,0)),0,IF(MM$1&lt;INDEX('Valo FX'!$R:$R,MATCH($A8,'Valo FX'!$A:$A,0)),INDEX(Base!$U:$U,MATCH($A8,Base!$A:$A,0)),IF(MM$1=INDEX('Valo FX'!$R:$R,MATCH($A8,'Valo FX'!$A:$A,0)),INDEX(Base!$V:$V,MATCH($A8,Base!$A:$A,0)),0)))</f>
        <v>0</v>
      </c>
      <c r="MN8" s="21">
        <f>IF(MN$1&lt;INDEX('Valo FX'!$Q:$Q,MATCH($A8,'Valo FX'!$A:$A,0)),0,IF(MN$1&lt;INDEX('Valo FX'!$R:$R,MATCH($A8,'Valo FX'!$A:$A,0)),INDEX(Base!$U:$U,MATCH($A8,Base!$A:$A,0)),IF(MN$1=INDEX('Valo FX'!$R:$R,MATCH($A8,'Valo FX'!$A:$A,0)),INDEX(Base!$V:$V,MATCH($A8,Base!$A:$A,0)),0)))</f>
        <v>0</v>
      </c>
      <c r="MO8" s="21">
        <f>IF(MO$1&lt;INDEX('Valo FX'!$Q:$Q,MATCH($A8,'Valo FX'!$A:$A,0)),0,IF(MO$1&lt;INDEX('Valo FX'!$R:$R,MATCH($A8,'Valo FX'!$A:$A,0)),INDEX(Base!$U:$U,MATCH($A8,Base!$A:$A,0)),IF(MO$1=INDEX('Valo FX'!$R:$R,MATCH($A8,'Valo FX'!$A:$A,0)),INDEX(Base!$V:$V,MATCH($A8,Base!$A:$A,0)),0)))</f>
        <v>0</v>
      </c>
      <c r="MP8" s="21">
        <f>IF(MP$1&lt;INDEX('Valo FX'!$Q:$Q,MATCH($A8,'Valo FX'!$A:$A,0)),0,IF(MP$1&lt;INDEX('Valo FX'!$R:$R,MATCH($A8,'Valo FX'!$A:$A,0)),INDEX(Base!$U:$U,MATCH($A8,Base!$A:$A,0)),IF(MP$1=INDEX('Valo FX'!$R:$R,MATCH($A8,'Valo FX'!$A:$A,0)),INDEX(Base!$V:$V,MATCH($A8,Base!$A:$A,0)),0)))</f>
        <v>0</v>
      </c>
      <c r="MQ8" s="21">
        <f>IF(MQ$1&lt;INDEX('Valo FX'!$Q:$Q,MATCH($A8,'Valo FX'!$A:$A,0)),0,IF(MQ$1&lt;INDEX('Valo FX'!$R:$R,MATCH($A8,'Valo FX'!$A:$A,0)),INDEX(Base!$U:$U,MATCH($A8,Base!$A:$A,0)),IF(MQ$1=INDEX('Valo FX'!$R:$R,MATCH($A8,'Valo FX'!$A:$A,0)),INDEX(Base!$V:$V,MATCH($A8,Base!$A:$A,0)),0)))</f>
        <v>0</v>
      </c>
      <c r="MR8" s="21">
        <f>IF(MR$1&lt;INDEX('Valo FX'!$Q:$Q,MATCH($A8,'Valo FX'!$A:$A,0)),0,IF(MR$1&lt;INDEX('Valo FX'!$R:$R,MATCH($A8,'Valo FX'!$A:$A,0)),INDEX(Base!$U:$U,MATCH($A8,Base!$A:$A,0)),IF(MR$1=INDEX('Valo FX'!$R:$R,MATCH($A8,'Valo FX'!$A:$A,0)),INDEX(Base!$V:$V,MATCH($A8,Base!$A:$A,0)),0)))</f>
        <v>0</v>
      </c>
      <c r="MS8" s="21">
        <f>IF(MS$1&lt;INDEX('Valo FX'!$Q:$Q,MATCH($A8,'Valo FX'!$A:$A,0)),0,IF(MS$1&lt;INDEX('Valo FX'!$R:$R,MATCH($A8,'Valo FX'!$A:$A,0)),INDEX(Base!$U:$U,MATCH($A8,Base!$A:$A,0)),IF(MS$1=INDEX('Valo FX'!$R:$R,MATCH($A8,'Valo FX'!$A:$A,0)),INDEX(Base!$V:$V,MATCH($A8,Base!$A:$A,0)),0)))</f>
        <v>0</v>
      </c>
      <c r="MT8" s="21">
        <f>IF(MT$1&lt;INDEX('Valo FX'!$Q:$Q,MATCH($A8,'Valo FX'!$A:$A,0)),0,IF(MT$1&lt;INDEX('Valo FX'!$R:$R,MATCH($A8,'Valo FX'!$A:$A,0)),INDEX(Base!$U:$U,MATCH($A8,Base!$A:$A,0)),IF(MT$1=INDEX('Valo FX'!$R:$R,MATCH($A8,'Valo FX'!$A:$A,0)),INDEX(Base!$V:$V,MATCH($A8,Base!$A:$A,0)),0)))</f>
        <v>0</v>
      </c>
      <c r="MU8" s="21">
        <f>IF(MU$1&lt;INDEX('Valo FX'!$Q:$Q,MATCH($A8,'Valo FX'!$A:$A,0)),0,IF(MU$1&lt;INDEX('Valo FX'!$R:$R,MATCH($A8,'Valo FX'!$A:$A,0)),INDEX(Base!$U:$U,MATCH($A8,Base!$A:$A,0)),IF(MU$1=INDEX('Valo FX'!$R:$R,MATCH($A8,'Valo FX'!$A:$A,0)),INDEX(Base!$V:$V,MATCH($A8,Base!$A:$A,0)),0)))</f>
        <v>0</v>
      </c>
      <c r="MV8" s="21">
        <f>IF(MV$1&lt;INDEX('Valo FX'!$Q:$Q,MATCH($A8,'Valo FX'!$A:$A,0)),0,IF(MV$1&lt;INDEX('Valo FX'!$R:$R,MATCH($A8,'Valo FX'!$A:$A,0)),INDEX(Base!$U:$U,MATCH($A8,Base!$A:$A,0)),IF(MV$1=INDEX('Valo FX'!$R:$R,MATCH($A8,'Valo FX'!$A:$A,0)),INDEX(Base!$V:$V,MATCH($A8,Base!$A:$A,0)),0)))</f>
        <v>0</v>
      </c>
      <c r="MW8" s="21">
        <f>IF(MW$1&lt;INDEX('Valo FX'!$Q:$Q,MATCH($A8,'Valo FX'!$A:$A,0)),0,IF(MW$1&lt;INDEX('Valo FX'!$R:$R,MATCH($A8,'Valo FX'!$A:$A,0)),INDEX(Base!$U:$U,MATCH($A8,Base!$A:$A,0)),IF(MW$1=INDEX('Valo FX'!$R:$R,MATCH($A8,'Valo FX'!$A:$A,0)),INDEX(Base!$V:$V,MATCH($A8,Base!$A:$A,0)),0)))</f>
        <v>0</v>
      </c>
      <c r="MX8" s="21">
        <f>IF(MX$1&lt;INDEX('Valo FX'!$Q:$Q,MATCH($A8,'Valo FX'!$A:$A,0)),0,IF(MX$1&lt;INDEX('Valo FX'!$R:$R,MATCH($A8,'Valo FX'!$A:$A,0)),INDEX(Base!$U:$U,MATCH($A8,Base!$A:$A,0)),IF(MX$1=INDEX('Valo FX'!$R:$R,MATCH($A8,'Valo FX'!$A:$A,0)),INDEX(Base!$V:$V,MATCH($A8,Base!$A:$A,0)),0)))</f>
        <v>0</v>
      </c>
      <c r="MY8" s="21">
        <f>IF(MY$1&lt;INDEX('Valo FX'!$Q:$Q,MATCH($A8,'Valo FX'!$A:$A,0)),0,IF(MY$1&lt;INDEX('Valo FX'!$R:$R,MATCH($A8,'Valo FX'!$A:$A,0)),INDEX(Base!$U:$U,MATCH($A8,Base!$A:$A,0)),IF(MY$1=INDEX('Valo FX'!$R:$R,MATCH($A8,'Valo FX'!$A:$A,0)),INDEX(Base!$V:$V,MATCH($A8,Base!$A:$A,0)),0)))</f>
        <v>0</v>
      </c>
    </row>
    <row r="9" spans="1:363" x14ac:dyDescent="0.25">
      <c r="A9" s="7">
        <f>+'Valo FX'!A10</f>
        <v>7</v>
      </c>
      <c r="B9" s="59">
        <f>-'Valo FX'!T10</f>
        <v>-876.43145352893839</v>
      </c>
      <c r="C9" s="21">
        <f>IF(C$1&lt;INDEX('Valo FX'!$Q:$Q,MATCH($A9,'Valo FX'!$A:$A,0)),0,IF(C$1&lt;INDEX('Valo FX'!$R:$R,MATCH($A9,'Valo FX'!$A:$A,0)),INDEX(Base!$U:$U,MATCH($A9,Base!$A:$A,0)),IF(C$1=INDEX('Valo FX'!$R:$R,MATCH($A9,'Valo FX'!$A:$A,0)),INDEX(Base!$V:$V,MATCH($A9,Base!$A:$A,0)),0)))</f>
        <v>0</v>
      </c>
      <c r="D9" s="21">
        <f>IF(D$1&lt;INDEX('Valo FX'!$Q:$Q,MATCH($A9,'Valo FX'!$A:$A,0)),0,IF(D$1&lt;INDEX('Valo FX'!$R:$R,MATCH($A9,'Valo FX'!$A:$A,0)),INDEX(Base!$U:$U,MATCH($A9,Base!$A:$A,0)),IF(D$1=INDEX('Valo FX'!$R:$R,MATCH($A9,'Valo FX'!$A:$A,0)),INDEX(Base!$V:$V,MATCH($A9,Base!$A:$A,0)),0)))</f>
        <v>0</v>
      </c>
      <c r="E9" s="21">
        <f>IF(E$1&lt;INDEX('Valo FX'!$Q:$Q,MATCH($A9,'Valo FX'!$A:$A,0)),0,IF(E$1&lt;INDEX('Valo FX'!$R:$R,MATCH($A9,'Valo FX'!$A:$A,0)),INDEX(Base!$U:$U,MATCH($A9,Base!$A:$A,0)),IF(E$1=INDEX('Valo FX'!$R:$R,MATCH($A9,'Valo FX'!$A:$A,0)),INDEX(Base!$V:$V,MATCH($A9,Base!$A:$A,0)),0)))</f>
        <v>0</v>
      </c>
      <c r="F9" s="21">
        <f>IF(F$1&lt;INDEX('Valo FX'!$Q:$Q,MATCH($A9,'Valo FX'!$A:$A,0)),0,IF(F$1&lt;INDEX('Valo FX'!$R:$R,MATCH($A9,'Valo FX'!$A:$A,0)),INDEX(Base!$U:$U,MATCH($A9,Base!$A:$A,0)),IF(F$1=INDEX('Valo FX'!$R:$R,MATCH($A9,'Valo FX'!$A:$A,0)),INDEX(Base!$V:$V,MATCH($A9,Base!$A:$A,0)),0)))</f>
        <v>0</v>
      </c>
      <c r="G9" s="21">
        <f>IF(G$1&lt;INDEX('Valo FX'!$Q:$Q,MATCH($A9,'Valo FX'!$A:$A,0)),0,IF(G$1&lt;INDEX('Valo FX'!$R:$R,MATCH($A9,'Valo FX'!$A:$A,0)),INDEX(Base!$U:$U,MATCH($A9,Base!$A:$A,0)),IF(G$1=INDEX('Valo FX'!$R:$R,MATCH($A9,'Valo FX'!$A:$A,0)),INDEX(Base!$V:$V,MATCH($A9,Base!$A:$A,0)),0)))</f>
        <v>0</v>
      </c>
      <c r="H9" s="21">
        <f>IF(H$1&lt;INDEX('Valo FX'!$Q:$Q,MATCH($A9,'Valo FX'!$A:$A,0)),0,IF(H$1&lt;INDEX('Valo FX'!$R:$R,MATCH($A9,'Valo FX'!$A:$A,0)),INDEX(Base!$U:$U,MATCH($A9,Base!$A:$A,0)),IF(H$1=INDEX('Valo FX'!$R:$R,MATCH($A9,'Valo FX'!$A:$A,0)),INDEX(Base!$V:$V,MATCH($A9,Base!$A:$A,0)),0)))</f>
        <v>6.1098939999999997</v>
      </c>
      <c r="I9" s="21">
        <f>IF(I$1&lt;INDEX('Valo FX'!$Q:$Q,MATCH($A9,'Valo FX'!$A:$A,0)),0,IF(I$1&lt;INDEX('Valo FX'!$R:$R,MATCH($A9,'Valo FX'!$A:$A,0)),INDEX(Base!$U:$U,MATCH($A9,Base!$A:$A,0)),IF(I$1=INDEX('Valo FX'!$R:$R,MATCH($A9,'Valo FX'!$A:$A,0)),INDEX(Base!$V:$V,MATCH($A9,Base!$A:$A,0)),0)))</f>
        <v>6.1098939999999997</v>
      </c>
      <c r="J9" s="21">
        <f>IF(J$1&lt;INDEX('Valo FX'!$Q:$Q,MATCH($A9,'Valo FX'!$A:$A,0)),0,IF(J$1&lt;INDEX('Valo FX'!$R:$R,MATCH($A9,'Valo FX'!$A:$A,0)),INDEX(Base!$U:$U,MATCH($A9,Base!$A:$A,0)),IF(J$1=INDEX('Valo FX'!$R:$R,MATCH($A9,'Valo FX'!$A:$A,0)),INDEX(Base!$V:$V,MATCH($A9,Base!$A:$A,0)),0)))</f>
        <v>6.1098939999999997</v>
      </c>
      <c r="K9" s="21">
        <f>IF(K$1&lt;INDEX('Valo FX'!$Q:$Q,MATCH($A9,'Valo FX'!$A:$A,0)),0,IF(K$1&lt;INDEX('Valo FX'!$R:$R,MATCH($A9,'Valo FX'!$A:$A,0)),INDEX(Base!$U:$U,MATCH($A9,Base!$A:$A,0)),IF(K$1=INDEX('Valo FX'!$R:$R,MATCH($A9,'Valo FX'!$A:$A,0)),INDEX(Base!$V:$V,MATCH($A9,Base!$A:$A,0)),0)))</f>
        <v>6.1098939999999997</v>
      </c>
      <c r="L9" s="21">
        <f>IF(L$1&lt;INDEX('Valo FX'!$Q:$Q,MATCH($A9,'Valo FX'!$A:$A,0)),0,IF(L$1&lt;INDEX('Valo FX'!$R:$R,MATCH($A9,'Valo FX'!$A:$A,0)),INDEX(Base!$U:$U,MATCH($A9,Base!$A:$A,0)),IF(L$1=INDEX('Valo FX'!$R:$R,MATCH($A9,'Valo FX'!$A:$A,0)),INDEX(Base!$V:$V,MATCH($A9,Base!$A:$A,0)),0)))</f>
        <v>6.1098939999999997</v>
      </c>
      <c r="M9" s="21">
        <f>IF(M$1&lt;INDEX('Valo FX'!$Q:$Q,MATCH($A9,'Valo FX'!$A:$A,0)),0,IF(M$1&lt;INDEX('Valo FX'!$R:$R,MATCH($A9,'Valo FX'!$A:$A,0)),INDEX(Base!$U:$U,MATCH($A9,Base!$A:$A,0)),IF(M$1=INDEX('Valo FX'!$R:$R,MATCH($A9,'Valo FX'!$A:$A,0)),INDEX(Base!$V:$V,MATCH($A9,Base!$A:$A,0)),0)))</f>
        <v>6.1098939999999997</v>
      </c>
      <c r="N9" s="21">
        <f>IF(N$1&lt;INDEX('Valo FX'!$Q:$Q,MATCH($A9,'Valo FX'!$A:$A,0)),0,IF(N$1&lt;INDEX('Valo FX'!$R:$R,MATCH($A9,'Valo FX'!$A:$A,0)),INDEX(Base!$U:$U,MATCH($A9,Base!$A:$A,0)),IF(N$1=INDEX('Valo FX'!$R:$R,MATCH($A9,'Valo FX'!$A:$A,0)),INDEX(Base!$V:$V,MATCH($A9,Base!$A:$A,0)),0)))</f>
        <v>6.1098939999999997</v>
      </c>
      <c r="O9" s="21">
        <f>IF(O$1&lt;INDEX('Valo FX'!$Q:$Q,MATCH($A9,'Valo FX'!$A:$A,0)),0,IF(O$1&lt;INDEX('Valo FX'!$R:$R,MATCH($A9,'Valo FX'!$A:$A,0)),INDEX(Base!$U:$U,MATCH($A9,Base!$A:$A,0)),IF(O$1=INDEX('Valo FX'!$R:$R,MATCH($A9,'Valo FX'!$A:$A,0)),INDEX(Base!$V:$V,MATCH($A9,Base!$A:$A,0)),0)))</f>
        <v>6.1098939999999997</v>
      </c>
      <c r="P9" s="21">
        <f>IF(P$1&lt;INDEX('Valo FX'!$Q:$Q,MATCH($A9,'Valo FX'!$A:$A,0)),0,IF(P$1&lt;INDEX('Valo FX'!$R:$R,MATCH($A9,'Valo FX'!$A:$A,0)),INDEX(Base!$U:$U,MATCH($A9,Base!$A:$A,0)),IF(P$1=INDEX('Valo FX'!$R:$R,MATCH($A9,'Valo FX'!$A:$A,0)),INDEX(Base!$V:$V,MATCH($A9,Base!$A:$A,0)),0)))</f>
        <v>6.1098939999999997</v>
      </c>
      <c r="Q9" s="21">
        <f>IF(Q$1&lt;INDEX('Valo FX'!$Q:$Q,MATCH($A9,'Valo FX'!$A:$A,0)),0,IF(Q$1&lt;INDEX('Valo FX'!$R:$R,MATCH($A9,'Valo FX'!$A:$A,0)),INDEX(Base!$U:$U,MATCH($A9,Base!$A:$A,0)),IF(Q$1=INDEX('Valo FX'!$R:$R,MATCH($A9,'Valo FX'!$A:$A,0)),INDEX(Base!$V:$V,MATCH($A9,Base!$A:$A,0)),0)))</f>
        <v>6.1098939999999997</v>
      </c>
      <c r="R9" s="21">
        <f>IF(R$1&lt;INDEX('Valo FX'!$Q:$Q,MATCH($A9,'Valo FX'!$A:$A,0)),0,IF(R$1&lt;INDEX('Valo FX'!$R:$R,MATCH($A9,'Valo FX'!$A:$A,0)),INDEX(Base!$U:$U,MATCH($A9,Base!$A:$A,0)),IF(R$1=INDEX('Valo FX'!$R:$R,MATCH($A9,'Valo FX'!$A:$A,0)),INDEX(Base!$V:$V,MATCH($A9,Base!$A:$A,0)),0)))</f>
        <v>6.1098939999999997</v>
      </c>
      <c r="S9" s="21">
        <f>IF(S$1&lt;INDEX('Valo FX'!$Q:$Q,MATCH($A9,'Valo FX'!$A:$A,0)),0,IF(S$1&lt;INDEX('Valo FX'!$R:$R,MATCH($A9,'Valo FX'!$A:$A,0)),INDEX(Base!$U:$U,MATCH($A9,Base!$A:$A,0)),IF(S$1=INDEX('Valo FX'!$R:$R,MATCH($A9,'Valo FX'!$A:$A,0)),INDEX(Base!$V:$V,MATCH($A9,Base!$A:$A,0)),0)))</f>
        <v>6.1098939999999997</v>
      </c>
      <c r="T9" s="21">
        <f>IF(T$1&lt;INDEX('Valo FX'!$Q:$Q,MATCH($A9,'Valo FX'!$A:$A,0)),0,IF(T$1&lt;INDEX('Valo FX'!$R:$R,MATCH($A9,'Valo FX'!$A:$A,0)),INDEX(Base!$U:$U,MATCH($A9,Base!$A:$A,0)),IF(T$1=INDEX('Valo FX'!$R:$R,MATCH($A9,'Valo FX'!$A:$A,0)),INDEX(Base!$V:$V,MATCH($A9,Base!$A:$A,0)),0)))</f>
        <v>6.1098939999999997</v>
      </c>
      <c r="U9" s="21">
        <f>IF(U$1&lt;INDEX('Valo FX'!$Q:$Q,MATCH($A9,'Valo FX'!$A:$A,0)),0,IF(U$1&lt;INDEX('Valo FX'!$R:$R,MATCH($A9,'Valo FX'!$A:$A,0)),INDEX(Base!$U:$U,MATCH($A9,Base!$A:$A,0)),IF(U$1=INDEX('Valo FX'!$R:$R,MATCH($A9,'Valo FX'!$A:$A,0)),INDEX(Base!$V:$V,MATCH($A9,Base!$A:$A,0)),0)))</f>
        <v>6.1098939999999997</v>
      </c>
      <c r="V9" s="21">
        <f>IF(V$1&lt;INDEX('Valo FX'!$Q:$Q,MATCH($A9,'Valo FX'!$A:$A,0)),0,IF(V$1&lt;INDEX('Valo FX'!$R:$R,MATCH($A9,'Valo FX'!$A:$A,0)),INDEX(Base!$U:$U,MATCH($A9,Base!$A:$A,0)),IF(V$1=INDEX('Valo FX'!$R:$R,MATCH($A9,'Valo FX'!$A:$A,0)),INDEX(Base!$V:$V,MATCH($A9,Base!$A:$A,0)),0)))</f>
        <v>6.1098939999999997</v>
      </c>
      <c r="W9" s="21">
        <f>IF(W$1&lt;INDEX('Valo FX'!$Q:$Q,MATCH($A9,'Valo FX'!$A:$A,0)),0,IF(W$1&lt;INDEX('Valo FX'!$R:$R,MATCH($A9,'Valo FX'!$A:$A,0)),INDEX(Base!$U:$U,MATCH($A9,Base!$A:$A,0)),IF(W$1=INDEX('Valo FX'!$R:$R,MATCH($A9,'Valo FX'!$A:$A,0)),INDEX(Base!$V:$V,MATCH($A9,Base!$A:$A,0)),0)))</f>
        <v>6.1098939999999997</v>
      </c>
      <c r="X9" s="21">
        <f>IF(X$1&lt;INDEX('Valo FX'!$Q:$Q,MATCH($A9,'Valo FX'!$A:$A,0)),0,IF(X$1&lt;INDEX('Valo FX'!$R:$R,MATCH($A9,'Valo FX'!$A:$A,0)),INDEX(Base!$U:$U,MATCH($A9,Base!$A:$A,0)),IF(X$1=INDEX('Valo FX'!$R:$R,MATCH($A9,'Valo FX'!$A:$A,0)),INDEX(Base!$V:$V,MATCH($A9,Base!$A:$A,0)),0)))</f>
        <v>6.1098939999999997</v>
      </c>
      <c r="Y9" s="21">
        <f>IF(Y$1&lt;INDEX('Valo FX'!$Q:$Q,MATCH($A9,'Valo FX'!$A:$A,0)),0,IF(Y$1&lt;INDEX('Valo FX'!$R:$R,MATCH($A9,'Valo FX'!$A:$A,0)),INDEX(Base!$U:$U,MATCH($A9,Base!$A:$A,0)),IF(Y$1=INDEX('Valo FX'!$R:$R,MATCH($A9,'Valo FX'!$A:$A,0)),INDEX(Base!$V:$V,MATCH($A9,Base!$A:$A,0)),0)))</f>
        <v>6.1098939999999997</v>
      </c>
      <c r="Z9" s="21">
        <f>IF(Z$1&lt;INDEX('Valo FX'!$Q:$Q,MATCH($A9,'Valo FX'!$A:$A,0)),0,IF(Z$1&lt;INDEX('Valo FX'!$R:$R,MATCH($A9,'Valo FX'!$A:$A,0)),INDEX(Base!$U:$U,MATCH($A9,Base!$A:$A,0)),IF(Z$1=INDEX('Valo FX'!$R:$R,MATCH($A9,'Valo FX'!$A:$A,0)),INDEX(Base!$V:$V,MATCH($A9,Base!$A:$A,0)),0)))</f>
        <v>6.1098939999999997</v>
      </c>
      <c r="AA9" s="21">
        <f>IF(AA$1&lt;INDEX('Valo FX'!$Q:$Q,MATCH($A9,'Valo FX'!$A:$A,0)),0,IF(AA$1&lt;INDEX('Valo FX'!$R:$R,MATCH($A9,'Valo FX'!$A:$A,0)),INDEX(Base!$U:$U,MATCH($A9,Base!$A:$A,0)),IF(AA$1=INDEX('Valo FX'!$R:$R,MATCH($A9,'Valo FX'!$A:$A,0)),INDEX(Base!$V:$V,MATCH($A9,Base!$A:$A,0)),0)))</f>
        <v>6.1098939999999997</v>
      </c>
      <c r="AB9" s="21">
        <f>IF(AB$1&lt;INDEX('Valo FX'!$Q:$Q,MATCH($A9,'Valo FX'!$A:$A,0)),0,IF(AB$1&lt;INDEX('Valo FX'!$R:$R,MATCH($A9,'Valo FX'!$A:$A,0)),INDEX(Base!$U:$U,MATCH($A9,Base!$A:$A,0)),IF(AB$1=INDEX('Valo FX'!$R:$R,MATCH($A9,'Valo FX'!$A:$A,0)),INDEX(Base!$V:$V,MATCH($A9,Base!$A:$A,0)),0)))</f>
        <v>6.1098939999999997</v>
      </c>
      <c r="AC9" s="21">
        <f>IF(AC$1&lt;INDEX('Valo FX'!$Q:$Q,MATCH($A9,'Valo FX'!$A:$A,0)),0,IF(AC$1&lt;INDEX('Valo FX'!$R:$R,MATCH($A9,'Valo FX'!$A:$A,0)),INDEX(Base!$U:$U,MATCH($A9,Base!$A:$A,0)),IF(AC$1=INDEX('Valo FX'!$R:$R,MATCH($A9,'Valo FX'!$A:$A,0)),INDEX(Base!$V:$V,MATCH($A9,Base!$A:$A,0)),0)))</f>
        <v>6.1098939999999997</v>
      </c>
      <c r="AD9" s="21">
        <f>IF(AD$1&lt;INDEX('Valo FX'!$Q:$Q,MATCH($A9,'Valo FX'!$A:$A,0)),0,IF(AD$1&lt;INDEX('Valo FX'!$R:$R,MATCH($A9,'Valo FX'!$A:$A,0)),INDEX(Base!$U:$U,MATCH($A9,Base!$A:$A,0)),IF(AD$1=INDEX('Valo FX'!$R:$R,MATCH($A9,'Valo FX'!$A:$A,0)),INDEX(Base!$V:$V,MATCH($A9,Base!$A:$A,0)),0)))</f>
        <v>6.1098939999999997</v>
      </c>
      <c r="AE9" s="21">
        <f>IF(AE$1&lt;INDEX('Valo FX'!$Q:$Q,MATCH($A9,'Valo FX'!$A:$A,0)),0,IF(AE$1&lt;INDEX('Valo FX'!$R:$R,MATCH($A9,'Valo FX'!$A:$A,0)),INDEX(Base!$U:$U,MATCH($A9,Base!$A:$A,0)),IF(AE$1=INDEX('Valo FX'!$R:$R,MATCH($A9,'Valo FX'!$A:$A,0)),INDEX(Base!$V:$V,MATCH($A9,Base!$A:$A,0)),0)))</f>
        <v>6.1098939999999997</v>
      </c>
      <c r="AF9" s="21">
        <f>IF(AF$1&lt;INDEX('Valo FX'!$Q:$Q,MATCH($A9,'Valo FX'!$A:$A,0)),0,IF(AF$1&lt;INDEX('Valo FX'!$R:$R,MATCH($A9,'Valo FX'!$A:$A,0)),INDEX(Base!$U:$U,MATCH($A9,Base!$A:$A,0)),IF(AF$1=INDEX('Valo FX'!$R:$R,MATCH($A9,'Valo FX'!$A:$A,0)),INDEX(Base!$V:$V,MATCH($A9,Base!$A:$A,0)),0)))</f>
        <v>6.1098939999999997</v>
      </c>
      <c r="AG9" s="21">
        <f>IF(AG$1&lt;INDEX('Valo FX'!$Q:$Q,MATCH($A9,'Valo FX'!$A:$A,0)),0,IF(AG$1&lt;INDEX('Valo FX'!$R:$R,MATCH($A9,'Valo FX'!$A:$A,0)),INDEX(Base!$U:$U,MATCH($A9,Base!$A:$A,0)),IF(AG$1=INDEX('Valo FX'!$R:$R,MATCH($A9,'Valo FX'!$A:$A,0)),INDEX(Base!$V:$V,MATCH($A9,Base!$A:$A,0)),0)))</f>
        <v>6.1098939999999997</v>
      </c>
      <c r="AH9" s="21">
        <f>IF(AH$1&lt;INDEX('Valo FX'!$Q:$Q,MATCH($A9,'Valo FX'!$A:$A,0)),0,IF(AH$1&lt;INDEX('Valo FX'!$R:$R,MATCH($A9,'Valo FX'!$A:$A,0)),INDEX(Base!$U:$U,MATCH($A9,Base!$A:$A,0)),IF(AH$1=INDEX('Valo FX'!$R:$R,MATCH($A9,'Valo FX'!$A:$A,0)),INDEX(Base!$V:$V,MATCH($A9,Base!$A:$A,0)),0)))</f>
        <v>6.1098939999999997</v>
      </c>
      <c r="AI9" s="21">
        <f>IF(AI$1&lt;INDEX('Valo FX'!$Q:$Q,MATCH($A9,'Valo FX'!$A:$A,0)),0,IF(AI$1&lt;INDEX('Valo FX'!$R:$R,MATCH($A9,'Valo FX'!$A:$A,0)),INDEX(Base!$U:$U,MATCH($A9,Base!$A:$A,0)),IF(AI$1=INDEX('Valo FX'!$R:$R,MATCH($A9,'Valo FX'!$A:$A,0)),INDEX(Base!$V:$V,MATCH($A9,Base!$A:$A,0)),0)))</f>
        <v>6.1098939999999997</v>
      </c>
      <c r="AJ9" s="21">
        <f>IF(AJ$1&lt;INDEX('Valo FX'!$Q:$Q,MATCH($A9,'Valo FX'!$A:$A,0)),0,IF(AJ$1&lt;INDEX('Valo FX'!$R:$R,MATCH($A9,'Valo FX'!$A:$A,0)),INDEX(Base!$U:$U,MATCH($A9,Base!$A:$A,0)),IF(AJ$1=INDEX('Valo FX'!$R:$R,MATCH($A9,'Valo FX'!$A:$A,0)),INDEX(Base!$V:$V,MATCH($A9,Base!$A:$A,0)),0)))</f>
        <v>6.1098939999999997</v>
      </c>
      <c r="AK9" s="21">
        <f>IF(AK$1&lt;INDEX('Valo FX'!$Q:$Q,MATCH($A9,'Valo FX'!$A:$A,0)),0,IF(AK$1&lt;INDEX('Valo FX'!$R:$R,MATCH($A9,'Valo FX'!$A:$A,0)),INDEX(Base!$U:$U,MATCH($A9,Base!$A:$A,0)),IF(AK$1=INDEX('Valo FX'!$R:$R,MATCH($A9,'Valo FX'!$A:$A,0)),INDEX(Base!$V:$V,MATCH($A9,Base!$A:$A,0)),0)))</f>
        <v>6.1098939999999997</v>
      </c>
      <c r="AL9" s="21">
        <f>IF(AL$1&lt;INDEX('Valo FX'!$Q:$Q,MATCH($A9,'Valo FX'!$A:$A,0)),0,IF(AL$1&lt;INDEX('Valo FX'!$R:$R,MATCH($A9,'Valo FX'!$A:$A,0)),INDEX(Base!$U:$U,MATCH($A9,Base!$A:$A,0)),IF(AL$1=INDEX('Valo FX'!$R:$R,MATCH($A9,'Valo FX'!$A:$A,0)),INDEX(Base!$V:$V,MATCH($A9,Base!$A:$A,0)),0)))</f>
        <v>6.1098939999999997</v>
      </c>
      <c r="AM9" s="21">
        <f>IF(AM$1&lt;INDEX('Valo FX'!$Q:$Q,MATCH($A9,'Valo FX'!$A:$A,0)),0,IF(AM$1&lt;INDEX('Valo FX'!$R:$R,MATCH($A9,'Valo FX'!$A:$A,0)),INDEX(Base!$U:$U,MATCH($A9,Base!$A:$A,0)),IF(AM$1=INDEX('Valo FX'!$R:$R,MATCH($A9,'Valo FX'!$A:$A,0)),INDEX(Base!$V:$V,MATCH($A9,Base!$A:$A,0)),0)))</f>
        <v>6.1098939999999997</v>
      </c>
      <c r="AN9" s="21">
        <f>IF(AN$1&lt;INDEX('Valo FX'!$Q:$Q,MATCH($A9,'Valo FX'!$A:$A,0)),0,IF(AN$1&lt;INDEX('Valo FX'!$R:$R,MATCH($A9,'Valo FX'!$A:$A,0)),INDEX(Base!$U:$U,MATCH($A9,Base!$A:$A,0)),IF(AN$1=INDEX('Valo FX'!$R:$R,MATCH($A9,'Valo FX'!$A:$A,0)),INDEX(Base!$V:$V,MATCH($A9,Base!$A:$A,0)),0)))</f>
        <v>6.1098939999999997</v>
      </c>
      <c r="AO9" s="21">
        <f>IF(AO$1&lt;INDEX('Valo FX'!$Q:$Q,MATCH($A9,'Valo FX'!$A:$A,0)),0,IF(AO$1&lt;INDEX('Valo FX'!$R:$R,MATCH($A9,'Valo FX'!$A:$A,0)),INDEX(Base!$U:$U,MATCH($A9,Base!$A:$A,0)),IF(AO$1=INDEX('Valo FX'!$R:$R,MATCH($A9,'Valo FX'!$A:$A,0)),INDEX(Base!$V:$V,MATCH($A9,Base!$A:$A,0)),0)))</f>
        <v>6.1098939999999997</v>
      </c>
      <c r="AP9" s="21">
        <f>IF(AP$1&lt;INDEX('Valo FX'!$Q:$Q,MATCH($A9,'Valo FX'!$A:$A,0)),0,IF(AP$1&lt;INDEX('Valo FX'!$R:$R,MATCH($A9,'Valo FX'!$A:$A,0)),INDEX(Base!$U:$U,MATCH($A9,Base!$A:$A,0)),IF(AP$1=INDEX('Valo FX'!$R:$R,MATCH($A9,'Valo FX'!$A:$A,0)),INDEX(Base!$V:$V,MATCH($A9,Base!$A:$A,0)),0)))</f>
        <v>6.1098939999999997</v>
      </c>
      <c r="AQ9" s="21">
        <f>IF(AQ$1&lt;INDEX('Valo FX'!$Q:$Q,MATCH($A9,'Valo FX'!$A:$A,0)),0,IF(AQ$1&lt;INDEX('Valo FX'!$R:$R,MATCH($A9,'Valo FX'!$A:$A,0)),INDEX(Base!$U:$U,MATCH($A9,Base!$A:$A,0)),IF(AQ$1=INDEX('Valo FX'!$R:$R,MATCH($A9,'Valo FX'!$A:$A,0)),INDEX(Base!$V:$V,MATCH($A9,Base!$A:$A,0)),0)))</f>
        <v>6.1098939999999997</v>
      </c>
      <c r="AR9" s="21">
        <f>IF(AR$1&lt;INDEX('Valo FX'!$Q:$Q,MATCH($A9,'Valo FX'!$A:$A,0)),0,IF(AR$1&lt;INDEX('Valo FX'!$R:$R,MATCH($A9,'Valo FX'!$A:$A,0)),INDEX(Base!$U:$U,MATCH($A9,Base!$A:$A,0)),IF(AR$1=INDEX('Valo FX'!$R:$R,MATCH($A9,'Valo FX'!$A:$A,0)),INDEX(Base!$V:$V,MATCH($A9,Base!$A:$A,0)),0)))</f>
        <v>6.1098939999999997</v>
      </c>
      <c r="AS9" s="21">
        <f>IF(AS$1&lt;INDEX('Valo FX'!$Q:$Q,MATCH($A9,'Valo FX'!$A:$A,0)),0,IF(AS$1&lt;INDEX('Valo FX'!$R:$R,MATCH($A9,'Valo FX'!$A:$A,0)),INDEX(Base!$U:$U,MATCH($A9,Base!$A:$A,0)),IF(AS$1=INDEX('Valo FX'!$R:$R,MATCH($A9,'Valo FX'!$A:$A,0)),INDEX(Base!$V:$V,MATCH($A9,Base!$A:$A,0)),0)))</f>
        <v>6.1098939999999997</v>
      </c>
      <c r="AT9" s="21">
        <f>IF(AT$1&lt;INDEX('Valo FX'!$Q:$Q,MATCH($A9,'Valo FX'!$A:$A,0)),0,IF(AT$1&lt;INDEX('Valo FX'!$R:$R,MATCH($A9,'Valo FX'!$A:$A,0)),INDEX(Base!$U:$U,MATCH($A9,Base!$A:$A,0)),IF(AT$1=INDEX('Valo FX'!$R:$R,MATCH($A9,'Valo FX'!$A:$A,0)),INDEX(Base!$V:$V,MATCH($A9,Base!$A:$A,0)),0)))</f>
        <v>6.1098939999999997</v>
      </c>
      <c r="AU9" s="21">
        <f>IF(AU$1&lt;INDEX('Valo FX'!$Q:$Q,MATCH($A9,'Valo FX'!$A:$A,0)),0,IF(AU$1&lt;INDEX('Valo FX'!$R:$R,MATCH($A9,'Valo FX'!$A:$A,0)),INDEX(Base!$U:$U,MATCH($A9,Base!$A:$A,0)),IF(AU$1=INDEX('Valo FX'!$R:$R,MATCH($A9,'Valo FX'!$A:$A,0)),INDEX(Base!$V:$V,MATCH($A9,Base!$A:$A,0)),0)))</f>
        <v>6.1098939999999997</v>
      </c>
      <c r="AV9" s="21">
        <f>IF(AV$1&lt;INDEX('Valo FX'!$Q:$Q,MATCH($A9,'Valo FX'!$A:$A,0)),0,IF(AV$1&lt;INDEX('Valo FX'!$R:$R,MATCH($A9,'Valo FX'!$A:$A,0)),INDEX(Base!$U:$U,MATCH($A9,Base!$A:$A,0)),IF(AV$1=INDEX('Valo FX'!$R:$R,MATCH($A9,'Valo FX'!$A:$A,0)),INDEX(Base!$V:$V,MATCH($A9,Base!$A:$A,0)),0)))</f>
        <v>6.1098939999999997</v>
      </c>
      <c r="AW9" s="21">
        <f>IF(AW$1&lt;INDEX('Valo FX'!$Q:$Q,MATCH($A9,'Valo FX'!$A:$A,0)),0,IF(AW$1&lt;INDEX('Valo FX'!$R:$R,MATCH($A9,'Valo FX'!$A:$A,0)),INDEX(Base!$U:$U,MATCH($A9,Base!$A:$A,0)),IF(AW$1=INDEX('Valo FX'!$R:$R,MATCH($A9,'Valo FX'!$A:$A,0)),INDEX(Base!$V:$V,MATCH($A9,Base!$A:$A,0)),0)))</f>
        <v>6.1098939999999997</v>
      </c>
      <c r="AX9" s="21">
        <f>IF(AX$1&lt;INDEX('Valo FX'!$Q:$Q,MATCH($A9,'Valo FX'!$A:$A,0)),0,IF(AX$1&lt;INDEX('Valo FX'!$R:$R,MATCH($A9,'Valo FX'!$A:$A,0)),INDEX(Base!$U:$U,MATCH($A9,Base!$A:$A,0)),IF(AX$1=INDEX('Valo FX'!$R:$R,MATCH($A9,'Valo FX'!$A:$A,0)),INDEX(Base!$V:$V,MATCH($A9,Base!$A:$A,0)),0)))</f>
        <v>6.1098939999999997</v>
      </c>
      <c r="AY9" s="21">
        <f>IF(AY$1&lt;INDEX('Valo FX'!$Q:$Q,MATCH($A9,'Valo FX'!$A:$A,0)),0,IF(AY$1&lt;INDEX('Valo FX'!$R:$R,MATCH($A9,'Valo FX'!$A:$A,0)),INDEX(Base!$U:$U,MATCH($A9,Base!$A:$A,0)),IF(AY$1=INDEX('Valo FX'!$R:$R,MATCH($A9,'Valo FX'!$A:$A,0)),INDEX(Base!$V:$V,MATCH($A9,Base!$A:$A,0)),0)))</f>
        <v>6.1098939999999997</v>
      </c>
      <c r="AZ9" s="21">
        <f>IF(AZ$1&lt;INDEX('Valo FX'!$Q:$Q,MATCH($A9,'Valo FX'!$A:$A,0)),0,IF(AZ$1&lt;INDEX('Valo FX'!$R:$R,MATCH($A9,'Valo FX'!$A:$A,0)),INDEX(Base!$U:$U,MATCH($A9,Base!$A:$A,0)),IF(AZ$1=INDEX('Valo FX'!$R:$R,MATCH($A9,'Valo FX'!$A:$A,0)),INDEX(Base!$V:$V,MATCH($A9,Base!$A:$A,0)),0)))</f>
        <v>6.1098939999999997</v>
      </c>
      <c r="BA9" s="21">
        <f>IF(BA$1&lt;INDEX('Valo FX'!$Q:$Q,MATCH($A9,'Valo FX'!$A:$A,0)),0,IF(BA$1&lt;INDEX('Valo FX'!$R:$R,MATCH($A9,'Valo FX'!$A:$A,0)),INDEX(Base!$U:$U,MATCH($A9,Base!$A:$A,0)),IF(BA$1=INDEX('Valo FX'!$R:$R,MATCH($A9,'Valo FX'!$A:$A,0)),INDEX(Base!$V:$V,MATCH($A9,Base!$A:$A,0)),0)))</f>
        <v>6.1098939999999997</v>
      </c>
      <c r="BB9" s="21">
        <f>IF(BB$1&lt;INDEX('Valo FX'!$Q:$Q,MATCH($A9,'Valo FX'!$A:$A,0)),0,IF(BB$1&lt;INDEX('Valo FX'!$R:$R,MATCH($A9,'Valo FX'!$A:$A,0)),INDEX(Base!$U:$U,MATCH($A9,Base!$A:$A,0)),IF(BB$1=INDEX('Valo FX'!$R:$R,MATCH($A9,'Valo FX'!$A:$A,0)),INDEX(Base!$V:$V,MATCH($A9,Base!$A:$A,0)),0)))</f>
        <v>6.1098939999999997</v>
      </c>
      <c r="BC9" s="21">
        <f>IF(BC$1&lt;INDEX('Valo FX'!$Q:$Q,MATCH($A9,'Valo FX'!$A:$A,0)),0,IF(BC$1&lt;INDEX('Valo FX'!$R:$R,MATCH($A9,'Valo FX'!$A:$A,0)),INDEX(Base!$U:$U,MATCH($A9,Base!$A:$A,0)),IF(BC$1=INDEX('Valo FX'!$R:$R,MATCH($A9,'Valo FX'!$A:$A,0)),INDEX(Base!$V:$V,MATCH($A9,Base!$A:$A,0)),0)))</f>
        <v>6.1098939999999997</v>
      </c>
      <c r="BD9" s="21">
        <f>IF(BD$1&lt;INDEX('Valo FX'!$Q:$Q,MATCH($A9,'Valo FX'!$A:$A,0)),0,IF(BD$1&lt;INDEX('Valo FX'!$R:$R,MATCH($A9,'Valo FX'!$A:$A,0)),INDEX(Base!$U:$U,MATCH($A9,Base!$A:$A,0)),IF(BD$1=INDEX('Valo FX'!$R:$R,MATCH($A9,'Valo FX'!$A:$A,0)),INDEX(Base!$V:$V,MATCH($A9,Base!$A:$A,0)),0)))</f>
        <v>6.1098939999999997</v>
      </c>
      <c r="BE9" s="21">
        <f>IF(BE$1&lt;INDEX('Valo FX'!$Q:$Q,MATCH($A9,'Valo FX'!$A:$A,0)),0,IF(BE$1&lt;INDEX('Valo FX'!$R:$R,MATCH($A9,'Valo FX'!$A:$A,0)),INDEX(Base!$U:$U,MATCH($A9,Base!$A:$A,0)),IF(BE$1=INDEX('Valo FX'!$R:$R,MATCH($A9,'Valo FX'!$A:$A,0)),INDEX(Base!$V:$V,MATCH($A9,Base!$A:$A,0)),0)))</f>
        <v>6.1098939999999997</v>
      </c>
      <c r="BF9" s="21">
        <f>IF(BF$1&lt;INDEX('Valo FX'!$Q:$Q,MATCH($A9,'Valo FX'!$A:$A,0)),0,IF(BF$1&lt;INDEX('Valo FX'!$R:$R,MATCH($A9,'Valo FX'!$A:$A,0)),INDEX(Base!$U:$U,MATCH($A9,Base!$A:$A,0)),IF(BF$1=INDEX('Valo FX'!$R:$R,MATCH($A9,'Valo FX'!$A:$A,0)),INDEX(Base!$V:$V,MATCH($A9,Base!$A:$A,0)),0)))</f>
        <v>6.1098939999999997</v>
      </c>
      <c r="BG9" s="21">
        <f>IF(BG$1&lt;INDEX('Valo FX'!$Q:$Q,MATCH($A9,'Valo FX'!$A:$A,0)),0,IF(BG$1&lt;INDEX('Valo FX'!$R:$R,MATCH($A9,'Valo FX'!$A:$A,0)),INDEX(Base!$U:$U,MATCH($A9,Base!$A:$A,0)),IF(BG$1=INDEX('Valo FX'!$R:$R,MATCH($A9,'Valo FX'!$A:$A,0)),INDEX(Base!$V:$V,MATCH($A9,Base!$A:$A,0)),0)))</f>
        <v>6.1098939999999997</v>
      </c>
      <c r="BH9" s="21">
        <f>IF(BH$1&lt;INDEX('Valo FX'!$Q:$Q,MATCH($A9,'Valo FX'!$A:$A,0)),0,IF(BH$1&lt;INDEX('Valo FX'!$R:$R,MATCH($A9,'Valo FX'!$A:$A,0)),INDEX(Base!$U:$U,MATCH($A9,Base!$A:$A,0)),IF(BH$1=INDEX('Valo FX'!$R:$R,MATCH($A9,'Valo FX'!$A:$A,0)),INDEX(Base!$V:$V,MATCH($A9,Base!$A:$A,0)),0)))</f>
        <v>6.1098939999999997</v>
      </c>
      <c r="BI9" s="21">
        <f>IF(BI$1&lt;INDEX('Valo FX'!$Q:$Q,MATCH($A9,'Valo FX'!$A:$A,0)),0,IF(BI$1&lt;INDEX('Valo FX'!$R:$R,MATCH($A9,'Valo FX'!$A:$A,0)),INDEX(Base!$U:$U,MATCH($A9,Base!$A:$A,0)),IF(BI$1=INDEX('Valo FX'!$R:$R,MATCH($A9,'Valo FX'!$A:$A,0)),INDEX(Base!$V:$V,MATCH($A9,Base!$A:$A,0)),0)))</f>
        <v>6.1098939999999997</v>
      </c>
      <c r="BJ9" s="21">
        <f>IF(BJ$1&lt;INDEX('Valo FX'!$Q:$Q,MATCH($A9,'Valo FX'!$A:$A,0)),0,IF(BJ$1&lt;INDEX('Valo FX'!$R:$R,MATCH($A9,'Valo FX'!$A:$A,0)),INDEX(Base!$U:$U,MATCH($A9,Base!$A:$A,0)),IF(BJ$1=INDEX('Valo FX'!$R:$R,MATCH($A9,'Valo FX'!$A:$A,0)),INDEX(Base!$V:$V,MATCH($A9,Base!$A:$A,0)),0)))</f>
        <v>6.1098939999999997</v>
      </c>
      <c r="BK9" s="21">
        <f>IF(BK$1&lt;INDEX('Valo FX'!$Q:$Q,MATCH($A9,'Valo FX'!$A:$A,0)),0,IF(BK$1&lt;INDEX('Valo FX'!$R:$R,MATCH($A9,'Valo FX'!$A:$A,0)),INDEX(Base!$U:$U,MATCH($A9,Base!$A:$A,0)),IF(BK$1=INDEX('Valo FX'!$R:$R,MATCH($A9,'Valo FX'!$A:$A,0)),INDEX(Base!$V:$V,MATCH($A9,Base!$A:$A,0)),0)))</f>
        <v>6.1098939999999997</v>
      </c>
      <c r="BL9" s="21">
        <f>IF(BL$1&lt;INDEX('Valo FX'!$Q:$Q,MATCH($A9,'Valo FX'!$A:$A,0)),0,IF(BL$1&lt;INDEX('Valo FX'!$R:$R,MATCH($A9,'Valo FX'!$A:$A,0)),INDEX(Base!$U:$U,MATCH($A9,Base!$A:$A,0)),IF(BL$1=INDEX('Valo FX'!$R:$R,MATCH($A9,'Valo FX'!$A:$A,0)),INDEX(Base!$V:$V,MATCH($A9,Base!$A:$A,0)),0)))</f>
        <v>6.1098939999999997</v>
      </c>
      <c r="BM9" s="21">
        <f>IF(BM$1&lt;INDEX('Valo FX'!$Q:$Q,MATCH($A9,'Valo FX'!$A:$A,0)),0,IF(BM$1&lt;INDEX('Valo FX'!$R:$R,MATCH($A9,'Valo FX'!$A:$A,0)),INDEX(Base!$U:$U,MATCH($A9,Base!$A:$A,0)),IF(BM$1=INDEX('Valo FX'!$R:$R,MATCH($A9,'Valo FX'!$A:$A,0)),INDEX(Base!$V:$V,MATCH($A9,Base!$A:$A,0)),0)))</f>
        <v>6.1098939999999997</v>
      </c>
      <c r="BN9" s="21">
        <f>IF(BN$1&lt;INDEX('Valo FX'!$Q:$Q,MATCH($A9,'Valo FX'!$A:$A,0)),0,IF(BN$1&lt;INDEX('Valo FX'!$R:$R,MATCH($A9,'Valo FX'!$A:$A,0)),INDEX(Base!$U:$U,MATCH($A9,Base!$A:$A,0)),IF(BN$1=INDEX('Valo FX'!$R:$R,MATCH($A9,'Valo FX'!$A:$A,0)),INDEX(Base!$V:$V,MATCH($A9,Base!$A:$A,0)),0)))</f>
        <v>6.1098939999999997</v>
      </c>
      <c r="BO9" s="21">
        <f>IF(BO$1&lt;INDEX('Valo FX'!$Q:$Q,MATCH($A9,'Valo FX'!$A:$A,0)),0,IF(BO$1&lt;INDEX('Valo FX'!$R:$R,MATCH($A9,'Valo FX'!$A:$A,0)),INDEX(Base!$U:$U,MATCH($A9,Base!$A:$A,0)),IF(BO$1=INDEX('Valo FX'!$R:$R,MATCH($A9,'Valo FX'!$A:$A,0)),INDEX(Base!$V:$V,MATCH($A9,Base!$A:$A,0)),0)))</f>
        <v>6.1098939999999997</v>
      </c>
      <c r="BP9" s="21">
        <f>IF(BP$1&lt;INDEX('Valo FX'!$Q:$Q,MATCH($A9,'Valo FX'!$A:$A,0)),0,IF(BP$1&lt;INDEX('Valo FX'!$R:$R,MATCH($A9,'Valo FX'!$A:$A,0)),INDEX(Base!$U:$U,MATCH($A9,Base!$A:$A,0)),IF(BP$1=INDEX('Valo FX'!$R:$R,MATCH($A9,'Valo FX'!$A:$A,0)),INDEX(Base!$V:$V,MATCH($A9,Base!$A:$A,0)),0)))</f>
        <v>6.1098939999999997</v>
      </c>
      <c r="BQ9" s="21">
        <f>IF(BQ$1&lt;INDEX('Valo FX'!$Q:$Q,MATCH($A9,'Valo FX'!$A:$A,0)),0,IF(BQ$1&lt;INDEX('Valo FX'!$R:$R,MATCH($A9,'Valo FX'!$A:$A,0)),INDEX(Base!$U:$U,MATCH($A9,Base!$A:$A,0)),IF(BQ$1=INDEX('Valo FX'!$R:$R,MATCH($A9,'Valo FX'!$A:$A,0)),INDEX(Base!$V:$V,MATCH($A9,Base!$A:$A,0)),0)))</f>
        <v>6.1098939999999997</v>
      </c>
      <c r="BR9" s="21">
        <f>IF(BR$1&lt;INDEX('Valo FX'!$Q:$Q,MATCH($A9,'Valo FX'!$A:$A,0)),0,IF(BR$1&lt;INDEX('Valo FX'!$R:$R,MATCH($A9,'Valo FX'!$A:$A,0)),INDEX(Base!$U:$U,MATCH($A9,Base!$A:$A,0)),IF(BR$1=INDEX('Valo FX'!$R:$R,MATCH($A9,'Valo FX'!$A:$A,0)),INDEX(Base!$V:$V,MATCH($A9,Base!$A:$A,0)),0)))</f>
        <v>6.1098939999999997</v>
      </c>
      <c r="BS9" s="21">
        <f>IF(BS$1&lt;INDEX('Valo FX'!$Q:$Q,MATCH($A9,'Valo FX'!$A:$A,0)),0,IF(BS$1&lt;INDEX('Valo FX'!$R:$R,MATCH($A9,'Valo FX'!$A:$A,0)),INDEX(Base!$U:$U,MATCH($A9,Base!$A:$A,0)),IF(BS$1=INDEX('Valo FX'!$R:$R,MATCH($A9,'Valo FX'!$A:$A,0)),INDEX(Base!$V:$V,MATCH($A9,Base!$A:$A,0)),0)))</f>
        <v>6.1098939999999997</v>
      </c>
      <c r="BT9" s="21">
        <f>IF(BT$1&lt;INDEX('Valo FX'!$Q:$Q,MATCH($A9,'Valo FX'!$A:$A,0)),0,IF(BT$1&lt;INDEX('Valo FX'!$R:$R,MATCH($A9,'Valo FX'!$A:$A,0)),INDEX(Base!$U:$U,MATCH($A9,Base!$A:$A,0)),IF(BT$1=INDEX('Valo FX'!$R:$R,MATCH($A9,'Valo FX'!$A:$A,0)),INDEX(Base!$V:$V,MATCH($A9,Base!$A:$A,0)),0)))</f>
        <v>6.1098939999999997</v>
      </c>
      <c r="BU9" s="21">
        <f>IF(BU$1&lt;INDEX('Valo FX'!$Q:$Q,MATCH($A9,'Valo FX'!$A:$A,0)),0,IF(BU$1&lt;INDEX('Valo FX'!$R:$R,MATCH($A9,'Valo FX'!$A:$A,0)),INDEX(Base!$U:$U,MATCH($A9,Base!$A:$A,0)),IF(BU$1=INDEX('Valo FX'!$R:$R,MATCH($A9,'Valo FX'!$A:$A,0)),INDEX(Base!$V:$V,MATCH($A9,Base!$A:$A,0)),0)))</f>
        <v>6.1098939999999997</v>
      </c>
      <c r="BV9" s="21">
        <f>IF(BV$1&lt;INDEX('Valo FX'!$Q:$Q,MATCH($A9,'Valo FX'!$A:$A,0)),0,IF(BV$1&lt;INDEX('Valo FX'!$R:$R,MATCH($A9,'Valo FX'!$A:$A,0)),INDEX(Base!$U:$U,MATCH($A9,Base!$A:$A,0)),IF(BV$1=INDEX('Valo FX'!$R:$R,MATCH($A9,'Valo FX'!$A:$A,0)),INDEX(Base!$V:$V,MATCH($A9,Base!$A:$A,0)),0)))</f>
        <v>6.1098939999999997</v>
      </c>
      <c r="BW9" s="21">
        <f>IF(BW$1&lt;INDEX('Valo FX'!$Q:$Q,MATCH($A9,'Valo FX'!$A:$A,0)),0,IF(BW$1&lt;INDEX('Valo FX'!$R:$R,MATCH($A9,'Valo FX'!$A:$A,0)),INDEX(Base!$U:$U,MATCH($A9,Base!$A:$A,0)),IF(BW$1=INDEX('Valo FX'!$R:$R,MATCH($A9,'Valo FX'!$A:$A,0)),INDEX(Base!$V:$V,MATCH($A9,Base!$A:$A,0)),0)))</f>
        <v>6.1098939999999997</v>
      </c>
      <c r="BX9" s="21">
        <f>IF(BX$1&lt;INDEX('Valo FX'!$Q:$Q,MATCH($A9,'Valo FX'!$A:$A,0)),0,IF(BX$1&lt;INDEX('Valo FX'!$R:$R,MATCH($A9,'Valo FX'!$A:$A,0)),INDEX(Base!$U:$U,MATCH($A9,Base!$A:$A,0)),IF(BX$1=INDEX('Valo FX'!$R:$R,MATCH($A9,'Valo FX'!$A:$A,0)),INDEX(Base!$V:$V,MATCH($A9,Base!$A:$A,0)),0)))</f>
        <v>6.1098939999999997</v>
      </c>
      <c r="BY9" s="21">
        <f>IF(BY$1&lt;INDEX('Valo FX'!$Q:$Q,MATCH($A9,'Valo FX'!$A:$A,0)),0,IF(BY$1&lt;INDEX('Valo FX'!$R:$R,MATCH($A9,'Valo FX'!$A:$A,0)),INDEX(Base!$U:$U,MATCH($A9,Base!$A:$A,0)),IF(BY$1=INDEX('Valo FX'!$R:$R,MATCH($A9,'Valo FX'!$A:$A,0)),INDEX(Base!$V:$V,MATCH($A9,Base!$A:$A,0)),0)))</f>
        <v>6.1098939999999997</v>
      </c>
      <c r="BZ9" s="21">
        <f>IF(BZ$1&lt;INDEX('Valo FX'!$Q:$Q,MATCH($A9,'Valo FX'!$A:$A,0)),0,IF(BZ$1&lt;INDEX('Valo FX'!$R:$R,MATCH($A9,'Valo FX'!$A:$A,0)),INDEX(Base!$U:$U,MATCH($A9,Base!$A:$A,0)),IF(BZ$1=INDEX('Valo FX'!$R:$R,MATCH($A9,'Valo FX'!$A:$A,0)),INDEX(Base!$V:$V,MATCH($A9,Base!$A:$A,0)),0)))</f>
        <v>6.1098939999999997</v>
      </c>
      <c r="CA9" s="21">
        <f>IF(CA$1&lt;INDEX('Valo FX'!$Q:$Q,MATCH($A9,'Valo FX'!$A:$A,0)),0,IF(CA$1&lt;INDEX('Valo FX'!$R:$R,MATCH($A9,'Valo FX'!$A:$A,0)),INDEX(Base!$U:$U,MATCH($A9,Base!$A:$A,0)),IF(CA$1=INDEX('Valo FX'!$R:$R,MATCH($A9,'Valo FX'!$A:$A,0)),INDEX(Base!$V:$V,MATCH($A9,Base!$A:$A,0)),0)))</f>
        <v>6.1098939999999997</v>
      </c>
      <c r="CB9" s="21">
        <f>IF(CB$1&lt;INDEX('Valo FX'!$Q:$Q,MATCH($A9,'Valo FX'!$A:$A,0)),0,IF(CB$1&lt;INDEX('Valo FX'!$R:$R,MATCH($A9,'Valo FX'!$A:$A,0)),INDEX(Base!$U:$U,MATCH($A9,Base!$A:$A,0)),IF(CB$1=INDEX('Valo FX'!$R:$R,MATCH($A9,'Valo FX'!$A:$A,0)),INDEX(Base!$V:$V,MATCH($A9,Base!$A:$A,0)),0)))</f>
        <v>6.1098939999999997</v>
      </c>
      <c r="CC9" s="21">
        <f>IF(CC$1&lt;INDEX('Valo FX'!$Q:$Q,MATCH($A9,'Valo FX'!$A:$A,0)),0,IF(CC$1&lt;INDEX('Valo FX'!$R:$R,MATCH($A9,'Valo FX'!$A:$A,0)),INDEX(Base!$U:$U,MATCH($A9,Base!$A:$A,0)),IF(CC$1=INDEX('Valo FX'!$R:$R,MATCH($A9,'Valo FX'!$A:$A,0)),INDEX(Base!$V:$V,MATCH($A9,Base!$A:$A,0)),0)))</f>
        <v>6.1098939999999997</v>
      </c>
      <c r="CD9" s="21">
        <f>IF(CD$1&lt;INDEX('Valo FX'!$Q:$Q,MATCH($A9,'Valo FX'!$A:$A,0)),0,IF(CD$1&lt;INDEX('Valo FX'!$R:$R,MATCH($A9,'Valo FX'!$A:$A,0)),INDEX(Base!$U:$U,MATCH($A9,Base!$A:$A,0)),IF(CD$1=INDEX('Valo FX'!$R:$R,MATCH($A9,'Valo FX'!$A:$A,0)),INDEX(Base!$V:$V,MATCH($A9,Base!$A:$A,0)),0)))</f>
        <v>6.1098939999999997</v>
      </c>
      <c r="CE9" s="21">
        <f>IF(CE$1&lt;INDEX('Valo FX'!$Q:$Q,MATCH($A9,'Valo FX'!$A:$A,0)),0,IF(CE$1&lt;INDEX('Valo FX'!$R:$R,MATCH($A9,'Valo FX'!$A:$A,0)),INDEX(Base!$U:$U,MATCH($A9,Base!$A:$A,0)),IF(CE$1=INDEX('Valo FX'!$R:$R,MATCH($A9,'Valo FX'!$A:$A,0)),INDEX(Base!$V:$V,MATCH($A9,Base!$A:$A,0)),0)))</f>
        <v>6.1098939999999997</v>
      </c>
      <c r="CF9" s="21">
        <f>IF(CF$1&lt;INDEX('Valo FX'!$Q:$Q,MATCH($A9,'Valo FX'!$A:$A,0)),0,IF(CF$1&lt;INDEX('Valo FX'!$R:$R,MATCH($A9,'Valo FX'!$A:$A,0)),INDEX(Base!$U:$U,MATCH($A9,Base!$A:$A,0)),IF(CF$1=INDEX('Valo FX'!$R:$R,MATCH($A9,'Valo FX'!$A:$A,0)),INDEX(Base!$V:$V,MATCH($A9,Base!$A:$A,0)),0)))</f>
        <v>6.1098939999999997</v>
      </c>
      <c r="CG9" s="21">
        <f>IF(CG$1&lt;INDEX('Valo FX'!$Q:$Q,MATCH($A9,'Valo FX'!$A:$A,0)),0,IF(CG$1&lt;INDEX('Valo FX'!$R:$R,MATCH($A9,'Valo FX'!$A:$A,0)),INDEX(Base!$U:$U,MATCH($A9,Base!$A:$A,0)),IF(CG$1=INDEX('Valo FX'!$R:$R,MATCH($A9,'Valo FX'!$A:$A,0)),INDEX(Base!$V:$V,MATCH($A9,Base!$A:$A,0)),0)))</f>
        <v>6.1098939999999997</v>
      </c>
      <c r="CH9" s="21">
        <f>IF(CH$1&lt;INDEX('Valo FX'!$Q:$Q,MATCH($A9,'Valo FX'!$A:$A,0)),0,IF(CH$1&lt;INDEX('Valo FX'!$R:$R,MATCH($A9,'Valo FX'!$A:$A,0)),INDEX(Base!$U:$U,MATCH($A9,Base!$A:$A,0)),IF(CH$1=INDEX('Valo FX'!$R:$R,MATCH($A9,'Valo FX'!$A:$A,0)),INDEX(Base!$V:$V,MATCH($A9,Base!$A:$A,0)),0)))</f>
        <v>6.1098939999999997</v>
      </c>
      <c r="CI9" s="21">
        <f>IF(CI$1&lt;INDEX('Valo FX'!$Q:$Q,MATCH($A9,'Valo FX'!$A:$A,0)),0,IF(CI$1&lt;INDEX('Valo FX'!$R:$R,MATCH($A9,'Valo FX'!$A:$A,0)),INDEX(Base!$U:$U,MATCH($A9,Base!$A:$A,0)),IF(CI$1=INDEX('Valo FX'!$R:$R,MATCH($A9,'Valo FX'!$A:$A,0)),INDEX(Base!$V:$V,MATCH($A9,Base!$A:$A,0)),0)))</f>
        <v>6.1098939999999997</v>
      </c>
      <c r="CJ9" s="21">
        <f>IF(CJ$1&lt;INDEX('Valo FX'!$Q:$Q,MATCH($A9,'Valo FX'!$A:$A,0)),0,IF(CJ$1&lt;INDEX('Valo FX'!$R:$R,MATCH($A9,'Valo FX'!$A:$A,0)),INDEX(Base!$U:$U,MATCH($A9,Base!$A:$A,0)),IF(CJ$1=INDEX('Valo FX'!$R:$R,MATCH($A9,'Valo FX'!$A:$A,0)),INDEX(Base!$V:$V,MATCH($A9,Base!$A:$A,0)),0)))</f>
        <v>6.1098939999999997</v>
      </c>
      <c r="CK9" s="21">
        <f>IF(CK$1&lt;INDEX('Valo FX'!$Q:$Q,MATCH($A9,'Valo FX'!$A:$A,0)),0,IF(CK$1&lt;INDEX('Valo FX'!$R:$R,MATCH($A9,'Valo FX'!$A:$A,0)),INDEX(Base!$U:$U,MATCH($A9,Base!$A:$A,0)),IF(CK$1=INDEX('Valo FX'!$R:$R,MATCH($A9,'Valo FX'!$A:$A,0)),INDEX(Base!$V:$V,MATCH($A9,Base!$A:$A,0)),0)))</f>
        <v>6.1098939999999997</v>
      </c>
      <c r="CL9" s="21">
        <f>IF(CL$1&lt;INDEX('Valo FX'!$Q:$Q,MATCH($A9,'Valo FX'!$A:$A,0)),0,IF(CL$1&lt;INDEX('Valo FX'!$R:$R,MATCH($A9,'Valo FX'!$A:$A,0)),INDEX(Base!$U:$U,MATCH($A9,Base!$A:$A,0)),IF(CL$1=INDEX('Valo FX'!$R:$R,MATCH($A9,'Valo FX'!$A:$A,0)),INDEX(Base!$V:$V,MATCH($A9,Base!$A:$A,0)),0)))</f>
        <v>6.1098939999999997</v>
      </c>
      <c r="CM9" s="21">
        <f>IF(CM$1&lt;INDEX('Valo FX'!$Q:$Q,MATCH($A9,'Valo FX'!$A:$A,0)),0,IF(CM$1&lt;INDEX('Valo FX'!$R:$R,MATCH($A9,'Valo FX'!$A:$A,0)),INDEX(Base!$U:$U,MATCH($A9,Base!$A:$A,0)),IF(CM$1=INDEX('Valo FX'!$R:$R,MATCH($A9,'Valo FX'!$A:$A,0)),INDEX(Base!$V:$V,MATCH($A9,Base!$A:$A,0)),0)))</f>
        <v>6.1098939999999997</v>
      </c>
      <c r="CN9" s="21">
        <f>IF(CN$1&lt;INDEX('Valo FX'!$Q:$Q,MATCH($A9,'Valo FX'!$A:$A,0)),0,IF(CN$1&lt;INDEX('Valo FX'!$R:$R,MATCH($A9,'Valo FX'!$A:$A,0)),INDEX(Base!$U:$U,MATCH($A9,Base!$A:$A,0)),IF(CN$1=INDEX('Valo FX'!$R:$R,MATCH($A9,'Valo FX'!$A:$A,0)),INDEX(Base!$V:$V,MATCH($A9,Base!$A:$A,0)),0)))</f>
        <v>6.1098939999999997</v>
      </c>
      <c r="CO9" s="21">
        <f>IF(CO$1&lt;INDEX('Valo FX'!$Q:$Q,MATCH($A9,'Valo FX'!$A:$A,0)),0,IF(CO$1&lt;INDEX('Valo FX'!$R:$R,MATCH($A9,'Valo FX'!$A:$A,0)),INDEX(Base!$U:$U,MATCH($A9,Base!$A:$A,0)),IF(CO$1=INDEX('Valo FX'!$R:$R,MATCH($A9,'Valo FX'!$A:$A,0)),INDEX(Base!$V:$V,MATCH($A9,Base!$A:$A,0)),0)))</f>
        <v>6.1098939999999997</v>
      </c>
      <c r="CP9" s="21">
        <f>IF(CP$1&lt;INDEX('Valo FX'!$Q:$Q,MATCH($A9,'Valo FX'!$A:$A,0)),0,IF(CP$1&lt;INDEX('Valo FX'!$R:$R,MATCH($A9,'Valo FX'!$A:$A,0)),INDEX(Base!$U:$U,MATCH($A9,Base!$A:$A,0)),IF(CP$1=INDEX('Valo FX'!$R:$R,MATCH($A9,'Valo FX'!$A:$A,0)),INDEX(Base!$V:$V,MATCH($A9,Base!$A:$A,0)),0)))</f>
        <v>6.1098939999999997</v>
      </c>
      <c r="CQ9" s="21">
        <f>IF(CQ$1&lt;INDEX('Valo FX'!$Q:$Q,MATCH($A9,'Valo FX'!$A:$A,0)),0,IF(CQ$1&lt;INDEX('Valo FX'!$R:$R,MATCH($A9,'Valo FX'!$A:$A,0)),INDEX(Base!$U:$U,MATCH($A9,Base!$A:$A,0)),IF(CQ$1=INDEX('Valo FX'!$R:$R,MATCH($A9,'Valo FX'!$A:$A,0)),INDEX(Base!$V:$V,MATCH($A9,Base!$A:$A,0)),0)))</f>
        <v>6.1098939999999997</v>
      </c>
      <c r="CR9" s="21">
        <f>IF(CR$1&lt;INDEX('Valo FX'!$Q:$Q,MATCH($A9,'Valo FX'!$A:$A,0)),0,IF(CR$1&lt;INDEX('Valo FX'!$R:$R,MATCH($A9,'Valo FX'!$A:$A,0)),INDEX(Base!$U:$U,MATCH($A9,Base!$A:$A,0)),IF(CR$1=INDEX('Valo FX'!$R:$R,MATCH($A9,'Valo FX'!$A:$A,0)),INDEX(Base!$V:$V,MATCH($A9,Base!$A:$A,0)),0)))</f>
        <v>6.1098939999999997</v>
      </c>
      <c r="CS9" s="21">
        <f>IF(CS$1&lt;INDEX('Valo FX'!$Q:$Q,MATCH($A9,'Valo FX'!$A:$A,0)),0,IF(CS$1&lt;INDEX('Valo FX'!$R:$R,MATCH($A9,'Valo FX'!$A:$A,0)),INDEX(Base!$U:$U,MATCH($A9,Base!$A:$A,0)),IF(CS$1=INDEX('Valo FX'!$R:$R,MATCH($A9,'Valo FX'!$A:$A,0)),INDEX(Base!$V:$V,MATCH($A9,Base!$A:$A,0)),0)))</f>
        <v>6.1098939999999997</v>
      </c>
      <c r="CT9" s="21">
        <f>IF(CT$1&lt;INDEX('Valo FX'!$Q:$Q,MATCH($A9,'Valo FX'!$A:$A,0)),0,IF(CT$1&lt;INDEX('Valo FX'!$R:$R,MATCH($A9,'Valo FX'!$A:$A,0)),INDEX(Base!$U:$U,MATCH($A9,Base!$A:$A,0)),IF(CT$1=INDEX('Valo FX'!$R:$R,MATCH($A9,'Valo FX'!$A:$A,0)),INDEX(Base!$V:$V,MATCH($A9,Base!$A:$A,0)),0)))</f>
        <v>6.1098939999999997</v>
      </c>
      <c r="CU9" s="21">
        <f>IF(CU$1&lt;INDEX('Valo FX'!$Q:$Q,MATCH($A9,'Valo FX'!$A:$A,0)),0,IF(CU$1&lt;INDEX('Valo FX'!$R:$R,MATCH($A9,'Valo FX'!$A:$A,0)),INDEX(Base!$U:$U,MATCH($A9,Base!$A:$A,0)),IF(CU$1=INDEX('Valo FX'!$R:$R,MATCH($A9,'Valo FX'!$A:$A,0)),INDEX(Base!$V:$V,MATCH($A9,Base!$A:$A,0)),0)))</f>
        <v>6.1098939999999997</v>
      </c>
      <c r="CV9" s="21">
        <f>IF(CV$1&lt;INDEX('Valo FX'!$Q:$Q,MATCH($A9,'Valo FX'!$A:$A,0)),0,IF(CV$1&lt;INDEX('Valo FX'!$R:$R,MATCH($A9,'Valo FX'!$A:$A,0)),INDEX(Base!$U:$U,MATCH($A9,Base!$A:$A,0)),IF(CV$1=INDEX('Valo FX'!$R:$R,MATCH($A9,'Valo FX'!$A:$A,0)),INDEX(Base!$V:$V,MATCH($A9,Base!$A:$A,0)),0)))</f>
        <v>6.1098939999999997</v>
      </c>
      <c r="CW9" s="21">
        <f>IF(CW$1&lt;INDEX('Valo FX'!$Q:$Q,MATCH($A9,'Valo FX'!$A:$A,0)),0,IF(CW$1&lt;INDEX('Valo FX'!$R:$R,MATCH($A9,'Valo FX'!$A:$A,0)),INDEX(Base!$U:$U,MATCH($A9,Base!$A:$A,0)),IF(CW$1=INDEX('Valo FX'!$R:$R,MATCH($A9,'Valo FX'!$A:$A,0)),INDEX(Base!$V:$V,MATCH($A9,Base!$A:$A,0)),0)))</f>
        <v>6.1098939999999997</v>
      </c>
      <c r="CX9" s="21">
        <f>IF(CX$1&lt;INDEX('Valo FX'!$Q:$Q,MATCH($A9,'Valo FX'!$A:$A,0)),0,IF(CX$1&lt;INDEX('Valo FX'!$R:$R,MATCH($A9,'Valo FX'!$A:$A,0)),INDEX(Base!$U:$U,MATCH($A9,Base!$A:$A,0)),IF(CX$1=INDEX('Valo FX'!$R:$R,MATCH($A9,'Valo FX'!$A:$A,0)),INDEX(Base!$V:$V,MATCH($A9,Base!$A:$A,0)),0)))</f>
        <v>6.1098939999999997</v>
      </c>
      <c r="CY9" s="21">
        <f>IF(CY$1&lt;INDEX('Valo FX'!$Q:$Q,MATCH($A9,'Valo FX'!$A:$A,0)),0,IF(CY$1&lt;INDEX('Valo FX'!$R:$R,MATCH($A9,'Valo FX'!$A:$A,0)),INDEX(Base!$U:$U,MATCH($A9,Base!$A:$A,0)),IF(CY$1=INDEX('Valo FX'!$R:$R,MATCH($A9,'Valo FX'!$A:$A,0)),INDEX(Base!$V:$V,MATCH($A9,Base!$A:$A,0)),0)))</f>
        <v>6.1098939999999997</v>
      </c>
      <c r="CZ9" s="21">
        <f>IF(CZ$1&lt;INDEX('Valo FX'!$Q:$Q,MATCH($A9,'Valo FX'!$A:$A,0)),0,IF(CZ$1&lt;INDEX('Valo FX'!$R:$R,MATCH($A9,'Valo FX'!$A:$A,0)),INDEX(Base!$U:$U,MATCH($A9,Base!$A:$A,0)),IF(CZ$1=INDEX('Valo FX'!$R:$R,MATCH($A9,'Valo FX'!$A:$A,0)),INDEX(Base!$V:$V,MATCH($A9,Base!$A:$A,0)),0)))</f>
        <v>6.1098939999999997</v>
      </c>
      <c r="DA9" s="21">
        <f>IF(DA$1&lt;INDEX('Valo FX'!$Q:$Q,MATCH($A9,'Valo FX'!$A:$A,0)),0,IF(DA$1&lt;INDEX('Valo FX'!$R:$R,MATCH($A9,'Valo FX'!$A:$A,0)),INDEX(Base!$U:$U,MATCH($A9,Base!$A:$A,0)),IF(DA$1=INDEX('Valo FX'!$R:$R,MATCH($A9,'Valo FX'!$A:$A,0)),INDEX(Base!$V:$V,MATCH($A9,Base!$A:$A,0)),0)))</f>
        <v>6.1098939999999997</v>
      </c>
      <c r="DB9" s="21">
        <f>IF(DB$1&lt;INDEX('Valo FX'!$Q:$Q,MATCH($A9,'Valo FX'!$A:$A,0)),0,IF(DB$1&lt;INDEX('Valo FX'!$R:$R,MATCH($A9,'Valo FX'!$A:$A,0)),INDEX(Base!$U:$U,MATCH($A9,Base!$A:$A,0)),IF(DB$1=INDEX('Valo FX'!$R:$R,MATCH($A9,'Valo FX'!$A:$A,0)),INDEX(Base!$V:$V,MATCH($A9,Base!$A:$A,0)),0)))</f>
        <v>6.1098939999999997</v>
      </c>
      <c r="DC9" s="21">
        <f>IF(DC$1&lt;INDEX('Valo FX'!$Q:$Q,MATCH($A9,'Valo FX'!$A:$A,0)),0,IF(DC$1&lt;INDEX('Valo FX'!$R:$R,MATCH($A9,'Valo FX'!$A:$A,0)),INDEX(Base!$U:$U,MATCH($A9,Base!$A:$A,0)),IF(DC$1=INDEX('Valo FX'!$R:$R,MATCH($A9,'Valo FX'!$A:$A,0)),INDEX(Base!$V:$V,MATCH($A9,Base!$A:$A,0)),0)))</f>
        <v>6.1098939999999997</v>
      </c>
      <c r="DD9" s="21">
        <f>IF(DD$1&lt;INDEX('Valo FX'!$Q:$Q,MATCH($A9,'Valo FX'!$A:$A,0)),0,IF(DD$1&lt;INDEX('Valo FX'!$R:$R,MATCH($A9,'Valo FX'!$A:$A,0)),INDEX(Base!$U:$U,MATCH($A9,Base!$A:$A,0)),IF(DD$1=INDEX('Valo FX'!$R:$R,MATCH($A9,'Valo FX'!$A:$A,0)),INDEX(Base!$V:$V,MATCH($A9,Base!$A:$A,0)),0)))</f>
        <v>6.1098939999999997</v>
      </c>
      <c r="DE9" s="21">
        <f>IF(DE$1&lt;INDEX('Valo FX'!$Q:$Q,MATCH($A9,'Valo FX'!$A:$A,0)),0,IF(DE$1&lt;INDEX('Valo FX'!$R:$R,MATCH($A9,'Valo FX'!$A:$A,0)),INDEX(Base!$U:$U,MATCH($A9,Base!$A:$A,0)),IF(DE$1=INDEX('Valo FX'!$R:$R,MATCH($A9,'Valo FX'!$A:$A,0)),INDEX(Base!$V:$V,MATCH($A9,Base!$A:$A,0)),0)))</f>
        <v>6.1098939999999997</v>
      </c>
      <c r="DF9" s="21">
        <f>IF(DF$1&lt;INDEX('Valo FX'!$Q:$Q,MATCH($A9,'Valo FX'!$A:$A,0)),0,IF(DF$1&lt;INDEX('Valo FX'!$R:$R,MATCH($A9,'Valo FX'!$A:$A,0)),INDEX(Base!$U:$U,MATCH($A9,Base!$A:$A,0)),IF(DF$1=INDEX('Valo FX'!$R:$R,MATCH($A9,'Valo FX'!$A:$A,0)),INDEX(Base!$V:$V,MATCH($A9,Base!$A:$A,0)),0)))</f>
        <v>6.1098939999999997</v>
      </c>
      <c r="DG9" s="21">
        <f>IF(DG$1&lt;INDEX('Valo FX'!$Q:$Q,MATCH($A9,'Valo FX'!$A:$A,0)),0,IF(DG$1&lt;INDEX('Valo FX'!$R:$R,MATCH($A9,'Valo FX'!$A:$A,0)),INDEX(Base!$U:$U,MATCH($A9,Base!$A:$A,0)),IF(DG$1=INDEX('Valo FX'!$R:$R,MATCH($A9,'Valo FX'!$A:$A,0)),INDEX(Base!$V:$V,MATCH($A9,Base!$A:$A,0)),0)))</f>
        <v>6.1098939999999997</v>
      </c>
      <c r="DH9" s="21">
        <f>IF(DH$1&lt;INDEX('Valo FX'!$Q:$Q,MATCH($A9,'Valo FX'!$A:$A,0)),0,IF(DH$1&lt;INDEX('Valo FX'!$R:$R,MATCH($A9,'Valo FX'!$A:$A,0)),INDEX(Base!$U:$U,MATCH($A9,Base!$A:$A,0)),IF(DH$1=INDEX('Valo FX'!$R:$R,MATCH($A9,'Valo FX'!$A:$A,0)),INDEX(Base!$V:$V,MATCH($A9,Base!$A:$A,0)),0)))</f>
        <v>6.1098939999999997</v>
      </c>
      <c r="DI9" s="21">
        <f>IF(DI$1&lt;INDEX('Valo FX'!$Q:$Q,MATCH($A9,'Valo FX'!$A:$A,0)),0,IF(DI$1&lt;INDEX('Valo FX'!$R:$R,MATCH($A9,'Valo FX'!$A:$A,0)),INDEX(Base!$U:$U,MATCH($A9,Base!$A:$A,0)),IF(DI$1=INDEX('Valo FX'!$R:$R,MATCH($A9,'Valo FX'!$A:$A,0)),INDEX(Base!$V:$V,MATCH($A9,Base!$A:$A,0)),0)))</f>
        <v>6.1098939999999997</v>
      </c>
      <c r="DJ9" s="21">
        <f>IF(DJ$1&lt;INDEX('Valo FX'!$Q:$Q,MATCH($A9,'Valo FX'!$A:$A,0)),0,IF(DJ$1&lt;INDEX('Valo FX'!$R:$R,MATCH($A9,'Valo FX'!$A:$A,0)),INDEX(Base!$U:$U,MATCH($A9,Base!$A:$A,0)),IF(DJ$1=INDEX('Valo FX'!$R:$R,MATCH($A9,'Valo FX'!$A:$A,0)),INDEX(Base!$V:$V,MATCH($A9,Base!$A:$A,0)),0)))</f>
        <v>6.1098939999999997</v>
      </c>
      <c r="DK9" s="21">
        <f>IF(DK$1&lt;INDEX('Valo FX'!$Q:$Q,MATCH($A9,'Valo FX'!$A:$A,0)),0,IF(DK$1&lt;INDEX('Valo FX'!$R:$R,MATCH($A9,'Valo FX'!$A:$A,0)),INDEX(Base!$U:$U,MATCH($A9,Base!$A:$A,0)),IF(DK$1=INDEX('Valo FX'!$R:$R,MATCH($A9,'Valo FX'!$A:$A,0)),INDEX(Base!$V:$V,MATCH($A9,Base!$A:$A,0)),0)))</f>
        <v>6.1098939999999997</v>
      </c>
      <c r="DL9" s="21">
        <f>IF(DL$1&lt;INDEX('Valo FX'!$Q:$Q,MATCH($A9,'Valo FX'!$A:$A,0)),0,IF(DL$1&lt;INDEX('Valo FX'!$R:$R,MATCH($A9,'Valo FX'!$A:$A,0)),INDEX(Base!$U:$U,MATCH($A9,Base!$A:$A,0)),IF(DL$1=INDEX('Valo FX'!$R:$R,MATCH($A9,'Valo FX'!$A:$A,0)),INDEX(Base!$V:$V,MATCH($A9,Base!$A:$A,0)),0)))</f>
        <v>6.1098939999999997</v>
      </c>
      <c r="DM9" s="21">
        <f>IF(DM$1&lt;INDEX('Valo FX'!$Q:$Q,MATCH($A9,'Valo FX'!$A:$A,0)),0,IF(DM$1&lt;INDEX('Valo FX'!$R:$R,MATCH($A9,'Valo FX'!$A:$A,0)),INDEX(Base!$U:$U,MATCH($A9,Base!$A:$A,0)),IF(DM$1=INDEX('Valo FX'!$R:$R,MATCH($A9,'Valo FX'!$A:$A,0)),INDEX(Base!$V:$V,MATCH($A9,Base!$A:$A,0)),0)))</f>
        <v>6.1098939999999997</v>
      </c>
      <c r="DN9" s="21">
        <f>IF(DN$1&lt;INDEX('Valo FX'!$Q:$Q,MATCH($A9,'Valo FX'!$A:$A,0)),0,IF(DN$1&lt;INDEX('Valo FX'!$R:$R,MATCH($A9,'Valo FX'!$A:$A,0)),INDEX(Base!$U:$U,MATCH($A9,Base!$A:$A,0)),IF(DN$1=INDEX('Valo FX'!$R:$R,MATCH($A9,'Valo FX'!$A:$A,0)),INDEX(Base!$V:$V,MATCH($A9,Base!$A:$A,0)),0)))</f>
        <v>6.1098939999999997</v>
      </c>
      <c r="DO9" s="21">
        <f>IF(DO$1&lt;INDEX('Valo FX'!$Q:$Q,MATCH($A9,'Valo FX'!$A:$A,0)),0,IF(DO$1&lt;INDEX('Valo FX'!$R:$R,MATCH($A9,'Valo FX'!$A:$A,0)),INDEX(Base!$U:$U,MATCH($A9,Base!$A:$A,0)),IF(DO$1=INDEX('Valo FX'!$R:$R,MATCH($A9,'Valo FX'!$A:$A,0)),INDEX(Base!$V:$V,MATCH($A9,Base!$A:$A,0)),0)))</f>
        <v>6.1098939999999997</v>
      </c>
      <c r="DP9" s="21">
        <f>IF(DP$1&lt;INDEX('Valo FX'!$Q:$Q,MATCH($A9,'Valo FX'!$A:$A,0)),0,IF(DP$1&lt;INDEX('Valo FX'!$R:$R,MATCH($A9,'Valo FX'!$A:$A,0)),INDEX(Base!$U:$U,MATCH($A9,Base!$A:$A,0)),IF(DP$1=INDEX('Valo FX'!$R:$R,MATCH($A9,'Valo FX'!$A:$A,0)),INDEX(Base!$V:$V,MATCH($A9,Base!$A:$A,0)),0)))</f>
        <v>6.1098939999999997</v>
      </c>
      <c r="DQ9" s="21">
        <f>IF(DQ$1&lt;INDEX('Valo FX'!$Q:$Q,MATCH($A9,'Valo FX'!$A:$A,0)),0,IF(DQ$1&lt;INDEX('Valo FX'!$R:$R,MATCH($A9,'Valo FX'!$A:$A,0)),INDEX(Base!$U:$U,MATCH($A9,Base!$A:$A,0)),IF(DQ$1=INDEX('Valo FX'!$R:$R,MATCH($A9,'Valo FX'!$A:$A,0)),INDEX(Base!$V:$V,MATCH($A9,Base!$A:$A,0)),0)))</f>
        <v>6.1098939999999997</v>
      </c>
      <c r="DR9" s="21">
        <f>IF(DR$1&lt;INDEX('Valo FX'!$Q:$Q,MATCH($A9,'Valo FX'!$A:$A,0)),0,IF(DR$1&lt;INDEX('Valo FX'!$R:$R,MATCH($A9,'Valo FX'!$A:$A,0)),INDEX(Base!$U:$U,MATCH($A9,Base!$A:$A,0)),IF(DR$1=INDEX('Valo FX'!$R:$R,MATCH($A9,'Valo FX'!$A:$A,0)),INDEX(Base!$V:$V,MATCH($A9,Base!$A:$A,0)),0)))</f>
        <v>6.1098939999999997</v>
      </c>
      <c r="DS9" s="21">
        <f>IF(DS$1&lt;INDEX('Valo FX'!$Q:$Q,MATCH($A9,'Valo FX'!$A:$A,0)),0,IF(DS$1&lt;INDEX('Valo FX'!$R:$R,MATCH($A9,'Valo FX'!$A:$A,0)),INDEX(Base!$U:$U,MATCH($A9,Base!$A:$A,0)),IF(DS$1=INDEX('Valo FX'!$R:$R,MATCH($A9,'Valo FX'!$A:$A,0)),INDEX(Base!$V:$V,MATCH($A9,Base!$A:$A,0)),0)))</f>
        <v>6.1098939999999997</v>
      </c>
      <c r="DT9" s="21">
        <f>IF(DT$1&lt;INDEX('Valo FX'!$Q:$Q,MATCH($A9,'Valo FX'!$A:$A,0)),0,IF(DT$1&lt;INDEX('Valo FX'!$R:$R,MATCH($A9,'Valo FX'!$A:$A,0)),INDEX(Base!$U:$U,MATCH($A9,Base!$A:$A,0)),IF(DT$1=INDEX('Valo FX'!$R:$R,MATCH($A9,'Valo FX'!$A:$A,0)),INDEX(Base!$V:$V,MATCH($A9,Base!$A:$A,0)),0)))</f>
        <v>6.1098939999999997</v>
      </c>
      <c r="DU9" s="21">
        <f>IF(DU$1&lt;INDEX('Valo FX'!$Q:$Q,MATCH($A9,'Valo FX'!$A:$A,0)),0,IF(DU$1&lt;INDEX('Valo FX'!$R:$R,MATCH($A9,'Valo FX'!$A:$A,0)),INDEX(Base!$U:$U,MATCH($A9,Base!$A:$A,0)),IF(DU$1=INDEX('Valo FX'!$R:$R,MATCH($A9,'Valo FX'!$A:$A,0)),INDEX(Base!$V:$V,MATCH($A9,Base!$A:$A,0)),0)))</f>
        <v>6.1098939999999997</v>
      </c>
      <c r="DV9" s="21">
        <f>IF(DV$1&lt;INDEX('Valo FX'!$Q:$Q,MATCH($A9,'Valo FX'!$A:$A,0)),0,IF(DV$1&lt;INDEX('Valo FX'!$R:$R,MATCH($A9,'Valo FX'!$A:$A,0)),INDEX(Base!$U:$U,MATCH($A9,Base!$A:$A,0)),IF(DV$1=INDEX('Valo FX'!$R:$R,MATCH($A9,'Valo FX'!$A:$A,0)),INDEX(Base!$V:$V,MATCH($A9,Base!$A:$A,0)),0)))</f>
        <v>6.1098939999999997</v>
      </c>
      <c r="DW9" s="21">
        <f>IF(DW$1&lt;INDEX('Valo FX'!$Q:$Q,MATCH($A9,'Valo FX'!$A:$A,0)),0,IF(DW$1&lt;INDEX('Valo FX'!$R:$R,MATCH($A9,'Valo FX'!$A:$A,0)),INDEX(Base!$U:$U,MATCH($A9,Base!$A:$A,0)),IF(DW$1=INDEX('Valo FX'!$R:$R,MATCH($A9,'Valo FX'!$A:$A,0)),INDEX(Base!$V:$V,MATCH($A9,Base!$A:$A,0)),0)))</f>
        <v>6.1098939999999997</v>
      </c>
      <c r="DX9" s="21">
        <f>IF(DX$1&lt;INDEX('Valo FX'!$Q:$Q,MATCH($A9,'Valo FX'!$A:$A,0)),0,IF(DX$1&lt;INDEX('Valo FX'!$R:$R,MATCH($A9,'Valo FX'!$A:$A,0)),INDEX(Base!$U:$U,MATCH($A9,Base!$A:$A,0)),IF(DX$1=INDEX('Valo FX'!$R:$R,MATCH($A9,'Valo FX'!$A:$A,0)),INDEX(Base!$V:$V,MATCH($A9,Base!$A:$A,0)),0)))</f>
        <v>6.1098939999999997</v>
      </c>
      <c r="DY9" s="21">
        <f>IF(DY$1&lt;INDEX('Valo FX'!$Q:$Q,MATCH($A9,'Valo FX'!$A:$A,0)),0,IF(DY$1&lt;INDEX('Valo FX'!$R:$R,MATCH($A9,'Valo FX'!$A:$A,0)),INDEX(Base!$U:$U,MATCH($A9,Base!$A:$A,0)),IF(DY$1=INDEX('Valo FX'!$R:$R,MATCH($A9,'Valo FX'!$A:$A,0)),INDEX(Base!$V:$V,MATCH($A9,Base!$A:$A,0)),0)))</f>
        <v>6.1098939999999997</v>
      </c>
      <c r="DZ9" s="21">
        <f>IF(DZ$1&lt;INDEX('Valo FX'!$Q:$Q,MATCH($A9,'Valo FX'!$A:$A,0)),0,IF(DZ$1&lt;INDEX('Valo FX'!$R:$R,MATCH($A9,'Valo FX'!$A:$A,0)),INDEX(Base!$U:$U,MATCH($A9,Base!$A:$A,0)),IF(DZ$1=INDEX('Valo FX'!$R:$R,MATCH($A9,'Valo FX'!$A:$A,0)),INDEX(Base!$V:$V,MATCH($A9,Base!$A:$A,0)),0)))</f>
        <v>6.1098939999999997</v>
      </c>
      <c r="EA9" s="21">
        <f>IF(EA$1&lt;INDEX('Valo FX'!$Q:$Q,MATCH($A9,'Valo FX'!$A:$A,0)),0,IF(EA$1&lt;INDEX('Valo FX'!$R:$R,MATCH($A9,'Valo FX'!$A:$A,0)),INDEX(Base!$U:$U,MATCH($A9,Base!$A:$A,0)),IF(EA$1=INDEX('Valo FX'!$R:$R,MATCH($A9,'Valo FX'!$A:$A,0)),INDEX(Base!$V:$V,MATCH($A9,Base!$A:$A,0)),0)))</f>
        <v>6.1098939999999997</v>
      </c>
      <c r="EB9" s="21">
        <f>IF(EB$1&lt;INDEX('Valo FX'!$Q:$Q,MATCH($A9,'Valo FX'!$A:$A,0)),0,IF(EB$1&lt;INDEX('Valo FX'!$R:$R,MATCH($A9,'Valo FX'!$A:$A,0)),INDEX(Base!$U:$U,MATCH($A9,Base!$A:$A,0)),IF(EB$1=INDEX('Valo FX'!$R:$R,MATCH($A9,'Valo FX'!$A:$A,0)),INDEX(Base!$V:$V,MATCH($A9,Base!$A:$A,0)),0)))</f>
        <v>6.1098939999999997</v>
      </c>
      <c r="EC9" s="21">
        <f>IF(EC$1&lt;INDEX('Valo FX'!$Q:$Q,MATCH($A9,'Valo FX'!$A:$A,0)),0,IF(EC$1&lt;INDEX('Valo FX'!$R:$R,MATCH($A9,'Valo FX'!$A:$A,0)),INDEX(Base!$U:$U,MATCH($A9,Base!$A:$A,0)),IF(EC$1=INDEX('Valo FX'!$R:$R,MATCH($A9,'Valo FX'!$A:$A,0)),INDEX(Base!$V:$V,MATCH($A9,Base!$A:$A,0)),0)))</f>
        <v>6.1098939999999997</v>
      </c>
      <c r="ED9" s="21">
        <f>IF(ED$1&lt;INDEX('Valo FX'!$Q:$Q,MATCH($A9,'Valo FX'!$A:$A,0)),0,IF(ED$1&lt;INDEX('Valo FX'!$R:$R,MATCH($A9,'Valo FX'!$A:$A,0)),INDEX(Base!$U:$U,MATCH($A9,Base!$A:$A,0)),IF(ED$1=INDEX('Valo FX'!$R:$R,MATCH($A9,'Valo FX'!$A:$A,0)),INDEX(Base!$V:$V,MATCH($A9,Base!$A:$A,0)),0)))</f>
        <v>6.1098939999999997</v>
      </c>
      <c r="EE9" s="21">
        <f>IF(EE$1&lt;INDEX('Valo FX'!$Q:$Q,MATCH($A9,'Valo FX'!$A:$A,0)),0,IF(EE$1&lt;INDEX('Valo FX'!$R:$R,MATCH($A9,'Valo FX'!$A:$A,0)),INDEX(Base!$U:$U,MATCH($A9,Base!$A:$A,0)),IF(EE$1=INDEX('Valo FX'!$R:$R,MATCH($A9,'Valo FX'!$A:$A,0)),INDEX(Base!$V:$V,MATCH($A9,Base!$A:$A,0)),0)))</f>
        <v>6.1098939999999997</v>
      </c>
      <c r="EF9" s="21">
        <f>IF(EF$1&lt;INDEX('Valo FX'!$Q:$Q,MATCH($A9,'Valo FX'!$A:$A,0)),0,IF(EF$1&lt;INDEX('Valo FX'!$R:$R,MATCH($A9,'Valo FX'!$A:$A,0)),INDEX(Base!$U:$U,MATCH($A9,Base!$A:$A,0)),IF(EF$1=INDEX('Valo FX'!$R:$R,MATCH($A9,'Valo FX'!$A:$A,0)),INDEX(Base!$V:$V,MATCH($A9,Base!$A:$A,0)),0)))</f>
        <v>6.1098939999999997</v>
      </c>
      <c r="EG9" s="21">
        <f>IF(EG$1&lt;INDEX('Valo FX'!$Q:$Q,MATCH($A9,'Valo FX'!$A:$A,0)),0,IF(EG$1&lt;INDEX('Valo FX'!$R:$R,MATCH($A9,'Valo FX'!$A:$A,0)),INDEX(Base!$U:$U,MATCH($A9,Base!$A:$A,0)),IF(EG$1=INDEX('Valo FX'!$R:$R,MATCH($A9,'Valo FX'!$A:$A,0)),INDEX(Base!$V:$V,MATCH($A9,Base!$A:$A,0)),0)))</f>
        <v>6.1098939999999997</v>
      </c>
      <c r="EH9" s="21">
        <f>IF(EH$1&lt;INDEX('Valo FX'!$Q:$Q,MATCH($A9,'Valo FX'!$A:$A,0)),0,IF(EH$1&lt;INDEX('Valo FX'!$R:$R,MATCH($A9,'Valo FX'!$A:$A,0)),INDEX(Base!$U:$U,MATCH($A9,Base!$A:$A,0)),IF(EH$1=INDEX('Valo FX'!$R:$R,MATCH($A9,'Valo FX'!$A:$A,0)),INDEX(Base!$V:$V,MATCH($A9,Base!$A:$A,0)),0)))</f>
        <v>6.1098939999999997</v>
      </c>
      <c r="EI9" s="21">
        <f>IF(EI$1&lt;INDEX('Valo FX'!$Q:$Q,MATCH($A9,'Valo FX'!$A:$A,0)),0,IF(EI$1&lt;INDEX('Valo FX'!$R:$R,MATCH($A9,'Valo FX'!$A:$A,0)),INDEX(Base!$U:$U,MATCH($A9,Base!$A:$A,0)),IF(EI$1=INDEX('Valo FX'!$R:$R,MATCH($A9,'Valo FX'!$A:$A,0)),INDEX(Base!$V:$V,MATCH($A9,Base!$A:$A,0)),0)))</f>
        <v>6.1098939999999997</v>
      </c>
      <c r="EJ9" s="21">
        <f>IF(EJ$1&lt;INDEX('Valo FX'!$Q:$Q,MATCH($A9,'Valo FX'!$A:$A,0)),0,IF(EJ$1&lt;INDEX('Valo FX'!$R:$R,MATCH($A9,'Valo FX'!$A:$A,0)),INDEX(Base!$U:$U,MATCH($A9,Base!$A:$A,0)),IF(EJ$1=INDEX('Valo FX'!$R:$R,MATCH($A9,'Valo FX'!$A:$A,0)),INDEX(Base!$V:$V,MATCH($A9,Base!$A:$A,0)),0)))</f>
        <v>6.1098939999999997</v>
      </c>
      <c r="EK9" s="21">
        <f>IF(EK$1&lt;INDEX('Valo FX'!$Q:$Q,MATCH($A9,'Valo FX'!$A:$A,0)),0,IF(EK$1&lt;INDEX('Valo FX'!$R:$R,MATCH($A9,'Valo FX'!$A:$A,0)),INDEX(Base!$U:$U,MATCH($A9,Base!$A:$A,0)),IF(EK$1=INDEX('Valo FX'!$R:$R,MATCH($A9,'Valo FX'!$A:$A,0)),INDEX(Base!$V:$V,MATCH($A9,Base!$A:$A,0)),0)))</f>
        <v>6.1098939999999997</v>
      </c>
      <c r="EL9" s="21">
        <f>IF(EL$1&lt;INDEX('Valo FX'!$Q:$Q,MATCH($A9,'Valo FX'!$A:$A,0)),0,IF(EL$1&lt;INDEX('Valo FX'!$R:$R,MATCH($A9,'Valo FX'!$A:$A,0)),INDEX(Base!$U:$U,MATCH($A9,Base!$A:$A,0)),IF(EL$1=INDEX('Valo FX'!$R:$R,MATCH($A9,'Valo FX'!$A:$A,0)),INDEX(Base!$V:$V,MATCH($A9,Base!$A:$A,0)),0)))</f>
        <v>6.1098939999999997</v>
      </c>
      <c r="EM9" s="21">
        <f>IF(EM$1&lt;INDEX('Valo FX'!$Q:$Q,MATCH($A9,'Valo FX'!$A:$A,0)),0,IF(EM$1&lt;INDEX('Valo FX'!$R:$R,MATCH($A9,'Valo FX'!$A:$A,0)),INDEX(Base!$U:$U,MATCH($A9,Base!$A:$A,0)),IF(EM$1=INDEX('Valo FX'!$R:$R,MATCH($A9,'Valo FX'!$A:$A,0)),INDEX(Base!$V:$V,MATCH($A9,Base!$A:$A,0)),0)))</f>
        <v>6.1098939999999997</v>
      </c>
      <c r="EN9" s="21">
        <f>IF(EN$1&lt;INDEX('Valo FX'!$Q:$Q,MATCH($A9,'Valo FX'!$A:$A,0)),0,IF(EN$1&lt;INDEX('Valo FX'!$R:$R,MATCH($A9,'Valo FX'!$A:$A,0)),INDEX(Base!$U:$U,MATCH($A9,Base!$A:$A,0)),IF(EN$1=INDEX('Valo FX'!$R:$R,MATCH($A9,'Valo FX'!$A:$A,0)),INDEX(Base!$V:$V,MATCH($A9,Base!$A:$A,0)),0)))</f>
        <v>6.1098939999999997</v>
      </c>
      <c r="EO9" s="21">
        <f>IF(EO$1&lt;INDEX('Valo FX'!$Q:$Q,MATCH($A9,'Valo FX'!$A:$A,0)),0,IF(EO$1&lt;INDEX('Valo FX'!$R:$R,MATCH($A9,'Valo FX'!$A:$A,0)),INDEX(Base!$U:$U,MATCH($A9,Base!$A:$A,0)),IF(EO$1=INDEX('Valo FX'!$R:$R,MATCH($A9,'Valo FX'!$A:$A,0)),INDEX(Base!$V:$V,MATCH($A9,Base!$A:$A,0)),0)))</f>
        <v>6.1098939999999997</v>
      </c>
      <c r="EP9" s="21">
        <f>IF(EP$1&lt;INDEX('Valo FX'!$Q:$Q,MATCH($A9,'Valo FX'!$A:$A,0)),0,IF(EP$1&lt;INDEX('Valo FX'!$R:$R,MATCH($A9,'Valo FX'!$A:$A,0)),INDEX(Base!$U:$U,MATCH($A9,Base!$A:$A,0)),IF(EP$1=INDEX('Valo FX'!$R:$R,MATCH($A9,'Valo FX'!$A:$A,0)),INDEX(Base!$V:$V,MATCH($A9,Base!$A:$A,0)),0)))</f>
        <v>6.1098939999999997</v>
      </c>
      <c r="EQ9" s="21">
        <f>IF(EQ$1&lt;INDEX('Valo FX'!$Q:$Q,MATCH($A9,'Valo FX'!$A:$A,0)),0,IF(EQ$1&lt;INDEX('Valo FX'!$R:$R,MATCH($A9,'Valo FX'!$A:$A,0)),INDEX(Base!$U:$U,MATCH($A9,Base!$A:$A,0)),IF(EQ$1=INDEX('Valo FX'!$R:$R,MATCH($A9,'Valo FX'!$A:$A,0)),INDEX(Base!$V:$V,MATCH($A9,Base!$A:$A,0)),0)))</f>
        <v>6.1098939999999997</v>
      </c>
      <c r="ER9" s="21">
        <f>IF(ER$1&lt;INDEX('Valo FX'!$Q:$Q,MATCH($A9,'Valo FX'!$A:$A,0)),0,IF(ER$1&lt;INDEX('Valo FX'!$R:$R,MATCH($A9,'Valo FX'!$A:$A,0)),INDEX(Base!$U:$U,MATCH($A9,Base!$A:$A,0)),IF(ER$1=INDEX('Valo FX'!$R:$R,MATCH($A9,'Valo FX'!$A:$A,0)),INDEX(Base!$V:$V,MATCH($A9,Base!$A:$A,0)),0)))</f>
        <v>6.1098939999999997</v>
      </c>
      <c r="ES9" s="21">
        <f>IF(ES$1&lt;INDEX('Valo FX'!$Q:$Q,MATCH($A9,'Valo FX'!$A:$A,0)),0,IF(ES$1&lt;INDEX('Valo FX'!$R:$R,MATCH($A9,'Valo FX'!$A:$A,0)),INDEX(Base!$U:$U,MATCH($A9,Base!$A:$A,0)),IF(ES$1=INDEX('Valo FX'!$R:$R,MATCH($A9,'Valo FX'!$A:$A,0)),INDEX(Base!$V:$V,MATCH($A9,Base!$A:$A,0)),0)))</f>
        <v>6.1098939999999997</v>
      </c>
      <c r="ET9" s="21">
        <f>IF(ET$1&lt;INDEX('Valo FX'!$Q:$Q,MATCH($A9,'Valo FX'!$A:$A,0)),0,IF(ET$1&lt;INDEX('Valo FX'!$R:$R,MATCH($A9,'Valo FX'!$A:$A,0)),INDEX(Base!$U:$U,MATCH($A9,Base!$A:$A,0)),IF(ET$1=INDEX('Valo FX'!$R:$R,MATCH($A9,'Valo FX'!$A:$A,0)),INDEX(Base!$V:$V,MATCH($A9,Base!$A:$A,0)),0)))</f>
        <v>6.1098939999999997</v>
      </c>
      <c r="EU9" s="21">
        <f>IF(EU$1&lt;INDEX('Valo FX'!$Q:$Q,MATCH($A9,'Valo FX'!$A:$A,0)),0,IF(EU$1&lt;INDEX('Valo FX'!$R:$R,MATCH($A9,'Valo FX'!$A:$A,0)),INDEX(Base!$U:$U,MATCH($A9,Base!$A:$A,0)),IF(EU$1=INDEX('Valo FX'!$R:$R,MATCH($A9,'Valo FX'!$A:$A,0)),INDEX(Base!$V:$V,MATCH($A9,Base!$A:$A,0)),0)))</f>
        <v>6.1098939999999997</v>
      </c>
      <c r="EV9" s="21">
        <f>IF(EV$1&lt;INDEX('Valo FX'!$Q:$Q,MATCH($A9,'Valo FX'!$A:$A,0)),0,IF(EV$1&lt;INDEX('Valo FX'!$R:$R,MATCH($A9,'Valo FX'!$A:$A,0)),INDEX(Base!$U:$U,MATCH($A9,Base!$A:$A,0)),IF(EV$1=INDEX('Valo FX'!$R:$R,MATCH($A9,'Valo FX'!$A:$A,0)),INDEX(Base!$V:$V,MATCH($A9,Base!$A:$A,0)),0)))</f>
        <v>6.1098939999999997</v>
      </c>
      <c r="EW9" s="21">
        <f>IF(EW$1&lt;INDEX('Valo FX'!$Q:$Q,MATCH($A9,'Valo FX'!$A:$A,0)),0,IF(EW$1&lt;INDEX('Valo FX'!$R:$R,MATCH($A9,'Valo FX'!$A:$A,0)),INDEX(Base!$U:$U,MATCH($A9,Base!$A:$A,0)),IF(EW$1=INDEX('Valo FX'!$R:$R,MATCH($A9,'Valo FX'!$A:$A,0)),INDEX(Base!$V:$V,MATCH($A9,Base!$A:$A,0)),0)))</f>
        <v>6.1098939999999997</v>
      </c>
      <c r="EX9" s="21">
        <f>IF(EX$1&lt;INDEX('Valo FX'!$Q:$Q,MATCH($A9,'Valo FX'!$A:$A,0)),0,IF(EX$1&lt;INDEX('Valo FX'!$R:$R,MATCH($A9,'Valo FX'!$A:$A,0)),INDEX(Base!$U:$U,MATCH($A9,Base!$A:$A,0)),IF(EX$1=INDEX('Valo FX'!$R:$R,MATCH($A9,'Valo FX'!$A:$A,0)),INDEX(Base!$V:$V,MATCH($A9,Base!$A:$A,0)),0)))</f>
        <v>6.1098939999999997</v>
      </c>
      <c r="EY9" s="21">
        <f>IF(EY$1&lt;INDEX('Valo FX'!$Q:$Q,MATCH($A9,'Valo FX'!$A:$A,0)),0,IF(EY$1&lt;INDEX('Valo FX'!$R:$R,MATCH($A9,'Valo FX'!$A:$A,0)),INDEX(Base!$U:$U,MATCH($A9,Base!$A:$A,0)),IF(EY$1=INDEX('Valo FX'!$R:$R,MATCH($A9,'Valo FX'!$A:$A,0)),INDEX(Base!$V:$V,MATCH($A9,Base!$A:$A,0)),0)))</f>
        <v>6.1098939999999997</v>
      </c>
      <c r="EZ9" s="21">
        <f>IF(EZ$1&lt;INDEX('Valo FX'!$Q:$Q,MATCH($A9,'Valo FX'!$A:$A,0)),0,IF(EZ$1&lt;INDEX('Valo FX'!$R:$R,MATCH($A9,'Valo FX'!$A:$A,0)),INDEX(Base!$U:$U,MATCH($A9,Base!$A:$A,0)),IF(EZ$1=INDEX('Valo FX'!$R:$R,MATCH($A9,'Valo FX'!$A:$A,0)),INDEX(Base!$V:$V,MATCH($A9,Base!$A:$A,0)),0)))</f>
        <v>6.1098939999999997</v>
      </c>
      <c r="FA9" s="21">
        <f>IF(FA$1&lt;INDEX('Valo FX'!$Q:$Q,MATCH($A9,'Valo FX'!$A:$A,0)),0,IF(FA$1&lt;INDEX('Valo FX'!$R:$R,MATCH($A9,'Valo FX'!$A:$A,0)),INDEX(Base!$U:$U,MATCH($A9,Base!$A:$A,0)),IF(FA$1=INDEX('Valo FX'!$R:$R,MATCH($A9,'Valo FX'!$A:$A,0)),INDEX(Base!$V:$V,MATCH($A9,Base!$A:$A,0)),0)))</f>
        <v>6.1098939999999997</v>
      </c>
      <c r="FB9" s="21">
        <f>IF(FB$1&lt;INDEX('Valo FX'!$Q:$Q,MATCH($A9,'Valo FX'!$A:$A,0)),0,IF(FB$1&lt;INDEX('Valo FX'!$R:$R,MATCH($A9,'Valo FX'!$A:$A,0)),INDEX(Base!$U:$U,MATCH($A9,Base!$A:$A,0)),IF(FB$1=INDEX('Valo FX'!$R:$R,MATCH($A9,'Valo FX'!$A:$A,0)),INDEX(Base!$V:$V,MATCH($A9,Base!$A:$A,0)),0)))</f>
        <v>6.1098939999999997</v>
      </c>
      <c r="FC9" s="21">
        <f>IF(FC$1&lt;INDEX('Valo FX'!$Q:$Q,MATCH($A9,'Valo FX'!$A:$A,0)),0,IF(FC$1&lt;INDEX('Valo FX'!$R:$R,MATCH($A9,'Valo FX'!$A:$A,0)),INDEX(Base!$U:$U,MATCH($A9,Base!$A:$A,0)),IF(FC$1=INDEX('Valo FX'!$R:$R,MATCH($A9,'Valo FX'!$A:$A,0)),INDEX(Base!$V:$V,MATCH($A9,Base!$A:$A,0)),0)))</f>
        <v>6.1098939999999997</v>
      </c>
      <c r="FD9" s="21">
        <f>IF(FD$1&lt;INDEX('Valo FX'!$Q:$Q,MATCH($A9,'Valo FX'!$A:$A,0)),0,IF(FD$1&lt;INDEX('Valo FX'!$R:$R,MATCH($A9,'Valo FX'!$A:$A,0)),INDEX(Base!$U:$U,MATCH($A9,Base!$A:$A,0)),IF(FD$1=INDEX('Valo FX'!$R:$R,MATCH($A9,'Valo FX'!$A:$A,0)),INDEX(Base!$V:$V,MATCH($A9,Base!$A:$A,0)),0)))</f>
        <v>6.1098939999999997</v>
      </c>
      <c r="FE9" s="21">
        <f>IF(FE$1&lt;INDEX('Valo FX'!$Q:$Q,MATCH($A9,'Valo FX'!$A:$A,0)),0,IF(FE$1&lt;INDEX('Valo FX'!$R:$R,MATCH($A9,'Valo FX'!$A:$A,0)),INDEX(Base!$U:$U,MATCH($A9,Base!$A:$A,0)),IF(FE$1=INDEX('Valo FX'!$R:$R,MATCH($A9,'Valo FX'!$A:$A,0)),INDEX(Base!$V:$V,MATCH($A9,Base!$A:$A,0)),0)))</f>
        <v>6.1098939999999997</v>
      </c>
      <c r="FF9" s="21">
        <f>IF(FF$1&lt;INDEX('Valo FX'!$Q:$Q,MATCH($A9,'Valo FX'!$A:$A,0)),0,IF(FF$1&lt;INDEX('Valo FX'!$R:$R,MATCH($A9,'Valo FX'!$A:$A,0)),INDEX(Base!$U:$U,MATCH($A9,Base!$A:$A,0)),IF(FF$1=INDEX('Valo FX'!$R:$R,MATCH($A9,'Valo FX'!$A:$A,0)),INDEX(Base!$V:$V,MATCH($A9,Base!$A:$A,0)),0)))</f>
        <v>6.1098939999999997</v>
      </c>
      <c r="FG9" s="21">
        <f>IF(FG$1&lt;INDEX('Valo FX'!$Q:$Q,MATCH($A9,'Valo FX'!$A:$A,0)),0,IF(FG$1&lt;INDEX('Valo FX'!$R:$R,MATCH($A9,'Valo FX'!$A:$A,0)),INDEX(Base!$U:$U,MATCH($A9,Base!$A:$A,0)),IF(FG$1=INDEX('Valo FX'!$R:$R,MATCH($A9,'Valo FX'!$A:$A,0)),INDEX(Base!$V:$V,MATCH($A9,Base!$A:$A,0)),0)))</f>
        <v>6.1098939999999997</v>
      </c>
      <c r="FH9" s="21">
        <f>IF(FH$1&lt;INDEX('Valo FX'!$Q:$Q,MATCH($A9,'Valo FX'!$A:$A,0)),0,IF(FH$1&lt;INDEX('Valo FX'!$R:$R,MATCH($A9,'Valo FX'!$A:$A,0)),INDEX(Base!$U:$U,MATCH($A9,Base!$A:$A,0)),IF(FH$1=INDEX('Valo FX'!$R:$R,MATCH($A9,'Valo FX'!$A:$A,0)),INDEX(Base!$V:$V,MATCH($A9,Base!$A:$A,0)),0)))</f>
        <v>6.1098939999999997</v>
      </c>
      <c r="FI9" s="21">
        <f>IF(FI$1&lt;INDEX('Valo FX'!$Q:$Q,MATCH($A9,'Valo FX'!$A:$A,0)),0,IF(FI$1&lt;INDEX('Valo FX'!$R:$R,MATCH($A9,'Valo FX'!$A:$A,0)),INDEX(Base!$U:$U,MATCH($A9,Base!$A:$A,0)),IF(FI$1=INDEX('Valo FX'!$R:$R,MATCH($A9,'Valo FX'!$A:$A,0)),INDEX(Base!$V:$V,MATCH($A9,Base!$A:$A,0)),0)))</f>
        <v>6.1098939999999997</v>
      </c>
      <c r="FJ9" s="21">
        <f>IF(FJ$1&lt;INDEX('Valo FX'!$Q:$Q,MATCH($A9,'Valo FX'!$A:$A,0)),0,IF(FJ$1&lt;INDEX('Valo FX'!$R:$R,MATCH($A9,'Valo FX'!$A:$A,0)),INDEX(Base!$U:$U,MATCH($A9,Base!$A:$A,0)),IF(FJ$1=INDEX('Valo FX'!$R:$R,MATCH($A9,'Valo FX'!$A:$A,0)),INDEX(Base!$V:$V,MATCH($A9,Base!$A:$A,0)),0)))</f>
        <v>6.1098939999999997</v>
      </c>
      <c r="FK9" s="21">
        <f>IF(FK$1&lt;INDEX('Valo FX'!$Q:$Q,MATCH($A9,'Valo FX'!$A:$A,0)),0,IF(FK$1&lt;INDEX('Valo FX'!$R:$R,MATCH($A9,'Valo FX'!$A:$A,0)),INDEX(Base!$U:$U,MATCH($A9,Base!$A:$A,0)),IF(FK$1=INDEX('Valo FX'!$R:$R,MATCH($A9,'Valo FX'!$A:$A,0)),INDEX(Base!$V:$V,MATCH($A9,Base!$A:$A,0)),0)))</f>
        <v>6.1098939999999997</v>
      </c>
      <c r="FL9" s="21">
        <f>IF(FL$1&lt;INDEX('Valo FX'!$Q:$Q,MATCH($A9,'Valo FX'!$A:$A,0)),0,IF(FL$1&lt;INDEX('Valo FX'!$R:$R,MATCH($A9,'Valo FX'!$A:$A,0)),INDEX(Base!$U:$U,MATCH($A9,Base!$A:$A,0)),IF(FL$1=INDEX('Valo FX'!$R:$R,MATCH($A9,'Valo FX'!$A:$A,0)),INDEX(Base!$V:$V,MATCH($A9,Base!$A:$A,0)),0)))</f>
        <v>6.1098939999999997</v>
      </c>
      <c r="FM9" s="21">
        <f>IF(FM$1&lt;INDEX('Valo FX'!$Q:$Q,MATCH($A9,'Valo FX'!$A:$A,0)),0,IF(FM$1&lt;INDEX('Valo FX'!$R:$R,MATCH($A9,'Valo FX'!$A:$A,0)),INDEX(Base!$U:$U,MATCH($A9,Base!$A:$A,0)),IF(FM$1=INDEX('Valo FX'!$R:$R,MATCH($A9,'Valo FX'!$A:$A,0)),INDEX(Base!$V:$V,MATCH($A9,Base!$A:$A,0)),0)))</f>
        <v>6.1098939999999997</v>
      </c>
      <c r="FN9" s="21">
        <f>IF(FN$1&lt;INDEX('Valo FX'!$Q:$Q,MATCH($A9,'Valo FX'!$A:$A,0)),0,IF(FN$1&lt;INDEX('Valo FX'!$R:$R,MATCH($A9,'Valo FX'!$A:$A,0)),INDEX(Base!$U:$U,MATCH($A9,Base!$A:$A,0)),IF(FN$1=INDEX('Valo FX'!$R:$R,MATCH($A9,'Valo FX'!$A:$A,0)),INDEX(Base!$V:$V,MATCH($A9,Base!$A:$A,0)),0)))</f>
        <v>6.1098939999999997</v>
      </c>
      <c r="FO9" s="21">
        <f>IF(FO$1&lt;INDEX('Valo FX'!$Q:$Q,MATCH($A9,'Valo FX'!$A:$A,0)),0,IF(FO$1&lt;INDEX('Valo FX'!$R:$R,MATCH($A9,'Valo FX'!$A:$A,0)),INDEX(Base!$U:$U,MATCH($A9,Base!$A:$A,0)),IF(FO$1=INDEX('Valo FX'!$R:$R,MATCH($A9,'Valo FX'!$A:$A,0)),INDEX(Base!$V:$V,MATCH($A9,Base!$A:$A,0)),0)))</f>
        <v>6.1098939999999997</v>
      </c>
      <c r="FP9" s="21">
        <f>IF(FP$1&lt;INDEX('Valo FX'!$Q:$Q,MATCH($A9,'Valo FX'!$A:$A,0)),0,IF(FP$1&lt;INDEX('Valo FX'!$R:$R,MATCH($A9,'Valo FX'!$A:$A,0)),INDEX(Base!$U:$U,MATCH($A9,Base!$A:$A,0)),IF(FP$1=INDEX('Valo FX'!$R:$R,MATCH($A9,'Valo FX'!$A:$A,0)),INDEX(Base!$V:$V,MATCH($A9,Base!$A:$A,0)),0)))</f>
        <v>6.1098939999999997</v>
      </c>
      <c r="FQ9" s="21">
        <f>IF(FQ$1&lt;INDEX('Valo FX'!$Q:$Q,MATCH($A9,'Valo FX'!$A:$A,0)),0,IF(FQ$1&lt;INDEX('Valo FX'!$R:$R,MATCH($A9,'Valo FX'!$A:$A,0)),INDEX(Base!$U:$U,MATCH($A9,Base!$A:$A,0)),IF(FQ$1=INDEX('Valo FX'!$R:$R,MATCH($A9,'Valo FX'!$A:$A,0)),INDEX(Base!$V:$V,MATCH($A9,Base!$A:$A,0)),0)))</f>
        <v>6.1098939999999997</v>
      </c>
      <c r="FR9" s="21">
        <f>IF(FR$1&lt;INDEX('Valo FX'!$Q:$Q,MATCH($A9,'Valo FX'!$A:$A,0)),0,IF(FR$1&lt;INDEX('Valo FX'!$R:$R,MATCH($A9,'Valo FX'!$A:$A,0)),INDEX(Base!$U:$U,MATCH($A9,Base!$A:$A,0)),IF(FR$1=INDEX('Valo FX'!$R:$R,MATCH($A9,'Valo FX'!$A:$A,0)),INDEX(Base!$V:$V,MATCH($A9,Base!$A:$A,0)),0)))</f>
        <v>6.1098939999999997</v>
      </c>
      <c r="FS9" s="21">
        <f>IF(FS$1&lt;INDEX('Valo FX'!$Q:$Q,MATCH($A9,'Valo FX'!$A:$A,0)),0,IF(FS$1&lt;INDEX('Valo FX'!$R:$R,MATCH($A9,'Valo FX'!$A:$A,0)),INDEX(Base!$U:$U,MATCH($A9,Base!$A:$A,0)),IF(FS$1=INDEX('Valo FX'!$R:$R,MATCH($A9,'Valo FX'!$A:$A,0)),INDEX(Base!$V:$V,MATCH($A9,Base!$A:$A,0)),0)))</f>
        <v>6.1098939999999997</v>
      </c>
      <c r="FT9" s="21">
        <f>IF(FT$1&lt;INDEX('Valo FX'!$Q:$Q,MATCH($A9,'Valo FX'!$A:$A,0)),0,IF(FT$1&lt;INDEX('Valo FX'!$R:$R,MATCH($A9,'Valo FX'!$A:$A,0)),INDEX(Base!$U:$U,MATCH($A9,Base!$A:$A,0)),IF(FT$1=INDEX('Valo FX'!$R:$R,MATCH($A9,'Valo FX'!$A:$A,0)),INDEX(Base!$V:$V,MATCH($A9,Base!$A:$A,0)),0)))</f>
        <v>6.1098939999999997</v>
      </c>
      <c r="FU9" s="21">
        <f>IF(FU$1&lt;INDEX('Valo FX'!$Q:$Q,MATCH($A9,'Valo FX'!$A:$A,0)),0,IF(FU$1&lt;INDEX('Valo FX'!$R:$R,MATCH($A9,'Valo FX'!$A:$A,0)),INDEX(Base!$U:$U,MATCH($A9,Base!$A:$A,0)),IF(FU$1=INDEX('Valo FX'!$R:$R,MATCH($A9,'Valo FX'!$A:$A,0)),INDEX(Base!$V:$V,MATCH($A9,Base!$A:$A,0)),0)))</f>
        <v>6.1098939999999997</v>
      </c>
      <c r="FV9" s="21">
        <f>IF(FV$1&lt;INDEX('Valo FX'!$Q:$Q,MATCH($A9,'Valo FX'!$A:$A,0)),0,IF(FV$1&lt;INDEX('Valo FX'!$R:$R,MATCH($A9,'Valo FX'!$A:$A,0)),INDEX(Base!$U:$U,MATCH($A9,Base!$A:$A,0)),IF(FV$1=INDEX('Valo FX'!$R:$R,MATCH($A9,'Valo FX'!$A:$A,0)),INDEX(Base!$V:$V,MATCH($A9,Base!$A:$A,0)),0)))</f>
        <v>6.1098939999999997</v>
      </c>
      <c r="FW9" s="21">
        <f>IF(FW$1&lt;INDEX('Valo FX'!$Q:$Q,MATCH($A9,'Valo FX'!$A:$A,0)),0,IF(FW$1&lt;INDEX('Valo FX'!$R:$R,MATCH($A9,'Valo FX'!$A:$A,0)),INDEX(Base!$U:$U,MATCH($A9,Base!$A:$A,0)),IF(FW$1=INDEX('Valo FX'!$R:$R,MATCH($A9,'Valo FX'!$A:$A,0)),INDEX(Base!$V:$V,MATCH($A9,Base!$A:$A,0)),0)))</f>
        <v>6.1098939999999997</v>
      </c>
      <c r="FX9" s="21">
        <f>IF(FX$1&lt;INDEX('Valo FX'!$Q:$Q,MATCH($A9,'Valo FX'!$A:$A,0)),0,IF(FX$1&lt;INDEX('Valo FX'!$R:$R,MATCH($A9,'Valo FX'!$A:$A,0)),INDEX(Base!$U:$U,MATCH($A9,Base!$A:$A,0)),IF(FX$1=INDEX('Valo FX'!$R:$R,MATCH($A9,'Valo FX'!$A:$A,0)),INDEX(Base!$V:$V,MATCH($A9,Base!$A:$A,0)),0)))</f>
        <v>6.1098939999999997</v>
      </c>
      <c r="FY9" s="21">
        <f>IF(FY$1&lt;INDEX('Valo FX'!$Q:$Q,MATCH($A9,'Valo FX'!$A:$A,0)),0,IF(FY$1&lt;INDEX('Valo FX'!$R:$R,MATCH($A9,'Valo FX'!$A:$A,0)),INDEX(Base!$U:$U,MATCH($A9,Base!$A:$A,0)),IF(FY$1=INDEX('Valo FX'!$R:$R,MATCH($A9,'Valo FX'!$A:$A,0)),INDEX(Base!$V:$V,MATCH($A9,Base!$A:$A,0)),0)))</f>
        <v>6.1098939999999997</v>
      </c>
      <c r="FZ9" s="21">
        <f>IF(FZ$1&lt;INDEX('Valo FX'!$Q:$Q,MATCH($A9,'Valo FX'!$A:$A,0)),0,IF(FZ$1&lt;INDEX('Valo FX'!$R:$R,MATCH($A9,'Valo FX'!$A:$A,0)),INDEX(Base!$U:$U,MATCH($A9,Base!$A:$A,0)),IF(FZ$1=INDEX('Valo FX'!$R:$R,MATCH($A9,'Valo FX'!$A:$A,0)),INDEX(Base!$V:$V,MATCH($A9,Base!$A:$A,0)),0)))</f>
        <v>6.1098939999999997</v>
      </c>
      <c r="GA9" s="21">
        <f>IF(GA$1&lt;INDEX('Valo FX'!$Q:$Q,MATCH($A9,'Valo FX'!$A:$A,0)),0,IF(GA$1&lt;INDEX('Valo FX'!$R:$R,MATCH($A9,'Valo FX'!$A:$A,0)),INDEX(Base!$U:$U,MATCH($A9,Base!$A:$A,0)),IF(GA$1=INDEX('Valo FX'!$R:$R,MATCH($A9,'Valo FX'!$A:$A,0)),INDEX(Base!$V:$V,MATCH($A9,Base!$A:$A,0)),0)))</f>
        <v>6.1098939999999997</v>
      </c>
      <c r="GB9" s="21">
        <f>IF(GB$1&lt;INDEX('Valo FX'!$Q:$Q,MATCH($A9,'Valo FX'!$A:$A,0)),0,IF(GB$1&lt;INDEX('Valo FX'!$R:$R,MATCH($A9,'Valo FX'!$A:$A,0)),INDEX(Base!$U:$U,MATCH($A9,Base!$A:$A,0)),IF(GB$1=INDEX('Valo FX'!$R:$R,MATCH($A9,'Valo FX'!$A:$A,0)),INDEX(Base!$V:$V,MATCH($A9,Base!$A:$A,0)),0)))</f>
        <v>6.1098939999999997</v>
      </c>
      <c r="GC9" s="21">
        <f>IF(GC$1&lt;INDEX('Valo FX'!$Q:$Q,MATCH($A9,'Valo FX'!$A:$A,0)),0,IF(GC$1&lt;INDEX('Valo FX'!$R:$R,MATCH($A9,'Valo FX'!$A:$A,0)),INDEX(Base!$U:$U,MATCH($A9,Base!$A:$A,0)),IF(GC$1=INDEX('Valo FX'!$R:$R,MATCH($A9,'Valo FX'!$A:$A,0)),INDEX(Base!$V:$V,MATCH($A9,Base!$A:$A,0)),0)))</f>
        <v>6.1098939999999997</v>
      </c>
      <c r="GD9" s="21">
        <f>IF(GD$1&lt;INDEX('Valo FX'!$Q:$Q,MATCH($A9,'Valo FX'!$A:$A,0)),0,IF(GD$1&lt;INDEX('Valo FX'!$R:$R,MATCH($A9,'Valo FX'!$A:$A,0)),INDEX(Base!$U:$U,MATCH($A9,Base!$A:$A,0)),IF(GD$1=INDEX('Valo FX'!$R:$R,MATCH($A9,'Valo FX'!$A:$A,0)),INDEX(Base!$V:$V,MATCH($A9,Base!$A:$A,0)),0)))</f>
        <v>6.1098939999999997</v>
      </c>
      <c r="GE9" s="21">
        <f>IF(GE$1&lt;INDEX('Valo FX'!$Q:$Q,MATCH($A9,'Valo FX'!$A:$A,0)),0,IF(GE$1&lt;INDEX('Valo FX'!$R:$R,MATCH($A9,'Valo FX'!$A:$A,0)),INDEX(Base!$U:$U,MATCH($A9,Base!$A:$A,0)),IF(GE$1=INDEX('Valo FX'!$R:$R,MATCH($A9,'Valo FX'!$A:$A,0)),INDEX(Base!$V:$V,MATCH($A9,Base!$A:$A,0)),0)))</f>
        <v>6.1098939999999997</v>
      </c>
      <c r="GF9" s="21">
        <f>IF(GF$1&lt;INDEX('Valo FX'!$Q:$Q,MATCH($A9,'Valo FX'!$A:$A,0)),0,IF(GF$1&lt;INDEX('Valo FX'!$R:$R,MATCH($A9,'Valo FX'!$A:$A,0)),INDEX(Base!$U:$U,MATCH($A9,Base!$A:$A,0)),IF(GF$1=INDEX('Valo FX'!$R:$R,MATCH($A9,'Valo FX'!$A:$A,0)),INDEX(Base!$V:$V,MATCH($A9,Base!$A:$A,0)),0)))</f>
        <v>6.1098939999999997</v>
      </c>
      <c r="GG9" s="21">
        <f>IF(GG$1&lt;INDEX('Valo FX'!$Q:$Q,MATCH($A9,'Valo FX'!$A:$A,0)),0,IF(GG$1&lt;INDEX('Valo FX'!$R:$R,MATCH($A9,'Valo FX'!$A:$A,0)),INDEX(Base!$U:$U,MATCH($A9,Base!$A:$A,0)),IF(GG$1=INDEX('Valo FX'!$R:$R,MATCH($A9,'Valo FX'!$A:$A,0)),INDEX(Base!$V:$V,MATCH($A9,Base!$A:$A,0)),0)))</f>
        <v>6.1098939999999997</v>
      </c>
      <c r="GH9" s="21">
        <f>IF(GH$1&lt;INDEX('Valo FX'!$Q:$Q,MATCH($A9,'Valo FX'!$A:$A,0)),0,IF(GH$1&lt;INDEX('Valo FX'!$R:$R,MATCH($A9,'Valo FX'!$A:$A,0)),INDEX(Base!$U:$U,MATCH($A9,Base!$A:$A,0)),IF(GH$1=INDEX('Valo FX'!$R:$R,MATCH($A9,'Valo FX'!$A:$A,0)),INDEX(Base!$V:$V,MATCH($A9,Base!$A:$A,0)),0)))</f>
        <v>6.1098939999999997</v>
      </c>
      <c r="GI9" s="21">
        <f>IF(GI$1&lt;INDEX('Valo FX'!$Q:$Q,MATCH($A9,'Valo FX'!$A:$A,0)),0,IF(GI$1&lt;INDEX('Valo FX'!$R:$R,MATCH($A9,'Valo FX'!$A:$A,0)),INDEX(Base!$U:$U,MATCH($A9,Base!$A:$A,0)),IF(GI$1=INDEX('Valo FX'!$R:$R,MATCH($A9,'Valo FX'!$A:$A,0)),INDEX(Base!$V:$V,MATCH($A9,Base!$A:$A,0)),0)))</f>
        <v>6.1098939999999997</v>
      </c>
      <c r="GJ9" s="21">
        <f>IF(GJ$1&lt;INDEX('Valo FX'!$Q:$Q,MATCH($A9,'Valo FX'!$A:$A,0)),0,IF(GJ$1&lt;INDEX('Valo FX'!$R:$R,MATCH($A9,'Valo FX'!$A:$A,0)),INDEX(Base!$U:$U,MATCH($A9,Base!$A:$A,0)),IF(GJ$1=INDEX('Valo FX'!$R:$R,MATCH($A9,'Valo FX'!$A:$A,0)),INDEX(Base!$V:$V,MATCH($A9,Base!$A:$A,0)),0)))</f>
        <v>6.1098939999999997</v>
      </c>
      <c r="GK9" s="21">
        <f>IF(GK$1&lt;INDEX('Valo FX'!$Q:$Q,MATCH($A9,'Valo FX'!$A:$A,0)),0,IF(GK$1&lt;INDEX('Valo FX'!$R:$R,MATCH($A9,'Valo FX'!$A:$A,0)),INDEX(Base!$U:$U,MATCH($A9,Base!$A:$A,0)),IF(GK$1=INDEX('Valo FX'!$R:$R,MATCH($A9,'Valo FX'!$A:$A,0)),INDEX(Base!$V:$V,MATCH($A9,Base!$A:$A,0)),0)))</f>
        <v>6.1098939999999997</v>
      </c>
      <c r="GL9" s="21">
        <f>IF(GL$1&lt;INDEX('Valo FX'!$Q:$Q,MATCH($A9,'Valo FX'!$A:$A,0)),0,IF(GL$1&lt;INDEX('Valo FX'!$R:$R,MATCH($A9,'Valo FX'!$A:$A,0)),INDEX(Base!$U:$U,MATCH($A9,Base!$A:$A,0)),IF(GL$1=INDEX('Valo FX'!$R:$R,MATCH($A9,'Valo FX'!$A:$A,0)),INDEX(Base!$V:$V,MATCH($A9,Base!$A:$A,0)),0)))</f>
        <v>6.1098939999999997</v>
      </c>
      <c r="GM9" s="21">
        <f>IF(GM$1&lt;INDEX('Valo FX'!$Q:$Q,MATCH($A9,'Valo FX'!$A:$A,0)),0,IF(GM$1&lt;INDEX('Valo FX'!$R:$R,MATCH($A9,'Valo FX'!$A:$A,0)),INDEX(Base!$U:$U,MATCH($A9,Base!$A:$A,0)),IF(GM$1=INDEX('Valo FX'!$R:$R,MATCH($A9,'Valo FX'!$A:$A,0)),INDEX(Base!$V:$V,MATCH($A9,Base!$A:$A,0)),0)))</f>
        <v>6.1098939999999997</v>
      </c>
      <c r="GN9" s="21">
        <f>IF(GN$1&lt;INDEX('Valo FX'!$Q:$Q,MATCH($A9,'Valo FX'!$A:$A,0)),0,IF(GN$1&lt;INDEX('Valo FX'!$R:$R,MATCH($A9,'Valo FX'!$A:$A,0)),INDEX(Base!$U:$U,MATCH($A9,Base!$A:$A,0)),IF(GN$1=INDEX('Valo FX'!$R:$R,MATCH($A9,'Valo FX'!$A:$A,0)),INDEX(Base!$V:$V,MATCH($A9,Base!$A:$A,0)),0)))</f>
        <v>6.1098939999999997</v>
      </c>
      <c r="GO9" s="21">
        <f>IF(GO$1&lt;INDEX('Valo FX'!$Q:$Q,MATCH($A9,'Valo FX'!$A:$A,0)),0,IF(GO$1&lt;INDEX('Valo FX'!$R:$R,MATCH($A9,'Valo FX'!$A:$A,0)),INDEX(Base!$U:$U,MATCH($A9,Base!$A:$A,0)),IF(GO$1=INDEX('Valo FX'!$R:$R,MATCH($A9,'Valo FX'!$A:$A,0)),INDEX(Base!$V:$V,MATCH($A9,Base!$A:$A,0)),0)))</f>
        <v>6.1098939999999997</v>
      </c>
      <c r="GP9" s="21">
        <f>IF(GP$1&lt;INDEX('Valo FX'!$Q:$Q,MATCH($A9,'Valo FX'!$A:$A,0)),0,IF(GP$1&lt;INDEX('Valo FX'!$R:$R,MATCH($A9,'Valo FX'!$A:$A,0)),INDEX(Base!$U:$U,MATCH($A9,Base!$A:$A,0)),IF(GP$1=INDEX('Valo FX'!$R:$R,MATCH($A9,'Valo FX'!$A:$A,0)),INDEX(Base!$V:$V,MATCH($A9,Base!$A:$A,0)),0)))</f>
        <v>6.1098939999999997</v>
      </c>
      <c r="GQ9" s="21">
        <f>IF(GQ$1&lt;INDEX('Valo FX'!$Q:$Q,MATCH($A9,'Valo FX'!$A:$A,0)),0,IF(GQ$1&lt;INDEX('Valo FX'!$R:$R,MATCH($A9,'Valo FX'!$A:$A,0)),INDEX(Base!$U:$U,MATCH($A9,Base!$A:$A,0)),IF(GQ$1=INDEX('Valo FX'!$R:$R,MATCH($A9,'Valo FX'!$A:$A,0)),INDEX(Base!$V:$V,MATCH($A9,Base!$A:$A,0)),0)))</f>
        <v>6.1098939999999997</v>
      </c>
      <c r="GR9" s="21">
        <f>IF(GR$1&lt;INDEX('Valo FX'!$Q:$Q,MATCH($A9,'Valo FX'!$A:$A,0)),0,IF(GR$1&lt;INDEX('Valo FX'!$R:$R,MATCH($A9,'Valo FX'!$A:$A,0)),INDEX(Base!$U:$U,MATCH($A9,Base!$A:$A,0)),IF(GR$1=INDEX('Valo FX'!$R:$R,MATCH($A9,'Valo FX'!$A:$A,0)),INDEX(Base!$V:$V,MATCH($A9,Base!$A:$A,0)),0)))</f>
        <v>6.1098939999999997</v>
      </c>
      <c r="GS9" s="21">
        <f>IF(GS$1&lt;INDEX('Valo FX'!$Q:$Q,MATCH($A9,'Valo FX'!$A:$A,0)),0,IF(GS$1&lt;INDEX('Valo FX'!$R:$R,MATCH($A9,'Valo FX'!$A:$A,0)),INDEX(Base!$U:$U,MATCH($A9,Base!$A:$A,0)),IF(GS$1=INDEX('Valo FX'!$R:$R,MATCH($A9,'Valo FX'!$A:$A,0)),INDEX(Base!$V:$V,MATCH($A9,Base!$A:$A,0)),0)))</f>
        <v>6.1098939999999997</v>
      </c>
      <c r="GT9" s="21">
        <f>IF(GT$1&lt;INDEX('Valo FX'!$Q:$Q,MATCH($A9,'Valo FX'!$A:$A,0)),0,IF(GT$1&lt;INDEX('Valo FX'!$R:$R,MATCH($A9,'Valo FX'!$A:$A,0)),INDEX(Base!$U:$U,MATCH($A9,Base!$A:$A,0)),IF(GT$1=INDEX('Valo FX'!$R:$R,MATCH($A9,'Valo FX'!$A:$A,0)),INDEX(Base!$V:$V,MATCH($A9,Base!$A:$A,0)),0)))</f>
        <v>6.1098939999999997</v>
      </c>
      <c r="GU9" s="21">
        <f>IF(GU$1&lt;INDEX('Valo FX'!$Q:$Q,MATCH($A9,'Valo FX'!$A:$A,0)),0,IF(GU$1&lt;INDEX('Valo FX'!$R:$R,MATCH($A9,'Valo FX'!$A:$A,0)),INDEX(Base!$U:$U,MATCH($A9,Base!$A:$A,0)),IF(GU$1=INDEX('Valo FX'!$R:$R,MATCH($A9,'Valo FX'!$A:$A,0)),INDEX(Base!$V:$V,MATCH($A9,Base!$A:$A,0)),0)))</f>
        <v>6.1098939999999997</v>
      </c>
      <c r="GV9" s="21">
        <f>IF(GV$1&lt;INDEX('Valo FX'!$Q:$Q,MATCH($A9,'Valo FX'!$A:$A,0)),0,IF(GV$1&lt;INDEX('Valo FX'!$R:$R,MATCH($A9,'Valo FX'!$A:$A,0)),INDEX(Base!$U:$U,MATCH($A9,Base!$A:$A,0)),IF(GV$1=INDEX('Valo FX'!$R:$R,MATCH($A9,'Valo FX'!$A:$A,0)),INDEX(Base!$V:$V,MATCH($A9,Base!$A:$A,0)),0)))</f>
        <v>6.1098939999999997</v>
      </c>
      <c r="GW9" s="21">
        <f>IF(GW$1&lt;INDEX('Valo FX'!$Q:$Q,MATCH($A9,'Valo FX'!$A:$A,0)),0,IF(GW$1&lt;INDEX('Valo FX'!$R:$R,MATCH($A9,'Valo FX'!$A:$A,0)),INDEX(Base!$U:$U,MATCH($A9,Base!$A:$A,0)),IF(GW$1=INDEX('Valo FX'!$R:$R,MATCH($A9,'Valo FX'!$A:$A,0)),INDEX(Base!$V:$V,MATCH($A9,Base!$A:$A,0)),0)))</f>
        <v>6.1098939999999997</v>
      </c>
      <c r="GX9" s="21">
        <f>IF(GX$1&lt;INDEX('Valo FX'!$Q:$Q,MATCH($A9,'Valo FX'!$A:$A,0)),0,IF(GX$1&lt;INDEX('Valo FX'!$R:$R,MATCH($A9,'Valo FX'!$A:$A,0)),INDEX(Base!$U:$U,MATCH($A9,Base!$A:$A,0)),IF(GX$1=INDEX('Valo FX'!$R:$R,MATCH($A9,'Valo FX'!$A:$A,0)),INDEX(Base!$V:$V,MATCH($A9,Base!$A:$A,0)),0)))</f>
        <v>6.1098939999999997</v>
      </c>
      <c r="GY9" s="21">
        <f>IF(GY$1&lt;INDEX('Valo FX'!$Q:$Q,MATCH($A9,'Valo FX'!$A:$A,0)),0,IF(GY$1&lt;INDEX('Valo FX'!$R:$R,MATCH($A9,'Valo FX'!$A:$A,0)),INDEX(Base!$U:$U,MATCH($A9,Base!$A:$A,0)),IF(GY$1=INDEX('Valo FX'!$R:$R,MATCH($A9,'Valo FX'!$A:$A,0)),INDEX(Base!$V:$V,MATCH($A9,Base!$A:$A,0)),0)))</f>
        <v>6.1098939999999997</v>
      </c>
      <c r="GZ9" s="21">
        <f>IF(GZ$1&lt;INDEX('Valo FX'!$Q:$Q,MATCH($A9,'Valo FX'!$A:$A,0)),0,IF(GZ$1&lt;INDEX('Valo FX'!$R:$R,MATCH($A9,'Valo FX'!$A:$A,0)),INDEX(Base!$U:$U,MATCH($A9,Base!$A:$A,0)),IF(GZ$1=INDEX('Valo FX'!$R:$R,MATCH($A9,'Valo FX'!$A:$A,0)),INDEX(Base!$V:$V,MATCH($A9,Base!$A:$A,0)),0)))</f>
        <v>6.1098939999999997</v>
      </c>
      <c r="HA9" s="21">
        <f>IF(HA$1&lt;INDEX('Valo FX'!$Q:$Q,MATCH($A9,'Valo FX'!$A:$A,0)),0,IF(HA$1&lt;INDEX('Valo FX'!$R:$R,MATCH($A9,'Valo FX'!$A:$A,0)),INDEX(Base!$U:$U,MATCH($A9,Base!$A:$A,0)),IF(HA$1=INDEX('Valo FX'!$R:$R,MATCH($A9,'Valo FX'!$A:$A,0)),INDEX(Base!$V:$V,MATCH($A9,Base!$A:$A,0)),0)))</f>
        <v>6.1098939999999997</v>
      </c>
      <c r="HB9" s="21">
        <f>IF(HB$1&lt;INDEX('Valo FX'!$Q:$Q,MATCH($A9,'Valo FX'!$A:$A,0)),0,IF(HB$1&lt;INDEX('Valo FX'!$R:$R,MATCH($A9,'Valo FX'!$A:$A,0)),INDEX(Base!$U:$U,MATCH($A9,Base!$A:$A,0)),IF(HB$1=INDEX('Valo FX'!$R:$R,MATCH($A9,'Valo FX'!$A:$A,0)),INDEX(Base!$V:$V,MATCH($A9,Base!$A:$A,0)),0)))</f>
        <v>6.1098939999999997</v>
      </c>
      <c r="HC9" s="21">
        <f>IF(HC$1&lt;INDEX('Valo FX'!$Q:$Q,MATCH($A9,'Valo FX'!$A:$A,0)),0,IF(HC$1&lt;INDEX('Valo FX'!$R:$R,MATCH($A9,'Valo FX'!$A:$A,0)),INDEX(Base!$U:$U,MATCH($A9,Base!$A:$A,0)),IF(HC$1=INDEX('Valo FX'!$R:$R,MATCH($A9,'Valo FX'!$A:$A,0)),INDEX(Base!$V:$V,MATCH($A9,Base!$A:$A,0)),0)))</f>
        <v>6.1098939999999997</v>
      </c>
      <c r="HD9" s="21">
        <f>IF(HD$1&lt;INDEX('Valo FX'!$Q:$Q,MATCH($A9,'Valo FX'!$A:$A,0)),0,IF(HD$1&lt;INDEX('Valo FX'!$R:$R,MATCH($A9,'Valo FX'!$A:$A,0)),INDEX(Base!$U:$U,MATCH($A9,Base!$A:$A,0)),IF(HD$1=INDEX('Valo FX'!$R:$R,MATCH($A9,'Valo FX'!$A:$A,0)),INDEX(Base!$V:$V,MATCH($A9,Base!$A:$A,0)),0)))</f>
        <v>6.1098939999999997</v>
      </c>
      <c r="HE9" s="21">
        <f>IF(HE$1&lt;INDEX('Valo FX'!$Q:$Q,MATCH($A9,'Valo FX'!$A:$A,0)),0,IF(HE$1&lt;INDEX('Valo FX'!$R:$R,MATCH($A9,'Valo FX'!$A:$A,0)),INDEX(Base!$U:$U,MATCH($A9,Base!$A:$A,0)),IF(HE$1=INDEX('Valo FX'!$R:$R,MATCH($A9,'Valo FX'!$A:$A,0)),INDEX(Base!$V:$V,MATCH($A9,Base!$A:$A,0)),0)))</f>
        <v>6.1098939999999997</v>
      </c>
      <c r="HF9" s="21">
        <f>IF(HF$1&lt;INDEX('Valo FX'!$Q:$Q,MATCH($A9,'Valo FX'!$A:$A,0)),0,IF(HF$1&lt;INDEX('Valo FX'!$R:$R,MATCH($A9,'Valo FX'!$A:$A,0)),INDEX(Base!$U:$U,MATCH($A9,Base!$A:$A,0)),IF(HF$1=INDEX('Valo FX'!$R:$R,MATCH($A9,'Valo FX'!$A:$A,0)),INDEX(Base!$V:$V,MATCH($A9,Base!$A:$A,0)),0)))</f>
        <v>6.1098939999999997</v>
      </c>
      <c r="HG9" s="21">
        <f>IF(HG$1&lt;INDEX('Valo FX'!$Q:$Q,MATCH($A9,'Valo FX'!$A:$A,0)),0,IF(HG$1&lt;INDEX('Valo FX'!$R:$R,MATCH($A9,'Valo FX'!$A:$A,0)),INDEX(Base!$U:$U,MATCH($A9,Base!$A:$A,0)),IF(HG$1=INDEX('Valo FX'!$R:$R,MATCH($A9,'Valo FX'!$A:$A,0)),INDEX(Base!$V:$V,MATCH($A9,Base!$A:$A,0)),0)))</f>
        <v>6.1098939999999997</v>
      </c>
      <c r="HH9" s="21">
        <f>IF(HH$1&lt;INDEX('Valo FX'!$Q:$Q,MATCH($A9,'Valo FX'!$A:$A,0)),0,IF(HH$1&lt;INDEX('Valo FX'!$R:$R,MATCH($A9,'Valo FX'!$A:$A,0)),INDEX(Base!$U:$U,MATCH($A9,Base!$A:$A,0)),IF(HH$1=INDEX('Valo FX'!$R:$R,MATCH($A9,'Valo FX'!$A:$A,0)),INDEX(Base!$V:$V,MATCH($A9,Base!$A:$A,0)),0)))</f>
        <v>6.1098939999999997</v>
      </c>
      <c r="HI9" s="21">
        <f>IF(HI$1&lt;INDEX('Valo FX'!$Q:$Q,MATCH($A9,'Valo FX'!$A:$A,0)),0,IF(HI$1&lt;INDEX('Valo FX'!$R:$R,MATCH($A9,'Valo FX'!$A:$A,0)),INDEX(Base!$U:$U,MATCH($A9,Base!$A:$A,0)),IF(HI$1=INDEX('Valo FX'!$R:$R,MATCH($A9,'Valo FX'!$A:$A,0)),INDEX(Base!$V:$V,MATCH($A9,Base!$A:$A,0)),0)))</f>
        <v>6.1098939999999997</v>
      </c>
      <c r="HJ9" s="21">
        <f>IF(HJ$1&lt;INDEX('Valo FX'!$Q:$Q,MATCH($A9,'Valo FX'!$A:$A,0)),0,IF(HJ$1&lt;INDEX('Valo FX'!$R:$R,MATCH($A9,'Valo FX'!$A:$A,0)),INDEX(Base!$U:$U,MATCH($A9,Base!$A:$A,0)),IF(HJ$1=INDEX('Valo FX'!$R:$R,MATCH($A9,'Valo FX'!$A:$A,0)),INDEX(Base!$V:$V,MATCH($A9,Base!$A:$A,0)),0)))</f>
        <v>6.1098939999999997</v>
      </c>
      <c r="HK9" s="21">
        <f>IF(HK$1&lt;INDEX('Valo FX'!$Q:$Q,MATCH($A9,'Valo FX'!$A:$A,0)),0,IF(HK$1&lt;INDEX('Valo FX'!$R:$R,MATCH($A9,'Valo FX'!$A:$A,0)),INDEX(Base!$U:$U,MATCH($A9,Base!$A:$A,0)),IF(HK$1=INDEX('Valo FX'!$R:$R,MATCH($A9,'Valo FX'!$A:$A,0)),INDEX(Base!$V:$V,MATCH($A9,Base!$A:$A,0)),0)))</f>
        <v>6.1098939999999997</v>
      </c>
      <c r="HL9" s="21">
        <f>IF(HL$1&lt;INDEX('Valo FX'!$Q:$Q,MATCH($A9,'Valo FX'!$A:$A,0)),0,IF(HL$1&lt;INDEX('Valo FX'!$R:$R,MATCH($A9,'Valo FX'!$A:$A,0)),INDEX(Base!$U:$U,MATCH($A9,Base!$A:$A,0)),IF(HL$1=INDEX('Valo FX'!$R:$R,MATCH($A9,'Valo FX'!$A:$A,0)),INDEX(Base!$V:$V,MATCH($A9,Base!$A:$A,0)),0)))</f>
        <v>6.1098939999999997</v>
      </c>
      <c r="HM9" s="21">
        <f>IF(HM$1&lt;INDEX('Valo FX'!$Q:$Q,MATCH($A9,'Valo FX'!$A:$A,0)),0,IF(HM$1&lt;INDEX('Valo FX'!$R:$R,MATCH($A9,'Valo FX'!$A:$A,0)),INDEX(Base!$U:$U,MATCH($A9,Base!$A:$A,0)),IF(HM$1=INDEX('Valo FX'!$R:$R,MATCH($A9,'Valo FX'!$A:$A,0)),INDEX(Base!$V:$V,MATCH($A9,Base!$A:$A,0)),0)))</f>
        <v>6.1098939999999997</v>
      </c>
      <c r="HN9" s="21">
        <f>IF(HN$1&lt;INDEX('Valo FX'!$Q:$Q,MATCH($A9,'Valo FX'!$A:$A,0)),0,IF(HN$1&lt;INDEX('Valo FX'!$R:$R,MATCH($A9,'Valo FX'!$A:$A,0)),INDEX(Base!$U:$U,MATCH($A9,Base!$A:$A,0)),IF(HN$1=INDEX('Valo FX'!$R:$R,MATCH($A9,'Valo FX'!$A:$A,0)),INDEX(Base!$V:$V,MATCH($A9,Base!$A:$A,0)),0)))</f>
        <v>6.1098939999999997</v>
      </c>
      <c r="HO9" s="21">
        <f>IF(HO$1&lt;INDEX('Valo FX'!$Q:$Q,MATCH($A9,'Valo FX'!$A:$A,0)),0,IF(HO$1&lt;INDEX('Valo FX'!$R:$R,MATCH($A9,'Valo FX'!$A:$A,0)),INDEX(Base!$U:$U,MATCH($A9,Base!$A:$A,0)),IF(HO$1=INDEX('Valo FX'!$R:$R,MATCH($A9,'Valo FX'!$A:$A,0)),INDEX(Base!$V:$V,MATCH($A9,Base!$A:$A,0)),0)))</f>
        <v>6.1098939999999997</v>
      </c>
      <c r="HP9" s="21">
        <f>IF(HP$1&lt;INDEX('Valo FX'!$Q:$Q,MATCH($A9,'Valo FX'!$A:$A,0)),0,IF(HP$1&lt;INDEX('Valo FX'!$R:$R,MATCH($A9,'Valo FX'!$A:$A,0)),INDEX(Base!$U:$U,MATCH($A9,Base!$A:$A,0)),IF(HP$1=INDEX('Valo FX'!$R:$R,MATCH($A9,'Valo FX'!$A:$A,0)),INDEX(Base!$V:$V,MATCH($A9,Base!$A:$A,0)),0)))</f>
        <v>6.1098939999999997</v>
      </c>
      <c r="HQ9" s="21">
        <f>IF(HQ$1&lt;INDEX('Valo FX'!$Q:$Q,MATCH($A9,'Valo FX'!$A:$A,0)),0,IF(HQ$1&lt;INDEX('Valo FX'!$R:$R,MATCH($A9,'Valo FX'!$A:$A,0)),INDEX(Base!$U:$U,MATCH($A9,Base!$A:$A,0)),IF(HQ$1=INDEX('Valo FX'!$R:$R,MATCH($A9,'Valo FX'!$A:$A,0)),INDEX(Base!$V:$V,MATCH($A9,Base!$A:$A,0)),0)))</f>
        <v>6.1098939999999997</v>
      </c>
      <c r="HR9" s="21">
        <f>IF(HR$1&lt;INDEX('Valo FX'!$Q:$Q,MATCH($A9,'Valo FX'!$A:$A,0)),0,IF(HR$1&lt;INDEX('Valo FX'!$R:$R,MATCH($A9,'Valo FX'!$A:$A,0)),INDEX(Base!$U:$U,MATCH($A9,Base!$A:$A,0)),IF(HR$1=INDEX('Valo FX'!$R:$R,MATCH($A9,'Valo FX'!$A:$A,0)),INDEX(Base!$V:$V,MATCH($A9,Base!$A:$A,0)),0)))</f>
        <v>6.1098939999999997</v>
      </c>
      <c r="HS9" s="21">
        <f>IF(HS$1&lt;INDEX('Valo FX'!$Q:$Q,MATCH($A9,'Valo FX'!$A:$A,0)),0,IF(HS$1&lt;INDEX('Valo FX'!$R:$R,MATCH($A9,'Valo FX'!$A:$A,0)),INDEX(Base!$U:$U,MATCH($A9,Base!$A:$A,0)),IF(HS$1=INDEX('Valo FX'!$R:$R,MATCH($A9,'Valo FX'!$A:$A,0)),INDEX(Base!$V:$V,MATCH($A9,Base!$A:$A,0)),0)))</f>
        <v>6.1098939999999997</v>
      </c>
      <c r="HT9" s="21">
        <f>IF(HT$1&lt;INDEX('Valo FX'!$Q:$Q,MATCH($A9,'Valo FX'!$A:$A,0)),0,IF(HT$1&lt;INDEX('Valo FX'!$R:$R,MATCH($A9,'Valo FX'!$A:$A,0)),INDEX(Base!$U:$U,MATCH($A9,Base!$A:$A,0)),IF(HT$1=INDEX('Valo FX'!$R:$R,MATCH($A9,'Valo FX'!$A:$A,0)),INDEX(Base!$V:$V,MATCH($A9,Base!$A:$A,0)),0)))</f>
        <v>6.1098939999999997</v>
      </c>
      <c r="HU9" s="21">
        <f>IF(HU$1&lt;INDEX('Valo FX'!$Q:$Q,MATCH($A9,'Valo FX'!$A:$A,0)),0,IF(HU$1&lt;INDEX('Valo FX'!$R:$R,MATCH($A9,'Valo FX'!$A:$A,0)),INDEX(Base!$U:$U,MATCH($A9,Base!$A:$A,0)),IF(HU$1=INDEX('Valo FX'!$R:$R,MATCH($A9,'Valo FX'!$A:$A,0)),INDEX(Base!$V:$V,MATCH($A9,Base!$A:$A,0)),0)))</f>
        <v>6.1098939999999997</v>
      </c>
      <c r="HV9" s="21">
        <f>IF(HV$1&lt;INDEX('Valo FX'!$Q:$Q,MATCH($A9,'Valo FX'!$A:$A,0)),0,IF(HV$1&lt;INDEX('Valo FX'!$R:$R,MATCH($A9,'Valo FX'!$A:$A,0)),INDEX(Base!$U:$U,MATCH($A9,Base!$A:$A,0)),IF(HV$1=INDEX('Valo FX'!$R:$R,MATCH($A9,'Valo FX'!$A:$A,0)),INDEX(Base!$V:$V,MATCH($A9,Base!$A:$A,0)),0)))</f>
        <v>6.1098939999999997</v>
      </c>
      <c r="HW9" s="21">
        <f>IF(HW$1&lt;INDEX('Valo FX'!$Q:$Q,MATCH($A9,'Valo FX'!$A:$A,0)),0,IF(HW$1&lt;INDEX('Valo FX'!$R:$R,MATCH($A9,'Valo FX'!$A:$A,0)),INDEX(Base!$U:$U,MATCH($A9,Base!$A:$A,0)),IF(HW$1=INDEX('Valo FX'!$R:$R,MATCH($A9,'Valo FX'!$A:$A,0)),INDEX(Base!$V:$V,MATCH($A9,Base!$A:$A,0)),0)))</f>
        <v>6.1098939999999997</v>
      </c>
      <c r="HX9" s="21">
        <f>IF(HX$1&lt;INDEX('Valo FX'!$Q:$Q,MATCH($A9,'Valo FX'!$A:$A,0)),0,IF(HX$1&lt;INDEX('Valo FX'!$R:$R,MATCH($A9,'Valo FX'!$A:$A,0)),INDEX(Base!$U:$U,MATCH($A9,Base!$A:$A,0)),IF(HX$1=INDEX('Valo FX'!$R:$R,MATCH($A9,'Valo FX'!$A:$A,0)),INDEX(Base!$V:$V,MATCH($A9,Base!$A:$A,0)),0)))</f>
        <v>6.1098939999999997</v>
      </c>
      <c r="HY9" s="21">
        <f>IF(HY$1&lt;INDEX('Valo FX'!$Q:$Q,MATCH($A9,'Valo FX'!$A:$A,0)),0,IF(HY$1&lt;INDEX('Valo FX'!$R:$R,MATCH($A9,'Valo FX'!$A:$A,0)),INDEX(Base!$U:$U,MATCH($A9,Base!$A:$A,0)),IF(HY$1=INDEX('Valo FX'!$R:$R,MATCH($A9,'Valo FX'!$A:$A,0)),INDEX(Base!$V:$V,MATCH($A9,Base!$A:$A,0)),0)))</f>
        <v>6.1098939999999997</v>
      </c>
      <c r="HZ9" s="21">
        <f>IF(HZ$1&lt;INDEX('Valo FX'!$Q:$Q,MATCH($A9,'Valo FX'!$A:$A,0)),0,IF(HZ$1&lt;INDEX('Valo FX'!$R:$R,MATCH($A9,'Valo FX'!$A:$A,0)),INDEX(Base!$U:$U,MATCH($A9,Base!$A:$A,0)),IF(HZ$1=INDEX('Valo FX'!$R:$R,MATCH($A9,'Valo FX'!$A:$A,0)),INDEX(Base!$V:$V,MATCH($A9,Base!$A:$A,0)),0)))</f>
        <v>6.1098939999999997</v>
      </c>
      <c r="IA9" s="21">
        <f>IF(IA$1&lt;INDEX('Valo FX'!$Q:$Q,MATCH($A9,'Valo FX'!$A:$A,0)),0,IF(IA$1&lt;INDEX('Valo FX'!$R:$R,MATCH($A9,'Valo FX'!$A:$A,0)),INDEX(Base!$U:$U,MATCH($A9,Base!$A:$A,0)),IF(IA$1=INDEX('Valo FX'!$R:$R,MATCH($A9,'Valo FX'!$A:$A,0)),INDEX(Base!$V:$V,MATCH($A9,Base!$A:$A,0)),0)))</f>
        <v>6.1098939999999997</v>
      </c>
      <c r="IB9" s="21">
        <f>IF(IB$1&lt;INDEX('Valo FX'!$Q:$Q,MATCH($A9,'Valo FX'!$A:$A,0)),0,IF(IB$1&lt;INDEX('Valo FX'!$R:$R,MATCH($A9,'Valo FX'!$A:$A,0)),INDEX(Base!$U:$U,MATCH($A9,Base!$A:$A,0)),IF(IB$1=INDEX('Valo FX'!$R:$R,MATCH($A9,'Valo FX'!$A:$A,0)),INDEX(Base!$V:$V,MATCH($A9,Base!$A:$A,0)),0)))</f>
        <v>6.1098939999999997</v>
      </c>
      <c r="IC9" s="21">
        <f>IF(IC$1&lt;INDEX('Valo FX'!$Q:$Q,MATCH($A9,'Valo FX'!$A:$A,0)),0,IF(IC$1&lt;INDEX('Valo FX'!$R:$R,MATCH($A9,'Valo FX'!$A:$A,0)),INDEX(Base!$U:$U,MATCH($A9,Base!$A:$A,0)),IF(IC$1=INDEX('Valo FX'!$R:$R,MATCH($A9,'Valo FX'!$A:$A,0)),INDEX(Base!$V:$V,MATCH($A9,Base!$A:$A,0)),0)))</f>
        <v>6.1098939999999997</v>
      </c>
      <c r="ID9" s="21">
        <f>IF(ID$1&lt;INDEX('Valo FX'!$Q:$Q,MATCH($A9,'Valo FX'!$A:$A,0)),0,IF(ID$1&lt;INDEX('Valo FX'!$R:$R,MATCH($A9,'Valo FX'!$A:$A,0)),INDEX(Base!$U:$U,MATCH($A9,Base!$A:$A,0)),IF(ID$1=INDEX('Valo FX'!$R:$R,MATCH($A9,'Valo FX'!$A:$A,0)),INDEX(Base!$V:$V,MATCH($A9,Base!$A:$A,0)),0)))</f>
        <v>6.1098939999999997</v>
      </c>
      <c r="IE9" s="21">
        <f>IF(IE$1&lt;INDEX('Valo FX'!$Q:$Q,MATCH($A9,'Valo FX'!$A:$A,0)),0,IF(IE$1&lt;INDEX('Valo FX'!$R:$R,MATCH($A9,'Valo FX'!$A:$A,0)),INDEX(Base!$U:$U,MATCH($A9,Base!$A:$A,0)),IF(IE$1=INDEX('Valo FX'!$R:$R,MATCH($A9,'Valo FX'!$A:$A,0)),INDEX(Base!$V:$V,MATCH($A9,Base!$A:$A,0)),0)))</f>
        <v>6.1098939999999997</v>
      </c>
      <c r="IF9" s="21">
        <f>IF(IF$1&lt;INDEX('Valo FX'!$Q:$Q,MATCH($A9,'Valo FX'!$A:$A,0)),0,IF(IF$1&lt;INDEX('Valo FX'!$R:$R,MATCH($A9,'Valo FX'!$A:$A,0)),INDEX(Base!$U:$U,MATCH($A9,Base!$A:$A,0)),IF(IF$1=INDEX('Valo FX'!$R:$R,MATCH($A9,'Valo FX'!$A:$A,0)),INDEX(Base!$V:$V,MATCH($A9,Base!$A:$A,0)),0)))</f>
        <v>6.1098939999999997</v>
      </c>
      <c r="IG9" s="21">
        <f>IF(IG$1&lt;INDEX('Valo FX'!$Q:$Q,MATCH($A9,'Valo FX'!$A:$A,0)),0,IF(IG$1&lt;INDEX('Valo FX'!$R:$R,MATCH($A9,'Valo FX'!$A:$A,0)),INDEX(Base!$U:$U,MATCH($A9,Base!$A:$A,0)),IF(IG$1=INDEX('Valo FX'!$R:$R,MATCH($A9,'Valo FX'!$A:$A,0)),INDEX(Base!$V:$V,MATCH($A9,Base!$A:$A,0)),0)))</f>
        <v>6.1098939999999997</v>
      </c>
      <c r="IH9" s="21">
        <f>IF(IH$1&lt;INDEX('Valo FX'!$Q:$Q,MATCH($A9,'Valo FX'!$A:$A,0)),0,IF(IH$1&lt;INDEX('Valo FX'!$R:$R,MATCH($A9,'Valo FX'!$A:$A,0)),INDEX(Base!$U:$U,MATCH($A9,Base!$A:$A,0)),IF(IH$1=INDEX('Valo FX'!$R:$R,MATCH($A9,'Valo FX'!$A:$A,0)),INDEX(Base!$V:$V,MATCH($A9,Base!$A:$A,0)),0)))</f>
        <v>6.1098939999999997</v>
      </c>
      <c r="II9" s="21">
        <f>IF(II$1&lt;INDEX('Valo FX'!$Q:$Q,MATCH($A9,'Valo FX'!$A:$A,0)),0,IF(II$1&lt;INDEX('Valo FX'!$R:$R,MATCH($A9,'Valo FX'!$A:$A,0)),INDEX(Base!$U:$U,MATCH($A9,Base!$A:$A,0)),IF(II$1=INDEX('Valo FX'!$R:$R,MATCH($A9,'Valo FX'!$A:$A,0)),INDEX(Base!$V:$V,MATCH($A9,Base!$A:$A,0)),0)))</f>
        <v>6.1098939999999997</v>
      </c>
      <c r="IJ9" s="21">
        <f>IF(IJ$1&lt;INDEX('Valo FX'!$Q:$Q,MATCH($A9,'Valo FX'!$A:$A,0)),0,IF(IJ$1&lt;INDEX('Valo FX'!$R:$R,MATCH($A9,'Valo FX'!$A:$A,0)),INDEX(Base!$U:$U,MATCH($A9,Base!$A:$A,0)),IF(IJ$1=INDEX('Valo FX'!$R:$R,MATCH($A9,'Valo FX'!$A:$A,0)),INDEX(Base!$V:$V,MATCH($A9,Base!$A:$A,0)),0)))</f>
        <v>6.1098939999999997</v>
      </c>
      <c r="IK9" s="21">
        <f>IF(IK$1&lt;INDEX('Valo FX'!$Q:$Q,MATCH($A9,'Valo FX'!$A:$A,0)),0,IF(IK$1&lt;INDEX('Valo FX'!$R:$R,MATCH($A9,'Valo FX'!$A:$A,0)),INDEX(Base!$U:$U,MATCH($A9,Base!$A:$A,0)),IF(IK$1=INDEX('Valo FX'!$R:$R,MATCH($A9,'Valo FX'!$A:$A,0)),INDEX(Base!$V:$V,MATCH($A9,Base!$A:$A,0)),0)))</f>
        <v>6.1098939999999997</v>
      </c>
      <c r="IL9" s="21">
        <f>IF(IL$1&lt;INDEX('Valo FX'!$Q:$Q,MATCH($A9,'Valo FX'!$A:$A,0)),0,IF(IL$1&lt;INDEX('Valo FX'!$R:$R,MATCH($A9,'Valo FX'!$A:$A,0)),INDEX(Base!$U:$U,MATCH($A9,Base!$A:$A,0)),IF(IL$1=INDEX('Valo FX'!$R:$R,MATCH($A9,'Valo FX'!$A:$A,0)),INDEX(Base!$V:$V,MATCH($A9,Base!$A:$A,0)),0)))</f>
        <v>6.1098939999999997</v>
      </c>
      <c r="IM9" s="21">
        <f>IF(IM$1&lt;INDEX('Valo FX'!$Q:$Q,MATCH($A9,'Valo FX'!$A:$A,0)),0,IF(IM$1&lt;INDEX('Valo FX'!$R:$R,MATCH($A9,'Valo FX'!$A:$A,0)),INDEX(Base!$U:$U,MATCH($A9,Base!$A:$A,0)),IF(IM$1=INDEX('Valo FX'!$R:$R,MATCH($A9,'Valo FX'!$A:$A,0)),INDEX(Base!$V:$V,MATCH($A9,Base!$A:$A,0)),0)))</f>
        <v>6.1098939999999997</v>
      </c>
      <c r="IN9" s="21">
        <f>IF(IN$1&lt;INDEX('Valo FX'!$Q:$Q,MATCH($A9,'Valo FX'!$A:$A,0)),0,IF(IN$1&lt;INDEX('Valo FX'!$R:$R,MATCH($A9,'Valo FX'!$A:$A,0)),INDEX(Base!$U:$U,MATCH($A9,Base!$A:$A,0)),IF(IN$1=INDEX('Valo FX'!$R:$R,MATCH($A9,'Valo FX'!$A:$A,0)),INDEX(Base!$V:$V,MATCH($A9,Base!$A:$A,0)),0)))</f>
        <v>6.1098939999999997</v>
      </c>
      <c r="IO9" s="21">
        <f>IF(IO$1&lt;INDEX('Valo FX'!$Q:$Q,MATCH($A9,'Valo FX'!$A:$A,0)),0,IF(IO$1&lt;INDEX('Valo FX'!$R:$R,MATCH($A9,'Valo FX'!$A:$A,0)),INDEX(Base!$U:$U,MATCH($A9,Base!$A:$A,0)),IF(IO$1=INDEX('Valo FX'!$R:$R,MATCH($A9,'Valo FX'!$A:$A,0)),INDEX(Base!$V:$V,MATCH($A9,Base!$A:$A,0)),0)))</f>
        <v>6.1098939999999997</v>
      </c>
      <c r="IP9" s="21">
        <f>IF(IP$1&lt;INDEX('Valo FX'!$Q:$Q,MATCH($A9,'Valo FX'!$A:$A,0)),0,IF(IP$1&lt;INDEX('Valo FX'!$R:$R,MATCH($A9,'Valo FX'!$A:$A,0)),INDEX(Base!$U:$U,MATCH($A9,Base!$A:$A,0)),IF(IP$1=INDEX('Valo FX'!$R:$R,MATCH($A9,'Valo FX'!$A:$A,0)),INDEX(Base!$V:$V,MATCH($A9,Base!$A:$A,0)),0)))</f>
        <v>6.1098939999999997</v>
      </c>
      <c r="IQ9" s="21">
        <f>IF(IQ$1&lt;INDEX('Valo FX'!$Q:$Q,MATCH($A9,'Valo FX'!$A:$A,0)),0,IF(IQ$1&lt;INDEX('Valo FX'!$R:$R,MATCH($A9,'Valo FX'!$A:$A,0)),INDEX(Base!$U:$U,MATCH($A9,Base!$A:$A,0)),IF(IQ$1=INDEX('Valo FX'!$R:$R,MATCH($A9,'Valo FX'!$A:$A,0)),INDEX(Base!$V:$V,MATCH($A9,Base!$A:$A,0)),0)))</f>
        <v>6.1098939999999997</v>
      </c>
      <c r="IR9" s="21">
        <f>IF(IR$1&lt;INDEX('Valo FX'!$Q:$Q,MATCH($A9,'Valo FX'!$A:$A,0)),0,IF(IR$1&lt;INDEX('Valo FX'!$R:$R,MATCH($A9,'Valo FX'!$A:$A,0)),INDEX(Base!$U:$U,MATCH($A9,Base!$A:$A,0)),IF(IR$1=INDEX('Valo FX'!$R:$R,MATCH($A9,'Valo FX'!$A:$A,0)),INDEX(Base!$V:$V,MATCH($A9,Base!$A:$A,0)),0)))</f>
        <v>6.1098939999999997</v>
      </c>
      <c r="IS9" s="21">
        <f>IF(IS$1&lt;INDEX('Valo FX'!$Q:$Q,MATCH($A9,'Valo FX'!$A:$A,0)),0,IF(IS$1&lt;INDEX('Valo FX'!$R:$R,MATCH($A9,'Valo FX'!$A:$A,0)),INDEX(Base!$U:$U,MATCH($A9,Base!$A:$A,0)),IF(IS$1=INDEX('Valo FX'!$R:$R,MATCH($A9,'Valo FX'!$A:$A,0)),INDEX(Base!$V:$V,MATCH($A9,Base!$A:$A,0)),0)))</f>
        <v>6.1098939999999997</v>
      </c>
      <c r="IT9" s="21">
        <f>IF(IT$1&lt;INDEX('Valo FX'!$Q:$Q,MATCH($A9,'Valo FX'!$A:$A,0)),0,IF(IT$1&lt;INDEX('Valo FX'!$R:$R,MATCH($A9,'Valo FX'!$A:$A,0)),INDEX(Base!$U:$U,MATCH($A9,Base!$A:$A,0)),IF(IT$1=INDEX('Valo FX'!$R:$R,MATCH($A9,'Valo FX'!$A:$A,0)),INDEX(Base!$V:$V,MATCH($A9,Base!$A:$A,0)),0)))</f>
        <v>6.1098939999999997</v>
      </c>
      <c r="IU9" s="21">
        <f>IF(IU$1&lt;INDEX('Valo FX'!$Q:$Q,MATCH($A9,'Valo FX'!$A:$A,0)),0,IF(IU$1&lt;INDEX('Valo FX'!$R:$R,MATCH($A9,'Valo FX'!$A:$A,0)),INDEX(Base!$U:$U,MATCH($A9,Base!$A:$A,0)),IF(IU$1=INDEX('Valo FX'!$R:$R,MATCH($A9,'Valo FX'!$A:$A,0)),INDEX(Base!$V:$V,MATCH($A9,Base!$A:$A,0)),0)))</f>
        <v>6.1098939999999997</v>
      </c>
      <c r="IV9" s="21">
        <f>IF(IV$1&lt;INDEX('Valo FX'!$Q:$Q,MATCH($A9,'Valo FX'!$A:$A,0)),0,IF(IV$1&lt;INDEX('Valo FX'!$R:$R,MATCH($A9,'Valo FX'!$A:$A,0)),INDEX(Base!$U:$U,MATCH($A9,Base!$A:$A,0)),IF(IV$1=INDEX('Valo FX'!$R:$R,MATCH($A9,'Valo FX'!$A:$A,0)),INDEX(Base!$V:$V,MATCH($A9,Base!$A:$A,0)),0)))</f>
        <v>6.1098939999999997</v>
      </c>
      <c r="IW9" s="21">
        <f>IF(IW$1&lt;INDEX('Valo FX'!$Q:$Q,MATCH($A9,'Valo FX'!$A:$A,0)),0,IF(IW$1&lt;INDEX('Valo FX'!$R:$R,MATCH($A9,'Valo FX'!$A:$A,0)),INDEX(Base!$U:$U,MATCH($A9,Base!$A:$A,0)),IF(IW$1=INDEX('Valo FX'!$R:$R,MATCH($A9,'Valo FX'!$A:$A,0)),INDEX(Base!$V:$V,MATCH($A9,Base!$A:$A,0)),0)))</f>
        <v>6.1098939999999997</v>
      </c>
      <c r="IX9" s="21">
        <f>IF(IX$1&lt;INDEX('Valo FX'!$Q:$Q,MATCH($A9,'Valo FX'!$A:$A,0)),0,IF(IX$1&lt;INDEX('Valo FX'!$R:$R,MATCH($A9,'Valo FX'!$A:$A,0)),INDEX(Base!$U:$U,MATCH($A9,Base!$A:$A,0)),IF(IX$1=INDEX('Valo FX'!$R:$R,MATCH($A9,'Valo FX'!$A:$A,0)),INDEX(Base!$V:$V,MATCH($A9,Base!$A:$A,0)),0)))</f>
        <v>6.1098939999999997</v>
      </c>
      <c r="IY9" s="21">
        <f>IF(IY$1&lt;INDEX('Valo FX'!$Q:$Q,MATCH($A9,'Valo FX'!$A:$A,0)),0,IF(IY$1&lt;INDEX('Valo FX'!$R:$R,MATCH($A9,'Valo FX'!$A:$A,0)),INDEX(Base!$U:$U,MATCH($A9,Base!$A:$A,0)),IF(IY$1=INDEX('Valo FX'!$R:$R,MATCH($A9,'Valo FX'!$A:$A,0)),INDEX(Base!$V:$V,MATCH($A9,Base!$A:$A,0)),0)))</f>
        <v>6.1098939999999997</v>
      </c>
      <c r="IZ9" s="21">
        <f>IF(IZ$1&lt;INDEX('Valo FX'!$Q:$Q,MATCH($A9,'Valo FX'!$A:$A,0)),0,IF(IZ$1&lt;INDEX('Valo FX'!$R:$R,MATCH($A9,'Valo FX'!$A:$A,0)),INDEX(Base!$U:$U,MATCH($A9,Base!$A:$A,0)),IF(IZ$1=INDEX('Valo FX'!$R:$R,MATCH($A9,'Valo FX'!$A:$A,0)),INDEX(Base!$V:$V,MATCH($A9,Base!$A:$A,0)),0)))</f>
        <v>6.1098939999999997</v>
      </c>
      <c r="JA9" s="21">
        <f>IF(JA$1&lt;INDEX('Valo FX'!$Q:$Q,MATCH($A9,'Valo FX'!$A:$A,0)),0,IF(JA$1&lt;INDEX('Valo FX'!$R:$R,MATCH($A9,'Valo FX'!$A:$A,0)),INDEX(Base!$U:$U,MATCH($A9,Base!$A:$A,0)),IF(JA$1=INDEX('Valo FX'!$R:$R,MATCH($A9,'Valo FX'!$A:$A,0)),INDEX(Base!$V:$V,MATCH($A9,Base!$A:$A,0)),0)))</f>
        <v>6.1098939999999997</v>
      </c>
      <c r="JB9" s="21">
        <f>IF(JB$1&lt;INDEX('Valo FX'!$Q:$Q,MATCH($A9,'Valo FX'!$A:$A,0)),0,IF(JB$1&lt;INDEX('Valo FX'!$R:$R,MATCH($A9,'Valo FX'!$A:$A,0)),INDEX(Base!$U:$U,MATCH($A9,Base!$A:$A,0)),IF(JB$1=INDEX('Valo FX'!$R:$R,MATCH($A9,'Valo FX'!$A:$A,0)),INDEX(Base!$V:$V,MATCH($A9,Base!$A:$A,0)),0)))</f>
        <v>6.1098939999999997</v>
      </c>
      <c r="JC9" s="21">
        <f>IF(JC$1&lt;INDEX('Valo FX'!$Q:$Q,MATCH($A9,'Valo FX'!$A:$A,0)),0,IF(JC$1&lt;INDEX('Valo FX'!$R:$R,MATCH($A9,'Valo FX'!$A:$A,0)),INDEX(Base!$U:$U,MATCH($A9,Base!$A:$A,0)),IF(JC$1=INDEX('Valo FX'!$R:$R,MATCH($A9,'Valo FX'!$A:$A,0)),INDEX(Base!$V:$V,MATCH($A9,Base!$A:$A,0)),0)))</f>
        <v>6.1098939999999997</v>
      </c>
      <c r="JD9" s="21">
        <f>IF(JD$1&lt;INDEX('Valo FX'!$Q:$Q,MATCH($A9,'Valo FX'!$A:$A,0)),0,IF(JD$1&lt;INDEX('Valo FX'!$R:$R,MATCH($A9,'Valo FX'!$A:$A,0)),INDEX(Base!$U:$U,MATCH($A9,Base!$A:$A,0)),IF(JD$1=INDEX('Valo FX'!$R:$R,MATCH($A9,'Valo FX'!$A:$A,0)),INDEX(Base!$V:$V,MATCH($A9,Base!$A:$A,0)),0)))</f>
        <v>6.1098939999999997</v>
      </c>
      <c r="JE9" s="21">
        <f>IF(JE$1&lt;INDEX('Valo FX'!$Q:$Q,MATCH($A9,'Valo FX'!$A:$A,0)),0,IF(JE$1&lt;INDEX('Valo FX'!$R:$R,MATCH($A9,'Valo FX'!$A:$A,0)),INDEX(Base!$U:$U,MATCH($A9,Base!$A:$A,0)),IF(JE$1=INDEX('Valo FX'!$R:$R,MATCH($A9,'Valo FX'!$A:$A,0)),INDEX(Base!$V:$V,MATCH($A9,Base!$A:$A,0)),0)))</f>
        <v>6.1098939999999997</v>
      </c>
      <c r="JF9" s="21">
        <f>IF(JF$1&lt;INDEX('Valo FX'!$Q:$Q,MATCH($A9,'Valo FX'!$A:$A,0)),0,IF(JF$1&lt;INDEX('Valo FX'!$R:$R,MATCH($A9,'Valo FX'!$A:$A,0)),INDEX(Base!$U:$U,MATCH($A9,Base!$A:$A,0)),IF(JF$1=INDEX('Valo FX'!$R:$R,MATCH($A9,'Valo FX'!$A:$A,0)),INDEX(Base!$V:$V,MATCH($A9,Base!$A:$A,0)),0)))</f>
        <v>6.1098939999999997</v>
      </c>
      <c r="JG9" s="21">
        <f>IF(JG$1&lt;INDEX('Valo FX'!$Q:$Q,MATCH($A9,'Valo FX'!$A:$A,0)),0,IF(JG$1&lt;INDEX('Valo FX'!$R:$R,MATCH($A9,'Valo FX'!$A:$A,0)),INDEX(Base!$U:$U,MATCH($A9,Base!$A:$A,0)),IF(JG$1=INDEX('Valo FX'!$R:$R,MATCH($A9,'Valo FX'!$A:$A,0)),INDEX(Base!$V:$V,MATCH($A9,Base!$A:$A,0)),0)))</f>
        <v>6.1098939999999997</v>
      </c>
      <c r="JH9" s="21">
        <f>IF(JH$1&lt;INDEX('Valo FX'!$Q:$Q,MATCH($A9,'Valo FX'!$A:$A,0)),0,IF(JH$1&lt;INDEX('Valo FX'!$R:$R,MATCH($A9,'Valo FX'!$A:$A,0)),INDEX(Base!$U:$U,MATCH($A9,Base!$A:$A,0)),IF(JH$1=INDEX('Valo FX'!$R:$R,MATCH($A9,'Valo FX'!$A:$A,0)),INDEX(Base!$V:$V,MATCH($A9,Base!$A:$A,0)),0)))</f>
        <v>6.1098939999999997</v>
      </c>
      <c r="JI9" s="21">
        <f>IF(JI$1&lt;INDEX('Valo FX'!$Q:$Q,MATCH($A9,'Valo FX'!$A:$A,0)),0,IF(JI$1&lt;INDEX('Valo FX'!$R:$R,MATCH($A9,'Valo FX'!$A:$A,0)),INDEX(Base!$U:$U,MATCH($A9,Base!$A:$A,0)),IF(JI$1=INDEX('Valo FX'!$R:$R,MATCH($A9,'Valo FX'!$A:$A,0)),INDEX(Base!$V:$V,MATCH($A9,Base!$A:$A,0)),0)))</f>
        <v>6.1098939999999997</v>
      </c>
      <c r="JJ9" s="21">
        <f>IF(JJ$1&lt;INDEX('Valo FX'!$Q:$Q,MATCH($A9,'Valo FX'!$A:$A,0)),0,IF(JJ$1&lt;INDEX('Valo FX'!$R:$R,MATCH($A9,'Valo FX'!$A:$A,0)),INDEX(Base!$U:$U,MATCH($A9,Base!$A:$A,0)),IF(JJ$1=INDEX('Valo FX'!$R:$R,MATCH($A9,'Valo FX'!$A:$A,0)),INDEX(Base!$V:$V,MATCH($A9,Base!$A:$A,0)),0)))</f>
        <v>6.1098939999999997</v>
      </c>
      <c r="JK9" s="21">
        <f>IF(JK$1&lt;INDEX('Valo FX'!$Q:$Q,MATCH($A9,'Valo FX'!$A:$A,0)),0,IF(JK$1&lt;INDEX('Valo FX'!$R:$R,MATCH($A9,'Valo FX'!$A:$A,0)),INDEX(Base!$U:$U,MATCH($A9,Base!$A:$A,0)),IF(JK$1=INDEX('Valo FX'!$R:$R,MATCH($A9,'Valo FX'!$A:$A,0)),INDEX(Base!$V:$V,MATCH($A9,Base!$A:$A,0)),0)))</f>
        <v>6.1098939999999997</v>
      </c>
      <c r="JL9" s="21">
        <f>IF(JL$1&lt;INDEX('Valo FX'!$Q:$Q,MATCH($A9,'Valo FX'!$A:$A,0)),0,IF(JL$1&lt;INDEX('Valo FX'!$R:$R,MATCH($A9,'Valo FX'!$A:$A,0)),INDEX(Base!$U:$U,MATCH($A9,Base!$A:$A,0)),IF(JL$1=INDEX('Valo FX'!$R:$R,MATCH($A9,'Valo FX'!$A:$A,0)),INDEX(Base!$V:$V,MATCH($A9,Base!$A:$A,0)),0)))</f>
        <v>6.1098939999999997</v>
      </c>
      <c r="JM9" s="21">
        <f>IF(JM$1&lt;INDEX('Valo FX'!$Q:$Q,MATCH($A9,'Valo FX'!$A:$A,0)),0,IF(JM$1&lt;INDEX('Valo FX'!$R:$R,MATCH($A9,'Valo FX'!$A:$A,0)),INDEX(Base!$U:$U,MATCH($A9,Base!$A:$A,0)),IF(JM$1=INDEX('Valo FX'!$R:$R,MATCH($A9,'Valo FX'!$A:$A,0)),INDEX(Base!$V:$V,MATCH($A9,Base!$A:$A,0)),0)))</f>
        <v>6.1098939999999997</v>
      </c>
      <c r="JN9" s="21">
        <f>IF(JN$1&lt;INDEX('Valo FX'!$Q:$Q,MATCH($A9,'Valo FX'!$A:$A,0)),0,IF(JN$1&lt;INDEX('Valo FX'!$R:$R,MATCH($A9,'Valo FX'!$A:$A,0)),INDEX(Base!$U:$U,MATCH($A9,Base!$A:$A,0)),IF(JN$1=INDEX('Valo FX'!$R:$R,MATCH($A9,'Valo FX'!$A:$A,0)),INDEX(Base!$V:$V,MATCH($A9,Base!$A:$A,0)),0)))</f>
        <v>6.1098939999999997</v>
      </c>
      <c r="JO9" s="21">
        <f>IF(JO$1&lt;INDEX('Valo FX'!$Q:$Q,MATCH($A9,'Valo FX'!$A:$A,0)),0,IF(JO$1&lt;INDEX('Valo FX'!$R:$R,MATCH($A9,'Valo FX'!$A:$A,0)),INDEX(Base!$U:$U,MATCH($A9,Base!$A:$A,0)),IF(JO$1=INDEX('Valo FX'!$R:$R,MATCH($A9,'Valo FX'!$A:$A,0)),INDEX(Base!$V:$V,MATCH($A9,Base!$A:$A,0)),0)))</f>
        <v>6.1098939999999997</v>
      </c>
      <c r="JP9" s="21">
        <f>IF(JP$1&lt;INDEX('Valo FX'!$Q:$Q,MATCH($A9,'Valo FX'!$A:$A,0)),0,IF(JP$1&lt;INDEX('Valo FX'!$R:$R,MATCH($A9,'Valo FX'!$A:$A,0)),INDEX(Base!$U:$U,MATCH($A9,Base!$A:$A,0)),IF(JP$1=INDEX('Valo FX'!$R:$R,MATCH($A9,'Valo FX'!$A:$A,0)),INDEX(Base!$V:$V,MATCH($A9,Base!$A:$A,0)),0)))</f>
        <v>6.1098939999999997</v>
      </c>
      <c r="JQ9" s="21">
        <f>IF(JQ$1&lt;INDEX('Valo FX'!$Q:$Q,MATCH($A9,'Valo FX'!$A:$A,0)),0,IF(JQ$1&lt;INDEX('Valo FX'!$R:$R,MATCH($A9,'Valo FX'!$A:$A,0)),INDEX(Base!$U:$U,MATCH($A9,Base!$A:$A,0)),IF(JQ$1=INDEX('Valo FX'!$R:$R,MATCH($A9,'Valo FX'!$A:$A,0)),INDEX(Base!$V:$V,MATCH($A9,Base!$A:$A,0)),0)))</f>
        <v>6.1098939999999997</v>
      </c>
      <c r="JR9" s="21">
        <f>IF(JR$1&lt;INDEX('Valo FX'!$Q:$Q,MATCH($A9,'Valo FX'!$A:$A,0)),0,IF(JR$1&lt;INDEX('Valo FX'!$R:$R,MATCH($A9,'Valo FX'!$A:$A,0)),INDEX(Base!$U:$U,MATCH($A9,Base!$A:$A,0)),IF(JR$1=INDEX('Valo FX'!$R:$R,MATCH($A9,'Valo FX'!$A:$A,0)),INDEX(Base!$V:$V,MATCH($A9,Base!$A:$A,0)),0)))</f>
        <v>6.1098939999999997</v>
      </c>
      <c r="JS9" s="21">
        <f>IF(JS$1&lt;INDEX('Valo FX'!$Q:$Q,MATCH($A9,'Valo FX'!$A:$A,0)),0,IF(JS$1&lt;INDEX('Valo FX'!$R:$R,MATCH($A9,'Valo FX'!$A:$A,0)),INDEX(Base!$U:$U,MATCH($A9,Base!$A:$A,0)),IF(JS$1=INDEX('Valo FX'!$R:$R,MATCH($A9,'Valo FX'!$A:$A,0)),INDEX(Base!$V:$V,MATCH($A9,Base!$A:$A,0)),0)))</f>
        <v>6.1098939999999997</v>
      </c>
      <c r="JT9" s="21">
        <f>IF(JT$1&lt;INDEX('Valo FX'!$Q:$Q,MATCH($A9,'Valo FX'!$A:$A,0)),0,IF(JT$1&lt;INDEX('Valo FX'!$R:$R,MATCH($A9,'Valo FX'!$A:$A,0)),INDEX(Base!$U:$U,MATCH($A9,Base!$A:$A,0)),IF(JT$1=INDEX('Valo FX'!$R:$R,MATCH($A9,'Valo FX'!$A:$A,0)),INDEX(Base!$V:$V,MATCH($A9,Base!$A:$A,0)),0)))</f>
        <v>6.1098939999999997</v>
      </c>
      <c r="JU9" s="21">
        <f>IF(JU$1&lt;INDEX('Valo FX'!$Q:$Q,MATCH($A9,'Valo FX'!$A:$A,0)),0,IF(JU$1&lt;INDEX('Valo FX'!$R:$R,MATCH($A9,'Valo FX'!$A:$A,0)),INDEX(Base!$U:$U,MATCH($A9,Base!$A:$A,0)),IF(JU$1=INDEX('Valo FX'!$R:$R,MATCH($A9,'Valo FX'!$A:$A,0)),INDEX(Base!$V:$V,MATCH($A9,Base!$A:$A,0)),0)))</f>
        <v>6.1098939999999997</v>
      </c>
      <c r="JV9" s="21">
        <f>IF(JV$1&lt;INDEX('Valo FX'!$Q:$Q,MATCH($A9,'Valo FX'!$A:$A,0)),0,IF(JV$1&lt;INDEX('Valo FX'!$R:$R,MATCH($A9,'Valo FX'!$A:$A,0)),INDEX(Base!$U:$U,MATCH($A9,Base!$A:$A,0)),IF(JV$1=INDEX('Valo FX'!$R:$R,MATCH($A9,'Valo FX'!$A:$A,0)),INDEX(Base!$V:$V,MATCH($A9,Base!$A:$A,0)),0)))</f>
        <v>6.1098939999999997</v>
      </c>
      <c r="JW9" s="21">
        <f>IF(JW$1&lt;INDEX('Valo FX'!$Q:$Q,MATCH($A9,'Valo FX'!$A:$A,0)),0,IF(JW$1&lt;INDEX('Valo FX'!$R:$R,MATCH($A9,'Valo FX'!$A:$A,0)),INDEX(Base!$U:$U,MATCH($A9,Base!$A:$A,0)),IF(JW$1=INDEX('Valo FX'!$R:$R,MATCH($A9,'Valo FX'!$A:$A,0)),INDEX(Base!$V:$V,MATCH($A9,Base!$A:$A,0)),0)))</f>
        <v>6.1098939999999997</v>
      </c>
      <c r="JX9" s="21">
        <f>IF(JX$1&lt;INDEX('Valo FX'!$Q:$Q,MATCH($A9,'Valo FX'!$A:$A,0)),0,IF(JX$1&lt;INDEX('Valo FX'!$R:$R,MATCH($A9,'Valo FX'!$A:$A,0)),INDEX(Base!$U:$U,MATCH($A9,Base!$A:$A,0)),IF(JX$1=INDEX('Valo FX'!$R:$R,MATCH($A9,'Valo FX'!$A:$A,0)),INDEX(Base!$V:$V,MATCH($A9,Base!$A:$A,0)),0)))</f>
        <v>6.1098939999999997</v>
      </c>
      <c r="JY9" s="21">
        <f>IF(JY$1&lt;INDEX('Valo FX'!$Q:$Q,MATCH($A9,'Valo FX'!$A:$A,0)),0,IF(JY$1&lt;INDEX('Valo FX'!$R:$R,MATCH($A9,'Valo FX'!$A:$A,0)),INDEX(Base!$U:$U,MATCH($A9,Base!$A:$A,0)),IF(JY$1=INDEX('Valo FX'!$R:$R,MATCH($A9,'Valo FX'!$A:$A,0)),INDEX(Base!$V:$V,MATCH($A9,Base!$A:$A,0)),0)))</f>
        <v>6.1098939999999997</v>
      </c>
      <c r="JZ9" s="21">
        <f>IF(JZ$1&lt;INDEX('Valo FX'!$Q:$Q,MATCH($A9,'Valo FX'!$A:$A,0)),0,IF(JZ$1&lt;INDEX('Valo FX'!$R:$R,MATCH($A9,'Valo FX'!$A:$A,0)),INDEX(Base!$U:$U,MATCH($A9,Base!$A:$A,0)),IF(JZ$1=INDEX('Valo FX'!$R:$R,MATCH($A9,'Valo FX'!$A:$A,0)),INDEX(Base!$V:$V,MATCH($A9,Base!$A:$A,0)),0)))</f>
        <v>6.1098939999999997</v>
      </c>
      <c r="KA9" s="21">
        <f>IF(KA$1&lt;INDEX('Valo FX'!$Q:$Q,MATCH($A9,'Valo FX'!$A:$A,0)),0,IF(KA$1&lt;INDEX('Valo FX'!$R:$R,MATCH($A9,'Valo FX'!$A:$A,0)),INDEX(Base!$U:$U,MATCH($A9,Base!$A:$A,0)),IF(KA$1=INDEX('Valo FX'!$R:$R,MATCH($A9,'Valo FX'!$A:$A,0)),INDEX(Base!$V:$V,MATCH($A9,Base!$A:$A,0)),0)))</f>
        <v>6.1098939999999997</v>
      </c>
      <c r="KB9" s="21">
        <f>IF(KB$1&lt;INDEX('Valo FX'!$Q:$Q,MATCH($A9,'Valo FX'!$A:$A,0)),0,IF(KB$1&lt;INDEX('Valo FX'!$R:$R,MATCH($A9,'Valo FX'!$A:$A,0)),INDEX(Base!$U:$U,MATCH($A9,Base!$A:$A,0)),IF(KB$1=INDEX('Valo FX'!$R:$R,MATCH($A9,'Valo FX'!$A:$A,0)),INDEX(Base!$V:$V,MATCH($A9,Base!$A:$A,0)),0)))</f>
        <v>6.1098939999999997</v>
      </c>
      <c r="KC9" s="21">
        <f>IF(KC$1&lt;INDEX('Valo FX'!$Q:$Q,MATCH($A9,'Valo FX'!$A:$A,0)),0,IF(KC$1&lt;INDEX('Valo FX'!$R:$R,MATCH($A9,'Valo FX'!$A:$A,0)),INDEX(Base!$U:$U,MATCH($A9,Base!$A:$A,0)),IF(KC$1=INDEX('Valo FX'!$R:$R,MATCH($A9,'Valo FX'!$A:$A,0)),INDEX(Base!$V:$V,MATCH($A9,Base!$A:$A,0)),0)))</f>
        <v>6.1098939999999997</v>
      </c>
      <c r="KD9" s="21">
        <f>IF(KD$1&lt;INDEX('Valo FX'!$Q:$Q,MATCH($A9,'Valo FX'!$A:$A,0)),0,IF(KD$1&lt;INDEX('Valo FX'!$R:$R,MATCH($A9,'Valo FX'!$A:$A,0)),INDEX(Base!$U:$U,MATCH($A9,Base!$A:$A,0)),IF(KD$1=INDEX('Valo FX'!$R:$R,MATCH($A9,'Valo FX'!$A:$A,0)),INDEX(Base!$V:$V,MATCH($A9,Base!$A:$A,0)),0)))</f>
        <v>6.1098939999999997</v>
      </c>
      <c r="KE9" s="21">
        <f>IF(KE$1&lt;INDEX('Valo FX'!$Q:$Q,MATCH($A9,'Valo FX'!$A:$A,0)),0,IF(KE$1&lt;INDEX('Valo FX'!$R:$R,MATCH($A9,'Valo FX'!$A:$A,0)),INDEX(Base!$U:$U,MATCH($A9,Base!$A:$A,0)),IF(KE$1=INDEX('Valo FX'!$R:$R,MATCH($A9,'Valo FX'!$A:$A,0)),INDEX(Base!$V:$V,MATCH($A9,Base!$A:$A,0)),0)))</f>
        <v>6.1098939999999997</v>
      </c>
      <c r="KF9" s="21">
        <f>IF(KF$1&lt;INDEX('Valo FX'!$Q:$Q,MATCH($A9,'Valo FX'!$A:$A,0)),0,IF(KF$1&lt;INDEX('Valo FX'!$R:$R,MATCH($A9,'Valo FX'!$A:$A,0)),INDEX(Base!$U:$U,MATCH($A9,Base!$A:$A,0)),IF(KF$1=INDEX('Valo FX'!$R:$R,MATCH($A9,'Valo FX'!$A:$A,0)),INDEX(Base!$V:$V,MATCH($A9,Base!$A:$A,0)),0)))</f>
        <v>6.1098939999999997</v>
      </c>
      <c r="KG9" s="21">
        <f>IF(KG$1&lt;INDEX('Valo FX'!$Q:$Q,MATCH($A9,'Valo FX'!$A:$A,0)),0,IF(KG$1&lt;INDEX('Valo FX'!$R:$R,MATCH($A9,'Valo FX'!$A:$A,0)),INDEX(Base!$U:$U,MATCH($A9,Base!$A:$A,0)),IF(KG$1=INDEX('Valo FX'!$R:$R,MATCH($A9,'Valo FX'!$A:$A,0)),INDEX(Base!$V:$V,MATCH($A9,Base!$A:$A,0)),0)))</f>
        <v>6.1098939999999997</v>
      </c>
      <c r="KH9" s="21">
        <f>IF(KH$1&lt;INDEX('Valo FX'!$Q:$Q,MATCH($A9,'Valo FX'!$A:$A,0)),0,IF(KH$1&lt;INDEX('Valo FX'!$R:$R,MATCH($A9,'Valo FX'!$A:$A,0)),INDEX(Base!$U:$U,MATCH($A9,Base!$A:$A,0)),IF(KH$1=INDEX('Valo FX'!$R:$R,MATCH($A9,'Valo FX'!$A:$A,0)),INDEX(Base!$V:$V,MATCH($A9,Base!$A:$A,0)),0)))</f>
        <v>6.1098939999999997</v>
      </c>
      <c r="KI9" s="21">
        <f>IF(KI$1&lt;INDEX('Valo FX'!$Q:$Q,MATCH($A9,'Valo FX'!$A:$A,0)),0,IF(KI$1&lt;INDEX('Valo FX'!$R:$R,MATCH($A9,'Valo FX'!$A:$A,0)),INDEX(Base!$U:$U,MATCH($A9,Base!$A:$A,0)),IF(KI$1=INDEX('Valo FX'!$R:$R,MATCH($A9,'Valo FX'!$A:$A,0)),INDEX(Base!$V:$V,MATCH($A9,Base!$A:$A,0)),0)))</f>
        <v>6.1098939999999997</v>
      </c>
      <c r="KJ9" s="21">
        <f>IF(KJ$1&lt;INDEX('Valo FX'!$Q:$Q,MATCH($A9,'Valo FX'!$A:$A,0)),0,IF(KJ$1&lt;INDEX('Valo FX'!$R:$R,MATCH($A9,'Valo FX'!$A:$A,0)),INDEX(Base!$U:$U,MATCH($A9,Base!$A:$A,0)),IF(KJ$1=INDEX('Valo FX'!$R:$R,MATCH($A9,'Valo FX'!$A:$A,0)),INDEX(Base!$V:$V,MATCH($A9,Base!$A:$A,0)),0)))</f>
        <v>6.1098939999999997</v>
      </c>
      <c r="KK9" s="21">
        <f>IF(KK$1&lt;INDEX('Valo FX'!$Q:$Q,MATCH($A9,'Valo FX'!$A:$A,0)),0,IF(KK$1&lt;INDEX('Valo FX'!$R:$R,MATCH($A9,'Valo FX'!$A:$A,0)),INDEX(Base!$U:$U,MATCH($A9,Base!$A:$A,0)),IF(KK$1=INDEX('Valo FX'!$R:$R,MATCH($A9,'Valo FX'!$A:$A,0)),INDEX(Base!$V:$V,MATCH($A9,Base!$A:$A,0)),0)))</f>
        <v>6.1098939999999997</v>
      </c>
      <c r="KL9" s="21">
        <f>IF(KL$1&lt;INDEX('Valo FX'!$Q:$Q,MATCH($A9,'Valo FX'!$A:$A,0)),0,IF(KL$1&lt;INDEX('Valo FX'!$R:$R,MATCH($A9,'Valo FX'!$A:$A,0)),INDEX(Base!$U:$U,MATCH($A9,Base!$A:$A,0)),IF(KL$1=INDEX('Valo FX'!$R:$R,MATCH($A9,'Valo FX'!$A:$A,0)),INDEX(Base!$V:$V,MATCH($A9,Base!$A:$A,0)),0)))</f>
        <v>6.1098939999999997</v>
      </c>
      <c r="KM9" s="21">
        <f>IF(KM$1&lt;INDEX('Valo FX'!$Q:$Q,MATCH($A9,'Valo FX'!$A:$A,0)),0,IF(KM$1&lt;INDEX('Valo FX'!$R:$R,MATCH($A9,'Valo FX'!$A:$A,0)),INDEX(Base!$U:$U,MATCH($A9,Base!$A:$A,0)),IF(KM$1=INDEX('Valo FX'!$R:$R,MATCH($A9,'Valo FX'!$A:$A,0)),INDEX(Base!$V:$V,MATCH($A9,Base!$A:$A,0)),0)))</f>
        <v>6.1098939999999997</v>
      </c>
      <c r="KN9" s="21">
        <f>IF(KN$1&lt;INDEX('Valo FX'!$Q:$Q,MATCH($A9,'Valo FX'!$A:$A,0)),0,IF(KN$1&lt;INDEX('Valo FX'!$R:$R,MATCH($A9,'Valo FX'!$A:$A,0)),INDEX(Base!$U:$U,MATCH($A9,Base!$A:$A,0)),IF(KN$1=INDEX('Valo FX'!$R:$R,MATCH($A9,'Valo FX'!$A:$A,0)),INDEX(Base!$V:$V,MATCH($A9,Base!$A:$A,0)),0)))</f>
        <v>6.1098939999999997</v>
      </c>
      <c r="KO9" s="21">
        <f>IF(KO$1&lt;INDEX('Valo FX'!$Q:$Q,MATCH($A9,'Valo FX'!$A:$A,0)),0,IF(KO$1&lt;INDEX('Valo FX'!$R:$R,MATCH($A9,'Valo FX'!$A:$A,0)),INDEX(Base!$U:$U,MATCH($A9,Base!$A:$A,0)),IF(KO$1=INDEX('Valo FX'!$R:$R,MATCH($A9,'Valo FX'!$A:$A,0)),INDEX(Base!$V:$V,MATCH($A9,Base!$A:$A,0)),0)))</f>
        <v>6.1098939999999997</v>
      </c>
      <c r="KP9" s="21">
        <f>IF(KP$1&lt;INDEX('Valo FX'!$Q:$Q,MATCH($A9,'Valo FX'!$A:$A,0)),0,IF(KP$1&lt;INDEX('Valo FX'!$R:$R,MATCH($A9,'Valo FX'!$A:$A,0)),INDEX(Base!$U:$U,MATCH($A9,Base!$A:$A,0)),IF(KP$1=INDEX('Valo FX'!$R:$R,MATCH($A9,'Valo FX'!$A:$A,0)),INDEX(Base!$V:$V,MATCH($A9,Base!$A:$A,0)),0)))</f>
        <v>6.1098939999999997</v>
      </c>
      <c r="KQ9" s="21">
        <f>IF(KQ$1&lt;INDEX('Valo FX'!$Q:$Q,MATCH($A9,'Valo FX'!$A:$A,0)),0,IF(KQ$1&lt;INDEX('Valo FX'!$R:$R,MATCH($A9,'Valo FX'!$A:$A,0)),INDEX(Base!$U:$U,MATCH($A9,Base!$A:$A,0)),IF(KQ$1=INDEX('Valo FX'!$R:$R,MATCH($A9,'Valo FX'!$A:$A,0)),INDEX(Base!$V:$V,MATCH($A9,Base!$A:$A,0)),0)))</f>
        <v>6.1098939999999997</v>
      </c>
      <c r="KR9" s="21">
        <f>IF(KR$1&lt;INDEX('Valo FX'!$Q:$Q,MATCH($A9,'Valo FX'!$A:$A,0)),0,IF(KR$1&lt;INDEX('Valo FX'!$R:$R,MATCH($A9,'Valo FX'!$A:$A,0)),INDEX(Base!$U:$U,MATCH($A9,Base!$A:$A,0)),IF(KR$1=INDEX('Valo FX'!$R:$R,MATCH($A9,'Valo FX'!$A:$A,0)),INDEX(Base!$V:$V,MATCH($A9,Base!$A:$A,0)),0)))</f>
        <v>6.1098939999999997</v>
      </c>
      <c r="KS9" s="21">
        <f>IF(KS$1&lt;INDEX('Valo FX'!$Q:$Q,MATCH($A9,'Valo FX'!$A:$A,0)),0,IF(KS$1&lt;INDEX('Valo FX'!$R:$R,MATCH($A9,'Valo FX'!$A:$A,0)),INDEX(Base!$U:$U,MATCH($A9,Base!$A:$A,0)),IF(KS$1=INDEX('Valo FX'!$R:$R,MATCH($A9,'Valo FX'!$A:$A,0)),INDEX(Base!$V:$V,MATCH($A9,Base!$A:$A,0)),0)))</f>
        <v>6.1098939999999997</v>
      </c>
      <c r="KT9" s="21">
        <f>IF(KT$1&lt;INDEX('Valo FX'!$Q:$Q,MATCH($A9,'Valo FX'!$A:$A,0)),0,IF(KT$1&lt;INDEX('Valo FX'!$R:$R,MATCH($A9,'Valo FX'!$A:$A,0)),INDEX(Base!$U:$U,MATCH($A9,Base!$A:$A,0)),IF(KT$1=INDEX('Valo FX'!$R:$R,MATCH($A9,'Valo FX'!$A:$A,0)),INDEX(Base!$V:$V,MATCH($A9,Base!$A:$A,0)),0)))</f>
        <v>6.1098939999999997</v>
      </c>
      <c r="KU9" s="21">
        <f>IF(KU$1&lt;INDEX('Valo FX'!$Q:$Q,MATCH($A9,'Valo FX'!$A:$A,0)),0,IF(KU$1&lt;INDEX('Valo FX'!$R:$R,MATCH($A9,'Valo FX'!$A:$A,0)),INDEX(Base!$U:$U,MATCH($A9,Base!$A:$A,0)),IF(KU$1=INDEX('Valo FX'!$R:$R,MATCH($A9,'Valo FX'!$A:$A,0)),INDEX(Base!$V:$V,MATCH($A9,Base!$A:$A,0)),0)))</f>
        <v>6.1098939999999997</v>
      </c>
      <c r="KV9" s="21">
        <f>IF(KV$1&lt;INDEX('Valo FX'!$Q:$Q,MATCH($A9,'Valo FX'!$A:$A,0)),0,IF(KV$1&lt;INDEX('Valo FX'!$R:$R,MATCH($A9,'Valo FX'!$A:$A,0)),INDEX(Base!$U:$U,MATCH($A9,Base!$A:$A,0)),IF(KV$1=INDEX('Valo FX'!$R:$R,MATCH($A9,'Valo FX'!$A:$A,0)),INDEX(Base!$V:$V,MATCH($A9,Base!$A:$A,0)),0)))</f>
        <v>6.1098939999999997</v>
      </c>
      <c r="KW9" s="21">
        <f>IF(KW$1&lt;INDEX('Valo FX'!$Q:$Q,MATCH($A9,'Valo FX'!$A:$A,0)),0,IF(KW$1&lt;INDEX('Valo FX'!$R:$R,MATCH($A9,'Valo FX'!$A:$A,0)),INDEX(Base!$U:$U,MATCH($A9,Base!$A:$A,0)),IF(KW$1=INDEX('Valo FX'!$R:$R,MATCH($A9,'Valo FX'!$A:$A,0)),INDEX(Base!$V:$V,MATCH($A9,Base!$A:$A,0)),0)))</f>
        <v>6.1098939999999997</v>
      </c>
      <c r="KX9" s="21">
        <f>IF(KX$1&lt;INDEX('Valo FX'!$Q:$Q,MATCH($A9,'Valo FX'!$A:$A,0)),0,IF(KX$1&lt;INDEX('Valo FX'!$R:$R,MATCH($A9,'Valo FX'!$A:$A,0)),INDEX(Base!$U:$U,MATCH($A9,Base!$A:$A,0)),IF(KX$1=INDEX('Valo FX'!$R:$R,MATCH($A9,'Valo FX'!$A:$A,0)),INDEX(Base!$V:$V,MATCH($A9,Base!$A:$A,0)),0)))</f>
        <v>6.1098939999999997</v>
      </c>
      <c r="KY9" s="21">
        <f>IF(KY$1&lt;INDEX('Valo FX'!$Q:$Q,MATCH($A9,'Valo FX'!$A:$A,0)),0,IF(KY$1&lt;INDEX('Valo FX'!$R:$R,MATCH($A9,'Valo FX'!$A:$A,0)),INDEX(Base!$U:$U,MATCH($A9,Base!$A:$A,0)),IF(KY$1=INDEX('Valo FX'!$R:$R,MATCH($A9,'Valo FX'!$A:$A,0)),INDEX(Base!$V:$V,MATCH($A9,Base!$A:$A,0)),0)))</f>
        <v>6.1098939999999997</v>
      </c>
      <c r="KZ9" s="21">
        <f>IF(KZ$1&lt;INDEX('Valo FX'!$Q:$Q,MATCH($A9,'Valo FX'!$A:$A,0)),0,IF(KZ$1&lt;INDEX('Valo FX'!$R:$R,MATCH($A9,'Valo FX'!$A:$A,0)),INDEX(Base!$U:$U,MATCH($A9,Base!$A:$A,0)),IF(KZ$1=INDEX('Valo FX'!$R:$R,MATCH($A9,'Valo FX'!$A:$A,0)),INDEX(Base!$V:$V,MATCH($A9,Base!$A:$A,0)),0)))</f>
        <v>6.1098939999999997</v>
      </c>
      <c r="LA9" s="21">
        <f>IF(LA$1&lt;INDEX('Valo FX'!$Q:$Q,MATCH($A9,'Valo FX'!$A:$A,0)),0,IF(LA$1&lt;INDEX('Valo FX'!$R:$R,MATCH($A9,'Valo FX'!$A:$A,0)),INDEX(Base!$U:$U,MATCH($A9,Base!$A:$A,0)),IF(LA$1=INDEX('Valo FX'!$R:$R,MATCH($A9,'Valo FX'!$A:$A,0)),INDEX(Base!$V:$V,MATCH($A9,Base!$A:$A,0)),0)))</f>
        <v>6.1098939999999997</v>
      </c>
      <c r="LB9" s="21">
        <f>IF(LB$1&lt;INDEX('Valo FX'!$Q:$Q,MATCH($A9,'Valo FX'!$A:$A,0)),0,IF(LB$1&lt;INDEX('Valo FX'!$R:$R,MATCH($A9,'Valo FX'!$A:$A,0)),INDEX(Base!$U:$U,MATCH($A9,Base!$A:$A,0)),IF(LB$1=INDEX('Valo FX'!$R:$R,MATCH($A9,'Valo FX'!$A:$A,0)),INDEX(Base!$V:$V,MATCH($A9,Base!$A:$A,0)),0)))</f>
        <v>6.1098939999999997</v>
      </c>
      <c r="LC9" s="21">
        <f>IF(LC$1&lt;INDEX('Valo FX'!$Q:$Q,MATCH($A9,'Valo FX'!$A:$A,0)),0,IF(LC$1&lt;INDEX('Valo FX'!$R:$R,MATCH($A9,'Valo FX'!$A:$A,0)),INDEX(Base!$U:$U,MATCH($A9,Base!$A:$A,0)),IF(LC$1=INDEX('Valo FX'!$R:$R,MATCH($A9,'Valo FX'!$A:$A,0)),INDEX(Base!$V:$V,MATCH($A9,Base!$A:$A,0)),0)))</f>
        <v>6.1098939999999997</v>
      </c>
      <c r="LD9" s="21">
        <f>IF(LD$1&lt;INDEX('Valo FX'!$Q:$Q,MATCH($A9,'Valo FX'!$A:$A,0)),0,IF(LD$1&lt;INDEX('Valo FX'!$R:$R,MATCH($A9,'Valo FX'!$A:$A,0)),INDEX(Base!$U:$U,MATCH($A9,Base!$A:$A,0)),IF(LD$1=INDEX('Valo FX'!$R:$R,MATCH($A9,'Valo FX'!$A:$A,0)),INDEX(Base!$V:$V,MATCH($A9,Base!$A:$A,0)),0)))</f>
        <v>6.1098939999999997</v>
      </c>
      <c r="LE9" s="21">
        <f>IF(LE$1&lt;INDEX('Valo FX'!$Q:$Q,MATCH($A9,'Valo FX'!$A:$A,0)),0,IF(LE$1&lt;INDEX('Valo FX'!$R:$R,MATCH($A9,'Valo FX'!$A:$A,0)),INDEX(Base!$U:$U,MATCH($A9,Base!$A:$A,0)),IF(LE$1=INDEX('Valo FX'!$R:$R,MATCH($A9,'Valo FX'!$A:$A,0)),INDEX(Base!$V:$V,MATCH($A9,Base!$A:$A,0)),0)))</f>
        <v>6.1098939999999997</v>
      </c>
      <c r="LF9" s="21">
        <f>IF(LF$1&lt;INDEX('Valo FX'!$Q:$Q,MATCH($A9,'Valo FX'!$A:$A,0)),0,IF(LF$1&lt;INDEX('Valo FX'!$R:$R,MATCH($A9,'Valo FX'!$A:$A,0)),INDEX(Base!$U:$U,MATCH($A9,Base!$A:$A,0)),IF(LF$1=INDEX('Valo FX'!$R:$R,MATCH($A9,'Valo FX'!$A:$A,0)),INDEX(Base!$V:$V,MATCH($A9,Base!$A:$A,0)),0)))</f>
        <v>6.1098939999999997</v>
      </c>
      <c r="LG9" s="21">
        <f>IF(LG$1&lt;INDEX('Valo FX'!$Q:$Q,MATCH($A9,'Valo FX'!$A:$A,0)),0,IF(LG$1&lt;INDEX('Valo FX'!$R:$R,MATCH($A9,'Valo FX'!$A:$A,0)),INDEX(Base!$U:$U,MATCH($A9,Base!$A:$A,0)),IF(LG$1=INDEX('Valo FX'!$R:$R,MATCH($A9,'Valo FX'!$A:$A,0)),INDEX(Base!$V:$V,MATCH($A9,Base!$A:$A,0)),0)))</f>
        <v>6.1098939999999997</v>
      </c>
      <c r="LH9" s="21">
        <f>IF(LH$1&lt;INDEX('Valo FX'!$Q:$Q,MATCH($A9,'Valo FX'!$A:$A,0)),0,IF(LH$1&lt;INDEX('Valo FX'!$R:$R,MATCH($A9,'Valo FX'!$A:$A,0)),INDEX(Base!$U:$U,MATCH($A9,Base!$A:$A,0)),IF(LH$1=INDEX('Valo FX'!$R:$R,MATCH($A9,'Valo FX'!$A:$A,0)),INDEX(Base!$V:$V,MATCH($A9,Base!$A:$A,0)),0)))</f>
        <v>6.1098939999999997</v>
      </c>
      <c r="LI9" s="21">
        <f>IF(LI$1&lt;INDEX('Valo FX'!$Q:$Q,MATCH($A9,'Valo FX'!$A:$A,0)),0,IF(LI$1&lt;INDEX('Valo FX'!$R:$R,MATCH($A9,'Valo FX'!$A:$A,0)),INDEX(Base!$U:$U,MATCH($A9,Base!$A:$A,0)),IF(LI$1=INDEX('Valo FX'!$R:$R,MATCH($A9,'Valo FX'!$A:$A,0)),INDEX(Base!$V:$V,MATCH($A9,Base!$A:$A,0)),0)))</f>
        <v>6.1098939999999997</v>
      </c>
      <c r="LJ9" s="21">
        <f>IF(LJ$1&lt;INDEX('Valo FX'!$Q:$Q,MATCH($A9,'Valo FX'!$A:$A,0)),0,IF(LJ$1&lt;INDEX('Valo FX'!$R:$R,MATCH($A9,'Valo FX'!$A:$A,0)),INDEX(Base!$U:$U,MATCH($A9,Base!$A:$A,0)),IF(LJ$1=INDEX('Valo FX'!$R:$R,MATCH($A9,'Valo FX'!$A:$A,0)),INDEX(Base!$V:$V,MATCH($A9,Base!$A:$A,0)),0)))</f>
        <v>6.1098939999999997</v>
      </c>
      <c r="LK9" s="21">
        <f>IF(LK$1&lt;INDEX('Valo FX'!$Q:$Q,MATCH($A9,'Valo FX'!$A:$A,0)),0,IF(LK$1&lt;INDEX('Valo FX'!$R:$R,MATCH($A9,'Valo FX'!$A:$A,0)),INDEX(Base!$U:$U,MATCH($A9,Base!$A:$A,0)),IF(LK$1=INDEX('Valo FX'!$R:$R,MATCH($A9,'Valo FX'!$A:$A,0)),INDEX(Base!$V:$V,MATCH($A9,Base!$A:$A,0)),0)))</f>
        <v>6.1098939999999997</v>
      </c>
      <c r="LL9" s="21">
        <f>IF(LL$1&lt;INDEX('Valo FX'!$Q:$Q,MATCH($A9,'Valo FX'!$A:$A,0)),0,IF(LL$1&lt;INDEX('Valo FX'!$R:$R,MATCH($A9,'Valo FX'!$A:$A,0)),INDEX(Base!$U:$U,MATCH($A9,Base!$A:$A,0)),IF(LL$1=INDEX('Valo FX'!$R:$R,MATCH($A9,'Valo FX'!$A:$A,0)),INDEX(Base!$V:$V,MATCH($A9,Base!$A:$A,0)),0)))</f>
        <v>6.1098939999999997</v>
      </c>
      <c r="LM9" s="21">
        <f>IF(LM$1&lt;INDEX('Valo FX'!$Q:$Q,MATCH($A9,'Valo FX'!$A:$A,0)),0,IF(LM$1&lt;INDEX('Valo FX'!$R:$R,MATCH($A9,'Valo FX'!$A:$A,0)),INDEX(Base!$U:$U,MATCH($A9,Base!$A:$A,0)),IF(LM$1=INDEX('Valo FX'!$R:$R,MATCH($A9,'Valo FX'!$A:$A,0)),INDEX(Base!$V:$V,MATCH($A9,Base!$A:$A,0)),0)))</f>
        <v>6.1098939999999997</v>
      </c>
      <c r="LN9" s="21">
        <f>IF(LN$1&lt;INDEX('Valo FX'!$Q:$Q,MATCH($A9,'Valo FX'!$A:$A,0)),0,IF(LN$1&lt;INDEX('Valo FX'!$R:$R,MATCH($A9,'Valo FX'!$A:$A,0)),INDEX(Base!$U:$U,MATCH($A9,Base!$A:$A,0)),IF(LN$1=INDEX('Valo FX'!$R:$R,MATCH($A9,'Valo FX'!$A:$A,0)),INDEX(Base!$V:$V,MATCH($A9,Base!$A:$A,0)),0)))</f>
        <v>6.1098939999999997</v>
      </c>
      <c r="LO9" s="21">
        <f>IF(LO$1&lt;INDEX('Valo FX'!$Q:$Q,MATCH($A9,'Valo FX'!$A:$A,0)),0,IF(LO$1&lt;INDEX('Valo FX'!$R:$R,MATCH($A9,'Valo FX'!$A:$A,0)),INDEX(Base!$U:$U,MATCH($A9,Base!$A:$A,0)),IF(LO$1=INDEX('Valo FX'!$R:$R,MATCH($A9,'Valo FX'!$A:$A,0)),INDEX(Base!$V:$V,MATCH($A9,Base!$A:$A,0)),0)))</f>
        <v>6.1098939999999997</v>
      </c>
      <c r="LP9" s="21">
        <f>IF(LP$1&lt;INDEX('Valo FX'!$Q:$Q,MATCH($A9,'Valo FX'!$A:$A,0)),0,IF(LP$1&lt;INDEX('Valo FX'!$R:$R,MATCH($A9,'Valo FX'!$A:$A,0)),INDEX(Base!$U:$U,MATCH($A9,Base!$A:$A,0)),IF(LP$1=INDEX('Valo FX'!$R:$R,MATCH($A9,'Valo FX'!$A:$A,0)),INDEX(Base!$V:$V,MATCH($A9,Base!$A:$A,0)),0)))</f>
        <v>6.1098939999999997</v>
      </c>
      <c r="LQ9" s="21">
        <f>IF(LQ$1&lt;INDEX('Valo FX'!$Q:$Q,MATCH($A9,'Valo FX'!$A:$A,0)),0,IF(LQ$1&lt;INDEX('Valo FX'!$R:$R,MATCH($A9,'Valo FX'!$A:$A,0)),INDEX(Base!$U:$U,MATCH($A9,Base!$A:$A,0)),IF(LQ$1=INDEX('Valo FX'!$R:$R,MATCH($A9,'Valo FX'!$A:$A,0)),INDEX(Base!$V:$V,MATCH($A9,Base!$A:$A,0)),0)))</f>
        <v>6.1098939999999997</v>
      </c>
      <c r="LR9" s="21">
        <f>IF(LR$1&lt;INDEX('Valo FX'!$Q:$Q,MATCH($A9,'Valo FX'!$A:$A,0)),0,IF(LR$1&lt;INDEX('Valo FX'!$R:$R,MATCH($A9,'Valo FX'!$A:$A,0)),INDEX(Base!$U:$U,MATCH($A9,Base!$A:$A,0)),IF(LR$1=INDEX('Valo FX'!$R:$R,MATCH($A9,'Valo FX'!$A:$A,0)),INDEX(Base!$V:$V,MATCH($A9,Base!$A:$A,0)),0)))</f>
        <v>6.1098939999999997</v>
      </c>
      <c r="LS9" s="21">
        <f>IF(LS$1&lt;INDEX('Valo FX'!$Q:$Q,MATCH($A9,'Valo FX'!$A:$A,0)),0,IF(LS$1&lt;INDEX('Valo FX'!$R:$R,MATCH($A9,'Valo FX'!$A:$A,0)),INDEX(Base!$U:$U,MATCH($A9,Base!$A:$A,0)),IF(LS$1=INDEX('Valo FX'!$R:$R,MATCH($A9,'Valo FX'!$A:$A,0)),INDEX(Base!$V:$V,MATCH($A9,Base!$A:$A,0)),0)))</f>
        <v>6.1098939999999997</v>
      </c>
      <c r="LT9" s="21">
        <f>IF(LT$1&lt;INDEX('Valo FX'!$Q:$Q,MATCH($A9,'Valo FX'!$A:$A,0)),0,IF(LT$1&lt;INDEX('Valo FX'!$R:$R,MATCH($A9,'Valo FX'!$A:$A,0)),INDEX(Base!$U:$U,MATCH($A9,Base!$A:$A,0)),IF(LT$1=INDEX('Valo FX'!$R:$R,MATCH($A9,'Valo FX'!$A:$A,0)),INDEX(Base!$V:$V,MATCH($A9,Base!$A:$A,0)),0)))</f>
        <v>6.1098939999999997</v>
      </c>
      <c r="LU9" s="21">
        <f>IF(LU$1&lt;INDEX('Valo FX'!$Q:$Q,MATCH($A9,'Valo FX'!$A:$A,0)),0,IF(LU$1&lt;INDEX('Valo FX'!$R:$R,MATCH($A9,'Valo FX'!$A:$A,0)),INDEX(Base!$U:$U,MATCH($A9,Base!$A:$A,0)),IF(LU$1=INDEX('Valo FX'!$R:$R,MATCH($A9,'Valo FX'!$A:$A,0)),INDEX(Base!$V:$V,MATCH($A9,Base!$A:$A,0)),0)))</f>
        <v>6.1098939999999997</v>
      </c>
      <c r="LV9" s="21">
        <f>IF(LV$1&lt;INDEX('Valo FX'!$Q:$Q,MATCH($A9,'Valo FX'!$A:$A,0)),0,IF(LV$1&lt;INDEX('Valo FX'!$R:$R,MATCH($A9,'Valo FX'!$A:$A,0)),INDEX(Base!$U:$U,MATCH($A9,Base!$A:$A,0)),IF(LV$1=INDEX('Valo FX'!$R:$R,MATCH($A9,'Valo FX'!$A:$A,0)),INDEX(Base!$V:$V,MATCH($A9,Base!$A:$A,0)),0)))</f>
        <v>6.1098939999999997</v>
      </c>
      <c r="LW9" s="21">
        <f>IF(LW$1&lt;INDEX('Valo FX'!$Q:$Q,MATCH($A9,'Valo FX'!$A:$A,0)),0,IF(LW$1&lt;INDEX('Valo FX'!$R:$R,MATCH($A9,'Valo FX'!$A:$A,0)),INDEX(Base!$U:$U,MATCH($A9,Base!$A:$A,0)),IF(LW$1=INDEX('Valo FX'!$R:$R,MATCH($A9,'Valo FX'!$A:$A,0)),INDEX(Base!$V:$V,MATCH($A9,Base!$A:$A,0)),0)))</f>
        <v>6.1098939999999997</v>
      </c>
      <c r="LX9" s="21">
        <f>IF(LX$1&lt;INDEX('Valo FX'!$Q:$Q,MATCH($A9,'Valo FX'!$A:$A,0)),0,IF(LX$1&lt;INDEX('Valo FX'!$R:$R,MATCH($A9,'Valo FX'!$A:$A,0)),INDEX(Base!$U:$U,MATCH($A9,Base!$A:$A,0)),IF(LX$1=INDEX('Valo FX'!$R:$R,MATCH($A9,'Valo FX'!$A:$A,0)),INDEX(Base!$V:$V,MATCH($A9,Base!$A:$A,0)),0)))</f>
        <v>6.1098939999999997</v>
      </c>
      <c r="LY9" s="21">
        <f>IF(LY$1&lt;INDEX('Valo FX'!$Q:$Q,MATCH($A9,'Valo FX'!$A:$A,0)),0,IF(LY$1&lt;INDEX('Valo FX'!$R:$R,MATCH($A9,'Valo FX'!$A:$A,0)),INDEX(Base!$U:$U,MATCH($A9,Base!$A:$A,0)),IF(LY$1=INDEX('Valo FX'!$R:$R,MATCH($A9,'Valo FX'!$A:$A,0)),INDEX(Base!$V:$V,MATCH($A9,Base!$A:$A,0)),0)))</f>
        <v>6.1098939999999997</v>
      </c>
      <c r="LZ9" s="21">
        <f>IF(LZ$1&lt;INDEX('Valo FX'!$Q:$Q,MATCH($A9,'Valo FX'!$A:$A,0)),0,IF(LZ$1&lt;INDEX('Valo FX'!$R:$R,MATCH($A9,'Valo FX'!$A:$A,0)),INDEX(Base!$U:$U,MATCH($A9,Base!$A:$A,0)),IF(LZ$1=INDEX('Valo FX'!$R:$R,MATCH($A9,'Valo FX'!$A:$A,0)),INDEX(Base!$V:$V,MATCH($A9,Base!$A:$A,0)),0)))</f>
        <v>6.1098939999999997</v>
      </c>
      <c r="MA9" s="21">
        <f>IF(MA$1&lt;INDEX('Valo FX'!$Q:$Q,MATCH($A9,'Valo FX'!$A:$A,0)),0,IF(MA$1&lt;INDEX('Valo FX'!$R:$R,MATCH($A9,'Valo FX'!$A:$A,0)),INDEX(Base!$U:$U,MATCH($A9,Base!$A:$A,0)),IF(MA$1=INDEX('Valo FX'!$R:$R,MATCH($A9,'Valo FX'!$A:$A,0)),INDEX(Base!$V:$V,MATCH($A9,Base!$A:$A,0)),0)))</f>
        <v>6.1098939999999997</v>
      </c>
      <c r="MB9" s="21">
        <f>IF(MB$1&lt;INDEX('Valo FX'!$Q:$Q,MATCH($A9,'Valo FX'!$A:$A,0)),0,IF(MB$1&lt;INDEX('Valo FX'!$R:$R,MATCH($A9,'Valo FX'!$A:$A,0)),INDEX(Base!$U:$U,MATCH($A9,Base!$A:$A,0)),IF(MB$1=INDEX('Valo FX'!$R:$R,MATCH($A9,'Valo FX'!$A:$A,0)),INDEX(Base!$V:$V,MATCH($A9,Base!$A:$A,0)),0)))</f>
        <v>6.1098939999999997</v>
      </c>
      <c r="MC9" s="21">
        <f>IF(MC$1&lt;INDEX('Valo FX'!$Q:$Q,MATCH($A9,'Valo FX'!$A:$A,0)),0,IF(MC$1&lt;INDEX('Valo FX'!$R:$R,MATCH($A9,'Valo FX'!$A:$A,0)),INDEX(Base!$U:$U,MATCH($A9,Base!$A:$A,0)),IF(MC$1=INDEX('Valo FX'!$R:$R,MATCH($A9,'Valo FX'!$A:$A,0)),INDEX(Base!$V:$V,MATCH($A9,Base!$A:$A,0)),0)))</f>
        <v>6.1098939999999997</v>
      </c>
      <c r="MD9" s="21">
        <f>IF(MD$1&lt;INDEX('Valo FX'!$Q:$Q,MATCH($A9,'Valo FX'!$A:$A,0)),0,IF(MD$1&lt;INDEX('Valo FX'!$R:$R,MATCH($A9,'Valo FX'!$A:$A,0)),INDEX(Base!$U:$U,MATCH($A9,Base!$A:$A,0)),IF(MD$1=INDEX('Valo FX'!$R:$R,MATCH($A9,'Valo FX'!$A:$A,0)),INDEX(Base!$V:$V,MATCH($A9,Base!$A:$A,0)),0)))</f>
        <v>6.1098939999999997</v>
      </c>
      <c r="ME9" s="21">
        <f>IF(ME$1&lt;INDEX('Valo FX'!$Q:$Q,MATCH($A9,'Valo FX'!$A:$A,0)),0,IF(ME$1&lt;INDEX('Valo FX'!$R:$R,MATCH($A9,'Valo FX'!$A:$A,0)),INDEX(Base!$U:$U,MATCH($A9,Base!$A:$A,0)),IF(ME$1=INDEX('Valo FX'!$R:$R,MATCH($A9,'Valo FX'!$A:$A,0)),INDEX(Base!$V:$V,MATCH($A9,Base!$A:$A,0)),0)))</f>
        <v>6.1098939999999997</v>
      </c>
      <c r="MF9" s="21">
        <f>IF(MF$1&lt;INDEX('Valo FX'!$Q:$Q,MATCH($A9,'Valo FX'!$A:$A,0)),0,IF(MF$1&lt;INDEX('Valo FX'!$R:$R,MATCH($A9,'Valo FX'!$A:$A,0)),INDEX(Base!$U:$U,MATCH($A9,Base!$A:$A,0)),IF(MF$1=INDEX('Valo FX'!$R:$R,MATCH($A9,'Valo FX'!$A:$A,0)),INDEX(Base!$V:$V,MATCH($A9,Base!$A:$A,0)),0)))</f>
        <v>6.1098939999999997</v>
      </c>
      <c r="MG9" s="21">
        <f>IF(MG$1&lt;INDEX('Valo FX'!$Q:$Q,MATCH($A9,'Valo FX'!$A:$A,0)),0,IF(MG$1&lt;INDEX('Valo FX'!$R:$R,MATCH($A9,'Valo FX'!$A:$A,0)),INDEX(Base!$U:$U,MATCH($A9,Base!$A:$A,0)),IF(MG$1=INDEX('Valo FX'!$R:$R,MATCH($A9,'Valo FX'!$A:$A,0)),INDEX(Base!$V:$V,MATCH($A9,Base!$A:$A,0)),0)))</f>
        <v>6.1098939999999997</v>
      </c>
      <c r="MH9" s="21">
        <f>IF(MH$1&lt;INDEX('Valo FX'!$Q:$Q,MATCH($A9,'Valo FX'!$A:$A,0)),0,IF(MH$1&lt;INDEX('Valo FX'!$R:$R,MATCH($A9,'Valo FX'!$A:$A,0)),INDEX(Base!$U:$U,MATCH($A9,Base!$A:$A,0)),IF(MH$1=INDEX('Valo FX'!$R:$R,MATCH($A9,'Valo FX'!$A:$A,0)),INDEX(Base!$V:$V,MATCH($A9,Base!$A:$A,0)),0)))</f>
        <v>6.1098939999999997</v>
      </c>
      <c r="MI9" s="21">
        <f>IF(MI$1&lt;INDEX('Valo FX'!$Q:$Q,MATCH($A9,'Valo FX'!$A:$A,0)),0,IF(MI$1&lt;INDEX('Valo FX'!$R:$R,MATCH($A9,'Valo FX'!$A:$A,0)),INDEX(Base!$U:$U,MATCH($A9,Base!$A:$A,0)),IF(MI$1=INDEX('Valo FX'!$R:$R,MATCH($A9,'Valo FX'!$A:$A,0)),INDEX(Base!$V:$V,MATCH($A9,Base!$A:$A,0)),0)))</f>
        <v>6.1098939999999997</v>
      </c>
      <c r="MJ9" s="21">
        <f>IF(MJ$1&lt;INDEX('Valo FX'!$Q:$Q,MATCH($A9,'Valo FX'!$A:$A,0)),0,IF(MJ$1&lt;INDEX('Valo FX'!$R:$R,MATCH($A9,'Valo FX'!$A:$A,0)),INDEX(Base!$U:$U,MATCH($A9,Base!$A:$A,0)),IF(MJ$1=INDEX('Valo FX'!$R:$R,MATCH($A9,'Valo FX'!$A:$A,0)),INDEX(Base!$V:$V,MATCH($A9,Base!$A:$A,0)),0)))</f>
        <v>6.1098939999999997</v>
      </c>
      <c r="MK9" s="21">
        <f>IF(MK$1&lt;INDEX('Valo FX'!$Q:$Q,MATCH($A9,'Valo FX'!$A:$A,0)),0,IF(MK$1&lt;INDEX('Valo FX'!$R:$R,MATCH($A9,'Valo FX'!$A:$A,0)),INDEX(Base!$U:$U,MATCH($A9,Base!$A:$A,0)),IF(MK$1=INDEX('Valo FX'!$R:$R,MATCH($A9,'Valo FX'!$A:$A,0)),INDEX(Base!$V:$V,MATCH($A9,Base!$A:$A,0)),0)))</f>
        <v>6.1098939999999997</v>
      </c>
      <c r="ML9" s="21">
        <f>IF(ML$1&lt;INDEX('Valo FX'!$Q:$Q,MATCH($A9,'Valo FX'!$A:$A,0)),0,IF(ML$1&lt;INDEX('Valo FX'!$R:$R,MATCH($A9,'Valo FX'!$A:$A,0)),INDEX(Base!$U:$U,MATCH($A9,Base!$A:$A,0)),IF(ML$1=INDEX('Valo FX'!$R:$R,MATCH($A9,'Valo FX'!$A:$A,0)),INDEX(Base!$V:$V,MATCH($A9,Base!$A:$A,0)),0)))</f>
        <v>6.1098939999999997</v>
      </c>
      <c r="MM9" s="21">
        <f>IF(MM$1&lt;INDEX('Valo FX'!$Q:$Q,MATCH($A9,'Valo FX'!$A:$A,0)),0,IF(MM$1&lt;INDEX('Valo FX'!$R:$R,MATCH($A9,'Valo FX'!$A:$A,0)),INDEX(Base!$U:$U,MATCH($A9,Base!$A:$A,0)),IF(MM$1=INDEX('Valo FX'!$R:$R,MATCH($A9,'Valo FX'!$A:$A,0)),INDEX(Base!$V:$V,MATCH($A9,Base!$A:$A,0)),0)))</f>
        <v>6.1098939999999997</v>
      </c>
      <c r="MN9" s="21">
        <f>IF(MN$1&lt;INDEX('Valo FX'!$Q:$Q,MATCH($A9,'Valo FX'!$A:$A,0)),0,IF(MN$1&lt;INDEX('Valo FX'!$R:$R,MATCH($A9,'Valo FX'!$A:$A,0)),INDEX(Base!$U:$U,MATCH($A9,Base!$A:$A,0)),IF(MN$1=INDEX('Valo FX'!$R:$R,MATCH($A9,'Valo FX'!$A:$A,0)),INDEX(Base!$V:$V,MATCH($A9,Base!$A:$A,0)),0)))</f>
        <v>6.1098939999999997</v>
      </c>
      <c r="MO9" s="21">
        <f>IF(MO$1&lt;INDEX('Valo FX'!$Q:$Q,MATCH($A9,'Valo FX'!$A:$A,0)),0,IF(MO$1&lt;INDEX('Valo FX'!$R:$R,MATCH($A9,'Valo FX'!$A:$A,0)),INDEX(Base!$U:$U,MATCH($A9,Base!$A:$A,0)),IF(MO$1=INDEX('Valo FX'!$R:$R,MATCH($A9,'Valo FX'!$A:$A,0)),INDEX(Base!$V:$V,MATCH($A9,Base!$A:$A,0)),0)))</f>
        <v>6.1098939999999997</v>
      </c>
      <c r="MP9" s="21">
        <f>IF(MP$1&lt;INDEX('Valo FX'!$Q:$Q,MATCH($A9,'Valo FX'!$A:$A,0)),0,IF(MP$1&lt;INDEX('Valo FX'!$R:$R,MATCH($A9,'Valo FX'!$A:$A,0)),INDEX(Base!$U:$U,MATCH($A9,Base!$A:$A,0)),IF(MP$1=INDEX('Valo FX'!$R:$R,MATCH($A9,'Valo FX'!$A:$A,0)),INDEX(Base!$V:$V,MATCH($A9,Base!$A:$A,0)),0)))</f>
        <v>6.1098939999999997</v>
      </c>
      <c r="MQ9" s="21">
        <f>IF(MQ$1&lt;INDEX('Valo FX'!$Q:$Q,MATCH($A9,'Valo FX'!$A:$A,0)),0,IF(MQ$1&lt;INDEX('Valo FX'!$R:$R,MATCH($A9,'Valo FX'!$A:$A,0)),INDEX(Base!$U:$U,MATCH($A9,Base!$A:$A,0)),IF(MQ$1=INDEX('Valo FX'!$R:$R,MATCH($A9,'Valo FX'!$A:$A,0)),INDEX(Base!$V:$V,MATCH($A9,Base!$A:$A,0)),0)))</f>
        <v>6.1098939999999997</v>
      </c>
      <c r="MR9" s="21">
        <f>IF(MR$1&lt;INDEX('Valo FX'!$Q:$Q,MATCH($A9,'Valo FX'!$A:$A,0)),0,IF(MR$1&lt;INDEX('Valo FX'!$R:$R,MATCH($A9,'Valo FX'!$A:$A,0)),INDEX(Base!$U:$U,MATCH($A9,Base!$A:$A,0)),IF(MR$1=INDEX('Valo FX'!$R:$R,MATCH($A9,'Valo FX'!$A:$A,0)),INDEX(Base!$V:$V,MATCH($A9,Base!$A:$A,0)),0)))</f>
        <v>6.1098939999999997</v>
      </c>
      <c r="MS9" s="21">
        <f>IF(MS$1&lt;INDEX('Valo FX'!$Q:$Q,MATCH($A9,'Valo FX'!$A:$A,0)),0,IF(MS$1&lt;INDEX('Valo FX'!$R:$R,MATCH($A9,'Valo FX'!$A:$A,0)),INDEX(Base!$U:$U,MATCH($A9,Base!$A:$A,0)),IF(MS$1=INDEX('Valo FX'!$R:$R,MATCH($A9,'Valo FX'!$A:$A,0)),INDEX(Base!$V:$V,MATCH($A9,Base!$A:$A,0)),0)))</f>
        <v>6.1098939999999997</v>
      </c>
      <c r="MT9" s="21">
        <f>IF(MT$1&lt;INDEX('Valo FX'!$Q:$Q,MATCH($A9,'Valo FX'!$A:$A,0)),0,IF(MT$1&lt;INDEX('Valo FX'!$R:$R,MATCH($A9,'Valo FX'!$A:$A,0)),INDEX(Base!$U:$U,MATCH($A9,Base!$A:$A,0)),IF(MT$1=INDEX('Valo FX'!$R:$R,MATCH($A9,'Valo FX'!$A:$A,0)),INDEX(Base!$V:$V,MATCH($A9,Base!$A:$A,0)),0)))</f>
        <v>6.1098939999999997</v>
      </c>
      <c r="MU9" s="21">
        <f>IF(MU$1&lt;INDEX('Valo FX'!$Q:$Q,MATCH($A9,'Valo FX'!$A:$A,0)),0,IF(MU$1&lt;INDEX('Valo FX'!$R:$R,MATCH($A9,'Valo FX'!$A:$A,0)),INDEX(Base!$U:$U,MATCH($A9,Base!$A:$A,0)),IF(MU$1=INDEX('Valo FX'!$R:$R,MATCH($A9,'Valo FX'!$A:$A,0)),INDEX(Base!$V:$V,MATCH($A9,Base!$A:$A,0)),0)))</f>
        <v>6.1098939999999997</v>
      </c>
      <c r="MV9" s="21">
        <f>IF(MV$1&lt;INDEX('Valo FX'!$Q:$Q,MATCH($A9,'Valo FX'!$A:$A,0)),0,IF(MV$1&lt;INDEX('Valo FX'!$R:$R,MATCH($A9,'Valo FX'!$A:$A,0)),INDEX(Base!$U:$U,MATCH($A9,Base!$A:$A,0)),IF(MV$1=INDEX('Valo FX'!$R:$R,MATCH($A9,'Valo FX'!$A:$A,0)),INDEX(Base!$V:$V,MATCH($A9,Base!$A:$A,0)),0)))</f>
        <v>6.1098939999999997</v>
      </c>
      <c r="MW9" s="21">
        <f>IF(MW$1&lt;INDEX('Valo FX'!$Q:$Q,MATCH($A9,'Valo FX'!$A:$A,0)),0,IF(MW$1&lt;INDEX('Valo FX'!$R:$R,MATCH($A9,'Valo FX'!$A:$A,0)),INDEX(Base!$U:$U,MATCH($A9,Base!$A:$A,0)),IF(MW$1=INDEX('Valo FX'!$R:$R,MATCH($A9,'Valo FX'!$A:$A,0)),INDEX(Base!$V:$V,MATCH($A9,Base!$A:$A,0)),0)))</f>
        <v>6.1098939999999997</v>
      </c>
      <c r="MX9" s="21">
        <f>IF(MX$1&lt;INDEX('Valo FX'!$Q:$Q,MATCH($A9,'Valo FX'!$A:$A,0)),0,IF(MX$1&lt;INDEX('Valo FX'!$R:$R,MATCH($A9,'Valo FX'!$A:$A,0)),INDEX(Base!$U:$U,MATCH($A9,Base!$A:$A,0)),IF(MX$1=INDEX('Valo FX'!$R:$R,MATCH($A9,'Valo FX'!$A:$A,0)),INDEX(Base!$V:$V,MATCH($A9,Base!$A:$A,0)),0)))</f>
        <v>6.6088490000000002</v>
      </c>
      <c r="MY9" s="21">
        <f>IF(MY$1&lt;INDEX('Valo FX'!$Q:$Q,MATCH($A9,'Valo FX'!$A:$A,0)),0,IF(MY$1&lt;INDEX('Valo FX'!$R:$R,MATCH($A9,'Valo FX'!$A:$A,0)),INDEX(Base!$U:$U,MATCH($A9,Base!$A:$A,0)),IF(MY$1=INDEX('Valo FX'!$R:$R,MATCH($A9,'Valo FX'!$A:$A,0)),INDEX(Base!$V:$V,MATCH($A9,Base!$A:$A,0)),0)))</f>
        <v>0</v>
      </c>
    </row>
    <row r="10" spans="1:363" x14ac:dyDescent="0.25">
      <c r="A10" s="7">
        <f>+'Valo FX'!A11</f>
        <v>8</v>
      </c>
      <c r="B10" s="59">
        <f>-'Valo FX'!T11</f>
        <v>-1380.7573413714106</v>
      </c>
      <c r="C10" s="21">
        <f>IF(C$1&lt;INDEX('Valo FX'!$Q:$Q,MATCH($A10,'Valo FX'!$A:$A,0)),0,IF(C$1&lt;INDEX('Valo FX'!$R:$R,MATCH($A10,'Valo FX'!$A:$A,0)),INDEX(Base!$U:$U,MATCH($A10,Base!$A:$A,0)),IF(C$1=INDEX('Valo FX'!$R:$R,MATCH($A10,'Valo FX'!$A:$A,0)),INDEX(Base!$V:$V,MATCH($A10,Base!$A:$A,0)),0)))</f>
        <v>0</v>
      </c>
      <c r="D10" s="21">
        <f>IF(D$1&lt;INDEX('Valo FX'!$Q:$Q,MATCH($A10,'Valo FX'!$A:$A,0)),0,IF(D$1&lt;INDEX('Valo FX'!$R:$R,MATCH($A10,'Valo FX'!$A:$A,0)),INDEX(Base!$U:$U,MATCH($A10,Base!$A:$A,0)),IF(D$1=INDEX('Valo FX'!$R:$R,MATCH($A10,'Valo FX'!$A:$A,0)),INDEX(Base!$V:$V,MATCH($A10,Base!$A:$A,0)),0)))</f>
        <v>0</v>
      </c>
      <c r="E10" s="21">
        <f>IF(E$1&lt;INDEX('Valo FX'!$Q:$Q,MATCH($A10,'Valo FX'!$A:$A,0)),0,IF(E$1&lt;INDEX('Valo FX'!$R:$R,MATCH($A10,'Valo FX'!$A:$A,0)),INDEX(Base!$U:$U,MATCH($A10,Base!$A:$A,0)),IF(E$1=INDEX('Valo FX'!$R:$R,MATCH($A10,'Valo FX'!$A:$A,0)),INDEX(Base!$V:$V,MATCH($A10,Base!$A:$A,0)),0)))</f>
        <v>0</v>
      </c>
      <c r="F10" s="21">
        <f>IF(F$1&lt;INDEX('Valo FX'!$Q:$Q,MATCH($A10,'Valo FX'!$A:$A,0)),0,IF(F$1&lt;INDEX('Valo FX'!$R:$R,MATCH($A10,'Valo FX'!$A:$A,0)),INDEX(Base!$U:$U,MATCH($A10,Base!$A:$A,0)),IF(F$1=INDEX('Valo FX'!$R:$R,MATCH($A10,'Valo FX'!$A:$A,0)),INDEX(Base!$V:$V,MATCH($A10,Base!$A:$A,0)),0)))</f>
        <v>0</v>
      </c>
      <c r="G10" s="21">
        <f>IF(G$1&lt;INDEX('Valo FX'!$Q:$Q,MATCH($A10,'Valo FX'!$A:$A,0)),0,IF(G$1&lt;INDEX('Valo FX'!$R:$R,MATCH($A10,'Valo FX'!$A:$A,0)),INDEX(Base!$U:$U,MATCH($A10,Base!$A:$A,0)),IF(G$1=INDEX('Valo FX'!$R:$R,MATCH($A10,'Valo FX'!$A:$A,0)),INDEX(Base!$V:$V,MATCH($A10,Base!$A:$A,0)),0)))</f>
        <v>0</v>
      </c>
      <c r="H10" s="21">
        <f>IF(H$1&lt;INDEX('Valo FX'!$Q:$Q,MATCH($A10,'Valo FX'!$A:$A,0)),0,IF(H$1&lt;INDEX('Valo FX'!$R:$R,MATCH($A10,'Valo FX'!$A:$A,0)),INDEX(Base!$U:$U,MATCH($A10,Base!$A:$A,0)),IF(H$1=INDEX('Valo FX'!$R:$R,MATCH($A10,'Valo FX'!$A:$A,0)),INDEX(Base!$V:$V,MATCH($A10,Base!$A:$A,0)),0)))</f>
        <v>15.019052</v>
      </c>
      <c r="I10" s="21">
        <f>IF(I$1&lt;INDEX('Valo FX'!$Q:$Q,MATCH($A10,'Valo FX'!$A:$A,0)),0,IF(I$1&lt;INDEX('Valo FX'!$R:$R,MATCH($A10,'Valo FX'!$A:$A,0)),INDEX(Base!$U:$U,MATCH($A10,Base!$A:$A,0)),IF(I$1=INDEX('Valo FX'!$R:$R,MATCH($A10,'Valo FX'!$A:$A,0)),INDEX(Base!$V:$V,MATCH($A10,Base!$A:$A,0)),0)))</f>
        <v>15.019052</v>
      </c>
      <c r="J10" s="21">
        <f>IF(J$1&lt;INDEX('Valo FX'!$Q:$Q,MATCH($A10,'Valo FX'!$A:$A,0)),0,IF(J$1&lt;INDEX('Valo FX'!$R:$R,MATCH($A10,'Valo FX'!$A:$A,0)),INDEX(Base!$U:$U,MATCH($A10,Base!$A:$A,0)),IF(J$1=INDEX('Valo FX'!$R:$R,MATCH($A10,'Valo FX'!$A:$A,0)),INDEX(Base!$V:$V,MATCH($A10,Base!$A:$A,0)),0)))</f>
        <v>15.019052</v>
      </c>
      <c r="K10" s="21">
        <f>IF(K$1&lt;INDEX('Valo FX'!$Q:$Q,MATCH($A10,'Valo FX'!$A:$A,0)),0,IF(K$1&lt;INDEX('Valo FX'!$R:$R,MATCH($A10,'Valo FX'!$A:$A,0)),INDEX(Base!$U:$U,MATCH($A10,Base!$A:$A,0)),IF(K$1=INDEX('Valo FX'!$R:$R,MATCH($A10,'Valo FX'!$A:$A,0)),INDEX(Base!$V:$V,MATCH($A10,Base!$A:$A,0)),0)))</f>
        <v>15.019052</v>
      </c>
      <c r="L10" s="21">
        <f>IF(L$1&lt;INDEX('Valo FX'!$Q:$Q,MATCH($A10,'Valo FX'!$A:$A,0)),0,IF(L$1&lt;INDEX('Valo FX'!$R:$R,MATCH($A10,'Valo FX'!$A:$A,0)),INDEX(Base!$U:$U,MATCH($A10,Base!$A:$A,0)),IF(L$1=INDEX('Valo FX'!$R:$R,MATCH($A10,'Valo FX'!$A:$A,0)),INDEX(Base!$V:$V,MATCH($A10,Base!$A:$A,0)),0)))</f>
        <v>15.019052</v>
      </c>
      <c r="M10" s="21">
        <f>IF(M$1&lt;INDEX('Valo FX'!$Q:$Q,MATCH($A10,'Valo FX'!$A:$A,0)),0,IF(M$1&lt;INDEX('Valo FX'!$R:$R,MATCH($A10,'Valo FX'!$A:$A,0)),INDEX(Base!$U:$U,MATCH($A10,Base!$A:$A,0)),IF(M$1=INDEX('Valo FX'!$R:$R,MATCH($A10,'Valo FX'!$A:$A,0)),INDEX(Base!$V:$V,MATCH($A10,Base!$A:$A,0)),0)))</f>
        <v>15.019052</v>
      </c>
      <c r="N10" s="21">
        <f>IF(N$1&lt;INDEX('Valo FX'!$Q:$Q,MATCH($A10,'Valo FX'!$A:$A,0)),0,IF(N$1&lt;INDEX('Valo FX'!$R:$R,MATCH($A10,'Valo FX'!$A:$A,0)),INDEX(Base!$U:$U,MATCH($A10,Base!$A:$A,0)),IF(N$1=INDEX('Valo FX'!$R:$R,MATCH($A10,'Valo FX'!$A:$A,0)),INDEX(Base!$V:$V,MATCH($A10,Base!$A:$A,0)),0)))</f>
        <v>15.019052</v>
      </c>
      <c r="O10" s="21">
        <f>IF(O$1&lt;INDEX('Valo FX'!$Q:$Q,MATCH($A10,'Valo FX'!$A:$A,0)),0,IF(O$1&lt;INDEX('Valo FX'!$R:$R,MATCH($A10,'Valo FX'!$A:$A,0)),INDEX(Base!$U:$U,MATCH($A10,Base!$A:$A,0)),IF(O$1=INDEX('Valo FX'!$R:$R,MATCH($A10,'Valo FX'!$A:$A,0)),INDEX(Base!$V:$V,MATCH($A10,Base!$A:$A,0)),0)))</f>
        <v>15.019052</v>
      </c>
      <c r="P10" s="21">
        <f>IF(P$1&lt;INDEX('Valo FX'!$Q:$Q,MATCH($A10,'Valo FX'!$A:$A,0)),0,IF(P$1&lt;INDEX('Valo FX'!$R:$R,MATCH($A10,'Valo FX'!$A:$A,0)),INDEX(Base!$U:$U,MATCH($A10,Base!$A:$A,0)),IF(P$1=INDEX('Valo FX'!$R:$R,MATCH($A10,'Valo FX'!$A:$A,0)),INDEX(Base!$V:$V,MATCH($A10,Base!$A:$A,0)),0)))</f>
        <v>15.019052</v>
      </c>
      <c r="Q10" s="21">
        <f>IF(Q$1&lt;INDEX('Valo FX'!$Q:$Q,MATCH($A10,'Valo FX'!$A:$A,0)),0,IF(Q$1&lt;INDEX('Valo FX'!$R:$R,MATCH($A10,'Valo FX'!$A:$A,0)),INDEX(Base!$U:$U,MATCH($A10,Base!$A:$A,0)),IF(Q$1=INDEX('Valo FX'!$R:$R,MATCH($A10,'Valo FX'!$A:$A,0)),INDEX(Base!$V:$V,MATCH($A10,Base!$A:$A,0)),0)))</f>
        <v>15.019052</v>
      </c>
      <c r="R10" s="21">
        <f>IF(R$1&lt;INDEX('Valo FX'!$Q:$Q,MATCH($A10,'Valo FX'!$A:$A,0)),0,IF(R$1&lt;INDEX('Valo FX'!$R:$R,MATCH($A10,'Valo FX'!$A:$A,0)),INDEX(Base!$U:$U,MATCH($A10,Base!$A:$A,0)),IF(R$1=INDEX('Valo FX'!$R:$R,MATCH($A10,'Valo FX'!$A:$A,0)),INDEX(Base!$V:$V,MATCH($A10,Base!$A:$A,0)),0)))</f>
        <v>15.019052</v>
      </c>
      <c r="S10" s="21">
        <f>IF(S$1&lt;INDEX('Valo FX'!$Q:$Q,MATCH($A10,'Valo FX'!$A:$A,0)),0,IF(S$1&lt;INDEX('Valo FX'!$R:$R,MATCH($A10,'Valo FX'!$A:$A,0)),INDEX(Base!$U:$U,MATCH($A10,Base!$A:$A,0)),IF(S$1=INDEX('Valo FX'!$R:$R,MATCH($A10,'Valo FX'!$A:$A,0)),INDEX(Base!$V:$V,MATCH($A10,Base!$A:$A,0)),0)))</f>
        <v>15.019052</v>
      </c>
      <c r="T10" s="21">
        <f>IF(T$1&lt;INDEX('Valo FX'!$Q:$Q,MATCH($A10,'Valo FX'!$A:$A,0)),0,IF(T$1&lt;INDEX('Valo FX'!$R:$R,MATCH($A10,'Valo FX'!$A:$A,0)),INDEX(Base!$U:$U,MATCH($A10,Base!$A:$A,0)),IF(T$1=INDEX('Valo FX'!$R:$R,MATCH($A10,'Valo FX'!$A:$A,0)),INDEX(Base!$V:$V,MATCH($A10,Base!$A:$A,0)),0)))</f>
        <v>15.019052</v>
      </c>
      <c r="U10" s="21">
        <f>IF(U$1&lt;INDEX('Valo FX'!$Q:$Q,MATCH($A10,'Valo FX'!$A:$A,0)),0,IF(U$1&lt;INDEX('Valo FX'!$R:$R,MATCH($A10,'Valo FX'!$A:$A,0)),INDEX(Base!$U:$U,MATCH($A10,Base!$A:$A,0)),IF(U$1=INDEX('Valo FX'!$R:$R,MATCH($A10,'Valo FX'!$A:$A,0)),INDEX(Base!$V:$V,MATCH($A10,Base!$A:$A,0)),0)))</f>
        <v>15.019052</v>
      </c>
      <c r="V10" s="21">
        <f>IF(V$1&lt;INDEX('Valo FX'!$Q:$Q,MATCH($A10,'Valo FX'!$A:$A,0)),0,IF(V$1&lt;INDEX('Valo FX'!$R:$R,MATCH($A10,'Valo FX'!$A:$A,0)),INDEX(Base!$U:$U,MATCH($A10,Base!$A:$A,0)),IF(V$1=INDEX('Valo FX'!$R:$R,MATCH($A10,'Valo FX'!$A:$A,0)),INDEX(Base!$V:$V,MATCH($A10,Base!$A:$A,0)),0)))</f>
        <v>15.019052</v>
      </c>
      <c r="W10" s="21">
        <f>IF(W$1&lt;INDEX('Valo FX'!$Q:$Q,MATCH($A10,'Valo FX'!$A:$A,0)),0,IF(W$1&lt;INDEX('Valo FX'!$R:$R,MATCH($A10,'Valo FX'!$A:$A,0)),INDEX(Base!$U:$U,MATCH($A10,Base!$A:$A,0)),IF(W$1=INDEX('Valo FX'!$R:$R,MATCH($A10,'Valo FX'!$A:$A,0)),INDEX(Base!$V:$V,MATCH($A10,Base!$A:$A,0)),0)))</f>
        <v>15.019052</v>
      </c>
      <c r="X10" s="21">
        <f>IF(X$1&lt;INDEX('Valo FX'!$Q:$Q,MATCH($A10,'Valo FX'!$A:$A,0)),0,IF(X$1&lt;INDEX('Valo FX'!$R:$R,MATCH($A10,'Valo FX'!$A:$A,0)),INDEX(Base!$U:$U,MATCH($A10,Base!$A:$A,0)),IF(X$1=INDEX('Valo FX'!$R:$R,MATCH($A10,'Valo FX'!$A:$A,0)),INDEX(Base!$V:$V,MATCH($A10,Base!$A:$A,0)),0)))</f>
        <v>15.019052</v>
      </c>
      <c r="Y10" s="21">
        <f>IF(Y$1&lt;INDEX('Valo FX'!$Q:$Q,MATCH($A10,'Valo FX'!$A:$A,0)),0,IF(Y$1&lt;INDEX('Valo FX'!$R:$R,MATCH($A10,'Valo FX'!$A:$A,0)),INDEX(Base!$U:$U,MATCH($A10,Base!$A:$A,0)),IF(Y$1=INDEX('Valo FX'!$R:$R,MATCH($A10,'Valo FX'!$A:$A,0)),INDEX(Base!$V:$V,MATCH($A10,Base!$A:$A,0)),0)))</f>
        <v>15.019052</v>
      </c>
      <c r="Z10" s="21">
        <f>IF(Z$1&lt;INDEX('Valo FX'!$Q:$Q,MATCH($A10,'Valo FX'!$A:$A,0)),0,IF(Z$1&lt;INDEX('Valo FX'!$R:$R,MATCH($A10,'Valo FX'!$A:$A,0)),INDEX(Base!$U:$U,MATCH($A10,Base!$A:$A,0)),IF(Z$1=INDEX('Valo FX'!$R:$R,MATCH($A10,'Valo FX'!$A:$A,0)),INDEX(Base!$V:$V,MATCH($A10,Base!$A:$A,0)),0)))</f>
        <v>15.019052</v>
      </c>
      <c r="AA10" s="21">
        <f>IF(AA$1&lt;INDEX('Valo FX'!$Q:$Q,MATCH($A10,'Valo FX'!$A:$A,0)),0,IF(AA$1&lt;INDEX('Valo FX'!$R:$R,MATCH($A10,'Valo FX'!$A:$A,0)),INDEX(Base!$U:$U,MATCH($A10,Base!$A:$A,0)),IF(AA$1=INDEX('Valo FX'!$R:$R,MATCH($A10,'Valo FX'!$A:$A,0)),INDEX(Base!$V:$V,MATCH($A10,Base!$A:$A,0)),0)))</f>
        <v>15.019052</v>
      </c>
      <c r="AB10" s="21">
        <f>IF(AB$1&lt;INDEX('Valo FX'!$Q:$Q,MATCH($A10,'Valo FX'!$A:$A,0)),0,IF(AB$1&lt;INDEX('Valo FX'!$R:$R,MATCH($A10,'Valo FX'!$A:$A,0)),INDEX(Base!$U:$U,MATCH($A10,Base!$A:$A,0)),IF(AB$1=INDEX('Valo FX'!$R:$R,MATCH($A10,'Valo FX'!$A:$A,0)),INDEX(Base!$V:$V,MATCH($A10,Base!$A:$A,0)),0)))</f>
        <v>15.019052</v>
      </c>
      <c r="AC10" s="21">
        <f>IF(AC$1&lt;INDEX('Valo FX'!$Q:$Q,MATCH($A10,'Valo FX'!$A:$A,0)),0,IF(AC$1&lt;INDEX('Valo FX'!$R:$R,MATCH($A10,'Valo FX'!$A:$A,0)),INDEX(Base!$U:$U,MATCH($A10,Base!$A:$A,0)),IF(AC$1=INDEX('Valo FX'!$R:$R,MATCH($A10,'Valo FX'!$A:$A,0)),INDEX(Base!$V:$V,MATCH($A10,Base!$A:$A,0)),0)))</f>
        <v>15.019052</v>
      </c>
      <c r="AD10" s="21">
        <f>IF(AD$1&lt;INDEX('Valo FX'!$Q:$Q,MATCH($A10,'Valo FX'!$A:$A,0)),0,IF(AD$1&lt;INDEX('Valo FX'!$R:$R,MATCH($A10,'Valo FX'!$A:$A,0)),INDEX(Base!$U:$U,MATCH($A10,Base!$A:$A,0)),IF(AD$1=INDEX('Valo FX'!$R:$R,MATCH($A10,'Valo FX'!$A:$A,0)),INDEX(Base!$V:$V,MATCH($A10,Base!$A:$A,0)),0)))</f>
        <v>15.019052</v>
      </c>
      <c r="AE10" s="21">
        <f>IF(AE$1&lt;INDEX('Valo FX'!$Q:$Q,MATCH($A10,'Valo FX'!$A:$A,0)),0,IF(AE$1&lt;INDEX('Valo FX'!$R:$R,MATCH($A10,'Valo FX'!$A:$A,0)),INDEX(Base!$U:$U,MATCH($A10,Base!$A:$A,0)),IF(AE$1=INDEX('Valo FX'!$R:$R,MATCH($A10,'Valo FX'!$A:$A,0)),INDEX(Base!$V:$V,MATCH($A10,Base!$A:$A,0)),0)))</f>
        <v>15.019052</v>
      </c>
      <c r="AF10" s="21">
        <f>IF(AF$1&lt;INDEX('Valo FX'!$Q:$Q,MATCH($A10,'Valo FX'!$A:$A,0)),0,IF(AF$1&lt;INDEX('Valo FX'!$R:$R,MATCH($A10,'Valo FX'!$A:$A,0)),INDEX(Base!$U:$U,MATCH($A10,Base!$A:$A,0)),IF(AF$1=INDEX('Valo FX'!$R:$R,MATCH($A10,'Valo FX'!$A:$A,0)),INDEX(Base!$V:$V,MATCH($A10,Base!$A:$A,0)),0)))</f>
        <v>15.019052</v>
      </c>
      <c r="AG10" s="21">
        <f>IF(AG$1&lt;INDEX('Valo FX'!$Q:$Q,MATCH($A10,'Valo FX'!$A:$A,0)),0,IF(AG$1&lt;INDEX('Valo FX'!$R:$R,MATCH($A10,'Valo FX'!$A:$A,0)),INDEX(Base!$U:$U,MATCH($A10,Base!$A:$A,0)),IF(AG$1=INDEX('Valo FX'!$R:$R,MATCH($A10,'Valo FX'!$A:$A,0)),INDEX(Base!$V:$V,MATCH($A10,Base!$A:$A,0)),0)))</f>
        <v>15.019052</v>
      </c>
      <c r="AH10" s="21">
        <f>IF(AH$1&lt;INDEX('Valo FX'!$Q:$Q,MATCH($A10,'Valo FX'!$A:$A,0)),0,IF(AH$1&lt;INDEX('Valo FX'!$R:$R,MATCH($A10,'Valo FX'!$A:$A,0)),INDEX(Base!$U:$U,MATCH($A10,Base!$A:$A,0)),IF(AH$1=INDEX('Valo FX'!$R:$R,MATCH($A10,'Valo FX'!$A:$A,0)),INDEX(Base!$V:$V,MATCH($A10,Base!$A:$A,0)),0)))</f>
        <v>15.019052</v>
      </c>
      <c r="AI10" s="21">
        <f>IF(AI$1&lt;INDEX('Valo FX'!$Q:$Q,MATCH($A10,'Valo FX'!$A:$A,0)),0,IF(AI$1&lt;INDEX('Valo FX'!$R:$R,MATCH($A10,'Valo FX'!$A:$A,0)),INDEX(Base!$U:$U,MATCH($A10,Base!$A:$A,0)),IF(AI$1=INDEX('Valo FX'!$R:$R,MATCH($A10,'Valo FX'!$A:$A,0)),INDEX(Base!$V:$V,MATCH($A10,Base!$A:$A,0)),0)))</f>
        <v>15.019052</v>
      </c>
      <c r="AJ10" s="21">
        <f>IF(AJ$1&lt;INDEX('Valo FX'!$Q:$Q,MATCH($A10,'Valo FX'!$A:$A,0)),0,IF(AJ$1&lt;INDEX('Valo FX'!$R:$R,MATCH($A10,'Valo FX'!$A:$A,0)),INDEX(Base!$U:$U,MATCH($A10,Base!$A:$A,0)),IF(AJ$1=INDEX('Valo FX'!$R:$R,MATCH($A10,'Valo FX'!$A:$A,0)),INDEX(Base!$V:$V,MATCH($A10,Base!$A:$A,0)),0)))</f>
        <v>15.019052</v>
      </c>
      <c r="AK10" s="21">
        <f>IF(AK$1&lt;INDEX('Valo FX'!$Q:$Q,MATCH($A10,'Valo FX'!$A:$A,0)),0,IF(AK$1&lt;INDEX('Valo FX'!$R:$R,MATCH($A10,'Valo FX'!$A:$A,0)),INDEX(Base!$U:$U,MATCH($A10,Base!$A:$A,0)),IF(AK$1=INDEX('Valo FX'!$R:$R,MATCH($A10,'Valo FX'!$A:$A,0)),INDEX(Base!$V:$V,MATCH($A10,Base!$A:$A,0)),0)))</f>
        <v>15.019052</v>
      </c>
      <c r="AL10" s="21">
        <f>IF(AL$1&lt;INDEX('Valo FX'!$Q:$Q,MATCH($A10,'Valo FX'!$A:$A,0)),0,IF(AL$1&lt;INDEX('Valo FX'!$R:$R,MATCH($A10,'Valo FX'!$A:$A,0)),INDEX(Base!$U:$U,MATCH($A10,Base!$A:$A,0)),IF(AL$1=INDEX('Valo FX'!$R:$R,MATCH($A10,'Valo FX'!$A:$A,0)),INDEX(Base!$V:$V,MATCH($A10,Base!$A:$A,0)),0)))</f>
        <v>15.019052</v>
      </c>
      <c r="AM10" s="21">
        <f>IF(AM$1&lt;INDEX('Valo FX'!$Q:$Q,MATCH($A10,'Valo FX'!$A:$A,0)),0,IF(AM$1&lt;INDEX('Valo FX'!$R:$R,MATCH($A10,'Valo FX'!$A:$A,0)),INDEX(Base!$U:$U,MATCH($A10,Base!$A:$A,0)),IF(AM$1=INDEX('Valo FX'!$R:$R,MATCH($A10,'Valo FX'!$A:$A,0)),INDEX(Base!$V:$V,MATCH($A10,Base!$A:$A,0)),0)))</f>
        <v>15.019052</v>
      </c>
      <c r="AN10" s="21">
        <f>IF(AN$1&lt;INDEX('Valo FX'!$Q:$Q,MATCH($A10,'Valo FX'!$A:$A,0)),0,IF(AN$1&lt;INDEX('Valo FX'!$R:$R,MATCH($A10,'Valo FX'!$A:$A,0)),INDEX(Base!$U:$U,MATCH($A10,Base!$A:$A,0)),IF(AN$1=INDEX('Valo FX'!$R:$R,MATCH($A10,'Valo FX'!$A:$A,0)),INDEX(Base!$V:$V,MATCH($A10,Base!$A:$A,0)),0)))</f>
        <v>15.019052</v>
      </c>
      <c r="AO10" s="21">
        <f>IF(AO$1&lt;INDEX('Valo FX'!$Q:$Q,MATCH($A10,'Valo FX'!$A:$A,0)),0,IF(AO$1&lt;INDEX('Valo FX'!$R:$R,MATCH($A10,'Valo FX'!$A:$A,0)),INDEX(Base!$U:$U,MATCH($A10,Base!$A:$A,0)),IF(AO$1=INDEX('Valo FX'!$R:$R,MATCH($A10,'Valo FX'!$A:$A,0)),INDEX(Base!$V:$V,MATCH($A10,Base!$A:$A,0)),0)))</f>
        <v>15.019052</v>
      </c>
      <c r="AP10" s="21">
        <f>IF(AP$1&lt;INDEX('Valo FX'!$Q:$Q,MATCH($A10,'Valo FX'!$A:$A,0)),0,IF(AP$1&lt;INDEX('Valo FX'!$R:$R,MATCH($A10,'Valo FX'!$A:$A,0)),INDEX(Base!$U:$U,MATCH($A10,Base!$A:$A,0)),IF(AP$1=INDEX('Valo FX'!$R:$R,MATCH($A10,'Valo FX'!$A:$A,0)),INDEX(Base!$V:$V,MATCH($A10,Base!$A:$A,0)),0)))</f>
        <v>15.019052</v>
      </c>
      <c r="AQ10" s="21">
        <f>IF(AQ$1&lt;INDEX('Valo FX'!$Q:$Q,MATCH($A10,'Valo FX'!$A:$A,0)),0,IF(AQ$1&lt;INDEX('Valo FX'!$R:$R,MATCH($A10,'Valo FX'!$A:$A,0)),INDEX(Base!$U:$U,MATCH($A10,Base!$A:$A,0)),IF(AQ$1=INDEX('Valo FX'!$R:$R,MATCH($A10,'Valo FX'!$A:$A,0)),INDEX(Base!$V:$V,MATCH($A10,Base!$A:$A,0)),0)))</f>
        <v>15.019052</v>
      </c>
      <c r="AR10" s="21">
        <f>IF(AR$1&lt;INDEX('Valo FX'!$Q:$Q,MATCH($A10,'Valo FX'!$A:$A,0)),0,IF(AR$1&lt;INDEX('Valo FX'!$R:$R,MATCH($A10,'Valo FX'!$A:$A,0)),INDEX(Base!$U:$U,MATCH($A10,Base!$A:$A,0)),IF(AR$1=INDEX('Valo FX'!$R:$R,MATCH($A10,'Valo FX'!$A:$A,0)),INDEX(Base!$V:$V,MATCH($A10,Base!$A:$A,0)),0)))</f>
        <v>15.019052</v>
      </c>
      <c r="AS10" s="21">
        <f>IF(AS$1&lt;INDEX('Valo FX'!$Q:$Q,MATCH($A10,'Valo FX'!$A:$A,0)),0,IF(AS$1&lt;INDEX('Valo FX'!$R:$R,MATCH($A10,'Valo FX'!$A:$A,0)),INDEX(Base!$U:$U,MATCH($A10,Base!$A:$A,0)),IF(AS$1=INDEX('Valo FX'!$R:$R,MATCH($A10,'Valo FX'!$A:$A,0)),INDEX(Base!$V:$V,MATCH($A10,Base!$A:$A,0)),0)))</f>
        <v>15.019052</v>
      </c>
      <c r="AT10" s="21">
        <f>IF(AT$1&lt;INDEX('Valo FX'!$Q:$Q,MATCH($A10,'Valo FX'!$A:$A,0)),0,IF(AT$1&lt;INDEX('Valo FX'!$R:$R,MATCH($A10,'Valo FX'!$A:$A,0)),INDEX(Base!$U:$U,MATCH($A10,Base!$A:$A,0)),IF(AT$1=INDEX('Valo FX'!$R:$R,MATCH($A10,'Valo FX'!$A:$A,0)),INDEX(Base!$V:$V,MATCH($A10,Base!$A:$A,0)),0)))</f>
        <v>15.019052</v>
      </c>
      <c r="AU10" s="21">
        <f>IF(AU$1&lt;INDEX('Valo FX'!$Q:$Q,MATCH($A10,'Valo FX'!$A:$A,0)),0,IF(AU$1&lt;INDEX('Valo FX'!$R:$R,MATCH($A10,'Valo FX'!$A:$A,0)),INDEX(Base!$U:$U,MATCH($A10,Base!$A:$A,0)),IF(AU$1=INDEX('Valo FX'!$R:$R,MATCH($A10,'Valo FX'!$A:$A,0)),INDEX(Base!$V:$V,MATCH($A10,Base!$A:$A,0)),0)))</f>
        <v>15.019052</v>
      </c>
      <c r="AV10" s="21">
        <f>IF(AV$1&lt;INDEX('Valo FX'!$Q:$Q,MATCH($A10,'Valo FX'!$A:$A,0)),0,IF(AV$1&lt;INDEX('Valo FX'!$R:$R,MATCH($A10,'Valo FX'!$A:$A,0)),INDEX(Base!$U:$U,MATCH($A10,Base!$A:$A,0)),IF(AV$1=INDEX('Valo FX'!$R:$R,MATCH($A10,'Valo FX'!$A:$A,0)),INDEX(Base!$V:$V,MATCH($A10,Base!$A:$A,0)),0)))</f>
        <v>15.019052</v>
      </c>
      <c r="AW10" s="21">
        <f>IF(AW$1&lt;INDEX('Valo FX'!$Q:$Q,MATCH($A10,'Valo FX'!$A:$A,0)),0,IF(AW$1&lt;INDEX('Valo FX'!$R:$R,MATCH($A10,'Valo FX'!$A:$A,0)),INDEX(Base!$U:$U,MATCH($A10,Base!$A:$A,0)),IF(AW$1=INDEX('Valo FX'!$R:$R,MATCH($A10,'Valo FX'!$A:$A,0)),INDEX(Base!$V:$V,MATCH($A10,Base!$A:$A,0)),0)))</f>
        <v>15.019052</v>
      </c>
      <c r="AX10" s="21">
        <f>IF(AX$1&lt;INDEX('Valo FX'!$Q:$Q,MATCH($A10,'Valo FX'!$A:$A,0)),0,IF(AX$1&lt;INDEX('Valo FX'!$R:$R,MATCH($A10,'Valo FX'!$A:$A,0)),INDEX(Base!$U:$U,MATCH($A10,Base!$A:$A,0)),IF(AX$1=INDEX('Valo FX'!$R:$R,MATCH($A10,'Valo FX'!$A:$A,0)),INDEX(Base!$V:$V,MATCH($A10,Base!$A:$A,0)),0)))</f>
        <v>15.019052</v>
      </c>
      <c r="AY10" s="21">
        <f>IF(AY$1&lt;INDEX('Valo FX'!$Q:$Q,MATCH($A10,'Valo FX'!$A:$A,0)),0,IF(AY$1&lt;INDEX('Valo FX'!$R:$R,MATCH($A10,'Valo FX'!$A:$A,0)),INDEX(Base!$U:$U,MATCH($A10,Base!$A:$A,0)),IF(AY$1=INDEX('Valo FX'!$R:$R,MATCH($A10,'Valo FX'!$A:$A,0)),INDEX(Base!$V:$V,MATCH($A10,Base!$A:$A,0)),0)))</f>
        <v>15.019052</v>
      </c>
      <c r="AZ10" s="21">
        <f>IF(AZ$1&lt;INDEX('Valo FX'!$Q:$Q,MATCH($A10,'Valo FX'!$A:$A,0)),0,IF(AZ$1&lt;INDEX('Valo FX'!$R:$R,MATCH($A10,'Valo FX'!$A:$A,0)),INDEX(Base!$U:$U,MATCH($A10,Base!$A:$A,0)),IF(AZ$1=INDEX('Valo FX'!$R:$R,MATCH($A10,'Valo FX'!$A:$A,0)),INDEX(Base!$V:$V,MATCH($A10,Base!$A:$A,0)),0)))</f>
        <v>15.019052</v>
      </c>
      <c r="BA10" s="21">
        <f>IF(BA$1&lt;INDEX('Valo FX'!$Q:$Q,MATCH($A10,'Valo FX'!$A:$A,0)),0,IF(BA$1&lt;INDEX('Valo FX'!$R:$R,MATCH($A10,'Valo FX'!$A:$A,0)),INDEX(Base!$U:$U,MATCH($A10,Base!$A:$A,0)),IF(BA$1=INDEX('Valo FX'!$R:$R,MATCH($A10,'Valo FX'!$A:$A,0)),INDEX(Base!$V:$V,MATCH($A10,Base!$A:$A,0)),0)))</f>
        <v>15.019052</v>
      </c>
      <c r="BB10" s="21">
        <f>IF(BB$1&lt;INDEX('Valo FX'!$Q:$Q,MATCH($A10,'Valo FX'!$A:$A,0)),0,IF(BB$1&lt;INDEX('Valo FX'!$R:$R,MATCH($A10,'Valo FX'!$A:$A,0)),INDEX(Base!$U:$U,MATCH($A10,Base!$A:$A,0)),IF(BB$1=INDEX('Valo FX'!$R:$R,MATCH($A10,'Valo FX'!$A:$A,0)),INDEX(Base!$V:$V,MATCH($A10,Base!$A:$A,0)),0)))</f>
        <v>15.019052</v>
      </c>
      <c r="BC10" s="21">
        <f>IF(BC$1&lt;INDEX('Valo FX'!$Q:$Q,MATCH($A10,'Valo FX'!$A:$A,0)),0,IF(BC$1&lt;INDEX('Valo FX'!$R:$R,MATCH($A10,'Valo FX'!$A:$A,0)),INDEX(Base!$U:$U,MATCH($A10,Base!$A:$A,0)),IF(BC$1=INDEX('Valo FX'!$R:$R,MATCH($A10,'Valo FX'!$A:$A,0)),INDEX(Base!$V:$V,MATCH($A10,Base!$A:$A,0)),0)))</f>
        <v>15.019052</v>
      </c>
      <c r="BD10" s="21">
        <f>IF(BD$1&lt;INDEX('Valo FX'!$Q:$Q,MATCH($A10,'Valo FX'!$A:$A,0)),0,IF(BD$1&lt;INDEX('Valo FX'!$R:$R,MATCH($A10,'Valo FX'!$A:$A,0)),INDEX(Base!$U:$U,MATCH($A10,Base!$A:$A,0)),IF(BD$1=INDEX('Valo FX'!$R:$R,MATCH($A10,'Valo FX'!$A:$A,0)),INDEX(Base!$V:$V,MATCH($A10,Base!$A:$A,0)),0)))</f>
        <v>15.019052</v>
      </c>
      <c r="BE10" s="21">
        <f>IF(BE$1&lt;INDEX('Valo FX'!$Q:$Q,MATCH($A10,'Valo FX'!$A:$A,0)),0,IF(BE$1&lt;INDEX('Valo FX'!$R:$R,MATCH($A10,'Valo FX'!$A:$A,0)),INDEX(Base!$U:$U,MATCH($A10,Base!$A:$A,0)),IF(BE$1=INDEX('Valo FX'!$R:$R,MATCH($A10,'Valo FX'!$A:$A,0)),INDEX(Base!$V:$V,MATCH($A10,Base!$A:$A,0)),0)))</f>
        <v>15.019052</v>
      </c>
      <c r="BF10" s="21">
        <f>IF(BF$1&lt;INDEX('Valo FX'!$Q:$Q,MATCH($A10,'Valo FX'!$A:$A,0)),0,IF(BF$1&lt;INDEX('Valo FX'!$R:$R,MATCH($A10,'Valo FX'!$A:$A,0)),INDEX(Base!$U:$U,MATCH($A10,Base!$A:$A,0)),IF(BF$1=INDEX('Valo FX'!$R:$R,MATCH($A10,'Valo FX'!$A:$A,0)),INDEX(Base!$V:$V,MATCH($A10,Base!$A:$A,0)),0)))</f>
        <v>15.019052</v>
      </c>
      <c r="BG10" s="21">
        <f>IF(BG$1&lt;INDEX('Valo FX'!$Q:$Q,MATCH($A10,'Valo FX'!$A:$A,0)),0,IF(BG$1&lt;INDEX('Valo FX'!$R:$R,MATCH($A10,'Valo FX'!$A:$A,0)),INDEX(Base!$U:$U,MATCH($A10,Base!$A:$A,0)),IF(BG$1=INDEX('Valo FX'!$R:$R,MATCH($A10,'Valo FX'!$A:$A,0)),INDEX(Base!$V:$V,MATCH($A10,Base!$A:$A,0)),0)))</f>
        <v>15.019052</v>
      </c>
      <c r="BH10" s="21">
        <f>IF(BH$1&lt;INDEX('Valo FX'!$Q:$Q,MATCH($A10,'Valo FX'!$A:$A,0)),0,IF(BH$1&lt;INDEX('Valo FX'!$R:$R,MATCH($A10,'Valo FX'!$A:$A,0)),INDEX(Base!$U:$U,MATCH($A10,Base!$A:$A,0)),IF(BH$1=INDEX('Valo FX'!$R:$R,MATCH($A10,'Valo FX'!$A:$A,0)),INDEX(Base!$V:$V,MATCH($A10,Base!$A:$A,0)),0)))</f>
        <v>15.019052</v>
      </c>
      <c r="BI10" s="21">
        <f>IF(BI$1&lt;INDEX('Valo FX'!$Q:$Q,MATCH($A10,'Valo FX'!$A:$A,0)),0,IF(BI$1&lt;INDEX('Valo FX'!$R:$R,MATCH($A10,'Valo FX'!$A:$A,0)),INDEX(Base!$U:$U,MATCH($A10,Base!$A:$A,0)),IF(BI$1=INDEX('Valo FX'!$R:$R,MATCH($A10,'Valo FX'!$A:$A,0)),INDEX(Base!$V:$V,MATCH($A10,Base!$A:$A,0)),0)))</f>
        <v>15.019052</v>
      </c>
      <c r="BJ10" s="21">
        <f>IF(BJ$1&lt;INDEX('Valo FX'!$Q:$Q,MATCH($A10,'Valo FX'!$A:$A,0)),0,IF(BJ$1&lt;INDEX('Valo FX'!$R:$R,MATCH($A10,'Valo FX'!$A:$A,0)),INDEX(Base!$U:$U,MATCH($A10,Base!$A:$A,0)),IF(BJ$1=INDEX('Valo FX'!$R:$R,MATCH($A10,'Valo FX'!$A:$A,0)),INDEX(Base!$V:$V,MATCH($A10,Base!$A:$A,0)),0)))</f>
        <v>15.019052</v>
      </c>
      <c r="BK10" s="21">
        <f>IF(BK$1&lt;INDEX('Valo FX'!$Q:$Q,MATCH($A10,'Valo FX'!$A:$A,0)),0,IF(BK$1&lt;INDEX('Valo FX'!$R:$R,MATCH($A10,'Valo FX'!$A:$A,0)),INDEX(Base!$U:$U,MATCH($A10,Base!$A:$A,0)),IF(BK$1=INDEX('Valo FX'!$R:$R,MATCH($A10,'Valo FX'!$A:$A,0)),INDEX(Base!$V:$V,MATCH($A10,Base!$A:$A,0)),0)))</f>
        <v>15.019052</v>
      </c>
      <c r="BL10" s="21">
        <f>IF(BL$1&lt;INDEX('Valo FX'!$Q:$Q,MATCH($A10,'Valo FX'!$A:$A,0)),0,IF(BL$1&lt;INDEX('Valo FX'!$R:$R,MATCH($A10,'Valo FX'!$A:$A,0)),INDEX(Base!$U:$U,MATCH($A10,Base!$A:$A,0)),IF(BL$1=INDEX('Valo FX'!$R:$R,MATCH($A10,'Valo FX'!$A:$A,0)),INDEX(Base!$V:$V,MATCH($A10,Base!$A:$A,0)),0)))</f>
        <v>15.019052</v>
      </c>
      <c r="BM10" s="21">
        <f>IF(BM$1&lt;INDEX('Valo FX'!$Q:$Q,MATCH($A10,'Valo FX'!$A:$A,0)),0,IF(BM$1&lt;INDEX('Valo FX'!$R:$R,MATCH($A10,'Valo FX'!$A:$A,0)),INDEX(Base!$U:$U,MATCH($A10,Base!$A:$A,0)),IF(BM$1=INDEX('Valo FX'!$R:$R,MATCH($A10,'Valo FX'!$A:$A,0)),INDEX(Base!$V:$V,MATCH($A10,Base!$A:$A,0)),0)))</f>
        <v>15.019052</v>
      </c>
      <c r="BN10" s="21">
        <f>IF(BN$1&lt;INDEX('Valo FX'!$Q:$Q,MATCH($A10,'Valo FX'!$A:$A,0)),0,IF(BN$1&lt;INDEX('Valo FX'!$R:$R,MATCH($A10,'Valo FX'!$A:$A,0)),INDEX(Base!$U:$U,MATCH($A10,Base!$A:$A,0)),IF(BN$1=INDEX('Valo FX'!$R:$R,MATCH($A10,'Valo FX'!$A:$A,0)),INDEX(Base!$V:$V,MATCH($A10,Base!$A:$A,0)),0)))</f>
        <v>15.019052</v>
      </c>
      <c r="BO10" s="21">
        <f>IF(BO$1&lt;INDEX('Valo FX'!$Q:$Q,MATCH($A10,'Valo FX'!$A:$A,0)),0,IF(BO$1&lt;INDEX('Valo FX'!$R:$R,MATCH($A10,'Valo FX'!$A:$A,0)),INDEX(Base!$U:$U,MATCH($A10,Base!$A:$A,0)),IF(BO$1=INDEX('Valo FX'!$R:$R,MATCH($A10,'Valo FX'!$A:$A,0)),INDEX(Base!$V:$V,MATCH($A10,Base!$A:$A,0)),0)))</f>
        <v>15.019052</v>
      </c>
      <c r="BP10" s="21">
        <f>IF(BP$1&lt;INDEX('Valo FX'!$Q:$Q,MATCH($A10,'Valo FX'!$A:$A,0)),0,IF(BP$1&lt;INDEX('Valo FX'!$R:$R,MATCH($A10,'Valo FX'!$A:$A,0)),INDEX(Base!$U:$U,MATCH($A10,Base!$A:$A,0)),IF(BP$1=INDEX('Valo FX'!$R:$R,MATCH($A10,'Valo FX'!$A:$A,0)),INDEX(Base!$V:$V,MATCH($A10,Base!$A:$A,0)),0)))</f>
        <v>15.019052</v>
      </c>
      <c r="BQ10" s="21">
        <f>IF(BQ$1&lt;INDEX('Valo FX'!$Q:$Q,MATCH($A10,'Valo FX'!$A:$A,0)),0,IF(BQ$1&lt;INDEX('Valo FX'!$R:$R,MATCH($A10,'Valo FX'!$A:$A,0)),INDEX(Base!$U:$U,MATCH($A10,Base!$A:$A,0)),IF(BQ$1=INDEX('Valo FX'!$R:$R,MATCH($A10,'Valo FX'!$A:$A,0)),INDEX(Base!$V:$V,MATCH($A10,Base!$A:$A,0)),0)))</f>
        <v>15.019052</v>
      </c>
      <c r="BR10" s="21">
        <f>IF(BR$1&lt;INDEX('Valo FX'!$Q:$Q,MATCH($A10,'Valo FX'!$A:$A,0)),0,IF(BR$1&lt;INDEX('Valo FX'!$R:$R,MATCH($A10,'Valo FX'!$A:$A,0)),INDEX(Base!$U:$U,MATCH($A10,Base!$A:$A,0)),IF(BR$1=INDEX('Valo FX'!$R:$R,MATCH($A10,'Valo FX'!$A:$A,0)),INDEX(Base!$V:$V,MATCH($A10,Base!$A:$A,0)),0)))</f>
        <v>15.019052</v>
      </c>
      <c r="BS10" s="21">
        <f>IF(BS$1&lt;INDEX('Valo FX'!$Q:$Q,MATCH($A10,'Valo FX'!$A:$A,0)),0,IF(BS$1&lt;INDEX('Valo FX'!$R:$R,MATCH($A10,'Valo FX'!$A:$A,0)),INDEX(Base!$U:$U,MATCH($A10,Base!$A:$A,0)),IF(BS$1=INDEX('Valo FX'!$R:$R,MATCH($A10,'Valo FX'!$A:$A,0)),INDEX(Base!$V:$V,MATCH($A10,Base!$A:$A,0)),0)))</f>
        <v>15.019052</v>
      </c>
      <c r="BT10" s="21">
        <f>IF(BT$1&lt;INDEX('Valo FX'!$Q:$Q,MATCH($A10,'Valo FX'!$A:$A,0)),0,IF(BT$1&lt;INDEX('Valo FX'!$R:$R,MATCH($A10,'Valo FX'!$A:$A,0)),INDEX(Base!$U:$U,MATCH($A10,Base!$A:$A,0)),IF(BT$1=INDEX('Valo FX'!$R:$R,MATCH($A10,'Valo FX'!$A:$A,0)),INDEX(Base!$V:$V,MATCH($A10,Base!$A:$A,0)),0)))</f>
        <v>15.019052</v>
      </c>
      <c r="BU10" s="21">
        <f>IF(BU$1&lt;INDEX('Valo FX'!$Q:$Q,MATCH($A10,'Valo FX'!$A:$A,0)),0,IF(BU$1&lt;INDEX('Valo FX'!$R:$R,MATCH($A10,'Valo FX'!$A:$A,0)),INDEX(Base!$U:$U,MATCH($A10,Base!$A:$A,0)),IF(BU$1=INDEX('Valo FX'!$R:$R,MATCH($A10,'Valo FX'!$A:$A,0)),INDEX(Base!$V:$V,MATCH($A10,Base!$A:$A,0)),0)))</f>
        <v>15.019052</v>
      </c>
      <c r="BV10" s="21">
        <f>IF(BV$1&lt;INDEX('Valo FX'!$Q:$Q,MATCH($A10,'Valo FX'!$A:$A,0)),0,IF(BV$1&lt;INDEX('Valo FX'!$R:$R,MATCH($A10,'Valo FX'!$A:$A,0)),INDEX(Base!$U:$U,MATCH($A10,Base!$A:$A,0)),IF(BV$1=INDEX('Valo FX'!$R:$R,MATCH($A10,'Valo FX'!$A:$A,0)),INDEX(Base!$V:$V,MATCH($A10,Base!$A:$A,0)),0)))</f>
        <v>15.019052</v>
      </c>
      <c r="BW10" s="21">
        <f>IF(BW$1&lt;INDEX('Valo FX'!$Q:$Q,MATCH($A10,'Valo FX'!$A:$A,0)),0,IF(BW$1&lt;INDEX('Valo FX'!$R:$R,MATCH($A10,'Valo FX'!$A:$A,0)),INDEX(Base!$U:$U,MATCH($A10,Base!$A:$A,0)),IF(BW$1=INDEX('Valo FX'!$R:$R,MATCH($A10,'Valo FX'!$A:$A,0)),INDEX(Base!$V:$V,MATCH($A10,Base!$A:$A,0)),0)))</f>
        <v>15.019052</v>
      </c>
      <c r="BX10" s="21">
        <f>IF(BX$1&lt;INDEX('Valo FX'!$Q:$Q,MATCH($A10,'Valo FX'!$A:$A,0)),0,IF(BX$1&lt;INDEX('Valo FX'!$R:$R,MATCH($A10,'Valo FX'!$A:$A,0)),INDEX(Base!$U:$U,MATCH($A10,Base!$A:$A,0)),IF(BX$1=INDEX('Valo FX'!$R:$R,MATCH($A10,'Valo FX'!$A:$A,0)),INDEX(Base!$V:$V,MATCH($A10,Base!$A:$A,0)),0)))</f>
        <v>15.019052</v>
      </c>
      <c r="BY10" s="21">
        <f>IF(BY$1&lt;INDEX('Valo FX'!$Q:$Q,MATCH($A10,'Valo FX'!$A:$A,0)),0,IF(BY$1&lt;INDEX('Valo FX'!$R:$R,MATCH($A10,'Valo FX'!$A:$A,0)),INDEX(Base!$U:$U,MATCH($A10,Base!$A:$A,0)),IF(BY$1=INDEX('Valo FX'!$R:$R,MATCH($A10,'Valo FX'!$A:$A,0)),INDEX(Base!$V:$V,MATCH($A10,Base!$A:$A,0)),0)))</f>
        <v>15.019052</v>
      </c>
      <c r="BZ10" s="21">
        <f>IF(BZ$1&lt;INDEX('Valo FX'!$Q:$Q,MATCH($A10,'Valo FX'!$A:$A,0)),0,IF(BZ$1&lt;INDEX('Valo FX'!$R:$R,MATCH($A10,'Valo FX'!$A:$A,0)),INDEX(Base!$U:$U,MATCH($A10,Base!$A:$A,0)),IF(BZ$1=INDEX('Valo FX'!$R:$R,MATCH($A10,'Valo FX'!$A:$A,0)),INDEX(Base!$V:$V,MATCH($A10,Base!$A:$A,0)),0)))</f>
        <v>15.019052</v>
      </c>
      <c r="CA10" s="21">
        <f>IF(CA$1&lt;INDEX('Valo FX'!$Q:$Q,MATCH($A10,'Valo FX'!$A:$A,0)),0,IF(CA$1&lt;INDEX('Valo FX'!$R:$R,MATCH($A10,'Valo FX'!$A:$A,0)),INDEX(Base!$U:$U,MATCH($A10,Base!$A:$A,0)),IF(CA$1=INDEX('Valo FX'!$R:$R,MATCH($A10,'Valo FX'!$A:$A,0)),INDEX(Base!$V:$V,MATCH($A10,Base!$A:$A,0)),0)))</f>
        <v>15.019052</v>
      </c>
      <c r="CB10" s="21">
        <f>IF(CB$1&lt;INDEX('Valo FX'!$Q:$Q,MATCH($A10,'Valo FX'!$A:$A,0)),0,IF(CB$1&lt;INDEX('Valo FX'!$R:$R,MATCH($A10,'Valo FX'!$A:$A,0)),INDEX(Base!$U:$U,MATCH($A10,Base!$A:$A,0)),IF(CB$1=INDEX('Valo FX'!$R:$R,MATCH($A10,'Valo FX'!$A:$A,0)),INDEX(Base!$V:$V,MATCH($A10,Base!$A:$A,0)),0)))</f>
        <v>15.019052</v>
      </c>
      <c r="CC10" s="21">
        <f>IF(CC$1&lt;INDEX('Valo FX'!$Q:$Q,MATCH($A10,'Valo FX'!$A:$A,0)),0,IF(CC$1&lt;INDEX('Valo FX'!$R:$R,MATCH($A10,'Valo FX'!$A:$A,0)),INDEX(Base!$U:$U,MATCH($A10,Base!$A:$A,0)),IF(CC$1=INDEX('Valo FX'!$R:$R,MATCH($A10,'Valo FX'!$A:$A,0)),INDEX(Base!$V:$V,MATCH($A10,Base!$A:$A,0)),0)))</f>
        <v>15.019052</v>
      </c>
      <c r="CD10" s="21">
        <f>IF(CD$1&lt;INDEX('Valo FX'!$Q:$Q,MATCH($A10,'Valo FX'!$A:$A,0)),0,IF(CD$1&lt;INDEX('Valo FX'!$R:$R,MATCH($A10,'Valo FX'!$A:$A,0)),INDEX(Base!$U:$U,MATCH($A10,Base!$A:$A,0)),IF(CD$1=INDEX('Valo FX'!$R:$R,MATCH($A10,'Valo FX'!$A:$A,0)),INDEX(Base!$V:$V,MATCH($A10,Base!$A:$A,0)),0)))</f>
        <v>15.019052</v>
      </c>
      <c r="CE10" s="21">
        <f>IF(CE$1&lt;INDEX('Valo FX'!$Q:$Q,MATCH($A10,'Valo FX'!$A:$A,0)),0,IF(CE$1&lt;INDEX('Valo FX'!$R:$R,MATCH($A10,'Valo FX'!$A:$A,0)),INDEX(Base!$U:$U,MATCH($A10,Base!$A:$A,0)),IF(CE$1=INDEX('Valo FX'!$R:$R,MATCH($A10,'Valo FX'!$A:$A,0)),INDEX(Base!$V:$V,MATCH($A10,Base!$A:$A,0)),0)))</f>
        <v>15.019052</v>
      </c>
      <c r="CF10" s="21">
        <f>IF(CF$1&lt;INDEX('Valo FX'!$Q:$Q,MATCH($A10,'Valo FX'!$A:$A,0)),0,IF(CF$1&lt;INDEX('Valo FX'!$R:$R,MATCH($A10,'Valo FX'!$A:$A,0)),INDEX(Base!$U:$U,MATCH($A10,Base!$A:$A,0)),IF(CF$1=INDEX('Valo FX'!$R:$R,MATCH($A10,'Valo FX'!$A:$A,0)),INDEX(Base!$V:$V,MATCH($A10,Base!$A:$A,0)),0)))</f>
        <v>15.019052</v>
      </c>
      <c r="CG10" s="21">
        <f>IF(CG$1&lt;INDEX('Valo FX'!$Q:$Q,MATCH($A10,'Valo FX'!$A:$A,0)),0,IF(CG$1&lt;INDEX('Valo FX'!$R:$R,MATCH($A10,'Valo FX'!$A:$A,0)),INDEX(Base!$U:$U,MATCH($A10,Base!$A:$A,0)),IF(CG$1=INDEX('Valo FX'!$R:$R,MATCH($A10,'Valo FX'!$A:$A,0)),INDEX(Base!$V:$V,MATCH($A10,Base!$A:$A,0)),0)))</f>
        <v>15.019052</v>
      </c>
      <c r="CH10" s="21">
        <f>IF(CH$1&lt;INDEX('Valo FX'!$Q:$Q,MATCH($A10,'Valo FX'!$A:$A,0)),0,IF(CH$1&lt;INDEX('Valo FX'!$R:$R,MATCH($A10,'Valo FX'!$A:$A,0)),INDEX(Base!$U:$U,MATCH($A10,Base!$A:$A,0)),IF(CH$1=INDEX('Valo FX'!$R:$R,MATCH($A10,'Valo FX'!$A:$A,0)),INDEX(Base!$V:$V,MATCH($A10,Base!$A:$A,0)),0)))</f>
        <v>15.019052</v>
      </c>
      <c r="CI10" s="21">
        <f>IF(CI$1&lt;INDEX('Valo FX'!$Q:$Q,MATCH($A10,'Valo FX'!$A:$A,0)),0,IF(CI$1&lt;INDEX('Valo FX'!$R:$R,MATCH($A10,'Valo FX'!$A:$A,0)),INDEX(Base!$U:$U,MATCH($A10,Base!$A:$A,0)),IF(CI$1=INDEX('Valo FX'!$R:$R,MATCH($A10,'Valo FX'!$A:$A,0)),INDEX(Base!$V:$V,MATCH($A10,Base!$A:$A,0)),0)))</f>
        <v>15.019052</v>
      </c>
      <c r="CJ10" s="21">
        <f>IF(CJ$1&lt;INDEX('Valo FX'!$Q:$Q,MATCH($A10,'Valo FX'!$A:$A,0)),0,IF(CJ$1&lt;INDEX('Valo FX'!$R:$R,MATCH($A10,'Valo FX'!$A:$A,0)),INDEX(Base!$U:$U,MATCH($A10,Base!$A:$A,0)),IF(CJ$1=INDEX('Valo FX'!$R:$R,MATCH($A10,'Valo FX'!$A:$A,0)),INDEX(Base!$V:$V,MATCH($A10,Base!$A:$A,0)),0)))</f>
        <v>15.019052</v>
      </c>
      <c r="CK10" s="21">
        <f>IF(CK$1&lt;INDEX('Valo FX'!$Q:$Q,MATCH($A10,'Valo FX'!$A:$A,0)),0,IF(CK$1&lt;INDEX('Valo FX'!$R:$R,MATCH($A10,'Valo FX'!$A:$A,0)),INDEX(Base!$U:$U,MATCH($A10,Base!$A:$A,0)),IF(CK$1=INDEX('Valo FX'!$R:$R,MATCH($A10,'Valo FX'!$A:$A,0)),INDEX(Base!$V:$V,MATCH($A10,Base!$A:$A,0)),0)))</f>
        <v>15.019052</v>
      </c>
      <c r="CL10" s="21">
        <f>IF(CL$1&lt;INDEX('Valo FX'!$Q:$Q,MATCH($A10,'Valo FX'!$A:$A,0)),0,IF(CL$1&lt;INDEX('Valo FX'!$R:$R,MATCH($A10,'Valo FX'!$A:$A,0)),INDEX(Base!$U:$U,MATCH($A10,Base!$A:$A,0)),IF(CL$1=INDEX('Valo FX'!$R:$R,MATCH($A10,'Valo FX'!$A:$A,0)),INDEX(Base!$V:$V,MATCH($A10,Base!$A:$A,0)),0)))</f>
        <v>15.019052</v>
      </c>
      <c r="CM10" s="21">
        <f>IF(CM$1&lt;INDEX('Valo FX'!$Q:$Q,MATCH($A10,'Valo FX'!$A:$A,0)),0,IF(CM$1&lt;INDEX('Valo FX'!$R:$R,MATCH($A10,'Valo FX'!$A:$A,0)),INDEX(Base!$U:$U,MATCH($A10,Base!$A:$A,0)),IF(CM$1=INDEX('Valo FX'!$R:$R,MATCH($A10,'Valo FX'!$A:$A,0)),INDEX(Base!$V:$V,MATCH($A10,Base!$A:$A,0)),0)))</f>
        <v>15.019052</v>
      </c>
      <c r="CN10" s="21">
        <f>IF(CN$1&lt;INDEX('Valo FX'!$Q:$Q,MATCH($A10,'Valo FX'!$A:$A,0)),0,IF(CN$1&lt;INDEX('Valo FX'!$R:$R,MATCH($A10,'Valo FX'!$A:$A,0)),INDEX(Base!$U:$U,MATCH($A10,Base!$A:$A,0)),IF(CN$1=INDEX('Valo FX'!$R:$R,MATCH($A10,'Valo FX'!$A:$A,0)),INDEX(Base!$V:$V,MATCH($A10,Base!$A:$A,0)),0)))</f>
        <v>15.019052</v>
      </c>
      <c r="CO10" s="21">
        <f>IF(CO$1&lt;INDEX('Valo FX'!$Q:$Q,MATCH($A10,'Valo FX'!$A:$A,0)),0,IF(CO$1&lt;INDEX('Valo FX'!$R:$R,MATCH($A10,'Valo FX'!$A:$A,0)),INDEX(Base!$U:$U,MATCH($A10,Base!$A:$A,0)),IF(CO$1=INDEX('Valo FX'!$R:$R,MATCH($A10,'Valo FX'!$A:$A,0)),INDEX(Base!$V:$V,MATCH($A10,Base!$A:$A,0)),0)))</f>
        <v>15.019052</v>
      </c>
      <c r="CP10" s="21">
        <f>IF(CP$1&lt;INDEX('Valo FX'!$Q:$Q,MATCH($A10,'Valo FX'!$A:$A,0)),0,IF(CP$1&lt;INDEX('Valo FX'!$R:$R,MATCH($A10,'Valo FX'!$A:$A,0)),INDEX(Base!$U:$U,MATCH($A10,Base!$A:$A,0)),IF(CP$1=INDEX('Valo FX'!$R:$R,MATCH($A10,'Valo FX'!$A:$A,0)),INDEX(Base!$V:$V,MATCH($A10,Base!$A:$A,0)),0)))</f>
        <v>15.019052</v>
      </c>
      <c r="CQ10" s="21">
        <f>IF(CQ$1&lt;INDEX('Valo FX'!$Q:$Q,MATCH($A10,'Valo FX'!$A:$A,0)),0,IF(CQ$1&lt;INDEX('Valo FX'!$R:$R,MATCH($A10,'Valo FX'!$A:$A,0)),INDEX(Base!$U:$U,MATCH($A10,Base!$A:$A,0)),IF(CQ$1=INDEX('Valo FX'!$R:$R,MATCH($A10,'Valo FX'!$A:$A,0)),INDEX(Base!$V:$V,MATCH($A10,Base!$A:$A,0)),0)))</f>
        <v>15.019052</v>
      </c>
      <c r="CR10" s="21">
        <f>IF(CR$1&lt;INDEX('Valo FX'!$Q:$Q,MATCH($A10,'Valo FX'!$A:$A,0)),0,IF(CR$1&lt;INDEX('Valo FX'!$R:$R,MATCH($A10,'Valo FX'!$A:$A,0)),INDEX(Base!$U:$U,MATCH($A10,Base!$A:$A,0)),IF(CR$1=INDEX('Valo FX'!$R:$R,MATCH($A10,'Valo FX'!$A:$A,0)),INDEX(Base!$V:$V,MATCH($A10,Base!$A:$A,0)),0)))</f>
        <v>15.019052</v>
      </c>
      <c r="CS10" s="21">
        <f>IF(CS$1&lt;INDEX('Valo FX'!$Q:$Q,MATCH($A10,'Valo FX'!$A:$A,0)),0,IF(CS$1&lt;INDEX('Valo FX'!$R:$R,MATCH($A10,'Valo FX'!$A:$A,0)),INDEX(Base!$U:$U,MATCH($A10,Base!$A:$A,0)),IF(CS$1=INDEX('Valo FX'!$R:$R,MATCH($A10,'Valo FX'!$A:$A,0)),INDEX(Base!$V:$V,MATCH($A10,Base!$A:$A,0)),0)))</f>
        <v>15.019052</v>
      </c>
      <c r="CT10" s="21">
        <f>IF(CT$1&lt;INDEX('Valo FX'!$Q:$Q,MATCH($A10,'Valo FX'!$A:$A,0)),0,IF(CT$1&lt;INDEX('Valo FX'!$R:$R,MATCH($A10,'Valo FX'!$A:$A,0)),INDEX(Base!$U:$U,MATCH($A10,Base!$A:$A,0)),IF(CT$1=INDEX('Valo FX'!$R:$R,MATCH($A10,'Valo FX'!$A:$A,0)),INDEX(Base!$V:$V,MATCH($A10,Base!$A:$A,0)),0)))</f>
        <v>15.019052</v>
      </c>
      <c r="CU10" s="21">
        <f>IF(CU$1&lt;INDEX('Valo FX'!$Q:$Q,MATCH($A10,'Valo FX'!$A:$A,0)),0,IF(CU$1&lt;INDEX('Valo FX'!$R:$R,MATCH($A10,'Valo FX'!$A:$A,0)),INDEX(Base!$U:$U,MATCH($A10,Base!$A:$A,0)),IF(CU$1=INDEX('Valo FX'!$R:$R,MATCH($A10,'Valo FX'!$A:$A,0)),INDEX(Base!$V:$V,MATCH($A10,Base!$A:$A,0)),0)))</f>
        <v>15.019052</v>
      </c>
      <c r="CV10" s="21">
        <f>IF(CV$1&lt;INDEX('Valo FX'!$Q:$Q,MATCH($A10,'Valo FX'!$A:$A,0)),0,IF(CV$1&lt;INDEX('Valo FX'!$R:$R,MATCH($A10,'Valo FX'!$A:$A,0)),INDEX(Base!$U:$U,MATCH($A10,Base!$A:$A,0)),IF(CV$1=INDEX('Valo FX'!$R:$R,MATCH($A10,'Valo FX'!$A:$A,0)),INDEX(Base!$V:$V,MATCH($A10,Base!$A:$A,0)),0)))</f>
        <v>15.019052</v>
      </c>
      <c r="CW10" s="21">
        <f>IF(CW$1&lt;INDEX('Valo FX'!$Q:$Q,MATCH($A10,'Valo FX'!$A:$A,0)),0,IF(CW$1&lt;INDEX('Valo FX'!$R:$R,MATCH($A10,'Valo FX'!$A:$A,0)),INDEX(Base!$U:$U,MATCH($A10,Base!$A:$A,0)),IF(CW$1=INDEX('Valo FX'!$R:$R,MATCH($A10,'Valo FX'!$A:$A,0)),INDEX(Base!$V:$V,MATCH($A10,Base!$A:$A,0)),0)))</f>
        <v>15.019052</v>
      </c>
      <c r="CX10" s="21">
        <f>IF(CX$1&lt;INDEX('Valo FX'!$Q:$Q,MATCH($A10,'Valo FX'!$A:$A,0)),0,IF(CX$1&lt;INDEX('Valo FX'!$R:$R,MATCH($A10,'Valo FX'!$A:$A,0)),INDEX(Base!$U:$U,MATCH($A10,Base!$A:$A,0)),IF(CX$1=INDEX('Valo FX'!$R:$R,MATCH($A10,'Valo FX'!$A:$A,0)),INDEX(Base!$V:$V,MATCH($A10,Base!$A:$A,0)),0)))</f>
        <v>15.019052</v>
      </c>
      <c r="CY10" s="21">
        <f>IF(CY$1&lt;INDEX('Valo FX'!$Q:$Q,MATCH($A10,'Valo FX'!$A:$A,0)),0,IF(CY$1&lt;INDEX('Valo FX'!$R:$R,MATCH($A10,'Valo FX'!$A:$A,0)),INDEX(Base!$U:$U,MATCH($A10,Base!$A:$A,0)),IF(CY$1=INDEX('Valo FX'!$R:$R,MATCH($A10,'Valo FX'!$A:$A,0)),INDEX(Base!$V:$V,MATCH($A10,Base!$A:$A,0)),0)))</f>
        <v>15.019052</v>
      </c>
      <c r="CZ10" s="21">
        <f>IF(CZ$1&lt;INDEX('Valo FX'!$Q:$Q,MATCH($A10,'Valo FX'!$A:$A,0)),0,IF(CZ$1&lt;INDEX('Valo FX'!$R:$R,MATCH($A10,'Valo FX'!$A:$A,0)),INDEX(Base!$U:$U,MATCH($A10,Base!$A:$A,0)),IF(CZ$1=INDEX('Valo FX'!$R:$R,MATCH($A10,'Valo FX'!$A:$A,0)),INDEX(Base!$V:$V,MATCH($A10,Base!$A:$A,0)),0)))</f>
        <v>15.019052</v>
      </c>
      <c r="DA10" s="21">
        <f>IF(DA$1&lt;INDEX('Valo FX'!$Q:$Q,MATCH($A10,'Valo FX'!$A:$A,0)),0,IF(DA$1&lt;INDEX('Valo FX'!$R:$R,MATCH($A10,'Valo FX'!$A:$A,0)),INDEX(Base!$U:$U,MATCH($A10,Base!$A:$A,0)),IF(DA$1=INDEX('Valo FX'!$R:$R,MATCH($A10,'Valo FX'!$A:$A,0)),INDEX(Base!$V:$V,MATCH($A10,Base!$A:$A,0)),0)))</f>
        <v>15.019052</v>
      </c>
      <c r="DB10" s="21">
        <f>IF(DB$1&lt;INDEX('Valo FX'!$Q:$Q,MATCH($A10,'Valo FX'!$A:$A,0)),0,IF(DB$1&lt;INDEX('Valo FX'!$R:$R,MATCH($A10,'Valo FX'!$A:$A,0)),INDEX(Base!$U:$U,MATCH($A10,Base!$A:$A,0)),IF(DB$1=INDEX('Valo FX'!$R:$R,MATCH($A10,'Valo FX'!$A:$A,0)),INDEX(Base!$V:$V,MATCH($A10,Base!$A:$A,0)),0)))</f>
        <v>15.019052</v>
      </c>
      <c r="DC10" s="21">
        <f>IF(DC$1&lt;INDEX('Valo FX'!$Q:$Q,MATCH($A10,'Valo FX'!$A:$A,0)),0,IF(DC$1&lt;INDEX('Valo FX'!$R:$R,MATCH($A10,'Valo FX'!$A:$A,0)),INDEX(Base!$U:$U,MATCH($A10,Base!$A:$A,0)),IF(DC$1=INDEX('Valo FX'!$R:$R,MATCH($A10,'Valo FX'!$A:$A,0)),INDEX(Base!$V:$V,MATCH($A10,Base!$A:$A,0)),0)))</f>
        <v>15.019052</v>
      </c>
      <c r="DD10" s="21">
        <f>IF(DD$1&lt;INDEX('Valo FX'!$Q:$Q,MATCH($A10,'Valo FX'!$A:$A,0)),0,IF(DD$1&lt;INDEX('Valo FX'!$R:$R,MATCH($A10,'Valo FX'!$A:$A,0)),INDEX(Base!$U:$U,MATCH($A10,Base!$A:$A,0)),IF(DD$1=INDEX('Valo FX'!$R:$R,MATCH($A10,'Valo FX'!$A:$A,0)),INDEX(Base!$V:$V,MATCH($A10,Base!$A:$A,0)),0)))</f>
        <v>15.019052</v>
      </c>
      <c r="DE10" s="21">
        <f>IF(DE$1&lt;INDEX('Valo FX'!$Q:$Q,MATCH($A10,'Valo FX'!$A:$A,0)),0,IF(DE$1&lt;INDEX('Valo FX'!$R:$R,MATCH($A10,'Valo FX'!$A:$A,0)),INDEX(Base!$U:$U,MATCH($A10,Base!$A:$A,0)),IF(DE$1=INDEX('Valo FX'!$R:$R,MATCH($A10,'Valo FX'!$A:$A,0)),INDEX(Base!$V:$V,MATCH($A10,Base!$A:$A,0)),0)))</f>
        <v>15.019052</v>
      </c>
      <c r="DF10" s="21">
        <f>IF(DF$1&lt;INDEX('Valo FX'!$Q:$Q,MATCH($A10,'Valo FX'!$A:$A,0)),0,IF(DF$1&lt;INDEX('Valo FX'!$R:$R,MATCH($A10,'Valo FX'!$A:$A,0)),INDEX(Base!$U:$U,MATCH($A10,Base!$A:$A,0)),IF(DF$1=INDEX('Valo FX'!$R:$R,MATCH($A10,'Valo FX'!$A:$A,0)),INDEX(Base!$V:$V,MATCH($A10,Base!$A:$A,0)),0)))</f>
        <v>15.019052</v>
      </c>
      <c r="DG10" s="21">
        <f>IF(DG$1&lt;INDEX('Valo FX'!$Q:$Q,MATCH($A10,'Valo FX'!$A:$A,0)),0,IF(DG$1&lt;INDEX('Valo FX'!$R:$R,MATCH($A10,'Valo FX'!$A:$A,0)),INDEX(Base!$U:$U,MATCH($A10,Base!$A:$A,0)),IF(DG$1=INDEX('Valo FX'!$R:$R,MATCH($A10,'Valo FX'!$A:$A,0)),INDEX(Base!$V:$V,MATCH($A10,Base!$A:$A,0)),0)))</f>
        <v>15.019052</v>
      </c>
      <c r="DH10" s="21">
        <f>IF(DH$1&lt;INDEX('Valo FX'!$Q:$Q,MATCH($A10,'Valo FX'!$A:$A,0)),0,IF(DH$1&lt;INDEX('Valo FX'!$R:$R,MATCH($A10,'Valo FX'!$A:$A,0)),INDEX(Base!$U:$U,MATCH($A10,Base!$A:$A,0)),IF(DH$1=INDEX('Valo FX'!$R:$R,MATCH($A10,'Valo FX'!$A:$A,0)),INDEX(Base!$V:$V,MATCH($A10,Base!$A:$A,0)),0)))</f>
        <v>15.019052</v>
      </c>
      <c r="DI10" s="21">
        <f>IF(DI$1&lt;INDEX('Valo FX'!$Q:$Q,MATCH($A10,'Valo FX'!$A:$A,0)),0,IF(DI$1&lt;INDEX('Valo FX'!$R:$R,MATCH($A10,'Valo FX'!$A:$A,0)),INDEX(Base!$U:$U,MATCH($A10,Base!$A:$A,0)),IF(DI$1=INDEX('Valo FX'!$R:$R,MATCH($A10,'Valo FX'!$A:$A,0)),INDEX(Base!$V:$V,MATCH($A10,Base!$A:$A,0)),0)))</f>
        <v>15.019052</v>
      </c>
      <c r="DJ10" s="21">
        <f>IF(DJ$1&lt;INDEX('Valo FX'!$Q:$Q,MATCH($A10,'Valo FX'!$A:$A,0)),0,IF(DJ$1&lt;INDEX('Valo FX'!$R:$R,MATCH($A10,'Valo FX'!$A:$A,0)),INDEX(Base!$U:$U,MATCH($A10,Base!$A:$A,0)),IF(DJ$1=INDEX('Valo FX'!$R:$R,MATCH($A10,'Valo FX'!$A:$A,0)),INDEX(Base!$V:$V,MATCH($A10,Base!$A:$A,0)),0)))</f>
        <v>15.019052</v>
      </c>
      <c r="DK10" s="21">
        <f>IF(DK$1&lt;INDEX('Valo FX'!$Q:$Q,MATCH($A10,'Valo FX'!$A:$A,0)),0,IF(DK$1&lt;INDEX('Valo FX'!$R:$R,MATCH($A10,'Valo FX'!$A:$A,0)),INDEX(Base!$U:$U,MATCH($A10,Base!$A:$A,0)),IF(DK$1=INDEX('Valo FX'!$R:$R,MATCH($A10,'Valo FX'!$A:$A,0)),INDEX(Base!$V:$V,MATCH($A10,Base!$A:$A,0)),0)))</f>
        <v>15.019052</v>
      </c>
      <c r="DL10" s="21">
        <f>IF(DL$1&lt;INDEX('Valo FX'!$Q:$Q,MATCH($A10,'Valo FX'!$A:$A,0)),0,IF(DL$1&lt;INDEX('Valo FX'!$R:$R,MATCH($A10,'Valo FX'!$A:$A,0)),INDEX(Base!$U:$U,MATCH($A10,Base!$A:$A,0)),IF(DL$1=INDEX('Valo FX'!$R:$R,MATCH($A10,'Valo FX'!$A:$A,0)),INDEX(Base!$V:$V,MATCH($A10,Base!$A:$A,0)),0)))</f>
        <v>15.019052</v>
      </c>
      <c r="DM10" s="21">
        <f>IF(DM$1&lt;INDEX('Valo FX'!$Q:$Q,MATCH($A10,'Valo FX'!$A:$A,0)),0,IF(DM$1&lt;INDEX('Valo FX'!$R:$R,MATCH($A10,'Valo FX'!$A:$A,0)),INDEX(Base!$U:$U,MATCH($A10,Base!$A:$A,0)),IF(DM$1=INDEX('Valo FX'!$R:$R,MATCH($A10,'Valo FX'!$A:$A,0)),INDEX(Base!$V:$V,MATCH($A10,Base!$A:$A,0)),0)))</f>
        <v>15.019052</v>
      </c>
      <c r="DN10" s="21">
        <f>IF(DN$1&lt;INDEX('Valo FX'!$Q:$Q,MATCH($A10,'Valo FX'!$A:$A,0)),0,IF(DN$1&lt;INDEX('Valo FX'!$R:$R,MATCH($A10,'Valo FX'!$A:$A,0)),INDEX(Base!$U:$U,MATCH($A10,Base!$A:$A,0)),IF(DN$1=INDEX('Valo FX'!$R:$R,MATCH($A10,'Valo FX'!$A:$A,0)),INDEX(Base!$V:$V,MATCH($A10,Base!$A:$A,0)),0)))</f>
        <v>15.019052</v>
      </c>
      <c r="DO10" s="21">
        <f>IF(DO$1&lt;INDEX('Valo FX'!$Q:$Q,MATCH($A10,'Valo FX'!$A:$A,0)),0,IF(DO$1&lt;INDEX('Valo FX'!$R:$R,MATCH($A10,'Valo FX'!$A:$A,0)),INDEX(Base!$U:$U,MATCH($A10,Base!$A:$A,0)),IF(DO$1=INDEX('Valo FX'!$R:$R,MATCH($A10,'Valo FX'!$A:$A,0)),INDEX(Base!$V:$V,MATCH($A10,Base!$A:$A,0)),0)))</f>
        <v>15.019052</v>
      </c>
      <c r="DP10" s="21">
        <f>IF(DP$1&lt;INDEX('Valo FX'!$Q:$Q,MATCH($A10,'Valo FX'!$A:$A,0)),0,IF(DP$1&lt;INDEX('Valo FX'!$R:$R,MATCH($A10,'Valo FX'!$A:$A,0)),INDEX(Base!$U:$U,MATCH($A10,Base!$A:$A,0)),IF(DP$1=INDEX('Valo FX'!$R:$R,MATCH($A10,'Valo FX'!$A:$A,0)),INDEX(Base!$V:$V,MATCH($A10,Base!$A:$A,0)),0)))</f>
        <v>15.019052</v>
      </c>
      <c r="DQ10" s="21">
        <f>IF(DQ$1&lt;INDEX('Valo FX'!$Q:$Q,MATCH($A10,'Valo FX'!$A:$A,0)),0,IF(DQ$1&lt;INDEX('Valo FX'!$R:$R,MATCH($A10,'Valo FX'!$A:$A,0)),INDEX(Base!$U:$U,MATCH($A10,Base!$A:$A,0)),IF(DQ$1=INDEX('Valo FX'!$R:$R,MATCH($A10,'Valo FX'!$A:$A,0)),INDEX(Base!$V:$V,MATCH($A10,Base!$A:$A,0)),0)))</f>
        <v>15.019052</v>
      </c>
      <c r="DR10" s="21">
        <f>IF(DR$1&lt;INDEX('Valo FX'!$Q:$Q,MATCH($A10,'Valo FX'!$A:$A,0)),0,IF(DR$1&lt;INDEX('Valo FX'!$R:$R,MATCH($A10,'Valo FX'!$A:$A,0)),INDEX(Base!$U:$U,MATCH($A10,Base!$A:$A,0)),IF(DR$1=INDEX('Valo FX'!$R:$R,MATCH($A10,'Valo FX'!$A:$A,0)),INDEX(Base!$V:$V,MATCH($A10,Base!$A:$A,0)),0)))</f>
        <v>15.019052</v>
      </c>
      <c r="DS10" s="21">
        <f>IF(DS$1&lt;INDEX('Valo FX'!$Q:$Q,MATCH($A10,'Valo FX'!$A:$A,0)),0,IF(DS$1&lt;INDEX('Valo FX'!$R:$R,MATCH($A10,'Valo FX'!$A:$A,0)),INDEX(Base!$U:$U,MATCH($A10,Base!$A:$A,0)),IF(DS$1=INDEX('Valo FX'!$R:$R,MATCH($A10,'Valo FX'!$A:$A,0)),INDEX(Base!$V:$V,MATCH($A10,Base!$A:$A,0)),0)))</f>
        <v>15.019052</v>
      </c>
      <c r="DT10" s="21">
        <f>IF(DT$1&lt;INDEX('Valo FX'!$Q:$Q,MATCH($A10,'Valo FX'!$A:$A,0)),0,IF(DT$1&lt;INDEX('Valo FX'!$R:$R,MATCH($A10,'Valo FX'!$A:$A,0)),INDEX(Base!$U:$U,MATCH($A10,Base!$A:$A,0)),IF(DT$1=INDEX('Valo FX'!$R:$R,MATCH($A10,'Valo FX'!$A:$A,0)),INDEX(Base!$V:$V,MATCH($A10,Base!$A:$A,0)),0)))</f>
        <v>15.019052</v>
      </c>
      <c r="DU10" s="21">
        <f>IF(DU$1&lt;INDEX('Valo FX'!$Q:$Q,MATCH($A10,'Valo FX'!$A:$A,0)),0,IF(DU$1&lt;INDEX('Valo FX'!$R:$R,MATCH($A10,'Valo FX'!$A:$A,0)),INDEX(Base!$U:$U,MATCH($A10,Base!$A:$A,0)),IF(DU$1=INDEX('Valo FX'!$R:$R,MATCH($A10,'Valo FX'!$A:$A,0)),INDEX(Base!$V:$V,MATCH($A10,Base!$A:$A,0)),0)))</f>
        <v>15.019052</v>
      </c>
      <c r="DV10" s="21">
        <f>IF(DV$1&lt;INDEX('Valo FX'!$Q:$Q,MATCH($A10,'Valo FX'!$A:$A,0)),0,IF(DV$1&lt;INDEX('Valo FX'!$R:$R,MATCH($A10,'Valo FX'!$A:$A,0)),INDEX(Base!$U:$U,MATCH($A10,Base!$A:$A,0)),IF(DV$1=INDEX('Valo FX'!$R:$R,MATCH($A10,'Valo FX'!$A:$A,0)),INDEX(Base!$V:$V,MATCH($A10,Base!$A:$A,0)),0)))</f>
        <v>15.019052</v>
      </c>
      <c r="DW10" s="21">
        <f>IF(DW$1&lt;INDEX('Valo FX'!$Q:$Q,MATCH($A10,'Valo FX'!$A:$A,0)),0,IF(DW$1&lt;INDEX('Valo FX'!$R:$R,MATCH($A10,'Valo FX'!$A:$A,0)),INDEX(Base!$U:$U,MATCH($A10,Base!$A:$A,0)),IF(DW$1=INDEX('Valo FX'!$R:$R,MATCH($A10,'Valo FX'!$A:$A,0)),INDEX(Base!$V:$V,MATCH($A10,Base!$A:$A,0)),0)))</f>
        <v>15.019052</v>
      </c>
      <c r="DX10" s="21">
        <f>IF(DX$1&lt;INDEX('Valo FX'!$Q:$Q,MATCH($A10,'Valo FX'!$A:$A,0)),0,IF(DX$1&lt;INDEX('Valo FX'!$R:$R,MATCH($A10,'Valo FX'!$A:$A,0)),INDEX(Base!$U:$U,MATCH($A10,Base!$A:$A,0)),IF(DX$1=INDEX('Valo FX'!$R:$R,MATCH($A10,'Valo FX'!$A:$A,0)),INDEX(Base!$V:$V,MATCH($A10,Base!$A:$A,0)),0)))</f>
        <v>15.019052</v>
      </c>
      <c r="DY10" s="21">
        <f>IF(DY$1&lt;INDEX('Valo FX'!$Q:$Q,MATCH($A10,'Valo FX'!$A:$A,0)),0,IF(DY$1&lt;INDEX('Valo FX'!$R:$R,MATCH($A10,'Valo FX'!$A:$A,0)),INDEX(Base!$U:$U,MATCH($A10,Base!$A:$A,0)),IF(DY$1=INDEX('Valo FX'!$R:$R,MATCH($A10,'Valo FX'!$A:$A,0)),INDEX(Base!$V:$V,MATCH($A10,Base!$A:$A,0)),0)))</f>
        <v>15.019052</v>
      </c>
      <c r="DZ10" s="21">
        <f>IF(DZ$1&lt;INDEX('Valo FX'!$Q:$Q,MATCH($A10,'Valo FX'!$A:$A,0)),0,IF(DZ$1&lt;INDEX('Valo FX'!$R:$R,MATCH($A10,'Valo FX'!$A:$A,0)),INDEX(Base!$U:$U,MATCH($A10,Base!$A:$A,0)),IF(DZ$1=INDEX('Valo FX'!$R:$R,MATCH($A10,'Valo FX'!$A:$A,0)),INDEX(Base!$V:$V,MATCH($A10,Base!$A:$A,0)),0)))</f>
        <v>15.019052</v>
      </c>
      <c r="EA10" s="21">
        <f>IF(EA$1&lt;INDEX('Valo FX'!$Q:$Q,MATCH($A10,'Valo FX'!$A:$A,0)),0,IF(EA$1&lt;INDEX('Valo FX'!$R:$R,MATCH($A10,'Valo FX'!$A:$A,0)),INDEX(Base!$U:$U,MATCH($A10,Base!$A:$A,0)),IF(EA$1=INDEX('Valo FX'!$R:$R,MATCH($A10,'Valo FX'!$A:$A,0)),INDEX(Base!$V:$V,MATCH($A10,Base!$A:$A,0)),0)))</f>
        <v>15.019052</v>
      </c>
      <c r="EB10" s="21">
        <f>IF(EB$1&lt;INDEX('Valo FX'!$Q:$Q,MATCH($A10,'Valo FX'!$A:$A,0)),0,IF(EB$1&lt;INDEX('Valo FX'!$R:$R,MATCH($A10,'Valo FX'!$A:$A,0)),INDEX(Base!$U:$U,MATCH($A10,Base!$A:$A,0)),IF(EB$1=INDEX('Valo FX'!$R:$R,MATCH($A10,'Valo FX'!$A:$A,0)),INDEX(Base!$V:$V,MATCH($A10,Base!$A:$A,0)),0)))</f>
        <v>15.019052</v>
      </c>
      <c r="EC10" s="21">
        <f>IF(EC$1&lt;INDEX('Valo FX'!$Q:$Q,MATCH($A10,'Valo FX'!$A:$A,0)),0,IF(EC$1&lt;INDEX('Valo FX'!$R:$R,MATCH($A10,'Valo FX'!$A:$A,0)),INDEX(Base!$U:$U,MATCH($A10,Base!$A:$A,0)),IF(EC$1=INDEX('Valo FX'!$R:$R,MATCH($A10,'Valo FX'!$A:$A,0)),INDEX(Base!$V:$V,MATCH($A10,Base!$A:$A,0)),0)))</f>
        <v>15.019052</v>
      </c>
      <c r="ED10" s="21">
        <f>IF(ED$1&lt;INDEX('Valo FX'!$Q:$Q,MATCH($A10,'Valo FX'!$A:$A,0)),0,IF(ED$1&lt;INDEX('Valo FX'!$R:$R,MATCH($A10,'Valo FX'!$A:$A,0)),INDEX(Base!$U:$U,MATCH($A10,Base!$A:$A,0)),IF(ED$1=INDEX('Valo FX'!$R:$R,MATCH($A10,'Valo FX'!$A:$A,0)),INDEX(Base!$V:$V,MATCH($A10,Base!$A:$A,0)),0)))</f>
        <v>15.019052</v>
      </c>
      <c r="EE10" s="21">
        <f>IF(EE$1&lt;INDEX('Valo FX'!$Q:$Q,MATCH($A10,'Valo FX'!$A:$A,0)),0,IF(EE$1&lt;INDEX('Valo FX'!$R:$R,MATCH($A10,'Valo FX'!$A:$A,0)),INDEX(Base!$U:$U,MATCH($A10,Base!$A:$A,0)),IF(EE$1=INDEX('Valo FX'!$R:$R,MATCH($A10,'Valo FX'!$A:$A,0)),INDEX(Base!$V:$V,MATCH($A10,Base!$A:$A,0)),0)))</f>
        <v>15.019052</v>
      </c>
      <c r="EF10" s="21">
        <f>IF(EF$1&lt;INDEX('Valo FX'!$Q:$Q,MATCH($A10,'Valo FX'!$A:$A,0)),0,IF(EF$1&lt;INDEX('Valo FX'!$R:$R,MATCH($A10,'Valo FX'!$A:$A,0)),INDEX(Base!$U:$U,MATCH($A10,Base!$A:$A,0)),IF(EF$1=INDEX('Valo FX'!$R:$R,MATCH($A10,'Valo FX'!$A:$A,0)),INDEX(Base!$V:$V,MATCH($A10,Base!$A:$A,0)),0)))</f>
        <v>15.019052</v>
      </c>
      <c r="EG10" s="21">
        <f>IF(EG$1&lt;INDEX('Valo FX'!$Q:$Q,MATCH($A10,'Valo FX'!$A:$A,0)),0,IF(EG$1&lt;INDEX('Valo FX'!$R:$R,MATCH($A10,'Valo FX'!$A:$A,0)),INDEX(Base!$U:$U,MATCH($A10,Base!$A:$A,0)),IF(EG$1=INDEX('Valo FX'!$R:$R,MATCH($A10,'Valo FX'!$A:$A,0)),INDEX(Base!$V:$V,MATCH($A10,Base!$A:$A,0)),0)))</f>
        <v>15.019052</v>
      </c>
      <c r="EH10" s="21">
        <f>IF(EH$1&lt;INDEX('Valo FX'!$Q:$Q,MATCH($A10,'Valo FX'!$A:$A,0)),0,IF(EH$1&lt;INDEX('Valo FX'!$R:$R,MATCH($A10,'Valo FX'!$A:$A,0)),INDEX(Base!$U:$U,MATCH($A10,Base!$A:$A,0)),IF(EH$1=INDEX('Valo FX'!$R:$R,MATCH($A10,'Valo FX'!$A:$A,0)),INDEX(Base!$V:$V,MATCH($A10,Base!$A:$A,0)),0)))</f>
        <v>15.019052</v>
      </c>
      <c r="EI10" s="21">
        <f>IF(EI$1&lt;INDEX('Valo FX'!$Q:$Q,MATCH($A10,'Valo FX'!$A:$A,0)),0,IF(EI$1&lt;INDEX('Valo FX'!$R:$R,MATCH($A10,'Valo FX'!$A:$A,0)),INDEX(Base!$U:$U,MATCH($A10,Base!$A:$A,0)),IF(EI$1=INDEX('Valo FX'!$R:$R,MATCH($A10,'Valo FX'!$A:$A,0)),INDEX(Base!$V:$V,MATCH($A10,Base!$A:$A,0)),0)))</f>
        <v>15.019052</v>
      </c>
      <c r="EJ10" s="21">
        <f>IF(EJ$1&lt;INDEX('Valo FX'!$Q:$Q,MATCH($A10,'Valo FX'!$A:$A,0)),0,IF(EJ$1&lt;INDEX('Valo FX'!$R:$R,MATCH($A10,'Valo FX'!$A:$A,0)),INDEX(Base!$U:$U,MATCH($A10,Base!$A:$A,0)),IF(EJ$1=INDEX('Valo FX'!$R:$R,MATCH($A10,'Valo FX'!$A:$A,0)),INDEX(Base!$V:$V,MATCH($A10,Base!$A:$A,0)),0)))</f>
        <v>15.019052</v>
      </c>
      <c r="EK10" s="21">
        <f>IF(EK$1&lt;INDEX('Valo FX'!$Q:$Q,MATCH($A10,'Valo FX'!$A:$A,0)),0,IF(EK$1&lt;INDEX('Valo FX'!$R:$R,MATCH($A10,'Valo FX'!$A:$A,0)),INDEX(Base!$U:$U,MATCH($A10,Base!$A:$A,0)),IF(EK$1=INDEX('Valo FX'!$R:$R,MATCH($A10,'Valo FX'!$A:$A,0)),INDEX(Base!$V:$V,MATCH($A10,Base!$A:$A,0)),0)))</f>
        <v>15.019052</v>
      </c>
      <c r="EL10" s="21">
        <f>IF(EL$1&lt;INDEX('Valo FX'!$Q:$Q,MATCH($A10,'Valo FX'!$A:$A,0)),0,IF(EL$1&lt;INDEX('Valo FX'!$R:$R,MATCH($A10,'Valo FX'!$A:$A,0)),INDEX(Base!$U:$U,MATCH($A10,Base!$A:$A,0)),IF(EL$1=INDEX('Valo FX'!$R:$R,MATCH($A10,'Valo FX'!$A:$A,0)),INDEX(Base!$V:$V,MATCH($A10,Base!$A:$A,0)),0)))</f>
        <v>15.019052</v>
      </c>
      <c r="EM10" s="21">
        <f>IF(EM$1&lt;INDEX('Valo FX'!$Q:$Q,MATCH($A10,'Valo FX'!$A:$A,0)),0,IF(EM$1&lt;INDEX('Valo FX'!$R:$R,MATCH($A10,'Valo FX'!$A:$A,0)),INDEX(Base!$U:$U,MATCH($A10,Base!$A:$A,0)),IF(EM$1=INDEX('Valo FX'!$R:$R,MATCH($A10,'Valo FX'!$A:$A,0)),INDEX(Base!$V:$V,MATCH($A10,Base!$A:$A,0)),0)))</f>
        <v>15.019052</v>
      </c>
      <c r="EN10" s="21">
        <f>IF(EN$1&lt;INDEX('Valo FX'!$Q:$Q,MATCH($A10,'Valo FX'!$A:$A,0)),0,IF(EN$1&lt;INDEX('Valo FX'!$R:$R,MATCH($A10,'Valo FX'!$A:$A,0)),INDEX(Base!$U:$U,MATCH($A10,Base!$A:$A,0)),IF(EN$1=INDEX('Valo FX'!$R:$R,MATCH($A10,'Valo FX'!$A:$A,0)),INDEX(Base!$V:$V,MATCH($A10,Base!$A:$A,0)),0)))</f>
        <v>15.019052</v>
      </c>
      <c r="EO10" s="21">
        <f>IF(EO$1&lt;INDEX('Valo FX'!$Q:$Q,MATCH($A10,'Valo FX'!$A:$A,0)),0,IF(EO$1&lt;INDEX('Valo FX'!$R:$R,MATCH($A10,'Valo FX'!$A:$A,0)),INDEX(Base!$U:$U,MATCH($A10,Base!$A:$A,0)),IF(EO$1=INDEX('Valo FX'!$R:$R,MATCH($A10,'Valo FX'!$A:$A,0)),INDEX(Base!$V:$V,MATCH($A10,Base!$A:$A,0)),0)))</f>
        <v>15.019052</v>
      </c>
      <c r="EP10" s="21">
        <f>IF(EP$1&lt;INDEX('Valo FX'!$Q:$Q,MATCH($A10,'Valo FX'!$A:$A,0)),0,IF(EP$1&lt;INDEX('Valo FX'!$R:$R,MATCH($A10,'Valo FX'!$A:$A,0)),INDEX(Base!$U:$U,MATCH($A10,Base!$A:$A,0)),IF(EP$1=INDEX('Valo FX'!$R:$R,MATCH($A10,'Valo FX'!$A:$A,0)),INDEX(Base!$V:$V,MATCH($A10,Base!$A:$A,0)),0)))</f>
        <v>15.029812</v>
      </c>
      <c r="EQ10" s="21">
        <f>IF(EQ$1&lt;INDEX('Valo FX'!$Q:$Q,MATCH($A10,'Valo FX'!$A:$A,0)),0,IF(EQ$1&lt;INDEX('Valo FX'!$R:$R,MATCH($A10,'Valo FX'!$A:$A,0)),INDEX(Base!$U:$U,MATCH($A10,Base!$A:$A,0)),IF(EQ$1=INDEX('Valo FX'!$R:$R,MATCH($A10,'Valo FX'!$A:$A,0)),INDEX(Base!$V:$V,MATCH($A10,Base!$A:$A,0)),0)))</f>
        <v>0</v>
      </c>
      <c r="ER10" s="21">
        <f>IF(ER$1&lt;INDEX('Valo FX'!$Q:$Q,MATCH($A10,'Valo FX'!$A:$A,0)),0,IF(ER$1&lt;INDEX('Valo FX'!$R:$R,MATCH($A10,'Valo FX'!$A:$A,0)),INDEX(Base!$U:$U,MATCH($A10,Base!$A:$A,0)),IF(ER$1=INDEX('Valo FX'!$R:$R,MATCH($A10,'Valo FX'!$A:$A,0)),INDEX(Base!$V:$V,MATCH($A10,Base!$A:$A,0)),0)))</f>
        <v>0</v>
      </c>
      <c r="ES10" s="21">
        <f>IF(ES$1&lt;INDEX('Valo FX'!$Q:$Q,MATCH($A10,'Valo FX'!$A:$A,0)),0,IF(ES$1&lt;INDEX('Valo FX'!$R:$R,MATCH($A10,'Valo FX'!$A:$A,0)),INDEX(Base!$U:$U,MATCH($A10,Base!$A:$A,0)),IF(ES$1=INDEX('Valo FX'!$R:$R,MATCH($A10,'Valo FX'!$A:$A,0)),INDEX(Base!$V:$V,MATCH($A10,Base!$A:$A,0)),0)))</f>
        <v>0</v>
      </c>
      <c r="ET10" s="21">
        <f>IF(ET$1&lt;INDEX('Valo FX'!$Q:$Q,MATCH($A10,'Valo FX'!$A:$A,0)),0,IF(ET$1&lt;INDEX('Valo FX'!$R:$R,MATCH($A10,'Valo FX'!$A:$A,0)),INDEX(Base!$U:$U,MATCH($A10,Base!$A:$A,0)),IF(ET$1=INDEX('Valo FX'!$R:$R,MATCH($A10,'Valo FX'!$A:$A,0)),INDEX(Base!$V:$V,MATCH($A10,Base!$A:$A,0)),0)))</f>
        <v>0</v>
      </c>
      <c r="EU10" s="21">
        <f>IF(EU$1&lt;INDEX('Valo FX'!$Q:$Q,MATCH($A10,'Valo FX'!$A:$A,0)),0,IF(EU$1&lt;INDEX('Valo FX'!$R:$R,MATCH($A10,'Valo FX'!$A:$A,0)),INDEX(Base!$U:$U,MATCH($A10,Base!$A:$A,0)),IF(EU$1=INDEX('Valo FX'!$R:$R,MATCH($A10,'Valo FX'!$A:$A,0)),INDEX(Base!$V:$V,MATCH($A10,Base!$A:$A,0)),0)))</f>
        <v>0</v>
      </c>
      <c r="EV10" s="21">
        <f>IF(EV$1&lt;INDEX('Valo FX'!$Q:$Q,MATCH($A10,'Valo FX'!$A:$A,0)),0,IF(EV$1&lt;INDEX('Valo FX'!$R:$R,MATCH($A10,'Valo FX'!$A:$A,0)),INDEX(Base!$U:$U,MATCH($A10,Base!$A:$A,0)),IF(EV$1=INDEX('Valo FX'!$R:$R,MATCH($A10,'Valo FX'!$A:$A,0)),INDEX(Base!$V:$V,MATCH($A10,Base!$A:$A,0)),0)))</f>
        <v>0</v>
      </c>
      <c r="EW10" s="21">
        <f>IF(EW$1&lt;INDEX('Valo FX'!$Q:$Q,MATCH($A10,'Valo FX'!$A:$A,0)),0,IF(EW$1&lt;INDEX('Valo FX'!$R:$R,MATCH($A10,'Valo FX'!$A:$A,0)),INDEX(Base!$U:$U,MATCH($A10,Base!$A:$A,0)),IF(EW$1=INDEX('Valo FX'!$R:$R,MATCH($A10,'Valo FX'!$A:$A,0)),INDEX(Base!$V:$V,MATCH($A10,Base!$A:$A,0)),0)))</f>
        <v>0</v>
      </c>
      <c r="EX10" s="21">
        <f>IF(EX$1&lt;INDEX('Valo FX'!$Q:$Q,MATCH($A10,'Valo FX'!$A:$A,0)),0,IF(EX$1&lt;INDEX('Valo FX'!$R:$R,MATCH($A10,'Valo FX'!$A:$A,0)),INDEX(Base!$U:$U,MATCH($A10,Base!$A:$A,0)),IF(EX$1=INDEX('Valo FX'!$R:$R,MATCH($A10,'Valo FX'!$A:$A,0)),INDEX(Base!$V:$V,MATCH($A10,Base!$A:$A,0)),0)))</f>
        <v>0</v>
      </c>
      <c r="EY10" s="21">
        <f>IF(EY$1&lt;INDEX('Valo FX'!$Q:$Q,MATCH($A10,'Valo FX'!$A:$A,0)),0,IF(EY$1&lt;INDEX('Valo FX'!$R:$R,MATCH($A10,'Valo FX'!$A:$A,0)),INDEX(Base!$U:$U,MATCH($A10,Base!$A:$A,0)),IF(EY$1=INDEX('Valo FX'!$R:$R,MATCH($A10,'Valo FX'!$A:$A,0)),INDEX(Base!$V:$V,MATCH($A10,Base!$A:$A,0)),0)))</f>
        <v>0</v>
      </c>
      <c r="EZ10" s="21">
        <f>IF(EZ$1&lt;INDEX('Valo FX'!$Q:$Q,MATCH($A10,'Valo FX'!$A:$A,0)),0,IF(EZ$1&lt;INDEX('Valo FX'!$R:$R,MATCH($A10,'Valo FX'!$A:$A,0)),INDEX(Base!$U:$U,MATCH($A10,Base!$A:$A,0)),IF(EZ$1=INDEX('Valo FX'!$R:$R,MATCH($A10,'Valo FX'!$A:$A,0)),INDEX(Base!$V:$V,MATCH($A10,Base!$A:$A,0)),0)))</f>
        <v>0</v>
      </c>
      <c r="FA10" s="21">
        <f>IF(FA$1&lt;INDEX('Valo FX'!$Q:$Q,MATCH($A10,'Valo FX'!$A:$A,0)),0,IF(FA$1&lt;INDEX('Valo FX'!$R:$R,MATCH($A10,'Valo FX'!$A:$A,0)),INDEX(Base!$U:$U,MATCH($A10,Base!$A:$A,0)),IF(FA$1=INDEX('Valo FX'!$R:$R,MATCH($A10,'Valo FX'!$A:$A,0)),INDEX(Base!$V:$V,MATCH($A10,Base!$A:$A,0)),0)))</f>
        <v>0</v>
      </c>
      <c r="FB10" s="21">
        <f>IF(FB$1&lt;INDEX('Valo FX'!$Q:$Q,MATCH($A10,'Valo FX'!$A:$A,0)),0,IF(FB$1&lt;INDEX('Valo FX'!$R:$R,MATCH($A10,'Valo FX'!$A:$A,0)),INDEX(Base!$U:$U,MATCH($A10,Base!$A:$A,0)),IF(FB$1=INDEX('Valo FX'!$R:$R,MATCH($A10,'Valo FX'!$A:$A,0)),INDEX(Base!$V:$V,MATCH($A10,Base!$A:$A,0)),0)))</f>
        <v>0</v>
      </c>
      <c r="FC10" s="21">
        <f>IF(FC$1&lt;INDEX('Valo FX'!$Q:$Q,MATCH($A10,'Valo FX'!$A:$A,0)),0,IF(FC$1&lt;INDEX('Valo FX'!$R:$R,MATCH($A10,'Valo FX'!$A:$A,0)),INDEX(Base!$U:$U,MATCH($A10,Base!$A:$A,0)),IF(FC$1=INDEX('Valo FX'!$R:$R,MATCH($A10,'Valo FX'!$A:$A,0)),INDEX(Base!$V:$V,MATCH($A10,Base!$A:$A,0)),0)))</f>
        <v>0</v>
      </c>
      <c r="FD10" s="21">
        <f>IF(FD$1&lt;INDEX('Valo FX'!$Q:$Q,MATCH($A10,'Valo FX'!$A:$A,0)),0,IF(FD$1&lt;INDEX('Valo FX'!$R:$R,MATCH($A10,'Valo FX'!$A:$A,0)),INDEX(Base!$U:$U,MATCH($A10,Base!$A:$A,0)),IF(FD$1=INDEX('Valo FX'!$R:$R,MATCH($A10,'Valo FX'!$A:$A,0)),INDEX(Base!$V:$V,MATCH($A10,Base!$A:$A,0)),0)))</f>
        <v>0</v>
      </c>
      <c r="FE10" s="21">
        <f>IF(FE$1&lt;INDEX('Valo FX'!$Q:$Q,MATCH($A10,'Valo FX'!$A:$A,0)),0,IF(FE$1&lt;INDEX('Valo FX'!$R:$R,MATCH($A10,'Valo FX'!$A:$A,0)),INDEX(Base!$U:$U,MATCH($A10,Base!$A:$A,0)),IF(FE$1=INDEX('Valo FX'!$R:$R,MATCH($A10,'Valo FX'!$A:$A,0)),INDEX(Base!$V:$V,MATCH($A10,Base!$A:$A,0)),0)))</f>
        <v>0</v>
      </c>
      <c r="FF10" s="21">
        <f>IF(FF$1&lt;INDEX('Valo FX'!$Q:$Q,MATCH($A10,'Valo FX'!$A:$A,0)),0,IF(FF$1&lt;INDEX('Valo FX'!$R:$R,MATCH($A10,'Valo FX'!$A:$A,0)),INDEX(Base!$U:$U,MATCH($A10,Base!$A:$A,0)),IF(FF$1=INDEX('Valo FX'!$R:$R,MATCH($A10,'Valo FX'!$A:$A,0)),INDEX(Base!$V:$V,MATCH($A10,Base!$A:$A,0)),0)))</f>
        <v>0</v>
      </c>
      <c r="FG10" s="21">
        <f>IF(FG$1&lt;INDEX('Valo FX'!$Q:$Q,MATCH($A10,'Valo FX'!$A:$A,0)),0,IF(FG$1&lt;INDEX('Valo FX'!$R:$R,MATCH($A10,'Valo FX'!$A:$A,0)),INDEX(Base!$U:$U,MATCH($A10,Base!$A:$A,0)),IF(FG$1=INDEX('Valo FX'!$R:$R,MATCH($A10,'Valo FX'!$A:$A,0)),INDEX(Base!$V:$V,MATCH($A10,Base!$A:$A,0)),0)))</f>
        <v>0</v>
      </c>
      <c r="FH10" s="21">
        <f>IF(FH$1&lt;INDEX('Valo FX'!$Q:$Q,MATCH($A10,'Valo FX'!$A:$A,0)),0,IF(FH$1&lt;INDEX('Valo FX'!$R:$R,MATCH($A10,'Valo FX'!$A:$A,0)),INDEX(Base!$U:$U,MATCH($A10,Base!$A:$A,0)),IF(FH$1=INDEX('Valo FX'!$R:$R,MATCH($A10,'Valo FX'!$A:$A,0)),INDEX(Base!$V:$V,MATCH($A10,Base!$A:$A,0)),0)))</f>
        <v>0</v>
      </c>
      <c r="FI10" s="21">
        <f>IF(FI$1&lt;INDEX('Valo FX'!$Q:$Q,MATCH($A10,'Valo FX'!$A:$A,0)),0,IF(FI$1&lt;INDEX('Valo FX'!$R:$R,MATCH($A10,'Valo FX'!$A:$A,0)),INDEX(Base!$U:$U,MATCH($A10,Base!$A:$A,0)),IF(FI$1=INDEX('Valo FX'!$R:$R,MATCH($A10,'Valo FX'!$A:$A,0)),INDEX(Base!$V:$V,MATCH($A10,Base!$A:$A,0)),0)))</f>
        <v>0</v>
      </c>
      <c r="FJ10" s="21">
        <f>IF(FJ$1&lt;INDEX('Valo FX'!$Q:$Q,MATCH($A10,'Valo FX'!$A:$A,0)),0,IF(FJ$1&lt;INDEX('Valo FX'!$R:$R,MATCH($A10,'Valo FX'!$A:$A,0)),INDEX(Base!$U:$U,MATCH($A10,Base!$A:$A,0)),IF(FJ$1=INDEX('Valo FX'!$R:$R,MATCH($A10,'Valo FX'!$A:$A,0)),INDEX(Base!$V:$V,MATCH($A10,Base!$A:$A,0)),0)))</f>
        <v>0</v>
      </c>
      <c r="FK10" s="21">
        <f>IF(FK$1&lt;INDEX('Valo FX'!$Q:$Q,MATCH($A10,'Valo FX'!$A:$A,0)),0,IF(FK$1&lt;INDEX('Valo FX'!$R:$R,MATCH($A10,'Valo FX'!$A:$A,0)),INDEX(Base!$U:$U,MATCH($A10,Base!$A:$A,0)),IF(FK$1=INDEX('Valo FX'!$R:$R,MATCH($A10,'Valo FX'!$A:$A,0)),INDEX(Base!$V:$V,MATCH($A10,Base!$A:$A,0)),0)))</f>
        <v>0</v>
      </c>
      <c r="FL10" s="21">
        <f>IF(FL$1&lt;INDEX('Valo FX'!$Q:$Q,MATCH($A10,'Valo FX'!$A:$A,0)),0,IF(FL$1&lt;INDEX('Valo FX'!$R:$R,MATCH($A10,'Valo FX'!$A:$A,0)),INDEX(Base!$U:$U,MATCH($A10,Base!$A:$A,0)),IF(FL$1=INDEX('Valo FX'!$R:$R,MATCH($A10,'Valo FX'!$A:$A,0)),INDEX(Base!$V:$V,MATCH($A10,Base!$A:$A,0)),0)))</f>
        <v>0</v>
      </c>
      <c r="FM10" s="21">
        <f>IF(FM$1&lt;INDEX('Valo FX'!$Q:$Q,MATCH($A10,'Valo FX'!$A:$A,0)),0,IF(FM$1&lt;INDEX('Valo FX'!$R:$R,MATCH($A10,'Valo FX'!$A:$A,0)),INDEX(Base!$U:$U,MATCH($A10,Base!$A:$A,0)),IF(FM$1=INDEX('Valo FX'!$R:$R,MATCH($A10,'Valo FX'!$A:$A,0)),INDEX(Base!$V:$V,MATCH($A10,Base!$A:$A,0)),0)))</f>
        <v>0</v>
      </c>
      <c r="FN10" s="21">
        <f>IF(FN$1&lt;INDEX('Valo FX'!$Q:$Q,MATCH($A10,'Valo FX'!$A:$A,0)),0,IF(FN$1&lt;INDEX('Valo FX'!$R:$R,MATCH($A10,'Valo FX'!$A:$A,0)),INDEX(Base!$U:$U,MATCH($A10,Base!$A:$A,0)),IF(FN$1=INDEX('Valo FX'!$R:$R,MATCH($A10,'Valo FX'!$A:$A,0)),INDEX(Base!$V:$V,MATCH($A10,Base!$A:$A,0)),0)))</f>
        <v>0</v>
      </c>
      <c r="FO10" s="21">
        <f>IF(FO$1&lt;INDEX('Valo FX'!$Q:$Q,MATCH($A10,'Valo FX'!$A:$A,0)),0,IF(FO$1&lt;INDEX('Valo FX'!$R:$R,MATCH($A10,'Valo FX'!$A:$A,0)),INDEX(Base!$U:$U,MATCH($A10,Base!$A:$A,0)),IF(FO$1=INDEX('Valo FX'!$R:$R,MATCH($A10,'Valo FX'!$A:$A,0)),INDEX(Base!$V:$V,MATCH($A10,Base!$A:$A,0)),0)))</f>
        <v>0</v>
      </c>
      <c r="FP10" s="21">
        <f>IF(FP$1&lt;INDEX('Valo FX'!$Q:$Q,MATCH($A10,'Valo FX'!$A:$A,0)),0,IF(FP$1&lt;INDEX('Valo FX'!$R:$R,MATCH($A10,'Valo FX'!$A:$A,0)),INDEX(Base!$U:$U,MATCH($A10,Base!$A:$A,0)),IF(FP$1=INDEX('Valo FX'!$R:$R,MATCH($A10,'Valo FX'!$A:$A,0)),INDEX(Base!$V:$V,MATCH($A10,Base!$A:$A,0)),0)))</f>
        <v>0</v>
      </c>
      <c r="FQ10" s="21">
        <f>IF(FQ$1&lt;INDEX('Valo FX'!$Q:$Q,MATCH($A10,'Valo FX'!$A:$A,0)),0,IF(FQ$1&lt;INDEX('Valo FX'!$R:$R,MATCH($A10,'Valo FX'!$A:$A,0)),INDEX(Base!$U:$U,MATCH($A10,Base!$A:$A,0)),IF(FQ$1=INDEX('Valo FX'!$R:$R,MATCH($A10,'Valo FX'!$A:$A,0)),INDEX(Base!$V:$V,MATCH($A10,Base!$A:$A,0)),0)))</f>
        <v>0</v>
      </c>
      <c r="FR10" s="21">
        <f>IF(FR$1&lt;INDEX('Valo FX'!$Q:$Q,MATCH($A10,'Valo FX'!$A:$A,0)),0,IF(FR$1&lt;INDEX('Valo FX'!$R:$R,MATCH($A10,'Valo FX'!$A:$A,0)),INDEX(Base!$U:$U,MATCH($A10,Base!$A:$A,0)),IF(FR$1=INDEX('Valo FX'!$R:$R,MATCH($A10,'Valo FX'!$A:$A,0)),INDEX(Base!$V:$V,MATCH($A10,Base!$A:$A,0)),0)))</f>
        <v>0</v>
      </c>
      <c r="FS10" s="21">
        <f>IF(FS$1&lt;INDEX('Valo FX'!$Q:$Q,MATCH($A10,'Valo FX'!$A:$A,0)),0,IF(FS$1&lt;INDEX('Valo FX'!$R:$R,MATCH($A10,'Valo FX'!$A:$A,0)),INDEX(Base!$U:$U,MATCH($A10,Base!$A:$A,0)),IF(FS$1=INDEX('Valo FX'!$R:$R,MATCH($A10,'Valo FX'!$A:$A,0)),INDEX(Base!$V:$V,MATCH($A10,Base!$A:$A,0)),0)))</f>
        <v>0</v>
      </c>
      <c r="FT10" s="21">
        <f>IF(FT$1&lt;INDEX('Valo FX'!$Q:$Q,MATCH($A10,'Valo FX'!$A:$A,0)),0,IF(FT$1&lt;INDEX('Valo FX'!$R:$R,MATCH($A10,'Valo FX'!$A:$A,0)),INDEX(Base!$U:$U,MATCH($A10,Base!$A:$A,0)),IF(FT$1=INDEX('Valo FX'!$R:$R,MATCH($A10,'Valo FX'!$A:$A,0)),INDEX(Base!$V:$V,MATCH($A10,Base!$A:$A,0)),0)))</f>
        <v>0</v>
      </c>
      <c r="FU10" s="21">
        <f>IF(FU$1&lt;INDEX('Valo FX'!$Q:$Q,MATCH($A10,'Valo FX'!$A:$A,0)),0,IF(FU$1&lt;INDEX('Valo FX'!$R:$R,MATCH($A10,'Valo FX'!$A:$A,0)),INDEX(Base!$U:$U,MATCH($A10,Base!$A:$A,0)),IF(FU$1=INDEX('Valo FX'!$R:$R,MATCH($A10,'Valo FX'!$A:$A,0)),INDEX(Base!$V:$V,MATCH($A10,Base!$A:$A,0)),0)))</f>
        <v>0</v>
      </c>
      <c r="FV10" s="21">
        <f>IF(FV$1&lt;INDEX('Valo FX'!$Q:$Q,MATCH($A10,'Valo FX'!$A:$A,0)),0,IF(FV$1&lt;INDEX('Valo FX'!$R:$R,MATCH($A10,'Valo FX'!$A:$A,0)),INDEX(Base!$U:$U,MATCH($A10,Base!$A:$A,0)),IF(FV$1=INDEX('Valo FX'!$R:$R,MATCH($A10,'Valo FX'!$A:$A,0)),INDEX(Base!$V:$V,MATCH($A10,Base!$A:$A,0)),0)))</f>
        <v>0</v>
      </c>
      <c r="FW10" s="21">
        <f>IF(FW$1&lt;INDEX('Valo FX'!$Q:$Q,MATCH($A10,'Valo FX'!$A:$A,0)),0,IF(FW$1&lt;INDEX('Valo FX'!$R:$R,MATCH($A10,'Valo FX'!$A:$A,0)),INDEX(Base!$U:$U,MATCH($A10,Base!$A:$A,0)),IF(FW$1=INDEX('Valo FX'!$R:$R,MATCH($A10,'Valo FX'!$A:$A,0)),INDEX(Base!$V:$V,MATCH($A10,Base!$A:$A,0)),0)))</f>
        <v>0</v>
      </c>
      <c r="FX10" s="21">
        <f>IF(FX$1&lt;INDEX('Valo FX'!$Q:$Q,MATCH($A10,'Valo FX'!$A:$A,0)),0,IF(FX$1&lt;INDEX('Valo FX'!$R:$R,MATCH($A10,'Valo FX'!$A:$A,0)),INDEX(Base!$U:$U,MATCH($A10,Base!$A:$A,0)),IF(FX$1=INDEX('Valo FX'!$R:$R,MATCH($A10,'Valo FX'!$A:$A,0)),INDEX(Base!$V:$V,MATCH($A10,Base!$A:$A,0)),0)))</f>
        <v>0</v>
      </c>
      <c r="FY10" s="21">
        <f>IF(FY$1&lt;INDEX('Valo FX'!$Q:$Q,MATCH($A10,'Valo FX'!$A:$A,0)),0,IF(FY$1&lt;INDEX('Valo FX'!$R:$R,MATCH($A10,'Valo FX'!$A:$A,0)),INDEX(Base!$U:$U,MATCH($A10,Base!$A:$A,0)),IF(FY$1=INDEX('Valo FX'!$R:$R,MATCH($A10,'Valo FX'!$A:$A,0)),INDEX(Base!$V:$V,MATCH($A10,Base!$A:$A,0)),0)))</f>
        <v>0</v>
      </c>
      <c r="FZ10" s="21">
        <f>IF(FZ$1&lt;INDEX('Valo FX'!$Q:$Q,MATCH($A10,'Valo FX'!$A:$A,0)),0,IF(FZ$1&lt;INDEX('Valo FX'!$R:$R,MATCH($A10,'Valo FX'!$A:$A,0)),INDEX(Base!$U:$U,MATCH($A10,Base!$A:$A,0)),IF(FZ$1=INDEX('Valo FX'!$R:$R,MATCH($A10,'Valo FX'!$A:$A,0)),INDEX(Base!$V:$V,MATCH($A10,Base!$A:$A,0)),0)))</f>
        <v>0</v>
      </c>
      <c r="GA10" s="21">
        <f>IF(GA$1&lt;INDEX('Valo FX'!$Q:$Q,MATCH($A10,'Valo FX'!$A:$A,0)),0,IF(GA$1&lt;INDEX('Valo FX'!$R:$R,MATCH($A10,'Valo FX'!$A:$A,0)),INDEX(Base!$U:$U,MATCH($A10,Base!$A:$A,0)),IF(GA$1=INDEX('Valo FX'!$R:$R,MATCH($A10,'Valo FX'!$A:$A,0)),INDEX(Base!$V:$V,MATCH($A10,Base!$A:$A,0)),0)))</f>
        <v>0</v>
      </c>
      <c r="GB10" s="21">
        <f>IF(GB$1&lt;INDEX('Valo FX'!$Q:$Q,MATCH($A10,'Valo FX'!$A:$A,0)),0,IF(GB$1&lt;INDEX('Valo FX'!$R:$R,MATCH($A10,'Valo FX'!$A:$A,0)),INDEX(Base!$U:$U,MATCH($A10,Base!$A:$A,0)),IF(GB$1=INDEX('Valo FX'!$R:$R,MATCH($A10,'Valo FX'!$A:$A,0)),INDEX(Base!$V:$V,MATCH($A10,Base!$A:$A,0)),0)))</f>
        <v>0</v>
      </c>
      <c r="GC10" s="21">
        <f>IF(GC$1&lt;INDEX('Valo FX'!$Q:$Q,MATCH($A10,'Valo FX'!$A:$A,0)),0,IF(GC$1&lt;INDEX('Valo FX'!$R:$R,MATCH($A10,'Valo FX'!$A:$A,0)),INDEX(Base!$U:$U,MATCH($A10,Base!$A:$A,0)),IF(GC$1=INDEX('Valo FX'!$R:$R,MATCH($A10,'Valo FX'!$A:$A,0)),INDEX(Base!$V:$V,MATCH($A10,Base!$A:$A,0)),0)))</f>
        <v>0</v>
      </c>
      <c r="GD10" s="21">
        <f>IF(GD$1&lt;INDEX('Valo FX'!$Q:$Q,MATCH($A10,'Valo FX'!$A:$A,0)),0,IF(GD$1&lt;INDEX('Valo FX'!$R:$R,MATCH($A10,'Valo FX'!$A:$A,0)),INDEX(Base!$U:$U,MATCH($A10,Base!$A:$A,0)),IF(GD$1=INDEX('Valo FX'!$R:$R,MATCH($A10,'Valo FX'!$A:$A,0)),INDEX(Base!$V:$V,MATCH($A10,Base!$A:$A,0)),0)))</f>
        <v>0</v>
      </c>
      <c r="GE10" s="21">
        <f>IF(GE$1&lt;INDEX('Valo FX'!$Q:$Q,MATCH($A10,'Valo FX'!$A:$A,0)),0,IF(GE$1&lt;INDEX('Valo FX'!$R:$R,MATCH($A10,'Valo FX'!$A:$A,0)),INDEX(Base!$U:$U,MATCH($A10,Base!$A:$A,0)),IF(GE$1=INDEX('Valo FX'!$R:$R,MATCH($A10,'Valo FX'!$A:$A,0)),INDEX(Base!$V:$V,MATCH($A10,Base!$A:$A,0)),0)))</f>
        <v>0</v>
      </c>
      <c r="GF10" s="21">
        <f>IF(GF$1&lt;INDEX('Valo FX'!$Q:$Q,MATCH($A10,'Valo FX'!$A:$A,0)),0,IF(GF$1&lt;INDEX('Valo FX'!$R:$R,MATCH($A10,'Valo FX'!$A:$A,0)),INDEX(Base!$U:$U,MATCH($A10,Base!$A:$A,0)),IF(GF$1=INDEX('Valo FX'!$R:$R,MATCH($A10,'Valo FX'!$A:$A,0)),INDEX(Base!$V:$V,MATCH($A10,Base!$A:$A,0)),0)))</f>
        <v>0</v>
      </c>
      <c r="GG10" s="21">
        <f>IF(GG$1&lt;INDEX('Valo FX'!$Q:$Q,MATCH($A10,'Valo FX'!$A:$A,0)),0,IF(GG$1&lt;INDEX('Valo FX'!$R:$R,MATCH($A10,'Valo FX'!$A:$A,0)),INDEX(Base!$U:$U,MATCH($A10,Base!$A:$A,0)),IF(GG$1=INDEX('Valo FX'!$R:$R,MATCH($A10,'Valo FX'!$A:$A,0)),INDEX(Base!$V:$V,MATCH($A10,Base!$A:$A,0)),0)))</f>
        <v>0</v>
      </c>
      <c r="GH10" s="21">
        <f>IF(GH$1&lt;INDEX('Valo FX'!$Q:$Q,MATCH($A10,'Valo FX'!$A:$A,0)),0,IF(GH$1&lt;INDEX('Valo FX'!$R:$R,MATCH($A10,'Valo FX'!$A:$A,0)),INDEX(Base!$U:$U,MATCH($A10,Base!$A:$A,0)),IF(GH$1=INDEX('Valo FX'!$R:$R,MATCH($A10,'Valo FX'!$A:$A,0)),INDEX(Base!$V:$V,MATCH($A10,Base!$A:$A,0)),0)))</f>
        <v>0</v>
      </c>
      <c r="GI10" s="21">
        <f>IF(GI$1&lt;INDEX('Valo FX'!$Q:$Q,MATCH($A10,'Valo FX'!$A:$A,0)),0,IF(GI$1&lt;INDEX('Valo FX'!$R:$R,MATCH($A10,'Valo FX'!$A:$A,0)),INDEX(Base!$U:$U,MATCH($A10,Base!$A:$A,0)),IF(GI$1=INDEX('Valo FX'!$R:$R,MATCH($A10,'Valo FX'!$A:$A,0)),INDEX(Base!$V:$V,MATCH($A10,Base!$A:$A,0)),0)))</f>
        <v>0</v>
      </c>
      <c r="GJ10" s="21">
        <f>IF(GJ$1&lt;INDEX('Valo FX'!$Q:$Q,MATCH($A10,'Valo FX'!$A:$A,0)),0,IF(GJ$1&lt;INDEX('Valo FX'!$R:$R,MATCH($A10,'Valo FX'!$A:$A,0)),INDEX(Base!$U:$U,MATCH($A10,Base!$A:$A,0)),IF(GJ$1=INDEX('Valo FX'!$R:$R,MATCH($A10,'Valo FX'!$A:$A,0)),INDEX(Base!$V:$V,MATCH($A10,Base!$A:$A,0)),0)))</f>
        <v>0</v>
      </c>
      <c r="GK10" s="21">
        <f>IF(GK$1&lt;INDEX('Valo FX'!$Q:$Q,MATCH($A10,'Valo FX'!$A:$A,0)),0,IF(GK$1&lt;INDEX('Valo FX'!$R:$R,MATCH($A10,'Valo FX'!$A:$A,0)),INDEX(Base!$U:$U,MATCH($A10,Base!$A:$A,0)),IF(GK$1=INDEX('Valo FX'!$R:$R,MATCH($A10,'Valo FX'!$A:$A,0)),INDEX(Base!$V:$V,MATCH($A10,Base!$A:$A,0)),0)))</f>
        <v>0</v>
      </c>
      <c r="GL10" s="21">
        <f>IF(GL$1&lt;INDEX('Valo FX'!$Q:$Q,MATCH($A10,'Valo FX'!$A:$A,0)),0,IF(GL$1&lt;INDEX('Valo FX'!$R:$R,MATCH($A10,'Valo FX'!$A:$A,0)),INDEX(Base!$U:$U,MATCH($A10,Base!$A:$A,0)),IF(GL$1=INDEX('Valo FX'!$R:$R,MATCH($A10,'Valo FX'!$A:$A,0)),INDEX(Base!$V:$V,MATCH($A10,Base!$A:$A,0)),0)))</f>
        <v>0</v>
      </c>
      <c r="GM10" s="21">
        <f>IF(GM$1&lt;INDEX('Valo FX'!$Q:$Q,MATCH($A10,'Valo FX'!$A:$A,0)),0,IF(GM$1&lt;INDEX('Valo FX'!$R:$R,MATCH($A10,'Valo FX'!$A:$A,0)),INDEX(Base!$U:$U,MATCH($A10,Base!$A:$A,0)),IF(GM$1=INDEX('Valo FX'!$R:$R,MATCH($A10,'Valo FX'!$A:$A,0)),INDEX(Base!$V:$V,MATCH($A10,Base!$A:$A,0)),0)))</f>
        <v>0</v>
      </c>
      <c r="GN10" s="21">
        <f>IF(GN$1&lt;INDEX('Valo FX'!$Q:$Q,MATCH($A10,'Valo FX'!$A:$A,0)),0,IF(GN$1&lt;INDEX('Valo FX'!$R:$R,MATCH($A10,'Valo FX'!$A:$A,0)),INDEX(Base!$U:$U,MATCH($A10,Base!$A:$A,0)),IF(GN$1=INDEX('Valo FX'!$R:$R,MATCH($A10,'Valo FX'!$A:$A,0)),INDEX(Base!$V:$V,MATCH($A10,Base!$A:$A,0)),0)))</f>
        <v>0</v>
      </c>
      <c r="GO10" s="21">
        <f>IF(GO$1&lt;INDEX('Valo FX'!$Q:$Q,MATCH($A10,'Valo FX'!$A:$A,0)),0,IF(GO$1&lt;INDEX('Valo FX'!$R:$R,MATCH($A10,'Valo FX'!$A:$A,0)),INDEX(Base!$U:$U,MATCH($A10,Base!$A:$A,0)),IF(GO$1=INDEX('Valo FX'!$R:$R,MATCH($A10,'Valo FX'!$A:$A,0)),INDEX(Base!$V:$V,MATCH($A10,Base!$A:$A,0)),0)))</f>
        <v>0</v>
      </c>
      <c r="GP10" s="21">
        <f>IF(GP$1&lt;INDEX('Valo FX'!$Q:$Q,MATCH($A10,'Valo FX'!$A:$A,0)),0,IF(GP$1&lt;INDEX('Valo FX'!$R:$R,MATCH($A10,'Valo FX'!$A:$A,0)),INDEX(Base!$U:$U,MATCH($A10,Base!$A:$A,0)),IF(GP$1=INDEX('Valo FX'!$R:$R,MATCH($A10,'Valo FX'!$A:$A,0)),INDEX(Base!$V:$V,MATCH($A10,Base!$A:$A,0)),0)))</f>
        <v>0</v>
      </c>
      <c r="GQ10" s="21">
        <f>IF(GQ$1&lt;INDEX('Valo FX'!$Q:$Q,MATCH($A10,'Valo FX'!$A:$A,0)),0,IF(GQ$1&lt;INDEX('Valo FX'!$R:$R,MATCH($A10,'Valo FX'!$A:$A,0)),INDEX(Base!$U:$U,MATCH($A10,Base!$A:$A,0)),IF(GQ$1=INDEX('Valo FX'!$R:$R,MATCH($A10,'Valo FX'!$A:$A,0)),INDEX(Base!$V:$V,MATCH($A10,Base!$A:$A,0)),0)))</f>
        <v>0</v>
      </c>
      <c r="GR10" s="21">
        <f>IF(GR$1&lt;INDEX('Valo FX'!$Q:$Q,MATCH($A10,'Valo FX'!$A:$A,0)),0,IF(GR$1&lt;INDEX('Valo FX'!$R:$R,MATCH($A10,'Valo FX'!$A:$A,0)),INDEX(Base!$U:$U,MATCH($A10,Base!$A:$A,0)),IF(GR$1=INDEX('Valo FX'!$R:$R,MATCH($A10,'Valo FX'!$A:$A,0)),INDEX(Base!$V:$V,MATCH($A10,Base!$A:$A,0)),0)))</f>
        <v>0</v>
      </c>
      <c r="GS10" s="21">
        <f>IF(GS$1&lt;INDEX('Valo FX'!$Q:$Q,MATCH($A10,'Valo FX'!$A:$A,0)),0,IF(GS$1&lt;INDEX('Valo FX'!$R:$R,MATCH($A10,'Valo FX'!$A:$A,0)),INDEX(Base!$U:$U,MATCH($A10,Base!$A:$A,0)),IF(GS$1=INDEX('Valo FX'!$R:$R,MATCH($A10,'Valo FX'!$A:$A,0)),INDEX(Base!$V:$V,MATCH($A10,Base!$A:$A,0)),0)))</f>
        <v>0</v>
      </c>
      <c r="GT10" s="21">
        <f>IF(GT$1&lt;INDEX('Valo FX'!$Q:$Q,MATCH($A10,'Valo FX'!$A:$A,0)),0,IF(GT$1&lt;INDEX('Valo FX'!$R:$R,MATCH($A10,'Valo FX'!$A:$A,0)),INDEX(Base!$U:$U,MATCH($A10,Base!$A:$A,0)),IF(GT$1=INDEX('Valo FX'!$R:$R,MATCH($A10,'Valo FX'!$A:$A,0)),INDEX(Base!$V:$V,MATCH($A10,Base!$A:$A,0)),0)))</f>
        <v>0</v>
      </c>
      <c r="GU10" s="21">
        <f>IF(GU$1&lt;INDEX('Valo FX'!$Q:$Q,MATCH($A10,'Valo FX'!$A:$A,0)),0,IF(GU$1&lt;INDEX('Valo FX'!$R:$R,MATCH($A10,'Valo FX'!$A:$A,0)),INDEX(Base!$U:$U,MATCH($A10,Base!$A:$A,0)),IF(GU$1=INDEX('Valo FX'!$R:$R,MATCH($A10,'Valo FX'!$A:$A,0)),INDEX(Base!$V:$V,MATCH($A10,Base!$A:$A,0)),0)))</f>
        <v>0</v>
      </c>
      <c r="GV10" s="21">
        <f>IF(GV$1&lt;INDEX('Valo FX'!$Q:$Q,MATCH($A10,'Valo FX'!$A:$A,0)),0,IF(GV$1&lt;INDEX('Valo FX'!$R:$R,MATCH($A10,'Valo FX'!$A:$A,0)),INDEX(Base!$U:$U,MATCH($A10,Base!$A:$A,0)),IF(GV$1=INDEX('Valo FX'!$R:$R,MATCH($A10,'Valo FX'!$A:$A,0)),INDEX(Base!$V:$V,MATCH($A10,Base!$A:$A,0)),0)))</f>
        <v>0</v>
      </c>
      <c r="GW10" s="21">
        <f>IF(GW$1&lt;INDEX('Valo FX'!$Q:$Q,MATCH($A10,'Valo FX'!$A:$A,0)),0,IF(GW$1&lt;INDEX('Valo FX'!$R:$R,MATCH($A10,'Valo FX'!$A:$A,0)),INDEX(Base!$U:$U,MATCH($A10,Base!$A:$A,0)),IF(GW$1=INDEX('Valo FX'!$R:$R,MATCH($A10,'Valo FX'!$A:$A,0)),INDEX(Base!$V:$V,MATCH($A10,Base!$A:$A,0)),0)))</f>
        <v>0</v>
      </c>
      <c r="GX10" s="21">
        <f>IF(GX$1&lt;INDEX('Valo FX'!$Q:$Q,MATCH($A10,'Valo FX'!$A:$A,0)),0,IF(GX$1&lt;INDEX('Valo FX'!$R:$R,MATCH($A10,'Valo FX'!$A:$A,0)),INDEX(Base!$U:$U,MATCH($A10,Base!$A:$A,0)),IF(GX$1=INDEX('Valo FX'!$R:$R,MATCH($A10,'Valo FX'!$A:$A,0)),INDEX(Base!$V:$V,MATCH($A10,Base!$A:$A,0)),0)))</f>
        <v>0</v>
      </c>
      <c r="GY10" s="21">
        <f>IF(GY$1&lt;INDEX('Valo FX'!$Q:$Q,MATCH($A10,'Valo FX'!$A:$A,0)),0,IF(GY$1&lt;INDEX('Valo FX'!$R:$R,MATCH($A10,'Valo FX'!$A:$A,0)),INDEX(Base!$U:$U,MATCH($A10,Base!$A:$A,0)),IF(GY$1=INDEX('Valo FX'!$R:$R,MATCH($A10,'Valo FX'!$A:$A,0)),INDEX(Base!$V:$V,MATCH($A10,Base!$A:$A,0)),0)))</f>
        <v>0</v>
      </c>
      <c r="GZ10" s="21">
        <f>IF(GZ$1&lt;INDEX('Valo FX'!$Q:$Q,MATCH($A10,'Valo FX'!$A:$A,0)),0,IF(GZ$1&lt;INDEX('Valo FX'!$R:$R,MATCH($A10,'Valo FX'!$A:$A,0)),INDEX(Base!$U:$U,MATCH($A10,Base!$A:$A,0)),IF(GZ$1=INDEX('Valo FX'!$R:$R,MATCH($A10,'Valo FX'!$A:$A,0)),INDEX(Base!$V:$V,MATCH($A10,Base!$A:$A,0)),0)))</f>
        <v>0</v>
      </c>
      <c r="HA10" s="21">
        <f>IF(HA$1&lt;INDEX('Valo FX'!$Q:$Q,MATCH($A10,'Valo FX'!$A:$A,0)),0,IF(HA$1&lt;INDEX('Valo FX'!$R:$R,MATCH($A10,'Valo FX'!$A:$A,0)),INDEX(Base!$U:$U,MATCH($A10,Base!$A:$A,0)),IF(HA$1=INDEX('Valo FX'!$R:$R,MATCH($A10,'Valo FX'!$A:$A,0)),INDEX(Base!$V:$V,MATCH($A10,Base!$A:$A,0)),0)))</f>
        <v>0</v>
      </c>
      <c r="HB10" s="21">
        <f>IF(HB$1&lt;INDEX('Valo FX'!$Q:$Q,MATCH($A10,'Valo FX'!$A:$A,0)),0,IF(HB$1&lt;INDEX('Valo FX'!$R:$R,MATCH($A10,'Valo FX'!$A:$A,0)),INDEX(Base!$U:$U,MATCH($A10,Base!$A:$A,0)),IF(HB$1=INDEX('Valo FX'!$R:$R,MATCH($A10,'Valo FX'!$A:$A,0)),INDEX(Base!$V:$V,MATCH($A10,Base!$A:$A,0)),0)))</f>
        <v>0</v>
      </c>
      <c r="HC10" s="21">
        <f>IF(HC$1&lt;INDEX('Valo FX'!$Q:$Q,MATCH($A10,'Valo FX'!$A:$A,0)),0,IF(HC$1&lt;INDEX('Valo FX'!$R:$R,MATCH($A10,'Valo FX'!$A:$A,0)),INDEX(Base!$U:$U,MATCH($A10,Base!$A:$A,0)),IF(HC$1=INDEX('Valo FX'!$R:$R,MATCH($A10,'Valo FX'!$A:$A,0)),INDEX(Base!$V:$V,MATCH($A10,Base!$A:$A,0)),0)))</f>
        <v>0</v>
      </c>
      <c r="HD10" s="21">
        <f>IF(HD$1&lt;INDEX('Valo FX'!$Q:$Q,MATCH($A10,'Valo FX'!$A:$A,0)),0,IF(HD$1&lt;INDEX('Valo FX'!$R:$R,MATCH($A10,'Valo FX'!$A:$A,0)),INDEX(Base!$U:$U,MATCH($A10,Base!$A:$A,0)),IF(HD$1=INDEX('Valo FX'!$R:$R,MATCH($A10,'Valo FX'!$A:$A,0)),INDEX(Base!$V:$V,MATCH($A10,Base!$A:$A,0)),0)))</f>
        <v>0</v>
      </c>
      <c r="HE10" s="21">
        <f>IF(HE$1&lt;INDEX('Valo FX'!$Q:$Q,MATCH($A10,'Valo FX'!$A:$A,0)),0,IF(HE$1&lt;INDEX('Valo FX'!$R:$R,MATCH($A10,'Valo FX'!$A:$A,0)),INDEX(Base!$U:$U,MATCH($A10,Base!$A:$A,0)),IF(HE$1=INDEX('Valo FX'!$R:$R,MATCH($A10,'Valo FX'!$A:$A,0)),INDEX(Base!$V:$V,MATCH($A10,Base!$A:$A,0)),0)))</f>
        <v>0</v>
      </c>
      <c r="HF10" s="21">
        <f>IF(HF$1&lt;INDEX('Valo FX'!$Q:$Q,MATCH($A10,'Valo FX'!$A:$A,0)),0,IF(HF$1&lt;INDEX('Valo FX'!$R:$R,MATCH($A10,'Valo FX'!$A:$A,0)),INDEX(Base!$U:$U,MATCH($A10,Base!$A:$A,0)),IF(HF$1=INDEX('Valo FX'!$R:$R,MATCH($A10,'Valo FX'!$A:$A,0)),INDEX(Base!$V:$V,MATCH($A10,Base!$A:$A,0)),0)))</f>
        <v>0</v>
      </c>
      <c r="HG10" s="21">
        <f>IF(HG$1&lt;INDEX('Valo FX'!$Q:$Q,MATCH($A10,'Valo FX'!$A:$A,0)),0,IF(HG$1&lt;INDEX('Valo FX'!$R:$R,MATCH($A10,'Valo FX'!$A:$A,0)),INDEX(Base!$U:$U,MATCH($A10,Base!$A:$A,0)),IF(HG$1=INDEX('Valo FX'!$R:$R,MATCH($A10,'Valo FX'!$A:$A,0)),INDEX(Base!$V:$V,MATCH($A10,Base!$A:$A,0)),0)))</f>
        <v>0</v>
      </c>
      <c r="HH10" s="21">
        <f>IF(HH$1&lt;INDEX('Valo FX'!$Q:$Q,MATCH($A10,'Valo FX'!$A:$A,0)),0,IF(HH$1&lt;INDEX('Valo FX'!$R:$R,MATCH($A10,'Valo FX'!$A:$A,0)),INDEX(Base!$U:$U,MATCH($A10,Base!$A:$A,0)),IF(HH$1=INDEX('Valo FX'!$R:$R,MATCH($A10,'Valo FX'!$A:$A,0)),INDEX(Base!$V:$V,MATCH($A10,Base!$A:$A,0)),0)))</f>
        <v>0</v>
      </c>
      <c r="HI10" s="21">
        <f>IF(HI$1&lt;INDEX('Valo FX'!$Q:$Q,MATCH($A10,'Valo FX'!$A:$A,0)),0,IF(HI$1&lt;INDEX('Valo FX'!$R:$R,MATCH($A10,'Valo FX'!$A:$A,0)),INDEX(Base!$U:$U,MATCH($A10,Base!$A:$A,0)),IF(HI$1=INDEX('Valo FX'!$R:$R,MATCH($A10,'Valo FX'!$A:$A,0)),INDEX(Base!$V:$V,MATCH($A10,Base!$A:$A,0)),0)))</f>
        <v>0</v>
      </c>
      <c r="HJ10" s="21">
        <f>IF(HJ$1&lt;INDEX('Valo FX'!$Q:$Q,MATCH($A10,'Valo FX'!$A:$A,0)),0,IF(HJ$1&lt;INDEX('Valo FX'!$R:$R,MATCH($A10,'Valo FX'!$A:$A,0)),INDEX(Base!$U:$U,MATCH($A10,Base!$A:$A,0)),IF(HJ$1=INDEX('Valo FX'!$R:$R,MATCH($A10,'Valo FX'!$A:$A,0)),INDEX(Base!$V:$V,MATCH($A10,Base!$A:$A,0)),0)))</f>
        <v>0</v>
      </c>
      <c r="HK10" s="21">
        <f>IF(HK$1&lt;INDEX('Valo FX'!$Q:$Q,MATCH($A10,'Valo FX'!$A:$A,0)),0,IF(HK$1&lt;INDEX('Valo FX'!$R:$R,MATCH($A10,'Valo FX'!$A:$A,0)),INDEX(Base!$U:$U,MATCH($A10,Base!$A:$A,0)),IF(HK$1=INDEX('Valo FX'!$R:$R,MATCH($A10,'Valo FX'!$A:$A,0)),INDEX(Base!$V:$V,MATCH($A10,Base!$A:$A,0)),0)))</f>
        <v>0</v>
      </c>
      <c r="HL10" s="21">
        <f>IF(HL$1&lt;INDEX('Valo FX'!$Q:$Q,MATCH($A10,'Valo FX'!$A:$A,0)),0,IF(HL$1&lt;INDEX('Valo FX'!$R:$R,MATCH($A10,'Valo FX'!$A:$A,0)),INDEX(Base!$U:$U,MATCH($A10,Base!$A:$A,0)),IF(HL$1=INDEX('Valo FX'!$R:$R,MATCH($A10,'Valo FX'!$A:$A,0)),INDEX(Base!$V:$V,MATCH($A10,Base!$A:$A,0)),0)))</f>
        <v>0</v>
      </c>
      <c r="HM10" s="21">
        <f>IF(HM$1&lt;INDEX('Valo FX'!$Q:$Q,MATCH($A10,'Valo FX'!$A:$A,0)),0,IF(HM$1&lt;INDEX('Valo FX'!$R:$R,MATCH($A10,'Valo FX'!$A:$A,0)),INDEX(Base!$U:$U,MATCH($A10,Base!$A:$A,0)),IF(HM$1=INDEX('Valo FX'!$R:$R,MATCH($A10,'Valo FX'!$A:$A,0)),INDEX(Base!$V:$V,MATCH($A10,Base!$A:$A,0)),0)))</f>
        <v>0</v>
      </c>
      <c r="HN10" s="21">
        <f>IF(HN$1&lt;INDEX('Valo FX'!$Q:$Q,MATCH($A10,'Valo FX'!$A:$A,0)),0,IF(HN$1&lt;INDEX('Valo FX'!$R:$R,MATCH($A10,'Valo FX'!$A:$A,0)),INDEX(Base!$U:$U,MATCH($A10,Base!$A:$A,0)),IF(HN$1=INDEX('Valo FX'!$R:$R,MATCH($A10,'Valo FX'!$A:$A,0)),INDEX(Base!$V:$V,MATCH($A10,Base!$A:$A,0)),0)))</f>
        <v>0</v>
      </c>
      <c r="HO10" s="21">
        <f>IF(HO$1&lt;INDEX('Valo FX'!$Q:$Q,MATCH($A10,'Valo FX'!$A:$A,0)),0,IF(HO$1&lt;INDEX('Valo FX'!$R:$R,MATCH($A10,'Valo FX'!$A:$A,0)),INDEX(Base!$U:$U,MATCH($A10,Base!$A:$A,0)),IF(HO$1=INDEX('Valo FX'!$R:$R,MATCH($A10,'Valo FX'!$A:$A,0)),INDEX(Base!$V:$V,MATCH($A10,Base!$A:$A,0)),0)))</f>
        <v>0</v>
      </c>
      <c r="HP10" s="21">
        <f>IF(HP$1&lt;INDEX('Valo FX'!$Q:$Q,MATCH($A10,'Valo FX'!$A:$A,0)),0,IF(HP$1&lt;INDEX('Valo FX'!$R:$R,MATCH($A10,'Valo FX'!$A:$A,0)),INDEX(Base!$U:$U,MATCH($A10,Base!$A:$A,0)),IF(HP$1=INDEX('Valo FX'!$R:$R,MATCH($A10,'Valo FX'!$A:$A,0)),INDEX(Base!$V:$V,MATCH($A10,Base!$A:$A,0)),0)))</f>
        <v>0</v>
      </c>
      <c r="HQ10" s="21">
        <f>IF(HQ$1&lt;INDEX('Valo FX'!$Q:$Q,MATCH($A10,'Valo FX'!$A:$A,0)),0,IF(HQ$1&lt;INDEX('Valo FX'!$R:$R,MATCH($A10,'Valo FX'!$A:$A,0)),INDEX(Base!$U:$U,MATCH($A10,Base!$A:$A,0)),IF(HQ$1=INDEX('Valo FX'!$R:$R,MATCH($A10,'Valo FX'!$A:$A,0)),INDEX(Base!$V:$V,MATCH($A10,Base!$A:$A,0)),0)))</f>
        <v>0</v>
      </c>
      <c r="HR10" s="21">
        <f>IF(HR$1&lt;INDEX('Valo FX'!$Q:$Q,MATCH($A10,'Valo FX'!$A:$A,0)),0,IF(HR$1&lt;INDEX('Valo FX'!$R:$R,MATCH($A10,'Valo FX'!$A:$A,0)),INDEX(Base!$U:$U,MATCH($A10,Base!$A:$A,0)),IF(HR$1=INDEX('Valo FX'!$R:$R,MATCH($A10,'Valo FX'!$A:$A,0)),INDEX(Base!$V:$V,MATCH($A10,Base!$A:$A,0)),0)))</f>
        <v>0</v>
      </c>
      <c r="HS10" s="21">
        <f>IF(HS$1&lt;INDEX('Valo FX'!$Q:$Q,MATCH($A10,'Valo FX'!$A:$A,0)),0,IF(HS$1&lt;INDEX('Valo FX'!$R:$R,MATCH($A10,'Valo FX'!$A:$A,0)),INDEX(Base!$U:$U,MATCH($A10,Base!$A:$A,0)),IF(HS$1=INDEX('Valo FX'!$R:$R,MATCH($A10,'Valo FX'!$A:$A,0)),INDEX(Base!$V:$V,MATCH($A10,Base!$A:$A,0)),0)))</f>
        <v>0</v>
      </c>
      <c r="HT10" s="21">
        <f>IF(HT$1&lt;INDEX('Valo FX'!$Q:$Q,MATCH($A10,'Valo FX'!$A:$A,0)),0,IF(HT$1&lt;INDEX('Valo FX'!$R:$R,MATCH($A10,'Valo FX'!$A:$A,0)),INDEX(Base!$U:$U,MATCH($A10,Base!$A:$A,0)),IF(HT$1=INDEX('Valo FX'!$R:$R,MATCH($A10,'Valo FX'!$A:$A,0)),INDEX(Base!$V:$V,MATCH($A10,Base!$A:$A,0)),0)))</f>
        <v>0</v>
      </c>
      <c r="HU10" s="21">
        <f>IF(HU$1&lt;INDEX('Valo FX'!$Q:$Q,MATCH($A10,'Valo FX'!$A:$A,0)),0,IF(HU$1&lt;INDEX('Valo FX'!$R:$R,MATCH($A10,'Valo FX'!$A:$A,0)),INDEX(Base!$U:$U,MATCH($A10,Base!$A:$A,0)),IF(HU$1=INDEX('Valo FX'!$R:$R,MATCH($A10,'Valo FX'!$A:$A,0)),INDEX(Base!$V:$V,MATCH($A10,Base!$A:$A,0)),0)))</f>
        <v>0</v>
      </c>
      <c r="HV10" s="21">
        <f>IF(HV$1&lt;INDEX('Valo FX'!$Q:$Q,MATCH($A10,'Valo FX'!$A:$A,0)),0,IF(HV$1&lt;INDEX('Valo FX'!$R:$R,MATCH($A10,'Valo FX'!$A:$A,0)),INDEX(Base!$U:$U,MATCH($A10,Base!$A:$A,0)),IF(HV$1=INDEX('Valo FX'!$R:$R,MATCH($A10,'Valo FX'!$A:$A,0)),INDEX(Base!$V:$V,MATCH($A10,Base!$A:$A,0)),0)))</f>
        <v>0</v>
      </c>
      <c r="HW10" s="21">
        <f>IF(HW$1&lt;INDEX('Valo FX'!$Q:$Q,MATCH($A10,'Valo FX'!$A:$A,0)),0,IF(HW$1&lt;INDEX('Valo FX'!$R:$R,MATCH($A10,'Valo FX'!$A:$A,0)),INDEX(Base!$U:$U,MATCH($A10,Base!$A:$A,0)),IF(HW$1=INDEX('Valo FX'!$R:$R,MATCH($A10,'Valo FX'!$A:$A,0)),INDEX(Base!$V:$V,MATCH($A10,Base!$A:$A,0)),0)))</f>
        <v>0</v>
      </c>
      <c r="HX10" s="21">
        <f>IF(HX$1&lt;INDEX('Valo FX'!$Q:$Q,MATCH($A10,'Valo FX'!$A:$A,0)),0,IF(HX$1&lt;INDEX('Valo FX'!$R:$R,MATCH($A10,'Valo FX'!$A:$A,0)),INDEX(Base!$U:$U,MATCH($A10,Base!$A:$A,0)),IF(HX$1=INDEX('Valo FX'!$R:$R,MATCH($A10,'Valo FX'!$A:$A,0)),INDEX(Base!$V:$V,MATCH($A10,Base!$A:$A,0)),0)))</f>
        <v>0</v>
      </c>
      <c r="HY10" s="21">
        <f>IF(HY$1&lt;INDEX('Valo FX'!$Q:$Q,MATCH($A10,'Valo FX'!$A:$A,0)),0,IF(HY$1&lt;INDEX('Valo FX'!$R:$R,MATCH($A10,'Valo FX'!$A:$A,0)),INDEX(Base!$U:$U,MATCH($A10,Base!$A:$A,0)),IF(HY$1=INDEX('Valo FX'!$R:$R,MATCH($A10,'Valo FX'!$A:$A,0)),INDEX(Base!$V:$V,MATCH($A10,Base!$A:$A,0)),0)))</f>
        <v>0</v>
      </c>
      <c r="HZ10" s="21">
        <f>IF(HZ$1&lt;INDEX('Valo FX'!$Q:$Q,MATCH($A10,'Valo FX'!$A:$A,0)),0,IF(HZ$1&lt;INDEX('Valo FX'!$R:$R,MATCH($A10,'Valo FX'!$A:$A,0)),INDEX(Base!$U:$U,MATCH($A10,Base!$A:$A,0)),IF(HZ$1=INDEX('Valo FX'!$R:$R,MATCH($A10,'Valo FX'!$A:$A,0)),INDEX(Base!$V:$V,MATCH($A10,Base!$A:$A,0)),0)))</f>
        <v>0</v>
      </c>
      <c r="IA10" s="21">
        <f>IF(IA$1&lt;INDEX('Valo FX'!$Q:$Q,MATCH($A10,'Valo FX'!$A:$A,0)),0,IF(IA$1&lt;INDEX('Valo FX'!$R:$R,MATCH($A10,'Valo FX'!$A:$A,0)),INDEX(Base!$U:$U,MATCH($A10,Base!$A:$A,0)),IF(IA$1=INDEX('Valo FX'!$R:$R,MATCH($A10,'Valo FX'!$A:$A,0)),INDEX(Base!$V:$V,MATCH($A10,Base!$A:$A,0)),0)))</f>
        <v>0</v>
      </c>
      <c r="IB10" s="21">
        <f>IF(IB$1&lt;INDEX('Valo FX'!$Q:$Q,MATCH($A10,'Valo FX'!$A:$A,0)),0,IF(IB$1&lt;INDEX('Valo FX'!$R:$R,MATCH($A10,'Valo FX'!$A:$A,0)),INDEX(Base!$U:$U,MATCH($A10,Base!$A:$A,0)),IF(IB$1=INDEX('Valo FX'!$R:$R,MATCH($A10,'Valo FX'!$A:$A,0)),INDEX(Base!$V:$V,MATCH($A10,Base!$A:$A,0)),0)))</f>
        <v>0</v>
      </c>
      <c r="IC10" s="21">
        <f>IF(IC$1&lt;INDEX('Valo FX'!$Q:$Q,MATCH($A10,'Valo FX'!$A:$A,0)),0,IF(IC$1&lt;INDEX('Valo FX'!$R:$R,MATCH($A10,'Valo FX'!$A:$A,0)),INDEX(Base!$U:$U,MATCH($A10,Base!$A:$A,0)),IF(IC$1=INDEX('Valo FX'!$R:$R,MATCH($A10,'Valo FX'!$A:$A,0)),INDEX(Base!$V:$V,MATCH($A10,Base!$A:$A,0)),0)))</f>
        <v>0</v>
      </c>
      <c r="ID10" s="21">
        <f>IF(ID$1&lt;INDEX('Valo FX'!$Q:$Q,MATCH($A10,'Valo FX'!$A:$A,0)),0,IF(ID$1&lt;INDEX('Valo FX'!$R:$R,MATCH($A10,'Valo FX'!$A:$A,0)),INDEX(Base!$U:$U,MATCH($A10,Base!$A:$A,0)),IF(ID$1=INDEX('Valo FX'!$R:$R,MATCH($A10,'Valo FX'!$A:$A,0)),INDEX(Base!$V:$V,MATCH($A10,Base!$A:$A,0)),0)))</f>
        <v>0</v>
      </c>
      <c r="IE10" s="21">
        <f>IF(IE$1&lt;INDEX('Valo FX'!$Q:$Q,MATCH($A10,'Valo FX'!$A:$A,0)),0,IF(IE$1&lt;INDEX('Valo FX'!$R:$R,MATCH($A10,'Valo FX'!$A:$A,0)),INDEX(Base!$U:$U,MATCH($A10,Base!$A:$A,0)),IF(IE$1=INDEX('Valo FX'!$R:$R,MATCH($A10,'Valo FX'!$A:$A,0)),INDEX(Base!$V:$V,MATCH($A10,Base!$A:$A,0)),0)))</f>
        <v>0</v>
      </c>
      <c r="IF10" s="21">
        <f>IF(IF$1&lt;INDEX('Valo FX'!$Q:$Q,MATCH($A10,'Valo FX'!$A:$A,0)),0,IF(IF$1&lt;INDEX('Valo FX'!$R:$R,MATCH($A10,'Valo FX'!$A:$A,0)),INDEX(Base!$U:$U,MATCH($A10,Base!$A:$A,0)),IF(IF$1=INDEX('Valo FX'!$R:$R,MATCH($A10,'Valo FX'!$A:$A,0)),INDEX(Base!$V:$V,MATCH($A10,Base!$A:$A,0)),0)))</f>
        <v>0</v>
      </c>
      <c r="IG10" s="21">
        <f>IF(IG$1&lt;INDEX('Valo FX'!$Q:$Q,MATCH($A10,'Valo FX'!$A:$A,0)),0,IF(IG$1&lt;INDEX('Valo FX'!$R:$R,MATCH($A10,'Valo FX'!$A:$A,0)),INDEX(Base!$U:$U,MATCH($A10,Base!$A:$A,0)),IF(IG$1=INDEX('Valo FX'!$R:$R,MATCH($A10,'Valo FX'!$A:$A,0)),INDEX(Base!$V:$V,MATCH($A10,Base!$A:$A,0)),0)))</f>
        <v>0</v>
      </c>
      <c r="IH10" s="21">
        <f>IF(IH$1&lt;INDEX('Valo FX'!$Q:$Q,MATCH($A10,'Valo FX'!$A:$A,0)),0,IF(IH$1&lt;INDEX('Valo FX'!$R:$R,MATCH($A10,'Valo FX'!$A:$A,0)),INDEX(Base!$U:$U,MATCH($A10,Base!$A:$A,0)),IF(IH$1=INDEX('Valo FX'!$R:$R,MATCH($A10,'Valo FX'!$A:$A,0)),INDEX(Base!$V:$V,MATCH($A10,Base!$A:$A,0)),0)))</f>
        <v>0</v>
      </c>
      <c r="II10" s="21">
        <f>IF(II$1&lt;INDEX('Valo FX'!$Q:$Q,MATCH($A10,'Valo FX'!$A:$A,0)),0,IF(II$1&lt;INDEX('Valo FX'!$R:$R,MATCH($A10,'Valo FX'!$A:$A,0)),INDEX(Base!$U:$U,MATCH($A10,Base!$A:$A,0)),IF(II$1=INDEX('Valo FX'!$R:$R,MATCH($A10,'Valo FX'!$A:$A,0)),INDEX(Base!$V:$V,MATCH($A10,Base!$A:$A,0)),0)))</f>
        <v>0</v>
      </c>
      <c r="IJ10" s="21">
        <f>IF(IJ$1&lt;INDEX('Valo FX'!$Q:$Q,MATCH($A10,'Valo FX'!$A:$A,0)),0,IF(IJ$1&lt;INDEX('Valo FX'!$R:$R,MATCH($A10,'Valo FX'!$A:$A,0)),INDEX(Base!$U:$U,MATCH($A10,Base!$A:$A,0)),IF(IJ$1=INDEX('Valo FX'!$R:$R,MATCH($A10,'Valo FX'!$A:$A,0)),INDEX(Base!$V:$V,MATCH($A10,Base!$A:$A,0)),0)))</f>
        <v>0</v>
      </c>
      <c r="IK10" s="21">
        <f>IF(IK$1&lt;INDEX('Valo FX'!$Q:$Q,MATCH($A10,'Valo FX'!$A:$A,0)),0,IF(IK$1&lt;INDEX('Valo FX'!$R:$R,MATCH($A10,'Valo FX'!$A:$A,0)),INDEX(Base!$U:$U,MATCH($A10,Base!$A:$A,0)),IF(IK$1=INDEX('Valo FX'!$R:$R,MATCH($A10,'Valo FX'!$A:$A,0)),INDEX(Base!$V:$V,MATCH($A10,Base!$A:$A,0)),0)))</f>
        <v>0</v>
      </c>
      <c r="IL10" s="21">
        <f>IF(IL$1&lt;INDEX('Valo FX'!$Q:$Q,MATCH($A10,'Valo FX'!$A:$A,0)),0,IF(IL$1&lt;INDEX('Valo FX'!$R:$R,MATCH($A10,'Valo FX'!$A:$A,0)),INDEX(Base!$U:$U,MATCH($A10,Base!$A:$A,0)),IF(IL$1=INDEX('Valo FX'!$R:$R,MATCH($A10,'Valo FX'!$A:$A,0)),INDEX(Base!$V:$V,MATCH($A10,Base!$A:$A,0)),0)))</f>
        <v>0</v>
      </c>
      <c r="IM10" s="21">
        <f>IF(IM$1&lt;INDEX('Valo FX'!$Q:$Q,MATCH($A10,'Valo FX'!$A:$A,0)),0,IF(IM$1&lt;INDEX('Valo FX'!$R:$R,MATCH($A10,'Valo FX'!$A:$A,0)),INDEX(Base!$U:$U,MATCH($A10,Base!$A:$A,0)),IF(IM$1=INDEX('Valo FX'!$R:$R,MATCH($A10,'Valo FX'!$A:$A,0)),INDEX(Base!$V:$V,MATCH($A10,Base!$A:$A,0)),0)))</f>
        <v>0</v>
      </c>
      <c r="IN10" s="21">
        <f>IF(IN$1&lt;INDEX('Valo FX'!$Q:$Q,MATCH($A10,'Valo FX'!$A:$A,0)),0,IF(IN$1&lt;INDEX('Valo FX'!$R:$R,MATCH($A10,'Valo FX'!$A:$A,0)),INDEX(Base!$U:$U,MATCH($A10,Base!$A:$A,0)),IF(IN$1=INDEX('Valo FX'!$R:$R,MATCH($A10,'Valo FX'!$A:$A,0)),INDEX(Base!$V:$V,MATCH($A10,Base!$A:$A,0)),0)))</f>
        <v>0</v>
      </c>
      <c r="IO10" s="21">
        <f>IF(IO$1&lt;INDEX('Valo FX'!$Q:$Q,MATCH($A10,'Valo FX'!$A:$A,0)),0,IF(IO$1&lt;INDEX('Valo FX'!$R:$R,MATCH($A10,'Valo FX'!$A:$A,0)),INDEX(Base!$U:$U,MATCH($A10,Base!$A:$A,0)),IF(IO$1=INDEX('Valo FX'!$R:$R,MATCH($A10,'Valo FX'!$A:$A,0)),INDEX(Base!$V:$V,MATCH($A10,Base!$A:$A,0)),0)))</f>
        <v>0</v>
      </c>
      <c r="IP10" s="21">
        <f>IF(IP$1&lt;INDEX('Valo FX'!$Q:$Q,MATCH($A10,'Valo FX'!$A:$A,0)),0,IF(IP$1&lt;INDEX('Valo FX'!$R:$R,MATCH($A10,'Valo FX'!$A:$A,0)),INDEX(Base!$U:$U,MATCH($A10,Base!$A:$A,0)),IF(IP$1=INDEX('Valo FX'!$R:$R,MATCH($A10,'Valo FX'!$A:$A,0)),INDEX(Base!$V:$V,MATCH($A10,Base!$A:$A,0)),0)))</f>
        <v>0</v>
      </c>
      <c r="IQ10" s="21">
        <f>IF(IQ$1&lt;INDEX('Valo FX'!$Q:$Q,MATCH($A10,'Valo FX'!$A:$A,0)),0,IF(IQ$1&lt;INDEX('Valo FX'!$R:$R,MATCH($A10,'Valo FX'!$A:$A,0)),INDEX(Base!$U:$U,MATCH($A10,Base!$A:$A,0)),IF(IQ$1=INDEX('Valo FX'!$R:$R,MATCH($A10,'Valo FX'!$A:$A,0)),INDEX(Base!$V:$V,MATCH($A10,Base!$A:$A,0)),0)))</f>
        <v>0</v>
      </c>
      <c r="IR10" s="21">
        <f>IF(IR$1&lt;INDEX('Valo FX'!$Q:$Q,MATCH($A10,'Valo FX'!$A:$A,0)),0,IF(IR$1&lt;INDEX('Valo FX'!$R:$R,MATCH($A10,'Valo FX'!$A:$A,0)),INDEX(Base!$U:$U,MATCH($A10,Base!$A:$A,0)),IF(IR$1=INDEX('Valo FX'!$R:$R,MATCH($A10,'Valo FX'!$A:$A,0)),INDEX(Base!$V:$V,MATCH($A10,Base!$A:$A,0)),0)))</f>
        <v>0</v>
      </c>
      <c r="IS10" s="21">
        <f>IF(IS$1&lt;INDEX('Valo FX'!$Q:$Q,MATCH($A10,'Valo FX'!$A:$A,0)),0,IF(IS$1&lt;INDEX('Valo FX'!$R:$R,MATCH($A10,'Valo FX'!$A:$A,0)),INDEX(Base!$U:$U,MATCH($A10,Base!$A:$A,0)),IF(IS$1=INDEX('Valo FX'!$R:$R,MATCH($A10,'Valo FX'!$A:$A,0)),INDEX(Base!$V:$V,MATCH($A10,Base!$A:$A,0)),0)))</f>
        <v>0</v>
      </c>
      <c r="IT10" s="21">
        <f>IF(IT$1&lt;INDEX('Valo FX'!$Q:$Q,MATCH($A10,'Valo FX'!$A:$A,0)),0,IF(IT$1&lt;INDEX('Valo FX'!$R:$R,MATCH($A10,'Valo FX'!$A:$A,0)),INDEX(Base!$U:$U,MATCH($A10,Base!$A:$A,0)),IF(IT$1=INDEX('Valo FX'!$R:$R,MATCH($A10,'Valo FX'!$A:$A,0)),INDEX(Base!$V:$V,MATCH($A10,Base!$A:$A,0)),0)))</f>
        <v>0</v>
      </c>
      <c r="IU10" s="21">
        <f>IF(IU$1&lt;INDEX('Valo FX'!$Q:$Q,MATCH($A10,'Valo FX'!$A:$A,0)),0,IF(IU$1&lt;INDEX('Valo FX'!$R:$R,MATCH($A10,'Valo FX'!$A:$A,0)),INDEX(Base!$U:$U,MATCH($A10,Base!$A:$A,0)),IF(IU$1=INDEX('Valo FX'!$R:$R,MATCH($A10,'Valo FX'!$A:$A,0)),INDEX(Base!$V:$V,MATCH($A10,Base!$A:$A,0)),0)))</f>
        <v>0</v>
      </c>
      <c r="IV10" s="21">
        <f>IF(IV$1&lt;INDEX('Valo FX'!$Q:$Q,MATCH($A10,'Valo FX'!$A:$A,0)),0,IF(IV$1&lt;INDEX('Valo FX'!$R:$R,MATCH($A10,'Valo FX'!$A:$A,0)),INDEX(Base!$U:$U,MATCH($A10,Base!$A:$A,0)),IF(IV$1=INDEX('Valo FX'!$R:$R,MATCH($A10,'Valo FX'!$A:$A,0)),INDEX(Base!$V:$V,MATCH($A10,Base!$A:$A,0)),0)))</f>
        <v>0</v>
      </c>
      <c r="IW10" s="21">
        <f>IF(IW$1&lt;INDEX('Valo FX'!$Q:$Q,MATCH($A10,'Valo FX'!$A:$A,0)),0,IF(IW$1&lt;INDEX('Valo FX'!$R:$R,MATCH($A10,'Valo FX'!$A:$A,0)),INDEX(Base!$U:$U,MATCH($A10,Base!$A:$A,0)),IF(IW$1=INDEX('Valo FX'!$R:$R,MATCH($A10,'Valo FX'!$A:$A,0)),INDEX(Base!$V:$V,MATCH($A10,Base!$A:$A,0)),0)))</f>
        <v>0</v>
      </c>
      <c r="IX10" s="21">
        <f>IF(IX$1&lt;INDEX('Valo FX'!$Q:$Q,MATCH($A10,'Valo FX'!$A:$A,0)),0,IF(IX$1&lt;INDEX('Valo FX'!$R:$R,MATCH($A10,'Valo FX'!$A:$A,0)),INDEX(Base!$U:$U,MATCH($A10,Base!$A:$A,0)),IF(IX$1=INDEX('Valo FX'!$R:$R,MATCH($A10,'Valo FX'!$A:$A,0)),INDEX(Base!$V:$V,MATCH($A10,Base!$A:$A,0)),0)))</f>
        <v>0</v>
      </c>
      <c r="IY10" s="21">
        <f>IF(IY$1&lt;INDEX('Valo FX'!$Q:$Q,MATCH($A10,'Valo FX'!$A:$A,0)),0,IF(IY$1&lt;INDEX('Valo FX'!$R:$R,MATCH($A10,'Valo FX'!$A:$A,0)),INDEX(Base!$U:$U,MATCH($A10,Base!$A:$A,0)),IF(IY$1=INDEX('Valo FX'!$R:$R,MATCH($A10,'Valo FX'!$A:$A,0)),INDEX(Base!$V:$V,MATCH($A10,Base!$A:$A,0)),0)))</f>
        <v>0</v>
      </c>
      <c r="IZ10" s="21">
        <f>IF(IZ$1&lt;INDEX('Valo FX'!$Q:$Q,MATCH($A10,'Valo FX'!$A:$A,0)),0,IF(IZ$1&lt;INDEX('Valo FX'!$R:$R,MATCH($A10,'Valo FX'!$A:$A,0)),INDEX(Base!$U:$U,MATCH($A10,Base!$A:$A,0)),IF(IZ$1=INDEX('Valo FX'!$R:$R,MATCH($A10,'Valo FX'!$A:$A,0)),INDEX(Base!$V:$V,MATCH($A10,Base!$A:$A,0)),0)))</f>
        <v>0</v>
      </c>
      <c r="JA10" s="21">
        <f>IF(JA$1&lt;INDEX('Valo FX'!$Q:$Q,MATCH($A10,'Valo FX'!$A:$A,0)),0,IF(JA$1&lt;INDEX('Valo FX'!$R:$R,MATCH($A10,'Valo FX'!$A:$A,0)),INDEX(Base!$U:$U,MATCH($A10,Base!$A:$A,0)),IF(JA$1=INDEX('Valo FX'!$R:$R,MATCH($A10,'Valo FX'!$A:$A,0)),INDEX(Base!$V:$V,MATCH($A10,Base!$A:$A,0)),0)))</f>
        <v>0</v>
      </c>
      <c r="JB10" s="21">
        <f>IF(JB$1&lt;INDEX('Valo FX'!$Q:$Q,MATCH($A10,'Valo FX'!$A:$A,0)),0,IF(JB$1&lt;INDEX('Valo FX'!$R:$R,MATCH($A10,'Valo FX'!$A:$A,0)),INDEX(Base!$U:$U,MATCH($A10,Base!$A:$A,0)),IF(JB$1=INDEX('Valo FX'!$R:$R,MATCH($A10,'Valo FX'!$A:$A,0)),INDEX(Base!$V:$V,MATCH($A10,Base!$A:$A,0)),0)))</f>
        <v>0</v>
      </c>
      <c r="JC10" s="21">
        <f>IF(JC$1&lt;INDEX('Valo FX'!$Q:$Q,MATCH($A10,'Valo FX'!$A:$A,0)),0,IF(JC$1&lt;INDEX('Valo FX'!$R:$R,MATCH($A10,'Valo FX'!$A:$A,0)),INDEX(Base!$U:$U,MATCH($A10,Base!$A:$A,0)),IF(JC$1=INDEX('Valo FX'!$R:$R,MATCH($A10,'Valo FX'!$A:$A,0)),INDEX(Base!$V:$V,MATCH($A10,Base!$A:$A,0)),0)))</f>
        <v>0</v>
      </c>
      <c r="JD10" s="21">
        <f>IF(JD$1&lt;INDEX('Valo FX'!$Q:$Q,MATCH($A10,'Valo FX'!$A:$A,0)),0,IF(JD$1&lt;INDEX('Valo FX'!$R:$R,MATCH($A10,'Valo FX'!$A:$A,0)),INDEX(Base!$U:$U,MATCH($A10,Base!$A:$A,0)),IF(JD$1=INDEX('Valo FX'!$R:$R,MATCH($A10,'Valo FX'!$A:$A,0)),INDEX(Base!$V:$V,MATCH($A10,Base!$A:$A,0)),0)))</f>
        <v>0</v>
      </c>
      <c r="JE10" s="21">
        <f>IF(JE$1&lt;INDEX('Valo FX'!$Q:$Q,MATCH($A10,'Valo FX'!$A:$A,0)),0,IF(JE$1&lt;INDEX('Valo FX'!$R:$R,MATCH($A10,'Valo FX'!$A:$A,0)),INDEX(Base!$U:$U,MATCH($A10,Base!$A:$A,0)),IF(JE$1=INDEX('Valo FX'!$R:$R,MATCH($A10,'Valo FX'!$A:$A,0)),INDEX(Base!$V:$V,MATCH($A10,Base!$A:$A,0)),0)))</f>
        <v>0</v>
      </c>
      <c r="JF10" s="21">
        <f>IF(JF$1&lt;INDEX('Valo FX'!$Q:$Q,MATCH($A10,'Valo FX'!$A:$A,0)),0,IF(JF$1&lt;INDEX('Valo FX'!$R:$R,MATCH($A10,'Valo FX'!$A:$A,0)),INDEX(Base!$U:$U,MATCH($A10,Base!$A:$A,0)),IF(JF$1=INDEX('Valo FX'!$R:$R,MATCH($A10,'Valo FX'!$A:$A,0)),INDEX(Base!$V:$V,MATCH($A10,Base!$A:$A,0)),0)))</f>
        <v>0</v>
      </c>
      <c r="JG10" s="21">
        <f>IF(JG$1&lt;INDEX('Valo FX'!$Q:$Q,MATCH($A10,'Valo FX'!$A:$A,0)),0,IF(JG$1&lt;INDEX('Valo FX'!$R:$R,MATCH($A10,'Valo FX'!$A:$A,0)),INDEX(Base!$U:$U,MATCH($A10,Base!$A:$A,0)),IF(JG$1=INDEX('Valo FX'!$R:$R,MATCH($A10,'Valo FX'!$A:$A,0)),INDEX(Base!$V:$V,MATCH($A10,Base!$A:$A,0)),0)))</f>
        <v>0</v>
      </c>
      <c r="JH10" s="21">
        <f>IF(JH$1&lt;INDEX('Valo FX'!$Q:$Q,MATCH($A10,'Valo FX'!$A:$A,0)),0,IF(JH$1&lt;INDEX('Valo FX'!$R:$R,MATCH($A10,'Valo FX'!$A:$A,0)),INDEX(Base!$U:$U,MATCH($A10,Base!$A:$A,0)),IF(JH$1=INDEX('Valo FX'!$R:$R,MATCH($A10,'Valo FX'!$A:$A,0)),INDEX(Base!$V:$V,MATCH($A10,Base!$A:$A,0)),0)))</f>
        <v>0</v>
      </c>
      <c r="JI10" s="21">
        <f>IF(JI$1&lt;INDEX('Valo FX'!$Q:$Q,MATCH($A10,'Valo FX'!$A:$A,0)),0,IF(JI$1&lt;INDEX('Valo FX'!$R:$R,MATCH($A10,'Valo FX'!$A:$A,0)),INDEX(Base!$U:$U,MATCH($A10,Base!$A:$A,0)),IF(JI$1=INDEX('Valo FX'!$R:$R,MATCH($A10,'Valo FX'!$A:$A,0)),INDEX(Base!$V:$V,MATCH($A10,Base!$A:$A,0)),0)))</f>
        <v>0</v>
      </c>
      <c r="JJ10" s="21">
        <f>IF(JJ$1&lt;INDEX('Valo FX'!$Q:$Q,MATCH($A10,'Valo FX'!$A:$A,0)),0,IF(JJ$1&lt;INDEX('Valo FX'!$R:$R,MATCH($A10,'Valo FX'!$A:$A,0)),INDEX(Base!$U:$U,MATCH($A10,Base!$A:$A,0)),IF(JJ$1=INDEX('Valo FX'!$R:$R,MATCH($A10,'Valo FX'!$A:$A,0)),INDEX(Base!$V:$V,MATCH($A10,Base!$A:$A,0)),0)))</f>
        <v>0</v>
      </c>
      <c r="JK10" s="21">
        <f>IF(JK$1&lt;INDEX('Valo FX'!$Q:$Q,MATCH($A10,'Valo FX'!$A:$A,0)),0,IF(JK$1&lt;INDEX('Valo FX'!$R:$R,MATCH($A10,'Valo FX'!$A:$A,0)),INDEX(Base!$U:$U,MATCH($A10,Base!$A:$A,0)),IF(JK$1=INDEX('Valo FX'!$R:$R,MATCH($A10,'Valo FX'!$A:$A,0)),INDEX(Base!$V:$V,MATCH($A10,Base!$A:$A,0)),0)))</f>
        <v>0</v>
      </c>
      <c r="JL10" s="21">
        <f>IF(JL$1&lt;INDEX('Valo FX'!$Q:$Q,MATCH($A10,'Valo FX'!$A:$A,0)),0,IF(JL$1&lt;INDEX('Valo FX'!$R:$R,MATCH($A10,'Valo FX'!$A:$A,0)),INDEX(Base!$U:$U,MATCH($A10,Base!$A:$A,0)),IF(JL$1=INDEX('Valo FX'!$R:$R,MATCH($A10,'Valo FX'!$A:$A,0)),INDEX(Base!$V:$V,MATCH($A10,Base!$A:$A,0)),0)))</f>
        <v>0</v>
      </c>
      <c r="JM10" s="21">
        <f>IF(JM$1&lt;INDEX('Valo FX'!$Q:$Q,MATCH($A10,'Valo FX'!$A:$A,0)),0,IF(JM$1&lt;INDEX('Valo FX'!$R:$R,MATCH($A10,'Valo FX'!$A:$A,0)),INDEX(Base!$U:$U,MATCH($A10,Base!$A:$A,0)),IF(JM$1=INDEX('Valo FX'!$R:$R,MATCH($A10,'Valo FX'!$A:$A,0)),INDEX(Base!$V:$V,MATCH($A10,Base!$A:$A,0)),0)))</f>
        <v>0</v>
      </c>
      <c r="JN10" s="21">
        <f>IF(JN$1&lt;INDEX('Valo FX'!$Q:$Q,MATCH($A10,'Valo FX'!$A:$A,0)),0,IF(JN$1&lt;INDEX('Valo FX'!$R:$R,MATCH($A10,'Valo FX'!$A:$A,0)),INDEX(Base!$U:$U,MATCH($A10,Base!$A:$A,0)),IF(JN$1=INDEX('Valo FX'!$R:$R,MATCH($A10,'Valo FX'!$A:$A,0)),INDEX(Base!$V:$V,MATCH($A10,Base!$A:$A,0)),0)))</f>
        <v>0</v>
      </c>
      <c r="JO10" s="21">
        <f>IF(JO$1&lt;INDEX('Valo FX'!$Q:$Q,MATCH($A10,'Valo FX'!$A:$A,0)),0,IF(JO$1&lt;INDEX('Valo FX'!$R:$R,MATCH($A10,'Valo FX'!$A:$A,0)),INDEX(Base!$U:$U,MATCH($A10,Base!$A:$A,0)),IF(JO$1=INDEX('Valo FX'!$R:$R,MATCH($A10,'Valo FX'!$A:$A,0)),INDEX(Base!$V:$V,MATCH($A10,Base!$A:$A,0)),0)))</f>
        <v>0</v>
      </c>
      <c r="JP10" s="21">
        <f>IF(JP$1&lt;INDEX('Valo FX'!$Q:$Q,MATCH($A10,'Valo FX'!$A:$A,0)),0,IF(JP$1&lt;INDEX('Valo FX'!$R:$R,MATCH($A10,'Valo FX'!$A:$A,0)),INDEX(Base!$U:$U,MATCH($A10,Base!$A:$A,0)),IF(JP$1=INDEX('Valo FX'!$R:$R,MATCH($A10,'Valo FX'!$A:$A,0)),INDEX(Base!$V:$V,MATCH($A10,Base!$A:$A,0)),0)))</f>
        <v>0</v>
      </c>
      <c r="JQ10" s="21">
        <f>IF(JQ$1&lt;INDEX('Valo FX'!$Q:$Q,MATCH($A10,'Valo FX'!$A:$A,0)),0,IF(JQ$1&lt;INDEX('Valo FX'!$R:$R,MATCH($A10,'Valo FX'!$A:$A,0)),INDEX(Base!$U:$U,MATCH($A10,Base!$A:$A,0)),IF(JQ$1=INDEX('Valo FX'!$R:$R,MATCH($A10,'Valo FX'!$A:$A,0)),INDEX(Base!$V:$V,MATCH($A10,Base!$A:$A,0)),0)))</f>
        <v>0</v>
      </c>
      <c r="JR10" s="21">
        <f>IF(JR$1&lt;INDEX('Valo FX'!$Q:$Q,MATCH($A10,'Valo FX'!$A:$A,0)),0,IF(JR$1&lt;INDEX('Valo FX'!$R:$R,MATCH($A10,'Valo FX'!$A:$A,0)),INDEX(Base!$U:$U,MATCH($A10,Base!$A:$A,0)),IF(JR$1=INDEX('Valo FX'!$R:$R,MATCH($A10,'Valo FX'!$A:$A,0)),INDEX(Base!$V:$V,MATCH($A10,Base!$A:$A,0)),0)))</f>
        <v>0</v>
      </c>
      <c r="JS10" s="21">
        <f>IF(JS$1&lt;INDEX('Valo FX'!$Q:$Q,MATCH($A10,'Valo FX'!$A:$A,0)),0,IF(JS$1&lt;INDEX('Valo FX'!$R:$R,MATCH($A10,'Valo FX'!$A:$A,0)),INDEX(Base!$U:$U,MATCH($A10,Base!$A:$A,0)),IF(JS$1=INDEX('Valo FX'!$R:$R,MATCH($A10,'Valo FX'!$A:$A,0)),INDEX(Base!$V:$V,MATCH($A10,Base!$A:$A,0)),0)))</f>
        <v>0</v>
      </c>
      <c r="JT10" s="21">
        <f>IF(JT$1&lt;INDEX('Valo FX'!$Q:$Q,MATCH($A10,'Valo FX'!$A:$A,0)),0,IF(JT$1&lt;INDEX('Valo FX'!$R:$R,MATCH($A10,'Valo FX'!$A:$A,0)),INDEX(Base!$U:$U,MATCH($A10,Base!$A:$A,0)),IF(JT$1=INDEX('Valo FX'!$R:$R,MATCH($A10,'Valo FX'!$A:$A,0)),INDEX(Base!$V:$V,MATCH($A10,Base!$A:$A,0)),0)))</f>
        <v>0</v>
      </c>
      <c r="JU10" s="21">
        <f>IF(JU$1&lt;INDEX('Valo FX'!$Q:$Q,MATCH($A10,'Valo FX'!$A:$A,0)),0,IF(JU$1&lt;INDEX('Valo FX'!$R:$R,MATCH($A10,'Valo FX'!$A:$A,0)),INDEX(Base!$U:$U,MATCH($A10,Base!$A:$A,0)),IF(JU$1=INDEX('Valo FX'!$R:$R,MATCH($A10,'Valo FX'!$A:$A,0)),INDEX(Base!$V:$V,MATCH($A10,Base!$A:$A,0)),0)))</f>
        <v>0</v>
      </c>
      <c r="JV10" s="21">
        <f>IF(JV$1&lt;INDEX('Valo FX'!$Q:$Q,MATCH($A10,'Valo FX'!$A:$A,0)),0,IF(JV$1&lt;INDEX('Valo FX'!$R:$R,MATCH($A10,'Valo FX'!$A:$A,0)),INDEX(Base!$U:$U,MATCH($A10,Base!$A:$A,0)),IF(JV$1=INDEX('Valo FX'!$R:$R,MATCH($A10,'Valo FX'!$A:$A,0)),INDEX(Base!$V:$V,MATCH($A10,Base!$A:$A,0)),0)))</f>
        <v>0</v>
      </c>
      <c r="JW10" s="21">
        <f>IF(JW$1&lt;INDEX('Valo FX'!$Q:$Q,MATCH($A10,'Valo FX'!$A:$A,0)),0,IF(JW$1&lt;INDEX('Valo FX'!$R:$R,MATCH($A10,'Valo FX'!$A:$A,0)),INDEX(Base!$U:$U,MATCH($A10,Base!$A:$A,0)),IF(JW$1=INDEX('Valo FX'!$R:$R,MATCH($A10,'Valo FX'!$A:$A,0)),INDEX(Base!$V:$V,MATCH($A10,Base!$A:$A,0)),0)))</f>
        <v>0</v>
      </c>
      <c r="JX10" s="21">
        <f>IF(JX$1&lt;INDEX('Valo FX'!$Q:$Q,MATCH($A10,'Valo FX'!$A:$A,0)),0,IF(JX$1&lt;INDEX('Valo FX'!$R:$R,MATCH($A10,'Valo FX'!$A:$A,0)),INDEX(Base!$U:$U,MATCH($A10,Base!$A:$A,0)),IF(JX$1=INDEX('Valo FX'!$R:$R,MATCH($A10,'Valo FX'!$A:$A,0)),INDEX(Base!$V:$V,MATCH($A10,Base!$A:$A,0)),0)))</f>
        <v>0</v>
      </c>
      <c r="JY10" s="21">
        <f>IF(JY$1&lt;INDEX('Valo FX'!$Q:$Q,MATCH($A10,'Valo FX'!$A:$A,0)),0,IF(JY$1&lt;INDEX('Valo FX'!$R:$R,MATCH($A10,'Valo FX'!$A:$A,0)),INDEX(Base!$U:$U,MATCH($A10,Base!$A:$A,0)),IF(JY$1=INDEX('Valo FX'!$R:$R,MATCH($A10,'Valo FX'!$A:$A,0)),INDEX(Base!$V:$V,MATCH($A10,Base!$A:$A,0)),0)))</f>
        <v>0</v>
      </c>
      <c r="JZ10" s="21">
        <f>IF(JZ$1&lt;INDEX('Valo FX'!$Q:$Q,MATCH($A10,'Valo FX'!$A:$A,0)),0,IF(JZ$1&lt;INDEX('Valo FX'!$R:$R,MATCH($A10,'Valo FX'!$A:$A,0)),INDEX(Base!$U:$U,MATCH($A10,Base!$A:$A,0)),IF(JZ$1=INDEX('Valo FX'!$R:$R,MATCH($A10,'Valo FX'!$A:$A,0)),INDEX(Base!$V:$V,MATCH($A10,Base!$A:$A,0)),0)))</f>
        <v>0</v>
      </c>
      <c r="KA10" s="21">
        <f>IF(KA$1&lt;INDEX('Valo FX'!$Q:$Q,MATCH($A10,'Valo FX'!$A:$A,0)),0,IF(KA$1&lt;INDEX('Valo FX'!$R:$R,MATCH($A10,'Valo FX'!$A:$A,0)),INDEX(Base!$U:$U,MATCH($A10,Base!$A:$A,0)),IF(KA$1=INDEX('Valo FX'!$R:$R,MATCH($A10,'Valo FX'!$A:$A,0)),INDEX(Base!$V:$V,MATCH($A10,Base!$A:$A,0)),0)))</f>
        <v>0</v>
      </c>
      <c r="KB10" s="21">
        <f>IF(KB$1&lt;INDEX('Valo FX'!$Q:$Q,MATCH($A10,'Valo FX'!$A:$A,0)),0,IF(KB$1&lt;INDEX('Valo FX'!$R:$R,MATCH($A10,'Valo FX'!$A:$A,0)),INDEX(Base!$U:$U,MATCH($A10,Base!$A:$A,0)),IF(KB$1=INDEX('Valo FX'!$R:$R,MATCH($A10,'Valo FX'!$A:$A,0)),INDEX(Base!$V:$V,MATCH($A10,Base!$A:$A,0)),0)))</f>
        <v>0</v>
      </c>
      <c r="KC10" s="21">
        <f>IF(KC$1&lt;INDEX('Valo FX'!$Q:$Q,MATCH($A10,'Valo FX'!$A:$A,0)),0,IF(KC$1&lt;INDEX('Valo FX'!$R:$R,MATCH($A10,'Valo FX'!$A:$A,0)),INDEX(Base!$U:$U,MATCH($A10,Base!$A:$A,0)),IF(KC$1=INDEX('Valo FX'!$R:$R,MATCH($A10,'Valo FX'!$A:$A,0)),INDEX(Base!$V:$V,MATCH($A10,Base!$A:$A,0)),0)))</f>
        <v>0</v>
      </c>
      <c r="KD10" s="21">
        <f>IF(KD$1&lt;INDEX('Valo FX'!$Q:$Q,MATCH($A10,'Valo FX'!$A:$A,0)),0,IF(KD$1&lt;INDEX('Valo FX'!$R:$R,MATCH($A10,'Valo FX'!$A:$A,0)),INDEX(Base!$U:$U,MATCH($A10,Base!$A:$A,0)),IF(KD$1=INDEX('Valo FX'!$R:$R,MATCH($A10,'Valo FX'!$A:$A,0)),INDEX(Base!$V:$V,MATCH($A10,Base!$A:$A,0)),0)))</f>
        <v>0</v>
      </c>
      <c r="KE10" s="21">
        <f>IF(KE$1&lt;INDEX('Valo FX'!$Q:$Q,MATCH($A10,'Valo FX'!$A:$A,0)),0,IF(KE$1&lt;INDEX('Valo FX'!$R:$R,MATCH($A10,'Valo FX'!$A:$A,0)),INDEX(Base!$U:$U,MATCH($A10,Base!$A:$A,0)),IF(KE$1=INDEX('Valo FX'!$R:$R,MATCH($A10,'Valo FX'!$A:$A,0)),INDEX(Base!$V:$V,MATCH($A10,Base!$A:$A,0)),0)))</f>
        <v>0</v>
      </c>
      <c r="KF10" s="21">
        <f>IF(KF$1&lt;INDEX('Valo FX'!$Q:$Q,MATCH($A10,'Valo FX'!$A:$A,0)),0,IF(KF$1&lt;INDEX('Valo FX'!$R:$R,MATCH($A10,'Valo FX'!$A:$A,0)),INDEX(Base!$U:$U,MATCH($A10,Base!$A:$A,0)),IF(KF$1=INDEX('Valo FX'!$R:$R,MATCH($A10,'Valo FX'!$A:$A,0)),INDEX(Base!$V:$V,MATCH($A10,Base!$A:$A,0)),0)))</f>
        <v>0</v>
      </c>
      <c r="KG10" s="21">
        <f>IF(KG$1&lt;INDEX('Valo FX'!$Q:$Q,MATCH($A10,'Valo FX'!$A:$A,0)),0,IF(KG$1&lt;INDEX('Valo FX'!$R:$R,MATCH($A10,'Valo FX'!$A:$A,0)),INDEX(Base!$U:$U,MATCH($A10,Base!$A:$A,0)),IF(KG$1=INDEX('Valo FX'!$R:$R,MATCH($A10,'Valo FX'!$A:$A,0)),INDEX(Base!$V:$V,MATCH($A10,Base!$A:$A,0)),0)))</f>
        <v>0</v>
      </c>
      <c r="KH10" s="21">
        <f>IF(KH$1&lt;INDEX('Valo FX'!$Q:$Q,MATCH($A10,'Valo FX'!$A:$A,0)),0,IF(KH$1&lt;INDEX('Valo FX'!$R:$R,MATCH($A10,'Valo FX'!$A:$A,0)),INDEX(Base!$U:$U,MATCH($A10,Base!$A:$A,0)),IF(KH$1=INDEX('Valo FX'!$R:$R,MATCH($A10,'Valo FX'!$A:$A,0)),INDEX(Base!$V:$V,MATCH($A10,Base!$A:$A,0)),0)))</f>
        <v>0</v>
      </c>
      <c r="KI10" s="21">
        <f>IF(KI$1&lt;INDEX('Valo FX'!$Q:$Q,MATCH($A10,'Valo FX'!$A:$A,0)),0,IF(KI$1&lt;INDEX('Valo FX'!$R:$R,MATCH($A10,'Valo FX'!$A:$A,0)),INDEX(Base!$U:$U,MATCH($A10,Base!$A:$A,0)),IF(KI$1=INDEX('Valo FX'!$R:$R,MATCH($A10,'Valo FX'!$A:$A,0)),INDEX(Base!$V:$V,MATCH($A10,Base!$A:$A,0)),0)))</f>
        <v>0</v>
      </c>
      <c r="KJ10" s="21">
        <f>IF(KJ$1&lt;INDEX('Valo FX'!$Q:$Q,MATCH($A10,'Valo FX'!$A:$A,0)),0,IF(KJ$1&lt;INDEX('Valo FX'!$R:$R,MATCH($A10,'Valo FX'!$A:$A,0)),INDEX(Base!$U:$U,MATCH($A10,Base!$A:$A,0)),IF(KJ$1=INDEX('Valo FX'!$R:$R,MATCH($A10,'Valo FX'!$A:$A,0)),INDEX(Base!$V:$V,MATCH($A10,Base!$A:$A,0)),0)))</f>
        <v>0</v>
      </c>
      <c r="KK10" s="21">
        <f>IF(KK$1&lt;INDEX('Valo FX'!$Q:$Q,MATCH($A10,'Valo FX'!$A:$A,0)),0,IF(KK$1&lt;INDEX('Valo FX'!$R:$R,MATCH($A10,'Valo FX'!$A:$A,0)),INDEX(Base!$U:$U,MATCH($A10,Base!$A:$A,0)),IF(KK$1=INDEX('Valo FX'!$R:$R,MATCH($A10,'Valo FX'!$A:$A,0)),INDEX(Base!$V:$V,MATCH($A10,Base!$A:$A,0)),0)))</f>
        <v>0</v>
      </c>
      <c r="KL10" s="21">
        <f>IF(KL$1&lt;INDEX('Valo FX'!$Q:$Q,MATCH($A10,'Valo FX'!$A:$A,0)),0,IF(KL$1&lt;INDEX('Valo FX'!$R:$R,MATCH($A10,'Valo FX'!$A:$A,0)),INDEX(Base!$U:$U,MATCH($A10,Base!$A:$A,0)),IF(KL$1=INDEX('Valo FX'!$R:$R,MATCH($A10,'Valo FX'!$A:$A,0)),INDEX(Base!$V:$V,MATCH($A10,Base!$A:$A,0)),0)))</f>
        <v>0</v>
      </c>
      <c r="KM10" s="21">
        <f>IF(KM$1&lt;INDEX('Valo FX'!$Q:$Q,MATCH($A10,'Valo FX'!$A:$A,0)),0,IF(KM$1&lt;INDEX('Valo FX'!$R:$R,MATCH($A10,'Valo FX'!$A:$A,0)),INDEX(Base!$U:$U,MATCH($A10,Base!$A:$A,0)),IF(KM$1=INDEX('Valo FX'!$R:$R,MATCH($A10,'Valo FX'!$A:$A,0)),INDEX(Base!$V:$V,MATCH($A10,Base!$A:$A,0)),0)))</f>
        <v>0</v>
      </c>
      <c r="KN10" s="21">
        <f>IF(KN$1&lt;INDEX('Valo FX'!$Q:$Q,MATCH($A10,'Valo FX'!$A:$A,0)),0,IF(KN$1&lt;INDEX('Valo FX'!$R:$R,MATCH($A10,'Valo FX'!$A:$A,0)),INDEX(Base!$U:$U,MATCH($A10,Base!$A:$A,0)),IF(KN$1=INDEX('Valo FX'!$R:$R,MATCH($A10,'Valo FX'!$A:$A,0)),INDEX(Base!$V:$V,MATCH($A10,Base!$A:$A,0)),0)))</f>
        <v>0</v>
      </c>
      <c r="KO10" s="21">
        <f>IF(KO$1&lt;INDEX('Valo FX'!$Q:$Q,MATCH($A10,'Valo FX'!$A:$A,0)),0,IF(KO$1&lt;INDEX('Valo FX'!$R:$R,MATCH($A10,'Valo FX'!$A:$A,0)),INDEX(Base!$U:$U,MATCH($A10,Base!$A:$A,0)),IF(KO$1=INDEX('Valo FX'!$R:$R,MATCH($A10,'Valo FX'!$A:$A,0)),INDEX(Base!$V:$V,MATCH($A10,Base!$A:$A,0)),0)))</f>
        <v>0</v>
      </c>
      <c r="KP10" s="21">
        <f>IF(KP$1&lt;INDEX('Valo FX'!$Q:$Q,MATCH($A10,'Valo FX'!$A:$A,0)),0,IF(KP$1&lt;INDEX('Valo FX'!$R:$R,MATCH($A10,'Valo FX'!$A:$A,0)),INDEX(Base!$U:$U,MATCH($A10,Base!$A:$A,0)),IF(KP$1=INDEX('Valo FX'!$R:$R,MATCH($A10,'Valo FX'!$A:$A,0)),INDEX(Base!$V:$V,MATCH($A10,Base!$A:$A,0)),0)))</f>
        <v>0</v>
      </c>
      <c r="KQ10" s="21">
        <f>IF(KQ$1&lt;INDEX('Valo FX'!$Q:$Q,MATCH($A10,'Valo FX'!$A:$A,0)),0,IF(KQ$1&lt;INDEX('Valo FX'!$R:$R,MATCH($A10,'Valo FX'!$A:$A,0)),INDEX(Base!$U:$U,MATCH($A10,Base!$A:$A,0)),IF(KQ$1=INDEX('Valo FX'!$R:$R,MATCH($A10,'Valo FX'!$A:$A,0)),INDEX(Base!$V:$V,MATCH($A10,Base!$A:$A,0)),0)))</f>
        <v>0</v>
      </c>
      <c r="KR10" s="21">
        <f>IF(KR$1&lt;INDEX('Valo FX'!$Q:$Q,MATCH($A10,'Valo FX'!$A:$A,0)),0,IF(KR$1&lt;INDEX('Valo FX'!$R:$R,MATCH($A10,'Valo FX'!$A:$A,0)),INDEX(Base!$U:$U,MATCH($A10,Base!$A:$A,0)),IF(KR$1=INDEX('Valo FX'!$R:$R,MATCH($A10,'Valo FX'!$A:$A,0)),INDEX(Base!$V:$V,MATCH($A10,Base!$A:$A,0)),0)))</f>
        <v>0</v>
      </c>
      <c r="KS10" s="21">
        <f>IF(KS$1&lt;INDEX('Valo FX'!$Q:$Q,MATCH($A10,'Valo FX'!$A:$A,0)),0,IF(KS$1&lt;INDEX('Valo FX'!$R:$R,MATCH($A10,'Valo FX'!$A:$A,0)),INDEX(Base!$U:$U,MATCH($A10,Base!$A:$A,0)),IF(KS$1=INDEX('Valo FX'!$R:$R,MATCH($A10,'Valo FX'!$A:$A,0)),INDEX(Base!$V:$V,MATCH($A10,Base!$A:$A,0)),0)))</f>
        <v>0</v>
      </c>
      <c r="KT10" s="21">
        <f>IF(KT$1&lt;INDEX('Valo FX'!$Q:$Q,MATCH($A10,'Valo FX'!$A:$A,0)),0,IF(KT$1&lt;INDEX('Valo FX'!$R:$R,MATCH($A10,'Valo FX'!$A:$A,0)),INDEX(Base!$U:$U,MATCH($A10,Base!$A:$A,0)),IF(KT$1=INDEX('Valo FX'!$R:$R,MATCH($A10,'Valo FX'!$A:$A,0)),INDEX(Base!$V:$V,MATCH($A10,Base!$A:$A,0)),0)))</f>
        <v>0</v>
      </c>
      <c r="KU10" s="21">
        <f>IF(KU$1&lt;INDEX('Valo FX'!$Q:$Q,MATCH($A10,'Valo FX'!$A:$A,0)),0,IF(KU$1&lt;INDEX('Valo FX'!$R:$R,MATCH($A10,'Valo FX'!$A:$A,0)),INDEX(Base!$U:$U,MATCH($A10,Base!$A:$A,0)),IF(KU$1=INDEX('Valo FX'!$R:$R,MATCH($A10,'Valo FX'!$A:$A,0)),INDEX(Base!$V:$V,MATCH($A10,Base!$A:$A,0)),0)))</f>
        <v>0</v>
      </c>
      <c r="KV10" s="21">
        <f>IF(KV$1&lt;INDEX('Valo FX'!$Q:$Q,MATCH($A10,'Valo FX'!$A:$A,0)),0,IF(KV$1&lt;INDEX('Valo FX'!$R:$R,MATCH($A10,'Valo FX'!$A:$A,0)),INDEX(Base!$U:$U,MATCH($A10,Base!$A:$A,0)),IF(KV$1=INDEX('Valo FX'!$R:$R,MATCH($A10,'Valo FX'!$A:$A,0)),INDEX(Base!$V:$V,MATCH($A10,Base!$A:$A,0)),0)))</f>
        <v>0</v>
      </c>
      <c r="KW10" s="21">
        <f>IF(KW$1&lt;INDEX('Valo FX'!$Q:$Q,MATCH($A10,'Valo FX'!$A:$A,0)),0,IF(KW$1&lt;INDEX('Valo FX'!$R:$R,MATCH($A10,'Valo FX'!$A:$A,0)),INDEX(Base!$U:$U,MATCH($A10,Base!$A:$A,0)),IF(KW$1=INDEX('Valo FX'!$R:$R,MATCH($A10,'Valo FX'!$A:$A,0)),INDEX(Base!$V:$V,MATCH($A10,Base!$A:$A,0)),0)))</f>
        <v>0</v>
      </c>
      <c r="KX10" s="21">
        <f>IF(KX$1&lt;INDEX('Valo FX'!$Q:$Q,MATCH($A10,'Valo FX'!$A:$A,0)),0,IF(KX$1&lt;INDEX('Valo FX'!$R:$R,MATCH($A10,'Valo FX'!$A:$A,0)),INDEX(Base!$U:$U,MATCH($A10,Base!$A:$A,0)),IF(KX$1=INDEX('Valo FX'!$R:$R,MATCH($A10,'Valo FX'!$A:$A,0)),INDEX(Base!$V:$V,MATCH($A10,Base!$A:$A,0)),0)))</f>
        <v>0</v>
      </c>
      <c r="KY10" s="21">
        <f>IF(KY$1&lt;INDEX('Valo FX'!$Q:$Q,MATCH($A10,'Valo FX'!$A:$A,0)),0,IF(KY$1&lt;INDEX('Valo FX'!$R:$R,MATCH($A10,'Valo FX'!$A:$A,0)),INDEX(Base!$U:$U,MATCH($A10,Base!$A:$A,0)),IF(KY$1=INDEX('Valo FX'!$R:$R,MATCH($A10,'Valo FX'!$A:$A,0)),INDEX(Base!$V:$V,MATCH($A10,Base!$A:$A,0)),0)))</f>
        <v>0</v>
      </c>
      <c r="KZ10" s="21">
        <f>IF(KZ$1&lt;INDEX('Valo FX'!$Q:$Q,MATCH($A10,'Valo FX'!$A:$A,0)),0,IF(KZ$1&lt;INDEX('Valo FX'!$R:$R,MATCH($A10,'Valo FX'!$A:$A,0)),INDEX(Base!$U:$U,MATCH($A10,Base!$A:$A,0)),IF(KZ$1=INDEX('Valo FX'!$R:$R,MATCH($A10,'Valo FX'!$A:$A,0)),INDEX(Base!$V:$V,MATCH($A10,Base!$A:$A,0)),0)))</f>
        <v>0</v>
      </c>
      <c r="LA10" s="21">
        <f>IF(LA$1&lt;INDEX('Valo FX'!$Q:$Q,MATCH($A10,'Valo FX'!$A:$A,0)),0,IF(LA$1&lt;INDEX('Valo FX'!$R:$R,MATCH($A10,'Valo FX'!$A:$A,0)),INDEX(Base!$U:$U,MATCH($A10,Base!$A:$A,0)),IF(LA$1=INDEX('Valo FX'!$R:$R,MATCH($A10,'Valo FX'!$A:$A,0)),INDEX(Base!$V:$V,MATCH($A10,Base!$A:$A,0)),0)))</f>
        <v>0</v>
      </c>
      <c r="LB10" s="21">
        <f>IF(LB$1&lt;INDEX('Valo FX'!$Q:$Q,MATCH($A10,'Valo FX'!$A:$A,0)),0,IF(LB$1&lt;INDEX('Valo FX'!$R:$R,MATCH($A10,'Valo FX'!$A:$A,0)),INDEX(Base!$U:$U,MATCH($A10,Base!$A:$A,0)),IF(LB$1=INDEX('Valo FX'!$R:$R,MATCH($A10,'Valo FX'!$A:$A,0)),INDEX(Base!$V:$V,MATCH($A10,Base!$A:$A,0)),0)))</f>
        <v>0</v>
      </c>
      <c r="LC10" s="21">
        <f>IF(LC$1&lt;INDEX('Valo FX'!$Q:$Q,MATCH($A10,'Valo FX'!$A:$A,0)),0,IF(LC$1&lt;INDEX('Valo FX'!$R:$R,MATCH($A10,'Valo FX'!$A:$A,0)),INDEX(Base!$U:$U,MATCH($A10,Base!$A:$A,0)),IF(LC$1=INDEX('Valo FX'!$R:$R,MATCH($A10,'Valo FX'!$A:$A,0)),INDEX(Base!$V:$V,MATCH($A10,Base!$A:$A,0)),0)))</f>
        <v>0</v>
      </c>
      <c r="LD10" s="21">
        <f>IF(LD$1&lt;INDEX('Valo FX'!$Q:$Q,MATCH($A10,'Valo FX'!$A:$A,0)),0,IF(LD$1&lt;INDEX('Valo FX'!$R:$R,MATCH($A10,'Valo FX'!$A:$A,0)),INDEX(Base!$U:$U,MATCH($A10,Base!$A:$A,0)),IF(LD$1=INDEX('Valo FX'!$R:$R,MATCH($A10,'Valo FX'!$A:$A,0)),INDEX(Base!$V:$V,MATCH($A10,Base!$A:$A,0)),0)))</f>
        <v>0</v>
      </c>
      <c r="LE10" s="21">
        <f>IF(LE$1&lt;INDEX('Valo FX'!$Q:$Q,MATCH($A10,'Valo FX'!$A:$A,0)),0,IF(LE$1&lt;INDEX('Valo FX'!$R:$R,MATCH($A10,'Valo FX'!$A:$A,0)),INDEX(Base!$U:$U,MATCH($A10,Base!$A:$A,0)),IF(LE$1=INDEX('Valo FX'!$R:$R,MATCH($A10,'Valo FX'!$A:$A,0)),INDEX(Base!$V:$V,MATCH($A10,Base!$A:$A,0)),0)))</f>
        <v>0</v>
      </c>
      <c r="LF10" s="21">
        <f>IF(LF$1&lt;INDEX('Valo FX'!$Q:$Q,MATCH($A10,'Valo FX'!$A:$A,0)),0,IF(LF$1&lt;INDEX('Valo FX'!$R:$R,MATCH($A10,'Valo FX'!$A:$A,0)),INDEX(Base!$U:$U,MATCH($A10,Base!$A:$A,0)),IF(LF$1=INDEX('Valo FX'!$R:$R,MATCH($A10,'Valo FX'!$A:$A,0)),INDEX(Base!$V:$V,MATCH($A10,Base!$A:$A,0)),0)))</f>
        <v>0</v>
      </c>
      <c r="LG10" s="21">
        <f>IF(LG$1&lt;INDEX('Valo FX'!$Q:$Q,MATCH($A10,'Valo FX'!$A:$A,0)),0,IF(LG$1&lt;INDEX('Valo FX'!$R:$R,MATCH($A10,'Valo FX'!$A:$A,0)),INDEX(Base!$U:$U,MATCH($A10,Base!$A:$A,0)),IF(LG$1=INDEX('Valo FX'!$R:$R,MATCH($A10,'Valo FX'!$A:$A,0)),INDEX(Base!$V:$V,MATCH($A10,Base!$A:$A,0)),0)))</f>
        <v>0</v>
      </c>
      <c r="LH10" s="21">
        <f>IF(LH$1&lt;INDEX('Valo FX'!$Q:$Q,MATCH($A10,'Valo FX'!$A:$A,0)),0,IF(LH$1&lt;INDEX('Valo FX'!$R:$R,MATCH($A10,'Valo FX'!$A:$A,0)),INDEX(Base!$U:$U,MATCH($A10,Base!$A:$A,0)),IF(LH$1=INDEX('Valo FX'!$R:$R,MATCH($A10,'Valo FX'!$A:$A,0)),INDEX(Base!$V:$V,MATCH($A10,Base!$A:$A,0)),0)))</f>
        <v>0</v>
      </c>
      <c r="LI10" s="21">
        <f>IF(LI$1&lt;INDEX('Valo FX'!$Q:$Q,MATCH($A10,'Valo FX'!$A:$A,0)),0,IF(LI$1&lt;INDEX('Valo FX'!$R:$R,MATCH($A10,'Valo FX'!$A:$A,0)),INDEX(Base!$U:$U,MATCH($A10,Base!$A:$A,0)),IF(LI$1=INDEX('Valo FX'!$R:$R,MATCH($A10,'Valo FX'!$A:$A,0)),INDEX(Base!$V:$V,MATCH($A10,Base!$A:$A,0)),0)))</f>
        <v>0</v>
      </c>
      <c r="LJ10" s="21">
        <f>IF(LJ$1&lt;INDEX('Valo FX'!$Q:$Q,MATCH($A10,'Valo FX'!$A:$A,0)),0,IF(LJ$1&lt;INDEX('Valo FX'!$R:$R,MATCH($A10,'Valo FX'!$A:$A,0)),INDEX(Base!$U:$U,MATCH($A10,Base!$A:$A,0)),IF(LJ$1=INDEX('Valo FX'!$R:$R,MATCH($A10,'Valo FX'!$A:$A,0)),INDEX(Base!$V:$V,MATCH($A10,Base!$A:$A,0)),0)))</f>
        <v>0</v>
      </c>
      <c r="LK10" s="21">
        <f>IF(LK$1&lt;INDEX('Valo FX'!$Q:$Q,MATCH($A10,'Valo FX'!$A:$A,0)),0,IF(LK$1&lt;INDEX('Valo FX'!$R:$R,MATCH($A10,'Valo FX'!$A:$A,0)),INDEX(Base!$U:$U,MATCH($A10,Base!$A:$A,0)),IF(LK$1=INDEX('Valo FX'!$R:$R,MATCH($A10,'Valo FX'!$A:$A,0)),INDEX(Base!$V:$V,MATCH($A10,Base!$A:$A,0)),0)))</f>
        <v>0</v>
      </c>
      <c r="LL10" s="21">
        <f>IF(LL$1&lt;INDEX('Valo FX'!$Q:$Q,MATCH($A10,'Valo FX'!$A:$A,0)),0,IF(LL$1&lt;INDEX('Valo FX'!$R:$R,MATCH($A10,'Valo FX'!$A:$A,0)),INDEX(Base!$U:$U,MATCH($A10,Base!$A:$A,0)),IF(LL$1=INDEX('Valo FX'!$R:$R,MATCH($A10,'Valo FX'!$A:$A,0)),INDEX(Base!$V:$V,MATCH($A10,Base!$A:$A,0)),0)))</f>
        <v>0</v>
      </c>
      <c r="LM10" s="21">
        <f>IF(LM$1&lt;INDEX('Valo FX'!$Q:$Q,MATCH($A10,'Valo FX'!$A:$A,0)),0,IF(LM$1&lt;INDEX('Valo FX'!$R:$R,MATCH($A10,'Valo FX'!$A:$A,0)),INDEX(Base!$U:$U,MATCH($A10,Base!$A:$A,0)),IF(LM$1=INDEX('Valo FX'!$R:$R,MATCH($A10,'Valo FX'!$A:$A,0)),INDEX(Base!$V:$V,MATCH($A10,Base!$A:$A,0)),0)))</f>
        <v>0</v>
      </c>
      <c r="LN10" s="21">
        <f>IF(LN$1&lt;INDEX('Valo FX'!$Q:$Q,MATCH($A10,'Valo FX'!$A:$A,0)),0,IF(LN$1&lt;INDEX('Valo FX'!$R:$R,MATCH($A10,'Valo FX'!$A:$A,0)),INDEX(Base!$U:$U,MATCH($A10,Base!$A:$A,0)),IF(LN$1=INDEX('Valo FX'!$R:$R,MATCH($A10,'Valo FX'!$A:$A,0)),INDEX(Base!$V:$V,MATCH($A10,Base!$A:$A,0)),0)))</f>
        <v>0</v>
      </c>
      <c r="LO10" s="21">
        <f>IF(LO$1&lt;INDEX('Valo FX'!$Q:$Q,MATCH($A10,'Valo FX'!$A:$A,0)),0,IF(LO$1&lt;INDEX('Valo FX'!$R:$R,MATCH($A10,'Valo FX'!$A:$A,0)),INDEX(Base!$U:$U,MATCH($A10,Base!$A:$A,0)),IF(LO$1=INDEX('Valo FX'!$R:$R,MATCH($A10,'Valo FX'!$A:$A,0)),INDEX(Base!$V:$V,MATCH($A10,Base!$A:$A,0)),0)))</f>
        <v>0</v>
      </c>
      <c r="LP10" s="21">
        <f>IF(LP$1&lt;INDEX('Valo FX'!$Q:$Q,MATCH($A10,'Valo FX'!$A:$A,0)),0,IF(LP$1&lt;INDEX('Valo FX'!$R:$R,MATCH($A10,'Valo FX'!$A:$A,0)),INDEX(Base!$U:$U,MATCH($A10,Base!$A:$A,0)),IF(LP$1=INDEX('Valo FX'!$R:$R,MATCH($A10,'Valo FX'!$A:$A,0)),INDEX(Base!$V:$V,MATCH($A10,Base!$A:$A,0)),0)))</f>
        <v>0</v>
      </c>
      <c r="LQ10" s="21">
        <f>IF(LQ$1&lt;INDEX('Valo FX'!$Q:$Q,MATCH($A10,'Valo FX'!$A:$A,0)),0,IF(LQ$1&lt;INDEX('Valo FX'!$R:$R,MATCH($A10,'Valo FX'!$A:$A,0)),INDEX(Base!$U:$U,MATCH($A10,Base!$A:$A,0)),IF(LQ$1=INDEX('Valo FX'!$R:$R,MATCH($A10,'Valo FX'!$A:$A,0)),INDEX(Base!$V:$V,MATCH($A10,Base!$A:$A,0)),0)))</f>
        <v>0</v>
      </c>
      <c r="LR10" s="21">
        <f>IF(LR$1&lt;INDEX('Valo FX'!$Q:$Q,MATCH($A10,'Valo FX'!$A:$A,0)),0,IF(LR$1&lt;INDEX('Valo FX'!$R:$R,MATCH($A10,'Valo FX'!$A:$A,0)),INDEX(Base!$U:$U,MATCH($A10,Base!$A:$A,0)),IF(LR$1=INDEX('Valo FX'!$R:$R,MATCH($A10,'Valo FX'!$A:$A,0)),INDEX(Base!$V:$V,MATCH($A10,Base!$A:$A,0)),0)))</f>
        <v>0</v>
      </c>
      <c r="LS10" s="21">
        <f>IF(LS$1&lt;INDEX('Valo FX'!$Q:$Q,MATCH($A10,'Valo FX'!$A:$A,0)),0,IF(LS$1&lt;INDEX('Valo FX'!$R:$R,MATCH($A10,'Valo FX'!$A:$A,0)),INDEX(Base!$U:$U,MATCH($A10,Base!$A:$A,0)),IF(LS$1=INDEX('Valo FX'!$R:$R,MATCH($A10,'Valo FX'!$A:$A,0)),INDEX(Base!$V:$V,MATCH($A10,Base!$A:$A,0)),0)))</f>
        <v>0</v>
      </c>
      <c r="LT10" s="21">
        <f>IF(LT$1&lt;INDEX('Valo FX'!$Q:$Q,MATCH($A10,'Valo FX'!$A:$A,0)),0,IF(LT$1&lt;INDEX('Valo FX'!$R:$R,MATCH($A10,'Valo FX'!$A:$A,0)),INDEX(Base!$U:$U,MATCH($A10,Base!$A:$A,0)),IF(LT$1=INDEX('Valo FX'!$R:$R,MATCH($A10,'Valo FX'!$A:$A,0)),INDEX(Base!$V:$V,MATCH($A10,Base!$A:$A,0)),0)))</f>
        <v>0</v>
      </c>
      <c r="LU10" s="21">
        <f>IF(LU$1&lt;INDEX('Valo FX'!$Q:$Q,MATCH($A10,'Valo FX'!$A:$A,0)),0,IF(LU$1&lt;INDEX('Valo FX'!$R:$R,MATCH($A10,'Valo FX'!$A:$A,0)),INDEX(Base!$U:$U,MATCH($A10,Base!$A:$A,0)),IF(LU$1=INDEX('Valo FX'!$R:$R,MATCH($A10,'Valo FX'!$A:$A,0)),INDEX(Base!$V:$V,MATCH($A10,Base!$A:$A,0)),0)))</f>
        <v>0</v>
      </c>
      <c r="LV10" s="21">
        <f>IF(LV$1&lt;INDEX('Valo FX'!$Q:$Q,MATCH($A10,'Valo FX'!$A:$A,0)),0,IF(LV$1&lt;INDEX('Valo FX'!$R:$R,MATCH($A10,'Valo FX'!$A:$A,0)),INDEX(Base!$U:$U,MATCH($A10,Base!$A:$A,0)),IF(LV$1=INDEX('Valo FX'!$R:$R,MATCH($A10,'Valo FX'!$A:$A,0)),INDEX(Base!$V:$V,MATCH($A10,Base!$A:$A,0)),0)))</f>
        <v>0</v>
      </c>
      <c r="LW10" s="21">
        <f>IF(LW$1&lt;INDEX('Valo FX'!$Q:$Q,MATCH($A10,'Valo FX'!$A:$A,0)),0,IF(LW$1&lt;INDEX('Valo FX'!$R:$R,MATCH($A10,'Valo FX'!$A:$A,0)),INDEX(Base!$U:$U,MATCH($A10,Base!$A:$A,0)),IF(LW$1=INDEX('Valo FX'!$R:$R,MATCH($A10,'Valo FX'!$A:$A,0)),INDEX(Base!$V:$V,MATCH($A10,Base!$A:$A,0)),0)))</f>
        <v>0</v>
      </c>
      <c r="LX10" s="21">
        <f>IF(LX$1&lt;INDEX('Valo FX'!$Q:$Q,MATCH($A10,'Valo FX'!$A:$A,0)),0,IF(LX$1&lt;INDEX('Valo FX'!$R:$R,MATCH($A10,'Valo FX'!$A:$A,0)),INDEX(Base!$U:$U,MATCH($A10,Base!$A:$A,0)),IF(LX$1=INDEX('Valo FX'!$R:$R,MATCH($A10,'Valo FX'!$A:$A,0)),INDEX(Base!$V:$V,MATCH($A10,Base!$A:$A,0)),0)))</f>
        <v>0</v>
      </c>
      <c r="LY10" s="21">
        <f>IF(LY$1&lt;INDEX('Valo FX'!$Q:$Q,MATCH($A10,'Valo FX'!$A:$A,0)),0,IF(LY$1&lt;INDEX('Valo FX'!$R:$R,MATCH($A10,'Valo FX'!$A:$A,0)),INDEX(Base!$U:$U,MATCH($A10,Base!$A:$A,0)),IF(LY$1=INDEX('Valo FX'!$R:$R,MATCH($A10,'Valo FX'!$A:$A,0)),INDEX(Base!$V:$V,MATCH($A10,Base!$A:$A,0)),0)))</f>
        <v>0</v>
      </c>
      <c r="LZ10" s="21">
        <f>IF(LZ$1&lt;INDEX('Valo FX'!$Q:$Q,MATCH($A10,'Valo FX'!$A:$A,0)),0,IF(LZ$1&lt;INDEX('Valo FX'!$R:$R,MATCH($A10,'Valo FX'!$A:$A,0)),INDEX(Base!$U:$U,MATCH($A10,Base!$A:$A,0)),IF(LZ$1=INDEX('Valo FX'!$R:$R,MATCH($A10,'Valo FX'!$A:$A,0)),INDEX(Base!$V:$V,MATCH($A10,Base!$A:$A,0)),0)))</f>
        <v>0</v>
      </c>
      <c r="MA10" s="21">
        <f>IF(MA$1&lt;INDEX('Valo FX'!$Q:$Q,MATCH($A10,'Valo FX'!$A:$A,0)),0,IF(MA$1&lt;INDEX('Valo FX'!$R:$R,MATCH($A10,'Valo FX'!$A:$A,0)),INDEX(Base!$U:$U,MATCH($A10,Base!$A:$A,0)),IF(MA$1=INDEX('Valo FX'!$R:$R,MATCH($A10,'Valo FX'!$A:$A,0)),INDEX(Base!$V:$V,MATCH($A10,Base!$A:$A,0)),0)))</f>
        <v>0</v>
      </c>
      <c r="MB10" s="21">
        <f>IF(MB$1&lt;INDEX('Valo FX'!$Q:$Q,MATCH($A10,'Valo FX'!$A:$A,0)),0,IF(MB$1&lt;INDEX('Valo FX'!$R:$R,MATCH($A10,'Valo FX'!$A:$A,0)),INDEX(Base!$U:$U,MATCH($A10,Base!$A:$A,0)),IF(MB$1=INDEX('Valo FX'!$R:$R,MATCH($A10,'Valo FX'!$A:$A,0)),INDEX(Base!$V:$V,MATCH($A10,Base!$A:$A,0)),0)))</f>
        <v>0</v>
      </c>
      <c r="MC10" s="21">
        <f>IF(MC$1&lt;INDEX('Valo FX'!$Q:$Q,MATCH($A10,'Valo FX'!$A:$A,0)),0,IF(MC$1&lt;INDEX('Valo FX'!$R:$R,MATCH($A10,'Valo FX'!$A:$A,0)),INDEX(Base!$U:$U,MATCH($A10,Base!$A:$A,0)),IF(MC$1=INDEX('Valo FX'!$R:$R,MATCH($A10,'Valo FX'!$A:$A,0)),INDEX(Base!$V:$V,MATCH($A10,Base!$A:$A,0)),0)))</f>
        <v>0</v>
      </c>
      <c r="MD10" s="21">
        <f>IF(MD$1&lt;INDEX('Valo FX'!$Q:$Q,MATCH($A10,'Valo FX'!$A:$A,0)),0,IF(MD$1&lt;INDEX('Valo FX'!$R:$R,MATCH($A10,'Valo FX'!$A:$A,0)),INDEX(Base!$U:$U,MATCH($A10,Base!$A:$A,0)),IF(MD$1=INDEX('Valo FX'!$R:$R,MATCH($A10,'Valo FX'!$A:$A,0)),INDEX(Base!$V:$V,MATCH($A10,Base!$A:$A,0)),0)))</f>
        <v>0</v>
      </c>
      <c r="ME10" s="21">
        <f>IF(ME$1&lt;INDEX('Valo FX'!$Q:$Q,MATCH($A10,'Valo FX'!$A:$A,0)),0,IF(ME$1&lt;INDEX('Valo FX'!$R:$R,MATCH($A10,'Valo FX'!$A:$A,0)),INDEX(Base!$U:$U,MATCH($A10,Base!$A:$A,0)),IF(ME$1=INDEX('Valo FX'!$R:$R,MATCH($A10,'Valo FX'!$A:$A,0)),INDEX(Base!$V:$V,MATCH($A10,Base!$A:$A,0)),0)))</f>
        <v>0</v>
      </c>
      <c r="MF10" s="21">
        <f>IF(MF$1&lt;INDEX('Valo FX'!$Q:$Q,MATCH($A10,'Valo FX'!$A:$A,0)),0,IF(MF$1&lt;INDEX('Valo FX'!$R:$R,MATCH($A10,'Valo FX'!$A:$A,0)),INDEX(Base!$U:$U,MATCH($A10,Base!$A:$A,0)),IF(MF$1=INDEX('Valo FX'!$R:$R,MATCH($A10,'Valo FX'!$A:$A,0)),INDEX(Base!$V:$V,MATCH($A10,Base!$A:$A,0)),0)))</f>
        <v>0</v>
      </c>
      <c r="MG10" s="21">
        <f>IF(MG$1&lt;INDEX('Valo FX'!$Q:$Q,MATCH($A10,'Valo FX'!$A:$A,0)),0,IF(MG$1&lt;INDEX('Valo FX'!$R:$R,MATCH($A10,'Valo FX'!$A:$A,0)),INDEX(Base!$U:$U,MATCH($A10,Base!$A:$A,0)),IF(MG$1=INDEX('Valo FX'!$R:$R,MATCH($A10,'Valo FX'!$A:$A,0)),INDEX(Base!$V:$V,MATCH($A10,Base!$A:$A,0)),0)))</f>
        <v>0</v>
      </c>
      <c r="MH10" s="21">
        <f>IF(MH$1&lt;INDEX('Valo FX'!$Q:$Q,MATCH($A10,'Valo FX'!$A:$A,0)),0,IF(MH$1&lt;INDEX('Valo FX'!$R:$R,MATCH($A10,'Valo FX'!$A:$A,0)),INDEX(Base!$U:$U,MATCH($A10,Base!$A:$A,0)),IF(MH$1=INDEX('Valo FX'!$R:$R,MATCH($A10,'Valo FX'!$A:$A,0)),INDEX(Base!$V:$V,MATCH($A10,Base!$A:$A,0)),0)))</f>
        <v>0</v>
      </c>
      <c r="MI10" s="21">
        <f>IF(MI$1&lt;INDEX('Valo FX'!$Q:$Q,MATCH($A10,'Valo FX'!$A:$A,0)),0,IF(MI$1&lt;INDEX('Valo FX'!$R:$R,MATCH($A10,'Valo FX'!$A:$A,0)),INDEX(Base!$U:$U,MATCH($A10,Base!$A:$A,0)),IF(MI$1=INDEX('Valo FX'!$R:$R,MATCH($A10,'Valo FX'!$A:$A,0)),INDEX(Base!$V:$V,MATCH($A10,Base!$A:$A,0)),0)))</f>
        <v>0</v>
      </c>
      <c r="MJ10" s="21">
        <f>IF(MJ$1&lt;INDEX('Valo FX'!$Q:$Q,MATCH($A10,'Valo FX'!$A:$A,0)),0,IF(MJ$1&lt;INDEX('Valo FX'!$R:$R,MATCH($A10,'Valo FX'!$A:$A,0)),INDEX(Base!$U:$U,MATCH($A10,Base!$A:$A,0)),IF(MJ$1=INDEX('Valo FX'!$R:$R,MATCH($A10,'Valo FX'!$A:$A,0)),INDEX(Base!$V:$V,MATCH($A10,Base!$A:$A,0)),0)))</f>
        <v>0</v>
      </c>
      <c r="MK10" s="21">
        <f>IF(MK$1&lt;INDEX('Valo FX'!$Q:$Q,MATCH($A10,'Valo FX'!$A:$A,0)),0,IF(MK$1&lt;INDEX('Valo FX'!$R:$R,MATCH($A10,'Valo FX'!$A:$A,0)),INDEX(Base!$U:$U,MATCH($A10,Base!$A:$A,0)),IF(MK$1=INDEX('Valo FX'!$R:$R,MATCH($A10,'Valo FX'!$A:$A,0)),INDEX(Base!$V:$V,MATCH($A10,Base!$A:$A,0)),0)))</f>
        <v>0</v>
      </c>
      <c r="ML10" s="21">
        <f>IF(ML$1&lt;INDEX('Valo FX'!$Q:$Q,MATCH($A10,'Valo FX'!$A:$A,0)),0,IF(ML$1&lt;INDEX('Valo FX'!$R:$R,MATCH($A10,'Valo FX'!$A:$A,0)),INDEX(Base!$U:$U,MATCH($A10,Base!$A:$A,0)),IF(ML$1=INDEX('Valo FX'!$R:$R,MATCH($A10,'Valo FX'!$A:$A,0)),INDEX(Base!$V:$V,MATCH($A10,Base!$A:$A,0)),0)))</f>
        <v>0</v>
      </c>
      <c r="MM10" s="21">
        <f>IF(MM$1&lt;INDEX('Valo FX'!$Q:$Q,MATCH($A10,'Valo FX'!$A:$A,0)),0,IF(MM$1&lt;INDEX('Valo FX'!$R:$R,MATCH($A10,'Valo FX'!$A:$A,0)),INDEX(Base!$U:$U,MATCH($A10,Base!$A:$A,0)),IF(MM$1=INDEX('Valo FX'!$R:$R,MATCH($A10,'Valo FX'!$A:$A,0)),INDEX(Base!$V:$V,MATCH($A10,Base!$A:$A,0)),0)))</f>
        <v>0</v>
      </c>
      <c r="MN10" s="21">
        <f>IF(MN$1&lt;INDEX('Valo FX'!$Q:$Q,MATCH($A10,'Valo FX'!$A:$A,0)),0,IF(MN$1&lt;INDEX('Valo FX'!$R:$R,MATCH($A10,'Valo FX'!$A:$A,0)),INDEX(Base!$U:$U,MATCH($A10,Base!$A:$A,0)),IF(MN$1=INDEX('Valo FX'!$R:$R,MATCH($A10,'Valo FX'!$A:$A,0)),INDEX(Base!$V:$V,MATCH($A10,Base!$A:$A,0)),0)))</f>
        <v>0</v>
      </c>
      <c r="MO10" s="21">
        <f>IF(MO$1&lt;INDEX('Valo FX'!$Q:$Q,MATCH($A10,'Valo FX'!$A:$A,0)),0,IF(MO$1&lt;INDEX('Valo FX'!$R:$R,MATCH($A10,'Valo FX'!$A:$A,0)),INDEX(Base!$U:$U,MATCH($A10,Base!$A:$A,0)),IF(MO$1=INDEX('Valo FX'!$R:$R,MATCH($A10,'Valo FX'!$A:$A,0)),INDEX(Base!$V:$V,MATCH($A10,Base!$A:$A,0)),0)))</f>
        <v>0</v>
      </c>
      <c r="MP10" s="21">
        <f>IF(MP$1&lt;INDEX('Valo FX'!$Q:$Q,MATCH($A10,'Valo FX'!$A:$A,0)),0,IF(MP$1&lt;INDEX('Valo FX'!$R:$R,MATCH($A10,'Valo FX'!$A:$A,0)),INDEX(Base!$U:$U,MATCH($A10,Base!$A:$A,0)),IF(MP$1=INDEX('Valo FX'!$R:$R,MATCH($A10,'Valo FX'!$A:$A,0)),INDEX(Base!$V:$V,MATCH($A10,Base!$A:$A,0)),0)))</f>
        <v>0</v>
      </c>
      <c r="MQ10" s="21">
        <f>IF(MQ$1&lt;INDEX('Valo FX'!$Q:$Q,MATCH($A10,'Valo FX'!$A:$A,0)),0,IF(MQ$1&lt;INDEX('Valo FX'!$R:$R,MATCH($A10,'Valo FX'!$A:$A,0)),INDEX(Base!$U:$U,MATCH($A10,Base!$A:$A,0)),IF(MQ$1=INDEX('Valo FX'!$R:$R,MATCH($A10,'Valo FX'!$A:$A,0)),INDEX(Base!$V:$V,MATCH($A10,Base!$A:$A,0)),0)))</f>
        <v>0</v>
      </c>
      <c r="MR10" s="21">
        <f>IF(MR$1&lt;INDEX('Valo FX'!$Q:$Q,MATCH($A10,'Valo FX'!$A:$A,0)),0,IF(MR$1&lt;INDEX('Valo FX'!$R:$R,MATCH($A10,'Valo FX'!$A:$A,0)),INDEX(Base!$U:$U,MATCH($A10,Base!$A:$A,0)),IF(MR$1=INDEX('Valo FX'!$R:$R,MATCH($A10,'Valo FX'!$A:$A,0)),INDEX(Base!$V:$V,MATCH($A10,Base!$A:$A,0)),0)))</f>
        <v>0</v>
      </c>
      <c r="MS10" s="21">
        <f>IF(MS$1&lt;INDEX('Valo FX'!$Q:$Q,MATCH($A10,'Valo FX'!$A:$A,0)),0,IF(MS$1&lt;INDEX('Valo FX'!$R:$R,MATCH($A10,'Valo FX'!$A:$A,0)),INDEX(Base!$U:$U,MATCH($A10,Base!$A:$A,0)),IF(MS$1=INDEX('Valo FX'!$R:$R,MATCH($A10,'Valo FX'!$A:$A,0)),INDEX(Base!$V:$V,MATCH($A10,Base!$A:$A,0)),0)))</f>
        <v>0</v>
      </c>
      <c r="MT10" s="21">
        <f>IF(MT$1&lt;INDEX('Valo FX'!$Q:$Q,MATCH($A10,'Valo FX'!$A:$A,0)),0,IF(MT$1&lt;INDEX('Valo FX'!$R:$R,MATCH($A10,'Valo FX'!$A:$A,0)),INDEX(Base!$U:$U,MATCH($A10,Base!$A:$A,0)),IF(MT$1=INDEX('Valo FX'!$R:$R,MATCH($A10,'Valo FX'!$A:$A,0)),INDEX(Base!$V:$V,MATCH($A10,Base!$A:$A,0)),0)))</f>
        <v>0</v>
      </c>
      <c r="MU10" s="21">
        <f>IF(MU$1&lt;INDEX('Valo FX'!$Q:$Q,MATCH($A10,'Valo FX'!$A:$A,0)),0,IF(MU$1&lt;INDEX('Valo FX'!$R:$R,MATCH($A10,'Valo FX'!$A:$A,0)),INDEX(Base!$U:$U,MATCH($A10,Base!$A:$A,0)),IF(MU$1=INDEX('Valo FX'!$R:$R,MATCH($A10,'Valo FX'!$A:$A,0)),INDEX(Base!$V:$V,MATCH($A10,Base!$A:$A,0)),0)))</f>
        <v>0</v>
      </c>
      <c r="MV10" s="21">
        <f>IF(MV$1&lt;INDEX('Valo FX'!$Q:$Q,MATCH($A10,'Valo FX'!$A:$A,0)),0,IF(MV$1&lt;INDEX('Valo FX'!$R:$R,MATCH($A10,'Valo FX'!$A:$A,0)),INDEX(Base!$U:$U,MATCH($A10,Base!$A:$A,0)),IF(MV$1=INDEX('Valo FX'!$R:$R,MATCH($A10,'Valo FX'!$A:$A,0)),INDEX(Base!$V:$V,MATCH($A10,Base!$A:$A,0)),0)))</f>
        <v>0</v>
      </c>
      <c r="MW10" s="21">
        <f>IF(MW$1&lt;INDEX('Valo FX'!$Q:$Q,MATCH($A10,'Valo FX'!$A:$A,0)),0,IF(MW$1&lt;INDEX('Valo FX'!$R:$R,MATCH($A10,'Valo FX'!$A:$A,0)),INDEX(Base!$U:$U,MATCH($A10,Base!$A:$A,0)),IF(MW$1=INDEX('Valo FX'!$R:$R,MATCH($A10,'Valo FX'!$A:$A,0)),INDEX(Base!$V:$V,MATCH($A10,Base!$A:$A,0)),0)))</f>
        <v>0</v>
      </c>
      <c r="MX10" s="21">
        <f>IF(MX$1&lt;INDEX('Valo FX'!$Q:$Q,MATCH($A10,'Valo FX'!$A:$A,0)),0,IF(MX$1&lt;INDEX('Valo FX'!$R:$R,MATCH($A10,'Valo FX'!$A:$A,0)),INDEX(Base!$U:$U,MATCH($A10,Base!$A:$A,0)),IF(MX$1=INDEX('Valo FX'!$R:$R,MATCH($A10,'Valo FX'!$A:$A,0)),INDEX(Base!$V:$V,MATCH($A10,Base!$A:$A,0)),0)))</f>
        <v>0</v>
      </c>
      <c r="MY10" s="21">
        <f>IF(MY$1&lt;INDEX('Valo FX'!$Q:$Q,MATCH($A10,'Valo FX'!$A:$A,0)),0,IF(MY$1&lt;INDEX('Valo FX'!$R:$R,MATCH($A10,'Valo FX'!$A:$A,0)),INDEX(Base!$U:$U,MATCH($A10,Base!$A:$A,0)),IF(MY$1=INDEX('Valo FX'!$R:$R,MATCH($A10,'Valo FX'!$A:$A,0)),INDEX(Base!$V:$V,MATCH($A10,Base!$A:$A,0)),0)))</f>
        <v>0</v>
      </c>
    </row>
    <row r="11" spans="1:363" x14ac:dyDescent="0.25">
      <c r="A11" s="7">
        <f>+'Valo FX'!A12</f>
        <v>9</v>
      </c>
      <c r="B11" s="59">
        <f>-'Valo FX'!T12</f>
        <v>-932.57912451576476</v>
      </c>
      <c r="C11" s="21">
        <f>IF(C$1&lt;INDEX('Valo FX'!$Q:$Q,MATCH($A11,'Valo FX'!$A:$A,0)),0,IF(C$1&lt;INDEX('Valo FX'!$R:$R,MATCH($A11,'Valo FX'!$A:$A,0)),INDEX(Base!$U:$U,MATCH($A11,Base!$A:$A,0)),IF(C$1=INDEX('Valo FX'!$R:$R,MATCH($A11,'Valo FX'!$A:$A,0)),INDEX(Base!$V:$V,MATCH($A11,Base!$A:$A,0)),0)))</f>
        <v>0</v>
      </c>
      <c r="D11" s="21">
        <f>IF(D$1&lt;INDEX('Valo FX'!$Q:$Q,MATCH($A11,'Valo FX'!$A:$A,0)),0,IF(D$1&lt;INDEX('Valo FX'!$R:$R,MATCH($A11,'Valo FX'!$A:$A,0)),INDEX(Base!$U:$U,MATCH($A11,Base!$A:$A,0)),IF(D$1=INDEX('Valo FX'!$R:$R,MATCH($A11,'Valo FX'!$A:$A,0)),INDEX(Base!$V:$V,MATCH($A11,Base!$A:$A,0)),0)))</f>
        <v>0</v>
      </c>
      <c r="E11" s="21">
        <f>IF(E$1&lt;INDEX('Valo FX'!$Q:$Q,MATCH($A11,'Valo FX'!$A:$A,0)),0,IF(E$1&lt;INDEX('Valo FX'!$R:$R,MATCH($A11,'Valo FX'!$A:$A,0)),INDEX(Base!$U:$U,MATCH($A11,Base!$A:$A,0)),IF(E$1=INDEX('Valo FX'!$R:$R,MATCH($A11,'Valo FX'!$A:$A,0)),INDEX(Base!$V:$V,MATCH($A11,Base!$A:$A,0)),0)))</f>
        <v>0</v>
      </c>
      <c r="F11" s="21">
        <f>IF(F$1&lt;INDEX('Valo FX'!$Q:$Q,MATCH($A11,'Valo FX'!$A:$A,0)),0,IF(F$1&lt;INDEX('Valo FX'!$R:$R,MATCH($A11,'Valo FX'!$A:$A,0)),INDEX(Base!$U:$U,MATCH($A11,Base!$A:$A,0)),IF(F$1=INDEX('Valo FX'!$R:$R,MATCH($A11,'Valo FX'!$A:$A,0)),INDEX(Base!$V:$V,MATCH($A11,Base!$A:$A,0)),0)))</f>
        <v>0</v>
      </c>
      <c r="G11" s="21">
        <f>IF(G$1&lt;INDEX('Valo FX'!$Q:$Q,MATCH($A11,'Valo FX'!$A:$A,0)),0,IF(G$1&lt;INDEX('Valo FX'!$R:$R,MATCH($A11,'Valo FX'!$A:$A,0)),INDEX(Base!$U:$U,MATCH($A11,Base!$A:$A,0)),IF(G$1=INDEX('Valo FX'!$R:$R,MATCH($A11,'Valo FX'!$A:$A,0)),INDEX(Base!$V:$V,MATCH($A11,Base!$A:$A,0)),0)))</f>
        <v>0</v>
      </c>
      <c r="H11" s="21">
        <f>IF(H$1&lt;INDEX('Valo FX'!$Q:$Q,MATCH($A11,'Valo FX'!$A:$A,0)),0,IF(H$1&lt;INDEX('Valo FX'!$R:$R,MATCH($A11,'Valo FX'!$A:$A,0)),INDEX(Base!$U:$U,MATCH($A11,Base!$A:$A,0)),IF(H$1=INDEX('Valo FX'!$R:$R,MATCH($A11,'Valo FX'!$A:$A,0)),INDEX(Base!$V:$V,MATCH($A11,Base!$A:$A,0)),0)))</f>
        <v>6.8100550000000002</v>
      </c>
      <c r="I11" s="21">
        <f>IF(I$1&lt;INDEX('Valo FX'!$Q:$Q,MATCH($A11,'Valo FX'!$A:$A,0)),0,IF(I$1&lt;INDEX('Valo FX'!$R:$R,MATCH($A11,'Valo FX'!$A:$A,0)),INDEX(Base!$U:$U,MATCH($A11,Base!$A:$A,0)),IF(I$1=INDEX('Valo FX'!$R:$R,MATCH($A11,'Valo FX'!$A:$A,0)),INDEX(Base!$V:$V,MATCH($A11,Base!$A:$A,0)),0)))</f>
        <v>6.8100550000000002</v>
      </c>
      <c r="J11" s="21">
        <f>IF(J$1&lt;INDEX('Valo FX'!$Q:$Q,MATCH($A11,'Valo FX'!$A:$A,0)),0,IF(J$1&lt;INDEX('Valo FX'!$R:$R,MATCH($A11,'Valo FX'!$A:$A,0)),INDEX(Base!$U:$U,MATCH($A11,Base!$A:$A,0)),IF(J$1=INDEX('Valo FX'!$R:$R,MATCH($A11,'Valo FX'!$A:$A,0)),INDEX(Base!$V:$V,MATCH($A11,Base!$A:$A,0)),0)))</f>
        <v>6.8100550000000002</v>
      </c>
      <c r="K11" s="21">
        <f>IF(K$1&lt;INDEX('Valo FX'!$Q:$Q,MATCH($A11,'Valo FX'!$A:$A,0)),0,IF(K$1&lt;INDEX('Valo FX'!$R:$R,MATCH($A11,'Valo FX'!$A:$A,0)),INDEX(Base!$U:$U,MATCH($A11,Base!$A:$A,0)),IF(K$1=INDEX('Valo FX'!$R:$R,MATCH($A11,'Valo FX'!$A:$A,0)),INDEX(Base!$V:$V,MATCH($A11,Base!$A:$A,0)),0)))</f>
        <v>6.8100550000000002</v>
      </c>
      <c r="L11" s="21">
        <f>IF(L$1&lt;INDEX('Valo FX'!$Q:$Q,MATCH($A11,'Valo FX'!$A:$A,0)),0,IF(L$1&lt;INDEX('Valo FX'!$R:$R,MATCH($A11,'Valo FX'!$A:$A,0)),INDEX(Base!$U:$U,MATCH($A11,Base!$A:$A,0)),IF(L$1=INDEX('Valo FX'!$R:$R,MATCH($A11,'Valo FX'!$A:$A,0)),INDEX(Base!$V:$V,MATCH($A11,Base!$A:$A,0)),0)))</f>
        <v>6.8100550000000002</v>
      </c>
      <c r="M11" s="21">
        <f>IF(M$1&lt;INDEX('Valo FX'!$Q:$Q,MATCH($A11,'Valo FX'!$A:$A,0)),0,IF(M$1&lt;INDEX('Valo FX'!$R:$R,MATCH($A11,'Valo FX'!$A:$A,0)),INDEX(Base!$U:$U,MATCH($A11,Base!$A:$A,0)),IF(M$1=INDEX('Valo FX'!$R:$R,MATCH($A11,'Valo FX'!$A:$A,0)),INDEX(Base!$V:$V,MATCH($A11,Base!$A:$A,0)),0)))</f>
        <v>6.8100550000000002</v>
      </c>
      <c r="N11" s="21">
        <f>IF(N$1&lt;INDEX('Valo FX'!$Q:$Q,MATCH($A11,'Valo FX'!$A:$A,0)),0,IF(N$1&lt;INDEX('Valo FX'!$R:$R,MATCH($A11,'Valo FX'!$A:$A,0)),INDEX(Base!$U:$U,MATCH($A11,Base!$A:$A,0)),IF(N$1=INDEX('Valo FX'!$R:$R,MATCH($A11,'Valo FX'!$A:$A,0)),INDEX(Base!$V:$V,MATCH($A11,Base!$A:$A,0)),0)))</f>
        <v>6.8100550000000002</v>
      </c>
      <c r="O11" s="21">
        <f>IF(O$1&lt;INDEX('Valo FX'!$Q:$Q,MATCH($A11,'Valo FX'!$A:$A,0)),0,IF(O$1&lt;INDEX('Valo FX'!$R:$R,MATCH($A11,'Valo FX'!$A:$A,0)),INDEX(Base!$U:$U,MATCH($A11,Base!$A:$A,0)),IF(O$1=INDEX('Valo FX'!$R:$R,MATCH($A11,'Valo FX'!$A:$A,0)),INDEX(Base!$V:$V,MATCH($A11,Base!$A:$A,0)),0)))</f>
        <v>6.8100550000000002</v>
      </c>
      <c r="P11" s="21">
        <f>IF(P$1&lt;INDEX('Valo FX'!$Q:$Q,MATCH($A11,'Valo FX'!$A:$A,0)),0,IF(P$1&lt;INDEX('Valo FX'!$R:$R,MATCH($A11,'Valo FX'!$A:$A,0)),INDEX(Base!$U:$U,MATCH($A11,Base!$A:$A,0)),IF(P$1=INDEX('Valo FX'!$R:$R,MATCH($A11,'Valo FX'!$A:$A,0)),INDEX(Base!$V:$V,MATCH($A11,Base!$A:$A,0)),0)))</f>
        <v>6.8100550000000002</v>
      </c>
      <c r="Q11" s="21">
        <f>IF(Q$1&lt;INDEX('Valo FX'!$Q:$Q,MATCH($A11,'Valo FX'!$A:$A,0)),0,IF(Q$1&lt;INDEX('Valo FX'!$R:$R,MATCH($A11,'Valo FX'!$A:$A,0)),INDEX(Base!$U:$U,MATCH($A11,Base!$A:$A,0)),IF(Q$1=INDEX('Valo FX'!$R:$R,MATCH($A11,'Valo FX'!$A:$A,0)),INDEX(Base!$V:$V,MATCH($A11,Base!$A:$A,0)),0)))</f>
        <v>6.8100550000000002</v>
      </c>
      <c r="R11" s="21">
        <f>IF(R$1&lt;INDEX('Valo FX'!$Q:$Q,MATCH($A11,'Valo FX'!$A:$A,0)),0,IF(R$1&lt;INDEX('Valo FX'!$R:$R,MATCH($A11,'Valo FX'!$A:$A,0)),INDEX(Base!$U:$U,MATCH($A11,Base!$A:$A,0)),IF(R$1=INDEX('Valo FX'!$R:$R,MATCH($A11,'Valo FX'!$A:$A,0)),INDEX(Base!$V:$V,MATCH($A11,Base!$A:$A,0)),0)))</f>
        <v>6.8100550000000002</v>
      </c>
      <c r="S11" s="21">
        <f>IF(S$1&lt;INDEX('Valo FX'!$Q:$Q,MATCH($A11,'Valo FX'!$A:$A,0)),0,IF(S$1&lt;INDEX('Valo FX'!$R:$R,MATCH($A11,'Valo FX'!$A:$A,0)),INDEX(Base!$U:$U,MATCH($A11,Base!$A:$A,0)),IF(S$1=INDEX('Valo FX'!$R:$R,MATCH($A11,'Valo FX'!$A:$A,0)),INDEX(Base!$V:$V,MATCH($A11,Base!$A:$A,0)),0)))</f>
        <v>6.8100550000000002</v>
      </c>
      <c r="T11" s="21">
        <f>IF(T$1&lt;INDEX('Valo FX'!$Q:$Q,MATCH($A11,'Valo FX'!$A:$A,0)),0,IF(T$1&lt;INDEX('Valo FX'!$R:$R,MATCH($A11,'Valo FX'!$A:$A,0)),INDEX(Base!$U:$U,MATCH($A11,Base!$A:$A,0)),IF(T$1=INDEX('Valo FX'!$R:$R,MATCH($A11,'Valo FX'!$A:$A,0)),INDEX(Base!$V:$V,MATCH($A11,Base!$A:$A,0)),0)))</f>
        <v>6.8100550000000002</v>
      </c>
      <c r="U11" s="21">
        <f>IF(U$1&lt;INDEX('Valo FX'!$Q:$Q,MATCH($A11,'Valo FX'!$A:$A,0)),0,IF(U$1&lt;INDEX('Valo FX'!$R:$R,MATCH($A11,'Valo FX'!$A:$A,0)),INDEX(Base!$U:$U,MATCH($A11,Base!$A:$A,0)),IF(U$1=INDEX('Valo FX'!$R:$R,MATCH($A11,'Valo FX'!$A:$A,0)),INDEX(Base!$V:$V,MATCH($A11,Base!$A:$A,0)),0)))</f>
        <v>6.8100550000000002</v>
      </c>
      <c r="V11" s="21">
        <f>IF(V$1&lt;INDEX('Valo FX'!$Q:$Q,MATCH($A11,'Valo FX'!$A:$A,0)),0,IF(V$1&lt;INDEX('Valo FX'!$R:$R,MATCH($A11,'Valo FX'!$A:$A,0)),INDEX(Base!$U:$U,MATCH($A11,Base!$A:$A,0)),IF(V$1=INDEX('Valo FX'!$R:$R,MATCH($A11,'Valo FX'!$A:$A,0)),INDEX(Base!$V:$V,MATCH($A11,Base!$A:$A,0)),0)))</f>
        <v>6.8100550000000002</v>
      </c>
      <c r="W11" s="21">
        <f>IF(W$1&lt;INDEX('Valo FX'!$Q:$Q,MATCH($A11,'Valo FX'!$A:$A,0)),0,IF(W$1&lt;INDEX('Valo FX'!$R:$R,MATCH($A11,'Valo FX'!$A:$A,0)),INDEX(Base!$U:$U,MATCH($A11,Base!$A:$A,0)),IF(W$1=INDEX('Valo FX'!$R:$R,MATCH($A11,'Valo FX'!$A:$A,0)),INDEX(Base!$V:$V,MATCH($A11,Base!$A:$A,0)),0)))</f>
        <v>6.8100550000000002</v>
      </c>
      <c r="X11" s="21">
        <f>IF(X$1&lt;INDEX('Valo FX'!$Q:$Q,MATCH($A11,'Valo FX'!$A:$A,0)),0,IF(X$1&lt;INDEX('Valo FX'!$R:$R,MATCH($A11,'Valo FX'!$A:$A,0)),INDEX(Base!$U:$U,MATCH($A11,Base!$A:$A,0)),IF(X$1=INDEX('Valo FX'!$R:$R,MATCH($A11,'Valo FX'!$A:$A,0)),INDEX(Base!$V:$V,MATCH($A11,Base!$A:$A,0)),0)))</f>
        <v>6.8100550000000002</v>
      </c>
      <c r="Y11" s="21">
        <f>IF(Y$1&lt;INDEX('Valo FX'!$Q:$Q,MATCH($A11,'Valo FX'!$A:$A,0)),0,IF(Y$1&lt;INDEX('Valo FX'!$R:$R,MATCH($A11,'Valo FX'!$A:$A,0)),INDEX(Base!$U:$U,MATCH($A11,Base!$A:$A,0)),IF(Y$1=INDEX('Valo FX'!$R:$R,MATCH($A11,'Valo FX'!$A:$A,0)),INDEX(Base!$V:$V,MATCH($A11,Base!$A:$A,0)),0)))</f>
        <v>6.8100550000000002</v>
      </c>
      <c r="Z11" s="21">
        <f>IF(Z$1&lt;INDEX('Valo FX'!$Q:$Q,MATCH($A11,'Valo FX'!$A:$A,0)),0,IF(Z$1&lt;INDEX('Valo FX'!$R:$R,MATCH($A11,'Valo FX'!$A:$A,0)),INDEX(Base!$U:$U,MATCH($A11,Base!$A:$A,0)),IF(Z$1=INDEX('Valo FX'!$R:$R,MATCH($A11,'Valo FX'!$A:$A,0)),INDEX(Base!$V:$V,MATCH($A11,Base!$A:$A,0)),0)))</f>
        <v>6.8100550000000002</v>
      </c>
      <c r="AA11" s="21">
        <f>IF(AA$1&lt;INDEX('Valo FX'!$Q:$Q,MATCH($A11,'Valo FX'!$A:$A,0)),0,IF(AA$1&lt;INDEX('Valo FX'!$R:$R,MATCH($A11,'Valo FX'!$A:$A,0)),INDEX(Base!$U:$U,MATCH($A11,Base!$A:$A,0)),IF(AA$1=INDEX('Valo FX'!$R:$R,MATCH($A11,'Valo FX'!$A:$A,0)),INDEX(Base!$V:$V,MATCH($A11,Base!$A:$A,0)),0)))</f>
        <v>6.8100550000000002</v>
      </c>
      <c r="AB11" s="21">
        <f>IF(AB$1&lt;INDEX('Valo FX'!$Q:$Q,MATCH($A11,'Valo FX'!$A:$A,0)),0,IF(AB$1&lt;INDEX('Valo FX'!$R:$R,MATCH($A11,'Valo FX'!$A:$A,0)),INDEX(Base!$U:$U,MATCH($A11,Base!$A:$A,0)),IF(AB$1=INDEX('Valo FX'!$R:$R,MATCH($A11,'Valo FX'!$A:$A,0)),INDEX(Base!$V:$V,MATCH($A11,Base!$A:$A,0)),0)))</f>
        <v>6.8100550000000002</v>
      </c>
      <c r="AC11" s="21">
        <f>IF(AC$1&lt;INDEX('Valo FX'!$Q:$Q,MATCH($A11,'Valo FX'!$A:$A,0)),0,IF(AC$1&lt;INDEX('Valo FX'!$R:$R,MATCH($A11,'Valo FX'!$A:$A,0)),INDEX(Base!$U:$U,MATCH($A11,Base!$A:$A,0)),IF(AC$1=INDEX('Valo FX'!$R:$R,MATCH($A11,'Valo FX'!$A:$A,0)),INDEX(Base!$V:$V,MATCH($A11,Base!$A:$A,0)),0)))</f>
        <v>6.8100550000000002</v>
      </c>
      <c r="AD11" s="21">
        <f>IF(AD$1&lt;INDEX('Valo FX'!$Q:$Q,MATCH($A11,'Valo FX'!$A:$A,0)),0,IF(AD$1&lt;INDEX('Valo FX'!$R:$R,MATCH($A11,'Valo FX'!$A:$A,0)),INDEX(Base!$U:$U,MATCH($A11,Base!$A:$A,0)),IF(AD$1=INDEX('Valo FX'!$R:$R,MATCH($A11,'Valo FX'!$A:$A,0)),INDEX(Base!$V:$V,MATCH($A11,Base!$A:$A,0)),0)))</f>
        <v>6.8100550000000002</v>
      </c>
      <c r="AE11" s="21">
        <f>IF(AE$1&lt;INDEX('Valo FX'!$Q:$Q,MATCH($A11,'Valo FX'!$A:$A,0)),0,IF(AE$1&lt;INDEX('Valo FX'!$R:$R,MATCH($A11,'Valo FX'!$A:$A,0)),INDEX(Base!$U:$U,MATCH($A11,Base!$A:$A,0)),IF(AE$1=INDEX('Valo FX'!$R:$R,MATCH($A11,'Valo FX'!$A:$A,0)),INDEX(Base!$V:$V,MATCH($A11,Base!$A:$A,0)),0)))</f>
        <v>6.8100550000000002</v>
      </c>
      <c r="AF11" s="21">
        <f>IF(AF$1&lt;INDEX('Valo FX'!$Q:$Q,MATCH($A11,'Valo FX'!$A:$A,0)),0,IF(AF$1&lt;INDEX('Valo FX'!$R:$R,MATCH($A11,'Valo FX'!$A:$A,0)),INDEX(Base!$U:$U,MATCH($A11,Base!$A:$A,0)),IF(AF$1=INDEX('Valo FX'!$R:$R,MATCH($A11,'Valo FX'!$A:$A,0)),INDEX(Base!$V:$V,MATCH($A11,Base!$A:$A,0)),0)))</f>
        <v>6.8100550000000002</v>
      </c>
      <c r="AG11" s="21">
        <f>IF(AG$1&lt;INDEX('Valo FX'!$Q:$Q,MATCH($A11,'Valo FX'!$A:$A,0)),0,IF(AG$1&lt;INDEX('Valo FX'!$R:$R,MATCH($A11,'Valo FX'!$A:$A,0)),INDEX(Base!$U:$U,MATCH($A11,Base!$A:$A,0)),IF(AG$1=INDEX('Valo FX'!$R:$R,MATCH($A11,'Valo FX'!$A:$A,0)),INDEX(Base!$V:$V,MATCH($A11,Base!$A:$A,0)),0)))</f>
        <v>6.8100550000000002</v>
      </c>
      <c r="AH11" s="21">
        <f>IF(AH$1&lt;INDEX('Valo FX'!$Q:$Q,MATCH($A11,'Valo FX'!$A:$A,0)),0,IF(AH$1&lt;INDEX('Valo FX'!$R:$R,MATCH($A11,'Valo FX'!$A:$A,0)),INDEX(Base!$U:$U,MATCH($A11,Base!$A:$A,0)),IF(AH$1=INDEX('Valo FX'!$R:$R,MATCH($A11,'Valo FX'!$A:$A,0)),INDEX(Base!$V:$V,MATCH($A11,Base!$A:$A,0)),0)))</f>
        <v>6.8100550000000002</v>
      </c>
      <c r="AI11" s="21">
        <f>IF(AI$1&lt;INDEX('Valo FX'!$Q:$Q,MATCH($A11,'Valo FX'!$A:$A,0)),0,IF(AI$1&lt;INDEX('Valo FX'!$R:$R,MATCH($A11,'Valo FX'!$A:$A,0)),INDEX(Base!$U:$U,MATCH($A11,Base!$A:$A,0)),IF(AI$1=INDEX('Valo FX'!$R:$R,MATCH($A11,'Valo FX'!$A:$A,0)),INDEX(Base!$V:$V,MATCH($A11,Base!$A:$A,0)),0)))</f>
        <v>6.8100550000000002</v>
      </c>
      <c r="AJ11" s="21">
        <f>IF(AJ$1&lt;INDEX('Valo FX'!$Q:$Q,MATCH($A11,'Valo FX'!$A:$A,0)),0,IF(AJ$1&lt;INDEX('Valo FX'!$R:$R,MATCH($A11,'Valo FX'!$A:$A,0)),INDEX(Base!$U:$U,MATCH($A11,Base!$A:$A,0)),IF(AJ$1=INDEX('Valo FX'!$R:$R,MATCH($A11,'Valo FX'!$A:$A,0)),INDEX(Base!$V:$V,MATCH($A11,Base!$A:$A,0)),0)))</f>
        <v>6.8100550000000002</v>
      </c>
      <c r="AK11" s="21">
        <f>IF(AK$1&lt;INDEX('Valo FX'!$Q:$Q,MATCH($A11,'Valo FX'!$A:$A,0)),0,IF(AK$1&lt;INDEX('Valo FX'!$R:$R,MATCH($A11,'Valo FX'!$A:$A,0)),INDEX(Base!$U:$U,MATCH($A11,Base!$A:$A,0)),IF(AK$1=INDEX('Valo FX'!$R:$R,MATCH($A11,'Valo FX'!$A:$A,0)),INDEX(Base!$V:$V,MATCH($A11,Base!$A:$A,0)),0)))</f>
        <v>6.8100550000000002</v>
      </c>
      <c r="AL11" s="21">
        <f>IF(AL$1&lt;INDEX('Valo FX'!$Q:$Q,MATCH($A11,'Valo FX'!$A:$A,0)),0,IF(AL$1&lt;INDEX('Valo FX'!$R:$R,MATCH($A11,'Valo FX'!$A:$A,0)),INDEX(Base!$U:$U,MATCH($A11,Base!$A:$A,0)),IF(AL$1=INDEX('Valo FX'!$R:$R,MATCH($A11,'Valo FX'!$A:$A,0)),INDEX(Base!$V:$V,MATCH($A11,Base!$A:$A,0)),0)))</f>
        <v>6.8100550000000002</v>
      </c>
      <c r="AM11" s="21">
        <f>IF(AM$1&lt;INDEX('Valo FX'!$Q:$Q,MATCH($A11,'Valo FX'!$A:$A,0)),0,IF(AM$1&lt;INDEX('Valo FX'!$R:$R,MATCH($A11,'Valo FX'!$A:$A,0)),INDEX(Base!$U:$U,MATCH($A11,Base!$A:$A,0)),IF(AM$1=INDEX('Valo FX'!$R:$R,MATCH($A11,'Valo FX'!$A:$A,0)),INDEX(Base!$V:$V,MATCH($A11,Base!$A:$A,0)),0)))</f>
        <v>6.8100550000000002</v>
      </c>
      <c r="AN11" s="21">
        <f>IF(AN$1&lt;INDEX('Valo FX'!$Q:$Q,MATCH($A11,'Valo FX'!$A:$A,0)),0,IF(AN$1&lt;INDEX('Valo FX'!$R:$R,MATCH($A11,'Valo FX'!$A:$A,0)),INDEX(Base!$U:$U,MATCH($A11,Base!$A:$A,0)),IF(AN$1=INDEX('Valo FX'!$R:$R,MATCH($A11,'Valo FX'!$A:$A,0)),INDEX(Base!$V:$V,MATCH($A11,Base!$A:$A,0)),0)))</f>
        <v>6.8100550000000002</v>
      </c>
      <c r="AO11" s="21">
        <f>IF(AO$1&lt;INDEX('Valo FX'!$Q:$Q,MATCH($A11,'Valo FX'!$A:$A,0)),0,IF(AO$1&lt;INDEX('Valo FX'!$R:$R,MATCH($A11,'Valo FX'!$A:$A,0)),INDEX(Base!$U:$U,MATCH($A11,Base!$A:$A,0)),IF(AO$1=INDEX('Valo FX'!$R:$R,MATCH($A11,'Valo FX'!$A:$A,0)),INDEX(Base!$V:$V,MATCH($A11,Base!$A:$A,0)),0)))</f>
        <v>6.8100550000000002</v>
      </c>
      <c r="AP11" s="21">
        <f>IF(AP$1&lt;INDEX('Valo FX'!$Q:$Q,MATCH($A11,'Valo FX'!$A:$A,0)),0,IF(AP$1&lt;INDEX('Valo FX'!$R:$R,MATCH($A11,'Valo FX'!$A:$A,0)),INDEX(Base!$U:$U,MATCH($A11,Base!$A:$A,0)),IF(AP$1=INDEX('Valo FX'!$R:$R,MATCH($A11,'Valo FX'!$A:$A,0)),INDEX(Base!$V:$V,MATCH($A11,Base!$A:$A,0)),0)))</f>
        <v>6.8100550000000002</v>
      </c>
      <c r="AQ11" s="21">
        <f>IF(AQ$1&lt;INDEX('Valo FX'!$Q:$Q,MATCH($A11,'Valo FX'!$A:$A,0)),0,IF(AQ$1&lt;INDEX('Valo FX'!$R:$R,MATCH($A11,'Valo FX'!$A:$A,0)),INDEX(Base!$U:$U,MATCH($A11,Base!$A:$A,0)),IF(AQ$1=INDEX('Valo FX'!$R:$R,MATCH($A11,'Valo FX'!$A:$A,0)),INDEX(Base!$V:$V,MATCH($A11,Base!$A:$A,0)),0)))</f>
        <v>6.8100550000000002</v>
      </c>
      <c r="AR11" s="21">
        <f>IF(AR$1&lt;INDEX('Valo FX'!$Q:$Q,MATCH($A11,'Valo FX'!$A:$A,0)),0,IF(AR$1&lt;INDEX('Valo FX'!$R:$R,MATCH($A11,'Valo FX'!$A:$A,0)),INDEX(Base!$U:$U,MATCH($A11,Base!$A:$A,0)),IF(AR$1=INDEX('Valo FX'!$R:$R,MATCH($A11,'Valo FX'!$A:$A,0)),INDEX(Base!$V:$V,MATCH($A11,Base!$A:$A,0)),0)))</f>
        <v>6.8100550000000002</v>
      </c>
      <c r="AS11" s="21">
        <f>IF(AS$1&lt;INDEX('Valo FX'!$Q:$Q,MATCH($A11,'Valo FX'!$A:$A,0)),0,IF(AS$1&lt;INDEX('Valo FX'!$R:$R,MATCH($A11,'Valo FX'!$A:$A,0)),INDEX(Base!$U:$U,MATCH($A11,Base!$A:$A,0)),IF(AS$1=INDEX('Valo FX'!$R:$R,MATCH($A11,'Valo FX'!$A:$A,0)),INDEX(Base!$V:$V,MATCH($A11,Base!$A:$A,0)),0)))</f>
        <v>6.8100550000000002</v>
      </c>
      <c r="AT11" s="21">
        <f>IF(AT$1&lt;INDEX('Valo FX'!$Q:$Q,MATCH($A11,'Valo FX'!$A:$A,0)),0,IF(AT$1&lt;INDEX('Valo FX'!$R:$R,MATCH($A11,'Valo FX'!$A:$A,0)),INDEX(Base!$U:$U,MATCH($A11,Base!$A:$A,0)),IF(AT$1=INDEX('Valo FX'!$R:$R,MATCH($A11,'Valo FX'!$A:$A,0)),INDEX(Base!$V:$V,MATCH($A11,Base!$A:$A,0)),0)))</f>
        <v>6.8100550000000002</v>
      </c>
      <c r="AU11" s="21">
        <f>IF(AU$1&lt;INDEX('Valo FX'!$Q:$Q,MATCH($A11,'Valo FX'!$A:$A,0)),0,IF(AU$1&lt;INDEX('Valo FX'!$R:$R,MATCH($A11,'Valo FX'!$A:$A,0)),INDEX(Base!$U:$U,MATCH($A11,Base!$A:$A,0)),IF(AU$1=INDEX('Valo FX'!$R:$R,MATCH($A11,'Valo FX'!$A:$A,0)),INDEX(Base!$V:$V,MATCH($A11,Base!$A:$A,0)),0)))</f>
        <v>6.8100550000000002</v>
      </c>
      <c r="AV11" s="21">
        <f>IF(AV$1&lt;INDEX('Valo FX'!$Q:$Q,MATCH($A11,'Valo FX'!$A:$A,0)),0,IF(AV$1&lt;INDEX('Valo FX'!$R:$R,MATCH($A11,'Valo FX'!$A:$A,0)),INDEX(Base!$U:$U,MATCH($A11,Base!$A:$A,0)),IF(AV$1=INDEX('Valo FX'!$R:$R,MATCH($A11,'Valo FX'!$A:$A,0)),INDEX(Base!$V:$V,MATCH($A11,Base!$A:$A,0)),0)))</f>
        <v>6.8100550000000002</v>
      </c>
      <c r="AW11" s="21">
        <f>IF(AW$1&lt;INDEX('Valo FX'!$Q:$Q,MATCH($A11,'Valo FX'!$A:$A,0)),0,IF(AW$1&lt;INDEX('Valo FX'!$R:$R,MATCH($A11,'Valo FX'!$A:$A,0)),INDEX(Base!$U:$U,MATCH($A11,Base!$A:$A,0)),IF(AW$1=INDEX('Valo FX'!$R:$R,MATCH($A11,'Valo FX'!$A:$A,0)),INDEX(Base!$V:$V,MATCH($A11,Base!$A:$A,0)),0)))</f>
        <v>6.8100550000000002</v>
      </c>
      <c r="AX11" s="21">
        <f>IF(AX$1&lt;INDEX('Valo FX'!$Q:$Q,MATCH($A11,'Valo FX'!$A:$A,0)),0,IF(AX$1&lt;INDEX('Valo FX'!$R:$R,MATCH($A11,'Valo FX'!$A:$A,0)),INDEX(Base!$U:$U,MATCH($A11,Base!$A:$A,0)),IF(AX$1=INDEX('Valo FX'!$R:$R,MATCH($A11,'Valo FX'!$A:$A,0)),INDEX(Base!$V:$V,MATCH($A11,Base!$A:$A,0)),0)))</f>
        <v>6.8100550000000002</v>
      </c>
      <c r="AY11" s="21">
        <f>IF(AY$1&lt;INDEX('Valo FX'!$Q:$Q,MATCH($A11,'Valo FX'!$A:$A,0)),0,IF(AY$1&lt;INDEX('Valo FX'!$R:$R,MATCH($A11,'Valo FX'!$A:$A,0)),INDEX(Base!$U:$U,MATCH($A11,Base!$A:$A,0)),IF(AY$1=INDEX('Valo FX'!$R:$R,MATCH($A11,'Valo FX'!$A:$A,0)),INDEX(Base!$V:$V,MATCH($A11,Base!$A:$A,0)),0)))</f>
        <v>6.8100550000000002</v>
      </c>
      <c r="AZ11" s="21">
        <f>IF(AZ$1&lt;INDEX('Valo FX'!$Q:$Q,MATCH($A11,'Valo FX'!$A:$A,0)),0,IF(AZ$1&lt;INDEX('Valo FX'!$R:$R,MATCH($A11,'Valo FX'!$A:$A,0)),INDEX(Base!$U:$U,MATCH($A11,Base!$A:$A,0)),IF(AZ$1=INDEX('Valo FX'!$R:$R,MATCH($A11,'Valo FX'!$A:$A,0)),INDEX(Base!$V:$V,MATCH($A11,Base!$A:$A,0)),0)))</f>
        <v>6.8100550000000002</v>
      </c>
      <c r="BA11" s="21">
        <f>IF(BA$1&lt;INDEX('Valo FX'!$Q:$Q,MATCH($A11,'Valo FX'!$A:$A,0)),0,IF(BA$1&lt;INDEX('Valo FX'!$R:$R,MATCH($A11,'Valo FX'!$A:$A,0)),INDEX(Base!$U:$U,MATCH($A11,Base!$A:$A,0)),IF(BA$1=INDEX('Valo FX'!$R:$R,MATCH($A11,'Valo FX'!$A:$A,0)),INDEX(Base!$V:$V,MATCH($A11,Base!$A:$A,0)),0)))</f>
        <v>6.8100550000000002</v>
      </c>
      <c r="BB11" s="21">
        <f>IF(BB$1&lt;INDEX('Valo FX'!$Q:$Q,MATCH($A11,'Valo FX'!$A:$A,0)),0,IF(BB$1&lt;INDEX('Valo FX'!$R:$R,MATCH($A11,'Valo FX'!$A:$A,0)),INDEX(Base!$U:$U,MATCH($A11,Base!$A:$A,0)),IF(BB$1=INDEX('Valo FX'!$R:$R,MATCH($A11,'Valo FX'!$A:$A,0)),INDEX(Base!$V:$V,MATCH($A11,Base!$A:$A,0)),0)))</f>
        <v>6.8100550000000002</v>
      </c>
      <c r="BC11" s="21">
        <f>IF(BC$1&lt;INDEX('Valo FX'!$Q:$Q,MATCH($A11,'Valo FX'!$A:$A,0)),0,IF(BC$1&lt;INDEX('Valo FX'!$R:$R,MATCH($A11,'Valo FX'!$A:$A,0)),INDEX(Base!$U:$U,MATCH($A11,Base!$A:$A,0)),IF(BC$1=INDEX('Valo FX'!$R:$R,MATCH($A11,'Valo FX'!$A:$A,0)),INDEX(Base!$V:$V,MATCH($A11,Base!$A:$A,0)),0)))</f>
        <v>6.8100550000000002</v>
      </c>
      <c r="BD11" s="21">
        <f>IF(BD$1&lt;INDEX('Valo FX'!$Q:$Q,MATCH($A11,'Valo FX'!$A:$A,0)),0,IF(BD$1&lt;INDEX('Valo FX'!$R:$R,MATCH($A11,'Valo FX'!$A:$A,0)),INDEX(Base!$U:$U,MATCH($A11,Base!$A:$A,0)),IF(BD$1=INDEX('Valo FX'!$R:$R,MATCH($A11,'Valo FX'!$A:$A,0)),INDEX(Base!$V:$V,MATCH($A11,Base!$A:$A,0)),0)))</f>
        <v>6.8100550000000002</v>
      </c>
      <c r="BE11" s="21">
        <f>IF(BE$1&lt;INDEX('Valo FX'!$Q:$Q,MATCH($A11,'Valo FX'!$A:$A,0)),0,IF(BE$1&lt;INDEX('Valo FX'!$R:$R,MATCH($A11,'Valo FX'!$A:$A,0)),INDEX(Base!$U:$U,MATCH($A11,Base!$A:$A,0)),IF(BE$1=INDEX('Valo FX'!$R:$R,MATCH($A11,'Valo FX'!$A:$A,0)),INDEX(Base!$V:$V,MATCH($A11,Base!$A:$A,0)),0)))</f>
        <v>6.8100550000000002</v>
      </c>
      <c r="BF11" s="21">
        <f>IF(BF$1&lt;INDEX('Valo FX'!$Q:$Q,MATCH($A11,'Valo FX'!$A:$A,0)),0,IF(BF$1&lt;INDEX('Valo FX'!$R:$R,MATCH($A11,'Valo FX'!$A:$A,0)),INDEX(Base!$U:$U,MATCH($A11,Base!$A:$A,0)),IF(BF$1=INDEX('Valo FX'!$R:$R,MATCH($A11,'Valo FX'!$A:$A,0)),INDEX(Base!$V:$V,MATCH($A11,Base!$A:$A,0)),0)))</f>
        <v>6.8100550000000002</v>
      </c>
      <c r="BG11" s="21">
        <f>IF(BG$1&lt;INDEX('Valo FX'!$Q:$Q,MATCH($A11,'Valo FX'!$A:$A,0)),0,IF(BG$1&lt;INDEX('Valo FX'!$R:$R,MATCH($A11,'Valo FX'!$A:$A,0)),INDEX(Base!$U:$U,MATCH($A11,Base!$A:$A,0)),IF(BG$1=INDEX('Valo FX'!$R:$R,MATCH($A11,'Valo FX'!$A:$A,0)),INDEX(Base!$V:$V,MATCH($A11,Base!$A:$A,0)),0)))</f>
        <v>6.8100550000000002</v>
      </c>
      <c r="BH11" s="21">
        <f>IF(BH$1&lt;INDEX('Valo FX'!$Q:$Q,MATCH($A11,'Valo FX'!$A:$A,0)),0,IF(BH$1&lt;INDEX('Valo FX'!$R:$R,MATCH($A11,'Valo FX'!$A:$A,0)),INDEX(Base!$U:$U,MATCH($A11,Base!$A:$A,0)),IF(BH$1=INDEX('Valo FX'!$R:$R,MATCH($A11,'Valo FX'!$A:$A,0)),INDEX(Base!$V:$V,MATCH($A11,Base!$A:$A,0)),0)))</f>
        <v>6.8100550000000002</v>
      </c>
      <c r="BI11" s="21">
        <f>IF(BI$1&lt;INDEX('Valo FX'!$Q:$Q,MATCH($A11,'Valo FX'!$A:$A,0)),0,IF(BI$1&lt;INDEX('Valo FX'!$R:$R,MATCH($A11,'Valo FX'!$A:$A,0)),INDEX(Base!$U:$U,MATCH($A11,Base!$A:$A,0)),IF(BI$1=INDEX('Valo FX'!$R:$R,MATCH($A11,'Valo FX'!$A:$A,0)),INDEX(Base!$V:$V,MATCH($A11,Base!$A:$A,0)),0)))</f>
        <v>6.8100550000000002</v>
      </c>
      <c r="BJ11" s="21">
        <f>IF(BJ$1&lt;INDEX('Valo FX'!$Q:$Q,MATCH($A11,'Valo FX'!$A:$A,0)),0,IF(BJ$1&lt;INDEX('Valo FX'!$R:$R,MATCH($A11,'Valo FX'!$A:$A,0)),INDEX(Base!$U:$U,MATCH($A11,Base!$A:$A,0)),IF(BJ$1=INDEX('Valo FX'!$R:$R,MATCH($A11,'Valo FX'!$A:$A,0)),INDEX(Base!$V:$V,MATCH($A11,Base!$A:$A,0)),0)))</f>
        <v>6.8100550000000002</v>
      </c>
      <c r="BK11" s="21">
        <f>IF(BK$1&lt;INDEX('Valo FX'!$Q:$Q,MATCH($A11,'Valo FX'!$A:$A,0)),0,IF(BK$1&lt;INDEX('Valo FX'!$R:$R,MATCH($A11,'Valo FX'!$A:$A,0)),INDEX(Base!$U:$U,MATCH($A11,Base!$A:$A,0)),IF(BK$1=INDEX('Valo FX'!$R:$R,MATCH($A11,'Valo FX'!$A:$A,0)),INDEX(Base!$V:$V,MATCH($A11,Base!$A:$A,0)),0)))</f>
        <v>6.8100550000000002</v>
      </c>
      <c r="BL11" s="21">
        <f>IF(BL$1&lt;INDEX('Valo FX'!$Q:$Q,MATCH($A11,'Valo FX'!$A:$A,0)),0,IF(BL$1&lt;INDEX('Valo FX'!$R:$R,MATCH($A11,'Valo FX'!$A:$A,0)),INDEX(Base!$U:$U,MATCH($A11,Base!$A:$A,0)),IF(BL$1=INDEX('Valo FX'!$R:$R,MATCH($A11,'Valo FX'!$A:$A,0)),INDEX(Base!$V:$V,MATCH($A11,Base!$A:$A,0)),0)))</f>
        <v>6.8100550000000002</v>
      </c>
      <c r="BM11" s="21">
        <f>IF(BM$1&lt;INDEX('Valo FX'!$Q:$Q,MATCH($A11,'Valo FX'!$A:$A,0)),0,IF(BM$1&lt;INDEX('Valo FX'!$R:$R,MATCH($A11,'Valo FX'!$A:$A,0)),INDEX(Base!$U:$U,MATCH($A11,Base!$A:$A,0)),IF(BM$1=INDEX('Valo FX'!$R:$R,MATCH($A11,'Valo FX'!$A:$A,0)),INDEX(Base!$V:$V,MATCH($A11,Base!$A:$A,0)),0)))</f>
        <v>6.8100550000000002</v>
      </c>
      <c r="BN11" s="21">
        <f>IF(BN$1&lt;INDEX('Valo FX'!$Q:$Q,MATCH($A11,'Valo FX'!$A:$A,0)),0,IF(BN$1&lt;INDEX('Valo FX'!$R:$R,MATCH($A11,'Valo FX'!$A:$A,0)),INDEX(Base!$U:$U,MATCH($A11,Base!$A:$A,0)),IF(BN$1=INDEX('Valo FX'!$R:$R,MATCH($A11,'Valo FX'!$A:$A,0)),INDEX(Base!$V:$V,MATCH($A11,Base!$A:$A,0)),0)))</f>
        <v>6.8100550000000002</v>
      </c>
      <c r="BO11" s="21">
        <f>IF(BO$1&lt;INDEX('Valo FX'!$Q:$Q,MATCH($A11,'Valo FX'!$A:$A,0)),0,IF(BO$1&lt;INDEX('Valo FX'!$R:$R,MATCH($A11,'Valo FX'!$A:$A,0)),INDEX(Base!$U:$U,MATCH($A11,Base!$A:$A,0)),IF(BO$1=INDEX('Valo FX'!$R:$R,MATCH($A11,'Valo FX'!$A:$A,0)),INDEX(Base!$V:$V,MATCH($A11,Base!$A:$A,0)),0)))</f>
        <v>6.8100550000000002</v>
      </c>
      <c r="BP11" s="21">
        <f>IF(BP$1&lt;INDEX('Valo FX'!$Q:$Q,MATCH($A11,'Valo FX'!$A:$A,0)),0,IF(BP$1&lt;INDEX('Valo FX'!$R:$R,MATCH($A11,'Valo FX'!$A:$A,0)),INDEX(Base!$U:$U,MATCH($A11,Base!$A:$A,0)),IF(BP$1=INDEX('Valo FX'!$R:$R,MATCH($A11,'Valo FX'!$A:$A,0)),INDEX(Base!$V:$V,MATCH($A11,Base!$A:$A,0)),0)))</f>
        <v>6.8100550000000002</v>
      </c>
      <c r="BQ11" s="21">
        <f>IF(BQ$1&lt;INDEX('Valo FX'!$Q:$Q,MATCH($A11,'Valo FX'!$A:$A,0)),0,IF(BQ$1&lt;INDEX('Valo FX'!$R:$R,MATCH($A11,'Valo FX'!$A:$A,0)),INDEX(Base!$U:$U,MATCH($A11,Base!$A:$A,0)),IF(BQ$1=INDEX('Valo FX'!$R:$R,MATCH($A11,'Valo FX'!$A:$A,0)),INDEX(Base!$V:$V,MATCH($A11,Base!$A:$A,0)),0)))</f>
        <v>6.8100550000000002</v>
      </c>
      <c r="BR11" s="21">
        <f>IF(BR$1&lt;INDEX('Valo FX'!$Q:$Q,MATCH($A11,'Valo FX'!$A:$A,0)),0,IF(BR$1&lt;INDEX('Valo FX'!$R:$R,MATCH($A11,'Valo FX'!$A:$A,0)),INDEX(Base!$U:$U,MATCH($A11,Base!$A:$A,0)),IF(BR$1=INDEX('Valo FX'!$R:$R,MATCH($A11,'Valo FX'!$A:$A,0)),INDEX(Base!$V:$V,MATCH($A11,Base!$A:$A,0)),0)))</f>
        <v>6.8100550000000002</v>
      </c>
      <c r="BS11" s="21">
        <f>IF(BS$1&lt;INDEX('Valo FX'!$Q:$Q,MATCH($A11,'Valo FX'!$A:$A,0)),0,IF(BS$1&lt;INDEX('Valo FX'!$R:$R,MATCH($A11,'Valo FX'!$A:$A,0)),INDEX(Base!$U:$U,MATCH($A11,Base!$A:$A,0)),IF(BS$1=INDEX('Valo FX'!$R:$R,MATCH($A11,'Valo FX'!$A:$A,0)),INDEX(Base!$V:$V,MATCH($A11,Base!$A:$A,0)),0)))</f>
        <v>6.8100550000000002</v>
      </c>
      <c r="BT11" s="21">
        <f>IF(BT$1&lt;INDEX('Valo FX'!$Q:$Q,MATCH($A11,'Valo FX'!$A:$A,0)),0,IF(BT$1&lt;INDEX('Valo FX'!$R:$R,MATCH($A11,'Valo FX'!$A:$A,0)),INDEX(Base!$U:$U,MATCH($A11,Base!$A:$A,0)),IF(BT$1=INDEX('Valo FX'!$R:$R,MATCH($A11,'Valo FX'!$A:$A,0)),INDEX(Base!$V:$V,MATCH($A11,Base!$A:$A,0)),0)))</f>
        <v>6.8100550000000002</v>
      </c>
      <c r="BU11" s="21">
        <f>IF(BU$1&lt;INDEX('Valo FX'!$Q:$Q,MATCH($A11,'Valo FX'!$A:$A,0)),0,IF(BU$1&lt;INDEX('Valo FX'!$R:$R,MATCH($A11,'Valo FX'!$A:$A,0)),INDEX(Base!$U:$U,MATCH($A11,Base!$A:$A,0)),IF(BU$1=INDEX('Valo FX'!$R:$R,MATCH($A11,'Valo FX'!$A:$A,0)),INDEX(Base!$V:$V,MATCH($A11,Base!$A:$A,0)),0)))</f>
        <v>6.8100550000000002</v>
      </c>
      <c r="BV11" s="21">
        <f>IF(BV$1&lt;INDEX('Valo FX'!$Q:$Q,MATCH($A11,'Valo FX'!$A:$A,0)),0,IF(BV$1&lt;INDEX('Valo FX'!$R:$R,MATCH($A11,'Valo FX'!$A:$A,0)),INDEX(Base!$U:$U,MATCH($A11,Base!$A:$A,0)),IF(BV$1=INDEX('Valo FX'!$R:$R,MATCH($A11,'Valo FX'!$A:$A,0)),INDEX(Base!$V:$V,MATCH($A11,Base!$A:$A,0)),0)))</f>
        <v>6.8100550000000002</v>
      </c>
      <c r="BW11" s="21">
        <f>IF(BW$1&lt;INDEX('Valo FX'!$Q:$Q,MATCH($A11,'Valo FX'!$A:$A,0)),0,IF(BW$1&lt;INDEX('Valo FX'!$R:$R,MATCH($A11,'Valo FX'!$A:$A,0)),INDEX(Base!$U:$U,MATCH($A11,Base!$A:$A,0)),IF(BW$1=INDEX('Valo FX'!$R:$R,MATCH($A11,'Valo FX'!$A:$A,0)),INDEX(Base!$V:$V,MATCH($A11,Base!$A:$A,0)),0)))</f>
        <v>6.8100550000000002</v>
      </c>
      <c r="BX11" s="21">
        <f>IF(BX$1&lt;INDEX('Valo FX'!$Q:$Q,MATCH($A11,'Valo FX'!$A:$A,0)),0,IF(BX$1&lt;INDEX('Valo FX'!$R:$R,MATCH($A11,'Valo FX'!$A:$A,0)),INDEX(Base!$U:$U,MATCH($A11,Base!$A:$A,0)),IF(BX$1=INDEX('Valo FX'!$R:$R,MATCH($A11,'Valo FX'!$A:$A,0)),INDEX(Base!$V:$V,MATCH($A11,Base!$A:$A,0)),0)))</f>
        <v>6.8100550000000002</v>
      </c>
      <c r="BY11" s="21">
        <f>IF(BY$1&lt;INDEX('Valo FX'!$Q:$Q,MATCH($A11,'Valo FX'!$A:$A,0)),0,IF(BY$1&lt;INDEX('Valo FX'!$R:$R,MATCH($A11,'Valo FX'!$A:$A,0)),INDEX(Base!$U:$U,MATCH($A11,Base!$A:$A,0)),IF(BY$1=INDEX('Valo FX'!$R:$R,MATCH($A11,'Valo FX'!$A:$A,0)),INDEX(Base!$V:$V,MATCH($A11,Base!$A:$A,0)),0)))</f>
        <v>6.8100550000000002</v>
      </c>
      <c r="BZ11" s="21">
        <f>IF(BZ$1&lt;INDEX('Valo FX'!$Q:$Q,MATCH($A11,'Valo FX'!$A:$A,0)),0,IF(BZ$1&lt;INDEX('Valo FX'!$R:$R,MATCH($A11,'Valo FX'!$A:$A,0)),INDEX(Base!$U:$U,MATCH($A11,Base!$A:$A,0)),IF(BZ$1=INDEX('Valo FX'!$R:$R,MATCH($A11,'Valo FX'!$A:$A,0)),INDEX(Base!$V:$V,MATCH($A11,Base!$A:$A,0)),0)))</f>
        <v>6.8100550000000002</v>
      </c>
      <c r="CA11" s="21">
        <f>IF(CA$1&lt;INDEX('Valo FX'!$Q:$Q,MATCH($A11,'Valo FX'!$A:$A,0)),0,IF(CA$1&lt;INDEX('Valo FX'!$R:$R,MATCH($A11,'Valo FX'!$A:$A,0)),INDEX(Base!$U:$U,MATCH($A11,Base!$A:$A,0)),IF(CA$1=INDEX('Valo FX'!$R:$R,MATCH($A11,'Valo FX'!$A:$A,0)),INDEX(Base!$V:$V,MATCH($A11,Base!$A:$A,0)),0)))</f>
        <v>6.8100550000000002</v>
      </c>
      <c r="CB11" s="21">
        <f>IF(CB$1&lt;INDEX('Valo FX'!$Q:$Q,MATCH($A11,'Valo FX'!$A:$A,0)),0,IF(CB$1&lt;INDEX('Valo FX'!$R:$R,MATCH($A11,'Valo FX'!$A:$A,0)),INDEX(Base!$U:$U,MATCH($A11,Base!$A:$A,0)),IF(CB$1=INDEX('Valo FX'!$R:$R,MATCH($A11,'Valo FX'!$A:$A,0)),INDEX(Base!$V:$V,MATCH($A11,Base!$A:$A,0)),0)))</f>
        <v>6.8100550000000002</v>
      </c>
      <c r="CC11" s="21">
        <f>IF(CC$1&lt;INDEX('Valo FX'!$Q:$Q,MATCH($A11,'Valo FX'!$A:$A,0)),0,IF(CC$1&lt;INDEX('Valo FX'!$R:$R,MATCH($A11,'Valo FX'!$A:$A,0)),INDEX(Base!$U:$U,MATCH($A11,Base!$A:$A,0)),IF(CC$1=INDEX('Valo FX'!$R:$R,MATCH($A11,'Valo FX'!$A:$A,0)),INDEX(Base!$V:$V,MATCH($A11,Base!$A:$A,0)),0)))</f>
        <v>6.8100550000000002</v>
      </c>
      <c r="CD11" s="21">
        <f>IF(CD$1&lt;INDEX('Valo FX'!$Q:$Q,MATCH($A11,'Valo FX'!$A:$A,0)),0,IF(CD$1&lt;INDEX('Valo FX'!$R:$R,MATCH($A11,'Valo FX'!$A:$A,0)),INDEX(Base!$U:$U,MATCH($A11,Base!$A:$A,0)),IF(CD$1=INDEX('Valo FX'!$R:$R,MATCH($A11,'Valo FX'!$A:$A,0)),INDEX(Base!$V:$V,MATCH($A11,Base!$A:$A,0)),0)))</f>
        <v>6.8100550000000002</v>
      </c>
      <c r="CE11" s="21">
        <f>IF(CE$1&lt;INDEX('Valo FX'!$Q:$Q,MATCH($A11,'Valo FX'!$A:$A,0)),0,IF(CE$1&lt;INDEX('Valo FX'!$R:$R,MATCH($A11,'Valo FX'!$A:$A,0)),INDEX(Base!$U:$U,MATCH($A11,Base!$A:$A,0)),IF(CE$1=INDEX('Valo FX'!$R:$R,MATCH($A11,'Valo FX'!$A:$A,0)),INDEX(Base!$V:$V,MATCH($A11,Base!$A:$A,0)),0)))</f>
        <v>6.8100550000000002</v>
      </c>
      <c r="CF11" s="21">
        <f>IF(CF$1&lt;INDEX('Valo FX'!$Q:$Q,MATCH($A11,'Valo FX'!$A:$A,0)),0,IF(CF$1&lt;INDEX('Valo FX'!$R:$R,MATCH($A11,'Valo FX'!$A:$A,0)),INDEX(Base!$U:$U,MATCH($A11,Base!$A:$A,0)),IF(CF$1=INDEX('Valo FX'!$R:$R,MATCH($A11,'Valo FX'!$A:$A,0)),INDEX(Base!$V:$V,MATCH($A11,Base!$A:$A,0)),0)))</f>
        <v>6.8100550000000002</v>
      </c>
      <c r="CG11" s="21">
        <f>IF(CG$1&lt;INDEX('Valo FX'!$Q:$Q,MATCH($A11,'Valo FX'!$A:$A,0)),0,IF(CG$1&lt;INDEX('Valo FX'!$R:$R,MATCH($A11,'Valo FX'!$A:$A,0)),INDEX(Base!$U:$U,MATCH($A11,Base!$A:$A,0)),IF(CG$1=INDEX('Valo FX'!$R:$R,MATCH($A11,'Valo FX'!$A:$A,0)),INDEX(Base!$V:$V,MATCH($A11,Base!$A:$A,0)),0)))</f>
        <v>6.8100550000000002</v>
      </c>
      <c r="CH11" s="21">
        <f>IF(CH$1&lt;INDEX('Valo FX'!$Q:$Q,MATCH($A11,'Valo FX'!$A:$A,0)),0,IF(CH$1&lt;INDEX('Valo FX'!$R:$R,MATCH($A11,'Valo FX'!$A:$A,0)),INDEX(Base!$U:$U,MATCH($A11,Base!$A:$A,0)),IF(CH$1=INDEX('Valo FX'!$R:$R,MATCH($A11,'Valo FX'!$A:$A,0)),INDEX(Base!$V:$V,MATCH($A11,Base!$A:$A,0)),0)))</f>
        <v>6.8100550000000002</v>
      </c>
      <c r="CI11" s="21">
        <f>IF(CI$1&lt;INDEX('Valo FX'!$Q:$Q,MATCH($A11,'Valo FX'!$A:$A,0)),0,IF(CI$1&lt;INDEX('Valo FX'!$R:$R,MATCH($A11,'Valo FX'!$A:$A,0)),INDEX(Base!$U:$U,MATCH($A11,Base!$A:$A,0)),IF(CI$1=INDEX('Valo FX'!$R:$R,MATCH($A11,'Valo FX'!$A:$A,0)),INDEX(Base!$V:$V,MATCH($A11,Base!$A:$A,0)),0)))</f>
        <v>6.8100550000000002</v>
      </c>
      <c r="CJ11" s="21">
        <f>IF(CJ$1&lt;INDEX('Valo FX'!$Q:$Q,MATCH($A11,'Valo FX'!$A:$A,0)),0,IF(CJ$1&lt;INDEX('Valo FX'!$R:$R,MATCH($A11,'Valo FX'!$A:$A,0)),INDEX(Base!$U:$U,MATCH($A11,Base!$A:$A,0)),IF(CJ$1=INDEX('Valo FX'!$R:$R,MATCH($A11,'Valo FX'!$A:$A,0)),INDEX(Base!$V:$V,MATCH($A11,Base!$A:$A,0)),0)))</f>
        <v>6.8100550000000002</v>
      </c>
      <c r="CK11" s="21">
        <f>IF(CK$1&lt;INDEX('Valo FX'!$Q:$Q,MATCH($A11,'Valo FX'!$A:$A,0)),0,IF(CK$1&lt;INDEX('Valo FX'!$R:$R,MATCH($A11,'Valo FX'!$A:$A,0)),INDEX(Base!$U:$U,MATCH($A11,Base!$A:$A,0)),IF(CK$1=INDEX('Valo FX'!$R:$R,MATCH($A11,'Valo FX'!$A:$A,0)),INDEX(Base!$V:$V,MATCH($A11,Base!$A:$A,0)),0)))</f>
        <v>6.8100550000000002</v>
      </c>
      <c r="CL11" s="21">
        <f>IF(CL$1&lt;INDEX('Valo FX'!$Q:$Q,MATCH($A11,'Valo FX'!$A:$A,0)),0,IF(CL$1&lt;INDEX('Valo FX'!$R:$R,MATCH($A11,'Valo FX'!$A:$A,0)),INDEX(Base!$U:$U,MATCH($A11,Base!$A:$A,0)),IF(CL$1=INDEX('Valo FX'!$R:$R,MATCH($A11,'Valo FX'!$A:$A,0)),INDEX(Base!$V:$V,MATCH($A11,Base!$A:$A,0)),0)))</f>
        <v>6.8100550000000002</v>
      </c>
      <c r="CM11" s="21">
        <f>IF(CM$1&lt;INDEX('Valo FX'!$Q:$Q,MATCH($A11,'Valo FX'!$A:$A,0)),0,IF(CM$1&lt;INDEX('Valo FX'!$R:$R,MATCH($A11,'Valo FX'!$A:$A,0)),INDEX(Base!$U:$U,MATCH($A11,Base!$A:$A,0)),IF(CM$1=INDEX('Valo FX'!$R:$R,MATCH($A11,'Valo FX'!$A:$A,0)),INDEX(Base!$V:$V,MATCH($A11,Base!$A:$A,0)),0)))</f>
        <v>6.8100550000000002</v>
      </c>
      <c r="CN11" s="21">
        <f>IF(CN$1&lt;INDEX('Valo FX'!$Q:$Q,MATCH($A11,'Valo FX'!$A:$A,0)),0,IF(CN$1&lt;INDEX('Valo FX'!$R:$R,MATCH($A11,'Valo FX'!$A:$A,0)),INDEX(Base!$U:$U,MATCH($A11,Base!$A:$A,0)),IF(CN$1=INDEX('Valo FX'!$R:$R,MATCH($A11,'Valo FX'!$A:$A,0)),INDEX(Base!$V:$V,MATCH($A11,Base!$A:$A,0)),0)))</f>
        <v>6.8100550000000002</v>
      </c>
      <c r="CO11" s="21">
        <f>IF(CO$1&lt;INDEX('Valo FX'!$Q:$Q,MATCH($A11,'Valo FX'!$A:$A,0)),0,IF(CO$1&lt;INDEX('Valo FX'!$R:$R,MATCH($A11,'Valo FX'!$A:$A,0)),INDEX(Base!$U:$U,MATCH($A11,Base!$A:$A,0)),IF(CO$1=INDEX('Valo FX'!$R:$R,MATCH($A11,'Valo FX'!$A:$A,0)),INDEX(Base!$V:$V,MATCH($A11,Base!$A:$A,0)),0)))</f>
        <v>6.8100550000000002</v>
      </c>
      <c r="CP11" s="21">
        <f>IF(CP$1&lt;INDEX('Valo FX'!$Q:$Q,MATCH($A11,'Valo FX'!$A:$A,0)),0,IF(CP$1&lt;INDEX('Valo FX'!$R:$R,MATCH($A11,'Valo FX'!$A:$A,0)),INDEX(Base!$U:$U,MATCH($A11,Base!$A:$A,0)),IF(CP$1=INDEX('Valo FX'!$R:$R,MATCH($A11,'Valo FX'!$A:$A,0)),INDEX(Base!$V:$V,MATCH($A11,Base!$A:$A,0)),0)))</f>
        <v>6.8100550000000002</v>
      </c>
      <c r="CQ11" s="21">
        <f>IF(CQ$1&lt;INDEX('Valo FX'!$Q:$Q,MATCH($A11,'Valo FX'!$A:$A,0)),0,IF(CQ$1&lt;INDEX('Valo FX'!$R:$R,MATCH($A11,'Valo FX'!$A:$A,0)),INDEX(Base!$U:$U,MATCH($A11,Base!$A:$A,0)),IF(CQ$1=INDEX('Valo FX'!$R:$R,MATCH($A11,'Valo FX'!$A:$A,0)),INDEX(Base!$V:$V,MATCH($A11,Base!$A:$A,0)),0)))</f>
        <v>6.8100550000000002</v>
      </c>
      <c r="CR11" s="21">
        <f>IF(CR$1&lt;INDEX('Valo FX'!$Q:$Q,MATCH($A11,'Valo FX'!$A:$A,0)),0,IF(CR$1&lt;INDEX('Valo FX'!$R:$R,MATCH($A11,'Valo FX'!$A:$A,0)),INDEX(Base!$U:$U,MATCH($A11,Base!$A:$A,0)),IF(CR$1=INDEX('Valo FX'!$R:$R,MATCH($A11,'Valo FX'!$A:$A,0)),INDEX(Base!$V:$V,MATCH($A11,Base!$A:$A,0)),0)))</f>
        <v>6.8100550000000002</v>
      </c>
      <c r="CS11" s="21">
        <f>IF(CS$1&lt;INDEX('Valo FX'!$Q:$Q,MATCH($A11,'Valo FX'!$A:$A,0)),0,IF(CS$1&lt;INDEX('Valo FX'!$R:$R,MATCH($A11,'Valo FX'!$A:$A,0)),INDEX(Base!$U:$U,MATCH($A11,Base!$A:$A,0)),IF(CS$1=INDEX('Valo FX'!$R:$R,MATCH($A11,'Valo FX'!$A:$A,0)),INDEX(Base!$V:$V,MATCH($A11,Base!$A:$A,0)),0)))</f>
        <v>6.8100550000000002</v>
      </c>
      <c r="CT11" s="21">
        <f>IF(CT$1&lt;INDEX('Valo FX'!$Q:$Q,MATCH($A11,'Valo FX'!$A:$A,0)),0,IF(CT$1&lt;INDEX('Valo FX'!$R:$R,MATCH($A11,'Valo FX'!$A:$A,0)),INDEX(Base!$U:$U,MATCH($A11,Base!$A:$A,0)),IF(CT$1=INDEX('Valo FX'!$R:$R,MATCH($A11,'Valo FX'!$A:$A,0)),INDEX(Base!$V:$V,MATCH($A11,Base!$A:$A,0)),0)))</f>
        <v>6.8100550000000002</v>
      </c>
      <c r="CU11" s="21">
        <f>IF(CU$1&lt;INDEX('Valo FX'!$Q:$Q,MATCH($A11,'Valo FX'!$A:$A,0)),0,IF(CU$1&lt;INDEX('Valo FX'!$R:$R,MATCH($A11,'Valo FX'!$A:$A,0)),INDEX(Base!$U:$U,MATCH($A11,Base!$A:$A,0)),IF(CU$1=INDEX('Valo FX'!$R:$R,MATCH($A11,'Valo FX'!$A:$A,0)),INDEX(Base!$V:$V,MATCH($A11,Base!$A:$A,0)),0)))</f>
        <v>6.8100550000000002</v>
      </c>
      <c r="CV11" s="21">
        <f>IF(CV$1&lt;INDEX('Valo FX'!$Q:$Q,MATCH($A11,'Valo FX'!$A:$A,0)),0,IF(CV$1&lt;INDEX('Valo FX'!$R:$R,MATCH($A11,'Valo FX'!$A:$A,0)),INDEX(Base!$U:$U,MATCH($A11,Base!$A:$A,0)),IF(CV$1=INDEX('Valo FX'!$R:$R,MATCH($A11,'Valo FX'!$A:$A,0)),INDEX(Base!$V:$V,MATCH($A11,Base!$A:$A,0)),0)))</f>
        <v>6.8100550000000002</v>
      </c>
      <c r="CW11" s="21">
        <f>IF(CW$1&lt;INDEX('Valo FX'!$Q:$Q,MATCH($A11,'Valo FX'!$A:$A,0)),0,IF(CW$1&lt;INDEX('Valo FX'!$R:$R,MATCH($A11,'Valo FX'!$A:$A,0)),INDEX(Base!$U:$U,MATCH($A11,Base!$A:$A,0)),IF(CW$1=INDEX('Valo FX'!$R:$R,MATCH($A11,'Valo FX'!$A:$A,0)),INDEX(Base!$V:$V,MATCH($A11,Base!$A:$A,0)),0)))</f>
        <v>6.8100550000000002</v>
      </c>
      <c r="CX11" s="21">
        <f>IF(CX$1&lt;INDEX('Valo FX'!$Q:$Q,MATCH($A11,'Valo FX'!$A:$A,0)),0,IF(CX$1&lt;INDEX('Valo FX'!$R:$R,MATCH($A11,'Valo FX'!$A:$A,0)),INDEX(Base!$U:$U,MATCH($A11,Base!$A:$A,0)),IF(CX$1=INDEX('Valo FX'!$R:$R,MATCH($A11,'Valo FX'!$A:$A,0)),INDEX(Base!$V:$V,MATCH($A11,Base!$A:$A,0)),0)))</f>
        <v>6.8100550000000002</v>
      </c>
      <c r="CY11" s="21">
        <f>IF(CY$1&lt;INDEX('Valo FX'!$Q:$Q,MATCH($A11,'Valo FX'!$A:$A,0)),0,IF(CY$1&lt;INDEX('Valo FX'!$R:$R,MATCH($A11,'Valo FX'!$A:$A,0)),INDEX(Base!$U:$U,MATCH($A11,Base!$A:$A,0)),IF(CY$1=INDEX('Valo FX'!$R:$R,MATCH($A11,'Valo FX'!$A:$A,0)),INDEX(Base!$V:$V,MATCH($A11,Base!$A:$A,0)),0)))</f>
        <v>6.8100550000000002</v>
      </c>
      <c r="CZ11" s="21">
        <f>IF(CZ$1&lt;INDEX('Valo FX'!$Q:$Q,MATCH($A11,'Valo FX'!$A:$A,0)),0,IF(CZ$1&lt;INDEX('Valo FX'!$R:$R,MATCH($A11,'Valo FX'!$A:$A,0)),INDEX(Base!$U:$U,MATCH($A11,Base!$A:$A,0)),IF(CZ$1=INDEX('Valo FX'!$R:$R,MATCH($A11,'Valo FX'!$A:$A,0)),INDEX(Base!$V:$V,MATCH($A11,Base!$A:$A,0)),0)))</f>
        <v>6.8100550000000002</v>
      </c>
      <c r="DA11" s="21">
        <f>IF(DA$1&lt;INDEX('Valo FX'!$Q:$Q,MATCH($A11,'Valo FX'!$A:$A,0)),0,IF(DA$1&lt;INDEX('Valo FX'!$R:$R,MATCH($A11,'Valo FX'!$A:$A,0)),INDEX(Base!$U:$U,MATCH($A11,Base!$A:$A,0)),IF(DA$1=INDEX('Valo FX'!$R:$R,MATCH($A11,'Valo FX'!$A:$A,0)),INDEX(Base!$V:$V,MATCH($A11,Base!$A:$A,0)),0)))</f>
        <v>6.8100550000000002</v>
      </c>
      <c r="DB11" s="21">
        <f>IF(DB$1&lt;INDEX('Valo FX'!$Q:$Q,MATCH($A11,'Valo FX'!$A:$A,0)),0,IF(DB$1&lt;INDEX('Valo FX'!$R:$R,MATCH($A11,'Valo FX'!$A:$A,0)),INDEX(Base!$U:$U,MATCH($A11,Base!$A:$A,0)),IF(DB$1=INDEX('Valo FX'!$R:$R,MATCH($A11,'Valo FX'!$A:$A,0)),INDEX(Base!$V:$V,MATCH($A11,Base!$A:$A,0)),0)))</f>
        <v>6.8100550000000002</v>
      </c>
      <c r="DC11" s="21">
        <f>IF(DC$1&lt;INDEX('Valo FX'!$Q:$Q,MATCH($A11,'Valo FX'!$A:$A,0)),0,IF(DC$1&lt;INDEX('Valo FX'!$R:$R,MATCH($A11,'Valo FX'!$A:$A,0)),INDEX(Base!$U:$U,MATCH($A11,Base!$A:$A,0)),IF(DC$1=INDEX('Valo FX'!$R:$R,MATCH($A11,'Valo FX'!$A:$A,0)),INDEX(Base!$V:$V,MATCH($A11,Base!$A:$A,0)),0)))</f>
        <v>6.8100550000000002</v>
      </c>
      <c r="DD11" s="21">
        <f>IF(DD$1&lt;INDEX('Valo FX'!$Q:$Q,MATCH($A11,'Valo FX'!$A:$A,0)),0,IF(DD$1&lt;INDEX('Valo FX'!$R:$R,MATCH($A11,'Valo FX'!$A:$A,0)),INDEX(Base!$U:$U,MATCH($A11,Base!$A:$A,0)),IF(DD$1=INDEX('Valo FX'!$R:$R,MATCH($A11,'Valo FX'!$A:$A,0)),INDEX(Base!$V:$V,MATCH($A11,Base!$A:$A,0)),0)))</f>
        <v>6.8100550000000002</v>
      </c>
      <c r="DE11" s="21">
        <f>IF(DE$1&lt;INDEX('Valo FX'!$Q:$Q,MATCH($A11,'Valo FX'!$A:$A,0)),0,IF(DE$1&lt;INDEX('Valo FX'!$R:$R,MATCH($A11,'Valo FX'!$A:$A,0)),INDEX(Base!$U:$U,MATCH($A11,Base!$A:$A,0)),IF(DE$1=INDEX('Valo FX'!$R:$R,MATCH($A11,'Valo FX'!$A:$A,0)),INDEX(Base!$V:$V,MATCH($A11,Base!$A:$A,0)),0)))</f>
        <v>6.8100550000000002</v>
      </c>
      <c r="DF11" s="21">
        <f>IF(DF$1&lt;INDEX('Valo FX'!$Q:$Q,MATCH($A11,'Valo FX'!$A:$A,0)),0,IF(DF$1&lt;INDEX('Valo FX'!$R:$R,MATCH($A11,'Valo FX'!$A:$A,0)),INDEX(Base!$U:$U,MATCH($A11,Base!$A:$A,0)),IF(DF$1=INDEX('Valo FX'!$R:$R,MATCH($A11,'Valo FX'!$A:$A,0)),INDEX(Base!$V:$V,MATCH($A11,Base!$A:$A,0)),0)))</f>
        <v>6.8100550000000002</v>
      </c>
      <c r="DG11" s="21">
        <f>IF(DG$1&lt;INDEX('Valo FX'!$Q:$Q,MATCH($A11,'Valo FX'!$A:$A,0)),0,IF(DG$1&lt;INDEX('Valo FX'!$R:$R,MATCH($A11,'Valo FX'!$A:$A,0)),INDEX(Base!$U:$U,MATCH($A11,Base!$A:$A,0)),IF(DG$1=INDEX('Valo FX'!$R:$R,MATCH($A11,'Valo FX'!$A:$A,0)),INDEX(Base!$V:$V,MATCH($A11,Base!$A:$A,0)),0)))</f>
        <v>6.8100550000000002</v>
      </c>
      <c r="DH11" s="21">
        <f>IF(DH$1&lt;INDEX('Valo FX'!$Q:$Q,MATCH($A11,'Valo FX'!$A:$A,0)),0,IF(DH$1&lt;INDEX('Valo FX'!$R:$R,MATCH($A11,'Valo FX'!$A:$A,0)),INDEX(Base!$U:$U,MATCH($A11,Base!$A:$A,0)),IF(DH$1=INDEX('Valo FX'!$R:$R,MATCH($A11,'Valo FX'!$A:$A,0)),INDEX(Base!$V:$V,MATCH($A11,Base!$A:$A,0)),0)))</f>
        <v>6.8100550000000002</v>
      </c>
      <c r="DI11" s="21">
        <f>IF(DI$1&lt;INDEX('Valo FX'!$Q:$Q,MATCH($A11,'Valo FX'!$A:$A,0)),0,IF(DI$1&lt;INDEX('Valo FX'!$R:$R,MATCH($A11,'Valo FX'!$A:$A,0)),INDEX(Base!$U:$U,MATCH($A11,Base!$A:$A,0)),IF(DI$1=INDEX('Valo FX'!$R:$R,MATCH($A11,'Valo FX'!$A:$A,0)),INDEX(Base!$V:$V,MATCH($A11,Base!$A:$A,0)),0)))</f>
        <v>6.8100550000000002</v>
      </c>
      <c r="DJ11" s="21">
        <f>IF(DJ$1&lt;INDEX('Valo FX'!$Q:$Q,MATCH($A11,'Valo FX'!$A:$A,0)),0,IF(DJ$1&lt;INDEX('Valo FX'!$R:$R,MATCH($A11,'Valo FX'!$A:$A,0)),INDEX(Base!$U:$U,MATCH($A11,Base!$A:$A,0)),IF(DJ$1=INDEX('Valo FX'!$R:$R,MATCH($A11,'Valo FX'!$A:$A,0)),INDEX(Base!$V:$V,MATCH($A11,Base!$A:$A,0)),0)))</f>
        <v>6.8100550000000002</v>
      </c>
      <c r="DK11" s="21">
        <f>IF(DK$1&lt;INDEX('Valo FX'!$Q:$Q,MATCH($A11,'Valo FX'!$A:$A,0)),0,IF(DK$1&lt;INDEX('Valo FX'!$R:$R,MATCH($A11,'Valo FX'!$A:$A,0)),INDEX(Base!$U:$U,MATCH($A11,Base!$A:$A,0)),IF(DK$1=INDEX('Valo FX'!$R:$R,MATCH($A11,'Valo FX'!$A:$A,0)),INDEX(Base!$V:$V,MATCH($A11,Base!$A:$A,0)),0)))</f>
        <v>6.8100550000000002</v>
      </c>
      <c r="DL11" s="21">
        <f>IF(DL$1&lt;INDEX('Valo FX'!$Q:$Q,MATCH($A11,'Valo FX'!$A:$A,0)),0,IF(DL$1&lt;INDEX('Valo FX'!$R:$R,MATCH($A11,'Valo FX'!$A:$A,0)),INDEX(Base!$U:$U,MATCH($A11,Base!$A:$A,0)),IF(DL$1=INDEX('Valo FX'!$R:$R,MATCH($A11,'Valo FX'!$A:$A,0)),INDEX(Base!$V:$V,MATCH($A11,Base!$A:$A,0)),0)))</f>
        <v>6.8100550000000002</v>
      </c>
      <c r="DM11" s="21">
        <f>IF(DM$1&lt;INDEX('Valo FX'!$Q:$Q,MATCH($A11,'Valo FX'!$A:$A,0)),0,IF(DM$1&lt;INDEX('Valo FX'!$R:$R,MATCH($A11,'Valo FX'!$A:$A,0)),INDEX(Base!$U:$U,MATCH($A11,Base!$A:$A,0)),IF(DM$1=INDEX('Valo FX'!$R:$R,MATCH($A11,'Valo FX'!$A:$A,0)),INDEX(Base!$V:$V,MATCH($A11,Base!$A:$A,0)),0)))</f>
        <v>6.8100550000000002</v>
      </c>
      <c r="DN11" s="21">
        <f>IF(DN$1&lt;INDEX('Valo FX'!$Q:$Q,MATCH($A11,'Valo FX'!$A:$A,0)),0,IF(DN$1&lt;INDEX('Valo FX'!$R:$R,MATCH($A11,'Valo FX'!$A:$A,0)),INDEX(Base!$U:$U,MATCH($A11,Base!$A:$A,0)),IF(DN$1=INDEX('Valo FX'!$R:$R,MATCH($A11,'Valo FX'!$A:$A,0)),INDEX(Base!$V:$V,MATCH($A11,Base!$A:$A,0)),0)))</f>
        <v>6.8100550000000002</v>
      </c>
      <c r="DO11" s="21">
        <f>IF(DO$1&lt;INDEX('Valo FX'!$Q:$Q,MATCH($A11,'Valo FX'!$A:$A,0)),0,IF(DO$1&lt;INDEX('Valo FX'!$R:$R,MATCH($A11,'Valo FX'!$A:$A,0)),INDEX(Base!$U:$U,MATCH($A11,Base!$A:$A,0)),IF(DO$1=INDEX('Valo FX'!$R:$R,MATCH($A11,'Valo FX'!$A:$A,0)),INDEX(Base!$V:$V,MATCH($A11,Base!$A:$A,0)),0)))</f>
        <v>6.8100550000000002</v>
      </c>
      <c r="DP11" s="21">
        <f>IF(DP$1&lt;INDEX('Valo FX'!$Q:$Q,MATCH($A11,'Valo FX'!$A:$A,0)),0,IF(DP$1&lt;INDEX('Valo FX'!$R:$R,MATCH($A11,'Valo FX'!$A:$A,0)),INDEX(Base!$U:$U,MATCH($A11,Base!$A:$A,0)),IF(DP$1=INDEX('Valo FX'!$R:$R,MATCH($A11,'Valo FX'!$A:$A,0)),INDEX(Base!$V:$V,MATCH($A11,Base!$A:$A,0)),0)))</f>
        <v>6.8100550000000002</v>
      </c>
      <c r="DQ11" s="21">
        <f>IF(DQ$1&lt;INDEX('Valo FX'!$Q:$Q,MATCH($A11,'Valo FX'!$A:$A,0)),0,IF(DQ$1&lt;INDEX('Valo FX'!$R:$R,MATCH($A11,'Valo FX'!$A:$A,0)),INDEX(Base!$U:$U,MATCH($A11,Base!$A:$A,0)),IF(DQ$1=INDEX('Valo FX'!$R:$R,MATCH($A11,'Valo FX'!$A:$A,0)),INDEX(Base!$V:$V,MATCH($A11,Base!$A:$A,0)),0)))</f>
        <v>6.8100550000000002</v>
      </c>
      <c r="DR11" s="21">
        <f>IF(DR$1&lt;INDEX('Valo FX'!$Q:$Q,MATCH($A11,'Valo FX'!$A:$A,0)),0,IF(DR$1&lt;INDEX('Valo FX'!$R:$R,MATCH($A11,'Valo FX'!$A:$A,0)),INDEX(Base!$U:$U,MATCH($A11,Base!$A:$A,0)),IF(DR$1=INDEX('Valo FX'!$R:$R,MATCH($A11,'Valo FX'!$A:$A,0)),INDEX(Base!$V:$V,MATCH($A11,Base!$A:$A,0)),0)))</f>
        <v>6.8100550000000002</v>
      </c>
      <c r="DS11" s="21">
        <f>IF(DS$1&lt;INDEX('Valo FX'!$Q:$Q,MATCH($A11,'Valo FX'!$A:$A,0)),0,IF(DS$1&lt;INDEX('Valo FX'!$R:$R,MATCH($A11,'Valo FX'!$A:$A,0)),INDEX(Base!$U:$U,MATCH($A11,Base!$A:$A,0)),IF(DS$1=INDEX('Valo FX'!$R:$R,MATCH($A11,'Valo FX'!$A:$A,0)),INDEX(Base!$V:$V,MATCH($A11,Base!$A:$A,0)),0)))</f>
        <v>6.8100550000000002</v>
      </c>
      <c r="DT11" s="21">
        <f>IF(DT$1&lt;INDEX('Valo FX'!$Q:$Q,MATCH($A11,'Valo FX'!$A:$A,0)),0,IF(DT$1&lt;INDEX('Valo FX'!$R:$R,MATCH($A11,'Valo FX'!$A:$A,0)),INDEX(Base!$U:$U,MATCH($A11,Base!$A:$A,0)),IF(DT$1=INDEX('Valo FX'!$R:$R,MATCH($A11,'Valo FX'!$A:$A,0)),INDEX(Base!$V:$V,MATCH($A11,Base!$A:$A,0)),0)))</f>
        <v>6.8100550000000002</v>
      </c>
      <c r="DU11" s="21">
        <f>IF(DU$1&lt;INDEX('Valo FX'!$Q:$Q,MATCH($A11,'Valo FX'!$A:$A,0)),0,IF(DU$1&lt;INDEX('Valo FX'!$R:$R,MATCH($A11,'Valo FX'!$A:$A,0)),INDEX(Base!$U:$U,MATCH($A11,Base!$A:$A,0)),IF(DU$1=INDEX('Valo FX'!$R:$R,MATCH($A11,'Valo FX'!$A:$A,0)),INDEX(Base!$V:$V,MATCH($A11,Base!$A:$A,0)),0)))</f>
        <v>6.8100550000000002</v>
      </c>
      <c r="DV11" s="21">
        <f>IF(DV$1&lt;INDEX('Valo FX'!$Q:$Q,MATCH($A11,'Valo FX'!$A:$A,0)),0,IF(DV$1&lt;INDEX('Valo FX'!$R:$R,MATCH($A11,'Valo FX'!$A:$A,0)),INDEX(Base!$U:$U,MATCH($A11,Base!$A:$A,0)),IF(DV$1=INDEX('Valo FX'!$R:$R,MATCH($A11,'Valo FX'!$A:$A,0)),INDEX(Base!$V:$V,MATCH($A11,Base!$A:$A,0)),0)))</f>
        <v>6.8100550000000002</v>
      </c>
      <c r="DW11" s="21">
        <f>IF(DW$1&lt;INDEX('Valo FX'!$Q:$Q,MATCH($A11,'Valo FX'!$A:$A,0)),0,IF(DW$1&lt;INDEX('Valo FX'!$R:$R,MATCH($A11,'Valo FX'!$A:$A,0)),INDEX(Base!$U:$U,MATCH($A11,Base!$A:$A,0)),IF(DW$1=INDEX('Valo FX'!$R:$R,MATCH($A11,'Valo FX'!$A:$A,0)),INDEX(Base!$V:$V,MATCH($A11,Base!$A:$A,0)),0)))</f>
        <v>6.8100550000000002</v>
      </c>
      <c r="DX11" s="21">
        <f>IF(DX$1&lt;INDEX('Valo FX'!$Q:$Q,MATCH($A11,'Valo FX'!$A:$A,0)),0,IF(DX$1&lt;INDEX('Valo FX'!$R:$R,MATCH($A11,'Valo FX'!$A:$A,0)),INDEX(Base!$U:$U,MATCH($A11,Base!$A:$A,0)),IF(DX$1=INDEX('Valo FX'!$R:$R,MATCH($A11,'Valo FX'!$A:$A,0)),INDEX(Base!$V:$V,MATCH($A11,Base!$A:$A,0)),0)))</f>
        <v>6.8100550000000002</v>
      </c>
      <c r="DY11" s="21">
        <f>IF(DY$1&lt;INDEX('Valo FX'!$Q:$Q,MATCH($A11,'Valo FX'!$A:$A,0)),0,IF(DY$1&lt;INDEX('Valo FX'!$R:$R,MATCH($A11,'Valo FX'!$A:$A,0)),INDEX(Base!$U:$U,MATCH($A11,Base!$A:$A,0)),IF(DY$1=INDEX('Valo FX'!$R:$R,MATCH($A11,'Valo FX'!$A:$A,0)),INDEX(Base!$V:$V,MATCH($A11,Base!$A:$A,0)),0)))</f>
        <v>6.8100550000000002</v>
      </c>
      <c r="DZ11" s="21">
        <f>IF(DZ$1&lt;INDEX('Valo FX'!$Q:$Q,MATCH($A11,'Valo FX'!$A:$A,0)),0,IF(DZ$1&lt;INDEX('Valo FX'!$R:$R,MATCH($A11,'Valo FX'!$A:$A,0)),INDEX(Base!$U:$U,MATCH($A11,Base!$A:$A,0)),IF(DZ$1=INDEX('Valo FX'!$R:$R,MATCH($A11,'Valo FX'!$A:$A,0)),INDEX(Base!$V:$V,MATCH($A11,Base!$A:$A,0)),0)))</f>
        <v>6.8100550000000002</v>
      </c>
      <c r="EA11" s="21">
        <f>IF(EA$1&lt;INDEX('Valo FX'!$Q:$Q,MATCH($A11,'Valo FX'!$A:$A,0)),0,IF(EA$1&lt;INDEX('Valo FX'!$R:$R,MATCH($A11,'Valo FX'!$A:$A,0)),INDEX(Base!$U:$U,MATCH($A11,Base!$A:$A,0)),IF(EA$1=INDEX('Valo FX'!$R:$R,MATCH($A11,'Valo FX'!$A:$A,0)),INDEX(Base!$V:$V,MATCH($A11,Base!$A:$A,0)),0)))</f>
        <v>6.8100550000000002</v>
      </c>
      <c r="EB11" s="21">
        <f>IF(EB$1&lt;INDEX('Valo FX'!$Q:$Q,MATCH($A11,'Valo FX'!$A:$A,0)),0,IF(EB$1&lt;INDEX('Valo FX'!$R:$R,MATCH($A11,'Valo FX'!$A:$A,0)),INDEX(Base!$U:$U,MATCH($A11,Base!$A:$A,0)),IF(EB$1=INDEX('Valo FX'!$R:$R,MATCH($A11,'Valo FX'!$A:$A,0)),INDEX(Base!$V:$V,MATCH($A11,Base!$A:$A,0)),0)))</f>
        <v>6.8100550000000002</v>
      </c>
      <c r="EC11" s="21">
        <f>IF(EC$1&lt;INDEX('Valo FX'!$Q:$Q,MATCH($A11,'Valo FX'!$A:$A,0)),0,IF(EC$1&lt;INDEX('Valo FX'!$R:$R,MATCH($A11,'Valo FX'!$A:$A,0)),INDEX(Base!$U:$U,MATCH($A11,Base!$A:$A,0)),IF(EC$1=INDEX('Valo FX'!$R:$R,MATCH($A11,'Valo FX'!$A:$A,0)),INDEX(Base!$V:$V,MATCH($A11,Base!$A:$A,0)),0)))</f>
        <v>6.8100550000000002</v>
      </c>
      <c r="ED11" s="21">
        <f>IF(ED$1&lt;INDEX('Valo FX'!$Q:$Q,MATCH($A11,'Valo FX'!$A:$A,0)),0,IF(ED$1&lt;INDEX('Valo FX'!$R:$R,MATCH($A11,'Valo FX'!$A:$A,0)),INDEX(Base!$U:$U,MATCH($A11,Base!$A:$A,0)),IF(ED$1=INDEX('Valo FX'!$R:$R,MATCH($A11,'Valo FX'!$A:$A,0)),INDEX(Base!$V:$V,MATCH($A11,Base!$A:$A,0)),0)))</f>
        <v>6.8100550000000002</v>
      </c>
      <c r="EE11" s="21">
        <f>IF(EE$1&lt;INDEX('Valo FX'!$Q:$Q,MATCH($A11,'Valo FX'!$A:$A,0)),0,IF(EE$1&lt;INDEX('Valo FX'!$R:$R,MATCH($A11,'Valo FX'!$A:$A,0)),INDEX(Base!$U:$U,MATCH($A11,Base!$A:$A,0)),IF(EE$1=INDEX('Valo FX'!$R:$R,MATCH($A11,'Valo FX'!$A:$A,0)),INDEX(Base!$V:$V,MATCH($A11,Base!$A:$A,0)),0)))</f>
        <v>6.8100550000000002</v>
      </c>
      <c r="EF11" s="21">
        <f>IF(EF$1&lt;INDEX('Valo FX'!$Q:$Q,MATCH($A11,'Valo FX'!$A:$A,0)),0,IF(EF$1&lt;INDEX('Valo FX'!$R:$R,MATCH($A11,'Valo FX'!$A:$A,0)),INDEX(Base!$U:$U,MATCH($A11,Base!$A:$A,0)),IF(EF$1=INDEX('Valo FX'!$R:$R,MATCH($A11,'Valo FX'!$A:$A,0)),INDEX(Base!$V:$V,MATCH($A11,Base!$A:$A,0)),0)))</f>
        <v>6.8100550000000002</v>
      </c>
      <c r="EG11" s="21">
        <f>IF(EG$1&lt;INDEX('Valo FX'!$Q:$Q,MATCH($A11,'Valo FX'!$A:$A,0)),0,IF(EG$1&lt;INDEX('Valo FX'!$R:$R,MATCH($A11,'Valo FX'!$A:$A,0)),INDEX(Base!$U:$U,MATCH($A11,Base!$A:$A,0)),IF(EG$1=INDEX('Valo FX'!$R:$R,MATCH($A11,'Valo FX'!$A:$A,0)),INDEX(Base!$V:$V,MATCH($A11,Base!$A:$A,0)),0)))</f>
        <v>6.8100550000000002</v>
      </c>
      <c r="EH11" s="21">
        <f>IF(EH$1&lt;INDEX('Valo FX'!$Q:$Q,MATCH($A11,'Valo FX'!$A:$A,0)),0,IF(EH$1&lt;INDEX('Valo FX'!$R:$R,MATCH($A11,'Valo FX'!$A:$A,0)),INDEX(Base!$U:$U,MATCH($A11,Base!$A:$A,0)),IF(EH$1=INDEX('Valo FX'!$R:$R,MATCH($A11,'Valo FX'!$A:$A,0)),INDEX(Base!$V:$V,MATCH($A11,Base!$A:$A,0)),0)))</f>
        <v>6.8100550000000002</v>
      </c>
      <c r="EI11" s="21">
        <f>IF(EI$1&lt;INDEX('Valo FX'!$Q:$Q,MATCH($A11,'Valo FX'!$A:$A,0)),0,IF(EI$1&lt;INDEX('Valo FX'!$R:$R,MATCH($A11,'Valo FX'!$A:$A,0)),INDEX(Base!$U:$U,MATCH($A11,Base!$A:$A,0)),IF(EI$1=INDEX('Valo FX'!$R:$R,MATCH($A11,'Valo FX'!$A:$A,0)),INDEX(Base!$V:$V,MATCH($A11,Base!$A:$A,0)),0)))</f>
        <v>6.8100550000000002</v>
      </c>
      <c r="EJ11" s="21">
        <f>IF(EJ$1&lt;INDEX('Valo FX'!$Q:$Q,MATCH($A11,'Valo FX'!$A:$A,0)),0,IF(EJ$1&lt;INDEX('Valo FX'!$R:$R,MATCH($A11,'Valo FX'!$A:$A,0)),INDEX(Base!$U:$U,MATCH($A11,Base!$A:$A,0)),IF(EJ$1=INDEX('Valo FX'!$R:$R,MATCH($A11,'Valo FX'!$A:$A,0)),INDEX(Base!$V:$V,MATCH($A11,Base!$A:$A,0)),0)))</f>
        <v>6.8100550000000002</v>
      </c>
      <c r="EK11" s="21">
        <f>IF(EK$1&lt;INDEX('Valo FX'!$Q:$Q,MATCH($A11,'Valo FX'!$A:$A,0)),0,IF(EK$1&lt;INDEX('Valo FX'!$R:$R,MATCH($A11,'Valo FX'!$A:$A,0)),INDEX(Base!$U:$U,MATCH($A11,Base!$A:$A,0)),IF(EK$1=INDEX('Valo FX'!$R:$R,MATCH($A11,'Valo FX'!$A:$A,0)),INDEX(Base!$V:$V,MATCH($A11,Base!$A:$A,0)),0)))</f>
        <v>6.8100550000000002</v>
      </c>
      <c r="EL11" s="21">
        <f>IF(EL$1&lt;INDEX('Valo FX'!$Q:$Q,MATCH($A11,'Valo FX'!$A:$A,0)),0,IF(EL$1&lt;INDEX('Valo FX'!$R:$R,MATCH($A11,'Valo FX'!$A:$A,0)),INDEX(Base!$U:$U,MATCH($A11,Base!$A:$A,0)),IF(EL$1=INDEX('Valo FX'!$R:$R,MATCH($A11,'Valo FX'!$A:$A,0)),INDEX(Base!$V:$V,MATCH($A11,Base!$A:$A,0)),0)))</f>
        <v>6.8100550000000002</v>
      </c>
      <c r="EM11" s="21">
        <f>IF(EM$1&lt;INDEX('Valo FX'!$Q:$Q,MATCH($A11,'Valo FX'!$A:$A,0)),0,IF(EM$1&lt;INDEX('Valo FX'!$R:$R,MATCH($A11,'Valo FX'!$A:$A,0)),INDEX(Base!$U:$U,MATCH($A11,Base!$A:$A,0)),IF(EM$1=INDEX('Valo FX'!$R:$R,MATCH($A11,'Valo FX'!$A:$A,0)),INDEX(Base!$V:$V,MATCH($A11,Base!$A:$A,0)),0)))</f>
        <v>6.8100550000000002</v>
      </c>
      <c r="EN11" s="21">
        <f>IF(EN$1&lt;INDEX('Valo FX'!$Q:$Q,MATCH($A11,'Valo FX'!$A:$A,0)),0,IF(EN$1&lt;INDEX('Valo FX'!$R:$R,MATCH($A11,'Valo FX'!$A:$A,0)),INDEX(Base!$U:$U,MATCH($A11,Base!$A:$A,0)),IF(EN$1=INDEX('Valo FX'!$R:$R,MATCH($A11,'Valo FX'!$A:$A,0)),INDEX(Base!$V:$V,MATCH($A11,Base!$A:$A,0)),0)))</f>
        <v>6.8100550000000002</v>
      </c>
      <c r="EO11" s="21">
        <f>IF(EO$1&lt;INDEX('Valo FX'!$Q:$Q,MATCH($A11,'Valo FX'!$A:$A,0)),0,IF(EO$1&lt;INDEX('Valo FX'!$R:$R,MATCH($A11,'Valo FX'!$A:$A,0)),INDEX(Base!$U:$U,MATCH($A11,Base!$A:$A,0)),IF(EO$1=INDEX('Valo FX'!$R:$R,MATCH($A11,'Valo FX'!$A:$A,0)),INDEX(Base!$V:$V,MATCH($A11,Base!$A:$A,0)),0)))</f>
        <v>6.8100550000000002</v>
      </c>
      <c r="EP11" s="21">
        <f>IF(EP$1&lt;INDEX('Valo FX'!$Q:$Q,MATCH($A11,'Valo FX'!$A:$A,0)),0,IF(EP$1&lt;INDEX('Valo FX'!$R:$R,MATCH($A11,'Valo FX'!$A:$A,0)),INDEX(Base!$U:$U,MATCH($A11,Base!$A:$A,0)),IF(EP$1=INDEX('Valo FX'!$R:$R,MATCH($A11,'Valo FX'!$A:$A,0)),INDEX(Base!$V:$V,MATCH($A11,Base!$A:$A,0)),0)))</f>
        <v>6.8100550000000002</v>
      </c>
      <c r="EQ11" s="21">
        <f>IF(EQ$1&lt;INDEX('Valo FX'!$Q:$Q,MATCH($A11,'Valo FX'!$A:$A,0)),0,IF(EQ$1&lt;INDEX('Valo FX'!$R:$R,MATCH($A11,'Valo FX'!$A:$A,0)),INDEX(Base!$U:$U,MATCH($A11,Base!$A:$A,0)),IF(EQ$1=INDEX('Valo FX'!$R:$R,MATCH($A11,'Valo FX'!$A:$A,0)),INDEX(Base!$V:$V,MATCH($A11,Base!$A:$A,0)),0)))</f>
        <v>6.8100550000000002</v>
      </c>
      <c r="ER11" s="21">
        <f>IF(ER$1&lt;INDEX('Valo FX'!$Q:$Q,MATCH($A11,'Valo FX'!$A:$A,0)),0,IF(ER$1&lt;INDEX('Valo FX'!$R:$R,MATCH($A11,'Valo FX'!$A:$A,0)),INDEX(Base!$U:$U,MATCH($A11,Base!$A:$A,0)),IF(ER$1=INDEX('Valo FX'!$R:$R,MATCH($A11,'Valo FX'!$A:$A,0)),INDEX(Base!$V:$V,MATCH($A11,Base!$A:$A,0)),0)))</f>
        <v>6.8100550000000002</v>
      </c>
      <c r="ES11" s="21">
        <f>IF(ES$1&lt;INDEX('Valo FX'!$Q:$Q,MATCH($A11,'Valo FX'!$A:$A,0)),0,IF(ES$1&lt;INDEX('Valo FX'!$R:$R,MATCH($A11,'Valo FX'!$A:$A,0)),INDEX(Base!$U:$U,MATCH($A11,Base!$A:$A,0)),IF(ES$1=INDEX('Valo FX'!$R:$R,MATCH($A11,'Valo FX'!$A:$A,0)),INDEX(Base!$V:$V,MATCH($A11,Base!$A:$A,0)),0)))</f>
        <v>6.8100550000000002</v>
      </c>
      <c r="ET11" s="21">
        <f>IF(ET$1&lt;INDEX('Valo FX'!$Q:$Q,MATCH($A11,'Valo FX'!$A:$A,0)),0,IF(ET$1&lt;INDEX('Valo FX'!$R:$R,MATCH($A11,'Valo FX'!$A:$A,0)),INDEX(Base!$U:$U,MATCH($A11,Base!$A:$A,0)),IF(ET$1=INDEX('Valo FX'!$R:$R,MATCH($A11,'Valo FX'!$A:$A,0)),INDEX(Base!$V:$V,MATCH($A11,Base!$A:$A,0)),0)))</f>
        <v>6.8100550000000002</v>
      </c>
      <c r="EU11" s="21">
        <f>IF(EU$1&lt;INDEX('Valo FX'!$Q:$Q,MATCH($A11,'Valo FX'!$A:$A,0)),0,IF(EU$1&lt;INDEX('Valo FX'!$R:$R,MATCH($A11,'Valo FX'!$A:$A,0)),INDEX(Base!$U:$U,MATCH($A11,Base!$A:$A,0)),IF(EU$1=INDEX('Valo FX'!$R:$R,MATCH($A11,'Valo FX'!$A:$A,0)),INDEX(Base!$V:$V,MATCH($A11,Base!$A:$A,0)),0)))</f>
        <v>6.8100550000000002</v>
      </c>
      <c r="EV11" s="21">
        <f>IF(EV$1&lt;INDEX('Valo FX'!$Q:$Q,MATCH($A11,'Valo FX'!$A:$A,0)),0,IF(EV$1&lt;INDEX('Valo FX'!$R:$R,MATCH($A11,'Valo FX'!$A:$A,0)),INDEX(Base!$U:$U,MATCH($A11,Base!$A:$A,0)),IF(EV$1=INDEX('Valo FX'!$R:$R,MATCH($A11,'Valo FX'!$A:$A,0)),INDEX(Base!$V:$V,MATCH($A11,Base!$A:$A,0)),0)))</f>
        <v>6.8100550000000002</v>
      </c>
      <c r="EW11" s="21">
        <f>IF(EW$1&lt;INDEX('Valo FX'!$Q:$Q,MATCH($A11,'Valo FX'!$A:$A,0)),0,IF(EW$1&lt;INDEX('Valo FX'!$R:$R,MATCH($A11,'Valo FX'!$A:$A,0)),INDEX(Base!$U:$U,MATCH($A11,Base!$A:$A,0)),IF(EW$1=INDEX('Valo FX'!$R:$R,MATCH($A11,'Valo FX'!$A:$A,0)),INDEX(Base!$V:$V,MATCH($A11,Base!$A:$A,0)),0)))</f>
        <v>6.8100550000000002</v>
      </c>
      <c r="EX11" s="21">
        <f>IF(EX$1&lt;INDEX('Valo FX'!$Q:$Q,MATCH($A11,'Valo FX'!$A:$A,0)),0,IF(EX$1&lt;INDEX('Valo FX'!$R:$R,MATCH($A11,'Valo FX'!$A:$A,0)),INDEX(Base!$U:$U,MATCH($A11,Base!$A:$A,0)),IF(EX$1=INDEX('Valo FX'!$R:$R,MATCH($A11,'Valo FX'!$A:$A,0)),INDEX(Base!$V:$V,MATCH($A11,Base!$A:$A,0)),0)))</f>
        <v>6.8100550000000002</v>
      </c>
      <c r="EY11" s="21">
        <f>IF(EY$1&lt;INDEX('Valo FX'!$Q:$Q,MATCH($A11,'Valo FX'!$A:$A,0)),0,IF(EY$1&lt;INDEX('Valo FX'!$R:$R,MATCH($A11,'Valo FX'!$A:$A,0)),INDEX(Base!$U:$U,MATCH($A11,Base!$A:$A,0)),IF(EY$1=INDEX('Valo FX'!$R:$R,MATCH($A11,'Valo FX'!$A:$A,0)),INDEX(Base!$V:$V,MATCH($A11,Base!$A:$A,0)),0)))</f>
        <v>6.8100550000000002</v>
      </c>
      <c r="EZ11" s="21">
        <f>IF(EZ$1&lt;INDEX('Valo FX'!$Q:$Q,MATCH($A11,'Valo FX'!$A:$A,0)),0,IF(EZ$1&lt;INDEX('Valo FX'!$R:$R,MATCH($A11,'Valo FX'!$A:$A,0)),INDEX(Base!$U:$U,MATCH($A11,Base!$A:$A,0)),IF(EZ$1=INDEX('Valo FX'!$R:$R,MATCH($A11,'Valo FX'!$A:$A,0)),INDEX(Base!$V:$V,MATCH($A11,Base!$A:$A,0)),0)))</f>
        <v>6.8100550000000002</v>
      </c>
      <c r="FA11" s="21">
        <f>IF(FA$1&lt;INDEX('Valo FX'!$Q:$Q,MATCH($A11,'Valo FX'!$A:$A,0)),0,IF(FA$1&lt;INDEX('Valo FX'!$R:$R,MATCH($A11,'Valo FX'!$A:$A,0)),INDEX(Base!$U:$U,MATCH($A11,Base!$A:$A,0)),IF(FA$1=INDEX('Valo FX'!$R:$R,MATCH($A11,'Valo FX'!$A:$A,0)),INDEX(Base!$V:$V,MATCH($A11,Base!$A:$A,0)),0)))</f>
        <v>6.8100550000000002</v>
      </c>
      <c r="FB11" s="21">
        <f>IF(FB$1&lt;INDEX('Valo FX'!$Q:$Q,MATCH($A11,'Valo FX'!$A:$A,0)),0,IF(FB$1&lt;INDEX('Valo FX'!$R:$R,MATCH($A11,'Valo FX'!$A:$A,0)),INDEX(Base!$U:$U,MATCH($A11,Base!$A:$A,0)),IF(FB$1=INDEX('Valo FX'!$R:$R,MATCH($A11,'Valo FX'!$A:$A,0)),INDEX(Base!$V:$V,MATCH($A11,Base!$A:$A,0)),0)))</f>
        <v>6.8100550000000002</v>
      </c>
      <c r="FC11" s="21">
        <f>IF(FC$1&lt;INDEX('Valo FX'!$Q:$Q,MATCH($A11,'Valo FX'!$A:$A,0)),0,IF(FC$1&lt;INDEX('Valo FX'!$R:$R,MATCH($A11,'Valo FX'!$A:$A,0)),INDEX(Base!$U:$U,MATCH($A11,Base!$A:$A,0)),IF(FC$1=INDEX('Valo FX'!$R:$R,MATCH($A11,'Valo FX'!$A:$A,0)),INDEX(Base!$V:$V,MATCH($A11,Base!$A:$A,0)),0)))</f>
        <v>6.8100550000000002</v>
      </c>
      <c r="FD11" s="21">
        <f>IF(FD$1&lt;INDEX('Valo FX'!$Q:$Q,MATCH($A11,'Valo FX'!$A:$A,0)),0,IF(FD$1&lt;INDEX('Valo FX'!$R:$R,MATCH($A11,'Valo FX'!$A:$A,0)),INDEX(Base!$U:$U,MATCH($A11,Base!$A:$A,0)),IF(FD$1=INDEX('Valo FX'!$R:$R,MATCH($A11,'Valo FX'!$A:$A,0)),INDEX(Base!$V:$V,MATCH($A11,Base!$A:$A,0)),0)))</f>
        <v>6.8100550000000002</v>
      </c>
      <c r="FE11" s="21">
        <f>IF(FE$1&lt;INDEX('Valo FX'!$Q:$Q,MATCH($A11,'Valo FX'!$A:$A,0)),0,IF(FE$1&lt;INDEX('Valo FX'!$R:$R,MATCH($A11,'Valo FX'!$A:$A,0)),INDEX(Base!$U:$U,MATCH($A11,Base!$A:$A,0)),IF(FE$1=INDEX('Valo FX'!$R:$R,MATCH($A11,'Valo FX'!$A:$A,0)),INDEX(Base!$V:$V,MATCH($A11,Base!$A:$A,0)),0)))</f>
        <v>6.8100550000000002</v>
      </c>
      <c r="FF11" s="21">
        <f>IF(FF$1&lt;INDEX('Valo FX'!$Q:$Q,MATCH($A11,'Valo FX'!$A:$A,0)),0,IF(FF$1&lt;INDEX('Valo FX'!$R:$R,MATCH($A11,'Valo FX'!$A:$A,0)),INDEX(Base!$U:$U,MATCH($A11,Base!$A:$A,0)),IF(FF$1=INDEX('Valo FX'!$R:$R,MATCH($A11,'Valo FX'!$A:$A,0)),INDEX(Base!$V:$V,MATCH($A11,Base!$A:$A,0)),0)))</f>
        <v>6.8100550000000002</v>
      </c>
      <c r="FG11" s="21">
        <f>IF(FG$1&lt;INDEX('Valo FX'!$Q:$Q,MATCH($A11,'Valo FX'!$A:$A,0)),0,IF(FG$1&lt;INDEX('Valo FX'!$R:$R,MATCH($A11,'Valo FX'!$A:$A,0)),INDEX(Base!$U:$U,MATCH($A11,Base!$A:$A,0)),IF(FG$1=INDEX('Valo FX'!$R:$R,MATCH($A11,'Valo FX'!$A:$A,0)),INDEX(Base!$V:$V,MATCH($A11,Base!$A:$A,0)),0)))</f>
        <v>6.8100550000000002</v>
      </c>
      <c r="FH11" s="21">
        <f>IF(FH$1&lt;INDEX('Valo FX'!$Q:$Q,MATCH($A11,'Valo FX'!$A:$A,0)),0,IF(FH$1&lt;INDEX('Valo FX'!$R:$R,MATCH($A11,'Valo FX'!$A:$A,0)),INDEX(Base!$U:$U,MATCH($A11,Base!$A:$A,0)),IF(FH$1=INDEX('Valo FX'!$R:$R,MATCH($A11,'Valo FX'!$A:$A,0)),INDEX(Base!$V:$V,MATCH($A11,Base!$A:$A,0)),0)))</f>
        <v>6.8100550000000002</v>
      </c>
      <c r="FI11" s="21">
        <f>IF(FI$1&lt;INDEX('Valo FX'!$Q:$Q,MATCH($A11,'Valo FX'!$A:$A,0)),0,IF(FI$1&lt;INDEX('Valo FX'!$R:$R,MATCH($A11,'Valo FX'!$A:$A,0)),INDEX(Base!$U:$U,MATCH($A11,Base!$A:$A,0)),IF(FI$1=INDEX('Valo FX'!$R:$R,MATCH($A11,'Valo FX'!$A:$A,0)),INDEX(Base!$V:$V,MATCH($A11,Base!$A:$A,0)),0)))</f>
        <v>6.8100550000000002</v>
      </c>
      <c r="FJ11" s="21">
        <f>IF(FJ$1&lt;INDEX('Valo FX'!$Q:$Q,MATCH($A11,'Valo FX'!$A:$A,0)),0,IF(FJ$1&lt;INDEX('Valo FX'!$R:$R,MATCH($A11,'Valo FX'!$A:$A,0)),INDEX(Base!$U:$U,MATCH($A11,Base!$A:$A,0)),IF(FJ$1=INDEX('Valo FX'!$R:$R,MATCH($A11,'Valo FX'!$A:$A,0)),INDEX(Base!$V:$V,MATCH($A11,Base!$A:$A,0)),0)))</f>
        <v>6.8100550000000002</v>
      </c>
      <c r="FK11" s="21">
        <f>IF(FK$1&lt;INDEX('Valo FX'!$Q:$Q,MATCH($A11,'Valo FX'!$A:$A,0)),0,IF(FK$1&lt;INDEX('Valo FX'!$R:$R,MATCH($A11,'Valo FX'!$A:$A,0)),INDEX(Base!$U:$U,MATCH($A11,Base!$A:$A,0)),IF(FK$1=INDEX('Valo FX'!$R:$R,MATCH($A11,'Valo FX'!$A:$A,0)),INDEX(Base!$V:$V,MATCH($A11,Base!$A:$A,0)),0)))</f>
        <v>6.8100550000000002</v>
      </c>
      <c r="FL11" s="21">
        <f>IF(FL$1&lt;INDEX('Valo FX'!$Q:$Q,MATCH($A11,'Valo FX'!$A:$A,0)),0,IF(FL$1&lt;INDEX('Valo FX'!$R:$R,MATCH($A11,'Valo FX'!$A:$A,0)),INDEX(Base!$U:$U,MATCH($A11,Base!$A:$A,0)),IF(FL$1=INDEX('Valo FX'!$R:$R,MATCH($A11,'Valo FX'!$A:$A,0)),INDEX(Base!$V:$V,MATCH($A11,Base!$A:$A,0)),0)))</f>
        <v>6.8100550000000002</v>
      </c>
      <c r="FM11" s="21">
        <f>IF(FM$1&lt;INDEX('Valo FX'!$Q:$Q,MATCH($A11,'Valo FX'!$A:$A,0)),0,IF(FM$1&lt;INDEX('Valo FX'!$R:$R,MATCH($A11,'Valo FX'!$A:$A,0)),INDEX(Base!$U:$U,MATCH($A11,Base!$A:$A,0)),IF(FM$1=INDEX('Valo FX'!$R:$R,MATCH($A11,'Valo FX'!$A:$A,0)),INDEX(Base!$V:$V,MATCH($A11,Base!$A:$A,0)),0)))</f>
        <v>6.8100550000000002</v>
      </c>
      <c r="FN11" s="21">
        <f>IF(FN$1&lt;INDEX('Valo FX'!$Q:$Q,MATCH($A11,'Valo FX'!$A:$A,0)),0,IF(FN$1&lt;INDEX('Valo FX'!$R:$R,MATCH($A11,'Valo FX'!$A:$A,0)),INDEX(Base!$U:$U,MATCH($A11,Base!$A:$A,0)),IF(FN$1=INDEX('Valo FX'!$R:$R,MATCH($A11,'Valo FX'!$A:$A,0)),INDEX(Base!$V:$V,MATCH($A11,Base!$A:$A,0)),0)))</f>
        <v>6.8100550000000002</v>
      </c>
      <c r="FO11" s="21">
        <f>IF(FO$1&lt;INDEX('Valo FX'!$Q:$Q,MATCH($A11,'Valo FX'!$A:$A,0)),0,IF(FO$1&lt;INDEX('Valo FX'!$R:$R,MATCH($A11,'Valo FX'!$A:$A,0)),INDEX(Base!$U:$U,MATCH($A11,Base!$A:$A,0)),IF(FO$1=INDEX('Valo FX'!$R:$R,MATCH($A11,'Valo FX'!$A:$A,0)),INDEX(Base!$V:$V,MATCH($A11,Base!$A:$A,0)),0)))</f>
        <v>6.8100550000000002</v>
      </c>
      <c r="FP11" s="21">
        <f>IF(FP$1&lt;INDEX('Valo FX'!$Q:$Q,MATCH($A11,'Valo FX'!$A:$A,0)),0,IF(FP$1&lt;INDEX('Valo FX'!$R:$R,MATCH($A11,'Valo FX'!$A:$A,0)),INDEX(Base!$U:$U,MATCH($A11,Base!$A:$A,0)),IF(FP$1=INDEX('Valo FX'!$R:$R,MATCH($A11,'Valo FX'!$A:$A,0)),INDEX(Base!$V:$V,MATCH($A11,Base!$A:$A,0)),0)))</f>
        <v>6.8100550000000002</v>
      </c>
      <c r="FQ11" s="21">
        <f>IF(FQ$1&lt;INDEX('Valo FX'!$Q:$Q,MATCH($A11,'Valo FX'!$A:$A,0)),0,IF(FQ$1&lt;INDEX('Valo FX'!$R:$R,MATCH($A11,'Valo FX'!$A:$A,0)),INDEX(Base!$U:$U,MATCH($A11,Base!$A:$A,0)),IF(FQ$1=INDEX('Valo FX'!$R:$R,MATCH($A11,'Valo FX'!$A:$A,0)),INDEX(Base!$V:$V,MATCH($A11,Base!$A:$A,0)),0)))</f>
        <v>6.8100550000000002</v>
      </c>
      <c r="FR11" s="21">
        <f>IF(FR$1&lt;INDEX('Valo FX'!$Q:$Q,MATCH($A11,'Valo FX'!$A:$A,0)),0,IF(FR$1&lt;INDEX('Valo FX'!$R:$R,MATCH($A11,'Valo FX'!$A:$A,0)),INDEX(Base!$U:$U,MATCH($A11,Base!$A:$A,0)),IF(FR$1=INDEX('Valo FX'!$R:$R,MATCH($A11,'Valo FX'!$A:$A,0)),INDEX(Base!$V:$V,MATCH($A11,Base!$A:$A,0)),0)))</f>
        <v>6.8100550000000002</v>
      </c>
      <c r="FS11" s="21">
        <f>IF(FS$1&lt;INDEX('Valo FX'!$Q:$Q,MATCH($A11,'Valo FX'!$A:$A,0)),0,IF(FS$1&lt;INDEX('Valo FX'!$R:$R,MATCH($A11,'Valo FX'!$A:$A,0)),INDEX(Base!$U:$U,MATCH($A11,Base!$A:$A,0)),IF(FS$1=INDEX('Valo FX'!$R:$R,MATCH($A11,'Valo FX'!$A:$A,0)),INDEX(Base!$V:$V,MATCH($A11,Base!$A:$A,0)),0)))</f>
        <v>6.8100550000000002</v>
      </c>
      <c r="FT11" s="21">
        <f>IF(FT$1&lt;INDEX('Valo FX'!$Q:$Q,MATCH($A11,'Valo FX'!$A:$A,0)),0,IF(FT$1&lt;INDEX('Valo FX'!$R:$R,MATCH($A11,'Valo FX'!$A:$A,0)),INDEX(Base!$U:$U,MATCH($A11,Base!$A:$A,0)),IF(FT$1=INDEX('Valo FX'!$R:$R,MATCH($A11,'Valo FX'!$A:$A,0)),INDEX(Base!$V:$V,MATCH($A11,Base!$A:$A,0)),0)))</f>
        <v>6.8100550000000002</v>
      </c>
      <c r="FU11" s="21">
        <f>IF(FU$1&lt;INDEX('Valo FX'!$Q:$Q,MATCH($A11,'Valo FX'!$A:$A,0)),0,IF(FU$1&lt;INDEX('Valo FX'!$R:$R,MATCH($A11,'Valo FX'!$A:$A,0)),INDEX(Base!$U:$U,MATCH($A11,Base!$A:$A,0)),IF(FU$1=INDEX('Valo FX'!$R:$R,MATCH($A11,'Valo FX'!$A:$A,0)),INDEX(Base!$V:$V,MATCH($A11,Base!$A:$A,0)),0)))</f>
        <v>6.8100550000000002</v>
      </c>
      <c r="FV11" s="21">
        <f>IF(FV$1&lt;INDEX('Valo FX'!$Q:$Q,MATCH($A11,'Valo FX'!$A:$A,0)),0,IF(FV$1&lt;INDEX('Valo FX'!$R:$R,MATCH($A11,'Valo FX'!$A:$A,0)),INDEX(Base!$U:$U,MATCH($A11,Base!$A:$A,0)),IF(FV$1=INDEX('Valo FX'!$R:$R,MATCH($A11,'Valo FX'!$A:$A,0)),INDEX(Base!$V:$V,MATCH($A11,Base!$A:$A,0)),0)))</f>
        <v>6.8100550000000002</v>
      </c>
      <c r="FW11" s="21">
        <f>IF(FW$1&lt;INDEX('Valo FX'!$Q:$Q,MATCH($A11,'Valo FX'!$A:$A,0)),0,IF(FW$1&lt;INDEX('Valo FX'!$R:$R,MATCH($A11,'Valo FX'!$A:$A,0)),INDEX(Base!$U:$U,MATCH($A11,Base!$A:$A,0)),IF(FW$1=INDEX('Valo FX'!$R:$R,MATCH($A11,'Valo FX'!$A:$A,0)),INDEX(Base!$V:$V,MATCH($A11,Base!$A:$A,0)),0)))</f>
        <v>6.8100550000000002</v>
      </c>
      <c r="FX11" s="21">
        <f>IF(FX$1&lt;INDEX('Valo FX'!$Q:$Q,MATCH($A11,'Valo FX'!$A:$A,0)),0,IF(FX$1&lt;INDEX('Valo FX'!$R:$R,MATCH($A11,'Valo FX'!$A:$A,0)),INDEX(Base!$U:$U,MATCH($A11,Base!$A:$A,0)),IF(FX$1=INDEX('Valo FX'!$R:$R,MATCH($A11,'Valo FX'!$A:$A,0)),INDEX(Base!$V:$V,MATCH($A11,Base!$A:$A,0)),0)))</f>
        <v>6.8100550000000002</v>
      </c>
      <c r="FY11" s="21">
        <f>IF(FY$1&lt;INDEX('Valo FX'!$Q:$Q,MATCH($A11,'Valo FX'!$A:$A,0)),0,IF(FY$1&lt;INDEX('Valo FX'!$R:$R,MATCH($A11,'Valo FX'!$A:$A,0)),INDEX(Base!$U:$U,MATCH($A11,Base!$A:$A,0)),IF(FY$1=INDEX('Valo FX'!$R:$R,MATCH($A11,'Valo FX'!$A:$A,0)),INDEX(Base!$V:$V,MATCH($A11,Base!$A:$A,0)),0)))</f>
        <v>6.8100550000000002</v>
      </c>
      <c r="FZ11" s="21">
        <f>IF(FZ$1&lt;INDEX('Valo FX'!$Q:$Q,MATCH($A11,'Valo FX'!$A:$A,0)),0,IF(FZ$1&lt;INDEX('Valo FX'!$R:$R,MATCH($A11,'Valo FX'!$A:$A,0)),INDEX(Base!$U:$U,MATCH($A11,Base!$A:$A,0)),IF(FZ$1=INDEX('Valo FX'!$R:$R,MATCH($A11,'Valo FX'!$A:$A,0)),INDEX(Base!$V:$V,MATCH($A11,Base!$A:$A,0)),0)))</f>
        <v>6.8100550000000002</v>
      </c>
      <c r="GA11" s="21">
        <f>IF(GA$1&lt;INDEX('Valo FX'!$Q:$Q,MATCH($A11,'Valo FX'!$A:$A,0)),0,IF(GA$1&lt;INDEX('Valo FX'!$R:$R,MATCH($A11,'Valo FX'!$A:$A,0)),INDEX(Base!$U:$U,MATCH($A11,Base!$A:$A,0)),IF(GA$1=INDEX('Valo FX'!$R:$R,MATCH($A11,'Valo FX'!$A:$A,0)),INDEX(Base!$V:$V,MATCH($A11,Base!$A:$A,0)),0)))</f>
        <v>6.8100550000000002</v>
      </c>
      <c r="GB11" s="21">
        <f>IF(GB$1&lt;INDEX('Valo FX'!$Q:$Q,MATCH($A11,'Valo FX'!$A:$A,0)),0,IF(GB$1&lt;INDEX('Valo FX'!$R:$R,MATCH($A11,'Valo FX'!$A:$A,0)),INDEX(Base!$U:$U,MATCH($A11,Base!$A:$A,0)),IF(GB$1=INDEX('Valo FX'!$R:$R,MATCH($A11,'Valo FX'!$A:$A,0)),INDEX(Base!$V:$V,MATCH($A11,Base!$A:$A,0)),0)))</f>
        <v>6.8100550000000002</v>
      </c>
      <c r="GC11" s="21">
        <f>IF(GC$1&lt;INDEX('Valo FX'!$Q:$Q,MATCH($A11,'Valo FX'!$A:$A,0)),0,IF(GC$1&lt;INDEX('Valo FX'!$R:$R,MATCH($A11,'Valo FX'!$A:$A,0)),INDEX(Base!$U:$U,MATCH($A11,Base!$A:$A,0)),IF(GC$1=INDEX('Valo FX'!$R:$R,MATCH($A11,'Valo FX'!$A:$A,0)),INDEX(Base!$V:$V,MATCH($A11,Base!$A:$A,0)),0)))</f>
        <v>6.8100550000000002</v>
      </c>
      <c r="GD11" s="21">
        <f>IF(GD$1&lt;INDEX('Valo FX'!$Q:$Q,MATCH($A11,'Valo FX'!$A:$A,0)),0,IF(GD$1&lt;INDEX('Valo FX'!$R:$R,MATCH($A11,'Valo FX'!$A:$A,0)),INDEX(Base!$U:$U,MATCH($A11,Base!$A:$A,0)),IF(GD$1=INDEX('Valo FX'!$R:$R,MATCH($A11,'Valo FX'!$A:$A,0)),INDEX(Base!$V:$V,MATCH($A11,Base!$A:$A,0)),0)))</f>
        <v>6.8100550000000002</v>
      </c>
      <c r="GE11" s="21">
        <f>IF(GE$1&lt;INDEX('Valo FX'!$Q:$Q,MATCH($A11,'Valo FX'!$A:$A,0)),0,IF(GE$1&lt;INDEX('Valo FX'!$R:$R,MATCH($A11,'Valo FX'!$A:$A,0)),INDEX(Base!$U:$U,MATCH($A11,Base!$A:$A,0)),IF(GE$1=INDEX('Valo FX'!$R:$R,MATCH($A11,'Valo FX'!$A:$A,0)),INDEX(Base!$V:$V,MATCH($A11,Base!$A:$A,0)),0)))</f>
        <v>6.8100550000000002</v>
      </c>
      <c r="GF11" s="21">
        <f>IF(GF$1&lt;INDEX('Valo FX'!$Q:$Q,MATCH($A11,'Valo FX'!$A:$A,0)),0,IF(GF$1&lt;INDEX('Valo FX'!$R:$R,MATCH($A11,'Valo FX'!$A:$A,0)),INDEX(Base!$U:$U,MATCH($A11,Base!$A:$A,0)),IF(GF$1=INDEX('Valo FX'!$R:$R,MATCH($A11,'Valo FX'!$A:$A,0)),INDEX(Base!$V:$V,MATCH($A11,Base!$A:$A,0)),0)))</f>
        <v>6.8100550000000002</v>
      </c>
      <c r="GG11" s="21">
        <f>IF(GG$1&lt;INDEX('Valo FX'!$Q:$Q,MATCH($A11,'Valo FX'!$A:$A,0)),0,IF(GG$1&lt;INDEX('Valo FX'!$R:$R,MATCH($A11,'Valo FX'!$A:$A,0)),INDEX(Base!$U:$U,MATCH($A11,Base!$A:$A,0)),IF(GG$1=INDEX('Valo FX'!$R:$R,MATCH($A11,'Valo FX'!$A:$A,0)),INDEX(Base!$V:$V,MATCH($A11,Base!$A:$A,0)),0)))</f>
        <v>6.8100550000000002</v>
      </c>
      <c r="GH11" s="21">
        <f>IF(GH$1&lt;INDEX('Valo FX'!$Q:$Q,MATCH($A11,'Valo FX'!$A:$A,0)),0,IF(GH$1&lt;INDEX('Valo FX'!$R:$R,MATCH($A11,'Valo FX'!$A:$A,0)),INDEX(Base!$U:$U,MATCH($A11,Base!$A:$A,0)),IF(GH$1=INDEX('Valo FX'!$R:$R,MATCH($A11,'Valo FX'!$A:$A,0)),INDEX(Base!$V:$V,MATCH($A11,Base!$A:$A,0)),0)))</f>
        <v>6.8100550000000002</v>
      </c>
      <c r="GI11" s="21">
        <f>IF(GI$1&lt;INDEX('Valo FX'!$Q:$Q,MATCH($A11,'Valo FX'!$A:$A,0)),0,IF(GI$1&lt;INDEX('Valo FX'!$R:$R,MATCH($A11,'Valo FX'!$A:$A,0)),INDEX(Base!$U:$U,MATCH($A11,Base!$A:$A,0)),IF(GI$1=INDEX('Valo FX'!$R:$R,MATCH($A11,'Valo FX'!$A:$A,0)),INDEX(Base!$V:$V,MATCH($A11,Base!$A:$A,0)),0)))</f>
        <v>6.8100550000000002</v>
      </c>
      <c r="GJ11" s="21">
        <f>IF(GJ$1&lt;INDEX('Valo FX'!$Q:$Q,MATCH($A11,'Valo FX'!$A:$A,0)),0,IF(GJ$1&lt;INDEX('Valo FX'!$R:$R,MATCH($A11,'Valo FX'!$A:$A,0)),INDEX(Base!$U:$U,MATCH($A11,Base!$A:$A,0)),IF(GJ$1=INDEX('Valo FX'!$R:$R,MATCH($A11,'Valo FX'!$A:$A,0)),INDEX(Base!$V:$V,MATCH($A11,Base!$A:$A,0)),0)))</f>
        <v>6.8100550000000002</v>
      </c>
      <c r="GK11" s="21">
        <f>IF(GK$1&lt;INDEX('Valo FX'!$Q:$Q,MATCH($A11,'Valo FX'!$A:$A,0)),0,IF(GK$1&lt;INDEX('Valo FX'!$R:$R,MATCH($A11,'Valo FX'!$A:$A,0)),INDEX(Base!$U:$U,MATCH($A11,Base!$A:$A,0)),IF(GK$1=INDEX('Valo FX'!$R:$R,MATCH($A11,'Valo FX'!$A:$A,0)),INDEX(Base!$V:$V,MATCH($A11,Base!$A:$A,0)),0)))</f>
        <v>6.8100550000000002</v>
      </c>
      <c r="GL11" s="21">
        <f>IF(GL$1&lt;INDEX('Valo FX'!$Q:$Q,MATCH($A11,'Valo FX'!$A:$A,0)),0,IF(GL$1&lt;INDEX('Valo FX'!$R:$R,MATCH($A11,'Valo FX'!$A:$A,0)),INDEX(Base!$U:$U,MATCH($A11,Base!$A:$A,0)),IF(GL$1=INDEX('Valo FX'!$R:$R,MATCH($A11,'Valo FX'!$A:$A,0)),INDEX(Base!$V:$V,MATCH($A11,Base!$A:$A,0)),0)))</f>
        <v>6.8100550000000002</v>
      </c>
      <c r="GM11" s="21">
        <f>IF(GM$1&lt;INDEX('Valo FX'!$Q:$Q,MATCH($A11,'Valo FX'!$A:$A,0)),0,IF(GM$1&lt;INDEX('Valo FX'!$R:$R,MATCH($A11,'Valo FX'!$A:$A,0)),INDEX(Base!$U:$U,MATCH($A11,Base!$A:$A,0)),IF(GM$1=INDEX('Valo FX'!$R:$R,MATCH($A11,'Valo FX'!$A:$A,0)),INDEX(Base!$V:$V,MATCH($A11,Base!$A:$A,0)),0)))</f>
        <v>6.8100550000000002</v>
      </c>
      <c r="GN11" s="21">
        <f>IF(GN$1&lt;INDEX('Valo FX'!$Q:$Q,MATCH($A11,'Valo FX'!$A:$A,0)),0,IF(GN$1&lt;INDEX('Valo FX'!$R:$R,MATCH($A11,'Valo FX'!$A:$A,0)),INDEX(Base!$U:$U,MATCH($A11,Base!$A:$A,0)),IF(GN$1=INDEX('Valo FX'!$R:$R,MATCH($A11,'Valo FX'!$A:$A,0)),INDEX(Base!$V:$V,MATCH($A11,Base!$A:$A,0)),0)))</f>
        <v>6.8100550000000002</v>
      </c>
      <c r="GO11" s="21">
        <f>IF(GO$1&lt;INDEX('Valo FX'!$Q:$Q,MATCH($A11,'Valo FX'!$A:$A,0)),0,IF(GO$1&lt;INDEX('Valo FX'!$R:$R,MATCH($A11,'Valo FX'!$A:$A,0)),INDEX(Base!$U:$U,MATCH($A11,Base!$A:$A,0)),IF(GO$1=INDEX('Valo FX'!$R:$R,MATCH($A11,'Valo FX'!$A:$A,0)),INDEX(Base!$V:$V,MATCH($A11,Base!$A:$A,0)),0)))</f>
        <v>6.8100550000000002</v>
      </c>
      <c r="GP11" s="21">
        <f>IF(GP$1&lt;INDEX('Valo FX'!$Q:$Q,MATCH($A11,'Valo FX'!$A:$A,0)),0,IF(GP$1&lt;INDEX('Valo FX'!$R:$R,MATCH($A11,'Valo FX'!$A:$A,0)),INDEX(Base!$U:$U,MATCH($A11,Base!$A:$A,0)),IF(GP$1=INDEX('Valo FX'!$R:$R,MATCH($A11,'Valo FX'!$A:$A,0)),INDEX(Base!$V:$V,MATCH($A11,Base!$A:$A,0)),0)))</f>
        <v>6.8100550000000002</v>
      </c>
      <c r="GQ11" s="21">
        <f>IF(GQ$1&lt;INDEX('Valo FX'!$Q:$Q,MATCH($A11,'Valo FX'!$A:$A,0)),0,IF(GQ$1&lt;INDEX('Valo FX'!$R:$R,MATCH($A11,'Valo FX'!$A:$A,0)),INDEX(Base!$U:$U,MATCH($A11,Base!$A:$A,0)),IF(GQ$1=INDEX('Valo FX'!$R:$R,MATCH($A11,'Valo FX'!$A:$A,0)),INDEX(Base!$V:$V,MATCH($A11,Base!$A:$A,0)),0)))</f>
        <v>6.8100550000000002</v>
      </c>
      <c r="GR11" s="21">
        <f>IF(GR$1&lt;INDEX('Valo FX'!$Q:$Q,MATCH($A11,'Valo FX'!$A:$A,0)),0,IF(GR$1&lt;INDEX('Valo FX'!$R:$R,MATCH($A11,'Valo FX'!$A:$A,0)),INDEX(Base!$U:$U,MATCH($A11,Base!$A:$A,0)),IF(GR$1=INDEX('Valo FX'!$R:$R,MATCH($A11,'Valo FX'!$A:$A,0)),INDEX(Base!$V:$V,MATCH($A11,Base!$A:$A,0)),0)))</f>
        <v>6.8100550000000002</v>
      </c>
      <c r="GS11" s="21">
        <f>IF(GS$1&lt;INDEX('Valo FX'!$Q:$Q,MATCH($A11,'Valo FX'!$A:$A,0)),0,IF(GS$1&lt;INDEX('Valo FX'!$R:$R,MATCH($A11,'Valo FX'!$A:$A,0)),INDEX(Base!$U:$U,MATCH($A11,Base!$A:$A,0)),IF(GS$1=INDEX('Valo FX'!$R:$R,MATCH($A11,'Valo FX'!$A:$A,0)),INDEX(Base!$V:$V,MATCH($A11,Base!$A:$A,0)),0)))</f>
        <v>6.8100550000000002</v>
      </c>
      <c r="GT11" s="21">
        <f>IF(GT$1&lt;INDEX('Valo FX'!$Q:$Q,MATCH($A11,'Valo FX'!$A:$A,0)),0,IF(GT$1&lt;INDEX('Valo FX'!$R:$R,MATCH($A11,'Valo FX'!$A:$A,0)),INDEX(Base!$U:$U,MATCH($A11,Base!$A:$A,0)),IF(GT$1=INDEX('Valo FX'!$R:$R,MATCH($A11,'Valo FX'!$A:$A,0)),INDEX(Base!$V:$V,MATCH($A11,Base!$A:$A,0)),0)))</f>
        <v>6.8100550000000002</v>
      </c>
      <c r="GU11" s="21">
        <f>IF(GU$1&lt;INDEX('Valo FX'!$Q:$Q,MATCH($A11,'Valo FX'!$A:$A,0)),0,IF(GU$1&lt;INDEX('Valo FX'!$R:$R,MATCH($A11,'Valo FX'!$A:$A,0)),INDEX(Base!$U:$U,MATCH($A11,Base!$A:$A,0)),IF(GU$1=INDEX('Valo FX'!$R:$R,MATCH($A11,'Valo FX'!$A:$A,0)),INDEX(Base!$V:$V,MATCH($A11,Base!$A:$A,0)),0)))</f>
        <v>6.8100550000000002</v>
      </c>
      <c r="GV11" s="21">
        <f>IF(GV$1&lt;INDEX('Valo FX'!$Q:$Q,MATCH($A11,'Valo FX'!$A:$A,0)),0,IF(GV$1&lt;INDEX('Valo FX'!$R:$R,MATCH($A11,'Valo FX'!$A:$A,0)),INDEX(Base!$U:$U,MATCH($A11,Base!$A:$A,0)),IF(GV$1=INDEX('Valo FX'!$R:$R,MATCH($A11,'Valo FX'!$A:$A,0)),INDEX(Base!$V:$V,MATCH($A11,Base!$A:$A,0)),0)))</f>
        <v>6.8100550000000002</v>
      </c>
      <c r="GW11" s="21">
        <f>IF(GW$1&lt;INDEX('Valo FX'!$Q:$Q,MATCH($A11,'Valo FX'!$A:$A,0)),0,IF(GW$1&lt;INDEX('Valo FX'!$R:$R,MATCH($A11,'Valo FX'!$A:$A,0)),INDEX(Base!$U:$U,MATCH($A11,Base!$A:$A,0)),IF(GW$1=INDEX('Valo FX'!$R:$R,MATCH($A11,'Valo FX'!$A:$A,0)),INDEX(Base!$V:$V,MATCH($A11,Base!$A:$A,0)),0)))</f>
        <v>6.8100550000000002</v>
      </c>
      <c r="GX11" s="21">
        <f>IF(GX$1&lt;INDEX('Valo FX'!$Q:$Q,MATCH($A11,'Valo FX'!$A:$A,0)),0,IF(GX$1&lt;INDEX('Valo FX'!$R:$R,MATCH($A11,'Valo FX'!$A:$A,0)),INDEX(Base!$U:$U,MATCH($A11,Base!$A:$A,0)),IF(GX$1=INDEX('Valo FX'!$R:$R,MATCH($A11,'Valo FX'!$A:$A,0)),INDEX(Base!$V:$V,MATCH($A11,Base!$A:$A,0)),0)))</f>
        <v>6.8100550000000002</v>
      </c>
      <c r="GY11" s="21">
        <f>IF(GY$1&lt;INDEX('Valo FX'!$Q:$Q,MATCH($A11,'Valo FX'!$A:$A,0)),0,IF(GY$1&lt;INDEX('Valo FX'!$R:$R,MATCH($A11,'Valo FX'!$A:$A,0)),INDEX(Base!$U:$U,MATCH($A11,Base!$A:$A,0)),IF(GY$1=INDEX('Valo FX'!$R:$R,MATCH($A11,'Valo FX'!$A:$A,0)),INDEX(Base!$V:$V,MATCH($A11,Base!$A:$A,0)),0)))</f>
        <v>6.8100550000000002</v>
      </c>
      <c r="GZ11" s="21">
        <f>IF(GZ$1&lt;INDEX('Valo FX'!$Q:$Q,MATCH($A11,'Valo FX'!$A:$A,0)),0,IF(GZ$1&lt;INDEX('Valo FX'!$R:$R,MATCH($A11,'Valo FX'!$A:$A,0)),INDEX(Base!$U:$U,MATCH($A11,Base!$A:$A,0)),IF(GZ$1=INDEX('Valo FX'!$R:$R,MATCH($A11,'Valo FX'!$A:$A,0)),INDEX(Base!$V:$V,MATCH($A11,Base!$A:$A,0)),0)))</f>
        <v>6.8100550000000002</v>
      </c>
      <c r="HA11" s="21">
        <f>IF(HA$1&lt;INDEX('Valo FX'!$Q:$Q,MATCH($A11,'Valo FX'!$A:$A,0)),0,IF(HA$1&lt;INDEX('Valo FX'!$R:$R,MATCH($A11,'Valo FX'!$A:$A,0)),INDEX(Base!$U:$U,MATCH($A11,Base!$A:$A,0)),IF(HA$1=INDEX('Valo FX'!$R:$R,MATCH($A11,'Valo FX'!$A:$A,0)),INDEX(Base!$V:$V,MATCH($A11,Base!$A:$A,0)),0)))</f>
        <v>6.8100550000000002</v>
      </c>
      <c r="HB11" s="21">
        <f>IF(HB$1&lt;INDEX('Valo FX'!$Q:$Q,MATCH($A11,'Valo FX'!$A:$A,0)),0,IF(HB$1&lt;INDEX('Valo FX'!$R:$R,MATCH($A11,'Valo FX'!$A:$A,0)),INDEX(Base!$U:$U,MATCH($A11,Base!$A:$A,0)),IF(HB$1=INDEX('Valo FX'!$R:$R,MATCH($A11,'Valo FX'!$A:$A,0)),INDEX(Base!$V:$V,MATCH($A11,Base!$A:$A,0)),0)))</f>
        <v>6.8100550000000002</v>
      </c>
      <c r="HC11" s="21">
        <f>IF(HC$1&lt;INDEX('Valo FX'!$Q:$Q,MATCH($A11,'Valo FX'!$A:$A,0)),0,IF(HC$1&lt;INDEX('Valo FX'!$R:$R,MATCH($A11,'Valo FX'!$A:$A,0)),INDEX(Base!$U:$U,MATCH($A11,Base!$A:$A,0)),IF(HC$1=INDEX('Valo FX'!$R:$R,MATCH($A11,'Valo FX'!$A:$A,0)),INDEX(Base!$V:$V,MATCH($A11,Base!$A:$A,0)),0)))</f>
        <v>6.8100550000000002</v>
      </c>
      <c r="HD11" s="21">
        <f>IF(HD$1&lt;INDEX('Valo FX'!$Q:$Q,MATCH($A11,'Valo FX'!$A:$A,0)),0,IF(HD$1&lt;INDEX('Valo FX'!$R:$R,MATCH($A11,'Valo FX'!$A:$A,0)),INDEX(Base!$U:$U,MATCH($A11,Base!$A:$A,0)),IF(HD$1=INDEX('Valo FX'!$R:$R,MATCH($A11,'Valo FX'!$A:$A,0)),INDEX(Base!$V:$V,MATCH($A11,Base!$A:$A,0)),0)))</f>
        <v>6.8100550000000002</v>
      </c>
      <c r="HE11" s="21">
        <f>IF(HE$1&lt;INDEX('Valo FX'!$Q:$Q,MATCH($A11,'Valo FX'!$A:$A,0)),0,IF(HE$1&lt;INDEX('Valo FX'!$R:$R,MATCH($A11,'Valo FX'!$A:$A,0)),INDEX(Base!$U:$U,MATCH($A11,Base!$A:$A,0)),IF(HE$1=INDEX('Valo FX'!$R:$R,MATCH($A11,'Valo FX'!$A:$A,0)),INDEX(Base!$V:$V,MATCH($A11,Base!$A:$A,0)),0)))</f>
        <v>6.8100550000000002</v>
      </c>
      <c r="HF11" s="21">
        <f>IF(HF$1&lt;INDEX('Valo FX'!$Q:$Q,MATCH($A11,'Valo FX'!$A:$A,0)),0,IF(HF$1&lt;INDEX('Valo FX'!$R:$R,MATCH($A11,'Valo FX'!$A:$A,0)),INDEX(Base!$U:$U,MATCH($A11,Base!$A:$A,0)),IF(HF$1=INDEX('Valo FX'!$R:$R,MATCH($A11,'Valo FX'!$A:$A,0)),INDEX(Base!$V:$V,MATCH($A11,Base!$A:$A,0)),0)))</f>
        <v>6.8100550000000002</v>
      </c>
      <c r="HG11" s="21">
        <f>IF(HG$1&lt;INDEX('Valo FX'!$Q:$Q,MATCH($A11,'Valo FX'!$A:$A,0)),0,IF(HG$1&lt;INDEX('Valo FX'!$R:$R,MATCH($A11,'Valo FX'!$A:$A,0)),INDEX(Base!$U:$U,MATCH($A11,Base!$A:$A,0)),IF(HG$1=INDEX('Valo FX'!$R:$R,MATCH($A11,'Valo FX'!$A:$A,0)),INDEX(Base!$V:$V,MATCH($A11,Base!$A:$A,0)),0)))</f>
        <v>6.8100550000000002</v>
      </c>
      <c r="HH11" s="21">
        <f>IF(HH$1&lt;INDEX('Valo FX'!$Q:$Q,MATCH($A11,'Valo FX'!$A:$A,0)),0,IF(HH$1&lt;INDEX('Valo FX'!$R:$R,MATCH($A11,'Valo FX'!$A:$A,0)),INDEX(Base!$U:$U,MATCH($A11,Base!$A:$A,0)),IF(HH$1=INDEX('Valo FX'!$R:$R,MATCH($A11,'Valo FX'!$A:$A,0)),INDEX(Base!$V:$V,MATCH($A11,Base!$A:$A,0)),0)))</f>
        <v>6.8100550000000002</v>
      </c>
      <c r="HI11" s="21">
        <f>IF(HI$1&lt;INDEX('Valo FX'!$Q:$Q,MATCH($A11,'Valo FX'!$A:$A,0)),0,IF(HI$1&lt;INDEX('Valo FX'!$R:$R,MATCH($A11,'Valo FX'!$A:$A,0)),INDEX(Base!$U:$U,MATCH($A11,Base!$A:$A,0)),IF(HI$1=INDEX('Valo FX'!$R:$R,MATCH($A11,'Valo FX'!$A:$A,0)),INDEX(Base!$V:$V,MATCH($A11,Base!$A:$A,0)),0)))</f>
        <v>6.8100550000000002</v>
      </c>
      <c r="HJ11" s="21">
        <f>IF(HJ$1&lt;INDEX('Valo FX'!$Q:$Q,MATCH($A11,'Valo FX'!$A:$A,0)),0,IF(HJ$1&lt;INDEX('Valo FX'!$R:$R,MATCH($A11,'Valo FX'!$A:$A,0)),INDEX(Base!$U:$U,MATCH($A11,Base!$A:$A,0)),IF(HJ$1=INDEX('Valo FX'!$R:$R,MATCH($A11,'Valo FX'!$A:$A,0)),INDEX(Base!$V:$V,MATCH($A11,Base!$A:$A,0)),0)))</f>
        <v>6.8100550000000002</v>
      </c>
      <c r="HK11" s="21">
        <f>IF(HK$1&lt;INDEX('Valo FX'!$Q:$Q,MATCH($A11,'Valo FX'!$A:$A,0)),0,IF(HK$1&lt;INDEX('Valo FX'!$R:$R,MATCH($A11,'Valo FX'!$A:$A,0)),INDEX(Base!$U:$U,MATCH($A11,Base!$A:$A,0)),IF(HK$1=INDEX('Valo FX'!$R:$R,MATCH($A11,'Valo FX'!$A:$A,0)),INDEX(Base!$V:$V,MATCH($A11,Base!$A:$A,0)),0)))</f>
        <v>6.8100550000000002</v>
      </c>
      <c r="HL11" s="21">
        <f>IF(HL$1&lt;INDEX('Valo FX'!$Q:$Q,MATCH($A11,'Valo FX'!$A:$A,0)),0,IF(HL$1&lt;INDEX('Valo FX'!$R:$R,MATCH($A11,'Valo FX'!$A:$A,0)),INDEX(Base!$U:$U,MATCH($A11,Base!$A:$A,0)),IF(HL$1=INDEX('Valo FX'!$R:$R,MATCH($A11,'Valo FX'!$A:$A,0)),INDEX(Base!$V:$V,MATCH($A11,Base!$A:$A,0)),0)))</f>
        <v>6.8100550000000002</v>
      </c>
      <c r="HM11" s="21">
        <f>IF(HM$1&lt;INDEX('Valo FX'!$Q:$Q,MATCH($A11,'Valo FX'!$A:$A,0)),0,IF(HM$1&lt;INDEX('Valo FX'!$R:$R,MATCH($A11,'Valo FX'!$A:$A,0)),INDEX(Base!$U:$U,MATCH($A11,Base!$A:$A,0)),IF(HM$1=INDEX('Valo FX'!$R:$R,MATCH($A11,'Valo FX'!$A:$A,0)),INDEX(Base!$V:$V,MATCH($A11,Base!$A:$A,0)),0)))</f>
        <v>6.8100550000000002</v>
      </c>
      <c r="HN11" s="21">
        <f>IF(HN$1&lt;INDEX('Valo FX'!$Q:$Q,MATCH($A11,'Valo FX'!$A:$A,0)),0,IF(HN$1&lt;INDEX('Valo FX'!$R:$R,MATCH($A11,'Valo FX'!$A:$A,0)),INDEX(Base!$U:$U,MATCH($A11,Base!$A:$A,0)),IF(HN$1=INDEX('Valo FX'!$R:$R,MATCH($A11,'Valo FX'!$A:$A,0)),INDEX(Base!$V:$V,MATCH($A11,Base!$A:$A,0)),0)))</f>
        <v>6.8100550000000002</v>
      </c>
      <c r="HO11" s="21">
        <f>IF(HO$1&lt;INDEX('Valo FX'!$Q:$Q,MATCH($A11,'Valo FX'!$A:$A,0)),0,IF(HO$1&lt;INDEX('Valo FX'!$R:$R,MATCH($A11,'Valo FX'!$A:$A,0)),INDEX(Base!$U:$U,MATCH($A11,Base!$A:$A,0)),IF(HO$1=INDEX('Valo FX'!$R:$R,MATCH($A11,'Valo FX'!$A:$A,0)),INDEX(Base!$V:$V,MATCH($A11,Base!$A:$A,0)),0)))</f>
        <v>6.8100550000000002</v>
      </c>
      <c r="HP11" s="21">
        <f>IF(HP$1&lt;INDEX('Valo FX'!$Q:$Q,MATCH($A11,'Valo FX'!$A:$A,0)),0,IF(HP$1&lt;INDEX('Valo FX'!$R:$R,MATCH($A11,'Valo FX'!$A:$A,0)),INDEX(Base!$U:$U,MATCH($A11,Base!$A:$A,0)),IF(HP$1=INDEX('Valo FX'!$R:$R,MATCH($A11,'Valo FX'!$A:$A,0)),INDEX(Base!$V:$V,MATCH($A11,Base!$A:$A,0)),0)))</f>
        <v>6.8100550000000002</v>
      </c>
      <c r="HQ11" s="21">
        <f>IF(HQ$1&lt;INDEX('Valo FX'!$Q:$Q,MATCH($A11,'Valo FX'!$A:$A,0)),0,IF(HQ$1&lt;INDEX('Valo FX'!$R:$R,MATCH($A11,'Valo FX'!$A:$A,0)),INDEX(Base!$U:$U,MATCH($A11,Base!$A:$A,0)),IF(HQ$1=INDEX('Valo FX'!$R:$R,MATCH($A11,'Valo FX'!$A:$A,0)),INDEX(Base!$V:$V,MATCH($A11,Base!$A:$A,0)),0)))</f>
        <v>6.8100550000000002</v>
      </c>
      <c r="HR11" s="21">
        <f>IF(HR$1&lt;INDEX('Valo FX'!$Q:$Q,MATCH($A11,'Valo FX'!$A:$A,0)),0,IF(HR$1&lt;INDEX('Valo FX'!$R:$R,MATCH($A11,'Valo FX'!$A:$A,0)),INDEX(Base!$U:$U,MATCH($A11,Base!$A:$A,0)),IF(HR$1=INDEX('Valo FX'!$R:$R,MATCH($A11,'Valo FX'!$A:$A,0)),INDEX(Base!$V:$V,MATCH($A11,Base!$A:$A,0)),0)))</f>
        <v>6.8100550000000002</v>
      </c>
      <c r="HS11" s="21">
        <f>IF(HS$1&lt;INDEX('Valo FX'!$Q:$Q,MATCH($A11,'Valo FX'!$A:$A,0)),0,IF(HS$1&lt;INDEX('Valo FX'!$R:$R,MATCH($A11,'Valo FX'!$A:$A,0)),INDEX(Base!$U:$U,MATCH($A11,Base!$A:$A,0)),IF(HS$1=INDEX('Valo FX'!$R:$R,MATCH($A11,'Valo FX'!$A:$A,0)),INDEX(Base!$V:$V,MATCH($A11,Base!$A:$A,0)),0)))</f>
        <v>6.8100550000000002</v>
      </c>
      <c r="HT11" s="21">
        <f>IF(HT$1&lt;INDEX('Valo FX'!$Q:$Q,MATCH($A11,'Valo FX'!$A:$A,0)),0,IF(HT$1&lt;INDEX('Valo FX'!$R:$R,MATCH($A11,'Valo FX'!$A:$A,0)),INDEX(Base!$U:$U,MATCH($A11,Base!$A:$A,0)),IF(HT$1=INDEX('Valo FX'!$R:$R,MATCH($A11,'Valo FX'!$A:$A,0)),INDEX(Base!$V:$V,MATCH($A11,Base!$A:$A,0)),0)))</f>
        <v>6.8100550000000002</v>
      </c>
      <c r="HU11" s="21">
        <f>IF(HU$1&lt;INDEX('Valo FX'!$Q:$Q,MATCH($A11,'Valo FX'!$A:$A,0)),0,IF(HU$1&lt;INDEX('Valo FX'!$R:$R,MATCH($A11,'Valo FX'!$A:$A,0)),INDEX(Base!$U:$U,MATCH($A11,Base!$A:$A,0)),IF(HU$1=INDEX('Valo FX'!$R:$R,MATCH($A11,'Valo FX'!$A:$A,0)),INDEX(Base!$V:$V,MATCH($A11,Base!$A:$A,0)),0)))</f>
        <v>6.8100550000000002</v>
      </c>
      <c r="HV11" s="21">
        <f>IF(HV$1&lt;INDEX('Valo FX'!$Q:$Q,MATCH($A11,'Valo FX'!$A:$A,0)),0,IF(HV$1&lt;INDEX('Valo FX'!$R:$R,MATCH($A11,'Valo FX'!$A:$A,0)),INDEX(Base!$U:$U,MATCH($A11,Base!$A:$A,0)),IF(HV$1=INDEX('Valo FX'!$R:$R,MATCH($A11,'Valo FX'!$A:$A,0)),INDEX(Base!$V:$V,MATCH($A11,Base!$A:$A,0)),0)))</f>
        <v>6.8100550000000002</v>
      </c>
      <c r="HW11" s="21">
        <f>IF(HW$1&lt;INDEX('Valo FX'!$Q:$Q,MATCH($A11,'Valo FX'!$A:$A,0)),0,IF(HW$1&lt;INDEX('Valo FX'!$R:$R,MATCH($A11,'Valo FX'!$A:$A,0)),INDEX(Base!$U:$U,MATCH($A11,Base!$A:$A,0)),IF(HW$1=INDEX('Valo FX'!$R:$R,MATCH($A11,'Valo FX'!$A:$A,0)),INDEX(Base!$V:$V,MATCH($A11,Base!$A:$A,0)),0)))</f>
        <v>6.8100550000000002</v>
      </c>
      <c r="HX11" s="21">
        <f>IF(HX$1&lt;INDEX('Valo FX'!$Q:$Q,MATCH($A11,'Valo FX'!$A:$A,0)),0,IF(HX$1&lt;INDEX('Valo FX'!$R:$R,MATCH($A11,'Valo FX'!$A:$A,0)),INDEX(Base!$U:$U,MATCH($A11,Base!$A:$A,0)),IF(HX$1=INDEX('Valo FX'!$R:$R,MATCH($A11,'Valo FX'!$A:$A,0)),INDEX(Base!$V:$V,MATCH($A11,Base!$A:$A,0)),0)))</f>
        <v>6.8100550000000002</v>
      </c>
      <c r="HY11" s="21">
        <f>IF(HY$1&lt;INDEX('Valo FX'!$Q:$Q,MATCH($A11,'Valo FX'!$A:$A,0)),0,IF(HY$1&lt;INDEX('Valo FX'!$R:$R,MATCH($A11,'Valo FX'!$A:$A,0)),INDEX(Base!$U:$U,MATCH($A11,Base!$A:$A,0)),IF(HY$1=INDEX('Valo FX'!$R:$R,MATCH($A11,'Valo FX'!$A:$A,0)),INDEX(Base!$V:$V,MATCH($A11,Base!$A:$A,0)),0)))</f>
        <v>6.8100550000000002</v>
      </c>
      <c r="HZ11" s="21">
        <f>IF(HZ$1&lt;INDEX('Valo FX'!$Q:$Q,MATCH($A11,'Valo FX'!$A:$A,0)),0,IF(HZ$1&lt;INDEX('Valo FX'!$R:$R,MATCH($A11,'Valo FX'!$A:$A,0)),INDEX(Base!$U:$U,MATCH($A11,Base!$A:$A,0)),IF(HZ$1=INDEX('Valo FX'!$R:$R,MATCH($A11,'Valo FX'!$A:$A,0)),INDEX(Base!$V:$V,MATCH($A11,Base!$A:$A,0)),0)))</f>
        <v>6.8100550000000002</v>
      </c>
      <c r="IA11" s="21">
        <f>IF(IA$1&lt;INDEX('Valo FX'!$Q:$Q,MATCH($A11,'Valo FX'!$A:$A,0)),0,IF(IA$1&lt;INDEX('Valo FX'!$R:$R,MATCH($A11,'Valo FX'!$A:$A,0)),INDEX(Base!$U:$U,MATCH($A11,Base!$A:$A,0)),IF(IA$1=INDEX('Valo FX'!$R:$R,MATCH($A11,'Valo FX'!$A:$A,0)),INDEX(Base!$V:$V,MATCH($A11,Base!$A:$A,0)),0)))</f>
        <v>6.8100550000000002</v>
      </c>
      <c r="IB11" s="21">
        <f>IF(IB$1&lt;INDEX('Valo FX'!$Q:$Q,MATCH($A11,'Valo FX'!$A:$A,0)),0,IF(IB$1&lt;INDEX('Valo FX'!$R:$R,MATCH($A11,'Valo FX'!$A:$A,0)),INDEX(Base!$U:$U,MATCH($A11,Base!$A:$A,0)),IF(IB$1=INDEX('Valo FX'!$R:$R,MATCH($A11,'Valo FX'!$A:$A,0)),INDEX(Base!$V:$V,MATCH($A11,Base!$A:$A,0)),0)))</f>
        <v>6.8100550000000002</v>
      </c>
      <c r="IC11" s="21">
        <f>IF(IC$1&lt;INDEX('Valo FX'!$Q:$Q,MATCH($A11,'Valo FX'!$A:$A,0)),0,IF(IC$1&lt;INDEX('Valo FX'!$R:$R,MATCH($A11,'Valo FX'!$A:$A,0)),INDEX(Base!$U:$U,MATCH($A11,Base!$A:$A,0)),IF(IC$1=INDEX('Valo FX'!$R:$R,MATCH($A11,'Valo FX'!$A:$A,0)),INDEX(Base!$V:$V,MATCH($A11,Base!$A:$A,0)),0)))</f>
        <v>6.8100550000000002</v>
      </c>
      <c r="ID11" s="21">
        <f>IF(ID$1&lt;INDEX('Valo FX'!$Q:$Q,MATCH($A11,'Valo FX'!$A:$A,0)),0,IF(ID$1&lt;INDEX('Valo FX'!$R:$R,MATCH($A11,'Valo FX'!$A:$A,0)),INDEX(Base!$U:$U,MATCH($A11,Base!$A:$A,0)),IF(ID$1=INDEX('Valo FX'!$R:$R,MATCH($A11,'Valo FX'!$A:$A,0)),INDEX(Base!$V:$V,MATCH($A11,Base!$A:$A,0)),0)))</f>
        <v>6.8100550000000002</v>
      </c>
      <c r="IE11" s="21">
        <f>IF(IE$1&lt;INDEX('Valo FX'!$Q:$Q,MATCH($A11,'Valo FX'!$A:$A,0)),0,IF(IE$1&lt;INDEX('Valo FX'!$R:$R,MATCH($A11,'Valo FX'!$A:$A,0)),INDEX(Base!$U:$U,MATCH($A11,Base!$A:$A,0)),IF(IE$1=INDEX('Valo FX'!$R:$R,MATCH($A11,'Valo FX'!$A:$A,0)),INDEX(Base!$V:$V,MATCH($A11,Base!$A:$A,0)),0)))</f>
        <v>6.8100550000000002</v>
      </c>
      <c r="IF11" s="21">
        <f>IF(IF$1&lt;INDEX('Valo FX'!$Q:$Q,MATCH($A11,'Valo FX'!$A:$A,0)),0,IF(IF$1&lt;INDEX('Valo FX'!$R:$R,MATCH($A11,'Valo FX'!$A:$A,0)),INDEX(Base!$U:$U,MATCH($A11,Base!$A:$A,0)),IF(IF$1=INDEX('Valo FX'!$R:$R,MATCH($A11,'Valo FX'!$A:$A,0)),INDEX(Base!$V:$V,MATCH($A11,Base!$A:$A,0)),0)))</f>
        <v>6.8100550000000002</v>
      </c>
      <c r="IG11" s="21">
        <f>IF(IG$1&lt;INDEX('Valo FX'!$Q:$Q,MATCH($A11,'Valo FX'!$A:$A,0)),0,IF(IG$1&lt;INDEX('Valo FX'!$R:$R,MATCH($A11,'Valo FX'!$A:$A,0)),INDEX(Base!$U:$U,MATCH($A11,Base!$A:$A,0)),IF(IG$1=INDEX('Valo FX'!$R:$R,MATCH($A11,'Valo FX'!$A:$A,0)),INDEX(Base!$V:$V,MATCH($A11,Base!$A:$A,0)),0)))</f>
        <v>6.8100550000000002</v>
      </c>
      <c r="IH11" s="21">
        <f>IF(IH$1&lt;INDEX('Valo FX'!$Q:$Q,MATCH($A11,'Valo FX'!$A:$A,0)),0,IF(IH$1&lt;INDEX('Valo FX'!$R:$R,MATCH($A11,'Valo FX'!$A:$A,0)),INDEX(Base!$U:$U,MATCH($A11,Base!$A:$A,0)),IF(IH$1=INDEX('Valo FX'!$R:$R,MATCH($A11,'Valo FX'!$A:$A,0)),INDEX(Base!$V:$V,MATCH($A11,Base!$A:$A,0)),0)))</f>
        <v>6.8100550000000002</v>
      </c>
      <c r="II11" s="21">
        <f>IF(II$1&lt;INDEX('Valo FX'!$Q:$Q,MATCH($A11,'Valo FX'!$A:$A,0)),0,IF(II$1&lt;INDEX('Valo FX'!$R:$R,MATCH($A11,'Valo FX'!$A:$A,0)),INDEX(Base!$U:$U,MATCH($A11,Base!$A:$A,0)),IF(II$1=INDEX('Valo FX'!$R:$R,MATCH($A11,'Valo FX'!$A:$A,0)),INDEX(Base!$V:$V,MATCH($A11,Base!$A:$A,0)),0)))</f>
        <v>6.8100550000000002</v>
      </c>
      <c r="IJ11" s="21">
        <f>IF(IJ$1&lt;INDEX('Valo FX'!$Q:$Q,MATCH($A11,'Valo FX'!$A:$A,0)),0,IF(IJ$1&lt;INDEX('Valo FX'!$R:$R,MATCH($A11,'Valo FX'!$A:$A,0)),INDEX(Base!$U:$U,MATCH($A11,Base!$A:$A,0)),IF(IJ$1=INDEX('Valo FX'!$R:$R,MATCH($A11,'Valo FX'!$A:$A,0)),INDEX(Base!$V:$V,MATCH($A11,Base!$A:$A,0)),0)))</f>
        <v>6.8100550000000002</v>
      </c>
      <c r="IK11" s="21">
        <f>IF(IK$1&lt;INDEX('Valo FX'!$Q:$Q,MATCH($A11,'Valo FX'!$A:$A,0)),0,IF(IK$1&lt;INDEX('Valo FX'!$R:$R,MATCH($A11,'Valo FX'!$A:$A,0)),INDEX(Base!$U:$U,MATCH($A11,Base!$A:$A,0)),IF(IK$1=INDEX('Valo FX'!$R:$R,MATCH($A11,'Valo FX'!$A:$A,0)),INDEX(Base!$V:$V,MATCH($A11,Base!$A:$A,0)),0)))</f>
        <v>6.8100550000000002</v>
      </c>
      <c r="IL11" s="21">
        <f>IF(IL$1&lt;INDEX('Valo FX'!$Q:$Q,MATCH($A11,'Valo FX'!$A:$A,0)),0,IF(IL$1&lt;INDEX('Valo FX'!$R:$R,MATCH($A11,'Valo FX'!$A:$A,0)),INDEX(Base!$U:$U,MATCH($A11,Base!$A:$A,0)),IF(IL$1=INDEX('Valo FX'!$R:$R,MATCH($A11,'Valo FX'!$A:$A,0)),INDEX(Base!$V:$V,MATCH($A11,Base!$A:$A,0)),0)))</f>
        <v>6.8100550000000002</v>
      </c>
      <c r="IM11" s="21">
        <f>IF(IM$1&lt;INDEX('Valo FX'!$Q:$Q,MATCH($A11,'Valo FX'!$A:$A,0)),0,IF(IM$1&lt;INDEX('Valo FX'!$R:$R,MATCH($A11,'Valo FX'!$A:$A,0)),INDEX(Base!$U:$U,MATCH($A11,Base!$A:$A,0)),IF(IM$1=INDEX('Valo FX'!$R:$R,MATCH($A11,'Valo FX'!$A:$A,0)),INDEX(Base!$V:$V,MATCH($A11,Base!$A:$A,0)),0)))</f>
        <v>6.8100550000000002</v>
      </c>
      <c r="IN11" s="21">
        <f>IF(IN$1&lt;INDEX('Valo FX'!$Q:$Q,MATCH($A11,'Valo FX'!$A:$A,0)),0,IF(IN$1&lt;INDEX('Valo FX'!$R:$R,MATCH($A11,'Valo FX'!$A:$A,0)),INDEX(Base!$U:$U,MATCH($A11,Base!$A:$A,0)),IF(IN$1=INDEX('Valo FX'!$R:$R,MATCH($A11,'Valo FX'!$A:$A,0)),INDEX(Base!$V:$V,MATCH($A11,Base!$A:$A,0)),0)))</f>
        <v>6.8100550000000002</v>
      </c>
      <c r="IO11" s="21">
        <f>IF(IO$1&lt;INDEX('Valo FX'!$Q:$Q,MATCH($A11,'Valo FX'!$A:$A,0)),0,IF(IO$1&lt;INDEX('Valo FX'!$R:$R,MATCH($A11,'Valo FX'!$A:$A,0)),INDEX(Base!$U:$U,MATCH($A11,Base!$A:$A,0)),IF(IO$1=INDEX('Valo FX'!$R:$R,MATCH($A11,'Valo FX'!$A:$A,0)),INDEX(Base!$V:$V,MATCH($A11,Base!$A:$A,0)),0)))</f>
        <v>6.8100550000000002</v>
      </c>
      <c r="IP11" s="21">
        <f>IF(IP$1&lt;INDEX('Valo FX'!$Q:$Q,MATCH($A11,'Valo FX'!$A:$A,0)),0,IF(IP$1&lt;INDEX('Valo FX'!$R:$R,MATCH($A11,'Valo FX'!$A:$A,0)),INDEX(Base!$U:$U,MATCH($A11,Base!$A:$A,0)),IF(IP$1=INDEX('Valo FX'!$R:$R,MATCH($A11,'Valo FX'!$A:$A,0)),INDEX(Base!$V:$V,MATCH($A11,Base!$A:$A,0)),0)))</f>
        <v>6.8100550000000002</v>
      </c>
      <c r="IQ11" s="21">
        <f>IF(IQ$1&lt;INDEX('Valo FX'!$Q:$Q,MATCH($A11,'Valo FX'!$A:$A,0)),0,IF(IQ$1&lt;INDEX('Valo FX'!$R:$R,MATCH($A11,'Valo FX'!$A:$A,0)),INDEX(Base!$U:$U,MATCH($A11,Base!$A:$A,0)),IF(IQ$1=INDEX('Valo FX'!$R:$R,MATCH($A11,'Valo FX'!$A:$A,0)),INDEX(Base!$V:$V,MATCH($A11,Base!$A:$A,0)),0)))</f>
        <v>6.8100550000000002</v>
      </c>
      <c r="IR11" s="21">
        <f>IF(IR$1&lt;INDEX('Valo FX'!$Q:$Q,MATCH($A11,'Valo FX'!$A:$A,0)),0,IF(IR$1&lt;INDEX('Valo FX'!$R:$R,MATCH($A11,'Valo FX'!$A:$A,0)),INDEX(Base!$U:$U,MATCH($A11,Base!$A:$A,0)),IF(IR$1=INDEX('Valo FX'!$R:$R,MATCH($A11,'Valo FX'!$A:$A,0)),INDEX(Base!$V:$V,MATCH($A11,Base!$A:$A,0)),0)))</f>
        <v>6.8100550000000002</v>
      </c>
      <c r="IS11" s="21">
        <f>IF(IS$1&lt;INDEX('Valo FX'!$Q:$Q,MATCH($A11,'Valo FX'!$A:$A,0)),0,IF(IS$1&lt;INDEX('Valo FX'!$R:$R,MATCH($A11,'Valo FX'!$A:$A,0)),INDEX(Base!$U:$U,MATCH($A11,Base!$A:$A,0)),IF(IS$1=INDEX('Valo FX'!$R:$R,MATCH($A11,'Valo FX'!$A:$A,0)),INDEX(Base!$V:$V,MATCH($A11,Base!$A:$A,0)),0)))</f>
        <v>6.8100550000000002</v>
      </c>
      <c r="IT11" s="21">
        <f>IF(IT$1&lt;INDEX('Valo FX'!$Q:$Q,MATCH($A11,'Valo FX'!$A:$A,0)),0,IF(IT$1&lt;INDEX('Valo FX'!$R:$R,MATCH($A11,'Valo FX'!$A:$A,0)),INDEX(Base!$U:$U,MATCH($A11,Base!$A:$A,0)),IF(IT$1=INDEX('Valo FX'!$R:$R,MATCH($A11,'Valo FX'!$A:$A,0)),INDEX(Base!$V:$V,MATCH($A11,Base!$A:$A,0)),0)))</f>
        <v>6.8100550000000002</v>
      </c>
      <c r="IU11" s="21">
        <f>IF(IU$1&lt;INDEX('Valo FX'!$Q:$Q,MATCH($A11,'Valo FX'!$A:$A,0)),0,IF(IU$1&lt;INDEX('Valo FX'!$R:$R,MATCH($A11,'Valo FX'!$A:$A,0)),INDEX(Base!$U:$U,MATCH($A11,Base!$A:$A,0)),IF(IU$1=INDEX('Valo FX'!$R:$R,MATCH($A11,'Valo FX'!$A:$A,0)),INDEX(Base!$V:$V,MATCH($A11,Base!$A:$A,0)),0)))</f>
        <v>6.8100550000000002</v>
      </c>
      <c r="IV11" s="21">
        <f>IF(IV$1&lt;INDEX('Valo FX'!$Q:$Q,MATCH($A11,'Valo FX'!$A:$A,0)),0,IF(IV$1&lt;INDEX('Valo FX'!$R:$R,MATCH($A11,'Valo FX'!$A:$A,0)),INDEX(Base!$U:$U,MATCH($A11,Base!$A:$A,0)),IF(IV$1=INDEX('Valo FX'!$R:$R,MATCH($A11,'Valo FX'!$A:$A,0)),INDEX(Base!$V:$V,MATCH($A11,Base!$A:$A,0)),0)))</f>
        <v>6.8100550000000002</v>
      </c>
      <c r="IW11" s="21">
        <f>IF(IW$1&lt;INDEX('Valo FX'!$Q:$Q,MATCH($A11,'Valo FX'!$A:$A,0)),0,IF(IW$1&lt;INDEX('Valo FX'!$R:$R,MATCH($A11,'Valo FX'!$A:$A,0)),INDEX(Base!$U:$U,MATCH($A11,Base!$A:$A,0)),IF(IW$1=INDEX('Valo FX'!$R:$R,MATCH($A11,'Valo FX'!$A:$A,0)),INDEX(Base!$V:$V,MATCH($A11,Base!$A:$A,0)),0)))</f>
        <v>6.8100550000000002</v>
      </c>
      <c r="IX11" s="21">
        <f>IF(IX$1&lt;INDEX('Valo FX'!$Q:$Q,MATCH($A11,'Valo FX'!$A:$A,0)),0,IF(IX$1&lt;INDEX('Valo FX'!$R:$R,MATCH($A11,'Valo FX'!$A:$A,0)),INDEX(Base!$U:$U,MATCH($A11,Base!$A:$A,0)),IF(IX$1=INDEX('Valo FX'!$R:$R,MATCH($A11,'Valo FX'!$A:$A,0)),INDEX(Base!$V:$V,MATCH($A11,Base!$A:$A,0)),0)))</f>
        <v>6.8100550000000002</v>
      </c>
      <c r="IY11" s="21">
        <f>IF(IY$1&lt;INDEX('Valo FX'!$Q:$Q,MATCH($A11,'Valo FX'!$A:$A,0)),0,IF(IY$1&lt;INDEX('Valo FX'!$R:$R,MATCH($A11,'Valo FX'!$A:$A,0)),INDEX(Base!$U:$U,MATCH($A11,Base!$A:$A,0)),IF(IY$1=INDEX('Valo FX'!$R:$R,MATCH($A11,'Valo FX'!$A:$A,0)),INDEX(Base!$V:$V,MATCH($A11,Base!$A:$A,0)),0)))</f>
        <v>6.8100550000000002</v>
      </c>
      <c r="IZ11" s="21">
        <f>IF(IZ$1&lt;INDEX('Valo FX'!$Q:$Q,MATCH($A11,'Valo FX'!$A:$A,0)),0,IF(IZ$1&lt;INDEX('Valo FX'!$R:$R,MATCH($A11,'Valo FX'!$A:$A,0)),INDEX(Base!$U:$U,MATCH($A11,Base!$A:$A,0)),IF(IZ$1=INDEX('Valo FX'!$R:$R,MATCH($A11,'Valo FX'!$A:$A,0)),INDEX(Base!$V:$V,MATCH($A11,Base!$A:$A,0)),0)))</f>
        <v>6.8100550000000002</v>
      </c>
      <c r="JA11" s="21">
        <f>IF(JA$1&lt;INDEX('Valo FX'!$Q:$Q,MATCH($A11,'Valo FX'!$A:$A,0)),0,IF(JA$1&lt;INDEX('Valo FX'!$R:$R,MATCH($A11,'Valo FX'!$A:$A,0)),INDEX(Base!$U:$U,MATCH($A11,Base!$A:$A,0)),IF(JA$1=INDEX('Valo FX'!$R:$R,MATCH($A11,'Valo FX'!$A:$A,0)),INDEX(Base!$V:$V,MATCH($A11,Base!$A:$A,0)),0)))</f>
        <v>6.8100550000000002</v>
      </c>
      <c r="JB11" s="21">
        <f>IF(JB$1&lt;INDEX('Valo FX'!$Q:$Q,MATCH($A11,'Valo FX'!$A:$A,0)),0,IF(JB$1&lt;INDEX('Valo FX'!$R:$R,MATCH($A11,'Valo FX'!$A:$A,0)),INDEX(Base!$U:$U,MATCH($A11,Base!$A:$A,0)),IF(JB$1=INDEX('Valo FX'!$R:$R,MATCH($A11,'Valo FX'!$A:$A,0)),INDEX(Base!$V:$V,MATCH($A11,Base!$A:$A,0)),0)))</f>
        <v>6.8100550000000002</v>
      </c>
      <c r="JC11" s="21">
        <f>IF(JC$1&lt;INDEX('Valo FX'!$Q:$Q,MATCH($A11,'Valo FX'!$A:$A,0)),0,IF(JC$1&lt;INDEX('Valo FX'!$R:$R,MATCH($A11,'Valo FX'!$A:$A,0)),INDEX(Base!$U:$U,MATCH($A11,Base!$A:$A,0)),IF(JC$1=INDEX('Valo FX'!$R:$R,MATCH($A11,'Valo FX'!$A:$A,0)),INDEX(Base!$V:$V,MATCH($A11,Base!$A:$A,0)),0)))</f>
        <v>6.8100550000000002</v>
      </c>
      <c r="JD11" s="21">
        <f>IF(JD$1&lt;INDEX('Valo FX'!$Q:$Q,MATCH($A11,'Valo FX'!$A:$A,0)),0,IF(JD$1&lt;INDEX('Valo FX'!$R:$R,MATCH($A11,'Valo FX'!$A:$A,0)),INDEX(Base!$U:$U,MATCH($A11,Base!$A:$A,0)),IF(JD$1=INDEX('Valo FX'!$R:$R,MATCH($A11,'Valo FX'!$A:$A,0)),INDEX(Base!$V:$V,MATCH($A11,Base!$A:$A,0)),0)))</f>
        <v>6.8100550000000002</v>
      </c>
      <c r="JE11" s="21">
        <f>IF(JE$1&lt;INDEX('Valo FX'!$Q:$Q,MATCH($A11,'Valo FX'!$A:$A,0)),0,IF(JE$1&lt;INDEX('Valo FX'!$R:$R,MATCH($A11,'Valo FX'!$A:$A,0)),INDEX(Base!$U:$U,MATCH($A11,Base!$A:$A,0)),IF(JE$1=INDEX('Valo FX'!$R:$R,MATCH($A11,'Valo FX'!$A:$A,0)),INDEX(Base!$V:$V,MATCH($A11,Base!$A:$A,0)),0)))</f>
        <v>6.8100550000000002</v>
      </c>
      <c r="JF11" s="21">
        <f>IF(JF$1&lt;INDEX('Valo FX'!$Q:$Q,MATCH($A11,'Valo FX'!$A:$A,0)),0,IF(JF$1&lt;INDEX('Valo FX'!$R:$R,MATCH($A11,'Valo FX'!$A:$A,0)),INDEX(Base!$U:$U,MATCH($A11,Base!$A:$A,0)),IF(JF$1=INDEX('Valo FX'!$R:$R,MATCH($A11,'Valo FX'!$A:$A,0)),INDEX(Base!$V:$V,MATCH($A11,Base!$A:$A,0)),0)))</f>
        <v>6.8100550000000002</v>
      </c>
      <c r="JG11" s="21">
        <f>IF(JG$1&lt;INDEX('Valo FX'!$Q:$Q,MATCH($A11,'Valo FX'!$A:$A,0)),0,IF(JG$1&lt;INDEX('Valo FX'!$R:$R,MATCH($A11,'Valo FX'!$A:$A,0)),INDEX(Base!$U:$U,MATCH($A11,Base!$A:$A,0)),IF(JG$1=INDEX('Valo FX'!$R:$R,MATCH($A11,'Valo FX'!$A:$A,0)),INDEX(Base!$V:$V,MATCH($A11,Base!$A:$A,0)),0)))</f>
        <v>6.8100550000000002</v>
      </c>
      <c r="JH11" s="21">
        <f>IF(JH$1&lt;INDEX('Valo FX'!$Q:$Q,MATCH($A11,'Valo FX'!$A:$A,0)),0,IF(JH$1&lt;INDEX('Valo FX'!$R:$R,MATCH($A11,'Valo FX'!$A:$A,0)),INDEX(Base!$U:$U,MATCH($A11,Base!$A:$A,0)),IF(JH$1=INDEX('Valo FX'!$R:$R,MATCH($A11,'Valo FX'!$A:$A,0)),INDEX(Base!$V:$V,MATCH($A11,Base!$A:$A,0)),0)))</f>
        <v>6.8100550000000002</v>
      </c>
      <c r="JI11" s="21">
        <f>IF(JI$1&lt;INDEX('Valo FX'!$Q:$Q,MATCH($A11,'Valo FX'!$A:$A,0)),0,IF(JI$1&lt;INDEX('Valo FX'!$R:$R,MATCH($A11,'Valo FX'!$A:$A,0)),INDEX(Base!$U:$U,MATCH($A11,Base!$A:$A,0)),IF(JI$1=INDEX('Valo FX'!$R:$R,MATCH($A11,'Valo FX'!$A:$A,0)),INDEX(Base!$V:$V,MATCH($A11,Base!$A:$A,0)),0)))</f>
        <v>6.8100550000000002</v>
      </c>
      <c r="JJ11" s="21">
        <f>IF(JJ$1&lt;INDEX('Valo FX'!$Q:$Q,MATCH($A11,'Valo FX'!$A:$A,0)),0,IF(JJ$1&lt;INDEX('Valo FX'!$R:$R,MATCH($A11,'Valo FX'!$A:$A,0)),INDEX(Base!$U:$U,MATCH($A11,Base!$A:$A,0)),IF(JJ$1=INDEX('Valo FX'!$R:$R,MATCH($A11,'Valo FX'!$A:$A,0)),INDEX(Base!$V:$V,MATCH($A11,Base!$A:$A,0)),0)))</f>
        <v>6.8100550000000002</v>
      </c>
      <c r="JK11" s="21">
        <f>IF(JK$1&lt;INDEX('Valo FX'!$Q:$Q,MATCH($A11,'Valo FX'!$A:$A,0)),0,IF(JK$1&lt;INDEX('Valo FX'!$R:$R,MATCH($A11,'Valo FX'!$A:$A,0)),INDEX(Base!$U:$U,MATCH($A11,Base!$A:$A,0)),IF(JK$1=INDEX('Valo FX'!$R:$R,MATCH($A11,'Valo FX'!$A:$A,0)),INDEX(Base!$V:$V,MATCH($A11,Base!$A:$A,0)),0)))</f>
        <v>6.8100550000000002</v>
      </c>
      <c r="JL11" s="21">
        <f>IF(JL$1&lt;INDEX('Valo FX'!$Q:$Q,MATCH($A11,'Valo FX'!$A:$A,0)),0,IF(JL$1&lt;INDEX('Valo FX'!$R:$R,MATCH($A11,'Valo FX'!$A:$A,0)),INDEX(Base!$U:$U,MATCH($A11,Base!$A:$A,0)),IF(JL$1=INDEX('Valo FX'!$R:$R,MATCH($A11,'Valo FX'!$A:$A,0)),INDEX(Base!$V:$V,MATCH($A11,Base!$A:$A,0)),0)))</f>
        <v>6.8100550000000002</v>
      </c>
      <c r="JM11" s="21">
        <f>IF(JM$1&lt;INDEX('Valo FX'!$Q:$Q,MATCH($A11,'Valo FX'!$A:$A,0)),0,IF(JM$1&lt;INDEX('Valo FX'!$R:$R,MATCH($A11,'Valo FX'!$A:$A,0)),INDEX(Base!$U:$U,MATCH($A11,Base!$A:$A,0)),IF(JM$1=INDEX('Valo FX'!$R:$R,MATCH($A11,'Valo FX'!$A:$A,0)),INDEX(Base!$V:$V,MATCH($A11,Base!$A:$A,0)),0)))</f>
        <v>6.8100550000000002</v>
      </c>
      <c r="JN11" s="21">
        <f>IF(JN$1&lt;INDEX('Valo FX'!$Q:$Q,MATCH($A11,'Valo FX'!$A:$A,0)),0,IF(JN$1&lt;INDEX('Valo FX'!$R:$R,MATCH($A11,'Valo FX'!$A:$A,0)),INDEX(Base!$U:$U,MATCH($A11,Base!$A:$A,0)),IF(JN$1=INDEX('Valo FX'!$R:$R,MATCH($A11,'Valo FX'!$A:$A,0)),INDEX(Base!$V:$V,MATCH($A11,Base!$A:$A,0)),0)))</f>
        <v>6.8100550000000002</v>
      </c>
      <c r="JO11" s="21">
        <f>IF(JO$1&lt;INDEX('Valo FX'!$Q:$Q,MATCH($A11,'Valo FX'!$A:$A,0)),0,IF(JO$1&lt;INDEX('Valo FX'!$R:$R,MATCH($A11,'Valo FX'!$A:$A,0)),INDEX(Base!$U:$U,MATCH($A11,Base!$A:$A,0)),IF(JO$1=INDEX('Valo FX'!$R:$R,MATCH($A11,'Valo FX'!$A:$A,0)),INDEX(Base!$V:$V,MATCH($A11,Base!$A:$A,0)),0)))</f>
        <v>6.8100550000000002</v>
      </c>
      <c r="JP11" s="21">
        <f>IF(JP$1&lt;INDEX('Valo FX'!$Q:$Q,MATCH($A11,'Valo FX'!$A:$A,0)),0,IF(JP$1&lt;INDEX('Valo FX'!$R:$R,MATCH($A11,'Valo FX'!$A:$A,0)),INDEX(Base!$U:$U,MATCH($A11,Base!$A:$A,0)),IF(JP$1=INDEX('Valo FX'!$R:$R,MATCH($A11,'Valo FX'!$A:$A,0)),INDEX(Base!$V:$V,MATCH($A11,Base!$A:$A,0)),0)))</f>
        <v>6.8100550000000002</v>
      </c>
      <c r="JQ11" s="21">
        <f>IF(JQ$1&lt;INDEX('Valo FX'!$Q:$Q,MATCH($A11,'Valo FX'!$A:$A,0)),0,IF(JQ$1&lt;INDEX('Valo FX'!$R:$R,MATCH($A11,'Valo FX'!$A:$A,0)),INDEX(Base!$U:$U,MATCH($A11,Base!$A:$A,0)),IF(JQ$1=INDEX('Valo FX'!$R:$R,MATCH($A11,'Valo FX'!$A:$A,0)),INDEX(Base!$V:$V,MATCH($A11,Base!$A:$A,0)),0)))</f>
        <v>6.8100550000000002</v>
      </c>
      <c r="JR11" s="21">
        <f>IF(JR$1&lt;INDEX('Valo FX'!$Q:$Q,MATCH($A11,'Valo FX'!$A:$A,0)),0,IF(JR$1&lt;INDEX('Valo FX'!$R:$R,MATCH($A11,'Valo FX'!$A:$A,0)),INDEX(Base!$U:$U,MATCH($A11,Base!$A:$A,0)),IF(JR$1=INDEX('Valo FX'!$R:$R,MATCH($A11,'Valo FX'!$A:$A,0)),INDEX(Base!$V:$V,MATCH($A11,Base!$A:$A,0)),0)))</f>
        <v>6.8100550000000002</v>
      </c>
      <c r="JS11" s="21">
        <f>IF(JS$1&lt;INDEX('Valo FX'!$Q:$Q,MATCH($A11,'Valo FX'!$A:$A,0)),0,IF(JS$1&lt;INDEX('Valo FX'!$R:$R,MATCH($A11,'Valo FX'!$A:$A,0)),INDEX(Base!$U:$U,MATCH($A11,Base!$A:$A,0)),IF(JS$1=INDEX('Valo FX'!$R:$R,MATCH($A11,'Valo FX'!$A:$A,0)),INDEX(Base!$V:$V,MATCH($A11,Base!$A:$A,0)),0)))</f>
        <v>6.8100550000000002</v>
      </c>
      <c r="JT11" s="21">
        <f>IF(JT$1&lt;INDEX('Valo FX'!$Q:$Q,MATCH($A11,'Valo FX'!$A:$A,0)),0,IF(JT$1&lt;INDEX('Valo FX'!$R:$R,MATCH($A11,'Valo FX'!$A:$A,0)),INDEX(Base!$U:$U,MATCH($A11,Base!$A:$A,0)),IF(JT$1=INDEX('Valo FX'!$R:$R,MATCH($A11,'Valo FX'!$A:$A,0)),INDEX(Base!$V:$V,MATCH($A11,Base!$A:$A,0)),0)))</f>
        <v>6.8100550000000002</v>
      </c>
      <c r="JU11" s="21">
        <f>IF(JU$1&lt;INDEX('Valo FX'!$Q:$Q,MATCH($A11,'Valo FX'!$A:$A,0)),0,IF(JU$1&lt;INDEX('Valo FX'!$R:$R,MATCH($A11,'Valo FX'!$A:$A,0)),INDEX(Base!$U:$U,MATCH($A11,Base!$A:$A,0)),IF(JU$1=INDEX('Valo FX'!$R:$R,MATCH($A11,'Valo FX'!$A:$A,0)),INDEX(Base!$V:$V,MATCH($A11,Base!$A:$A,0)),0)))</f>
        <v>6.8100550000000002</v>
      </c>
      <c r="JV11" s="21">
        <f>IF(JV$1&lt;INDEX('Valo FX'!$Q:$Q,MATCH($A11,'Valo FX'!$A:$A,0)),0,IF(JV$1&lt;INDEX('Valo FX'!$R:$R,MATCH($A11,'Valo FX'!$A:$A,0)),INDEX(Base!$U:$U,MATCH($A11,Base!$A:$A,0)),IF(JV$1=INDEX('Valo FX'!$R:$R,MATCH($A11,'Valo FX'!$A:$A,0)),INDEX(Base!$V:$V,MATCH($A11,Base!$A:$A,0)),0)))</f>
        <v>6.8100550000000002</v>
      </c>
      <c r="JW11" s="21">
        <f>IF(JW$1&lt;INDEX('Valo FX'!$Q:$Q,MATCH($A11,'Valo FX'!$A:$A,0)),0,IF(JW$1&lt;INDEX('Valo FX'!$R:$R,MATCH($A11,'Valo FX'!$A:$A,0)),INDEX(Base!$U:$U,MATCH($A11,Base!$A:$A,0)),IF(JW$1=INDEX('Valo FX'!$R:$R,MATCH($A11,'Valo FX'!$A:$A,0)),INDEX(Base!$V:$V,MATCH($A11,Base!$A:$A,0)),0)))</f>
        <v>6.8100550000000002</v>
      </c>
      <c r="JX11" s="21">
        <f>IF(JX$1&lt;INDEX('Valo FX'!$Q:$Q,MATCH($A11,'Valo FX'!$A:$A,0)),0,IF(JX$1&lt;INDEX('Valo FX'!$R:$R,MATCH($A11,'Valo FX'!$A:$A,0)),INDEX(Base!$U:$U,MATCH($A11,Base!$A:$A,0)),IF(JX$1=INDEX('Valo FX'!$R:$R,MATCH($A11,'Valo FX'!$A:$A,0)),INDEX(Base!$V:$V,MATCH($A11,Base!$A:$A,0)),0)))</f>
        <v>6.8100550000000002</v>
      </c>
      <c r="JY11" s="21">
        <f>IF(JY$1&lt;INDEX('Valo FX'!$Q:$Q,MATCH($A11,'Valo FX'!$A:$A,0)),0,IF(JY$1&lt;INDEX('Valo FX'!$R:$R,MATCH($A11,'Valo FX'!$A:$A,0)),INDEX(Base!$U:$U,MATCH($A11,Base!$A:$A,0)),IF(JY$1=INDEX('Valo FX'!$R:$R,MATCH($A11,'Valo FX'!$A:$A,0)),INDEX(Base!$V:$V,MATCH($A11,Base!$A:$A,0)),0)))</f>
        <v>6.8100550000000002</v>
      </c>
      <c r="JZ11" s="21">
        <f>IF(JZ$1&lt;INDEX('Valo FX'!$Q:$Q,MATCH($A11,'Valo FX'!$A:$A,0)),0,IF(JZ$1&lt;INDEX('Valo FX'!$R:$R,MATCH($A11,'Valo FX'!$A:$A,0)),INDEX(Base!$U:$U,MATCH($A11,Base!$A:$A,0)),IF(JZ$1=INDEX('Valo FX'!$R:$R,MATCH($A11,'Valo FX'!$A:$A,0)),INDEX(Base!$V:$V,MATCH($A11,Base!$A:$A,0)),0)))</f>
        <v>6.8100550000000002</v>
      </c>
      <c r="KA11" s="21">
        <f>IF(KA$1&lt;INDEX('Valo FX'!$Q:$Q,MATCH($A11,'Valo FX'!$A:$A,0)),0,IF(KA$1&lt;INDEX('Valo FX'!$R:$R,MATCH($A11,'Valo FX'!$A:$A,0)),INDEX(Base!$U:$U,MATCH($A11,Base!$A:$A,0)),IF(KA$1=INDEX('Valo FX'!$R:$R,MATCH($A11,'Valo FX'!$A:$A,0)),INDEX(Base!$V:$V,MATCH($A11,Base!$A:$A,0)),0)))</f>
        <v>6.8100550000000002</v>
      </c>
      <c r="KB11" s="21">
        <f>IF(KB$1&lt;INDEX('Valo FX'!$Q:$Q,MATCH($A11,'Valo FX'!$A:$A,0)),0,IF(KB$1&lt;INDEX('Valo FX'!$R:$R,MATCH($A11,'Valo FX'!$A:$A,0)),INDEX(Base!$U:$U,MATCH($A11,Base!$A:$A,0)),IF(KB$1=INDEX('Valo FX'!$R:$R,MATCH($A11,'Valo FX'!$A:$A,0)),INDEX(Base!$V:$V,MATCH($A11,Base!$A:$A,0)),0)))</f>
        <v>6.8100550000000002</v>
      </c>
      <c r="KC11" s="21">
        <f>IF(KC$1&lt;INDEX('Valo FX'!$Q:$Q,MATCH($A11,'Valo FX'!$A:$A,0)),0,IF(KC$1&lt;INDEX('Valo FX'!$R:$R,MATCH($A11,'Valo FX'!$A:$A,0)),INDEX(Base!$U:$U,MATCH($A11,Base!$A:$A,0)),IF(KC$1=INDEX('Valo FX'!$R:$R,MATCH($A11,'Valo FX'!$A:$A,0)),INDEX(Base!$V:$V,MATCH($A11,Base!$A:$A,0)),0)))</f>
        <v>6.8100550000000002</v>
      </c>
      <c r="KD11" s="21">
        <f>IF(KD$1&lt;INDEX('Valo FX'!$Q:$Q,MATCH($A11,'Valo FX'!$A:$A,0)),0,IF(KD$1&lt;INDEX('Valo FX'!$R:$R,MATCH($A11,'Valo FX'!$A:$A,0)),INDEX(Base!$U:$U,MATCH($A11,Base!$A:$A,0)),IF(KD$1=INDEX('Valo FX'!$R:$R,MATCH($A11,'Valo FX'!$A:$A,0)),INDEX(Base!$V:$V,MATCH($A11,Base!$A:$A,0)),0)))</f>
        <v>6.8100550000000002</v>
      </c>
      <c r="KE11" s="21">
        <f>IF(KE$1&lt;INDEX('Valo FX'!$Q:$Q,MATCH($A11,'Valo FX'!$A:$A,0)),0,IF(KE$1&lt;INDEX('Valo FX'!$R:$R,MATCH($A11,'Valo FX'!$A:$A,0)),INDEX(Base!$U:$U,MATCH($A11,Base!$A:$A,0)),IF(KE$1=INDEX('Valo FX'!$R:$R,MATCH($A11,'Valo FX'!$A:$A,0)),INDEX(Base!$V:$V,MATCH($A11,Base!$A:$A,0)),0)))</f>
        <v>6.8100550000000002</v>
      </c>
      <c r="KF11" s="21">
        <f>IF(KF$1&lt;INDEX('Valo FX'!$Q:$Q,MATCH($A11,'Valo FX'!$A:$A,0)),0,IF(KF$1&lt;INDEX('Valo FX'!$R:$R,MATCH($A11,'Valo FX'!$A:$A,0)),INDEX(Base!$U:$U,MATCH($A11,Base!$A:$A,0)),IF(KF$1=INDEX('Valo FX'!$R:$R,MATCH($A11,'Valo FX'!$A:$A,0)),INDEX(Base!$V:$V,MATCH($A11,Base!$A:$A,0)),0)))</f>
        <v>6.8100550000000002</v>
      </c>
      <c r="KG11" s="21">
        <f>IF(KG$1&lt;INDEX('Valo FX'!$Q:$Q,MATCH($A11,'Valo FX'!$A:$A,0)),0,IF(KG$1&lt;INDEX('Valo FX'!$R:$R,MATCH($A11,'Valo FX'!$A:$A,0)),INDEX(Base!$U:$U,MATCH($A11,Base!$A:$A,0)),IF(KG$1=INDEX('Valo FX'!$R:$R,MATCH($A11,'Valo FX'!$A:$A,0)),INDEX(Base!$V:$V,MATCH($A11,Base!$A:$A,0)),0)))</f>
        <v>6.8100550000000002</v>
      </c>
      <c r="KH11" s="21">
        <f>IF(KH$1&lt;INDEX('Valo FX'!$Q:$Q,MATCH($A11,'Valo FX'!$A:$A,0)),0,IF(KH$1&lt;INDEX('Valo FX'!$R:$R,MATCH($A11,'Valo FX'!$A:$A,0)),INDEX(Base!$U:$U,MATCH($A11,Base!$A:$A,0)),IF(KH$1=INDEX('Valo FX'!$R:$R,MATCH($A11,'Valo FX'!$A:$A,0)),INDEX(Base!$V:$V,MATCH($A11,Base!$A:$A,0)),0)))</f>
        <v>6.8100550000000002</v>
      </c>
      <c r="KI11" s="21">
        <f>IF(KI$1&lt;INDEX('Valo FX'!$Q:$Q,MATCH($A11,'Valo FX'!$A:$A,0)),0,IF(KI$1&lt;INDEX('Valo FX'!$R:$R,MATCH($A11,'Valo FX'!$A:$A,0)),INDEX(Base!$U:$U,MATCH($A11,Base!$A:$A,0)),IF(KI$1=INDEX('Valo FX'!$R:$R,MATCH($A11,'Valo FX'!$A:$A,0)),INDEX(Base!$V:$V,MATCH($A11,Base!$A:$A,0)),0)))</f>
        <v>6.8100550000000002</v>
      </c>
      <c r="KJ11" s="21">
        <f>IF(KJ$1&lt;INDEX('Valo FX'!$Q:$Q,MATCH($A11,'Valo FX'!$A:$A,0)),0,IF(KJ$1&lt;INDEX('Valo FX'!$R:$R,MATCH($A11,'Valo FX'!$A:$A,0)),INDEX(Base!$U:$U,MATCH($A11,Base!$A:$A,0)),IF(KJ$1=INDEX('Valo FX'!$R:$R,MATCH($A11,'Valo FX'!$A:$A,0)),INDEX(Base!$V:$V,MATCH($A11,Base!$A:$A,0)),0)))</f>
        <v>6.8100550000000002</v>
      </c>
      <c r="KK11" s="21">
        <f>IF(KK$1&lt;INDEX('Valo FX'!$Q:$Q,MATCH($A11,'Valo FX'!$A:$A,0)),0,IF(KK$1&lt;INDEX('Valo FX'!$R:$R,MATCH($A11,'Valo FX'!$A:$A,0)),INDEX(Base!$U:$U,MATCH($A11,Base!$A:$A,0)),IF(KK$1=INDEX('Valo FX'!$R:$R,MATCH($A11,'Valo FX'!$A:$A,0)),INDEX(Base!$V:$V,MATCH($A11,Base!$A:$A,0)),0)))</f>
        <v>6.8100550000000002</v>
      </c>
      <c r="KL11" s="21">
        <f>IF(KL$1&lt;INDEX('Valo FX'!$Q:$Q,MATCH($A11,'Valo FX'!$A:$A,0)),0,IF(KL$1&lt;INDEX('Valo FX'!$R:$R,MATCH($A11,'Valo FX'!$A:$A,0)),INDEX(Base!$U:$U,MATCH($A11,Base!$A:$A,0)),IF(KL$1=INDEX('Valo FX'!$R:$R,MATCH($A11,'Valo FX'!$A:$A,0)),INDEX(Base!$V:$V,MATCH($A11,Base!$A:$A,0)),0)))</f>
        <v>6.8100550000000002</v>
      </c>
      <c r="KM11" s="21">
        <f>IF(KM$1&lt;INDEX('Valo FX'!$Q:$Q,MATCH($A11,'Valo FX'!$A:$A,0)),0,IF(KM$1&lt;INDEX('Valo FX'!$R:$R,MATCH($A11,'Valo FX'!$A:$A,0)),INDEX(Base!$U:$U,MATCH($A11,Base!$A:$A,0)),IF(KM$1=INDEX('Valo FX'!$R:$R,MATCH($A11,'Valo FX'!$A:$A,0)),INDEX(Base!$V:$V,MATCH($A11,Base!$A:$A,0)),0)))</f>
        <v>6.8100550000000002</v>
      </c>
      <c r="KN11" s="21">
        <f>IF(KN$1&lt;INDEX('Valo FX'!$Q:$Q,MATCH($A11,'Valo FX'!$A:$A,0)),0,IF(KN$1&lt;INDEX('Valo FX'!$R:$R,MATCH($A11,'Valo FX'!$A:$A,0)),INDEX(Base!$U:$U,MATCH($A11,Base!$A:$A,0)),IF(KN$1=INDEX('Valo FX'!$R:$R,MATCH($A11,'Valo FX'!$A:$A,0)),INDEX(Base!$V:$V,MATCH($A11,Base!$A:$A,0)),0)))</f>
        <v>6.8100550000000002</v>
      </c>
      <c r="KO11" s="21">
        <f>IF(KO$1&lt;INDEX('Valo FX'!$Q:$Q,MATCH($A11,'Valo FX'!$A:$A,0)),0,IF(KO$1&lt;INDEX('Valo FX'!$R:$R,MATCH($A11,'Valo FX'!$A:$A,0)),INDEX(Base!$U:$U,MATCH($A11,Base!$A:$A,0)),IF(KO$1=INDEX('Valo FX'!$R:$R,MATCH($A11,'Valo FX'!$A:$A,0)),INDEX(Base!$V:$V,MATCH($A11,Base!$A:$A,0)),0)))</f>
        <v>6.8100550000000002</v>
      </c>
      <c r="KP11" s="21">
        <f>IF(KP$1&lt;INDEX('Valo FX'!$Q:$Q,MATCH($A11,'Valo FX'!$A:$A,0)),0,IF(KP$1&lt;INDEX('Valo FX'!$R:$R,MATCH($A11,'Valo FX'!$A:$A,0)),INDEX(Base!$U:$U,MATCH($A11,Base!$A:$A,0)),IF(KP$1=INDEX('Valo FX'!$R:$R,MATCH($A11,'Valo FX'!$A:$A,0)),INDEX(Base!$V:$V,MATCH($A11,Base!$A:$A,0)),0)))</f>
        <v>6.8100550000000002</v>
      </c>
      <c r="KQ11" s="21">
        <f>IF(KQ$1&lt;INDEX('Valo FX'!$Q:$Q,MATCH($A11,'Valo FX'!$A:$A,0)),0,IF(KQ$1&lt;INDEX('Valo FX'!$R:$R,MATCH($A11,'Valo FX'!$A:$A,0)),INDEX(Base!$U:$U,MATCH($A11,Base!$A:$A,0)),IF(KQ$1=INDEX('Valo FX'!$R:$R,MATCH($A11,'Valo FX'!$A:$A,0)),INDEX(Base!$V:$V,MATCH($A11,Base!$A:$A,0)),0)))</f>
        <v>6.8100550000000002</v>
      </c>
      <c r="KR11" s="21">
        <f>IF(KR$1&lt;INDEX('Valo FX'!$Q:$Q,MATCH($A11,'Valo FX'!$A:$A,0)),0,IF(KR$1&lt;INDEX('Valo FX'!$R:$R,MATCH($A11,'Valo FX'!$A:$A,0)),INDEX(Base!$U:$U,MATCH($A11,Base!$A:$A,0)),IF(KR$1=INDEX('Valo FX'!$R:$R,MATCH($A11,'Valo FX'!$A:$A,0)),INDEX(Base!$V:$V,MATCH($A11,Base!$A:$A,0)),0)))</f>
        <v>6.8100550000000002</v>
      </c>
      <c r="KS11" s="21">
        <f>IF(KS$1&lt;INDEX('Valo FX'!$Q:$Q,MATCH($A11,'Valo FX'!$A:$A,0)),0,IF(KS$1&lt;INDEX('Valo FX'!$R:$R,MATCH($A11,'Valo FX'!$A:$A,0)),INDEX(Base!$U:$U,MATCH($A11,Base!$A:$A,0)),IF(KS$1=INDEX('Valo FX'!$R:$R,MATCH($A11,'Valo FX'!$A:$A,0)),INDEX(Base!$V:$V,MATCH($A11,Base!$A:$A,0)),0)))</f>
        <v>6.8100550000000002</v>
      </c>
      <c r="KT11" s="21">
        <f>IF(KT$1&lt;INDEX('Valo FX'!$Q:$Q,MATCH($A11,'Valo FX'!$A:$A,0)),0,IF(KT$1&lt;INDEX('Valo FX'!$R:$R,MATCH($A11,'Valo FX'!$A:$A,0)),INDEX(Base!$U:$U,MATCH($A11,Base!$A:$A,0)),IF(KT$1=INDEX('Valo FX'!$R:$R,MATCH($A11,'Valo FX'!$A:$A,0)),INDEX(Base!$V:$V,MATCH($A11,Base!$A:$A,0)),0)))</f>
        <v>6.8100550000000002</v>
      </c>
      <c r="KU11" s="21">
        <f>IF(KU$1&lt;INDEX('Valo FX'!$Q:$Q,MATCH($A11,'Valo FX'!$A:$A,0)),0,IF(KU$1&lt;INDEX('Valo FX'!$R:$R,MATCH($A11,'Valo FX'!$A:$A,0)),INDEX(Base!$U:$U,MATCH($A11,Base!$A:$A,0)),IF(KU$1=INDEX('Valo FX'!$R:$R,MATCH($A11,'Valo FX'!$A:$A,0)),INDEX(Base!$V:$V,MATCH($A11,Base!$A:$A,0)),0)))</f>
        <v>6.8100550000000002</v>
      </c>
      <c r="KV11" s="21">
        <f>IF(KV$1&lt;INDEX('Valo FX'!$Q:$Q,MATCH($A11,'Valo FX'!$A:$A,0)),0,IF(KV$1&lt;INDEX('Valo FX'!$R:$R,MATCH($A11,'Valo FX'!$A:$A,0)),INDEX(Base!$U:$U,MATCH($A11,Base!$A:$A,0)),IF(KV$1=INDEX('Valo FX'!$R:$R,MATCH($A11,'Valo FX'!$A:$A,0)),INDEX(Base!$V:$V,MATCH($A11,Base!$A:$A,0)),0)))</f>
        <v>6.8100550000000002</v>
      </c>
      <c r="KW11" s="21">
        <f>IF(KW$1&lt;INDEX('Valo FX'!$Q:$Q,MATCH($A11,'Valo FX'!$A:$A,0)),0,IF(KW$1&lt;INDEX('Valo FX'!$R:$R,MATCH($A11,'Valo FX'!$A:$A,0)),INDEX(Base!$U:$U,MATCH($A11,Base!$A:$A,0)),IF(KW$1=INDEX('Valo FX'!$R:$R,MATCH($A11,'Valo FX'!$A:$A,0)),INDEX(Base!$V:$V,MATCH($A11,Base!$A:$A,0)),0)))</f>
        <v>6.8100550000000002</v>
      </c>
      <c r="KX11" s="21">
        <f>IF(KX$1&lt;INDEX('Valo FX'!$Q:$Q,MATCH($A11,'Valo FX'!$A:$A,0)),0,IF(KX$1&lt;INDEX('Valo FX'!$R:$R,MATCH($A11,'Valo FX'!$A:$A,0)),INDEX(Base!$U:$U,MATCH($A11,Base!$A:$A,0)),IF(KX$1=INDEX('Valo FX'!$R:$R,MATCH($A11,'Valo FX'!$A:$A,0)),INDEX(Base!$V:$V,MATCH($A11,Base!$A:$A,0)),0)))</f>
        <v>6.8100550000000002</v>
      </c>
      <c r="KY11" s="21">
        <f>IF(KY$1&lt;INDEX('Valo FX'!$Q:$Q,MATCH($A11,'Valo FX'!$A:$A,0)),0,IF(KY$1&lt;INDEX('Valo FX'!$R:$R,MATCH($A11,'Valo FX'!$A:$A,0)),INDEX(Base!$U:$U,MATCH($A11,Base!$A:$A,0)),IF(KY$1=INDEX('Valo FX'!$R:$R,MATCH($A11,'Valo FX'!$A:$A,0)),INDEX(Base!$V:$V,MATCH($A11,Base!$A:$A,0)),0)))</f>
        <v>6.8100550000000002</v>
      </c>
      <c r="KZ11" s="21">
        <f>IF(KZ$1&lt;INDEX('Valo FX'!$Q:$Q,MATCH($A11,'Valo FX'!$A:$A,0)),0,IF(KZ$1&lt;INDEX('Valo FX'!$R:$R,MATCH($A11,'Valo FX'!$A:$A,0)),INDEX(Base!$U:$U,MATCH($A11,Base!$A:$A,0)),IF(KZ$1=INDEX('Valo FX'!$R:$R,MATCH($A11,'Valo FX'!$A:$A,0)),INDEX(Base!$V:$V,MATCH($A11,Base!$A:$A,0)),0)))</f>
        <v>6.8100550000000002</v>
      </c>
      <c r="LA11" s="21">
        <f>IF(LA$1&lt;INDEX('Valo FX'!$Q:$Q,MATCH($A11,'Valo FX'!$A:$A,0)),0,IF(LA$1&lt;INDEX('Valo FX'!$R:$R,MATCH($A11,'Valo FX'!$A:$A,0)),INDEX(Base!$U:$U,MATCH($A11,Base!$A:$A,0)),IF(LA$1=INDEX('Valo FX'!$R:$R,MATCH($A11,'Valo FX'!$A:$A,0)),INDEX(Base!$V:$V,MATCH($A11,Base!$A:$A,0)),0)))</f>
        <v>6.8100550000000002</v>
      </c>
      <c r="LB11" s="21">
        <f>IF(LB$1&lt;INDEX('Valo FX'!$Q:$Q,MATCH($A11,'Valo FX'!$A:$A,0)),0,IF(LB$1&lt;INDEX('Valo FX'!$R:$R,MATCH($A11,'Valo FX'!$A:$A,0)),INDEX(Base!$U:$U,MATCH($A11,Base!$A:$A,0)),IF(LB$1=INDEX('Valo FX'!$R:$R,MATCH($A11,'Valo FX'!$A:$A,0)),INDEX(Base!$V:$V,MATCH($A11,Base!$A:$A,0)),0)))</f>
        <v>6.8261649999999996</v>
      </c>
      <c r="LC11" s="21">
        <f>IF(LC$1&lt;INDEX('Valo FX'!$Q:$Q,MATCH($A11,'Valo FX'!$A:$A,0)),0,IF(LC$1&lt;INDEX('Valo FX'!$R:$R,MATCH($A11,'Valo FX'!$A:$A,0)),INDEX(Base!$U:$U,MATCH($A11,Base!$A:$A,0)),IF(LC$1=INDEX('Valo FX'!$R:$R,MATCH($A11,'Valo FX'!$A:$A,0)),INDEX(Base!$V:$V,MATCH($A11,Base!$A:$A,0)),0)))</f>
        <v>0</v>
      </c>
      <c r="LD11" s="21">
        <f>IF(LD$1&lt;INDEX('Valo FX'!$Q:$Q,MATCH($A11,'Valo FX'!$A:$A,0)),0,IF(LD$1&lt;INDEX('Valo FX'!$R:$R,MATCH($A11,'Valo FX'!$A:$A,0)),INDEX(Base!$U:$U,MATCH($A11,Base!$A:$A,0)),IF(LD$1=INDEX('Valo FX'!$R:$R,MATCH($A11,'Valo FX'!$A:$A,0)),INDEX(Base!$V:$V,MATCH($A11,Base!$A:$A,0)),0)))</f>
        <v>0</v>
      </c>
      <c r="LE11" s="21">
        <f>IF(LE$1&lt;INDEX('Valo FX'!$Q:$Q,MATCH($A11,'Valo FX'!$A:$A,0)),0,IF(LE$1&lt;INDEX('Valo FX'!$R:$R,MATCH($A11,'Valo FX'!$A:$A,0)),INDEX(Base!$U:$U,MATCH($A11,Base!$A:$A,0)),IF(LE$1=INDEX('Valo FX'!$R:$R,MATCH($A11,'Valo FX'!$A:$A,0)),INDEX(Base!$V:$V,MATCH($A11,Base!$A:$A,0)),0)))</f>
        <v>0</v>
      </c>
      <c r="LF11" s="21">
        <f>IF(LF$1&lt;INDEX('Valo FX'!$Q:$Q,MATCH($A11,'Valo FX'!$A:$A,0)),0,IF(LF$1&lt;INDEX('Valo FX'!$R:$R,MATCH($A11,'Valo FX'!$A:$A,0)),INDEX(Base!$U:$U,MATCH($A11,Base!$A:$A,0)),IF(LF$1=INDEX('Valo FX'!$R:$R,MATCH($A11,'Valo FX'!$A:$A,0)),INDEX(Base!$V:$V,MATCH($A11,Base!$A:$A,0)),0)))</f>
        <v>0</v>
      </c>
      <c r="LG11" s="21">
        <f>IF(LG$1&lt;INDEX('Valo FX'!$Q:$Q,MATCH($A11,'Valo FX'!$A:$A,0)),0,IF(LG$1&lt;INDEX('Valo FX'!$R:$R,MATCH($A11,'Valo FX'!$A:$A,0)),INDEX(Base!$U:$U,MATCH($A11,Base!$A:$A,0)),IF(LG$1=INDEX('Valo FX'!$R:$R,MATCH($A11,'Valo FX'!$A:$A,0)),INDEX(Base!$V:$V,MATCH($A11,Base!$A:$A,0)),0)))</f>
        <v>0</v>
      </c>
      <c r="LH11" s="21">
        <f>IF(LH$1&lt;INDEX('Valo FX'!$Q:$Q,MATCH($A11,'Valo FX'!$A:$A,0)),0,IF(LH$1&lt;INDEX('Valo FX'!$R:$R,MATCH($A11,'Valo FX'!$A:$A,0)),INDEX(Base!$U:$U,MATCH($A11,Base!$A:$A,0)),IF(LH$1=INDEX('Valo FX'!$R:$R,MATCH($A11,'Valo FX'!$A:$A,0)),INDEX(Base!$V:$V,MATCH($A11,Base!$A:$A,0)),0)))</f>
        <v>0</v>
      </c>
      <c r="LI11" s="21">
        <f>IF(LI$1&lt;INDEX('Valo FX'!$Q:$Q,MATCH($A11,'Valo FX'!$A:$A,0)),0,IF(LI$1&lt;INDEX('Valo FX'!$R:$R,MATCH($A11,'Valo FX'!$A:$A,0)),INDEX(Base!$U:$U,MATCH($A11,Base!$A:$A,0)),IF(LI$1=INDEX('Valo FX'!$R:$R,MATCH($A11,'Valo FX'!$A:$A,0)),INDEX(Base!$V:$V,MATCH($A11,Base!$A:$A,0)),0)))</f>
        <v>0</v>
      </c>
      <c r="LJ11" s="21">
        <f>IF(LJ$1&lt;INDEX('Valo FX'!$Q:$Q,MATCH($A11,'Valo FX'!$A:$A,0)),0,IF(LJ$1&lt;INDEX('Valo FX'!$R:$R,MATCH($A11,'Valo FX'!$A:$A,0)),INDEX(Base!$U:$U,MATCH($A11,Base!$A:$A,0)),IF(LJ$1=INDEX('Valo FX'!$R:$R,MATCH($A11,'Valo FX'!$A:$A,0)),INDEX(Base!$V:$V,MATCH($A11,Base!$A:$A,0)),0)))</f>
        <v>0</v>
      </c>
      <c r="LK11" s="21">
        <f>IF(LK$1&lt;INDEX('Valo FX'!$Q:$Q,MATCH($A11,'Valo FX'!$A:$A,0)),0,IF(LK$1&lt;INDEX('Valo FX'!$R:$R,MATCH($A11,'Valo FX'!$A:$A,0)),INDEX(Base!$U:$U,MATCH($A11,Base!$A:$A,0)),IF(LK$1=INDEX('Valo FX'!$R:$R,MATCH($A11,'Valo FX'!$A:$A,0)),INDEX(Base!$V:$V,MATCH($A11,Base!$A:$A,0)),0)))</f>
        <v>0</v>
      </c>
      <c r="LL11" s="21">
        <f>IF(LL$1&lt;INDEX('Valo FX'!$Q:$Q,MATCH($A11,'Valo FX'!$A:$A,0)),0,IF(LL$1&lt;INDEX('Valo FX'!$R:$R,MATCH($A11,'Valo FX'!$A:$A,0)),INDEX(Base!$U:$U,MATCH($A11,Base!$A:$A,0)),IF(LL$1=INDEX('Valo FX'!$R:$R,MATCH($A11,'Valo FX'!$A:$A,0)),INDEX(Base!$V:$V,MATCH($A11,Base!$A:$A,0)),0)))</f>
        <v>0</v>
      </c>
      <c r="LM11" s="21">
        <f>IF(LM$1&lt;INDEX('Valo FX'!$Q:$Q,MATCH($A11,'Valo FX'!$A:$A,0)),0,IF(LM$1&lt;INDEX('Valo FX'!$R:$R,MATCH($A11,'Valo FX'!$A:$A,0)),INDEX(Base!$U:$U,MATCH($A11,Base!$A:$A,0)),IF(LM$1=INDEX('Valo FX'!$R:$R,MATCH($A11,'Valo FX'!$A:$A,0)),INDEX(Base!$V:$V,MATCH($A11,Base!$A:$A,0)),0)))</f>
        <v>0</v>
      </c>
      <c r="LN11" s="21">
        <f>IF(LN$1&lt;INDEX('Valo FX'!$Q:$Q,MATCH($A11,'Valo FX'!$A:$A,0)),0,IF(LN$1&lt;INDEX('Valo FX'!$R:$R,MATCH($A11,'Valo FX'!$A:$A,0)),INDEX(Base!$U:$U,MATCH($A11,Base!$A:$A,0)),IF(LN$1=INDEX('Valo FX'!$R:$R,MATCH($A11,'Valo FX'!$A:$A,0)),INDEX(Base!$V:$V,MATCH($A11,Base!$A:$A,0)),0)))</f>
        <v>0</v>
      </c>
      <c r="LO11" s="21">
        <f>IF(LO$1&lt;INDEX('Valo FX'!$Q:$Q,MATCH($A11,'Valo FX'!$A:$A,0)),0,IF(LO$1&lt;INDEX('Valo FX'!$R:$R,MATCH($A11,'Valo FX'!$A:$A,0)),INDEX(Base!$U:$U,MATCH($A11,Base!$A:$A,0)),IF(LO$1=INDEX('Valo FX'!$R:$R,MATCH($A11,'Valo FX'!$A:$A,0)),INDEX(Base!$V:$V,MATCH($A11,Base!$A:$A,0)),0)))</f>
        <v>0</v>
      </c>
      <c r="LP11" s="21">
        <f>IF(LP$1&lt;INDEX('Valo FX'!$Q:$Q,MATCH($A11,'Valo FX'!$A:$A,0)),0,IF(LP$1&lt;INDEX('Valo FX'!$R:$R,MATCH($A11,'Valo FX'!$A:$A,0)),INDEX(Base!$U:$U,MATCH($A11,Base!$A:$A,0)),IF(LP$1=INDEX('Valo FX'!$R:$R,MATCH($A11,'Valo FX'!$A:$A,0)),INDEX(Base!$V:$V,MATCH($A11,Base!$A:$A,0)),0)))</f>
        <v>0</v>
      </c>
      <c r="LQ11" s="21">
        <f>IF(LQ$1&lt;INDEX('Valo FX'!$Q:$Q,MATCH($A11,'Valo FX'!$A:$A,0)),0,IF(LQ$1&lt;INDEX('Valo FX'!$R:$R,MATCH($A11,'Valo FX'!$A:$A,0)),INDEX(Base!$U:$U,MATCH($A11,Base!$A:$A,0)),IF(LQ$1=INDEX('Valo FX'!$R:$R,MATCH($A11,'Valo FX'!$A:$A,0)),INDEX(Base!$V:$V,MATCH($A11,Base!$A:$A,0)),0)))</f>
        <v>0</v>
      </c>
      <c r="LR11" s="21">
        <f>IF(LR$1&lt;INDEX('Valo FX'!$Q:$Q,MATCH($A11,'Valo FX'!$A:$A,0)),0,IF(LR$1&lt;INDEX('Valo FX'!$R:$R,MATCH($A11,'Valo FX'!$A:$A,0)),INDEX(Base!$U:$U,MATCH($A11,Base!$A:$A,0)),IF(LR$1=INDEX('Valo FX'!$R:$R,MATCH($A11,'Valo FX'!$A:$A,0)),INDEX(Base!$V:$V,MATCH($A11,Base!$A:$A,0)),0)))</f>
        <v>0</v>
      </c>
      <c r="LS11" s="21">
        <f>IF(LS$1&lt;INDEX('Valo FX'!$Q:$Q,MATCH($A11,'Valo FX'!$A:$A,0)),0,IF(LS$1&lt;INDEX('Valo FX'!$R:$R,MATCH($A11,'Valo FX'!$A:$A,0)),INDEX(Base!$U:$U,MATCH($A11,Base!$A:$A,0)),IF(LS$1=INDEX('Valo FX'!$R:$R,MATCH($A11,'Valo FX'!$A:$A,0)),INDEX(Base!$V:$V,MATCH($A11,Base!$A:$A,0)),0)))</f>
        <v>0</v>
      </c>
      <c r="LT11" s="21">
        <f>IF(LT$1&lt;INDEX('Valo FX'!$Q:$Q,MATCH($A11,'Valo FX'!$A:$A,0)),0,IF(LT$1&lt;INDEX('Valo FX'!$R:$R,MATCH($A11,'Valo FX'!$A:$A,0)),INDEX(Base!$U:$U,MATCH($A11,Base!$A:$A,0)),IF(LT$1=INDEX('Valo FX'!$R:$R,MATCH($A11,'Valo FX'!$A:$A,0)),INDEX(Base!$V:$V,MATCH($A11,Base!$A:$A,0)),0)))</f>
        <v>0</v>
      </c>
      <c r="LU11" s="21">
        <f>IF(LU$1&lt;INDEX('Valo FX'!$Q:$Q,MATCH($A11,'Valo FX'!$A:$A,0)),0,IF(LU$1&lt;INDEX('Valo FX'!$R:$R,MATCH($A11,'Valo FX'!$A:$A,0)),INDEX(Base!$U:$U,MATCH($A11,Base!$A:$A,0)),IF(LU$1=INDEX('Valo FX'!$R:$R,MATCH($A11,'Valo FX'!$A:$A,0)),INDEX(Base!$V:$V,MATCH($A11,Base!$A:$A,0)),0)))</f>
        <v>0</v>
      </c>
      <c r="LV11" s="21">
        <f>IF(LV$1&lt;INDEX('Valo FX'!$Q:$Q,MATCH($A11,'Valo FX'!$A:$A,0)),0,IF(LV$1&lt;INDEX('Valo FX'!$R:$R,MATCH($A11,'Valo FX'!$A:$A,0)),INDEX(Base!$U:$U,MATCH($A11,Base!$A:$A,0)),IF(LV$1=INDEX('Valo FX'!$R:$R,MATCH($A11,'Valo FX'!$A:$A,0)),INDEX(Base!$V:$V,MATCH($A11,Base!$A:$A,0)),0)))</f>
        <v>0</v>
      </c>
      <c r="LW11" s="21">
        <f>IF(LW$1&lt;INDEX('Valo FX'!$Q:$Q,MATCH($A11,'Valo FX'!$A:$A,0)),0,IF(LW$1&lt;INDEX('Valo FX'!$R:$R,MATCH($A11,'Valo FX'!$A:$A,0)),INDEX(Base!$U:$U,MATCH($A11,Base!$A:$A,0)),IF(LW$1=INDEX('Valo FX'!$R:$R,MATCH($A11,'Valo FX'!$A:$A,0)),INDEX(Base!$V:$V,MATCH($A11,Base!$A:$A,0)),0)))</f>
        <v>0</v>
      </c>
      <c r="LX11" s="21">
        <f>IF(LX$1&lt;INDEX('Valo FX'!$Q:$Q,MATCH($A11,'Valo FX'!$A:$A,0)),0,IF(LX$1&lt;INDEX('Valo FX'!$R:$R,MATCH($A11,'Valo FX'!$A:$A,0)),INDEX(Base!$U:$U,MATCH($A11,Base!$A:$A,0)),IF(LX$1=INDEX('Valo FX'!$R:$R,MATCH($A11,'Valo FX'!$A:$A,0)),INDEX(Base!$V:$V,MATCH($A11,Base!$A:$A,0)),0)))</f>
        <v>0</v>
      </c>
      <c r="LY11" s="21">
        <f>IF(LY$1&lt;INDEX('Valo FX'!$Q:$Q,MATCH($A11,'Valo FX'!$A:$A,0)),0,IF(LY$1&lt;INDEX('Valo FX'!$R:$R,MATCH($A11,'Valo FX'!$A:$A,0)),INDEX(Base!$U:$U,MATCH($A11,Base!$A:$A,0)),IF(LY$1=INDEX('Valo FX'!$R:$R,MATCH($A11,'Valo FX'!$A:$A,0)),INDEX(Base!$V:$V,MATCH($A11,Base!$A:$A,0)),0)))</f>
        <v>0</v>
      </c>
      <c r="LZ11" s="21">
        <f>IF(LZ$1&lt;INDEX('Valo FX'!$Q:$Q,MATCH($A11,'Valo FX'!$A:$A,0)),0,IF(LZ$1&lt;INDEX('Valo FX'!$R:$R,MATCH($A11,'Valo FX'!$A:$A,0)),INDEX(Base!$U:$U,MATCH($A11,Base!$A:$A,0)),IF(LZ$1=INDEX('Valo FX'!$R:$R,MATCH($A11,'Valo FX'!$A:$A,0)),INDEX(Base!$V:$V,MATCH($A11,Base!$A:$A,0)),0)))</f>
        <v>0</v>
      </c>
      <c r="MA11" s="21">
        <f>IF(MA$1&lt;INDEX('Valo FX'!$Q:$Q,MATCH($A11,'Valo FX'!$A:$A,0)),0,IF(MA$1&lt;INDEX('Valo FX'!$R:$R,MATCH($A11,'Valo FX'!$A:$A,0)),INDEX(Base!$U:$U,MATCH($A11,Base!$A:$A,0)),IF(MA$1=INDEX('Valo FX'!$R:$R,MATCH($A11,'Valo FX'!$A:$A,0)),INDEX(Base!$V:$V,MATCH($A11,Base!$A:$A,0)),0)))</f>
        <v>0</v>
      </c>
      <c r="MB11" s="21">
        <f>IF(MB$1&lt;INDEX('Valo FX'!$Q:$Q,MATCH($A11,'Valo FX'!$A:$A,0)),0,IF(MB$1&lt;INDEX('Valo FX'!$R:$R,MATCH($A11,'Valo FX'!$A:$A,0)),INDEX(Base!$U:$U,MATCH($A11,Base!$A:$A,0)),IF(MB$1=INDEX('Valo FX'!$R:$R,MATCH($A11,'Valo FX'!$A:$A,0)),INDEX(Base!$V:$V,MATCH($A11,Base!$A:$A,0)),0)))</f>
        <v>0</v>
      </c>
      <c r="MC11" s="21">
        <f>IF(MC$1&lt;INDEX('Valo FX'!$Q:$Q,MATCH($A11,'Valo FX'!$A:$A,0)),0,IF(MC$1&lt;INDEX('Valo FX'!$R:$R,MATCH($A11,'Valo FX'!$A:$A,0)),INDEX(Base!$U:$U,MATCH($A11,Base!$A:$A,0)),IF(MC$1=INDEX('Valo FX'!$R:$R,MATCH($A11,'Valo FX'!$A:$A,0)),INDEX(Base!$V:$V,MATCH($A11,Base!$A:$A,0)),0)))</f>
        <v>0</v>
      </c>
      <c r="MD11" s="21">
        <f>IF(MD$1&lt;INDEX('Valo FX'!$Q:$Q,MATCH($A11,'Valo FX'!$A:$A,0)),0,IF(MD$1&lt;INDEX('Valo FX'!$R:$R,MATCH($A11,'Valo FX'!$A:$A,0)),INDEX(Base!$U:$U,MATCH($A11,Base!$A:$A,0)),IF(MD$1=INDEX('Valo FX'!$R:$R,MATCH($A11,'Valo FX'!$A:$A,0)),INDEX(Base!$V:$V,MATCH($A11,Base!$A:$A,0)),0)))</f>
        <v>0</v>
      </c>
      <c r="ME11" s="21">
        <f>IF(ME$1&lt;INDEX('Valo FX'!$Q:$Q,MATCH($A11,'Valo FX'!$A:$A,0)),0,IF(ME$1&lt;INDEX('Valo FX'!$R:$R,MATCH($A11,'Valo FX'!$A:$A,0)),INDEX(Base!$U:$U,MATCH($A11,Base!$A:$A,0)),IF(ME$1=INDEX('Valo FX'!$R:$R,MATCH($A11,'Valo FX'!$A:$A,0)),INDEX(Base!$V:$V,MATCH($A11,Base!$A:$A,0)),0)))</f>
        <v>0</v>
      </c>
      <c r="MF11" s="21">
        <f>IF(MF$1&lt;INDEX('Valo FX'!$Q:$Q,MATCH($A11,'Valo FX'!$A:$A,0)),0,IF(MF$1&lt;INDEX('Valo FX'!$R:$R,MATCH($A11,'Valo FX'!$A:$A,0)),INDEX(Base!$U:$U,MATCH($A11,Base!$A:$A,0)),IF(MF$1=INDEX('Valo FX'!$R:$R,MATCH($A11,'Valo FX'!$A:$A,0)),INDEX(Base!$V:$V,MATCH($A11,Base!$A:$A,0)),0)))</f>
        <v>0</v>
      </c>
      <c r="MG11" s="21">
        <f>IF(MG$1&lt;INDEX('Valo FX'!$Q:$Q,MATCH($A11,'Valo FX'!$A:$A,0)),0,IF(MG$1&lt;INDEX('Valo FX'!$R:$R,MATCH($A11,'Valo FX'!$A:$A,0)),INDEX(Base!$U:$U,MATCH($A11,Base!$A:$A,0)),IF(MG$1=INDEX('Valo FX'!$R:$R,MATCH($A11,'Valo FX'!$A:$A,0)),INDEX(Base!$V:$V,MATCH($A11,Base!$A:$A,0)),0)))</f>
        <v>0</v>
      </c>
      <c r="MH11" s="21">
        <f>IF(MH$1&lt;INDEX('Valo FX'!$Q:$Q,MATCH($A11,'Valo FX'!$A:$A,0)),0,IF(MH$1&lt;INDEX('Valo FX'!$R:$R,MATCH($A11,'Valo FX'!$A:$A,0)),INDEX(Base!$U:$U,MATCH($A11,Base!$A:$A,0)),IF(MH$1=INDEX('Valo FX'!$R:$R,MATCH($A11,'Valo FX'!$A:$A,0)),INDEX(Base!$V:$V,MATCH($A11,Base!$A:$A,0)),0)))</f>
        <v>0</v>
      </c>
      <c r="MI11" s="21">
        <f>IF(MI$1&lt;INDEX('Valo FX'!$Q:$Q,MATCH($A11,'Valo FX'!$A:$A,0)),0,IF(MI$1&lt;INDEX('Valo FX'!$R:$R,MATCH($A11,'Valo FX'!$A:$A,0)),INDEX(Base!$U:$U,MATCH($A11,Base!$A:$A,0)),IF(MI$1=INDEX('Valo FX'!$R:$R,MATCH($A11,'Valo FX'!$A:$A,0)),INDEX(Base!$V:$V,MATCH($A11,Base!$A:$A,0)),0)))</f>
        <v>0</v>
      </c>
      <c r="MJ11" s="21">
        <f>IF(MJ$1&lt;INDEX('Valo FX'!$Q:$Q,MATCH($A11,'Valo FX'!$A:$A,0)),0,IF(MJ$1&lt;INDEX('Valo FX'!$R:$R,MATCH($A11,'Valo FX'!$A:$A,0)),INDEX(Base!$U:$U,MATCH($A11,Base!$A:$A,0)),IF(MJ$1=INDEX('Valo FX'!$R:$R,MATCH($A11,'Valo FX'!$A:$A,0)),INDEX(Base!$V:$V,MATCH($A11,Base!$A:$A,0)),0)))</f>
        <v>0</v>
      </c>
      <c r="MK11" s="21">
        <f>IF(MK$1&lt;INDEX('Valo FX'!$Q:$Q,MATCH($A11,'Valo FX'!$A:$A,0)),0,IF(MK$1&lt;INDEX('Valo FX'!$R:$R,MATCH($A11,'Valo FX'!$A:$A,0)),INDEX(Base!$U:$U,MATCH($A11,Base!$A:$A,0)),IF(MK$1=INDEX('Valo FX'!$R:$R,MATCH($A11,'Valo FX'!$A:$A,0)),INDEX(Base!$V:$V,MATCH($A11,Base!$A:$A,0)),0)))</f>
        <v>0</v>
      </c>
      <c r="ML11" s="21">
        <f>IF(ML$1&lt;INDEX('Valo FX'!$Q:$Q,MATCH($A11,'Valo FX'!$A:$A,0)),0,IF(ML$1&lt;INDEX('Valo FX'!$R:$R,MATCH($A11,'Valo FX'!$A:$A,0)),INDEX(Base!$U:$U,MATCH($A11,Base!$A:$A,0)),IF(ML$1=INDEX('Valo FX'!$R:$R,MATCH($A11,'Valo FX'!$A:$A,0)),INDEX(Base!$V:$V,MATCH($A11,Base!$A:$A,0)),0)))</f>
        <v>0</v>
      </c>
      <c r="MM11" s="21">
        <f>IF(MM$1&lt;INDEX('Valo FX'!$Q:$Q,MATCH($A11,'Valo FX'!$A:$A,0)),0,IF(MM$1&lt;INDEX('Valo FX'!$R:$R,MATCH($A11,'Valo FX'!$A:$A,0)),INDEX(Base!$U:$U,MATCH($A11,Base!$A:$A,0)),IF(MM$1=INDEX('Valo FX'!$R:$R,MATCH($A11,'Valo FX'!$A:$A,0)),INDEX(Base!$V:$V,MATCH($A11,Base!$A:$A,0)),0)))</f>
        <v>0</v>
      </c>
      <c r="MN11" s="21">
        <f>IF(MN$1&lt;INDEX('Valo FX'!$Q:$Q,MATCH($A11,'Valo FX'!$A:$A,0)),0,IF(MN$1&lt;INDEX('Valo FX'!$R:$R,MATCH($A11,'Valo FX'!$A:$A,0)),INDEX(Base!$U:$U,MATCH($A11,Base!$A:$A,0)),IF(MN$1=INDEX('Valo FX'!$R:$R,MATCH($A11,'Valo FX'!$A:$A,0)),INDEX(Base!$V:$V,MATCH($A11,Base!$A:$A,0)),0)))</f>
        <v>0</v>
      </c>
      <c r="MO11" s="21">
        <f>IF(MO$1&lt;INDEX('Valo FX'!$Q:$Q,MATCH($A11,'Valo FX'!$A:$A,0)),0,IF(MO$1&lt;INDEX('Valo FX'!$R:$R,MATCH($A11,'Valo FX'!$A:$A,0)),INDEX(Base!$U:$U,MATCH($A11,Base!$A:$A,0)),IF(MO$1=INDEX('Valo FX'!$R:$R,MATCH($A11,'Valo FX'!$A:$A,0)),INDEX(Base!$V:$V,MATCH($A11,Base!$A:$A,0)),0)))</f>
        <v>0</v>
      </c>
      <c r="MP11" s="21">
        <f>IF(MP$1&lt;INDEX('Valo FX'!$Q:$Q,MATCH($A11,'Valo FX'!$A:$A,0)),0,IF(MP$1&lt;INDEX('Valo FX'!$R:$R,MATCH($A11,'Valo FX'!$A:$A,0)),INDEX(Base!$U:$U,MATCH($A11,Base!$A:$A,0)),IF(MP$1=INDEX('Valo FX'!$R:$R,MATCH($A11,'Valo FX'!$A:$A,0)),INDEX(Base!$V:$V,MATCH($A11,Base!$A:$A,0)),0)))</f>
        <v>0</v>
      </c>
      <c r="MQ11" s="21">
        <f>IF(MQ$1&lt;INDEX('Valo FX'!$Q:$Q,MATCH($A11,'Valo FX'!$A:$A,0)),0,IF(MQ$1&lt;INDEX('Valo FX'!$R:$R,MATCH($A11,'Valo FX'!$A:$A,0)),INDEX(Base!$U:$U,MATCH($A11,Base!$A:$A,0)),IF(MQ$1=INDEX('Valo FX'!$R:$R,MATCH($A11,'Valo FX'!$A:$A,0)),INDEX(Base!$V:$V,MATCH($A11,Base!$A:$A,0)),0)))</f>
        <v>0</v>
      </c>
      <c r="MR11" s="21">
        <f>IF(MR$1&lt;INDEX('Valo FX'!$Q:$Q,MATCH($A11,'Valo FX'!$A:$A,0)),0,IF(MR$1&lt;INDEX('Valo FX'!$R:$R,MATCH($A11,'Valo FX'!$A:$A,0)),INDEX(Base!$U:$U,MATCH($A11,Base!$A:$A,0)),IF(MR$1=INDEX('Valo FX'!$R:$R,MATCH($A11,'Valo FX'!$A:$A,0)),INDEX(Base!$V:$V,MATCH($A11,Base!$A:$A,0)),0)))</f>
        <v>0</v>
      </c>
      <c r="MS11" s="21">
        <f>IF(MS$1&lt;INDEX('Valo FX'!$Q:$Q,MATCH($A11,'Valo FX'!$A:$A,0)),0,IF(MS$1&lt;INDEX('Valo FX'!$R:$R,MATCH($A11,'Valo FX'!$A:$A,0)),INDEX(Base!$U:$U,MATCH($A11,Base!$A:$A,0)),IF(MS$1=INDEX('Valo FX'!$R:$R,MATCH($A11,'Valo FX'!$A:$A,0)),INDEX(Base!$V:$V,MATCH($A11,Base!$A:$A,0)),0)))</f>
        <v>0</v>
      </c>
      <c r="MT11" s="21">
        <f>IF(MT$1&lt;INDEX('Valo FX'!$Q:$Q,MATCH($A11,'Valo FX'!$A:$A,0)),0,IF(MT$1&lt;INDEX('Valo FX'!$R:$R,MATCH($A11,'Valo FX'!$A:$A,0)),INDEX(Base!$U:$U,MATCH($A11,Base!$A:$A,0)),IF(MT$1=INDEX('Valo FX'!$R:$R,MATCH($A11,'Valo FX'!$A:$A,0)),INDEX(Base!$V:$V,MATCH($A11,Base!$A:$A,0)),0)))</f>
        <v>0</v>
      </c>
      <c r="MU11" s="21">
        <f>IF(MU$1&lt;INDEX('Valo FX'!$Q:$Q,MATCH($A11,'Valo FX'!$A:$A,0)),0,IF(MU$1&lt;INDEX('Valo FX'!$R:$R,MATCH($A11,'Valo FX'!$A:$A,0)),INDEX(Base!$U:$U,MATCH($A11,Base!$A:$A,0)),IF(MU$1=INDEX('Valo FX'!$R:$R,MATCH($A11,'Valo FX'!$A:$A,0)),INDEX(Base!$V:$V,MATCH($A11,Base!$A:$A,0)),0)))</f>
        <v>0</v>
      </c>
      <c r="MV11" s="21">
        <f>IF(MV$1&lt;INDEX('Valo FX'!$Q:$Q,MATCH($A11,'Valo FX'!$A:$A,0)),0,IF(MV$1&lt;INDEX('Valo FX'!$R:$R,MATCH($A11,'Valo FX'!$A:$A,0)),INDEX(Base!$U:$U,MATCH($A11,Base!$A:$A,0)),IF(MV$1=INDEX('Valo FX'!$R:$R,MATCH($A11,'Valo FX'!$A:$A,0)),INDEX(Base!$V:$V,MATCH($A11,Base!$A:$A,0)),0)))</f>
        <v>0</v>
      </c>
      <c r="MW11" s="21">
        <f>IF(MW$1&lt;INDEX('Valo FX'!$Q:$Q,MATCH($A11,'Valo FX'!$A:$A,0)),0,IF(MW$1&lt;INDEX('Valo FX'!$R:$R,MATCH($A11,'Valo FX'!$A:$A,0)),INDEX(Base!$U:$U,MATCH($A11,Base!$A:$A,0)),IF(MW$1=INDEX('Valo FX'!$R:$R,MATCH($A11,'Valo FX'!$A:$A,0)),INDEX(Base!$V:$V,MATCH($A11,Base!$A:$A,0)),0)))</f>
        <v>0</v>
      </c>
      <c r="MX11" s="21">
        <f>IF(MX$1&lt;INDEX('Valo FX'!$Q:$Q,MATCH($A11,'Valo FX'!$A:$A,0)),0,IF(MX$1&lt;INDEX('Valo FX'!$R:$R,MATCH($A11,'Valo FX'!$A:$A,0)),INDEX(Base!$U:$U,MATCH($A11,Base!$A:$A,0)),IF(MX$1=INDEX('Valo FX'!$R:$R,MATCH($A11,'Valo FX'!$A:$A,0)),INDEX(Base!$V:$V,MATCH($A11,Base!$A:$A,0)),0)))</f>
        <v>0</v>
      </c>
      <c r="MY11" s="21">
        <f>IF(MY$1&lt;INDEX('Valo FX'!$Q:$Q,MATCH($A11,'Valo FX'!$A:$A,0)),0,IF(MY$1&lt;INDEX('Valo FX'!$R:$R,MATCH($A11,'Valo FX'!$A:$A,0)),INDEX(Base!$U:$U,MATCH($A11,Base!$A:$A,0)),IF(MY$1=INDEX('Valo FX'!$R:$R,MATCH($A11,'Valo FX'!$A:$A,0)),INDEX(Base!$V:$V,MATCH($A11,Base!$A:$A,0)),0)))</f>
        <v>0</v>
      </c>
    </row>
    <row r="12" spans="1:363" x14ac:dyDescent="0.25">
      <c r="A12" s="7">
        <f>+'Valo FX'!A13</f>
        <v>10</v>
      </c>
      <c r="B12" s="59">
        <f>-'Valo FX'!T13</f>
        <v>-926.4986157618066</v>
      </c>
      <c r="C12" s="21">
        <f>IF(C$1&lt;INDEX('Valo FX'!$Q:$Q,MATCH($A12,'Valo FX'!$A:$A,0)),0,IF(C$1&lt;INDEX('Valo FX'!$R:$R,MATCH($A12,'Valo FX'!$A:$A,0)),INDEX(Base!$U:$U,MATCH($A12,Base!$A:$A,0)),IF(C$1=INDEX('Valo FX'!$R:$R,MATCH($A12,'Valo FX'!$A:$A,0)),INDEX(Base!$V:$V,MATCH($A12,Base!$A:$A,0)),0)))</f>
        <v>0</v>
      </c>
      <c r="D12" s="21">
        <f>IF(D$1&lt;INDEX('Valo FX'!$Q:$Q,MATCH($A12,'Valo FX'!$A:$A,0)),0,IF(D$1&lt;INDEX('Valo FX'!$R:$R,MATCH($A12,'Valo FX'!$A:$A,0)),INDEX(Base!$U:$U,MATCH($A12,Base!$A:$A,0)),IF(D$1=INDEX('Valo FX'!$R:$R,MATCH($A12,'Valo FX'!$A:$A,0)),INDEX(Base!$V:$V,MATCH($A12,Base!$A:$A,0)),0)))</f>
        <v>0</v>
      </c>
      <c r="E12" s="21">
        <f>IF(E$1&lt;INDEX('Valo FX'!$Q:$Q,MATCH($A12,'Valo FX'!$A:$A,0)),0,IF(E$1&lt;INDEX('Valo FX'!$R:$R,MATCH($A12,'Valo FX'!$A:$A,0)),INDEX(Base!$U:$U,MATCH($A12,Base!$A:$A,0)),IF(E$1=INDEX('Valo FX'!$R:$R,MATCH($A12,'Valo FX'!$A:$A,0)),INDEX(Base!$V:$V,MATCH($A12,Base!$A:$A,0)),0)))</f>
        <v>0</v>
      </c>
      <c r="F12" s="21">
        <f>IF(F$1&lt;INDEX('Valo FX'!$Q:$Q,MATCH($A12,'Valo FX'!$A:$A,0)),0,IF(F$1&lt;INDEX('Valo FX'!$R:$R,MATCH($A12,'Valo FX'!$A:$A,0)),INDEX(Base!$U:$U,MATCH($A12,Base!$A:$A,0)),IF(F$1=INDEX('Valo FX'!$R:$R,MATCH($A12,'Valo FX'!$A:$A,0)),INDEX(Base!$V:$V,MATCH($A12,Base!$A:$A,0)),0)))</f>
        <v>0</v>
      </c>
      <c r="G12" s="21">
        <f>IF(G$1&lt;INDEX('Valo FX'!$Q:$Q,MATCH($A12,'Valo FX'!$A:$A,0)),0,IF(G$1&lt;INDEX('Valo FX'!$R:$R,MATCH($A12,'Valo FX'!$A:$A,0)),INDEX(Base!$U:$U,MATCH($A12,Base!$A:$A,0)),IF(G$1=INDEX('Valo FX'!$R:$R,MATCH($A12,'Valo FX'!$A:$A,0)),INDEX(Base!$V:$V,MATCH($A12,Base!$A:$A,0)),0)))</f>
        <v>0</v>
      </c>
      <c r="H12" s="21">
        <f>IF(H$1&lt;INDEX('Valo FX'!$Q:$Q,MATCH($A12,'Valo FX'!$A:$A,0)),0,IF(H$1&lt;INDEX('Valo FX'!$R:$R,MATCH($A12,'Valo FX'!$A:$A,0)),INDEX(Base!$U:$U,MATCH($A12,Base!$A:$A,0)),IF(H$1=INDEX('Valo FX'!$R:$R,MATCH($A12,'Valo FX'!$A:$A,0)),INDEX(Base!$V:$V,MATCH($A12,Base!$A:$A,0)),0)))</f>
        <v>7.7229549999999998</v>
      </c>
      <c r="I12" s="21">
        <f>IF(I$1&lt;INDEX('Valo FX'!$Q:$Q,MATCH($A12,'Valo FX'!$A:$A,0)),0,IF(I$1&lt;INDEX('Valo FX'!$R:$R,MATCH($A12,'Valo FX'!$A:$A,0)),INDEX(Base!$U:$U,MATCH($A12,Base!$A:$A,0)),IF(I$1=INDEX('Valo FX'!$R:$R,MATCH($A12,'Valo FX'!$A:$A,0)),INDEX(Base!$V:$V,MATCH($A12,Base!$A:$A,0)),0)))</f>
        <v>7.7229549999999998</v>
      </c>
      <c r="J12" s="21">
        <f>IF(J$1&lt;INDEX('Valo FX'!$Q:$Q,MATCH($A12,'Valo FX'!$A:$A,0)),0,IF(J$1&lt;INDEX('Valo FX'!$R:$R,MATCH($A12,'Valo FX'!$A:$A,0)),INDEX(Base!$U:$U,MATCH($A12,Base!$A:$A,0)),IF(J$1=INDEX('Valo FX'!$R:$R,MATCH($A12,'Valo FX'!$A:$A,0)),INDEX(Base!$V:$V,MATCH($A12,Base!$A:$A,0)),0)))</f>
        <v>7.7229549999999998</v>
      </c>
      <c r="K12" s="21">
        <f>IF(K$1&lt;INDEX('Valo FX'!$Q:$Q,MATCH($A12,'Valo FX'!$A:$A,0)),0,IF(K$1&lt;INDEX('Valo FX'!$R:$R,MATCH($A12,'Valo FX'!$A:$A,0)),INDEX(Base!$U:$U,MATCH($A12,Base!$A:$A,0)),IF(K$1=INDEX('Valo FX'!$R:$R,MATCH($A12,'Valo FX'!$A:$A,0)),INDEX(Base!$V:$V,MATCH($A12,Base!$A:$A,0)),0)))</f>
        <v>7.7229549999999998</v>
      </c>
      <c r="L12" s="21">
        <f>IF(L$1&lt;INDEX('Valo FX'!$Q:$Q,MATCH($A12,'Valo FX'!$A:$A,0)),0,IF(L$1&lt;INDEX('Valo FX'!$R:$R,MATCH($A12,'Valo FX'!$A:$A,0)),INDEX(Base!$U:$U,MATCH($A12,Base!$A:$A,0)),IF(L$1=INDEX('Valo FX'!$R:$R,MATCH($A12,'Valo FX'!$A:$A,0)),INDEX(Base!$V:$V,MATCH($A12,Base!$A:$A,0)),0)))</f>
        <v>7.7229549999999998</v>
      </c>
      <c r="M12" s="21">
        <f>IF(M$1&lt;INDEX('Valo FX'!$Q:$Q,MATCH($A12,'Valo FX'!$A:$A,0)),0,IF(M$1&lt;INDEX('Valo FX'!$R:$R,MATCH($A12,'Valo FX'!$A:$A,0)),INDEX(Base!$U:$U,MATCH($A12,Base!$A:$A,0)),IF(M$1=INDEX('Valo FX'!$R:$R,MATCH($A12,'Valo FX'!$A:$A,0)),INDEX(Base!$V:$V,MATCH($A12,Base!$A:$A,0)),0)))</f>
        <v>7.7229549999999998</v>
      </c>
      <c r="N12" s="21">
        <f>IF(N$1&lt;INDEX('Valo FX'!$Q:$Q,MATCH($A12,'Valo FX'!$A:$A,0)),0,IF(N$1&lt;INDEX('Valo FX'!$R:$R,MATCH($A12,'Valo FX'!$A:$A,0)),INDEX(Base!$U:$U,MATCH($A12,Base!$A:$A,0)),IF(N$1=INDEX('Valo FX'!$R:$R,MATCH($A12,'Valo FX'!$A:$A,0)),INDEX(Base!$V:$V,MATCH($A12,Base!$A:$A,0)),0)))</f>
        <v>7.7229549999999998</v>
      </c>
      <c r="O12" s="21">
        <f>IF(O$1&lt;INDEX('Valo FX'!$Q:$Q,MATCH($A12,'Valo FX'!$A:$A,0)),0,IF(O$1&lt;INDEX('Valo FX'!$R:$R,MATCH($A12,'Valo FX'!$A:$A,0)),INDEX(Base!$U:$U,MATCH($A12,Base!$A:$A,0)),IF(O$1=INDEX('Valo FX'!$R:$R,MATCH($A12,'Valo FX'!$A:$A,0)),INDEX(Base!$V:$V,MATCH($A12,Base!$A:$A,0)),0)))</f>
        <v>7.7229549999999998</v>
      </c>
      <c r="P12" s="21">
        <f>IF(P$1&lt;INDEX('Valo FX'!$Q:$Q,MATCH($A12,'Valo FX'!$A:$A,0)),0,IF(P$1&lt;INDEX('Valo FX'!$R:$R,MATCH($A12,'Valo FX'!$A:$A,0)),INDEX(Base!$U:$U,MATCH($A12,Base!$A:$A,0)),IF(P$1=INDEX('Valo FX'!$R:$R,MATCH($A12,'Valo FX'!$A:$A,0)),INDEX(Base!$V:$V,MATCH($A12,Base!$A:$A,0)),0)))</f>
        <v>7.7229549999999998</v>
      </c>
      <c r="Q12" s="21">
        <f>IF(Q$1&lt;INDEX('Valo FX'!$Q:$Q,MATCH($A12,'Valo FX'!$A:$A,0)),0,IF(Q$1&lt;INDEX('Valo FX'!$R:$R,MATCH($A12,'Valo FX'!$A:$A,0)),INDEX(Base!$U:$U,MATCH($A12,Base!$A:$A,0)),IF(Q$1=INDEX('Valo FX'!$R:$R,MATCH($A12,'Valo FX'!$A:$A,0)),INDEX(Base!$V:$V,MATCH($A12,Base!$A:$A,0)),0)))</f>
        <v>7.7229549999999998</v>
      </c>
      <c r="R12" s="21">
        <f>IF(R$1&lt;INDEX('Valo FX'!$Q:$Q,MATCH($A12,'Valo FX'!$A:$A,0)),0,IF(R$1&lt;INDEX('Valo FX'!$R:$R,MATCH($A12,'Valo FX'!$A:$A,0)),INDEX(Base!$U:$U,MATCH($A12,Base!$A:$A,0)),IF(R$1=INDEX('Valo FX'!$R:$R,MATCH($A12,'Valo FX'!$A:$A,0)),INDEX(Base!$V:$V,MATCH($A12,Base!$A:$A,0)),0)))</f>
        <v>7.7229549999999998</v>
      </c>
      <c r="S12" s="21">
        <f>IF(S$1&lt;INDEX('Valo FX'!$Q:$Q,MATCH($A12,'Valo FX'!$A:$A,0)),0,IF(S$1&lt;INDEX('Valo FX'!$R:$R,MATCH($A12,'Valo FX'!$A:$A,0)),INDEX(Base!$U:$U,MATCH($A12,Base!$A:$A,0)),IF(S$1=INDEX('Valo FX'!$R:$R,MATCH($A12,'Valo FX'!$A:$A,0)),INDEX(Base!$V:$V,MATCH($A12,Base!$A:$A,0)),0)))</f>
        <v>7.7229549999999998</v>
      </c>
      <c r="T12" s="21">
        <f>IF(T$1&lt;INDEX('Valo FX'!$Q:$Q,MATCH($A12,'Valo FX'!$A:$A,0)),0,IF(T$1&lt;INDEX('Valo FX'!$R:$R,MATCH($A12,'Valo FX'!$A:$A,0)),INDEX(Base!$U:$U,MATCH($A12,Base!$A:$A,0)),IF(T$1=INDEX('Valo FX'!$R:$R,MATCH($A12,'Valo FX'!$A:$A,0)),INDEX(Base!$V:$V,MATCH($A12,Base!$A:$A,0)),0)))</f>
        <v>7.7229549999999998</v>
      </c>
      <c r="U12" s="21">
        <f>IF(U$1&lt;INDEX('Valo FX'!$Q:$Q,MATCH($A12,'Valo FX'!$A:$A,0)),0,IF(U$1&lt;INDEX('Valo FX'!$R:$R,MATCH($A12,'Valo FX'!$A:$A,0)),INDEX(Base!$U:$U,MATCH($A12,Base!$A:$A,0)),IF(U$1=INDEX('Valo FX'!$R:$R,MATCH($A12,'Valo FX'!$A:$A,0)),INDEX(Base!$V:$V,MATCH($A12,Base!$A:$A,0)),0)))</f>
        <v>7.7229549999999998</v>
      </c>
      <c r="V12" s="21">
        <f>IF(V$1&lt;INDEX('Valo FX'!$Q:$Q,MATCH($A12,'Valo FX'!$A:$A,0)),0,IF(V$1&lt;INDEX('Valo FX'!$R:$R,MATCH($A12,'Valo FX'!$A:$A,0)),INDEX(Base!$U:$U,MATCH($A12,Base!$A:$A,0)),IF(V$1=INDEX('Valo FX'!$R:$R,MATCH($A12,'Valo FX'!$A:$A,0)),INDEX(Base!$V:$V,MATCH($A12,Base!$A:$A,0)),0)))</f>
        <v>7.7229549999999998</v>
      </c>
      <c r="W12" s="21">
        <f>IF(W$1&lt;INDEX('Valo FX'!$Q:$Q,MATCH($A12,'Valo FX'!$A:$A,0)),0,IF(W$1&lt;INDEX('Valo FX'!$R:$R,MATCH($A12,'Valo FX'!$A:$A,0)),INDEX(Base!$U:$U,MATCH($A12,Base!$A:$A,0)),IF(W$1=INDEX('Valo FX'!$R:$R,MATCH($A12,'Valo FX'!$A:$A,0)),INDEX(Base!$V:$V,MATCH($A12,Base!$A:$A,0)),0)))</f>
        <v>7.7229549999999998</v>
      </c>
      <c r="X12" s="21">
        <f>IF(X$1&lt;INDEX('Valo FX'!$Q:$Q,MATCH($A12,'Valo FX'!$A:$A,0)),0,IF(X$1&lt;INDEX('Valo FX'!$R:$R,MATCH($A12,'Valo FX'!$A:$A,0)),INDEX(Base!$U:$U,MATCH($A12,Base!$A:$A,0)),IF(X$1=INDEX('Valo FX'!$R:$R,MATCH($A12,'Valo FX'!$A:$A,0)),INDEX(Base!$V:$V,MATCH($A12,Base!$A:$A,0)),0)))</f>
        <v>7.7229549999999998</v>
      </c>
      <c r="Y12" s="21">
        <f>IF(Y$1&lt;INDEX('Valo FX'!$Q:$Q,MATCH($A12,'Valo FX'!$A:$A,0)),0,IF(Y$1&lt;INDEX('Valo FX'!$R:$R,MATCH($A12,'Valo FX'!$A:$A,0)),INDEX(Base!$U:$U,MATCH($A12,Base!$A:$A,0)),IF(Y$1=INDEX('Valo FX'!$R:$R,MATCH($A12,'Valo FX'!$A:$A,0)),INDEX(Base!$V:$V,MATCH($A12,Base!$A:$A,0)),0)))</f>
        <v>7.7229549999999998</v>
      </c>
      <c r="Z12" s="21">
        <f>IF(Z$1&lt;INDEX('Valo FX'!$Q:$Q,MATCH($A12,'Valo FX'!$A:$A,0)),0,IF(Z$1&lt;INDEX('Valo FX'!$R:$R,MATCH($A12,'Valo FX'!$A:$A,0)),INDEX(Base!$U:$U,MATCH($A12,Base!$A:$A,0)),IF(Z$1=INDEX('Valo FX'!$R:$R,MATCH($A12,'Valo FX'!$A:$A,0)),INDEX(Base!$V:$V,MATCH($A12,Base!$A:$A,0)),0)))</f>
        <v>7.7229549999999998</v>
      </c>
      <c r="AA12" s="21">
        <f>IF(AA$1&lt;INDEX('Valo FX'!$Q:$Q,MATCH($A12,'Valo FX'!$A:$A,0)),0,IF(AA$1&lt;INDEX('Valo FX'!$R:$R,MATCH($A12,'Valo FX'!$A:$A,0)),INDEX(Base!$U:$U,MATCH($A12,Base!$A:$A,0)),IF(AA$1=INDEX('Valo FX'!$R:$R,MATCH($A12,'Valo FX'!$A:$A,0)),INDEX(Base!$V:$V,MATCH($A12,Base!$A:$A,0)),0)))</f>
        <v>7.7229549999999998</v>
      </c>
      <c r="AB12" s="21">
        <f>IF(AB$1&lt;INDEX('Valo FX'!$Q:$Q,MATCH($A12,'Valo FX'!$A:$A,0)),0,IF(AB$1&lt;INDEX('Valo FX'!$R:$R,MATCH($A12,'Valo FX'!$A:$A,0)),INDEX(Base!$U:$U,MATCH($A12,Base!$A:$A,0)),IF(AB$1=INDEX('Valo FX'!$R:$R,MATCH($A12,'Valo FX'!$A:$A,0)),INDEX(Base!$V:$V,MATCH($A12,Base!$A:$A,0)),0)))</f>
        <v>7.7229549999999998</v>
      </c>
      <c r="AC12" s="21">
        <f>IF(AC$1&lt;INDEX('Valo FX'!$Q:$Q,MATCH($A12,'Valo FX'!$A:$A,0)),0,IF(AC$1&lt;INDEX('Valo FX'!$R:$R,MATCH($A12,'Valo FX'!$A:$A,0)),INDEX(Base!$U:$U,MATCH($A12,Base!$A:$A,0)),IF(AC$1=INDEX('Valo FX'!$R:$R,MATCH($A12,'Valo FX'!$A:$A,0)),INDEX(Base!$V:$V,MATCH($A12,Base!$A:$A,0)),0)))</f>
        <v>7.7229549999999998</v>
      </c>
      <c r="AD12" s="21">
        <f>IF(AD$1&lt;INDEX('Valo FX'!$Q:$Q,MATCH($A12,'Valo FX'!$A:$A,0)),0,IF(AD$1&lt;INDEX('Valo FX'!$R:$R,MATCH($A12,'Valo FX'!$A:$A,0)),INDEX(Base!$U:$U,MATCH($A12,Base!$A:$A,0)),IF(AD$1=INDEX('Valo FX'!$R:$R,MATCH($A12,'Valo FX'!$A:$A,0)),INDEX(Base!$V:$V,MATCH($A12,Base!$A:$A,0)),0)))</f>
        <v>7.7229549999999998</v>
      </c>
      <c r="AE12" s="21">
        <f>IF(AE$1&lt;INDEX('Valo FX'!$Q:$Q,MATCH($A12,'Valo FX'!$A:$A,0)),0,IF(AE$1&lt;INDEX('Valo FX'!$R:$R,MATCH($A12,'Valo FX'!$A:$A,0)),INDEX(Base!$U:$U,MATCH($A12,Base!$A:$A,0)),IF(AE$1=INDEX('Valo FX'!$R:$R,MATCH($A12,'Valo FX'!$A:$A,0)),INDEX(Base!$V:$V,MATCH($A12,Base!$A:$A,0)),0)))</f>
        <v>7.7229549999999998</v>
      </c>
      <c r="AF12" s="21">
        <f>IF(AF$1&lt;INDEX('Valo FX'!$Q:$Q,MATCH($A12,'Valo FX'!$A:$A,0)),0,IF(AF$1&lt;INDEX('Valo FX'!$R:$R,MATCH($A12,'Valo FX'!$A:$A,0)),INDEX(Base!$U:$U,MATCH($A12,Base!$A:$A,0)),IF(AF$1=INDEX('Valo FX'!$R:$R,MATCH($A12,'Valo FX'!$A:$A,0)),INDEX(Base!$V:$V,MATCH($A12,Base!$A:$A,0)),0)))</f>
        <v>7.7229549999999998</v>
      </c>
      <c r="AG12" s="21">
        <f>IF(AG$1&lt;INDEX('Valo FX'!$Q:$Q,MATCH($A12,'Valo FX'!$A:$A,0)),0,IF(AG$1&lt;INDEX('Valo FX'!$R:$R,MATCH($A12,'Valo FX'!$A:$A,0)),INDEX(Base!$U:$U,MATCH($A12,Base!$A:$A,0)),IF(AG$1=INDEX('Valo FX'!$R:$R,MATCH($A12,'Valo FX'!$A:$A,0)),INDEX(Base!$V:$V,MATCH($A12,Base!$A:$A,0)),0)))</f>
        <v>7.7229549999999998</v>
      </c>
      <c r="AH12" s="21">
        <f>IF(AH$1&lt;INDEX('Valo FX'!$Q:$Q,MATCH($A12,'Valo FX'!$A:$A,0)),0,IF(AH$1&lt;INDEX('Valo FX'!$R:$R,MATCH($A12,'Valo FX'!$A:$A,0)),INDEX(Base!$U:$U,MATCH($A12,Base!$A:$A,0)),IF(AH$1=INDEX('Valo FX'!$R:$R,MATCH($A12,'Valo FX'!$A:$A,0)),INDEX(Base!$V:$V,MATCH($A12,Base!$A:$A,0)),0)))</f>
        <v>7.7229549999999998</v>
      </c>
      <c r="AI12" s="21">
        <f>IF(AI$1&lt;INDEX('Valo FX'!$Q:$Q,MATCH($A12,'Valo FX'!$A:$A,0)),0,IF(AI$1&lt;INDEX('Valo FX'!$R:$R,MATCH($A12,'Valo FX'!$A:$A,0)),INDEX(Base!$U:$U,MATCH($A12,Base!$A:$A,0)),IF(AI$1=INDEX('Valo FX'!$R:$R,MATCH($A12,'Valo FX'!$A:$A,0)),INDEX(Base!$V:$V,MATCH($A12,Base!$A:$A,0)),0)))</f>
        <v>7.7229549999999998</v>
      </c>
      <c r="AJ12" s="21">
        <f>IF(AJ$1&lt;INDEX('Valo FX'!$Q:$Q,MATCH($A12,'Valo FX'!$A:$A,0)),0,IF(AJ$1&lt;INDEX('Valo FX'!$R:$R,MATCH($A12,'Valo FX'!$A:$A,0)),INDEX(Base!$U:$U,MATCH($A12,Base!$A:$A,0)),IF(AJ$1=INDEX('Valo FX'!$R:$R,MATCH($A12,'Valo FX'!$A:$A,0)),INDEX(Base!$V:$V,MATCH($A12,Base!$A:$A,0)),0)))</f>
        <v>7.7229549999999998</v>
      </c>
      <c r="AK12" s="21">
        <f>IF(AK$1&lt;INDEX('Valo FX'!$Q:$Q,MATCH($A12,'Valo FX'!$A:$A,0)),0,IF(AK$1&lt;INDEX('Valo FX'!$R:$R,MATCH($A12,'Valo FX'!$A:$A,0)),INDEX(Base!$U:$U,MATCH($A12,Base!$A:$A,0)),IF(AK$1=INDEX('Valo FX'!$R:$R,MATCH($A12,'Valo FX'!$A:$A,0)),INDEX(Base!$V:$V,MATCH($A12,Base!$A:$A,0)),0)))</f>
        <v>7.7229549999999998</v>
      </c>
      <c r="AL12" s="21">
        <f>IF(AL$1&lt;INDEX('Valo FX'!$Q:$Q,MATCH($A12,'Valo FX'!$A:$A,0)),0,IF(AL$1&lt;INDEX('Valo FX'!$R:$R,MATCH($A12,'Valo FX'!$A:$A,0)),INDEX(Base!$U:$U,MATCH($A12,Base!$A:$A,0)),IF(AL$1=INDEX('Valo FX'!$R:$R,MATCH($A12,'Valo FX'!$A:$A,0)),INDEX(Base!$V:$V,MATCH($A12,Base!$A:$A,0)),0)))</f>
        <v>7.7229549999999998</v>
      </c>
      <c r="AM12" s="21">
        <f>IF(AM$1&lt;INDEX('Valo FX'!$Q:$Q,MATCH($A12,'Valo FX'!$A:$A,0)),0,IF(AM$1&lt;INDEX('Valo FX'!$R:$R,MATCH($A12,'Valo FX'!$A:$A,0)),INDEX(Base!$U:$U,MATCH($A12,Base!$A:$A,0)),IF(AM$1=INDEX('Valo FX'!$R:$R,MATCH($A12,'Valo FX'!$A:$A,0)),INDEX(Base!$V:$V,MATCH($A12,Base!$A:$A,0)),0)))</f>
        <v>7.7229549999999998</v>
      </c>
      <c r="AN12" s="21">
        <f>IF(AN$1&lt;INDEX('Valo FX'!$Q:$Q,MATCH($A12,'Valo FX'!$A:$A,0)),0,IF(AN$1&lt;INDEX('Valo FX'!$R:$R,MATCH($A12,'Valo FX'!$A:$A,0)),INDEX(Base!$U:$U,MATCH($A12,Base!$A:$A,0)),IF(AN$1=INDEX('Valo FX'!$R:$R,MATCH($A12,'Valo FX'!$A:$A,0)),INDEX(Base!$V:$V,MATCH($A12,Base!$A:$A,0)),0)))</f>
        <v>7.7229549999999998</v>
      </c>
      <c r="AO12" s="21">
        <f>IF(AO$1&lt;INDEX('Valo FX'!$Q:$Q,MATCH($A12,'Valo FX'!$A:$A,0)),0,IF(AO$1&lt;INDEX('Valo FX'!$R:$R,MATCH($A12,'Valo FX'!$A:$A,0)),INDEX(Base!$U:$U,MATCH($A12,Base!$A:$A,0)),IF(AO$1=INDEX('Valo FX'!$R:$R,MATCH($A12,'Valo FX'!$A:$A,0)),INDEX(Base!$V:$V,MATCH($A12,Base!$A:$A,0)),0)))</f>
        <v>7.7229549999999998</v>
      </c>
      <c r="AP12" s="21">
        <f>IF(AP$1&lt;INDEX('Valo FX'!$Q:$Q,MATCH($A12,'Valo FX'!$A:$A,0)),0,IF(AP$1&lt;INDEX('Valo FX'!$R:$R,MATCH($A12,'Valo FX'!$A:$A,0)),INDEX(Base!$U:$U,MATCH($A12,Base!$A:$A,0)),IF(AP$1=INDEX('Valo FX'!$R:$R,MATCH($A12,'Valo FX'!$A:$A,0)),INDEX(Base!$V:$V,MATCH($A12,Base!$A:$A,0)),0)))</f>
        <v>7.7229549999999998</v>
      </c>
      <c r="AQ12" s="21">
        <f>IF(AQ$1&lt;INDEX('Valo FX'!$Q:$Q,MATCH($A12,'Valo FX'!$A:$A,0)),0,IF(AQ$1&lt;INDEX('Valo FX'!$R:$R,MATCH($A12,'Valo FX'!$A:$A,0)),INDEX(Base!$U:$U,MATCH($A12,Base!$A:$A,0)),IF(AQ$1=INDEX('Valo FX'!$R:$R,MATCH($A12,'Valo FX'!$A:$A,0)),INDEX(Base!$V:$V,MATCH($A12,Base!$A:$A,0)),0)))</f>
        <v>7.7229549999999998</v>
      </c>
      <c r="AR12" s="21">
        <f>IF(AR$1&lt;INDEX('Valo FX'!$Q:$Q,MATCH($A12,'Valo FX'!$A:$A,0)),0,IF(AR$1&lt;INDEX('Valo FX'!$R:$R,MATCH($A12,'Valo FX'!$A:$A,0)),INDEX(Base!$U:$U,MATCH($A12,Base!$A:$A,0)),IF(AR$1=INDEX('Valo FX'!$R:$R,MATCH($A12,'Valo FX'!$A:$A,0)),INDEX(Base!$V:$V,MATCH($A12,Base!$A:$A,0)),0)))</f>
        <v>7.7229549999999998</v>
      </c>
      <c r="AS12" s="21">
        <f>IF(AS$1&lt;INDEX('Valo FX'!$Q:$Q,MATCH($A12,'Valo FX'!$A:$A,0)),0,IF(AS$1&lt;INDEX('Valo FX'!$R:$R,MATCH($A12,'Valo FX'!$A:$A,0)),INDEX(Base!$U:$U,MATCH($A12,Base!$A:$A,0)),IF(AS$1=INDEX('Valo FX'!$R:$R,MATCH($A12,'Valo FX'!$A:$A,0)),INDEX(Base!$V:$V,MATCH($A12,Base!$A:$A,0)),0)))</f>
        <v>7.7229549999999998</v>
      </c>
      <c r="AT12" s="21">
        <f>IF(AT$1&lt;INDEX('Valo FX'!$Q:$Q,MATCH($A12,'Valo FX'!$A:$A,0)),0,IF(AT$1&lt;INDEX('Valo FX'!$R:$R,MATCH($A12,'Valo FX'!$A:$A,0)),INDEX(Base!$U:$U,MATCH($A12,Base!$A:$A,0)),IF(AT$1=INDEX('Valo FX'!$R:$R,MATCH($A12,'Valo FX'!$A:$A,0)),INDEX(Base!$V:$V,MATCH($A12,Base!$A:$A,0)),0)))</f>
        <v>7.7229549999999998</v>
      </c>
      <c r="AU12" s="21">
        <f>IF(AU$1&lt;INDEX('Valo FX'!$Q:$Q,MATCH($A12,'Valo FX'!$A:$A,0)),0,IF(AU$1&lt;INDEX('Valo FX'!$R:$R,MATCH($A12,'Valo FX'!$A:$A,0)),INDEX(Base!$U:$U,MATCH($A12,Base!$A:$A,0)),IF(AU$1=INDEX('Valo FX'!$R:$R,MATCH($A12,'Valo FX'!$A:$A,0)),INDEX(Base!$V:$V,MATCH($A12,Base!$A:$A,0)),0)))</f>
        <v>7.7229549999999998</v>
      </c>
      <c r="AV12" s="21">
        <f>IF(AV$1&lt;INDEX('Valo FX'!$Q:$Q,MATCH($A12,'Valo FX'!$A:$A,0)),0,IF(AV$1&lt;INDEX('Valo FX'!$R:$R,MATCH($A12,'Valo FX'!$A:$A,0)),INDEX(Base!$U:$U,MATCH($A12,Base!$A:$A,0)),IF(AV$1=INDEX('Valo FX'!$R:$R,MATCH($A12,'Valo FX'!$A:$A,0)),INDEX(Base!$V:$V,MATCH($A12,Base!$A:$A,0)),0)))</f>
        <v>7.7229549999999998</v>
      </c>
      <c r="AW12" s="21">
        <f>IF(AW$1&lt;INDEX('Valo FX'!$Q:$Q,MATCH($A12,'Valo FX'!$A:$A,0)),0,IF(AW$1&lt;INDEX('Valo FX'!$R:$R,MATCH($A12,'Valo FX'!$A:$A,0)),INDEX(Base!$U:$U,MATCH($A12,Base!$A:$A,0)),IF(AW$1=INDEX('Valo FX'!$R:$R,MATCH($A12,'Valo FX'!$A:$A,0)),INDEX(Base!$V:$V,MATCH($A12,Base!$A:$A,0)),0)))</f>
        <v>7.7229549999999998</v>
      </c>
      <c r="AX12" s="21">
        <f>IF(AX$1&lt;INDEX('Valo FX'!$Q:$Q,MATCH($A12,'Valo FX'!$A:$A,0)),0,IF(AX$1&lt;INDEX('Valo FX'!$R:$R,MATCH($A12,'Valo FX'!$A:$A,0)),INDEX(Base!$U:$U,MATCH($A12,Base!$A:$A,0)),IF(AX$1=INDEX('Valo FX'!$R:$R,MATCH($A12,'Valo FX'!$A:$A,0)),INDEX(Base!$V:$V,MATCH($A12,Base!$A:$A,0)),0)))</f>
        <v>7.7229549999999998</v>
      </c>
      <c r="AY12" s="21">
        <f>IF(AY$1&lt;INDEX('Valo FX'!$Q:$Q,MATCH($A12,'Valo FX'!$A:$A,0)),0,IF(AY$1&lt;INDEX('Valo FX'!$R:$R,MATCH($A12,'Valo FX'!$A:$A,0)),INDEX(Base!$U:$U,MATCH($A12,Base!$A:$A,0)),IF(AY$1=INDEX('Valo FX'!$R:$R,MATCH($A12,'Valo FX'!$A:$A,0)),INDEX(Base!$V:$V,MATCH($A12,Base!$A:$A,0)),0)))</f>
        <v>7.7229549999999998</v>
      </c>
      <c r="AZ12" s="21">
        <f>IF(AZ$1&lt;INDEX('Valo FX'!$Q:$Q,MATCH($A12,'Valo FX'!$A:$A,0)),0,IF(AZ$1&lt;INDEX('Valo FX'!$R:$R,MATCH($A12,'Valo FX'!$A:$A,0)),INDEX(Base!$U:$U,MATCH($A12,Base!$A:$A,0)),IF(AZ$1=INDEX('Valo FX'!$R:$R,MATCH($A12,'Valo FX'!$A:$A,0)),INDEX(Base!$V:$V,MATCH($A12,Base!$A:$A,0)),0)))</f>
        <v>7.7229549999999998</v>
      </c>
      <c r="BA12" s="21">
        <f>IF(BA$1&lt;INDEX('Valo FX'!$Q:$Q,MATCH($A12,'Valo FX'!$A:$A,0)),0,IF(BA$1&lt;INDEX('Valo FX'!$R:$R,MATCH($A12,'Valo FX'!$A:$A,0)),INDEX(Base!$U:$U,MATCH($A12,Base!$A:$A,0)),IF(BA$1=INDEX('Valo FX'!$R:$R,MATCH($A12,'Valo FX'!$A:$A,0)),INDEX(Base!$V:$V,MATCH($A12,Base!$A:$A,0)),0)))</f>
        <v>7.7229549999999998</v>
      </c>
      <c r="BB12" s="21">
        <f>IF(BB$1&lt;INDEX('Valo FX'!$Q:$Q,MATCH($A12,'Valo FX'!$A:$A,0)),0,IF(BB$1&lt;INDEX('Valo FX'!$R:$R,MATCH($A12,'Valo FX'!$A:$A,0)),INDEX(Base!$U:$U,MATCH($A12,Base!$A:$A,0)),IF(BB$1=INDEX('Valo FX'!$R:$R,MATCH($A12,'Valo FX'!$A:$A,0)),INDEX(Base!$V:$V,MATCH($A12,Base!$A:$A,0)),0)))</f>
        <v>7.7229549999999998</v>
      </c>
      <c r="BC12" s="21">
        <f>IF(BC$1&lt;INDEX('Valo FX'!$Q:$Q,MATCH($A12,'Valo FX'!$A:$A,0)),0,IF(BC$1&lt;INDEX('Valo FX'!$R:$R,MATCH($A12,'Valo FX'!$A:$A,0)),INDEX(Base!$U:$U,MATCH($A12,Base!$A:$A,0)),IF(BC$1=INDEX('Valo FX'!$R:$R,MATCH($A12,'Valo FX'!$A:$A,0)),INDEX(Base!$V:$V,MATCH($A12,Base!$A:$A,0)),0)))</f>
        <v>7.7229549999999998</v>
      </c>
      <c r="BD12" s="21">
        <f>IF(BD$1&lt;INDEX('Valo FX'!$Q:$Q,MATCH($A12,'Valo FX'!$A:$A,0)),0,IF(BD$1&lt;INDEX('Valo FX'!$R:$R,MATCH($A12,'Valo FX'!$A:$A,0)),INDEX(Base!$U:$U,MATCH($A12,Base!$A:$A,0)),IF(BD$1=INDEX('Valo FX'!$R:$R,MATCH($A12,'Valo FX'!$A:$A,0)),INDEX(Base!$V:$V,MATCH($A12,Base!$A:$A,0)),0)))</f>
        <v>7.7229549999999998</v>
      </c>
      <c r="BE12" s="21">
        <f>IF(BE$1&lt;INDEX('Valo FX'!$Q:$Q,MATCH($A12,'Valo FX'!$A:$A,0)),0,IF(BE$1&lt;INDEX('Valo FX'!$R:$R,MATCH($A12,'Valo FX'!$A:$A,0)),INDEX(Base!$U:$U,MATCH($A12,Base!$A:$A,0)),IF(BE$1=INDEX('Valo FX'!$R:$R,MATCH($A12,'Valo FX'!$A:$A,0)),INDEX(Base!$V:$V,MATCH($A12,Base!$A:$A,0)),0)))</f>
        <v>7.7229549999999998</v>
      </c>
      <c r="BF12" s="21">
        <f>IF(BF$1&lt;INDEX('Valo FX'!$Q:$Q,MATCH($A12,'Valo FX'!$A:$A,0)),0,IF(BF$1&lt;INDEX('Valo FX'!$R:$R,MATCH($A12,'Valo FX'!$A:$A,0)),INDEX(Base!$U:$U,MATCH($A12,Base!$A:$A,0)),IF(BF$1=INDEX('Valo FX'!$R:$R,MATCH($A12,'Valo FX'!$A:$A,0)),INDEX(Base!$V:$V,MATCH($A12,Base!$A:$A,0)),0)))</f>
        <v>7.7229549999999998</v>
      </c>
      <c r="BG12" s="21">
        <f>IF(BG$1&lt;INDEX('Valo FX'!$Q:$Q,MATCH($A12,'Valo FX'!$A:$A,0)),0,IF(BG$1&lt;INDEX('Valo FX'!$R:$R,MATCH($A12,'Valo FX'!$A:$A,0)),INDEX(Base!$U:$U,MATCH($A12,Base!$A:$A,0)),IF(BG$1=INDEX('Valo FX'!$R:$R,MATCH($A12,'Valo FX'!$A:$A,0)),INDEX(Base!$V:$V,MATCH($A12,Base!$A:$A,0)),0)))</f>
        <v>7.7229549999999998</v>
      </c>
      <c r="BH12" s="21">
        <f>IF(BH$1&lt;INDEX('Valo FX'!$Q:$Q,MATCH($A12,'Valo FX'!$A:$A,0)),0,IF(BH$1&lt;INDEX('Valo FX'!$R:$R,MATCH($A12,'Valo FX'!$A:$A,0)),INDEX(Base!$U:$U,MATCH($A12,Base!$A:$A,0)),IF(BH$1=INDEX('Valo FX'!$R:$R,MATCH($A12,'Valo FX'!$A:$A,0)),INDEX(Base!$V:$V,MATCH($A12,Base!$A:$A,0)),0)))</f>
        <v>7.7229549999999998</v>
      </c>
      <c r="BI12" s="21">
        <f>IF(BI$1&lt;INDEX('Valo FX'!$Q:$Q,MATCH($A12,'Valo FX'!$A:$A,0)),0,IF(BI$1&lt;INDEX('Valo FX'!$R:$R,MATCH($A12,'Valo FX'!$A:$A,0)),INDEX(Base!$U:$U,MATCH($A12,Base!$A:$A,0)),IF(BI$1=INDEX('Valo FX'!$R:$R,MATCH($A12,'Valo FX'!$A:$A,0)),INDEX(Base!$V:$V,MATCH($A12,Base!$A:$A,0)),0)))</f>
        <v>7.7229549999999998</v>
      </c>
      <c r="BJ12" s="21">
        <f>IF(BJ$1&lt;INDEX('Valo FX'!$Q:$Q,MATCH($A12,'Valo FX'!$A:$A,0)),0,IF(BJ$1&lt;INDEX('Valo FX'!$R:$R,MATCH($A12,'Valo FX'!$A:$A,0)),INDEX(Base!$U:$U,MATCH($A12,Base!$A:$A,0)),IF(BJ$1=INDEX('Valo FX'!$R:$R,MATCH($A12,'Valo FX'!$A:$A,0)),INDEX(Base!$V:$V,MATCH($A12,Base!$A:$A,0)),0)))</f>
        <v>7.7229549999999998</v>
      </c>
      <c r="BK12" s="21">
        <f>IF(BK$1&lt;INDEX('Valo FX'!$Q:$Q,MATCH($A12,'Valo FX'!$A:$A,0)),0,IF(BK$1&lt;INDEX('Valo FX'!$R:$R,MATCH($A12,'Valo FX'!$A:$A,0)),INDEX(Base!$U:$U,MATCH($A12,Base!$A:$A,0)),IF(BK$1=INDEX('Valo FX'!$R:$R,MATCH($A12,'Valo FX'!$A:$A,0)),INDEX(Base!$V:$V,MATCH($A12,Base!$A:$A,0)),0)))</f>
        <v>7.7229549999999998</v>
      </c>
      <c r="BL12" s="21">
        <f>IF(BL$1&lt;INDEX('Valo FX'!$Q:$Q,MATCH($A12,'Valo FX'!$A:$A,0)),0,IF(BL$1&lt;INDEX('Valo FX'!$R:$R,MATCH($A12,'Valo FX'!$A:$A,0)),INDEX(Base!$U:$U,MATCH($A12,Base!$A:$A,0)),IF(BL$1=INDEX('Valo FX'!$R:$R,MATCH($A12,'Valo FX'!$A:$A,0)),INDEX(Base!$V:$V,MATCH($A12,Base!$A:$A,0)),0)))</f>
        <v>7.7229549999999998</v>
      </c>
      <c r="BM12" s="21">
        <f>IF(BM$1&lt;INDEX('Valo FX'!$Q:$Q,MATCH($A12,'Valo FX'!$A:$A,0)),0,IF(BM$1&lt;INDEX('Valo FX'!$R:$R,MATCH($A12,'Valo FX'!$A:$A,0)),INDEX(Base!$U:$U,MATCH($A12,Base!$A:$A,0)),IF(BM$1=INDEX('Valo FX'!$R:$R,MATCH($A12,'Valo FX'!$A:$A,0)),INDEX(Base!$V:$V,MATCH($A12,Base!$A:$A,0)),0)))</f>
        <v>7.7229549999999998</v>
      </c>
      <c r="BN12" s="21">
        <f>IF(BN$1&lt;INDEX('Valo FX'!$Q:$Q,MATCH($A12,'Valo FX'!$A:$A,0)),0,IF(BN$1&lt;INDEX('Valo FX'!$R:$R,MATCH($A12,'Valo FX'!$A:$A,0)),INDEX(Base!$U:$U,MATCH($A12,Base!$A:$A,0)),IF(BN$1=INDEX('Valo FX'!$R:$R,MATCH($A12,'Valo FX'!$A:$A,0)),INDEX(Base!$V:$V,MATCH($A12,Base!$A:$A,0)),0)))</f>
        <v>7.7229549999999998</v>
      </c>
      <c r="BO12" s="21">
        <f>IF(BO$1&lt;INDEX('Valo FX'!$Q:$Q,MATCH($A12,'Valo FX'!$A:$A,0)),0,IF(BO$1&lt;INDEX('Valo FX'!$R:$R,MATCH($A12,'Valo FX'!$A:$A,0)),INDEX(Base!$U:$U,MATCH($A12,Base!$A:$A,0)),IF(BO$1=INDEX('Valo FX'!$R:$R,MATCH($A12,'Valo FX'!$A:$A,0)),INDEX(Base!$V:$V,MATCH($A12,Base!$A:$A,0)),0)))</f>
        <v>7.7229549999999998</v>
      </c>
      <c r="BP12" s="21">
        <f>IF(BP$1&lt;INDEX('Valo FX'!$Q:$Q,MATCH($A12,'Valo FX'!$A:$A,0)),0,IF(BP$1&lt;INDEX('Valo FX'!$R:$R,MATCH($A12,'Valo FX'!$A:$A,0)),INDEX(Base!$U:$U,MATCH($A12,Base!$A:$A,0)),IF(BP$1=INDEX('Valo FX'!$R:$R,MATCH($A12,'Valo FX'!$A:$A,0)),INDEX(Base!$V:$V,MATCH($A12,Base!$A:$A,0)),0)))</f>
        <v>7.7229549999999998</v>
      </c>
      <c r="BQ12" s="21">
        <f>IF(BQ$1&lt;INDEX('Valo FX'!$Q:$Q,MATCH($A12,'Valo FX'!$A:$A,0)),0,IF(BQ$1&lt;INDEX('Valo FX'!$R:$R,MATCH($A12,'Valo FX'!$A:$A,0)),INDEX(Base!$U:$U,MATCH($A12,Base!$A:$A,0)),IF(BQ$1=INDEX('Valo FX'!$R:$R,MATCH($A12,'Valo FX'!$A:$A,0)),INDEX(Base!$V:$V,MATCH($A12,Base!$A:$A,0)),0)))</f>
        <v>7.7229549999999998</v>
      </c>
      <c r="BR12" s="21">
        <f>IF(BR$1&lt;INDEX('Valo FX'!$Q:$Q,MATCH($A12,'Valo FX'!$A:$A,0)),0,IF(BR$1&lt;INDEX('Valo FX'!$R:$R,MATCH($A12,'Valo FX'!$A:$A,0)),INDEX(Base!$U:$U,MATCH($A12,Base!$A:$A,0)),IF(BR$1=INDEX('Valo FX'!$R:$R,MATCH($A12,'Valo FX'!$A:$A,0)),INDEX(Base!$V:$V,MATCH($A12,Base!$A:$A,0)),0)))</f>
        <v>7.7229549999999998</v>
      </c>
      <c r="BS12" s="21">
        <f>IF(BS$1&lt;INDEX('Valo FX'!$Q:$Q,MATCH($A12,'Valo FX'!$A:$A,0)),0,IF(BS$1&lt;INDEX('Valo FX'!$R:$R,MATCH($A12,'Valo FX'!$A:$A,0)),INDEX(Base!$U:$U,MATCH($A12,Base!$A:$A,0)),IF(BS$1=INDEX('Valo FX'!$R:$R,MATCH($A12,'Valo FX'!$A:$A,0)),INDEX(Base!$V:$V,MATCH($A12,Base!$A:$A,0)),0)))</f>
        <v>7.7229549999999998</v>
      </c>
      <c r="BT12" s="21">
        <f>IF(BT$1&lt;INDEX('Valo FX'!$Q:$Q,MATCH($A12,'Valo FX'!$A:$A,0)),0,IF(BT$1&lt;INDEX('Valo FX'!$R:$R,MATCH($A12,'Valo FX'!$A:$A,0)),INDEX(Base!$U:$U,MATCH($A12,Base!$A:$A,0)),IF(BT$1=INDEX('Valo FX'!$R:$R,MATCH($A12,'Valo FX'!$A:$A,0)),INDEX(Base!$V:$V,MATCH($A12,Base!$A:$A,0)),0)))</f>
        <v>7.7229549999999998</v>
      </c>
      <c r="BU12" s="21">
        <f>IF(BU$1&lt;INDEX('Valo FX'!$Q:$Q,MATCH($A12,'Valo FX'!$A:$A,0)),0,IF(BU$1&lt;INDEX('Valo FX'!$R:$R,MATCH($A12,'Valo FX'!$A:$A,0)),INDEX(Base!$U:$U,MATCH($A12,Base!$A:$A,0)),IF(BU$1=INDEX('Valo FX'!$R:$R,MATCH($A12,'Valo FX'!$A:$A,0)),INDEX(Base!$V:$V,MATCH($A12,Base!$A:$A,0)),0)))</f>
        <v>7.7229549999999998</v>
      </c>
      <c r="BV12" s="21">
        <f>IF(BV$1&lt;INDEX('Valo FX'!$Q:$Q,MATCH($A12,'Valo FX'!$A:$A,0)),0,IF(BV$1&lt;INDEX('Valo FX'!$R:$R,MATCH($A12,'Valo FX'!$A:$A,0)),INDEX(Base!$U:$U,MATCH($A12,Base!$A:$A,0)),IF(BV$1=INDEX('Valo FX'!$R:$R,MATCH($A12,'Valo FX'!$A:$A,0)),INDEX(Base!$V:$V,MATCH($A12,Base!$A:$A,0)),0)))</f>
        <v>7.7229549999999998</v>
      </c>
      <c r="BW12" s="21">
        <f>IF(BW$1&lt;INDEX('Valo FX'!$Q:$Q,MATCH($A12,'Valo FX'!$A:$A,0)),0,IF(BW$1&lt;INDEX('Valo FX'!$R:$R,MATCH($A12,'Valo FX'!$A:$A,0)),INDEX(Base!$U:$U,MATCH($A12,Base!$A:$A,0)),IF(BW$1=INDEX('Valo FX'!$R:$R,MATCH($A12,'Valo FX'!$A:$A,0)),INDEX(Base!$V:$V,MATCH($A12,Base!$A:$A,0)),0)))</f>
        <v>7.7229549999999998</v>
      </c>
      <c r="BX12" s="21">
        <f>IF(BX$1&lt;INDEX('Valo FX'!$Q:$Q,MATCH($A12,'Valo FX'!$A:$A,0)),0,IF(BX$1&lt;INDEX('Valo FX'!$R:$R,MATCH($A12,'Valo FX'!$A:$A,0)),INDEX(Base!$U:$U,MATCH($A12,Base!$A:$A,0)),IF(BX$1=INDEX('Valo FX'!$R:$R,MATCH($A12,'Valo FX'!$A:$A,0)),INDEX(Base!$V:$V,MATCH($A12,Base!$A:$A,0)),0)))</f>
        <v>7.7229549999999998</v>
      </c>
      <c r="BY12" s="21">
        <f>IF(BY$1&lt;INDEX('Valo FX'!$Q:$Q,MATCH($A12,'Valo FX'!$A:$A,0)),0,IF(BY$1&lt;INDEX('Valo FX'!$R:$R,MATCH($A12,'Valo FX'!$A:$A,0)),INDEX(Base!$U:$U,MATCH($A12,Base!$A:$A,0)),IF(BY$1=INDEX('Valo FX'!$R:$R,MATCH($A12,'Valo FX'!$A:$A,0)),INDEX(Base!$V:$V,MATCH($A12,Base!$A:$A,0)),0)))</f>
        <v>7.7229549999999998</v>
      </c>
      <c r="BZ12" s="21">
        <f>IF(BZ$1&lt;INDEX('Valo FX'!$Q:$Q,MATCH($A12,'Valo FX'!$A:$A,0)),0,IF(BZ$1&lt;INDEX('Valo FX'!$R:$R,MATCH($A12,'Valo FX'!$A:$A,0)),INDEX(Base!$U:$U,MATCH($A12,Base!$A:$A,0)),IF(BZ$1=INDEX('Valo FX'!$R:$R,MATCH($A12,'Valo FX'!$A:$A,0)),INDEX(Base!$V:$V,MATCH($A12,Base!$A:$A,0)),0)))</f>
        <v>7.7229549999999998</v>
      </c>
      <c r="CA12" s="21">
        <f>IF(CA$1&lt;INDEX('Valo FX'!$Q:$Q,MATCH($A12,'Valo FX'!$A:$A,0)),0,IF(CA$1&lt;INDEX('Valo FX'!$R:$R,MATCH($A12,'Valo FX'!$A:$A,0)),INDEX(Base!$U:$U,MATCH($A12,Base!$A:$A,0)),IF(CA$1=INDEX('Valo FX'!$R:$R,MATCH($A12,'Valo FX'!$A:$A,0)),INDEX(Base!$V:$V,MATCH($A12,Base!$A:$A,0)),0)))</f>
        <v>7.7229549999999998</v>
      </c>
      <c r="CB12" s="21">
        <f>IF(CB$1&lt;INDEX('Valo FX'!$Q:$Q,MATCH($A12,'Valo FX'!$A:$A,0)),0,IF(CB$1&lt;INDEX('Valo FX'!$R:$R,MATCH($A12,'Valo FX'!$A:$A,0)),INDEX(Base!$U:$U,MATCH($A12,Base!$A:$A,0)),IF(CB$1=INDEX('Valo FX'!$R:$R,MATCH($A12,'Valo FX'!$A:$A,0)),INDEX(Base!$V:$V,MATCH($A12,Base!$A:$A,0)),0)))</f>
        <v>7.7229549999999998</v>
      </c>
      <c r="CC12" s="21">
        <f>IF(CC$1&lt;INDEX('Valo FX'!$Q:$Q,MATCH($A12,'Valo FX'!$A:$A,0)),0,IF(CC$1&lt;INDEX('Valo FX'!$R:$R,MATCH($A12,'Valo FX'!$A:$A,0)),INDEX(Base!$U:$U,MATCH($A12,Base!$A:$A,0)),IF(CC$1=INDEX('Valo FX'!$R:$R,MATCH($A12,'Valo FX'!$A:$A,0)),INDEX(Base!$V:$V,MATCH($A12,Base!$A:$A,0)),0)))</f>
        <v>7.7229549999999998</v>
      </c>
      <c r="CD12" s="21">
        <f>IF(CD$1&lt;INDEX('Valo FX'!$Q:$Q,MATCH($A12,'Valo FX'!$A:$A,0)),0,IF(CD$1&lt;INDEX('Valo FX'!$R:$R,MATCH($A12,'Valo FX'!$A:$A,0)),INDEX(Base!$U:$U,MATCH($A12,Base!$A:$A,0)),IF(CD$1=INDEX('Valo FX'!$R:$R,MATCH($A12,'Valo FX'!$A:$A,0)),INDEX(Base!$V:$V,MATCH($A12,Base!$A:$A,0)),0)))</f>
        <v>7.7229549999999998</v>
      </c>
      <c r="CE12" s="21">
        <f>IF(CE$1&lt;INDEX('Valo FX'!$Q:$Q,MATCH($A12,'Valo FX'!$A:$A,0)),0,IF(CE$1&lt;INDEX('Valo FX'!$R:$R,MATCH($A12,'Valo FX'!$A:$A,0)),INDEX(Base!$U:$U,MATCH($A12,Base!$A:$A,0)),IF(CE$1=INDEX('Valo FX'!$R:$R,MATCH($A12,'Valo FX'!$A:$A,0)),INDEX(Base!$V:$V,MATCH($A12,Base!$A:$A,0)),0)))</f>
        <v>7.7229549999999998</v>
      </c>
      <c r="CF12" s="21">
        <f>IF(CF$1&lt;INDEX('Valo FX'!$Q:$Q,MATCH($A12,'Valo FX'!$A:$A,0)),0,IF(CF$1&lt;INDEX('Valo FX'!$R:$R,MATCH($A12,'Valo FX'!$A:$A,0)),INDEX(Base!$U:$U,MATCH($A12,Base!$A:$A,0)),IF(CF$1=INDEX('Valo FX'!$R:$R,MATCH($A12,'Valo FX'!$A:$A,0)),INDEX(Base!$V:$V,MATCH($A12,Base!$A:$A,0)),0)))</f>
        <v>7.7229549999999998</v>
      </c>
      <c r="CG12" s="21">
        <f>IF(CG$1&lt;INDEX('Valo FX'!$Q:$Q,MATCH($A12,'Valo FX'!$A:$A,0)),0,IF(CG$1&lt;INDEX('Valo FX'!$R:$R,MATCH($A12,'Valo FX'!$A:$A,0)),INDEX(Base!$U:$U,MATCH($A12,Base!$A:$A,0)),IF(CG$1=INDEX('Valo FX'!$R:$R,MATCH($A12,'Valo FX'!$A:$A,0)),INDEX(Base!$V:$V,MATCH($A12,Base!$A:$A,0)),0)))</f>
        <v>7.7229549999999998</v>
      </c>
      <c r="CH12" s="21">
        <f>IF(CH$1&lt;INDEX('Valo FX'!$Q:$Q,MATCH($A12,'Valo FX'!$A:$A,0)),0,IF(CH$1&lt;INDEX('Valo FX'!$R:$R,MATCH($A12,'Valo FX'!$A:$A,0)),INDEX(Base!$U:$U,MATCH($A12,Base!$A:$A,0)),IF(CH$1=INDEX('Valo FX'!$R:$R,MATCH($A12,'Valo FX'!$A:$A,0)),INDEX(Base!$V:$V,MATCH($A12,Base!$A:$A,0)),0)))</f>
        <v>7.7229549999999998</v>
      </c>
      <c r="CI12" s="21">
        <f>IF(CI$1&lt;INDEX('Valo FX'!$Q:$Q,MATCH($A12,'Valo FX'!$A:$A,0)),0,IF(CI$1&lt;INDEX('Valo FX'!$R:$R,MATCH($A12,'Valo FX'!$A:$A,0)),INDEX(Base!$U:$U,MATCH($A12,Base!$A:$A,0)),IF(CI$1=INDEX('Valo FX'!$R:$R,MATCH($A12,'Valo FX'!$A:$A,0)),INDEX(Base!$V:$V,MATCH($A12,Base!$A:$A,0)),0)))</f>
        <v>7.7229549999999998</v>
      </c>
      <c r="CJ12" s="21">
        <f>IF(CJ$1&lt;INDEX('Valo FX'!$Q:$Q,MATCH($A12,'Valo FX'!$A:$A,0)),0,IF(CJ$1&lt;INDEX('Valo FX'!$R:$R,MATCH($A12,'Valo FX'!$A:$A,0)),INDEX(Base!$U:$U,MATCH($A12,Base!$A:$A,0)),IF(CJ$1=INDEX('Valo FX'!$R:$R,MATCH($A12,'Valo FX'!$A:$A,0)),INDEX(Base!$V:$V,MATCH($A12,Base!$A:$A,0)),0)))</f>
        <v>7.7229549999999998</v>
      </c>
      <c r="CK12" s="21">
        <f>IF(CK$1&lt;INDEX('Valo FX'!$Q:$Q,MATCH($A12,'Valo FX'!$A:$A,0)),0,IF(CK$1&lt;INDEX('Valo FX'!$R:$R,MATCH($A12,'Valo FX'!$A:$A,0)),INDEX(Base!$U:$U,MATCH($A12,Base!$A:$A,0)),IF(CK$1=INDEX('Valo FX'!$R:$R,MATCH($A12,'Valo FX'!$A:$A,0)),INDEX(Base!$V:$V,MATCH($A12,Base!$A:$A,0)),0)))</f>
        <v>7.7229549999999998</v>
      </c>
      <c r="CL12" s="21">
        <f>IF(CL$1&lt;INDEX('Valo FX'!$Q:$Q,MATCH($A12,'Valo FX'!$A:$A,0)),0,IF(CL$1&lt;INDEX('Valo FX'!$R:$R,MATCH($A12,'Valo FX'!$A:$A,0)),INDEX(Base!$U:$U,MATCH($A12,Base!$A:$A,0)),IF(CL$1=INDEX('Valo FX'!$R:$R,MATCH($A12,'Valo FX'!$A:$A,0)),INDEX(Base!$V:$V,MATCH($A12,Base!$A:$A,0)),0)))</f>
        <v>7.7229549999999998</v>
      </c>
      <c r="CM12" s="21">
        <f>IF(CM$1&lt;INDEX('Valo FX'!$Q:$Q,MATCH($A12,'Valo FX'!$A:$A,0)),0,IF(CM$1&lt;INDEX('Valo FX'!$R:$R,MATCH($A12,'Valo FX'!$A:$A,0)),INDEX(Base!$U:$U,MATCH($A12,Base!$A:$A,0)),IF(CM$1=INDEX('Valo FX'!$R:$R,MATCH($A12,'Valo FX'!$A:$A,0)),INDEX(Base!$V:$V,MATCH($A12,Base!$A:$A,0)),0)))</f>
        <v>7.7229549999999998</v>
      </c>
      <c r="CN12" s="21">
        <f>IF(CN$1&lt;INDEX('Valo FX'!$Q:$Q,MATCH($A12,'Valo FX'!$A:$A,0)),0,IF(CN$1&lt;INDEX('Valo FX'!$R:$R,MATCH($A12,'Valo FX'!$A:$A,0)),INDEX(Base!$U:$U,MATCH($A12,Base!$A:$A,0)),IF(CN$1=INDEX('Valo FX'!$R:$R,MATCH($A12,'Valo FX'!$A:$A,0)),INDEX(Base!$V:$V,MATCH($A12,Base!$A:$A,0)),0)))</f>
        <v>7.7229549999999998</v>
      </c>
      <c r="CO12" s="21">
        <f>IF(CO$1&lt;INDEX('Valo FX'!$Q:$Q,MATCH($A12,'Valo FX'!$A:$A,0)),0,IF(CO$1&lt;INDEX('Valo FX'!$R:$R,MATCH($A12,'Valo FX'!$A:$A,0)),INDEX(Base!$U:$U,MATCH($A12,Base!$A:$A,0)),IF(CO$1=INDEX('Valo FX'!$R:$R,MATCH($A12,'Valo FX'!$A:$A,0)),INDEX(Base!$V:$V,MATCH($A12,Base!$A:$A,0)),0)))</f>
        <v>7.7229549999999998</v>
      </c>
      <c r="CP12" s="21">
        <f>IF(CP$1&lt;INDEX('Valo FX'!$Q:$Q,MATCH($A12,'Valo FX'!$A:$A,0)),0,IF(CP$1&lt;INDEX('Valo FX'!$R:$R,MATCH($A12,'Valo FX'!$A:$A,0)),INDEX(Base!$U:$U,MATCH($A12,Base!$A:$A,0)),IF(CP$1=INDEX('Valo FX'!$R:$R,MATCH($A12,'Valo FX'!$A:$A,0)),INDEX(Base!$V:$V,MATCH($A12,Base!$A:$A,0)),0)))</f>
        <v>7.7229549999999998</v>
      </c>
      <c r="CQ12" s="21">
        <f>IF(CQ$1&lt;INDEX('Valo FX'!$Q:$Q,MATCH($A12,'Valo FX'!$A:$A,0)),0,IF(CQ$1&lt;INDEX('Valo FX'!$R:$R,MATCH($A12,'Valo FX'!$A:$A,0)),INDEX(Base!$U:$U,MATCH($A12,Base!$A:$A,0)),IF(CQ$1=INDEX('Valo FX'!$R:$R,MATCH($A12,'Valo FX'!$A:$A,0)),INDEX(Base!$V:$V,MATCH($A12,Base!$A:$A,0)),0)))</f>
        <v>7.7229549999999998</v>
      </c>
      <c r="CR12" s="21">
        <f>IF(CR$1&lt;INDEX('Valo FX'!$Q:$Q,MATCH($A12,'Valo FX'!$A:$A,0)),0,IF(CR$1&lt;INDEX('Valo FX'!$R:$R,MATCH($A12,'Valo FX'!$A:$A,0)),INDEX(Base!$U:$U,MATCH($A12,Base!$A:$A,0)),IF(CR$1=INDEX('Valo FX'!$R:$R,MATCH($A12,'Valo FX'!$A:$A,0)),INDEX(Base!$V:$V,MATCH($A12,Base!$A:$A,0)),0)))</f>
        <v>7.7229549999999998</v>
      </c>
      <c r="CS12" s="21">
        <f>IF(CS$1&lt;INDEX('Valo FX'!$Q:$Q,MATCH($A12,'Valo FX'!$A:$A,0)),0,IF(CS$1&lt;INDEX('Valo FX'!$R:$R,MATCH($A12,'Valo FX'!$A:$A,0)),INDEX(Base!$U:$U,MATCH($A12,Base!$A:$A,0)),IF(CS$1=INDEX('Valo FX'!$R:$R,MATCH($A12,'Valo FX'!$A:$A,0)),INDEX(Base!$V:$V,MATCH($A12,Base!$A:$A,0)),0)))</f>
        <v>7.7229549999999998</v>
      </c>
      <c r="CT12" s="21">
        <f>IF(CT$1&lt;INDEX('Valo FX'!$Q:$Q,MATCH($A12,'Valo FX'!$A:$A,0)),0,IF(CT$1&lt;INDEX('Valo FX'!$R:$R,MATCH($A12,'Valo FX'!$A:$A,0)),INDEX(Base!$U:$U,MATCH($A12,Base!$A:$A,0)),IF(CT$1=INDEX('Valo FX'!$R:$R,MATCH($A12,'Valo FX'!$A:$A,0)),INDEX(Base!$V:$V,MATCH($A12,Base!$A:$A,0)),0)))</f>
        <v>7.7229549999999998</v>
      </c>
      <c r="CU12" s="21">
        <f>IF(CU$1&lt;INDEX('Valo FX'!$Q:$Q,MATCH($A12,'Valo FX'!$A:$A,0)),0,IF(CU$1&lt;INDEX('Valo FX'!$R:$R,MATCH($A12,'Valo FX'!$A:$A,0)),INDEX(Base!$U:$U,MATCH($A12,Base!$A:$A,0)),IF(CU$1=INDEX('Valo FX'!$R:$R,MATCH($A12,'Valo FX'!$A:$A,0)),INDEX(Base!$V:$V,MATCH($A12,Base!$A:$A,0)),0)))</f>
        <v>7.7229549999999998</v>
      </c>
      <c r="CV12" s="21">
        <f>IF(CV$1&lt;INDEX('Valo FX'!$Q:$Q,MATCH($A12,'Valo FX'!$A:$A,0)),0,IF(CV$1&lt;INDEX('Valo FX'!$R:$R,MATCH($A12,'Valo FX'!$A:$A,0)),INDEX(Base!$U:$U,MATCH($A12,Base!$A:$A,0)),IF(CV$1=INDEX('Valo FX'!$R:$R,MATCH($A12,'Valo FX'!$A:$A,0)),INDEX(Base!$V:$V,MATCH($A12,Base!$A:$A,0)),0)))</f>
        <v>7.7229549999999998</v>
      </c>
      <c r="CW12" s="21">
        <f>IF(CW$1&lt;INDEX('Valo FX'!$Q:$Q,MATCH($A12,'Valo FX'!$A:$A,0)),0,IF(CW$1&lt;INDEX('Valo FX'!$R:$R,MATCH($A12,'Valo FX'!$A:$A,0)),INDEX(Base!$U:$U,MATCH($A12,Base!$A:$A,0)),IF(CW$1=INDEX('Valo FX'!$R:$R,MATCH($A12,'Valo FX'!$A:$A,0)),INDEX(Base!$V:$V,MATCH($A12,Base!$A:$A,0)),0)))</f>
        <v>7.7229549999999998</v>
      </c>
      <c r="CX12" s="21">
        <f>IF(CX$1&lt;INDEX('Valo FX'!$Q:$Q,MATCH($A12,'Valo FX'!$A:$A,0)),0,IF(CX$1&lt;INDEX('Valo FX'!$R:$R,MATCH($A12,'Valo FX'!$A:$A,0)),INDEX(Base!$U:$U,MATCH($A12,Base!$A:$A,0)),IF(CX$1=INDEX('Valo FX'!$R:$R,MATCH($A12,'Valo FX'!$A:$A,0)),INDEX(Base!$V:$V,MATCH($A12,Base!$A:$A,0)),0)))</f>
        <v>7.7229549999999998</v>
      </c>
      <c r="CY12" s="21">
        <f>IF(CY$1&lt;INDEX('Valo FX'!$Q:$Q,MATCH($A12,'Valo FX'!$A:$A,0)),0,IF(CY$1&lt;INDEX('Valo FX'!$R:$R,MATCH($A12,'Valo FX'!$A:$A,0)),INDEX(Base!$U:$U,MATCH($A12,Base!$A:$A,0)),IF(CY$1=INDEX('Valo FX'!$R:$R,MATCH($A12,'Valo FX'!$A:$A,0)),INDEX(Base!$V:$V,MATCH($A12,Base!$A:$A,0)),0)))</f>
        <v>7.7229549999999998</v>
      </c>
      <c r="CZ12" s="21">
        <f>IF(CZ$1&lt;INDEX('Valo FX'!$Q:$Q,MATCH($A12,'Valo FX'!$A:$A,0)),0,IF(CZ$1&lt;INDEX('Valo FX'!$R:$R,MATCH($A12,'Valo FX'!$A:$A,0)),INDEX(Base!$U:$U,MATCH($A12,Base!$A:$A,0)),IF(CZ$1=INDEX('Valo FX'!$R:$R,MATCH($A12,'Valo FX'!$A:$A,0)),INDEX(Base!$V:$V,MATCH($A12,Base!$A:$A,0)),0)))</f>
        <v>7.7229549999999998</v>
      </c>
      <c r="DA12" s="21">
        <f>IF(DA$1&lt;INDEX('Valo FX'!$Q:$Q,MATCH($A12,'Valo FX'!$A:$A,0)),0,IF(DA$1&lt;INDEX('Valo FX'!$R:$R,MATCH($A12,'Valo FX'!$A:$A,0)),INDEX(Base!$U:$U,MATCH($A12,Base!$A:$A,0)),IF(DA$1=INDEX('Valo FX'!$R:$R,MATCH($A12,'Valo FX'!$A:$A,0)),INDEX(Base!$V:$V,MATCH($A12,Base!$A:$A,0)),0)))</f>
        <v>7.7229549999999998</v>
      </c>
      <c r="DB12" s="21">
        <f>IF(DB$1&lt;INDEX('Valo FX'!$Q:$Q,MATCH($A12,'Valo FX'!$A:$A,0)),0,IF(DB$1&lt;INDEX('Valo FX'!$R:$R,MATCH($A12,'Valo FX'!$A:$A,0)),INDEX(Base!$U:$U,MATCH($A12,Base!$A:$A,0)),IF(DB$1=INDEX('Valo FX'!$R:$R,MATCH($A12,'Valo FX'!$A:$A,0)),INDEX(Base!$V:$V,MATCH($A12,Base!$A:$A,0)),0)))</f>
        <v>7.7229549999999998</v>
      </c>
      <c r="DC12" s="21">
        <f>IF(DC$1&lt;INDEX('Valo FX'!$Q:$Q,MATCH($A12,'Valo FX'!$A:$A,0)),0,IF(DC$1&lt;INDEX('Valo FX'!$R:$R,MATCH($A12,'Valo FX'!$A:$A,0)),INDEX(Base!$U:$U,MATCH($A12,Base!$A:$A,0)),IF(DC$1=INDEX('Valo FX'!$R:$R,MATCH($A12,'Valo FX'!$A:$A,0)),INDEX(Base!$V:$V,MATCH($A12,Base!$A:$A,0)),0)))</f>
        <v>7.7229549999999998</v>
      </c>
      <c r="DD12" s="21">
        <f>IF(DD$1&lt;INDEX('Valo FX'!$Q:$Q,MATCH($A12,'Valo FX'!$A:$A,0)),0,IF(DD$1&lt;INDEX('Valo FX'!$R:$R,MATCH($A12,'Valo FX'!$A:$A,0)),INDEX(Base!$U:$U,MATCH($A12,Base!$A:$A,0)),IF(DD$1=INDEX('Valo FX'!$R:$R,MATCH($A12,'Valo FX'!$A:$A,0)),INDEX(Base!$V:$V,MATCH($A12,Base!$A:$A,0)),0)))</f>
        <v>7.7229549999999998</v>
      </c>
      <c r="DE12" s="21">
        <f>IF(DE$1&lt;INDEX('Valo FX'!$Q:$Q,MATCH($A12,'Valo FX'!$A:$A,0)),0,IF(DE$1&lt;INDEX('Valo FX'!$R:$R,MATCH($A12,'Valo FX'!$A:$A,0)),INDEX(Base!$U:$U,MATCH($A12,Base!$A:$A,0)),IF(DE$1=INDEX('Valo FX'!$R:$R,MATCH($A12,'Valo FX'!$A:$A,0)),INDEX(Base!$V:$V,MATCH($A12,Base!$A:$A,0)),0)))</f>
        <v>7.7229549999999998</v>
      </c>
      <c r="DF12" s="21">
        <f>IF(DF$1&lt;INDEX('Valo FX'!$Q:$Q,MATCH($A12,'Valo FX'!$A:$A,0)),0,IF(DF$1&lt;INDEX('Valo FX'!$R:$R,MATCH($A12,'Valo FX'!$A:$A,0)),INDEX(Base!$U:$U,MATCH($A12,Base!$A:$A,0)),IF(DF$1=INDEX('Valo FX'!$R:$R,MATCH($A12,'Valo FX'!$A:$A,0)),INDEX(Base!$V:$V,MATCH($A12,Base!$A:$A,0)),0)))</f>
        <v>7.7229549999999998</v>
      </c>
      <c r="DG12" s="21">
        <f>IF(DG$1&lt;INDEX('Valo FX'!$Q:$Q,MATCH($A12,'Valo FX'!$A:$A,0)),0,IF(DG$1&lt;INDEX('Valo FX'!$R:$R,MATCH($A12,'Valo FX'!$A:$A,0)),INDEX(Base!$U:$U,MATCH($A12,Base!$A:$A,0)),IF(DG$1=INDEX('Valo FX'!$R:$R,MATCH($A12,'Valo FX'!$A:$A,0)),INDEX(Base!$V:$V,MATCH($A12,Base!$A:$A,0)),0)))</f>
        <v>7.7229549999999998</v>
      </c>
      <c r="DH12" s="21">
        <f>IF(DH$1&lt;INDEX('Valo FX'!$Q:$Q,MATCH($A12,'Valo FX'!$A:$A,0)),0,IF(DH$1&lt;INDEX('Valo FX'!$R:$R,MATCH($A12,'Valo FX'!$A:$A,0)),INDEX(Base!$U:$U,MATCH($A12,Base!$A:$A,0)),IF(DH$1=INDEX('Valo FX'!$R:$R,MATCH($A12,'Valo FX'!$A:$A,0)),INDEX(Base!$V:$V,MATCH($A12,Base!$A:$A,0)),0)))</f>
        <v>7.7229549999999998</v>
      </c>
      <c r="DI12" s="21">
        <f>IF(DI$1&lt;INDEX('Valo FX'!$Q:$Q,MATCH($A12,'Valo FX'!$A:$A,0)),0,IF(DI$1&lt;INDEX('Valo FX'!$R:$R,MATCH($A12,'Valo FX'!$A:$A,0)),INDEX(Base!$U:$U,MATCH($A12,Base!$A:$A,0)),IF(DI$1=INDEX('Valo FX'!$R:$R,MATCH($A12,'Valo FX'!$A:$A,0)),INDEX(Base!$V:$V,MATCH($A12,Base!$A:$A,0)),0)))</f>
        <v>7.7229549999999998</v>
      </c>
      <c r="DJ12" s="21">
        <f>IF(DJ$1&lt;INDEX('Valo FX'!$Q:$Q,MATCH($A12,'Valo FX'!$A:$A,0)),0,IF(DJ$1&lt;INDEX('Valo FX'!$R:$R,MATCH($A12,'Valo FX'!$A:$A,0)),INDEX(Base!$U:$U,MATCH($A12,Base!$A:$A,0)),IF(DJ$1=INDEX('Valo FX'!$R:$R,MATCH($A12,'Valo FX'!$A:$A,0)),INDEX(Base!$V:$V,MATCH($A12,Base!$A:$A,0)),0)))</f>
        <v>7.7229549999999998</v>
      </c>
      <c r="DK12" s="21">
        <f>IF(DK$1&lt;INDEX('Valo FX'!$Q:$Q,MATCH($A12,'Valo FX'!$A:$A,0)),0,IF(DK$1&lt;INDEX('Valo FX'!$R:$R,MATCH($A12,'Valo FX'!$A:$A,0)),INDEX(Base!$U:$U,MATCH($A12,Base!$A:$A,0)),IF(DK$1=INDEX('Valo FX'!$R:$R,MATCH($A12,'Valo FX'!$A:$A,0)),INDEX(Base!$V:$V,MATCH($A12,Base!$A:$A,0)),0)))</f>
        <v>7.7229549999999998</v>
      </c>
      <c r="DL12" s="21">
        <f>IF(DL$1&lt;INDEX('Valo FX'!$Q:$Q,MATCH($A12,'Valo FX'!$A:$A,0)),0,IF(DL$1&lt;INDEX('Valo FX'!$R:$R,MATCH($A12,'Valo FX'!$A:$A,0)),INDEX(Base!$U:$U,MATCH($A12,Base!$A:$A,0)),IF(DL$1=INDEX('Valo FX'!$R:$R,MATCH($A12,'Valo FX'!$A:$A,0)),INDEX(Base!$V:$V,MATCH($A12,Base!$A:$A,0)),0)))</f>
        <v>7.7229549999999998</v>
      </c>
      <c r="DM12" s="21">
        <f>IF(DM$1&lt;INDEX('Valo FX'!$Q:$Q,MATCH($A12,'Valo FX'!$A:$A,0)),0,IF(DM$1&lt;INDEX('Valo FX'!$R:$R,MATCH($A12,'Valo FX'!$A:$A,0)),INDEX(Base!$U:$U,MATCH($A12,Base!$A:$A,0)),IF(DM$1=INDEX('Valo FX'!$R:$R,MATCH($A12,'Valo FX'!$A:$A,0)),INDEX(Base!$V:$V,MATCH($A12,Base!$A:$A,0)),0)))</f>
        <v>7.7229549999999998</v>
      </c>
      <c r="DN12" s="21">
        <f>IF(DN$1&lt;INDEX('Valo FX'!$Q:$Q,MATCH($A12,'Valo FX'!$A:$A,0)),0,IF(DN$1&lt;INDEX('Valo FX'!$R:$R,MATCH($A12,'Valo FX'!$A:$A,0)),INDEX(Base!$U:$U,MATCH($A12,Base!$A:$A,0)),IF(DN$1=INDEX('Valo FX'!$R:$R,MATCH($A12,'Valo FX'!$A:$A,0)),INDEX(Base!$V:$V,MATCH($A12,Base!$A:$A,0)),0)))</f>
        <v>7.7229549999999998</v>
      </c>
      <c r="DO12" s="21">
        <f>IF(DO$1&lt;INDEX('Valo FX'!$Q:$Q,MATCH($A12,'Valo FX'!$A:$A,0)),0,IF(DO$1&lt;INDEX('Valo FX'!$R:$R,MATCH($A12,'Valo FX'!$A:$A,0)),INDEX(Base!$U:$U,MATCH($A12,Base!$A:$A,0)),IF(DO$1=INDEX('Valo FX'!$R:$R,MATCH($A12,'Valo FX'!$A:$A,0)),INDEX(Base!$V:$V,MATCH($A12,Base!$A:$A,0)),0)))</f>
        <v>7.7229549999999998</v>
      </c>
      <c r="DP12" s="21">
        <f>IF(DP$1&lt;INDEX('Valo FX'!$Q:$Q,MATCH($A12,'Valo FX'!$A:$A,0)),0,IF(DP$1&lt;INDEX('Valo FX'!$R:$R,MATCH($A12,'Valo FX'!$A:$A,0)),INDEX(Base!$U:$U,MATCH($A12,Base!$A:$A,0)),IF(DP$1=INDEX('Valo FX'!$R:$R,MATCH($A12,'Valo FX'!$A:$A,0)),INDEX(Base!$V:$V,MATCH($A12,Base!$A:$A,0)),0)))</f>
        <v>7.7229549999999998</v>
      </c>
      <c r="DQ12" s="21">
        <f>IF(DQ$1&lt;INDEX('Valo FX'!$Q:$Q,MATCH($A12,'Valo FX'!$A:$A,0)),0,IF(DQ$1&lt;INDEX('Valo FX'!$R:$R,MATCH($A12,'Valo FX'!$A:$A,0)),INDEX(Base!$U:$U,MATCH($A12,Base!$A:$A,0)),IF(DQ$1=INDEX('Valo FX'!$R:$R,MATCH($A12,'Valo FX'!$A:$A,0)),INDEX(Base!$V:$V,MATCH($A12,Base!$A:$A,0)),0)))</f>
        <v>7.7229549999999998</v>
      </c>
      <c r="DR12" s="21">
        <f>IF(DR$1&lt;INDEX('Valo FX'!$Q:$Q,MATCH($A12,'Valo FX'!$A:$A,0)),0,IF(DR$1&lt;INDEX('Valo FX'!$R:$R,MATCH($A12,'Valo FX'!$A:$A,0)),INDEX(Base!$U:$U,MATCH($A12,Base!$A:$A,0)),IF(DR$1=INDEX('Valo FX'!$R:$R,MATCH($A12,'Valo FX'!$A:$A,0)),INDEX(Base!$V:$V,MATCH($A12,Base!$A:$A,0)),0)))</f>
        <v>7.7229549999999998</v>
      </c>
      <c r="DS12" s="21">
        <f>IF(DS$1&lt;INDEX('Valo FX'!$Q:$Q,MATCH($A12,'Valo FX'!$A:$A,0)),0,IF(DS$1&lt;INDEX('Valo FX'!$R:$R,MATCH($A12,'Valo FX'!$A:$A,0)),INDEX(Base!$U:$U,MATCH($A12,Base!$A:$A,0)),IF(DS$1=INDEX('Valo FX'!$R:$R,MATCH($A12,'Valo FX'!$A:$A,0)),INDEX(Base!$V:$V,MATCH($A12,Base!$A:$A,0)),0)))</f>
        <v>7.7229549999999998</v>
      </c>
      <c r="DT12" s="21">
        <f>IF(DT$1&lt;INDEX('Valo FX'!$Q:$Q,MATCH($A12,'Valo FX'!$A:$A,0)),0,IF(DT$1&lt;INDEX('Valo FX'!$R:$R,MATCH($A12,'Valo FX'!$A:$A,0)),INDEX(Base!$U:$U,MATCH($A12,Base!$A:$A,0)),IF(DT$1=INDEX('Valo FX'!$R:$R,MATCH($A12,'Valo FX'!$A:$A,0)),INDEX(Base!$V:$V,MATCH($A12,Base!$A:$A,0)),0)))</f>
        <v>7.7229549999999998</v>
      </c>
      <c r="DU12" s="21">
        <f>IF(DU$1&lt;INDEX('Valo FX'!$Q:$Q,MATCH($A12,'Valo FX'!$A:$A,0)),0,IF(DU$1&lt;INDEX('Valo FX'!$R:$R,MATCH($A12,'Valo FX'!$A:$A,0)),INDEX(Base!$U:$U,MATCH($A12,Base!$A:$A,0)),IF(DU$1=INDEX('Valo FX'!$R:$R,MATCH($A12,'Valo FX'!$A:$A,0)),INDEX(Base!$V:$V,MATCH($A12,Base!$A:$A,0)),0)))</f>
        <v>7.7229549999999998</v>
      </c>
      <c r="DV12" s="21">
        <f>IF(DV$1&lt;INDEX('Valo FX'!$Q:$Q,MATCH($A12,'Valo FX'!$A:$A,0)),0,IF(DV$1&lt;INDEX('Valo FX'!$R:$R,MATCH($A12,'Valo FX'!$A:$A,0)),INDEX(Base!$U:$U,MATCH($A12,Base!$A:$A,0)),IF(DV$1=INDEX('Valo FX'!$R:$R,MATCH($A12,'Valo FX'!$A:$A,0)),INDEX(Base!$V:$V,MATCH($A12,Base!$A:$A,0)),0)))</f>
        <v>7.7229549999999998</v>
      </c>
      <c r="DW12" s="21">
        <f>IF(DW$1&lt;INDEX('Valo FX'!$Q:$Q,MATCH($A12,'Valo FX'!$A:$A,0)),0,IF(DW$1&lt;INDEX('Valo FX'!$R:$R,MATCH($A12,'Valo FX'!$A:$A,0)),INDEX(Base!$U:$U,MATCH($A12,Base!$A:$A,0)),IF(DW$1=INDEX('Valo FX'!$R:$R,MATCH($A12,'Valo FX'!$A:$A,0)),INDEX(Base!$V:$V,MATCH($A12,Base!$A:$A,0)),0)))</f>
        <v>7.7229549999999998</v>
      </c>
      <c r="DX12" s="21">
        <f>IF(DX$1&lt;INDEX('Valo FX'!$Q:$Q,MATCH($A12,'Valo FX'!$A:$A,0)),0,IF(DX$1&lt;INDEX('Valo FX'!$R:$R,MATCH($A12,'Valo FX'!$A:$A,0)),INDEX(Base!$U:$U,MATCH($A12,Base!$A:$A,0)),IF(DX$1=INDEX('Valo FX'!$R:$R,MATCH($A12,'Valo FX'!$A:$A,0)),INDEX(Base!$V:$V,MATCH($A12,Base!$A:$A,0)),0)))</f>
        <v>7.7229549999999998</v>
      </c>
      <c r="DY12" s="21">
        <f>IF(DY$1&lt;INDEX('Valo FX'!$Q:$Q,MATCH($A12,'Valo FX'!$A:$A,0)),0,IF(DY$1&lt;INDEX('Valo FX'!$R:$R,MATCH($A12,'Valo FX'!$A:$A,0)),INDEX(Base!$U:$U,MATCH($A12,Base!$A:$A,0)),IF(DY$1=INDEX('Valo FX'!$R:$R,MATCH($A12,'Valo FX'!$A:$A,0)),INDEX(Base!$V:$V,MATCH($A12,Base!$A:$A,0)),0)))</f>
        <v>7.7229549999999998</v>
      </c>
      <c r="DZ12" s="21">
        <f>IF(DZ$1&lt;INDEX('Valo FX'!$Q:$Q,MATCH($A12,'Valo FX'!$A:$A,0)),0,IF(DZ$1&lt;INDEX('Valo FX'!$R:$R,MATCH($A12,'Valo FX'!$A:$A,0)),INDEX(Base!$U:$U,MATCH($A12,Base!$A:$A,0)),IF(DZ$1=INDEX('Valo FX'!$R:$R,MATCH($A12,'Valo FX'!$A:$A,0)),INDEX(Base!$V:$V,MATCH($A12,Base!$A:$A,0)),0)))</f>
        <v>7.7229549999999998</v>
      </c>
      <c r="EA12" s="21">
        <f>IF(EA$1&lt;INDEX('Valo FX'!$Q:$Q,MATCH($A12,'Valo FX'!$A:$A,0)),0,IF(EA$1&lt;INDEX('Valo FX'!$R:$R,MATCH($A12,'Valo FX'!$A:$A,0)),INDEX(Base!$U:$U,MATCH($A12,Base!$A:$A,0)),IF(EA$1=INDEX('Valo FX'!$R:$R,MATCH($A12,'Valo FX'!$A:$A,0)),INDEX(Base!$V:$V,MATCH($A12,Base!$A:$A,0)),0)))</f>
        <v>7.7229549999999998</v>
      </c>
      <c r="EB12" s="21">
        <f>IF(EB$1&lt;INDEX('Valo FX'!$Q:$Q,MATCH($A12,'Valo FX'!$A:$A,0)),0,IF(EB$1&lt;INDEX('Valo FX'!$R:$R,MATCH($A12,'Valo FX'!$A:$A,0)),INDEX(Base!$U:$U,MATCH($A12,Base!$A:$A,0)),IF(EB$1=INDEX('Valo FX'!$R:$R,MATCH($A12,'Valo FX'!$A:$A,0)),INDEX(Base!$V:$V,MATCH($A12,Base!$A:$A,0)),0)))</f>
        <v>7.7229549999999998</v>
      </c>
      <c r="EC12" s="21">
        <f>IF(EC$1&lt;INDEX('Valo FX'!$Q:$Q,MATCH($A12,'Valo FX'!$A:$A,0)),0,IF(EC$1&lt;INDEX('Valo FX'!$R:$R,MATCH($A12,'Valo FX'!$A:$A,0)),INDEX(Base!$U:$U,MATCH($A12,Base!$A:$A,0)),IF(EC$1=INDEX('Valo FX'!$R:$R,MATCH($A12,'Valo FX'!$A:$A,0)),INDEX(Base!$V:$V,MATCH($A12,Base!$A:$A,0)),0)))</f>
        <v>7.7229549999999998</v>
      </c>
      <c r="ED12" s="21">
        <f>IF(ED$1&lt;INDEX('Valo FX'!$Q:$Q,MATCH($A12,'Valo FX'!$A:$A,0)),0,IF(ED$1&lt;INDEX('Valo FX'!$R:$R,MATCH($A12,'Valo FX'!$A:$A,0)),INDEX(Base!$U:$U,MATCH($A12,Base!$A:$A,0)),IF(ED$1=INDEX('Valo FX'!$R:$R,MATCH($A12,'Valo FX'!$A:$A,0)),INDEX(Base!$V:$V,MATCH($A12,Base!$A:$A,0)),0)))</f>
        <v>7.7229549999999998</v>
      </c>
      <c r="EE12" s="21">
        <f>IF(EE$1&lt;INDEX('Valo FX'!$Q:$Q,MATCH($A12,'Valo FX'!$A:$A,0)),0,IF(EE$1&lt;INDEX('Valo FX'!$R:$R,MATCH($A12,'Valo FX'!$A:$A,0)),INDEX(Base!$U:$U,MATCH($A12,Base!$A:$A,0)),IF(EE$1=INDEX('Valo FX'!$R:$R,MATCH($A12,'Valo FX'!$A:$A,0)),INDEX(Base!$V:$V,MATCH($A12,Base!$A:$A,0)),0)))</f>
        <v>7.7229549999999998</v>
      </c>
      <c r="EF12" s="21">
        <f>IF(EF$1&lt;INDEX('Valo FX'!$Q:$Q,MATCH($A12,'Valo FX'!$A:$A,0)),0,IF(EF$1&lt;INDEX('Valo FX'!$R:$R,MATCH($A12,'Valo FX'!$A:$A,0)),INDEX(Base!$U:$U,MATCH($A12,Base!$A:$A,0)),IF(EF$1=INDEX('Valo FX'!$R:$R,MATCH($A12,'Valo FX'!$A:$A,0)),INDEX(Base!$V:$V,MATCH($A12,Base!$A:$A,0)),0)))</f>
        <v>7.7229549999999998</v>
      </c>
      <c r="EG12" s="21">
        <f>IF(EG$1&lt;INDEX('Valo FX'!$Q:$Q,MATCH($A12,'Valo FX'!$A:$A,0)),0,IF(EG$1&lt;INDEX('Valo FX'!$R:$R,MATCH($A12,'Valo FX'!$A:$A,0)),INDEX(Base!$U:$U,MATCH($A12,Base!$A:$A,0)),IF(EG$1=INDEX('Valo FX'!$R:$R,MATCH($A12,'Valo FX'!$A:$A,0)),INDEX(Base!$V:$V,MATCH($A12,Base!$A:$A,0)),0)))</f>
        <v>7.7229549999999998</v>
      </c>
      <c r="EH12" s="21">
        <f>IF(EH$1&lt;INDEX('Valo FX'!$Q:$Q,MATCH($A12,'Valo FX'!$A:$A,0)),0,IF(EH$1&lt;INDEX('Valo FX'!$R:$R,MATCH($A12,'Valo FX'!$A:$A,0)),INDEX(Base!$U:$U,MATCH($A12,Base!$A:$A,0)),IF(EH$1=INDEX('Valo FX'!$R:$R,MATCH($A12,'Valo FX'!$A:$A,0)),INDEX(Base!$V:$V,MATCH($A12,Base!$A:$A,0)),0)))</f>
        <v>7.7229549999999998</v>
      </c>
      <c r="EI12" s="21">
        <f>IF(EI$1&lt;INDEX('Valo FX'!$Q:$Q,MATCH($A12,'Valo FX'!$A:$A,0)),0,IF(EI$1&lt;INDEX('Valo FX'!$R:$R,MATCH($A12,'Valo FX'!$A:$A,0)),INDEX(Base!$U:$U,MATCH($A12,Base!$A:$A,0)),IF(EI$1=INDEX('Valo FX'!$R:$R,MATCH($A12,'Valo FX'!$A:$A,0)),INDEX(Base!$V:$V,MATCH($A12,Base!$A:$A,0)),0)))</f>
        <v>7.7229549999999998</v>
      </c>
      <c r="EJ12" s="21">
        <f>IF(EJ$1&lt;INDEX('Valo FX'!$Q:$Q,MATCH($A12,'Valo FX'!$A:$A,0)),0,IF(EJ$1&lt;INDEX('Valo FX'!$R:$R,MATCH($A12,'Valo FX'!$A:$A,0)),INDEX(Base!$U:$U,MATCH($A12,Base!$A:$A,0)),IF(EJ$1=INDEX('Valo FX'!$R:$R,MATCH($A12,'Valo FX'!$A:$A,0)),INDEX(Base!$V:$V,MATCH($A12,Base!$A:$A,0)),0)))</f>
        <v>7.7229549999999998</v>
      </c>
      <c r="EK12" s="21">
        <f>IF(EK$1&lt;INDEX('Valo FX'!$Q:$Q,MATCH($A12,'Valo FX'!$A:$A,0)),0,IF(EK$1&lt;INDEX('Valo FX'!$R:$R,MATCH($A12,'Valo FX'!$A:$A,0)),INDEX(Base!$U:$U,MATCH($A12,Base!$A:$A,0)),IF(EK$1=INDEX('Valo FX'!$R:$R,MATCH($A12,'Valo FX'!$A:$A,0)),INDEX(Base!$V:$V,MATCH($A12,Base!$A:$A,0)),0)))</f>
        <v>7.7229549999999998</v>
      </c>
      <c r="EL12" s="21">
        <f>IF(EL$1&lt;INDEX('Valo FX'!$Q:$Q,MATCH($A12,'Valo FX'!$A:$A,0)),0,IF(EL$1&lt;INDEX('Valo FX'!$R:$R,MATCH($A12,'Valo FX'!$A:$A,0)),INDEX(Base!$U:$U,MATCH($A12,Base!$A:$A,0)),IF(EL$1=INDEX('Valo FX'!$R:$R,MATCH($A12,'Valo FX'!$A:$A,0)),INDEX(Base!$V:$V,MATCH($A12,Base!$A:$A,0)),0)))</f>
        <v>7.7229549999999998</v>
      </c>
      <c r="EM12" s="21">
        <f>IF(EM$1&lt;INDEX('Valo FX'!$Q:$Q,MATCH($A12,'Valo FX'!$A:$A,0)),0,IF(EM$1&lt;INDEX('Valo FX'!$R:$R,MATCH($A12,'Valo FX'!$A:$A,0)),INDEX(Base!$U:$U,MATCH($A12,Base!$A:$A,0)),IF(EM$1=INDEX('Valo FX'!$R:$R,MATCH($A12,'Valo FX'!$A:$A,0)),INDEX(Base!$V:$V,MATCH($A12,Base!$A:$A,0)),0)))</f>
        <v>7.7229549999999998</v>
      </c>
      <c r="EN12" s="21">
        <f>IF(EN$1&lt;INDEX('Valo FX'!$Q:$Q,MATCH($A12,'Valo FX'!$A:$A,0)),0,IF(EN$1&lt;INDEX('Valo FX'!$R:$R,MATCH($A12,'Valo FX'!$A:$A,0)),INDEX(Base!$U:$U,MATCH($A12,Base!$A:$A,0)),IF(EN$1=INDEX('Valo FX'!$R:$R,MATCH($A12,'Valo FX'!$A:$A,0)),INDEX(Base!$V:$V,MATCH($A12,Base!$A:$A,0)),0)))</f>
        <v>7.7229549999999998</v>
      </c>
      <c r="EO12" s="21">
        <f>IF(EO$1&lt;INDEX('Valo FX'!$Q:$Q,MATCH($A12,'Valo FX'!$A:$A,0)),0,IF(EO$1&lt;INDEX('Valo FX'!$R:$R,MATCH($A12,'Valo FX'!$A:$A,0)),INDEX(Base!$U:$U,MATCH($A12,Base!$A:$A,0)),IF(EO$1=INDEX('Valo FX'!$R:$R,MATCH($A12,'Valo FX'!$A:$A,0)),INDEX(Base!$V:$V,MATCH($A12,Base!$A:$A,0)),0)))</f>
        <v>7.7229549999999998</v>
      </c>
      <c r="EP12" s="21">
        <f>IF(EP$1&lt;INDEX('Valo FX'!$Q:$Q,MATCH($A12,'Valo FX'!$A:$A,0)),0,IF(EP$1&lt;INDEX('Valo FX'!$R:$R,MATCH($A12,'Valo FX'!$A:$A,0)),INDEX(Base!$U:$U,MATCH($A12,Base!$A:$A,0)),IF(EP$1=INDEX('Valo FX'!$R:$R,MATCH($A12,'Valo FX'!$A:$A,0)),INDEX(Base!$V:$V,MATCH($A12,Base!$A:$A,0)),0)))</f>
        <v>7.7229549999999998</v>
      </c>
      <c r="EQ12" s="21">
        <f>IF(EQ$1&lt;INDEX('Valo FX'!$Q:$Q,MATCH($A12,'Valo FX'!$A:$A,0)),0,IF(EQ$1&lt;INDEX('Valo FX'!$R:$R,MATCH($A12,'Valo FX'!$A:$A,0)),INDEX(Base!$U:$U,MATCH($A12,Base!$A:$A,0)),IF(EQ$1=INDEX('Valo FX'!$R:$R,MATCH($A12,'Valo FX'!$A:$A,0)),INDEX(Base!$V:$V,MATCH($A12,Base!$A:$A,0)),0)))</f>
        <v>7.7229549999999998</v>
      </c>
      <c r="ER12" s="21">
        <f>IF(ER$1&lt;INDEX('Valo FX'!$Q:$Q,MATCH($A12,'Valo FX'!$A:$A,0)),0,IF(ER$1&lt;INDEX('Valo FX'!$R:$R,MATCH($A12,'Valo FX'!$A:$A,0)),INDEX(Base!$U:$U,MATCH($A12,Base!$A:$A,0)),IF(ER$1=INDEX('Valo FX'!$R:$R,MATCH($A12,'Valo FX'!$A:$A,0)),INDEX(Base!$V:$V,MATCH($A12,Base!$A:$A,0)),0)))</f>
        <v>7.7229549999999998</v>
      </c>
      <c r="ES12" s="21">
        <f>IF(ES$1&lt;INDEX('Valo FX'!$Q:$Q,MATCH($A12,'Valo FX'!$A:$A,0)),0,IF(ES$1&lt;INDEX('Valo FX'!$R:$R,MATCH($A12,'Valo FX'!$A:$A,0)),INDEX(Base!$U:$U,MATCH($A12,Base!$A:$A,0)),IF(ES$1=INDEX('Valo FX'!$R:$R,MATCH($A12,'Valo FX'!$A:$A,0)),INDEX(Base!$V:$V,MATCH($A12,Base!$A:$A,0)),0)))</f>
        <v>7.7229549999999998</v>
      </c>
      <c r="ET12" s="21">
        <f>IF(ET$1&lt;INDEX('Valo FX'!$Q:$Q,MATCH($A12,'Valo FX'!$A:$A,0)),0,IF(ET$1&lt;INDEX('Valo FX'!$R:$R,MATCH($A12,'Valo FX'!$A:$A,0)),INDEX(Base!$U:$U,MATCH($A12,Base!$A:$A,0)),IF(ET$1=INDEX('Valo FX'!$R:$R,MATCH($A12,'Valo FX'!$A:$A,0)),INDEX(Base!$V:$V,MATCH($A12,Base!$A:$A,0)),0)))</f>
        <v>7.7229549999999998</v>
      </c>
      <c r="EU12" s="21">
        <f>IF(EU$1&lt;INDEX('Valo FX'!$Q:$Q,MATCH($A12,'Valo FX'!$A:$A,0)),0,IF(EU$1&lt;INDEX('Valo FX'!$R:$R,MATCH($A12,'Valo FX'!$A:$A,0)),INDEX(Base!$U:$U,MATCH($A12,Base!$A:$A,0)),IF(EU$1=INDEX('Valo FX'!$R:$R,MATCH($A12,'Valo FX'!$A:$A,0)),INDEX(Base!$V:$V,MATCH($A12,Base!$A:$A,0)),0)))</f>
        <v>7.7229549999999998</v>
      </c>
      <c r="EV12" s="21">
        <f>IF(EV$1&lt;INDEX('Valo FX'!$Q:$Q,MATCH($A12,'Valo FX'!$A:$A,0)),0,IF(EV$1&lt;INDEX('Valo FX'!$R:$R,MATCH($A12,'Valo FX'!$A:$A,0)),INDEX(Base!$U:$U,MATCH($A12,Base!$A:$A,0)),IF(EV$1=INDEX('Valo FX'!$R:$R,MATCH($A12,'Valo FX'!$A:$A,0)),INDEX(Base!$V:$V,MATCH($A12,Base!$A:$A,0)),0)))</f>
        <v>7.7229549999999998</v>
      </c>
      <c r="EW12" s="21">
        <f>IF(EW$1&lt;INDEX('Valo FX'!$Q:$Q,MATCH($A12,'Valo FX'!$A:$A,0)),0,IF(EW$1&lt;INDEX('Valo FX'!$R:$R,MATCH($A12,'Valo FX'!$A:$A,0)),INDEX(Base!$U:$U,MATCH($A12,Base!$A:$A,0)),IF(EW$1=INDEX('Valo FX'!$R:$R,MATCH($A12,'Valo FX'!$A:$A,0)),INDEX(Base!$V:$V,MATCH($A12,Base!$A:$A,0)),0)))</f>
        <v>7.7229549999999998</v>
      </c>
      <c r="EX12" s="21">
        <f>IF(EX$1&lt;INDEX('Valo FX'!$Q:$Q,MATCH($A12,'Valo FX'!$A:$A,0)),0,IF(EX$1&lt;INDEX('Valo FX'!$R:$R,MATCH($A12,'Valo FX'!$A:$A,0)),INDEX(Base!$U:$U,MATCH($A12,Base!$A:$A,0)),IF(EX$1=INDEX('Valo FX'!$R:$R,MATCH($A12,'Valo FX'!$A:$A,0)),INDEX(Base!$V:$V,MATCH($A12,Base!$A:$A,0)),0)))</f>
        <v>7.7229549999999998</v>
      </c>
      <c r="EY12" s="21">
        <f>IF(EY$1&lt;INDEX('Valo FX'!$Q:$Q,MATCH($A12,'Valo FX'!$A:$A,0)),0,IF(EY$1&lt;INDEX('Valo FX'!$R:$R,MATCH($A12,'Valo FX'!$A:$A,0)),INDEX(Base!$U:$U,MATCH($A12,Base!$A:$A,0)),IF(EY$1=INDEX('Valo FX'!$R:$R,MATCH($A12,'Valo FX'!$A:$A,0)),INDEX(Base!$V:$V,MATCH($A12,Base!$A:$A,0)),0)))</f>
        <v>7.7229549999999998</v>
      </c>
      <c r="EZ12" s="21">
        <f>IF(EZ$1&lt;INDEX('Valo FX'!$Q:$Q,MATCH($A12,'Valo FX'!$A:$A,0)),0,IF(EZ$1&lt;INDEX('Valo FX'!$R:$R,MATCH($A12,'Valo FX'!$A:$A,0)),INDEX(Base!$U:$U,MATCH($A12,Base!$A:$A,0)),IF(EZ$1=INDEX('Valo FX'!$R:$R,MATCH($A12,'Valo FX'!$A:$A,0)),INDEX(Base!$V:$V,MATCH($A12,Base!$A:$A,0)),0)))</f>
        <v>7.7229549999999998</v>
      </c>
      <c r="FA12" s="21">
        <f>IF(FA$1&lt;INDEX('Valo FX'!$Q:$Q,MATCH($A12,'Valo FX'!$A:$A,0)),0,IF(FA$1&lt;INDEX('Valo FX'!$R:$R,MATCH($A12,'Valo FX'!$A:$A,0)),INDEX(Base!$U:$U,MATCH($A12,Base!$A:$A,0)),IF(FA$1=INDEX('Valo FX'!$R:$R,MATCH($A12,'Valo FX'!$A:$A,0)),INDEX(Base!$V:$V,MATCH($A12,Base!$A:$A,0)),0)))</f>
        <v>7.7229549999999998</v>
      </c>
      <c r="FB12" s="21">
        <f>IF(FB$1&lt;INDEX('Valo FX'!$Q:$Q,MATCH($A12,'Valo FX'!$A:$A,0)),0,IF(FB$1&lt;INDEX('Valo FX'!$R:$R,MATCH($A12,'Valo FX'!$A:$A,0)),INDEX(Base!$U:$U,MATCH($A12,Base!$A:$A,0)),IF(FB$1=INDEX('Valo FX'!$R:$R,MATCH($A12,'Valo FX'!$A:$A,0)),INDEX(Base!$V:$V,MATCH($A12,Base!$A:$A,0)),0)))</f>
        <v>7.7229549999999998</v>
      </c>
      <c r="FC12" s="21">
        <f>IF(FC$1&lt;INDEX('Valo FX'!$Q:$Q,MATCH($A12,'Valo FX'!$A:$A,0)),0,IF(FC$1&lt;INDEX('Valo FX'!$R:$R,MATCH($A12,'Valo FX'!$A:$A,0)),INDEX(Base!$U:$U,MATCH($A12,Base!$A:$A,0)),IF(FC$1=INDEX('Valo FX'!$R:$R,MATCH($A12,'Valo FX'!$A:$A,0)),INDEX(Base!$V:$V,MATCH($A12,Base!$A:$A,0)),0)))</f>
        <v>7.7229549999999998</v>
      </c>
      <c r="FD12" s="21">
        <f>IF(FD$1&lt;INDEX('Valo FX'!$Q:$Q,MATCH($A12,'Valo FX'!$A:$A,0)),0,IF(FD$1&lt;INDEX('Valo FX'!$R:$R,MATCH($A12,'Valo FX'!$A:$A,0)),INDEX(Base!$U:$U,MATCH($A12,Base!$A:$A,0)),IF(FD$1=INDEX('Valo FX'!$R:$R,MATCH($A12,'Valo FX'!$A:$A,0)),INDEX(Base!$V:$V,MATCH($A12,Base!$A:$A,0)),0)))</f>
        <v>7.7229549999999998</v>
      </c>
      <c r="FE12" s="21">
        <f>IF(FE$1&lt;INDEX('Valo FX'!$Q:$Q,MATCH($A12,'Valo FX'!$A:$A,0)),0,IF(FE$1&lt;INDEX('Valo FX'!$R:$R,MATCH($A12,'Valo FX'!$A:$A,0)),INDEX(Base!$U:$U,MATCH($A12,Base!$A:$A,0)),IF(FE$1=INDEX('Valo FX'!$R:$R,MATCH($A12,'Valo FX'!$A:$A,0)),INDEX(Base!$V:$V,MATCH($A12,Base!$A:$A,0)),0)))</f>
        <v>7.7229549999999998</v>
      </c>
      <c r="FF12" s="21">
        <f>IF(FF$1&lt;INDEX('Valo FX'!$Q:$Q,MATCH($A12,'Valo FX'!$A:$A,0)),0,IF(FF$1&lt;INDEX('Valo FX'!$R:$R,MATCH($A12,'Valo FX'!$A:$A,0)),INDEX(Base!$U:$U,MATCH($A12,Base!$A:$A,0)),IF(FF$1=INDEX('Valo FX'!$R:$R,MATCH($A12,'Valo FX'!$A:$A,0)),INDEX(Base!$V:$V,MATCH($A12,Base!$A:$A,0)),0)))</f>
        <v>7.7229549999999998</v>
      </c>
      <c r="FG12" s="21">
        <f>IF(FG$1&lt;INDEX('Valo FX'!$Q:$Q,MATCH($A12,'Valo FX'!$A:$A,0)),0,IF(FG$1&lt;INDEX('Valo FX'!$R:$R,MATCH($A12,'Valo FX'!$A:$A,0)),INDEX(Base!$U:$U,MATCH($A12,Base!$A:$A,0)),IF(FG$1=INDEX('Valo FX'!$R:$R,MATCH($A12,'Valo FX'!$A:$A,0)),INDEX(Base!$V:$V,MATCH($A12,Base!$A:$A,0)),0)))</f>
        <v>7.7229549999999998</v>
      </c>
      <c r="FH12" s="21">
        <f>IF(FH$1&lt;INDEX('Valo FX'!$Q:$Q,MATCH($A12,'Valo FX'!$A:$A,0)),0,IF(FH$1&lt;INDEX('Valo FX'!$R:$R,MATCH($A12,'Valo FX'!$A:$A,0)),INDEX(Base!$U:$U,MATCH($A12,Base!$A:$A,0)),IF(FH$1=INDEX('Valo FX'!$R:$R,MATCH($A12,'Valo FX'!$A:$A,0)),INDEX(Base!$V:$V,MATCH($A12,Base!$A:$A,0)),0)))</f>
        <v>7.7229549999999998</v>
      </c>
      <c r="FI12" s="21">
        <f>IF(FI$1&lt;INDEX('Valo FX'!$Q:$Q,MATCH($A12,'Valo FX'!$A:$A,0)),0,IF(FI$1&lt;INDEX('Valo FX'!$R:$R,MATCH($A12,'Valo FX'!$A:$A,0)),INDEX(Base!$U:$U,MATCH($A12,Base!$A:$A,0)),IF(FI$1=INDEX('Valo FX'!$R:$R,MATCH($A12,'Valo FX'!$A:$A,0)),INDEX(Base!$V:$V,MATCH($A12,Base!$A:$A,0)),0)))</f>
        <v>7.7229549999999998</v>
      </c>
      <c r="FJ12" s="21">
        <f>IF(FJ$1&lt;INDEX('Valo FX'!$Q:$Q,MATCH($A12,'Valo FX'!$A:$A,0)),0,IF(FJ$1&lt;INDEX('Valo FX'!$R:$R,MATCH($A12,'Valo FX'!$A:$A,0)),INDEX(Base!$U:$U,MATCH($A12,Base!$A:$A,0)),IF(FJ$1=INDEX('Valo FX'!$R:$R,MATCH($A12,'Valo FX'!$A:$A,0)),INDEX(Base!$V:$V,MATCH($A12,Base!$A:$A,0)),0)))</f>
        <v>7.7229549999999998</v>
      </c>
      <c r="FK12" s="21">
        <f>IF(FK$1&lt;INDEX('Valo FX'!$Q:$Q,MATCH($A12,'Valo FX'!$A:$A,0)),0,IF(FK$1&lt;INDEX('Valo FX'!$R:$R,MATCH($A12,'Valo FX'!$A:$A,0)),INDEX(Base!$U:$U,MATCH($A12,Base!$A:$A,0)),IF(FK$1=INDEX('Valo FX'!$R:$R,MATCH($A12,'Valo FX'!$A:$A,0)),INDEX(Base!$V:$V,MATCH($A12,Base!$A:$A,0)),0)))</f>
        <v>7.7229549999999998</v>
      </c>
      <c r="FL12" s="21">
        <f>IF(FL$1&lt;INDEX('Valo FX'!$Q:$Q,MATCH($A12,'Valo FX'!$A:$A,0)),0,IF(FL$1&lt;INDEX('Valo FX'!$R:$R,MATCH($A12,'Valo FX'!$A:$A,0)),INDEX(Base!$U:$U,MATCH($A12,Base!$A:$A,0)),IF(FL$1=INDEX('Valo FX'!$R:$R,MATCH($A12,'Valo FX'!$A:$A,0)),INDEX(Base!$V:$V,MATCH($A12,Base!$A:$A,0)),0)))</f>
        <v>7.7229549999999998</v>
      </c>
      <c r="FM12" s="21">
        <f>IF(FM$1&lt;INDEX('Valo FX'!$Q:$Q,MATCH($A12,'Valo FX'!$A:$A,0)),0,IF(FM$1&lt;INDEX('Valo FX'!$R:$R,MATCH($A12,'Valo FX'!$A:$A,0)),INDEX(Base!$U:$U,MATCH($A12,Base!$A:$A,0)),IF(FM$1=INDEX('Valo FX'!$R:$R,MATCH($A12,'Valo FX'!$A:$A,0)),INDEX(Base!$V:$V,MATCH($A12,Base!$A:$A,0)),0)))</f>
        <v>7.7229549999999998</v>
      </c>
      <c r="FN12" s="21">
        <f>IF(FN$1&lt;INDEX('Valo FX'!$Q:$Q,MATCH($A12,'Valo FX'!$A:$A,0)),0,IF(FN$1&lt;INDEX('Valo FX'!$R:$R,MATCH($A12,'Valo FX'!$A:$A,0)),INDEX(Base!$U:$U,MATCH($A12,Base!$A:$A,0)),IF(FN$1=INDEX('Valo FX'!$R:$R,MATCH($A12,'Valo FX'!$A:$A,0)),INDEX(Base!$V:$V,MATCH($A12,Base!$A:$A,0)),0)))</f>
        <v>7.7229549999999998</v>
      </c>
      <c r="FO12" s="21">
        <f>IF(FO$1&lt;INDEX('Valo FX'!$Q:$Q,MATCH($A12,'Valo FX'!$A:$A,0)),0,IF(FO$1&lt;INDEX('Valo FX'!$R:$R,MATCH($A12,'Valo FX'!$A:$A,0)),INDEX(Base!$U:$U,MATCH($A12,Base!$A:$A,0)),IF(FO$1=INDEX('Valo FX'!$R:$R,MATCH($A12,'Valo FX'!$A:$A,0)),INDEX(Base!$V:$V,MATCH($A12,Base!$A:$A,0)),0)))</f>
        <v>7.7229549999999998</v>
      </c>
      <c r="FP12" s="21">
        <f>IF(FP$1&lt;INDEX('Valo FX'!$Q:$Q,MATCH($A12,'Valo FX'!$A:$A,0)),0,IF(FP$1&lt;INDEX('Valo FX'!$R:$R,MATCH($A12,'Valo FX'!$A:$A,0)),INDEX(Base!$U:$U,MATCH($A12,Base!$A:$A,0)),IF(FP$1=INDEX('Valo FX'!$R:$R,MATCH($A12,'Valo FX'!$A:$A,0)),INDEX(Base!$V:$V,MATCH($A12,Base!$A:$A,0)),0)))</f>
        <v>7.7229549999999998</v>
      </c>
      <c r="FQ12" s="21">
        <f>IF(FQ$1&lt;INDEX('Valo FX'!$Q:$Q,MATCH($A12,'Valo FX'!$A:$A,0)),0,IF(FQ$1&lt;INDEX('Valo FX'!$R:$R,MATCH($A12,'Valo FX'!$A:$A,0)),INDEX(Base!$U:$U,MATCH($A12,Base!$A:$A,0)),IF(FQ$1=INDEX('Valo FX'!$R:$R,MATCH($A12,'Valo FX'!$A:$A,0)),INDEX(Base!$V:$V,MATCH($A12,Base!$A:$A,0)),0)))</f>
        <v>7.7229549999999998</v>
      </c>
      <c r="FR12" s="21">
        <f>IF(FR$1&lt;INDEX('Valo FX'!$Q:$Q,MATCH($A12,'Valo FX'!$A:$A,0)),0,IF(FR$1&lt;INDEX('Valo FX'!$R:$R,MATCH($A12,'Valo FX'!$A:$A,0)),INDEX(Base!$U:$U,MATCH($A12,Base!$A:$A,0)),IF(FR$1=INDEX('Valo FX'!$R:$R,MATCH($A12,'Valo FX'!$A:$A,0)),INDEX(Base!$V:$V,MATCH($A12,Base!$A:$A,0)),0)))</f>
        <v>7.7229549999999998</v>
      </c>
      <c r="FS12" s="21">
        <f>IF(FS$1&lt;INDEX('Valo FX'!$Q:$Q,MATCH($A12,'Valo FX'!$A:$A,0)),0,IF(FS$1&lt;INDEX('Valo FX'!$R:$R,MATCH($A12,'Valo FX'!$A:$A,0)),INDEX(Base!$U:$U,MATCH($A12,Base!$A:$A,0)),IF(FS$1=INDEX('Valo FX'!$R:$R,MATCH($A12,'Valo FX'!$A:$A,0)),INDEX(Base!$V:$V,MATCH($A12,Base!$A:$A,0)),0)))</f>
        <v>7.7229549999999998</v>
      </c>
      <c r="FT12" s="21">
        <f>IF(FT$1&lt;INDEX('Valo FX'!$Q:$Q,MATCH($A12,'Valo FX'!$A:$A,0)),0,IF(FT$1&lt;INDEX('Valo FX'!$R:$R,MATCH($A12,'Valo FX'!$A:$A,0)),INDEX(Base!$U:$U,MATCH($A12,Base!$A:$A,0)),IF(FT$1=INDEX('Valo FX'!$R:$R,MATCH($A12,'Valo FX'!$A:$A,0)),INDEX(Base!$V:$V,MATCH($A12,Base!$A:$A,0)),0)))</f>
        <v>7.7229549999999998</v>
      </c>
      <c r="FU12" s="21">
        <f>IF(FU$1&lt;INDEX('Valo FX'!$Q:$Q,MATCH($A12,'Valo FX'!$A:$A,0)),0,IF(FU$1&lt;INDEX('Valo FX'!$R:$R,MATCH($A12,'Valo FX'!$A:$A,0)),INDEX(Base!$U:$U,MATCH($A12,Base!$A:$A,0)),IF(FU$1=INDEX('Valo FX'!$R:$R,MATCH($A12,'Valo FX'!$A:$A,0)),INDEX(Base!$V:$V,MATCH($A12,Base!$A:$A,0)),0)))</f>
        <v>7.7229549999999998</v>
      </c>
      <c r="FV12" s="21">
        <f>IF(FV$1&lt;INDEX('Valo FX'!$Q:$Q,MATCH($A12,'Valo FX'!$A:$A,0)),0,IF(FV$1&lt;INDEX('Valo FX'!$R:$R,MATCH($A12,'Valo FX'!$A:$A,0)),INDEX(Base!$U:$U,MATCH($A12,Base!$A:$A,0)),IF(FV$1=INDEX('Valo FX'!$R:$R,MATCH($A12,'Valo FX'!$A:$A,0)),INDEX(Base!$V:$V,MATCH($A12,Base!$A:$A,0)),0)))</f>
        <v>7.7229549999999998</v>
      </c>
      <c r="FW12" s="21">
        <f>IF(FW$1&lt;INDEX('Valo FX'!$Q:$Q,MATCH($A12,'Valo FX'!$A:$A,0)),0,IF(FW$1&lt;INDEX('Valo FX'!$R:$R,MATCH($A12,'Valo FX'!$A:$A,0)),INDEX(Base!$U:$U,MATCH($A12,Base!$A:$A,0)),IF(FW$1=INDEX('Valo FX'!$R:$R,MATCH($A12,'Valo FX'!$A:$A,0)),INDEX(Base!$V:$V,MATCH($A12,Base!$A:$A,0)),0)))</f>
        <v>7.7229549999999998</v>
      </c>
      <c r="FX12" s="21">
        <f>IF(FX$1&lt;INDEX('Valo FX'!$Q:$Q,MATCH($A12,'Valo FX'!$A:$A,0)),0,IF(FX$1&lt;INDEX('Valo FX'!$R:$R,MATCH($A12,'Valo FX'!$A:$A,0)),INDEX(Base!$U:$U,MATCH($A12,Base!$A:$A,0)),IF(FX$1=INDEX('Valo FX'!$R:$R,MATCH($A12,'Valo FX'!$A:$A,0)),INDEX(Base!$V:$V,MATCH($A12,Base!$A:$A,0)),0)))</f>
        <v>7.7229549999999998</v>
      </c>
      <c r="FY12" s="21">
        <f>IF(FY$1&lt;INDEX('Valo FX'!$Q:$Q,MATCH($A12,'Valo FX'!$A:$A,0)),0,IF(FY$1&lt;INDEX('Valo FX'!$R:$R,MATCH($A12,'Valo FX'!$A:$A,0)),INDEX(Base!$U:$U,MATCH($A12,Base!$A:$A,0)),IF(FY$1=INDEX('Valo FX'!$R:$R,MATCH($A12,'Valo FX'!$A:$A,0)),INDEX(Base!$V:$V,MATCH($A12,Base!$A:$A,0)),0)))</f>
        <v>7.7229549999999998</v>
      </c>
      <c r="FZ12" s="21">
        <f>IF(FZ$1&lt;INDEX('Valo FX'!$Q:$Q,MATCH($A12,'Valo FX'!$A:$A,0)),0,IF(FZ$1&lt;INDEX('Valo FX'!$R:$R,MATCH($A12,'Valo FX'!$A:$A,0)),INDEX(Base!$U:$U,MATCH($A12,Base!$A:$A,0)),IF(FZ$1=INDEX('Valo FX'!$R:$R,MATCH($A12,'Valo FX'!$A:$A,0)),INDEX(Base!$V:$V,MATCH($A12,Base!$A:$A,0)),0)))</f>
        <v>7.7229549999999998</v>
      </c>
      <c r="GA12" s="21">
        <f>IF(GA$1&lt;INDEX('Valo FX'!$Q:$Q,MATCH($A12,'Valo FX'!$A:$A,0)),0,IF(GA$1&lt;INDEX('Valo FX'!$R:$R,MATCH($A12,'Valo FX'!$A:$A,0)),INDEX(Base!$U:$U,MATCH($A12,Base!$A:$A,0)),IF(GA$1=INDEX('Valo FX'!$R:$R,MATCH($A12,'Valo FX'!$A:$A,0)),INDEX(Base!$V:$V,MATCH($A12,Base!$A:$A,0)),0)))</f>
        <v>7.7229549999999998</v>
      </c>
      <c r="GB12" s="21">
        <f>IF(GB$1&lt;INDEX('Valo FX'!$Q:$Q,MATCH($A12,'Valo FX'!$A:$A,0)),0,IF(GB$1&lt;INDEX('Valo FX'!$R:$R,MATCH($A12,'Valo FX'!$A:$A,0)),INDEX(Base!$U:$U,MATCH($A12,Base!$A:$A,0)),IF(GB$1=INDEX('Valo FX'!$R:$R,MATCH($A12,'Valo FX'!$A:$A,0)),INDEX(Base!$V:$V,MATCH($A12,Base!$A:$A,0)),0)))</f>
        <v>7.7229549999999998</v>
      </c>
      <c r="GC12" s="21">
        <f>IF(GC$1&lt;INDEX('Valo FX'!$Q:$Q,MATCH($A12,'Valo FX'!$A:$A,0)),0,IF(GC$1&lt;INDEX('Valo FX'!$R:$R,MATCH($A12,'Valo FX'!$A:$A,0)),INDEX(Base!$U:$U,MATCH($A12,Base!$A:$A,0)),IF(GC$1=INDEX('Valo FX'!$R:$R,MATCH($A12,'Valo FX'!$A:$A,0)),INDEX(Base!$V:$V,MATCH($A12,Base!$A:$A,0)),0)))</f>
        <v>7.7229549999999998</v>
      </c>
      <c r="GD12" s="21">
        <f>IF(GD$1&lt;INDEX('Valo FX'!$Q:$Q,MATCH($A12,'Valo FX'!$A:$A,0)),0,IF(GD$1&lt;INDEX('Valo FX'!$R:$R,MATCH($A12,'Valo FX'!$A:$A,0)),INDEX(Base!$U:$U,MATCH($A12,Base!$A:$A,0)),IF(GD$1=INDEX('Valo FX'!$R:$R,MATCH($A12,'Valo FX'!$A:$A,0)),INDEX(Base!$V:$V,MATCH($A12,Base!$A:$A,0)),0)))</f>
        <v>7.7229549999999998</v>
      </c>
      <c r="GE12" s="21">
        <f>IF(GE$1&lt;INDEX('Valo FX'!$Q:$Q,MATCH($A12,'Valo FX'!$A:$A,0)),0,IF(GE$1&lt;INDEX('Valo FX'!$R:$R,MATCH($A12,'Valo FX'!$A:$A,0)),INDEX(Base!$U:$U,MATCH($A12,Base!$A:$A,0)),IF(GE$1=INDEX('Valo FX'!$R:$R,MATCH($A12,'Valo FX'!$A:$A,0)),INDEX(Base!$V:$V,MATCH($A12,Base!$A:$A,0)),0)))</f>
        <v>7.7229549999999998</v>
      </c>
      <c r="GF12" s="21">
        <f>IF(GF$1&lt;INDEX('Valo FX'!$Q:$Q,MATCH($A12,'Valo FX'!$A:$A,0)),0,IF(GF$1&lt;INDEX('Valo FX'!$R:$R,MATCH($A12,'Valo FX'!$A:$A,0)),INDEX(Base!$U:$U,MATCH($A12,Base!$A:$A,0)),IF(GF$1=INDEX('Valo FX'!$R:$R,MATCH($A12,'Valo FX'!$A:$A,0)),INDEX(Base!$V:$V,MATCH($A12,Base!$A:$A,0)),0)))</f>
        <v>7.7229549999999998</v>
      </c>
      <c r="GG12" s="21">
        <f>IF(GG$1&lt;INDEX('Valo FX'!$Q:$Q,MATCH($A12,'Valo FX'!$A:$A,0)),0,IF(GG$1&lt;INDEX('Valo FX'!$R:$R,MATCH($A12,'Valo FX'!$A:$A,0)),INDEX(Base!$U:$U,MATCH($A12,Base!$A:$A,0)),IF(GG$1=INDEX('Valo FX'!$R:$R,MATCH($A12,'Valo FX'!$A:$A,0)),INDEX(Base!$V:$V,MATCH($A12,Base!$A:$A,0)),0)))</f>
        <v>7.7229549999999998</v>
      </c>
      <c r="GH12" s="21">
        <f>IF(GH$1&lt;INDEX('Valo FX'!$Q:$Q,MATCH($A12,'Valo FX'!$A:$A,0)),0,IF(GH$1&lt;INDEX('Valo FX'!$R:$R,MATCH($A12,'Valo FX'!$A:$A,0)),INDEX(Base!$U:$U,MATCH($A12,Base!$A:$A,0)),IF(GH$1=INDEX('Valo FX'!$R:$R,MATCH($A12,'Valo FX'!$A:$A,0)),INDEX(Base!$V:$V,MATCH($A12,Base!$A:$A,0)),0)))</f>
        <v>7.7229549999999998</v>
      </c>
      <c r="GI12" s="21">
        <f>IF(GI$1&lt;INDEX('Valo FX'!$Q:$Q,MATCH($A12,'Valo FX'!$A:$A,0)),0,IF(GI$1&lt;INDEX('Valo FX'!$R:$R,MATCH($A12,'Valo FX'!$A:$A,0)),INDEX(Base!$U:$U,MATCH($A12,Base!$A:$A,0)),IF(GI$1=INDEX('Valo FX'!$R:$R,MATCH($A12,'Valo FX'!$A:$A,0)),INDEX(Base!$V:$V,MATCH($A12,Base!$A:$A,0)),0)))</f>
        <v>7.7229549999999998</v>
      </c>
      <c r="GJ12" s="21">
        <f>IF(GJ$1&lt;INDEX('Valo FX'!$Q:$Q,MATCH($A12,'Valo FX'!$A:$A,0)),0,IF(GJ$1&lt;INDEX('Valo FX'!$R:$R,MATCH($A12,'Valo FX'!$A:$A,0)),INDEX(Base!$U:$U,MATCH($A12,Base!$A:$A,0)),IF(GJ$1=INDEX('Valo FX'!$R:$R,MATCH($A12,'Valo FX'!$A:$A,0)),INDEX(Base!$V:$V,MATCH($A12,Base!$A:$A,0)),0)))</f>
        <v>7.7229549999999998</v>
      </c>
      <c r="GK12" s="21">
        <f>IF(GK$1&lt;INDEX('Valo FX'!$Q:$Q,MATCH($A12,'Valo FX'!$A:$A,0)),0,IF(GK$1&lt;INDEX('Valo FX'!$R:$R,MATCH($A12,'Valo FX'!$A:$A,0)),INDEX(Base!$U:$U,MATCH($A12,Base!$A:$A,0)),IF(GK$1=INDEX('Valo FX'!$R:$R,MATCH($A12,'Valo FX'!$A:$A,0)),INDEX(Base!$V:$V,MATCH($A12,Base!$A:$A,0)),0)))</f>
        <v>7.7229549999999998</v>
      </c>
      <c r="GL12" s="21">
        <f>IF(GL$1&lt;INDEX('Valo FX'!$Q:$Q,MATCH($A12,'Valo FX'!$A:$A,0)),0,IF(GL$1&lt;INDEX('Valo FX'!$R:$R,MATCH($A12,'Valo FX'!$A:$A,0)),INDEX(Base!$U:$U,MATCH($A12,Base!$A:$A,0)),IF(GL$1=INDEX('Valo FX'!$R:$R,MATCH($A12,'Valo FX'!$A:$A,0)),INDEX(Base!$V:$V,MATCH($A12,Base!$A:$A,0)),0)))</f>
        <v>7.7229549999999998</v>
      </c>
      <c r="GM12" s="21">
        <f>IF(GM$1&lt;INDEX('Valo FX'!$Q:$Q,MATCH($A12,'Valo FX'!$A:$A,0)),0,IF(GM$1&lt;INDEX('Valo FX'!$R:$R,MATCH($A12,'Valo FX'!$A:$A,0)),INDEX(Base!$U:$U,MATCH($A12,Base!$A:$A,0)),IF(GM$1=INDEX('Valo FX'!$R:$R,MATCH($A12,'Valo FX'!$A:$A,0)),INDEX(Base!$V:$V,MATCH($A12,Base!$A:$A,0)),0)))</f>
        <v>7.7229549999999998</v>
      </c>
      <c r="GN12" s="21">
        <f>IF(GN$1&lt;INDEX('Valo FX'!$Q:$Q,MATCH($A12,'Valo FX'!$A:$A,0)),0,IF(GN$1&lt;INDEX('Valo FX'!$R:$R,MATCH($A12,'Valo FX'!$A:$A,0)),INDEX(Base!$U:$U,MATCH($A12,Base!$A:$A,0)),IF(GN$1=INDEX('Valo FX'!$R:$R,MATCH($A12,'Valo FX'!$A:$A,0)),INDEX(Base!$V:$V,MATCH($A12,Base!$A:$A,0)),0)))</f>
        <v>7.7229549999999998</v>
      </c>
      <c r="GO12" s="21">
        <f>IF(GO$1&lt;INDEX('Valo FX'!$Q:$Q,MATCH($A12,'Valo FX'!$A:$A,0)),0,IF(GO$1&lt;INDEX('Valo FX'!$R:$R,MATCH($A12,'Valo FX'!$A:$A,0)),INDEX(Base!$U:$U,MATCH($A12,Base!$A:$A,0)),IF(GO$1=INDEX('Valo FX'!$R:$R,MATCH($A12,'Valo FX'!$A:$A,0)),INDEX(Base!$V:$V,MATCH($A12,Base!$A:$A,0)),0)))</f>
        <v>7.7229549999999998</v>
      </c>
      <c r="GP12" s="21">
        <f>IF(GP$1&lt;INDEX('Valo FX'!$Q:$Q,MATCH($A12,'Valo FX'!$A:$A,0)),0,IF(GP$1&lt;INDEX('Valo FX'!$R:$R,MATCH($A12,'Valo FX'!$A:$A,0)),INDEX(Base!$U:$U,MATCH($A12,Base!$A:$A,0)),IF(GP$1=INDEX('Valo FX'!$R:$R,MATCH($A12,'Valo FX'!$A:$A,0)),INDEX(Base!$V:$V,MATCH($A12,Base!$A:$A,0)),0)))</f>
        <v>7.7229549999999998</v>
      </c>
      <c r="GQ12" s="21">
        <f>IF(GQ$1&lt;INDEX('Valo FX'!$Q:$Q,MATCH($A12,'Valo FX'!$A:$A,0)),0,IF(GQ$1&lt;INDEX('Valo FX'!$R:$R,MATCH($A12,'Valo FX'!$A:$A,0)),INDEX(Base!$U:$U,MATCH($A12,Base!$A:$A,0)),IF(GQ$1=INDEX('Valo FX'!$R:$R,MATCH($A12,'Valo FX'!$A:$A,0)),INDEX(Base!$V:$V,MATCH($A12,Base!$A:$A,0)),0)))</f>
        <v>7.7229549999999998</v>
      </c>
      <c r="GR12" s="21">
        <f>IF(GR$1&lt;INDEX('Valo FX'!$Q:$Q,MATCH($A12,'Valo FX'!$A:$A,0)),0,IF(GR$1&lt;INDEX('Valo FX'!$R:$R,MATCH($A12,'Valo FX'!$A:$A,0)),INDEX(Base!$U:$U,MATCH($A12,Base!$A:$A,0)),IF(GR$1=INDEX('Valo FX'!$R:$R,MATCH($A12,'Valo FX'!$A:$A,0)),INDEX(Base!$V:$V,MATCH($A12,Base!$A:$A,0)),0)))</f>
        <v>7.7229549999999998</v>
      </c>
      <c r="GS12" s="21">
        <f>IF(GS$1&lt;INDEX('Valo FX'!$Q:$Q,MATCH($A12,'Valo FX'!$A:$A,0)),0,IF(GS$1&lt;INDEX('Valo FX'!$R:$R,MATCH($A12,'Valo FX'!$A:$A,0)),INDEX(Base!$U:$U,MATCH($A12,Base!$A:$A,0)),IF(GS$1=INDEX('Valo FX'!$R:$R,MATCH($A12,'Valo FX'!$A:$A,0)),INDEX(Base!$V:$V,MATCH($A12,Base!$A:$A,0)),0)))</f>
        <v>7.7229549999999998</v>
      </c>
      <c r="GT12" s="21">
        <f>IF(GT$1&lt;INDEX('Valo FX'!$Q:$Q,MATCH($A12,'Valo FX'!$A:$A,0)),0,IF(GT$1&lt;INDEX('Valo FX'!$R:$R,MATCH($A12,'Valo FX'!$A:$A,0)),INDEX(Base!$U:$U,MATCH($A12,Base!$A:$A,0)),IF(GT$1=INDEX('Valo FX'!$R:$R,MATCH($A12,'Valo FX'!$A:$A,0)),INDEX(Base!$V:$V,MATCH($A12,Base!$A:$A,0)),0)))</f>
        <v>7.7229549999999998</v>
      </c>
      <c r="GU12" s="21">
        <f>IF(GU$1&lt;INDEX('Valo FX'!$Q:$Q,MATCH($A12,'Valo FX'!$A:$A,0)),0,IF(GU$1&lt;INDEX('Valo FX'!$R:$R,MATCH($A12,'Valo FX'!$A:$A,0)),INDEX(Base!$U:$U,MATCH($A12,Base!$A:$A,0)),IF(GU$1=INDEX('Valo FX'!$R:$R,MATCH($A12,'Valo FX'!$A:$A,0)),INDEX(Base!$V:$V,MATCH($A12,Base!$A:$A,0)),0)))</f>
        <v>7.7229549999999998</v>
      </c>
      <c r="GV12" s="21">
        <f>IF(GV$1&lt;INDEX('Valo FX'!$Q:$Q,MATCH($A12,'Valo FX'!$A:$A,0)),0,IF(GV$1&lt;INDEX('Valo FX'!$R:$R,MATCH($A12,'Valo FX'!$A:$A,0)),INDEX(Base!$U:$U,MATCH($A12,Base!$A:$A,0)),IF(GV$1=INDEX('Valo FX'!$R:$R,MATCH($A12,'Valo FX'!$A:$A,0)),INDEX(Base!$V:$V,MATCH($A12,Base!$A:$A,0)),0)))</f>
        <v>7.7229549999999998</v>
      </c>
      <c r="GW12" s="21">
        <f>IF(GW$1&lt;INDEX('Valo FX'!$Q:$Q,MATCH($A12,'Valo FX'!$A:$A,0)),0,IF(GW$1&lt;INDEX('Valo FX'!$R:$R,MATCH($A12,'Valo FX'!$A:$A,0)),INDEX(Base!$U:$U,MATCH($A12,Base!$A:$A,0)),IF(GW$1=INDEX('Valo FX'!$R:$R,MATCH($A12,'Valo FX'!$A:$A,0)),INDEX(Base!$V:$V,MATCH($A12,Base!$A:$A,0)),0)))</f>
        <v>7.7229549999999998</v>
      </c>
      <c r="GX12" s="21">
        <f>IF(GX$1&lt;INDEX('Valo FX'!$Q:$Q,MATCH($A12,'Valo FX'!$A:$A,0)),0,IF(GX$1&lt;INDEX('Valo FX'!$R:$R,MATCH($A12,'Valo FX'!$A:$A,0)),INDEX(Base!$U:$U,MATCH($A12,Base!$A:$A,0)),IF(GX$1=INDEX('Valo FX'!$R:$R,MATCH($A12,'Valo FX'!$A:$A,0)),INDEX(Base!$V:$V,MATCH($A12,Base!$A:$A,0)),0)))</f>
        <v>7.7229549999999998</v>
      </c>
      <c r="GY12" s="21">
        <f>IF(GY$1&lt;INDEX('Valo FX'!$Q:$Q,MATCH($A12,'Valo FX'!$A:$A,0)),0,IF(GY$1&lt;INDEX('Valo FX'!$R:$R,MATCH($A12,'Valo FX'!$A:$A,0)),INDEX(Base!$U:$U,MATCH($A12,Base!$A:$A,0)),IF(GY$1=INDEX('Valo FX'!$R:$R,MATCH($A12,'Valo FX'!$A:$A,0)),INDEX(Base!$V:$V,MATCH($A12,Base!$A:$A,0)),0)))</f>
        <v>7.7229549999999998</v>
      </c>
      <c r="GZ12" s="21">
        <f>IF(GZ$1&lt;INDEX('Valo FX'!$Q:$Q,MATCH($A12,'Valo FX'!$A:$A,0)),0,IF(GZ$1&lt;INDEX('Valo FX'!$R:$R,MATCH($A12,'Valo FX'!$A:$A,0)),INDEX(Base!$U:$U,MATCH($A12,Base!$A:$A,0)),IF(GZ$1=INDEX('Valo FX'!$R:$R,MATCH($A12,'Valo FX'!$A:$A,0)),INDEX(Base!$V:$V,MATCH($A12,Base!$A:$A,0)),0)))</f>
        <v>7.7229549999999998</v>
      </c>
      <c r="HA12" s="21">
        <f>IF(HA$1&lt;INDEX('Valo FX'!$Q:$Q,MATCH($A12,'Valo FX'!$A:$A,0)),0,IF(HA$1&lt;INDEX('Valo FX'!$R:$R,MATCH($A12,'Valo FX'!$A:$A,0)),INDEX(Base!$U:$U,MATCH($A12,Base!$A:$A,0)),IF(HA$1=INDEX('Valo FX'!$R:$R,MATCH($A12,'Valo FX'!$A:$A,0)),INDEX(Base!$V:$V,MATCH($A12,Base!$A:$A,0)),0)))</f>
        <v>7.7229549999999998</v>
      </c>
      <c r="HB12" s="21">
        <f>IF(HB$1&lt;INDEX('Valo FX'!$Q:$Q,MATCH($A12,'Valo FX'!$A:$A,0)),0,IF(HB$1&lt;INDEX('Valo FX'!$R:$R,MATCH($A12,'Valo FX'!$A:$A,0)),INDEX(Base!$U:$U,MATCH($A12,Base!$A:$A,0)),IF(HB$1=INDEX('Valo FX'!$R:$R,MATCH($A12,'Valo FX'!$A:$A,0)),INDEX(Base!$V:$V,MATCH($A12,Base!$A:$A,0)),0)))</f>
        <v>7.7229549999999998</v>
      </c>
      <c r="HC12" s="21">
        <f>IF(HC$1&lt;INDEX('Valo FX'!$Q:$Q,MATCH($A12,'Valo FX'!$A:$A,0)),0,IF(HC$1&lt;INDEX('Valo FX'!$R:$R,MATCH($A12,'Valo FX'!$A:$A,0)),INDEX(Base!$U:$U,MATCH($A12,Base!$A:$A,0)),IF(HC$1=INDEX('Valo FX'!$R:$R,MATCH($A12,'Valo FX'!$A:$A,0)),INDEX(Base!$V:$V,MATCH($A12,Base!$A:$A,0)),0)))</f>
        <v>7.7229549999999998</v>
      </c>
      <c r="HD12" s="21">
        <f>IF(HD$1&lt;INDEX('Valo FX'!$Q:$Q,MATCH($A12,'Valo FX'!$A:$A,0)),0,IF(HD$1&lt;INDEX('Valo FX'!$R:$R,MATCH($A12,'Valo FX'!$A:$A,0)),INDEX(Base!$U:$U,MATCH($A12,Base!$A:$A,0)),IF(HD$1=INDEX('Valo FX'!$R:$R,MATCH($A12,'Valo FX'!$A:$A,0)),INDEX(Base!$V:$V,MATCH($A12,Base!$A:$A,0)),0)))</f>
        <v>7.7229549999999998</v>
      </c>
      <c r="HE12" s="21">
        <f>IF(HE$1&lt;INDEX('Valo FX'!$Q:$Q,MATCH($A12,'Valo FX'!$A:$A,0)),0,IF(HE$1&lt;INDEX('Valo FX'!$R:$R,MATCH($A12,'Valo FX'!$A:$A,0)),INDEX(Base!$U:$U,MATCH($A12,Base!$A:$A,0)),IF(HE$1=INDEX('Valo FX'!$R:$R,MATCH($A12,'Valo FX'!$A:$A,0)),INDEX(Base!$V:$V,MATCH($A12,Base!$A:$A,0)),0)))</f>
        <v>7.7229549999999998</v>
      </c>
      <c r="HF12" s="21">
        <f>IF(HF$1&lt;INDEX('Valo FX'!$Q:$Q,MATCH($A12,'Valo FX'!$A:$A,0)),0,IF(HF$1&lt;INDEX('Valo FX'!$R:$R,MATCH($A12,'Valo FX'!$A:$A,0)),INDEX(Base!$U:$U,MATCH($A12,Base!$A:$A,0)),IF(HF$1=INDEX('Valo FX'!$R:$R,MATCH($A12,'Valo FX'!$A:$A,0)),INDEX(Base!$V:$V,MATCH($A12,Base!$A:$A,0)),0)))</f>
        <v>7.7229549999999998</v>
      </c>
      <c r="HG12" s="21">
        <f>IF(HG$1&lt;INDEX('Valo FX'!$Q:$Q,MATCH($A12,'Valo FX'!$A:$A,0)),0,IF(HG$1&lt;INDEX('Valo FX'!$R:$R,MATCH($A12,'Valo FX'!$A:$A,0)),INDEX(Base!$U:$U,MATCH($A12,Base!$A:$A,0)),IF(HG$1=INDEX('Valo FX'!$R:$R,MATCH($A12,'Valo FX'!$A:$A,0)),INDEX(Base!$V:$V,MATCH($A12,Base!$A:$A,0)),0)))</f>
        <v>7.7229549999999998</v>
      </c>
      <c r="HH12" s="21">
        <f>IF(HH$1&lt;INDEX('Valo FX'!$Q:$Q,MATCH($A12,'Valo FX'!$A:$A,0)),0,IF(HH$1&lt;INDEX('Valo FX'!$R:$R,MATCH($A12,'Valo FX'!$A:$A,0)),INDEX(Base!$U:$U,MATCH($A12,Base!$A:$A,0)),IF(HH$1=INDEX('Valo FX'!$R:$R,MATCH($A12,'Valo FX'!$A:$A,0)),INDEX(Base!$V:$V,MATCH($A12,Base!$A:$A,0)),0)))</f>
        <v>7.7229549999999998</v>
      </c>
      <c r="HI12" s="21">
        <f>IF(HI$1&lt;INDEX('Valo FX'!$Q:$Q,MATCH($A12,'Valo FX'!$A:$A,0)),0,IF(HI$1&lt;INDEX('Valo FX'!$R:$R,MATCH($A12,'Valo FX'!$A:$A,0)),INDEX(Base!$U:$U,MATCH($A12,Base!$A:$A,0)),IF(HI$1=INDEX('Valo FX'!$R:$R,MATCH($A12,'Valo FX'!$A:$A,0)),INDEX(Base!$V:$V,MATCH($A12,Base!$A:$A,0)),0)))</f>
        <v>7.7229549999999998</v>
      </c>
      <c r="HJ12" s="21">
        <f>IF(HJ$1&lt;INDEX('Valo FX'!$Q:$Q,MATCH($A12,'Valo FX'!$A:$A,0)),0,IF(HJ$1&lt;INDEX('Valo FX'!$R:$R,MATCH($A12,'Valo FX'!$A:$A,0)),INDEX(Base!$U:$U,MATCH($A12,Base!$A:$A,0)),IF(HJ$1=INDEX('Valo FX'!$R:$R,MATCH($A12,'Valo FX'!$A:$A,0)),INDEX(Base!$V:$V,MATCH($A12,Base!$A:$A,0)),0)))</f>
        <v>7.7229549999999998</v>
      </c>
      <c r="HK12" s="21">
        <f>IF(HK$1&lt;INDEX('Valo FX'!$Q:$Q,MATCH($A12,'Valo FX'!$A:$A,0)),0,IF(HK$1&lt;INDEX('Valo FX'!$R:$R,MATCH($A12,'Valo FX'!$A:$A,0)),INDEX(Base!$U:$U,MATCH($A12,Base!$A:$A,0)),IF(HK$1=INDEX('Valo FX'!$R:$R,MATCH($A12,'Valo FX'!$A:$A,0)),INDEX(Base!$V:$V,MATCH($A12,Base!$A:$A,0)),0)))</f>
        <v>7.7229549999999998</v>
      </c>
      <c r="HL12" s="21">
        <f>IF(HL$1&lt;INDEX('Valo FX'!$Q:$Q,MATCH($A12,'Valo FX'!$A:$A,0)),0,IF(HL$1&lt;INDEX('Valo FX'!$R:$R,MATCH($A12,'Valo FX'!$A:$A,0)),INDEX(Base!$U:$U,MATCH($A12,Base!$A:$A,0)),IF(HL$1=INDEX('Valo FX'!$R:$R,MATCH($A12,'Valo FX'!$A:$A,0)),INDEX(Base!$V:$V,MATCH($A12,Base!$A:$A,0)),0)))</f>
        <v>7.7229549999999998</v>
      </c>
      <c r="HM12" s="21">
        <f>IF(HM$1&lt;INDEX('Valo FX'!$Q:$Q,MATCH($A12,'Valo FX'!$A:$A,0)),0,IF(HM$1&lt;INDEX('Valo FX'!$R:$R,MATCH($A12,'Valo FX'!$A:$A,0)),INDEX(Base!$U:$U,MATCH($A12,Base!$A:$A,0)),IF(HM$1=INDEX('Valo FX'!$R:$R,MATCH($A12,'Valo FX'!$A:$A,0)),INDEX(Base!$V:$V,MATCH($A12,Base!$A:$A,0)),0)))</f>
        <v>7.7229549999999998</v>
      </c>
      <c r="HN12" s="21">
        <f>IF(HN$1&lt;INDEX('Valo FX'!$Q:$Q,MATCH($A12,'Valo FX'!$A:$A,0)),0,IF(HN$1&lt;INDEX('Valo FX'!$R:$R,MATCH($A12,'Valo FX'!$A:$A,0)),INDEX(Base!$U:$U,MATCH($A12,Base!$A:$A,0)),IF(HN$1=INDEX('Valo FX'!$R:$R,MATCH($A12,'Valo FX'!$A:$A,0)),INDEX(Base!$V:$V,MATCH($A12,Base!$A:$A,0)),0)))</f>
        <v>7.7229549999999998</v>
      </c>
      <c r="HO12" s="21">
        <f>IF(HO$1&lt;INDEX('Valo FX'!$Q:$Q,MATCH($A12,'Valo FX'!$A:$A,0)),0,IF(HO$1&lt;INDEX('Valo FX'!$R:$R,MATCH($A12,'Valo FX'!$A:$A,0)),INDEX(Base!$U:$U,MATCH($A12,Base!$A:$A,0)),IF(HO$1=INDEX('Valo FX'!$R:$R,MATCH($A12,'Valo FX'!$A:$A,0)),INDEX(Base!$V:$V,MATCH($A12,Base!$A:$A,0)),0)))</f>
        <v>7.7229549999999998</v>
      </c>
      <c r="HP12" s="21">
        <f>IF(HP$1&lt;INDEX('Valo FX'!$Q:$Q,MATCH($A12,'Valo FX'!$A:$A,0)),0,IF(HP$1&lt;INDEX('Valo FX'!$R:$R,MATCH($A12,'Valo FX'!$A:$A,0)),INDEX(Base!$U:$U,MATCH($A12,Base!$A:$A,0)),IF(HP$1=INDEX('Valo FX'!$R:$R,MATCH($A12,'Valo FX'!$A:$A,0)),INDEX(Base!$V:$V,MATCH($A12,Base!$A:$A,0)),0)))</f>
        <v>7.7229549999999998</v>
      </c>
      <c r="HQ12" s="21">
        <f>IF(HQ$1&lt;INDEX('Valo FX'!$Q:$Q,MATCH($A12,'Valo FX'!$A:$A,0)),0,IF(HQ$1&lt;INDEX('Valo FX'!$R:$R,MATCH($A12,'Valo FX'!$A:$A,0)),INDEX(Base!$U:$U,MATCH($A12,Base!$A:$A,0)),IF(HQ$1=INDEX('Valo FX'!$R:$R,MATCH($A12,'Valo FX'!$A:$A,0)),INDEX(Base!$V:$V,MATCH($A12,Base!$A:$A,0)),0)))</f>
        <v>7.7229549999999998</v>
      </c>
      <c r="HR12" s="21">
        <f>IF(HR$1&lt;INDEX('Valo FX'!$Q:$Q,MATCH($A12,'Valo FX'!$A:$A,0)),0,IF(HR$1&lt;INDEX('Valo FX'!$R:$R,MATCH($A12,'Valo FX'!$A:$A,0)),INDEX(Base!$U:$U,MATCH($A12,Base!$A:$A,0)),IF(HR$1=INDEX('Valo FX'!$R:$R,MATCH($A12,'Valo FX'!$A:$A,0)),INDEX(Base!$V:$V,MATCH($A12,Base!$A:$A,0)),0)))</f>
        <v>7.7229549999999998</v>
      </c>
      <c r="HS12" s="21">
        <f>IF(HS$1&lt;INDEX('Valo FX'!$Q:$Q,MATCH($A12,'Valo FX'!$A:$A,0)),0,IF(HS$1&lt;INDEX('Valo FX'!$R:$R,MATCH($A12,'Valo FX'!$A:$A,0)),INDEX(Base!$U:$U,MATCH($A12,Base!$A:$A,0)),IF(HS$1=INDEX('Valo FX'!$R:$R,MATCH($A12,'Valo FX'!$A:$A,0)),INDEX(Base!$V:$V,MATCH($A12,Base!$A:$A,0)),0)))</f>
        <v>7.7229549999999998</v>
      </c>
      <c r="HT12" s="21">
        <f>IF(HT$1&lt;INDEX('Valo FX'!$Q:$Q,MATCH($A12,'Valo FX'!$A:$A,0)),0,IF(HT$1&lt;INDEX('Valo FX'!$R:$R,MATCH($A12,'Valo FX'!$A:$A,0)),INDEX(Base!$U:$U,MATCH($A12,Base!$A:$A,0)),IF(HT$1=INDEX('Valo FX'!$R:$R,MATCH($A12,'Valo FX'!$A:$A,0)),INDEX(Base!$V:$V,MATCH($A12,Base!$A:$A,0)),0)))</f>
        <v>7.7229549999999998</v>
      </c>
      <c r="HU12" s="21">
        <f>IF(HU$1&lt;INDEX('Valo FX'!$Q:$Q,MATCH($A12,'Valo FX'!$A:$A,0)),0,IF(HU$1&lt;INDEX('Valo FX'!$R:$R,MATCH($A12,'Valo FX'!$A:$A,0)),INDEX(Base!$U:$U,MATCH($A12,Base!$A:$A,0)),IF(HU$1=INDEX('Valo FX'!$R:$R,MATCH($A12,'Valo FX'!$A:$A,0)),INDEX(Base!$V:$V,MATCH($A12,Base!$A:$A,0)),0)))</f>
        <v>7.7229549999999998</v>
      </c>
      <c r="HV12" s="21">
        <f>IF(HV$1&lt;INDEX('Valo FX'!$Q:$Q,MATCH($A12,'Valo FX'!$A:$A,0)),0,IF(HV$1&lt;INDEX('Valo FX'!$R:$R,MATCH($A12,'Valo FX'!$A:$A,0)),INDEX(Base!$U:$U,MATCH($A12,Base!$A:$A,0)),IF(HV$1=INDEX('Valo FX'!$R:$R,MATCH($A12,'Valo FX'!$A:$A,0)),INDEX(Base!$V:$V,MATCH($A12,Base!$A:$A,0)),0)))</f>
        <v>7.72743</v>
      </c>
      <c r="HW12" s="21">
        <f>IF(HW$1&lt;INDEX('Valo FX'!$Q:$Q,MATCH($A12,'Valo FX'!$A:$A,0)),0,IF(HW$1&lt;INDEX('Valo FX'!$R:$R,MATCH($A12,'Valo FX'!$A:$A,0)),INDEX(Base!$U:$U,MATCH($A12,Base!$A:$A,0)),IF(HW$1=INDEX('Valo FX'!$R:$R,MATCH($A12,'Valo FX'!$A:$A,0)),INDEX(Base!$V:$V,MATCH($A12,Base!$A:$A,0)),0)))</f>
        <v>0</v>
      </c>
      <c r="HX12" s="21">
        <f>IF(HX$1&lt;INDEX('Valo FX'!$Q:$Q,MATCH($A12,'Valo FX'!$A:$A,0)),0,IF(HX$1&lt;INDEX('Valo FX'!$R:$R,MATCH($A12,'Valo FX'!$A:$A,0)),INDEX(Base!$U:$U,MATCH($A12,Base!$A:$A,0)),IF(HX$1=INDEX('Valo FX'!$R:$R,MATCH($A12,'Valo FX'!$A:$A,0)),INDEX(Base!$V:$V,MATCH($A12,Base!$A:$A,0)),0)))</f>
        <v>0</v>
      </c>
      <c r="HY12" s="21">
        <f>IF(HY$1&lt;INDEX('Valo FX'!$Q:$Q,MATCH($A12,'Valo FX'!$A:$A,0)),0,IF(HY$1&lt;INDEX('Valo FX'!$R:$R,MATCH($A12,'Valo FX'!$A:$A,0)),INDEX(Base!$U:$U,MATCH($A12,Base!$A:$A,0)),IF(HY$1=INDEX('Valo FX'!$R:$R,MATCH($A12,'Valo FX'!$A:$A,0)),INDEX(Base!$V:$V,MATCH($A12,Base!$A:$A,0)),0)))</f>
        <v>0</v>
      </c>
      <c r="HZ12" s="21">
        <f>IF(HZ$1&lt;INDEX('Valo FX'!$Q:$Q,MATCH($A12,'Valo FX'!$A:$A,0)),0,IF(HZ$1&lt;INDEX('Valo FX'!$R:$R,MATCH($A12,'Valo FX'!$A:$A,0)),INDEX(Base!$U:$U,MATCH($A12,Base!$A:$A,0)),IF(HZ$1=INDEX('Valo FX'!$R:$R,MATCH($A12,'Valo FX'!$A:$A,0)),INDEX(Base!$V:$V,MATCH($A12,Base!$A:$A,0)),0)))</f>
        <v>0</v>
      </c>
      <c r="IA12" s="21">
        <f>IF(IA$1&lt;INDEX('Valo FX'!$Q:$Q,MATCH($A12,'Valo FX'!$A:$A,0)),0,IF(IA$1&lt;INDEX('Valo FX'!$R:$R,MATCH($A12,'Valo FX'!$A:$A,0)),INDEX(Base!$U:$U,MATCH($A12,Base!$A:$A,0)),IF(IA$1=INDEX('Valo FX'!$R:$R,MATCH($A12,'Valo FX'!$A:$A,0)),INDEX(Base!$V:$V,MATCH($A12,Base!$A:$A,0)),0)))</f>
        <v>0</v>
      </c>
      <c r="IB12" s="21">
        <f>IF(IB$1&lt;INDEX('Valo FX'!$Q:$Q,MATCH($A12,'Valo FX'!$A:$A,0)),0,IF(IB$1&lt;INDEX('Valo FX'!$R:$R,MATCH($A12,'Valo FX'!$A:$A,0)),INDEX(Base!$U:$U,MATCH($A12,Base!$A:$A,0)),IF(IB$1=INDEX('Valo FX'!$R:$R,MATCH($A12,'Valo FX'!$A:$A,0)),INDEX(Base!$V:$V,MATCH($A12,Base!$A:$A,0)),0)))</f>
        <v>0</v>
      </c>
      <c r="IC12" s="21">
        <f>IF(IC$1&lt;INDEX('Valo FX'!$Q:$Q,MATCH($A12,'Valo FX'!$A:$A,0)),0,IF(IC$1&lt;INDEX('Valo FX'!$R:$R,MATCH($A12,'Valo FX'!$A:$A,0)),INDEX(Base!$U:$U,MATCH($A12,Base!$A:$A,0)),IF(IC$1=INDEX('Valo FX'!$R:$R,MATCH($A12,'Valo FX'!$A:$A,0)),INDEX(Base!$V:$V,MATCH($A12,Base!$A:$A,0)),0)))</f>
        <v>0</v>
      </c>
      <c r="ID12" s="21">
        <f>IF(ID$1&lt;INDEX('Valo FX'!$Q:$Q,MATCH($A12,'Valo FX'!$A:$A,0)),0,IF(ID$1&lt;INDEX('Valo FX'!$R:$R,MATCH($A12,'Valo FX'!$A:$A,0)),INDEX(Base!$U:$U,MATCH($A12,Base!$A:$A,0)),IF(ID$1=INDEX('Valo FX'!$R:$R,MATCH($A12,'Valo FX'!$A:$A,0)),INDEX(Base!$V:$V,MATCH($A12,Base!$A:$A,0)),0)))</f>
        <v>0</v>
      </c>
      <c r="IE12" s="21">
        <f>IF(IE$1&lt;INDEX('Valo FX'!$Q:$Q,MATCH($A12,'Valo FX'!$A:$A,0)),0,IF(IE$1&lt;INDEX('Valo FX'!$R:$R,MATCH($A12,'Valo FX'!$A:$A,0)),INDEX(Base!$U:$U,MATCH($A12,Base!$A:$A,0)),IF(IE$1=INDEX('Valo FX'!$R:$R,MATCH($A12,'Valo FX'!$A:$A,0)),INDEX(Base!$V:$V,MATCH($A12,Base!$A:$A,0)),0)))</f>
        <v>0</v>
      </c>
      <c r="IF12" s="21">
        <f>IF(IF$1&lt;INDEX('Valo FX'!$Q:$Q,MATCH($A12,'Valo FX'!$A:$A,0)),0,IF(IF$1&lt;INDEX('Valo FX'!$R:$R,MATCH($A12,'Valo FX'!$A:$A,0)),INDEX(Base!$U:$U,MATCH($A12,Base!$A:$A,0)),IF(IF$1=INDEX('Valo FX'!$R:$R,MATCH($A12,'Valo FX'!$A:$A,0)),INDEX(Base!$V:$V,MATCH($A12,Base!$A:$A,0)),0)))</f>
        <v>0</v>
      </c>
      <c r="IG12" s="21">
        <f>IF(IG$1&lt;INDEX('Valo FX'!$Q:$Q,MATCH($A12,'Valo FX'!$A:$A,0)),0,IF(IG$1&lt;INDEX('Valo FX'!$R:$R,MATCH($A12,'Valo FX'!$A:$A,0)),INDEX(Base!$U:$U,MATCH($A12,Base!$A:$A,0)),IF(IG$1=INDEX('Valo FX'!$R:$R,MATCH($A12,'Valo FX'!$A:$A,0)),INDEX(Base!$V:$V,MATCH($A12,Base!$A:$A,0)),0)))</f>
        <v>0</v>
      </c>
      <c r="IH12" s="21">
        <f>IF(IH$1&lt;INDEX('Valo FX'!$Q:$Q,MATCH($A12,'Valo FX'!$A:$A,0)),0,IF(IH$1&lt;INDEX('Valo FX'!$R:$R,MATCH($A12,'Valo FX'!$A:$A,0)),INDEX(Base!$U:$U,MATCH($A12,Base!$A:$A,0)),IF(IH$1=INDEX('Valo FX'!$R:$R,MATCH($A12,'Valo FX'!$A:$A,0)),INDEX(Base!$V:$V,MATCH($A12,Base!$A:$A,0)),0)))</f>
        <v>0</v>
      </c>
      <c r="II12" s="21">
        <f>IF(II$1&lt;INDEX('Valo FX'!$Q:$Q,MATCH($A12,'Valo FX'!$A:$A,0)),0,IF(II$1&lt;INDEX('Valo FX'!$R:$R,MATCH($A12,'Valo FX'!$A:$A,0)),INDEX(Base!$U:$U,MATCH($A12,Base!$A:$A,0)),IF(II$1=INDEX('Valo FX'!$R:$R,MATCH($A12,'Valo FX'!$A:$A,0)),INDEX(Base!$V:$V,MATCH($A12,Base!$A:$A,0)),0)))</f>
        <v>0</v>
      </c>
      <c r="IJ12" s="21">
        <f>IF(IJ$1&lt;INDEX('Valo FX'!$Q:$Q,MATCH($A12,'Valo FX'!$A:$A,0)),0,IF(IJ$1&lt;INDEX('Valo FX'!$R:$R,MATCH($A12,'Valo FX'!$A:$A,0)),INDEX(Base!$U:$U,MATCH($A12,Base!$A:$A,0)),IF(IJ$1=INDEX('Valo FX'!$R:$R,MATCH($A12,'Valo FX'!$A:$A,0)),INDEX(Base!$V:$V,MATCH($A12,Base!$A:$A,0)),0)))</f>
        <v>0</v>
      </c>
      <c r="IK12" s="21">
        <f>IF(IK$1&lt;INDEX('Valo FX'!$Q:$Q,MATCH($A12,'Valo FX'!$A:$A,0)),0,IF(IK$1&lt;INDEX('Valo FX'!$R:$R,MATCH($A12,'Valo FX'!$A:$A,0)),INDEX(Base!$U:$U,MATCH($A12,Base!$A:$A,0)),IF(IK$1=INDEX('Valo FX'!$R:$R,MATCH($A12,'Valo FX'!$A:$A,0)),INDEX(Base!$V:$V,MATCH($A12,Base!$A:$A,0)),0)))</f>
        <v>0</v>
      </c>
      <c r="IL12" s="21">
        <f>IF(IL$1&lt;INDEX('Valo FX'!$Q:$Q,MATCH($A12,'Valo FX'!$A:$A,0)),0,IF(IL$1&lt;INDEX('Valo FX'!$R:$R,MATCH($A12,'Valo FX'!$A:$A,0)),INDEX(Base!$U:$U,MATCH($A12,Base!$A:$A,0)),IF(IL$1=INDEX('Valo FX'!$R:$R,MATCH($A12,'Valo FX'!$A:$A,0)),INDEX(Base!$V:$V,MATCH($A12,Base!$A:$A,0)),0)))</f>
        <v>0</v>
      </c>
      <c r="IM12" s="21">
        <f>IF(IM$1&lt;INDEX('Valo FX'!$Q:$Q,MATCH($A12,'Valo FX'!$A:$A,0)),0,IF(IM$1&lt;INDEX('Valo FX'!$R:$R,MATCH($A12,'Valo FX'!$A:$A,0)),INDEX(Base!$U:$U,MATCH($A12,Base!$A:$A,0)),IF(IM$1=INDEX('Valo FX'!$R:$R,MATCH($A12,'Valo FX'!$A:$A,0)),INDEX(Base!$V:$V,MATCH($A12,Base!$A:$A,0)),0)))</f>
        <v>0</v>
      </c>
      <c r="IN12" s="21">
        <f>IF(IN$1&lt;INDEX('Valo FX'!$Q:$Q,MATCH($A12,'Valo FX'!$A:$A,0)),0,IF(IN$1&lt;INDEX('Valo FX'!$R:$R,MATCH($A12,'Valo FX'!$A:$A,0)),INDEX(Base!$U:$U,MATCH($A12,Base!$A:$A,0)),IF(IN$1=INDEX('Valo FX'!$R:$R,MATCH($A12,'Valo FX'!$A:$A,0)),INDEX(Base!$V:$V,MATCH($A12,Base!$A:$A,0)),0)))</f>
        <v>0</v>
      </c>
      <c r="IO12" s="21">
        <f>IF(IO$1&lt;INDEX('Valo FX'!$Q:$Q,MATCH($A12,'Valo FX'!$A:$A,0)),0,IF(IO$1&lt;INDEX('Valo FX'!$R:$R,MATCH($A12,'Valo FX'!$A:$A,0)),INDEX(Base!$U:$U,MATCH($A12,Base!$A:$A,0)),IF(IO$1=INDEX('Valo FX'!$R:$R,MATCH($A12,'Valo FX'!$A:$A,0)),INDEX(Base!$V:$V,MATCH($A12,Base!$A:$A,0)),0)))</f>
        <v>0</v>
      </c>
      <c r="IP12" s="21">
        <f>IF(IP$1&lt;INDEX('Valo FX'!$Q:$Q,MATCH($A12,'Valo FX'!$A:$A,0)),0,IF(IP$1&lt;INDEX('Valo FX'!$R:$R,MATCH($A12,'Valo FX'!$A:$A,0)),INDEX(Base!$U:$U,MATCH($A12,Base!$A:$A,0)),IF(IP$1=INDEX('Valo FX'!$R:$R,MATCH($A12,'Valo FX'!$A:$A,0)),INDEX(Base!$V:$V,MATCH($A12,Base!$A:$A,0)),0)))</f>
        <v>0</v>
      </c>
      <c r="IQ12" s="21">
        <f>IF(IQ$1&lt;INDEX('Valo FX'!$Q:$Q,MATCH($A12,'Valo FX'!$A:$A,0)),0,IF(IQ$1&lt;INDEX('Valo FX'!$R:$R,MATCH($A12,'Valo FX'!$A:$A,0)),INDEX(Base!$U:$U,MATCH($A12,Base!$A:$A,0)),IF(IQ$1=INDEX('Valo FX'!$R:$R,MATCH($A12,'Valo FX'!$A:$A,0)),INDEX(Base!$V:$V,MATCH($A12,Base!$A:$A,0)),0)))</f>
        <v>0</v>
      </c>
      <c r="IR12" s="21">
        <f>IF(IR$1&lt;INDEX('Valo FX'!$Q:$Q,MATCH($A12,'Valo FX'!$A:$A,0)),0,IF(IR$1&lt;INDEX('Valo FX'!$R:$R,MATCH($A12,'Valo FX'!$A:$A,0)),INDEX(Base!$U:$U,MATCH($A12,Base!$A:$A,0)),IF(IR$1=INDEX('Valo FX'!$R:$R,MATCH($A12,'Valo FX'!$A:$A,0)),INDEX(Base!$V:$V,MATCH($A12,Base!$A:$A,0)),0)))</f>
        <v>0</v>
      </c>
      <c r="IS12" s="21">
        <f>IF(IS$1&lt;INDEX('Valo FX'!$Q:$Q,MATCH($A12,'Valo FX'!$A:$A,0)),0,IF(IS$1&lt;INDEX('Valo FX'!$R:$R,MATCH($A12,'Valo FX'!$A:$A,0)),INDEX(Base!$U:$U,MATCH($A12,Base!$A:$A,0)),IF(IS$1=INDEX('Valo FX'!$R:$R,MATCH($A12,'Valo FX'!$A:$A,0)),INDEX(Base!$V:$V,MATCH($A12,Base!$A:$A,0)),0)))</f>
        <v>0</v>
      </c>
      <c r="IT12" s="21">
        <f>IF(IT$1&lt;INDEX('Valo FX'!$Q:$Q,MATCH($A12,'Valo FX'!$A:$A,0)),0,IF(IT$1&lt;INDEX('Valo FX'!$R:$R,MATCH($A12,'Valo FX'!$A:$A,0)),INDEX(Base!$U:$U,MATCH($A12,Base!$A:$A,0)),IF(IT$1=INDEX('Valo FX'!$R:$R,MATCH($A12,'Valo FX'!$A:$A,0)),INDEX(Base!$V:$V,MATCH($A12,Base!$A:$A,0)),0)))</f>
        <v>0</v>
      </c>
      <c r="IU12" s="21">
        <f>IF(IU$1&lt;INDEX('Valo FX'!$Q:$Q,MATCH($A12,'Valo FX'!$A:$A,0)),0,IF(IU$1&lt;INDEX('Valo FX'!$R:$R,MATCH($A12,'Valo FX'!$A:$A,0)),INDEX(Base!$U:$U,MATCH($A12,Base!$A:$A,0)),IF(IU$1=INDEX('Valo FX'!$R:$R,MATCH($A12,'Valo FX'!$A:$A,0)),INDEX(Base!$V:$V,MATCH($A12,Base!$A:$A,0)),0)))</f>
        <v>0</v>
      </c>
      <c r="IV12" s="21">
        <f>IF(IV$1&lt;INDEX('Valo FX'!$Q:$Q,MATCH($A12,'Valo FX'!$A:$A,0)),0,IF(IV$1&lt;INDEX('Valo FX'!$R:$R,MATCH($A12,'Valo FX'!$A:$A,0)),INDEX(Base!$U:$U,MATCH($A12,Base!$A:$A,0)),IF(IV$1=INDEX('Valo FX'!$R:$R,MATCH($A12,'Valo FX'!$A:$A,0)),INDEX(Base!$V:$V,MATCH($A12,Base!$A:$A,0)),0)))</f>
        <v>0</v>
      </c>
      <c r="IW12" s="21">
        <f>IF(IW$1&lt;INDEX('Valo FX'!$Q:$Q,MATCH($A12,'Valo FX'!$A:$A,0)),0,IF(IW$1&lt;INDEX('Valo FX'!$R:$R,MATCH($A12,'Valo FX'!$A:$A,0)),INDEX(Base!$U:$U,MATCH($A12,Base!$A:$A,0)),IF(IW$1=INDEX('Valo FX'!$R:$R,MATCH($A12,'Valo FX'!$A:$A,0)),INDEX(Base!$V:$V,MATCH($A12,Base!$A:$A,0)),0)))</f>
        <v>0</v>
      </c>
      <c r="IX12" s="21">
        <f>IF(IX$1&lt;INDEX('Valo FX'!$Q:$Q,MATCH($A12,'Valo FX'!$A:$A,0)),0,IF(IX$1&lt;INDEX('Valo FX'!$R:$R,MATCH($A12,'Valo FX'!$A:$A,0)),INDEX(Base!$U:$U,MATCH($A12,Base!$A:$A,0)),IF(IX$1=INDEX('Valo FX'!$R:$R,MATCH($A12,'Valo FX'!$A:$A,0)),INDEX(Base!$V:$V,MATCH($A12,Base!$A:$A,0)),0)))</f>
        <v>0</v>
      </c>
      <c r="IY12" s="21">
        <f>IF(IY$1&lt;INDEX('Valo FX'!$Q:$Q,MATCH($A12,'Valo FX'!$A:$A,0)),0,IF(IY$1&lt;INDEX('Valo FX'!$R:$R,MATCH($A12,'Valo FX'!$A:$A,0)),INDEX(Base!$U:$U,MATCH($A12,Base!$A:$A,0)),IF(IY$1=INDEX('Valo FX'!$R:$R,MATCH($A12,'Valo FX'!$A:$A,0)),INDEX(Base!$V:$V,MATCH($A12,Base!$A:$A,0)),0)))</f>
        <v>0</v>
      </c>
      <c r="IZ12" s="21">
        <f>IF(IZ$1&lt;INDEX('Valo FX'!$Q:$Q,MATCH($A12,'Valo FX'!$A:$A,0)),0,IF(IZ$1&lt;INDEX('Valo FX'!$R:$R,MATCH($A12,'Valo FX'!$A:$A,0)),INDEX(Base!$U:$U,MATCH($A12,Base!$A:$A,0)),IF(IZ$1=INDEX('Valo FX'!$R:$R,MATCH($A12,'Valo FX'!$A:$A,0)),INDEX(Base!$V:$V,MATCH($A12,Base!$A:$A,0)),0)))</f>
        <v>0</v>
      </c>
      <c r="JA12" s="21">
        <f>IF(JA$1&lt;INDEX('Valo FX'!$Q:$Q,MATCH($A12,'Valo FX'!$A:$A,0)),0,IF(JA$1&lt;INDEX('Valo FX'!$R:$R,MATCH($A12,'Valo FX'!$A:$A,0)),INDEX(Base!$U:$U,MATCH($A12,Base!$A:$A,0)),IF(JA$1=INDEX('Valo FX'!$R:$R,MATCH($A12,'Valo FX'!$A:$A,0)),INDEX(Base!$V:$V,MATCH($A12,Base!$A:$A,0)),0)))</f>
        <v>0</v>
      </c>
      <c r="JB12" s="21">
        <f>IF(JB$1&lt;INDEX('Valo FX'!$Q:$Q,MATCH($A12,'Valo FX'!$A:$A,0)),0,IF(JB$1&lt;INDEX('Valo FX'!$R:$R,MATCH($A12,'Valo FX'!$A:$A,0)),INDEX(Base!$U:$U,MATCH($A12,Base!$A:$A,0)),IF(JB$1=INDEX('Valo FX'!$R:$R,MATCH($A12,'Valo FX'!$A:$A,0)),INDEX(Base!$V:$V,MATCH($A12,Base!$A:$A,0)),0)))</f>
        <v>0</v>
      </c>
      <c r="JC12" s="21">
        <f>IF(JC$1&lt;INDEX('Valo FX'!$Q:$Q,MATCH($A12,'Valo FX'!$A:$A,0)),0,IF(JC$1&lt;INDEX('Valo FX'!$R:$R,MATCH($A12,'Valo FX'!$A:$A,0)),INDEX(Base!$U:$U,MATCH($A12,Base!$A:$A,0)),IF(JC$1=INDEX('Valo FX'!$R:$R,MATCH($A12,'Valo FX'!$A:$A,0)),INDEX(Base!$V:$V,MATCH($A12,Base!$A:$A,0)),0)))</f>
        <v>0</v>
      </c>
      <c r="JD12" s="21">
        <f>IF(JD$1&lt;INDEX('Valo FX'!$Q:$Q,MATCH($A12,'Valo FX'!$A:$A,0)),0,IF(JD$1&lt;INDEX('Valo FX'!$R:$R,MATCH($A12,'Valo FX'!$A:$A,0)),INDEX(Base!$U:$U,MATCH($A12,Base!$A:$A,0)),IF(JD$1=INDEX('Valo FX'!$R:$R,MATCH($A12,'Valo FX'!$A:$A,0)),INDEX(Base!$V:$V,MATCH($A12,Base!$A:$A,0)),0)))</f>
        <v>0</v>
      </c>
      <c r="JE12" s="21">
        <f>IF(JE$1&lt;INDEX('Valo FX'!$Q:$Q,MATCH($A12,'Valo FX'!$A:$A,0)),0,IF(JE$1&lt;INDEX('Valo FX'!$R:$R,MATCH($A12,'Valo FX'!$A:$A,0)),INDEX(Base!$U:$U,MATCH($A12,Base!$A:$A,0)),IF(JE$1=INDEX('Valo FX'!$R:$R,MATCH($A12,'Valo FX'!$A:$A,0)),INDEX(Base!$V:$V,MATCH($A12,Base!$A:$A,0)),0)))</f>
        <v>0</v>
      </c>
      <c r="JF12" s="21">
        <f>IF(JF$1&lt;INDEX('Valo FX'!$Q:$Q,MATCH($A12,'Valo FX'!$A:$A,0)),0,IF(JF$1&lt;INDEX('Valo FX'!$R:$R,MATCH($A12,'Valo FX'!$A:$A,0)),INDEX(Base!$U:$U,MATCH($A12,Base!$A:$A,0)),IF(JF$1=INDEX('Valo FX'!$R:$R,MATCH($A12,'Valo FX'!$A:$A,0)),INDEX(Base!$V:$V,MATCH($A12,Base!$A:$A,0)),0)))</f>
        <v>0</v>
      </c>
      <c r="JG12" s="21">
        <f>IF(JG$1&lt;INDEX('Valo FX'!$Q:$Q,MATCH($A12,'Valo FX'!$A:$A,0)),0,IF(JG$1&lt;INDEX('Valo FX'!$R:$R,MATCH($A12,'Valo FX'!$A:$A,0)),INDEX(Base!$U:$U,MATCH($A12,Base!$A:$A,0)),IF(JG$1=INDEX('Valo FX'!$R:$R,MATCH($A12,'Valo FX'!$A:$A,0)),INDEX(Base!$V:$V,MATCH($A12,Base!$A:$A,0)),0)))</f>
        <v>0</v>
      </c>
      <c r="JH12" s="21">
        <f>IF(JH$1&lt;INDEX('Valo FX'!$Q:$Q,MATCH($A12,'Valo FX'!$A:$A,0)),0,IF(JH$1&lt;INDEX('Valo FX'!$R:$R,MATCH($A12,'Valo FX'!$A:$A,0)),INDEX(Base!$U:$U,MATCH($A12,Base!$A:$A,0)),IF(JH$1=INDEX('Valo FX'!$R:$R,MATCH($A12,'Valo FX'!$A:$A,0)),INDEX(Base!$V:$V,MATCH($A12,Base!$A:$A,0)),0)))</f>
        <v>0</v>
      </c>
      <c r="JI12" s="21">
        <f>IF(JI$1&lt;INDEX('Valo FX'!$Q:$Q,MATCH($A12,'Valo FX'!$A:$A,0)),0,IF(JI$1&lt;INDEX('Valo FX'!$R:$R,MATCH($A12,'Valo FX'!$A:$A,0)),INDEX(Base!$U:$U,MATCH($A12,Base!$A:$A,0)),IF(JI$1=INDEX('Valo FX'!$R:$R,MATCH($A12,'Valo FX'!$A:$A,0)),INDEX(Base!$V:$V,MATCH($A12,Base!$A:$A,0)),0)))</f>
        <v>0</v>
      </c>
      <c r="JJ12" s="21">
        <f>IF(JJ$1&lt;INDEX('Valo FX'!$Q:$Q,MATCH($A12,'Valo FX'!$A:$A,0)),0,IF(JJ$1&lt;INDEX('Valo FX'!$R:$R,MATCH($A12,'Valo FX'!$A:$A,0)),INDEX(Base!$U:$U,MATCH($A12,Base!$A:$A,0)),IF(JJ$1=INDEX('Valo FX'!$R:$R,MATCH($A12,'Valo FX'!$A:$A,0)),INDEX(Base!$V:$V,MATCH($A12,Base!$A:$A,0)),0)))</f>
        <v>0</v>
      </c>
      <c r="JK12" s="21">
        <f>IF(JK$1&lt;INDEX('Valo FX'!$Q:$Q,MATCH($A12,'Valo FX'!$A:$A,0)),0,IF(JK$1&lt;INDEX('Valo FX'!$R:$R,MATCH($A12,'Valo FX'!$A:$A,0)),INDEX(Base!$U:$U,MATCH($A12,Base!$A:$A,0)),IF(JK$1=INDEX('Valo FX'!$R:$R,MATCH($A12,'Valo FX'!$A:$A,0)),INDEX(Base!$V:$V,MATCH($A12,Base!$A:$A,0)),0)))</f>
        <v>0</v>
      </c>
      <c r="JL12" s="21">
        <f>IF(JL$1&lt;INDEX('Valo FX'!$Q:$Q,MATCH($A12,'Valo FX'!$A:$A,0)),0,IF(JL$1&lt;INDEX('Valo FX'!$R:$R,MATCH($A12,'Valo FX'!$A:$A,0)),INDEX(Base!$U:$U,MATCH($A12,Base!$A:$A,0)),IF(JL$1=INDEX('Valo FX'!$R:$R,MATCH($A12,'Valo FX'!$A:$A,0)),INDEX(Base!$V:$V,MATCH($A12,Base!$A:$A,0)),0)))</f>
        <v>0</v>
      </c>
      <c r="JM12" s="21">
        <f>IF(JM$1&lt;INDEX('Valo FX'!$Q:$Q,MATCH($A12,'Valo FX'!$A:$A,0)),0,IF(JM$1&lt;INDEX('Valo FX'!$R:$R,MATCH($A12,'Valo FX'!$A:$A,0)),INDEX(Base!$U:$U,MATCH($A12,Base!$A:$A,0)),IF(JM$1=INDEX('Valo FX'!$R:$R,MATCH($A12,'Valo FX'!$A:$A,0)),INDEX(Base!$V:$V,MATCH($A12,Base!$A:$A,0)),0)))</f>
        <v>0</v>
      </c>
      <c r="JN12" s="21">
        <f>IF(JN$1&lt;INDEX('Valo FX'!$Q:$Q,MATCH($A12,'Valo FX'!$A:$A,0)),0,IF(JN$1&lt;INDEX('Valo FX'!$R:$R,MATCH($A12,'Valo FX'!$A:$A,0)),INDEX(Base!$U:$U,MATCH($A12,Base!$A:$A,0)),IF(JN$1=INDEX('Valo FX'!$R:$R,MATCH($A12,'Valo FX'!$A:$A,0)),INDEX(Base!$V:$V,MATCH($A12,Base!$A:$A,0)),0)))</f>
        <v>0</v>
      </c>
      <c r="JO12" s="21">
        <f>IF(JO$1&lt;INDEX('Valo FX'!$Q:$Q,MATCH($A12,'Valo FX'!$A:$A,0)),0,IF(JO$1&lt;INDEX('Valo FX'!$R:$R,MATCH($A12,'Valo FX'!$A:$A,0)),INDEX(Base!$U:$U,MATCH($A12,Base!$A:$A,0)),IF(JO$1=INDEX('Valo FX'!$R:$R,MATCH($A12,'Valo FX'!$A:$A,0)),INDEX(Base!$V:$V,MATCH($A12,Base!$A:$A,0)),0)))</f>
        <v>0</v>
      </c>
      <c r="JP12" s="21">
        <f>IF(JP$1&lt;INDEX('Valo FX'!$Q:$Q,MATCH($A12,'Valo FX'!$A:$A,0)),0,IF(JP$1&lt;INDEX('Valo FX'!$R:$R,MATCH($A12,'Valo FX'!$A:$A,0)),INDEX(Base!$U:$U,MATCH($A12,Base!$A:$A,0)),IF(JP$1=INDEX('Valo FX'!$R:$R,MATCH($A12,'Valo FX'!$A:$A,0)),INDEX(Base!$V:$V,MATCH($A12,Base!$A:$A,0)),0)))</f>
        <v>0</v>
      </c>
      <c r="JQ12" s="21">
        <f>IF(JQ$1&lt;INDEX('Valo FX'!$Q:$Q,MATCH($A12,'Valo FX'!$A:$A,0)),0,IF(JQ$1&lt;INDEX('Valo FX'!$R:$R,MATCH($A12,'Valo FX'!$A:$A,0)),INDEX(Base!$U:$U,MATCH($A12,Base!$A:$A,0)),IF(JQ$1=INDEX('Valo FX'!$R:$R,MATCH($A12,'Valo FX'!$A:$A,0)),INDEX(Base!$V:$V,MATCH($A12,Base!$A:$A,0)),0)))</f>
        <v>0</v>
      </c>
      <c r="JR12" s="21">
        <f>IF(JR$1&lt;INDEX('Valo FX'!$Q:$Q,MATCH($A12,'Valo FX'!$A:$A,0)),0,IF(JR$1&lt;INDEX('Valo FX'!$R:$R,MATCH($A12,'Valo FX'!$A:$A,0)),INDEX(Base!$U:$U,MATCH($A12,Base!$A:$A,0)),IF(JR$1=INDEX('Valo FX'!$R:$R,MATCH($A12,'Valo FX'!$A:$A,0)),INDEX(Base!$V:$V,MATCH($A12,Base!$A:$A,0)),0)))</f>
        <v>0</v>
      </c>
      <c r="JS12" s="21">
        <f>IF(JS$1&lt;INDEX('Valo FX'!$Q:$Q,MATCH($A12,'Valo FX'!$A:$A,0)),0,IF(JS$1&lt;INDEX('Valo FX'!$R:$R,MATCH($A12,'Valo FX'!$A:$A,0)),INDEX(Base!$U:$U,MATCH($A12,Base!$A:$A,0)),IF(JS$1=INDEX('Valo FX'!$R:$R,MATCH($A12,'Valo FX'!$A:$A,0)),INDEX(Base!$V:$V,MATCH($A12,Base!$A:$A,0)),0)))</f>
        <v>0</v>
      </c>
      <c r="JT12" s="21">
        <f>IF(JT$1&lt;INDEX('Valo FX'!$Q:$Q,MATCH($A12,'Valo FX'!$A:$A,0)),0,IF(JT$1&lt;INDEX('Valo FX'!$R:$R,MATCH($A12,'Valo FX'!$A:$A,0)),INDEX(Base!$U:$U,MATCH($A12,Base!$A:$A,0)),IF(JT$1=INDEX('Valo FX'!$R:$R,MATCH($A12,'Valo FX'!$A:$A,0)),INDEX(Base!$V:$V,MATCH($A12,Base!$A:$A,0)),0)))</f>
        <v>0</v>
      </c>
      <c r="JU12" s="21">
        <f>IF(JU$1&lt;INDEX('Valo FX'!$Q:$Q,MATCH($A12,'Valo FX'!$A:$A,0)),0,IF(JU$1&lt;INDEX('Valo FX'!$R:$R,MATCH($A12,'Valo FX'!$A:$A,0)),INDEX(Base!$U:$U,MATCH($A12,Base!$A:$A,0)),IF(JU$1=INDEX('Valo FX'!$R:$R,MATCH($A12,'Valo FX'!$A:$A,0)),INDEX(Base!$V:$V,MATCH($A12,Base!$A:$A,0)),0)))</f>
        <v>0</v>
      </c>
      <c r="JV12" s="21">
        <f>IF(JV$1&lt;INDEX('Valo FX'!$Q:$Q,MATCH($A12,'Valo FX'!$A:$A,0)),0,IF(JV$1&lt;INDEX('Valo FX'!$R:$R,MATCH($A12,'Valo FX'!$A:$A,0)),INDEX(Base!$U:$U,MATCH($A12,Base!$A:$A,0)),IF(JV$1=INDEX('Valo FX'!$R:$R,MATCH($A12,'Valo FX'!$A:$A,0)),INDEX(Base!$V:$V,MATCH($A12,Base!$A:$A,0)),0)))</f>
        <v>0</v>
      </c>
      <c r="JW12" s="21">
        <f>IF(JW$1&lt;INDEX('Valo FX'!$Q:$Q,MATCH($A12,'Valo FX'!$A:$A,0)),0,IF(JW$1&lt;INDEX('Valo FX'!$R:$R,MATCH($A12,'Valo FX'!$A:$A,0)),INDEX(Base!$U:$U,MATCH($A12,Base!$A:$A,0)),IF(JW$1=INDEX('Valo FX'!$R:$R,MATCH($A12,'Valo FX'!$A:$A,0)),INDEX(Base!$V:$V,MATCH($A12,Base!$A:$A,0)),0)))</f>
        <v>0</v>
      </c>
      <c r="JX12" s="21">
        <f>IF(JX$1&lt;INDEX('Valo FX'!$Q:$Q,MATCH($A12,'Valo FX'!$A:$A,0)),0,IF(JX$1&lt;INDEX('Valo FX'!$R:$R,MATCH($A12,'Valo FX'!$A:$A,0)),INDEX(Base!$U:$U,MATCH($A12,Base!$A:$A,0)),IF(JX$1=INDEX('Valo FX'!$R:$R,MATCH($A12,'Valo FX'!$A:$A,0)),INDEX(Base!$V:$V,MATCH($A12,Base!$A:$A,0)),0)))</f>
        <v>0</v>
      </c>
      <c r="JY12" s="21">
        <f>IF(JY$1&lt;INDEX('Valo FX'!$Q:$Q,MATCH($A12,'Valo FX'!$A:$A,0)),0,IF(JY$1&lt;INDEX('Valo FX'!$R:$R,MATCH($A12,'Valo FX'!$A:$A,0)),INDEX(Base!$U:$U,MATCH($A12,Base!$A:$A,0)),IF(JY$1=INDEX('Valo FX'!$R:$R,MATCH($A12,'Valo FX'!$A:$A,0)),INDEX(Base!$V:$V,MATCH($A12,Base!$A:$A,0)),0)))</f>
        <v>0</v>
      </c>
      <c r="JZ12" s="21">
        <f>IF(JZ$1&lt;INDEX('Valo FX'!$Q:$Q,MATCH($A12,'Valo FX'!$A:$A,0)),0,IF(JZ$1&lt;INDEX('Valo FX'!$R:$R,MATCH($A12,'Valo FX'!$A:$A,0)),INDEX(Base!$U:$U,MATCH($A12,Base!$A:$A,0)),IF(JZ$1=INDEX('Valo FX'!$R:$R,MATCH($A12,'Valo FX'!$A:$A,0)),INDEX(Base!$V:$V,MATCH($A12,Base!$A:$A,0)),0)))</f>
        <v>0</v>
      </c>
      <c r="KA12" s="21">
        <f>IF(KA$1&lt;INDEX('Valo FX'!$Q:$Q,MATCH($A12,'Valo FX'!$A:$A,0)),0,IF(KA$1&lt;INDEX('Valo FX'!$R:$R,MATCH($A12,'Valo FX'!$A:$A,0)),INDEX(Base!$U:$U,MATCH($A12,Base!$A:$A,0)),IF(KA$1=INDEX('Valo FX'!$R:$R,MATCH($A12,'Valo FX'!$A:$A,0)),INDEX(Base!$V:$V,MATCH($A12,Base!$A:$A,0)),0)))</f>
        <v>0</v>
      </c>
      <c r="KB12" s="21">
        <f>IF(KB$1&lt;INDEX('Valo FX'!$Q:$Q,MATCH($A12,'Valo FX'!$A:$A,0)),0,IF(KB$1&lt;INDEX('Valo FX'!$R:$R,MATCH($A12,'Valo FX'!$A:$A,0)),INDEX(Base!$U:$U,MATCH($A12,Base!$A:$A,0)),IF(KB$1=INDEX('Valo FX'!$R:$R,MATCH($A12,'Valo FX'!$A:$A,0)),INDEX(Base!$V:$V,MATCH($A12,Base!$A:$A,0)),0)))</f>
        <v>0</v>
      </c>
      <c r="KC12" s="21">
        <f>IF(KC$1&lt;INDEX('Valo FX'!$Q:$Q,MATCH($A12,'Valo FX'!$A:$A,0)),0,IF(KC$1&lt;INDEX('Valo FX'!$R:$R,MATCH($A12,'Valo FX'!$A:$A,0)),INDEX(Base!$U:$U,MATCH($A12,Base!$A:$A,0)),IF(KC$1=INDEX('Valo FX'!$R:$R,MATCH($A12,'Valo FX'!$A:$A,0)),INDEX(Base!$V:$V,MATCH($A12,Base!$A:$A,0)),0)))</f>
        <v>0</v>
      </c>
      <c r="KD12" s="21">
        <f>IF(KD$1&lt;INDEX('Valo FX'!$Q:$Q,MATCH($A12,'Valo FX'!$A:$A,0)),0,IF(KD$1&lt;INDEX('Valo FX'!$R:$R,MATCH($A12,'Valo FX'!$A:$A,0)),INDEX(Base!$U:$U,MATCH($A12,Base!$A:$A,0)),IF(KD$1=INDEX('Valo FX'!$R:$R,MATCH($A12,'Valo FX'!$A:$A,0)),INDEX(Base!$V:$V,MATCH($A12,Base!$A:$A,0)),0)))</f>
        <v>0</v>
      </c>
      <c r="KE12" s="21">
        <f>IF(KE$1&lt;INDEX('Valo FX'!$Q:$Q,MATCH($A12,'Valo FX'!$A:$A,0)),0,IF(KE$1&lt;INDEX('Valo FX'!$R:$R,MATCH($A12,'Valo FX'!$A:$A,0)),INDEX(Base!$U:$U,MATCH($A12,Base!$A:$A,0)),IF(KE$1=INDEX('Valo FX'!$R:$R,MATCH($A12,'Valo FX'!$A:$A,0)),INDEX(Base!$V:$V,MATCH($A12,Base!$A:$A,0)),0)))</f>
        <v>0</v>
      </c>
      <c r="KF12" s="21">
        <f>IF(KF$1&lt;INDEX('Valo FX'!$Q:$Q,MATCH($A12,'Valo FX'!$A:$A,0)),0,IF(KF$1&lt;INDEX('Valo FX'!$R:$R,MATCH($A12,'Valo FX'!$A:$A,0)),INDEX(Base!$U:$U,MATCH($A12,Base!$A:$A,0)),IF(KF$1=INDEX('Valo FX'!$R:$R,MATCH($A12,'Valo FX'!$A:$A,0)),INDEX(Base!$V:$V,MATCH($A12,Base!$A:$A,0)),0)))</f>
        <v>0</v>
      </c>
      <c r="KG12" s="21">
        <f>IF(KG$1&lt;INDEX('Valo FX'!$Q:$Q,MATCH($A12,'Valo FX'!$A:$A,0)),0,IF(KG$1&lt;INDEX('Valo FX'!$R:$R,MATCH($A12,'Valo FX'!$A:$A,0)),INDEX(Base!$U:$U,MATCH($A12,Base!$A:$A,0)),IF(KG$1=INDEX('Valo FX'!$R:$R,MATCH($A12,'Valo FX'!$A:$A,0)),INDEX(Base!$V:$V,MATCH($A12,Base!$A:$A,0)),0)))</f>
        <v>0</v>
      </c>
      <c r="KH12" s="21">
        <f>IF(KH$1&lt;INDEX('Valo FX'!$Q:$Q,MATCH($A12,'Valo FX'!$A:$A,0)),0,IF(KH$1&lt;INDEX('Valo FX'!$R:$R,MATCH($A12,'Valo FX'!$A:$A,0)),INDEX(Base!$U:$U,MATCH($A12,Base!$A:$A,0)),IF(KH$1=INDEX('Valo FX'!$R:$R,MATCH($A12,'Valo FX'!$A:$A,0)),INDEX(Base!$V:$V,MATCH($A12,Base!$A:$A,0)),0)))</f>
        <v>0</v>
      </c>
      <c r="KI12" s="21">
        <f>IF(KI$1&lt;INDEX('Valo FX'!$Q:$Q,MATCH($A12,'Valo FX'!$A:$A,0)),0,IF(KI$1&lt;INDEX('Valo FX'!$R:$R,MATCH($A12,'Valo FX'!$A:$A,0)),INDEX(Base!$U:$U,MATCH($A12,Base!$A:$A,0)),IF(KI$1=INDEX('Valo FX'!$R:$R,MATCH($A12,'Valo FX'!$A:$A,0)),INDEX(Base!$V:$V,MATCH($A12,Base!$A:$A,0)),0)))</f>
        <v>0</v>
      </c>
      <c r="KJ12" s="21">
        <f>IF(KJ$1&lt;INDEX('Valo FX'!$Q:$Q,MATCH($A12,'Valo FX'!$A:$A,0)),0,IF(KJ$1&lt;INDEX('Valo FX'!$R:$R,MATCH($A12,'Valo FX'!$A:$A,0)),INDEX(Base!$U:$U,MATCH($A12,Base!$A:$A,0)),IF(KJ$1=INDEX('Valo FX'!$R:$R,MATCH($A12,'Valo FX'!$A:$A,0)),INDEX(Base!$V:$V,MATCH($A12,Base!$A:$A,0)),0)))</f>
        <v>0</v>
      </c>
      <c r="KK12" s="21">
        <f>IF(KK$1&lt;INDEX('Valo FX'!$Q:$Q,MATCH($A12,'Valo FX'!$A:$A,0)),0,IF(KK$1&lt;INDEX('Valo FX'!$R:$R,MATCH($A12,'Valo FX'!$A:$A,0)),INDEX(Base!$U:$U,MATCH($A12,Base!$A:$A,0)),IF(KK$1=INDEX('Valo FX'!$R:$R,MATCH($A12,'Valo FX'!$A:$A,0)),INDEX(Base!$V:$V,MATCH($A12,Base!$A:$A,0)),0)))</f>
        <v>0</v>
      </c>
      <c r="KL12" s="21">
        <f>IF(KL$1&lt;INDEX('Valo FX'!$Q:$Q,MATCH($A12,'Valo FX'!$A:$A,0)),0,IF(KL$1&lt;INDEX('Valo FX'!$R:$R,MATCH($A12,'Valo FX'!$A:$A,0)),INDEX(Base!$U:$U,MATCH($A12,Base!$A:$A,0)),IF(KL$1=INDEX('Valo FX'!$R:$R,MATCH($A12,'Valo FX'!$A:$A,0)),INDEX(Base!$V:$V,MATCH($A12,Base!$A:$A,0)),0)))</f>
        <v>0</v>
      </c>
      <c r="KM12" s="21">
        <f>IF(KM$1&lt;INDEX('Valo FX'!$Q:$Q,MATCH($A12,'Valo FX'!$A:$A,0)),0,IF(KM$1&lt;INDEX('Valo FX'!$R:$R,MATCH($A12,'Valo FX'!$A:$A,0)),INDEX(Base!$U:$U,MATCH($A12,Base!$A:$A,0)),IF(KM$1=INDEX('Valo FX'!$R:$R,MATCH($A12,'Valo FX'!$A:$A,0)),INDEX(Base!$V:$V,MATCH($A12,Base!$A:$A,0)),0)))</f>
        <v>0</v>
      </c>
      <c r="KN12" s="21">
        <f>IF(KN$1&lt;INDEX('Valo FX'!$Q:$Q,MATCH($A12,'Valo FX'!$A:$A,0)),0,IF(KN$1&lt;INDEX('Valo FX'!$R:$R,MATCH($A12,'Valo FX'!$A:$A,0)),INDEX(Base!$U:$U,MATCH($A12,Base!$A:$A,0)),IF(KN$1=INDEX('Valo FX'!$R:$R,MATCH($A12,'Valo FX'!$A:$A,0)),INDEX(Base!$V:$V,MATCH($A12,Base!$A:$A,0)),0)))</f>
        <v>0</v>
      </c>
      <c r="KO12" s="21">
        <f>IF(KO$1&lt;INDEX('Valo FX'!$Q:$Q,MATCH($A12,'Valo FX'!$A:$A,0)),0,IF(KO$1&lt;INDEX('Valo FX'!$R:$R,MATCH($A12,'Valo FX'!$A:$A,0)),INDEX(Base!$U:$U,MATCH($A12,Base!$A:$A,0)),IF(KO$1=INDEX('Valo FX'!$R:$R,MATCH($A12,'Valo FX'!$A:$A,0)),INDEX(Base!$V:$V,MATCH($A12,Base!$A:$A,0)),0)))</f>
        <v>0</v>
      </c>
      <c r="KP12" s="21">
        <f>IF(KP$1&lt;INDEX('Valo FX'!$Q:$Q,MATCH($A12,'Valo FX'!$A:$A,0)),0,IF(KP$1&lt;INDEX('Valo FX'!$R:$R,MATCH($A12,'Valo FX'!$A:$A,0)),INDEX(Base!$U:$U,MATCH($A12,Base!$A:$A,0)),IF(KP$1=INDEX('Valo FX'!$R:$R,MATCH($A12,'Valo FX'!$A:$A,0)),INDEX(Base!$V:$V,MATCH($A12,Base!$A:$A,0)),0)))</f>
        <v>0</v>
      </c>
      <c r="KQ12" s="21">
        <f>IF(KQ$1&lt;INDEX('Valo FX'!$Q:$Q,MATCH($A12,'Valo FX'!$A:$A,0)),0,IF(KQ$1&lt;INDEX('Valo FX'!$R:$R,MATCH($A12,'Valo FX'!$A:$A,0)),INDEX(Base!$U:$U,MATCH($A12,Base!$A:$A,0)),IF(KQ$1=INDEX('Valo FX'!$R:$R,MATCH($A12,'Valo FX'!$A:$A,0)),INDEX(Base!$V:$V,MATCH($A12,Base!$A:$A,0)),0)))</f>
        <v>0</v>
      </c>
      <c r="KR12" s="21">
        <f>IF(KR$1&lt;INDEX('Valo FX'!$Q:$Q,MATCH($A12,'Valo FX'!$A:$A,0)),0,IF(KR$1&lt;INDEX('Valo FX'!$R:$R,MATCH($A12,'Valo FX'!$A:$A,0)),INDEX(Base!$U:$U,MATCH($A12,Base!$A:$A,0)),IF(KR$1=INDEX('Valo FX'!$R:$R,MATCH($A12,'Valo FX'!$A:$A,0)),INDEX(Base!$V:$V,MATCH($A12,Base!$A:$A,0)),0)))</f>
        <v>0</v>
      </c>
      <c r="KS12" s="21">
        <f>IF(KS$1&lt;INDEX('Valo FX'!$Q:$Q,MATCH($A12,'Valo FX'!$A:$A,0)),0,IF(KS$1&lt;INDEX('Valo FX'!$R:$R,MATCH($A12,'Valo FX'!$A:$A,0)),INDEX(Base!$U:$U,MATCH($A12,Base!$A:$A,0)),IF(KS$1=INDEX('Valo FX'!$R:$R,MATCH($A12,'Valo FX'!$A:$A,0)),INDEX(Base!$V:$V,MATCH($A12,Base!$A:$A,0)),0)))</f>
        <v>0</v>
      </c>
      <c r="KT12" s="21">
        <f>IF(KT$1&lt;INDEX('Valo FX'!$Q:$Q,MATCH($A12,'Valo FX'!$A:$A,0)),0,IF(KT$1&lt;INDEX('Valo FX'!$R:$R,MATCH($A12,'Valo FX'!$A:$A,0)),INDEX(Base!$U:$U,MATCH($A12,Base!$A:$A,0)),IF(KT$1=INDEX('Valo FX'!$R:$R,MATCH($A12,'Valo FX'!$A:$A,0)),INDEX(Base!$V:$V,MATCH($A12,Base!$A:$A,0)),0)))</f>
        <v>0</v>
      </c>
      <c r="KU12" s="21">
        <f>IF(KU$1&lt;INDEX('Valo FX'!$Q:$Q,MATCH($A12,'Valo FX'!$A:$A,0)),0,IF(KU$1&lt;INDEX('Valo FX'!$R:$R,MATCH($A12,'Valo FX'!$A:$A,0)),INDEX(Base!$U:$U,MATCH($A12,Base!$A:$A,0)),IF(KU$1=INDEX('Valo FX'!$R:$R,MATCH($A12,'Valo FX'!$A:$A,0)),INDEX(Base!$V:$V,MATCH($A12,Base!$A:$A,0)),0)))</f>
        <v>0</v>
      </c>
      <c r="KV12" s="21">
        <f>IF(KV$1&lt;INDEX('Valo FX'!$Q:$Q,MATCH($A12,'Valo FX'!$A:$A,0)),0,IF(KV$1&lt;INDEX('Valo FX'!$R:$R,MATCH($A12,'Valo FX'!$A:$A,0)),INDEX(Base!$U:$U,MATCH($A12,Base!$A:$A,0)),IF(KV$1=INDEX('Valo FX'!$R:$R,MATCH($A12,'Valo FX'!$A:$A,0)),INDEX(Base!$V:$V,MATCH($A12,Base!$A:$A,0)),0)))</f>
        <v>0</v>
      </c>
      <c r="KW12" s="21">
        <f>IF(KW$1&lt;INDEX('Valo FX'!$Q:$Q,MATCH($A12,'Valo FX'!$A:$A,0)),0,IF(KW$1&lt;INDEX('Valo FX'!$R:$R,MATCH($A12,'Valo FX'!$A:$A,0)),INDEX(Base!$U:$U,MATCH($A12,Base!$A:$A,0)),IF(KW$1=INDEX('Valo FX'!$R:$R,MATCH($A12,'Valo FX'!$A:$A,0)),INDEX(Base!$V:$V,MATCH($A12,Base!$A:$A,0)),0)))</f>
        <v>0</v>
      </c>
      <c r="KX12" s="21">
        <f>IF(KX$1&lt;INDEX('Valo FX'!$Q:$Q,MATCH($A12,'Valo FX'!$A:$A,0)),0,IF(KX$1&lt;INDEX('Valo FX'!$R:$R,MATCH($A12,'Valo FX'!$A:$A,0)),INDEX(Base!$U:$U,MATCH($A12,Base!$A:$A,0)),IF(KX$1=INDEX('Valo FX'!$R:$R,MATCH($A12,'Valo FX'!$A:$A,0)),INDEX(Base!$V:$V,MATCH($A12,Base!$A:$A,0)),0)))</f>
        <v>0</v>
      </c>
      <c r="KY12" s="21">
        <f>IF(KY$1&lt;INDEX('Valo FX'!$Q:$Q,MATCH($A12,'Valo FX'!$A:$A,0)),0,IF(KY$1&lt;INDEX('Valo FX'!$R:$R,MATCH($A12,'Valo FX'!$A:$A,0)),INDEX(Base!$U:$U,MATCH($A12,Base!$A:$A,0)),IF(KY$1=INDEX('Valo FX'!$R:$R,MATCH($A12,'Valo FX'!$A:$A,0)),INDEX(Base!$V:$V,MATCH($A12,Base!$A:$A,0)),0)))</f>
        <v>0</v>
      </c>
      <c r="KZ12" s="21">
        <f>IF(KZ$1&lt;INDEX('Valo FX'!$Q:$Q,MATCH($A12,'Valo FX'!$A:$A,0)),0,IF(KZ$1&lt;INDEX('Valo FX'!$R:$R,MATCH($A12,'Valo FX'!$A:$A,0)),INDEX(Base!$U:$U,MATCH($A12,Base!$A:$A,0)),IF(KZ$1=INDEX('Valo FX'!$R:$R,MATCH($A12,'Valo FX'!$A:$A,0)),INDEX(Base!$V:$V,MATCH($A12,Base!$A:$A,0)),0)))</f>
        <v>0</v>
      </c>
      <c r="LA12" s="21">
        <f>IF(LA$1&lt;INDEX('Valo FX'!$Q:$Q,MATCH($A12,'Valo FX'!$A:$A,0)),0,IF(LA$1&lt;INDEX('Valo FX'!$R:$R,MATCH($A12,'Valo FX'!$A:$A,0)),INDEX(Base!$U:$U,MATCH($A12,Base!$A:$A,0)),IF(LA$1=INDEX('Valo FX'!$R:$R,MATCH($A12,'Valo FX'!$A:$A,0)),INDEX(Base!$V:$V,MATCH($A12,Base!$A:$A,0)),0)))</f>
        <v>0</v>
      </c>
      <c r="LB12" s="21">
        <f>IF(LB$1&lt;INDEX('Valo FX'!$Q:$Q,MATCH($A12,'Valo FX'!$A:$A,0)),0,IF(LB$1&lt;INDEX('Valo FX'!$R:$R,MATCH($A12,'Valo FX'!$A:$A,0)),INDEX(Base!$U:$U,MATCH($A12,Base!$A:$A,0)),IF(LB$1=INDEX('Valo FX'!$R:$R,MATCH($A12,'Valo FX'!$A:$A,0)),INDEX(Base!$V:$V,MATCH($A12,Base!$A:$A,0)),0)))</f>
        <v>0</v>
      </c>
      <c r="LC12" s="21">
        <f>IF(LC$1&lt;INDEX('Valo FX'!$Q:$Q,MATCH($A12,'Valo FX'!$A:$A,0)),0,IF(LC$1&lt;INDEX('Valo FX'!$R:$R,MATCH($A12,'Valo FX'!$A:$A,0)),INDEX(Base!$U:$U,MATCH($A12,Base!$A:$A,0)),IF(LC$1=INDEX('Valo FX'!$R:$R,MATCH($A12,'Valo FX'!$A:$A,0)),INDEX(Base!$V:$V,MATCH($A12,Base!$A:$A,0)),0)))</f>
        <v>0</v>
      </c>
      <c r="LD12" s="21">
        <f>IF(LD$1&lt;INDEX('Valo FX'!$Q:$Q,MATCH($A12,'Valo FX'!$A:$A,0)),0,IF(LD$1&lt;INDEX('Valo FX'!$R:$R,MATCH($A12,'Valo FX'!$A:$A,0)),INDEX(Base!$U:$U,MATCH($A12,Base!$A:$A,0)),IF(LD$1=INDEX('Valo FX'!$R:$R,MATCH($A12,'Valo FX'!$A:$A,0)),INDEX(Base!$V:$V,MATCH($A12,Base!$A:$A,0)),0)))</f>
        <v>0</v>
      </c>
      <c r="LE12" s="21">
        <f>IF(LE$1&lt;INDEX('Valo FX'!$Q:$Q,MATCH($A12,'Valo FX'!$A:$A,0)),0,IF(LE$1&lt;INDEX('Valo FX'!$R:$R,MATCH($A12,'Valo FX'!$A:$A,0)),INDEX(Base!$U:$U,MATCH($A12,Base!$A:$A,0)),IF(LE$1=INDEX('Valo FX'!$R:$R,MATCH($A12,'Valo FX'!$A:$A,0)),INDEX(Base!$V:$V,MATCH($A12,Base!$A:$A,0)),0)))</f>
        <v>0</v>
      </c>
      <c r="LF12" s="21">
        <f>IF(LF$1&lt;INDEX('Valo FX'!$Q:$Q,MATCH($A12,'Valo FX'!$A:$A,0)),0,IF(LF$1&lt;INDEX('Valo FX'!$R:$R,MATCH($A12,'Valo FX'!$A:$A,0)),INDEX(Base!$U:$U,MATCH($A12,Base!$A:$A,0)),IF(LF$1=INDEX('Valo FX'!$R:$R,MATCH($A12,'Valo FX'!$A:$A,0)),INDEX(Base!$V:$V,MATCH($A12,Base!$A:$A,0)),0)))</f>
        <v>0</v>
      </c>
      <c r="LG12" s="21">
        <f>IF(LG$1&lt;INDEX('Valo FX'!$Q:$Q,MATCH($A12,'Valo FX'!$A:$A,0)),0,IF(LG$1&lt;INDEX('Valo FX'!$R:$R,MATCH($A12,'Valo FX'!$A:$A,0)),INDEX(Base!$U:$U,MATCH($A12,Base!$A:$A,0)),IF(LG$1=INDEX('Valo FX'!$R:$R,MATCH($A12,'Valo FX'!$A:$A,0)),INDEX(Base!$V:$V,MATCH($A12,Base!$A:$A,0)),0)))</f>
        <v>0</v>
      </c>
      <c r="LH12" s="21">
        <f>IF(LH$1&lt;INDEX('Valo FX'!$Q:$Q,MATCH($A12,'Valo FX'!$A:$A,0)),0,IF(LH$1&lt;INDEX('Valo FX'!$R:$R,MATCH($A12,'Valo FX'!$A:$A,0)),INDEX(Base!$U:$U,MATCH($A12,Base!$A:$A,0)),IF(LH$1=INDEX('Valo FX'!$R:$R,MATCH($A12,'Valo FX'!$A:$A,0)),INDEX(Base!$V:$V,MATCH($A12,Base!$A:$A,0)),0)))</f>
        <v>0</v>
      </c>
      <c r="LI12" s="21">
        <f>IF(LI$1&lt;INDEX('Valo FX'!$Q:$Q,MATCH($A12,'Valo FX'!$A:$A,0)),0,IF(LI$1&lt;INDEX('Valo FX'!$R:$R,MATCH($A12,'Valo FX'!$A:$A,0)),INDEX(Base!$U:$U,MATCH($A12,Base!$A:$A,0)),IF(LI$1=INDEX('Valo FX'!$R:$R,MATCH($A12,'Valo FX'!$A:$A,0)),INDEX(Base!$V:$V,MATCH($A12,Base!$A:$A,0)),0)))</f>
        <v>0</v>
      </c>
      <c r="LJ12" s="21">
        <f>IF(LJ$1&lt;INDEX('Valo FX'!$Q:$Q,MATCH($A12,'Valo FX'!$A:$A,0)),0,IF(LJ$1&lt;INDEX('Valo FX'!$R:$R,MATCH($A12,'Valo FX'!$A:$A,0)),INDEX(Base!$U:$U,MATCH($A12,Base!$A:$A,0)),IF(LJ$1=INDEX('Valo FX'!$R:$R,MATCH($A12,'Valo FX'!$A:$A,0)),INDEX(Base!$V:$V,MATCH($A12,Base!$A:$A,0)),0)))</f>
        <v>0</v>
      </c>
      <c r="LK12" s="21">
        <f>IF(LK$1&lt;INDEX('Valo FX'!$Q:$Q,MATCH($A12,'Valo FX'!$A:$A,0)),0,IF(LK$1&lt;INDEX('Valo FX'!$R:$R,MATCH($A12,'Valo FX'!$A:$A,0)),INDEX(Base!$U:$U,MATCH($A12,Base!$A:$A,0)),IF(LK$1=INDEX('Valo FX'!$R:$R,MATCH($A12,'Valo FX'!$A:$A,0)),INDEX(Base!$V:$V,MATCH($A12,Base!$A:$A,0)),0)))</f>
        <v>0</v>
      </c>
      <c r="LL12" s="21">
        <f>IF(LL$1&lt;INDEX('Valo FX'!$Q:$Q,MATCH($A12,'Valo FX'!$A:$A,0)),0,IF(LL$1&lt;INDEX('Valo FX'!$R:$R,MATCH($A12,'Valo FX'!$A:$A,0)),INDEX(Base!$U:$U,MATCH($A12,Base!$A:$A,0)),IF(LL$1=INDEX('Valo FX'!$R:$R,MATCH($A12,'Valo FX'!$A:$A,0)),INDEX(Base!$V:$V,MATCH($A12,Base!$A:$A,0)),0)))</f>
        <v>0</v>
      </c>
      <c r="LM12" s="21">
        <f>IF(LM$1&lt;INDEX('Valo FX'!$Q:$Q,MATCH($A12,'Valo FX'!$A:$A,0)),0,IF(LM$1&lt;INDEX('Valo FX'!$R:$R,MATCH($A12,'Valo FX'!$A:$A,0)),INDEX(Base!$U:$U,MATCH($A12,Base!$A:$A,0)),IF(LM$1=INDEX('Valo FX'!$R:$R,MATCH($A12,'Valo FX'!$A:$A,0)),INDEX(Base!$V:$V,MATCH($A12,Base!$A:$A,0)),0)))</f>
        <v>0</v>
      </c>
      <c r="LN12" s="21">
        <f>IF(LN$1&lt;INDEX('Valo FX'!$Q:$Q,MATCH($A12,'Valo FX'!$A:$A,0)),0,IF(LN$1&lt;INDEX('Valo FX'!$R:$R,MATCH($A12,'Valo FX'!$A:$A,0)),INDEX(Base!$U:$U,MATCH($A12,Base!$A:$A,0)),IF(LN$1=INDEX('Valo FX'!$R:$R,MATCH($A12,'Valo FX'!$A:$A,0)),INDEX(Base!$V:$V,MATCH($A12,Base!$A:$A,0)),0)))</f>
        <v>0</v>
      </c>
      <c r="LO12" s="21">
        <f>IF(LO$1&lt;INDEX('Valo FX'!$Q:$Q,MATCH($A12,'Valo FX'!$A:$A,0)),0,IF(LO$1&lt;INDEX('Valo FX'!$R:$R,MATCH($A12,'Valo FX'!$A:$A,0)),INDEX(Base!$U:$U,MATCH($A12,Base!$A:$A,0)),IF(LO$1=INDEX('Valo FX'!$R:$R,MATCH($A12,'Valo FX'!$A:$A,0)),INDEX(Base!$V:$V,MATCH($A12,Base!$A:$A,0)),0)))</f>
        <v>0</v>
      </c>
      <c r="LP12" s="21">
        <f>IF(LP$1&lt;INDEX('Valo FX'!$Q:$Q,MATCH($A12,'Valo FX'!$A:$A,0)),0,IF(LP$1&lt;INDEX('Valo FX'!$R:$R,MATCH($A12,'Valo FX'!$A:$A,0)),INDEX(Base!$U:$U,MATCH($A12,Base!$A:$A,0)),IF(LP$1=INDEX('Valo FX'!$R:$R,MATCH($A12,'Valo FX'!$A:$A,0)),INDEX(Base!$V:$V,MATCH($A12,Base!$A:$A,0)),0)))</f>
        <v>0</v>
      </c>
      <c r="LQ12" s="21">
        <f>IF(LQ$1&lt;INDEX('Valo FX'!$Q:$Q,MATCH($A12,'Valo FX'!$A:$A,0)),0,IF(LQ$1&lt;INDEX('Valo FX'!$R:$R,MATCH($A12,'Valo FX'!$A:$A,0)),INDEX(Base!$U:$U,MATCH($A12,Base!$A:$A,0)),IF(LQ$1=INDEX('Valo FX'!$R:$R,MATCH($A12,'Valo FX'!$A:$A,0)),INDEX(Base!$V:$V,MATCH($A12,Base!$A:$A,0)),0)))</f>
        <v>0</v>
      </c>
      <c r="LR12" s="21">
        <f>IF(LR$1&lt;INDEX('Valo FX'!$Q:$Q,MATCH($A12,'Valo FX'!$A:$A,0)),0,IF(LR$1&lt;INDEX('Valo FX'!$R:$R,MATCH($A12,'Valo FX'!$A:$A,0)),INDEX(Base!$U:$U,MATCH($A12,Base!$A:$A,0)),IF(LR$1=INDEX('Valo FX'!$R:$R,MATCH($A12,'Valo FX'!$A:$A,0)),INDEX(Base!$V:$V,MATCH($A12,Base!$A:$A,0)),0)))</f>
        <v>0</v>
      </c>
      <c r="LS12" s="21">
        <f>IF(LS$1&lt;INDEX('Valo FX'!$Q:$Q,MATCH($A12,'Valo FX'!$A:$A,0)),0,IF(LS$1&lt;INDEX('Valo FX'!$R:$R,MATCH($A12,'Valo FX'!$A:$A,0)),INDEX(Base!$U:$U,MATCH($A12,Base!$A:$A,0)),IF(LS$1=INDEX('Valo FX'!$R:$R,MATCH($A12,'Valo FX'!$A:$A,0)),INDEX(Base!$V:$V,MATCH($A12,Base!$A:$A,0)),0)))</f>
        <v>0</v>
      </c>
      <c r="LT12" s="21">
        <f>IF(LT$1&lt;INDEX('Valo FX'!$Q:$Q,MATCH($A12,'Valo FX'!$A:$A,0)),0,IF(LT$1&lt;INDEX('Valo FX'!$R:$R,MATCH($A12,'Valo FX'!$A:$A,0)),INDEX(Base!$U:$U,MATCH($A12,Base!$A:$A,0)),IF(LT$1=INDEX('Valo FX'!$R:$R,MATCH($A12,'Valo FX'!$A:$A,0)),INDEX(Base!$V:$V,MATCH($A12,Base!$A:$A,0)),0)))</f>
        <v>0</v>
      </c>
      <c r="LU12" s="21">
        <f>IF(LU$1&lt;INDEX('Valo FX'!$Q:$Q,MATCH($A12,'Valo FX'!$A:$A,0)),0,IF(LU$1&lt;INDEX('Valo FX'!$R:$R,MATCH($A12,'Valo FX'!$A:$A,0)),INDEX(Base!$U:$U,MATCH($A12,Base!$A:$A,0)),IF(LU$1=INDEX('Valo FX'!$R:$R,MATCH($A12,'Valo FX'!$A:$A,0)),INDEX(Base!$V:$V,MATCH($A12,Base!$A:$A,0)),0)))</f>
        <v>0</v>
      </c>
      <c r="LV12" s="21">
        <f>IF(LV$1&lt;INDEX('Valo FX'!$Q:$Q,MATCH($A12,'Valo FX'!$A:$A,0)),0,IF(LV$1&lt;INDEX('Valo FX'!$R:$R,MATCH($A12,'Valo FX'!$A:$A,0)),INDEX(Base!$U:$U,MATCH($A12,Base!$A:$A,0)),IF(LV$1=INDEX('Valo FX'!$R:$R,MATCH($A12,'Valo FX'!$A:$A,0)),INDEX(Base!$V:$V,MATCH($A12,Base!$A:$A,0)),0)))</f>
        <v>0</v>
      </c>
      <c r="LW12" s="21">
        <f>IF(LW$1&lt;INDEX('Valo FX'!$Q:$Q,MATCH($A12,'Valo FX'!$A:$A,0)),0,IF(LW$1&lt;INDEX('Valo FX'!$R:$R,MATCH($A12,'Valo FX'!$A:$A,0)),INDEX(Base!$U:$U,MATCH($A12,Base!$A:$A,0)),IF(LW$1=INDEX('Valo FX'!$R:$R,MATCH($A12,'Valo FX'!$A:$A,0)),INDEX(Base!$V:$V,MATCH($A12,Base!$A:$A,0)),0)))</f>
        <v>0</v>
      </c>
      <c r="LX12" s="21">
        <f>IF(LX$1&lt;INDEX('Valo FX'!$Q:$Q,MATCH($A12,'Valo FX'!$A:$A,0)),0,IF(LX$1&lt;INDEX('Valo FX'!$R:$R,MATCH($A12,'Valo FX'!$A:$A,0)),INDEX(Base!$U:$U,MATCH($A12,Base!$A:$A,0)),IF(LX$1=INDEX('Valo FX'!$R:$R,MATCH($A12,'Valo FX'!$A:$A,0)),INDEX(Base!$V:$V,MATCH($A12,Base!$A:$A,0)),0)))</f>
        <v>0</v>
      </c>
      <c r="LY12" s="21">
        <f>IF(LY$1&lt;INDEX('Valo FX'!$Q:$Q,MATCH($A12,'Valo FX'!$A:$A,0)),0,IF(LY$1&lt;INDEX('Valo FX'!$R:$R,MATCH($A12,'Valo FX'!$A:$A,0)),INDEX(Base!$U:$U,MATCH($A12,Base!$A:$A,0)),IF(LY$1=INDEX('Valo FX'!$R:$R,MATCH($A12,'Valo FX'!$A:$A,0)),INDEX(Base!$V:$V,MATCH($A12,Base!$A:$A,0)),0)))</f>
        <v>0</v>
      </c>
      <c r="LZ12" s="21">
        <f>IF(LZ$1&lt;INDEX('Valo FX'!$Q:$Q,MATCH($A12,'Valo FX'!$A:$A,0)),0,IF(LZ$1&lt;INDEX('Valo FX'!$R:$R,MATCH($A12,'Valo FX'!$A:$A,0)),INDEX(Base!$U:$U,MATCH($A12,Base!$A:$A,0)),IF(LZ$1=INDEX('Valo FX'!$R:$R,MATCH($A12,'Valo FX'!$A:$A,0)),INDEX(Base!$V:$V,MATCH($A12,Base!$A:$A,0)),0)))</f>
        <v>0</v>
      </c>
      <c r="MA12" s="21">
        <f>IF(MA$1&lt;INDEX('Valo FX'!$Q:$Q,MATCH($A12,'Valo FX'!$A:$A,0)),0,IF(MA$1&lt;INDEX('Valo FX'!$R:$R,MATCH($A12,'Valo FX'!$A:$A,0)),INDEX(Base!$U:$U,MATCH($A12,Base!$A:$A,0)),IF(MA$1=INDEX('Valo FX'!$R:$R,MATCH($A12,'Valo FX'!$A:$A,0)),INDEX(Base!$V:$V,MATCH($A12,Base!$A:$A,0)),0)))</f>
        <v>0</v>
      </c>
      <c r="MB12" s="21">
        <f>IF(MB$1&lt;INDEX('Valo FX'!$Q:$Q,MATCH($A12,'Valo FX'!$A:$A,0)),0,IF(MB$1&lt;INDEX('Valo FX'!$R:$R,MATCH($A12,'Valo FX'!$A:$A,0)),INDEX(Base!$U:$U,MATCH($A12,Base!$A:$A,0)),IF(MB$1=INDEX('Valo FX'!$R:$R,MATCH($A12,'Valo FX'!$A:$A,0)),INDEX(Base!$V:$V,MATCH($A12,Base!$A:$A,0)),0)))</f>
        <v>0</v>
      </c>
      <c r="MC12" s="21">
        <f>IF(MC$1&lt;INDEX('Valo FX'!$Q:$Q,MATCH($A12,'Valo FX'!$A:$A,0)),0,IF(MC$1&lt;INDEX('Valo FX'!$R:$R,MATCH($A12,'Valo FX'!$A:$A,0)),INDEX(Base!$U:$U,MATCH($A12,Base!$A:$A,0)),IF(MC$1=INDEX('Valo FX'!$R:$R,MATCH($A12,'Valo FX'!$A:$A,0)),INDEX(Base!$V:$V,MATCH($A12,Base!$A:$A,0)),0)))</f>
        <v>0</v>
      </c>
      <c r="MD12" s="21">
        <f>IF(MD$1&lt;INDEX('Valo FX'!$Q:$Q,MATCH($A12,'Valo FX'!$A:$A,0)),0,IF(MD$1&lt;INDEX('Valo FX'!$R:$R,MATCH($A12,'Valo FX'!$A:$A,0)),INDEX(Base!$U:$U,MATCH($A12,Base!$A:$A,0)),IF(MD$1=INDEX('Valo FX'!$R:$R,MATCH($A12,'Valo FX'!$A:$A,0)),INDEX(Base!$V:$V,MATCH($A12,Base!$A:$A,0)),0)))</f>
        <v>0</v>
      </c>
      <c r="ME12" s="21">
        <f>IF(ME$1&lt;INDEX('Valo FX'!$Q:$Q,MATCH($A12,'Valo FX'!$A:$A,0)),0,IF(ME$1&lt;INDEX('Valo FX'!$R:$R,MATCH($A12,'Valo FX'!$A:$A,0)),INDEX(Base!$U:$U,MATCH($A12,Base!$A:$A,0)),IF(ME$1=INDEX('Valo FX'!$R:$R,MATCH($A12,'Valo FX'!$A:$A,0)),INDEX(Base!$V:$V,MATCH($A12,Base!$A:$A,0)),0)))</f>
        <v>0</v>
      </c>
      <c r="MF12" s="21">
        <f>IF(MF$1&lt;INDEX('Valo FX'!$Q:$Q,MATCH($A12,'Valo FX'!$A:$A,0)),0,IF(MF$1&lt;INDEX('Valo FX'!$R:$R,MATCH($A12,'Valo FX'!$A:$A,0)),INDEX(Base!$U:$U,MATCH($A12,Base!$A:$A,0)),IF(MF$1=INDEX('Valo FX'!$R:$R,MATCH($A12,'Valo FX'!$A:$A,0)),INDEX(Base!$V:$V,MATCH($A12,Base!$A:$A,0)),0)))</f>
        <v>0</v>
      </c>
      <c r="MG12" s="21">
        <f>IF(MG$1&lt;INDEX('Valo FX'!$Q:$Q,MATCH($A12,'Valo FX'!$A:$A,0)),0,IF(MG$1&lt;INDEX('Valo FX'!$R:$R,MATCH($A12,'Valo FX'!$A:$A,0)),INDEX(Base!$U:$U,MATCH($A12,Base!$A:$A,0)),IF(MG$1=INDEX('Valo FX'!$R:$R,MATCH($A12,'Valo FX'!$A:$A,0)),INDEX(Base!$V:$V,MATCH($A12,Base!$A:$A,0)),0)))</f>
        <v>0</v>
      </c>
      <c r="MH12" s="21">
        <f>IF(MH$1&lt;INDEX('Valo FX'!$Q:$Q,MATCH($A12,'Valo FX'!$A:$A,0)),0,IF(MH$1&lt;INDEX('Valo FX'!$R:$R,MATCH($A12,'Valo FX'!$A:$A,0)),INDEX(Base!$U:$U,MATCH($A12,Base!$A:$A,0)),IF(MH$1=INDEX('Valo FX'!$R:$R,MATCH($A12,'Valo FX'!$A:$A,0)),INDEX(Base!$V:$V,MATCH($A12,Base!$A:$A,0)),0)))</f>
        <v>0</v>
      </c>
      <c r="MI12" s="21">
        <f>IF(MI$1&lt;INDEX('Valo FX'!$Q:$Q,MATCH($A12,'Valo FX'!$A:$A,0)),0,IF(MI$1&lt;INDEX('Valo FX'!$R:$R,MATCH($A12,'Valo FX'!$A:$A,0)),INDEX(Base!$U:$U,MATCH($A12,Base!$A:$A,0)),IF(MI$1=INDEX('Valo FX'!$R:$R,MATCH($A12,'Valo FX'!$A:$A,0)),INDEX(Base!$V:$V,MATCH($A12,Base!$A:$A,0)),0)))</f>
        <v>0</v>
      </c>
      <c r="MJ12" s="21">
        <f>IF(MJ$1&lt;INDEX('Valo FX'!$Q:$Q,MATCH($A12,'Valo FX'!$A:$A,0)),0,IF(MJ$1&lt;INDEX('Valo FX'!$R:$R,MATCH($A12,'Valo FX'!$A:$A,0)),INDEX(Base!$U:$U,MATCH($A12,Base!$A:$A,0)),IF(MJ$1=INDEX('Valo FX'!$R:$R,MATCH($A12,'Valo FX'!$A:$A,0)),INDEX(Base!$V:$V,MATCH($A12,Base!$A:$A,0)),0)))</f>
        <v>0</v>
      </c>
      <c r="MK12" s="21">
        <f>IF(MK$1&lt;INDEX('Valo FX'!$Q:$Q,MATCH($A12,'Valo FX'!$A:$A,0)),0,IF(MK$1&lt;INDEX('Valo FX'!$R:$R,MATCH($A12,'Valo FX'!$A:$A,0)),INDEX(Base!$U:$U,MATCH($A12,Base!$A:$A,0)),IF(MK$1=INDEX('Valo FX'!$R:$R,MATCH($A12,'Valo FX'!$A:$A,0)),INDEX(Base!$V:$V,MATCH($A12,Base!$A:$A,0)),0)))</f>
        <v>0</v>
      </c>
      <c r="ML12" s="21">
        <f>IF(ML$1&lt;INDEX('Valo FX'!$Q:$Q,MATCH($A12,'Valo FX'!$A:$A,0)),0,IF(ML$1&lt;INDEX('Valo FX'!$R:$R,MATCH($A12,'Valo FX'!$A:$A,0)),INDEX(Base!$U:$U,MATCH($A12,Base!$A:$A,0)),IF(ML$1=INDEX('Valo FX'!$R:$R,MATCH($A12,'Valo FX'!$A:$A,0)),INDEX(Base!$V:$V,MATCH($A12,Base!$A:$A,0)),0)))</f>
        <v>0</v>
      </c>
      <c r="MM12" s="21">
        <f>IF(MM$1&lt;INDEX('Valo FX'!$Q:$Q,MATCH($A12,'Valo FX'!$A:$A,0)),0,IF(MM$1&lt;INDEX('Valo FX'!$R:$R,MATCH($A12,'Valo FX'!$A:$A,0)),INDEX(Base!$U:$U,MATCH($A12,Base!$A:$A,0)),IF(MM$1=INDEX('Valo FX'!$R:$R,MATCH($A12,'Valo FX'!$A:$A,0)),INDEX(Base!$V:$V,MATCH($A12,Base!$A:$A,0)),0)))</f>
        <v>0</v>
      </c>
      <c r="MN12" s="21">
        <f>IF(MN$1&lt;INDEX('Valo FX'!$Q:$Q,MATCH($A12,'Valo FX'!$A:$A,0)),0,IF(MN$1&lt;INDEX('Valo FX'!$R:$R,MATCH($A12,'Valo FX'!$A:$A,0)),INDEX(Base!$U:$U,MATCH($A12,Base!$A:$A,0)),IF(MN$1=INDEX('Valo FX'!$R:$R,MATCH($A12,'Valo FX'!$A:$A,0)),INDEX(Base!$V:$V,MATCH($A12,Base!$A:$A,0)),0)))</f>
        <v>0</v>
      </c>
      <c r="MO12" s="21">
        <f>IF(MO$1&lt;INDEX('Valo FX'!$Q:$Q,MATCH($A12,'Valo FX'!$A:$A,0)),0,IF(MO$1&lt;INDEX('Valo FX'!$R:$R,MATCH($A12,'Valo FX'!$A:$A,0)),INDEX(Base!$U:$U,MATCH($A12,Base!$A:$A,0)),IF(MO$1=INDEX('Valo FX'!$R:$R,MATCH($A12,'Valo FX'!$A:$A,0)),INDEX(Base!$V:$V,MATCH($A12,Base!$A:$A,0)),0)))</f>
        <v>0</v>
      </c>
      <c r="MP12" s="21">
        <f>IF(MP$1&lt;INDEX('Valo FX'!$Q:$Q,MATCH($A12,'Valo FX'!$A:$A,0)),0,IF(MP$1&lt;INDEX('Valo FX'!$R:$R,MATCH($A12,'Valo FX'!$A:$A,0)),INDEX(Base!$U:$U,MATCH($A12,Base!$A:$A,0)),IF(MP$1=INDEX('Valo FX'!$R:$R,MATCH($A12,'Valo FX'!$A:$A,0)),INDEX(Base!$V:$V,MATCH($A12,Base!$A:$A,0)),0)))</f>
        <v>0</v>
      </c>
      <c r="MQ12" s="21">
        <f>IF(MQ$1&lt;INDEX('Valo FX'!$Q:$Q,MATCH($A12,'Valo FX'!$A:$A,0)),0,IF(MQ$1&lt;INDEX('Valo FX'!$R:$R,MATCH($A12,'Valo FX'!$A:$A,0)),INDEX(Base!$U:$U,MATCH($A12,Base!$A:$A,0)),IF(MQ$1=INDEX('Valo FX'!$R:$R,MATCH($A12,'Valo FX'!$A:$A,0)),INDEX(Base!$V:$V,MATCH($A12,Base!$A:$A,0)),0)))</f>
        <v>0</v>
      </c>
      <c r="MR12" s="21">
        <f>IF(MR$1&lt;INDEX('Valo FX'!$Q:$Q,MATCH($A12,'Valo FX'!$A:$A,0)),0,IF(MR$1&lt;INDEX('Valo FX'!$R:$R,MATCH($A12,'Valo FX'!$A:$A,0)),INDEX(Base!$U:$U,MATCH($A12,Base!$A:$A,0)),IF(MR$1=INDEX('Valo FX'!$R:$R,MATCH($A12,'Valo FX'!$A:$A,0)),INDEX(Base!$V:$V,MATCH($A12,Base!$A:$A,0)),0)))</f>
        <v>0</v>
      </c>
      <c r="MS12" s="21">
        <f>IF(MS$1&lt;INDEX('Valo FX'!$Q:$Q,MATCH($A12,'Valo FX'!$A:$A,0)),0,IF(MS$1&lt;INDEX('Valo FX'!$R:$R,MATCH($A12,'Valo FX'!$A:$A,0)),INDEX(Base!$U:$U,MATCH($A12,Base!$A:$A,0)),IF(MS$1=INDEX('Valo FX'!$R:$R,MATCH($A12,'Valo FX'!$A:$A,0)),INDEX(Base!$V:$V,MATCH($A12,Base!$A:$A,0)),0)))</f>
        <v>0</v>
      </c>
      <c r="MT12" s="21">
        <f>IF(MT$1&lt;INDEX('Valo FX'!$Q:$Q,MATCH($A12,'Valo FX'!$A:$A,0)),0,IF(MT$1&lt;INDEX('Valo FX'!$R:$R,MATCH($A12,'Valo FX'!$A:$A,0)),INDEX(Base!$U:$U,MATCH($A12,Base!$A:$A,0)),IF(MT$1=INDEX('Valo FX'!$R:$R,MATCH($A12,'Valo FX'!$A:$A,0)),INDEX(Base!$V:$V,MATCH($A12,Base!$A:$A,0)),0)))</f>
        <v>0</v>
      </c>
      <c r="MU12" s="21">
        <f>IF(MU$1&lt;INDEX('Valo FX'!$Q:$Q,MATCH($A12,'Valo FX'!$A:$A,0)),0,IF(MU$1&lt;INDEX('Valo FX'!$R:$R,MATCH($A12,'Valo FX'!$A:$A,0)),INDEX(Base!$U:$U,MATCH($A12,Base!$A:$A,0)),IF(MU$1=INDEX('Valo FX'!$R:$R,MATCH($A12,'Valo FX'!$A:$A,0)),INDEX(Base!$V:$V,MATCH($A12,Base!$A:$A,0)),0)))</f>
        <v>0</v>
      </c>
      <c r="MV12" s="21">
        <f>IF(MV$1&lt;INDEX('Valo FX'!$Q:$Q,MATCH($A12,'Valo FX'!$A:$A,0)),0,IF(MV$1&lt;INDEX('Valo FX'!$R:$R,MATCH($A12,'Valo FX'!$A:$A,0)),INDEX(Base!$U:$U,MATCH($A12,Base!$A:$A,0)),IF(MV$1=INDEX('Valo FX'!$R:$R,MATCH($A12,'Valo FX'!$A:$A,0)),INDEX(Base!$V:$V,MATCH($A12,Base!$A:$A,0)),0)))</f>
        <v>0</v>
      </c>
      <c r="MW12" s="21">
        <f>IF(MW$1&lt;INDEX('Valo FX'!$Q:$Q,MATCH($A12,'Valo FX'!$A:$A,0)),0,IF(MW$1&lt;INDEX('Valo FX'!$R:$R,MATCH($A12,'Valo FX'!$A:$A,0)),INDEX(Base!$U:$U,MATCH($A12,Base!$A:$A,0)),IF(MW$1=INDEX('Valo FX'!$R:$R,MATCH($A12,'Valo FX'!$A:$A,0)),INDEX(Base!$V:$V,MATCH($A12,Base!$A:$A,0)),0)))</f>
        <v>0</v>
      </c>
      <c r="MX12" s="21">
        <f>IF(MX$1&lt;INDEX('Valo FX'!$Q:$Q,MATCH($A12,'Valo FX'!$A:$A,0)),0,IF(MX$1&lt;INDEX('Valo FX'!$R:$R,MATCH($A12,'Valo FX'!$A:$A,0)),INDEX(Base!$U:$U,MATCH($A12,Base!$A:$A,0)),IF(MX$1=INDEX('Valo FX'!$R:$R,MATCH($A12,'Valo FX'!$A:$A,0)),INDEX(Base!$V:$V,MATCH($A12,Base!$A:$A,0)),0)))</f>
        <v>0</v>
      </c>
      <c r="MY12" s="21">
        <f>IF(MY$1&lt;INDEX('Valo FX'!$Q:$Q,MATCH($A12,'Valo FX'!$A:$A,0)),0,IF(MY$1&lt;INDEX('Valo FX'!$R:$R,MATCH($A12,'Valo FX'!$A:$A,0)),INDEX(Base!$U:$U,MATCH($A12,Base!$A:$A,0)),IF(MY$1=INDEX('Valo FX'!$R:$R,MATCH($A12,'Valo FX'!$A:$A,0)),INDEX(Base!$V:$V,MATCH($A12,Base!$A:$A,0)),0)))</f>
        <v>0</v>
      </c>
    </row>
    <row r="13" spans="1:363" x14ac:dyDescent="0.25">
      <c r="A13" s="7">
        <f>+'Valo FX'!A14</f>
        <v>11</v>
      </c>
      <c r="B13" s="59">
        <f>-'Valo FX'!T14</f>
        <v>-1666.9943725629955</v>
      </c>
      <c r="C13" s="21">
        <f>IF(C$1&lt;INDEX('Valo FX'!$Q:$Q,MATCH($A13,'Valo FX'!$A:$A,0)),0,IF(C$1&lt;INDEX('Valo FX'!$R:$R,MATCH($A13,'Valo FX'!$A:$A,0)),INDEX(Base!$U:$U,MATCH($A13,Base!$A:$A,0)),IF(C$1=INDEX('Valo FX'!$R:$R,MATCH($A13,'Valo FX'!$A:$A,0)),INDEX(Base!$V:$V,MATCH($A13,Base!$A:$A,0)),0)))</f>
        <v>0</v>
      </c>
      <c r="D13" s="21">
        <f>IF(D$1&lt;INDEX('Valo FX'!$Q:$Q,MATCH($A13,'Valo FX'!$A:$A,0)),0,IF(D$1&lt;INDEX('Valo FX'!$R:$R,MATCH($A13,'Valo FX'!$A:$A,0)),INDEX(Base!$U:$U,MATCH($A13,Base!$A:$A,0)),IF(D$1=INDEX('Valo FX'!$R:$R,MATCH($A13,'Valo FX'!$A:$A,0)),INDEX(Base!$V:$V,MATCH($A13,Base!$A:$A,0)),0)))</f>
        <v>0</v>
      </c>
      <c r="E13" s="21">
        <f>IF(E$1&lt;INDEX('Valo FX'!$Q:$Q,MATCH($A13,'Valo FX'!$A:$A,0)),0,IF(E$1&lt;INDEX('Valo FX'!$R:$R,MATCH($A13,'Valo FX'!$A:$A,0)),INDEX(Base!$U:$U,MATCH($A13,Base!$A:$A,0)),IF(E$1=INDEX('Valo FX'!$R:$R,MATCH($A13,'Valo FX'!$A:$A,0)),INDEX(Base!$V:$V,MATCH($A13,Base!$A:$A,0)),0)))</f>
        <v>0</v>
      </c>
      <c r="F13" s="21">
        <f>IF(F$1&lt;INDEX('Valo FX'!$Q:$Q,MATCH($A13,'Valo FX'!$A:$A,0)),0,IF(F$1&lt;INDEX('Valo FX'!$R:$R,MATCH($A13,'Valo FX'!$A:$A,0)),INDEX(Base!$U:$U,MATCH($A13,Base!$A:$A,0)),IF(F$1=INDEX('Valo FX'!$R:$R,MATCH($A13,'Valo FX'!$A:$A,0)),INDEX(Base!$V:$V,MATCH($A13,Base!$A:$A,0)),0)))</f>
        <v>0</v>
      </c>
      <c r="G13" s="21">
        <f>IF(G$1&lt;INDEX('Valo FX'!$Q:$Q,MATCH($A13,'Valo FX'!$A:$A,0)),0,IF(G$1&lt;INDEX('Valo FX'!$R:$R,MATCH($A13,'Valo FX'!$A:$A,0)),INDEX(Base!$U:$U,MATCH($A13,Base!$A:$A,0)),IF(G$1=INDEX('Valo FX'!$R:$R,MATCH($A13,'Valo FX'!$A:$A,0)),INDEX(Base!$V:$V,MATCH($A13,Base!$A:$A,0)),0)))</f>
        <v>0</v>
      </c>
      <c r="H13" s="21">
        <f>IF(H$1&lt;INDEX('Valo FX'!$Q:$Q,MATCH($A13,'Valo FX'!$A:$A,0)),0,IF(H$1&lt;INDEX('Valo FX'!$R:$R,MATCH($A13,'Valo FX'!$A:$A,0)),INDEX(Base!$U:$U,MATCH($A13,Base!$A:$A,0)),IF(H$1=INDEX('Valo FX'!$R:$R,MATCH($A13,'Valo FX'!$A:$A,0)),INDEX(Base!$V:$V,MATCH($A13,Base!$A:$A,0)),0)))</f>
        <v>11.621169999999999</v>
      </c>
      <c r="I13" s="21">
        <f>IF(I$1&lt;INDEX('Valo FX'!$Q:$Q,MATCH($A13,'Valo FX'!$A:$A,0)),0,IF(I$1&lt;INDEX('Valo FX'!$R:$R,MATCH($A13,'Valo FX'!$A:$A,0)),INDEX(Base!$U:$U,MATCH($A13,Base!$A:$A,0)),IF(I$1=INDEX('Valo FX'!$R:$R,MATCH($A13,'Valo FX'!$A:$A,0)),INDEX(Base!$V:$V,MATCH($A13,Base!$A:$A,0)),0)))</f>
        <v>11.621169999999999</v>
      </c>
      <c r="J13" s="21">
        <f>IF(J$1&lt;INDEX('Valo FX'!$Q:$Q,MATCH($A13,'Valo FX'!$A:$A,0)),0,IF(J$1&lt;INDEX('Valo FX'!$R:$R,MATCH($A13,'Valo FX'!$A:$A,0)),INDEX(Base!$U:$U,MATCH($A13,Base!$A:$A,0)),IF(J$1=INDEX('Valo FX'!$R:$R,MATCH($A13,'Valo FX'!$A:$A,0)),INDEX(Base!$V:$V,MATCH($A13,Base!$A:$A,0)),0)))</f>
        <v>11.621169999999999</v>
      </c>
      <c r="K13" s="21">
        <f>IF(K$1&lt;INDEX('Valo FX'!$Q:$Q,MATCH($A13,'Valo FX'!$A:$A,0)),0,IF(K$1&lt;INDEX('Valo FX'!$R:$R,MATCH($A13,'Valo FX'!$A:$A,0)),INDEX(Base!$U:$U,MATCH($A13,Base!$A:$A,0)),IF(K$1=INDEX('Valo FX'!$R:$R,MATCH($A13,'Valo FX'!$A:$A,0)),INDEX(Base!$V:$V,MATCH($A13,Base!$A:$A,0)),0)))</f>
        <v>11.621169999999999</v>
      </c>
      <c r="L13" s="21">
        <f>IF(L$1&lt;INDEX('Valo FX'!$Q:$Q,MATCH($A13,'Valo FX'!$A:$A,0)),0,IF(L$1&lt;INDEX('Valo FX'!$R:$R,MATCH($A13,'Valo FX'!$A:$A,0)),INDEX(Base!$U:$U,MATCH($A13,Base!$A:$A,0)),IF(L$1=INDEX('Valo FX'!$R:$R,MATCH($A13,'Valo FX'!$A:$A,0)),INDEX(Base!$V:$V,MATCH($A13,Base!$A:$A,0)),0)))</f>
        <v>11.621169999999999</v>
      </c>
      <c r="M13" s="21">
        <f>IF(M$1&lt;INDEX('Valo FX'!$Q:$Q,MATCH($A13,'Valo FX'!$A:$A,0)),0,IF(M$1&lt;INDEX('Valo FX'!$R:$R,MATCH($A13,'Valo FX'!$A:$A,0)),INDEX(Base!$U:$U,MATCH($A13,Base!$A:$A,0)),IF(M$1=INDEX('Valo FX'!$R:$R,MATCH($A13,'Valo FX'!$A:$A,0)),INDEX(Base!$V:$V,MATCH($A13,Base!$A:$A,0)),0)))</f>
        <v>11.621169999999999</v>
      </c>
      <c r="N13" s="21">
        <f>IF(N$1&lt;INDEX('Valo FX'!$Q:$Q,MATCH($A13,'Valo FX'!$A:$A,0)),0,IF(N$1&lt;INDEX('Valo FX'!$R:$R,MATCH($A13,'Valo FX'!$A:$A,0)),INDEX(Base!$U:$U,MATCH($A13,Base!$A:$A,0)),IF(N$1=INDEX('Valo FX'!$R:$R,MATCH($A13,'Valo FX'!$A:$A,0)),INDEX(Base!$V:$V,MATCH($A13,Base!$A:$A,0)),0)))</f>
        <v>11.621169999999999</v>
      </c>
      <c r="O13" s="21">
        <f>IF(O$1&lt;INDEX('Valo FX'!$Q:$Q,MATCH($A13,'Valo FX'!$A:$A,0)),0,IF(O$1&lt;INDEX('Valo FX'!$R:$R,MATCH($A13,'Valo FX'!$A:$A,0)),INDEX(Base!$U:$U,MATCH($A13,Base!$A:$A,0)),IF(O$1=INDEX('Valo FX'!$R:$R,MATCH($A13,'Valo FX'!$A:$A,0)),INDEX(Base!$V:$V,MATCH($A13,Base!$A:$A,0)),0)))</f>
        <v>11.621169999999999</v>
      </c>
      <c r="P13" s="21">
        <f>IF(P$1&lt;INDEX('Valo FX'!$Q:$Q,MATCH($A13,'Valo FX'!$A:$A,0)),0,IF(P$1&lt;INDEX('Valo FX'!$R:$R,MATCH($A13,'Valo FX'!$A:$A,0)),INDEX(Base!$U:$U,MATCH($A13,Base!$A:$A,0)),IF(P$1=INDEX('Valo FX'!$R:$R,MATCH($A13,'Valo FX'!$A:$A,0)),INDEX(Base!$V:$V,MATCH($A13,Base!$A:$A,0)),0)))</f>
        <v>11.621169999999999</v>
      </c>
      <c r="Q13" s="21">
        <f>IF(Q$1&lt;INDEX('Valo FX'!$Q:$Q,MATCH($A13,'Valo FX'!$A:$A,0)),0,IF(Q$1&lt;INDEX('Valo FX'!$R:$R,MATCH($A13,'Valo FX'!$A:$A,0)),INDEX(Base!$U:$U,MATCH($A13,Base!$A:$A,0)),IF(Q$1=INDEX('Valo FX'!$R:$R,MATCH($A13,'Valo FX'!$A:$A,0)),INDEX(Base!$V:$V,MATCH($A13,Base!$A:$A,0)),0)))</f>
        <v>11.621169999999999</v>
      </c>
      <c r="R13" s="21">
        <f>IF(R$1&lt;INDEX('Valo FX'!$Q:$Q,MATCH($A13,'Valo FX'!$A:$A,0)),0,IF(R$1&lt;INDEX('Valo FX'!$R:$R,MATCH($A13,'Valo FX'!$A:$A,0)),INDEX(Base!$U:$U,MATCH($A13,Base!$A:$A,0)),IF(R$1=INDEX('Valo FX'!$R:$R,MATCH($A13,'Valo FX'!$A:$A,0)),INDEX(Base!$V:$V,MATCH($A13,Base!$A:$A,0)),0)))</f>
        <v>11.621169999999999</v>
      </c>
      <c r="S13" s="21">
        <f>IF(S$1&lt;INDEX('Valo FX'!$Q:$Q,MATCH($A13,'Valo FX'!$A:$A,0)),0,IF(S$1&lt;INDEX('Valo FX'!$R:$R,MATCH($A13,'Valo FX'!$A:$A,0)),INDEX(Base!$U:$U,MATCH($A13,Base!$A:$A,0)),IF(S$1=INDEX('Valo FX'!$R:$R,MATCH($A13,'Valo FX'!$A:$A,0)),INDEX(Base!$V:$V,MATCH($A13,Base!$A:$A,0)),0)))</f>
        <v>11.621169999999999</v>
      </c>
      <c r="T13" s="21">
        <f>IF(T$1&lt;INDEX('Valo FX'!$Q:$Q,MATCH($A13,'Valo FX'!$A:$A,0)),0,IF(T$1&lt;INDEX('Valo FX'!$R:$R,MATCH($A13,'Valo FX'!$A:$A,0)),INDEX(Base!$U:$U,MATCH($A13,Base!$A:$A,0)),IF(T$1=INDEX('Valo FX'!$R:$R,MATCH($A13,'Valo FX'!$A:$A,0)),INDEX(Base!$V:$V,MATCH($A13,Base!$A:$A,0)),0)))</f>
        <v>11.621169999999999</v>
      </c>
      <c r="U13" s="21">
        <f>IF(U$1&lt;INDEX('Valo FX'!$Q:$Q,MATCH($A13,'Valo FX'!$A:$A,0)),0,IF(U$1&lt;INDEX('Valo FX'!$R:$R,MATCH($A13,'Valo FX'!$A:$A,0)),INDEX(Base!$U:$U,MATCH($A13,Base!$A:$A,0)),IF(U$1=INDEX('Valo FX'!$R:$R,MATCH($A13,'Valo FX'!$A:$A,0)),INDEX(Base!$V:$V,MATCH($A13,Base!$A:$A,0)),0)))</f>
        <v>11.621169999999999</v>
      </c>
      <c r="V13" s="21">
        <f>IF(V$1&lt;INDEX('Valo FX'!$Q:$Q,MATCH($A13,'Valo FX'!$A:$A,0)),0,IF(V$1&lt;INDEX('Valo FX'!$R:$R,MATCH($A13,'Valo FX'!$A:$A,0)),INDEX(Base!$U:$U,MATCH($A13,Base!$A:$A,0)),IF(V$1=INDEX('Valo FX'!$R:$R,MATCH($A13,'Valo FX'!$A:$A,0)),INDEX(Base!$V:$V,MATCH($A13,Base!$A:$A,0)),0)))</f>
        <v>11.621169999999999</v>
      </c>
      <c r="W13" s="21">
        <f>IF(W$1&lt;INDEX('Valo FX'!$Q:$Q,MATCH($A13,'Valo FX'!$A:$A,0)),0,IF(W$1&lt;INDEX('Valo FX'!$R:$R,MATCH($A13,'Valo FX'!$A:$A,0)),INDEX(Base!$U:$U,MATCH($A13,Base!$A:$A,0)),IF(W$1=INDEX('Valo FX'!$R:$R,MATCH($A13,'Valo FX'!$A:$A,0)),INDEX(Base!$V:$V,MATCH($A13,Base!$A:$A,0)),0)))</f>
        <v>11.621169999999999</v>
      </c>
      <c r="X13" s="21">
        <f>IF(X$1&lt;INDEX('Valo FX'!$Q:$Q,MATCH($A13,'Valo FX'!$A:$A,0)),0,IF(X$1&lt;INDEX('Valo FX'!$R:$R,MATCH($A13,'Valo FX'!$A:$A,0)),INDEX(Base!$U:$U,MATCH($A13,Base!$A:$A,0)),IF(X$1=INDEX('Valo FX'!$R:$R,MATCH($A13,'Valo FX'!$A:$A,0)),INDEX(Base!$V:$V,MATCH($A13,Base!$A:$A,0)),0)))</f>
        <v>11.621169999999999</v>
      </c>
      <c r="Y13" s="21">
        <f>IF(Y$1&lt;INDEX('Valo FX'!$Q:$Q,MATCH($A13,'Valo FX'!$A:$A,0)),0,IF(Y$1&lt;INDEX('Valo FX'!$R:$R,MATCH($A13,'Valo FX'!$A:$A,0)),INDEX(Base!$U:$U,MATCH($A13,Base!$A:$A,0)),IF(Y$1=INDEX('Valo FX'!$R:$R,MATCH($A13,'Valo FX'!$A:$A,0)),INDEX(Base!$V:$V,MATCH($A13,Base!$A:$A,0)),0)))</f>
        <v>11.621169999999999</v>
      </c>
      <c r="Z13" s="21">
        <f>IF(Z$1&lt;INDEX('Valo FX'!$Q:$Q,MATCH($A13,'Valo FX'!$A:$A,0)),0,IF(Z$1&lt;INDEX('Valo FX'!$R:$R,MATCH($A13,'Valo FX'!$A:$A,0)),INDEX(Base!$U:$U,MATCH($A13,Base!$A:$A,0)),IF(Z$1=INDEX('Valo FX'!$R:$R,MATCH($A13,'Valo FX'!$A:$A,0)),INDEX(Base!$V:$V,MATCH($A13,Base!$A:$A,0)),0)))</f>
        <v>11.621169999999999</v>
      </c>
      <c r="AA13" s="21">
        <f>IF(AA$1&lt;INDEX('Valo FX'!$Q:$Q,MATCH($A13,'Valo FX'!$A:$A,0)),0,IF(AA$1&lt;INDEX('Valo FX'!$R:$R,MATCH($A13,'Valo FX'!$A:$A,0)),INDEX(Base!$U:$U,MATCH($A13,Base!$A:$A,0)),IF(AA$1=INDEX('Valo FX'!$R:$R,MATCH($A13,'Valo FX'!$A:$A,0)),INDEX(Base!$V:$V,MATCH($A13,Base!$A:$A,0)),0)))</f>
        <v>11.621169999999999</v>
      </c>
      <c r="AB13" s="21">
        <f>IF(AB$1&lt;INDEX('Valo FX'!$Q:$Q,MATCH($A13,'Valo FX'!$A:$A,0)),0,IF(AB$1&lt;INDEX('Valo FX'!$R:$R,MATCH($A13,'Valo FX'!$A:$A,0)),INDEX(Base!$U:$U,MATCH($A13,Base!$A:$A,0)),IF(AB$1=INDEX('Valo FX'!$R:$R,MATCH($A13,'Valo FX'!$A:$A,0)),INDEX(Base!$V:$V,MATCH($A13,Base!$A:$A,0)),0)))</f>
        <v>11.621169999999999</v>
      </c>
      <c r="AC13" s="21">
        <f>IF(AC$1&lt;INDEX('Valo FX'!$Q:$Q,MATCH($A13,'Valo FX'!$A:$A,0)),0,IF(AC$1&lt;INDEX('Valo FX'!$R:$R,MATCH($A13,'Valo FX'!$A:$A,0)),INDEX(Base!$U:$U,MATCH($A13,Base!$A:$A,0)),IF(AC$1=INDEX('Valo FX'!$R:$R,MATCH($A13,'Valo FX'!$A:$A,0)),INDEX(Base!$V:$V,MATCH($A13,Base!$A:$A,0)),0)))</f>
        <v>11.621169999999999</v>
      </c>
      <c r="AD13" s="21">
        <f>IF(AD$1&lt;INDEX('Valo FX'!$Q:$Q,MATCH($A13,'Valo FX'!$A:$A,0)),0,IF(AD$1&lt;INDEX('Valo FX'!$R:$R,MATCH($A13,'Valo FX'!$A:$A,0)),INDEX(Base!$U:$U,MATCH($A13,Base!$A:$A,0)),IF(AD$1=INDEX('Valo FX'!$R:$R,MATCH($A13,'Valo FX'!$A:$A,0)),INDEX(Base!$V:$V,MATCH($A13,Base!$A:$A,0)),0)))</f>
        <v>11.621169999999999</v>
      </c>
      <c r="AE13" s="21">
        <f>IF(AE$1&lt;INDEX('Valo FX'!$Q:$Q,MATCH($A13,'Valo FX'!$A:$A,0)),0,IF(AE$1&lt;INDEX('Valo FX'!$R:$R,MATCH($A13,'Valo FX'!$A:$A,0)),INDEX(Base!$U:$U,MATCH($A13,Base!$A:$A,0)),IF(AE$1=INDEX('Valo FX'!$R:$R,MATCH($A13,'Valo FX'!$A:$A,0)),INDEX(Base!$V:$V,MATCH($A13,Base!$A:$A,0)),0)))</f>
        <v>11.621169999999999</v>
      </c>
      <c r="AF13" s="21">
        <f>IF(AF$1&lt;INDEX('Valo FX'!$Q:$Q,MATCH($A13,'Valo FX'!$A:$A,0)),0,IF(AF$1&lt;INDEX('Valo FX'!$R:$R,MATCH($A13,'Valo FX'!$A:$A,0)),INDEX(Base!$U:$U,MATCH($A13,Base!$A:$A,0)),IF(AF$1=INDEX('Valo FX'!$R:$R,MATCH($A13,'Valo FX'!$A:$A,0)),INDEX(Base!$V:$V,MATCH($A13,Base!$A:$A,0)),0)))</f>
        <v>11.621169999999999</v>
      </c>
      <c r="AG13" s="21">
        <f>IF(AG$1&lt;INDEX('Valo FX'!$Q:$Q,MATCH($A13,'Valo FX'!$A:$A,0)),0,IF(AG$1&lt;INDEX('Valo FX'!$R:$R,MATCH($A13,'Valo FX'!$A:$A,0)),INDEX(Base!$U:$U,MATCH($A13,Base!$A:$A,0)),IF(AG$1=INDEX('Valo FX'!$R:$R,MATCH($A13,'Valo FX'!$A:$A,0)),INDEX(Base!$V:$V,MATCH($A13,Base!$A:$A,0)),0)))</f>
        <v>11.621169999999999</v>
      </c>
      <c r="AH13" s="21">
        <f>IF(AH$1&lt;INDEX('Valo FX'!$Q:$Q,MATCH($A13,'Valo FX'!$A:$A,0)),0,IF(AH$1&lt;INDEX('Valo FX'!$R:$R,MATCH($A13,'Valo FX'!$A:$A,0)),INDEX(Base!$U:$U,MATCH($A13,Base!$A:$A,0)),IF(AH$1=INDEX('Valo FX'!$R:$R,MATCH($A13,'Valo FX'!$A:$A,0)),INDEX(Base!$V:$V,MATCH($A13,Base!$A:$A,0)),0)))</f>
        <v>11.621169999999999</v>
      </c>
      <c r="AI13" s="21">
        <f>IF(AI$1&lt;INDEX('Valo FX'!$Q:$Q,MATCH($A13,'Valo FX'!$A:$A,0)),0,IF(AI$1&lt;INDEX('Valo FX'!$R:$R,MATCH($A13,'Valo FX'!$A:$A,0)),INDEX(Base!$U:$U,MATCH($A13,Base!$A:$A,0)),IF(AI$1=INDEX('Valo FX'!$R:$R,MATCH($A13,'Valo FX'!$A:$A,0)),INDEX(Base!$V:$V,MATCH($A13,Base!$A:$A,0)),0)))</f>
        <v>11.621169999999999</v>
      </c>
      <c r="AJ13" s="21">
        <f>IF(AJ$1&lt;INDEX('Valo FX'!$Q:$Q,MATCH($A13,'Valo FX'!$A:$A,0)),0,IF(AJ$1&lt;INDEX('Valo FX'!$R:$R,MATCH($A13,'Valo FX'!$A:$A,0)),INDEX(Base!$U:$U,MATCH($A13,Base!$A:$A,0)),IF(AJ$1=INDEX('Valo FX'!$R:$R,MATCH($A13,'Valo FX'!$A:$A,0)),INDEX(Base!$V:$V,MATCH($A13,Base!$A:$A,0)),0)))</f>
        <v>11.621169999999999</v>
      </c>
      <c r="AK13" s="21">
        <f>IF(AK$1&lt;INDEX('Valo FX'!$Q:$Q,MATCH($A13,'Valo FX'!$A:$A,0)),0,IF(AK$1&lt;INDEX('Valo FX'!$R:$R,MATCH($A13,'Valo FX'!$A:$A,0)),INDEX(Base!$U:$U,MATCH($A13,Base!$A:$A,0)),IF(AK$1=INDEX('Valo FX'!$R:$R,MATCH($A13,'Valo FX'!$A:$A,0)),INDEX(Base!$V:$V,MATCH($A13,Base!$A:$A,0)),0)))</f>
        <v>11.621169999999999</v>
      </c>
      <c r="AL13" s="21">
        <f>IF(AL$1&lt;INDEX('Valo FX'!$Q:$Q,MATCH($A13,'Valo FX'!$A:$A,0)),0,IF(AL$1&lt;INDEX('Valo FX'!$R:$R,MATCH($A13,'Valo FX'!$A:$A,0)),INDEX(Base!$U:$U,MATCH($A13,Base!$A:$A,0)),IF(AL$1=INDEX('Valo FX'!$R:$R,MATCH($A13,'Valo FX'!$A:$A,0)),INDEX(Base!$V:$V,MATCH($A13,Base!$A:$A,0)),0)))</f>
        <v>11.621169999999999</v>
      </c>
      <c r="AM13" s="21">
        <f>IF(AM$1&lt;INDEX('Valo FX'!$Q:$Q,MATCH($A13,'Valo FX'!$A:$A,0)),0,IF(AM$1&lt;INDEX('Valo FX'!$R:$R,MATCH($A13,'Valo FX'!$A:$A,0)),INDEX(Base!$U:$U,MATCH($A13,Base!$A:$A,0)),IF(AM$1=INDEX('Valo FX'!$R:$R,MATCH($A13,'Valo FX'!$A:$A,0)),INDEX(Base!$V:$V,MATCH($A13,Base!$A:$A,0)),0)))</f>
        <v>11.621169999999999</v>
      </c>
      <c r="AN13" s="21">
        <f>IF(AN$1&lt;INDEX('Valo FX'!$Q:$Q,MATCH($A13,'Valo FX'!$A:$A,0)),0,IF(AN$1&lt;INDEX('Valo FX'!$R:$R,MATCH($A13,'Valo FX'!$A:$A,0)),INDEX(Base!$U:$U,MATCH($A13,Base!$A:$A,0)),IF(AN$1=INDEX('Valo FX'!$R:$R,MATCH($A13,'Valo FX'!$A:$A,0)),INDEX(Base!$V:$V,MATCH($A13,Base!$A:$A,0)),0)))</f>
        <v>11.621169999999999</v>
      </c>
      <c r="AO13" s="21">
        <f>IF(AO$1&lt;INDEX('Valo FX'!$Q:$Q,MATCH($A13,'Valo FX'!$A:$A,0)),0,IF(AO$1&lt;INDEX('Valo FX'!$R:$R,MATCH($A13,'Valo FX'!$A:$A,0)),INDEX(Base!$U:$U,MATCH($A13,Base!$A:$A,0)),IF(AO$1=INDEX('Valo FX'!$R:$R,MATCH($A13,'Valo FX'!$A:$A,0)),INDEX(Base!$V:$V,MATCH($A13,Base!$A:$A,0)),0)))</f>
        <v>11.621169999999999</v>
      </c>
      <c r="AP13" s="21">
        <f>IF(AP$1&lt;INDEX('Valo FX'!$Q:$Q,MATCH($A13,'Valo FX'!$A:$A,0)),0,IF(AP$1&lt;INDEX('Valo FX'!$R:$R,MATCH($A13,'Valo FX'!$A:$A,0)),INDEX(Base!$U:$U,MATCH($A13,Base!$A:$A,0)),IF(AP$1=INDEX('Valo FX'!$R:$R,MATCH($A13,'Valo FX'!$A:$A,0)),INDEX(Base!$V:$V,MATCH($A13,Base!$A:$A,0)),0)))</f>
        <v>11.621169999999999</v>
      </c>
      <c r="AQ13" s="21">
        <f>IF(AQ$1&lt;INDEX('Valo FX'!$Q:$Q,MATCH($A13,'Valo FX'!$A:$A,0)),0,IF(AQ$1&lt;INDEX('Valo FX'!$R:$R,MATCH($A13,'Valo FX'!$A:$A,0)),INDEX(Base!$U:$U,MATCH($A13,Base!$A:$A,0)),IF(AQ$1=INDEX('Valo FX'!$R:$R,MATCH($A13,'Valo FX'!$A:$A,0)),INDEX(Base!$V:$V,MATCH($A13,Base!$A:$A,0)),0)))</f>
        <v>11.621169999999999</v>
      </c>
      <c r="AR13" s="21">
        <f>IF(AR$1&lt;INDEX('Valo FX'!$Q:$Q,MATCH($A13,'Valo FX'!$A:$A,0)),0,IF(AR$1&lt;INDEX('Valo FX'!$R:$R,MATCH($A13,'Valo FX'!$A:$A,0)),INDEX(Base!$U:$U,MATCH($A13,Base!$A:$A,0)),IF(AR$1=INDEX('Valo FX'!$R:$R,MATCH($A13,'Valo FX'!$A:$A,0)),INDEX(Base!$V:$V,MATCH($A13,Base!$A:$A,0)),0)))</f>
        <v>11.621169999999999</v>
      </c>
      <c r="AS13" s="21">
        <f>IF(AS$1&lt;INDEX('Valo FX'!$Q:$Q,MATCH($A13,'Valo FX'!$A:$A,0)),0,IF(AS$1&lt;INDEX('Valo FX'!$R:$R,MATCH($A13,'Valo FX'!$A:$A,0)),INDEX(Base!$U:$U,MATCH($A13,Base!$A:$A,0)),IF(AS$1=INDEX('Valo FX'!$R:$R,MATCH($A13,'Valo FX'!$A:$A,0)),INDEX(Base!$V:$V,MATCH($A13,Base!$A:$A,0)),0)))</f>
        <v>11.621169999999999</v>
      </c>
      <c r="AT13" s="21">
        <f>IF(AT$1&lt;INDEX('Valo FX'!$Q:$Q,MATCH($A13,'Valo FX'!$A:$A,0)),0,IF(AT$1&lt;INDEX('Valo FX'!$R:$R,MATCH($A13,'Valo FX'!$A:$A,0)),INDEX(Base!$U:$U,MATCH($A13,Base!$A:$A,0)),IF(AT$1=INDEX('Valo FX'!$R:$R,MATCH($A13,'Valo FX'!$A:$A,0)),INDEX(Base!$V:$V,MATCH($A13,Base!$A:$A,0)),0)))</f>
        <v>11.621169999999999</v>
      </c>
      <c r="AU13" s="21">
        <f>IF(AU$1&lt;INDEX('Valo FX'!$Q:$Q,MATCH($A13,'Valo FX'!$A:$A,0)),0,IF(AU$1&lt;INDEX('Valo FX'!$R:$R,MATCH($A13,'Valo FX'!$A:$A,0)),INDEX(Base!$U:$U,MATCH($A13,Base!$A:$A,0)),IF(AU$1=INDEX('Valo FX'!$R:$R,MATCH($A13,'Valo FX'!$A:$A,0)),INDEX(Base!$V:$V,MATCH($A13,Base!$A:$A,0)),0)))</f>
        <v>11.621169999999999</v>
      </c>
      <c r="AV13" s="21">
        <f>IF(AV$1&lt;INDEX('Valo FX'!$Q:$Q,MATCH($A13,'Valo FX'!$A:$A,0)),0,IF(AV$1&lt;INDEX('Valo FX'!$R:$R,MATCH($A13,'Valo FX'!$A:$A,0)),INDEX(Base!$U:$U,MATCH($A13,Base!$A:$A,0)),IF(AV$1=INDEX('Valo FX'!$R:$R,MATCH($A13,'Valo FX'!$A:$A,0)),INDEX(Base!$V:$V,MATCH($A13,Base!$A:$A,0)),0)))</f>
        <v>11.621169999999999</v>
      </c>
      <c r="AW13" s="21">
        <f>IF(AW$1&lt;INDEX('Valo FX'!$Q:$Q,MATCH($A13,'Valo FX'!$A:$A,0)),0,IF(AW$1&lt;INDEX('Valo FX'!$R:$R,MATCH($A13,'Valo FX'!$A:$A,0)),INDEX(Base!$U:$U,MATCH($A13,Base!$A:$A,0)),IF(AW$1=INDEX('Valo FX'!$R:$R,MATCH($A13,'Valo FX'!$A:$A,0)),INDEX(Base!$V:$V,MATCH($A13,Base!$A:$A,0)),0)))</f>
        <v>11.621169999999999</v>
      </c>
      <c r="AX13" s="21">
        <f>IF(AX$1&lt;INDEX('Valo FX'!$Q:$Q,MATCH($A13,'Valo FX'!$A:$A,0)),0,IF(AX$1&lt;INDEX('Valo FX'!$R:$R,MATCH($A13,'Valo FX'!$A:$A,0)),INDEX(Base!$U:$U,MATCH($A13,Base!$A:$A,0)),IF(AX$1=INDEX('Valo FX'!$R:$R,MATCH($A13,'Valo FX'!$A:$A,0)),INDEX(Base!$V:$V,MATCH($A13,Base!$A:$A,0)),0)))</f>
        <v>11.621169999999999</v>
      </c>
      <c r="AY13" s="21">
        <f>IF(AY$1&lt;INDEX('Valo FX'!$Q:$Q,MATCH($A13,'Valo FX'!$A:$A,0)),0,IF(AY$1&lt;INDEX('Valo FX'!$R:$R,MATCH($A13,'Valo FX'!$A:$A,0)),INDEX(Base!$U:$U,MATCH($A13,Base!$A:$A,0)),IF(AY$1=INDEX('Valo FX'!$R:$R,MATCH($A13,'Valo FX'!$A:$A,0)),INDEX(Base!$V:$V,MATCH($A13,Base!$A:$A,0)),0)))</f>
        <v>11.621169999999999</v>
      </c>
      <c r="AZ13" s="21">
        <f>IF(AZ$1&lt;INDEX('Valo FX'!$Q:$Q,MATCH($A13,'Valo FX'!$A:$A,0)),0,IF(AZ$1&lt;INDEX('Valo FX'!$R:$R,MATCH($A13,'Valo FX'!$A:$A,0)),INDEX(Base!$U:$U,MATCH($A13,Base!$A:$A,0)),IF(AZ$1=INDEX('Valo FX'!$R:$R,MATCH($A13,'Valo FX'!$A:$A,0)),INDEX(Base!$V:$V,MATCH($A13,Base!$A:$A,0)),0)))</f>
        <v>11.621169999999999</v>
      </c>
      <c r="BA13" s="21">
        <f>IF(BA$1&lt;INDEX('Valo FX'!$Q:$Q,MATCH($A13,'Valo FX'!$A:$A,0)),0,IF(BA$1&lt;INDEX('Valo FX'!$R:$R,MATCH($A13,'Valo FX'!$A:$A,0)),INDEX(Base!$U:$U,MATCH($A13,Base!$A:$A,0)),IF(BA$1=INDEX('Valo FX'!$R:$R,MATCH($A13,'Valo FX'!$A:$A,0)),INDEX(Base!$V:$V,MATCH($A13,Base!$A:$A,0)),0)))</f>
        <v>11.621169999999999</v>
      </c>
      <c r="BB13" s="21">
        <f>IF(BB$1&lt;INDEX('Valo FX'!$Q:$Q,MATCH($A13,'Valo FX'!$A:$A,0)),0,IF(BB$1&lt;INDEX('Valo FX'!$R:$R,MATCH($A13,'Valo FX'!$A:$A,0)),INDEX(Base!$U:$U,MATCH($A13,Base!$A:$A,0)),IF(BB$1=INDEX('Valo FX'!$R:$R,MATCH($A13,'Valo FX'!$A:$A,0)),INDEX(Base!$V:$V,MATCH($A13,Base!$A:$A,0)),0)))</f>
        <v>11.621169999999999</v>
      </c>
      <c r="BC13" s="21">
        <f>IF(BC$1&lt;INDEX('Valo FX'!$Q:$Q,MATCH($A13,'Valo FX'!$A:$A,0)),0,IF(BC$1&lt;INDEX('Valo FX'!$R:$R,MATCH($A13,'Valo FX'!$A:$A,0)),INDEX(Base!$U:$U,MATCH($A13,Base!$A:$A,0)),IF(BC$1=INDEX('Valo FX'!$R:$R,MATCH($A13,'Valo FX'!$A:$A,0)),INDEX(Base!$V:$V,MATCH($A13,Base!$A:$A,0)),0)))</f>
        <v>11.621169999999999</v>
      </c>
      <c r="BD13" s="21">
        <f>IF(BD$1&lt;INDEX('Valo FX'!$Q:$Q,MATCH($A13,'Valo FX'!$A:$A,0)),0,IF(BD$1&lt;INDEX('Valo FX'!$R:$R,MATCH($A13,'Valo FX'!$A:$A,0)),INDEX(Base!$U:$U,MATCH($A13,Base!$A:$A,0)),IF(BD$1=INDEX('Valo FX'!$R:$R,MATCH($A13,'Valo FX'!$A:$A,0)),INDEX(Base!$V:$V,MATCH($A13,Base!$A:$A,0)),0)))</f>
        <v>11.621169999999999</v>
      </c>
      <c r="BE13" s="21">
        <f>IF(BE$1&lt;INDEX('Valo FX'!$Q:$Q,MATCH($A13,'Valo FX'!$A:$A,0)),0,IF(BE$1&lt;INDEX('Valo FX'!$R:$R,MATCH($A13,'Valo FX'!$A:$A,0)),INDEX(Base!$U:$U,MATCH($A13,Base!$A:$A,0)),IF(BE$1=INDEX('Valo FX'!$R:$R,MATCH($A13,'Valo FX'!$A:$A,0)),INDEX(Base!$V:$V,MATCH($A13,Base!$A:$A,0)),0)))</f>
        <v>11.621169999999999</v>
      </c>
      <c r="BF13" s="21">
        <f>IF(BF$1&lt;INDEX('Valo FX'!$Q:$Q,MATCH($A13,'Valo FX'!$A:$A,0)),0,IF(BF$1&lt;INDEX('Valo FX'!$R:$R,MATCH($A13,'Valo FX'!$A:$A,0)),INDEX(Base!$U:$U,MATCH($A13,Base!$A:$A,0)),IF(BF$1=INDEX('Valo FX'!$R:$R,MATCH($A13,'Valo FX'!$A:$A,0)),INDEX(Base!$V:$V,MATCH($A13,Base!$A:$A,0)),0)))</f>
        <v>11.621169999999999</v>
      </c>
      <c r="BG13" s="21">
        <f>IF(BG$1&lt;INDEX('Valo FX'!$Q:$Q,MATCH($A13,'Valo FX'!$A:$A,0)),0,IF(BG$1&lt;INDEX('Valo FX'!$R:$R,MATCH($A13,'Valo FX'!$A:$A,0)),INDEX(Base!$U:$U,MATCH($A13,Base!$A:$A,0)),IF(BG$1=INDEX('Valo FX'!$R:$R,MATCH($A13,'Valo FX'!$A:$A,0)),INDEX(Base!$V:$V,MATCH($A13,Base!$A:$A,0)),0)))</f>
        <v>11.621169999999999</v>
      </c>
      <c r="BH13" s="21">
        <f>IF(BH$1&lt;INDEX('Valo FX'!$Q:$Q,MATCH($A13,'Valo FX'!$A:$A,0)),0,IF(BH$1&lt;INDEX('Valo FX'!$R:$R,MATCH($A13,'Valo FX'!$A:$A,0)),INDEX(Base!$U:$U,MATCH($A13,Base!$A:$A,0)),IF(BH$1=INDEX('Valo FX'!$R:$R,MATCH($A13,'Valo FX'!$A:$A,0)),INDEX(Base!$V:$V,MATCH($A13,Base!$A:$A,0)),0)))</f>
        <v>11.621169999999999</v>
      </c>
      <c r="BI13" s="21">
        <f>IF(BI$1&lt;INDEX('Valo FX'!$Q:$Q,MATCH($A13,'Valo FX'!$A:$A,0)),0,IF(BI$1&lt;INDEX('Valo FX'!$R:$R,MATCH($A13,'Valo FX'!$A:$A,0)),INDEX(Base!$U:$U,MATCH($A13,Base!$A:$A,0)),IF(BI$1=INDEX('Valo FX'!$R:$R,MATCH($A13,'Valo FX'!$A:$A,0)),INDEX(Base!$V:$V,MATCH($A13,Base!$A:$A,0)),0)))</f>
        <v>11.621169999999999</v>
      </c>
      <c r="BJ13" s="21">
        <f>IF(BJ$1&lt;INDEX('Valo FX'!$Q:$Q,MATCH($A13,'Valo FX'!$A:$A,0)),0,IF(BJ$1&lt;INDEX('Valo FX'!$R:$R,MATCH($A13,'Valo FX'!$A:$A,0)),INDEX(Base!$U:$U,MATCH($A13,Base!$A:$A,0)),IF(BJ$1=INDEX('Valo FX'!$R:$R,MATCH($A13,'Valo FX'!$A:$A,0)),INDEX(Base!$V:$V,MATCH($A13,Base!$A:$A,0)),0)))</f>
        <v>11.621169999999999</v>
      </c>
      <c r="BK13" s="21">
        <f>IF(BK$1&lt;INDEX('Valo FX'!$Q:$Q,MATCH($A13,'Valo FX'!$A:$A,0)),0,IF(BK$1&lt;INDEX('Valo FX'!$R:$R,MATCH($A13,'Valo FX'!$A:$A,0)),INDEX(Base!$U:$U,MATCH($A13,Base!$A:$A,0)),IF(BK$1=INDEX('Valo FX'!$R:$R,MATCH($A13,'Valo FX'!$A:$A,0)),INDEX(Base!$V:$V,MATCH($A13,Base!$A:$A,0)),0)))</f>
        <v>11.621169999999999</v>
      </c>
      <c r="BL13" s="21">
        <f>IF(BL$1&lt;INDEX('Valo FX'!$Q:$Q,MATCH($A13,'Valo FX'!$A:$A,0)),0,IF(BL$1&lt;INDEX('Valo FX'!$R:$R,MATCH($A13,'Valo FX'!$A:$A,0)),INDEX(Base!$U:$U,MATCH($A13,Base!$A:$A,0)),IF(BL$1=INDEX('Valo FX'!$R:$R,MATCH($A13,'Valo FX'!$A:$A,0)),INDEX(Base!$V:$V,MATCH($A13,Base!$A:$A,0)),0)))</f>
        <v>11.621169999999999</v>
      </c>
      <c r="BM13" s="21">
        <f>IF(BM$1&lt;INDEX('Valo FX'!$Q:$Q,MATCH($A13,'Valo FX'!$A:$A,0)),0,IF(BM$1&lt;INDEX('Valo FX'!$R:$R,MATCH($A13,'Valo FX'!$A:$A,0)),INDEX(Base!$U:$U,MATCH($A13,Base!$A:$A,0)),IF(BM$1=INDEX('Valo FX'!$R:$R,MATCH($A13,'Valo FX'!$A:$A,0)),INDEX(Base!$V:$V,MATCH($A13,Base!$A:$A,0)),0)))</f>
        <v>11.621169999999999</v>
      </c>
      <c r="BN13" s="21">
        <f>IF(BN$1&lt;INDEX('Valo FX'!$Q:$Q,MATCH($A13,'Valo FX'!$A:$A,0)),0,IF(BN$1&lt;INDEX('Valo FX'!$R:$R,MATCH($A13,'Valo FX'!$A:$A,0)),INDEX(Base!$U:$U,MATCH($A13,Base!$A:$A,0)),IF(BN$1=INDEX('Valo FX'!$R:$R,MATCH($A13,'Valo FX'!$A:$A,0)),INDEX(Base!$V:$V,MATCH($A13,Base!$A:$A,0)),0)))</f>
        <v>11.621169999999999</v>
      </c>
      <c r="BO13" s="21">
        <f>IF(BO$1&lt;INDEX('Valo FX'!$Q:$Q,MATCH($A13,'Valo FX'!$A:$A,0)),0,IF(BO$1&lt;INDEX('Valo FX'!$R:$R,MATCH($A13,'Valo FX'!$A:$A,0)),INDEX(Base!$U:$U,MATCH($A13,Base!$A:$A,0)),IF(BO$1=INDEX('Valo FX'!$R:$R,MATCH($A13,'Valo FX'!$A:$A,0)),INDEX(Base!$V:$V,MATCH($A13,Base!$A:$A,0)),0)))</f>
        <v>11.621169999999999</v>
      </c>
      <c r="BP13" s="21">
        <f>IF(BP$1&lt;INDEX('Valo FX'!$Q:$Q,MATCH($A13,'Valo FX'!$A:$A,0)),0,IF(BP$1&lt;INDEX('Valo FX'!$R:$R,MATCH($A13,'Valo FX'!$A:$A,0)),INDEX(Base!$U:$U,MATCH($A13,Base!$A:$A,0)),IF(BP$1=INDEX('Valo FX'!$R:$R,MATCH($A13,'Valo FX'!$A:$A,0)),INDEX(Base!$V:$V,MATCH($A13,Base!$A:$A,0)),0)))</f>
        <v>11.621169999999999</v>
      </c>
      <c r="BQ13" s="21">
        <f>IF(BQ$1&lt;INDEX('Valo FX'!$Q:$Q,MATCH($A13,'Valo FX'!$A:$A,0)),0,IF(BQ$1&lt;INDEX('Valo FX'!$R:$R,MATCH($A13,'Valo FX'!$A:$A,0)),INDEX(Base!$U:$U,MATCH($A13,Base!$A:$A,0)),IF(BQ$1=INDEX('Valo FX'!$R:$R,MATCH($A13,'Valo FX'!$A:$A,0)),INDEX(Base!$V:$V,MATCH($A13,Base!$A:$A,0)),0)))</f>
        <v>11.621169999999999</v>
      </c>
      <c r="BR13" s="21">
        <f>IF(BR$1&lt;INDEX('Valo FX'!$Q:$Q,MATCH($A13,'Valo FX'!$A:$A,0)),0,IF(BR$1&lt;INDEX('Valo FX'!$R:$R,MATCH($A13,'Valo FX'!$A:$A,0)),INDEX(Base!$U:$U,MATCH($A13,Base!$A:$A,0)),IF(BR$1=INDEX('Valo FX'!$R:$R,MATCH($A13,'Valo FX'!$A:$A,0)),INDEX(Base!$V:$V,MATCH($A13,Base!$A:$A,0)),0)))</f>
        <v>11.621169999999999</v>
      </c>
      <c r="BS13" s="21">
        <f>IF(BS$1&lt;INDEX('Valo FX'!$Q:$Q,MATCH($A13,'Valo FX'!$A:$A,0)),0,IF(BS$1&lt;INDEX('Valo FX'!$R:$R,MATCH($A13,'Valo FX'!$A:$A,0)),INDEX(Base!$U:$U,MATCH($A13,Base!$A:$A,0)),IF(BS$1=INDEX('Valo FX'!$R:$R,MATCH($A13,'Valo FX'!$A:$A,0)),INDEX(Base!$V:$V,MATCH($A13,Base!$A:$A,0)),0)))</f>
        <v>11.621169999999999</v>
      </c>
      <c r="BT13" s="21">
        <f>IF(BT$1&lt;INDEX('Valo FX'!$Q:$Q,MATCH($A13,'Valo FX'!$A:$A,0)),0,IF(BT$1&lt;INDEX('Valo FX'!$R:$R,MATCH($A13,'Valo FX'!$A:$A,0)),INDEX(Base!$U:$U,MATCH($A13,Base!$A:$A,0)),IF(BT$1=INDEX('Valo FX'!$R:$R,MATCH($A13,'Valo FX'!$A:$A,0)),INDEX(Base!$V:$V,MATCH($A13,Base!$A:$A,0)),0)))</f>
        <v>11.621169999999999</v>
      </c>
      <c r="BU13" s="21">
        <f>IF(BU$1&lt;INDEX('Valo FX'!$Q:$Q,MATCH($A13,'Valo FX'!$A:$A,0)),0,IF(BU$1&lt;INDEX('Valo FX'!$R:$R,MATCH($A13,'Valo FX'!$A:$A,0)),INDEX(Base!$U:$U,MATCH($A13,Base!$A:$A,0)),IF(BU$1=INDEX('Valo FX'!$R:$R,MATCH($A13,'Valo FX'!$A:$A,0)),INDEX(Base!$V:$V,MATCH($A13,Base!$A:$A,0)),0)))</f>
        <v>11.621169999999999</v>
      </c>
      <c r="BV13" s="21">
        <f>IF(BV$1&lt;INDEX('Valo FX'!$Q:$Q,MATCH($A13,'Valo FX'!$A:$A,0)),0,IF(BV$1&lt;INDEX('Valo FX'!$R:$R,MATCH($A13,'Valo FX'!$A:$A,0)),INDEX(Base!$U:$U,MATCH($A13,Base!$A:$A,0)),IF(BV$1=INDEX('Valo FX'!$R:$R,MATCH($A13,'Valo FX'!$A:$A,0)),INDEX(Base!$V:$V,MATCH($A13,Base!$A:$A,0)),0)))</f>
        <v>11.621169999999999</v>
      </c>
      <c r="BW13" s="21">
        <f>IF(BW$1&lt;INDEX('Valo FX'!$Q:$Q,MATCH($A13,'Valo FX'!$A:$A,0)),0,IF(BW$1&lt;INDEX('Valo FX'!$R:$R,MATCH($A13,'Valo FX'!$A:$A,0)),INDEX(Base!$U:$U,MATCH($A13,Base!$A:$A,0)),IF(BW$1=INDEX('Valo FX'!$R:$R,MATCH($A13,'Valo FX'!$A:$A,0)),INDEX(Base!$V:$V,MATCH($A13,Base!$A:$A,0)),0)))</f>
        <v>11.621169999999999</v>
      </c>
      <c r="BX13" s="21">
        <f>IF(BX$1&lt;INDEX('Valo FX'!$Q:$Q,MATCH($A13,'Valo FX'!$A:$A,0)),0,IF(BX$1&lt;INDEX('Valo FX'!$R:$R,MATCH($A13,'Valo FX'!$A:$A,0)),INDEX(Base!$U:$U,MATCH($A13,Base!$A:$A,0)),IF(BX$1=INDEX('Valo FX'!$R:$R,MATCH($A13,'Valo FX'!$A:$A,0)),INDEX(Base!$V:$V,MATCH($A13,Base!$A:$A,0)),0)))</f>
        <v>11.621169999999999</v>
      </c>
      <c r="BY13" s="21">
        <f>IF(BY$1&lt;INDEX('Valo FX'!$Q:$Q,MATCH($A13,'Valo FX'!$A:$A,0)),0,IF(BY$1&lt;INDEX('Valo FX'!$R:$R,MATCH($A13,'Valo FX'!$A:$A,0)),INDEX(Base!$U:$U,MATCH($A13,Base!$A:$A,0)),IF(BY$1=INDEX('Valo FX'!$R:$R,MATCH($A13,'Valo FX'!$A:$A,0)),INDEX(Base!$V:$V,MATCH($A13,Base!$A:$A,0)),0)))</f>
        <v>11.621169999999999</v>
      </c>
      <c r="BZ13" s="21">
        <f>IF(BZ$1&lt;INDEX('Valo FX'!$Q:$Q,MATCH($A13,'Valo FX'!$A:$A,0)),0,IF(BZ$1&lt;INDEX('Valo FX'!$R:$R,MATCH($A13,'Valo FX'!$A:$A,0)),INDEX(Base!$U:$U,MATCH($A13,Base!$A:$A,0)),IF(BZ$1=INDEX('Valo FX'!$R:$R,MATCH($A13,'Valo FX'!$A:$A,0)),INDEX(Base!$V:$V,MATCH($A13,Base!$A:$A,0)),0)))</f>
        <v>11.621169999999999</v>
      </c>
      <c r="CA13" s="21">
        <f>IF(CA$1&lt;INDEX('Valo FX'!$Q:$Q,MATCH($A13,'Valo FX'!$A:$A,0)),0,IF(CA$1&lt;INDEX('Valo FX'!$R:$R,MATCH($A13,'Valo FX'!$A:$A,0)),INDEX(Base!$U:$U,MATCH($A13,Base!$A:$A,0)),IF(CA$1=INDEX('Valo FX'!$R:$R,MATCH($A13,'Valo FX'!$A:$A,0)),INDEX(Base!$V:$V,MATCH($A13,Base!$A:$A,0)),0)))</f>
        <v>11.621169999999999</v>
      </c>
      <c r="CB13" s="21">
        <f>IF(CB$1&lt;INDEX('Valo FX'!$Q:$Q,MATCH($A13,'Valo FX'!$A:$A,0)),0,IF(CB$1&lt;INDEX('Valo FX'!$R:$R,MATCH($A13,'Valo FX'!$A:$A,0)),INDEX(Base!$U:$U,MATCH($A13,Base!$A:$A,0)),IF(CB$1=INDEX('Valo FX'!$R:$R,MATCH($A13,'Valo FX'!$A:$A,0)),INDEX(Base!$V:$V,MATCH($A13,Base!$A:$A,0)),0)))</f>
        <v>11.621169999999999</v>
      </c>
      <c r="CC13" s="21">
        <f>IF(CC$1&lt;INDEX('Valo FX'!$Q:$Q,MATCH($A13,'Valo FX'!$A:$A,0)),0,IF(CC$1&lt;INDEX('Valo FX'!$R:$R,MATCH($A13,'Valo FX'!$A:$A,0)),INDEX(Base!$U:$U,MATCH($A13,Base!$A:$A,0)),IF(CC$1=INDEX('Valo FX'!$R:$R,MATCH($A13,'Valo FX'!$A:$A,0)),INDEX(Base!$V:$V,MATCH($A13,Base!$A:$A,0)),0)))</f>
        <v>11.621169999999999</v>
      </c>
      <c r="CD13" s="21">
        <f>IF(CD$1&lt;INDEX('Valo FX'!$Q:$Q,MATCH($A13,'Valo FX'!$A:$A,0)),0,IF(CD$1&lt;INDEX('Valo FX'!$R:$R,MATCH($A13,'Valo FX'!$A:$A,0)),INDEX(Base!$U:$U,MATCH($A13,Base!$A:$A,0)),IF(CD$1=INDEX('Valo FX'!$R:$R,MATCH($A13,'Valo FX'!$A:$A,0)),INDEX(Base!$V:$V,MATCH($A13,Base!$A:$A,0)),0)))</f>
        <v>11.621169999999999</v>
      </c>
      <c r="CE13" s="21">
        <f>IF(CE$1&lt;INDEX('Valo FX'!$Q:$Q,MATCH($A13,'Valo FX'!$A:$A,0)),0,IF(CE$1&lt;INDEX('Valo FX'!$R:$R,MATCH($A13,'Valo FX'!$A:$A,0)),INDEX(Base!$U:$U,MATCH($A13,Base!$A:$A,0)),IF(CE$1=INDEX('Valo FX'!$R:$R,MATCH($A13,'Valo FX'!$A:$A,0)),INDEX(Base!$V:$V,MATCH($A13,Base!$A:$A,0)),0)))</f>
        <v>11.621169999999999</v>
      </c>
      <c r="CF13" s="21">
        <f>IF(CF$1&lt;INDEX('Valo FX'!$Q:$Q,MATCH($A13,'Valo FX'!$A:$A,0)),0,IF(CF$1&lt;INDEX('Valo FX'!$R:$R,MATCH($A13,'Valo FX'!$A:$A,0)),INDEX(Base!$U:$U,MATCH($A13,Base!$A:$A,0)),IF(CF$1=INDEX('Valo FX'!$R:$R,MATCH($A13,'Valo FX'!$A:$A,0)),INDEX(Base!$V:$V,MATCH($A13,Base!$A:$A,0)),0)))</f>
        <v>11.621169999999999</v>
      </c>
      <c r="CG13" s="21">
        <f>IF(CG$1&lt;INDEX('Valo FX'!$Q:$Q,MATCH($A13,'Valo FX'!$A:$A,0)),0,IF(CG$1&lt;INDEX('Valo FX'!$R:$R,MATCH($A13,'Valo FX'!$A:$A,0)),INDEX(Base!$U:$U,MATCH($A13,Base!$A:$A,0)),IF(CG$1=INDEX('Valo FX'!$R:$R,MATCH($A13,'Valo FX'!$A:$A,0)),INDEX(Base!$V:$V,MATCH($A13,Base!$A:$A,0)),0)))</f>
        <v>11.621169999999999</v>
      </c>
      <c r="CH13" s="21">
        <f>IF(CH$1&lt;INDEX('Valo FX'!$Q:$Q,MATCH($A13,'Valo FX'!$A:$A,0)),0,IF(CH$1&lt;INDEX('Valo FX'!$R:$R,MATCH($A13,'Valo FX'!$A:$A,0)),INDEX(Base!$U:$U,MATCH($A13,Base!$A:$A,0)),IF(CH$1=INDEX('Valo FX'!$R:$R,MATCH($A13,'Valo FX'!$A:$A,0)),INDEX(Base!$V:$V,MATCH($A13,Base!$A:$A,0)),0)))</f>
        <v>11.621169999999999</v>
      </c>
      <c r="CI13" s="21">
        <f>IF(CI$1&lt;INDEX('Valo FX'!$Q:$Q,MATCH($A13,'Valo FX'!$A:$A,0)),0,IF(CI$1&lt;INDEX('Valo FX'!$R:$R,MATCH($A13,'Valo FX'!$A:$A,0)),INDEX(Base!$U:$U,MATCH($A13,Base!$A:$A,0)),IF(CI$1=INDEX('Valo FX'!$R:$R,MATCH($A13,'Valo FX'!$A:$A,0)),INDEX(Base!$V:$V,MATCH($A13,Base!$A:$A,0)),0)))</f>
        <v>11.621169999999999</v>
      </c>
      <c r="CJ13" s="21">
        <f>IF(CJ$1&lt;INDEX('Valo FX'!$Q:$Q,MATCH($A13,'Valo FX'!$A:$A,0)),0,IF(CJ$1&lt;INDEX('Valo FX'!$R:$R,MATCH($A13,'Valo FX'!$A:$A,0)),INDEX(Base!$U:$U,MATCH($A13,Base!$A:$A,0)),IF(CJ$1=INDEX('Valo FX'!$R:$R,MATCH($A13,'Valo FX'!$A:$A,0)),INDEX(Base!$V:$V,MATCH($A13,Base!$A:$A,0)),0)))</f>
        <v>11.621169999999999</v>
      </c>
      <c r="CK13" s="21">
        <f>IF(CK$1&lt;INDEX('Valo FX'!$Q:$Q,MATCH($A13,'Valo FX'!$A:$A,0)),0,IF(CK$1&lt;INDEX('Valo FX'!$R:$R,MATCH($A13,'Valo FX'!$A:$A,0)),INDEX(Base!$U:$U,MATCH($A13,Base!$A:$A,0)),IF(CK$1=INDEX('Valo FX'!$R:$R,MATCH($A13,'Valo FX'!$A:$A,0)),INDEX(Base!$V:$V,MATCH($A13,Base!$A:$A,0)),0)))</f>
        <v>11.621169999999999</v>
      </c>
      <c r="CL13" s="21">
        <f>IF(CL$1&lt;INDEX('Valo FX'!$Q:$Q,MATCH($A13,'Valo FX'!$A:$A,0)),0,IF(CL$1&lt;INDEX('Valo FX'!$R:$R,MATCH($A13,'Valo FX'!$A:$A,0)),INDEX(Base!$U:$U,MATCH($A13,Base!$A:$A,0)),IF(CL$1=INDEX('Valo FX'!$R:$R,MATCH($A13,'Valo FX'!$A:$A,0)),INDEX(Base!$V:$V,MATCH($A13,Base!$A:$A,0)),0)))</f>
        <v>11.621169999999999</v>
      </c>
      <c r="CM13" s="21">
        <f>IF(CM$1&lt;INDEX('Valo FX'!$Q:$Q,MATCH($A13,'Valo FX'!$A:$A,0)),0,IF(CM$1&lt;INDEX('Valo FX'!$R:$R,MATCH($A13,'Valo FX'!$A:$A,0)),INDEX(Base!$U:$U,MATCH($A13,Base!$A:$A,0)),IF(CM$1=INDEX('Valo FX'!$R:$R,MATCH($A13,'Valo FX'!$A:$A,0)),INDEX(Base!$V:$V,MATCH($A13,Base!$A:$A,0)),0)))</f>
        <v>11.621169999999999</v>
      </c>
      <c r="CN13" s="21">
        <f>IF(CN$1&lt;INDEX('Valo FX'!$Q:$Q,MATCH($A13,'Valo FX'!$A:$A,0)),0,IF(CN$1&lt;INDEX('Valo FX'!$R:$R,MATCH($A13,'Valo FX'!$A:$A,0)),INDEX(Base!$U:$U,MATCH($A13,Base!$A:$A,0)),IF(CN$1=INDEX('Valo FX'!$R:$R,MATCH($A13,'Valo FX'!$A:$A,0)),INDEX(Base!$V:$V,MATCH($A13,Base!$A:$A,0)),0)))</f>
        <v>11.621169999999999</v>
      </c>
      <c r="CO13" s="21">
        <f>IF(CO$1&lt;INDEX('Valo FX'!$Q:$Q,MATCH($A13,'Valo FX'!$A:$A,0)),0,IF(CO$1&lt;INDEX('Valo FX'!$R:$R,MATCH($A13,'Valo FX'!$A:$A,0)),INDEX(Base!$U:$U,MATCH($A13,Base!$A:$A,0)),IF(CO$1=INDEX('Valo FX'!$R:$R,MATCH($A13,'Valo FX'!$A:$A,0)),INDEX(Base!$V:$V,MATCH($A13,Base!$A:$A,0)),0)))</f>
        <v>11.621169999999999</v>
      </c>
      <c r="CP13" s="21">
        <f>IF(CP$1&lt;INDEX('Valo FX'!$Q:$Q,MATCH($A13,'Valo FX'!$A:$A,0)),0,IF(CP$1&lt;INDEX('Valo FX'!$R:$R,MATCH($A13,'Valo FX'!$A:$A,0)),INDEX(Base!$U:$U,MATCH($A13,Base!$A:$A,0)),IF(CP$1=INDEX('Valo FX'!$R:$R,MATCH($A13,'Valo FX'!$A:$A,0)),INDEX(Base!$V:$V,MATCH($A13,Base!$A:$A,0)),0)))</f>
        <v>11.621169999999999</v>
      </c>
      <c r="CQ13" s="21">
        <f>IF(CQ$1&lt;INDEX('Valo FX'!$Q:$Q,MATCH($A13,'Valo FX'!$A:$A,0)),0,IF(CQ$1&lt;INDEX('Valo FX'!$R:$R,MATCH($A13,'Valo FX'!$A:$A,0)),INDEX(Base!$U:$U,MATCH($A13,Base!$A:$A,0)),IF(CQ$1=INDEX('Valo FX'!$R:$R,MATCH($A13,'Valo FX'!$A:$A,0)),INDEX(Base!$V:$V,MATCH($A13,Base!$A:$A,0)),0)))</f>
        <v>11.621169999999999</v>
      </c>
      <c r="CR13" s="21">
        <f>IF(CR$1&lt;INDEX('Valo FX'!$Q:$Q,MATCH($A13,'Valo FX'!$A:$A,0)),0,IF(CR$1&lt;INDEX('Valo FX'!$R:$R,MATCH($A13,'Valo FX'!$A:$A,0)),INDEX(Base!$U:$U,MATCH($A13,Base!$A:$A,0)),IF(CR$1=INDEX('Valo FX'!$R:$R,MATCH($A13,'Valo FX'!$A:$A,0)),INDEX(Base!$V:$V,MATCH($A13,Base!$A:$A,0)),0)))</f>
        <v>11.621169999999999</v>
      </c>
      <c r="CS13" s="21">
        <f>IF(CS$1&lt;INDEX('Valo FX'!$Q:$Q,MATCH($A13,'Valo FX'!$A:$A,0)),0,IF(CS$1&lt;INDEX('Valo FX'!$R:$R,MATCH($A13,'Valo FX'!$A:$A,0)),INDEX(Base!$U:$U,MATCH($A13,Base!$A:$A,0)),IF(CS$1=INDEX('Valo FX'!$R:$R,MATCH($A13,'Valo FX'!$A:$A,0)),INDEX(Base!$V:$V,MATCH($A13,Base!$A:$A,0)),0)))</f>
        <v>11.621169999999999</v>
      </c>
      <c r="CT13" s="21">
        <f>IF(CT$1&lt;INDEX('Valo FX'!$Q:$Q,MATCH($A13,'Valo FX'!$A:$A,0)),0,IF(CT$1&lt;INDEX('Valo FX'!$R:$R,MATCH($A13,'Valo FX'!$A:$A,0)),INDEX(Base!$U:$U,MATCH($A13,Base!$A:$A,0)),IF(CT$1=INDEX('Valo FX'!$R:$R,MATCH($A13,'Valo FX'!$A:$A,0)),INDEX(Base!$V:$V,MATCH($A13,Base!$A:$A,0)),0)))</f>
        <v>11.621169999999999</v>
      </c>
      <c r="CU13" s="21">
        <f>IF(CU$1&lt;INDEX('Valo FX'!$Q:$Q,MATCH($A13,'Valo FX'!$A:$A,0)),0,IF(CU$1&lt;INDEX('Valo FX'!$R:$R,MATCH($A13,'Valo FX'!$A:$A,0)),INDEX(Base!$U:$U,MATCH($A13,Base!$A:$A,0)),IF(CU$1=INDEX('Valo FX'!$R:$R,MATCH($A13,'Valo FX'!$A:$A,0)),INDEX(Base!$V:$V,MATCH($A13,Base!$A:$A,0)),0)))</f>
        <v>11.621169999999999</v>
      </c>
      <c r="CV13" s="21">
        <f>IF(CV$1&lt;INDEX('Valo FX'!$Q:$Q,MATCH($A13,'Valo FX'!$A:$A,0)),0,IF(CV$1&lt;INDEX('Valo FX'!$R:$R,MATCH($A13,'Valo FX'!$A:$A,0)),INDEX(Base!$U:$U,MATCH($A13,Base!$A:$A,0)),IF(CV$1=INDEX('Valo FX'!$R:$R,MATCH($A13,'Valo FX'!$A:$A,0)),INDEX(Base!$V:$V,MATCH($A13,Base!$A:$A,0)),0)))</f>
        <v>11.621169999999999</v>
      </c>
      <c r="CW13" s="21">
        <f>IF(CW$1&lt;INDEX('Valo FX'!$Q:$Q,MATCH($A13,'Valo FX'!$A:$A,0)),0,IF(CW$1&lt;INDEX('Valo FX'!$R:$R,MATCH($A13,'Valo FX'!$A:$A,0)),INDEX(Base!$U:$U,MATCH($A13,Base!$A:$A,0)),IF(CW$1=INDEX('Valo FX'!$R:$R,MATCH($A13,'Valo FX'!$A:$A,0)),INDEX(Base!$V:$V,MATCH($A13,Base!$A:$A,0)),0)))</f>
        <v>11.621169999999999</v>
      </c>
      <c r="CX13" s="21">
        <f>IF(CX$1&lt;INDEX('Valo FX'!$Q:$Q,MATCH($A13,'Valo FX'!$A:$A,0)),0,IF(CX$1&lt;INDEX('Valo FX'!$R:$R,MATCH($A13,'Valo FX'!$A:$A,0)),INDEX(Base!$U:$U,MATCH($A13,Base!$A:$A,0)),IF(CX$1=INDEX('Valo FX'!$R:$R,MATCH($A13,'Valo FX'!$A:$A,0)),INDEX(Base!$V:$V,MATCH($A13,Base!$A:$A,0)),0)))</f>
        <v>11.621169999999999</v>
      </c>
      <c r="CY13" s="21">
        <f>IF(CY$1&lt;INDEX('Valo FX'!$Q:$Q,MATCH($A13,'Valo FX'!$A:$A,0)),0,IF(CY$1&lt;INDEX('Valo FX'!$R:$R,MATCH($A13,'Valo FX'!$A:$A,0)),INDEX(Base!$U:$U,MATCH($A13,Base!$A:$A,0)),IF(CY$1=INDEX('Valo FX'!$R:$R,MATCH($A13,'Valo FX'!$A:$A,0)),INDEX(Base!$V:$V,MATCH($A13,Base!$A:$A,0)),0)))</f>
        <v>11.621169999999999</v>
      </c>
      <c r="CZ13" s="21">
        <f>IF(CZ$1&lt;INDEX('Valo FX'!$Q:$Q,MATCH($A13,'Valo FX'!$A:$A,0)),0,IF(CZ$1&lt;INDEX('Valo FX'!$R:$R,MATCH($A13,'Valo FX'!$A:$A,0)),INDEX(Base!$U:$U,MATCH($A13,Base!$A:$A,0)),IF(CZ$1=INDEX('Valo FX'!$R:$R,MATCH($A13,'Valo FX'!$A:$A,0)),INDEX(Base!$V:$V,MATCH($A13,Base!$A:$A,0)),0)))</f>
        <v>11.621169999999999</v>
      </c>
      <c r="DA13" s="21">
        <f>IF(DA$1&lt;INDEX('Valo FX'!$Q:$Q,MATCH($A13,'Valo FX'!$A:$A,0)),0,IF(DA$1&lt;INDEX('Valo FX'!$R:$R,MATCH($A13,'Valo FX'!$A:$A,0)),INDEX(Base!$U:$U,MATCH($A13,Base!$A:$A,0)),IF(DA$1=INDEX('Valo FX'!$R:$R,MATCH($A13,'Valo FX'!$A:$A,0)),INDEX(Base!$V:$V,MATCH($A13,Base!$A:$A,0)),0)))</f>
        <v>11.621169999999999</v>
      </c>
      <c r="DB13" s="21">
        <f>IF(DB$1&lt;INDEX('Valo FX'!$Q:$Q,MATCH($A13,'Valo FX'!$A:$A,0)),0,IF(DB$1&lt;INDEX('Valo FX'!$R:$R,MATCH($A13,'Valo FX'!$A:$A,0)),INDEX(Base!$U:$U,MATCH($A13,Base!$A:$A,0)),IF(DB$1=INDEX('Valo FX'!$R:$R,MATCH($A13,'Valo FX'!$A:$A,0)),INDEX(Base!$V:$V,MATCH($A13,Base!$A:$A,0)),0)))</f>
        <v>11.621169999999999</v>
      </c>
      <c r="DC13" s="21">
        <f>IF(DC$1&lt;INDEX('Valo FX'!$Q:$Q,MATCH($A13,'Valo FX'!$A:$A,0)),0,IF(DC$1&lt;INDEX('Valo FX'!$R:$R,MATCH($A13,'Valo FX'!$A:$A,0)),INDEX(Base!$U:$U,MATCH($A13,Base!$A:$A,0)),IF(DC$1=INDEX('Valo FX'!$R:$R,MATCH($A13,'Valo FX'!$A:$A,0)),INDEX(Base!$V:$V,MATCH($A13,Base!$A:$A,0)),0)))</f>
        <v>11.621169999999999</v>
      </c>
      <c r="DD13" s="21">
        <f>IF(DD$1&lt;INDEX('Valo FX'!$Q:$Q,MATCH($A13,'Valo FX'!$A:$A,0)),0,IF(DD$1&lt;INDEX('Valo FX'!$R:$R,MATCH($A13,'Valo FX'!$A:$A,0)),INDEX(Base!$U:$U,MATCH($A13,Base!$A:$A,0)),IF(DD$1=INDEX('Valo FX'!$R:$R,MATCH($A13,'Valo FX'!$A:$A,0)),INDEX(Base!$V:$V,MATCH($A13,Base!$A:$A,0)),0)))</f>
        <v>11.621169999999999</v>
      </c>
      <c r="DE13" s="21">
        <f>IF(DE$1&lt;INDEX('Valo FX'!$Q:$Q,MATCH($A13,'Valo FX'!$A:$A,0)),0,IF(DE$1&lt;INDEX('Valo FX'!$R:$R,MATCH($A13,'Valo FX'!$A:$A,0)),INDEX(Base!$U:$U,MATCH($A13,Base!$A:$A,0)),IF(DE$1=INDEX('Valo FX'!$R:$R,MATCH($A13,'Valo FX'!$A:$A,0)),INDEX(Base!$V:$V,MATCH($A13,Base!$A:$A,0)),0)))</f>
        <v>11.621169999999999</v>
      </c>
      <c r="DF13" s="21">
        <f>IF(DF$1&lt;INDEX('Valo FX'!$Q:$Q,MATCH($A13,'Valo FX'!$A:$A,0)),0,IF(DF$1&lt;INDEX('Valo FX'!$R:$R,MATCH($A13,'Valo FX'!$A:$A,0)),INDEX(Base!$U:$U,MATCH($A13,Base!$A:$A,0)),IF(DF$1=INDEX('Valo FX'!$R:$R,MATCH($A13,'Valo FX'!$A:$A,0)),INDEX(Base!$V:$V,MATCH($A13,Base!$A:$A,0)),0)))</f>
        <v>11.621169999999999</v>
      </c>
      <c r="DG13" s="21">
        <f>IF(DG$1&lt;INDEX('Valo FX'!$Q:$Q,MATCH($A13,'Valo FX'!$A:$A,0)),0,IF(DG$1&lt;INDEX('Valo FX'!$R:$R,MATCH($A13,'Valo FX'!$A:$A,0)),INDEX(Base!$U:$U,MATCH($A13,Base!$A:$A,0)),IF(DG$1=INDEX('Valo FX'!$R:$R,MATCH($A13,'Valo FX'!$A:$A,0)),INDEX(Base!$V:$V,MATCH($A13,Base!$A:$A,0)),0)))</f>
        <v>11.621169999999999</v>
      </c>
      <c r="DH13" s="21">
        <f>IF(DH$1&lt;INDEX('Valo FX'!$Q:$Q,MATCH($A13,'Valo FX'!$A:$A,0)),0,IF(DH$1&lt;INDEX('Valo FX'!$R:$R,MATCH($A13,'Valo FX'!$A:$A,0)),INDEX(Base!$U:$U,MATCH($A13,Base!$A:$A,0)),IF(DH$1=INDEX('Valo FX'!$R:$R,MATCH($A13,'Valo FX'!$A:$A,0)),INDEX(Base!$V:$V,MATCH($A13,Base!$A:$A,0)),0)))</f>
        <v>11.621169999999999</v>
      </c>
      <c r="DI13" s="21">
        <f>IF(DI$1&lt;INDEX('Valo FX'!$Q:$Q,MATCH($A13,'Valo FX'!$A:$A,0)),0,IF(DI$1&lt;INDEX('Valo FX'!$R:$R,MATCH($A13,'Valo FX'!$A:$A,0)),INDEX(Base!$U:$U,MATCH($A13,Base!$A:$A,0)),IF(DI$1=INDEX('Valo FX'!$R:$R,MATCH($A13,'Valo FX'!$A:$A,0)),INDEX(Base!$V:$V,MATCH($A13,Base!$A:$A,0)),0)))</f>
        <v>11.621169999999999</v>
      </c>
      <c r="DJ13" s="21">
        <f>IF(DJ$1&lt;INDEX('Valo FX'!$Q:$Q,MATCH($A13,'Valo FX'!$A:$A,0)),0,IF(DJ$1&lt;INDEX('Valo FX'!$R:$R,MATCH($A13,'Valo FX'!$A:$A,0)),INDEX(Base!$U:$U,MATCH($A13,Base!$A:$A,0)),IF(DJ$1=INDEX('Valo FX'!$R:$R,MATCH($A13,'Valo FX'!$A:$A,0)),INDEX(Base!$V:$V,MATCH($A13,Base!$A:$A,0)),0)))</f>
        <v>11.621169999999999</v>
      </c>
      <c r="DK13" s="21">
        <f>IF(DK$1&lt;INDEX('Valo FX'!$Q:$Q,MATCH($A13,'Valo FX'!$A:$A,0)),0,IF(DK$1&lt;INDEX('Valo FX'!$R:$R,MATCH($A13,'Valo FX'!$A:$A,0)),INDEX(Base!$U:$U,MATCH($A13,Base!$A:$A,0)),IF(DK$1=INDEX('Valo FX'!$R:$R,MATCH($A13,'Valo FX'!$A:$A,0)),INDEX(Base!$V:$V,MATCH($A13,Base!$A:$A,0)),0)))</f>
        <v>11.621169999999999</v>
      </c>
      <c r="DL13" s="21">
        <f>IF(DL$1&lt;INDEX('Valo FX'!$Q:$Q,MATCH($A13,'Valo FX'!$A:$A,0)),0,IF(DL$1&lt;INDEX('Valo FX'!$R:$R,MATCH($A13,'Valo FX'!$A:$A,0)),INDEX(Base!$U:$U,MATCH($A13,Base!$A:$A,0)),IF(DL$1=INDEX('Valo FX'!$R:$R,MATCH($A13,'Valo FX'!$A:$A,0)),INDEX(Base!$V:$V,MATCH($A13,Base!$A:$A,0)),0)))</f>
        <v>11.621169999999999</v>
      </c>
      <c r="DM13" s="21">
        <f>IF(DM$1&lt;INDEX('Valo FX'!$Q:$Q,MATCH($A13,'Valo FX'!$A:$A,0)),0,IF(DM$1&lt;INDEX('Valo FX'!$R:$R,MATCH($A13,'Valo FX'!$A:$A,0)),INDEX(Base!$U:$U,MATCH($A13,Base!$A:$A,0)),IF(DM$1=INDEX('Valo FX'!$R:$R,MATCH($A13,'Valo FX'!$A:$A,0)),INDEX(Base!$V:$V,MATCH($A13,Base!$A:$A,0)),0)))</f>
        <v>11.621169999999999</v>
      </c>
      <c r="DN13" s="21">
        <f>IF(DN$1&lt;INDEX('Valo FX'!$Q:$Q,MATCH($A13,'Valo FX'!$A:$A,0)),0,IF(DN$1&lt;INDEX('Valo FX'!$R:$R,MATCH($A13,'Valo FX'!$A:$A,0)),INDEX(Base!$U:$U,MATCH($A13,Base!$A:$A,0)),IF(DN$1=INDEX('Valo FX'!$R:$R,MATCH($A13,'Valo FX'!$A:$A,0)),INDEX(Base!$V:$V,MATCH($A13,Base!$A:$A,0)),0)))</f>
        <v>11.621169999999999</v>
      </c>
      <c r="DO13" s="21">
        <f>IF(DO$1&lt;INDEX('Valo FX'!$Q:$Q,MATCH($A13,'Valo FX'!$A:$A,0)),0,IF(DO$1&lt;INDEX('Valo FX'!$R:$R,MATCH($A13,'Valo FX'!$A:$A,0)),INDEX(Base!$U:$U,MATCH($A13,Base!$A:$A,0)),IF(DO$1=INDEX('Valo FX'!$R:$R,MATCH($A13,'Valo FX'!$A:$A,0)),INDEX(Base!$V:$V,MATCH($A13,Base!$A:$A,0)),0)))</f>
        <v>11.621169999999999</v>
      </c>
      <c r="DP13" s="21">
        <f>IF(DP$1&lt;INDEX('Valo FX'!$Q:$Q,MATCH($A13,'Valo FX'!$A:$A,0)),0,IF(DP$1&lt;INDEX('Valo FX'!$R:$R,MATCH($A13,'Valo FX'!$A:$A,0)),INDEX(Base!$U:$U,MATCH($A13,Base!$A:$A,0)),IF(DP$1=INDEX('Valo FX'!$R:$R,MATCH($A13,'Valo FX'!$A:$A,0)),INDEX(Base!$V:$V,MATCH($A13,Base!$A:$A,0)),0)))</f>
        <v>11.621169999999999</v>
      </c>
      <c r="DQ13" s="21">
        <f>IF(DQ$1&lt;INDEX('Valo FX'!$Q:$Q,MATCH($A13,'Valo FX'!$A:$A,0)),0,IF(DQ$1&lt;INDEX('Valo FX'!$R:$R,MATCH($A13,'Valo FX'!$A:$A,0)),INDEX(Base!$U:$U,MATCH($A13,Base!$A:$A,0)),IF(DQ$1=INDEX('Valo FX'!$R:$R,MATCH($A13,'Valo FX'!$A:$A,0)),INDEX(Base!$V:$V,MATCH($A13,Base!$A:$A,0)),0)))</f>
        <v>11.621169999999999</v>
      </c>
      <c r="DR13" s="21">
        <f>IF(DR$1&lt;INDEX('Valo FX'!$Q:$Q,MATCH($A13,'Valo FX'!$A:$A,0)),0,IF(DR$1&lt;INDEX('Valo FX'!$R:$R,MATCH($A13,'Valo FX'!$A:$A,0)),INDEX(Base!$U:$U,MATCH($A13,Base!$A:$A,0)),IF(DR$1=INDEX('Valo FX'!$R:$R,MATCH($A13,'Valo FX'!$A:$A,0)),INDEX(Base!$V:$V,MATCH($A13,Base!$A:$A,0)),0)))</f>
        <v>11.621169999999999</v>
      </c>
      <c r="DS13" s="21">
        <f>IF(DS$1&lt;INDEX('Valo FX'!$Q:$Q,MATCH($A13,'Valo FX'!$A:$A,0)),0,IF(DS$1&lt;INDEX('Valo FX'!$R:$R,MATCH($A13,'Valo FX'!$A:$A,0)),INDEX(Base!$U:$U,MATCH($A13,Base!$A:$A,0)),IF(DS$1=INDEX('Valo FX'!$R:$R,MATCH($A13,'Valo FX'!$A:$A,0)),INDEX(Base!$V:$V,MATCH($A13,Base!$A:$A,0)),0)))</f>
        <v>11.621169999999999</v>
      </c>
      <c r="DT13" s="21">
        <f>IF(DT$1&lt;INDEX('Valo FX'!$Q:$Q,MATCH($A13,'Valo FX'!$A:$A,0)),0,IF(DT$1&lt;INDEX('Valo FX'!$R:$R,MATCH($A13,'Valo FX'!$A:$A,0)),INDEX(Base!$U:$U,MATCH($A13,Base!$A:$A,0)),IF(DT$1=INDEX('Valo FX'!$R:$R,MATCH($A13,'Valo FX'!$A:$A,0)),INDEX(Base!$V:$V,MATCH($A13,Base!$A:$A,0)),0)))</f>
        <v>11.621169999999999</v>
      </c>
      <c r="DU13" s="21">
        <f>IF(DU$1&lt;INDEX('Valo FX'!$Q:$Q,MATCH($A13,'Valo FX'!$A:$A,0)),0,IF(DU$1&lt;INDEX('Valo FX'!$R:$R,MATCH($A13,'Valo FX'!$A:$A,0)),INDEX(Base!$U:$U,MATCH($A13,Base!$A:$A,0)),IF(DU$1=INDEX('Valo FX'!$R:$R,MATCH($A13,'Valo FX'!$A:$A,0)),INDEX(Base!$V:$V,MATCH($A13,Base!$A:$A,0)),0)))</f>
        <v>11.621169999999999</v>
      </c>
      <c r="DV13" s="21">
        <f>IF(DV$1&lt;INDEX('Valo FX'!$Q:$Q,MATCH($A13,'Valo FX'!$A:$A,0)),0,IF(DV$1&lt;INDEX('Valo FX'!$R:$R,MATCH($A13,'Valo FX'!$A:$A,0)),INDEX(Base!$U:$U,MATCH($A13,Base!$A:$A,0)),IF(DV$1=INDEX('Valo FX'!$R:$R,MATCH($A13,'Valo FX'!$A:$A,0)),INDEX(Base!$V:$V,MATCH($A13,Base!$A:$A,0)),0)))</f>
        <v>11.621169999999999</v>
      </c>
      <c r="DW13" s="21">
        <f>IF(DW$1&lt;INDEX('Valo FX'!$Q:$Q,MATCH($A13,'Valo FX'!$A:$A,0)),0,IF(DW$1&lt;INDEX('Valo FX'!$R:$R,MATCH($A13,'Valo FX'!$A:$A,0)),INDEX(Base!$U:$U,MATCH($A13,Base!$A:$A,0)),IF(DW$1=INDEX('Valo FX'!$R:$R,MATCH($A13,'Valo FX'!$A:$A,0)),INDEX(Base!$V:$V,MATCH($A13,Base!$A:$A,0)),0)))</f>
        <v>11.621169999999999</v>
      </c>
      <c r="DX13" s="21">
        <f>IF(DX$1&lt;INDEX('Valo FX'!$Q:$Q,MATCH($A13,'Valo FX'!$A:$A,0)),0,IF(DX$1&lt;INDEX('Valo FX'!$R:$R,MATCH($A13,'Valo FX'!$A:$A,0)),INDEX(Base!$U:$U,MATCH($A13,Base!$A:$A,0)),IF(DX$1=INDEX('Valo FX'!$R:$R,MATCH($A13,'Valo FX'!$A:$A,0)),INDEX(Base!$V:$V,MATCH($A13,Base!$A:$A,0)),0)))</f>
        <v>11.621169999999999</v>
      </c>
      <c r="DY13" s="21">
        <f>IF(DY$1&lt;INDEX('Valo FX'!$Q:$Q,MATCH($A13,'Valo FX'!$A:$A,0)),0,IF(DY$1&lt;INDEX('Valo FX'!$R:$R,MATCH($A13,'Valo FX'!$A:$A,0)),INDEX(Base!$U:$U,MATCH($A13,Base!$A:$A,0)),IF(DY$1=INDEX('Valo FX'!$R:$R,MATCH($A13,'Valo FX'!$A:$A,0)),INDEX(Base!$V:$V,MATCH($A13,Base!$A:$A,0)),0)))</f>
        <v>11.621169999999999</v>
      </c>
      <c r="DZ13" s="21">
        <f>IF(DZ$1&lt;INDEX('Valo FX'!$Q:$Q,MATCH($A13,'Valo FX'!$A:$A,0)),0,IF(DZ$1&lt;INDEX('Valo FX'!$R:$R,MATCH($A13,'Valo FX'!$A:$A,0)),INDEX(Base!$U:$U,MATCH($A13,Base!$A:$A,0)),IF(DZ$1=INDEX('Valo FX'!$R:$R,MATCH($A13,'Valo FX'!$A:$A,0)),INDEX(Base!$V:$V,MATCH($A13,Base!$A:$A,0)),0)))</f>
        <v>11.621169999999999</v>
      </c>
      <c r="EA13" s="21">
        <f>IF(EA$1&lt;INDEX('Valo FX'!$Q:$Q,MATCH($A13,'Valo FX'!$A:$A,0)),0,IF(EA$1&lt;INDEX('Valo FX'!$R:$R,MATCH($A13,'Valo FX'!$A:$A,0)),INDEX(Base!$U:$U,MATCH($A13,Base!$A:$A,0)),IF(EA$1=INDEX('Valo FX'!$R:$R,MATCH($A13,'Valo FX'!$A:$A,0)),INDEX(Base!$V:$V,MATCH($A13,Base!$A:$A,0)),0)))</f>
        <v>11.621169999999999</v>
      </c>
      <c r="EB13" s="21">
        <f>IF(EB$1&lt;INDEX('Valo FX'!$Q:$Q,MATCH($A13,'Valo FX'!$A:$A,0)),0,IF(EB$1&lt;INDEX('Valo FX'!$R:$R,MATCH($A13,'Valo FX'!$A:$A,0)),INDEX(Base!$U:$U,MATCH($A13,Base!$A:$A,0)),IF(EB$1=INDEX('Valo FX'!$R:$R,MATCH($A13,'Valo FX'!$A:$A,0)),INDEX(Base!$V:$V,MATCH($A13,Base!$A:$A,0)),0)))</f>
        <v>11.621169999999999</v>
      </c>
      <c r="EC13" s="21">
        <f>IF(EC$1&lt;INDEX('Valo FX'!$Q:$Q,MATCH($A13,'Valo FX'!$A:$A,0)),0,IF(EC$1&lt;INDEX('Valo FX'!$R:$R,MATCH($A13,'Valo FX'!$A:$A,0)),INDEX(Base!$U:$U,MATCH($A13,Base!$A:$A,0)),IF(EC$1=INDEX('Valo FX'!$R:$R,MATCH($A13,'Valo FX'!$A:$A,0)),INDEX(Base!$V:$V,MATCH($A13,Base!$A:$A,0)),0)))</f>
        <v>11.621169999999999</v>
      </c>
      <c r="ED13" s="21">
        <f>IF(ED$1&lt;INDEX('Valo FX'!$Q:$Q,MATCH($A13,'Valo FX'!$A:$A,0)),0,IF(ED$1&lt;INDEX('Valo FX'!$R:$R,MATCH($A13,'Valo FX'!$A:$A,0)),INDEX(Base!$U:$U,MATCH($A13,Base!$A:$A,0)),IF(ED$1=INDEX('Valo FX'!$R:$R,MATCH($A13,'Valo FX'!$A:$A,0)),INDEX(Base!$V:$V,MATCH($A13,Base!$A:$A,0)),0)))</f>
        <v>11.621169999999999</v>
      </c>
      <c r="EE13" s="21">
        <f>IF(EE$1&lt;INDEX('Valo FX'!$Q:$Q,MATCH($A13,'Valo FX'!$A:$A,0)),0,IF(EE$1&lt;INDEX('Valo FX'!$R:$R,MATCH($A13,'Valo FX'!$A:$A,0)),INDEX(Base!$U:$U,MATCH($A13,Base!$A:$A,0)),IF(EE$1=INDEX('Valo FX'!$R:$R,MATCH($A13,'Valo FX'!$A:$A,0)),INDEX(Base!$V:$V,MATCH($A13,Base!$A:$A,0)),0)))</f>
        <v>11.621169999999999</v>
      </c>
      <c r="EF13" s="21">
        <f>IF(EF$1&lt;INDEX('Valo FX'!$Q:$Q,MATCH($A13,'Valo FX'!$A:$A,0)),0,IF(EF$1&lt;INDEX('Valo FX'!$R:$R,MATCH($A13,'Valo FX'!$A:$A,0)),INDEX(Base!$U:$U,MATCH($A13,Base!$A:$A,0)),IF(EF$1=INDEX('Valo FX'!$R:$R,MATCH($A13,'Valo FX'!$A:$A,0)),INDEX(Base!$V:$V,MATCH($A13,Base!$A:$A,0)),0)))</f>
        <v>11.621169999999999</v>
      </c>
      <c r="EG13" s="21">
        <f>IF(EG$1&lt;INDEX('Valo FX'!$Q:$Q,MATCH($A13,'Valo FX'!$A:$A,0)),0,IF(EG$1&lt;INDEX('Valo FX'!$R:$R,MATCH($A13,'Valo FX'!$A:$A,0)),INDEX(Base!$U:$U,MATCH($A13,Base!$A:$A,0)),IF(EG$1=INDEX('Valo FX'!$R:$R,MATCH($A13,'Valo FX'!$A:$A,0)),INDEX(Base!$V:$V,MATCH($A13,Base!$A:$A,0)),0)))</f>
        <v>11.621169999999999</v>
      </c>
      <c r="EH13" s="21">
        <f>IF(EH$1&lt;INDEX('Valo FX'!$Q:$Q,MATCH($A13,'Valo FX'!$A:$A,0)),0,IF(EH$1&lt;INDEX('Valo FX'!$R:$R,MATCH($A13,'Valo FX'!$A:$A,0)),INDEX(Base!$U:$U,MATCH($A13,Base!$A:$A,0)),IF(EH$1=INDEX('Valo FX'!$R:$R,MATCH($A13,'Valo FX'!$A:$A,0)),INDEX(Base!$V:$V,MATCH($A13,Base!$A:$A,0)),0)))</f>
        <v>11.621169999999999</v>
      </c>
      <c r="EI13" s="21">
        <f>IF(EI$1&lt;INDEX('Valo FX'!$Q:$Q,MATCH($A13,'Valo FX'!$A:$A,0)),0,IF(EI$1&lt;INDEX('Valo FX'!$R:$R,MATCH($A13,'Valo FX'!$A:$A,0)),INDEX(Base!$U:$U,MATCH($A13,Base!$A:$A,0)),IF(EI$1=INDEX('Valo FX'!$R:$R,MATCH($A13,'Valo FX'!$A:$A,0)),INDEX(Base!$V:$V,MATCH($A13,Base!$A:$A,0)),0)))</f>
        <v>11.621169999999999</v>
      </c>
      <c r="EJ13" s="21">
        <f>IF(EJ$1&lt;INDEX('Valo FX'!$Q:$Q,MATCH($A13,'Valo FX'!$A:$A,0)),0,IF(EJ$1&lt;INDEX('Valo FX'!$R:$R,MATCH($A13,'Valo FX'!$A:$A,0)),INDEX(Base!$U:$U,MATCH($A13,Base!$A:$A,0)),IF(EJ$1=INDEX('Valo FX'!$R:$R,MATCH($A13,'Valo FX'!$A:$A,0)),INDEX(Base!$V:$V,MATCH($A13,Base!$A:$A,0)),0)))</f>
        <v>11.621169999999999</v>
      </c>
      <c r="EK13" s="21">
        <f>IF(EK$1&lt;INDEX('Valo FX'!$Q:$Q,MATCH($A13,'Valo FX'!$A:$A,0)),0,IF(EK$1&lt;INDEX('Valo FX'!$R:$R,MATCH($A13,'Valo FX'!$A:$A,0)),INDEX(Base!$U:$U,MATCH($A13,Base!$A:$A,0)),IF(EK$1=INDEX('Valo FX'!$R:$R,MATCH($A13,'Valo FX'!$A:$A,0)),INDEX(Base!$V:$V,MATCH($A13,Base!$A:$A,0)),0)))</f>
        <v>11.621169999999999</v>
      </c>
      <c r="EL13" s="21">
        <f>IF(EL$1&lt;INDEX('Valo FX'!$Q:$Q,MATCH($A13,'Valo FX'!$A:$A,0)),0,IF(EL$1&lt;INDEX('Valo FX'!$R:$R,MATCH($A13,'Valo FX'!$A:$A,0)),INDEX(Base!$U:$U,MATCH($A13,Base!$A:$A,0)),IF(EL$1=INDEX('Valo FX'!$R:$R,MATCH($A13,'Valo FX'!$A:$A,0)),INDEX(Base!$V:$V,MATCH($A13,Base!$A:$A,0)),0)))</f>
        <v>11.621169999999999</v>
      </c>
      <c r="EM13" s="21">
        <f>IF(EM$1&lt;INDEX('Valo FX'!$Q:$Q,MATCH($A13,'Valo FX'!$A:$A,0)),0,IF(EM$1&lt;INDEX('Valo FX'!$R:$R,MATCH($A13,'Valo FX'!$A:$A,0)),INDEX(Base!$U:$U,MATCH($A13,Base!$A:$A,0)),IF(EM$1=INDEX('Valo FX'!$R:$R,MATCH($A13,'Valo FX'!$A:$A,0)),INDEX(Base!$V:$V,MATCH($A13,Base!$A:$A,0)),0)))</f>
        <v>11.621169999999999</v>
      </c>
      <c r="EN13" s="21">
        <f>IF(EN$1&lt;INDEX('Valo FX'!$Q:$Q,MATCH($A13,'Valo FX'!$A:$A,0)),0,IF(EN$1&lt;INDEX('Valo FX'!$R:$R,MATCH($A13,'Valo FX'!$A:$A,0)),INDEX(Base!$U:$U,MATCH($A13,Base!$A:$A,0)),IF(EN$1=INDEX('Valo FX'!$R:$R,MATCH($A13,'Valo FX'!$A:$A,0)),INDEX(Base!$V:$V,MATCH($A13,Base!$A:$A,0)),0)))</f>
        <v>11.621169999999999</v>
      </c>
      <c r="EO13" s="21">
        <f>IF(EO$1&lt;INDEX('Valo FX'!$Q:$Q,MATCH($A13,'Valo FX'!$A:$A,0)),0,IF(EO$1&lt;INDEX('Valo FX'!$R:$R,MATCH($A13,'Valo FX'!$A:$A,0)),INDEX(Base!$U:$U,MATCH($A13,Base!$A:$A,0)),IF(EO$1=INDEX('Valo FX'!$R:$R,MATCH($A13,'Valo FX'!$A:$A,0)),INDEX(Base!$V:$V,MATCH($A13,Base!$A:$A,0)),0)))</f>
        <v>11.621169999999999</v>
      </c>
      <c r="EP13" s="21">
        <f>IF(EP$1&lt;INDEX('Valo FX'!$Q:$Q,MATCH($A13,'Valo FX'!$A:$A,0)),0,IF(EP$1&lt;INDEX('Valo FX'!$R:$R,MATCH($A13,'Valo FX'!$A:$A,0)),INDEX(Base!$U:$U,MATCH($A13,Base!$A:$A,0)),IF(EP$1=INDEX('Valo FX'!$R:$R,MATCH($A13,'Valo FX'!$A:$A,0)),INDEX(Base!$V:$V,MATCH($A13,Base!$A:$A,0)),0)))</f>
        <v>11.621169999999999</v>
      </c>
      <c r="EQ13" s="21">
        <f>IF(EQ$1&lt;INDEX('Valo FX'!$Q:$Q,MATCH($A13,'Valo FX'!$A:$A,0)),0,IF(EQ$1&lt;INDEX('Valo FX'!$R:$R,MATCH($A13,'Valo FX'!$A:$A,0)),INDEX(Base!$U:$U,MATCH($A13,Base!$A:$A,0)),IF(EQ$1=INDEX('Valo FX'!$R:$R,MATCH($A13,'Valo FX'!$A:$A,0)),INDEX(Base!$V:$V,MATCH($A13,Base!$A:$A,0)),0)))</f>
        <v>11.621169999999999</v>
      </c>
      <c r="ER13" s="21">
        <f>IF(ER$1&lt;INDEX('Valo FX'!$Q:$Q,MATCH($A13,'Valo FX'!$A:$A,0)),0,IF(ER$1&lt;INDEX('Valo FX'!$R:$R,MATCH($A13,'Valo FX'!$A:$A,0)),INDEX(Base!$U:$U,MATCH($A13,Base!$A:$A,0)),IF(ER$1=INDEX('Valo FX'!$R:$R,MATCH($A13,'Valo FX'!$A:$A,0)),INDEX(Base!$V:$V,MATCH($A13,Base!$A:$A,0)),0)))</f>
        <v>11.621169999999999</v>
      </c>
      <c r="ES13" s="21">
        <f>IF(ES$1&lt;INDEX('Valo FX'!$Q:$Q,MATCH($A13,'Valo FX'!$A:$A,0)),0,IF(ES$1&lt;INDEX('Valo FX'!$R:$R,MATCH($A13,'Valo FX'!$A:$A,0)),INDEX(Base!$U:$U,MATCH($A13,Base!$A:$A,0)),IF(ES$1=INDEX('Valo FX'!$R:$R,MATCH($A13,'Valo FX'!$A:$A,0)),INDEX(Base!$V:$V,MATCH($A13,Base!$A:$A,0)),0)))</f>
        <v>11.621169999999999</v>
      </c>
      <c r="ET13" s="21">
        <f>IF(ET$1&lt;INDEX('Valo FX'!$Q:$Q,MATCH($A13,'Valo FX'!$A:$A,0)),0,IF(ET$1&lt;INDEX('Valo FX'!$R:$R,MATCH($A13,'Valo FX'!$A:$A,0)),INDEX(Base!$U:$U,MATCH($A13,Base!$A:$A,0)),IF(ET$1=INDEX('Valo FX'!$R:$R,MATCH($A13,'Valo FX'!$A:$A,0)),INDEX(Base!$V:$V,MATCH($A13,Base!$A:$A,0)),0)))</f>
        <v>11.621169999999999</v>
      </c>
      <c r="EU13" s="21">
        <f>IF(EU$1&lt;INDEX('Valo FX'!$Q:$Q,MATCH($A13,'Valo FX'!$A:$A,0)),0,IF(EU$1&lt;INDEX('Valo FX'!$R:$R,MATCH($A13,'Valo FX'!$A:$A,0)),INDEX(Base!$U:$U,MATCH($A13,Base!$A:$A,0)),IF(EU$1=INDEX('Valo FX'!$R:$R,MATCH($A13,'Valo FX'!$A:$A,0)),INDEX(Base!$V:$V,MATCH($A13,Base!$A:$A,0)),0)))</f>
        <v>11.621169999999999</v>
      </c>
      <c r="EV13" s="21">
        <f>IF(EV$1&lt;INDEX('Valo FX'!$Q:$Q,MATCH($A13,'Valo FX'!$A:$A,0)),0,IF(EV$1&lt;INDEX('Valo FX'!$R:$R,MATCH($A13,'Valo FX'!$A:$A,0)),INDEX(Base!$U:$U,MATCH($A13,Base!$A:$A,0)),IF(EV$1=INDEX('Valo FX'!$R:$R,MATCH($A13,'Valo FX'!$A:$A,0)),INDEX(Base!$V:$V,MATCH($A13,Base!$A:$A,0)),0)))</f>
        <v>11.621169999999999</v>
      </c>
      <c r="EW13" s="21">
        <f>IF(EW$1&lt;INDEX('Valo FX'!$Q:$Q,MATCH($A13,'Valo FX'!$A:$A,0)),0,IF(EW$1&lt;INDEX('Valo FX'!$R:$R,MATCH($A13,'Valo FX'!$A:$A,0)),INDEX(Base!$U:$U,MATCH($A13,Base!$A:$A,0)),IF(EW$1=INDEX('Valo FX'!$R:$R,MATCH($A13,'Valo FX'!$A:$A,0)),INDEX(Base!$V:$V,MATCH($A13,Base!$A:$A,0)),0)))</f>
        <v>11.621169999999999</v>
      </c>
      <c r="EX13" s="21">
        <f>IF(EX$1&lt;INDEX('Valo FX'!$Q:$Q,MATCH($A13,'Valo FX'!$A:$A,0)),0,IF(EX$1&lt;INDEX('Valo FX'!$R:$R,MATCH($A13,'Valo FX'!$A:$A,0)),INDEX(Base!$U:$U,MATCH($A13,Base!$A:$A,0)),IF(EX$1=INDEX('Valo FX'!$R:$R,MATCH($A13,'Valo FX'!$A:$A,0)),INDEX(Base!$V:$V,MATCH($A13,Base!$A:$A,0)),0)))</f>
        <v>11.621169999999999</v>
      </c>
      <c r="EY13" s="21">
        <f>IF(EY$1&lt;INDEX('Valo FX'!$Q:$Q,MATCH($A13,'Valo FX'!$A:$A,0)),0,IF(EY$1&lt;INDEX('Valo FX'!$R:$R,MATCH($A13,'Valo FX'!$A:$A,0)),INDEX(Base!$U:$U,MATCH($A13,Base!$A:$A,0)),IF(EY$1=INDEX('Valo FX'!$R:$R,MATCH($A13,'Valo FX'!$A:$A,0)),INDEX(Base!$V:$V,MATCH($A13,Base!$A:$A,0)),0)))</f>
        <v>11.621169999999999</v>
      </c>
      <c r="EZ13" s="21">
        <f>IF(EZ$1&lt;INDEX('Valo FX'!$Q:$Q,MATCH($A13,'Valo FX'!$A:$A,0)),0,IF(EZ$1&lt;INDEX('Valo FX'!$R:$R,MATCH($A13,'Valo FX'!$A:$A,0)),INDEX(Base!$U:$U,MATCH($A13,Base!$A:$A,0)),IF(EZ$1=INDEX('Valo FX'!$R:$R,MATCH($A13,'Valo FX'!$A:$A,0)),INDEX(Base!$V:$V,MATCH($A13,Base!$A:$A,0)),0)))</f>
        <v>11.621169999999999</v>
      </c>
      <c r="FA13" s="21">
        <f>IF(FA$1&lt;INDEX('Valo FX'!$Q:$Q,MATCH($A13,'Valo FX'!$A:$A,0)),0,IF(FA$1&lt;INDEX('Valo FX'!$R:$R,MATCH($A13,'Valo FX'!$A:$A,0)),INDEX(Base!$U:$U,MATCH($A13,Base!$A:$A,0)),IF(FA$1=INDEX('Valo FX'!$R:$R,MATCH($A13,'Valo FX'!$A:$A,0)),INDEX(Base!$V:$V,MATCH($A13,Base!$A:$A,0)),0)))</f>
        <v>11.621169999999999</v>
      </c>
      <c r="FB13" s="21">
        <f>IF(FB$1&lt;INDEX('Valo FX'!$Q:$Q,MATCH($A13,'Valo FX'!$A:$A,0)),0,IF(FB$1&lt;INDEX('Valo FX'!$R:$R,MATCH($A13,'Valo FX'!$A:$A,0)),INDEX(Base!$U:$U,MATCH($A13,Base!$A:$A,0)),IF(FB$1=INDEX('Valo FX'!$R:$R,MATCH($A13,'Valo FX'!$A:$A,0)),INDEX(Base!$V:$V,MATCH($A13,Base!$A:$A,0)),0)))</f>
        <v>11.621169999999999</v>
      </c>
      <c r="FC13" s="21">
        <f>IF(FC$1&lt;INDEX('Valo FX'!$Q:$Q,MATCH($A13,'Valo FX'!$A:$A,0)),0,IF(FC$1&lt;INDEX('Valo FX'!$R:$R,MATCH($A13,'Valo FX'!$A:$A,0)),INDEX(Base!$U:$U,MATCH($A13,Base!$A:$A,0)),IF(FC$1=INDEX('Valo FX'!$R:$R,MATCH($A13,'Valo FX'!$A:$A,0)),INDEX(Base!$V:$V,MATCH($A13,Base!$A:$A,0)),0)))</f>
        <v>11.621169999999999</v>
      </c>
      <c r="FD13" s="21">
        <f>IF(FD$1&lt;INDEX('Valo FX'!$Q:$Q,MATCH($A13,'Valo FX'!$A:$A,0)),0,IF(FD$1&lt;INDEX('Valo FX'!$R:$R,MATCH($A13,'Valo FX'!$A:$A,0)),INDEX(Base!$U:$U,MATCH($A13,Base!$A:$A,0)),IF(FD$1=INDEX('Valo FX'!$R:$R,MATCH($A13,'Valo FX'!$A:$A,0)),INDEX(Base!$V:$V,MATCH($A13,Base!$A:$A,0)),0)))</f>
        <v>11.621169999999999</v>
      </c>
      <c r="FE13" s="21">
        <f>IF(FE$1&lt;INDEX('Valo FX'!$Q:$Q,MATCH($A13,'Valo FX'!$A:$A,0)),0,IF(FE$1&lt;INDEX('Valo FX'!$R:$R,MATCH($A13,'Valo FX'!$A:$A,0)),INDEX(Base!$U:$U,MATCH($A13,Base!$A:$A,0)),IF(FE$1=INDEX('Valo FX'!$R:$R,MATCH($A13,'Valo FX'!$A:$A,0)),INDEX(Base!$V:$V,MATCH($A13,Base!$A:$A,0)),0)))</f>
        <v>11.621169999999999</v>
      </c>
      <c r="FF13" s="21">
        <f>IF(FF$1&lt;INDEX('Valo FX'!$Q:$Q,MATCH($A13,'Valo FX'!$A:$A,0)),0,IF(FF$1&lt;INDEX('Valo FX'!$R:$R,MATCH($A13,'Valo FX'!$A:$A,0)),INDEX(Base!$U:$U,MATCH($A13,Base!$A:$A,0)),IF(FF$1=INDEX('Valo FX'!$R:$R,MATCH($A13,'Valo FX'!$A:$A,0)),INDEX(Base!$V:$V,MATCH($A13,Base!$A:$A,0)),0)))</f>
        <v>11.621169999999999</v>
      </c>
      <c r="FG13" s="21">
        <f>IF(FG$1&lt;INDEX('Valo FX'!$Q:$Q,MATCH($A13,'Valo FX'!$A:$A,0)),0,IF(FG$1&lt;INDEX('Valo FX'!$R:$R,MATCH($A13,'Valo FX'!$A:$A,0)),INDEX(Base!$U:$U,MATCH($A13,Base!$A:$A,0)),IF(FG$1=INDEX('Valo FX'!$R:$R,MATCH($A13,'Valo FX'!$A:$A,0)),INDEX(Base!$V:$V,MATCH($A13,Base!$A:$A,0)),0)))</f>
        <v>11.621169999999999</v>
      </c>
      <c r="FH13" s="21">
        <f>IF(FH$1&lt;INDEX('Valo FX'!$Q:$Q,MATCH($A13,'Valo FX'!$A:$A,0)),0,IF(FH$1&lt;INDEX('Valo FX'!$R:$R,MATCH($A13,'Valo FX'!$A:$A,0)),INDEX(Base!$U:$U,MATCH($A13,Base!$A:$A,0)),IF(FH$1=INDEX('Valo FX'!$R:$R,MATCH($A13,'Valo FX'!$A:$A,0)),INDEX(Base!$V:$V,MATCH($A13,Base!$A:$A,0)),0)))</f>
        <v>11.621169999999999</v>
      </c>
      <c r="FI13" s="21">
        <f>IF(FI$1&lt;INDEX('Valo FX'!$Q:$Q,MATCH($A13,'Valo FX'!$A:$A,0)),0,IF(FI$1&lt;INDEX('Valo FX'!$R:$R,MATCH($A13,'Valo FX'!$A:$A,0)),INDEX(Base!$U:$U,MATCH($A13,Base!$A:$A,0)),IF(FI$1=INDEX('Valo FX'!$R:$R,MATCH($A13,'Valo FX'!$A:$A,0)),INDEX(Base!$V:$V,MATCH($A13,Base!$A:$A,0)),0)))</f>
        <v>11.621169999999999</v>
      </c>
      <c r="FJ13" s="21">
        <f>IF(FJ$1&lt;INDEX('Valo FX'!$Q:$Q,MATCH($A13,'Valo FX'!$A:$A,0)),0,IF(FJ$1&lt;INDEX('Valo FX'!$R:$R,MATCH($A13,'Valo FX'!$A:$A,0)),INDEX(Base!$U:$U,MATCH($A13,Base!$A:$A,0)),IF(FJ$1=INDEX('Valo FX'!$R:$R,MATCH($A13,'Valo FX'!$A:$A,0)),INDEX(Base!$V:$V,MATCH($A13,Base!$A:$A,0)),0)))</f>
        <v>11.621169999999999</v>
      </c>
      <c r="FK13" s="21">
        <f>IF(FK$1&lt;INDEX('Valo FX'!$Q:$Q,MATCH($A13,'Valo FX'!$A:$A,0)),0,IF(FK$1&lt;INDEX('Valo FX'!$R:$R,MATCH($A13,'Valo FX'!$A:$A,0)),INDEX(Base!$U:$U,MATCH($A13,Base!$A:$A,0)),IF(FK$1=INDEX('Valo FX'!$R:$R,MATCH($A13,'Valo FX'!$A:$A,0)),INDEX(Base!$V:$V,MATCH($A13,Base!$A:$A,0)),0)))</f>
        <v>11.621169999999999</v>
      </c>
      <c r="FL13" s="21">
        <f>IF(FL$1&lt;INDEX('Valo FX'!$Q:$Q,MATCH($A13,'Valo FX'!$A:$A,0)),0,IF(FL$1&lt;INDEX('Valo FX'!$R:$R,MATCH($A13,'Valo FX'!$A:$A,0)),INDEX(Base!$U:$U,MATCH($A13,Base!$A:$A,0)),IF(FL$1=INDEX('Valo FX'!$R:$R,MATCH($A13,'Valo FX'!$A:$A,0)),INDEX(Base!$V:$V,MATCH($A13,Base!$A:$A,0)),0)))</f>
        <v>11.621169999999999</v>
      </c>
      <c r="FM13" s="21">
        <f>IF(FM$1&lt;INDEX('Valo FX'!$Q:$Q,MATCH($A13,'Valo FX'!$A:$A,0)),0,IF(FM$1&lt;INDEX('Valo FX'!$R:$R,MATCH($A13,'Valo FX'!$A:$A,0)),INDEX(Base!$U:$U,MATCH($A13,Base!$A:$A,0)),IF(FM$1=INDEX('Valo FX'!$R:$R,MATCH($A13,'Valo FX'!$A:$A,0)),INDEX(Base!$V:$V,MATCH($A13,Base!$A:$A,0)),0)))</f>
        <v>11.621169999999999</v>
      </c>
      <c r="FN13" s="21">
        <f>IF(FN$1&lt;INDEX('Valo FX'!$Q:$Q,MATCH($A13,'Valo FX'!$A:$A,0)),0,IF(FN$1&lt;INDEX('Valo FX'!$R:$R,MATCH($A13,'Valo FX'!$A:$A,0)),INDEX(Base!$U:$U,MATCH($A13,Base!$A:$A,0)),IF(FN$1=INDEX('Valo FX'!$R:$R,MATCH($A13,'Valo FX'!$A:$A,0)),INDEX(Base!$V:$V,MATCH($A13,Base!$A:$A,0)),0)))</f>
        <v>11.621169999999999</v>
      </c>
      <c r="FO13" s="21">
        <f>IF(FO$1&lt;INDEX('Valo FX'!$Q:$Q,MATCH($A13,'Valo FX'!$A:$A,0)),0,IF(FO$1&lt;INDEX('Valo FX'!$R:$R,MATCH($A13,'Valo FX'!$A:$A,0)),INDEX(Base!$U:$U,MATCH($A13,Base!$A:$A,0)),IF(FO$1=INDEX('Valo FX'!$R:$R,MATCH($A13,'Valo FX'!$A:$A,0)),INDEX(Base!$V:$V,MATCH($A13,Base!$A:$A,0)),0)))</f>
        <v>11.621169999999999</v>
      </c>
      <c r="FP13" s="21">
        <f>IF(FP$1&lt;INDEX('Valo FX'!$Q:$Q,MATCH($A13,'Valo FX'!$A:$A,0)),0,IF(FP$1&lt;INDEX('Valo FX'!$R:$R,MATCH($A13,'Valo FX'!$A:$A,0)),INDEX(Base!$U:$U,MATCH($A13,Base!$A:$A,0)),IF(FP$1=INDEX('Valo FX'!$R:$R,MATCH($A13,'Valo FX'!$A:$A,0)),INDEX(Base!$V:$V,MATCH($A13,Base!$A:$A,0)),0)))</f>
        <v>11.621169999999999</v>
      </c>
      <c r="FQ13" s="21">
        <f>IF(FQ$1&lt;INDEX('Valo FX'!$Q:$Q,MATCH($A13,'Valo FX'!$A:$A,0)),0,IF(FQ$1&lt;INDEX('Valo FX'!$R:$R,MATCH($A13,'Valo FX'!$A:$A,0)),INDEX(Base!$U:$U,MATCH($A13,Base!$A:$A,0)),IF(FQ$1=INDEX('Valo FX'!$R:$R,MATCH($A13,'Valo FX'!$A:$A,0)),INDEX(Base!$V:$V,MATCH($A13,Base!$A:$A,0)),0)))</f>
        <v>11.621169999999999</v>
      </c>
      <c r="FR13" s="21">
        <f>IF(FR$1&lt;INDEX('Valo FX'!$Q:$Q,MATCH($A13,'Valo FX'!$A:$A,0)),0,IF(FR$1&lt;INDEX('Valo FX'!$R:$R,MATCH($A13,'Valo FX'!$A:$A,0)),INDEX(Base!$U:$U,MATCH($A13,Base!$A:$A,0)),IF(FR$1=INDEX('Valo FX'!$R:$R,MATCH($A13,'Valo FX'!$A:$A,0)),INDEX(Base!$V:$V,MATCH($A13,Base!$A:$A,0)),0)))</f>
        <v>11.621169999999999</v>
      </c>
      <c r="FS13" s="21">
        <f>IF(FS$1&lt;INDEX('Valo FX'!$Q:$Q,MATCH($A13,'Valo FX'!$A:$A,0)),0,IF(FS$1&lt;INDEX('Valo FX'!$R:$R,MATCH($A13,'Valo FX'!$A:$A,0)),INDEX(Base!$U:$U,MATCH($A13,Base!$A:$A,0)),IF(FS$1=INDEX('Valo FX'!$R:$R,MATCH($A13,'Valo FX'!$A:$A,0)),INDEX(Base!$V:$V,MATCH($A13,Base!$A:$A,0)),0)))</f>
        <v>11.621169999999999</v>
      </c>
      <c r="FT13" s="21">
        <f>IF(FT$1&lt;INDEX('Valo FX'!$Q:$Q,MATCH($A13,'Valo FX'!$A:$A,0)),0,IF(FT$1&lt;INDEX('Valo FX'!$R:$R,MATCH($A13,'Valo FX'!$A:$A,0)),INDEX(Base!$U:$U,MATCH($A13,Base!$A:$A,0)),IF(FT$1=INDEX('Valo FX'!$R:$R,MATCH($A13,'Valo FX'!$A:$A,0)),INDEX(Base!$V:$V,MATCH($A13,Base!$A:$A,0)),0)))</f>
        <v>11.621169999999999</v>
      </c>
      <c r="FU13" s="21">
        <f>IF(FU$1&lt;INDEX('Valo FX'!$Q:$Q,MATCH($A13,'Valo FX'!$A:$A,0)),0,IF(FU$1&lt;INDEX('Valo FX'!$R:$R,MATCH($A13,'Valo FX'!$A:$A,0)),INDEX(Base!$U:$U,MATCH($A13,Base!$A:$A,0)),IF(FU$1=INDEX('Valo FX'!$R:$R,MATCH($A13,'Valo FX'!$A:$A,0)),INDEX(Base!$V:$V,MATCH($A13,Base!$A:$A,0)),0)))</f>
        <v>11.621169999999999</v>
      </c>
      <c r="FV13" s="21">
        <f>IF(FV$1&lt;INDEX('Valo FX'!$Q:$Q,MATCH($A13,'Valo FX'!$A:$A,0)),0,IF(FV$1&lt;INDEX('Valo FX'!$R:$R,MATCH($A13,'Valo FX'!$A:$A,0)),INDEX(Base!$U:$U,MATCH($A13,Base!$A:$A,0)),IF(FV$1=INDEX('Valo FX'!$R:$R,MATCH($A13,'Valo FX'!$A:$A,0)),INDEX(Base!$V:$V,MATCH($A13,Base!$A:$A,0)),0)))</f>
        <v>11.621169999999999</v>
      </c>
      <c r="FW13" s="21">
        <f>IF(FW$1&lt;INDEX('Valo FX'!$Q:$Q,MATCH($A13,'Valo FX'!$A:$A,0)),0,IF(FW$1&lt;INDEX('Valo FX'!$R:$R,MATCH($A13,'Valo FX'!$A:$A,0)),INDEX(Base!$U:$U,MATCH($A13,Base!$A:$A,0)),IF(FW$1=INDEX('Valo FX'!$R:$R,MATCH($A13,'Valo FX'!$A:$A,0)),INDEX(Base!$V:$V,MATCH($A13,Base!$A:$A,0)),0)))</f>
        <v>11.621169999999999</v>
      </c>
      <c r="FX13" s="21">
        <f>IF(FX$1&lt;INDEX('Valo FX'!$Q:$Q,MATCH($A13,'Valo FX'!$A:$A,0)),0,IF(FX$1&lt;INDEX('Valo FX'!$R:$R,MATCH($A13,'Valo FX'!$A:$A,0)),INDEX(Base!$U:$U,MATCH($A13,Base!$A:$A,0)),IF(FX$1=INDEX('Valo FX'!$R:$R,MATCH($A13,'Valo FX'!$A:$A,0)),INDEX(Base!$V:$V,MATCH($A13,Base!$A:$A,0)),0)))</f>
        <v>11.621169999999999</v>
      </c>
      <c r="FY13" s="21">
        <f>IF(FY$1&lt;INDEX('Valo FX'!$Q:$Q,MATCH($A13,'Valo FX'!$A:$A,0)),0,IF(FY$1&lt;INDEX('Valo FX'!$R:$R,MATCH($A13,'Valo FX'!$A:$A,0)),INDEX(Base!$U:$U,MATCH($A13,Base!$A:$A,0)),IF(FY$1=INDEX('Valo FX'!$R:$R,MATCH($A13,'Valo FX'!$A:$A,0)),INDEX(Base!$V:$V,MATCH($A13,Base!$A:$A,0)),0)))</f>
        <v>11.621169999999999</v>
      </c>
      <c r="FZ13" s="21">
        <f>IF(FZ$1&lt;INDEX('Valo FX'!$Q:$Q,MATCH($A13,'Valo FX'!$A:$A,0)),0,IF(FZ$1&lt;INDEX('Valo FX'!$R:$R,MATCH($A13,'Valo FX'!$A:$A,0)),INDEX(Base!$U:$U,MATCH($A13,Base!$A:$A,0)),IF(FZ$1=INDEX('Valo FX'!$R:$R,MATCH($A13,'Valo FX'!$A:$A,0)),INDEX(Base!$V:$V,MATCH($A13,Base!$A:$A,0)),0)))</f>
        <v>11.621169999999999</v>
      </c>
      <c r="GA13" s="21">
        <f>IF(GA$1&lt;INDEX('Valo FX'!$Q:$Q,MATCH($A13,'Valo FX'!$A:$A,0)),0,IF(GA$1&lt;INDEX('Valo FX'!$R:$R,MATCH($A13,'Valo FX'!$A:$A,0)),INDEX(Base!$U:$U,MATCH($A13,Base!$A:$A,0)),IF(GA$1=INDEX('Valo FX'!$R:$R,MATCH($A13,'Valo FX'!$A:$A,0)),INDEX(Base!$V:$V,MATCH($A13,Base!$A:$A,0)),0)))</f>
        <v>11.621169999999999</v>
      </c>
      <c r="GB13" s="21">
        <f>IF(GB$1&lt;INDEX('Valo FX'!$Q:$Q,MATCH($A13,'Valo FX'!$A:$A,0)),0,IF(GB$1&lt;INDEX('Valo FX'!$R:$R,MATCH($A13,'Valo FX'!$A:$A,0)),INDEX(Base!$U:$U,MATCH($A13,Base!$A:$A,0)),IF(GB$1=INDEX('Valo FX'!$R:$R,MATCH($A13,'Valo FX'!$A:$A,0)),INDEX(Base!$V:$V,MATCH($A13,Base!$A:$A,0)),0)))</f>
        <v>11.621169999999999</v>
      </c>
      <c r="GC13" s="21">
        <f>IF(GC$1&lt;INDEX('Valo FX'!$Q:$Q,MATCH($A13,'Valo FX'!$A:$A,0)),0,IF(GC$1&lt;INDEX('Valo FX'!$R:$R,MATCH($A13,'Valo FX'!$A:$A,0)),INDEX(Base!$U:$U,MATCH($A13,Base!$A:$A,0)),IF(GC$1=INDEX('Valo FX'!$R:$R,MATCH($A13,'Valo FX'!$A:$A,0)),INDEX(Base!$V:$V,MATCH($A13,Base!$A:$A,0)),0)))</f>
        <v>11.621169999999999</v>
      </c>
      <c r="GD13" s="21">
        <f>IF(GD$1&lt;INDEX('Valo FX'!$Q:$Q,MATCH($A13,'Valo FX'!$A:$A,0)),0,IF(GD$1&lt;INDEX('Valo FX'!$R:$R,MATCH($A13,'Valo FX'!$A:$A,0)),INDEX(Base!$U:$U,MATCH($A13,Base!$A:$A,0)),IF(GD$1=INDEX('Valo FX'!$R:$R,MATCH($A13,'Valo FX'!$A:$A,0)),INDEX(Base!$V:$V,MATCH($A13,Base!$A:$A,0)),0)))</f>
        <v>11.621169999999999</v>
      </c>
      <c r="GE13" s="21">
        <f>IF(GE$1&lt;INDEX('Valo FX'!$Q:$Q,MATCH($A13,'Valo FX'!$A:$A,0)),0,IF(GE$1&lt;INDEX('Valo FX'!$R:$R,MATCH($A13,'Valo FX'!$A:$A,0)),INDEX(Base!$U:$U,MATCH($A13,Base!$A:$A,0)),IF(GE$1=INDEX('Valo FX'!$R:$R,MATCH($A13,'Valo FX'!$A:$A,0)),INDEX(Base!$V:$V,MATCH($A13,Base!$A:$A,0)),0)))</f>
        <v>11.621169999999999</v>
      </c>
      <c r="GF13" s="21">
        <f>IF(GF$1&lt;INDEX('Valo FX'!$Q:$Q,MATCH($A13,'Valo FX'!$A:$A,0)),0,IF(GF$1&lt;INDEX('Valo FX'!$R:$R,MATCH($A13,'Valo FX'!$A:$A,0)),INDEX(Base!$U:$U,MATCH($A13,Base!$A:$A,0)),IF(GF$1=INDEX('Valo FX'!$R:$R,MATCH($A13,'Valo FX'!$A:$A,0)),INDEX(Base!$V:$V,MATCH($A13,Base!$A:$A,0)),0)))</f>
        <v>11.621169999999999</v>
      </c>
      <c r="GG13" s="21">
        <f>IF(GG$1&lt;INDEX('Valo FX'!$Q:$Q,MATCH($A13,'Valo FX'!$A:$A,0)),0,IF(GG$1&lt;INDEX('Valo FX'!$R:$R,MATCH($A13,'Valo FX'!$A:$A,0)),INDEX(Base!$U:$U,MATCH($A13,Base!$A:$A,0)),IF(GG$1=INDEX('Valo FX'!$R:$R,MATCH($A13,'Valo FX'!$A:$A,0)),INDEX(Base!$V:$V,MATCH($A13,Base!$A:$A,0)),0)))</f>
        <v>11.621169999999999</v>
      </c>
      <c r="GH13" s="21">
        <f>IF(GH$1&lt;INDEX('Valo FX'!$Q:$Q,MATCH($A13,'Valo FX'!$A:$A,0)),0,IF(GH$1&lt;INDEX('Valo FX'!$R:$R,MATCH($A13,'Valo FX'!$A:$A,0)),INDEX(Base!$U:$U,MATCH($A13,Base!$A:$A,0)),IF(GH$1=INDEX('Valo FX'!$R:$R,MATCH($A13,'Valo FX'!$A:$A,0)),INDEX(Base!$V:$V,MATCH($A13,Base!$A:$A,0)),0)))</f>
        <v>11.621169999999999</v>
      </c>
      <c r="GI13" s="21">
        <f>IF(GI$1&lt;INDEX('Valo FX'!$Q:$Q,MATCH($A13,'Valo FX'!$A:$A,0)),0,IF(GI$1&lt;INDEX('Valo FX'!$R:$R,MATCH($A13,'Valo FX'!$A:$A,0)),INDEX(Base!$U:$U,MATCH($A13,Base!$A:$A,0)),IF(GI$1=INDEX('Valo FX'!$R:$R,MATCH($A13,'Valo FX'!$A:$A,0)),INDEX(Base!$V:$V,MATCH($A13,Base!$A:$A,0)),0)))</f>
        <v>11.621169999999999</v>
      </c>
      <c r="GJ13" s="21">
        <f>IF(GJ$1&lt;INDEX('Valo FX'!$Q:$Q,MATCH($A13,'Valo FX'!$A:$A,0)),0,IF(GJ$1&lt;INDEX('Valo FX'!$R:$R,MATCH($A13,'Valo FX'!$A:$A,0)),INDEX(Base!$U:$U,MATCH($A13,Base!$A:$A,0)),IF(GJ$1=INDEX('Valo FX'!$R:$R,MATCH($A13,'Valo FX'!$A:$A,0)),INDEX(Base!$V:$V,MATCH($A13,Base!$A:$A,0)),0)))</f>
        <v>11.621169999999999</v>
      </c>
      <c r="GK13" s="21">
        <f>IF(GK$1&lt;INDEX('Valo FX'!$Q:$Q,MATCH($A13,'Valo FX'!$A:$A,0)),0,IF(GK$1&lt;INDEX('Valo FX'!$R:$R,MATCH($A13,'Valo FX'!$A:$A,0)),INDEX(Base!$U:$U,MATCH($A13,Base!$A:$A,0)),IF(GK$1=INDEX('Valo FX'!$R:$R,MATCH($A13,'Valo FX'!$A:$A,0)),INDEX(Base!$V:$V,MATCH($A13,Base!$A:$A,0)),0)))</f>
        <v>11.621169999999999</v>
      </c>
      <c r="GL13" s="21">
        <f>IF(GL$1&lt;INDEX('Valo FX'!$Q:$Q,MATCH($A13,'Valo FX'!$A:$A,0)),0,IF(GL$1&lt;INDEX('Valo FX'!$R:$R,MATCH($A13,'Valo FX'!$A:$A,0)),INDEX(Base!$U:$U,MATCH($A13,Base!$A:$A,0)),IF(GL$1=INDEX('Valo FX'!$R:$R,MATCH($A13,'Valo FX'!$A:$A,0)),INDEX(Base!$V:$V,MATCH($A13,Base!$A:$A,0)),0)))</f>
        <v>11.621169999999999</v>
      </c>
      <c r="GM13" s="21">
        <f>IF(GM$1&lt;INDEX('Valo FX'!$Q:$Q,MATCH($A13,'Valo FX'!$A:$A,0)),0,IF(GM$1&lt;INDEX('Valo FX'!$R:$R,MATCH($A13,'Valo FX'!$A:$A,0)),INDEX(Base!$U:$U,MATCH($A13,Base!$A:$A,0)),IF(GM$1=INDEX('Valo FX'!$R:$R,MATCH($A13,'Valo FX'!$A:$A,0)),INDEX(Base!$V:$V,MATCH($A13,Base!$A:$A,0)),0)))</f>
        <v>11.621169999999999</v>
      </c>
      <c r="GN13" s="21">
        <f>IF(GN$1&lt;INDEX('Valo FX'!$Q:$Q,MATCH($A13,'Valo FX'!$A:$A,0)),0,IF(GN$1&lt;INDEX('Valo FX'!$R:$R,MATCH($A13,'Valo FX'!$A:$A,0)),INDEX(Base!$U:$U,MATCH($A13,Base!$A:$A,0)),IF(GN$1=INDEX('Valo FX'!$R:$R,MATCH($A13,'Valo FX'!$A:$A,0)),INDEX(Base!$V:$V,MATCH($A13,Base!$A:$A,0)),0)))</f>
        <v>11.621169999999999</v>
      </c>
      <c r="GO13" s="21">
        <f>IF(GO$1&lt;INDEX('Valo FX'!$Q:$Q,MATCH($A13,'Valo FX'!$A:$A,0)),0,IF(GO$1&lt;INDEX('Valo FX'!$R:$R,MATCH($A13,'Valo FX'!$A:$A,0)),INDEX(Base!$U:$U,MATCH($A13,Base!$A:$A,0)),IF(GO$1=INDEX('Valo FX'!$R:$R,MATCH($A13,'Valo FX'!$A:$A,0)),INDEX(Base!$V:$V,MATCH($A13,Base!$A:$A,0)),0)))</f>
        <v>11.621169999999999</v>
      </c>
      <c r="GP13" s="21">
        <f>IF(GP$1&lt;INDEX('Valo FX'!$Q:$Q,MATCH($A13,'Valo FX'!$A:$A,0)),0,IF(GP$1&lt;INDEX('Valo FX'!$R:$R,MATCH($A13,'Valo FX'!$A:$A,0)),INDEX(Base!$U:$U,MATCH($A13,Base!$A:$A,0)),IF(GP$1=INDEX('Valo FX'!$R:$R,MATCH($A13,'Valo FX'!$A:$A,0)),INDEX(Base!$V:$V,MATCH($A13,Base!$A:$A,0)),0)))</f>
        <v>11.621169999999999</v>
      </c>
      <c r="GQ13" s="21">
        <f>IF(GQ$1&lt;INDEX('Valo FX'!$Q:$Q,MATCH($A13,'Valo FX'!$A:$A,0)),0,IF(GQ$1&lt;INDEX('Valo FX'!$R:$R,MATCH($A13,'Valo FX'!$A:$A,0)),INDEX(Base!$U:$U,MATCH($A13,Base!$A:$A,0)),IF(GQ$1=INDEX('Valo FX'!$R:$R,MATCH($A13,'Valo FX'!$A:$A,0)),INDEX(Base!$V:$V,MATCH($A13,Base!$A:$A,0)),0)))</f>
        <v>11.621169999999999</v>
      </c>
      <c r="GR13" s="21">
        <f>IF(GR$1&lt;INDEX('Valo FX'!$Q:$Q,MATCH($A13,'Valo FX'!$A:$A,0)),0,IF(GR$1&lt;INDEX('Valo FX'!$R:$R,MATCH($A13,'Valo FX'!$A:$A,0)),INDEX(Base!$U:$U,MATCH($A13,Base!$A:$A,0)),IF(GR$1=INDEX('Valo FX'!$R:$R,MATCH($A13,'Valo FX'!$A:$A,0)),INDEX(Base!$V:$V,MATCH($A13,Base!$A:$A,0)),0)))</f>
        <v>11.621169999999999</v>
      </c>
      <c r="GS13" s="21">
        <f>IF(GS$1&lt;INDEX('Valo FX'!$Q:$Q,MATCH($A13,'Valo FX'!$A:$A,0)),0,IF(GS$1&lt;INDEX('Valo FX'!$R:$R,MATCH($A13,'Valo FX'!$A:$A,0)),INDEX(Base!$U:$U,MATCH($A13,Base!$A:$A,0)),IF(GS$1=INDEX('Valo FX'!$R:$R,MATCH($A13,'Valo FX'!$A:$A,0)),INDEX(Base!$V:$V,MATCH($A13,Base!$A:$A,0)),0)))</f>
        <v>11.621169999999999</v>
      </c>
      <c r="GT13" s="21">
        <f>IF(GT$1&lt;INDEX('Valo FX'!$Q:$Q,MATCH($A13,'Valo FX'!$A:$A,0)),0,IF(GT$1&lt;INDEX('Valo FX'!$R:$R,MATCH($A13,'Valo FX'!$A:$A,0)),INDEX(Base!$U:$U,MATCH($A13,Base!$A:$A,0)),IF(GT$1=INDEX('Valo FX'!$R:$R,MATCH($A13,'Valo FX'!$A:$A,0)),INDEX(Base!$V:$V,MATCH($A13,Base!$A:$A,0)),0)))</f>
        <v>11.621169999999999</v>
      </c>
      <c r="GU13" s="21">
        <f>IF(GU$1&lt;INDEX('Valo FX'!$Q:$Q,MATCH($A13,'Valo FX'!$A:$A,0)),0,IF(GU$1&lt;INDEX('Valo FX'!$R:$R,MATCH($A13,'Valo FX'!$A:$A,0)),INDEX(Base!$U:$U,MATCH($A13,Base!$A:$A,0)),IF(GU$1=INDEX('Valo FX'!$R:$R,MATCH($A13,'Valo FX'!$A:$A,0)),INDEX(Base!$V:$V,MATCH($A13,Base!$A:$A,0)),0)))</f>
        <v>11.621169999999999</v>
      </c>
      <c r="GV13" s="21">
        <f>IF(GV$1&lt;INDEX('Valo FX'!$Q:$Q,MATCH($A13,'Valo FX'!$A:$A,0)),0,IF(GV$1&lt;INDEX('Valo FX'!$R:$R,MATCH($A13,'Valo FX'!$A:$A,0)),INDEX(Base!$U:$U,MATCH($A13,Base!$A:$A,0)),IF(GV$1=INDEX('Valo FX'!$R:$R,MATCH($A13,'Valo FX'!$A:$A,0)),INDEX(Base!$V:$V,MATCH($A13,Base!$A:$A,0)),0)))</f>
        <v>11.621169999999999</v>
      </c>
      <c r="GW13" s="21">
        <f>IF(GW$1&lt;INDEX('Valo FX'!$Q:$Q,MATCH($A13,'Valo FX'!$A:$A,0)),0,IF(GW$1&lt;INDEX('Valo FX'!$R:$R,MATCH($A13,'Valo FX'!$A:$A,0)),INDEX(Base!$U:$U,MATCH($A13,Base!$A:$A,0)),IF(GW$1=INDEX('Valo FX'!$R:$R,MATCH($A13,'Valo FX'!$A:$A,0)),INDEX(Base!$V:$V,MATCH($A13,Base!$A:$A,0)),0)))</f>
        <v>11.621169999999999</v>
      </c>
      <c r="GX13" s="21">
        <f>IF(GX$1&lt;INDEX('Valo FX'!$Q:$Q,MATCH($A13,'Valo FX'!$A:$A,0)),0,IF(GX$1&lt;INDEX('Valo FX'!$R:$R,MATCH($A13,'Valo FX'!$A:$A,0)),INDEX(Base!$U:$U,MATCH($A13,Base!$A:$A,0)),IF(GX$1=INDEX('Valo FX'!$R:$R,MATCH($A13,'Valo FX'!$A:$A,0)),INDEX(Base!$V:$V,MATCH($A13,Base!$A:$A,0)),0)))</f>
        <v>11.621169999999999</v>
      </c>
      <c r="GY13" s="21">
        <f>IF(GY$1&lt;INDEX('Valo FX'!$Q:$Q,MATCH($A13,'Valo FX'!$A:$A,0)),0,IF(GY$1&lt;INDEX('Valo FX'!$R:$R,MATCH($A13,'Valo FX'!$A:$A,0)),INDEX(Base!$U:$U,MATCH($A13,Base!$A:$A,0)),IF(GY$1=INDEX('Valo FX'!$R:$R,MATCH($A13,'Valo FX'!$A:$A,0)),INDEX(Base!$V:$V,MATCH($A13,Base!$A:$A,0)),0)))</f>
        <v>11.621169999999999</v>
      </c>
      <c r="GZ13" s="21">
        <f>IF(GZ$1&lt;INDEX('Valo FX'!$Q:$Q,MATCH($A13,'Valo FX'!$A:$A,0)),0,IF(GZ$1&lt;INDEX('Valo FX'!$R:$R,MATCH($A13,'Valo FX'!$A:$A,0)),INDEX(Base!$U:$U,MATCH($A13,Base!$A:$A,0)),IF(GZ$1=INDEX('Valo FX'!$R:$R,MATCH($A13,'Valo FX'!$A:$A,0)),INDEX(Base!$V:$V,MATCH($A13,Base!$A:$A,0)),0)))</f>
        <v>11.621169999999999</v>
      </c>
      <c r="HA13" s="21">
        <f>IF(HA$1&lt;INDEX('Valo FX'!$Q:$Q,MATCH($A13,'Valo FX'!$A:$A,0)),0,IF(HA$1&lt;INDEX('Valo FX'!$R:$R,MATCH($A13,'Valo FX'!$A:$A,0)),INDEX(Base!$U:$U,MATCH($A13,Base!$A:$A,0)),IF(HA$1=INDEX('Valo FX'!$R:$R,MATCH($A13,'Valo FX'!$A:$A,0)),INDEX(Base!$V:$V,MATCH($A13,Base!$A:$A,0)),0)))</f>
        <v>11.621169999999999</v>
      </c>
      <c r="HB13" s="21">
        <f>IF(HB$1&lt;INDEX('Valo FX'!$Q:$Q,MATCH($A13,'Valo FX'!$A:$A,0)),0,IF(HB$1&lt;INDEX('Valo FX'!$R:$R,MATCH($A13,'Valo FX'!$A:$A,0)),INDEX(Base!$U:$U,MATCH($A13,Base!$A:$A,0)),IF(HB$1=INDEX('Valo FX'!$R:$R,MATCH($A13,'Valo FX'!$A:$A,0)),INDEX(Base!$V:$V,MATCH($A13,Base!$A:$A,0)),0)))</f>
        <v>11.621169999999999</v>
      </c>
      <c r="HC13" s="21">
        <f>IF(HC$1&lt;INDEX('Valo FX'!$Q:$Q,MATCH($A13,'Valo FX'!$A:$A,0)),0,IF(HC$1&lt;INDEX('Valo FX'!$R:$R,MATCH($A13,'Valo FX'!$A:$A,0)),INDEX(Base!$U:$U,MATCH($A13,Base!$A:$A,0)),IF(HC$1=INDEX('Valo FX'!$R:$R,MATCH($A13,'Valo FX'!$A:$A,0)),INDEX(Base!$V:$V,MATCH($A13,Base!$A:$A,0)),0)))</f>
        <v>11.621169999999999</v>
      </c>
      <c r="HD13" s="21">
        <f>IF(HD$1&lt;INDEX('Valo FX'!$Q:$Q,MATCH($A13,'Valo FX'!$A:$A,0)),0,IF(HD$1&lt;INDEX('Valo FX'!$R:$R,MATCH($A13,'Valo FX'!$A:$A,0)),INDEX(Base!$U:$U,MATCH($A13,Base!$A:$A,0)),IF(HD$1=INDEX('Valo FX'!$R:$R,MATCH($A13,'Valo FX'!$A:$A,0)),INDEX(Base!$V:$V,MATCH($A13,Base!$A:$A,0)),0)))</f>
        <v>11.621169999999999</v>
      </c>
      <c r="HE13" s="21">
        <f>IF(HE$1&lt;INDEX('Valo FX'!$Q:$Q,MATCH($A13,'Valo FX'!$A:$A,0)),0,IF(HE$1&lt;INDEX('Valo FX'!$R:$R,MATCH($A13,'Valo FX'!$A:$A,0)),INDEX(Base!$U:$U,MATCH($A13,Base!$A:$A,0)),IF(HE$1=INDEX('Valo FX'!$R:$R,MATCH($A13,'Valo FX'!$A:$A,0)),INDEX(Base!$V:$V,MATCH($A13,Base!$A:$A,0)),0)))</f>
        <v>11.621169999999999</v>
      </c>
      <c r="HF13" s="21">
        <f>IF(HF$1&lt;INDEX('Valo FX'!$Q:$Q,MATCH($A13,'Valo FX'!$A:$A,0)),0,IF(HF$1&lt;INDEX('Valo FX'!$R:$R,MATCH($A13,'Valo FX'!$A:$A,0)),INDEX(Base!$U:$U,MATCH($A13,Base!$A:$A,0)),IF(HF$1=INDEX('Valo FX'!$R:$R,MATCH($A13,'Valo FX'!$A:$A,0)),INDEX(Base!$V:$V,MATCH($A13,Base!$A:$A,0)),0)))</f>
        <v>11.621169999999999</v>
      </c>
      <c r="HG13" s="21">
        <f>IF(HG$1&lt;INDEX('Valo FX'!$Q:$Q,MATCH($A13,'Valo FX'!$A:$A,0)),0,IF(HG$1&lt;INDEX('Valo FX'!$R:$R,MATCH($A13,'Valo FX'!$A:$A,0)),INDEX(Base!$U:$U,MATCH($A13,Base!$A:$A,0)),IF(HG$1=INDEX('Valo FX'!$R:$R,MATCH($A13,'Valo FX'!$A:$A,0)),INDEX(Base!$V:$V,MATCH($A13,Base!$A:$A,0)),0)))</f>
        <v>11.621169999999999</v>
      </c>
      <c r="HH13" s="21">
        <f>IF(HH$1&lt;INDEX('Valo FX'!$Q:$Q,MATCH($A13,'Valo FX'!$A:$A,0)),0,IF(HH$1&lt;INDEX('Valo FX'!$R:$R,MATCH($A13,'Valo FX'!$A:$A,0)),INDEX(Base!$U:$U,MATCH($A13,Base!$A:$A,0)),IF(HH$1=INDEX('Valo FX'!$R:$R,MATCH($A13,'Valo FX'!$A:$A,0)),INDEX(Base!$V:$V,MATCH($A13,Base!$A:$A,0)),0)))</f>
        <v>11.621169999999999</v>
      </c>
      <c r="HI13" s="21">
        <f>IF(HI$1&lt;INDEX('Valo FX'!$Q:$Q,MATCH($A13,'Valo FX'!$A:$A,0)),0,IF(HI$1&lt;INDEX('Valo FX'!$R:$R,MATCH($A13,'Valo FX'!$A:$A,0)),INDEX(Base!$U:$U,MATCH($A13,Base!$A:$A,0)),IF(HI$1=INDEX('Valo FX'!$R:$R,MATCH($A13,'Valo FX'!$A:$A,0)),INDEX(Base!$V:$V,MATCH($A13,Base!$A:$A,0)),0)))</f>
        <v>11.621169999999999</v>
      </c>
      <c r="HJ13" s="21">
        <f>IF(HJ$1&lt;INDEX('Valo FX'!$Q:$Q,MATCH($A13,'Valo FX'!$A:$A,0)),0,IF(HJ$1&lt;INDEX('Valo FX'!$R:$R,MATCH($A13,'Valo FX'!$A:$A,0)),INDEX(Base!$U:$U,MATCH($A13,Base!$A:$A,0)),IF(HJ$1=INDEX('Valo FX'!$R:$R,MATCH($A13,'Valo FX'!$A:$A,0)),INDEX(Base!$V:$V,MATCH($A13,Base!$A:$A,0)),0)))</f>
        <v>11.621169999999999</v>
      </c>
      <c r="HK13" s="21">
        <f>IF(HK$1&lt;INDEX('Valo FX'!$Q:$Q,MATCH($A13,'Valo FX'!$A:$A,0)),0,IF(HK$1&lt;INDEX('Valo FX'!$R:$R,MATCH($A13,'Valo FX'!$A:$A,0)),INDEX(Base!$U:$U,MATCH($A13,Base!$A:$A,0)),IF(HK$1=INDEX('Valo FX'!$R:$R,MATCH($A13,'Valo FX'!$A:$A,0)),INDEX(Base!$V:$V,MATCH($A13,Base!$A:$A,0)),0)))</f>
        <v>11.621169999999999</v>
      </c>
      <c r="HL13" s="21">
        <f>IF(HL$1&lt;INDEX('Valo FX'!$Q:$Q,MATCH($A13,'Valo FX'!$A:$A,0)),0,IF(HL$1&lt;INDEX('Valo FX'!$R:$R,MATCH($A13,'Valo FX'!$A:$A,0)),INDEX(Base!$U:$U,MATCH($A13,Base!$A:$A,0)),IF(HL$1=INDEX('Valo FX'!$R:$R,MATCH($A13,'Valo FX'!$A:$A,0)),INDEX(Base!$V:$V,MATCH($A13,Base!$A:$A,0)),0)))</f>
        <v>11.621169999999999</v>
      </c>
      <c r="HM13" s="21">
        <f>IF(HM$1&lt;INDEX('Valo FX'!$Q:$Q,MATCH($A13,'Valo FX'!$A:$A,0)),0,IF(HM$1&lt;INDEX('Valo FX'!$R:$R,MATCH($A13,'Valo FX'!$A:$A,0)),INDEX(Base!$U:$U,MATCH($A13,Base!$A:$A,0)),IF(HM$1=INDEX('Valo FX'!$R:$R,MATCH($A13,'Valo FX'!$A:$A,0)),INDEX(Base!$V:$V,MATCH($A13,Base!$A:$A,0)),0)))</f>
        <v>11.621169999999999</v>
      </c>
      <c r="HN13" s="21">
        <f>IF(HN$1&lt;INDEX('Valo FX'!$Q:$Q,MATCH($A13,'Valo FX'!$A:$A,0)),0,IF(HN$1&lt;INDEX('Valo FX'!$R:$R,MATCH($A13,'Valo FX'!$A:$A,0)),INDEX(Base!$U:$U,MATCH($A13,Base!$A:$A,0)),IF(HN$1=INDEX('Valo FX'!$R:$R,MATCH($A13,'Valo FX'!$A:$A,0)),INDEX(Base!$V:$V,MATCH($A13,Base!$A:$A,0)),0)))</f>
        <v>11.621169999999999</v>
      </c>
      <c r="HO13" s="21">
        <f>IF(HO$1&lt;INDEX('Valo FX'!$Q:$Q,MATCH($A13,'Valo FX'!$A:$A,0)),0,IF(HO$1&lt;INDEX('Valo FX'!$R:$R,MATCH($A13,'Valo FX'!$A:$A,0)),INDEX(Base!$U:$U,MATCH($A13,Base!$A:$A,0)),IF(HO$1=INDEX('Valo FX'!$R:$R,MATCH($A13,'Valo FX'!$A:$A,0)),INDEX(Base!$V:$V,MATCH($A13,Base!$A:$A,0)),0)))</f>
        <v>11.621169999999999</v>
      </c>
      <c r="HP13" s="21">
        <f>IF(HP$1&lt;INDEX('Valo FX'!$Q:$Q,MATCH($A13,'Valo FX'!$A:$A,0)),0,IF(HP$1&lt;INDEX('Valo FX'!$R:$R,MATCH($A13,'Valo FX'!$A:$A,0)),INDEX(Base!$U:$U,MATCH($A13,Base!$A:$A,0)),IF(HP$1=INDEX('Valo FX'!$R:$R,MATCH($A13,'Valo FX'!$A:$A,0)),INDEX(Base!$V:$V,MATCH($A13,Base!$A:$A,0)),0)))</f>
        <v>11.621169999999999</v>
      </c>
      <c r="HQ13" s="21">
        <f>IF(HQ$1&lt;INDEX('Valo FX'!$Q:$Q,MATCH($A13,'Valo FX'!$A:$A,0)),0,IF(HQ$1&lt;INDEX('Valo FX'!$R:$R,MATCH($A13,'Valo FX'!$A:$A,0)),INDEX(Base!$U:$U,MATCH($A13,Base!$A:$A,0)),IF(HQ$1=INDEX('Valo FX'!$R:$R,MATCH($A13,'Valo FX'!$A:$A,0)),INDEX(Base!$V:$V,MATCH($A13,Base!$A:$A,0)),0)))</f>
        <v>11.621169999999999</v>
      </c>
      <c r="HR13" s="21">
        <f>IF(HR$1&lt;INDEX('Valo FX'!$Q:$Q,MATCH($A13,'Valo FX'!$A:$A,0)),0,IF(HR$1&lt;INDEX('Valo FX'!$R:$R,MATCH($A13,'Valo FX'!$A:$A,0)),INDEX(Base!$U:$U,MATCH($A13,Base!$A:$A,0)),IF(HR$1=INDEX('Valo FX'!$R:$R,MATCH($A13,'Valo FX'!$A:$A,0)),INDEX(Base!$V:$V,MATCH($A13,Base!$A:$A,0)),0)))</f>
        <v>11.621169999999999</v>
      </c>
      <c r="HS13" s="21">
        <f>IF(HS$1&lt;INDEX('Valo FX'!$Q:$Q,MATCH($A13,'Valo FX'!$A:$A,0)),0,IF(HS$1&lt;INDEX('Valo FX'!$R:$R,MATCH($A13,'Valo FX'!$A:$A,0)),INDEX(Base!$U:$U,MATCH($A13,Base!$A:$A,0)),IF(HS$1=INDEX('Valo FX'!$R:$R,MATCH($A13,'Valo FX'!$A:$A,0)),INDEX(Base!$V:$V,MATCH($A13,Base!$A:$A,0)),0)))</f>
        <v>11.621169999999999</v>
      </c>
      <c r="HT13" s="21">
        <f>IF(HT$1&lt;INDEX('Valo FX'!$Q:$Q,MATCH($A13,'Valo FX'!$A:$A,0)),0,IF(HT$1&lt;INDEX('Valo FX'!$R:$R,MATCH($A13,'Valo FX'!$A:$A,0)),INDEX(Base!$U:$U,MATCH($A13,Base!$A:$A,0)),IF(HT$1=INDEX('Valo FX'!$R:$R,MATCH($A13,'Valo FX'!$A:$A,0)),INDEX(Base!$V:$V,MATCH($A13,Base!$A:$A,0)),0)))</f>
        <v>11.621169999999999</v>
      </c>
      <c r="HU13" s="21">
        <f>IF(HU$1&lt;INDEX('Valo FX'!$Q:$Q,MATCH($A13,'Valo FX'!$A:$A,0)),0,IF(HU$1&lt;INDEX('Valo FX'!$R:$R,MATCH($A13,'Valo FX'!$A:$A,0)),INDEX(Base!$U:$U,MATCH($A13,Base!$A:$A,0)),IF(HU$1=INDEX('Valo FX'!$R:$R,MATCH($A13,'Valo FX'!$A:$A,0)),INDEX(Base!$V:$V,MATCH($A13,Base!$A:$A,0)),0)))</f>
        <v>11.621169999999999</v>
      </c>
      <c r="HV13" s="21">
        <f>IF(HV$1&lt;INDEX('Valo FX'!$Q:$Q,MATCH($A13,'Valo FX'!$A:$A,0)),0,IF(HV$1&lt;INDEX('Valo FX'!$R:$R,MATCH($A13,'Valo FX'!$A:$A,0)),INDEX(Base!$U:$U,MATCH($A13,Base!$A:$A,0)),IF(HV$1=INDEX('Valo FX'!$R:$R,MATCH($A13,'Valo FX'!$A:$A,0)),INDEX(Base!$V:$V,MATCH($A13,Base!$A:$A,0)),0)))</f>
        <v>11.621169999999999</v>
      </c>
      <c r="HW13" s="21">
        <f>IF(HW$1&lt;INDEX('Valo FX'!$Q:$Q,MATCH($A13,'Valo FX'!$A:$A,0)),0,IF(HW$1&lt;INDEX('Valo FX'!$R:$R,MATCH($A13,'Valo FX'!$A:$A,0)),INDEX(Base!$U:$U,MATCH($A13,Base!$A:$A,0)),IF(HW$1=INDEX('Valo FX'!$R:$R,MATCH($A13,'Valo FX'!$A:$A,0)),INDEX(Base!$V:$V,MATCH($A13,Base!$A:$A,0)),0)))</f>
        <v>11.621169999999999</v>
      </c>
      <c r="HX13" s="21">
        <f>IF(HX$1&lt;INDEX('Valo FX'!$Q:$Q,MATCH($A13,'Valo FX'!$A:$A,0)),0,IF(HX$1&lt;INDEX('Valo FX'!$R:$R,MATCH($A13,'Valo FX'!$A:$A,0)),INDEX(Base!$U:$U,MATCH($A13,Base!$A:$A,0)),IF(HX$1=INDEX('Valo FX'!$R:$R,MATCH($A13,'Valo FX'!$A:$A,0)),INDEX(Base!$V:$V,MATCH($A13,Base!$A:$A,0)),0)))</f>
        <v>11.621169999999999</v>
      </c>
      <c r="HY13" s="21">
        <f>IF(HY$1&lt;INDEX('Valo FX'!$Q:$Q,MATCH($A13,'Valo FX'!$A:$A,0)),0,IF(HY$1&lt;INDEX('Valo FX'!$R:$R,MATCH($A13,'Valo FX'!$A:$A,0)),INDEX(Base!$U:$U,MATCH($A13,Base!$A:$A,0)),IF(HY$1=INDEX('Valo FX'!$R:$R,MATCH($A13,'Valo FX'!$A:$A,0)),INDEX(Base!$V:$V,MATCH($A13,Base!$A:$A,0)),0)))</f>
        <v>11.621169999999999</v>
      </c>
      <c r="HZ13" s="21">
        <f>IF(HZ$1&lt;INDEX('Valo FX'!$Q:$Q,MATCH($A13,'Valo FX'!$A:$A,0)),0,IF(HZ$1&lt;INDEX('Valo FX'!$R:$R,MATCH($A13,'Valo FX'!$A:$A,0)),INDEX(Base!$U:$U,MATCH($A13,Base!$A:$A,0)),IF(HZ$1=INDEX('Valo FX'!$R:$R,MATCH($A13,'Valo FX'!$A:$A,0)),INDEX(Base!$V:$V,MATCH($A13,Base!$A:$A,0)),0)))</f>
        <v>11.621169999999999</v>
      </c>
      <c r="IA13" s="21">
        <f>IF(IA$1&lt;INDEX('Valo FX'!$Q:$Q,MATCH($A13,'Valo FX'!$A:$A,0)),0,IF(IA$1&lt;INDEX('Valo FX'!$R:$R,MATCH($A13,'Valo FX'!$A:$A,0)),INDEX(Base!$U:$U,MATCH($A13,Base!$A:$A,0)),IF(IA$1=INDEX('Valo FX'!$R:$R,MATCH($A13,'Valo FX'!$A:$A,0)),INDEX(Base!$V:$V,MATCH($A13,Base!$A:$A,0)),0)))</f>
        <v>11.621169999999999</v>
      </c>
      <c r="IB13" s="21">
        <f>IF(IB$1&lt;INDEX('Valo FX'!$Q:$Q,MATCH($A13,'Valo FX'!$A:$A,0)),0,IF(IB$1&lt;INDEX('Valo FX'!$R:$R,MATCH($A13,'Valo FX'!$A:$A,0)),INDEX(Base!$U:$U,MATCH($A13,Base!$A:$A,0)),IF(IB$1=INDEX('Valo FX'!$R:$R,MATCH($A13,'Valo FX'!$A:$A,0)),INDEX(Base!$V:$V,MATCH($A13,Base!$A:$A,0)),0)))</f>
        <v>11.621169999999999</v>
      </c>
      <c r="IC13" s="21">
        <f>IF(IC$1&lt;INDEX('Valo FX'!$Q:$Q,MATCH($A13,'Valo FX'!$A:$A,0)),0,IF(IC$1&lt;INDEX('Valo FX'!$R:$R,MATCH($A13,'Valo FX'!$A:$A,0)),INDEX(Base!$U:$U,MATCH($A13,Base!$A:$A,0)),IF(IC$1=INDEX('Valo FX'!$R:$R,MATCH($A13,'Valo FX'!$A:$A,0)),INDEX(Base!$V:$V,MATCH($A13,Base!$A:$A,0)),0)))</f>
        <v>11.621169999999999</v>
      </c>
      <c r="ID13" s="21">
        <f>IF(ID$1&lt;INDEX('Valo FX'!$Q:$Q,MATCH($A13,'Valo FX'!$A:$A,0)),0,IF(ID$1&lt;INDEX('Valo FX'!$R:$R,MATCH($A13,'Valo FX'!$A:$A,0)),INDEX(Base!$U:$U,MATCH($A13,Base!$A:$A,0)),IF(ID$1=INDEX('Valo FX'!$R:$R,MATCH($A13,'Valo FX'!$A:$A,0)),INDEX(Base!$V:$V,MATCH($A13,Base!$A:$A,0)),0)))</f>
        <v>11.621169999999999</v>
      </c>
      <c r="IE13" s="21">
        <f>IF(IE$1&lt;INDEX('Valo FX'!$Q:$Q,MATCH($A13,'Valo FX'!$A:$A,0)),0,IF(IE$1&lt;INDEX('Valo FX'!$R:$R,MATCH($A13,'Valo FX'!$A:$A,0)),INDEX(Base!$U:$U,MATCH($A13,Base!$A:$A,0)),IF(IE$1=INDEX('Valo FX'!$R:$R,MATCH($A13,'Valo FX'!$A:$A,0)),INDEX(Base!$V:$V,MATCH($A13,Base!$A:$A,0)),0)))</f>
        <v>11.621169999999999</v>
      </c>
      <c r="IF13" s="21">
        <f>IF(IF$1&lt;INDEX('Valo FX'!$Q:$Q,MATCH($A13,'Valo FX'!$A:$A,0)),0,IF(IF$1&lt;INDEX('Valo FX'!$R:$R,MATCH($A13,'Valo FX'!$A:$A,0)),INDEX(Base!$U:$U,MATCH($A13,Base!$A:$A,0)),IF(IF$1=INDEX('Valo FX'!$R:$R,MATCH($A13,'Valo FX'!$A:$A,0)),INDEX(Base!$V:$V,MATCH($A13,Base!$A:$A,0)),0)))</f>
        <v>11.621169999999999</v>
      </c>
      <c r="IG13" s="21">
        <f>IF(IG$1&lt;INDEX('Valo FX'!$Q:$Q,MATCH($A13,'Valo FX'!$A:$A,0)),0,IF(IG$1&lt;INDEX('Valo FX'!$R:$R,MATCH($A13,'Valo FX'!$A:$A,0)),INDEX(Base!$U:$U,MATCH($A13,Base!$A:$A,0)),IF(IG$1=INDEX('Valo FX'!$R:$R,MATCH($A13,'Valo FX'!$A:$A,0)),INDEX(Base!$V:$V,MATCH($A13,Base!$A:$A,0)),0)))</f>
        <v>11.621169999999999</v>
      </c>
      <c r="IH13" s="21">
        <f>IF(IH$1&lt;INDEX('Valo FX'!$Q:$Q,MATCH($A13,'Valo FX'!$A:$A,0)),0,IF(IH$1&lt;INDEX('Valo FX'!$R:$R,MATCH($A13,'Valo FX'!$A:$A,0)),INDEX(Base!$U:$U,MATCH($A13,Base!$A:$A,0)),IF(IH$1=INDEX('Valo FX'!$R:$R,MATCH($A13,'Valo FX'!$A:$A,0)),INDEX(Base!$V:$V,MATCH($A13,Base!$A:$A,0)),0)))</f>
        <v>11.621169999999999</v>
      </c>
      <c r="II13" s="21">
        <f>IF(II$1&lt;INDEX('Valo FX'!$Q:$Q,MATCH($A13,'Valo FX'!$A:$A,0)),0,IF(II$1&lt;INDEX('Valo FX'!$R:$R,MATCH($A13,'Valo FX'!$A:$A,0)),INDEX(Base!$U:$U,MATCH($A13,Base!$A:$A,0)),IF(II$1=INDEX('Valo FX'!$R:$R,MATCH($A13,'Valo FX'!$A:$A,0)),INDEX(Base!$V:$V,MATCH($A13,Base!$A:$A,0)),0)))</f>
        <v>11.621169999999999</v>
      </c>
      <c r="IJ13" s="21">
        <f>IF(IJ$1&lt;INDEX('Valo FX'!$Q:$Q,MATCH($A13,'Valo FX'!$A:$A,0)),0,IF(IJ$1&lt;INDEX('Valo FX'!$R:$R,MATCH($A13,'Valo FX'!$A:$A,0)),INDEX(Base!$U:$U,MATCH($A13,Base!$A:$A,0)),IF(IJ$1=INDEX('Valo FX'!$R:$R,MATCH($A13,'Valo FX'!$A:$A,0)),INDEX(Base!$V:$V,MATCH($A13,Base!$A:$A,0)),0)))</f>
        <v>11.621169999999999</v>
      </c>
      <c r="IK13" s="21">
        <f>IF(IK$1&lt;INDEX('Valo FX'!$Q:$Q,MATCH($A13,'Valo FX'!$A:$A,0)),0,IF(IK$1&lt;INDEX('Valo FX'!$R:$R,MATCH($A13,'Valo FX'!$A:$A,0)),INDEX(Base!$U:$U,MATCH($A13,Base!$A:$A,0)),IF(IK$1=INDEX('Valo FX'!$R:$R,MATCH($A13,'Valo FX'!$A:$A,0)),INDEX(Base!$V:$V,MATCH($A13,Base!$A:$A,0)),0)))</f>
        <v>11.621169999999999</v>
      </c>
      <c r="IL13" s="21">
        <f>IF(IL$1&lt;INDEX('Valo FX'!$Q:$Q,MATCH($A13,'Valo FX'!$A:$A,0)),0,IF(IL$1&lt;INDEX('Valo FX'!$R:$R,MATCH($A13,'Valo FX'!$A:$A,0)),INDEX(Base!$U:$U,MATCH($A13,Base!$A:$A,0)),IF(IL$1=INDEX('Valo FX'!$R:$R,MATCH($A13,'Valo FX'!$A:$A,0)),INDEX(Base!$V:$V,MATCH($A13,Base!$A:$A,0)),0)))</f>
        <v>11.621169999999999</v>
      </c>
      <c r="IM13" s="21">
        <f>IF(IM$1&lt;INDEX('Valo FX'!$Q:$Q,MATCH($A13,'Valo FX'!$A:$A,0)),0,IF(IM$1&lt;INDEX('Valo FX'!$R:$R,MATCH($A13,'Valo FX'!$A:$A,0)),INDEX(Base!$U:$U,MATCH($A13,Base!$A:$A,0)),IF(IM$1=INDEX('Valo FX'!$R:$R,MATCH($A13,'Valo FX'!$A:$A,0)),INDEX(Base!$V:$V,MATCH($A13,Base!$A:$A,0)),0)))</f>
        <v>11.621169999999999</v>
      </c>
      <c r="IN13" s="21">
        <f>IF(IN$1&lt;INDEX('Valo FX'!$Q:$Q,MATCH($A13,'Valo FX'!$A:$A,0)),0,IF(IN$1&lt;INDEX('Valo FX'!$R:$R,MATCH($A13,'Valo FX'!$A:$A,0)),INDEX(Base!$U:$U,MATCH($A13,Base!$A:$A,0)),IF(IN$1=INDEX('Valo FX'!$R:$R,MATCH($A13,'Valo FX'!$A:$A,0)),INDEX(Base!$V:$V,MATCH($A13,Base!$A:$A,0)),0)))</f>
        <v>11.621169999999999</v>
      </c>
      <c r="IO13" s="21">
        <f>IF(IO$1&lt;INDEX('Valo FX'!$Q:$Q,MATCH($A13,'Valo FX'!$A:$A,0)),0,IF(IO$1&lt;INDEX('Valo FX'!$R:$R,MATCH($A13,'Valo FX'!$A:$A,0)),INDEX(Base!$U:$U,MATCH($A13,Base!$A:$A,0)),IF(IO$1=INDEX('Valo FX'!$R:$R,MATCH($A13,'Valo FX'!$A:$A,0)),INDEX(Base!$V:$V,MATCH($A13,Base!$A:$A,0)),0)))</f>
        <v>11.621169999999999</v>
      </c>
      <c r="IP13" s="21">
        <f>IF(IP$1&lt;INDEX('Valo FX'!$Q:$Q,MATCH($A13,'Valo FX'!$A:$A,0)),0,IF(IP$1&lt;INDEX('Valo FX'!$R:$R,MATCH($A13,'Valo FX'!$A:$A,0)),INDEX(Base!$U:$U,MATCH($A13,Base!$A:$A,0)),IF(IP$1=INDEX('Valo FX'!$R:$R,MATCH($A13,'Valo FX'!$A:$A,0)),INDEX(Base!$V:$V,MATCH($A13,Base!$A:$A,0)),0)))</f>
        <v>11.621169999999999</v>
      </c>
      <c r="IQ13" s="21">
        <f>IF(IQ$1&lt;INDEX('Valo FX'!$Q:$Q,MATCH($A13,'Valo FX'!$A:$A,0)),0,IF(IQ$1&lt;INDEX('Valo FX'!$R:$R,MATCH($A13,'Valo FX'!$A:$A,0)),INDEX(Base!$U:$U,MATCH($A13,Base!$A:$A,0)),IF(IQ$1=INDEX('Valo FX'!$R:$R,MATCH($A13,'Valo FX'!$A:$A,0)),INDEX(Base!$V:$V,MATCH($A13,Base!$A:$A,0)),0)))</f>
        <v>11.621169999999999</v>
      </c>
      <c r="IR13" s="21">
        <f>IF(IR$1&lt;INDEX('Valo FX'!$Q:$Q,MATCH($A13,'Valo FX'!$A:$A,0)),0,IF(IR$1&lt;INDEX('Valo FX'!$R:$R,MATCH($A13,'Valo FX'!$A:$A,0)),INDEX(Base!$U:$U,MATCH($A13,Base!$A:$A,0)),IF(IR$1=INDEX('Valo FX'!$R:$R,MATCH($A13,'Valo FX'!$A:$A,0)),INDEX(Base!$V:$V,MATCH($A13,Base!$A:$A,0)),0)))</f>
        <v>11.621169999999999</v>
      </c>
      <c r="IS13" s="21">
        <f>IF(IS$1&lt;INDEX('Valo FX'!$Q:$Q,MATCH($A13,'Valo FX'!$A:$A,0)),0,IF(IS$1&lt;INDEX('Valo FX'!$R:$R,MATCH($A13,'Valo FX'!$A:$A,0)),INDEX(Base!$U:$U,MATCH($A13,Base!$A:$A,0)),IF(IS$1=INDEX('Valo FX'!$R:$R,MATCH($A13,'Valo FX'!$A:$A,0)),INDEX(Base!$V:$V,MATCH($A13,Base!$A:$A,0)),0)))</f>
        <v>11.621169999999999</v>
      </c>
      <c r="IT13" s="21">
        <f>IF(IT$1&lt;INDEX('Valo FX'!$Q:$Q,MATCH($A13,'Valo FX'!$A:$A,0)),0,IF(IT$1&lt;INDEX('Valo FX'!$R:$R,MATCH($A13,'Valo FX'!$A:$A,0)),INDEX(Base!$U:$U,MATCH($A13,Base!$A:$A,0)),IF(IT$1=INDEX('Valo FX'!$R:$R,MATCH($A13,'Valo FX'!$A:$A,0)),INDEX(Base!$V:$V,MATCH($A13,Base!$A:$A,0)),0)))</f>
        <v>11.621169999999999</v>
      </c>
      <c r="IU13" s="21">
        <f>IF(IU$1&lt;INDEX('Valo FX'!$Q:$Q,MATCH($A13,'Valo FX'!$A:$A,0)),0,IF(IU$1&lt;INDEX('Valo FX'!$R:$R,MATCH($A13,'Valo FX'!$A:$A,0)),INDEX(Base!$U:$U,MATCH($A13,Base!$A:$A,0)),IF(IU$1=INDEX('Valo FX'!$R:$R,MATCH($A13,'Valo FX'!$A:$A,0)),INDEX(Base!$V:$V,MATCH($A13,Base!$A:$A,0)),0)))</f>
        <v>11.621169999999999</v>
      </c>
      <c r="IV13" s="21">
        <f>IF(IV$1&lt;INDEX('Valo FX'!$Q:$Q,MATCH($A13,'Valo FX'!$A:$A,0)),0,IF(IV$1&lt;INDEX('Valo FX'!$R:$R,MATCH($A13,'Valo FX'!$A:$A,0)),INDEX(Base!$U:$U,MATCH($A13,Base!$A:$A,0)),IF(IV$1=INDEX('Valo FX'!$R:$R,MATCH($A13,'Valo FX'!$A:$A,0)),INDEX(Base!$V:$V,MATCH($A13,Base!$A:$A,0)),0)))</f>
        <v>11.621169999999999</v>
      </c>
      <c r="IW13" s="21">
        <f>IF(IW$1&lt;INDEX('Valo FX'!$Q:$Q,MATCH($A13,'Valo FX'!$A:$A,0)),0,IF(IW$1&lt;INDEX('Valo FX'!$R:$R,MATCH($A13,'Valo FX'!$A:$A,0)),INDEX(Base!$U:$U,MATCH($A13,Base!$A:$A,0)),IF(IW$1=INDEX('Valo FX'!$R:$R,MATCH($A13,'Valo FX'!$A:$A,0)),INDEX(Base!$V:$V,MATCH($A13,Base!$A:$A,0)),0)))</f>
        <v>11.621169999999999</v>
      </c>
      <c r="IX13" s="21">
        <f>IF(IX$1&lt;INDEX('Valo FX'!$Q:$Q,MATCH($A13,'Valo FX'!$A:$A,0)),0,IF(IX$1&lt;INDEX('Valo FX'!$R:$R,MATCH($A13,'Valo FX'!$A:$A,0)),INDEX(Base!$U:$U,MATCH($A13,Base!$A:$A,0)),IF(IX$1=INDEX('Valo FX'!$R:$R,MATCH($A13,'Valo FX'!$A:$A,0)),INDEX(Base!$V:$V,MATCH($A13,Base!$A:$A,0)),0)))</f>
        <v>11.621169999999999</v>
      </c>
      <c r="IY13" s="21">
        <f>IF(IY$1&lt;INDEX('Valo FX'!$Q:$Q,MATCH($A13,'Valo FX'!$A:$A,0)),0,IF(IY$1&lt;INDEX('Valo FX'!$R:$R,MATCH($A13,'Valo FX'!$A:$A,0)),INDEX(Base!$U:$U,MATCH($A13,Base!$A:$A,0)),IF(IY$1=INDEX('Valo FX'!$R:$R,MATCH($A13,'Valo FX'!$A:$A,0)),INDEX(Base!$V:$V,MATCH($A13,Base!$A:$A,0)),0)))</f>
        <v>11.621169999999999</v>
      </c>
      <c r="IZ13" s="21">
        <f>IF(IZ$1&lt;INDEX('Valo FX'!$Q:$Q,MATCH($A13,'Valo FX'!$A:$A,0)),0,IF(IZ$1&lt;INDEX('Valo FX'!$R:$R,MATCH($A13,'Valo FX'!$A:$A,0)),INDEX(Base!$U:$U,MATCH($A13,Base!$A:$A,0)),IF(IZ$1=INDEX('Valo FX'!$R:$R,MATCH($A13,'Valo FX'!$A:$A,0)),INDEX(Base!$V:$V,MATCH($A13,Base!$A:$A,0)),0)))</f>
        <v>11.621169999999999</v>
      </c>
      <c r="JA13" s="21">
        <f>IF(JA$1&lt;INDEX('Valo FX'!$Q:$Q,MATCH($A13,'Valo FX'!$A:$A,0)),0,IF(JA$1&lt;INDEX('Valo FX'!$R:$R,MATCH($A13,'Valo FX'!$A:$A,0)),INDEX(Base!$U:$U,MATCH($A13,Base!$A:$A,0)),IF(JA$1=INDEX('Valo FX'!$R:$R,MATCH($A13,'Valo FX'!$A:$A,0)),INDEX(Base!$V:$V,MATCH($A13,Base!$A:$A,0)),0)))</f>
        <v>11.621169999999999</v>
      </c>
      <c r="JB13" s="21">
        <f>IF(JB$1&lt;INDEX('Valo FX'!$Q:$Q,MATCH($A13,'Valo FX'!$A:$A,0)),0,IF(JB$1&lt;INDEX('Valo FX'!$R:$R,MATCH($A13,'Valo FX'!$A:$A,0)),INDEX(Base!$U:$U,MATCH($A13,Base!$A:$A,0)),IF(JB$1=INDEX('Valo FX'!$R:$R,MATCH($A13,'Valo FX'!$A:$A,0)),INDEX(Base!$V:$V,MATCH($A13,Base!$A:$A,0)),0)))</f>
        <v>11.621169999999999</v>
      </c>
      <c r="JC13" s="21">
        <f>IF(JC$1&lt;INDEX('Valo FX'!$Q:$Q,MATCH($A13,'Valo FX'!$A:$A,0)),0,IF(JC$1&lt;INDEX('Valo FX'!$R:$R,MATCH($A13,'Valo FX'!$A:$A,0)),INDEX(Base!$U:$U,MATCH($A13,Base!$A:$A,0)),IF(JC$1=INDEX('Valo FX'!$R:$R,MATCH($A13,'Valo FX'!$A:$A,0)),INDEX(Base!$V:$V,MATCH($A13,Base!$A:$A,0)),0)))</f>
        <v>11.621169999999999</v>
      </c>
      <c r="JD13" s="21">
        <f>IF(JD$1&lt;INDEX('Valo FX'!$Q:$Q,MATCH($A13,'Valo FX'!$A:$A,0)),0,IF(JD$1&lt;INDEX('Valo FX'!$R:$R,MATCH($A13,'Valo FX'!$A:$A,0)),INDEX(Base!$U:$U,MATCH($A13,Base!$A:$A,0)),IF(JD$1=INDEX('Valo FX'!$R:$R,MATCH($A13,'Valo FX'!$A:$A,0)),INDEX(Base!$V:$V,MATCH($A13,Base!$A:$A,0)),0)))</f>
        <v>11.621169999999999</v>
      </c>
      <c r="JE13" s="21">
        <f>IF(JE$1&lt;INDEX('Valo FX'!$Q:$Q,MATCH($A13,'Valo FX'!$A:$A,0)),0,IF(JE$1&lt;INDEX('Valo FX'!$R:$R,MATCH($A13,'Valo FX'!$A:$A,0)),INDEX(Base!$U:$U,MATCH($A13,Base!$A:$A,0)),IF(JE$1=INDEX('Valo FX'!$R:$R,MATCH($A13,'Valo FX'!$A:$A,0)),INDEX(Base!$V:$V,MATCH($A13,Base!$A:$A,0)),0)))</f>
        <v>11.621169999999999</v>
      </c>
      <c r="JF13" s="21">
        <f>IF(JF$1&lt;INDEX('Valo FX'!$Q:$Q,MATCH($A13,'Valo FX'!$A:$A,0)),0,IF(JF$1&lt;INDEX('Valo FX'!$R:$R,MATCH($A13,'Valo FX'!$A:$A,0)),INDEX(Base!$U:$U,MATCH($A13,Base!$A:$A,0)),IF(JF$1=INDEX('Valo FX'!$R:$R,MATCH($A13,'Valo FX'!$A:$A,0)),INDEX(Base!$V:$V,MATCH($A13,Base!$A:$A,0)),0)))</f>
        <v>11.621169999999999</v>
      </c>
      <c r="JG13" s="21">
        <f>IF(JG$1&lt;INDEX('Valo FX'!$Q:$Q,MATCH($A13,'Valo FX'!$A:$A,0)),0,IF(JG$1&lt;INDEX('Valo FX'!$R:$R,MATCH($A13,'Valo FX'!$A:$A,0)),INDEX(Base!$U:$U,MATCH($A13,Base!$A:$A,0)),IF(JG$1=INDEX('Valo FX'!$R:$R,MATCH($A13,'Valo FX'!$A:$A,0)),INDEX(Base!$V:$V,MATCH($A13,Base!$A:$A,0)),0)))</f>
        <v>11.621169999999999</v>
      </c>
      <c r="JH13" s="21">
        <f>IF(JH$1&lt;INDEX('Valo FX'!$Q:$Q,MATCH($A13,'Valo FX'!$A:$A,0)),0,IF(JH$1&lt;INDEX('Valo FX'!$R:$R,MATCH($A13,'Valo FX'!$A:$A,0)),INDEX(Base!$U:$U,MATCH($A13,Base!$A:$A,0)),IF(JH$1=INDEX('Valo FX'!$R:$R,MATCH($A13,'Valo FX'!$A:$A,0)),INDEX(Base!$V:$V,MATCH($A13,Base!$A:$A,0)),0)))</f>
        <v>11.621169999999999</v>
      </c>
      <c r="JI13" s="21">
        <f>IF(JI$1&lt;INDEX('Valo FX'!$Q:$Q,MATCH($A13,'Valo FX'!$A:$A,0)),0,IF(JI$1&lt;INDEX('Valo FX'!$R:$R,MATCH($A13,'Valo FX'!$A:$A,0)),INDEX(Base!$U:$U,MATCH($A13,Base!$A:$A,0)),IF(JI$1=INDEX('Valo FX'!$R:$R,MATCH($A13,'Valo FX'!$A:$A,0)),INDEX(Base!$V:$V,MATCH($A13,Base!$A:$A,0)),0)))</f>
        <v>11.621169999999999</v>
      </c>
      <c r="JJ13" s="21">
        <f>IF(JJ$1&lt;INDEX('Valo FX'!$Q:$Q,MATCH($A13,'Valo FX'!$A:$A,0)),0,IF(JJ$1&lt;INDEX('Valo FX'!$R:$R,MATCH($A13,'Valo FX'!$A:$A,0)),INDEX(Base!$U:$U,MATCH($A13,Base!$A:$A,0)),IF(JJ$1=INDEX('Valo FX'!$R:$R,MATCH($A13,'Valo FX'!$A:$A,0)),INDEX(Base!$V:$V,MATCH($A13,Base!$A:$A,0)),0)))</f>
        <v>11.621169999999999</v>
      </c>
      <c r="JK13" s="21">
        <f>IF(JK$1&lt;INDEX('Valo FX'!$Q:$Q,MATCH($A13,'Valo FX'!$A:$A,0)),0,IF(JK$1&lt;INDEX('Valo FX'!$R:$R,MATCH($A13,'Valo FX'!$A:$A,0)),INDEX(Base!$U:$U,MATCH($A13,Base!$A:$A,0)),IF(JK$1=INDEX('Valo FX'!$R:$R,MATCH($A13,'Valo FX'!$A:$A,0)),INDEX(Base!$V:$V,MATCH($A13,Base!$A:$A,0)),0)))</f>
        <v>11.621169999999999</v>
      </c>
      <c r="JL13" s="21">
        <f>IF(JL$1&lt;INDEX('Valo FX'!$Q:$Q,MATCH($A13,'Valo FX'!$A:$A,0)),0,IF(JL$1&lt;INDEX('Valo FX'!$R:$R,MATCH($A13,'Valo FX'!$A:$A,0)),INDEX(Base!$U:$U,MATCH($A13,Base!$A:$A,0)),IF(JL$1=INDEX('Valo FX'!$R:$R,MATCH($A13,'Valo FX'!$A:$A,0)),INDEX(Base!$V:$V,MATCH($A13,Base!$A:$A,0)),0)))</f>
        <v>11.621169999999999</v>
      </c>
      <c r="JM13" s="21">
        <f>IF(JM$1&lt;INDEX('Valo FX'!$Q:$Q,MATCH($A13,'Valo FX'!$A:$A,0)),0,IF(JM$1&lt;INDEX('Valo FX'!$R:$R,MATCH($A13,'Valo FX'!$A:$A,0)),INDEX(Base!$U:$U,MATCH($A13,Base!$A:$A,0)),IF(JM$1=INDEX('Valo FX'!$R:$R,MATCH($A13,'Valo FX'!$A:$A,0)),INDEX(Base!$V:$V,MATCH($A13,Base!$A:$A,0)),0)))</f>
        <v>11.621169999999999</v>
      </c>
      <c r="JN13" s="21">
        <f>IF(JN$1&lt;INDEX('Valo FX'!$Q:$Q,MATCH($A13,'Valo FX'!$A:$A,0)),0,IF(JN$1&lt;INDEX('Valo FX'!$R:$R,MATCH($A13,'Valo FX'!$A:$A,0)),INDEX(Base!$U:$U,MATCH($A13,Base!$A:$A,0)),IF(JN$1=INDEX('Valo FX'!$R:$R,MATCH($A13,'Valo FX'!$A:$A,0)),INDEX(Base!$V:$V,MATCH($A13,Base!$A:$A,0)),0)))</f>
        <v>11.621169999999999</v>
      </c>
      <c r="JO13" s="21">
        <f>IF(JO$1&lt;INDEX('Valo FX'!$Q:$Q,MATCH($A13,'Valo FX'!$A:$A,0)),0,IF(JO$1&lt;INDEX('Valo FX'!$R:$R,MATCH($A13,'Valo FX'!$A:$A,0)),INDEX(Base!$U:$U,MATCH($A13,Base!$A:$A,0)),IF(JO$1=INDEX('Valo FX'!$R:$R,MATCH($A13,'Valo FX'!$A:$A,0)),INDEX(Base!$V:$V,MATCH($A13,Base!$A:$A,0)),0)))</f>
        <v>11.621169999999999</v>
      </c>
      <c r="JP13" s="21">
        <f>IF(JP$1&lt;INDEX('Valo FX'!$Q:$Q,MATCH($A13,'Valo FX'!$A:$A,0)),0,IF(JP$1&lt;INDEX('Valo FX'!$R:$R,MATCH($A13,'Valo FX'!$A:$A,0)),INDEX(Base!$U:$U,MATCH($A13,Base!$A:$A,0)),IF(JP$1=INDEX('Valo FX'!$R:$R,MATCH($A13,'Valo FX'!$A:$A,0)),INDEX(Base!$V:$V,MATCH($A13,Base!$A:$A,0)),0)))</f>
        <v>11.621169999999999</v>
      </c>
      <c r="JQ13" s="21">
        <f>IF(JQ$1&lt;INDEX('Valo FX'!$Q:$Q,MATCH($A13,'Valo FX'!$A:$A,0)),0,IF(JQ$1&lt;INDEX('Valo FX'!$R:$R,MATCH($A13,'Valo FX'!$A:$A,0)),INDEX(Base!$U:$U,MATCH($A13,Base!$A:$A,0)),IF(JQ$1=INDEX('Valo FX'!$R:$R,MATCH($A13,'Valo FX'!$A:$A,0)),INDEX(Base!$V:$V,MATCH($A13,Base!$A:$A,0)),0)))</f>
        <v>11.621169999999999</v>
      </c>
      <c r="JR13" s="21">
        <f>IF(JR$1&lt;INDEX('Valo FX'!$Q:$Q,MATCH($A13,'Valo FX'!$A:$A,0)),0,IF(JR$1&lt;INDEX('Valo FX'!$R:$R,MATCH($A13,'Valo FX'!$A:$A,0)),INDEX(Base!$U:$U,MATCH($A13,Base!$A:$A,0)),IF(JR$1=INDEX('Valo FX'!$R:$R,MATCH($A13,'Valo FX'!$A:$A,0)),INDEX(Base!$V:$V,MATCH($A13,Base!$A:$A,0)),0)))</f>
        <v>11.621169999999999</v>
      </c>
      <c r="JS13" s="21">
        <f>IF(JS$1&lt;INDEX('Valo FX'!$Q:$Q,MATCH($A13,'Valo FX'!$A:$A,0)),0,IF(JS$1&lt;INDEX('Valo FX'!$R:$R,MATCH($A13,'Valo FX'!$A:$A,0)),INDEX(Base!$U:$U,MATCH($A13,Base!$A:$A,0)),IF(JS$1=INDEX('Valo FX'!$R:$R,MATCH($A13,'Valo FX'!$A:$A,0)),INDEX(Base!$V:$V,MATCH($A13,Base!$A:$A,0)),0)))</f>
        <v>11.621169999999999</v>
      </c>
      <c r="JT13" s="21">
        <f>IF(JT$1&lt;INDEX('Valo FX'!$Q:$Q,MATCH($A13,'Valo FX'!$A:$A,0)),0,IF(JT$1&lt;INDEX('Valo FX'!$R:$R,MATCH($A13,'Valo FX'!$A:$A,0)),INDEX(Base!$U:$U,MATCH($A13,Base!$A:$A,0)),IF(JT$1=INDEX('Valo FX'!$R:$R,MATCH($A13,'Valo FX'!$A:$A,0)),INDEX(Base!$V:$V,MATCH($A13,Base!$A:$A,0)),0)))</f>
        <v>11.621169999999999</v>
      </c>
      <c r="JU13" s="21">
        <f>IF(JU$1&lt;INDEX('Valo FX'!$Q:$Q,MATCH($A13,'Valo FX'!$A:$A,0)),0,IF(JU$1&lt;INDEX('Valo FX'!$R:$R,MATCH($A13,'Valo FX'!$A:$A,0)),INDEX(Base!$U:$U,MATCH($A13,Base!$A:$A,0)),IF(JU$1=INDEX('Valo FX'!$R:$R,MATCH($A13,'Valo FX'!$A:$A,0)),INDEX(Base!$V:$V,MATCH($A13,Base!$A:$A,0)),0)))</f>
        <v>11.621169999999999</v>
      </c>
      <c r="JV13" s="21">
        <f>IF(JV$1&lt;INDEX('Valo FX'!$Q:$Q,MATCH($A13,'Valo FX'!$A:$A,0)),0,IF(JV$1&lt;INDEX('Valo FX'!$R:$R,MATCH($A13,'Valo FX'!$A:$A,0)),INDEX(Base!$U:$U,MATCH($A13,Base!$A:$A,0)),IF(JV$1=INDEX('Valo FX'!$R:$R,MATCH($A13,'Valo FX'!$A:$A,0)),INDEX(Base!$V:$V,MATCH($A13,Base!$A:$A,0)),0)))</f>
        <v>11.621169999999999</v>
      </c>
      <c r="JW13" s="21">
        <f>IF(JW$1&lt;INDEX('Valo FX'!$Q:$Q,MATCH($A13,'Valo FX'!$A:$A,0)),0,IF(JW$1&lt;INDEX('Valo FX'!$R:$R,MATCH($A13,'Valo FX'!$A:$A,0)),INDEX(Base!$U:$U,MATCH($A13,Base!$A:$A,0)),IF(JW$1=INDEX('Valo FX'!$R:$R,MATCH($A13,'Valo FX'!$A:$A,0)),INDEX(Base!$V:$V,MATCH($A13,Base!$A:$A,0)),0)))</f>
        <v>11.621169999999999</v>
      </c>
      <c r="JX13" s="21">
        <f>IF(JX$1&lt;INDEX('Valo FX'!$Q:$Q,MATCH($A13,'Valo FX'!$A:$A,0)),0,IF(JX$1&lt;INDEX('Valo FX'!$R:$R,MATCH($A13,'Valo FX'!$A:$A,0)),INDEX(Base!$U:$U,MATCH($A13,Base!$A:$A,0)),IF(JX$1=INDEX('Valo FX'!$R:$R,MATCH($A13,'Valo FX'!$A:$A,0)),INDEX(Base!$V:$V,MATCH($A13,Base!$A:$A,0)),0)))</f>
        <v>11.621169999999999</v>
      </c>
      <c r="JY13" s="21">
        <f>IF(JY$1&lt;INDEX('Valo FX'!$Q:$Q,MATCH($A13,'Valo FX'!$A:$A,0)),0,IF(JY$1&lt;INDEX('Valo FX'!$R:$R,MATCH($A13,'Valo FX'!$A:$A,0)),INDEX(Base!$U:$U,MATCH($A13,Base!$A:$A,0)),IF(JY$1=INDEX('Valo FX'!$R:$R,MATCH($A13,'Valo FX'!$A:$A,0)),INDEX(Base!$V:$V,MATCH($A13,Base!$A:$A,0)),0)))</f>
        <v>11.621169999999999</v>
      </c>
      <c r="JZ13" s="21">
        <f>IF(JZ$1&lt;INDEX('Valo FX'!$Q:$Q,MATCH($A13,'Valo FX'!$A:$A,0)),0,IF(JZ$1&lt;INDEX('Valo FX'!$R:$R,MATCH($A13,'Valo FX'!$A:$A,0)),INDEX(Base!$U:$U,MATCH($A13,Base!$A:$A,0)),IF(JZ$1=INDEX('Valo FX'!$R:$R,MATCH($A13,'Valo FX'!$A:$A,0)),INDEX(Base!$V:$V,MATCH($A13,Base!$A:$A,0)),0)))</f>
        <v>11.621169999999999</v>
      </c>
      <c r="KA13" s="21">
        <f>IF(KA$1&lt;INDEX('Valo FX'!$Q:$Q,MATCH($A13,'Valo FX'!$A:$A,0)),0,IF(KA$1&lt;INDEX('Valo FX'!$R:$R,MATCH($A13,'Valo FX'!$A:$A,0)),INDEX(Base!$U:$U,MATCH($A13,Base!$A:$A,0)),IF(KA$1=INDEX('Valo FX'!$R:$R,MATCH($A13,'Valo FX'!$A:$A,0)),INDEX(Base!$V:$V,MATCH($A13,Base!$A:$A,0)),0)))</f>
        <v>11.621169999999999</v>
      </c>
      <c r="KB13" s="21">
        <f>IF(KB$1&lt;INDEX('Valo FX'!$Q:$Q,MATCH($A13,'Valo FX'!$A:$A,0)),0,IF(KB$1&lt;INDEX('Valo FX'!$R:$R,MATCH($A13,'Valo FX'!$A:$A,0)),INDEX(Base!$U:$U,MATCH($A13,Base!$A:$A,0)),IF(KB$1=INDEX('Valo FX'!$R:$R,MATCH($A13,'Valo FX'!$A:$A,0)),INDEX(Base!$V:$V,MATCH($A13,Base!$A:$A,0)),0)))</f>
        <v>11.621169999999999</v>
      </c>
      <c r="KC13" s="21">
        <f>IF(KC$1&lt;INDEX('Valo FX'!$Q:$Q,MATCH($A13,'Valo FX'!$A:$A,0)),0,IF(KC$1&lt;INDEX('Valo FX'!$R:$R,MATCH($A13,'Valo FX'!$A:$A,0)),INDEX(Base!$U:$U,MATCH($A13,Base!$A:$A,0)),IF(KC$1=INDEX('Valo FX'!$R:$R,MATCH($A13,'Valo FX'!$A:$A,0)),INDEX(Base!$V:$V,MATCH($A13,Base!$A:$A,0)),0)))</f>
        <v>11.621169999999999</v>
      </c>
      <c r="KD13" s="21">
        <f>IF(KD$1&lt;INDEX('Valo FX'!$Q:$Q,MATCH($A13,'Valo FX'!$A:$A,0)),0,IF(KD$1&lt;INDEX('Valo FX'!$R:$R,MATCH($A13,'Valo FX'!$A:$A,0)),INDEX(Base!$U:$U,MATCH($A13,Base!$A:$A,0)),IF(KD$1=INDEX('Valo FX'!$R:$R,MATCH($A13,'Valo FX'!$A:$A,0)),INDEX(Base!$V:$V,MATCH($A13,Base!$A:$A,0)),0)))</f>
        <v>11.621169999999999</v>
      </c>
      <c r="KE13" s="21">
        <f>IF(KE$1&lt;INDEX('Valo FX'!$Q:$Q,MATCH($A13,'Valo FX'!$A:$A,0)),0,IF(KE$1&lt;INDEX('Valo FX'!$R:$R,MATCH($A13,'Valo FX'!$A:$A,0)),INDEX(Base!$U:$U,MATCH($A13,Base!$A:$A,0)),IF(KE$1=INDEX('Valo FX'!$R:$R,MATCH($A13,'Valo FX'!$A:$A,0)),INDEX(Base!$V:$V,MATCH($A13,Base!$A:$A,0)),0)))</f>
        <v>11.621169999999999</v>
      </c>
      <c r="KF13" s="21">
        <f>IF(KF$1&lt;INDEX('Valo FX'!$Q:$Q,MATCH($A13,'Valo FX'!$A:$A,0)),0,IF(KF$1&lt;INDEX('Valo FX'!$R:$R,MATCH($A13,'Valo FX'!$A:$A,0)),INDEX(Base!$U:$U,MATCH($A13,Base!$A:$A,0)),IF(KF$1=INDEX('Valo FX'!$R:$R,MATCH($A13,'Valo FX'!$A:$A,0)),INDEX(Base!$V:$V,MATCH($A13,Base!$A:$A,0)),0)))</f>
        <v>11.621169999999999</v>
      </c>
      <c r="KG13" s="21">
        <f>IF(KG$1&lt;INDEX('Valo FX'!$Q:$Q,MATCH($A13,'Valo FX'!$A:$A,0)),0,IF(KG$1&lt;INDEX('Valo FX'!$R:$R,MATCH($A13,'Valo FX'!$A:$A,0)),INDEX(Base!$U:$U,MATCH($A13,Base!$A:$A,0)),IF(KG$1=INDEX('Valo FX'!$R:$R,MATCH($A13,'Valo FX'!$A:$A,0)),INDEX(Base!$V:$V,MATCH($A13,Base!$A:$A,0)),0)))</f>
        <v>11.621169999999999</v>
      </c>
      <c r="KH13" s="21">
        <f>IF(KH$1&lt;INDEX('Valo FX'!$Q:$Q,MATCH($A13,'Valo FX'!$A:$A,0)),0,IF(KH$1&lt;INDEX('Valo FX'!$R:$R,MATCH($A13,'Valo FX'!$A:$A,0)),INDEX(Base!$U:$U,MATCH($A13,Base!$A:$A,0)),IF(KH$1=INDEX('Valo FX'!$R:$R,MATCH($A13,'Valo FX'!$A:$A,0)),INDEX(Base!$V:$V,MATCH($A13,Base!$A:$A,0)),0)))</f>
        <v>11.621169999999999</v>
      </c>
      <c r="KI13" s="21">
        <f>IF(KI$1&lt;INDEX('Valo FX'!$Q:$Q,MATCH($A13,'Valo FX'!$A:$A,0)),0,IF(KI$1&lt;INDEX('Valo FX'!$R:$R,MATCH($A13,'Valo FX'!$A:$A,0)),INDEX(Base!$U:$U,MATCH($A13,Base!$A:$A,0)),IF(KI$1=INDEX('Valo FX'!$R:$R,MATCH($A13,'Valo FX'!$A:$A,0)),INDEX(Base!$V:$V,MATCH($A13,Base!$A:$A,0)),0)))</f>
        <v>11.621169999999999</v>
      </c>
      <c r="KJ13" s="21">
        <f>IF(KJ$1&lt;INDEX('Valo FX'!$Q:$Q,MATCH($A13,'Valo FX'!$A:$A,0)),0,IF(KJ$1&lt;INDEX('Valo FX'!$R:$R,MATCH($A13,'Valo FX'!$A:$A,0)),INDEX(Base!$U:$U,MATCH($A13,Base!$A:$A,0)),IF(KJ$1=INDEX('Valo FX'!$R:$R,MATCH($A13,'Valo FX'!$A:$A,0)),INDEX(Base!$V:$V,MATCH($A13,Base!$A:$A,0)),0)))</f>
        <v>11.621169999999999</v>
      </c>
      <c r="KK13" s="21">
        <f>IF(KK$1&lt;INDEX('Valo FX'!$Q:$Q,MATCH($A13,'Valo FX'!$A:$A,0)),0,IF(KK$1&lt;INDEX('Valo FX'!$R:$R,MATCH($A13,'Valo FX'!$A:$A,0)),INDEX(Base!$U:$U,MATCH($A13,Base!$A:$A,0)),IF(KK$1=INDEX('Valo FX'!$R:$R,MATCH($A13,'Valo FX'!$A:$A,0)),INDEX(Base!$V:$V,MATCH($A13,Base!$A:$A,0)),0)))</f>
        <v>11.621169999999999</v>
      </c>
      <c r="KL13" s="21">
        <f>IF(KL$1&lt;INDEX('Valo FX'!$Q:$Q,MATCH($A13,'Valo FX'!$A:$A,0)),0,IF(KL$1&lt;INDEX('Valo FX'!$R:$R,MATCH($A13,'Valo FX'!$A:$A,0)),INDEX(Base!$U:$U,MATCH($A13,Base!$A:$A,0)),IF(KL$1=INDEX('Valo FX'!$R:$R,MATCH($A13,'Valo FX'!$A:$A,0)),INDEX(Base!$V:$V,MATCH($A13,Base!$A:$A,0)),0)))</f>
        <v>11.621169999999999</v>
      </c>
      <c r="KM13" s="21">
        <f>IF(KM$1&lt;INDEX('Valo FX'!$Q:$Q,MATCH($A13,'Valo FX'!$A:$A,0)),0,IF(KM$1&lt;INDEX('Valo FX'!$R:$R,MATCH($A13,'Valo FX'!$A:$A,0)),INDEX(Base!$U:$U,MATCH($A13,Base!$A:$A,0)),IF(KM$1=INDEX('Valo FX'!$R:$R,MATCH($A13,'Valo FX'!$A:$A,0)),INDEX(Base!$V:$V,MATCH($A13,Base!$A:$A,0)),0)))</f>
        <v>11.621169999999999</v>
      </c>
      <c r="KN13" s="21">
        <f>IF(KN$1&lt;INDEX('Valo FX'!$Q:$Q,MATCH($A13,'Valo FX'!$A:$A,0)),0,IF(KN$1&lt;INDEX('Valo FX'!$R:$R,MATCH($A13,'Valo FX'!$A:$A,0)),INDEX(Base!$U:$U,MATCH($A13,Base!$A:$A,0)),IF(KN$1=INDEX('Valo FX'!$R:$R,MATCH($A13,'Valo FX'!$A:$A,0)),INDEX(Base!$V:$V,MATCH($A13,Base!$A:$A,0)),0)))</f>
        <v>11.621169999999999</v>
      </c>
      <c r="KO13" s="21">
        <f>IF(KO$1&lt;INDEX('Valo FX'!$Q:$Q,MATCH($A13,'Valo FX'!$A:$A,0)),0,IF(KO$1&lt;INDEX('Valo FX'!$R:$R,MATCH($A13,'Valo FX'!$A:$A,0)),INDEX(Base!$U:$U,MATCH($A13,Base!$A:$A,0)),IF(KO$1=INDEX('Valo FX'!$R:$R,MATCH($A13,'Valo FX'!$A:$A,0)),INDEX(Base!$V:$V,MATCH($A13,Base!$A:$A,0)),0)))</f>
        <v>11.621169999999999</v>
      </c>
      <c r="KP13" s="21">
        <f>IF(KP$1&lt;INDEX('Valo FX'!$Q:$Q,MATCH($A13,'Valo FX'!$A:$A,0)),0,IF(KP$1&lt;INDEX('Valo FX'!$R:$R,MATCH($A13,'Valo FX'!$A:$A,0)),INDEX(Base!$U:$U,MATCH($A13,Base!$A:$A,0)),IF(KP$1=INDEX('Valo FX'!$R:$R,MATCH($A13,'Valo FX'!$A:$A,0)),INDEX(Base!$V:$V,MATCH($A13,Base!$A:$A,0)),0)))</f>
        <v>11.621169999999999</v>
      </c>
      <c r="KQ13" s="21">
        <f>IF(KQ$1&lt;INDEX('Valo FX'!$Q:$Q,MATCH($A13,'Valo FX'!$A:$A,0)),0,IF(KQ$1&lt;INDEX('Valo FX'!$R:$R,MATCH($A13,'Valo FX'!$A:$A,0)),INDEX(Base!$U:$U,MATCH($A13,Base!$A:$A,0)),IF(KQ$1=INDEX('Valo FX'!$R:$R,MATCH($A13,'Valo FX'!$A:$A,0)),INDEX(Base!$V:$V,MATCH($A13,Base!$A:$A,0)),0)))</f>
        <v>11.621169999999999</v>
      </c>
      <c r="KR13" s="21">
        <f>IF(KR$1&lt;INDEX('Valo FX'!$Q:$Q,MATCH($A13,'Valo FX'!$A:$A,0)),0,IF(KR$1&lt;INDEX('Valo FX'!$R:$R,MATCH($A13,'Valo FX'!$A:$A,0)),INDEX(Base!$U:$U,MATCH($A13,Base!$A:$A,0)),IF(KR$1=INDEX('Valo FX'!$R:$R,MATCH($A13,'Valo FX'!$A:$A,0)),INDEX(Base!$V:$V,MATCH($A13,Base!$A:$A,0)),0)))</f>
        <v>11.621169999999999</v>
      </c>
      <c r="KS13" s="21">
        <f>IF(KS$1&lt;INDEX('Valo FX'!$Q:$Q,MATCH($A13,'Valo FX'!$A:$A,0)),0,IF(KS$1&lt;INDEX('Valo FX'!$R:$R,MATCH($A13,'Valo FX'!$A:$A,0)),INDEX(Base!$U:$U,MATCH($A13,Base!$A:$A,0)),IF(KS$1=INDEX('Valo FX'!$R:$R,MATCH($A13,'Valo FX'!$A:$A,0)),INDEX(Base!$V:$V,MATCH($A13,Base!$A:$A,0)),0)))</f>
        <v>11.621169999999999</v>
      </c>
      <c r="KT13" s="21">
        <f>IF(KT$1&lt;INDEX('Valo FX'!$Q:$Q,MATCH($A13,'Valo FX'!$A:$A,0)),0,IF(KT$1&lt;INDEX('Valo FX'!$R:$R,MATCH($A13,'Valo FX'!$A:$A,0)),INDEX(Base!$U:$U,MATCH($A13,Base!$A:$A,0)),IF(KT$1=INDEX('Valo FX'!$R:$R,MATCH($A13,'Valo FX'!$A:$A,0)),INDEX(Base!$V:$V,MATCH($A13,Base!$A:$A,0)),0)))</f>
        <v>11.621169999999999</v>
      </c>
      <c r="KU13" s="21">
        <f>IF(KU$1&lt;INDEX('Valo FX'!$Q:$Q,MATCH($A13,'Valo FX'!$A:$A,0)),0,IF(KU$1&lt;INDEX('Valo FX'!$R:$R,MATCH($A13,'Valo FX'!$A:$A,0)),INDEX(Base!$U:$U,MATCH($A13,Base!$A:$A,0)),IF(KU$1=INDEX('Valo FX'!$R:$R,MATCH($A13,'Valo FX'!$A:$A,0)),INDEX(Base!$V:$V,MATCH($A13,Base!$A:$A,0)),0)))</f>
        <v>11.621169999999999</v>
      </c>
      <c r="KV13" s="21">
        <f>IF(KV$1&lt;INDEX('Valo FX'!$Q:$Q,MATCH($A13,'Valo FX'!$A:$A,0)),0,IF(KV$1&lt;INDEX('Valo FX'!$R:$R,MATCH($A13,'Valo FX'!$A:$A,0)),INDEX(Base!$U:$U,MATCH($A13,Base!$A:$A,0)),IF(KV$1=INDEX('Valo FX'!$R:$R,MATCH($A13,'Valo FX'!$A:$A,0)),INDEX(Base!$V:$V,MATCH($A13,Base!$A:$A,0)),0)))</f>
        <v>11.621169999999999</v>
      </c>
      <c r="KW13" s="21">
        <f>IF(KW$1&lt;INDEX('Valo FX'!$Q:$Q,MATCH($A13,'Valo FX'!$A:$A,0)),0,IF(KW$1&lt;INDEX('Valo FX'!$R:$R,MATCH($A13,'Valo FX'!$A:$A,0)),INDEX(Base!$U:$U,MATCH($A13,Base!$A:$A,0)),IF(KW$1=INDEX('Valo FX'!$R:$R,MATCH($A13,'Valo FX'!$A:$A,0)),INDEX(Base!$V:$V,MATCH($A13,Base!$A:$A,0)),0)))</f>
        <v>11.621169999999999</v>
      </c>
      <c r="KX13" s="21">
        <f>IF(KX$1&lt;INDEX('Valo FX'!$Q:$Q,MATCH($A13,'Valo FX'!$A:$A,0)),0,IF(KX$1&lt;INDEX('Valo FX'!$R:$R,MATCH($A13,'Valo FX'!$A:$A,0)),INDEX(Base!$U:$U,MATCH($A13,Base!$A:$A,0)),IF(KX$1=INDEX('Valo FX'!$R:$R,MATCH($A13,'Valo FX'!$A:$A,0)),INDEX(Base!$V:$V,MATCH($A13,Base!$A:$A,0)),0)))</f>
        <v>11.621169999999999</v>
      </c>
      <c r="KY13" s="21">
        <f>IF(KY$1&lt;INDEX('Valo FX'!$Q:$Q,MATCH($A13,'Valo FX'!$A:$A,0)),0,IF(KY$1&lt;INDEX('Valo FX'!$R:$R,MATCH($A13,'Valo FX'!$A:$A,0)),INDEX(Base!$U:$U,MATCH($A13,Base!$A:$A,0)),IF(KY$1=INDEX('Valo FX'!$R:$R,MATCH($A13,'Valo FX'!$A:$A,0)),INDEX(Base!$V:$V,MATCH($A13,Base!$A:$A,0)),0)))</f>
        <v>11.621169999999999</v>
      </c>
      <c r="KZ13" s="21">
        <f>IF(KZ$1&lt;INDEX('Valo FX'!$Q:$Q,MATCH($A13,'Valo FX'!$A:$A,0)),0,IF(KZ$1&lt;INDEX('Valo FX'!$R:$R,MATCH($A13,'Valo FX'!$A:$A,0)),INDEX(Base!$U:$U,MATCH($A13,Base!$A:$A,0)),IF(KZ$1=INDEX('Valo FX'!$R:$R,MATCH($A13,'Valo FX'!$A:$A,0)),INDEX(Base!$V:$V,MATCH($A13,Base!$A:$A,0)),0)))</f>
        <v>11.621169999999999</v>
      </c>
      <c r="LA13" s="21">
        <f>IF(LA$1&lt;INDEX('Valo FX'!$Q:$Q,MATCH($A13,'Valo FX'!$A:$A,0)),0,IF(LA$1&lt;INDEX('Valo FX'!$R:$R,MATCH($A13,'Valo FX'!$A:$A,0)),INDEX(Base!$U:$U,MATCH($A13,Base!$A:$A,0)),IF(LA$1=INDEX('Valo FX'!$R:$R,MATCH($A13,'Valo FX'!$A:$A,0)),INDEX(Base!$V:$V,MATCH($A13,Base!$A:$A,0)),0)))</f>
        <v>11.621169999999999</v>
      </c>
      <c r="LB13" s="21">
        <f>IF(LB$1&lt;INDEX('Valo FX'!$Q:$Q,MATCH($A13,'Valo FX'!$A:$A,0)),0,IF(LB$1&lt;INDEX('Valo FX'!$R:$R,MATCH($A13,'Valo FX'!$A:$A,0)),INDEX(Base!$U:$U,MATCH($A13,Base!$A:$A,0)),IF(LB$1=INDEX('Valo FX'!$R:$R,MATCH($A13,'Valo FX'!$A:$A,0)),INDEX(Base!$V:$V,MATCH($A13,Base!$A:$A,0)),0)))</f>
        <v>11.621169999999999</v>
      </c>
      <c r="LC13" s="21">
        <f>IF(LC$1&lt;INDEX('Valo FX'!$Q:$Q,MATCH($A13,'Valo FX'!$A:$A,0)),0,IF(LC$1&lt;INDEX('Valo FX'!$R:$R,MATCH($A13,'Valo FX'!$A:$A,0)),INDEX(Base!$U:$U,MATCH($A13,Base!$A:$A,0)),IF(LC$1=INDEX('Valo FX'!$R:$R,MATCH($A13,'Valo FX'!$A:$A,0)),INDEX(Base!$V:$V,MATCH($A13,Base!$A:$A,0)),0)))</f>
        <v>11.621169999999999</v>
      </c>
      <c r="LD13" s="21">
        <f>IF(LD$1&lt;INDEX('Valo FX'!$Q:$Q,MATCH($A13,'Valo FX'!$A:$A,0)),0,IF(LD$1&lt;INDEX('Valo FX'!$R:$R,MATCH($A13,'Valo FX'!$A:$A,0)),INDEX(Base!$U:$U,MATCH($A13,Base!$A:$A,0)),IF(LD$1=INDEX('Valo FX'!$R:$R,MATCH($A13,'Valo FX'!$A:$A,0)),INDEX(Base!$V:$V,MATCH($A13,Base!$A:$A,0)),0)))</f>
        <v>11.621169999999999</v>
      </c>
      <c r="LE13" s="21">
        <f>IF(LE$1&lt;INDEX('Valo FX'!$Q:$Q,MATCH($A13,'Valo FX'!$A:$A,0)),0,IF(LE$1&lt;INDEX('Valo FX'!$R:$R,MATCH($A13,'Valo FX'!$A:$A,0)),INDEX(Base!$U:$U,MATCH($A13,Base!$A:$A,0)),IF(LE$1=INDEX('Valo FX'!$R:$R,MATCH($A13,'Valo FX'!$A:$A,0)),INDEX(Base!$V:$V,MATCH($A13,Base!$A:$A,0)),0)))</f>
        <v>11.621169999999999</v>
      </c>
      <c r="LF13" s="21">
        <f>IF(LF$1&lt;INDEX('Valo FX'!$Q:$Q,MATCH($A13,'Valo FX'!$A:$A,0)),0,IF(LF$1&lt;INDEX('Valo FX'!$R:$R,MATCH($A13,'Valo FX'!$A:$A,0)),INDEX(Base!$U:$U,MATCH($A13,Base!$A:$A,0)),IF(LF$1=INDEX('Valo FX'!$R:$R,MATCH($A13,'Valo FX'!$A:$A,0)),INDEX(Base!$V:$V,MATCH($A13,Base!$A:$A,0)),0)))</f>
        <v>11.621169999999999</v>
      </c>
      <c r="LG13" s="21">
        <f>IF(LG$1&lt;INDEX('Valo FX'!$Q:$Q,MATCH($A13,'Valo FX'!$A:$A,0)),0,IF(LG$1&lt;INDEX('Valo FX'!$R:$R,MATCH($A13,'Valo FX'!$A:$A,0)),INDEX(Base!$U:$U,MATCH($A13,Base!$A:$A,0)),IF(LG$1=INDEX('Valo FX'!$R:$R,MATCH($A13,'Valo FX'!$A:$A,0)),INDEX(Base!$V:$V,MATCH($A13,Base!$A:$A,0)),0)))</f>
        <v>11.621169999999999</v>
      </c>
      <c r="LH13" s="21">
        <f>IF(LH$1&lt;INDEX('Valo FX'!$Q:$Q,MATCH($A13,'Valo FX'!$A:$A,0)),0,IF(LH$1&lt;INDEX('Valo FX'!$R:$R,MATCH($A13,'Valo FX'!$A:$A,0)),INDEX(Base!$U:$U,MATCH($A13,Base!$A:$A,0)),IF(LH$1=INDEX('Valo FX'!$R:$R,MATCH($A13,'Valo FX'!$A:$A,0)),INDEX(Base!$V:$V,MATCH($A13,Base!$A:$A,0)),0)))</f>
        <v>11.621169999999999</v>
      </c>
      <c r="LI13" s="21">
        <f>IF(LI$1&lt;INDEX('Valo FX'!$Q:$Q,MATCH($A13,'Valo FX'!$A:$A,0)),0,IF(LI$1&lt;INDEX('Valo FX'!$R:$R,MATCH($A13,'Valo FX'!$A:$A,0)),INDEX(Base!$U:$U,MATCH($A13,Base!$A:$A,0)),IF(LI$1=INDEX('Valo FX'!$R:$R,MATCH($A13,'Valo FX'!$A:$A,0)),INDEX(Base!$V:$V,MATCH($A13,Base!$A:$A,0)),0)))</f>
        <v>11.621169999999999</v>
      </c>
      <c r="LJ13" s="21">
        <f>IF(LJ$1&lt;INDEX('Valo FX'!$Q:$Q,MATCH($A13,'Valo FX'!$A:$A,0)),0,IF(LJ$1&lt;INDEX('Valo FX'!$R:$R,MATCH($A13,'Valo FX'!$A:$A,0)),INDEX(Base!$U:$U,MATCH($A13,Base!$A:$A,0)),IF(LJ$1=INDEX('Valo FX'!$R:$R,MATCH($A13,'Valo FX'!$A:$A,0)),INDEX(Base!$V:$V,MATCH($A13,Base!$A:$A,0)),0)))</f>
        <v>11.621169999999999</v>
      </c>
      <c r="LK13" s="21">
        <f>IF(LK$1&lt;INDEX('Valo FX'!$Q:$Q,MATCH($A13,'Valo FX'!$A:$A,0)),0,IF(LK$1&lt;INDEX('Valo FX'!$R:$R,MATCH($A13,'Valo FX'!$A:$A,0)),INDEX(Base!$U:$U,MATCH($A13,Base!$A:$A,0)),IF(LK$1=INDEX('Valo FX'!$R:$R,MATCH($A13,'Valo FX'!$A:$A,0)),INDEX(Base!$V:$V,MATCH($A13,Base!$A:$A,0)),0)))</f>
        <v>11.621169999999999</v>
      </c>
      <c r="LL13" s="21">
        <f>IF(LL$1&lt;INDEX('Valo FX'!$Q:$Q,MATCH($A13,'Valo FX'!$A:$A,0)),0,IF(LL$1&lt;INDEX('Valo FX'!$R:$R,MATCH($A13,'Valo FX'!$A:$A,0)),INDEX(Base!$U:$U,MATCH($A13,Base!$A:$A,0)),IF(LL$1=INDEX('Valo FX'!$R:$R,MATCH($A13,'Valo FX'!$A:$A,0)),INDEX(Base!$V:$V,MATCH($A13,Base!$A:$A,0)),0)))</f>
        <v>11.621169999999999</v>
      </c>
      <c r="LM13" s="21">
        <f>IF(LM$1&lt;INDEX('Valo FX'!$Q:$Q,MATCH($A13,'Valo FX'!$A:$A,0)),0,IF(LM$1&lt;INDEX('Valo FX'!$R:$R,MATCH($A13,'Valo FX'!$A:$A,0)),INDEX(Base!$U:$U,MATCH($A13,Base!$A:$A,0)),IF(LM$1=INDEX('Valo FX'!$R:$R,MATCH($A13,'Valo FX'!$A:$A,0)),INDEX(Base!$V:$V,MATCH($A13,Base!$A:$A,0)),0)))</f>
        <v>11.621169999999999</v>
      </c>
      <c r="LN13" s="21">
        <f>IF(LN$1&lt;INDEX('Valo FX'!$Q:$Q,MATCH($A13,'Valo FX'!$A:$A,0)),0,IF(LN$1&lt;INDEX('Valo FX'!$R:$R,MATCH($A13,'Valo FX'!$A:$A,0)),INDEX(Base!$U:$U,MATCH($A13,Base!$A:$A,0)),IF(LN$1=INDEX('Valo FX'!$R:$R,MATCH($A13,'Valo FX'!$A:$A,0)),INDEX(Base!$V:$V,MATCH($A13,Base!$A:$A,0)),0)))</f>
        <v>11.621169999999999</v>
      </c>
      <c r="LO13" s="21">
        <f>IF(LO$1&lt;INDEX('Valo FX'!$Q:$Q,MATCH($A13,'Valo FX'!$A:$A,0)),0,IF(LO$1&lt;INDEX('Valo FX'!$R:$R,MATCH($A13,'Valo FX'!$A:$A,0)),INDEX(Base!$U:$U,MATCH($A13,Base!$A:$A,0)),IF(LO$1=INDEX('Valo FX'!$R:$R,MATCH($A13,'Valo FX'!$A:$A,0)),INDEX(Base!$V:$V,MATCH($A13,Base!$A:$A,0)),0)))</f>
        <v>11.621169999999999</v>
      </c>
      <c r="LP13" s="21">
        <f>IF(LP$1&lt;INDEX('Valo FX'!$Q:$Q,MATCH($A13,'Valo FX'!$A:$A,0)),0,IF(LP$1&lt;INDEX('Valo FX'!$R:$R,MATCH($A13,'Valo FX'!$A:$A,0)),INDEX(Base!$U:$U,MATCH($A13,Base!$A:$A,0)),IF(LP$1=INDEX('Valo FX'!$R:$R,MATCH($A13,'Valo FX'!$A:$A,0)),INDEX(Base!$V:$V,MATCH($A13,Base!$A:$A,0)),0)))</f>
        <v>11.621169999999999</v>
      </c>
      <c r="LQ13" s="21">
        <f>IF(LQ$1&lt;INDEX('Valo FX'!$Q:$Q,MATCH($A13,'Valo FX'!$A:$A,0)),0,IF(LQ$1&lt;INDEX('Valo FX'!$R:$R,MATCH($A13,'Valo FX'!$A:$A,0)),INDEX(Base!$U:$U,MATCH($A13,Base!$A:$A,0)),IF(LQ$1=INDEX('Valo FX'!$R:$R,MATCH($A13,'Valo FX'!$A:$A,0)),INDEX(Base!$V:$V,MATCH($A13,Base!$A:$A,0)),0)))</f>
        <v>11.621169999999999</v>
      </c>
      <c r="LR13" s="21">
        <f>IF(LR$1&lt;INDEX('Valo FX'!$Q:$Q,MATCH($A13,'Valo FX'!$A:$A,0)),0,IF(LR$1&lt;INDEX('Valo FX'!$R:$R,MATCH($A13,'Valo FX'!$A:$A,0)),INDEX(Base!$U:$U,MATCH($A13,Base!$A:$A,0)),IF(LR$1=INDEX('Valo FX'!$R:$R,MATCH($A13,'Valo FX'!$A:$A,0)),INDEX(Base!$V:$V,MATCH($A13,Base!$A:$A,0)),0)))</f>
        <v>11.621169999999999</v>
      </c>
      <c r="LS13" s="21">
        <f>IF(LS$1&lt;INDEX('Valo FX'!$Q:$Q,MATCH($A13,'Valo FX'!$A:$A,0)),0,IF(LS$1&lt;INDEX('Valo FX'!$R:$R,MATCH($A13,'Valo FX'!$A:$A,0)),INDEX(Base!$U:$U,MATCH($A13,Base!$A:$A,0)),IF(LS$1=INDEX('Valo FX'!$R:$R,MATCH($A13,'Valo FX'!$A:$A,0)),INDEX(Base!$V:$V,MATCH($A13,Base!$A:$A,0)),0)))</f>
        <v>11.621169999999999</v>
      </c>
      <c r="LT13" s="21">
        <f>IF(LT$1&lt;INDEX('Valo FX'!$Q:$Q,MATCH($A13,'Valo FX'!$A:$A,0)),0,IF(LT$1&lt;INDEX('Valo FX'!$R:$R,MATCH($A13,'Valo FX'!$A:$A,0)),INDEX(Base!$U:$U,MATCH($A13,Base!$A:$A,0)),IF(LT$1=INDEX('Valo FX'!$R:$R,MATCH($A13,'Valo FX'!$A:$A,0)),INDEX(Base!$V:$V,MATCH($A13,Base!$A:$A,0)),0)))</f>
        <v>11.621169999999999</v>
      </c>
      <c r="LU13" s="21">
        <f>IF(LU$1&lt;INDEX('Valo FX'!$Q:$Q,MATCH($A13,'Valo FX'!$A:$A,0)),0,IF(LU$1&lt;INDEX('Valo FX'!$R:$R,MATCH($A13,'Valo FX'!$A:$A,0)),INDEX(Base!$U:$U,MATCH($A13,Base!$A:$A,0)),IF(LU$1=INDEX('Valo FX'!$R:$R,MATCH($A13,'Valo FX'!$A:$A,0)),INDEX(Base!$V:$V,MATCH($A13,Base!$A:$A,0)),0)))</f>
        <v>11.621169999999999</v>
      </c>
      <c r="LV13" s="21">
        <f>IF(LV$1&lt;INDEX('Valo FX'!$Q:$Q,MATCH($A13,'Valo FX'!$A:$A,0)),0,IF(LV$1&lt;INDEX('Valo FX'!$R:$R,MATCH($A13,'Valo FX'!$A:$A,0)),INDEX(Base!$U:$U,MATCH($A13,Base!$A:$A,0)),IF(LV$1=INDEX('Valo FX'!$R:$R,MATCH($A13,'Valo FX'!$A:$A,0)),INDEX(Base!$V:$V,MATCH($A13,Base!$A:$A,0)),0)))</f>
        <v>11.621169999999999</v>
      </c>
      <c r="LW13" s="21">
        <f>IF(LW$1&lt;INDEX('Valo FX'!$Q:$Q,MATCH($A13,'Valo FX'!$A:$A,0)),0,IF(LW$1&lt;INDEX('Valo FX'!$R:$R,MATCH($A13,'Valo FX'!$A:$A,0)),INDEX(Base!$U:$U,MATCH($A13,Base!$A:$A,0)),IF(LW$1=INDEX('Valo FX'!$R:$R,MATCH($A13,'Valo FX'!$A:$A,0)),INDEX(Base!$V:$V,MATCH($A13,Base!$A:$A,0)),0)))</f>
        <v>11.621169999999999</v>
      </c>
      <c r="LX13" s="21">
        <f>IF(LX$1&lt;INDEX('Valo FX'!$Q:$Q,MATCH($A13,'Valo FX'!$A:$A,0)),0,IF(LX$1&lt;INDEX('Valo FX'!$R:$R,MATCH($A13,'Valo FX'!$A:$A,0)),INDEX(Base!$U:$U,MATCH($A13,Base!$A:$A,0)),IF(LX$1=INDEX('Valo FX'!$R:$R,MATCH($A13,'Valo FX'!$A:$A,0)),INDEX(Base!$V:$V,MATCH($A13,Base!$A:$A,0)),0)))</f>
        <v>11.621169999999999</v>
      </c>
      <c r="LY13" s="21">
        <f>IF(LY$1&lt;INDEX('Valo FX'!$Q:$Q,MATCH($A13,'Valo FX'!$A:$A,0)),0,IF(LY$1&lt;INDEX('Valo FX'!$R:$R,MATCH($A13,'Valo FX'!$A:$A,0)),INDEX(Base!$U:$U,MATCH($A13,Base!$A:$A,0)),IF(LY$1=INDEX('Valo FX'!$R:$R,MATCH($A13,'Valo FX'!$A:$A,0)),INDEX(Base!$V:$V,MATCH($A13,Base!$A:$A,0)),0)))</f>
        <v>11.621169999999999</v>
      </c>
      <c r="LZ13" s="21">
        <f>IF(LZ$1&lt;INDEX('Valo FX'!$Q:$Q,MATCH($A13,'Valo FX'!$A:$A,0)),0,IF(LZ$1&lt;INDEX('Valo FX'!$R:$R,MATCH($A13,'Valo FX'!$A:$A,0)),INDEX(Base!$U:$U,MATCH($A13,Base!$A:$A,0)),IF(LZ$1=INDEX('Valo FX'!$R:$R,MATCH($A13,'Valo FX'!$A:$A,0)),INDEX(Base!$V:$V,MATCH($A13,Base!$A:$A,0)),0)))</f>
        <v>11.621169999999999</v>
      </c>
      <c r="MA13" s="21">
        <f>IF(MA$1&lt;INDEX('Valo FX'!$Q:$Q,MATCH($A13,'Valo FX'!$A:$A,0)),0,IF(MA$1&lt;INDEX('Valo FX'!$R:$R,MATCH($A13,'Valo FX'!$A:$A,0)),INDEX(Base!$U:$U,MATCH($A13,Base!$A:$A,0)),IF(MA$1=INDEX('Valo FX'!$R:$R,MATCH($A13,'Valo FX'!$A:$A,0)),INDEX(Base!$V:$V,MATCH($A13,Base!$A:$A,0)),0)))</f>
        <v>11.621169999999999</v>
      </c>
      <c r="MB13" s="21">
        <f>IF(MB$1&lt;INDEX('Valo FX'!$Q:$Q,MATCH($A13,'Valo FX'!$A:$A,0)),0,IF(MB$1&lt;INDEX('Valo FX'!$R:$R,MATCH($A13,'Valo FX'!$A:$A,0)),INDEX(Base!$U:$U,MATCH($A13,Base!$A:$A,0)),IF(MB$1=INDEX('Valo FX'!$R:$R,MATCH($A13,'Valo FX'!$A:$A,0)),INDEX(Base!$V:$V,MATCH($A13,Base!$A:$A,0)),0)))</f>
        <v>11.621169999999999</v>
      </c>
      <c r="MC13" s="21">
        <f>IF(MC$1&lt;INDEX('Valo FX'!$Q:$Q,MATCH($A13,'Valo FX'!$A:$A,0)),0,IF(MC$1&lt;INDEX('Valo FX'!$R:$R,MATCH($A13,'Valo FX'!$A:$A,0)),INDEX(Base!$U:$U,MATCH($A13,Base!$A:$A,0)),IF(MC$1=INDEX('Valo FX'!$R:$R,MATCH($A13,'Valo FX'!$A:$A,0)),INDEX(Base!$V:$V,MATCH($A13,Base!$A:$A,0)),0)))</f>
        <v>11.621169999999999</v>
      </c>
      <c r="MD13" s="21">
        <f>IF(MD$1&lt;INDEX('Valo FX'!$Q:$Q,MATCH($A13,'Valo FX'!$A:$A,0)),0,IF(MD$1&lt;INDEX('Valo FX'!$R:$R,MATCH($A13,'Valo FX'!$A:$A,0)),INDEX(Base!$U:$U,MATCH($A13,Base!$A:$A,0)),IF(MD$1=INDEX('Valo FX'!$R:$R,MATCH($A13,'Valo FX'!$A:$A,0)),INDEX(Base!$V:$V,MATCH($A13,Base!$A:$A,0)),0)))</f>
        <v>11.621169999999999</v>
      </c>
      <c r="ME13" s="21">
        <f>IF(ME$1&lt;INDEX('Valo FX'!$Q:$Q,MATCH($A13,'Valo FX'!$A:$A,0)),0,IF(ME$1&lt;INDEX('Valo FX'!$R:$R,MATCH($A13,'Valo FX'!$A:$A,0)),INDEX(Base!$U:$U,MATCH($A13,Base!$A:$A,0)),IF(ME$1=INDEX('Valo FX'!$R:$R,MATCH($A13,'Valo FX'!$A:$A,0)),INDEX(Base!$V:$V,MATCH($A13,Base!$A:$A,0)),0)))</f>
        <v>11.621169999999999</v>
      </c>
      <c r="MF13" s="21">
        <f>IF(MF$1&lt;INDEX('Valo FX'!$Q:$Q,MATCH($A13,'Valo FX'!$A:$A,0)),0,IF(MF$1&lt;INDEX('Valo FX'!$R:$R,MATCH($A13,'Valo FX'!$A:$A,0)),INDEX(Base!$U:$U,MATCH($A13,Base!$A:$A,0)),IF(MF$1=INDEX('Valo FX'!$R:$R,MATCH($A13,'Valo FX'!$A:$A,0)),INDEX(Base!$V:$V,MATCH($A13,Base!$A:$A,0)),0)))</f>
        <v>11.621169999999999</v>
      </c>
      <c r="MG13" s="21">
        <f>IF(MG$1&lt;INDEX('Valo FX'!$Q:$Q,MATCH($A13,'Valo FX'!$A:$A,0)),0,IF(MG$1&lt;INDEX('Valo FX'!$R:$R,MATCH($A13,'Valo FX'!$A:$A,0)),INDEX(Base!$U:$U,MATCH($A13,Base!$A:$A,0)),IF(MG$1=INDEX('Valo FX'!$R:$R,MATCH($A13,'Valo FX'!$A:$A,0)),INDEX(Base!$V:$V,MATCH($A13,Base!$A:$A,0)),0)))</f>
        <v>11.621169999999999</v>
      </c>
      <c r="MH13" s="21">
        <f>IF(MH$1&lt;INDEX('Valo FX'!$Q:$Q,MATCH($A13,'Valo FX'!$A:$A,0)),0,IF(MH$1&lt;INDEX('Valo FX'!$R:$R,MATCH($A13,'Valo FX'!$A:$A,0)),INDEX(Base!$U:$U,MATCH($A13,Base!$A:$A,0)),IF(MH$1=INDEX('Valo FX'!$R:$R,MATCH($A13,'Valo FX'!$A:$A,0)),INDEX(Base!$V:$V,MATCH($A13,Base!$A:$A,0)),0)))</f>
        <v>11.621169999999999</v>
      </c>
      <c r="MI13" s="21">
        <f>IF(MI$1&lt;INDEX('Valo FX'!$Q:$Q,MATCH($A13,'Valo FX'!$A:$A,0)),0,IF(MI$1&lt;INDEX('Valo FX'!$R:$R,MATCH($A13,'Valo FX'!$A:$A,0)),INDEX(Base!$U:$U,MATCH($A13,Base!$A:$A,0)),IF(MI$1=INDEX('Valo FX'!$R:$R,MATCH($A13,'Valo FX'!$A:$A,0)),INDEX(Base!$V:$V,MATCH($A13,Base!$A:$A,0)),0)))</f>
        <v>11.621169999999999</v>
      </c>
      <c r="MJ13" s="21">
        <f>IF(MJ$1&lt;INDEX('Valo FX'!$Q:$Q,MATCH($A13,'Valo FX'!$A:$A,0)),0,IF(MJ$1&lt;INDEX('Valo FX'!$R:$R,MATCH($A13,'Valo FX'!$A:$A,0)),INDEX(Base!$U:$U,MATCH($A13,Base!$A:$A,0)),IF(MJ$1=INDEX('Valo FX'!$R:$R,MATCH($A13,'Valo FX'!$A:$A,0)),INDEX(Base!$V:$V,MATCH($A13,Base!$A:$A,0)),0)))</f>
        <v>11.621169999999999</v>
      </c>
      <c r="MK13" s="21">
        <f>IF(MK$1&lt;INDEX('Valo FX'!$Q:$Q,MATCH($A13,'Valo FX'!$A:$A,0)),0,IF(MK$1&lt;INDEX('Valo FX'!$R:$R,MATCH($A13,'Valo FX'!$A:$A,0)),INDEX(Base!$U:$U,MATCH($A13,Base!$A:$A,0)),IF(MK$1=INDEX('Valo FX'!$R:$R,MATCH($A13,'Valo FX'!$A:$A,0)),INDEX(Base!$V:$V,MATCH($A13,Base!$A:$A,0)),0)))</f>
        <v>11.621169999999999</v>
      </c>
      <c r="ML13" s="21">
        <f>IF(ML$1&lt;INDEX('Valo FX'!$Q:$Q,MATCH($A13,'Valo FX'!$A:$A,0)),0,IF(ML$1&lt;INDEX('Valo FX'!$R:$R,MATCH($A13,'Valo FX'!$A:$A,0)),INDEX(Base!$U:$U,MATCH($A13,Base!$A:$A,0)),IF(ML$1=INDEX('Valo FX'!$R:$R,MATCH($A13,'Valo FX'!$A:$A,0)),INDEX(Base!$V:$V,MATCH($A13,Base!$A:$A,0)),0)))</f>
        <v>11.621169999999999</v>
      </c>
      <c r="MM13" s="21">
        <f>IF(MM$1&lt;INDEX('Valo FX'!$Q:$Q,MATCH($A13,'Valo FX'!$A:$A,0)),0,IF(MM$1&lt;INDEX('Valo FX'!$R:$R,MATCH($A13,'Valo FX'!$A:$A,0)),INDEX(Base!$U:$U,MATCH($A13,Base!$A:$A,0)),IF(MM$1=INDEX('Valo FX'!$R:$R,MATCH($A13,'Valo FX'!$A:$A,0)),INDEX(Base!$V:$V,MATCH($A13,Base!$A:$A,0)),0)))</f>
        <v>11.621169999999999</v>
      </c>
      <c r="MN13" s="21">
        <f>IF(MN$1&lt;INDEX('Valo FX'!$Q:$Q,MATCH($A13,'Valo FX'!$A:$A,0)),0,IF(MN$1&lt;INDEX('Valo FX'!$R:$R,MATCH($A13,'Valo FX'!$A:$A,0)),INDEX(Base!$U:$U,MATCH($A13,Base!$A:$A,0)),IF(MN$1=INDEX('Valo FX'!$R:$R,MATCH($A13,'Valo FX'!$A:$A,0)),INDEX(Base!$V:$V,MATCH($A13,Base!$A:$A,0)),0)))</f>
        <v>11.621169999999999</v>
      </c>
      <c r="MO13" s="21">
        <f>IF(MO$1&lt;INDEX('Valo FX'!$Q:$Q,MATCH($A13,'Valo FX'!$A:$A,0)),0,IF(MO$1&lt;INDEX('Valo FX'!$R:$R,MATCH($A13,'Valo FX'!$A:$A,0)),INDEX(Base!$U:$U,MATCH($A13,Base!$A:$A,0)),IF(MO$1=INDEX('Valo FX'!$R:$R,MATCH($A13,'Valo FX'!$A:$A,0)),INDEX(Base!$V:$V,MATCH($A13,Base!$A:$A,0)),0)))</f>
        <v>11.621169999999999</v>
      </c>
      <c r="MP13" s="21">
        <f>IF(MP$1&lt;INDEX('Valo FX'!$Q:$Q,MATCH($A13,'Valo FX'!$A:$A,0)),0,IF(MP$1&lt;INDEX('Valo FX'!$R:$R,MATCH($A13,'Valo FX'!$A:$A,0)),INDEX(Base!$U:$U,MATCH($A13,Base!$A:$A,0)),IF(MP$1=INDEX('Valo FX'!$R:$R,MATCH($A13,'Valo FX'!$A:$A,0)),INDEX(Base!$V:$V,MATCH($A13,Base!$A:$A,0)),0)))</f>
        <v>11.621169999999999</v>
      </c>
      <c r="MQ13" s="21">
        <f>IF(MQ$1&lt;INDEX('Valo FX'!$Q:$Q,MATCH($A13,'Valo FX'!$A:$A,0)),0,IF(MQ$1&lt;INDEX('Valo FX'!$R:$R,MATCH($A13,'Valo FX'!$A:$A,0)),INDEX(Base!$U:$U,MATCH($A13,Base!$A:$A,0)),IF(MQ$1=INDEX('Valo FX'!$R:$R,MATCH($A13,'Valo FX'!$A:$A,0)),INDEX(Base!$V:$V,MATCH($A13,Base!$A:$A,0)),0)))</f>
        <v>11.621169999999999</v>
      </c>
      <c r="MR13" s="21">
        <f>IF(MR$1&lt;INDEX('Valo FX'!$Q:$Q,MATCH($A13,'Valo FX'!$A:$A,0)),0,IF(MR$1&lt;INDEX('Valo FX'!$R:$R,MATCH($A13,'Valo FX'!$A:$A,0)),INDEX(Base!$U:$U,MATCH($A13,Base!$A:$A,0)),IF(MR$1=INDEX('Valo FX'!$R:$R,MATCH($A13,'Valo FX'!$A:$A,0)),INDEX(Base!$V:$V,MATCH($A13,Base!$A:$A,0)),0)))</f>
        <v>11.621169999999999</v>
      </c>
      <c r="MS13" s="21">
        <f>IF(MS$1&lt;INDEX('Valo FX'!$Q:$Q,MATCH($A13,'Valo FX'!$A:$A,0)),0,IF(MS$1&lt;INDEX('Valo FX'!$R:$R,MATCH($A13,'Valo FX'!$A:$A,0)),INDEX(Base!$U:$U,MATCH($A13,Base!$A:$A,0)),IF(MS$1=INDEX('Valo FX'!$R:$R,MATCH($A13,'Valo FX'!$A:$A,0)),INDEX(Base!$V:$V,MATCH($A13,Base!$A:$A,0)),0)))</f>
        <v>11.621169999999999</v>
      </c>
      <c r="MT13" s="21">
        <f>IF(MT$1&lt;INDEX('Valo FX'!$Q:$Q,MATCH($A13,'Valo FX'!$A:$A,0)),0,IF(MT$1&lt;INDEX('Valo FX'!$R:$R,MATCH($A13,'Valo FX'!$A:$A,0)),INDEX(Base!$U:$U,MATCH($A13,Base!$A:$A,0)),IF(MT$1=INDEX('Valo FX'!$R:$R,MATCH($A13,'Valo FX'!$A:$A,0)),INDEX(Base!$V:$V,MATCH($A13,Base!$A:$A,0)),0)))</f>
        <v>11.621169999999999</v>
      </c>
      <c r="MU13" s="21">
        <f>IF(MU$1&lt;INDEX('Valo FX'!$Q:$Q,MATCH($A13,'Valo FX'!$A:$A,0)),0,IF(MU$1&lt;INDEX('Valo FX'!$R:$R,MATCH($A13,'Valo FX'!$A:$A,0)),INDEX(Base!$U:$U,MATCH($A13,Base!$A:$A,0)),IF(MU$1=INDEX('Valo FX'!$R:$R,MATCH($A13,'Valo FX'!$A:$A,0)),INDEX(Base!$V:$V,MATCH($A13,Base!$A:$A,0)),0)))</f>
        <v>11.621169999999999</v>
      </c>
      <c r="MV13" s="21">
        <f>IF(MV$1&lt;INDEX('Valo FX'!$Q:$Q,MATCH($A13,'Valo FX'!$A:$A,0)),0,IF(MV$1&lt;INDEX('Valo FX'!$R:$R,MATCH($A13,'Valo FX'!$A:$A,0)),INDEX(Base!$U:$U,MATCH($A13,Base!$A:$A,0)),IF(MV$1=INDEX('Valo FX'!$R:$R,MATCH($A13,'Valo FX'!$A:$A,0)),INDEX(Base!$V:$V,MATCH($A13,Base!$A:$A,0)),0)))</f>
        <v>11.621169999999999</v>
      </c>
      <c r="MW13" s="21">
        <f>IF(MW$1&lt;INDEX('Valo FX'!$Q:$Q,MATCH($A13,'Valo FX'!$A:$A,0)),0,IF(MW$1&lt;INDEX('Valo FX'!$R:$R,MATCH($A13,'Valo FX'!$A:$A,0)),INDEX(Base!$U:$U,MATCH($A13,Base!$A:$A,0)),IF(MW$1=INDEX('Valo FX'!$R:$R,MATCH($A13,'Valo FX'!$A:$A,0)),INDEX(Base!$V:$V,MATCH($A13,Base!$A:$A,0)),0)))</f>
        <v>11.621169999999999</v>
      </c>
      <c r="MX13" s="21">
        <f>IF(MX$1&lt;INDEX('Valo FX'!$Q:$Q,MATCH($A13,'Valo FX'!$A:$A,0)),0,IF(MX$1&lt;INDEX('Valo FX'!$R:$R,MATCH($A13,'Valo FX'!$A:$A,0)),INDEX(Base!$U:$U,MATCH($A13,Base!$A:$A,0)),IF(MX$1=INDEX('Valo FX'!$R:$R,MATCH($A13,'Valo FX'!$A:$A,0)),INDEX(Base!$V:$V,MATCH($A13,Base!$A:$A,0)),0)))</f>
        <v>12.570195</v>
      </c>
      <c r="MY13" s="21">
        <f>IF(MY$1&lt;INDEX('Valo FX'!$Q:$Q,MATCH($A13,'Valo FX'!$A:$A,0)),0,IF(MY$1&lt;INDEX('Valo FX'!$R:$R,MATCH($A13,'Valo FX'!$A:$A,0)),INDEX(Base!$U:$U,MATCH($A13,Base!$A:$A,0)),IF(MY$1=INDEX('Valo FX'!$R:$R,MATCH($A13,'Valo FX'!$A:$A,0)),INDEX(Base!$V:$V,MATCH($A13,Base!$A:$A,0)),0)))</f>
        <v>0</v>
      </c>
    </row>
    <row r="14" spans="1:363" x14ac:dyDescent="0.25">
      <c r="A14" s="7">
        <f>+'Valo FX'!A15</f>
        <v>12</v>
      </c>
      <c r="B14" s="59">
        <f>-'Valo FX'!T15</f>
        <v>-934.72947250399534</v>
      </c>
      <c r="C14" s="21">
        <f>IF(C$1&lt;INDEX('Valo FX'!$Q:$Q,MATCH($A14,'Valo FX'!$A:$A,0)),0,IF(C$1&lt;INDEX('Valo FX'!$R:$R,MATCH($A14,'Valo FX'!$A:$A,0)),INDEX(Base!$U:$U,MATCH($A14,Base!$A:$A,0)),IF(C$1=INDEX('Valo FX'!$R:$R,MATCH($A14,'Valo FX'!$A:$A,0)),INDEX(Base!$V:$V,MATCH($A14,Base!$A:$A,0)),0)))</f>
        <v>0</v>
      </c>
      <c r="D14" s="21">
        <f>IF(D$1&lt;INDEX('Valo FX'!$Q:$Q,MATCH($A14,'Valo FX'!$A:$A,0)),0,IF(D$1&lt;INDEX('Valo FX'!$R:$R,MATCH($A14,'Valo FX'!$A:$A,0)),INDEX(Base!$U:$U,MATCH($A14,Base!$A:$A,0)),IF(D$1=INDEX('Valo FX'!$R:$R,MATCH($A14,'Valo FX'!$A:$A,0)),INDEX(Base!$V:$V,MATCH($A14,Base!$A:$A,0)),0)))</f>
        <v>0</v>
      </c>
      <c r="E14" s="21">
        <f>IF(E$1&lt;INDEX('Valo FX'!$Q:$Q,MATCH($A14,'Valo FX'!$A:$A,0)),0,IF(E$1&lt;INDEX('Valo FX'!$R:$R,MATCH($A14,'Valo FX'!$A:$A,0)),INDEX(Base!$U:$U,MATCH($A14,Base!$A:$A,0)),IF(E$1=INDEX('Valo FX'!$R:$R,MATCH($A14,'Valo FX'!$A:$A,0)),INDEX(Base!$V:$V,MATCH($A14,Base!$A:$A,0)),0)))</f>
        <v>0</v>
      </c>
      <c r="F14" s="21">
        <f>IF(F$1&lt;INDEX('Valo FX'!$Q:$Q,MATCH($A14,'Valo FX'!$A:$A,0)),0,IF(F$1&lt;INDEX('Valo FX'!$R:$R,MATCH($A14,'Valo FX'!$A:$A,0)),INDEX(Base!$U:$U,MATCH($A14,Base!$A:$A,0)),IF(F$1=INDEX('Valo FX'!$R:$R,MATCH($A14,'Valo FX'!$A:$A,0)),INDEX(Base!$V:$V,MATCH($A14,Base!$A:$A,0)),0)))</f>
        <v>0</v>
      </c>
      <c r="G14" s="21">
        <f>IF(G$1&lt;INDEX('Valo FX'!$Q:$Q,MATCH($A14,'Valo FX'!$A:$A,0)),0,IF(G$1&lt;INDEX('Valo FX'!$R:$R,MATCH($A14,'Valo FX'!$A:$A,0)),INDEX(Base!$U:$U,MATCH($A14,Base!$A:$A,0)),IF(G$1=INDEX('Valo FX'!$R:$R,MATCH($A14,'Valo FX'!$A:$A,0)),INDEX(Base!$V:$V,MATCH($A14,Base!$A:$A,0)),0)))</f>
        <v>0</v>
      </c>
      <c r="H14" s="21">
        <f>IF(H$1&lt;INDEX('Valo FX'!$Q:$Q,MATCH($A14,'Valo FX'!$A:$A,0)),0,IF(H$1&lt;INDEX('Valo FX'!$R:$R,MATCH($A14,'Valo FX'!$A:$A,0)),INDEX(Base!$U:$U,MATCH($A14,Base!$A:$A,0)),IF(H$1=INDEX('Valo FX'!$R:$R,MATCH($A14,'Valo FX'!$A:$A,0)),INDEX(Base!$V:$V,MATCH($A14,Base!$A:$A,0)),0)))</f>
        <v>6.5836199999999998</v>
      </c>
      <c r="I14" s="21">
        <f>IF(I$1&lt;INDEX('Valo FX'!$Q:$Q,MATCH($A14,'Valo FX'!$A:$A,0)),0,IF(I$1&lt;INDEX('Valo FX'!$R:$R,MATCH($A14,'Valo FX'!$A:$A,0)),INDEX(Base!$U:$U,MATCH($A14,Base!$A:$A,0)),IF(I$1=INDEX('Valo FX'!$R:$R,MATCH($A14,'Valo FX'!$A:$A,0)),INDEX(Base!$V:$V,MATCH($A14,Base!$A:$A,0)),0)))</f>
        <v>6.5836199999999998</v>
      </c>
      <c r="J14" s="21">
        <f>IF(J$1&lt;INDEX('Valo FX'!$Q:$Q,MATCH($A14,'Valo FX'!$A:$A,0)),0,IF(J$1&lt;INDEX('Valo FX'!$R:$R,MATCH($A14,'Valo FX'!$A:$A,0)),INDEX(Base!$U:$U,MATCH($A14,Base!$A:$A,0)),IF(J$1=INDEX('Valo FX'!$R:$R,MATCH($A14,'Valo FX'!$A:$A,0)),INDEX(Base!$V:$V,MATCH($A14,Base!$A:$A,0)),0)))</f>
        <v>6.5836199999999998</v>
      </c>
      <c r="K14" s="21">
        <f>IF(K$1&lt;INDEX('Valo FX'!$Q:$Q,MATCH($A14,'Valo FX'!$A:$A,0)),0,IF(K$1&lt;INDEX('Valo FX'!$R:$R,MATCH($A14,'Valo FX'!$A:$A,0)),INDEX(Base!$U:$U,MATCH($A14,Base!$A:$A,0)),IF(K$1=INDEX('Valo FX'!$R:$R,MATCH($A14,'Valo FX'!$A:$A,0)),INDEX(Base!$V:$V,MATCH($A14,Base!$A:$A,0)),0)))</f>
        <v>6.5836199999999998</v>
      </c>
      <c r="L14" s="21">
        <f>IF(L$1&lt;INDEX('Valo FX'!$Q:$Q,MATCH($A14,'Valo FX'!$A:$A,0)),0,IF(L$1&lt;INDEX('Valo FX'!$R:$R,MATCH($A14,'Valo FX'!$A:$A,0)),INDEX(Base!$U:$U,MATCH($A14,Base!$A:$A,0)),IF(L$1=INDEX('Valo FX'!$R:$R,MATCH($A14,'Valo FX'!$A:$A,0)),INDEX(Base!$V:$V,MATCH($A14,Base!$A:$A,0)),0)))</f>
        <v>6.5836199999999998</v>
      </c>
      <c r="M14" s="21">
        <f>IF(M$1&lt;INDEX('Valo FX'!$Q:$Q,MATCH($A14,'Valo FX'!$A:$A,0)),0,IF(M$1&lt;INDEX('Valo FX'!$R:$R,MATCH($A14,'Valo FX'!$A:$A,0)),INDEX(Base!$U:$U,MATCH($A14,Base!$A:$A,0)),IF(M$1=INDEX('Valo FX'!$R:$R,MATCH($A14,'Valo FX'!$A:$A,0)),INDEX(Base!$V:$V,MATCH($A14,Base!$A:$A,0)),0)))</f>
        <v>6.5836199999999998</v>
      </c>
      <c r="N14" s="21">
        <f>IF(N$1&lt;INDEX('Valo FX'!$Q:$Q,MATCH($A14,'Valo FX'!$A:$A,0)),0,IF(N$1&lt;INDEX('Valo FX'!$R:$R,MATCH($A14,'Valo FX'!$A:$A,0)),INDEX(Base!$U:$U,MATCH($A14,Base!$A:$A,0)),IF(N$1=INDEX('Valo FX'!$R:$R,MATCH($A14,'Valo FX'!$A:$A,0)),INDEX(Base!$V:$V,MATCH($A14,Base!$A:$A,0)),0)))</f>
        <v>6.5836199999999998</v>
      </c>
      <c r="O14" s="21">
        <f>IF(O$1&lt;INDEX('Valo FX'!$Q:$Q,MATCH($A14,'Valo FX'!$A:$A,0)),0,IF(O$1&lt;INDEX('Valo FX'!$R:$R,MATCH($A14,'Valo FX'!$A:$A,0)),INDEX(Base!$U:$U,MATCH($A14,Base!$A:$A,0)),IF(O$1=INDEX('Valo FX'!$R:$R,MATCH($A14,'Valo FX'!$A:$A,0)),INDEX(Base!$V:$V,MATCH($A14,Base!$A:$A,0)),0)))</f>
        <v>6.5836199999999998</v>
      </c>
      <c r="P14" s="21">
        <f>IF(P$1&lt;INDEX('Valo FX'!$Q:$Q,MATCH($A14,'Valo FX'!$A:$A,0)),0,IF(P$1&lt;INDEX('Valo FX'!$R:$R,MATCH($A14,'Valo FX'!$A:$A,0)),INDEX(Base!$U:$U,MATCH($A14,Base!$A:$A,0)),IF(P$1=INDEX('Valo FX'!$R:$R,MATCH($A14,'Valo FX'!$A:$A,0)),INDEX(Base!$V:$V,MATCH($A14,Base!$A:$A,0)),0)))</f>
        <v>6.5836199999999998</v>
      </c>
      <c r="Q14" s="21">
        <f>IF(Q$1&lt;INDEX('Valo FX'!$Q:$Q,MATCH($A14,'Valo FX'!$A:$A,0)),0,IF(Q$1&lt;INDEX('Valo FX'!$R:$R,MATCH($A14,'Valo FX'!$A:$A,0)),INDEX(Base!$U:$U,MATCH($A14,Base!$A:$A,0)),IF(Q$1=INDEX('Valo FX'!$R:$R,MATCH($A14,'Valo FX'!$A:$A,0)),INDEX(Base!$V:$V,MATCH($A14,Base!$A:$A,0)),0)))</f>
        <v>6.5836199999999998</v>
      </c>
      <c r="R14" s="21">
        <f>IF(R$1&lt;INDEX('Valo FX'!$Q:$Q,MATCH($A14,'Valo FX'!$A:$A,0)),0,IF(R$1&lt;INDEX('Valo FX'!$R:$R,MATCH($A14,'Valo FX'!$A:$A,0)),INDEX(Base!$U:$U,MATCH($A14,Base!$A:$A,0)),IF(R$1=INDEX('Valo FX'!$R:$R,MATCH($A14,'Valo FX'!$A:$A,0)),INDEX(Base!$V:$V,MATCH($A14,Base!$A:$A,0)),0)))</f>
        <v>6.5836199999999998</v>
      </c>
      <c r="S14" s="21">
        <f>IF(S$1&lt;INDEX('Valo FX'!$Q:$Q,MATCH($A14,'Valo FX'!$A:$A,0)),0,IF(S$1&lt;INDEX('Valo FX'!$R:$R,MATCH($A14,'Valo FX'!$A:$A,0)),INDEX(Base!$U:$U,MATCH($A14,Base!$A:$A,0)),IF(S$1=INDEX('Valo FX'!$R:$R,MATCH($A14,'Valo FX'!$A:$A,0)),INDEX(Base!$V:$V,MATCH($A14,Base!$A:$A,0)),0)))</f>
        <v>6.5836199999999998</v>
      </c>
      <c r="T14" s="21">
        <f>IF(T$1&lt;INDEX('Valo FX'!$Q:$Q,MATCH($A14,'Valo FX'!$A:$A,0)),0,IF(T$1&lt;INDEX('Valo FX'!$R:$R,MATCH($A14,'Valo FX'!$A:$A,0)),INDEX(Base!$U:$U,MATCH($A14,Base!$A:$A,0)),IF(T$1=INDEX('Valo FX'!$R:$R,MATCH($A14,'Valo FX'!$A:$A,0)),INDEX(Base!$V:$V,MATCH($A14,Base!$A:$A,0)),0)))</f>
        <v>6.5836199999999998</v>
      </c>
      <c r="U14" s="21">
        <f>IF(U$1&lt;INDEX('Valo FX'!$Q:$Q,MATCH($A14,'Valo FX'!$A:$A,0)),0,IF(U$1&lt;INDEX('Valo FX'!$R:$R,MATCH($A14,'Valo FX'!$A:$A,0)),INDEX(Base!$U:$U,MATCH($A14,Base!$A:$A,0)),IF(U$1=INDEX('Valo FX'!$R:$R,MATCH($A14,'Valo FX'!$A:$A,0)),INDEX(Base!$V:$V,MATCH($A14,Base!$A:$A,0)),0)))</f>
        <v>6.5836199999999998</v>
      </c>
      <c r="V14" s="21">
        <f>IF(V$1&lt;INDEX('Valo FX'!$Q:$Q,MATCH($A14,'Valo FX'!$A:$A,0)),0,IF(V$1&lt;INDEX('Valo FX'!$R:$R,MATCH($A14,'Valo FX'!$A:$A,0)),INDEX(Base!$U:$U,MATCH($A14,Base!$A:$A,0)),IF(V$1=INDEX('Valo FX'!$R:$R,MATCH($A14,'Valo FX'!$A:$A,0)),INDEX(Base!$V:$V,MATCH($A14,Base!$A:$A,0)),0)))</f>
        <v>6.5836199999999998</v>
      </c>
      <c r="W14" s="21">
        <f>IF(W$1&lt;INDEX('Valo FX'!$Q:$Q,MATCH($A14,'Valo FX'!$A:$A,0)),0,IF(W$1&lt;INDEX('Valo FX'!$R:$R,MATCH($A14,'Valo FX'!$A:$A,0)),INDEX(Base!$U:$U,MATCH($A14,Base!$A:$A,0)),IF(W$1=INDEX('Valo FX'!$R:$R,MATCH($A14,'Valo FX'!$A:$A,0)),INDEX(Base!$V:$V,MATCH($A14,Base!$A:$A,0)),0)))</f>
        <v>6.5836199999999998</v>
      </c>
      <c r="X14" s="21">
        <f>IF(X$1&lt;INDEX('Valo FX'!$Q:$Q,MATCH($A14,'Valo FX'!$A:$A,0)),0,IF(X$1&lt;INDEX('Valo FX'!$R:$R,MATCH($A14,'Valo FX'!$A:$A,0)),INDEX(Base!$U:$U,MATCH($A14,Base!$A:$A,0)),IF(X$1=INDEX('Valo FX'!$R:$R,MATCH($A14,'Valo FX'!$A:$A,0)),INDEX(Base!$V:$V,MATCH($A14,Base!$A:$A,0)),0)))</f>
        <v>6.5836199999999998</v>
      </c>
      <c r="Y14" s="21">
        <f>IF(Y$1&lt;INDEX('Valo FX'!$Q:$Q,MATCH($A14,'Valo FX'!$A:$A,0)),0,IF(Y$1&lt;INDEX('Valo FX'!$R:$R,MATCH($A14,'Valo FX'!$A:$A,0)),INDEX(Base!$U:$U,MATCH($A14,Base!$A:$A,0)),IF(Y$1=INDEX('Valo FX'!$R:$R,MATCH($A14,'Valo FX'!$A:$A,0)),INDEX(Base!$V:$V,MATCH($A14,Base!$A:$A,0)),0)))</f>
        <v>6.5836199999999998</v>
      </c>
      <c r="Z14" s="21">
        <f>IF(Z$1&lt;INDEX('Valo FX'!$Q:$Q,MATCH($A14,'Valo FX'!$A:$A,0)),0,IF(Z$1&lt;INDEX('Valo FX'!$R:$R,MATCH($A14,'Valo FX'!$A:$A,0)),INDEX(Base!$U:$U,MATCH($A14,Base!$A:$A,0)),IF(Z$1=INDEX('Valo FX'!$R:$R,MATCH($A14,'Valo FX'!$A:$A,0)),INDEX(Base!$V:$V,MATCH($A14,Base!$A:$A,0)),0)))</f>
        <v>6.5836199999999998</v>
      </c>
      <c r="AA14" s="21">
        <f>IF(AA$1&lt;INDEX('Valo FX'!$Q:$Q,MATCH($A14,'Valo FX'!$A:$A,0)),0,IF(AA$1&lt;INDEX('Valo FX'!$R:$R,MATCH($A14,'Valo FX'!$A:$A,0)),INDEX(Base!$U:$U,MATCH($A14,Base!$A:$A,0)),IF(AA$1=INDEX('Valo FX'!$R:$R,MATCH($A14,'Valo FX'!$A:$A,0)),INDEX(Base!$V:$V,MATCH($A14,Base!$A:$A,0)),0)))</f>
        <v>6.5836199999999998</v>
      </c>
      <c r="AB14" s="21">
        <f>IF(AB$1&lt;INDEX('Valo FX'!$Q:$Q,MATCH($A14,'Valo FX'!$A:$A,0)),0,IF(AB$1&lt;INDEX('Valo FX'!$R:$R,MATCH($A14,'Valo FX'!$A:$A,0)),INDEX(Base!$U:$U,MATCH($A14,Base!$A:$A,0)),IF(AB$1=INDEX('Valo FX'!$R:$R,MATCH($A14,'Valo FX'!$A:$A,0)),INDEX(Base!$V:$V,MATCH($A14,Base!$A:$A,0)),0)))</f>
        <v>6.5836199999999998</v>
      </c>
      <c r="AC14" s="21">
        <f>IF(AC$1&lt;INDEX('Valo FX'!$Q:$Q,MATCH($A14,'Valo FX'!$A:$A,0)),0,IF(AC$1&lt;INDEX('Valo FX'!$R:$R,MATCH($A14,'Valo FX'!$A:$A,0)),INDEX(Base!$U:$U,MATCH($A14,Base!$A:$A,0)),IF(AC$1=INDEX('Valo FX'!$R:$R,MATCH($A14,'Valo FX'!$A:$A,0)),INDEX(Base!$V:$V,MATCH($A14,Base!$A:$A,0)),0)))</f>
        <v>6.5836199999999998</v>
      </c>
      <c r="AD14" s="21">
        <f>IF(AD$1&lt;INDEX('Valo FX'!$Q:$Q,MATCH($A14,'Valo FX'!$A:$A,0)),0,IF(AD$1&lt;INDEX('Valo FX'!$R:$R,MATCH($A14,'Valo FX'!$A:$A,0)),INDEX(Base!$U:$U,MATCH($A14,Base!$A:$A,0)),IF(AD$1=INDEX('Valo FX'!$R:$R,MATCH($A14,'Valo FX'!$A:$A,0)),INDEX(Base!$V:$V,MATCH($A14,Base!$A:$A,0)),0)))</f>
        <v>6.5836199999999998</v>
      </c>
      <c r="AE14" s="21">
        <f>IF(AE$1&lt;INDEX('Valo FX'!$Q:$Q,MATCH($A14,'Valo FX'!$A:$A,0)),0,IF(AE$1&lt;INDEX('Valo FX'!$R:$R,MATCH($A14,'Valo FX'!$A:$A,0)),INDEX(Base!$U:$U,MATCH($A14,Base!$A:$A,0)),IF(AE$1=INDEX('Valo FX'!$R:$R,MATCH($A14,'Valo FX'!$A:$A,0)),INDEX(Base!$V:$V,MATCH($A14,Base!$A:$A,0)),0)))</f>
        <v>6.5836199999999998</v>
      </c>
      <c r="AF14" s="21">
        <f>IF(AF$1&lt;INDEX('Valo FX'!$Q:$Q,MATCH($A14,'Valo FX'!$A:$A,0)),0,IF(AF$1&lt;INDEX('Valo FX'!$R:$R,MATCH($A14,'Valo FX'!$A:$A,0)),INDEX(Base!$U:$U,MATCH($A14,Base!$A:$A,0)),IF(AF$1=INDEX('Valo FX'!$R:$R,MATCH($A14,'Valo FX'!$A:$A,0)),INDEX(Base!$V:$V,MATCH($A14,Base!$A:$A,0)),0)))</f>
        <v>6.5836199999999998</v>
      </c>
      <c r="AG14" s="21">
        <f>IF(AG$1&lt;INDEX('Valo FX'!$Q:$Q,MATCH($A14,'Valo FX'!$A:$A,0)),0,IF(AG$1&lt;INDEX('Valo FX'!$R:$R,MATCH($A14,'Valo FX'!$A:$A,0)),INDEX(Base!$U:$U,MATCH($A14,Base!$A:$A,0)),IF(AG$1=INDEX('Valo FX'!$R:$R,MATCH($A14,'Valo FX'!$A:$A,0)),INDEX(Base!$V:$V,MATCH($A14,Base!$A:$A,0)),0)))</f>
        <v>6.5836199999999998</v>
      </c>
      <c r="AH14" s="21">
        <f>IF(AH$1&lt;INDEX('Valo FX'!$Q:$Q,MATCH($A14,'Valo FX'!$A:$A,0)),0,IF(AH$1&lt;INDEX('Valo FX'!$R:$R,MATCH($A14,'Valo FX'!$A:$A,0)),INDEX(Base!$U:$U,MATCH($A14,Base!$A:$A,0)),IF(AH$1=INDEX('Valo FX'!$R:$R,MATCH($A14,'Valo FX'!$A:$A,0)),INDEX(Base!$V:$V,MATCH($A14,Base!$A:$A,0)),0)))</f>
        <v>6.5836199999999998</v>
      </c>
      <c r="AI14" s="21">
        <f>IF(AI$1&lt;INDEX('Valo FX'!$Q:$Q,MATCH($A14,'Valo FX'!$A:$A,0)),0,IF(AI$1&lt;INDEX('Valo FX'!$R:$R,MATCH($A14,'Valo FX'!$A:$A,0)),INDEX(Base!$U:$U,MATCH($A14,Base!$A:$A,0)),IF(AI$1=INDEX('Valo FX'!$R:$R,MATCH($A14,'Valo FX'!$A:$A,0)),INDEX(Base!$V:$V,MATCH($A14,Base!$A:$A,0)),0)))</f>
        <v>6.5836199999999998</v>
      </c>
      <c r="AJ14" s="21">
        <f>IF(AJ$1&lt;INDEX('Valo FX'!$Q:$Q,MATCH($A14,'Valo FX'!$A:$A,0)),0,IF(AJ$1&lt;INDEX('Valo FX'!$R:$R,MATCH($A14,'Valo FX'!$A:$A,0)),INDEX(Base!$U:$U,MATCH($A14,Base!$A:$A,0)),IF(AJ$1=INDEX('Valo FX'!$R:$R,MATCH($A14,'Valo FX'!$A:$A,0)),INDEX(Base!$V:$V,MATCH($A14,Base!$A:$A,0)),0)))</f>
        <v>6.5836199999999998</v>
      </c>
      <c r="AK14" s="21">
        <f>IF(AK$1&lt;INDEX('Valo FX'!$Q:$Q,MATCH($A14,'Valo FX'!$A:$A,0)),0,IF(AK$1&lt;INDEX('Valo FX'!$R:$R,MATCH($A14,'Valo FX'!$A:$A,0)),INDEX(Base!$U:$U,MATCH($A14,Base!$A:$A,0)),IF(AK$1=INDEX('Valo FX'!$R:$R,MATCH($A14,'Valo FX'!$A:$A,0)),INDEX(Base!$V:$V,MATCH($A14,Base!$A:$A,0)),0)))</f>
        <v>6.5836199999999998</v>
      </c>
      <c r="AL14" s="21">
        <f>IF(AL$1&lt;INDEX('Valo FX'!$Q:$Q,MATCH($A14,'Valo FX'!$A:$A,0)),0,IF(AL$1&lt;INDEX('Valo FX'!$R:$R,MATCH($A14,'Valo FX'!$A:$A,0)),INDEX(Base!$U:$U,MATCH($A14,Base!$A:$A,0)),IF(AL$1=INDEX('Valo FX'!$R:$R,MATCH($A14,'Valo FX'!$A:$A,0)),INDEX(Base!$V:$V,MATCH($A14,Base!$A:$A,0)),0)))</f>
        <v>6.5836199999999998</v>
      </c>
      <c r="AM14" s="21">
        <f>IF(AM$1&lt;INDEX('Valo FX'!$Q:$Q,MATCH($A14,'Valo FX'!$A:$A,0)),0,IF(AM$1&lt;INDEX('Valo FX'!$R:$R,MATCH($A14,'Valo FX'!$A:$A,0)),INDEX(Base!$U:$U,MATCH($A14,Base!$A:$A,0)),IF(AM$1=INDEX('Valo FX'!$R:$R,MATCH($A14,'Valo FX'!$A:$A,0)),INDEX(Base!$V:$V,MATCH($A14,Base!$A:$A,0)),0)))</f>
        <v>6.5836199999999998</v>
      </c>
      <c r="AN14" s="21">
        <f>IF(AN$1&lt;INDEX('Valo FX'!$Q:$Q,MATCH($A14,'Valo FX'!$A:$A,0)),0,IF(AN$1&lt;INDEX('Valo FX'!$R:$R,MATCH($A14,'Valo FX'!$A:$A,0)),INDEX(Base!$U:$U,MATCH($A14,Base!$A:$A,0)),IF(AN$1=INDEX('Valo FX'!$R:$R,MATCH($A14,'Valo FX'!$A:$A,0)),INDEX(Base!$V:$V,MATCH($A14,Base!$A:$A,0)),0)))</f>
        <v>6.5836199999999998</v>
      </c>
      <c r="AO14" s="21">
        <f>IF(AO$1&lt;INDEX('Valo FX'!$Q:$Q,MATCH($A14,'Valo FX'!$A:$A,0)),0,IF(AO$1&lt;INDEX('Valo FX'!$R:$R,MATCH($A14,'Valo FX'!$A:$A,0)),INDEX(Base!$U:$U,MATCH($A14,Base!$A:$A,0)),IF(AO$1=INDEX('Valo FX'!$R:$R,MATCH($A14,'Valo FX'!$A:$A,0)),INDEX(Base!$V:$V,MATCH($A14,Base!$A:$A,0)),0)))</f>
        <v>6.5836199999999998</v>
      </c>
      <c r="AP14" s="21">
        <f>IF(AP$1&lt;INDEX('Valo FX'!$Q:$Q,MATCH($A14,'Valo FX'!$A:$A,0)),0,IF(AP$1&lt;INDEX('Valo FX'!$R:$R,MATCH($A14,'Valo FX'!$A:$A,0)),INDEX(Base!$U:$U,MATCH($A14,Base!$A:$A,0)),IF(AP$1=INDEX('Valo FX'!$R:$R,MATCH($A14,'Valo FX'!$A:$A,0)),INDEX(Base!$V:$V,MATCH($A14,Base!$A:$A,0)),0)))</f>
        <v>6.5836199999999998</v>
      </c>
      <c r="AQ14" s="21">
        <f>IF(AQ$1&lt;INDEX('Valo FX'!$Q:$Q,MATCH($A14,'Valo FX'!$A:$A,0)),0,IF(AQ$1&lt;INDEX('Valo FX'!$R:$R,MATCH($A14,'Valo FX'!$A:$A,0)),INDEX(Base!$U:$U,MATCH($A14,Base!$A:$A,0)),IF(AQ$1=INDEX('Valo FX'!$R:$R,MATCH($A14,'Valo FX'!$A:$A,0)),INDEX(Base!$V:$V,MATCH($A14,Base!$A:$A,0)),0)))</f>
        <v>6.5836199999999998</v>
      </c>
      <c r="AR14" s="21">
        <f>IF(AR$1&lt;INDEX('Valo FX'!$Q:$Q,MATCH($A14,'Valo FX'!$A:$A,0)),0,IF(AR$1&lt;INDEX('Valo FX'!$R:$R,MATCH($A14,'Valo FX'!$A:$A,0)),INDEX(Base!$U:$U,MATCH($A14,Base!$A:$A,0)),IF(AR$1=INDEX('Valo FX'!$R:$R,MATCH($A14,'Valo FX'!$A:$A,0)),INDEX(Base!$V:$V,MATCH($A14,Base!$A:$A,0)),0)))</f>
        <v>6.5836199999999998</v>
      </c>
      <c r="AS14" s="21">
        <f>IF(AS$1&lt;INDEX('Valo FX'!$Q:$Q,MATCH($A14,'Valo FX'!$A:$A,0)),0,IF(AS$1&lt;INDEX('Valo FX'!$R:$R,MATCH($A14,'Valo FX'!$A:$A,0)),INDEX(Base!$U:$U,MATCH($A14,Base!$A:$A,0)),IF(AS$1=INDEX('Valo FX'!$R:$R,MATCH($A14,'Valo FX'!$A:$A,0)),INDEX(Base!$V:$V,MATCH($A14,Base!$A:$A,0)),0)))</f>
        <v>6.5836199999999998</v>
      </c>
      <c r="AT14" s="21">
        <f>IF(AT$1&lt;INDEX('Valo FX'!$Q:$Q,MATCH($A14,'Valo FX'!$A:$A,0)),0,IF(AT$1&lt;INDEX('Valo FX'!$R:$R,MATCH($A14,'Valo FX'!$A:$A,0)),INDEX(Base!$U:$U,MATCH($A14,Base!$A:$A,0)),IF(AT$1=INDEX('Valo FX'!$R:$R,MATCH($A14,'Valo FX'!$A:$A,0)),INDEX(Base!$V:$V,MATCH($A14,Base!$A:$A,0)),0)))</f>
        <v>6.5836199999999998</v>
      </c>
      <c r="AU14" s="21">
        <f>IF(AU$1&lt;INDEX('Valo FX'!$Q:$Q,MATCH($A14,'Valo FX'!$A:$A,0)),0,IF(AU$1&lt;INDEX('Valo FX'!$R:$R,MATCH($A14,'Valo FX'!$A:$A,0)),INDEX(Base!$U:$U,MATCH($A14,Base!$A:$A,0)),IF(AU$1=INDEX('Valo FX'!$R:$R,MATCH($A14,'Valo FX'!$A:$A,0)),INDEX(Base!$V:$V,MATCH($A14,Base!$A:$A,0)),0)))</f>
        <v>6.5836199999999998</v>
      </c>
      <c r="AV14" s="21">
        <f>IF(AV$1&lt;INDEX('Valo FX'!$Q:$Q,MATCH($A14,'Valo FX'!$A:$A,0)),0,IF(AV$1&lt;INDEX('Valo FX'!$R:$R,MATCH($A14,'Valo FX'!$A:$A,0)),INDEX(Base!$U:$U,MATCH($A14,Base!$A:$A,0)),IF(AV$1=INDEX('Valo FX'!$R:$R,MATCH($A14,'Valo FX'!$A:$A,0)),INDEX(Base!$V:$V,MATCH($A14,Base!$A:$A,0)),0)))</f>
        <v>6.5836199999999998</v>
      </c>
      <c r="AW14" s="21">
        <f>IF(AW$1&lt;INDEX('Valo FX'!$Q:$Q,MATCH($A14,'Valo FX'!$A:$A,0)),0,IF(AW$1&lt;INDEX('Valo FX'!$R:$R,MATCH($A14,'Valo FX'!$A:$A,0)),INDEX(Base!$U:$U,MATCH($A14,Base!$A:$A,0)),IF(AW$1=INDEX('Valo FX'!$R:$R,MATCH($A14,'Valo FX'!$A:$A,0)),INDEX(Base!$V:$V,MATCH($A14,Base!$A:$A,0)),0)))</f>
        <v>6.5836199999999998</v>
      </c>
      <c r="AX14" s="21">
        <f>IF(AX$1&lt;INDEX('Valo FX'!$Q:$Q,MATCH($A14,'Valo FX'!$A:$A,0)),0,IF(AX$1&lt;INDEX('Valo FX'!$R:$R,MATCH($A14,'Valo FX'!$A:$A,0)),INDEX(Base!$U:$U,MATCH($A14,Base!$A:$A,0)),IF(AX$1=INDEX('Valo FX'!$R:$R,MATCH($A14,'Valo FX'!$A:$A,0)),INDEX(Base!$V:$V,MATCH($A14,Base!$A:$A,0)),0)))</f>
        <v>6.5836199999999998</v>
      </c>
      <c r="AY14" s="21">
        <f>IF(AY$1&lt;INDEX('Valo FX'!$Q:$Q,MATCH($A14,'Valo FX'!$A:$A,0)),0,IF(AY$1&lt;INDEX('Valo FX'!$R:$R,MATCH($A14,'Valo FX'!$A:$A,0)),INDEX(Base!$U:$U,MATCH($A14,Base!$A:$A,0)),IF(AY$1=INDEX('Valo FX'!$R:$R,MATCH($A14,'Valo FX'!$A:$A,0)),INDEX(Base!$V:$V,MATCH($A14,Base!$A:$A,0)),0)))</f>
        <v>6.5836199999999998</v>
      </c>
      <c r="AZ14" s="21">
        <f>IF(AZ$1&lt;INDEX('Valo FX'!$Q:$Q,MATCH($A14,'Valo FX'!$A:$A,0)),0,IF(AZ$1&lt;INDEX('Valo FX'!$R:$R,MATCH($A14,'Valo FX'!$A:$A,0)),INDEX(Base!$U:$U,MATCH($A14,Base!$A:$A,0)),IF(AZ$1=INDEX('Valo FX'!$R:$R,MATCH($A14,'Valo FX'!$A:$A,0)),INDEX(Base!$V:$V,MATCH($A14,Base!$A:$A,0)),0)))</f>
        <v>6.5836199999999998</v>
      </c>
      <c r="BA14" s="21">
        <f>IF(BA$1&lt;INDEX('Valo FX'!$Q:$Q,MATCH($A14,'Valo FX'!$A:$A,0)),0,IF(BA$1&lt;INDEX('Valo FX'!$R:$R,MATCH($A14,'Valo FX'!$A:$A,0)),INDEX(Base!$U:$U,MATCH($A14,Base!$A:$A,0)),IF(BA$1=INDEX('Valo FX'!$R:$R,MATCH($A14,'Valo FX'!$A:$A,0)),INDEX(Base!$V:$V,MATCH($A14,Base!$A:$A,0)),0)))</f>
        <v>6.5836199999999998</v>
      </c>
      <c r="BB14" s="21">
        <f>IF(BB$1&lt;INDEX('Valo FX'!$Q:$Q,MATCH($A14,'Valo FX'!$A:$A,0)),0,IF(BB$1&lt;INDEX('Valo FX'!$R:$R,MATCH($A14,'Valo FX'!$A:$A,0)),INDEX(Base!$U:$U,MATCH($A14,Base!$A:$A,0)),IF(BB$1=INDEX('Valo FX'!$R:$R,MATCH($A14,'Valo FX'!$A:$A,0)),INDEX(Base!$V:$V,MATCH($A14,Base!$A:$A,0)),0)))</f>
        <v>6.5836199999999998</v>
      </c>
      <c r="BC14" s="21">
        <f>IF(BC$1&lt;INDEX('Valo FX'!$Q:$Q,MATCH($A14,'Valo FX'!$A:$A,0)),0,IF(BC$1&lt;INDEX('Valo FX'!$R:$R,MATCH($A14,'Valo FX'!$A:$A,0)),INDEX(Base!$U:$U,MATCH($A14,Base!$A:$A,0)),IF(BC$1=INDEX('Valo FX'!$R:$R,MATCH($A14,'Valo FX'!$A:$A,0)),INDEX(Base!$V:$V,MATCH($A14,Base!$A:$A,0)),0)))</f>
        <v>6.5836199999999998</v>
      </c>
      <c r="BD14" s="21">
        <f>IF(BD$1&lt;INDEX('Valo FX'!$Q:$Q,MATCH($A14,'Valo FX'!$A:$A,0)),0,IF(BD$1&lt;INDEX('Valo FX'!$R:$R,MATCH($A14,'Valo FX'!$A:$A,0)),INDEX(Base!$U:$U,MATCH($A14,Base!$A:$A,0)),IF(BD$1=INDEX('Valo FX'!$R:$R,MATCH($A14,'Valo FX'!$A:$A,0)),INDEX(Base!$V:$V,MATCH($A14,Base!$A:$A,0)),0)))</f>
        <v>6.5836199999999998</v>
      </c>
      <c r="BE14" s="21">
        <f>IF(BE$1&lt;INDEX('Valo FX'!$Q:$Q,MATCH($A14,'Valo FX'!$A:$A,0)),0,IF(BE$1&lt;INDEX('Valo FX'!$R:$R,MATCH($A14,'Valo FX'!$A:$A,0)),INDEX(Base!$U:$U,MATCH($A14,Base!$A:$A,0)),IF(BE$1=INDEX('Valo FX'!$R:$R,MATCH($A14,'Valo FX'!$A:$A,0)),INDEX(Base!$V:$V,MATCH($A14,Base!$A:$A,0)),0)))</f>
        <v>6.5836199999999998</v>
      </c>
      <c r="BF14" s="21">
        <f>IF(BF$1&lt;INDEX('Valo FX'!$Q:$Q,MATCH($A14,'Valo FX'!$A:$A,0)),0,IF(BF$1&lt;INDEX('Valo FX'!$R:$R,MATCH($A14,'Valo FX'!$A:$A,0)),INDEX(Base!$U:$U,MATCH($A14,Base!$A:$A,0)),IF(BF$1=INDEX('Valo FX'!$R:$R,MATCH($A14,'Valo FX'!$A:$A,0)),INDEX(Base!$V:$V,MATCH($A14,Base!$A:$A,0)),0)))</f>
        <v>6.5836199999999998</v>
      </c>
      <c r="BG14" s="21">
        <f>IF(BG$1&lt;INDEX('Valo FX'!$Q:$Q,MATCH($A14,'Valo FX'!$A:$A,0)),0,IF(BG$1&lt;INDEX('Valo FX'!$R:$R,MATCH($A14,'Valo FX'!$A:$A,0)),INDEX(Base!$U:$U,MATCH($A14,Base!$A:$A,0)),IF(BG$1=INDEX('Valo FX'!$R:$R,MATCH($A14,'Valo FX'!$A:$A,0)),INDEX(Base!$V:$V,MATCH($A14,Base!$A:$A,0)),0)))</f>
        <v>6.5836199999999998</v>
      </c>
      <c r="BH14" s="21">
        <f>IF(BH$1&lt;INDEX('Valo FX'!$Q:$Q,MATCH($A14,'Valo FX'!$A:$A,0)),0,IF(BH$1&lt;INDEX('Valo FX'!$R:$R,MATCH($A14,'Valo FX'!$A:$A,0)),INDEX(Base!$U:$U,MATCH($A14,Base!$A:$A,0)),IF(BH$1=INDEX('Valo FX'!$R:$R,MATCH($A14,'Valo FX'!$A:$A,0)),INDEX(Base!$V:$V,MATCH($A14,Base!$A:$A,0)),0)))</f>
        <v>6.5836199999999998</v>
      </c>
      <c r="BI14" s="21">
        <f>IF(BI$1&lt;INDEX('Valo FX'!$Q:$Q,MATCH($A14,'Valo FX'!$A:$A,0)),0,IF(BI$1&lt;INDEX('Valo FX'!$R:$R,MATCH($A14,'Valo FX'!$A:$A,0)),INDEX(Base!$U:$U,MATCH($A14,Base!$A:$A,0)),IF(BI$1=INDEX('Valo FX'!$R:$R,MATCH($A14,'Valo FX'!$A:$A,0)),INDEX(Base!$V:$V,MATCH($A14,Base!$A:$A,0)),0)))</f>
        <v>6.5836199999999998</v>
      </c>
      <c r="BJ14" s="21">
        <f>IF(BJ$1&lt;INDEX('Valo FX'!$Q:$Q,MATCH($A14,'Valo FX'!$A:$A,0)),0,IF(BJ$1&lt;INDEX('Valo FX'!$R:$R,MATCH($A14,'Valo FX'!$A:$A,0)),INDEX(Base!$U:$U,MATCH($A14,Base!$A:$A,0)),IF(BJ$1=INDEX('Valo FX'!$R:$R,MATCH($A14,'Valo FX'!$A:$A,0)),INDEX(Base!$V:$V,MATCH($A14,Base!$A:$A,0)),0)))</f>
        <v>6.5836199999999998</v>
      </c>
      <c r="BK14" s="21">
        <f>IF(BK$1&lt;INDEX('Valo FX'!$Q:$Q,MATCH($A14,'Valo FX'!$A:$A,0)),0,IF(BK$1&lt;INDEX('Valo FX'!$R:$R,MATCH($A14,'Valo FX'!$A:$A,0)),INDEX(Base!$U:$U,MATCH($A14,Base!$A:$A,0)),IF(BK$1=INDEX('Valo FX'!$R:$R,MATCH($A14,'Valo FX'!$A:$A,0)),INDEX(Base!$V:$V,MATCH($A14,Base!$A:$A,0)),0)))</f>
        <v>6.5836199999999998</v>
      </c>
      <c r="BL14" s="21">
        <f>IF(BL$1&lt;INDEX('Valo FX'!$Q:$Q,MATCH($A14,'Valo FX'!$A:$A,0)),0,IF(BL$1&lt;INDEX('Valo FX'!$R:$R,MATCH($A14,'Valo FX'!$A:$A,0)),INDEX(Base!$U:$U,MATCH($A14,Base!$A:$A,0)),IF(BL$1=INDEX('Valo FX'!$R:$R,MATCH($A14,'Valo FX'!$A:$A,0)),INDEX(Base!$V:$V,MATCH($A14,Base!$A:$A,0)),0)))</f>
        <v>6.5836199999999998</v>
      </c>
      <c r="BM14" s="21">
        <f>IF(BM$1&lt;INDEX('Valo FX'!$Q:$Q,MATCH($A14,'Valo FX'!$A:$A,0)),0,IF(BM$1&lt;INDEX('Valo FX'!$R:$R,MATCH($A14,'Valo FX'!$A:$A,0)),INDEX(Base!$U:$U,MATCH($A14,Base!$A:$A,0)),IF(BM$1=INDEX('Valo FX'!$R:$R,MATCH($A14,'Valo FX'!$A:$A,0)),INDEX(Base!$V:$V,MATCH($A14,Base!$A:$A,0)),0)))</f>
        <v>6.5836199999999998</v>
      </c>
      <c r="BN14" s="21">
        <f>IF(BN$1&lt;INDEX('Valo FX'!$Q:$Q,MATCH($A14,'Valo FX'!$A:$A,0)),0,IF(BN$1&lt;INDEX('Valo FX'!$R:$R,MATCH($A14,'Valo FX'!$A:$A,0)),INDEX(Base!$U:$U,MATCH($A14,Base!$A:$A,0)),IF(BN$1=INDEX('Valo FX'!$R:$R,MATCH($A14,'Valo FX'!$A:$A,0)),INDEX(Base!$V:$V,MATCH($A14,Base!$A:$A,0)),0)))</f>
        <v>6.5836199999999998</v>
      </c>
      <c r="BO14" s="21">
        <f>IF(BO$1&lt;INDEX('Valo FX'!$Q:$Q,MATCH($A14,'Valo FX'!$A:$A,0)),0,IF(BO$1&lt;INDEX('Valo FX'!$R:$R,MATCH($A14,'Valo FX'!$A:$A,0)),INDEX(Base!$U:$U,MATCH($A14,Base!$A:$A,0)),IF(BO$1=INDEX('Valo FX'!$R:$R,MATCH($A14,'Valo FX'!$A:$A,0)),INDEX(Base!$V:$V,MATCH($A14,Base!$A:$A,0)),0)))</f>
        <v>6.5836199999999998</v>
      </c>
      <c r="BP14" s="21">
        <f>IF(BP$1&lt;INDEX('Valo FX'!$Q:$Q,MATCH($A14,'Valo FX'!$A:$A,0)),0,IF(BP$1&lt;INDEX('Valo FX'!$R:$R,MATCH($A14,'Valo FX'!$A:$A,0)),INDEX(Base!$U:$U,MATCH($A14,Base!$A:$A,0)),IF(BP$1=INDEX('Valo FX'!$R:$R,MATCH($A14,'Valo FX'!$A:$A,0)),INDEX(Base!$V:$V,MATCH($A14,Base!$A:$A,0)),0)))</f>
        <v>6.5836199999999998</v>
      </c>
      <c r="BQ14" s="21">
        <f>IF(BQ$1&lt;INDEX('Valo FX'!$Q:$Q,MATCH($A14,'Valo FX'!$A:$A,0)),0,IF(BQ$1&lt;INDEX('Valo FX'!$R:$R,MATCH($A14,'Valo FX'!$A:$A,0)),INDEX(Base!$U:$U,MATCH($A14,Base!$A:$A,0)),IF(BQ$1=INDEX('Valo FX'!$R:$R,MATCH($A14,'Valo FX'!$A:$A,0)),INDEX(Base!$V:$V,MATCH($A14,Base!$A:$A,0)),0)))</f>
        <v>6.5836199999999998</v>
      </c>
      <c r="BR14" s="21">
        <f>IF(BR$1&lt;INDEX('Valo FX'!$Q:$Q,MATCH($A14,'Valo FX'!$A:$A,0)),0,IF(BR$1&lt;INDEX('Valo FX'!$R:$R,MATCH($A14,'Valo FX'!$A:$A,0)),INDEX(Base!$U:$U,MATCH($A14,Base!$A:$A,0)),IF(BR$1=INDEX('Valo FX'!$R:$R,MATCH($A14,'Valo FX'!$A:$A,0)),INDEX(Base!$V:$V,MATCH($A14,Base!$A:$A,0)),0)))</f>
        <v>6.5836199999999998</v>
      </c>
      <c r="BS14" s="21">
        <f>IF(BS$1&lt;INDEX('Valo FX'!$Q:$Q,MATCH($A14,'Valo FX'!$A:$A,0)),0,IF(BS$1&lt;INDEX('Valo FX'!$R:$R,MATCH($A14,'Valo FX'!$A:$A,0)),INDEX(Base!$U:$U,MATCH($A14,Base!$A:$A,0)),IF(BS$1=INDEX('Valo FX'!$R:$R,MATCH($A14,'Valo FX'!$A:$A,0)),INDEX(Base!$V:$V,MATCH($A14,Base!$A:$A,0)),0)))</f>
        <v>6.5836199999999998</v>
      </c>
      <c r="BT14" s="21">
        <f>IF(BT$1&lt;INDEX('Valo FX'!$Q:$Q,MATCH($A14,'Valo FX'!$A:$A,0)),0,IF(BT$1&lt;INDEX('Valo FX'!$R:$R,MATCH($A14,'Valo FX'!$A:$A,0)),INDEX(Base!$U:$U,MATCH($A14,Base!$A:$A,0)),IF(BT$1=INDEX('Valo FX'!$R:$R,MATCH($A14,'Valo FX'!$A:$A,0)),INDEX(Base!$V:$V,MATCH($A14,Base!$A:$A,0)),0)))</f>
        <v>6.5836199999999998</v>
      </c>
      <c r="BU14" s="21">
        <f>IF(BU$1&lt;INDEX('Valo FX'!$Q:$Q,MATCH($A14,'Valo FX'!$A:$A,0)),0,IF(BU$1&lt;INDEX('Valo FX'!$R:$R,MATCH($A14,'Valo FX'!$A:$A,0)),INDEX(Base!$U:$U,MATCH($A14,Base!$A:$A,0)),IF(BU$1=INDEX('Valo FX'!$R:$R,MATCH($A14,'Valo FX'!$A:$A,0)),INDEX(Base!$V:$V,MATCH($A14,Base!$A:$A,0)),0)))</f>
        <v>6.5836199999999998</v>
      </c>
      <c r="BV14" s="21">
        <f>IF(BV$1&lt;INDEX('Valo FX'!$Q:$Q,MATCH($A14,'Valo FX'!$A:$A,0)),0,IF(BV$1&lt;INDEX('Valo FX'!$R:$R,MATCH($A14,'Valo FX'!$A:$A,0)),INDEX(Base!$U:$U,MATCH($A14,Base!$A:$A,0)),IF(BV$1=INDEX('Valo FX'!$R:$R,MATCH($A14,'Valo FX'!$A:$A,0)),INDEX(Base!$V:$V,MATCH($A14,Base!$A:$A,0)),0)))</f>
        <v>6.5836199999999998</v>
      </c>
      <c r="BW14" s="21">
        <f>IF(BW$1&lt;INDEX('Valo FX'!$Q:$Q,MATCH($A14,'Valo FX'!$A:$A,0)),0,IF(BW$1&lt;INDEX('Valo FX'!$R:$R,MATCH($A14,'Valo FX'!$A:$A,0)),INDEX(Base!$U:$U,MATCH($A14,Base!$A:$A,0)),IF(BW$1=INDEX('Valo FX'!$R:$R,MATCH($A14,'Valo FX'!$A:$A,0)),INDEX(Base!$V:$V,MATCH($A14,Base!$A:$A,0)),0)))</f>
        <v>6.5836199999999998</v>
      </c>
      <c r="BX14" s="21">
        <f>IF(BX$1&lt;INDEX('Valo FX'!$Q:$Q,MATCH($A14,'Valo FX'!$A:$A,0)),0,IF(BX$1&lt;INDEX('Valo FX'!$R:$R,MATCH($A14,'Valo FX'!$A:$A,0)),INDEX(Base!$U:$U,MATCH($A14,Base!$A:$A,0)),IF(BX$1=INDEX('Valo FX'!$R:$R,MATCH($A14,'Valo FX'!$A:$A,0)),INDEX(Base!$V:$V,MATCH($A14,Base!$A:$A,0)),0)))</f>
        <v>6.5836199999999998</v>
      </c>
      <c r="BY14" s="21">
        <f>IF(BY$1&lt;INDEX('Valo FX'!$Q:$Q,MATCH($A14,'Valo FX'!$A:$A,0)),0,IF(BY$1&lt;INDEX('Valo FX'!$R:$R,MATCH($A14,'Valo FX'!$A:$A,0)),INDEX(Base!$U:$U,MATCH($A14,Base!$A:$A,0)),IF(BY$1=INDEX('Valo FX'!$R:$R,MATCH($A14,'Valo FX'!$A:$A,0)),INDEX(Base!$V:$V,MATCH($A14,Base!$A:$A,0)),0)))</f>
        <v>6.5836199999999998</v>
      </c>
      <c r="BZ14" s="21">
        <f>IF(BZ$1&lt;INDEX('Valo FX'!$Q:$Q,MATCH($A14,'Valo FX'!$A:$A,0)),0,IF(BZ$1&lt;INDEX('Valo FX'!$R:$R,MATCH($A14,'Valo FX'!$A:$A,0)),INDEX(Base!$U:$U,MATCH($A14,Base!$A:$A,0)),IF(BZ$1=INDEX('Valo FX'!$R:$R,MATCH($A14,'Valo FX'!$A:$A,0)),INDEX(Base!$V:$V,MATCH($A14,Base!$A:$A,0)),0)))</f>
        <v>6.5836199999999998</v>
      </c>
      <c r="CA14" s="21">
        <f>IF(CA$1&lt;INDEX('Valo FX'!$Q:$Q,MATCH($A14,'Valo FX'!$A:$A,0)),0,IF(CA$1&lt;INDEX('Valo FX'!$R:$R,MATCH($A14,'Valo FX'!$A:$A,0)),INDEX(Base!$U:$U,MATCH($A14,Base!$A:$A,0)),IF(CA$1=INDEX('Valo FX'!$R:$R,MATCH($A14,'Valo FX'!$A:$A,0)),INDEX(Base!$V:$V,MATCH($A14,Base!$A:$A,0)),0)))</f>
        <v>6.5836199999999998</v>
      </c>
      <c r="CB14" s="21">
        <f>IF(CB$1&lt;INDEX('Valo FX'!$Q:$Q,MATCH($A14,'Valo FX'!$A:$A,0)),0,IF(CB$1&lt;INDEX('Valo FX'!$R:$R,MATCH($A14,'Valo FX'!$A:$A,0)),INDEX(Base!$U:$U,MATCH($A14,Base!$A:$A,0)),IF(CB$1=INDEX('Valo FX'!$R:$R,MATCH($A14,'Valo FX'!$A:$A,0)),INDEX(Base!$V:$V,MATCH($A14,Base!$A:$A,0)),0)))</f>
        <v>6.5836199999999998</v>
      </c>
      <c r="CC14" s="21">
        <f>IF(CC$1&lt;INDEX('Valo FX'!$Q:$Q,MATCH($A14,'Valo FX'!$A:$A,0)),0,IF(CC$1&lt;INDEX('Valo FX'!$R:$R,MATCH($A14,'Valo FX'!$A:$A,0)),INDEX(Base!$U:$U,MATCH($A14,Base!$A:$A,0)),IF(CC$1=INDEX('Valo FX'!$R:$R,MATCH($A14,'Valo FX'!$A:$A,0)),INDEX(Base!$V:$V,MATCH($A14,Base!$A:$A,0)),0)))</f>
        <v>6.5836199999999998</v>
      </c>
      <c r="CD14" s="21">
        <f>IF(CD$1&lt;INDEX('Valo FX'!$Q:$Q,MATCH($A14,'Valo FX'!$A:$A,0)),0,IF(CD$1&lt;INDEX('Valo FX'!$R:$R,MATCH($A14,'Valo FX'!$A:$A,0)),INDEX(Base!$U:$U,MATCH($A14,Base!$A:$A,0)),IF(CD$1=INDEX('Valo FX'!$R:$R,MATCH($A14,'Valo FX'!$A:$A,0)),INDEX(Base!$V:$V,MATCH($A14,Base!$A:$A,0)),0)))</f>
        <v>6.5836199999999998</v>
      </c>
      <c r="CE14" s="21">
        <f>IF(CE$1&lt;INDEX('Valo FX'!$Q:$Q,MATCH($A14,'Valo FX'!$A:$A,0)),0,IF(CE$1&lt;INDEX('Valo FX'!$R:$R,MATCH($A14,'Valo FX'!$A:$A,0)),INDEX(Base!$U:$U,MATCH($A14,Base!$A:$A,0)),IF(CE$1=INDEX('Valo FX'!$R:$R,MATCH($A14,'Valo FX'!$A:$A,0)),INDEX(Base!$V:$V,MATCH($A14,Base!$A:$A,0)),0)))</f>
        <v>6.5836199999999998</v>
      </c>
      <c r="CF14" s="21">
        <f>IF(CF$1&lt;INDEX('Valo FX'!$Q:$Q,MATCH($A14,'Valo FX'!$A:$A,0)),0,IF(CF$1&lt;INDEX('Valo FX'!$R:$R,MATCH($A14,'Valo FX'!$A:$A,0)),INDEX(Base!$U:$U,MATCH($A14,Base!$A:$A,0)),IF(CF$1=INDEX('Valo FX'!$R:$R,MATCH($A14,'Valo FX'!$A:$A,0)),INDEX(Base!$V:$V,MATCH($A14,Base!$A:$A,0)),0)))</f>
        <v>6.5836199999999998</v>
      </c>
      <c r="CG14" s="21">
        <f>IF(CG$1&lt;INDEX('Valo FX'!$Q:$Q,MATCH($A14,'Valo FX'!$A:$A,0)),0,IF(CG$1&lt;INDEX('Valo FX'!$R:$R,MATCH($A14,'Valo FX'!$A:$A,0)),INDEX(Base!$U:$U,MATCH($A14,Base!$A:$A,0)),IF(CG$1=INDEX('Valo FX'!$R:$R,MATCH($A14,'Valo FX'!$A:$A,0)),INDEX(Base!$V:$V,MATCH($A14,Base!$A:$A,0)),0)))</f>
        <v>6.5836199999999998</v>
      </c>
      <c r="CH14" s="21">
        <f>IF(CH$1&lt;INDEX('Valo FX'!$Q:$Q,MATCH($A14,'Valo FX'!$A:$A,0)),0,IF(CH$1&lt;INDEX('Valo FX'!$R:$R,MATCH($A14,'Valo FX'!$A:$A,0)),INDEX(Base!$U:$U,MATCH($A14,Base!$A:$A,0)),IF(CH$1=INDEX('Valo FX'!$R:$R,MATCH($A14,'Valo FX'!$A:$A,0)),INDEX(Base!$V:$V,MATCH($A14,Base!$A:$A,0)),0)))</f>
        <v>6.5836199999999998</v>
      </c>
      <c r="CI14" s="21">
        <f>IF(CI$1&lt;INDEX('Valo FX'!$Q:$Q,MATCH($A14,'Valo FX'!$A:$A,0)),0,IF(CI$1&lt;INDEX('Valo FX'!$R:$R,MATCH($A14,'Valo FX'!$A:$A,0)),INDEX(Base!$U:$U,MATCH($A14,Base!$A:$A,0)),IF(CI$1=INDEX('Valo FX'!$R:$R,MATCH($A14,'Valo FX'!$A:$A,0)),INDEX(Base!$V:$V,MATCH($A14,Base!$A:$A,0)),0)))</f>
        <v>6.5836199999999998</v>
      </c>
      <c r="CJ14" s="21">
        <f>IF(CJ$1&lt;INDEX('Valo FX'!$Q:$Q,MATCH($A14,'Valo FX'!$A:$A,0)),0,IF(CJ$1&lt;INDEX('Valo FX'!$R:$R,MATCH($A14,'Valo FX'!$A:$A,0)),INDEX(Base!$U:$U,MATCH($A14,Base!$A:$A,0)),IF(CJ$1=INDEX('Valo FX'!$R:$R,MATCH($A14,'Valo FX'!$A:$A,0)),INDEX(Base!$V:$V,MATCH($A14,Base!$A:$A,0)),0)))</f>
        <v>6.5836199999999998</v>
      </c>
      <c r="CK14" s="21">
        <f>IF(CK$1&lt;INDEX('Valo FX'!$Q:$Q,MATCH($A14,'Valo FX'!$A:$A,0)),0,IF(CK$1&lt;INDEX('Valo FX'!$R:$R,MATCH($A14,'Valo FX'!$A:$A,0)),INDEX(Base!$U:$U,MATCH($A14,Base!$A:$A,0)),IF(CK$1=INDEX('Valo FX'!$R:$R,MATCH($A14,'Valo FX'!$A:$A,0)),INDEX(Base!$V:$V,MATCH($A14,Base!$A:$A,0)),0)))</f>
        <v>6.5836199999999998</v>
      </c>
      <c r="CL14" s="21">
        <f>IF(CL$1&lt;INDEX('Valo FX'!$Q:$Q,MATCH($A14,'Valo FX'!$A:$A,0)),0,IF(CL$1&lt;INDEX('Valo FX'!$R:$R,MATCH($A14,'Valo FX'!$A:$A,0)),INDEX(Base!$U:$U,MATCH($A14,Base!$A:$A,0)),IF(CL$1=INDEX('Valo FX'!$R:$R,MATCH($A14,'Valo FX'!$A:$A,0)),INDEX(Base!$V:$V,MATCH($A14,Base!$A:$A,0)),0)))</f>
        <v>6.5836199999999998</v>
      </c>
      <c r="CM14" s="21">
        <f>IF(CM$1&lt;INDEX('Valo FX'!$Q:$Q,MATCH($A14,'Valo FX'!$A:$A,0)),0,IF(CM$1&lt;INDEX('Valo FX'!$R:$R,MATCH($A14,'Valo FX'!$A:$A,0)),INDEX(Base!$U:$U,MATCH($A14,Base!$A:$A,0)),IF(CM$1=INDEX('Valo FX'!$R:$R,MATCH($A14,'Valo FX'!$A:$A,0)),INDEX(Base!$V:$V,MATCH($A14,Base!$A:$A,0)),0)))</f>
        <v>6.5836199999999998</v>
      </c>
      <c r="CN14" s="21">
        <f>IF(CN$1&lt;INDEX('Valo FX'!$Q:$Q,MATCH($A14,'Valo FX'!$A:$A,0)),0,IF(CN$1&lt;INDEX('Valo FX'!$R:$R,MATCH($A14,'Valo FX'!$A:$A,0)),INDEX(Base!$U:$U,MATCH($A14,Base!$A:$A,0)),IF(CN$1=INDEX('Valo FX'!$R:$R,MATCH($A14,'Valo FX'!$A:$A,0)),INDEX(Base!$V:$V,MATCH($A14,Base!$A:$A,0)),0)))</f>
        <v>6.5836199999999998</v>
      </c>
      <c r="CO14" s="21">
        <f>IF(CO$1&lt;INDEX('Valo FX'!$Q:$Q,MATCH($A14,'Valo FX'!$A:$A,0)),0,IF(CO$1&lt;INDEX('Valo FX'!$R:$R,MATCH($A14,'Valo FX'!$A:$A,0)),INDEX(Base!$U:$U,MATCH($A14,Base!$A:$A,0)),IF(CO$1=INDEX('Valo FX'!$R:$R,MATCH($A14,'Valo FX'!$A:$A,0)),INDEX(Base!$V:$V,MATCH($A14,Base!$A:$A,0)),0)))</f>
        <v>6.5836199999999998</v>
      </c>
      <c r="CP14" s="21">
        <f>IF(CP$1&lt;INDEX('Valo FX'!$Q:$Q,MATCH($A14,'Valo FX'!$A:$A,0)),0,IF(CP$1&lt;INDEX('Valo FX'!$R:$R,MATCH($A14,'Valo FX'!$A:$A,0)),INDEX(Base!$U:$U,MATCH($A14,Base!$A:$A,0)),IF(CP$1=INDEX('Valo FX'!$R:$R,MATCH($A14,'Valo FX'!$A:$A,0)),INDEX(Base!$V:$V,MATCH($A14,Base!$A:$A,0)),0)))</f>
        <v>6.5836199999999998</v>
      </c>
      <c r="CQ14" s="21">
        <f>IF(CQ$1&lt;INDEX('Valo FX'!$Q:$Q,MATCH($A14,'Valo FX'!$A:$A,0)),0,IF(CQ$1&lt;INDEX('Valo FX'!$R:$R,MATCH($A14,'Valo FX'!$A:$A,0)),INDEX(Base!$U:$U,MATCH($A14,Base!$A:$A,0)),IF(CQ$1=INDEX('Valo FX'!$R:$R,MATCH($A14,'Valo FX'!$A:$A,0)),INDEX(Base!$V:$V,MATCH($A14,Base!$A:$A,0)),0)))</f>
        <v>6.5836199999999998</v>
      </c>
      <c r="CR14" s="21">
        <f>IF(CR$1&lt;INDEX('Valo FX'!$Q:$Q,MATCH($A14,'Valo FX'!$A:$A,0)),0,IF(CR$1&lt;INDEX('Valo FX'!$R:$R,MATCH($A14,'Valo FX'!$A:$A,0)),INDEX(Base!$U:$U,MATCH($A14,Base!$A:$A,0)),IF(CR$1=INDEX('Valo FX'!$R:$R,MATCH($A14,'Valo FX'!$A:$A,0)),INDEX(Base!$V:$V,MATCH($A14,Base!$A:$A,0)),0)))</f>
        <v>6.5836199999999998</v>
      </c>
      <c r="CS14" s="21">
        <f>IF(CS$1&lt;INDEX('Valo FX'!$Q:$Q,MATCH($A14,'Valo FX'!$A:$A,0)),0,IF(CS$1&lt;INDEX('Valo FX'!$R:$R,MATCH($A14,'Valo FX'!$A:$A,0)),INDEX(Base!$U:$U,MATCH($A14,Base!$A:$A,0)),IF(CS$1=INDEX('Valo FX'!$R:$R,MATCH($A14,'Valo FX'!$A:$A,0)),INDEX(Base!$V:$V,MATCH($A14,Base!$A:$A,0)),0)))</f>
        <v>6.5836199999999998</v>
      </c>
      <c r="CT14" s="21">
        <f>IF(CT$1&lt;INDEX('Valo FX'!$Q:$Q,MATCH($A14,'Valo FX'!$A:$A,0)),0,IF(CT$1&lt;INDEX('Valo FX'!$R:$R,MATCH($A14,'Valo FX'!$A:$A,0)),INDEX(Base!$U:$U,MATCH($A14,Base!$A:$A,0)),IF(CT$1=INDEX('Valo FX'!$R:$R,MATCH($A14,'Valo FX'!$A:$A,0)),INDEX(Base!$V:$V,MATCH($A14,Base!$A:$A,0)),0)))</f>
        <v>6.5836199999999998</v>
      </c>
      <c r="CU14" s="21">
        <f>IF(CU$1&lt;INDEX('Valo FX'!$Q:$Q,MATCH($A14,'Valo FX'!$A:$A,0)),0,IF(CU$1&lt;INDEX('Valo FX'!$R:$R,MATCH($A14,'Valo FX'!$A:$A,0)),INDEX(Base!$U:$U,MATCH($A14,Base!$A:$A,0)),IF(CU$1=INDEX('Valo FX'!$R:$R,MATCH($A14,'Valo FX'!$A:$A,0)),INDEX(Base!$V:$V,MATCH($A14,Base!$A:$A,0)),0)))</f>
        <v>6.5836199999999998</v>
      </c>
      <c r="CV14" s="21">
        <f>IF(CV$1&lt;INDEX('Valo FX'!$Q:$Q,MATCH($A14,'Valo FX'!$A:$A,0)),0,IF(CV$1&lt;INDEX('Valo FX'!$R:$R,MATCH($A14,'Valo FX'!$A:$A,0)),INDEX(Base!$U:$U,MATCH($A14,Base!$A:$A,0)),IF(CV$1=INDEX('Valo FX'!$R:$R,MATCH($A14,'Valo FX'!$A:$A,0)),INDEX(Base!$V:$V,MATCH($A14,Base!$A:$A,0)),0)))</f>
        <v>6.5836199999999998</v>
      </c>
      <c r="CW14" s="21">
        <f>IF(CW$1&lt;INDEX('Valo FX'!$Q:$Q,MATCH($A14,'Valo FX'!$A:$A,0)),0,IF(CW$1&lt;INDEX('Valo FX'!$R:$R,MATCH($A14,'Valo FX'!$A:$A,0)),INDEX(Base!$U:$U,MATCH($A14,Base!$A:$A,0)),IF(CW$1=INDEX('Valo FX'!$R:$R,MATCH($A14,'Valo FX'!$A:$A,0)),INDEX(Base!$V:$V,MATCH($A14,Base!$A:$A,0)),0)))</f>
        <v>6.5836199999999998</v>
      </c>
      <c r="CX14" s="21">
        <f>IF(CX$1&lt;INDEX('Valo FX'!$Q:$Q,MATCH($A14,'Valo FX'!$A:$A,0)),0,IF(CX$1&lt;INDEX('Valo FX'!$R:$R,MATCH($A14,'Valo FX'!$A:$A,0)),INDEX(Base!$U:$U,MATCH($A14,Base!$A:$A,0)),IF(CX$1=INDEX('Valo FX'!$R:$R,MATCH($A14,'Valo FX'!$A:$A,0)),INDEX(Base!$V:$V,MATCH($A14,Base!$A:$A,0)),0)))</f>
        <v>6.5836199999999998</v>
      </c>
      <c r="CY14" s="21">
        <f>IF(CY$1&lt;INDEX('Valo FX'!$Q:$Q,MATCH($A14,'Valo FX'!$A:$A,0)),0,IF(CY$1&lt;INDEX('Valo FX'!$R:$R,MATCH($A14,'Valo FX'!$A:$A,0)),INDEX(Base!$U:$U,MATCH($A14,Base!$A:$A,0)),IF(CY$1=INDEX('Valo FX'!$R:$R,MATCH($A14,'Valo FX'!$A:$A,0)),INDEX(Base!$V:$V,MATCH($A14,Base!$A:$A,0)),0)))</f>
        <v>6.5836199999999998</v>
      </c>
      <c r="CZ14" s="21">
        <f>IF(CZ$1&lt;INDEX('Valo FX'!$Q:$Q,MATCH($A14,'Valo FX'!$A:$A,0)),0,IF(CZ$1&lt;INDEX('Valo FX'!$R:$R,MATCH($A14,'Valo FX'!$A:$A,0)),INDEX(Base!$U:$U,MATCH($A14,Base!$A:$A,0)),IF(CZ$1=INDEX('Valo FX'!$R:$R,MATCH($A14,'Valo FX'!$A:$A,0)),INDEX(Base!$V:$V,MATCH($A14,Base!$A:$A,0)),0)))</f>
        <v>6.5836199999999998</v>
      </c>
      <c r="DA14" s="21">
        <f>IF(DA$1&lt;INDEX('Valo FX'!$Q:$Q,MATCH($A14,'Valo FX'!$A:$A,0)),0,IF(DA$1&lt;INDEX('Valo FX'!$R:$R,MATCH($A14,'Valo FX'!$A:$A,0)),INDEX(Base!$U:$U,MATCH($A14,Base!$A:$A,0)),IF(DA$1=INDEX('Valo FX'!$R:$R,MATCH($A14,'Valo FX'!$A:$A,0)),INDEX(Base!$V:$V,MATCH($A14,Base!$A:$A,0)),0)))</f>
        <v>6.5836199999999998</v>
      </c>
      <c r="DB14" s="21">
        <f>IF(DB$1&lt;INDEX('Valo FX'!$Q:$Q,MATCH($A14,'Valo FX'!$A:$A,0)),0,IF(DB$1&lt;INDEX('Valo FX'!$R:$R,MATCH($A14,'Valo FX'!$A:$A,0)),INDEX(Base!$U:$U,MATCH($A14,Base!$A:$A,0)),IF(DB$1=INDEX('Valo FX'!$R:$R,MATCH($A14,'Valo FX'!$A:$A,0)),INDEX(Base!$V:$V,MATCH($A14,Base!$A:$A,0)),0)))</f>
        <v>6.5836199999999998</v>
      </c>
      <c r="DC14" s="21">
        <f>IF(DC$1&lt;INDEX('Valo FX'!$Q:$Q,MATCH($A14,'Valo FX'!$A:$A,0)),0,IF(DC$1&lt;INDEX('Valo FX'!$R:$R,MATCH($A14,'Valo FX'!$A:$A,0)),INDEX(Base!$U:$U,MATCH($A14,Base!$A:$A,0)),IF(DC$1=INDEX('Valo FX'!$R:$R,MATCH($A14,'Valo FX'!$A:$A,0)),INDEX(Base!$V:$V,MATCH($A14,Base!$A:$A,0)),0)))</f>
        <v>6.5836199999999998</v>
      </c>
      <c r="DD14" s="21">
        <f>IF(DD$1&lt;INDEX('Valo FX'!$Q:$Q,MATCH($A14,'Valo FX'!$A:$A,0)),0,IF(DD$1&lt;INDEX('Valo FX'!$R:$R,MATCH($A14,'Valo FX'!$A:$A,0)),INDEX(Base!$U:$U,MATCH($A14,Base!$A:$A,0)),IF(DD$1=INDEX('Valo FX'!$R:$R,MATCH($A14,'Valo FX'!$A:$A,0)),INDEX(Base!$V:$V,MATCH($A14,Base!$A:$A,0)),0)))</f>
        <v>6.5836199999999998</v>
      </c>
      <c r="DE14" s="21">
        <f>IF(DE$1&lt;INDEX('Valo FX'!$Q:$Q,MATCH($A14,'Valo FX'!$A:$A,0)),0,IF(DE$1&lt;INDEX('Valo FX'!$R:$R,MATCH($A14,'Valo FX'!$A:$A,0)),INDEX(Base!$U:$U,MATCH($A14,Base!$A:$A,0)),IF(DE$1=INDEX('Valo FX'!$R:$R,MATCH($A14,'Valo FX'!$A:$A,0)),INDEX(Base!$V:$V,MATCH($A14,Base!$A:$A,0)),0)))</f>
        <v>6.5836199999999998</v>
      </c>
      <c r="DF14" s="21">
        <f>IF(DF$1&lt;INDEX('Valo FX'!$Q:$Q,MATCH($A14,'Valo FX'!$A:$A,0)),0,IF(DF$1&lt;INDEX('Valo FX'!$R:$R,MATCH($A14,'Valo FX'!$A:$A,0)),INDEX(Base!$U:$U,MATCH($A14,Base!$A:$A,0)),IF(DF$1=INDEX('Valo FX'!$R:$R,MATCH($A14,'Valo FX'!$A:$A,0)),INDEX(Base!$V:$V,MATCH($A14,Base!$A:$A,0)),0)))</f>
        <v>6.5836199999999998</v>
      </c>
      <c r="DG14" s="21">
        <f>IF(DG$1&lt;INDEX('Valo FX'!$Q:$Q,MATCH($A14,'Valo FX'!$A:$A,0)),0,IF(DG$1&lt;INDEX('Valo FX'!$R:$R,MATCH($A14,'Valo FX'!$A:$A,0)),INDEX(Base!$U:$U,MATCH($A14,Base!$A:$A,0)),IF(DG$1=INDEX('Valo FX'!$R:$R,MATCH($A14,'Valo FX'!$A:$A,0)),INDEX(Base!$V:$V,MATCH($A14,Base!$A:$A,0)),0)))</f>
        <v>6.5836199999999998</v>
      </c>
      <c r="DH14" s="21">
        <f>IF(DH$1&lt;INDEX('Valo FX'!$Q:$Q,MATCH($A14,'Valo FX'!$A:$A,0)),0,IF(DH$1&lt;INDEX('Valo FX'!$R:$R,MATCH($A14,'Valo FX'!$A:$A,0)),INDEX(Base!$U:$U,MATCH($A14,Base!$A:$A,0)),IF(DH$1=INDEX('Valo FX'!$R:$R,MATCH($A14,'Valo FX'!$A:$A,0)),INDEX(Base!$V:$V,MATCH($A14,Base!$A:$A,0)),0)))</f>
        <v>6.5836199999999998</v>
      </c>
      <c r="DI14" s="21">
        <f>IF(DI$1&lt;INDEX('Valo FX'!$Q:$Q,MATCH($A14,'Valo FX'!$A:$A,0)),0,IF(DI$1&lt;INDEX('Valo FX'!$R:$R,MATCH($A14,'Valo FX'!$A:$A,0)),INDEX(Base!$U:$U,MATCH($A14,Base!$A:$A,0)),IF(DI$1=INDEX('Valo FX'!$R:$R,MATCH($A14,'Valo FX'!$A:$A,0)),INDEX(Base!$V:$V,MATCH($A14,Base!$A:$A,0)),0)))</f>
        <v>6.5836199999999998</v>
      </c>
      <c r="DJ14" s="21">
        <f>IF(DJ$1&lt;INDEX('Valo FX'!$Q:$Q,MATCH($A14,'Valo FX'!$A:$A,0)),0,IF(DJ$1&lt;INDEX('Valo FX'!$R:$R,MATCH($A14,'Valo FX'!$A:$A,0)),INDEX(Base!$U:$U,MATCH($A14,Base!$A:$A,0)),IF(DJ$1=INDEX('Valo FX'!$R:$R,MATCH($A14,'Valo FX'!$A:$A,0)),INDEX(Base!$V:$V,MATCH($A14,Base!$A:$A,0)),0)))</f>
        <v>6.5836199999999998</v>
      </c>
      <c r="DK14" s="21">
        <f>IF(DK$1&lt;INDEX('Valo FX'!$Q:$Q,MATCH($A14,'Valo FX'!$A:$A,0)),0,IF(DK$1&lt;INDEX('Valo FX'!$R:$R,MATCH($A14,'Valo FX'!$A:$A,0)),INDEX(Base!$U:$U,MATCH($A14,Base!$A:$A,0)),IF(DK$1=INDEX('Valo FX'!$R:$R,MATCH($A14,'Valo FX'!$A:$A,0)),INDEX(Base!$V:$V,MATCH($A14,Base!$A:$A,0)),0)))</f>
        <v>6.5836199999999998</v>
      </c>
      <c r="DL14" s="21">
        <f>IF(DL$1&lt;INDEX('Valo FX'!$Q:$Q,MATCH($A14,'Valo FX'!$A:$A,0)),0,IF(DL$1&lt;INDEX('Valo FX'!$R:$R,MATCH($A14,'Valo FX'!$A:$A,0)),INDEX(Base!$U:$U,MATCH($A14,Base!$A:$A,0)),IF(DL$1=INDEX('Valo FX'!$R:$R,MATCH($A14,'Valo FX'!$A:$A,0)),INDEX(Base!$V:$V,MATCH($A14,Base!$A:$A,0)),0)))</f>
        <v>6.5836199999999998</v>
      </c>
      <c r="DM14" s="21">
        <f>IF(DM$1&lt;INDEX('Valo FX'!$Q:$Q,MATCH($A14,'Valo FX'!$A:$A,0)),0,IF(DM$1&lt;INDEX('Valo FX'!$R:$R,MATCH($A14,'Valo FX'!$A:$A,0)),INDEX(Base!$U:$U,MATCH($A14,Base!$A:$A,0)),IF(DM$1=INDEX('Valo FX'!$R:$R,MATCH($A14,'Valo FX'!$A:$A,0)),INDEX(Base!$V:$V,MATCH($A14,Base!$A:$A,0)),0)))</f>
        <v>6.5836199999999998</v>
      </c>
      <c r="DN14" s="21">
        <f>IF(DN$1&lt;INDEX('Valo FX'!$Q:$Q,MATCH($A14,'Valo FX'!$A:$A,0)),0,IF(DN$1&lt;INDEX('Valo FX'!$R:$R,MATCH($A14,'Valo FX'!$A:$A,0)),INDEX(Base!$U:$U,MATCH($A14,Base!$A:$A,0)),IF(DN$1=INDEX('Valo FX'!$R:$R,MATCH($A14,'Valo FX'!$A:$A,0)),INDEX(Base!$V:$V,MATCH($A14,Base!$A:$A,0)),0)))</f>
        <v>6.5836199999999998</v>
      </c>
      <c r="DO14" s="21">
        <f>IF(DO$1&lt;INDEX('Valo FX'!$Q:$Q,MATCH($A14,'Valo FX'!$A:$A,0)),0,IF(DO$1&lt;INDEX('Valo FX'!$R:$R,MATCH($A14,'Valo FX'!$A:$A,0)),INDEX(Base!$U:$U,MATCH($A14,Base!$A:$A,0)),IF(DO$1=INDEX('Valo FX'!$R:$R,MATCH($A14,'Valo FX'!$A:$A,0)),INDEX(Base!$V:$V,MATCH($A14,Base!$A:$A,0)),0)))</f>
        <v>6.5836199999999998</v>
      </c>
      <c r="DP14" s="21">
        <f>IF(DP$1&lt;INDEX('Valo FX'!$Q:$Q,MATCH($A14,'Valo FX'!$A:$A,0)),0,IF(DP$1&lt;INDEX('Valo FX'!$R:$R,MATCH($A14,'Valo FX'!$A:$A,0)),INDEX(Base!$U:$U,MATCH($A14,Base!$A:$A,0)),IF(DP$1=INDEX('Valo FX'!$R:$R,MATCH($A14,'Valo FX'!$A:$A,0)),INDEX(Base!$V:$V,MATCH($A14,Base!$A:$A,0)),0)))</f>
        <v>6.5836199999999998</v>
      </c>
      <c r="DQ14" s="21">
        <f>IF(DQ$1&lt;INDEX('Valo FX'!$Q:$Q,MATCH($A14,'Valo FX'!$A:$A,0)),0,IF(DQ$1&lt;INDEX('Valo FX'!$R:$R,MATCH($A14,'Valo FX'!$A:$A,0)),INDEX(Base!$U:$U,MATCH($A14,Base!$A:$A,0)),IF(DQ$1=INDEX('Valo FX'!$R:$R,MATCH($A14,'Valo FX'!$A:$A,0)),INDEX(Base!$V:$V,MATCH($A14,Base!$A:$A,0)),0)))</f>
        <v>6.5836199999999998</v>
      </c>
      <c r="DR14" s="21">
        <f>IF(DR$1&lt;INDEX('Valo FX'!$Q:$Q,MATCH($A14,'Valo FX'!$A:$A,0)),0,IF(DR$1&lt;INDEX('Valo FX'!$R:$R,MATCH($A14,'Valo FX'!$A:$A,0)),INDEX(Base!$U:$U,MATCH($A14,Base!$A:$A,0)),IF(DR$1=INDEX('Valo FX'!$R:$R,MATCH($A14,'Valo FX'!$A:$A,0)),INDEX(Base!$V:$V,MATCH($A14,Base!$A:$A,0)),0)))</f>
        <v>6.5836199999999998</v>
      </c>
      <c r="DS14" s="21">
        <f>IF(DS$1&lt;INDEX('Valo FX'!$Q:$Q,MATCH($A14,'Valo FX'!$A:$A,0)),0,IF(DS$1&lt;INDEX('Valo FX'!$R:$R,MATCH($A14,'Valo FX'!$A:$A,0)),INDEX(Base!$U:$U,MATCH($A14,Base!$A:$A,0)),IF(DS$1=INDEX('Valo FX'!$R:$R,MATCH($A14,'Valo FX'!$A:$A,0)),INDEX(Base!$V:$V,MATCH($A14,Base!$A:$A,0)),0)))</f>
        <v>6.5836199999999998</v>
      </c>
      <c r="DT14" s="21">
        <f>IF(DT$1&lt;INDEX('Valo FX'!$Q:$Q,MATCH($A14,'Valo FX'!$A:$A,0)),0,IF(DT$1&lt;INDEX('Valo FX'!$R:$R,MATCH($A14,'Valo FX'!$A:$A,0)),INDEX(Base!$U:$U,MATCH($A14,Base!$A:$A,0)),IF(DT$1=INDEX('Valo FX'!$R:$R,MATCH($A14,'Valo FX'!$A:$A,0)),INDEX(Base!$V:$V,MATCH($A14,Base!$A:$A,0)),0)))</f>
        <v>6.5836199999999998</v>
      </c>
      <c r="DU14" s="21">
        <f>IF(DU$1&lt;INDEX('Valo FX'!$Q:$Q,MATCH($A14,'Valo FX'!$A:$A,0)),0,IF(DU$1&lt;INDEX('Valo FX'!$R:$R,MATCH($A14,'Valo FX'!$A:$A,0)),INDEX(Base!$U:$U,MATCH($A14,Base!$A:$A,0)),IF(DU$1=INDEX('Valo FX'!$R:$R,MATCH($A14,'Valo FX'!$A:$A,0)),INDEX(Base!$V:$V,MATCH($A14,Base!$A:$A,0)),0)))</f>
        <v>6.5836199999999998</v>
      </c>
      <c r="DV14" s="21">
        <f>IF(DV$1&lt;INDEX('Valo FX'!$Q:$Q,MATCH($A14,'Valo FX'!$A:$A,0)),0,IF(DV$1&lt;INDEX('Valo FX'!$R:$R,MATCH($A14,'Valo FX'!$A:$A,0)),INDEX(Base!$U:$U,MATCH($A14,Base!$A:$A,0)),IF(DV$1=INDEX('Valo FX'!$R:$R,MATCH($A14,'Valo FX'!$A:$A,0)),INDEX(Base!$V:$V,MATCH($A14,Base!$A:$A,0)),0)))</f>
        <v>6.5836199999999998</v>
      </c>
      <c r="DW14" s="21">
        <f>IF(DW$1&lt;INDEX('Valo FX'!$Q:$Q,MATCH($A14,'Valo FX'!$A:$A,0)),0,IF(DW$1&lt;INDEX('Valo FX'!$R:$R,MATCH($A14,'Valo FX'!$A:$A,0)),INDEX(Base!$U:$U,MATCH($A14,Base!$A:$A,0)),IF(DW$1=INDEX('Valo FX'!$R:$R,MATCH($A14,'Valo FX'!$A:$A,0)),INDEX(Base!$V:$V,MATCH($A14,Base!$A:$A,0)),0)))</f>
        <v>6.5836199999999998</v>
      </c>
      <c r="DX14" s="21">
        <f>IF(DX$1&lt;INDEX('Valo FX'!$Q:$Q,MATCH($A14,'Valo FX'!$A:$A,0)),0,IF(DX$1&lt;INDEX('Valo FX'!$R:$R,MATCH($A14,'Valo FX'!$A:$A,0)),INDEX(Base!$U:$U,MATCH($A14,Base!$A:$A,0)),IF(DX$1=INDEX('Valo FX'!$R:$R,MATCH($A14,'Valo FX'!$A:$A,0)),INDEX(Base!$V:$V,MATCH($A14,Base!$A:$A,0)),0)))</f>
        <v>6.5836199999999998</v>
      </c>
      <c r="DY14" s="21">
        <f>IF(DY$1&lt;INDEX('Valo FX'!$Q:$Q,MATCH($A14,'Valo FX'!$A:$A,0)),0,IF(DY$1&lt;INDEX('Valo FX'!$R:$R,MATCH($A14,'Valo FX'!$A:$A,0)),INDEX(Base!$U:$U,MATCH($A14,Base!$A:$A,0)),IF(DY$1=INDEX('Valo FX'!$R:$R,MATCH($A14,'Valo FX'!$A:$A,0)),INDEX(Base!$V:$V,MATCH($A14,Base!$A:$A,0)),0)))</f>
        <v>6.5836199999999998</v>
      </c>
      <c r="DZ14" s="21">
        <f>IF(DZ$1&lt;INDEX('Valo FX'!$Q:$Q,MATCH($A14,'Valo FX'!$A:$A,0)),0,IF(DZ$1&lt;INDEX('Valo FX'!$R:$R,MATCH($A14,'Valo FX'!$A:$A,0)),INDEX(Base!$U:$U,MATCH($A14,Base!$A:$A,0)),IF(DZ$1=INDEX('Valo FX'!$R:$R,MATCH($A14,'Valo FX'!$A:$A,0)),INDEX(Base!$V:$V,MATCH($A14,Base!$A:$A,0)),0)))</f>
        <v>6.5836199999999998</v>
      </c>
      <c r="EA14" s="21">
        <f>IF(EA$1&lt;INDEX('Valo FX'!$Q:$Q,MATCH($A14,'Valo FX'!$A:$A,0)),0,IF(EA$1&lt;INDEX('Valo FX'!$R:$R,MATCH($A14,'Valo FX'!$A:$A,0)),INDEX(Base!$U:$U,MATCH($A14,Base!$A:$A,0)),IF(EA$1=INDEX('Valo FX'!$R:$R,MATCH($A14,'Valo FX'!$A:$A,0)),INDEX(Base!$V:$V,MATCH($A14,Base!$A:$A,0)),0)))</f>
        <v>6.5836199999999998</v>
      </c>
      <c r="EB14" s="21">
        <f>IF(EB$1&lt;INDEX('Valo FX'!$Q:$Q,MATCH($A14,'Valo FX'!$A:$A,0)),0,IF(EB$1&lt;INDEX('Valo FX'!$R:$R,MATCH($A14,'Valo FX'!$A:$A,0)),INDEX(Base!$U:$U,MATCH($A14,Base!$A:$A,0)),IF(EB$1=INDEX('Valo FX'!$R:$R,MATCH($A14,'Valo FX'!$A:$A,0)),INDEX(Base!$V:$V,MATCH($A14,Base!$A:$A,0)),0)))</f>
        <v>6.5836199999999998</v>
      </c>
      <c r="EC14" s="21">
        <f>IF(EC$1&lt;INDEX('Valo FX'!$Q:$Q,MATCH($A14,'Valo FX'!$A:$A,0)),0,IF(EC$1&lt;INDEX('Valo FX'!$R:$R,MATCH($A14,'Valo FX'!$A:$A,0)),INDEX(Base!$U:$U,MATCH($A14,Base!$A:$A,0)),IF(EC$1=INDEX('Valo FX'!$R:$R,MATCH($A14,'Valo FX'!$A:$A,0)),INDEX(Base!$V:$V,MATCH($A14,Base!$A:$A,0)),0)))</f>
        <v>6.5836199999999998</v>
      </c>
      <c r="ED14" s="21">
        <f>IF(ED$1&lt;INDEX('Valo FX'!$Q:$Q,MATCH($A14,'Valo FX'!$A:$A,0)),0,IF(ED$1&lt;INDEX('Valo FX'!$R:$R,MATCH($A14,'Valo FX'!$A:$A,0)),INDEX(Base!$U:$U,MATCH($A14,Base!$A:$A,0)),IF(ED$1=INDEX('Valo FX'!$R:$R,MATCH($A14,'Valo FX'!$A:$A,0)),INDEX(Base!$V:$V,MATCH($A14,Base!$A:$A,0)),0)))</f>
        <v>6.5836199999999998</v>
      </c>
      <c r="EE14" s="21">
        <f>IF(EE$1&lt;INDEX('Valo FX'!$Q:$Q,MATCH($A14,'Valo FX'!$A:$A,0)),0,IF(EE$1&lt;INDEX('Valo FX'!$R:$R,MATCH($A14,'Valo FX'!$A:$A,0)),INDEX(Base!$U:$U,MATCH($A14,Base!$A:$A,0)),IF(EE$1=INDEX('Valo FX'!$R:$R,MATCH($A14,'Valo FX'!$A:$A,0)),INDEX(Base!$V:$V,MATCH($A14,Base!$A:$A,0)),0)))</f>
        <v>6.5836199999999998</v>
      </c>
      <c r="EF14" s="21">
        <f>IF(EF$1&lt;INDEX('Valo FX'!$Q:$Q,MATCH($A14,'Valo FX'!$A:$A,0)),0,IF(EF$1&lt;INDEX('Valo FX'!$R:$R,MATCH($A14,'Valo FX'!$A:$A,0)),INDEX(Base!$U:$U,MATCH($A14,Base!$A:$A,0)),IF(EF$1=INDEX('Valo FX'!$R:$R,MATCH($A14,'Valo FX'!$A:$A,0)),INDEX(Base!$V:$V,MATCH($A14,Base!$A:$A,0)),0)))</f>
        <v>6.5836199999999998</v>
      </c>
      <c r="EG14" s="21">
        <f>IF(EG$1&lt;INDEX('Valo FX'!$Q:$Q,MATCH($A14,'Valo FX'!$A:$A,0)),0,IF(EG$1&lt;INDEX('Valo FX'!$R:$R,MATCH($A14,'Valo FX'!$A:$A,0)),INDEX(Base!$U:$U,MATCH($A14,Base!$A:$A,0)),IF(EG$1=INDEX('Valo FX'!$R:$R,MATCH($A14,'Valo FX'!$A:$A,0)),INDEX(Base!$V:$V,MATCH($A14,Base!$A:$A,0)),0)))</f>
        <v>6.5836199999999998</v>
      </c>
      <c r="EH14" s="21">
        <f>IF(EH$1&lt;INDEX('Valo FX'!$Q:$Q,MATCH($A14,'Valo FX'!$A:$A,0)),0,IF(EH$1&lt;INDEX('Valo FX'!$R:$R,MATCH($A14,'Valo FX'!$A:$A,0)),INDEX(Base!$U:$U,MATCH($A14,Base!$A:$A,0)),IF(EH$1=INDEX('Valo FX'!$R:$R,MATCH($A14,'Valo FX'!$A:$A,0)),INDEX(Base!$V:$V,MATCH($A14,Base!$A:$A,0)),0)))</f>
        <v>6.5836199999999998</v>
      </c>
      <c r="EI14" s="21">
        <f>IF(EI$1&lt;INDEX('Valo FX'!$Q:$Q,MATCH($A14,'Valo FX'!$A:$A,0)),0,IF(EI$1&lt;INDEX('Valo FX'!$R:$R,MATCH($A14,'Valo FX'!$A:$A,0)),INDEX(Base!$U:$U,MATCH($A14,Base!$A:$A,0)),IF(EI$1=INDEX('Valo FX'!$R:$R,MATCH($A14,'Valo FX'!$A:$A,0)),INDEX(Base!$V:$V,MATCH($A14,Base!$A:$A,0)),0)))</f>
        <v>6.5836199999999998</v>
      </c>
      <c r="EJ14" s="21">
        <f>IF(EJ$1&lt;INDEX('Valo FX'!$Q:$Q,MATCH($A14,'Valo FX'!$A:$A,0)),0,IF(EJ$1&lt;INDEX('Valo FX'!$R:$R,MATCH($A14,'Valo FX'!$A:$A,0)),INDEX(Base!$U:$U,MATCH($A14,Base!$A:$A,0)),IF(EJ$1=INDEX('Valo FX'!$R:$R,MATCH($A14,'Valo FX'!$A:$A,0)),INDEX(Base!$V:$V,MATCH($A14,Base!$A:$A,0)),0)))</f>
        <v>6.5836199999999998</v>
      </c>
      <c r="EK14" s="21">
        <f>IF(EK$1&lt;INDEX('Valo FX'!$Q:$Q,MATCH($A14,'Valo FX'!$A:$A,0)),0,IF(EK$1&lt;INDEX('Valo FX'!$R:$R,MATCH($A14,'Valo FX'!$A:$A,0)),INDEX(Base!$U:$U,MATCH($A14,Base!$A:$A,0)),IF(EK$1=INDEX('Valo FX'!$R:$R,MATCH($A14,'Valo FX'!$A:$A,0)),INDEX(Base!$V:$V,MATCH($A14,Base!$A:$A,0)),0)))</f>
        <v>6.5836199999999998</v>
      </c>
      <c r="EL14" s="21">
        <f>IF(EL$1&lt;INDEX('Valo FX'!$Q:$Q,MATCH($A14,'Valo FX'!$A:$A,0)),0,IF(EL$1&lt;INDEX('Valo FX'!$R:$R,MATCH($A14,'Valo FX'!$A:$A,0)),INDEX(Base!$U:$U,MATCH($A14,Base!$A:$A,0)),IF(EL$1=INDEX('Valo FX'!$R:$R,MATCH($A14,'Valo FX'!$A:$A,0)),INDEX(Base!$V:$V,MATCH($A14,Base!$A:$A,0)),0)))</f>
        <v>6.5836199999999998</v>
      </c>
      <c r="EM14" s="21">
        <f>IF(EM$1&lt;INDEX('Valo FX'!$Q:$Q,MATCH($A14,'Valo FX'!$A:$A,0)),0,IF(EM$1&lt;INDEX('Valo FX'!$R:$R,MATCH($A14,'Valo FX'!$A:$A,0)),INDEX(Base!$U:$U,MATCH($A14,Base!$A:$A,0)),IF(EM$1=INDEX('Valo FX'!$R:$R,MATCH($A14,'Valo FX'!$A:$A,0)),INDEX(Base!$V:$V,MATCH($A14,Base!$A:$A,0)),0)))</f>
        <v>6.5836199999999998</v>
      </c>
      <c r="EN14" s="21">
        <f>IF(EN$1&lt;INDEX('Valo FX'!$Q:$Q,MATCH($A14,'Valo FX'!$A:$A,0)),0,IF(EN$1&lt;INDEX('Valo FX'!$R:$R,MATCH($A14,'Valo FX'!$A:$A,0)),INDEX(Base!$U:$U,MATCH($A14,Base!$A:$A,0)),IF(EN$1=INDEX('Valo FX'!$R:$R,MATCH($A14,'Valo FX'!$A:$A,0)),INDEX(Base!$V:$V,MATCH($A14,Base!$A:$A,0)),0)))</f>
        <v>6.5836199999999998</v>
      </c>
      <c r="EO14" s="21">
        <f>IF(EO$1&lt;INDEX('Valo FX'!$Q:$Q,MATCH($A14,'Valo FX'!$A:$A,0)),0,IF(EO$1&lt;INDEX('Valo FX'!$R:$R,MATCH($A14,'Valo FX'!$A:$A,0)),INDEX(Base!$U:$U,MATCH($A14,Base!$A:$A,0)),IF(EO$1=INDEX('Valo FX'!$R:$R,MATCH($A14,'Valo FX'!$A:$A,0)),INDEX(Base!$V:$V,MATCH($A14,Base!$A:$A,0)),0)))</f>
        <v>6.5836199999999998</v>
      </c>
      <c r="EP14" s="21">
        <f>IF(EP$1&lt;INDEX('Valo FX'!$Q:$Q,MATCH($A14,'Valo FX'!$A:$A,0)),0,IF(EP$1&lt;INDEX('Valo FX'!$R:$R,MATCH($A14,'Valo FX'!$A:$A,0)),INDEX(Base!$U:$U,MATCH($A14,Base!$A:$A,0)),IF(EP$1=INDEX('Valo FX'!$R:$R,MATCH($A14,'Valo FX'!$A:$A,0)),INDEX(Base!$V:$V,MATCH($A14,Base!$A:$A,0)),0)))</f>
        <v>6.5836199999999998</v>
      </c>
      <c r="EQ14" s="21">
        <f>IF(EQ$1&lt;INDEX('Valo FX'!$Q:$Q,MATCH($A14,'Valo FX'!$A:$A,0)),0,IF(EQ$1&lt;INDEX('Valo FX'!$R:$R,MATCH($A14,'Valo FX'!$A:$A,0)),INDEX(Base!$U:$U,MATCH($A14,Base!$A:$A,0)),IF(EQ$1=INDEX('Valo FX'!$R:$R,MATCH($A14,'Valo FX'!$A:$A,0)),INDEX(Base!$V:$V,MATCH($A14,Base!$A:$A,0)),0)))</f>
        <v>6.5836199999999998</v>
      </c>
      <c r="ER14" s="21">
        <f>IF(ER$1&lt;INDEX('Valo FX'!$Q:$Q,MATCH($A14,'Valo FX'!$A:$A,0)),0,IF(ER$1&lt;INDEX('Valo FX'!$R:$R,MATCH($A14,'Valo FX'!$A:$A,0)),INDEX(Base!$U:$U,MATCH($A14,Base!$A:$A,0)),IF(ER$1=INDEX('Valo FX'!$R:$R,MATCH($A14,'Valo FX'!$A:$A,0)),INDEX(Base!$V:$V,MATCH($A14,Base!$A:$A,0)),0)))</f>
        <v>6.5836199999999998</v>
      </c>
      <c r="ES14" s="21">
        <f>IF(ES$1&lt;INDEX('Valo FX'!$Q:$Q,MATCH($A14,'Valo FX'!$A:$A,0)),0,IF(ES$1&lt;INDEX('Valo FX'!$R:$R,MATCH($A14,'Valo FX'!$A:$A,0)),INDEX(Base!$U:$U,MATCH($A14,Base!$A:$A,0)),IF(ES$1=INDEX('Valo FX'!$R:$R,MATCH($A14,'Valo FX'!$A:$A,0)),INDEX(Base!$V:$V,MATCH($A14,Base!$A:$A,0)),0)))</f>
        <v>6.5836199999999998</v>
      </c>
      <c r="ET14" s="21">
        <f>IF(ET$1&lt;INDEX('Valo FX'!$Q:$Q,MATCH($A14,'Valo FX'!$A:$A,0)),0,IF(ET$1&lt;INDEX('Valo FX'!$R:$R,MATCH($A14,'Valo FX'!$A:$A,0)),INDEX(Base!$U:$U,MATCH($A14,Base!$A:$A,0)),IF(ET$1=INDEX('Valo FX'!$R:$R,MATCH($A14,'Valo FX'!$A:$A,0)),INDEX(Base!$V:$V,MATCH($A14,Base!$A:$A,0)),0)))</f>
        <v>6.5836199999999998</v>
      </c>
      <c r="EU14" s="21">
        <f>IF(EU$1&lt;INDEX('Valo FX'!$Q:$Q,MATCH($A14,'Valo FX'!$A:$A,0)),0,IF(EU$1&lt;INDEX('Valo FX'!$R:$R,MATCH($A14,'Valo FX'!$A:$A,0)),INDEX(Base!$U:$U,MATCH($A14,Base!$A:$A,0)),IF(EU$1=INDEX('Valo FX'!$R:$R,MATCH($A14,'Valo FX'!$A:$A,0)),INDEX(Base!$V:$V,MATCH($A14,Base!$A:$A,0)),0)))</f>
        <v>6.5836199999999998</v>
      </c>
      <c r="EV14" s="21">
        <f>IF(EV$1&lt;INDEX('Valo FX'!$Q:$Q,MATCH($A14,'Valo FX'!$A:$A,0)),0,IF(EV$1&lt;INDEX('Valo FX'!$R:$R,MATCH($A14,'Valo FX'!$A:$A,0)),INDEX(Base!$U:$U,MATCH($A14,Base!$A:$A,0)),IF(EV$1=INDEX('Valo FX'!$R:$R,MATCH($A14,'Valo FX'!$A:$A,0)),INDEX(Base!$V:$V,MATCH($A14,Base!$A:$A,0)),0)))</f>
        <v>6.5836199999999998</v>
      </c>
      <c r="EW14" s="21">
        <f>IF(EW$1&lt;INDEX('Valo FX'!$Q:$Q,MATCH($A14,'Valo FX'!$A:$A,0)),0,IF(EW$1&lt;INDEX('Valo FX'!$R:$R,MATCH($A14,'Valo FX'!$A:$A,0)),INDEX(Base!$U:$U,MATCH($A14,Base!$A:$A,0)),IF(EW$1=INDEX('Valo FX'!$R:$R,MATCH($A14,'Valo FX'!$A:$A,0)),INDEX(Base!$V:$V,MATCH($A14,Base!$A:$A,0)),0)))</f>
        <v>6.5836199999999998</v>
      </c>
      <c r="EX14" s="21">
        <f>IF(EX$1&lt;INDEX('Valo FX'!$Q:$Q,MATCH($A14,'Valo FX'!$A:$A,0)),0,IF(EX$1&lt;INDEX('Valo FX'!$R:$R,MATCH($A14,'Valo FX'!$A:$A,0)),INDEX(Base!$U:$U,MATCH($A14,Base!$A:$A,0)),IF(EX$1=INDEX('Valo FX'!$R:$R,MATCH($A14,'Valo FX'!$A:$A,0)),INDEX(Base!$V:$V,MATCH($A14,Base!$A:$A,0)),0)))</f>
        <v>6.5836199999999998</v>
      </c>
      <c r="EY14" s="21">
        <f>IF(EY$1&lt;INDEX('Valo FX'!$Q:$Q,MATCH($A14,'Valo FX'!$A:$A,0)),0,IF(EY$1&lt;INDEX('Valo FX'!$R:$R,MATCH($A14,'Valo FX'!$A:$A,0)),INDEX(Base!$U:$U,MATCH($A14,Base!$A:$A,0)),IF(EY$1=INDEX('Valo FX'!$R:$R,MATCH($A14,'Valo FX'!$A:$A,0)),INDEX(Base!$V:$V,MATCH($A14,Base!$A:$A,0)),0)))</f>
        <v>6.5836199999999998</v>
      </c>
      <c r="EZ14" s="21">
        <f>IF(EZ$1&lt;INDEX('Valo FX'!$Q:$Q,MATCH($A14,'Valo FX'!$A:$A,0)),0,IF(EZ$1&lt;INDEX('Valo FX'!$R:$R,MATCH($A14,'Valo FX'!$A:$A,0)),INDEX(Base!$U:$U,MATCH($A14,Base!$A:$A,0)),IF(EZ$1=INDEX('Valo FX'!$R:$R,MATCH($A14,'Valo FX'!$A:$A,0)),INDEX(Base!$V:$V,MATCH($A14,Base!$A:$A,0)),0)))</f>
        <v>6.5836199999999998</v>
      </c>
      <c r="FA14" s="21">
        <f>IF(FA$1&lt;INDEX('Valo FX'!$Q:$Q,MATCH($A14,'Valo FX'!$A:$A,0)),0,IF(FA$1&lt;INDEX('Valo FX'!$R:$R,MATCH($A14,'Valo FX'!$A:$A,0)),INDEX(Base!$U:$U,MATCH($A14,Base!$A:$A,0)),IF(FA$1=INDEX('Valo FX'!$R:$R,MATCH($A14,'Valo FX'!$A:$A,0)),INDEX(Base!$V:$V,MATCH($A14,Base!$A:$A,0)),0)))</f>
        <v>6.5836199999999998</v>
      </c>
      <c r="FB14" s="21">
        <f>IF(FB$1&lt;INDEX('Valo FX'!$Q:$Q,MATCH($A14,'Valo FX'!$A:$A,0)),0,IF(FB$1&lt;INDEX('Valo FX'!$R:$R,MATCH($A14,'Valo FX'!$A:$A,0)),INDEX(Base!$U:$U,MATCH($A14,Base!$A:$A,0)),IF(FB$1=INDEX('Valo FX'!$R:$R,MATCH($A14,'Valo FX'!$A:$A,0)),INDEX(Base!$V:$V,MATCH($A14,Base!$A:$A,0)),0)))</f>
        <v>6.5836199999999998</v>
      </c>
      <c r="FC14" s="21">
        <f>IF(FC$1&lt;INDEX('Valo FX'!$Q:$Q,MATCH($A14,'Valo FX'!$A:$A,0)),0,IF(FC$1&lt;INDEX('Valo FX'!$R:$R,MATCH($A14,'Valo FX'!$A:$A,0)),INDEX(Base!$U:$U,MATCH($A14,Base!$A:$A,0)),IF(FC$1=INDEX('Valo FX'!$R:$R,MATCH($A14,'Valo FX'!$A:$A,0)),INDEX(Base!$V:$V,MATCH($A14,Base!$A:$A,0)),0)))</f>
        <v>6.5836199999999998</v>
      </c>
      <c r="FD14" s="21">
        <f>IF(FD$1&lt;INDEX('Valo FX'!$Q:$Q,MATCH($A14,'Valo FX'!$A:$A,0)),0,IF(FD$1&lt;INDEX('Valo FX'!$R:$R,MATCH($A14,'Valo FX'!$A:$A,0)),INDEX(Base!$U:$U,MATCH($A14,Base!$A:$A,0)),IF(FD$1=INDEX('Valo FX'!$R:$R,MATCH($A14,'Valo FX'!$A:$A,0)),INDEX(Base!$V:$V,MATCH($A14,Base!$A:$A,0)),0)))</f>
        <v>6.5836199999999998</v>
      </c>
      <c r="FE14" s="21">
        <f>IF(FE$1&lt;INDEX('Valo FX'!$Q:$Q,MATCH($A14,'Valo FX'!$A:$A,0)),0,IF(FE$1&lt;INDEX('Valo FX'!$R:$R,MATCH($A14,'Valo FX'!$A:$A,0)),INDEX(Base!$U:$U,MATCH($A14,Base!$A:$A,0)),IF(FE$1=INDEX('Valo FX'!$R:$R,MATCH($A14,'Valo FX'!$A:$A,0)),INDEX(Base!$V:$V,MATCH($A14,Base!$A:$A,0)),0)))</f>
        <v>6.5836199999999998</v>
      </c>
      <c r="FF14" s="21">
        <f>IF(FF$1&lt;INDEX('Valo FX'!$Q:$Q,MATCH($A14,'Valo FX'!$A:$A,0)),0,IF(FF$1&lt;INDEX('Valo FX'!$R:$R,MATCH($A14,'Valo FX'!$A:$A,0)),INDEX(Base!$U:$U,MATCH($A14,Base!$A:$A,0)),IF(FF$1=INDEX('Valo FX'!$R:$R,MATCH($A14,'Valo FX'!$A:$A,0)),INDEX(Base!$V:$V,MATCH($A14,Base!$A:$A,0)),0)))</f>
        <v>6.5836199999999998</v>
      </c>
      <c r="FG14" s="21">
        <f>IF(FG$1&lt;INDEX('Valo FX'!$Q:$Q,MATCH($A14,'Valo FX'!$A:$A,0)),0,IF(FG$1&lt;INDEX('Valo FX'!$R:$R,MATCH($A14,'Valo FX'!$A:$A,0)),INDEX(Base!$U:$U,MATCH($A14,Base!$A:$A,0)),IF(FG$1=INDEX('Valo FX'!$R:$R,MATCH($A14,'Valo FX'!$A:$A,0)),INDEX(Base!$V:$V,MATCH($A14,Base!$A:$A,0)),0)))</f>
        <v>6.5836199999999998</v>
      </c>
      <c r="FH14" s="21">
        <f>IF(FH$1&lt;INDEX('Valo FX'!$Q:$Q,MATCH($A14,'Valo FX'!$A:$A,0)),0,IF(FH$1&lt;INDEX('Valo FX'!$R:$R,MATCH($A14,'Valo FX'!$A:$A,0)),INDEX(Base!$U:$U,MATCH($A14,Base!$A:$A,0)),IF(FH$1=INDEX('Valo FX'!$R:$R,MATCH($A14,'Valo FX'!$A:$A,0)),INDEX(Base!$V:$V,MATCH($A14,Base!$A:$A,0)),0)))</f>
        <v>6.5836199999999998</v>
      </c>
      <c r="FI14" s="21">
        <f>IF(FI$1&lt;INDEX('Valo FX'!$Q:$Q,MATCH($A14,'Valo FX'!$A:$A,0)),0,IF(FI$1&lt;INDEX('Valo FX'!$R:$R,MATCH($A14,'Valo FX'!$A:$A,0)),INDEX(Base!$U:$U,MATCH($A14,Base!$A:$A,0)),IF(FI$1=INDEX('Valo FX'!$R:$R,MATCH($A14,'Valo FX'!$A:$A,0)),INDEX(Base!$V:$V,MATCH($A14,Base!$A:$A,0)),0)))</f>
        <v>6.5836199999999998</v>
      </c>
      <c r="FJ14" s="21">
        <f>IF(FJ$1&lt;INDEX('Valo FX'!$Q:$Q,MATCH($A14,'Valo FX'!$A:$A,0)),0,IF(FJ$1&lt;INDEX('Valo FX'!$R:$R,MATCH($A14,'Valo FX'!$A:$A,0)),INDEX(Base!$U:$U,MATCH($A14,Base!$A:$A,0)),IF(FJ$1=INDEX('Valo FX'!$R:$R,MATCH($A14,'Valo FX'!$A:$A,0)),INDEX(Base!$V:$V,MATCH($A14,Base!$A:$A,0)),0)))</f>
        <v>6.5836199999999998</v>
      </c>
      <c r="FK14" s="21">
        <f>IF(FK$1&lt;INDEX('Valo FX'!$Q:$Q,MATCH($A14,'Valo FX'!$A:$A,0)),0,IF(FK$1&lt;INDEX('Valo FX'!$R:$R,MATCH($A14,'Valo FX'!$A:$A,0)),INDEX(Base!$U:$U,MATCH($A14,Base!$A:$A,0)),IF(FK$1=INDEX('Valo FX'!$R:$R,MATCH($A14,'Valo FX'!$A:$A,0)),INDEX(Base!$V:$V,MATCH($A14,Base!$A:$A,0)),0)))</f>
        <v>6.5836199999999998</v>
      </c>
      <c r="FL14" s="21">
        <f>IF(FL$1&lt;INDEX('Valo FX'!$Q:$Q,MATCH($A14,'Valo FX'!$A:$A,0)),0,IF(FL$1&lt;INDEX('Valo FX'!$R:$R,MATCH($A14,'Valo FX'!$A:$A,0)),INDEX(Base!$U:$U,MATCH($A14,Base!$A:$A,0)),IF(FL$1=INDEX('Valo FX'!$R:$R,MATCH($A14,'Valo FX'!$A:$A,0)),INDEX(Base!$V:$V,MATCH($A14,Base!$A:$A,0)),0)))</f>
        <v>6.5836199999999998</v>
      </c>
      <c r="FM14" s="21">
        <f>IF(FM$1&lt;INDEX('Valo FX'!$Q:$Q,MATCH($A14,'Valo FX'!$A:$A,0)),0,IF(FM$1&lt;INDEX('Valo FX'!$R:$R,MATCH($A14,'Valo FX'!$A:$A,0)),INDEX(Base!$U:$U,MATCH($A14,Base!$A:$A,0)),IF(FM$1=INDEX('Valo FX'!$R:$R,MATCH($A14,'Valo FX'!$A:$A,0)),INDEX(Base!$V:$V,MATCH($A14,Base!$A:$A,0)),0)))</f>
        <v>6.5836199999999998</v>
      </c>
      <c r="FN14" s="21">
        <f>IF(FN$1&lt;INDEX('Valo FX'!$Q:$Q,MATCH($A14,'Valo FX'!$A:$A,0)),0,IF(FN$1&lt;INDEX('Valo FX'!$R:$R,MATCH($A14,'Valo FX'!$A:$A,0)),INDEX(Base!$U:$U,MATCH($A14,Base!$A:$A,0)),IF(FN$1=INDEX('Valo FX'!$R:$R,MATCH($A14,'Valo FX'!$A:$A,0)),INDEX(Base!$V:$V,MATCH($A14,Base!$A:$A,0)),0)))</f>
        <v>6.5836199999999998</v>
      </c>
      <c r="FO14" s="21">
        <f>IF(FO$1&lt;INDEX('Valo FX'!$Q:$Q,MATCH($A14,'Valo FX'!$A:$A,0)),0,IF(FO$1&lt;INDEX('Valo FX'!$R:$R,MATCH($A14,'Valo FX'!$A:$A,0)),INDEX(Base!$U:$U,MATCH($A14,Base!$A:$A,0)),IF(FO$1=INDEX('Valo FX'!$R:$R,MATCH($A14,'Valo FX'!$A:$A,0)),INDEX(Base!$V:$V,MATCH($A14,Base!$A:$A,0)),0)))</f>
        <v>6.5836199999999998</v>
      </c>
      <c r="FP14" s="21">
        <f>IF(FP$1&lt;INDEX('Valo FX'!$Q:$Q,MATCH($A14,'Valo FX'!$A:$A,0)),0,IF(FP$1&lt;INDEX('Valo FX'!$R:$R,MATCH($A14,'Valo FX'!$A:$A,0)),INDEX(Base!$U:$U,MATCH($A14,Base!$A:$A,0)),IF(FP$1=INDEX('Valo FX'!$R:$R,MATCH($A14,'Valo FX'!$A:$A,0)),INDEX(Base!$V:$V,MATCH($A14,Base!$A:$A,0)),0)))</f>
        <v>6.5836199999999998</v>
      </c>
      <c r="FQ14" s="21">
        <f>IF(FQ$1&lt;INDEX('Valo FX'!$Q:$Q,MATCH($A14,'Valo FX'!$A:$A,0)),0,IF(FQ$1&lt;INDEX('Valo FX'!$R:$R,MATCH($A14,'Valo FX'!$A:$A,0)),INDEX(Base!$U:$U,MATCH($A14,Base!$A:$A,0)),IF(FQ$1=INDEX('Valo FX'!$R:$R,MATCH($A14,'Valo FX'!$A:$A,0)),INDEX(Base!$V:$V,MATCH($A14,Base!$A:$A,0)),0)))</f>
        <v>6.5836199999999998</v>
      </c>
      <c r="FR14" s="21">
        <f>IF(FR$1&lt;INDEX('Valo FX'!$Q:$Q,MATCH($A14,'Valo FX'!$A:$A,0)),0,IF(FR$1&lt;INDEX('Valo FX'!$R:$R,MATCH($A14,'Valo FX'!$A:$A,0)),INDEX(Base!$U:$U,MATCH($A14,Base!$A:$A,0)),IF(FR$1=INDEX('Valo FX'!$R:$R,MATCH($A14,'Valo FX'!$A:$A,0)),INDEX(Base!$V:$V,MATCH($A14,Base!$A:$A,0)),0)))</f>
        <v>6.5836199999999998</v>
      </c>
      <c r="FS14" s="21">
        <f>IF(FS$1&lt;INDEX('Valo FX'!$Q:$Q,MATCH($A14,'Valo FX'!$A:$A,0)),0,IF(FS$1&lt;INDEX('Valo FX'!$R:$R,MATCH($A14,'Valo FX'!$A:$A,0)),INDEX(Base!$U:$U,MATCH($A14,Base!$A:$A,0)),IF(FS$1=INDEX('Valo FX'!$R:$R,MATCH($A14,'Valo FX'!$A:$A,0)),INDEX(Base!$V:$V,MATCH($A14,Base!$A:$A,0)),0)))</f>
        <v>6.5836199999999998</v>
      </c>
      <c r="FT14" s="21">
        <f>IF(FT$1&lt;INDEX('Valo FX'!$Q:$Q,MATCH($A14,'Valo FX'!$A:$A,0)),0,IF(FT$1&lt;INDEX('Valo FX'!$R:$R,MATCH($A14,'Valo FX'!$A:$A,0)),INDEX(Base!$U:$U,MATCH($A14,Base!$A:$A,0)),IF(FT$1=INDEX('Valo FX'!$R:$R,MATCH($A14,'Valo FX'!$A:$A,0)),INDEX(Base!$V:$V,MATCH($A14,Base!$A:$A,0)),0)))</f>
        <v>6.5836199999999998</v>
      </c>
      <c r="FU14" s="21">
        <f>IF(FU$1&lt;INDEX('Valo FX'!$Q:$Q,MATCH($A14,'Valo FX'!$A:$A,0)),0,IF(FU$1&lt;INDEX('Valo FX'!$R:$R,MATCH($A14,'Valo FX'!$A:$A,0)),INDEX(Base!$U:$U,MATCH($A14,Base!$A:$A,0)),IF(FU$1=INDEX('Valo FX'!$R:$R,MATCH($A14,'Valo FX'!$A:$A,0)),INDEX(Base!$V:$V,MATCH($A14,Base!$A:$A,0)),0)))</f>
        <v>6.5836199999999998</v>
      </c>
      <c r="FV14" s="21">
        <f>IF(FV$1&lt;INDEX('Valo FX'!$Q:$Q,MATCH($A14,'Valo FX'!$A:$A,0)),0,IF(FV$1&lt;INDEX('Valo FX'!$R:$R,MATCH($A14,'Valo FX'!$A:$A,0)),INDEX(Base!$U:$U,MATCH($A14,Base!$A:$A,0)),IF(FV$1=INDEX('Valo FX'!$R:$R,MATCH($A14,'Valo FX'!$A:$A,0)),INDEX(Base!$V:$V,MATCH($A14,Base!$A:$A,0)),0)))</f>
        <v>6.5836199999999998</v>
      </c>
      <c r="FW14" s="21">
        <f>IF(FW$1&lt;INDEX('Valo FX'!$Q:$Q,MATCH($A14,'Valo FX'!$A:$A,0)),0,IF(FW$1&lt;INDEX('Valo FX'!$R:$R,MATCH($A14,'Valo FX'!$A:$A,0)),INDEX(Base!$U:$U,MATCH($A14,Base!$A:$A,0)),IF(FW$1=INDEX('Valo FX'!$R:$R,MATCH($A14,'Valo FX'!$A:$A,0)),INDEX(Base!$V:$V,MATCH($A14,Base!$A:$A,0)),0)))</f>
        <v>6.5836199999999998</v>
      </c>
      <c r="FX14" s="21">
        <f>IF(FX$1&lt;INDEX('Valo FX'!$Q:$Q,MATCH($A14,'Valo FX'!$A:$A,0)),0,IF(FX$1&lt;INDEX('Valo FX'!$R:$R,MATCH($A14,'Valo FX'!$A:$A,0)),INDEX(Base!$U:$U,MATCH($A14,Base!$A:$A,0)),IF(FX$1=INDEX('Valo FX'!$R:$R,MATCH($A14,'Valo FX'!$A:$A,0)),INDEX(Base!$V:$V,MATCH($A14,Base!$A:$A,0)),0)))</f>
        <v>6.5836199999999998</v>
      </c>
      <c r="FY14" s="21">
        <f>IF(FY$1&lt;INDEX('Valo FX'!$Q:$Q,MATCH($A14,'Valo FX'!$A:$A,0)),0,IF(FY$1&lt;INDEX('Valo FX'!$R:$R,MATCH($A14,'Valo FX'!$A:$A,0)),INDEX(Base!$U:$U,MATCH($A14,Base!$A:$A,0)),IF(FY$1=INDEX('Valo FX'!$R:$R,MATCH($A14,'Valo FX'!$A:$A,0)),INDEX(Base!$V:$V,MATCH($A14,Base!$A:$A,0)),0)))</f>
        <v>6.5836199999999998</v>
      </c>
      <c r="FZ14" s="21">
        <f>IF(FZ$1&lt;INDEX('Valo FX'!$Q:$Q,MATCH($A14,'Valo FX'!$A:$A,0)),0,IF(FZ$1&lt;INDEX('Valo FX'!$R:$R,MATCH($A14,'Valo FX'!$A:$A,0)),INDEX(Base!$U:$U,MATCH($A14,Base!$A:$A,0)),IF(FZ$1=INDEX('Valo FX'!$R:$R,MATCH($A14,'Valo FX'!$A:$A,0)),INDEX(Base!$V:$V,MATCH($A14,Base!$A:$A,0)),0)))</f>
        <v>6.5836199999999998</v>
      </c>
      <c r="GA14" s="21">
        <f>IF(GA$1&lt;INDEX('Valo FX'!$Q:$Q,MATCH($A14,'Valo FX'!$A:$A,0)),0,IF(GA$1&lt;INDEX('Valo FX'!$R:$R,MATCH($A14,'Valo FX'!$A:$A,0)),INDEX(Base!$U:$U,MATCH($A14,Base!$A:$A,0)),IF(GA$1=INDEX('Valo FX'!$R:$R,MATCH($A14,'Valo FX'!$A:$A,0)),INDEX(Base!$V:$V,MATCH($A14,Base!$A:$A,0)),0)))</f>
        <v>6.5836199999999998</v>
      </c>
      <c r="GB14" s="21">
        <f>IF(GB$1&lt;INDEX('Valo FX'!$Q:$Q,MATCH($A14,'Valo FX'!$A:$A,0)),0,IF(GB$1&lt;INDEX('Valo FX'!$R:$R,MATCH($A14,'Valo FX'!$A:$A,0)),INDEX(Base!$U:$U,MATCH($A14,Base!$A:$A,0)),IF(GB$1=INDEX('Valo FX'!$R:$R,MATCH($A14,'Valo FX'!$A:$A,0)),INDEX(Base!$V:$V,MATCH($A14,Base!$A:$A,0)),0)))</f>
        <v>6.5836199999999998</v>
      </c>
      <c r="GC14" s="21">
        <f>IF(GC$1&lt;INDEX('Valo FX'!$Q:$Q,MATCH($A14,'Valo FX'!$A:$A,0)),0,IF(GC$1&lt;INDEX('Valo FX'!$R:$R,MATCH($A14,'Valo FX'!$A:$A,0)),INDEX(Base!$U:$U,MATCH($A14,Base!$A:$A,0)),IF(GC$1=INDEX('Valo FX'!$R:$R,MATCH($A14,'Valo FX'!$A:$A,0)),INDEX(Base!$V:$V,MATCH($A14,Base!$A:$A,0)),0)))</f>
        <v>6.5836199999999998</v>
      </c>
      <c r="GD14" s="21">
        <f>IF(GD$1&lt;INDEX('Valo FX'!$Q:$Q,MATCH($A14,'Valo FX'!$A:$A,0)),0,IF(GD$1&lt;INDEX('Valo FX'!$R:$R,MATCH($A14,'Valo FX'!$A:$A,0)),INDEX(Base!$U:$U,MATCH($A14,Base!$A:$A,0)),IF(GD$1=INDEX('Valo FX'!$R:$R,MATCH($A14,'Valo FX'!$A:$A,0)),INDEX(Base!$V:$V,MATCH($A14,Base!$A:$A,0)),0)))</f>
        <v>6.5836199999999998</v>
      </c>
      <c r="GE14" s="21">
        <f>IF(GE$1&lt;INDEX('Valo FX'!$Q:$Q,MATCH($A14,'Valo FX'!$A:$A,0)),0,IF(GE$1&lt;INDEX('Valo FX'!$R:$R,MATCH($A14,'Valo FX'!$A:$A,0)),INDEX(Base!$U:$U,MATCH($A14,Base!$A:$A,0)),IF(GE$1=INDEX('Valo FX'!$R:$R,MATCH($A14,'Valo FX'!$A:$A,0)),INDEX(Base!$V:$V,MATCH($A14,Base!$A:$A,0)),0)))</f>
        <v>6.5836199999999998</v>
      </c>
      <c r="GF14" s="21">
        <f>IF(GF$1&lt;INDEX('Valo FX'!$Q:$Q,MATCH($A14,'Valo FX'!$A:$A,0)),0,IF(GF$1&lt;INDEX('Valo FX'!$R:$R,MATCH($A14,'Valo FX'!$A:$A,0)),INDEX(Base!$U:$U,MATCH($A14,Base!$A:$A,0)),IF(GF$1=INDEX('Valo FX'!$R:$R,MATCH($A14,'Valo FX'!$A:$A,0)),INDEX(Base!$V:$V,MATCH($A14,Base!$A:$A,0)),0)))</f>
        <v>6.5836199999999998</v>
      </c>
      <c r="GG14" s="21">
        <f>IF(GG$1&lt;INDEX('Valo FX'!$Q:$Q,MATCH($A14,'Valo FX'!$A:$A,0)),0,IF(GG$1&lt;INDEX('Valo FX'!$R:$R,MATCH($A14,'Valo FX'!$A:$A,0)),INDEX(Base!$U:$U,MATCH($A14,Base!$A:$A,0)),IF(GG$1=INDEX('Valo FX'!$R:$R,MATCH($A14,'Valo FX'!$A:$A,0)),INDEX(Base!$V:$V,MATCH($A14,Base!$A:$A,0)),0)))</f>
        <v>6.5836199999999998</v>
      </c>
      <c r="GH14" s="21">
        <f>IF(GH$1&lt;INDEX('Valo FX'!$Q:$Q,MATCH($A14,'Valo FX'!$A:$A,0)),0,IF(GH$1&lt;INDEX('Valo FX'!$R:$R,MATCH($A14,'Valo FX'!$A:$A,0)),INDEX(Base!$U:$U,MATCH($A14,Base!$A:$A,0)),IF(GH$1=INDEX('Valo FX'!$R:$R,MATCH($A14,'Valo FX'!$A:$A,0)),INDEX(Base!$V:$V,MATCH($A14,Base!$A:$A,0)),0)))</f>
        <v>6.5836199999999998</v>
      </c>
      <c r="GI14" s="21">
        <f>IF(GI$1&lt;INDEX('Valo FX'!$Q:$Q,MATCH($A14,'Valo FX'!$A:$A,0)),0,IF(GI$1&lt;INDEX('Valo FX'!$R:$R,MATCH($A14,'Valo FX'!$A:$A,0)),INDEX(Base!$U:$U,MATCH($A14,Base!$A:$A,0)),IF(GI$1=INDEX('Valo FX'!$R:$R,MATCH($A14,'Valo FX'!$A:$A,0)),INDEX(Base!$V:$V,MATCH($A14,Base!$A:$A,0)),0)))</f>
        <v>6.5836199999999998</v>
      </c>
      <c r="GJ14" s="21">
        <f>IF(GJ$1&lt;INDEX('Valo FX'!$Q:$Q,MATCH($A14,'Valo FX'!$A:$A,0)),0,IF(GJ$1&lt;INDEX('Valo FX'!$R:$R,MATCH($A14,'Valo FX'!$A:$A,0)),INDEX(Base!$U:$U,MATCH($A14,Base!$A:$A,0)),IF(GJ$1=INDEX('Valo FX'!$R:$R,MATCH($A14,'Valo FX'!$A:$A,0)),INDEX(Base!$V:$V,MATCH($A14,Base!$A:$A,0)),0)))</f>
        <v>6.5836199999999998</v>
      </c>
      <c r="GK14" s="21">
        <f>IF(GK$1&lt;INDEX('Valo FX'!$Q:$Q,MATCH($A14,'Valo FX'!$A:$A,0)),0,IF(GK$1&lt;INDEX('Valo FX'!$R:$R,MATCH($A14,'Valo FX'!$A:$A,0)),INDEX(Base!$U:$U,MATCH($A14,Base!$A:$A,0)),IF(GK$1=INDEX('Valo FX'!$R:$R,MATCH($A14,'Valo FX'!$A:$A,0)),INDEX(Base!$V:$V,MATCH($A14,Base!$A:$A,0)),0)))</f>
        <v>6.5836199999999998</v>
      </c>
      <c r="GL14" s="21">
        <f>IF(GL$1&lt;INDEX('Valo FX'!$Q:$Q,MATCH($A14,'Valo FX'!$A:$A,0)),0,IF(GL$1&lt;INDEX('Valo FX'!$R:$R,MATCH($A14,'Valo FX'!$A:$A,0)),INDEX(Base!$U:$U,MATCH($A14,Base!$A:$A,0)),IF(GL$1=INDEX('Valo FX'!$R:$R,MATCH($A14,'Valo FX'!$A:$A,0)),INDEX(Base!$V:$V,MATCH($A14,Base!$A:$A,0)),0)))</f>
        <v>6.5836199999999998</v>
      </c>
      <c r="GM14" s="21">
        <f>IF(GM$1&lt;INDEX('Valo FX'!$Q:$Q,MATCH($A14,'Valo FX'!$A:$A,0)),0,IF(GM$1&lt;INDEX('Valo FX'!$R:$R,MATCH($A14,'Valo FX'!$A:$A,0)),INDEX(Base!$U:$U,MATCH($A14,Base!$A:$A,0)),IF(GM$1=INDEX('Valo FX'!$R:$R,MATCH($A14,'Valo FX'!$A:$A,0)),INDEX(Base!$V:$V,MATCH($A14,Base!$A:$A,0)),0)))</f>
        <v>6.5836199999999998</v>
      </c>
      <c r="GN14" s="21">
        <f>IF(GN$1&lt;INDEX('Valo FX'!$Q:$Q,MATCH($A14,'Valo FX'!$A:$A,0)),0,IF(GN$1&lt;INDEX('Valo FX'!$R:$R,MATCH($A14,'Valo FX'!$A:$A,0)),INDEX(Base!$U:$U,MATCH($A14,Base!$A:$A,0)),IF(GN$1=INDEX('Valo FX'!$R:$R,MATCH($A14,'Valo FX'!$A:$A,0)),INDEX(Base!$V:$V,MATCH($A14,Base!$A:$A,0)),0)))</f>
        <v>6.5836199999999998</v>
      </c>
      <c r="GO14" s="21">
        <f>IF(GO$1&lt;INDEX('Valo FX'!$Q:$Q,MATCH($A14,'Valo FX'!$A:$A,0)),0,IF(GO$1&lt;INDEX('Valo FX'!$R:$R,MATCH($A14,'Valo FX'!$A:$A,0)),INDEX(Base!$U:$U,MATCH($A14,Base!$A:$A,0)),IF(GO$1=INDEX('Valo FX'!$R:$R,MATCH($A14,'Valo FX'!$A:$A,0)),INDEX(Base!$V:$V,MATCH($A14,Base!$A:$A,0)),0)))</f>
        <v>6.5836199999999998</v>
      </c>
      <c r="GP14" s="21">
        <f>IF(GP$1&lt;INDEX('Valo FX'!$Q:$Q,MATCH($A14,'Valo FX'!$A:$A,0)),0,IF(GP$1&lt;INDEX('Valo FX'!$R:$R,MATCH($A14,'Valo FX'!$A:$A,0)),INDEX(Base!$U:$U,MATCH($A14,Base!$A:$A,0)),IF(GP$1=INDEX('Valo FX'!$R:$R,MATCH($A14,'Valo FX'!$A:$A,0)),INDEX(Base!$V:$V,MATCH($A14,Base!$A:$A,0)),0)))</f>
        <v>6.5836199999999998</v>
      </c>
      <c r="GQ14" s="21">
        <f>IF(GQ$1&lt;INDEX('Valo FX'!$Q:$Q,MATCH($A14,'Valo FX'!$A:$A,0)),0,IF(GQ$1&lt;INDEX('Valo FX'!$R:$R,MATCH($A14,'Valo FX'!$A:$A,0)),INDEX(Base!$U:$U,MATCH($A14,Base!$A:$A,0)),IF(GQ$1=INDEX('Valo FX'!$R:$R,MATCH($A14,'Valo FX'!$A:$A,0)),INDEX(Base!$V:$V,MATCH($A14,Base!$A:$A,0)),0)))</f>
        <v>6.5836199999999998</v>
      </c>
      <c r="GR14" s="21">
        <f>IF(GR$1&lt;INDEX('Valo FX'!$Q:$Q,MATCH($A14,'Valo FX'!$A:$A,0)),0,IF(GR$1&lt;INDEX('Valo FX'!$R:$R,MATCH($A14,'Valo FX'!$A:$A,0)),INDEX(Base!$U:$U,MATCH($A14,Base!$A:$A,0)),IF(GR$1=INDEX('Valo FX'!$R:$R,MATCH($A14,'Valo FX'!$A:$A,0)),INDEX(Base!$V:$V,MATCH($A14,Base!$A:$A,0)),0)))</f>
        <v>6.5836199999999998</v>
      </c>
      <c r="GS14" s="21">
        <f>IF(GS$1&lt;INDEX('Valo FX'!$Q:$Q,MATCH($A14,'Valo FX'!$A:$A,0)),0,IF(GS$1&lt;INDEX('Valo FX'!$R:$R,MATCH($A14,'Valo FX'!$A:$A,0)),INDEX(Base!$U:$U,MATCH($A14,Base!$A:$A,0)),IF(GS$1=INDEX('Valo FX'!$R:$R,MATCH($A14,'Valo FX'!$A:$A,0)),INDEX(Base!$V:$V,MATCH($A14,Base!$A:$A,0)),0)))</f>
        <v>6.5836199999999998</v>
      </c>
      <c r="GT14" s="21">
        <f>IF(GT$1&lt;INDEX('Valo FX'!$Q:$Q,MATCH($A14,'Valo FX'!$A:$A,0)),0,IF(GT$1&lt;INDEX('Valo FX'!$R:$R,MATCH($A14,'Valo FX'!$A:$A,0)),INDEX(Base!$U:$U,MATCH($A14,Base!$A:$A,0)),IF(GT$1=INDEX('Valo FX'!$R:$R,MATCH($A14,'Valo FX'!$A:$A,0)),INDEX(Base!$V:$V,MATCH($A14,Base!$A:$A,0)),0)))</f>
        <v>6.5836199999999998</v>
      </c>
      <c r="GU14" s="21">
        <f>IF(GU$1&lt;INDEX('Valo FX'!$Q:$Q,MATCH($A14,'Valo FX'!$A:$A,0)),0,IF(GU$1&lt;INDEX('Valo FX'!$R:$R,MATCH($A14,'Valo FX'!$A:$A,0)),INDEX(Base!$U:$U,MATCH($A14,Base!$A:$A,0)),IF(GU$1=INDEX('Valo FX'!$R:$R,MATCH($A14,'Valo FX'!$A:$A,0)),INDEX(Base!$V:$V,MATCH($A14,Base!$A:$A,0)),0)))</f>
        <v>6.5836199999999998</v>
      </c>
      <c r="GV14" s="21">
        <f>IF(GV$1&lt;INDEX('Valo FX'!$Q:$Q,MATCH($A14,'Valo FX'!$A:$A,0)),0,IF(GV$1&lt;INDEX('Valo FX'!$R:$R,MATCH($A14,'Valo FX'!$A:$A,0)),INDEX(Base!$U:$U,MATCH($A14,Base!$A:$A,0)),IF(GV$1=INDEX('Valo FX'!$R:$R,MATCH($A14,'Valo FX'!$A:$A,0)),INDEX(Base!$V:$V,MATCH($A14,Base!$A:$A,0)),0)))</f>
        <v>6.5836199999999998</v>
      </c>
      <c r="GW14" s="21">
        <f>IF(GW$1&lt;INDEX('Valo FX'!$Q:$Q,MATCH($A14,'Valo FX'!$A:$A,0)),0,IF(GW$1&lt;INDEX('Valo FX'!$R:$R,MATCH($A14,'Valo FX'!$A:$A,0)),INDEX(Base!$U:$U,MATCH($A14,Base!$A:$A,0)),IF(GW$1=INDEX('Valo FX'!$R:$R,MATCH($A14,'Valo FX'!$A:$A,0)),INDEX(Base!$V:$V,MATCH($A14,Base!$A:$A,0)),0)))</f>
        <v>6.5836199999999998</v>
      </c>
      <c r="GX14" s="21">
        <f>IF(GX$1&lt;INDEX('Valo FX'!$Q:$Q,MATCH($A14,'Valo FX'!$A:$A,0)),0,IF(GX$1&lt;INDEX('Valo FX'!$R:$R,MATCH($A14,'Valo FX'!$A:$A,0)),INDEX(Base!$U:$U,MATCH($A14,Base!$A:$A,0)),IF(GX$1=INDEX('Valo FX'!$R:$R,MATCH($A14,'Valo FX'!$A:$A,0)),INDEX(Base!$V:$V,MATCH($A14,Base!$A:$A,0)),0)))</f>
        <v>6.5836199999999998</v>
      </c>
      <c r="GY14" s="21">
        <f>IF(GY$1&lt;INDEX('Valo FX'!$Q:$Q,MATCH($A14,'Valo FX'!$A:$A,0)),0,IF(GY$1&lt;INDEX('Valo FX'!$R:$R,MATCH($A14,'Valo FX'!$A:$A,0)),INDEX(Base!$U:$U,MATCH($A14,Base!$A:$A,0)),IF(GY$1=INDEX('Valo FX'!$R:$R,MATCH($A14,'Valo FX'!$A:$A,0)),INDEX(Base!$V:$V,MATCH($A14,Base!$A:$A,0)),0)))</f>
        <v>6.5836199999999998</v>
      </c>
      <c r="GZ14" s="21">
        <f>IF(GZ$1&lt;INDEX('Valo FX'!$Q:$Q,MATCH($A14,'Valo FX'!$A:$A,0)),0,IF(GZ$1&lt;INDEX('Valo FX'!$R:$R,MATCH($A14,'Valo FX'!$A:$A,0)),INDEX(Base!$U:$U,MATCH($A14,Base!$A:$A,0)),IF(GZ$1=INDEX('Valo FX'!$R:$R,MATCH($A14,'Valo FX'!$A:$A,0)),INDEX(Base!$V:$V,MATCH($A14,Base!$A:$A,0)),0)))</f>
        <v>6.5836199999999998</v>
      </c>
      <c r="HA14" s="21">
        <f>IF(HA$1&lt;INDEX('Valo FX'!$Q:$Q,MATCH($A14,'Valo FX'!$A:$A,0)),0,IF(HA$1&lt;INDEX('Valo FX'!$R:$R,MATCH($A14,'Valo FX'!$A:$A,0)),INDEX(Base!$U:$U,MATCH($A14,Base!$A:$A,0)),IF(HA$1=INDEX('Valo FX'!$R:$R,MATCH($A14,'Valo FX'!$A:$A,0)),INDEX(Base!$V:$V,MATCH($A14,Base!$A:$A,0)),0)))</f>
        <v>6.5836199999999998</v>
      </c>
      <c r="HB14" s="21">
        <f>IF(HB$1&lt;INDEX('Valo FX'!$Q:$Q,MATCH($A14,'Valo FX'!$A:$A,0)),0,IF(HB$1&lt;INDEX('Valo FX'!$R:$R,MATCH($A14,'Valo FX'!$A:$A,0)),INDEX(Base!$U:$U,MATCH($A14,Base!$A:$A,0)),IF(HB$1=INDEX('Valo FX'!$R:$R,MATCH($A14,'Valo FX'!$A:$A,0)),INDEX(Base!$V:$V,MATCH($A14,Base!$A:$A,0)),0)))</f>
        <v>6.5836199999999998</v>
      </c>
      <c r="HC14" s="21">
        <f>IF(HC$1&lt;INDEX('Valo FX'!$Q:$Q,MATCH($A14,'Valo FX'!$A:$A,0)),0,IF(HC$1&lt;INDEX('Valo FX'!$R:$R,MATCH($A14,'Valo FX'!$A:$A,0)),INDEX(Base!$U:$U,MATCH($A14,Base!$A:$A,0)),IF(HC$1=INDEX('Valo FX'!$R:$R,MATCH($A14,'Valo FX'!$A:$A,0)),INDEX(Base!$V:$V,MATCH($A14,Base!$A:$A,0)),0)))</f>
        <v>6.5836199999999998</v>
      </c>
      <c r="HD14" s="21">
        <f>IF(HD$1&lt;INDEX('Valo FX'!$Q:$Q,MATCH($A14,'Valo FX'!$A:$A,0)),0,IF(HD$1&lt;INDEX('Valo FX'!$R:$R,MATCH($A14,'Valo FX'!$A:$A,0)),INDEX(Base!$U:$U,MATCH($A14,Base!$A:$A,0)),IF(HD$1=INDEX('Valo FX'!$R:$R,MATCH($A14,'Valo FX'!$A:$A,0)),INDEX(Base!$V:$V,MATCH($A14,Base!$A:$A,0)),0)))</f>
        <v>6.5836199999999998</v>
      </c>
      <c r="HE14" s="21">
        <f>IF(HE$1&lt;INDEX('Valo FX'!$Q:$Q,MATCH($A14,'Valo FX'!$A:$A,0)),0,IF(HE$1&lt;INDEX('Valo FX'!$R:$R,MATCH($A14,'Valo FX'!$A:$A,0)),INDEX(Base!$U:$U,MATCH($A14,Base!$A:$A,0)),IF(HE$1=INDEX('Valo FX'!$R:$R,MATCH($A14,'Valo FX'!$A:$A,0)),INDEX(Base!$V:$V,MATCH($A14,Base!$A:$A,0)),0)))</f>
        <v>6.5836199999999998</v>
      </c>
      <c r="HF14" s="21">
        <f>IF(HF$1&lt;INDEX('Valo FX'!$Q:$Q,MATCH($A14,'Valo FX'!$A:$A,0)),0,IF(HF$1&lt;INDEX('Valo FX'!$R:$R,MATCH($A14,'Valo FX'!$A:$A,0)),INDEX(Base!$U:$U,MATCH($A14,Base!$A:$A,0)),IF(HF$1=INDEX('Valo FX'!$R:$R,MATCH($A14,'Valo FX'!$A:$A,0)),INDEX(Base!$V:$V,MATCH($A14,Base!$A:$A,0)),0)))</f>
        <v>6.5836199999999998</v>
      </c>
      <c r="HG14" s="21">
        <f>IF(HG$1&lt;INDEX('Valo FX'!$Q:$Q,MATCH($A14,'Valo FX'!$A:$A,0)),0,IF(HG$1&lt;INDEX('Valo FX'!$R:$R,MATCH($A14,'Valo FX'!$A:$A,0)),INDEX(Base!$U:$U,MATCH($A14,Base!$A:$A,0)),IF(HG$1=INDEX('Valo FX'!$R:$R,MATCH($A14,'Valo FX'!$A:$A,0)),INDEX(Base!$V:$V,MATCH($A14,Base!$A:$A,0)),0)))</f>
        <v>6.5836199999999998</v>
      </c>
      <c r="HH14" s="21">
        <f>IF(HH$1&lt;INDEX('Valo FX'!$Q:$Q,MATCH($A14,'Valo FX'!$A:$A,0)),0,IF(HH$1&lt;INDEX('Valo FX'!$R:$R,MATCH($A14,'Valo FX'!$A:$A,0)),INDEX(Base!$U:$U,MATCH($A14,Base!$A:$A,0)),IF(HH$1=INDEX('Valo FX'!$R:$R,MATCH($A14,'Valo FX'!$A:$A,0)),INDEX(Base!$V:$V,MATCH($A14,Base!$A:$A,0)),0)))</f>
        <v>6.5836199999999998</v>
      </c>
      <c r="HI14" s="21">
        <f>IF(HI$1&lt;INDEX('Valo FX'!$Q:$Q,MATCH($A14,'Valo FX'!$A:$A,0)),0,IF(HI$1&lt;INDEX('Valo FX'!$R:$R,MATCH($A14,'Valo FX'!$A:$A,0)),INDEX(Base!$U:$U,MATCH($A14,Base!$A:$A,0)),IF(HI$1=INDEX('Valo FX'!$R:$R,MATCH($A14,'Valo FX'!$A:$A,0)),INDEX(Base!$V:$V,MATCH($A14,Base!$A:$A,0)),0)))</f>
        <v>6.5836199999999998</v>
      </c>
      <c r="HJ14" s="21">
        <f>IF(HJ$1&lt;INDEX('Valo FX'!$Q:$Q,MATCH($A14,'Valo FX'!$A:$A,0)),0,IF(HJ$1&lt;INDEX('Valo FX'!$R:$R,MATCH($A14,'Valo FX'!$A:$A,0)),INDEX(Base!$U:$U,MATCH($A14,Base!$A:$A,0)),IF(HJ$1=INDEX('Valo FX'!$R:$R,MATCH($A14,'Valo FX'!$A:$A,0)),INDEX(Base!$V:$V,MATCH($A14,Base!$A:$A,0)),0)))</f>
        <v>6.5836199999999998</v>
      </c>
      <c r="HK14" s="21">
        <f>IF(HK$1&lt;INDEX('Valo FX'!$Q:$Q,MATCH($A14,'Valo FX'!$A:$A,0)),0,IF(HK$1&lt;INDEX('Valo FX'!$R:$R,MATCH($A14,'Valo FX'!$A:$A,0)),INDEX(Base!$U:$U,MATCH($A14,Base!$A:$A,0)),IF(HK$1=INDEX('Valo FX'!$R:$R,MATCH($A14,'Valo FX'!$A:$A,0)),INDEX(Base!$V:$V,MATCH($A14,Base!$A:$A,0)),0)))</f>
        <v>6.5836199999999998</v>
      </c>
      <c r="HL14" s="21">
        <f>IF(HL$1&lt;INDEX('Valo FX'!$Q:$Q,MATCH($A14,'Valo FX'!$A:$A,0)),0,IF(HL$1&lt;INDEX('Valo FX'!$R:$R,MATCH($A14,'Valo FX'!$A:$A,0)),INDEX(Base!$U:$U,MATCH($A14,Base!$A:$A,0)),IF(HL$1=INDEX('Valo FX'!$R:$R,MATCH($A14,'Valo FX'!$A:$A,0)),INDEX(Base!$V:$V,MATCH($A14,Base!$A:$A,0)),0)))</f>
        <v>6.5836199999999998</v>
      </c>
      <c r="HM14" s="21">
        <f>IF(HM$1&lt;INDEX('Valo FX'!$Q:$Q,MATCH($A14,'Valo FX'!$A:$A,0)),0,IF(HM$1&lt;INDEX('Valo FX'!$R:$R,MATCH($A14,'Valo FX'!$A:$A,0)),INDEX(Base!$U:$U,MATCH($A14,Base!$A:$A,0)),IF(HM$1=INDEX('Valo FX'!$R:$R,MATCH($A14,'Valo FX'!$A:$A,0)),INDEX(Base!$V:$V,MATCH($A14,Base!$A:$A,0)),0)))</f>
        <v>6.5836199999999998</v>
      </c>
      <c r="HN14" s="21">
        <f>IF(HN$1&lt;INDEX('Valo FX'!$Q:$Q,MATCH($A14,'Valo FX'!$A:$A,0)),0,IF(HN$1&lt;INDEX('Valo FX'!$R:$R,MATCH($A14,'Valo FX'!$A:$A,0)),INDEX(Base!$U:$U,MATCH($A14,Base!$A:$A,0)),IF(HN$1=INDEX('Valo FX'!$R:$R,MATCH($A14,'Valo FX'!$A:$A,0)),INDEX(Base!$V:$V,MATCH($A14,Base!$A:$A,0)),0)))</f>
        <v>6.5836199999999998</v>
      </c>
      <c r="HO14" s="21">
        <f>IF(HO$1&lt;INDEX('Valo FX'!$Q:$Q,MATCH($A14,'Valo FX'!$A:$A,0)),0,IF(HO$1&lt;INDEX('Valo FX'!$R:$R,MATCH($A14,'Valo FX'!$A:$A,0)),INDEX(Base!$U:$U,MATCH($A14,Base!$A:$A,0)),IF(HO$1=INDEX('Valo FX'!$R:$R,MATCH($A14,'Valo FX'!$A:$A,0)),INDEX(Base!$V:$V,MATCH($A14,Base!$A:$A,0)),0)))</f>
        <v>6.5836199999999998</v>
      </c>
      <c r="HP14" s="21">
        <f>IF(HP$1&lt;INDEX('Valo FX'!$Q:$Q,MATCH($A14,'Valo FX'!$A:$A,0)),0,IF(HP$1&lt;INDEX('Valo FX'!$R:$R,MATCH($A14,'Valo FX'!$A:$A,0)),INDEX(Base!$U:$U,MATCH($A14,Base!$A:$A,0)),IF(HP$1=INDEX('Valo FX'!$R:$R,MATCH($A14,'Valo FX'!$A:$A,0)),INDEX(Base!$V:$V,MATCH($A14,Base!$A:$A,0)),0)))</f>
        <v>6.5836199999999998</v>
      </c>
      <c r="HQ14" s="21">
        <f>IF(HQ$1&lt;INDEX('Valo FX'!$Q:$Q,MATCH($A14,'Valo FX'!$A:$A,0)),0,IF(HQ$1&lt;INDEX('Valo FX'!$R:$R,MATCH($A14,'Valo FX'!$A:$A,0)),INDEX(Base!$U:$U,MATCH($A14,Base!$A:$A,0)),IF(HQ$1=INDEX('Valo FX'!$R:$R,MATCH($A14,'Valo FX'!$A:$A,0)),INDEX(Base!$V:$V,MATCH($A14,Base!$A:$A,0)),0)))</f>
        <v>6.5836199999999998</v>
      </c>
      <c r="HR14" s="21">
        <f>IF(HR$1&lt;INDEX('Valo FX'!$Q:$Q,MATCH($A14,'Valo FX'!$A:$A,0)),0,IF(HR$1&lt;INDEX('Valo FX'!$R:$R,MATCH($A14,'Valo FX'!$A:$A,0)),INDEX(Base!$U:$U,MATCH($A14,Base!$A:$A,0)),IF(HR$1=INDEX('Valo FX'!$R:$R,MATCH($A14,'Valo FX'!$A:$A,0)),INDEX(Base!$V:$V,MATCH($A14,Base!$A:$A,0)),0)))</f>
        <v>6.5836199999999998</v>
      </c>
      <c r="HS14" s="21">
        <f>IF(HS$1&lt;INDEX('Valo FX'!$Q:$Q,MATCH($A14,'Valo FX'!$A:$A,0)),0,IF(HS$1&lt;INDEX('Valo FX'!$R:$R,MATCH($A14,'Valo FX'!$A:$A,0)),INDEX(Base!$U:$U,MATCH($A14,Base!$A:$A,0)),IF(HS$1=INDEX('Valo FX'!$R:$R,MATCH($A14,'Valo FX'!$A:$A,0)),INDEX(Base!$V:$V,MATCH($A14,Base!$A:$A,0)),0)))</f>
        <v>6.5836199999999998</v>
      </c>
      <c r="HT14" s="21">
        <f>IF(HT$1&lt;INDEX('Valo FX'!$Q:$Q,MATCH($A14,'Valo FX'!$A:$A,0)),0,IF(HT$1&lt;INDEX('Valo FX'!$R:$R,MATCH($A14,'Valo FX'!$A:$A,0)),INDEX(Base!$U:$U,MATCH($A14,Base!$A:$A,0)),IF(HT$1=INDEX('Valo FX'!$R:$R,MATCH($A14,'Valo FX'!$A:$A,0)),INDEX(Base!$V:$V,MATCH($A14,Base!$A:$A,0)),0)))</f>
        <v>6.5836199999999998</v>
      </c>
      <c r="HU14" s="21">
        <f>IF(HU$1&lt;INDEX('Valo FX'!$Q:$Q,MATCH($A14,'Valo FX'!$A:$A,0)),0,IF(HU$1&lt;INDEX('Valo FX'!$R:$R,MATCH($A14,'Valo FX'!$A:$A,0)),INDEX(Base!$U:$U,MATCH($A14,Base!$A:$A,0)),IF(HU$1=INDEX('Valo FX'!$R:$R,MATCH($A14,'Valo FX'!$A:$A,0)),INDEX(Base!$V:$V,MATCH($A14,Base!$A:$A,0)),0)))</f>
        <v>6.5836199999999998</v>
      </c>
      <c r="HV14" s="21">
        <f>IF(HV$1&lt;INDEX('Valo FX'!$Q:$Q,MATCH($A14,'Valo FX'!$A:$A,0)),0,IF(HV$1&lt;INDEX('Valo FX'!$R:$R,MATCH($A14,'Valo FX'!$A:$A,0)),INDEX(Base!$U:$U,MATCH($A14,Base!$A:$A,0)),IF(HV$1=INDEX('Valo FX'!$R:$R,MATCH($A14,'Valo FX'!$A:$A,0)),INDEX(Base!$V:$V,MATCH($A14,Base!$A:$A,0)),0)))</f>
        <v>6.5836199999999998</v>
      </c>
      <c r="HW14" s="21">
        <f>IF(HW$1&lt;INDEX('Valo FX'!$Q:$Q,MATCH($A14,'Valo FX'!$A:$A,0)),0,IF(HW$1&lt;INDEX('Valo FX'!$R:$R,MATCH($A14,'Valo FX'!$A:$A,0)),INDEX(Base!$U:$U,MATCH($A14,Base!$A:$A,0)),IF(HW$1=INDEX('Valo FX'!$R:$R,MATCH($A14,'Valo FX'!$A:$A,0)),INDEX(Base!$V:$V,MATCH($A14,Base!$A:$A,0)),0)))</f>
        <v>6.5836199999999998</v>
      </c>
      <c r="HX14" s="21">
        <f>IF(HX$1&lt;INDEX('Valo FX'!$Q:$Q,MATCH($A14,'Valo FX'!$A:$A,0)),0,IF(HX$1&lt;INDEX('Valo FX'!$R:$R,MATCH($A14,'Valo FX'!$A:$A,0)),INDEX(Base!$U:$U,MATCH($A14,Base!$A:$A,0)),IF(HX$1=INDEX('Valo FX'!$R:$R,MATCH($A14,'Valo FX'!$A:$A,0)),INDEX(Base!$V:$V,MATCH($A14,Base!$A:$A,0)),0)))</f>
        <v>6.5836199999999998</v>
      </c>
      <c r="HY14" s="21">
        <f>IF(HY$1&lt;INDEX('Valo FX'!$Q:$Q,MATCH($A14,'Valo FX'!$A:$A,0)),0,IF(HY$1&lt;INDEX('Valo FX'!$R:$R,MATCH($A14,'Valo FX'!$A:$A,0)),INDEX(Base!$U:$U,MATCH($A14,Base!$A:$A,0)),IF(HY$1=INDEX('Valo FX'!$R:$R,MATCH($A14,'Valo FX'!$A:$A,0)),INDEX(Base!$V:$V,MATCH($A14,Base!$A:$A,0)),0)))</f>
        <v>6.5836199999999998</v>
      </c>
      <c r="HZ14" s="21">
        <f>IF(HZ$1&lt;INDEX('Valo FX'!$Q:$Q,MATCH($A14,'Valo FX'!$A:$A,0)),0,IF(HZ$1&lt;INDEX('Valo FX'!$R:$R,MATCH($A14,'Valo FX'!$A:$A,0)),INDEX(Base!$U:$U,MATCH($A14,Base!$A:$A,0)),IF(HZ$1=INDEX('Valo FX'!$R:$R,MATCH($A14,'Valo FX'!$A:$A,0)),INDEX(Base!$V:$V,MATCH($A14,Base!$A:$A,0)),0)))</f>
        <v>6.5836199999999998</v>
      </c>
      <c r="IA14" s="21">
        <f>IF(IA$1&lt;INDEX('Valo FX'!$Q:$Q,MATCH($A14,'Valo FX'!$A:$A,0)),0,IF(IA$1&lt;INDEX('Valo FX'!$R:$R,MATCH($A14,'Valo FX'!$A:$A,0)),INDEX(Base!$U:$U,MATCH($A14,Base!$A:$A,0)),IF(IA$1=INDEX('Valo FX'!$R:$R,MATCH($A14,'Valo FX'!$A:$A,0)),INDEX(Base!$V:$V,MATCH($A14,Base!$A:$A,0)),0)))</f>
        <v>6.5836199999999998</v>
      </c>
      <c r="IB14" s="21">
        <f>IF(IB$1&lt;INDEX('Valo FX'!$Q:$Q,MATCH($A14,'Valo FX'!$A:$A,0)),0,IF(IB$1&lt;INDEX('Valo FX'!$R:$R,MATCH($A14,'Valo FX'!$A:$A,0)),INDEX(Base!$U:$U,MATCH($A14,Base!$A:$A,0)),IF(IB$1=INDEX('Valo FX'!$R:$R,MATCH($A14,'Valo FX'!$A:$A,0)),INDEX(Base!$V:$V,MATCH($A14,Base!$A:$A,0)),0)))</f>
        <v>6.5836199999999998</v>
      </c>
      <c r="IC14" s="21">
        <f>IF(IC$1&lt;INDEX('Valo FX'!$Q:$Q,MATCH($A14,'Valo FX'!$A:$A,0)),0,IF(IC$1&lt;INDEX('Valo FX'!$R:$R,MATCH($A14,'Valo FX'!$A:$A,0)),INDEX(Base!$U:$U,MATCH($A14,Base!$A:$A,0)),IF(IC$1=INDEX('Valo FX'!$R:$R,MATCH($A14,'Valo FX'!$A:$A,0)),INDEX(Base!$V:$V,MATCH($A14,Base!$A:$A,0)),0)))</f>
        <v>6.5836199999999998</v>
      </c>
      <c r="ID14" s="21">
        <f>IF(ID$1&lt;INDEX('Valo FX'!$Q:$Q,MATCH($A14,'Valo FX'!$A:$A,0)),0,IF(ID$1&lt;INDEX('Valo FX'!$R:$R,MATCH($A14,'Valo FX'!$A:$A,0)),INDEX(Base!$U:$U,MATCH($A14,Base!$A:$A,0)),IF(ID$1=INDEX('Valo FX'!$R:$R,MATCH($A14,'Valo FX'!$A:$A,0)),INDEX(Base!$V:$V,MATCH($A14,Base!$A:$A,0)),0)))</f>
        <v>6.5836199999999998</v>
      </c>
      <c r="IE14" s="21">
        <f>IF(IE$1&lt;INDEX('Valo FX'!$Q:$Q,MATCH($A14,'Valo FX'!$A:$A,0)),0,IF(IE$1&lt;INDEX('Valo FX'!$R:$R,MATCH($A14,'Valo FX'!$A:$A,0)),INDEX(Base!$U:$U,MATCH($A14,Base!$A:$A,0)),IF(IE$1=INDEX('Valo FX'!$R:$R,MATCH($A14,'Valo FX'!$A:$A,0)),INDEX(Base!$V:$V,MATCH($A14,Base!$A:$A,0)),0)))</f>
        <v>6.5836199999999998</v>
      </c>
      <c r="IF14" s="21">
        <f>IF(IF$1&lt;INDEX('Valo FX'!$Q:$Q,MATCH($A14,'Valo FX'!$A:$A,0)),0,IF(IF$1&lt;INDEX('Valo FX'!$R:$R,MATCH($A14,'Valo FX'!$A:$A,0)),INDEX(Base!$U:$U,MATCH($A14,Base!$A:$A,0)),IF(IF$1=INDEX('Valo FX'!$R:$R,MATCH($A14,'Valo FX'!$A:$A,0)),INDEX(Base!$V:$V,MATCH($A14,Base!$A:$A,0)),0)))</f>
        <v>6.5836199999999998</v>
      </c>
      <c r="IG14" s="21">
        <f>IF(IG$1&lt;INDEX('Valo FX'!$Q:$Q,MATCH($A14,'Valo FX'!$A:$A,0)),0,IF(IG$1&lt;INDEX('Valo FX'!$R:$R,MATCH($A14,'Valo FX'!$A:$A,0)),INDEX(Base!$U:$U,MATCH($A14,Base!$A:$A,0)),IF(IG$1=INDEX('Valo FX'!$R:$R,MATCH($A14,'Valo FX'!$A:$A,0)),INDEX(Base!$V:$V,MATCH($A14,Base!$A:$A,0)),0)))</f>
        <v>6.5836199999999998</v>
      </c>
      <c r="IH14" s="21">
        <f>IF(IH$1&lt;INDEX('Valo FX'!$Q:$Q,MATCH($A14,'Valo FX'!$A:$A,0)),0,IF(IH$1&lt;INDEX('Valo FX'!$R:$R,MATCH($A14,'Valo FX'!$A:$A,0)),INDEX(Base!$U:$U,MATCH($A14,Base!$A:$A,0)),IF(IH$1=INDEX('Valo FX'!$R:$R,MATCH($A14,'Valo FX'!$A:$A,0)),INDEX(Base!$V:$V,MATCH($A14,Base!$A:$A,0)),0)))</f>
        <v>6.5836199999999998</v>
      </c>
      <c r="II14" s="21">
        <f>IF(II$1&lt;INDEX('Valo FX'!$Q:$Q,MATCH($A14,'Valo FX'!$A:$A,0)),0,IF(II$1&lt;INDEX('Valo FX'!$R:$R,MATCH($A14,'Valo FX'!$A:$A,0)),INDEX(Base!$U:$U,MATCH($A14,Base!$A:$A,0)),IF(II$1=INDEX('Valo FX'!$R:$R,MATCH($A14,'Valo FX'!$A:$A,0)),INDEX(Base!$V:$V,MATCH($A14,Base!$A:$A,0)),0)))</f>
        <v>6.5836199999999998</v>
      </c>
      <c r="IJ14" s="21">
        <f>IF(IJ$1&lt;INDEX('Valo FX'!$Q:$Q,MATCH($A14,'Valo FX'!$A:$A,0)),0,IF(IJ$1&lt;INDEX('Valo FX'!$R:$R,MATCH($A14,'Valo FX'!$A:$A,0)),INDEX(Base!$U:$U,MATCH($A14,Base!$A:$A,0)),IF(IJ$1=INDEX('Valo FX'!$R:$R,MATCH($A14,'Valo FX'!$A:$A,0)),INDEX(Base!$V:$V,MATCH($A14,Base!$A:$A,0)),0)))</f>
        <v>6.5836199999999998</v>
      </c>
      <c r="IK14" s="21">
        <f>IF(IK$1&lt;INDEX('Valo FX'!$Q:$Q,MATCH($A14,'Valo FX'!$A:$A,0)),0,IF(IK$1&lt;INDEX('Valo FX'!$R:$R,MATCH($A14,'Valo FX'!$A:$A,0)),INDEX(Base!$U:$U,MATCH($A14,Base!$A:$A,0)),IF(IK$1=INDEX('Valo FX'!$R:$R,MATCH($A14,'Valo FX'!$A:$A,0)),INDEX(Base!$V:$V,MATCH($A14,Base!$A:$A,0)),0)))</f>
        <v>6.5836199999999998</v>
      </c>
      <c r="IL14" s="21">
        <f>IF(IL$1&lt;INDEX('Valo FX'!$Q:$Q,MATCH($A14,'Valo FX'!$A:$A,0)),0,IF(IL$1&lt;INDEX('Valo FX'!$R:$R,MATCH($A14,'Valo FX'!$A:$A,0)),INDEX(Base!$U:$U,MATCH($A14,Base!$A:$A,0)),IF(IL$1=INDEX('Valo FX'!$R:$R,MATCH($A14,'Valo FX'!$A:$A,0)),INDEX(Base!$V:$V,MATCH($A14,Base!$A:$A,0)),0)))</f>
        <v>6.5836199999999998</v>
      </c>
      <c r="IM14" s="21">
        <f>IF(IM$1&lt;INDEX('Valo FX'!$Q:$Q,MATCH($A14,'Valo FX'!$A:$A,0)),0,IF(IM$1&lt;INDEX('Valo FX'!$R:$R,MATCH($A14,'Valo FX'!$A:$A,0)),INDEX(Base!$U:$U,MATCH($A14,Base!$A:$A,0)),IF(IM$1=INDEX('Valo FX'!$R:$R,MATCH($A14,'Valo FX'!$A:$A,0)),INDEX(Base!$V:$V,MATCH($A14,Base!$A:$A,0)),0)))</f>
        <v>6.5836199999999998</v>
      </c>
      <c r="IN14" s="21">
        <f>IF(IN$1&lt;INDEX('Valo FX'!$Q:$Q,MATCH($A14,'Valo FX'!$A:$A,0)),0,IF(IN$1&lt;INDEX('Valo FX'!$R:$R,MATCH($A14,'Valo FX'!$A:$A,0)),INDEX(Base!$U:$U,MATCH($A14,Base!$A:$A,0)),IF(IN$1=INDEX('Valo FX'!$R:$R,MATCH($A14,'Valo FX'!$A:$A,0)),INDEX(Base!$V:$V,MATCH($A14,Base!$A:$A,0)),0)))</f>
        <v>6.5836199999999998</v>
      </c>
      <c r="IO14" s="21">
        <f>IF(IO$1&lt;INDEX('Valo FX'!$Q:$Q,MATCH($A14,'Valo FX'!$A:$A,0)),0,IF(IO$1&lt;INDEX('Valo FX'!$R:$R,MATCH($A14,'Valo FX'!$A:$A,0)),INDEX(Base!$U:$U,MATCH($A14,Base!$A:$A,0)),IF(IO$1=INDEX('Valo FX'!$R:$R,MATCH($A14,'Valo FX'!$A:$A,0)),INDEX(Base!$V:$V,MATCH($A14,Base!$A:$A,0)),0)))</f>
        <v>6.5836199999999998</v>
      </c>
      <c r="IP14" s="21">
        <f>IF(IP$1&lt;INDEX('Valo FX'!$Q:$Q,MATCH($A14,'Valo FX'!$A:$A,0)),0,IF(IP$1&lt;INDEX('Valo FX'!$R:$R,MATCH($A14,'Valo FX'!$A:$A,0)),INDEX(Base!$U:$U,MATCH($A14,Base!$A:$A,0)),IF(IP$1=INDEX('Valo FX'!$R:$R,MATCH($A14,'Valo FX'!$A:$A,0)),INDEX(Base!$V:$V,MATCH($A14,Base!$A:$A,0)),0)))</f>
        <v>6.5836199999999998</v>
      </c>
      <c r="IQ14" s="21">
        <f>IF(IQ$1&lt;INDEX('Valo FX'!$Q:$Q,MATCH($A14,'Valo FX'!$A:$A,0)),0,IF(IQ$1&lt;INDEX('Valo FX'!$R:$R,MATCH($A14,'Valo FX'!$A:$A,0)),INDEX(Base!$U:$U,MATCH($A14,Base!$A:$A,0)),IF(IQ$1=INDEX('Valo FX'!$R:$R,MATCH($A14,'Valo FX'!$A:$A,0)),INDEX(Base!$V:$V,MATCH($A14,Base!$A:$A,0)),0)))</f>
        <v>6.5836199999999998</v>
      </c>
      <c r="IR14" s="21">
        <f>IF(IR$1&lt;INDEX('Valo FX'!$Q:$Q,MATCH($A14,'Valo FX'!$A:$A,0)),0,IF(IR$1&lt;INDEX('Valo FX'!$R:$R,MATCH($A14,'Valo FX'!$A:$A,0)),INDEX(Base!$U:$U,MATCH($A14,Base!$A:$A,0)),IF(IR$1=INDEX('Valo FX'!$R:$R,MATCH($A14,'Valo FX'!$A:$A,0)),INDEX(Base!$V:$V,MATCH($A14,Base!$A:$A,0)),0)))</f>
        <v>6.5836199999999998</v>
      </c>
      <c r="IS14" s="21">
        <f>IF(IS$1&lt;INDEX('Valo FX'!$Q:$Q,MATCH($A14,'Valo FX'!$A:$A,0)),0,IF(IS$1&lt;INDEX('Valo FX'!$R:$R,MATCH($A14,'Valo FX'!$A:$A,0)),INDEX(Base!$U:$U,MATCH($A14,Base!$A:$A,0)),IF(IS$1=INDEX('Valo FX'!$R:$R,MATCH($A14,'Valo FX'!$A:$A,0)),INDEX(Base!$V:$V,MATCH($A14,Base!$A:$A,0)),0)))</f>
        <v>6.5836199999999998</v>
      </c>
      <c r="IT14" s="21">
        <f>IF(IT$1&lt;INDEX('Valo FX'!$Q:$Q,MATCH($A14,'Valo FX'!$A:$A,0)),0,IF(IT$1&lt;INDEX('Valo FX'!$R:$R,MATCH($A14,'Valo FX'!$A:$A,0)),INDEX(Base!$U:$U,MATCH($A14,Base!$A:$A,0)),IF(IT$1=INDEX('Valo FX'!$R:$R,MATCH($A14,'Valo FX'!$A:$A,0)),INDEX(Base!$V:$V,MATCH($A14,Base!$A:$A,0)),0)))</f>
        <v>6.5836199999999998</v>
      </c>
      <c r="IU14" s="21">
        <f>IF(IU$1&lt;INDEX('Valo FX'!$Q:$Q,MATCH($A14,'Valo FX'!$A:$A,0)),0,IF(IU$1&lt;INDEX('Valo FX'!$R:$R,MATCH($A14,'Valo FX'!$A:$A,0)),INDEX(Base!$U:$U,MATCH($A14,Base!$A:$A,0)),IF(IU$1=INDEX('Valo FX'!$R:$R,MATCH($A14,'Valo FX'!$A:$A,0)),INDEX(Base!$V:$V,MATCH($A14,Base!$A:$A,0)),0)))</f>
        <v>6.5836199999999998</v>
      </c>
      <c r="IV14" s="21">
        <f>IF(IV$1&lt;INDEX('Valo FX'!$Q:$Q,MATCH($A14,'Valo FX'!$A:$A,0)),0,IF(IV$1&lt;INDEX('Valo FX'!$R:$R,MATCH($A14,'Valo FX'!$A:$A,0)),INDEX(Base!$U:$U,MATCH($A14,Base!$A:$A,0)),IF(IV$1=INDEX('Valo FX'!$R:$R,MATCH($A14,'Valo FX'!$A:$A,0)),INDEX(Base!$V:$V,MATCH($A14,Base!$A:$A,0)),0)))</f>
        <v>6.5836199999999998</v>
      </c>
      <c r="IW14" s="21">
        <f>IF(IW$1&lt;INDEX('Valo FX'!$Q:$Q,MATCH($A14,'Valo FX'!$A:$A,0)),0,IF(IW$1&lt;INDEX('Valo FX'!$R:$R,MATCH($A14,'Valo FX'!$A:$A,0)),INDEX(Base!$U:$U,MATCH($A14,Base!$A:$A,0)),IF(IW$1=INDEX('Valo FX'!$R:$R,MATCH($A14,'Valo FX'!$A:$A,0)),INDEX(Base!$V:$V,MATCH($A14,Base!$A:$A,0)),0)))</f>
        <v>6.5836199999999998</v>
      </c>
      <c r="IX14" s="21">
        <f>IF(IX$1&lt;INDEX('Valo FX'!$Q:$Q,MATCH($A14,'Valo FX'!$A:$A,0)),0,IF(IX$1&lt;INDEX('Valo FX'!$R:$R,MATCH($A14,'Valo FX'!$A:$A,0)),INDEX(Base!$U:$U,MATCH($A14,Base!$A:$A,0)),IF(IX$1=INDEX('Valo FX'!$R:$R,MATCH($A14,'Valo FX'!$A:$A,0)),INDEX(Base!$V:$V,MATCH($A14,Base!$A:$A,0)),0)))</f>
        <v>6.5836199999999998</v>
      </c>
      <c r="IY14" s="21">
        <f>IF(IY$1&lt;INDEX('Valo FX'!$Q:$Q,MATCH($A14,'Valo FX'!$A:$A,0)),0,IF(IY$1&lt;INDEX('Valo FX'!$R:$R,MATCH($A14,'Valo FX'!$A:$A,0)),INDEX(Base!$U:$U,MATCH($A14,Base!$A:$A,0)),IF(IY$1=INDEX('Valo FX'!$R:$R,MATCH($A14,'Valo FX'!$A:$A,0)),INDEX(Base!$V:$V,MATCH($A14,Base!$A:$A,0)),0)))</f>
        <v>6.5836199999999998</v>
      </c>
      <c r="IZ14" s="21">
        <f>IF(IZ$1&lt;INDEX('Valo FX'!$Q:$Q,MATCH($A14,'Valo FX'!$A:$A,0)),0,IF(IZ$1&lt;INDEX('Valo FX'!$R:$R,MATCH($A14,'Valo FX'!$A:$A,0)),INDEX(Base!$U:$U,MATCH($A14,Base!$A:$A,0)),IF(IZ$1=INDEX('Valo FX'!$R:$R,MATCH($A14,'Valo FX'!$A:$A,0)),INDEX(Base!$V:$V,MATCH($A14,Base!$A:$A,0)),0)))</f>
        <v>6.5836199999999998</v>
      </c>
      <c r="JA14" s="21">
        <f>IF(JA$1&lt;INDEX('Valo FX'!$Q:$Q,MATCH($A14,'Valo FX'!$A:$A,0)),0,IF(JA$1&lt;INDEX('Valo FX'!$R:$R,MATCH($A14,'Valo FX'!$A:$A,0)),INDEX(Base!$U:$U,MATCH($A14,Base!$A:$A,0)),IF(JA$1=INDEX('Valo FX'!$R:$R,MATCH($A14,'Valo FX'!$A:$A,0)),INDEX(Base!$V:$V,MATCH($A14,Base!$A:$A,0)),0)))</f>
        <v>6.5836199999999998</v>
      </c>
      <c r="JB14" s="21">
        <f>IF(JB$1&lt;INDEX('Valo FX'!$Q:$Q,MATCH($A14,'Valo FX'!$A:$A,0)),0,IF(JB$1&lt;INDEX('Valo FX'!$R:$R,MATCH($A14,'Valo FX'!$A:$A,0)),INDEX(Base!$U:$U,MATCH($A14,Base!$A:$A,0)),IF(JB$1=INDEX('Valo FX'!$R:$R,MATCH($A14,'Valo FX'!$A:$A,0)),INDEX(Base!$V:$V,MATCH($A14,Base!$A:$A,0)),0)))</f>
        <v>6.5836199999999998</v>
      </c>
      <c r="JC14" s="21">
        <f>IF(JC$1&lt;INDEX('Valo FX'!$Q:$Q,MATCH($A14,'Valo FX'!$A:$A,0)),0,IF(JC$1&lt;INDEX('Valo FX'!$R:$R,MATCH($A14,'Valo FX'!$A:$A,0)),INDEX(Base!$U:$U,MATCH($A14,Base!$A:$A,0)),IF(JC$1=INDEX('Valo FX'!$R:$R,MATCH($A14,'Valo FX'!$A:$A,0)),INDEX(Base!$V:$V,MATCH($A14,Base!$A:$A,0)),0)))</f>
        <v>6.5836199999999998</v>
      </c>
      <c r="JD14" s="21">
        <f>IF(JD$1&lt;INDEX('Valo FX'!$Q:$Q,MATCH($A14,'Valo FX'!$A:$A,0)),0,IF(JD$1&lt;INDEX('Valo FX'!$R:$R,MATCH($A14,'Valo FX'!$A:$A,0)),INDEX(Base!$U:$U,MATCH($A14,Base!$A:$A,0)),IF(JD$1=INDEX('Valo FX'!$R:$R,MATCH($A14,'Valo FX'!$A:$A,0)),INDEX(Base!$V:$V,MATCH($A14,Base!$A:$A,0)),0)))</f>
        <v>6.5836199999999998</v>
      </c>
      <c r="JE14" s="21">
        <f>IF(JE$1&lt;INDEX('Valo FX'!$Q:$Q,MATCH($A14,'Valo FX'!$A:$A,0)),0,IF(JE$1&lt;INDEX('Valo FX'!$R:$R,MATCH($A14,'Valo FX'!$A:$A,0)),INDEX(Base!$U:$U,MATCH($A14,Base!$A:$A,0)),IF(JE$1=INDEX('Valo FX'!$R:$R,MATCH($A14,'Valo FX'!$A:$A,0)),INDEX(Base!$V:$V,MATCH($A14,Base!$A:$A,0)),0)))</f>
        <v>6.5836199999999998</v>
      </c>
      <c r="JF14" s="21">
        <f>IF(JF$1&lt;INDEX('Valo FX'!$Q:$Q,MATCH($A14,'Valo FX'!$A:$A,0)),0,IF(JF$1&lt;INDEX('Valo FX'!$R:$R,MATCH($A14,'Valo FX'!$A:$A,0)),INDEX(Base!$U:$U,MATCH($A14,Base!$A:$A,0)),IF(JF$1=INDEX('Valo FX'!$R:$R,MATCH($A14,'Valo FX'!$A:$A,0)),INDEX(Base!$V:$V,MATCH($A14,Base!$A:$A,0)),0)))</f>
        <v>6.5836199999999998</v>
      </c>
      <c r="JG14" s="21">
        <f>IF(JG$1&lt;INDEX('Valo FX'!$Q:$Q,MATCH($A14,'Valo FX'!$A:$A,0)),0,IF(JG$1&lt;INDEX('Valo FX'!$R:$R,MATCH($A14,'Valo FX'!$A:$A,0)),INDEX(Base!$U:$U,MATCH($A14,Base!$A:$A,0)),IF(JG$1=INDEX('Valo FX'!$R:$R,MATCH($A14,'Valo FX'!$A:$A,0)),INDEX(Base!$V:$V,MATCH($A14,Base!$A:$A,0)),0)))</f>
        <v>6.5836199999999998</v>
      </c>
      <c r="JH14" s="21">
        <f>IF(JH$1&lt;INDEX('Valo FX'!$Q:$Q,MATCH($A14,'Valo FX'!$A:$A,0)),0,IF(JH$1&lt;INDEX('Valo FX'!$R:$R,MATCH($A14,'Valo FX'!$A:$A,0)),INDEX(Base!$U:$U,MATCH($A14,Base!$A:$A,0)),IF(JH$1=INDEX('Valo FX'!$R:$R,MATCH($A14,'Valo FX'!$A:$A,0)),INDEX(Base!$V:$V,MATCH($A14,Base!$A:$A,0)),0)))</f>
        <v>6.5836199999999998</v>
      </c>
      <c r="JI14" s="21">
        <f>IF(JI$1&lt;INDEX('Valo FX'!$Q:$Q,MATCH($A14,'Valo FX'!$A:$A,0)),0,IF(JI$1&lt;INDEX('Valo FX'!$R:$R,MATCH($A14,'Valo FX'!$A:$A,0)),INDEX(Base!$U:$U,MATCH($A14,Base!$A:$A,0)),IF(JI$1=INDEX('Valo FX'!$R:$R,MATCH($A14,'Valo FX'!$A:$A,0)),INDEX(Base!$V:$V,MATCH($A14,Base!$A:$A,0)),0)))</f>
        <v>6.5836199999999998</v>
      </c>
      <c r="JJ14" s="21">
        <f>IF(JJ$1&lt;INDEX('Valo FX'!$Q:$Q,MATCH($A14,'Valo FX'!$A:$A,0)),0,IF(JJ$1&lt;INDEX('Valo FX'!$R:$R,MATCH($A14,'Valo FX'!$A:$A,0)),INDEX(Base!$U:$U,MATCH($A14,Base!$A:$A,0)),IF(JJ$1=INDEX('Valo FX'!$R:$R,MATCH($A14,'Valo FX'!$A:$A,0)),INDEX(Base!$V:$V,MATCH($A14,Base!$A:$A,0)),0)))</f>
        <v>6.5836199999999998</v>
      </c>
      <c r="JK14" s="21">
        <f>IF(JK$1&lt;INDEX('Valo FX'!$Q:$Q,MATCH($A14,'Valo FX'!$A:$A,0)),0,IF(JK$1&lt;INDEX('Valo FX'!$R:$R,MATCH($A14,'Valo FX'!$A:$A,0)),INDEX(Base!$U:$U,MATCH($A14,Base!$A:$A,0)),IF(JK$1=INDEX('Valo FX'!$R:$R,MATCH($A14,'Valo FX'!$A:$A,0)),INDEX(Base!$V:$V,MATCH($A14,Base!$A:$A,0)),0)))</f>
        <v>6.5836199999999998</v>
      </c>
      <c r="JL14" s="21">
        <f>IF(JL$1&lt;INDEX('Valo FX'!$Q:$Q,MATCH($A14,'Valo FX'!$A:$A,0)),0,IF(JL$1&lt;INDEX('Valo FX'!$R:$R,MATCH($A14,'Valo FX'!$A:$A,0)),INDEX(Base!$U:$U,MATCH($A14,Base!$A:$A,0)),IF(JL$1=INDEX('Valo FX'!$R:$R,MATCH($A14,'Valo FX'!$A:$A,0)),INDEX(Base!$V:$V,MATCH($A14,Base!$A:$A,0)),0)))</f>
        <v>6.5836199999999998</v>
      </c>
      <c r="JM14" s="21">
        <f>IF(JM$1&lt;INDEX('Valo FX'!$Q:$Q,MATCH($A14,'Valo FX'!$A:$A,0)),0,IF(JM$1&lt;INDEX('Valo FX'!$R:$R,MATCH($A14,'Valo FX'!$A:$A,0)),INDEX(Base!$U:$U,MATCH($A14,Base!$A:$A,0)),IF(JM$1=INDEX('Valo FX'!$R:$R,MATCH($A14,'Valo FX'!$A:$A,0)),INDEX(Base!$V:$V,MATCH($A14,Base!$A:$A,0)),0)))</f>
        <v>6.5836199999999998</v>
      </c>
      <c r="JN14" s="21">
        <f>IF(JN$1&lt;INDEX('Valo FX'!$Q:$Q,MATCH($A14,'Valo FX'!$A:$A,0)),0,IF(JN$1&lt;INDEX('Valo FX'!$R:$R,MATCH($A14,'Valo FX'!$A:$A,0)),INDEX(Base!$U:$U,MATCH($A14,Base!$A:$A,0)),IF(JN$1=INDEX('Valo FX'!$R:$R,MATCH($A14,'Valo FX'!$A:$A,0)),INDEX(Base!$V:$V,MATCH($A14,Base!$A:$A,0)),0)))</f>
        <v>6.5836199999999998</v>
      </c>
      <c r="JO14" s="21">
        <f>IF(JO$1&lt;INDEX('Valo FX'!$Q:$Q,MATCH($A14,'Valo FX'!$A:$A,0)),0,IF(JO$1&lt;INDEX('Valo FX'!$R:$R,MATCH($A14,'Valo FX'!$A:$A,0)),INDEX(Base!$U:$U,MATCH($A14,Base!$A:$A,0)),IF(JO$1=INDEX('Valo FX'!$R:$R,MATCH($A14,'Valo FX'!$A:$A,0)),INDEX(Base!$V:$V,MATCH($A14,Base!$A:$A,0)),0)))</f>
        <v>6.5836199999999998</v>
      </c>
      <c r="JP14" s="21">
        <f>IF(JP$1&lt;INDEX('Valo FX'!$Q:$Q,MATCH($A14,'Valo FX'!$A:$A,0)),0,IF(JP$1&lt;INDEX('Valo FX'!$R:$R,MATCH($A14,'Valo FX'!$A:$A,0)),INDEX(Base!$U:$U,MATCH($A14,Base!$A:$A,0)),IF(JP$1=INDEX('Valo FX'!$R:$R,MATCH($A14,'Valo FX'!$A:$A,0)),INDEX(Base!$V:$V,MATCH($A14,Base!$A:$A,0)),0)))</f>
        <v>6.5836199999999998</v>
      </c>
      <c r="JQ14" s="21">
        <f>IF(JQ$1&lt;INDEX('Valo FX'!$Q:$Q,MATCH($A14,'Valo FX'!$A:$A,0)),0,IF(JQ$1&lt;INDEX('Valo FX'!$R:$R,MATCH($A14,'Valo FX'!$A:$A,0)),INDEX(Base!$U:$U,MATCH($A14,Base!$A:$A,0)),IF(JQ$1=INDEX('Valo FX'!$R:$R,MATCH($A14,'Valo FX'!$A:$A,0)),INDEX(Base!$V:$V,MATCH($A14,Base!$A:$A,0)),0)))</f>
        <v>6.5836199999999998</v>
      </c>
      <c r="JR14" s="21">
        <f>IF(JR$1&lt;INDEX('Valo FX'!$Q:$Q,MATCH($A14,'Valo FX'!$A:$A,0)),0,IF(JR$1&lt;INDEX('Valo FX'!$R:$R,MATCH($A14,'Valo FX'!$A:$A,0)),INDEX(Base!$U:$U,MATCH($A14,Base!$A:$A,0)),IF(JR$1=INDEX('Valo FX'!$R:$R,MATCH($A14,'Valo FX'!$A:$A,0)),INDEX(Base!$V:$V,MATCH($A14,Base!$A:$A,0)),0)))</f>
        <v>6.5836199999999998</v>
      </c>
      <c r="JS14" s="21">
        <f>IF(JS$1&lt;INDEX('Valo FX'!$Q:$Q,MATCH($A14,'Valo FX'!$A:$A,0)),0,IF(JS$1&lt;INDEX('Valo FX'!$R:$R,MATCH($A14,'Valo FX'!$A:$A,0)),INDEX(Base!$U:$U,MATCH($A14,Base!$A:$A,0)),IF(JS$1=INDEX('Valo FX'!$R:$R,MATCH($A14,'Valo FX'!$A:$A,0)),INDEX(Base!$V:$V,MATCH($A14,Base!$A:$A,0)),0)))</f>
        <v>6.5836199999999998</v>
      </c>
      <c r="JT14" s="21">
        <f>IF(JT$1&lt;INDEX('Valo FX'!$Q:$Q,MATCH($A14,'Valo FX'!$A:$A,0)),0,IF(JT$1&lt;INDEX('Valo FX'!$R:$R,MATCH($A14,'Valo FX'!$A:$A,0)),INDEX(Base!$U:$U,MATCH($A14,Base!$A:$A,0)),IF(JT$1=INDEX('Valo FX'!$R:$R,MATCH($A14,'Valo FX'!$A:$A,0)),INDEX(Base!$V:$V,MATCH($A14,Base!$A:$A,0)),0)))</f>
        <v>6.5836199999999998</v>
      </c>
      <c r="JU14" s="21">
        <f>IF(JU$1&lt;INDEX('Valo FX'!$Q:$Q,MATCH($A14,'Valo FX'!$A:$A,0)),0,IF(JU$1&lt;INDEX('Valo FX'!$R:$R,MATCH($A14,'Valo FX'!$A:$A,0)),INDEX(Base!$U:$U,MATCH($A14,Base!$A:$A,0)),IF(JU$1=INDEX('Valo FX'!$R:$R,MATCH($A14,'Valo FX'!$A:$A,0)),INDEX(Base!$V:$V,MATCH($A14,Base!$A:$A,0)),0)))</f>
        <v>6.5836199999999998</v>
      </c>
      <c r="JV14" s="21">
        <f>IF(JV$1&lt;INDEX('Valo FX'!$Q:$Q,MATCH($A14,'Valo FX'!$A:$A,0)),0,IF(JV$1&lt;INDEX('Valo FX'!$R:$R,MATCH($A14,'Valo FX'!$A:$A,0)),INDEX(Base!$U:$U,MATCH($A14,Base!$A:$A,0)),IF(JV$1=INDEX('Valo FX'!$R:$R,MATCH($A14,'Valo FX'!$A:$A,0)),INDEX(Base!$V:$V,MATCH($A14,Base!$A:$A,0)),0)))</f>
        <v>6.5836199999999998</v>
      </c>
      <c r="JW14" s="21">
        <f>IF(JW$1&lt;INDEX('Valo FX'!$Q:$Q,MATCH($A14,'Valo FX'!$A:$A,0)),0,IF(JW$1&lt;INDEX('Valo FX'!$R:$R,MATCH($A14,'Valo FX'!$A:$A,0)),INDEX(Base!$U:$U,MATCH($A14,Base!$A:$A,0)),IF(JW$1=INDEX('Valo FX'!$R:$R,MATCH($A14,'Valo FX'!$A:$A,0)),INDEX(Base!$V:$V,MATCH($A14,Base!$A:$A,0)),0)))</f>
        <v>6.5836199999999998</v>
      </c>
      <c r="JX14" s="21">
        <f>IF(JX$1&lt;INDEX('Valo FX'!$Q:$Q,MATCH($A14,'Valo FX'!$A:$A,0)),0,IF(JX$1&lt;INDEX('Valo FX'!$R:$R,MATCH($A14,'Valo FX'!$A:$A,0)),INDEX(Base!$U:$U,MATCH($A14,Base!$A:$A,0)),IF(JX$1=INDEX('Valo FX'!$R:$R,MATCH($A14,'Valo FX'!$A:$A,0)),INDEX(Base!$V:$V,MATCH($A14,Base!$A:$A,0)),0)))</f>
        <v>6.5836199999999998</v>
      </c>
      <c r="JY14" s="21">
        <f>IF(JY$1&lt;INDEX('Valo FX'!$Q:$Q,MATCH($A14,'Valo FX'!$A:$A,0)),0,IF(JY$1&lt;INDEX('Valo FX'!$R:$R,MATCH($A14,'Valo FX'!$A:$A,0)),INDEX(Base!$U:$U,MATCH($A14,Base!$A:$A,0)),IF(JY$1=INDEX('Valo FX'!$R:$R,MATCH($A14,'Valo FX'!$A:$A,0)),INDEX(Base!$V:$V,MATCH($A14,Base!$A:$A,0)),0)))</f>
        <v>6.5836199999999998</v>
      </c>
      <c r="JZ14" s="21">
        <f>IF(JZ$1&lt;INDEX('Valo FX'!$Q:$Q,MATCH($A14,'Valo FX'!$A:$A,0)),0,IF(JZ$1&lt;INDEX('Valo FX'!$R:$R,MATCH($A14,'Valo FX'!$A:$A,0)),INDEX(Base!$U:$U,MATCH($A14,Base!$A:$A,0)),IF(JZ$1=INDEX('Valo FX'!$R:$R,MATCH($A14,'Valo FX'!$A:$A,0)),INDEX(Base!$V:$V,MATCH($A14,Base!$A:$A,0)),0)))</f>
        <v>6.5836199999999998</v>
      </c>
      <c r="KA14" s="21">
        <f>IF(KA$1&lt;INDEX('Valo FX'!$Q:$Q,MATCH($A14,'Valo FX'!$A:$A,0)),0,IF(KA$1&lt;INDEX('Valo FX'!$R:$R,MATCH($A14,'Valo FX'!$A:$A,0)),INDEX(Base!$U:$U,MATCH($A14,Base!$A:$A,0)),IF(KA$1=INDEX('Valo FX'!$R:$R,MATCH($A14,'Valo FX'!$A:$A,0)),INDEX(Base!$V:$V,MATCH($A14,Base!$A:$A,0)),0)))</f>
        <v>6.5836199999999998</v>
      </c>
      <c r="KB14" s="21">
        <f>IF(KB$1&lt;INDEX('Valo FX'!$Q:$Q,MATCH($A14,'Valo FX'!$A:$A,0)),0,IF(KB$1&lt;INDEX('Valo FX'!$R:$R,MATCH($A14,'Valo FX'!$A:$A,0)),INDEX(Base!$U:$U,MATCH($A14,Base!$A:$A,0)),IF(KB$1=INDEX('Valo FX'!$R:$R,MATCH($A14,'Valo FX'!$A:$A,0)),INDEX(Base!$V:$V,MATCH($A14,Base!$A:$A,0)),0)))</f>
        <v>6.5836199999999998</v>
      </c>
      <c r="KC14" s="21">
        <f>IF(KC$1&lt;INDEX('Valo FX'!$Q:$Q,MATCH($A14,'Valo FX'!$A:$A,0)),0,IF(KC$1&lt;INDEX('Valo FX'!$R:$R,MATCH($A14,'Valo FX'!$A:$A,0)),INDEX(Base!$U:$U,MATCH($A14,Base!$A:$A,0)),IF(KC$1=INDEX('Valo FX'!$R:$R,MATCH($A14,'Valo FX'!$A:$A,0)),INDEX(Base!$V:$V,MATCH($A14,Base!$A:$A,0)),0)))</f>
        <v>6.5836199999999998</v>
      </c>
      <c r="KD14" s="21">
        <f>IF(KD$1&lt;INDEX('Valo FX'!$Q:$Q,MATCH($A14,'Valo FX'!$A:$A,0)),0,IF(KD$1&lt;INDEX('Valo FX'!$R:$R,MATCH($A14,'Valo FX'!$A:$A,0)),INDEX(Base!$U:$U,MATCH($A14,Base!$A:$A,0)),IF(KD$1=INDEX('Valo FX'!$R:$R,MATCH($A14,'Valo FX'!$A:$A,0)),INDEX(Base!$V:$V,MATCH($A14,Base!$A:$A,0)),0)))</f>
        <v>6.5836199999999998</v>
      </c>
      <c r="KE14" s="21">
        <f>IF(KE$1&lt;INDEX('Valo FX'!$Q:$Q,MATCH($A14,'Valo FX'!$A:$A,0)),0,IF(KE$1&lt;INDEX('Valo FX'!$R:$R,MATCH($A14,'Valo FX'!$A:$A,0)),INDEX(Base!$U:$U,MATCH($A14,Base!$A:$A,0)),IF(KE$1=INDEX('Valo FX'!$R:$R,MATCH($A14,'Valo FX'!$A:$A,0)),INDEX(Base!$V:$V,MATCH($A14,Base!$A:$A,0)),0)))</f>
        <v>6.5836199999999998</v>
      </c>
      <c r="KF14" s="21">
        <f>IF(KF$1&lt;INDEX('Valo FX'!$Q:$Q,MATCH($A14,'Valo FX'!$A:$A,0)),0,IF(KF$1&lt;INDEX('Valo FX'!$R:$R,MATCH($A14,'Valo FX'!$A:$A,0)),INDEX(Base!$U:$U,MATCH($A14,Base!$A:$A,0)),IF(KF$1=INDEX('Valo FX'!$R:$R,MATCH($A14,'Valo FX'!$A:$A,0)),INDEX(Base!$V:$V,MATCH($A14,Base!$A:$A,0)),0)))</f>
        <v>6.5836199999999998</v>
      </c>
      <c r="KG14" s="21">
        <f>IF(KG$1&lt;INDEX('Valo FX'!$Q:$Q,MATCH($A14,'Valo FX'!$A:$A,0)),0,IF(KG$1&lt;INDEX('Valo FX'!$R:$R,MATCH($A14,'Valo FX'!$A:$A,0)),INDEX(Base!$U:$U,MATCH($A14,Base!$A:$A,0)),IF(KG$1=INDEX('Valo FX'!$R:$R,MATCH($A14,'Valo FX'!$A:$A,0)),INDEX(Base!$V:$V,MATCH($A14,Base!$A:$A,0)),0)))</f>
        <v>6.5836199999999998</v>
      </c>
      <c r="KH14" s="21">
        <f>IF(KH$1&lt;INDEX('Valo FX'!$Q:$Q,MATCH($A14,'Valo FX'!$A:$A,0)),0,IF(KH$1&lt;INDEX('Valo FX'!$R:$R,MATCH($A14,'Valo FX'!$A:$A,0)),INDEX(Base!$U:$U,MATCH($A14,Base!$A:$A,0)),IF(KH$1=INDEX('Valo FX'!$R:$R,MATCH($A14,'Valo FX'!$A:$A,0)),INDEX(Base!$V:$V,MATCH($A14,Base!$A:$A,0)),0)))</f>
        <v>6.5836199999999998</v>
      </c>
      <c r="KI14" s="21">
        <f>IF(KI$1&lt;INDEX('Valo FX'!$Q:$Q,MATCH($A14,'Valo FX'!$A:$A,0)),0,IF(KI$1&lt;INDEX('Valo FX'!$R:$R,MATCH($A14,'Valo FX'!$A:$A,0)),INDEX(Base!$U:$U,MATCH($A14,Base!$A:$A,0)),IF(KI$1=INDEX('Valo FX'!$R:$R,MATCH($A14,'Valo FX'!$A:$A,0)),INDEX(Base!$V:$V,MATCH($A14,Base!$A:$A,0)),0)))</f>
        <v>6.5836199999999998</v>
      </c>
      <c r="KJ14" s="21">
        <f>IF(KJ$1&lt;INDEX('Valo FX'!$Q:$Q,MATCH($A14,'Valo FX'!$A:$A,0)),0,IF(KJ$1&lt;INDEX('Valo FX'!$R:$R,MATCH($A14,'Valo FX'!$A:$A,0)),INDEX(Base!$U:$U,MATCH($A14,Base!$A:$A,0)),IF(KJ$1=INDEX('Valo FX'!$R:$R,MATCH($A14,'Valo FX'!$A:$A,0)),INDEX(Base!$V:$V,MATCH($A14,Base!$A:$A,0)),0)))</f>
        <v>6.5836199999999998</v>
      </c>
      <c r="KK14" s="21">
        <f>IF(KK$1&lt;INDEX('Valo FX'!$Q:$Q,MATCH($A14,'Valo FX'!$A:$A,0)),0,IF(KK$1&lt;INDEX('Valo FX'!$R:$R,MATCH($A14,'Valo FX'!$A:$A,0)),INDEX(Base!$U:$U,MATCH($A14,Base!$A:$A,0)),IF(KK$1=INDEX('Valo FX'!$R:$R,MATCH($A14,'Valo FX'!$A:$A,0)),INDEX(Base!$V:$V,MATCH($A14,Base!$A:$A,0)),0)))</f>
        <v>6.5836199999999998</v>
      </c>
      <c r="KL14" s="21">
        <f>IF(KL$1&lt;INDEX('Valo FX'!$Q:$Q,MATCH($A14,'Valo FX'!$A:$A,0)),0,IF(KL$1&lt;INDEX('Valo FX'!$R:$R,MATCH($A14,'Valo FX'!$A:$A,0)),INDEX(Base!$U:$U,MATCH($A14,Base!$A:$A,0)),IF(KL$1=INDEX('Valo FX'!$R:$R,MATCH($A14,'Valo FX'!$A:$A,0)),INDEX(Base!$V:$V,MATCH($A14,Base!$A:$A,0)),0)))</f>
        <v>6.5836199999999998</v>
      </c>
      <c r="KM14" s="21">
        <f>IF(KM$1&lt;INDEX('Valo FX'!$Q:$Q,MATCH($A14,'Valo FX'!$A:$A,0)),0,IF(KM$1&lt;INDEX('Valo FX'!$R:$R,MATCH($A14,'Valo FX'!$A:$A,0)),INDEX(Base!$U:$U,MATCH($A14,Base!$A:$A,0)),IF(KM$1=INDEX('Valo FX'!$R:$R,MATCH($A14,'Valo FX'!$A:$A,0)),INDEX(Base!$V:$V,MATCH($A14,Base!$A:$A,0)),0)))</f>
        <v>6.5836199999999998</v>
      </c>
      <c r="KN14" s="21">
        <f>IF(KN$1&lt;INDEX('Valo FX'!$Q:$Q,MATCH($A14,'Valo FX'!$A:$A,0)),0,IF(KN$1&lt;INDEX('Valo FX'!$R:$R,MATCH($A14,'Valo FX'!$A:$A,0)),INDEX(Base!$U:$U,MATCH($A14,Base!$A:$A,0)),IF(KN$1=INDEX('Valo FX'!$R:$R,MATCH($A14,'Valo FX'!$A:$A,0)),INDEX(Base!$V:$V,MATCH($A14,Base!$A:$A,0)),0)))</f>
        <v>6.5836199999999998</v>
      </c>
      <c r="KO14" s="21">
        <f>IF(KO$1&lt;INDEX('Valo FX'!$Q:$Q,MATCH($A14,'Valo FX'!$A:$A,0)),0,IF(KO$1&lt;INDEX('Valo FX'!$R:$R,MATCH($A14,'Valo FX'!$A:$A,0)),INDEX(Base!$U:$U,MATCH($A14,Base!$A:$A,0)),IF(KO$1=INDEX('Valo FX'!$R:$R,MATCH($A14,'Valo FX'!$A:$A,0)),INDEX(Base!$V:$V,MATCH($A14,Base!$A:$A,0)),0)))</f>
        <v>6.5836199999999998</v>
      </c>
      <c r="KP14" s="21">
        <f>IF(KP$1&lt;INDEX('Valo FX'!$Q:$Q,MATCH($A14,'Valo FX'!$A:$A,0)),0,IF(KP$1&lt;INDEX('Valo FX'!$R:$R,MATCH($A14,'Valo FX'!$A:$A,0)),INDEX(Base!$U:$U,MATCH($A14,Base!$A:$A,0)),IF(KP$1=INDEX('Valo FX'!$R:$R,MATCH($A14,'Valo FX'!$A:$A,0)),INDEX(Base!$V:$V,MATCH($A14,Base!$A:$A,0)),0)))</f>
        <v>6.5836199999999998</v>
      </c>
      <c r="KQ14" s="21">
        <f>IF(KQ$1&lt;INDEX('Valo FX'!$Q:$Q,MATCH($A14,'Valo FX'!$A:$A,0)),0,IF(KQ$1&lt;INDEX('Valo FX'!$R:$R,MATCH($A14,'Valo FX'!$A:$A,0)),INDEX(Base!$U:$U,MATCH($A14,Base!$A:$A,0)),IF(KQ$1=INDEX('Valo FX'!$R:$R,MATCH($A14,'Valo FX'!$A:$A,0)),INDEX(Base!$V:$V,MATCH($A14,Base!$A:$A,0)),0)))</f>
        <v>6.5836199999999998</v>
      </c>
      <c r="KR14" s="21">
        <f>IF(KR$1&lt;INDEX('Valo FX'!$Q:$Q,MATCH($A14,'Valo FX'!$A:$A,0)),0,IF(KR$1&lt;INDEX('Valo FX'!$R:$R,MATCH($A14,'Valo FX'!$A:$A,0)),INDEX(Base!$U:$U,MATCH($A14,Base!$A:$A,0)),IF(KR$1=INDEX('Valo FX'!$R:$R,MATCH($A14,'Valo FX'!$A:$A,0)),INDEX(Base!$V:$V,MATCH($A14,Base!$A:$A,0)),0)))</f>
        <v>6.5836199999999998</v>
      </c>
      <c r="KS14" s="21">
        <f>IF(KS$1&lt;INDEX('Valo FX'!$Q:$Q,MATCH($A14,'Valo FX'!$A:$A,0)),0,IF(KS$1&lt;INDEX('Valo FX'!$R:$R,MATCH($A14,'Valo FX'!$A:$A,0)),INDEX(Base!$U:$U,MATCH($A14,Base!$A:$A,0)),IF(KS$1=INDEX('Valo FX'!$R:$R,MATCH($A14,'Valo FX'!$A:$A,0)),INDEX(Base!$V:$V,MATCH($A14,Base!$A:$A,0)),0)))</f>
        <v>6.5836199999999998</v>
      </c>
      <c r="KT14" s="21">
        <f>IF(KT$1&lt;INDEX('Valo FX'!$Q:$Q,MATCH($A14,'Valo FX'!$A:$A,0)),0,IF(KT$1&lt;INDEX('Valo FX'!$R:$R,MATCH($A14,'Valo FX'!$A:$A,0)),INDEX(Base!$U:$U,MATCH($A14,Base!$A:$A,0)),IF(KT$1=INDEX('Valo FX'!$R:$R,MATCH($A14,'Valo FX'!$A:$A,0)),INDEX(Base!$V:$V,MATCH($A14,Base!$A:$A,0)),0)))</f>
        <v>6.5836199999999998</v>
      </c>
      <c r="KU14" s="21">
        <f>IF(KU$1&lt;INDEX('Valo FX'!$Q:$Q,MATCH($A14,'Valo FX'!$A:$A,0)),0,IF(KU$1&lt;INDEX('Valo FX'!$R:$R,MATCH($A14,'Valo FX'!$A:$A,0)),INDEX(Base!$U:$U,MATCH($A14,Base!$A:$A,0)),IF(KU$1=INDEX('Valo FX'!$R:$R,MATCH($A14,'Valo FX'!$A:$A,0)),INDEX(Base!$V:$V,MATCH($A14,Base!$A:$A,0)),0)))</f>
        <v>6.5836199999999998</v>
      </c>
      <c r="KV14" s="21">
        <f>IF(KV$1&lt;INDEX('Valo FX'!$Q:$Q,MATCH($A14,'Valo FX'!$A:$A,0)),0,IF(KV$1&lt;INDEX('Valo FX'!$R:$R,MATCH($A14,'Valo FX'!$A:$A,0)),INDEX(Base!$U:$U,MATCH($A14,Base!$A:$A,0)),IF(KV$1=INDEX('Valo FX'!$R:$R,MATCH($A14,'Valo FX'!$A:$A,0)),INDEX(Base!$V:$V,MATCH($A14,Base!$A:$A,0)),0)))</f>
        <v>6.5836199999999998</v>
      </c>
      <c r="KW14" s="21">
        <f>IF(KW$1&lt;INDEX('Valo FX'!$Q:$Q,MATCH($A14,'Valo FX'!$A:$A,0)),0,IF(KW$1&lt;INDEX('Valo FX'!$R:$R,MATCH($A14,'Valo FX'!$A:$A,0)),INDEX(Base!$U:$U,MATCH($A14,Base!$A:$A,0)),IF(KW$1=INDEX('Valo FX'!$R:$R,MATCH($A14,'Valo FX'!$A:$A,0)),INDEX(Base!$V:$V,MATCH($A14,Base!$A:$A,0)),0)))</f>
        <v>6.5836199999999998</v>
      </c>
      <c r="KX14" s="21">
        <f>IF(KX$1&lt;INDEX('Valo FX'!$Q:$Q,MATCH($A14,'Valo FX'!$A:$A,0)),0,IF(KX$1&lt;INDEX('Valo FX'!$R:$R,MATCH($A14,'Valo FX'!$A:$A,0)),INDEX(Base!$U:$U,MATCH($A14,Base!$A:$A,0)),IF(KX$1=INDEX('Valo FX'!$R:$R,MATCH($A14,'Valo FX'!$A:$A,0)),INDEX(Base!$V:$V,MATCH($A14,Base!$A:$A,0)),0)))</f>
        <v>6.5836199999999998</v>
      </c>
      <c r="KY14" s="21">
        <f>IF(KY$1&lt;INDEX('Valo FX'!$Q:$Q,MATCH($A14,'Valo FX'!$A:$A,0)),0,IF(KY$1&lt;INDEX('Valo FX'!$R:$R,MATCH($A14,'Valo FX'!$A:$A,0)),INDEX(Base!$U:$U,MATCH($A14,Base!$A:$A,0)),IF(KY$1=INDEX('Valo FX'!$R:$R,MATCH($A14,'Valo FX'!$A:$A,0)),INDEX(Base!$V:$V,MATCH($A14,Base!$A:$A,0)),0)))</f>
        <v>6.5836199999999998</v>
      </c>
      <c r="KZ14" s="21">
        <f>IF(KZ$1&lt;INDEX('Valo FX'!$Q:$Q,MATCH($A14,'Valo FX'!$A:$A,0)),0,IF(KZ$1&lt;INDEX('Valo FX'!$R:$R,MATCH($A14,'Valo FX'!$A:$A,0)),INDEX(Base!$U:$U,MATCH($A14,Base!$A:$A,0)),IF(KZ$1=INDEX('Valo FX'!$R:$R,MATCH($A14,'Valo FX'!$A:$A,0)),INDEX(Base!$V:$V,MATCH($A14,Base!$A:$A,0)),0)))</f>
        <v>6.5836199999999998</v>
      </c>
      <c r="LA14" s="21">
        <f>IF(LA$1&lt;INDEX('Valo FX'!$Q:$Q,MATCH($A14,'Valo FX'!$A:$A,0)),0,IF(LA$1&lt;INDEX('Valo FX'!$R:$R,MATCH($A14,'Valo FX'!$A:$A,0)),INDEX(Base!$U:$U,MATCH($A14,Base!$A:$A,0)),IF(LA$1=INDEX('Valo FX'!$R:$R,MATCH($A14,'Valo FX'!$A:$A,0)),INDEX(Base!$V:$V,MATCH($A14,Base!$A:$A,0)),0)))</f>
        <v>6.5836199999999998</v>
      </c>
      <c r="LB14" s="21">
        <f>IF(LB$1&lt;INDEX('Valo FX'!$Q:$Q,MATCH($A14,'Valo FX'!$A:$A,0)),0,IF(LB$1&lt;INDEX('Valo FX'!$R:$R,MATCH($A14,'Valo FX'!$A:$A,0)),INDEX(Base!$U:$U,MATCH($A14,Base!$A:$A,0)),IF(LB$1=INDEX('Valo FX'!$R:$R,MATCH($A14,'Valo FX'!$A:$A,0)),INDEX(Base!$V:$V,MATCH($A14,Base!$A:$A,0)),0)))</f>
        <v>6.5836199999999998</v>
      </c>
      <c r="LC14" s="21">
        <f>IF(LC$1&lt;INDEX('Valo FX'!$Q:$Q,MATCH($A14,'Valo FX'!$A:$A,0)),0,IF(LC$1&lt;INDEX('Valo FX'!$R:$R,MATCH($A14,'Valo FX'!$A:$A,0)),INDEX(Base!$U:$U,MATCH($A14,Base!$A:$A,0)),IF(LC$1=INDEX('Valo FX'!$R:$R,MATCH($A14,'Valo FX'!$A:$A,0)),INDEX(Base!$V:$V,MATCH($A14,Base!$A:$A,0)),0)))</f>
        <v>6.5836199999999998</v>
      </c>
      <c r="LD14" s="21">
        <f>IF(LD$1&lt;INDEX('Valo FX'!$Q:$Q,MATCH($A14,'Valo FX'!$A:$A,0)),0,IF(LD$1&lt;INDEX('Valo FX'!$R:$R,MATCH($A14,'Valo FX'!$A:$A,0)),INDEX(Base!$U:$U,MATCH($A14,Base!$A:$A,0)),IF(LD$1=INDEX('Valo FX'!$R:$R,MATCH($A14,'Valo FX'!$A:$A,0)),INDEX(Base!$V:$V,MATCH($A14,Base!$A:$A,0)),0)))</f>
        <v>6.5836199999999998</v>
      </c>
      <c r="LE14" s="21">
        <f>IF(LE$1&lt;INDEX('Valo FX'!$Q:$Q,MATCH($A14,'Valo FX'!$A:$A,0)),0,IF(LE$1&lt;INDEX('Valo FX'!$R:$R,MATCH($A14,'Valo FX'!$A:$A,0)),INDEX(Base!$U:$U,MATCH($A14,Base!$A:$A,0)),IF(LE$1=INDEX('Valo FX'!$R:$R,MATCH($A14,'Valo FX'!$A:$A,0)),INDEX(Base!$V:$V,MATCH($A14,Base!$A:$A,0)),0)))</f>
        <v>6.5836199999999998</v>
      </c>
      <c r="LF14" s="21">
        <f>IF(LF$1&lt;INDEX('Valo FX'!$Q:$Q,MATCH($A14,'Valo FX'!$A:$A,0)),0,IF(LF$1&lt;INDEX('Valo FX'!$R:$R,MATCH($A14,'Valo FX'!$A:$A,0)),INDEX(Base!$U:$U,MATCH($A14,Base!$A:$A,0)),IF(LF$1=INDEX('Valo FX'!$R:$R,MATCH($A14,'Valo FX'!$A:$A,0)),INDEX(Base!$V:$V,MATCH($A14,Base!$A:$A,0)),0)))</f>
        <v>6.5836199999999998</v>
      </c>
      <c r="LG14" s="21">
        <f>IF(LG$1&lt;INDEX('Valo FX'!$Q:$Q,MATCH($A14,'Valo FX'!$A:$A,0)),0,IF(LG$1&lt;INDEX('Valo FX'!$R:$R,MATCH($A14,'Valo FX'!$A:$A,0)),INDEX(Base!$U:$U,MATCH($A14,Base!$A:$A,0)),IF(LG$1=INDEX('Valo FX'!$R:$R,MATCH($A14,'Valo FX'!$A:$A,0)),INDEX(Base!$V:$V,MATCH($A14,Base!$A:$A,0)),0)))</f>
        <v>6.5836199999999998</v>
      </c>
      <c r="LH14" s="21">
        <f>IF(LH$1&lt;INDEX('Valo FX'!$Q:$Q,MATCH($A14,'Valo FX'!$A:$A,0)),0,IF(LH$1&lt;INDEX('Valo FX'!$R:$R,MATCH($A14,'Valo FX'!$A:$A,0)),INDEX(Base!$U:$U,MATCH($A14,Base!$A:$A,0)),IF(LH$1=INDEX('Valo FX'!$R:$R,MATCH($A14,'Valo FX'!$A:$A,0)),INDEX(Base!$V:$V,MATCH($A14,Base!$A:$A,0)),0)))</f>
        <v>6.5836199999999998</v>
      </c>
      <c r="LI14" s="21">
        <f>IF(LI$1&lt;INDEX('Valo FX'!$Q:$Q,MATCH($A14,'Valo FX'!$A:$A,0)),0,IF(LI$1&lt;INDEX('Valo FX'!$R:$R,MATCH($A14,'Valo FX'!$A:$A,0)),INDEX(Base!$U:$U,MATCH($A14,Base!$A:$A,0)),IF(LI$1=INDEX('Valo FX'!$R:$R,MATCH($A14,'Valo FX'!$A:$A,0)),INDEX(Base!$V:$V,MATCH($A14,Base!$A:$A,0)),0)))</f>
        <v>6.5836199999999998</v>
      </c>
      <c r="LJ14" s="21">
        <f>IF(LJ$1&lt;INDEX('Valo FX'!$Q:$Q,MATCH($A14,'Valo FX'!$A:$A,0)),0,IF(LJ$1&lt;INDEX('Valo FX'!$R:$R,MATCH($A14,'Valo FX'!$A:$A,0)),INDEX(Base!$U:$U,MATCH($A14,Base!$A:$A,0)),IF(LJ$1=INDEX('Valo FX'!$R:$R,MATCH($A14,'Valo FX'!$A:$A,0)),INDEX(Base!$V:$V,MATCH($A14,Base!$A:$A,0)),0)))</f>
        <v>6.5836199999999998</v>
      </c>
      <c r="LK14" s="21">
        <f>IF(LK$1&lt;INDEX('Valo FX'!$Q:$Q,MATCH($A14,'Valo FX'!$A:$A,0)),0,IF(LK$1&lt;INDEX('Valo FX'!$R:$R,MATCH($A14,'Valo FX'!$A:$A,0)),INDEX(Base!$U:$U,MATCH($A14,Base!$A:$A,0)),IF(LK$1=INDEX('Valo FX'!$R:$R,MATCH($A14,'Valo FX'!$A:$A,0)),INDEX(Base!$V:$V,MATCH($A14,Base!$A:$A,0)),0)))</f>
        <v>6.5836199999999998</v>
      </c>
      <c r="LL14" s="21">
        <f>IF(LL$1&lt;INDEX('Valo FX'!$Q:$Q,MATCH($A14,'Valo FX'!$A:$A,0)),0,IF(LL$1&lt;INDEX('Valo FX'!$R:$R,MATCH($A14,'Valo FX'!$A:$A,0)),INDEX(Base!$U:$U,MATCH($A14,Base!$A:$A,0)),IF(LL$1=INDEX('Valo FX'!$R:$R,MATCH($A14,'Valo FX'!$A:$A,0)),INDEX(Base!$V:$V,MATCH($A14,Base!$A:$A,0)),0)))</f>
        <v>6.5836199999999998</v>
      </c>
      <c r="LM14" s="21">
        <f>IF(LM$1&lt;INDEX('Valo FX'!$Q:$Q,MATCH($A14,'Valo FX'!$A:$A,0)),0,IF(LM$1&lt;INDEX('Valo FX'!$R:$R,MATCH($A14,'Valo FX'!$A:$A,0)),INDEX(Base!$U:$U,MATCH($A14,Base!$A:$A,0)),IF(LM$1=INDEX('Valo FX'!$R:$R,MATCH($A14,'Valo FX'!$A:$A,0)),INDEX(Base!$V:$V,MATCH($A14,Base!$A:$A,0)),0)))</f>
        <v>6.5836199999999998</v>
      </c>
      <c r="LN14" s="21">
        <f>IF(LN$1&lt;INDEX('Valo FX'!$Q:$Q,MATCH($A14,'Valo FX'!$A:$A,0)),0,IF(LN$1&lt;INDEX('Valo FX'!$R:$R,MATCH($A14,'Valo FX'!$A:$A,0)),INDEX(Base!$U:$U,MATCH($A14,Base!$A:$A,0)),IF(LN$1=INDEX('Valo FX'!$R:$R,MATCH($A14,'Valo FX'!$A:$A,0)),INDEX(Base!$V:$V,MATCH($A14,Base!$A:$A,0)),0)))</f>
        <v>6.5836199999999998</v>
      </c>
      <c r="LO14" s="21">
        <f>IF(LO$1&lt;INDEX('Valo FX'!$Q:$Q,MATCH($A14,'Valo FX'!$A:$A,0)),0,IF(LO$1&lt;INDEX('Valo FX'!$R:$R,MATCH($A14,'Valo FX'!$A:$A,0)),INDEX(Base!$U:$U,MATCH($A14,Base!$A:$A,0)),IF(LO$1=INDEX('Valo FX'!$R:$R,MATCH($A14,'Valo FX'!$A:$A,0)),INDEX(Base!$V:$V,MATCH($A14,Base!$A:$A,0)),0)))</f>
        <v>6.5836199999999998</v>
      </c>
      <c r="LP14" s="21">
        <f>IF(LP$1&lt;INDEX('Valo FX'!$Q:$Q,MATCH($A14,'Valo FX'!$A:$A,0)),0,IF(LP$1&lt;INDEX('Valo FX'!$R:$R,MATCH($A14,'Valo FX'!$A:$A,0)),INDEX(Base!$U:$U,MATCH($A14,Base!$A:$A,0)),IF(LP$1=INDEX('Valo FX'!$R:$R,MATCH($A14,'Valo FX'!$A:$A,0)),INDEX(Base!$V:$V,MATCH($A14,Base!$A:$A,0)),0)))</f>
        <v>6.5836199999999998</v>
      </c>
      <c r="LQ14" s="21">
        <f>IF(LQ$1&lt;INDEX('Valo FX'!$Q:$Q,MATCH($A14,'Valo FX'!$A:$A,0)),0,IF(LQ$1&lt;INDEX('Valo FX'!$R:$R,MATCH($A14,'Valo FX'!$A:$A,0)),INDEX(Base!$U:$U,MATCH($A14,Base!$A:$A,0)),IF(LQ$1=INDEX('Valo FX'!$R:$R,MATCH($A14,'Valo FX'!$A:$A,0)),INDEX(Base!$V:$V,MATCH($A14,Base!$A:$A,0)),0)))</f>
        <v>6.5836199999999998</v>
      </c>
      <c r="LR14" s="21">
        <f>IF(LR$1&lt;INDEX('Valo FX'!$Q:$Q,MATCH($A14,'Valo FX'!$A:$A,0)),0,IF(LR$1&lt;INDEX('Valo FX'!$R:$R,MATCH($A14,'Valo FX'!$A:$A,0)),INDEX(Base!$U:$U,MATCH($A14,Base!$A:$A,0)),IF(LR$1=INDEX('Valo FX'!$R:$R,MATCH($A14,'Valo FX'!$A:$A,0)),INDEX(Base!$V:$V,MATCH($A14,Base!$A:$A,0)),0)))</f>
        <v>6.5836199999999998</v>
      </c>
      <c r="LS14" s="21">
        <f>IF(LS$1&lt;INDEX('Valo FX'!$Q:$Q,MATCH($A14,'Valo FX'!$A:$A,0)),0,IF(LS$1&lt;INDEX('Valo FX'!$R:$R,MATCH($A14,'Valo FX'!$A:$A,0)),INDEX(Base!$U:$U,MATCH($A14,Base!$A:$A,0)),IF(LS$1=INDEX('Valo FX'!$R:$R,MATCH($A14,'Valo FX'!$A:$A,0)),INDEX(Base!$V:$V,MATCH($A14,Base!$A:$A,0)),0)))</f>
        <v>6.5836199999999998</v>
      </c>
      <c r="LT14" s="21">
        <f>IF(LT$1&lt;INDEX('Valo FX'!$Q:$Q,MATCH($A14,'Valo FX'!$A:$A,0)),0,IF(LT$1&lt;INDEX('Valo FX'!$R:$R,MATCH($A14,'Valo FX'!$A:$A,0)),INDEX(Base!$U:$U,MATCH($A14,Base!$A:$A,0)),IF(LT$1=INDEX('Valo FX'!$R:$R,MATCH($A14,'Valo FX'!$A:$A,0)),INDEX(Base!$V:$V,MATCH($A14,Base!$A:$A,0)),0)))</f>
        <v>6.5836199999999998</v>
      </c>
      <c r="LU14" s="21">
        <f>IF(LU$1&lt;INDEX('Valo FX'!$Q:$Q,MATCH($A14,'Valo FX'!$A:$A,0)),0,IF(LU$1&lt;INDEX('Valo FX'!$R:$R,MATCH($A14,'Valo FX'!$A:$A,0)),INDEX(Base!$U:$U,MATCH($A14,Base!$A:$A,0)),IF(LU$1=INDEX('Valo FX'!$R:$R,MATCH($A14,'Valo FX'!$A:$A,0)),INDEX(Base!$V:$V,MATCH($A14,Base!$A:$A,0)),0)))</f>
        <v>6.5836199999999998</v>
      </c>
      <c r="LV14" s="21">
        <f>IF(LV$1&lt;INDEX('Valo FX'!$Q:$Q,MATCH($A14,'Valo FX'!$A:$A,0)),0,IF(LV$1&lt;INDEX('Valo FX'!$R:$R,MATCH($A14,'Valo FX'!$A:$A,0)),INDEX(Base!$U:$U,MATCH($A14,Base!$A:$A,0)),IF(LV$1=INDEX('Valo FX'!$R:$R,MATCH($A14,'Valo FX'!$A:$A,0)),INDEX(Base!$V:$V,MATCH($A14,Base!$A:$A,0)),0)))</f>
        <v>6.5836199999999998</v>
      </c>
      <c r="LW14" s="21">
        <f>IF(LW$1&lt;INDEX('Valo FX'!$Q:$Q,MATCH($A14,'Valo FX'!$A:$A,0)),0,IF(LW$1&lt;INDEX('Valo FX'!$R:$R,MATCH($A14,'Valo FX'!$A:$A,0)),INDEX(Base!$U:$U,MATCH($A14,Base!$A:$A,0)),IF(LW$1=INDEX('Valo FX'!$R:$R,MATCH($A14,'Valo FX'!$A:$A,0)),INDEX(Base!$V:$V,MATCH($A14,Base!$A:$A,0)),0)))</f>
        <v>6.5836199999999998</v>
      </c>
      <c r="LX14" s="21">
        <f>IF(LX$1&lt;INDEX('Valo FX'!$Q:$Q,MATCH($A14,'Valo FX'!$A:$A,0)),0,IF(LX$1&lt;INDEX('Valo FX'!$R:$R,MATCH($A14,'Valo FX'!$A:$A,0)),INDEX(Base!$U:$U,MATCH($A14,Base!$A:$A,0)),IF(LX$1=INDEX('Valo FX'!$R:$R,MATCH($A14,'Valo FX'!$A:$A,0)),INDEX(Base!$V:$V,MATCH($A14,Base!$A:$A,0)),0)))</f>
        <v>6.5836199999999998</v>
      </c>
      <c r="LY14" s="21">
        <f>IF(LY$1&lt;INDEX('Valo FX'!$Q:$Q,MATCH($A14,'Valo FX'!$A:$A,0)),0,IF(LY$1&lt;INDEX('Valo FX'!$R:$R,MATCH($A14,'Valo FX'!$A:$A,0)),INDEX(Base!$U:$U,MATCH($A14,Base!$A:$A,0)),IF(LY$1=INDEX('Valo FX'!$R:$R,MATCH($A14,'Valo FX'!$A:$A,0)),INDEX(Base!$V:$V,MATCH($A14,Base!$A:$A,0)),0)))</f>
        <v>6.5836199999999998</v>
      </c>
      <c r="LZ14" s="21">
        <f>IF(LZ$1&lt;INDEX('Valo FX'!$Q:$Q,MATCH($A14,'Valo FX'!$A:$A,0)),0,IF(LZ$1&lt;INDEX('Valo FX'!$R:$R,MATCH($A14,'Valo FX'!$A:$A,0)),INDEX(Base!$U:$U,MATCH($A14,Base!$A:$A,0)),IF(LZ$1=INDEX('Valo FX'!$R:$R,MATCH($A14,'Valo FX'!$A:$A,0)),INDEX(Base!$V:$V,MATCH($A14,Base!$A:$A,0)),0)))</f>
        <v>6.5836199999999998</v>
      </c>
      <c r="MA14" s="21">
        <f>IF(MA$1&lt;INDEX('Valo FX'!$Q:$Q,MATCH($A14,'Valo FX'!$A:$A,0)),0,IF(MA$1&lt;INDEX('Valo FX'!$R:$R,MATCH($A14,'Valo FX'!$A:$A,0)),INDEX(Base!$U:$U,MATCH($A14,Base!$A:$A,0)),IF(MA$1=INDEX('Valo FX'!$R:$R,MATCH($A14,'Valo FX'!$A:$A,0)),INDEX(Base!$V:$V,MATCH($A14,Base!$A:$A,0)),0)))</f>
        <v>6.5836199999999998</v>
      </c>
      <c r="MB14" s="21">
        <f>IF(MB$1&lt;INDEX('Valo FX'!$Q:$Q,MATCH($A14,'Valo FX'!$A:$A,0)),0,IF(MB$1&lt;INDEX('Valo FX'!$R:$R,MATCH($A14,'Valo FX'!$A:$A,0)),INDEX(Base!$U:$U,MATCH($A14,Base!$A:$A,0)),IF(MB$1=INDEX('Valo FX'!$R:$R,MATCH($A14,'Valo FX'!$A:$A,0)),INDEX(Base!$V:$V,MATCH($A14,Base!$A:$A,0)),0)))</f>
        <v>6.5836199999999998</v>
      </c>
      <c r="MC14" s="21">
        <f>IF(MC$1&lt;INDEX('Valo FX'!$Q:$Q,MATCH($A14,'Valo FX'!$A:$A,0)),0,IF(MC$1&lt;INDEX('Valo FX'!$R:$R,MATCH($A14,'Valo FX'!$A:$A,0)),INDEX(Base!$U:$U,MATCH($A14,Base!$A:$A,0)),IF(MC$1=INDEX('Valo FX'!$R:$R,MATCH($A14,'Valo FX'!$A:$A,0)),INDEX(Base!$V:$V,MATCH($A14,Base!$A:$A,0)),0)))</f>
        <v>6.5836199999999998</v>
      </c>
      <c r="MD14" s="21">
        <f>IF(MD$1&lt;INDEX('Valo FX'!$Q:$Q,MATCH($A14,'Valo FX'!$A:$A,0)),0,IF(MD$1&lt;INDEX('Valo FX'!$R:$R,MATCH($A14,'Valo FX'!$A:$A,0)),INDEX(Base!$U:$U,MATCH($A14,Base!$A:$A,0)),IF(MD$1=INDEX('Valo FX'!$R:$R,MATCH($A14,'Valo FX'!$A:$A,0)),INDEX(Base!$V:$V,MATCH($A14,Base!$A:$A,0)),0)))</f>
        <v>6.5836199999999998</v>
      </c>
      <c r="ME14" s="21">
        <f>IF(ME$1&lt;INDEX('Valo FX'!$Q:$Q,MATCH($A14,'Valo FX'!$A:$A,0)),0,IF(ME$1&lt;INDEX('Valo FX'!$R:$R,MATCH($A14,'Valo FX'!$A:$A,0)),INDEX(Base!$U:$U,MATCH($A14,Base!$A:$A,0)),IF(ME$1=INDEX('Valo FX'!$R:$R,MATCH($A14,'Valo FX'!$A:$A,0)),INDEX(Base!$V:$V,MATCH($A14,Base!$A:$A,0)),0)))</f>
        <v>6.5836199999999998</v>
      </c>
      <c r="MF14" s="21">
        <f>IF(MF$1&lt;INDEX('Valo FX'!$Q:$Q,MATCH($A14,'Valo FX'!$A:$A,0)),0,IF(MF$1&lt;INDEX('Valo FX'!$R:$R,MATCH($A14,'Valo FX'!$A:$A,0)),INDEX(Base!$U:$U,MATCH($A14,Base!$A:$A,0)),IF(MF$1=INDEX('Valo FX'!$R:$R,MATCH($A14,'Valo FX'!$A:$A,0)),INDEX(Base!$V:$V,MATCH($A14,Base!$A:$A,0)),0)))</f>
        <v>6.5836199999999998</v>
      </c>
      <c r="MG14" s="21">
        <f>IF(MG$1&lt;INDEX('Valo FX'!$Q:$Q,MATCH($A14,'Valo FX'!$A:$A,0)),0,IF(MG$1&lt;INDEX('Valo FX'!$R:$R,MATCH($A14,'Valo FX'!$A:$A,0)),INDEX(Base!$U:$U,MATCH($A14,Base!$A:$A,0)),IF(MG$1=INDEX('Valo FX'!$R:$R,MATCH($A14,'Valo FX'!$A:$A,0)),INDEX(Base!$V:$V,MATCH($A14,Base!$A:$A,0)),0)))</f>
        <v>6.5836199999999998</v>
      </c>
      <c r="MH14" s="21">
        <f>IF(MH$1&lt;INDEX('Valo FX'!$Q:$Q,MATCH($A14,'Valo FX'!$A:$A,0)),0,IF(MH$1&lt;INDEX('Valo FX'!$R:$R,MATCH($A14,'Valo FX'!$A:$A,0)),INDEX(Base!$U:$U,MATCH($A14,Base!$A:$A,0)),IF(MH$1=INDEX('Valo FX'!$R:$R,MATCH($A14,'Valo FX'!$A:$A,0)),INDEX(Base!$V:$V,MATCH($A14,Base!$A:$A,0)),0)))</f>
        <v>6.5836199999999998</v>
      </c>
      <c r="MI14" s="21">
        <f>IF(MI$1&lt;INDEX('Valo FX'!$Q:$Q,MATCH($A14,'Valo FX'!$A:$A,0)),0,IF(MI$1&lt;INDEX('Valo FX'!$R:$R,MATCH($A14,'Valo FX'!$A:$A,0)),INDEX(Base!$U:$U,MATCH($A14,Base!$A:$A,0)),IF(MI$1=INDEX('Valo FX'!$R:$R,MATCH($A14,'Valo FX'!$A:$A,0)),INDEX(Base!$V:$V,MATCH($A14,Base!$A:$A,0)),0)))</f>
        <v>6.5836199999999998</v>
      </c>
      <c r="MJ14" s="21">
        <f>IF(MJ$1&lt;INDEX('Valo FX'!$Q:$Q,MATCH($A14,'Valo FX'!$A:$A,0)),0,IF(MJ$1&lt;INDEX('Valo FX'!$R:$R,MATCH($A14,'Valo FX'!$A:$A,0)),INDEX(Base!$U:$U,MATCH($A14,Base!$A:$A,0)),IF(MJ$1=INDEX('Valo FX'!$R:$R,MATCH($A14,'Valo FX'!$A:$A,0)),INDEX(Base!$V:$V,MATCH($A14,Base!$A:$A,0)),0)))</f>
        <v>6.5836199999999998</v>
      </c>
      <c r="MK14" s="21">
        <f>IF(MK$1&lt;INDEX('Valo FX'!$Q:$Q,MATCH($A14,'Valo FX'!$A:$A,0)),0,IF(MK$1&lt;INDEX('Valo FX'!$R:$R,MATCH($A14,'Valo FX'!$A:$A,0)),INDEX(Base!$U:$U,MATCH($A14,Base!$A:$A,0)),IF(MK$1=INDEX('Valo FX'!$R:$R,MATCH($A14,'Valo FX'!$A:$A,0)),INDEX(Base!$V:$V,MATCH($A14,Base!$A:$A,0)),0)))</f>
        <v>6.5836199999999998</v>
      </c>
      <c r="ML14" s="21">
        <f>IF(ML$1&lt;INDEX('Valo FX'!$Q:$Q,MATCH($A14,'Valo FX'!$A:$A,0)),0,IF(ML$1&lt;INDEX('Valo FX'!$R:$R,MATCH($A14,'Valo FX'!$A:$A,0)),INDEX(Base!$U:$U,MATCH($A14,Base!$A:$A,0)),IF(ML$1=INDEX('Valo FX'!$R:$R,MATCH($A14,'Valo FX'!$A:$A,0)),INDEX(Base!$V:$V,MATCH($A14,Base!$A:$A,0)),0)))</f>
        <v>6.3911949999999997</v>
      </c>
      <c r="MM14" s="21">
        <f>IF(MM$1&lt;INDEX('Valo FX'!$Q:$Q,MATCH($A14,'Valo FX'!$A:$A,0)),0,IF(MM$1&lt;INDEX('Valo FX'!$R:$R,MATCH($A14,'Valo FX'!$A:$A,0)),INDEX(Base!$U:$U,MATCH($A14,Base!$A:$A,0)),IF(MM$1=INDEX('Valo FX'!$R:$R,MATCH($A14,'Valo FX'!$A:$A,0)),INDEX(Base!$V:$V,MATCH($A14,Base!$A:$A,0)),0)))</f>
        <v>0</v>
      </c>
      <c r="MN14" s="21">
        <f>IF(MN$1&lt;INDEX('Valo FX'!$Q:$Q,MATCH($A14,'Valo FX'!$A:$A,0)),0,IF(MN$1&lt;INDEX('Valo FX'!$R:$R,MATCH($A14,'Valo FX'!$A:$A,0)),INDEX(Base!$U:$U,MATCH($A14,Base!$A:$A,0)),IF(MN$1=INDEX('Valo FX'!$R:$R,MATCH($A14,'Valo FX'!$A:$A,0)),INDEX(Base!$V:$V,MATCH($A14,Base!$A:$A,0)),0)))</f>
        <v>0</v>
      </c>
      <c r="MO14" s="21">
        <f>IF(MO$1&lt;INDEX('Valo FX'!$Q:$Q,MATCH($A14,'Valo FX'!$A:$A,0)),0,IF(MO$1&lt;INDEX('Valo FX'!$R:$R,MATCH($A14,'Valo FX'!$A:$A,0)),INDEX(Base!$U:$U,MATCH($A14,Base!$A:$A,0)),IF(MO$1=INDEX('Valo FX'!$R:$R,MATCH($A14,'Valo FX'!$A:$A,0)),INDEX(Base!$V:$V,MATCH($A14,Base!$A:$A,0)),0)))</f>
        <v>0</v>
      </c>
      <c r="MP14" s="21">
        <f>IF(MP$1&lt;INDEX('Valo FX'!$Q:$Q,MATCH($A14,'Valo FX'!$A:$A,0)),0,IF(MP$1&lt;INDEX('Valo FX'!$R:$R,MATCH($A14,'Valo FX'!$A:$A,0)),INDEX(Base!$U:$U,MATCH($A14,Base!$A:$A,0)),IF(MP$1=INDEX('Valo FX'!$R:$R,MATCH($A14,'Valo FX'!$A:$A,0)),INDEX(Base!$V:$V,MATCH($A14,Base!$A:$A,0)),0)))</f>
        <v>0</v>
      </c>
      <c r="MQ14" s="21">
        <f>IF(MQ$1&lt;INDEX('Valo FX'!$Q:$Q,MATCH($A14,'Valo FX'!$A:$A,0)),0,IF(MQ$1&lt;INDEX('Valo FX'!$R:$R,MATCH($A14,'Valo FX'!$A:$A,0)),INDEX(Base!$U:$U,MATCH($A14,Base!$A:$A,0)),IF(MQ$1=INDEX('Valo FX'!$R:$R,MATCH($A14,'Valo FX'!$A:$A,0)),INDEX(Base!$V:$V,MATCH($A14,Base!$A:$A,0)),0)))</f>
        <v>0</v>
      </c>
      <c r="MR14" s="21">
        <f>IF(MR$1&lt;INDEX('Valo FX'!$Q:$Q,MATCH($A14,'Valo FX'!$A:$A,0)),0,IF(MR$1&lt;INDEX('Valo FX'!$R:$R,MATCH($A14,'Valo FX'!$A:$A,0)),INDEX(Base!$U:$U,MATCH($A14,Base!$A:$A,0)),IF(MR$1=INDEX('Valo FX'!$R:$R,MATCH($A14,'Valo FX'!$A:$A,0)),INDEX(Base!$V:$V,MATCH($A14,Base!$A:$A,0)),0)))</f>
        <v>0</v>
      </c>
      <c r="MS14" s="21">
        <f>IF(MS$1&lt;INDEX('Valo FX'!$Q:$Q,MATCH($A14,'Valo FX'!$A:$A,0)),0,IF(MS$1&lt;INDEX('Valo FX'!$R:$R,MATCH($A14,'Valo FX'!$A:$A,0)),INDEX(Base!$U:$U,MATCH($A14,Base!$A:$A,0)),IF(MS$1=INDEX('Valo FX'!$R:$R,MATCH($A14,'Valo FX'!$A:$A,0)),INDEX(Base!$V:$V,MATCH($A14,Base!$A:$A,0)),0)))</f>
        <v>0</v>
      </c>
      <c r="MT14" s="21">
        <f>IF(MT$1&lt;INDEX('Valo FX'!$Q:$Q,MATCH($A14,'Valo FX'!$A:$A,0)),0,IF(MT$1&lt;INDEX('Valo FX'!$R:$R,MATCH($A14,'Valo FX'!$A:$A,0)),INDEX(Base!$U:$U,MATCH($A14,Base!$A:$A,0)),IF(MT$1=INDEX('Valo FX'!$R:$R,MATCH($A14,'Valo FX'!$A:$A,0)),INDEX(Base!$V:$V,MATCH($A14,Base!$A:$A,0)),0)))</f>
        <v>0</v>
      </c>
      <c r="MU14" s="21">
        <f>IF(MU$1&lt;INDEX('Valo FX'!$Q:$Q,MATCH($A14,'Valo FX'!$A:$A,0)),0,IF(MU$1&lt;INDEX('Valo FX'!$R:$R,MATCH($A14,'Valo FX'!$A:$A,0)),INDEX(Base!$U:$U,MATCH($A14,Base!$A:$A,0)),IF(MU$1=INDEX('Valo FX'!$R:$R,MATCH($A14,'Valo FX'!$A:$A,0)),INDEX(Base!$V:$V,MATCH($A14,Base!$A:$A,0)),0)))</f>
        <v>0</v>
      </c>
      <c r="MV14" s="21">
        <f>IF(MV$1&lt;INDEX('Valo FX'!$Q:$Q,MATCH($A14,'Valo FX'!$A:$A,0)),0,IF(MV$1&lt;INDEX('Valo FX'!$R:$R,MATCH($A14,'Valo FX'!$A:$A,0)),INDEX(Base!$U:$U,MATCH($A14,Base!$A:$A,0)),IF(MV$1=INDEX('Valo FX'!$R:$R,MATCH($A14,'Valo FX'!$A:$A,0)),INDEX(Base!$V:$V,MATCH($A14,Base!$A:$A,0)),0)))</f>
        <v>0</v>
      </c>
      <c r="MW14" s="21">
        <f>IF(MW$1&lt;INDEX('Valo FX'!$Q:$Q,MATCH($A14,'Valo FX'!$A:$A,0)),0,IF(MW$1&lt;INDEX('Valo FX'!$R:$R,MATCH($A14,'Valo FX'!$A:$A,0)),INDEX(Base!$U:$U,MATCH($A14,Base!$A:$A,0)),IF(MW$1=INDEX('Valo FX'!$R:$R,MATCH($A14,'Valo FX'!$A:$A,0)),INDEX(Base!$V:$V,MATCH($A14,Base!$A:$A,0)),0)))</f>
        <v>0</v>
      </c>
      <c r="MX14" s="21">
        <f>IF(MX$1&lt;INDEX('Valo FX'!$Q:$Q,MATCH($A14,'Valo FX'!$A:$A,0)),0,IF(MX$1&lt;INDEX('Valo FX'!$R:$R,MATCH($A14,'Valo FX'!$A:$A,0)),INDEX(Base!$U:$U,MATCH($A14,Base!$A:$A,0)),IF(MX$1=INDEX('Valo FX'!$R:$R,MATCH($A14,'Valo FX'!$A:$A,0)),INDEX(Base!$V:$V,MATCH($A14,Base!$A:$A,0)),0)))</f>
        <v>0</v>
      </c>
      <c r="MY14" s="21">
        <f>IF(MY$1&lt;INDEX('Valo FX'!$Q:$Q,MATCH($A14,'Valo FX'!$A:$A,0)),0,IF(MY$1&lt;INDEX('Valo FX'!$R:$R,MATCH($A14,'Valo FX'!$A:$A,0)),INDEX(Base!$U:$U,MATCH($A14,Base!$A:$A,0)),IF(MY$1=INDEX('Valo FX'!$R:$R,MATCH($A14,'Valo FX'!$A:$A,0)),INDEX(Base!$V:$V,MATCH($A14,Base!$A:$A,0)),0)))</f>
        <v>0</v>
      </c>
    </row>
    <row r="15" spans="1:363" x14ac:dyDescent="0.25">
      <c r="A15" s="7">
        <f>+'Valo FX'!A16</f>
        <v>13</v>
      </c>
      <c r="B15" s="59">
        <f>-'Valo FX'!T16</f>
        <v>-1693.1228110044192</v>
      </c>
      <c r="C15" s="21">
        <f>IF(C$1&lt;INDEX('Valo FX'!$Q:$Q,MATCH($A15,'Valo FX'!$A:$A,0)),0,IF(C$1&lt;INDEX('Valo FX'!$R:$R,MATCH($A15,'Valo FX'!$A:$A,0)),INDEX(Base!$U:$U,MATCH($A15,Base!$A:$A,0)),IF(C$1=INDEX('Valo FX'!$R:$R,MATCH($A15,'Valo FX'!$A:$A,0)),INDEX(Base!$V:$V,MATCH($A15,Base!$A:$A,0)),0)))</f>
        <v>0</v>
      </c>
      <c r="D15" s="21">
        <f>IF(D$1&lt;INDEX('Valo FX'!$Q:$Q,MATCH($A15,'Valo FX'!$A:$A,0)),0,IF(D$1&lt;INDEX('Valo FX'!$R:$R,MATCH($A15,'Valo FX'!$A:$A,0)),INDEX(Base!$U:$U,MATCH($A15,Base!$A:$A,0)),IF(D$1=INDEX('Valo FX'!$R:$R,MATCH($A15,'Valo FX'!$A:$A,0)),INDEX(Base!$V:$V,MATCH($A15,Base!$A:$A,0)),0)))</f>
        <v>0</v>
      </c>
      <c r="E15" s="21">
        <f>IF(E$1&lt;INDEX('Valo FX'!$Q:$Q,MATCH($A15,'Valo FX'!$A:$A,0)),0,IF(E$1&lt;INDEX('Valo FX'!$R:$R,MATCH($A15,'Valo FX'!$A:$A,0)),INDEX(Base!$U:$U,MATCH($A15,Base!$A:$A,0)),IF(E$1=INDEX('Valo FX'!$R:$R,MATCH($A15,'Valo FX'!$A:$A,0)),INDEX(Base!$V:$V,MATCH($A15,Base!$A:$A,0)),0)))</f>
        <v>0</v>
      </c>
      <c r="F15" s="21">
        <f>IF(F$1&lt;INDEX('Valo FX'!$Q:$Q,MATCH($A15,'Valo FX'!$A:$A,0)),0,IF(F$1&lt;INDEX('Valo FX'!$R:$R,MATCH($A15,'Valo FX'!$A:$A,0)),INDEX(Base!$U:$U,MATCH($A15,Base!$A:$A,0)),IF(F$1=INDEX('Valo FX'!$R:$R,MATCH($A15,'Valo FX'!$A:$A,0)),INDEX(Base!$V:$V,MATCH($A15,Base!$A:$A,0)),0)))</f>
        <v>0</v>
      </c>
      <c r="G15" s="21">
        <f>IF(G$1&lt;INDEX('Valo FX'!$Q:$Q,MATCH($A15,'Valo FX'!$A:$A,0)),0,IF(G$1&lt;INDEX('Valo FX'!$R:$R,MATCH($A15,'Valo FX'!$A:$A,0)),INDEX(Base!$U:$U,MATCH($A15,Base!$A:$A,0)),IF(G$1=INDEX('Valo FX'!$R:$R,MATCH($A15,'Valo FX'!$A:$A,0)),INDEX(Base!$V:$V,MATCH($A15,Base!$A:$A,0)),0)))</f>
        <v>0</v>
      </c>
      <c r="H15" s="21">
        <f>IF(H$1&lt;INDEX('Valo FX'!$Q:$Q,MATCH($A15,'Valo FX'!$A:$A,0)),0,IF(H$1&lt;INDEX('Valo FX'!$R:$R,MATCH($A15,'Valo FX'!$A:$A,0)),INDEX(Base!$U:$U,MATCH($A15,Base!$A:$A,0)),IF(H$1=INDEX('Valo FX'!$R:$R,MATCH($A15,'Valo FX'!$A:$A,0)),INDEX(Base!$V:$V,MATCH($A15,Base!$A:$A,0)),0)))</f>
        <v>11.803319999999999</v>
      </c>
      <c r="I15" s="21">
        <f>IF(I$1&lt;INDEX('Valo FX'!$Q:$Q,MATCH($A15,'Valo FX'!$A:$A,0)),0,IF(I$1&lt;INDEX('Valo FX'!$R:$R,MATCH($A15,'Valo FX'!$A:$A,0)),INDEX(Base!$U:$U,MATCH($A15,Base!$A:$A,0)),IF(I$1=INDEX('Valo FX'!$R:$R,MATCH($A15,'Valo FX'!$A:$A,0)),INDEX(Base!$V:$V,MATCH($A15,Base!$A:$A,0)),0)))</f>
        <v>11.803319999999999</v>
      </c>
      <c r="J15" s="21">
        <f>IF(J$1&lt;INDEX('Valo FX'!$Q:$Q,MATCH($A15,'Valo FX'!$A:$A,0)),0,IF(J$1&lt;INDEX('Valo FX'!$R:$R,MATCH($A15,'Valo FX'!$A:$A,0)),INDEX(Base!$U:$U,MATCH($A15,Base!$A:$A,0)),IF(J$1=INDEX('Valo FX'!$R:$R,MATCH($A15,'Valo FX'!$A:$A,0)),INDEX(Base!$V:$V,MATCH($A15,Base!$A:$A,0)),0)))</f>
        <v>11.803319999999999</v>
      </c>
      <c r="K15" s="21">
        <f>IF(K$1&lt;INDEX('Valo FX'!$Q:$Q,MATCH($A15,'Valo FX'!$A:$A,0)),0,IF(K$1&lt;INDEX('Valo FX'!$R:$R,MATCH($A15,'Valo FX'!$A:$A,0)),INDEX(Base!$U:$U,MATCH($A15,Base!$A:$A,0)),IF(K$1=INDEX('Valo FX'!$R:$R,MATCH($A15,'Valo FX'!$A:$A,0)),INDEX(Base!$V:$V,MATCH($A15,Base!$A:$A,0)),0)))</f>
        <v>11.803319999999999</v>
      </c>
      <c r="L15" s="21">
        <f>IF(L$1&lt;INDEX('Valo FX'!$Q:$Q,MATCH($A15,'Valo FX'!$A:$A,0)),0,IF(L$1&lt;INDEX('Valo FX'!$R:$R,MATCH($A15,'Valo FX'!$A:$A,0)),INDEX(Base!$U:$U,MATCH($A15,Base!$A:$A,0)),IF(L$1=INDEX('Valo FX'!$R:$R,MATCH($A15,'Valo FX'!$A:$A,0)),INDEX(Base!$V:$V,MATCH($A15,Base!$A:$A,0)),0)))</f>
        <v>11.803319999999999</v>
      </c>
      <c r="M15" s="21">
        <f>IF(M$1&lt;INDEX('Valo FX'!$Q:$Q,MATCH($A15,'Valo FX'!$A:$A,0)),0,IF(M$1&lt;INDEX('Valo FX'!$R:$R,MATCH($A15,'Valo FX'!$A:$A,0)),INDEX(Base!$U:$U,MATCH($A15,Base!$A:$A,0)),IF(M$1=INDEX('Valo FX'!$R:$R,MATCH($A15,'Valo FX'!$A:$A,0)),INDEX(Base!$V:$V,MATCH($A15,Base!$A:$A,0)),0)))</f>
        <v>11.803319999999999</v>
      </c>
      <c r="N15" s="21">
        <f>IF(N$1&lt;INDEX('Valo FX'!$Q:$Q,MATCH($A15,'Valo FX'!$A:$A,0)),0,IF(N$1&lt;INDEX('Valo FX'!$R:$R,MATCH($A15,'Valo FX'!$A:$A,0)),INDEX(Base!$U:$U,MATCH($A15,Base!$A:$A,0)),IF(N$1=INDEX('Valo FX'!$R:$R,MATCH($A15,'Valo FX'!$A:$A,0)),INDEX(Base!$V:$V,MATCH($A15,Base!$A:$A,0)),0)))</f>
        <v>11.803319999999999</v>
      </c>
      <c r="O15" s="21">
        <f>IF(O$1&lt;INDEX('Valo FX'!$Q:$Q,MATCH($A15,'Valo FX'!$A:$A,0)),0,IF(O$1&lt;INDEX('Valo FX'!$R:$R,MATCH($A15,'Valo FX'!$A:$A,0)),INDEX(Base!$U:$U,MATCH($A15,Base!$A:$A,0)),IF(O$1=INDEX('Valo FX'!$R:$R,MATCH($A15,'Valo FX'!$A:$A,0)),INDEX(Base!$V:$V,MATCH($A15,Base!$A:$A,0)),0)))</f>
        <v>11.803319999999999</v>
      </c>
      <c r="P15" s="21">
        <f>IF(P$1&lt;INDEX('Valo FX'!$Q:$Q,MATCH($A15,'Valo FX'!$A:$A,0)),0,IF(P$1&lt;INDEX('Valo FX'!$R:$R,MATCH($A15,'Valo FX'!$A:$A,0)),INDEX(Base!$U:$U,MATCH($A15,Base!$A:$A,0)),IF(P$1=INDEX('Valo FX'!$R:$R,MATCH($A15,'Valo FX'!$A:$A,0)),INDEX(Base!$V:$V,MATCH($A15,Base!$A:$A,0)),0)))</f>
        <v>11.803319999999999</v>
      </c>
      <c r="Q15" s="21">
        <f>IF(Q$1&lt;INDEX('Valo FX'!$Q:$Q,MATCH($A15,'Valo FX'!$A:$A,0)),0,IF(Q$1&lt;INDEX('Valo FX'!$R:$R,MATCH($A15,'Valo FX'!$A:$A,0)),INDEX(Base!$U:$U,MATCH($A15,Base!$A:$A,0)),IF(Q$1=INDEX('Valo FX'!$R:$R,MATCH($A15,'Valo FX'!$A:$A,0)),INDEX(Base!$V:$V,MATCH($A15,Base!$A:$A,0)),0)))</f>
        <v>11.803319999999999</v>
      </c>
      <c r="R15" s="21">
        <f>IF(R$1&lt;INDEX('Valo FX'!$Q:$Q,MATCH($A15,'Valo FX'!$A:$A,0)),0,IF(R$1&lt;INDEX('Valo FX'!$R:$R,MATCH($A15,'Valo FX'!$A:$A,0)),INDEX(Base!$U:$U,MATCH($A15,Base!$A:$A,0)),IF(R$1=INDEX('Valo FX'!$R:$R,MATCH($A15,'Valo FX'!$A:$A,0)),INDEX(Base!$V:$V,MATCH($A15,Base!$A:$A,0)),0)))</f>
        <v>11.803319999999999</v>
      </c>
      <c r="S15" s="21">
        <f>IF(S$1&lt;INDEX('Valo FX'!$Q:$Q,MATCH($A15,'Valo FX'!$A:$A,0)),0,IF(S$1&lt;INDEX('Valo FX'!$R:$R,MATCH($A15,'Valo FX'!$A:$A,0)),INDEX(Base!$U:$U,MATCH($A15,Base!$A:$A,0)),IF(S$1=INDEX('Valo FX'!$R:$R,MATCH($A15,'Valo FX'!$A:$A,0)),INDEX(Base!$V:$V,MATCH($A15,Base!$A:$A,0)),0)))</f>
        <v>11.803319999999999</v>
      </c>
      <c r="T15" s="21">
        <f>IF(T$1&lt;INDEX('Valo FX'!$Q:$Q,MATCH($A15,'Valo FX'!$A:$A,0)),0,IF(T$1&lt;INDEX('Valo FX'!$R:$R,MATCH($A15,'Valo FX'!$A:$A,0)),INDEX(Base!$U:$U,MATCH($A15,Base!$A:$A,0)),IF(T$1=INDEX('Valo FX'!$R:$R,MATCH($A15,'Valo FX'!$A:$A,0)),INDEX(Base!$V:$V,MATCH($A15,Base!$A:$A,0)),0)))</f>
        <v>11.803319999999999</v>
      </c>
      <c r="U15" s="21">
        <f>IF(U$1&lt;INDEX('Valo FX'!$Q:$Q,MATCH($A15,'Valo FX'!$A:$A,0)),0,IF(U$1&lt;INDEX('Valo FX'!$R:$R,MATCH($A15,'Valo FX'!$A:$A,0)),INDEX(Base!$U:$U,MATCH($A15,Base!$A:$A,0)),IF(U$1=INDEX('Valo FX'!$R:$R,MATCH($A15,'Valo FX'!$A:$A,0)),INDEX(Base!$V:$V,MATCH($A15,Base!$A:$A,0)),0)))</f>
        <v>11.803319999999999</v>
      </c>
      <c r="V15" s="21">
        <f>IF(V$1&lt;INDEX('Valo FX'!$Q:$Q,MATCH($A15,'Valo FX'!$A:$A,0)),0,IF(V$1&lt;INDEX('Valo FX'!$R:$R,MATCH($A15,'Valo FX'!$A:$A,0)),INDEX(Base!$U:$U,MATCH($A15,Base!$A:$A,0)),IF(V$1=INDEX('Valo FX'!$R:$R,MATCH($A15,'Valo FX'!$A:$A,0)),INDEX(Base!$V:$V,MATCH($A15,Base!$A:$A,0)),0)))</f>
        <v>11.803319999999999</v>
      </c>
      <c r="W15" s="21">
        <f>IF(W$1&lt;INDEX('Valo FX'!$Q:$Q,MATCH($A15,'Valo FX'!$A:$A,0)),0,IF(W$1&lt;INDEX('Valo FX'!$R:$R,MATCH($A15,'Valo FX'!$A:$A,0)),INDEX(Base!$U:$U,MATCH($A15,Base!$A:$A,0)),IF(W$1=INDEX('Valo FX'!$R:$R,MATCH($A15,'Valo FX'!$A:$A,0)),INDEX(Base!$V:$V,MATCH($A15,Base!$A:$A,0)),0)))</f>
        <v>11.803319999999999</v>
      </c>
      <c r="X15" s="21">
        <f>IF(X$1&lt;INDEX('Valo FX'!$Q:$Q,MATCH($A15,'Valo FX'!$A:$A,0)),0,IF(X$1&lt;INDEX('Valo FX'!$R:$R,MATCH($A15,'Valo FX'!$A:$A,0)),INDEX(Base!$U:$U,MATCH($A15,Base!$A:$A,0)),IF(X$1=INDEX('Valo FX'!$R:$R,MATCH($A15,'Valo FX'!$A:$A,0)),INDEX(Base!$V:$V,MATCH($A15,Base!$A:$A,0)),0)))</f>
        <v>11.803319999999999</v>
      </c>
      <c r="Y15" s="21">
        <f>IF(Y$1&lt;INDEX('Valo FX'!$Q:$Q,MATCH($A15,'Valo FX'!$A:$A,0)),0,IF(Y$1&lt;INDEX('Valo FX'!$R:$R,MATCH($A15,'Valo FX'!$A:$A,0)),INDEX(Base!$U:$U,MATCH($A15,Base!$A:$A,0)),IF(Y$1=INDEX('Valo FX'!$R:$R,MATCH($A15,'Valo FX'!$A:$A,0)),INDEX(Base!$V:$V,MATCH($A15,Base!$A:$A,0)),0)))</f>
        <v>11.803319999999999</v>
      </c>
      <c r="Z15" s="21">
        <f>IF(Z$1&lt;INDEX('Valo FX'!$Q:$Q,MATCH($A15,'Valo FX'!$A:$A,0)),0,IF(Z$1&lt;INDEX('Valo FX'!$R:$R,MATCH($A15,'Valo FX'!$A:$A,0)),INDEX(Base!$U:$U,MATCH($A15,Base!$A:$A,0)),IF(Z$1=INDEX('Valo FX'!$R:$R,MATCH($A15,'Valo FX'!$A:$A,0)),INDEX(Base!$V:$V,MATCH($A15,Base!$A:$A,0)),0)))</f>
        <v>11.803319999999999</v>
      </c>
      <c r="AA15" s="21">
        <f>IF(AA$1&lt;INDEX('Valo FX'!$Q:$Q,MATCH($A15,'Valo FX'!$A:$A,0)),0,IF(AA$1&lt;INDEX('Valo FX'!$R:$R,MATCH($A15,'Valo FX'!$A:$A,0)),INDEX(Base!$U:$U,MATCH($A15,Base!$A:$A,0)),IF(AA$1=INDEX('Valo FX'!$R:$R,MATCH($A15,'Valo FX'!$A:$A,0)),INDEX(Base!$V:$V,MATCH($A15,Base!$A:$A,0)),0)))</f>
        <v>11.803319999999999</v>
      </c>
      <c r="AB15" s="21">
        <f>IF(AB$1&lt;INDEX('Valo FX'!$Q:$Q,MATCH($A15,'Valo FX'!$A:$A,0)),0,IF(AB$1&lt;INDEX('Valo FX'!$R:$R,MATCH($A15,'Valo FX'!$A:$A,0)),INDEX(Base!$U:$U,MATCH($A15,Base!$A:$A,0)),IF(AB$1=INDEX('Valo FX'!$R:$R,MATCH($A15,'Valo FX'!$A:$A,0)),INDEX(Base!$V:$V,MATCH($A15,Base!$A:$A,0)),0)))</f>
        <v>11.803319999999999</v>
      </c>
      <c r="AC15" s="21">
        <f>IF(AC$1&lt;INDEX('Valo FX'!$Q:$Q,MATCH($A15,'Valo FX'!$A:$A,0)),0,IF(AC$1&lt;INDEX('Valo FX'!$R:$R,MATCH($A15,'Valo FX'!$A:$A,0)),INDEX(Base!$U:$U,MATCH($A15,Base!$A:$A,0)),IF(AC$1=INDEX('Valo FX'!$R:$R,MATCH($A15,'Valo FX'!$A:$A,0)),INDEX(Base!$V:$V,MATCH($A15,Base!$A:$A,0)),0)))</f>
        <v>11.803319999999999</v>
      </c>
      <c r="AD15" s="21">
        <f>IF(AD$1&lt;INDEX('Valo FX'!$Q:$Q,MATCH($A15,'Valo FX'!$A:$A,0)),0,IF(AD$1&lt;INDEX('Valo FX'!$R:$R,MATCH($A15,'Valo FX'!$A:$A,0)),INDEX(Base!$U:$U,MATCH($A15,Base!$A:$A,0)),IF(AD$1=INDEX('Valo FX'!$R:$R,MATCH($A15,'Valo FX'!$A:$A,0)),INDEX(Base!$V:$V,MATCH($A15,Base!$A:$A,0)),0)))</f>
        <v>11.803319999999999</v>
      </c>
      <c r="AE15" s="21">
        <f>IF(AE$1&lt;INDEX('Valo FX'!$Q:$Q,MATCH($A15,'Valo FX'!$A:$A,0)),0,IF(AE$1&lt;INDEX('Valo FX'!$R:$R,MATCH($A15,'Valo FX'!$A:$A,0)),INDEX(Base!$U:$U,MATCH($A15,Base!$A:$A,0)),IF(AE$1=INDEX('Valo FX'!$R:$R,MATCH($A15,'Valo FX'!$A:$A,0)),INDEX(Base!$V:$V,MATCH($A15,Base!$A:$A,0)),0)))</f>
        <v>11.803319999999999</v>
      </c>
      <c r="AF15" s="21">
        <f>IF(AF$1&lt;INDEX('Valo FX'!$Q:$Q,MATCH($A15,'Valo FX'!$A:$A,0)),0,IF(AF$1&lt;INDEX('Valo FX'!$R:$R,MATCH($A15,'Valo FX'!$A:$A,0)),INDEX(Base!$U:$U,MATCH($A15,Base!$A:$A,0)),IF(AF$1=INDEX('Valo FX'!$R:$R,MATCH($A15,'Valo FX'!$A:$A,0)),INDEX(Base!$V:$V,MATCH($A15,Base!$A:$A,0)),0)))</f>
        <v>11.803319999999999</v>
      </c>
      <c r="AG15" s="21">
        <f>IF(AG$1&lt;INDEX('Valo FX'!$Q:$Q,MATCH($A15,'Valo FX'!$A:$A,0)),0,IF(AG$1&lt;INDEX('Valo FX'!$R:$R,MATCH($A15,'Valo FX'!$A:$A,0)),INDEX(Base!$U:$U,MATCH($A15,Base!$A:$A,0)),IF(AG$1=INDEX('Valo FX'!$R:$R,MATCH($A15,'Valo FX'!$A:$A,0)),INDEX(Base!$V:$V,MATCH($A15,Base!$A:$A,0)),0)))</f>
        <v>11.803319999999999</v>
      </c>
      <c r="AH15" s="21">
        <f>IF(AH$1&lt;INDEX('Valo FX'!$Q:$Q,MATCH($A15,'Valo FX'!$A:$A,0)),0,IF(AH$1&lt;INDEX('Valo FX'!$R:$R,MATCH($A15,'Valo FX'!$A:$A,0)),INDEX(Base!$U:$U,MATCH($A15,Base!$A:$A,0)),IF(AH$1=INDEX('Valo FX'!$R:$R,MATCH($A15,'Valo FX'!$A:$A,0)),INDEX(Base!$V:$V,MATCH($A15,Base!$A:$A,0)),0)))</f>
        <v>11.803319999999999</v>
      </c>
      <c r="AI15" s="21">
        <f>IF(AI$1&lt;INDEX('Valo FX'!$Q:$Q,MATCH($A15,'Valo FX'!$A:$A,0)),0,IF(AI$1&lt;INDEX('Valo FX'!$R:$R,MATCH($A15,'Valo FX'!$A:$A,0)),INDEX(Base!$U:$U,MATCH($A15,Base!$A:$A,0)),IF(AI$1=INDEX('Valo FX'!$R:$R,MATCH($A15,'Valo FX'!$A:$A,0)),INDEX(Base!$V:$V,MATCH($A15,Base!$A:$A,0)),0)))</f>
        <v>11.803319999999999</v>
      </c>
      <c r="AJ15" s="21">
        <f>IF(AJ$1&lt;INDEX('Valo FX'!$Q:$Q,MATCH($A15,'Valo FX'!$A:$A,0)),0,IF(AJ$1&lt;INDEX('Valo FX'!$R:$R,MATCH($A15,'Valo FX'!$A:$A,0)),INDEX(Base!$U:$U,MATCH($A15,Base!$A:$A,0)),IF(AJ$1=INDEX('Valo FX'!$R:$R,MATCH($A15,'Valo FX'!$A:$A,0)),INDEX(Base!$V:$V,MATCH($A15,Base!$A:$A,0)),0)))</f>
        <v>11.803319999999999</v>
      </c>
      <c r="AK15" s="21">
        <f>IF(AK$1&lt;INDEX('Valo FX'!$Q:$Q,MATCH($A15,'Valo FX'!$A:$A,0)),0,IF(AK$1&lt;INDEX('Valo FX'!$R:$R,MATCH($A15,'Valo FX'!$A:$A,0)),INDEX(Base!$U:$U,MATCH($A15,Base!$A:$A,0)),IF(AK$1=INDEX('Valo FX'!$R:$R,MATCH($A15,'Valo FX'!$A:$A,0)),INDEX(Base!$V:$V,MATCH($A15,Base!$A:$A,0)),0)))</f>
        <v>11.803319999999999</v>
      </c>
      <c r="AL15" s="21">
        <f>IF(AL$1&lt;INDEX('Valo FX'!$Q:$Q,MATCH($A15,'Valo FX'!$A:$A,0)),0,IF(AL$1&lt;INDEX('Valo FX'!$R:$R,MATCH($A15,'Valo FX'!$A:$A,0)),INDEX(Base!$U:$U,MATCH($A15,Base!$A:$A,0)),IF(AL$1=INDEX('Valo FX'!$R:$R,MATCH($A15,'Valo FX'!$A:$A,0)),INDEX(Base!$V:$V,MATCH($A15,Base!$A:$A,0)),0)))</f>
        <v>11.803319999999999</v>
      </c>
      <c r="AM15" s="21">
        <f>IF(AM$1&lt;INDEX('Valo FX'!$Q:$Q,MATCH($A15,'Valo FX'!$A:$A,0)),0,IF(AM$1&lt;INDEX('Valo FX'!$R:$R,MATCH($A15,'Valo FX'!$A:$A,0)),INDEX(Base!$U:$U,MATCH($A15,Base!$A:$A,0)),IF(AM$1=INDEX('Valo FX'!$R:$R,MATCH($A15,'Valo FX'!$A:$A,0)),INDEX(Base!$V:$V,MATCH($A15,Base!$A:$A,0)),0)))</f>
        <v>11.803319999999999</v>
      </c>
      <c r="AN15" s="21">
        <f>IF(AN$1&lt;INDEX('Valo FX'!$Q:$Q,MATCH($A15,'Valo FX'!$A:$A,0)),0,IF(AN$1&lt;INDEX('Valo FX'!$R:$R,MATCH($A15,'Valo FX'!$A:$A,0)),INDEX(Base!$U:$U,MATCH($A15,Base!$A:$A,0)),IF(AN$1=INDEX('Valo FX'!$R:$R,MATCH($A15,'Valo FX'!$A:$A,0)),INDEX(Base!$V:$V,MATCH($A15,Base!$A:$A,0)),0)))</f>
        <v>11.803319999999999</v>
      </c>
      <c r="AO15" s="21">
        <f>IF(AO$1&lt;INDEX('Valo FX'!$Q:$Q,MATCH($A15,'Valo FX'!$A:$A,0)),0,IF(AO$1&lt;INDEX('Valo FX'!$R:$R,MATCH($A15,'Valo FX'!$A:$A,0)),INDEX(Base!$U:$U,MATCH($A15,Base!$A:$A,0)),IF(AO$1=INDEX('Valo FX'!$R:$R,MATCH($A15,'Valo FX'!$A:$A,0)),INDEX(Base!$V:$V,MATCH($A15,Base!$A:$A,0)),0)))</f>
        <v>11.803319999999999</v>
      </c>
      <c r="AP15" s="21">
        <f>IF(AP$1&lt;INDEX('Valo FX'!$Q:$Q,MATCH($A15,'Valo FX'!$A:$A,0)),0,IF(AP$1&lt;INDEX('Valo FX'!$R:$R,MATCH($A15,'Valo FX'!$A:$A,0)),INDEX(Base!$U:$U,MATCH($A15,Base!$A:$A,0)),IF(AP$1=INDEX('Valo FX'!$R:$R,MATCH($A15,'Valo FX'!$A:$A,0)),INDEX(Base!$V:$V,MATCH($A15,Base!$A:$A,0)),0)))</f>
        <v>11.803319999999999</v>
      </c>
      <c r="AQ15" s="21">
        <f>IF(AQ$1&lt;INDEX('Valo FX'!$Q:$Q,MATCH($A15,'Valo FX'!$A:$A,0)),0,IF(AQ$1&lt;INDEX('Valo FX'!$R:$R,MATCH($A15,'Valo FX'!$A:$A,0)),INDEX(Base!$U:$U,MATCH($A15,Base!$A:$A,0)),IF(AQ$1=INDEX('Valo FX'!$R:$R,MATCH($A15,'Valo FX'!$A:$A,0)),INDEX(Base!$V:$V,MATCH($A15,Base!$A:$A,0)),0)))</f>
        <v>11.803319999999999</v>
      </c>
      <c r="AR15" s="21">
        <f>IF(AR$1&lt;INDEX('Valo FX'!$Q:$Q,MATCH($A15,'Valo FX'!$A:$A,0)),0,IF(AR$1&lt;INDEX('Valo FX'!$R:$R,MATCH($A15,'Valo FX'!$A:$A,0)),INDEX(Base!$U:$U,MATCH($A15,Base!$A:$A,0)),IF(AR$1=INDEX('Valo FX'!$R:$R,MATCH($A15,'Valo FX'!$A:$A,0)),INDEX(Base!$V:$V,MATCH($A15,Base!$A:$A,0)),0)))</f>
        <v>11.803319999999999</v>
      </c>
      <c r="AS15" s="21">
        <f>IF(AS$1&lt;INDEX('Valo FX'!$Q:$Q,MATCH($A15,'Valo FX'!$A:$A,0)),0,IF(AS$1&lt;INDEX('Valo FX'!$R:$R,MATCH($A15,'Valo FX'!$A:$A,0)),INDEX(Base!$U:$U,MATCH($A15,Base!$A:$A,0)),IF(AS$1=INDEX('Valo FX'!$R:$R,MATCH($A15,'Valo FX'!$A:$A,0)),INDEX(Base!$V:$V,MATCH($A15,Base!$A:$A,0)),0)))</f>
        <v>11.803319999999999</v>
      </c>
      <c r="AT15" s="21">
        <f>IF(AT$1&lt;INDEX('Valo FX'!$Q:$Q,MATCH($A15,'Valo FX'!$A:$A,0)),0,IF(AT$1&lt;INDEX('Valo FX'!$R:$R,MATCH($A15,'Valo FX'!$A:$A,0)),INDEX(Base!$U:$U,MATCH($A15,Base!$A:$A,0)),IF(AT$1=INDEX('Valo FX'!$R:$R,MATCH($A15,'Valo FX'!$A:$A,0)),INDEX(Base!$V:$V,MATCH($A15,Base!$A:$A,0)),0)))</f>
        <v>11.803319999999999</v>
      </c>
      <c r="AU15" s="21">
        <f>IF(AU$1&lt;INDEX('Valo FX'!$Q:$Q,MATCH($A15,'Valo FX'!$A:$A,0)),0,IF(AU$1&lt;INDEX('Valo FX'!$R:$R,MATCH($A15,'Valo FX'!$A:$A,0)),INDEX(Base!$U:$U,MATCH($A15,Base!$A:$A,0)),IF(AU$1=INDEX('Valo FX'!$R:$R,MATCH($A15,'Valo FX'!$A:$A,0)),INDEX(Base!$V:$V,MATCH($A15,Base!$A:$A,0)),0)))</f>
        <v>11.803319999999999</v>
      </c>
      <c r="AV15" s="21">
        <f>IF(AV$1&lt;INDEX('Valo FX'!$Q:$Q,MATCH($A15,'Valo FX'!$A:$A,0)),0,IF(AV$1&lt;INDEX('Valo FX'!$R:$R,MATCH($A15,'Valo FX'!$A:$A,0)),INDEX(Base!$U:$U,MATCH($A15,Base!$A:$A,0)),IF(AV$1=INDEX('Valo FX'!$R:$R,MATCH($A15,'Valo FX'!$A:$A,0)),INDEX(Base!$V:$V,MATCH($A15,Base!$A:$A,0)),0)))</f>
        <v>11.803319999999999</v>
      </c>
      <c r="AW15" s="21">
        <f>IF(AW$1&lt;INDEX('Valo FX'!$Q:$Q,MATCH($A15,'Valo FX'!$A:$A,0)),0,IF(AW$1&lt;INDEX('Valo FX'!$R:$R,MATCH($A15,'Valo FX'!$A:$A,0)),INDEX(Base!$U:$U,MATCH($A15,Base!$A:$A,0)),IF(AW$1=INDEX('Valo FX'!$R:$R,MATCH($A15,'Valo FX'!$A:$A,0)),INDEX(Base!$V:$V,MATCH($A15,Base!$A:$A,0)),0)))</f>
        <v>11.803319999999999</v>
      </c>
      <c r="AX15" s="21">
        <f>IF(AX$1&lt;INDEX('Valo FX'!$Q:$Q,MATCH($A15,'Valo FX'!$A:$A,0)),0,IF(AX$1&lt;INDEX('Valo FX'!$R:$R,MATCH($A15,'Valo FX'!$A:$A,0)),INDEX(Base!$U:$U,MATCH($A15,Base!$A:$A,0)),IF(AX$1=INDEX('Valo FX'!$R:$R,MATCH($A15,'Valo FX'!$A:$A,0)),INDEX(Base!$V:$V,MATCH($A15,Base!$A:$A,0)),0)))</f>
        <v>11.803319999999999</v>
      </c>
      <c r="AY15" s="21">
        <f>IF(AY$1&lt;INDEX('Valo FX'!$Q:$Q,MATCH($A15,'Valo FX'!$A:$A,0)),0,IF(AY$1&lt;INDEX('Valo FX'!$R:$R,MATCH($A15,'Valo FX'!$A:$A,0)),INDEX(Base!$U:$U,MATCH($A15,Base!$A:$A,0)),IF(AY$1=INDEX('Valo FX'!$R:$R,MATCH($A15,'Valo FX'!$A:$A,0)),INDEX(Base!$V:$V,MATCH($A15,Base!$A:$A,0)),0)))</f>
        <v>11.803319999999999</v>
      </c>
      <c r="AZ15" s="21">
        <f>IF(AZ$1&lt;INDEX('Valo FX'!$Q:$Q,MATCH($A15,'Valo FX'!$A:$A,0)),0,IF(AZ$1&lt;INDEX('Valo FX'!$R:$R,MATCH($A15,'Valo FX'!$A:$A,0)),INDEX(Base!$U:$U,MATCH($A15,Base!$A:$A,0)),IF(AZ$1=INDEX('Valo FX'!$R:$R,MATCH($A15,'Valo FX'!$A:$A,0)),INDEX(Base!$V:$V,MATCH($A15,Base!$A:$A,0)),0)))</f>
        <v>11.803319999999999</v>
      </c>
      <c r="BA15" s="21">
        <f>IF(BA$1&lt;INDEX('Valo FX'!$Q:$Q,MATCH($A15,'Valo FX'!$A:$A,0)),0,IF(BA$1&lt;INDEX('Valo FX'!$R:$R,MATCH($A15,'Valo FX'!$A:$A,0)),INDEX(Base!$U:$U,MATCH($A15,Base!$A:$A,0)),IF(BA$1=INDEX('Valo FX'!$R:$R,MATCH($A15,'Valo FX'!$A:$A,0)),INDEX(Base!$V:$V,MATCH($A15,Base!$A:$A,0)),0)))</f>
        <v>11.803319999999999</v>
      </c>
      <c r="BB15" s="21">
        <f>IF(BB$1&lt;INDEX('Valo FX'!$Q:$Q,MATCH($A15,'Valo FX'!$A:$A,0)),0,IF(BB$1&lt;INDEX('Valo FX'!$R:$R,MATCH($A15,'Valo FX'!$A:$A,0)),INDEX(Base!$U:$U,MATCH($A15,Base!$A:$A,0)),IF(BB$1=INDEX('Valo FX'!$R:$R,MATCH($A15,'Valo FX'!$A:$A,0)),INDEX(Base!$V:$V,MATCH($A15,Base!$A:$A,0)),0)))</f>
        <v>11.803319999999999</v>
      </c>
      <c r="BC15" s="21">
        <f>IF(BC$1&lt;INDEX('Valo FX'!$Q:$Q,MATCH($A15,'Valo FX'!$A:$A,0)),0,IF(BC$1&lt;INDEX('Valo FX'!$R:$R,MATCH($A15,'Valo FX'!$A:$A,0)),INDEX(Base!$U:$U,MATCH($A15,Base!$A:$A,0)),IF(BC$1=INDEX('Valo FX'!$R:$R,MATCH($A15,'Valo FX'!$A:$A,0)),INDEX(Base!$V:$V,MATCH($A15,Base!$A:$A,0)),0)))</f>
        <v>11.803319999999999</v>
      </c>
      <c r="BD15" s="21">
        <f>IF(BD$1&lt;INDEX('Valo FX'!$Q:$Q,MATCH($A15,'Valo FX'!$A:$A,0)),0,IF(BD$1&lt;INDEX('Valo FX'!$R:$R,MATCH($A15,'Valo FX'!$A:$A,0)),INDEX(Base!$U:$U,MATCH($A15,Base!$A:$A,0)),IF(BD$1=INDEX('Valo FX'!$R:$R,MATCH($A15,'Valo FX'!$A:$A,0)),INDEX(Base!$V:$V,MATCH($A15,Base!$A:$A,0)),0)))</f>
        <v>11.803319999999999</v>
      </c>
      <c r="BE15" s="21">
        <f>IF(BE$1&lt;INDEX('Valo FX'!$Q:$Q,MATCH($A15,'Valo FX'!$A:$A,0)),0,IF(BE$1&lt;INDEX('Valo FX'!$R:$R,MATCH($A15,'Valo FX'!$A:$A,0)),INDEX(Base!$U:$U,MATCH($A15,Base!$A:$A,0)),IF(BE$1=INDEX('Valo FX'!$R:$R,MATCH($A15,'Valo FX'!$A:$A,0)),INDEX(Base!$V:$V,MATCH($A15,Base!$A:$A,0)),0)))</f>
        <v>11.803319999999999</v>
      </c>
      <c r="BF15" s="21">
        <f>IF(BF$1&lt;INDEX('Valo FX'!$Q:$Q,MATCH($A15,'Valo FX'!$A:$A,0)),0,IF(BF$1&lt;INDEX('Valo FX'!$R:$R,MATCH($A15,'Valo FX'!$A:$A,0)),INDEX(Base!$U:$U,MATCH($A15,Base!$A:$A,0)),IF(BF$1=INDEX('Valo FX'!$R:$R,MATCH($A15,'Valo FX'!$A:$A,0)),INDEX(Base!$V:$V,MATCH($A15,Base!$A:$A,0)),0)))</f>
        <v>11.803319999999999</v>
      </c>
      <c r="BG15" s="21">
        <f>IF(BG$1&lt;INDEX('Valo FX'!$Q:$Q,MATCH($A15,'Valo FX'!$A:$A,0)),0,IF(BG$1&lt;INDEX('Valo FX'!$R:$R,MATCH($A15,'Valo FX'!$A:$A,0)),INDEX(Base!$U:$U,MATCH($A15,Base!$A:$A,0)),IF(BG$1=INDEX('Valo FX'!$R:$R,MATCH($A15,'Valo FX'!$A:$A,0)),INDEX(Base!$V:$V,MATCH($A15,Base!$A:$A,0)),0)))</f>
        <v>11.803319999999999</v>
      </c>
      <c r="BH15" s="21">
        <f>IF(BH$1&lt;INDEX('Valo FX'!$Q:$Q,MATCH($A15,'Valo FX'!$A:$A,0)),0,IF(BH$1&lt;INDEX('Valo FX'!$R:$R,MATCH($A15,'Valo FX'!$A:$A,0)),INDEX(Base!$U:$U,MATCH($A15,Base!$A:$A,0)),IF(BH$1=INDEX('Valo FX'!$R:$R,MATCH($A15,'Valo FX'!$A:$A,0)),INDEX(Base!$V:$V,MATCH($A15,Base!$A:$A,0)),0)))</f>
        <v>11.803319999999999</v>
      </c>
      <c r="BI15" s="21">
        <f>IF(BI$1&lt;INDEX('Valo FX'!$Q:$Q,MATCH($A15,'Valo FX'!$A:$A,0)),0,IF(BI$1&lt;INDEX('Valo FX'!$R:$R,MATCH($A15,'Valo FX'!$A:$A,0)),INDEX(Base!$U:$U,MATCH($A15,Base!$A:$A,0)),IF(BI$1=INDEX('Valo FX'!$R:$R,MATCH($A15,'Valo FX'!$A:$A,0)),INDEX(Base!$V:$V,MATCH($A15,Base!$A:$A,0)),0)))</f>
        <v>11.803319999999999</v>
      </c>
      <c r="BJ15" s="21">
        <f>IF(BJ$1&lt;INDEX('Valo FX'!$Q:$Q,MATCH($A15,'Valo FX'!$A:$A,0)),0,IF(BJ$1&lt;INDEX('Valo FX'!$R:$R,MATCH($A15,'Valo FX'!$A:$A,0)),INDEX(Base!$U:$U,MATCH($A15,Base!$A:$A,0)),IF(BJ$1=INDEX('Valo FX'!$R:$R,MATCH($A15,'Valo FX'!$A:$A,0)),INDEX(Base!$V:$V,MATCH($A15,Base!$A:$A,0)),0)))</f>
        <v>11.803319999999999</v>
      </c>
      <c r="BK15" s="21">
        <f>IF(BK$1&lt;INDEX('Valo FX'!$Q:$Q,MATCH($A15,'Valo FX'!$A:$A,0)),0,IF(BK$1&lt;INDEX('Valo FX'!$R:$R,MATCH($A15,'Valo FX'!$A:$A,0)),INDEX(Base!$U:$U,MATCH($A15,Base!$A:$A,0)),IF(BK$1=INDEX('Valo FX'!$R:$R,MATCH($A15,'Valo FX'!$A:$A,0)),INDEX(Base!$V:$V,MATCH($A15,Base!$A:$A,0)),0)))</f>
        <v>11.803319999999999</v>
      </c>
      <c r="BL15" s="21">
        <f>IF(BL$1&lt;INDEX('Valo FX'!$Q:$Q,MATCH($A15,'Valo FX'!$A:$A,0)),0,IF(BL$1&lt;INDEX('Valo FX'!$R:$R,MATCH($A15,'Valo FX'!$A:$A,0)),INDEX(Base!$U:$U,MATCH($A15,Base!$A:$A,0)),IF(BL$1=INDEX('Valo FX'!$R:$R,MATCH($A15,'Valo FX'!$A:$A,0)),INDEX(Base!$V:$V,MATCH($A15,Base!$A:$A,0)),0)))</f>
        <v>11.803319999999999</v>
      </c>
      <c r="BM15" s="21">
        <f>IF(BM$1&lt;INDEX('Valo FX'!$Q:$Q,MATCH($A15,'Valo FX'!$A:$A,0)),0,IF(BM$1&lt;INDEX('Valo FX'!$R:$R,MATCH($A15,'Valo FX'!$A:$A,0)),INDEX(Base!$U:$U,MATCH($A15,Base!$A:$A,0)),IF(BM$1=INDEX('Valo FX'!$R:$R,MATCH($A15,'Valo FX'!$A:$A,0)),INDEX(Base!$V:$V,MATCH($A15,Base!$A:$A,0)),0)))</f>
        <v>11.803319999999999</v>
      </c>
      <c r="BN15" s="21">
        <f>IF(BN$1&lt;INDEX('Valo FX'!$Q:$Q,MATCH($A15,'Valo FX'!$A:$A,0)),0,IF(BN$1&lt;INDEX('Valo FX'!$R:$R,MATCH($A15,'Valo FX'!$A:$A,0)),INDEX(Base!$U:$U,MATCH($A15,Base!$A:$A,0)),IF(BN$1=INDEX('Valo FX'!$R:$R,MATCH($A15,'Valo FX'!$A:$A,0)),INDEX(Base!$V:$V,MATCH($A15,Base!$A:$A,0)),0)))</f>
        <v>11.803319999999999</v>
      </c>
      <c r="BO15" s="21">
        <f>IF(BO$1&lt;INDEX('Valo FX'!$Q:$Q,MATCH($A15,'Valo FX'!$A:$A,0)),0,IF(BO$1&lt;INDEX('Valo FX'!$R:$R,MATCH($A15,'Valo FX'!$A:$A,0)),INDEX(Base!$U:$U,MATCH($A15,Base!$A:$A,0)),IF(BO$1=INDEX('Valo FX'!$R:$R,MATCH($A15,'Valo FX'!$A:$A,0)),INDEX(Base!$V:$V,MATCH($A15,Base!$A:$A,0)),0)))</f>
        <v>11.803319999999999</v>
      </c>
      <c r="BP15" s="21">
        <f>IF(BP$1&lt;INDEX('Valo FX'!$Q:$Q,MATCH($A15,'Valo FX'!$A:$A,0)),0,IF(BP$1&lt;INDEX('Valo FX'!$R:$R,MATCH($A15,'Valo FX'!$A:$A,0)),INDEX(Base!$U:$U,MATCH($A15,Base!$A:$A,0)),IF(BP$1=INDEX('Valo FX'!$R:$R,MATCH($A15,'Valo FX'!$A:$A,0)),INDEX(Base!$V:$V,MATCH($A15,Base!$A:$A,0)),0)))</f>
        <v>11.803319999999999</v>
      </c>
      <c r="BQ15" s="21">
        <f>IF(BQ$1&lt;INDEX('Valo FX'!$Q:$Q,MATCH($A15,'Valo FX'!$A:$A,0)),0,IF(BQ$1&lt;INDEX('Valo FX'!$R:$R,MATCH($A15,'Valo FX'!$A:$A,0)),INDEX(Base!$U:$U,MATCH($A15,Base!$A:$A,0)),IF(BQ$1=INDEX('Valo FX'!$R:$R,MATCH($A15,'Valo FX'!$A:$A,0)),INDEX(Base!$V:$V,MATCH($A15,Base!$A:$A,0)),0)))</f>
        <v>11.803319999999999</v>
      </c>
      <c r="BR15" s="21">
        <f>IF(BR$1&lt;INDEX('Valo FX'!$Q:$Q,MATCH($A15,'Valo FX'!$A:$A,0)),0,IF(BR$1&lt;INDEX('Valo FX'!$R:$R,MATCH($A15,'Valo FX'!$A:$A,0)),INDEX(Base!$U:$U,MATCH($A15,Base!$A:$A,0)),IF(BR$1=INDEX('Valo FX'!$R:$R,MATCH($A15,'Valo FX'!$A:$A,0)),INDEX(Base!$V:$V,MATCH($A15,Base!$A:$A,0)),0)))</f>
        <v>11.803319999999999</v>
      </c>
      <c r="BS15" s="21">
        <f>IF(BS$1&lt;INDEX('Valo FX'!$Q:$Q,MATCH($A15,'Valo FX'!$A:$A,0)),0,IF(BS$1&lt;INDEX('Valo FX'!$R:$R,MATCH($A15,'Valo FX'!$A:$A,0)),INDEX(Base!$U:$U,MATCH($A15,Base!$A:$A,0)),IF(BS$1=INDEX('Valo FX'!$R:$R,MATCH($A15,'Valo FX'!$A:$A,0)),INDEX(Base!$V:$V,MATCH($A15,Base!$A:$A,0)),0)))</f>
        <v>11.803319999999999</v>
      </c>
      <c r="BT15" s="21">
        <f>IF(BT$1&lt;INDEX('Valo FX'!$Q:$Q,MATCH($A15,'Valo FX'!$A:$A,0)),0,IF(BT$1&lt;INDEX('Valo FX'!$R:$R,MATCH($A15,'Valo FX'!$A:$A,0)),INDEX(Base!$U:$U,MATCH($A15,Base!$A:$A,0)),IF(BT$1=INDEX('Valo FX'!$R:$R,MATCH($A15,'Valo FX'!$A:$A,0)),INDEX(Base!$V:$V,MATCH($A15,Base!$A:$A,0)),0)))</f>
        <v>11.803319999999999</v>
      </c>
      <c r="BU15" s="21">
        <f>IF(BU$1&lt;INDEX('Valo FX'!$Q:$Q,MATCH($A15,'Valo FX'!$A:$A,0)),0,IF(BU$1&lt;INDEX('Valo FX'!$R:$R,MATCH($A15,'Valo FX'!$A:$A,0)),INDEX(Base!$U:$U,MATCH($A15,Base!$A:$A,0)),IF(BU$1=INDEX('Valo FX'!$R:$R,MATCH($A15,'Valo FX'!$A:$A,0)),INDEX(Base!$V:$V,MATCH($A15,Base!$A:$A,0)),0)))</f>
        <v>11.803319999999999</v>
      </c>
      <c r="BV15" s="21">
        <f>IF(BV$1&lt;INDEX('Valo FX'!$Q:$Q,MATCH($A15,'Valo FX'!$A:$A,0)),0,IF(BV$1&lt;INDEX('Valo FX'!$R:$R,MATCH($A15,'Valo FX'!$A:$A,0)),INDEX(Base!$U:$U,MATCH($A15,Base!$A:$A,0)),IF(BV$1=INDEX('Valo FX'!$R:$R,MATCH($A15,'Valo FX'!$A:$A,0)),INDEX(Base!$V:$V,MATCH($A15,Base!$A:$A,0)),0)))</f>
        <v>11.803319999999999</v>
      </c>
      <c r="BW15" s="21">
        <f>IF(BW$1&lt;INDEX('Valo FX'!$Q:$Q,MATCH($A15,'Valo FX'!$A:$A,0)),0,IF(BW$1&lt;INDEX('Valo FX'!$R:$R,MATCH($A15,'Valo FX'!$A:$A,0)),INDEX(Base!$U:$U,MATCH($A15,Base!$A:$A,0)),IF(BW$1=INDEX('Valo FX'!$R:$R,MATCH($A15,'Valo FX'!$A:$A,0)),INDEX(Base!$V:$V,MATCH($A15,Base!$A:$A,0)),0)))</f>
        <v>11.803319999999999</v>
      </c>
      <c r="BX15" s="21">
        <f>IF(BX$1&lt;INDEX('Valo FX'!$Q:$Q,MATCH($A15,'Valo FX'!$A:$A,0)),0,IF(BX$1&lt;INDEX('Valo FX'!$R:$R,MATCH($A15,'Valo FX'!$A:$A,0)),INDEX(Base!$U:$U,MATCH($A15,Base!$A:$A,0)),IF(BX$1=INDEX('Valo FX'!$R:$R,MATCH($A15,'Valo FX'!$A:$A,0)),INDEX(Base!$V:$V,MATCH($A15,Base!$A:$A,0)),0)))</f>
        <v>11.803319999999999</v>
      </c>
      <c r="BY15" s="21">
        <f>IF(BY$1&lt;INDEX('Valo FX'!$Q:$Q,MATCH($A15,'Valo FX'!$A:$A,0)),0,IF(BY$1&lt;INDEX('Valo FX'!$R:$R,MATCH($A15,'Valo FX'!$A:$A,0)),INDEX(Base!$U:$U,MATCH($A15,Base!$A:$A,0)),IF(BY$1=INDEX('Valo FX'!$R:$R,MATCH($A15,'Valo FX'!$A:$A,0)),INDEX(Base!$V:$V,MATCH($A15,Base!$A:$A,0)),0)))</f>
        <v>11.803319999999999</v>
      </c>
      <c r="BZ15" s="21">
        <f>IF(BZ$1&lt;INDEX('Valo FX'!$Q:$Q,MATCH($A15,'Valo FX'!$A:$A,0)),0,IF(BZ$1&lt;INDEX('Valo FX'!$R:$R,MATCH($A15,'Valo FX'!$A:$A,0)),INDEX(Base!$U:$U,MATCH($A15,Base!$A:$A,0)),IF(BZ$1=INDEX('Valo FX'!$R:$R,MATCH($A15,'Valo FX'!$A:$A,0)),INDEX(Base!$V:$V,MATCH($A15,Base!$A:$A,0)),0)))</f>
        <v>11.803319999999999</v>
      </c>
      <c r="CA15" s="21">
        <f>IF(CA$1&lt;INDEX('Valo FX'!$Q:$Q,MATCH($A15,'Valo FX'!$A:$A,0)),0,IF(CA$1&lt;INDEX('Valo FX'!$R:$R,MATCH($A15,'Valo FX'!$A:$A,0)),INDEX(Base!$U:$U,MATCH($A15,Base!$A:$A,0)),IF(CA$1=INDEX('Valo FX'!$R:$R,MATCH($A15,'Valo FX'!$A:$A,0)),INDEX(Base!$V:$V,MATCH($A15,Base!$A:$A,0)),0)))</f>
        <v>11.803319999999999</v>
      </c>
      <c r="CB15" s="21">
        <f>IF(CB$1&lt;INDEX('Valo FX'!$Q:$Q,MATCH($A15,'Valo FX'!$A:$A,0)),0,IF(CB$1&lt;INDEX('Valo FX'!$R:$R,MATCH($A15,'Valo FX'!$A:$A,0)),INDEX(Base!$U:$U,MATCH($A15,Base!$A:$A,0)),IF(CB$1=INDEX('Valo FX'!$R:$R,MATCH($A15,'Valo FX'!$A:$A,0)),INDEX(Base!$V:$V,MATCH($A15,Base!$A:$A,0)),0)))</f>
        <v>11.803319999999999</v>
      </c>
      <c r="CC15" s="21">
        <f>IF(CC$1&lt;INDEX('Valo FX'!$Q:$Q,MATCH($A15,'Valo FX'!$A:$A,0)),0,IF(CC$1&lt;INDEX('Valo FX'!$R:$R,MATCH($A15,'Valo FX'!$A:$A,0)),INDEX(Base!$U:$U,MATCH($A15,Base!$A:$A,0)),IF(CC$1=INDEX('Valo FX'!$R:$R,MATCH($A15,'Valo FX'!$A:$A,0)),INDEX(Base!$V:$V,MATCH($A15,Base!$A:$A,0)),0)))</f>
        <v>11.803319999999999</v>
      </c>
      <c r="CD15" s="21">
        <f>IF(CD$1&lt;INDEX('Valo FX'!$Q:$Q,MATCH($A15,'Valo FX'!$A:$A,0)),0,IF(CD$1&lt;INDEX('Valo FX'!$R:$R,MATCH($A15,'Valo FX'!$A:$A,0)),INDEX(Base!$U:$U,MATCH($A15,Base!$A:$A,0)),IF(CD$1=INDEX('Valo FX'!$R:$R,MATCH($A15,'Valo FX'!$A:$A,0)),INDEX(Base!$V:$V,MATCH($A15,Base!$A:$A,0)),0)))</f>
        <v>11.803319999999999</v>
      </c>
      <c r="CE15" s="21">
        <f>IF(CE$1&lt;INDEX('Valo FX'!$Q:$Q,MATCH($A15,'Valo FX'!$A:$A,0)),0,IF(CE$1&lt;INDEX('Valo FX'!$R:$R,MATCH($A15,'Valo FX'!$A:$A,0)),INDEX(Base!$U:$U,MATCH($A15,Base!$A:$A,0)),IF(CE$1=INDEX('Valo FX'!$R:$R,MATCH($A15,'Valo FX'!$A:$A,0)),INDEX(Base!$V:$V,MATCH($A15,Base!$A:$A,0)),0)))</f>
        <v>11.803319999999999</v>
      </c>
      <c r="CF15" s="21">
        <f>IF(CF$1&lt;INDEX('Valo FX'!$Q:$Q,MATCH($A15,'Valo FX'!$A:$A,0)),0,IF(CF$1&lt;INDEX('Valo FX'!$R:$R,MATCH($A15,'Valo FX'!$A:$A,0)),INDEX(Base!$U:$U,MATCH($A15,Base!$A:$A,0)),IF(CF$1=INDEX('Valo FX'!$R:$R,MATCH($A15,'Valo FX'!$A:$A,0)),INDEX(Base!$V:$V,MATCH($A15,Base!$A:$A,0)),0)))</f>
        <v>11.803319999999999</v>
      </c>
      <c r="CG15" s="21">
        <f>IF(CG$1&lt;INDEX('Valo FX'!$Q:$Q,MATCH($A15,'Valo FX'!$A:$A,0)),0,IF(CG$1&lt;INDEX('Valo FX'!$R:$R,MATCH($A15,'Valo FX'!$A:$A,0)),INDEX(Base!$U:$U,MATCH($A15,Base!$A:$A,0)),IF(CG$1=INDEX('Valo FX'!$R:$R,MATCH($A15,'Valo FX'!$A:$A,0)),INDEX(Base!$V:$V,MATCH($A15,Base!$A:$A,0)),0)))</f>
        <v>11.803319999999999</v>
      </c>
      <c r="CH15" s="21">
        <f>IF(CH$1&lt;INDEX('Valo FX'!$Q:$Q,MATCH($A15,'Valo FX'!$A:$A,0)),0,IF(CH$1&lt;INDEX('Valo FX'!$R:$R,MATCH($A15,'Valo FX'!$A:$A,0)),INDEX(Base!$U:$U,MATCH($A15,Base!$A:$A,0)),IF(CH$1=INDEX('Valo FX'!$R:$R,MATCH($A15,'Valo FX'!$A:$A,0)),INDEX(Base!$V:$V,MATCH($A15,Base!$A:$A,0)),0)))</f>
        <v>11.803319999999999</v>
      </c>
      <c r="CI15" s="21">
        <f>IF(CI$1&lt;INDEX('Valo FX'!$Q:$Q,MATCH($A15,'Valo FX'!$A:$A,0)),0,IF(CI$1&lt;INDEX('Valo FX'!$R:$R,MATCH($A15,'Valo FX'!$A:$A,0)),INDEX(Base!$U:$U,MATCH($A15,Base!$A:$A,0)),IF(CI$1=INDEX('Valo FX'!$R:$R,MATCH($A15,'Valo FX'!$A:$A,0)),INDEX(Base!$V:$V,MATCH($A15,Base!$A:$A,0)),0)))</f>
        <v>11.803319999999999</v>
      </c>
      <c r="CJ15" s="21">
        <f>IF(CJ$1&lt;INDEX('Valo FX'!$Q:$Q,MATCH($A15,'Valo FX'!$A:$A,0)),0,IF(CJ$1&lt;INDEX('Valo FX'!$R:$R,MATCH($A15,'Valo FX'!$A:$A,0)),INDEX(Base!$U:$U,MATCH($A15,Base!$A:$A,0)),IF(CJ$1=INDEX('Valo FX'!$R:$R,MATCH($A15,'Valo FX'!$A:$A,0)),INDEX(Base!$V:$V,MATCH($A15,Base!$A:$A,0)),0)))</f>
        <v>11.803319999999999</v>
      </c>
      <c r="CK15" s="21">
        <f>IF(CK$1&lt;INDEX('Valo FX'!$Q:$Q,MATCH($A15,'Valo FX'!$A:$A,0)),0,IF(CK$1&lt;INDEX('Valo FX'!$R:$R,MATCH($A15,'Valo FX'!$A:$A,0)),INDEX(Base!$U:$U,MATCH($A15,Base!$A:$A,0)),IF(CK$1=INDEX('Valo FX'!$R:$R,MATCH($A15,'Valo FX'!$A:$A,0)),INDEX(Base!$V:$V,MATCH($A15,Base!$A:$A,0)),0)))</f>
        <v>11.803319999999999</v>
      </c>
      <c r="CL15" s="21">
        <f>IF(CL$1&lt;INDEX('Valo FX'!$Q:$Q,MATCH($A15,'Valo FX'!$A:$A,0)),0,IF(CL$1&lt;INDEX('Valo FX'!$R:$R,MATCH($A15,'Valo FX'!$A:$A,0)),INDEX(Base!$U:$U,MATCH($A15,Base!$A:$A,0)),IF(CL$1=INDEX('Valo FX'!$R:$R,MATCH($A15,'Valo FX'!$A:$A,0)),INDEX(Base!$V:$V,MATCH($A15,Base!$A:$A,0)),0)))</f>
        <v>11.803319999999999</v>
      </c>
      <c r="CM15" s="21">
        <f>IF(CM$1&lt;INDEX('Valo FX'!$Q:$Q,MATCH($A15,'Valo FX'!$A:$A,0)),0,IF(CM$1&lt;INDEX('Valo FX'!$R:$R,MATCH($A15,'Valo FX'!$A:$A,0)),INDEX(Base!$U:$U,MATCH($A15,Base!$A:$A,0)),IF(CM$1=INDEX('Valo FX'!$R:$R,MATCH($A15,'Valo FX'!$A:$A,0)),INDEX(Base!$V:$V,MATCH($A15,Base!$A:$A,0)),0)))</f>
        <v>11.803319999999999</v>
      </c>
      <c r="CN15" s="21">
        <f>IF(CN$1&lt;INDEX('Valo FX'!$Q:$Q,MATCH($A15,'Valo FX'!$A:$A,0)),0,IF(CN$1&lt;INDEX('Valo FX'!$R:$R,MATCH($A15,'Valo FX'!$A:$A,0)),INDEX(Base!$U:$U,MATCH($A15,Base!$A:$A,0)),IF(CN$1=INDEX('Valo FX'!$R:$R,MATCH($A15,'Valo FX'!$A:$A,0)),INDEX(Base!$V:$V,MATCH($A15,Base!$A:$A,0)),0)))</f>
        <v>11.803319999999999</v>
      </c>
      <c r="CO15" s="21">
        <f>IF(CO$1&lt;INDEX('Valo FX'!$Q:$Q,MATCH($A15,'Valo FX'!$A:$A,0)),0,IF(CO$1&lt;INDEX('Valo FX'!$R:$R,MATCH($A15,'Valo FX'!$A:$A,0)),INDEX(Base!$U:$U,MATCH($A15,Base!$A:$A,0)),IF(CO$1=INDEX('Valo FX'!$R:$R,MATCH($A15,'Valo FX'!$A:$A,0)),INDEX(Base!$V:$V,MATCH($A15,Base!$A:$A,0)),0)))</f>
        <v>11.803319999999999</v>
      </c>
      <c r="CP15" s="21">
        <f>IF(CP$1&lt;INDEX('Valo FX'!$Q:$Q,MATCH($A15,'Valo FX'!$A:$A,0)),0,IF(CP$1&lt;INDEX('Valo FX'!$R:$R,MATCH($A15,'Valo FX'!$A:$A,0)),INDEX(Base!$U:$U,MATCH($A15,Base!$A:$A,0)),IF(CP$1=INDEX('Valo FX'!$R:$R,MATCH($A15,'Valo FX'!$A:$A,0)),INDEX(Base!$V:$V,MATCH($A15,Base!$A:$A,0)),0)))</f>
        <v>11.803319999999999</v>
      </c>
      <c r="CQ15" s="21">
        <f>IF(CQ$1&lt;INDEX('Valo FX'!$Q:$Q,MATCH($A15,'Valo FX'!$A:$A,0)),0,IF(CQ$1&lt;INDEX('Valo FX'!$R:$R,MATCH($A15,'Valo FX'!$A:$A,0)),INDEX(Base!$U:$U,MATCH($A15,Base!$A:$A,0)),IF(CQ$1=INDEX('Valo FX'!$R:$R,MATCH($A15,'Valo FX'!$A:$A,0)),INDEX(Base!$V:$V,MATCH($A15,Base!$A:$A,0)),0)))</f>
        <v>11.803319999999999</v>
      </c>
      <c r="CR15" s="21">
        <f>IF(CR$1&lt;INDEX('Valo FX'!$Q:$Q,MATCH($A15,'Valo FX'!$A:$A,0)),0,IF(CR$1&lt;INDEX('Valo FX'!$R:$R,MATCH($A15,'Valo FX'!$A:$A,0)),INDEX(Base!$U:$U,MATCH($A15,Base!$A:$A,0)),IF(CR$1=INDEX('Valo FX'!$R:$R,MATCH($A15,'Valo FX'!$A:$A,0)),INDEX(Base!$V:$V,MATCH($A15,Base!$A:$A,0)),0)))</f>
        <v>11.803319999999999</v>
      </c>
      <c r="CS15" s="21">
        <f>IF(CS$1&lt;INDEX('Valo FX'!$Q:$Q,MATCH($A15,'Valo FX'!$A:$A,0)),0,IF(CS$1&lt;INDEX('Valo FX'!$R:$R,MATCH($A15,'Valo FX'!$A:$A,0)),INDEX(Base!$U:$U,MATCH($A15,Base!$A:$A,0)),IF(CS$1=INDEX('Valo FX'!$R:$R,MATCH($A15,'Valo FX'!$A:$A,0)),INDEX(Base!$V:$V,MATCH($A15,Base!$A:$A,0)),0)))</f>
        <v>11.803319999999999</v>
      </c>
      <c r="CT15" s="21">
        <f>IF(CT$1&lt;INDEX('Valo FX'!$Q:$Q,MATCH($A15,'Valo FX'!$A:$A,0)),0,IF(CT$1&lt;INDEX('Valo FX'!$R:$R,MATCH($A15,'Valo FX'!$A:$A,0)),INDEX(Base!$U:$U,MATCH($A15,Base!$A:$A,0)),IF(CT$1=INDEX('Valo FX'!$R:$R,MATCH($A15,'Valo FX'!$A:$A,0)),INDEX(Base!$V:$V,MATCH($A15,Base!$A:$A,0)),0)))</f>
        <v>11.803319999999999</v>
      </c>
      <c r="CU15" s="21">
        <f>IF(CU$1&lt;INDEX('Valo FX'!$Q:$Q,MATCH($A15,'Valo FX'!$A:$A,0)),0,IF(CU$1&lt;INDEX('Valo FX'!$R:$R,MATCH($A15,'Valo FX'!$A:$A,0)),INDEX(Base!$U:$U,MATCH($A15,Base!$A:$A,0)),IF(CU$1=INDEX('Valo FX'!$R:$R,MATCH($A15,'Valo FX'!$A:$A,0)),INDEX(Base!$V:$V,MATCH($A15,Base!$A:$A,0)),0)))</f>
        <v>11.803319999999999</v>
      </c>
      <c r="CV15" s="21">
        <f>IF(CV$1&lt;INDEX('Valo FX'!$Q:$Q,MATCH($A15,'Valo FX'!$A:$A,0)),0,IF(CV$1&lt;INDEX('Valo FX'!$R:$R,MATCH($A15,'Valo FX'!$A:$A,0)),INDEX(Base!$U:$U,MATCH($A15,Base!$A:$A,0)),IF(CV$1=INDEX('Valo FX'!$R:$R,MATCH($A15,'Valo FX'!$A:$A,0)),INDEX(Base!$V:$V,MATCH($A15,Base!$A:$A,0)),0)))</f>
        <v>11.803319999999999</v>
      </c>
      <c r="CW15" s="21">
        <f>IF(CW$1&lt;INDEX('Valo FX'!$Q:$Q,MATCH($A15,'Valo FX'!$A:$A,0)),0,IF(CW$1&lt;INDEX('Valo FX'!$R:$R,MATCH($A15,'Valo FX'!$A:$A,0)),INDEX(Base!$U:$U,MATCH($A15,Base!$A:$A,0)),IF(CW$1=INDEX('Valo FX'!$R:$R,MATCH($A15,'Valo FX'!$A:$A,0)),INDEX(Base!$V:$V,MATCH($A15,Base!$A:$A,0)),0)))</f>
        <v>11.803319999999999</v>
      </c>
      <c r="CX15" s="21">
        <f>IF(CX$1&lt;INDEX('Valo FX'!$Q:$Q,MATCH($A15,'Valo FX'!$A:$A,0)),0,IF(CX$1&lt;INDEX('Valo FX'!$R:$R,MATCH($A15,'Valo FX'!$A:$A,0)),INDEX(Base!$U:$U,MATCH($A15,Base!$A:$A,0)),IF(CX$1=INDEX('Valo FX'!$R:$R,MATCH($A15,'Valo FX'!$A:$A,0)),INDEX(Base!$V:$V,MATCH($A15,Base!$A:$A,0)),0)))</f>
        <v>11.803319999999999</v>
      </c>
      <c r="CY15" s="21">
        <f>IF(CY$1&lt;INDEX('Valo FX'!$Q:$Q,MATCH($A15,'Valo FX'!$A:$A,0)),0,IF(CY$1&lt;INDEX('Valo FX'!$R:$R,MATCH($A15,'Valo FX'!$A:$A,0)),INDEX(Base!$U:$U,MATCH($A15,Base!$A:$A,0)),IF(CY$1=INDEX('Valo FX'!$R:$R,MATCH($A15,'Valo FX'!$A:$A,0)),INDEX(Base!$V:$V,MATCH($A15,Base!$A:$A,0)),0)))</f>
        <v>11.803319999999999</v>
      </c>
      <c r="CZ15" s="21">
        <f>IF(CZ$1&lt;INDEX('Valo FX'!$Q:$Q,MATCH($A15,'Valo FX'!$A:$A,0)),0,IF(CZ$1&lt;INDEX('Valo FX'!$R:$R,MATCH($A15,'Valo FX'!$A:$A,0)),INDEX(Base!$U:$U,MATCH($A15,Base!$A:$A,0)),IF(CZ$1=INDEX('Valo FX'!$R:$R,MATCH($A15,'Valo FX'!$A:$A,0)),INDEX(Base!$V:$V,MATCH($A15,Base!$A:$A,0)),0)))</f>
        <v>11.803319999999999</v>
      </c>
      <c r="DA15" s="21">
        <f>IF(DA$1&lt;INDEX('Valo FX'!$Q:$Q,MATCH($A15,'Valo FX'!$A:$A,0)),0,IF(DA$1&lt;INDEX('Valo FX'!$R:$R,MATCH($A15,'Valo FX'!$A:$A,0)),INDEX(Base!$U:$U,MATCH($A15,Base!$A:$A,0)),IF(DA$1=INDEX('Valo FX'!$R:$R,MATCH($A15,'Valo FX'!$A:$A,0)),INDEX(Base!$V:$V,MATCH($A15,Base!$A:$A,0)),0)))</f>
        <v>11.803319999999999</v>
      </c>
      <c r="DB15" s="21">
        <f>IF(DB$1&lt;INDEX('Valo FX'!$Q:$Q,MATCH($A15,'Valo FX'!$A:$A,0)),0,IF(DB$1&lt;INDEX('Valo FX'!$R:$R,MATCH($A15,'Valo FX'!$A:$A,0)),INDEX(Base!$U:$U,MATCH($A15,Base!$A:$A,0)),IF(DB$1=INDEX('Valo FX'!$R:$R,MATCH($A15,'Valo FX'!$A:$A,0)),INDEX(Base!$V:$V,MATCH($A15,Base!$A:$A,0)),0)))</f>
        <v>11.803319999999999</v>
      </c>
      <c r="DC15" s="21">
        <f>IF(DC$1&lt;INDEX('Valo FX'!$Q:$Q,MATCH($A15,'Valo FX'!$A:$A,0)),0,IF(DC$1&lt;INDEX('Valo FX'!$R:$R,MATCH($A15,'Valo FX'!$A:$A,0)),INDEX(Base!$U:$U,MATCH($A15,Base!$A:$A,0)),IF(DC$1=INDEX('Valo FX'!$R:$R,MATCH($A15,'Valo FX'!$A:$A,0)),INDEX(Base!$V:$V,MATCH($A15,Base!$A:$A,0)),0)))</f>
        <v>11.803319999999999</v>
      </c>
      <c r="DD15" s="21">
        <f>IF(DD$1&lt;INDEX('Valo FX'!$Q:$Q,MATCH($A15,'Valo FX'!$A:$A,0)),0,IF(DD$1&lt;INDEX('Valo FX'!$R:$R,MATCH($A15,'Valo FX'!$A:$A,0)),INDEX(Base!$U:$U,MATCH($A15,Base!$A:$A,0)),IF(DD$1=INDEX('Valo FX'!$R:$R,MATCH($A15,'Valo FX'!$A:$A,0)),INDEX(Base!$V:$V,MATCH($A15,Base!$A:$A,0)),0)))</f>
        <v>11.803319999999999</v>
      </c>
      <c r="DE15" s="21">
        <f>IF(DE$1&lt;INDEX('Valo FX'!$Q:$Q,MATCH($A15,'Valo FX'!$A:$A,0)),0,IF(DE$1&lt;INDEX('Valo FX'!$R:$R,MATCH($A15,'Valo FX'!$A:$A,0)),INDEX(Base!$U:$U,MATCH($A15,Base!$A:$A,0)),IF(DE$1=INDEX('Valo FX'!$R:$R,MATCH($A15,'Valo FX'!$A:$A,0)),INDEX(Base!$V:$V,MATCH($A15,Base!$A:$A,0)),0)))</f>
        <v>11.803319999999999</v>
      </c>
      <c r="DF15" s="21">
        <f>IF(DF$1&lt;INDEX('Valo FX'!$Q:$Q,MATCH($A15,'Valo FX'!$A:$A,0)),0,IF(DF$1&lt;INDEX('Valo FX'!$R:$R,MATCH($A15,'Valo FX'!$A:$A,0)),INDEX(Base!$U:$U,MATCH($A15,Base!$A:$A,0)),IF(DF$1=INDEX('Valo FX'!$R:$R,MATCH($A15,'Valo FX'!$A:$A,0)),INDEX(Base!$V:$V,MATCH($A15,Base!$A:$A,0)),0)))</f>
        <v>11.803319999999999</v>
      </c>
      <c r="DG15" s="21">
        <f>IF(DG$1&lt;INDEX('Valo FX'!$Q:$Q,MATCH($A15,'Valo FX'!$A:$A,0)),0,IF(DG$1&lt;INDEX('Valo FX'!$R:$R,MATCH($A15,'Valo FX'!$A:$A,0)),INDEX(Base!$U:$U,MATCH($A15,Base!$A:$A,0)),IF(DG$1=INDEX('Valo FX'!$R:$R,MATCH($A15,'Valo FX'!$A:$A,0)),INDEX(Base!$V:$V,MATCH($A15,Base!$A:$A,0)),0)))</f>
        <v>11.803319999999999</v>
      </c>
      <c r="DH15" s="21">
        <f>IF(DH$1&lt;INDEX('Valo FX'!$Q:$Q,MATCH($A15,'Valo FX'!$A:$A,0)),0,IF(DH$1&lt;INDEX('Valo FX'!$R:$R,MATCH($A15,'Valo FX'!$A:$A,0)),INDEX(Base!$U:$U,MATCH($A15,Base!$A:$A,0)),IF(DH$1=INDEX('Valo FX'!$R:$R,MATCH($A15,'Valo FX'!$A:$A,0)),INDEX(Base!$V:$V,MATCH($A15,Base!$A:$A,0)),0)))</f>
        <v>11.803319999999999</v>
      </c>
      <c r="DI15" s="21">
        <f>IF(DI$1&lt;INDEX('Valo FX'!$Q:$Q,MATCH($A15,'Valo FX'!$A:$A,0)),0,IF(DI$1&lt;INDEX('Valo FX'!$R:$R,MATCH($A15,'Valo FX'!$A:$A,0)),INDEX(Base!$U:$U,MATCH($A15,Base!$A:$A,0)),IF(DI$1=INDEX('Valo FX'!$R:$R,MATCH($A15,'Valo FX'!$A:$A,0)),INDEX(Base!$V:$V,MATCH($A15,Base!$A:$A,0)),0)))</f>
        <v>11.803319999999999</v>
      </c>
      <c r="DJ15" s="21">
        <f>IF(DJ$1&lt;INDEX('Valo FX'!$Q:$Q,MATCH($A15,'Valo FX'!$A:$A,0)),0,IF(DJ$1&lt;INDEX('Valo FX'!$R:$R,MATCH($A15,'Valo FX'!$A:$A,0)),INDEX(Base!$U:$U,MATCH($A15,Base!$A:$A,0)),IF(DJ$1=INDEX('Valo FX'!$R:$R,MATCH($A15,'Valo FX'!$A:$A,0)),INDEX(Base!$V:$V,MATCH($A15,Base!$A:$A,0)),0)))</f>
        <v>11.803319999999999</v>
      </c>
      <c r="DK15" s="21">
        <f>IF(DK$1&lt;INDEX('Valo FX'!$Q:$Q,MATCH($A15,'Valo FX'!$A:$A,0)),0,IF(DK$1&lt;INDEX('Valo FX'!$R:$R,MATCH($A15,'Valo FX'!$A:$A,0)),INDEX(Base!$U:$U,MATCH($A15,Base!$A:$A,0)),IF(DK$1=INDEX('Valo FX'!$R:$R,MATCH($A15,'Valo FX'!$A:$A,0)),INDEX(Base!$V:$V,MATCH($A15,Base!$A:$A,0)),0)))</f>
        <v>11.803319999999999</v>
      </c>
      <c r="DL15" s="21">
        <f>IF(DL$1&lt;INDEX('Valo FX'!$Q:$Q,MATCH($A15,'Valo FX'!$A:$A,0)),0,IF(DL$1&lt;INDEX('Valo FX'!$R:$R,MATCH($A15,'Valo FX'!$A:$A,0)),INDEX(Base!$U:$U,MATCH($A15,Base!$A:$A,0)),IF(DL$1=INDEX('Valo FX'!$R:$R,MATCH($A15,'Valo FX'!$A:$A,0)),INDEX(Base!$V:$V,MATCH($A15,Base!$A:$A,0)),0)))</f>
        <v>11.803319999999999</v>
      </c>
      <c r="DM15" s="21">
        <f>IF(DM$1&lt;INDEX('Valo FX'!$Q:$Q,MATCH($A15,'Valo FX'!$A:$A,0)),0,IF(DM$1&lt;INDEX('Valo FX'!$R:$R,MATCH($A15,'Valo FX'!$A:$A,0)),INDEX(Base!$U:$U,MATCH($A15,Base!$A:$A,0)),IF(DM$1=INDEX('Valo FX'!$R:$R,MATCH($A15,'Valo FX'!$A:$A,0)),INDEX(Base!$V:$V,MATCH($A15,Base!$A:$A,0)),0)))</f>
        <v>11.803319999999999</v>
      </c>
      <c r="DN15" s="21">
        <f>IF(DN$1&lt;INDEX('Valo FX'!$Q:$Q,MATCH($A15,'Valo FX'!$A:$A,0)),0,IF(DN$1&lt;INDEX('Valo FX'!$R:$R,MATCH($A15,'Valo FX'!$A:$A,0)),INDEX(Base!$U:$U,MATCH($A15,Base!$A:$A,0)),IF(DN$1=INDEX('Valo FX'!$R:$R,MATCH($A15,'Valo FX'!$A:$A,0)),INDEX(Base!$V:$V,MATCH($A15,Base!$A:$A,0)),0)))</f>
        <v>11.803319999999999</v>
      </c>
      <c r="DO15" s="21">
        <f>IF(DO$1&lt;INDEX('Valo FX'!$Q:$Q,MATCH($A15,'Valo FX'!$A:$A,0)),0,IF(DO$1&lt;INDEX('Valo FX'!$R:$R,MATCH($A15,'Valo FX'!$A:$A,0)),INDEX(Base!$U:$U,MATCH($A15,Base!$A:$A,0)),IF(DO$1=INDEX('Valo FX'!$R:$R,MATCH($A15,'Valo FX'!$A:$A,0)),INDEX(Base!$V:$V,MATCH($A15,Base!$A:$A,0)),0)))</f>
        <v>11.803319999999999</v>
      </c>
      <c r="DP15" s="21">
        <f>IF(DP$1&lt;INDEX('Valo FX'!$Q:$Q,MATCH($A15,'Valo FX'!$A:$A,0)),0,IF(DP$1&lt;INDEX('Valo FX'!$R:$R,MATCH($A15,'Valo FX'!$A:$A,0)),INDEX(Base!$U:$U,MATCH($A15,Base!$A:$A,0)),IF(DP$1=INDEX('Valo FX'!$R:$R,MATCH($A15,'Valo FX'!$A:$A,0)),INDEX(Base!$V:$V,MATCH($A15,Base!$A:$A,0)),0)))</f>
        <v>11.803319999999999</v>
      </c>
      <c r="DQ15" s="21">
        <f>IF(DQ$1&lt;INDEX('Valo FX'!$Q:$Q,MATCH($A15,'Valo FX'!$A:$A,0)),0,IF(DQ$1&lt;INDEX('Valo FX'!$R:$R,MATCH($A15,'Valo FX'!$A:$A,0)),INDEX(Base!$U:$U,MATCH($A15,Base!$A:$A,0)),IF(DQ$1=INDEX('Valo FX'!$R:$R,MATCH($A15,'Valo FX'!$A:$A,0)),INDEX(Base!$V:$V,MATCH($A15,Base!$A:$A,0)),0)))</f>
        <v>11.803319999999999</v>
      </c>
      <c r="DR15" s="21">
        <f>IF(DR$1&lt;INDEX('Valo FX'!$Q:$Q,MATCH($A15,'Valo FX'!$A:$A,0)),0,IF(DR$1&lt;INDEX('Valo FX'!$R:$R,MATCH($A15,'Valo FX'!$A:$A,0)),INDEX(Base!$U:$U,MATCH($A15,Base!$A:$A,0)),IF(DR$1=INDEX('Valo FX'!$R:$R,MATCH($A15,'Valo FX'!$A:$A,0)),INDEX(Base!$V:$V,MATCH($A15,Base!$A:$A,0)),0)))</f>
        <v>11.803319999999999</v>
      </c>
      <c r="DS15" s="21">
        <f>IF(DS$1&lt;INDEX('Valo FX'!$Q:$Q,MATCH($A15,'Valo FX'!$A:$A,0)),0,IF(DS$1&lt;INDEX('Valo FX'!$R:$R,MATCH($A15,'Valo FX'!$A:$A,0)),INDEX(Base!$U:$U,MATCH($A15,Base!$A:$A,0)),IF(DS$1=INDEX('Valo FX'!$R:$R,MATCH($A15,'Valo FX'!$A:$A,0)),INDEX(Base!$V:$V,MATCH($A15,Base!$A:$A,0)),0)))</f>
        <v>11.803319999999999</v>
      </c>
      <c r="DT15" s="21">
        <f>IF(DT$1&lt;INDEX('Valo FX'!$Q:$Q,MATCH($A15,'Valo FX'!$A:$A,0)),0,IF(DT$1&lt;INDEX('Valo FX'!$R:$R,MATCH($A15,'Valo FX'!$A:$A,0)),INDEX(Base!$U:$U,MATCH($A15,Base!$A:$A,0)),IF(DT$1=INDEX('Valo FX'!$R:$R,MATCH($A15,'Valo FX'!$A:$A,0)),INDEX(Base!$V:$V,MATCH($A15,Base!$A:$A,0)),0)))</f>
        <v>11.803319999999999</v>
      </c>
      <c r="DU15" s="21">
        <f>IF(DU$1&lt;INDEX('Valo FX'!$Q:$Q,MATCH($A15,'Valo FX'!$A:$A,0)),0,IF(DU$1&lt;INDEX('Valo FX'!$R:$R,MATCH($A15,'Valo FX'!$A:$A,0)),INDEX(Base!$U:$U,MATCH($A15,Base!$A:$A,0)),IF(DU$1=INDEX('Valo FX'!$R:$R,MATCH($A15,'Valo FX'!$A:$A,0)),INDEX(Base!$V:$V,MATCH($A15,Base!$A:$A,0)),0)))</f>
        <v>11.803319999999999</v>
      </c>
      <c r="DV15" s="21">
        <f>IF(DV$1&lt;INDEX('Valo FX'!$Q:$Q,MATCH($A15,'Valo FX'!$A:$A,0)),0,IF(DV$1&lt;INDEX('Valo FX'!$R:$R,MATCH($A15,'Valo FX'!$A:$A,0)),INDEX(Base!$U:$U,MATCH($A15,Base!$A:$A,0)),IF(DV$1=INDEX('Valo FX'!$R:$R,MATCH($A15,'Valo FX'!$A:$A,0)),INDEX(Base!$V:$V,MATCH($A15,Base!$A:$A,0)),0)))</f>
        <v>11.803319999999999</v>
      </c>
      <c r="DW15" s="21">
        <f>IF(DW$1&lt;INDEX('Valo FX'!$Q:$Q,MATCH($A15,'Valo FX'!$A:$A,0)),0,IF(DW$1&lt;INDEX('Valo FX'!$R:$R,MATCH($A15,'Valo FX'!$A:$A,0)),INDEX(Base!$U:$U,MATCH($A15,Base!$A:$A,0)),IF(DW$1=INDEX('Valo FX'!$R:$R,MATCH($A15,'Valo FX'!$A:$A,0)),INDEX(Base!$V:$V,MATCH($A15,Base!$A:$A,0)),0)))</f>
        <v>11.803319999999999</v>
      </c>
      <c r="DX15" s="21">
        <f>IF(DX$1&lt;INDEX('Valo FX'!$Q:$Q,MATCH($A15,'Valo FX'!$A:$A,0)),0,IF(DX$1&lt;INDEX('Valo FX'!$R:$R,MATCH($A15,'Valo FX'!$A:$A,0)),INDEX(Base!$U:$U,MATCH($A15,Base!$A:$A,0)),IF(DX$1=INDEX('Valo FX'!$R:$R,MATCH($A15,'Valo FX'!$A:$A,0)),INDEX(Base!$V:$V,MATCH($A15,Base!$A:$A,0)),0)))</f>
        <v>11.803319999999999</v>
      </c>
      <c r="DY15" s="21">
        <f>IF(DY$1&lt;INDEX('Valo FX'!$Q:$Q,MATCH($A15,'Valo FX'!$A:$A,0)),0,IF(DY$1&lt;INDEX('Valo FX'!$R:$R,MATCH($A15,'Valo FX'!$A:$A,0)),INDEX(Base!$U:$U,MATCH($A15,Base!$A:$A,0)),IF(DY$1=INDEX('Valo FX'!$R:$R,MATCH($A15,'Valo FX'!$A:$A,0)),INDEX(Base!$V:$V,MATCH($A15,Base!$A:$A,0)),0)))</f>
        <v>11.803319999999999</v>
      </c>
      <c r="DZ15" s="21">
        <f>IF(DZ$1&lt;INDEX('Valo FX'!$Q:$Q,MATCH($A15,'Valo FX'!$A:$A,0)),0,IF(DZ$1&lt;INDEX('Valo FX'!$R:$R,MATCH($A15,'Valo FX'!$A:$A,0)),INDEX(Base!$U:$U,MATCH($A15,Base!$A:$A,0)),IF(DZ$1=INDEX('Valo FX'!$R:$R,MATCH($A15,'Valo FX'!$A:$A,0)),INDEX(Base!$V:$V,MATCH($A15,Base!$A:$A,0)),0)))</f>
        <v>11.803319999999999</v>
      </c>
      <c r="EA15" s="21">
        <f>IF(EA$1&lt;INDEX('Valo FX'!$Q:$Q,MATCH($A15,'Valo FX'!$A:$A,0)),0,IF(EA$1&lt;INDEX('Valo FX'!$R:$R,MATCH($A15,'Valo FX'!$A:$A,0)),INDEX(Base!$U:$U,MATCH($A15,Base!$A:$A,0)),IF(EA$1=INDEX('Valo FX'!$R:$R,MATCH($A15,'Valo FX'!$A:$A,0)),INDEX(Base!$V:$V,MATCH($A15,Base!$A:$A,0)),0)))</f>
        <v>11.803319999999999</v>
      </c>
      <c r="EB15" s="21">
        <f>IF(EB$1&lt;INDEX('Valo FX'!$Q:$Q,MATCH($A15,'Valo FX'!$A:$A,0)),0,IF(EB$1&lt;INDEX('Valo FX'!$R:$R,MATCH($A15,'Valo FX'!$A:$A,0)),INDEX(Base!$U:$U,MATCH($A15,Base!$A:$A,0)),IF(EB$1=INDEX('Valo FX'!$R:$R,MATCH($A15,'Valo FX'!$A:$A,0)),INDEX(Base!$V:$V,MATCH($A15,Base!$A:$A,0)),0)))</f>
        <v>11.803319999999999</v>
      </c>
      <c r="EC15" s="21">
        <f>IF(EC$1&lt;INDEX('Valo FX'!$Q:$Q,MATCH($A15,'Valo FX'!$A:$A,0)),0,IF(EC$1&lt;INDEX('Valo FX'!$R:$R,MATCH($A15,'Valo FX'!$A:$A,0)),INDEX(Base!$U:$U,MATCH($A15,Base!$A:$A,0)),IF(EC$1=INDEX('Valo FX'!$R:$R,MATCH($A15,'Valo FX'!$A:$A,0)),INDEX(Base!$V:$V,MATCH($A15,Base!$A:$A,0)),0)))</f>
        <v>11.803319999999999</v>
      </c>
      <c r="ED15" s="21">
        <f>IF(ED$1&lt;INDEX('Valo FX'!$Q:$Q,MATCH($A15,'Valo FX'!$A:$A,0)),0,IF(ED$1&lt;INDEX('Valo FX'!$R:$R,MATCH($A15,'Valo FX'!$A:$A,0)),INDEX(Base!$U:$U,MATCH($A15,Base!$A:$A,0)),IF(ED$1=INDEX('Valo FX'!$R:$R,MATCH($A15,'Valo FX'!$A:$A,0)),INDEX(Base!$V:$V,MATCH($A15,Base!$A:$A,0)),0)))</f>
        <v>11.803319999999999</v>
      </c>
      <c r="EE15" s="21">
        <f>IF(EE$1&lt;INDEX('Valo FX'!$Q:$Q,MATCH($A15,'Valo FX'!$A:$A,0)),0,IF(EE$1&lt;INDEX('Valo FX'!$R:$R,MATCH($A15,'Valo FX'!$A:$A,0)),INDEX(Base!$U:$U,MATCH($A15,Base!$A:$A,0)),IF(EE$1=INDEX('Valo FX'!$R:$R,MATCH($A15,'Valo FX'!$A:$A,0)),INDEX(Base!$V:$V,MATCH($A15,Base!$A:$A,0)),0)))</f>
        <v>11.803319999999999</v>
      </c>
      <c r="EF15" s="21">
        <f>IF(EF$1&lt;INDEX('Valo FX'!$Q:$Q,MATCH($A15,'Valo FX'!$A:$A,0)),0,IF(EF$1&lt;INDEX('Valo FX'!$R:$R,MATCH($A15,'Valo FX'!$A:$A,0)),INDEX(Base!$U:$U,MATCH($A15,Base!$A:$A,0)),IF(EF$1=INDEX('Valo FX'!$R:$R,MATCH($A15,'Valo FX'!$A:$A,0)),INDEX(Base!$V:$V,MATCH($A15,Base!$A:$A,0)),0)))</f>
        <v>11.803319999999999</v>
      </c>
      <c r="EG15" s="21">
        <f>IF(EG$1&lt;INDEX('Valo FX'!$Q:$Q,MATCH($A15,'Valo FX'!$A:$A,0)),0,IF(EG$1&lt;INDEX('Valo FX'!$R:$R,MATCH($A15,'Valo FX'!$A:$A,0)),INDEX(Base!$U:$U,MATCH($A15,Base!$A:$A,0)),IF(EG$1=INDEX('Valo FX'!$R:$R,MATCH($A15,'Valo FX'!$A:$A,0)),INDEX(Base!$V:$V,MATCH($A15,Base!$A:$A,0)),0)))</f>
        <v>11.803319999999999</v>
      </c>
      <c r="EH15" s="21">
        <f>IF(EH$1&lt;INDEX('Valo FX'!$Q:$Q,MATCH($A15,'Valo FX'!$A:$A,0)),0,IF(EH$1&lt;INDEX('Valo FX'!$R:$R,MATCH($A15,'Valo FX'!$A:$A,0)),INDEX(Base!$U:$U,MATCH($A15,Base!$A:$A,0)),IF(EH$1=INDEX('Valo FX'!$R:$R,MATCH($A15,'Valo FX'!$A:$A,0)),INDEX(Base!$V:$V,MATCH($A15,Base!$A:$A,0)),0)))</f>
        <v>11.803319999999999</v>
      </c>
      <c r="EI15" s="21">
        <f>IF(EI$1&lt;INDEX('Valo FX'!$Q:$Q,MATCH($A15,'Valo FX'!$A:$A,0)),0,IF(EI$1&lt;INDEX('Valo FX'!$R:$R,MATCH($A15,'Valo FX'!$A:$A,0)),INDEX(Base!$U:$U,MATCH($A15,Base!$A:$A,0)),IF(EI$1=INDEX('Valo FX'!$R:$R,MATCH($A15,'Valo FX'!$A:$A,0)),INDEX(Base!$V:$V,MATCH($A15,Base!$A:$A,0)),0)))</f>
        <v>11.803319999999999</v>
      </c>
      <c r="EJ15" s="21">
        <f>IF(EJ$1&lt;INDEX('Valo FX'!$Q:$Q,MATCH($A15,'Valo FX'!$A:$A,0)),0,IF(EJ$1&lt;INDEX('Valo FX'!$R:$R,MATCH($A15,'Valo FX'!$A:$A,0)),INDEX(Base!$U:$U,MATCH($A15,Base!$A:$A,0)),IF(EJ$1=INDEX('Valo FX'!$R:$R,MATCH($A15,'Valo FX'!$A:$A,0)),INDEX(Base!$V:$V,MATCH($A15,Base!$A:$A,0)),0)))</f>
        <v>11.803319999999999</v>
      </c>
      <c r="EK15" s="21">
        <f>IF(EK$1&lt;INDEX('Valo FX'!$Q:$Q,MATCH($A15,'Valo FX'!$A:$A,0)),0,IF(EK$1&lt;INDEX('Valo FX'!$R:$R,MATCH($A15,'Valo FX'!$A:$A,0)),INDEX(Base!$U:$U,MATCH($A15,Base!$A:$A,0)),IF(EK$1=INDEX('Valo FX'!$R:$R,MATCH($A15,'Valo FX'!$A:$A,0)),INDEX(Base!$V:$V,MATCH($A15,Base!$A:$A,0)),0)))</f>
        <v>11.803319999999999</v>
      </c>
      <c r="EL15" s="21">
        <f>IF(EL$1&lt;INDEX('Valo FX'!$Q:$Q,MATCH($A15,'Valo FX'!$A:$A,0)),0,IF(EL$1&lt;INDEX('Valo FX'!$R:$R,MATCH($A15,'Valo FX'!$A:$A,0)),INDEX(Base!$U:$U,MATCH($A15,Base!$A:$A,0)),IF(EL$1=INDEX('Valo FX'!$R:$R,MATCH($A15,'Valo FX'!$A:$A,0)),INDEX(Base!$V:$V,MATCH($A15,Base!$A:$A,0)),0)))</f>
        <v>11.803319999999999</v>
      </c>
      <c r="EM15" s="21">
        <f>IF(EM$1&lt;INDEX('Valo FX'!$Q:$Q,MATCH($A15,'Valo FX'!$A:$A,0)),0,IF(EM$1&lt;INDEX('Valo FX'!$R:$R,MATCH($A15,'Valo FX'!$A:$A,0)),INDEX(Base!$U:$U,MATCH($A15,Base!$A:$A,0)),IF(EM$1=INDEX('Valo FX'!$R:$R,MATCH($A15,'Valo FX'!$A:$A,0)),INDEX(Base!$V:$V,MATCH($A15,Base!$A:$A,0)),0)))</f>
        <v>11.803319999999999</v>
      </c>
      <c r="EN15" s="21">
        <f>IF(EN$1&lt;INDEX('Valo FX'!$Q:$Q,MATCH($A15,'Valo FX'!$A:$A,0)),0,IF(EN$1&lt;INDEX('Valo FX'!$R:$R,MATCH($A15,'Valo FX'!$A:$A,0)),INDEX(Base!$U:$U,MATCH($A15,Base!$A:$A,0)),IF(EN$1=INDEX('Valo FX'!$R:$R,MATCH($A15,'Valo FX'!$A:$A,0)),INDEX(Base!$V:$V,MATCH($A15,Base!$A:$A,0)),0)))</f>
        <v>11.803319999999999</v>
      </c>
      <c r="EO15" s="21">
        <f>IF(EO$1&lt;INDEX('Valo FX'!$Q:$Q,MATCH($A15,'Valo FX'!$A:$A,0)),0,IF(EO$1&lt;INDEX('Valo FX'!$R:$R,MATCH($A15,'Valo FX'!$A:$A,0)),INDEX(Base!$U:$U,MATCH($A15,Base!$A:$A,0)),IF(EO$1=INDEX('Valo FX'!$R:$R,MATCH($A15,'Valo FX'!$A:$A,0)),INDEX(Base!$V:$V,MATCH($A15,Base!$A:$A,0)),0)))</f>
        <v>11.803319999999999</v>
      </c>
      <c r="EP15" s="21">
        <f>IF(EP$1&lt;INDEX('Valo FX'!$Q:$Q,MATCH($A15,'Valo FX'!$A:$A,0)),0,IF(EP$1&lt;INDEX('Valo FX'!$R:$R,MATCH($A15,'Valo FX'!$A:$A,0)),INDEX(Base!$U:$U,MATCH($A15,Base!$A:$A,0)),IF(EP$1=INDEX('Valo FX'!$R:$R,MATCH($A15,'Valo FX'!$A:$A,0)),INDEX(Base!$V:$V,MATCH($A15,Base!$A:$A,0)),0)))</f>
        <v>11.803319999999999</v>
      </c>
      <c r="EQ15" s="21">
        <f>IF(EQ$1&lt;INDEX('Valo FX'!$Q:$Q,MATCH($A15,'Valo FX'!$A:$A,0)),0,IF(EQ$1&lt;INDEX('Valo FX'!$R:$R,MATCH($A15,'Valo FX'!$A:$A,0)),INDEX(Base!$U:$U,MATCH($A15,Base!$A:$A,0)),IF(EQ$1=INDEX('Valo FX'!$R:$R,MATCH($A15,'Valo FX'!$A:$A,0)),INDEX(Base!$V:$V,MATCH($A15,Base!$A:$A,0)),0)))</f>
        <v>11.803319999999999</v>
      </c>
      <c r="ER15" s="21">
        <f>IF(ER$1&lt;INDEX('Valo FX'!$Q:$Q,MATCH($A15,'Valo FX'!$A:$A,0)),0,IF(ER$1&lt;INDEX('Valo FX'!$R:$R,MATCH($A15,'Valo FX'!$A:$A,0)),INDEX(Base!$U:$U,MATCH($A15,Base!$A:$A,0)),IF(ER$1=INDEX('Valo FX'!$R:$R,MATCH($A15,'Valo FX'!$A:$A,0)),INDEX(Base!$V:$V,MATCH($A15,Base!$A:$A,0)),0)))</f>
        <v>11.803319999999999</v>
      </c>
      <c r="ES15" s="21">
        <f>IF(ES$1&lt;INDEX('Valo FX'!$Q:$Q,MATCH($A15,'Valo FX'!$A:$A,0)),0,IF(ES$1&lt;INDEX('Valo FX'!$R:$R,MATCH($A15,'Valo FX'!$A:$A,0)),INDEX(Base!$U:$U,MATCH($A15,Base!$A:$A,0)),IF(ES$1=INDEX('Valo FX'!$R:$R,MATCH($A15,'Valo FX'!$A:$A,0)),INDEX(Base!$V:$V,MATCH($A15,Base!$A:$A,0)),0)))</f>
        <v>11.803319999999999</v>
      </c>
      <c r="ET15" s="21">
        <f>IF(ET$1&lt;INDEX('Valo FX'!$Q:$Q,MATCH($A15,'Valo FX'!$A:$A,0)),0,IF(ET$1&lt;INDEX('Valo FX'!$R:$R,MATCH($A15,'Valo FX'!$A:$A,0)),INDEX(Base!$U:$U,MATCH($A15,Base!$A:$A,0)),IF(ET$1=INDEX('Valo FX'!$R:$R,MATCH($A15,'Valo FX'!$A:$A,0)),INDEX(Base!$V:$V,MATCH($A15,Base!$A:$A,0)),0)))</f>
        <v>11.803319999999999</v>
      </c>
      <c r="EU15" s="21">
        <f>IF(EU$1&lt;INDEX('Valo FX'!$Q:$Q,MATCH($A15,'Valo FX'!$A:$A,0)),0,IF(EU$1&lt;INDEX('Valo FX'!$R:$R,MATCH($A15,'Valo FX'!$A:$A,0)),INDEX(Base!$U:$U,MATCH($A15,Base!$A:$A,0)),IF(EU$1=INDEX('Valo FX'!$R:$R,MATCH($A15,'Valo FX'!$A:$A,0)),INDEX(Base!$V:$V,MATCH($A15,Base!$A:$A,0)),0)))</f>
        <v>11.803319999999999</v>
      </c>
      <c r="EV15" s="21">
        <f>IF(EV$1&lt;INDEX('Valo FX'!$Q:$Q,MATCH($A15,'Valo FX'!$A:$A,0)),0,IF(EV$1&lt;INDEX('Valo FX'!$R:$R,MATCH($A15,'Valo FX'!$A:$A,0)),INDEX(Base!$U:$U,MATCH($A15,Base!$A:$A,0)),IF(EV$1=INDEX('Valo FX'!$R:$R,MATCH($A15,'Valo FX'!$A:$A,0)),INDEX(Base!$V:$V,MATCH($A15,Base!$A:$A,0)),0)))</f>
        <v>11.803319999999999</v>
      </c>
      <c r="EW15" s="21">
        <f>IF(EW$1&lt;INDEX('Valo FX'!$Q:$Q,MATCH($A15,'Valo FX'!$A:$A,0)),0,IF(EW$1&lt;INDEX('Valo FX'!$R:$R,MATCH($A15,'Valo FX'!$A:$A,0)),INDEX(Base!$U:$U,MATCH($A15,Base!$A:$A,0)),IF(EW$1=INDEX('Valo FX'!$R:$R,MATCH($A15,'Valo FX'!$A:$A,0)),INDEX(Base!$V:$V,MATCH($A15,Base!$A:$A,0)),0)))</f>
        <v>11.803319999999999</v>
      </c>
      <c r="EX15" s="21">
        <f>IF(EX$1&lt;INDEX('Valo FX'!$Q:$Q,MATCH($A15,'Valo FX'!$A:$A,0)),0,IF(EX$1&lt;INDEX('Valo FX'!$R:$R,MATCH($A15,'Valo FX'!$A:$A,0)),INDEX(Base!$U:$U,MATCH($A15,Base!$A:$A,0)),IF(EX$1=INDEX('Valo FX'!$R:$R,MATCH($A15,'Valo FX'!$A:$A,0)),INDEX(Base!$V:$V,MATCH($A15,Base!$A:$A,0)),0)))</f>
        <v>11.803319999999999</v>
      </c>
      <c r="EY15" s="21">
        <f>IF(EY$1&lt;INDEX('Valo FX'!$Q:$Q,MATCH($A15,'Valo FX'!$A:$A,0)),0,IF(EY$1&lt;INDEX('Valo FX'!$R:$R,MATCH($A15,'Valo FX'!$A:$A,0)),INDEX(Base!$U:$U,MATCH($A15,Base!$A:$A,0)),IF(EY$1=INDEX('Valo FX'!$R:$R,MATCH($A15,'Valo FX'!$A:$A,0)),INDEX(Base!$V:$V,MATCH($A15,Base!$A:$A,0)),0)))</f>
        <v>11.803319999999999</v>
      </c>
      <c r="EZ15" s="21">
        <f>IF(EZ$1&lt;INDEX('Valo FX'!$Q:$Q,MATCH($A15,'Valo FX'!$A:$A,0)),0,IF(EZ$1&lt;INDEX('Valo FX'!$R:$R,MATCH($A15,'Valo FX'!$A:$A,0)),INDEX(Base!$U:$U,MATCH($A15,Base!$A:$A,0)),IF(EZ$1=INDEX('Valo FX'!$R:$R,MATCH($A15,'Valo FX'!$A:$A,0)),INDEX(Base!$V:$V,MATCH($A15,Base!$A:$A,0)),0)))</f>
        <v>11.803319999999999</v>
      </c>
      <c r="FA15" s="21">
        <f>IF(FA$1&lt;INDEX('Valo FX'!$Q:$Q,MATCH($A15,'Valo FX'!$A:$A,0)),0,IF(FA$1&lt;INDEX('Valo FX'!$R:$R,MATCH($A15,'Valo FX'!$A:$A,0)),INDEX(Base!$U:$U,MATCH($A15,Base!$A:$A,0)),IF(FA$1=INDEX('Valo FX'!$R:$R,MATCH($A15,'Valo FX'!$A:$A,0)),INDEX(Base!$V:$V,MATCH($A15,Base!$A:$A,0)),0)))</f>
        <v>11.803319999999999</v>
      </c>
      <c r="FB15" s="21">
        <f>IF(FB$1&lt;INDEX('Valo FX'!$Q:$Q,MATCH($A15,'Valo FX'!$A:$A,0)),0,IF(FB$1&lt;INDEX('Valo FX'!$R:$R,MATCH($A15,'Valo FX'!$A:$A,0)),INDEX(Base!$U:$U,MATCH($A15,Base!$A:$A,0)),IF(FB$1=INDEX('Valo FX'!$R:$R,MATCH($A15,'Valo FX'!$A:$A,0)),INDEX(Base!$V:$V,MATCH($A15,Base!$A:$A,0)),0)))</f>
        <v>11.803319999999999</v>
      </c>
      <c r="FC15" s="21">
        <f>IF(FC$1&lt;INDEX('Valo FX'!$Q:$Q,MATCH($A15,'Valo FX'!$A:$A,0)),0,IF(FC$1&lt;INDEX('Valo FX'!$R:$R,MATCH($A15,'Valo FX'!$A:$A,0)),INDEX(Base!$U:$U,MATCH($A15,Base!$A:$A,0)),IF(FC$1=INDEX('Valo FX'!$R:$R,MATCH($A15,'Valo FX'!$A:$A,0)),INDEX(Base!$V:$V,MATCH($A15,Base!$A:$A,0)),0)))</f>
        <v>11.803319999999999</v>
      </c>
      <c r="FD15" s="21">
        <f>IF(FD$1&lt;INDEX('Valo FX'!$Q:$Q,MATCH($A15,'Valo FX'!$A:$A,0)),0,IF(FD$1&lt;INDEX('Valo FX'!$R:$R,MATCH($A15,'Valo FX'!$A:$A,0)),INDEX(Base!$U:$U,MATCH($A15,Base!$A:$A,0)),IF(FD$1=INDEX('Valo FX'!$R:$R,MATCH($A15,'Valo FX'!$A:$A,0)),INDEX(Base!$V:$V,MATCH($A15,Base!$A:$A,0)),0)))</f>
        <v>11.803319999999999</v>
      </c>
      <c r="FE15" s="21">
        <f>IF(FE$1&lt;INDEX('Valo FX'!$Q:$Q,MATCH($A15,'Valo FX'!$A:$A,0)),0,IF(FE$1&lt;INDEX('Valo FX'!$R:$R,MATCH($A15,'Valo FX'!$A:$A,0)),INDEX(Base!$U:$U,MATCH($A15,Base!$A:$A,0)),IF(FE$1=INDEX('Valo FX'!$R:$R,MATCH($A15,'Valo FX'!$A:$A,0)),INDEX(Base!$V:$V,MATCH($A15,Base!$A:$A,0)),0)))</f>
        <v>11.803319999999999</v>
      </c>
      <c r="FF15" s="21">
        <f>IF(FF$1&lt;INDEX('Valo FX'!$Q:$Q,MATCH($A15,'Valo FX'!$A:$A,0)),0,IF(FF$1&lt;INDEX('Valo FX'!$R:$R,MATCH($A15,'Valo FX'!$A:$A,0)),INDEX(Base!$U:$U,MATCH($A15,Base!$A:$A,0)),IF(FF$1=INDEX('Valo FX'!$R:$R,MATCH($A15,'Valo FX'!$A:$A,0)),INDEX(Base!$V:$V,MATCH($A15,Base!$A:$A,0)),0)))</f>
        <v>11.803319999999999</v>
      </c>
      <c r="FG15" s="21">
        <f>IF(FG$1&lt;INDEX('Valo FX'!$Q:$Q,MATCH($A15,'Valo FX'!$A:$A,0)),0,IF(FG$1&lt;INDEX('Valo FX'!$R:$R,MATCH($A15,'Valo FX'!$A:$A,0)),INDEX(Base!$U:$U,MATCH($A15,Base!$A:$A,0)),IF(FG$1=INDEX('Valo FX'!$R:$R,MATCH($A15,'Valo FX'!$A:$A,0)),INDEX(Base!$V:$V,MATCH($A15,Base!$A:$A,0)),0)))</f>
        <v>11.803319999999999</v>
      </c>
      <c r="FH15" s="21">
        <f>IF(FH$1&lt;INDEX('Valo FX'!$Q:$Q,MATCH($A15,'Valo FX'!$A:$A,0)),0,IF(FH$1&lt;INDEX('Valo FX'!$R:$R,MATCH($A15,'Valo FX'!$A:$A,0)),INDEX(Base!$U:$U,MATCH($A15,Base!$A:$A,0)),IF(FH$1=INDEX('Valo FX'!$R:$R,MATCH($A15,'Valo FX'!$A:$A,0)),INDEX(Base!$V:$V,MATCH($A15,Base!$A:$A,0)),0)))</f>
        <v>11.803319999999999</v>
      </c>
      <c r="FI15" s="21">
        <f>IF(FI$1&lt;INDEX('Valo FX'!$Q:$Q,MATCH($A15,'Valo FX'!$A:$A,0)),0,IF(FI$1&lt;INDEX('Valo FX'!$R:$R,MATCH($A15,'Valo FX'!$A:$A,0)),INDEX(Base!$U:$U,MATCH($A15,Base!$A:$A,0)),IF(FI$1=INDEX('Valo FX'!$R:$R,MATCH($A15,'Valo FX'!$A:$A,0)),INDEX(Base!$V:$V,MATCH($A15,Base!$A:$A,0)),0)))</f>
        <v>11.803319999999999</v>
      </c>
      <c r="FJ15" s="21">
        <f>IF(FJ$1&lt;INDEX('Valo FX'!$Q:$Q,MATCH($A15,'Valo FX'!$A:$A,0)),0,IF(FJ$1&lt;INDEX('Valo FX'!$R:$R,MATCH($A15,'Valo FX'!$A:$A,0)),INDEX(Base!$U:$U,MATCH($A15,Base!$A:$A,0)),IF(FJ$1=INDEX('Valo FX'!$R:$R,MATCH($A15,'Valo FX'!$A:$A,0)),INDEX(Base!$V:$V,MATCH($A15,Base!$A:$A,0)),0)))</f>
        <v>11.803319999999999</v>
      </c>
      <c r="FK15" s="21">
        <f>IF(FK$1&lt;INDEX('Valo FX'!$Q:$Q,MATCH($A15,'Valo FX'!$A:$A,0)),0,IF(FK$1&lt;INDEX('Valo FX'!$R:$R,MATCH($A15,'Valo FX'!$A:$A,0)),INDEX(Base!$U:$U,MATCH($A15,Base!$A:$A,0)),IF(FK$1=INDEX('Valo FX'!$R:$R,MATCH($A15,'Valo FX'!$A:$A,0)),INDEX(Base!$V:$V,MATCH($A15,Base!$A:$A,0)),0)))</f>
        <v>11.803319999999999</v>
      </c>
      <c r="FL15" s="21">
        <f>IF(FL$1&lt;INDEX('Valo FX'!$Q:$Q,MATCH($A15,'Valo FX'!$A:$A,0)),0,IF(FL$1&lt;INDEX('Valo FX'!$R:$R,MATCH($A15,'Valo FX'!$A:$A,0)),INDEX(Base!$U:$U,MATCH($A15,Base!$A:$A,0)),IF(FL$1=INDEX('Valo FX'!$R:$R,MATCH($A15,'Valo FX'!$A:$A,0)),INDEX(Base!$V:$V,MATCH($A15,Base!$A:$A,0)),0)))</f>
        <v>11.803319999999999</v>
      </c>
      <c r="FM15" s="21">
        <f>IF(FM$1&lt;INDEX('Valo FX'!$Q:$Q,MATCH($A15,'Valo FX'!$A:$A,0)),0,IF(FM$1&lt;INDEX('Valo FX'!$R:$R,MATCH($A15,'Valo FX'!$A:$A,0)),INDEX(Base!$U:$U,MATCH($A15,Base!$A:$A,0)),IF(FM$1=INDEX('Valo FX'!$R:$R,MATCH($A15,'Valo FX'!$A:$A,0)),INDEX(Base!$V:$V,MATCH($A15,Base!$A:$A,0)),0)))</f>
        <v>11.803319999999999</v>
      </c>
      <c r="FN15" s="21">
        <f>IF(FN$1&lt;INDEX('Valo FX'!$Q:$Q,MATCH($A15,'Valo FX'!$A:$A,0)),0,IF(FN$1&lt;INDEX('Valo FX'!$R:$R,MATCH($A15,'Valo FX'!$A:$A,0)),INDEX(Base!$U:$U,MATCH($A15,Base!$A:$A,0)),IF(FN$1=INDEX('Valo FX'!$R:$R,MATCH($A15,'Valo FX'!$A:$A,0)),INDEX(Base!$V:$V,MATCH($A15,Base!$A:$A,0)),0)))</f>
        <v>11.803319999999999</v>
      </c>
      <c r="FO15" s="21">
        <f>IF(FO$1&lt;INDEX('Valo FX'!$Q:$Q,MATCH($A15,'Valo FX'!$A:$A,0)),0,IF(FO$1&lt;INDEX('Valo FX'!$R:$R,MATCH($A15,'Valo FX'!$A:$A,0)),INDEX(Base!$U:$U,MATCH($A15,Base!$A:$A,0)),IF(FO$1=INDEX('Valo FX'!$R:$R,MATCH($A15,'Valo FX'!$A:$A,0)),INDEX(Base!$V:$V,MATCH($A15,Base!$A:$A,0)),0)))</f>
        <v>11.803319999999999</v>
      </c>
      <c r="FP15" s="21">
        <f>IF(FP$1&lt;INDEX('Valo FX'!$Q:$Q,MATCH($A15,'Valo FX'!$A:$A,0)),0,IF(FP$1&lt;INDEX('Valo FX'!$R:$R,MATCH($A15,'Valo FX'!$A:$A,0)),INDEX(Base!$U:$U,MATCH($A15,Base!$A:$A,0)),IF(FP$1=INDEX('Valo FX'!$R:$R,MATCH($A15,'Valo FX'!$A:$A,0)),INDEX(Base!$V:$V,MATCH($A15,Base!$A:$A,0)),0)))</f>
        <v>11.803319999999999</v>
      </c>
      <c r="FQ15" s="21">
        <f>IF(FQ$1&lt;INDEX('Valo FX'!$Q:$Q,MATCH($A15,'Valo FX'!$A:$A,0)),0,IF(FQ$1&lt;INDEX('Valo FX'!$R:$R,MATCH($A15,'Valo FX'!$A:$A,0)),INDEX(Base!$U:$U,MATCH($A15,Base!$A:$A,0)),IF(FQ$1=INDEX('Valo FX'!$R:$R,MATCH($A15,'Valo FX'!$A:$A,0)),INDEX(Base!$V:$V,MATCH($A15,Base!$A:$A,0)),0)))</f>
        <v>11.803319999999999</v>
      </c>
      <c r="FR15" s="21">
        <f>IF(FR$1&lt;INDEX('Valo FX'!$Q:$Q,MATCH($A15,'Valo FX'!$A:$A,0)),0,IF(FR$1&lt;INDEX('Valo FX'!$R:$R,MATCH($A15,'Valo FX'!$A:$A,0)),INDEX(Base!$U:$U,MATCH($A15,Base!$A:$A,0)),IF(FR$1=INDEX('Valo FX'!$R:$R,MATCH($A15,'Valo FX'!$A:$A,0)),INDEX(Base!$V:$V,MATCH($A15,Base!$A:$A,0)),0)))</f>
        <v>11.803319999999999</v>
      </c>
      <c r="FS15" s="21">
        <f>IF(FS$1&lt;INDEX('Valo FX'!$Q:$Q,MATCH($A15,'Valo FX'!$A:$A,0)),0,IF(FS$1&lt;INDEX('Valo FX'!$R:$R,MATCH($A15,'Valo FX'!$A:$A,0)),INDEX(Base!$U:$U,MATCH($A15,Base!$A:$A,0)),IF(FS$1=INDEX('Valo FX'!$R:$R,MATCH($A15,'Valo FX'!$A:$A,0)),INDEX(Base!$V:$V,MATCH($A15,Base!$A:$A,0)),0)))</f>
        <v>11.803319999999999</v>
      </c>
      <c r="FT15" s="21">
        <f>IF(FT$1&lt;INDEX('Valo FX'!$Q:$Q,MATCH($A15,'Valo FX'!$A:$A,0)),0,IF(FT$1&lt;INDEX('Valo FX'!$R:$R,MATCH($A15,'Valo FX'!$A:$A,0)),INDEX(Base!$U:$U,MATCH($A15,Base!$A:$A,0)),IF(FT$1=INDEX('Valo FX'!$R:$R,MATCH($A15,'Valo FX'!$A:$A,0)),INDEX(Base!$V:$V,MATCH($A15,Base!$A:$A,0)),0)))</f>
        <v>11.803319999999999</v>
      </c>
      <c r="FU15" s="21">
        <f>IF(FU$1&lt;INDEX('Valo FX'!$Q:$Q,MATCH($A15,'Valo FX'!$A:$A,0)),0,IF(FU$1&lt;INDEX('Valo FX'!$R:$R,MATCH($A15,'Valo FX'!$A:$A,0)),INDEX(Base!$U:$U,MATCH($A15,Base!$A:$A,0)),IF(FU$1=INDEX('Valo FX'!$R:$R,MATCH($A15,'Valo FX'!$A:$A,0)),INDEX(Base!$V:$V,MATCH($A15,Base!$A:$A,0)),0)))</f>
        <v>11.803319999999999</v>
      </c>
      <c r="FV15" s="21">
        <f>IF(FV$1&lt;INDEX('Valo FX'!$Q:$Q,MATCH($A15,'Valo FX'!$A:$A,0)),0,IF(FV$1&lt;INDEX('Valo FX'!$R:$R,MATCH($A15,'Valo FX'!$A:$A,0)),INDEX(Base!$U:$U,MATCH($A15,Base!$A:$A,0)),IF(FV$1=INDEX('Valo FX'!$R:$R,MATCH($A15,'Valo FX'!$A:$A,0)),INDEX(Base!$V:$V,MATCH($A15,Base!$A:$A,0)),0)))</f>
        <v>11.803319999999999</v>
      </c>
      <c r="FW15" s="21">
        <f>IF(FW$1&lt;INDEX('Valo FX'!$Q:$Q,MATCH($A15,'Valo FX'!$A:$A,0)),0,IF(FW$1&lt;INDEX('Valo FX'!$R:$R,MATCH($A15,'Valo FX'!$A:$A,0)),INDEX(Base!$U:$U,MATCH($A15,Base!$A:$A,0)),IF(FW$1=INDEX('Valo FX'!$R:$R,MATCH($A15,'Valo FX'!$A:$A,0)),INDEX(Base!$V:$V,MATCH($A15,Base!$A:$A,0)),0)))</f>
        <v>11.803319999999999</v>
      </c>
      <c r="FX15" s="21">
        <f>IF(FX$1&lt;INDEX('Valo FX'!$Q:$Q,MATCH($A15,'Valo FX'!$A:$A,0)),0,IF(FX$1&lt;INDEX('Valo FX'!$R:$R,MATCH($A15,'Valo FX'!$A:$A,0)),INDEX(Base!$U:$U,MATCH($A15,Base!$A:$A,0)),IF(FX$1=INDEX('Valo FX'!$R:$R,MATCH($A15,'Valo FX'!$A:$A,0)),INDEX(Base!$V:$V,MATCH($A15,Base!$A:$A,0)),0)))</f>
        <v>11.803319999999999</v>
      </c>
      <c r="FY15" s="21">
        <f>IF(FY$1&lt;INDEX('Valo FX'!$Q:$Q,MATCH($A15,'Valo FX'!$A:$A,0)),0,IF(FY$1&lt;INDEX('Valo FX'!$R:$R,MATCH($A15,'Valo FX'!$A:$A,0)),INDEX(Base!$U:$U,MATCH($A15,Base!$A:$A,0)),IF(FY$1=INDEX('Valo FX'!$R:$R,MATCH($A15,'Valo FX'!$A:$A,0)),INDEX(Base!$V:$V,MATCH($A15,Base!$A:$A,0)),0)))</f>
        <v>11.803319999999999</v>
      </c>
      <c r="FZ15" s="21">
        <f>IF(FZ$1&lt;INDEX('Valo FX'!$Q:$Q,MATCH($A15,'Valo FX'!$A:$A,0)),0,IF(FZ$1&lt;INDEX('Valo FX'!$R:$R,MATCH($A15,'Valo FX'!$A:$A,0)),INDEX(Base!$U:$U,MATCH($A15,Base!$A:$A,0)),IF(FZ$1=INDEX('Valo FX'!$R:$R,MATCH($A15,'Valo FX'!$A:$A,0)),INDEX(Base!$V:$V,MATCH($A15,Base!$A:$A,0)),0)))</f>
        <v>11.803319999999999</v>
      </c>
      <c r="GA15" s="21">
        <f>IF(GA$1&lt;INDEX('Valo FX'!$Q:$Q,MATCH($A15,'Valo FX'!$A:$A,0)),0,IF(GA$1&lt;INDEX('Valo FX'!$R:$R,MATCH($A15,'Valo FX'!$A:$A,0)),INDEX(Base!$U:$U,MATCH($A15,Base!$A:$A,0)),IF(GA$1=INDEX('Valo FX'!$R:$R,MATCH($A15,'Valo FX'!$A:$A,0)),INDEX(Base!$V:$V,MATCH($A15,Base!$A:$A,0)),0)))</f>
        <v>11.803319999999999</v>
      </c>
      <c r="GB15" s="21">
        <f>IF(GB$1&lt;INDEX('Valo FX'!$Q:$Q,MATCH($A15,'Valo FX'!$A:$A,0)),0,IF(GB$1&lt;INDEX('Valo FX'!$R:$R,MATCH($A15,'Valo FX'!$A:$A,0)),INDEX(Base!$U:$U,MATCH($A15,Base!$A:$A,0)),IF(GB$1=INDEX('Valo FX'!$R:$R,MATCH($A15,'Valo FX'!$A:$A,0)),INDEX(Base!$V:$V,MATCH($A15,Base!$A:$A,0)),0)))</f>
        <v>11.803319999999999</v>
      </c>
      <c r="GC15" s="21">
        <f>IF(GC$1&lt;INDEX('Valo FX'!$Q:$Q,MATCH($A15,'Valo FX'!$A:$A,0)),0,IF(GC$1&lt;INDEX('Valo FX'!$R:$R,MATCH($A15,'Valo FX'!$A:$A,0)),INDEX(Base!$U:$U,MATCH($A15,Base!$A:$A,0)),IF(GC$1=INDEX('Valo FX'!$R:$R,MATCH($A15,'Valo FX'!$A:$A,0)),INDEX(Base!$V:$V,MATCH($A15,Base!$A:$A,0)),0)))</f>
        <v>11.803319999999999</v>
      </c>
      <c r="GD15" s="21">
        <f>IF(GD$1&lt;INDEX('Valo FX'!$Q:$Q,MATCH($A15,'Valo FX'!$A:$A,0)),0,IF(GD$1&lt;INDEX('Valo FX'!$R:$R,MATCH($A15,'Valo FX'!$A:$A,0)),INDEX(Base!$U:$U,MATCH($A15,Base!$A:$A,0)),IF(GD$1=INDEX('Valo FX'!$R:$R,MATCH($A15,'Valo FX'!$A:$A,0)),INDEX(Base!$V:$V,MATCH($A15,Base!$A:$A,0)),0)))</f>
        <v>11.803319999999999</v>
      </c>
      <c r="GE15" s="21">
        <f>IF(GE$1&lt;INDEX('Valo FX'!$Q:$Q,MATCH($A15,'Valo FX'!$A:$A,0)),0,IF(GE$1&lt;INDEX('Valo FX'!$R:$R,MATCH($A15,'Valo FX'!$A:$A,0)),INDEX(Base!$U:$U,MATCH($A15,Base!$A:$A,0)),IF(GE$1=INDEX('Valo FX'!$R:$R,MATCH($A15,'Valo FX'!$A:$A,0)),INDEX(Base!$V:$V,MATCH($A15,Base!$A:$A,0)),0)))</f>
        <v>11.803319999999999</v>
      </c>
      <c r="GF15" s="21">
        <f>IF(GF$1&lt;INDEX('Valo FX'!$Q:$Q,MATCH($A15,'Valo FX'!$A:$A,0)),0,IF(GF$1&lt;INDEX('Valo FX'!$R:$R,MATCH($A15,'Valo FX'!$A:$A,0)),INDEX(Base!$U:$U,MATCH($A15,Base!$A:$A,0)),IF(GF$1=INDEX('Valo FX'!$R:$R,MATCH($A15,'Valo FX'!$A:$A,0)),INDEX(Base!$V:$V,MATCH($A15,Base!$A:$A,0)),0)))</f>
        <v>11.803319999999999</v>
      </c>
      <c r="GG15" s="21">
        <f>IF(GG$1&lt;INDEX('Valo FX'!$Q:$Q,MATCH($A15,'Valo FX'!$A:$A,0)),0,IF(GG$1&lt;INDEX('Valo FX'!$R:$R,MATCH($A15,'Valo FX'!$A:$A,0)),INDEX(Base!$U:$U,MATCH($A15,Base!$A:$A,0)),IF(GG$1=INDEX('Valo FX'!$R:$R,MATCH($A15,'Valo FX'!$A:$A,0)),INDEX(Base!$V:$V,MATCH($A15,Base!$A:$A,0)),0)))</f>
        <v>11.803319999999999</v>
      </c>
      <c r="GH15" s="21">
        <f>IF(GH$1&lt;INDEX('Valo FX'!$Q:$Q,MATCH($A15,'Valo FX'!$A:$A,0)),0,IF(GH$1&lt;INDEX('Valo FX'!$R:$R,MATCH($A15,'Valo FX'!$A:$A,0)),INDEX(Base!$U:$U,MATCH($A15,Base!$A:$A,0)),IF(GH$1=INDEX('Valo FX'!$R:$R,MATCH($A15,'Valo FX'!$A:$A,0)),INDEX(Base!$V:$V,MATCH($A15,Base!$A:$A,0)),0)))</f>
        <v>11.803319999999999</v>
      </c>
      <c r="GI15" s="21">
        <f>IF(GI$1&lt;INDEX('Valo FX'!$Q:$Q,MATCH($A15,'Valo FX'!$A:$A,0)),0,IF(GI$1&lt;INDEX('Valo FX'!$R:$R,MATCH($A15,'Valo FX'!$A:$A,0)),INDEX(Base!$U:$U,MATCH($A15,Base!$A:$A,0)),IF(GI$1=INDEX('Valo FX'!$R:$R,MATCH($A15,'Valo FX'!$A:$A,0)),INDEX(Base!$V:$V,MATCH($A15,Base!$A:$A,0)),0)))</f>
        <v>11.803319999999999</v>
      </c>
      <c r="GJ15" s="21">
        <f>IF(GJ$1&lt;INDEX('Valo FX'!$Q:$Q,MATCH($A15,'Valo FX'!$A:$A,0)),0,IF(GJ$1&lt;INDEX('Valo FX'!$R:$R,MATCH($A15,'Valo FX'!$A:$A,0)),INDEX(Base!$U:$U,MATCH($A15,Base!$A:$A,0)),IF(GJ$1=INDEX('Valo FX'!$R:$R,MATCH($A15,'Valo FX'!$A:$A,0)),INDEX(Base!$V:$V,MATCH($A15,Base!$A:$A,0)),0)))</f>
        <v>11.803319999999999</v>
      </c>
      <c r="GK15" s="21">
        <f>IF(GK$1&lt;INDEX('Valo FX'!$Q:$Q,MATCH($A15,'Valo FX'!$A:$A,0)),0,IF(GK$1&lt;INDEX('Valo FX'!$R:$R,MATCH($A15,'Valo FX'!$A:$A,0)),INDEX(Base!$U:$U,MATCH($A15,Base!$A:$A,0)),IF(GK$1=INDEX('Valo FX'!$R:$R,MATCH($A15,'Valo FX'!$A:$A,0)),INDEX(Base!$V:$V,MATCH($A15,Base!$A:$A,0)),0)))</f>
        <v>11.803319999999999</v>
      </c>
      <c r="GL15" s="21">
        <f>IF(GL$1&lt;INDEX('Valo FX'!$Q:$Q,MATCH($A15,'Valo FX'!$A:$A,0)),0,IF(GL$1&lt;INDEX('Valo FX'!$R:$R,MATCH($A15,'Valo FX'!$A:$A,0)),INDEX(Base!$U:$U,MATCH($A15,Base!$A:$A,0)),IF(GL$1=INDEX('Valo FX'!$R:$R,MATCH($A15,'Valo FX'!$A:$A,0)),INDEX(Base!$V:$V,MATCH($A15,Base!$A:$A,0)),0)))</f>
        <v>11.803319999999999</v>
      </c>
      <c r="GM15" s="21">
        <f>IF(GM$1&lt;INDEX('Valo FX'!$Q:$Q,MATCH($A15,'Valo FX'!$A:$A,0)),0,IF(GM$1&lt;INDEX('Valo FX'!$R:$R,MATCH($A15,'Valo FX'!$A:$A,0)),INDEX(Base!$U:$U,MATCH($A15,Base!$A:$A,0)),IF(GM$1=INDEX('Valo FX'!$R:$R,MATCH($A15,'Valo FX'!$A:$A,0)),INDEX(Base!$V:$V,MATCH($A15,Base!$A:$A,0)),0)))</f>
        <v>11.803319999999999</v>
      </c>
      <c r="GN15" s="21">
        <f>IF(GN$1&lt;INDEX('Valo FX'!$Q:$Q,MATCH($A15,'Valo FX'!$A:$A,0)),0,IF(GN$1&lt;INDEX('Valo FX'!$R:$R,MATCH($A15,'Valo FX'!$A:$A,0)),INDEX(Base!$U:$U,MATCH($A15,Base!$A:$A,0)),IF(GN$1=INDEX('Valo FX'!$R:$R,MATCH($A15,'Valo FX'!$A:$A,0)),INDEX(Base!$V:$V,MATCH($A15,Base!$A:$A,0)),0)))</f>
        <v>11.803319999999999</v>
      </c>
      <c r="GO15" s="21">
        <f>IF(GO$1&lt;INDEX('Valo FX'!$Q:$Q,MATCH($A15,'Valo FX'!$A:$A,0)),0,IF(GO$1&lt;INDEX('Valo FX'!$R:$R,MATCH($A15,'Valo FX'!$A:$A,0)),INDEX(Base!$U:$U,MATCH($A15,Base!$A:$A,0)),IF(GO$1=INDEX('Valo FX'!$R:$R,MATCH($A15,'Valo FX'!$A:$A,0)),INDEX(Base!$V:$V,MATCH($A15,Base!$A:$A,0)),0)))</f>
        <v>11.803319999999999</v>
      </c>
      <c r="GP15" s="21">
        <f>IF(GP$1&lt;INDEX('Valo FX'!$Q:$Q,MATCH($A15,'Valo FX'!$A:$A,0)),0,IF(GP$1&lt;INDEX('Valo FX'!$R:$R,MATCH($A15,'Valo FX'!$A:$A,0)),INDEX(Base!$U:$U,MATCH($A15,Base!$A:$A,0)),IF(GP$1=INDEX('Valo FX'!$R:$R,MATCH($A15,'Valo FX'!$A:$A,0)),INDEX(Base!$V:$V,MATCH($A15,Base!$A:$A,0)),0)))</f>
        <v>11.803319999999999</v>
      </c>
      <c r="GQ15" s="21">
        <f>IF(GQ$1&lt;INDEX('Valo FX'!$Q:$Q,MATCH($A15,'Valo FX'!$A:$A,0)),0,IF(GQ$1&lt;INDEX('Valo FX'!$R:$R,MATCH($A15,'Valo FX'!$A:$A,0)),INDEX(Base!$U:$U,MATCH($A15,Base!$A:$A,0)),IF(GQ$1=INDEX('Valo FX'!$R:$R,MATCH($A15,'Valo FX'!$A:$A,0)),INDEX(Base!$V:$V,MATCH($A15,Base!$A:$A,0)),0)))</f>
        <v>11.803319999999999</v>
      </c>
      <c r="GR15" s="21">
        <f>IF(GR$1&lt;INDEX('Valo FX'!$Q:$Q,MATCH($A15,'Valo FX'!$A:$A,0)),0,IF(GR$1&lt;INDEX('Valo FX'!$R:$R,MATCH($A15,'Valo FX'!$A:$A,0)),INDEX(Base!$U:$U,MATCH($A15,Base!$A:$A,0)),IF(GR$1=INDEX('Valo FX'!$R:$R,MATCH($A15,'Valo FX'!$A:$A,0)),INDEX(Base!$V:$V,MATCH($A15,Base!$A:$A,0)),0)))</f>
        <v>11.803319999999999</v>
      </c>
      <c r="GS15" s="21">
        <f>IF(GS$1&lt;INDEX('Valo FX'!$Q:$Q,MATCH($A15,'Valo FX'!$A:$A,0)),0,IF(GS$1&lt;INDEX('Valo FX'!$R:$R,MATCH($A15,'Valo FX'!$A:$A,0)),INDEX(Base!$U:$U,MATCH($A15,Base!$A:$A,0)),IF(GS$1=INDEX('Valo FX'!$R:$R,MATCH($A15,'Valo FX'!$A:$A,0)),INDEX(Base!$V:$V,MATCH($A15,Base!$A:$A,0)),0)))</f>
        <v>11.803319999999999</v>
      </c>
      <c r="GT15" s="21">
        <f>IF(GT$1&lt;INDEX('Valo FX'!$Q:$Q,MATCH($A15,'Valo FX'!$A:$A,0)),0,IF(GT$1&lt;INDEX('Valo FX'!$R:$R,MATCH($A15,'Valo FX'!$A:$A,0)),INDEX(Base!$U:$U,MATCH($A15,Base!$A:$A,0)),IF(GT$1=INDEX('Valo FX'!$R:$R,MATCH($A15,'Valo FX'!$A:$A,0)),INDEX(Base!$V:$V,MATCH($A15,Base!$A:$A,0)),0)))</f>
        <v>11.803319999999999</v>
      </c>
      <c r="GU15" s="21">
        <f>IF(GU$1&lt;INDEX('Valo FX'!$Q:$Q,MATCH($A15,'Valo FX'!$A:$A,0)),0,IF(GU$1&lt;INDEX('Valo FX'!$R:$R,MATCH($A15,'Valo FX'!$A:$A,0)),INDEX(Base!$U:$U,MATCH($A15,Base!$A:$A,0)),IF(GU$1=INDEX('Valo FX'!$R:$R,MATCH($A15,'Valo FX'!$A:$A,0)),INDEX(Base!$V:$V,MATCH($A15,Base!$A:$A,0)),0)))</f>
        <v>11.803319999999999</v>
      </c>
      <c r="GV15" s="21">
        <f>IF(GV$1&lt;INDEX('Valo FX'!$Q:$Q,MATCH($A15,'Valo FX'!$A:$A,0)),0,IF(GV$1&lt;INDEX('Valo FX'!$R:$R,MATCH($A15,'Valo FX'!$A:$A,0)),INDEX(Base!$U:$U,MATCH($A15,Base!$A:$A,0)),IF(GV$1=INDEX('Valo FX'!$R:$R,MATCH($A15,'Valo FX'!$A:$A,0)),INDEX(Base!$V:$V,MATCH($A15,Base!$A:$A,0)),0)))</f>
        <v>11.803319999999999</v>
      </c>
      <c r="GW15" s="21">
        <f>IF(GW$1&lt;INDEX('Valo FX'!$Q:$Q,MATCH($A15,'Valo FX'!$A:$A,0)),0,IF(GW$1&lt;INDEX('Valo FX'!$R:$R,MATCH($A15,'Valo FX'!$A:$A,0)),INDEX(Base!$U:$U,MATCH($A15,Base!$A:$A,0)),IF(GW$1=INDEX('Valo FX'!$R:$R,MATCH($A15,'Valo FX'!$A:$A,0)),INDEX(Base!$V:$V,MATCH($A15,Base!$A:$A,0)),0)))</f>
        <v>11.803319999999999</v>
      </c>
      <c r="GX15" s="21">
        <f>IF(GX$1&lt;INDEX('Valo FX'!$Q:$Q,MATCH($A15,'Valo FX'!$A:$A,0)),0,IF(GX$1&lt;INDEX('Valo FX'!$R:$R,MATCH($A15,'Valo FX'!$A:$A,0)),INDEX(Base!$U:$U,MATCH($A15,Base!$A:$A,0)),IF(GX$1=INDEX('Valo FX'!$R:$R,MATCH($A15,'Valo FX'!$A:$A,0)),INDEX(Base!$V:$V,MATCH($A15,Base!$A:$A,0)),0)))</f>
        <v>11.803319999999999</v>
      </c>
      <c r="GY15" s="21">
        <f>IF(GY$1&lt;INDEX('Valo FX'!$Q:$Q,MATCH($A15,'Valo FX'!$A:$A,0)),0,IF(GY$1&lt;INDEX('Valo FX'!$R:$R,MATCH($A15,'Valo FX'!$A:$A,0)),INDEX(Base!$U:$U,MATCH($A15,Base!$A:$A,0)),IF(GY$1=INDEX('Valo FX'!$R:$R,MATCH($A15,'Valo FX'!$A:$A,0)),INDEX(Base!$V:$V,MATCH($A15,Base!$A:$A,0)),0)))</f>
        <v>11.803319999999999</v>
      </c>
      <c r="GZ15" s="21">
        <f>IF(GZ$1&lt;INDEX('Valo FX'!$Q:$Q,MATCH($A15,'Valo FX'!$A:$A,0)),0,IF(GZ$1&lt;INDEX('Valo FX'!$R:$R,MATCH($A15,'Valo FX'!$A:$A,0)),INDEX(Base!$U:$U,MATCH($A15,Base!$A:$A,0)),IF(GZ$1=INDEX('Valo FX'!$R:$R,MATCH($A15,'Valo FX'!$A:$A,0)),INDEX(Base!$V:$V,MATCH($A15,Base!$A:$A,0)),0)))</f>
        <v>11.803319999999999</v>
      </c>
      <c r="HA15" s="21">
        <f>IF(HA$1&lt;INDEX('Valo FX'!$Q:$Q,MATCH($A15,'Valo FX'!$A:$A,0)),0,IF(HA$1&lt;INDEX('Valo FX'!$R:$R,MATCH($A15,'Valo FX'!$A:$A,0)),INDEX(Base!$U:$U,MATCH($A15,Base!$A:$A,0)),IF(HA$1=INDEX('Valo FX'!$R:$R,MATCH($A15,'Valo FX'!$A:$A,0)),INDEX(Base!$V:$V,MATCH($A15,Base!$A:$A,0)),0)))</f>
        <v>11.803319999999999</v>
      </c>
      <c r="HB15" s="21">
        <f>IF(HB$1&lt;INDEX('Valo FX'!$Q:$Q,MATCH($A15,'Valo FX'!$A:$A,0)),0,IF(HB$1&lt;INDEX('Valo FX'!$R:$R,MATCH($A15,'Valo FX'!$A:$A,0)),INDEX(Base!$U:$U,MATCH($A15,Base!$A:$A,0)),IF(HB$1=INDEX('Valo FX'!$R:$R,MATCH($A15,'Valo FX'!$A:$A,0)),INDEX(Base!$V:$V,MATCH($A15,Base!$A:$A,0)),0)))</f>
        <v>11.803319999999999</v>
      </c>
      <c r="HC15" s="21">
        <f>IF(HC$1&lt;INDEX('Valo FX'!$Q:$Q,MATCH($A15,'Valo FX'!$A:$A,0)),0,IF(HC$1&lt;INDEX('Valo FX'!$R:$R,MATCH($A15,'Valo FX'!$A:$A,0)),INDEX(Base!$U:$U,MATCH($A15,Base!$A:$A,0)),IF(HC$1=INDEX('Valo FX'!$R:$R,MATCH($A15,'Valo FX'!$A:$A,0)),INDEX(Base!$V:$V,MATCH($A15,Base!$A:$A,0)),0)))</f>
        <v>11.803319999999999</v>
      </c>
      <c r="HD15" s="21">
        <f>IF(HD$1&lt;INDEX('Valo FX'!$Q:$Q,MATCH($A15,'Valo FX'!$A:$A,0)),0,IF(HD$1&lt;INDEX('Valo FX'!$R:$R,MATCH($A15,'Valo FX'!$A:$A,0)),INDEX(Base!$U:$U,MATCH($A15,Base!$A:$A,0)),IF(HD$1=INDEX('Valo FX'!$R:$R,MATCH($A15,'Valo FX'!$A:$A,0)),INDEX(Base!$V:$V,MATCH($A15,Base!$A:$A,0)),0)))</f>
        <v>11.803319999999999</v>
      </c>
      <c r="HE15" s="21">
        <f>IF(HE$1&lt;INDEX('Valo FX'!$Q:$Q,MATCH($A15,'Valo FX'!$A:$A,0)),0,IF(HE$1&lt;INDEX('Valo FX'!$R:$R,MATCH($A15,'Valo FX'!$A:$A,0)),INDEX(Base!$U:$U,MATCH($A15,Base!$A:$A,0)),IF(HE$1=INDEX('Valo FX'!$R:$R,MATCH($A15,'Valo FX'!$A:$A,0)),INDEX(Base!$V:$V,MATCH($A15,Base!$A:$A,0)),0)))</f>
        <v>11.803319999999999</v>
      </c>
      <c r="HF15" s="21">
        <f>IF(HF$1&lt;INDEX('Valo FX'!$Q:$Q,MATCH($A15,'Valo FX'!$A:$A,0)),0,IF(HF$1&lt;INDEX('Valo FX'!$R:$R,MATCH($A15,'Valo FX'!$A:$A,0)),INDEX(Base!$U:$U,MATCH($A15,Base!$A:$A,0)),IF(HF$1=INDEX('Valo FX'!$R:$R,MATCH($A15,'Valo FX'!$A:$A,0)),INDEX(Base!$V:$V,MATCH($A15,Base!$A:$A,0)),0)))</f>
        <v>11.803319999999999</v>
      </c>
      <c r="HG15" s="21">
        <f>IF(HG$1&lt;INDEX('Valo FX'!$Q:$Q,MATCH($A15,'Valo FX'!$A:$A,0)),0,IF(HG$1&lt;INDEX('Valo FX'!$R:$R,MATCH($A15,'Valo FX'!$A:$A,0)),INDEX(Base!$U:$U,MATCH($A15,Base!$A:$A,0)),IF(HG$1=INDEX('Valo FX'!$R:$R,MATCH($A15,'Valo FX'!$A:$A,0)),INDEX(Base!$V:$V,MATCH($A15,Base!$A:$A,0)),0)))</f>
        <v>11.803319999999999</v>
      </c>
      <c r="HH15" s="21">
        <f>IF(HH$1&lt;INDEX('Valo FX'!$Q:$Q,MATCH($A15,'Valo FX'!$A:$A,0)),0,IF(HH$1&lt;INDEX('Valo FX'!$R:$R,MATCH($A15,'Valo FX'!$A:$A,0)),INDEX(Base!$U:$U,MATCH($A15,Base!$A:$A,0)),IF(HH$1=INDEX('Valo FX'!$R:$R,MATCH($A15,'Valo FX'!$A:$A,0)),INDEX(Base!$V:$V,MATCH($A15,Base!$A:$A,0)),0)))</f>
        <v>11.803319999999999</v>
      </c>
      <c r="HI15" s="21">
        <f>IF(HI$1&lt;INDEX('Valo FX'!$Q:$Q,MATCH($A15,'Valo FX'!$A:$A,0)),0,IF(HI$1&lt;INDEX('Valo FX'!$R:$R,MATCH($A15,'Valo FX'!$A:$A,0)),INDEX(Base!$U:$U,MATCH($A15,Base!$A:$A,0)),IF(HI$1=INDEX('Valo FX'!$R:$R,MATCH($A15,'Valo FX'!$A:$A,0)),INDEX(Base!$V:$V,MATCH($A15,Base!$A:$A,0)),0)))</f>
        <v>11.803319999999999</v>
      </c>
      <c r="HJ15" s="21">
        <f>IF(HJ$1&lt;INDEX('Valo FX'!$Q:$Q,MATCH($A15,'Valo FX'!$A:$A,0)),0,IF(HJ$1&lt;INDEX('Valo FX'!$R:$R,MATCH($A15,'Valo FX'!$A:$A,0)),INDEX(Base!$U:$U,MATCH($A15,Base!$A:$A,0)),IF(HJ$1=INDEX('Valo FX'!$R:$R,MATCH($A15,'Valo FX'!$A:$A,0)),INDEX(Base!$V:$V,MATCH($A15,Base!$A:$A,0)),0)))</f>
        <v>11.803319999999999</v>
      </c>
      <c r="HK15" s="21">
        <f>IF(HK$1&lt;INDEX('Valo FX'!$Q:$Q,MATCH($A15,'Valo FX'!$A:$A,0)),0,IF(HK$1&lt;INDEX('Valo FX'!$R:$R,MATCH($A15,'Valo FX'!$A:$A,0)),INDEX(Base!$U:$U,MATCH($A15,Base!$A:$A,0)),IF(HK$1=INDEX('Valo FX'!$R:$R,MATCH($A15,'Valo FX'!$A:$A,0)),INDEX(Base!$V:$V,MATCH($A15,Base!$A:$A,0)),0)))</f>
        <v>11.803319999999999</v>
      </c>
      <c r="HL15" s="21">
        <f>IF(HL$1&lt;INDEX('Valo FX'!$Q:$Q,MATCH($A15,'Valo FX'!$A:$A,0)),0,IF(HL$1&lt;INDEX('Valo FX'!$R:$R,MATCH($A15,'Valo FX'!$A:$A,0)),INDEX(Base!$U:$U,MATCH($A15,Base!$A:$A,0)),IF(HL$1=INDEX('Valo FX'!$R:$R,MATCH($A15,'Valo FX'!$A:$A,0)),INDEX(Base!$V:$V,MATCH($A15,Base!$A:$A,0)),0)))</f>
        <v>11.803319999999999</v>
      </c>
      <c r="HM15" s="21">
        <f>IF(HM$1&lt;INDEX('Valo FX'!$Q:$Q,MATCH($A15,'Valo FX'!$A:$A,0)),0,IF(HM$1&lt;INDEX('Valo FX'!$R:$R,MATCH($A15,'Valo FX'!$A:$A,0)),INDEX(Base!$U:$U,MATCH($A15,Base!$A:$A,0)),IF(HM$1=INDEX('Valo FX'!$R:$R,MATCH($A15,'Valo FX'!$A:$A,0)),INDEX(Base!$V:$V,MATCH($A15,Base!$A:$A,0)),0)))</f>
        <v>11.803319999999999</v>
      </c>
      <c r="HN15" s="21">
        <f>IF(HN$1&lt;INDEX('Valo FX'!$Q:$Q,MATCH($A15,'Valo FX'!$A:$A,0)),0,IF(HN$1&lt;INDEX('Valo FX'!$R:$R,MATCH($A15,'Valo FX'!$A:$A,0)),INDEX(Base!$U:$U,MATCH($A15,Base!$A:$A,0)),IF(HN$1=INDEX('Valo FX'!$R:$R,MATCH($A15,'Valo FX'!$A:$A,0)),INDEX(Base!$V:$V,MATCH($A15,Base!$A:$A,0)),0)))</f>
        <v>11.803319999999999</v>
      </c>
      <c r="HO15" s="21">
        <f>IF(HO$1&lt;INDEX('Valo FX'!$Q:$Q,MATCH($A15,'Valo FX'!$A:$A,0)),0,IF(HO$1&lt;INDEX('Valo FX'!$R:$R,MATCH($A15,'Valo FX'!$A:$A,0)),INDEX(Base!$U:$U,MATCH($A15,Base!$A:$A,0)),IF(HO$1=INDEX('Valo FX'!$R:$R,MATCH($A15,'Valo FX'!$A:$A,0)),INDEX(Base!$V:$V,MATCH($A15,Base!$A:$A,0)),0)))</f>
        <v>11.803319999999999</v>
      </c>
      <c r="HP15" s="21">
        <f>IF(HP$1&lt;INDEX('Valo FX'!$Q:$Q,MATCH($A15,'Valo FX'!$A:$A,0)),0,IF(HP$1&lt;INDEX('Valo FX'!$R:$R,MATCH($A15,'Valo FX'!$A:$A,0)),INDEX(Base!$U:$U,MATCH($A15,Base!$A:$A,0)),IF(HP$1=INDEX('Valo FX'!$R:$R,MATCH($A15,'Valo FX'!$A:$A,0)),INDEX(Base!$V:$V,MATCH($A15,Base!$A:$A,0)),0)))</f>
        <v>11.803319999999999</v>
      </c>
      <c r="HQ15" s="21">
        <f>IF(HQ$1&lt;INDEX('Valo FX'!$Q:$Q,MATCH($A15,'Valo FX'!$A:$A,0)),0,IF(HQ$1&lt;INDEX('Valo FX'!$R:$R,MATCH($A15,'Valo FX'!$A:$A,0)),INDEX(Base!$U:$U,MATCH($A15,Base!$A:$A,0)),IF(HQ$1=INDEX('Valo FX'!$R:$R,MATCH($A15,'Valo FX'!$A:$A,0)),INDEX(Base!$V:$V,MATCH($A15,Base!$A:$A,0)),0)))</f>
        <v>11.803319999999999</v>
      </c>
      <c r="HR15" s="21">
        <f>IF(HR$1&lt;INDEX('Valo FX'!$Q:$Q,MATCH($A15,'Valo FX'!$A:$A,0)),0,IF(HR$1&lt;INDEX('Valo FX'!$R:$R,MATCH($A15,'Valo FX'!$A:$A,0)),INDEX(Base!$U:$U,MATCH($A15,Base!$A:$A,0)),IF(HR$1=INDEX('Valo FX'!$R:$R,MATCH($A15,'Valo FX'!$A:$A,0)),INDEX(Base!$V:$V,MATCH($A15,Base!$A:$A,0)),0)))</f>
        <v>11.803319999999999</v>
      </c>
      <c r="HS15" s="21">
        <f>IF(HS$1&lt;INDEX('Valo FX'!$Q:$Q,MATCH($A15,'Valo FX'!$A:$A,0)),0,IF(HS$1&lt;INDEX('Valo FX'!$R:$R,MATCH($A15,'Valo FX'!$A:$A,0)),INDEX(Base!$U:$U,MATCH($A15,Base!$A:$A,0)),IF(HS$1=INDEX('Valo FX'!$R:$R,MATCH($A15,'Valo FX'!$A:$A,0)),INDEX(Base!$V:$V,MATCH($A15,Base!$A:$A,0)),0)))</f>
        <v>11.803319999999999</v>
      </c>
      <c r="HT15" s="21">
        <f>IF(HT$1&lt;INDEX('Valo FX'!$Q:$Q,MATCH($A15,'Valo FX'!$A:$A,0)),0,IF(HT$1&lt;INDEX('Valo FX'!$R:$R,MATCH($A15,'Valo FX'!$A:$A,0)),INDEX(Base!$U:$U,MATCH($A15,Base!$A:$A,0)),IF(HT$1=INDEX('Valo FX'!$R:$R,MATCH($A15,'Valo FX'!$A:$A,0)),INDEX(Base!$V:$V,MATCH($A15,Base!$A:$A,0)),0)))</f>
        <v>11.803319999999999</v>
      </c>
      <c r="HU15" s="21">
        <f>IF(HU$1&lt;INDEX('Valo FX'!$Q:$Q,MATCH($A15,'Valo FX'!$A:$A,0)),0,IF(HU$1&lt;INDEX('Valo FX'!$R:$R,MATCH($A15,'Valo FX'!$A:$A,0)),INDEX(Base!$U:$U,MATCH($A15,Base!$A:$A,0)),IF(HU$1=INDEX('Valo FX'!$R:$R,MATCH($A15,'Valo FX'!$A:$A,0)),INDEX(Base!$V:$V,MATCH($A15,Base!$A:$A,0)),0)))</f>
        <v>11.803319999999999</v>
      </c>
      <c r="HV15" s="21">
        <f>IF(HV$1&lt;INDEX('Valo FX'!$Q:$Q,MATCH($A15,'Valo FX'!$A:$A,0)),0,IF(HV$1&lt;INDEX('Valo FX'!$R:$R,MATCH($A15,'Valo FX'!$A:$A,0)),INDEX(Base!$U:$U,MATCH($A15,Base!$A:$A,0)),IF(HV$1=INDEX('Valo FX'!$R:$R,MATCH($A15,'Valo FX'!$A:$A,0)),INDEX(Base!$V:$V,MATCH($A15,Base!$A:$A,0)),0)))</f>
        <v>11.803319999999999</v>
      </c>
      <c r="HW15" s="21">
        <f>IF(HW$1&lt;INDEX('Valo FX'!$Q:$Q,MATCH($A15,'Valo FX'!$A:$A,0)),0,IF(HW$1&lt;INDEX('Valo FX'!$R:$R,MATCH($A15,'Valo FX'!$A:$A,0)),INDEX(Base!$U:$U,MATCH($A15,Base!$A:$A,0)),IF(HW$1=INDEX('Valo FX'!$R:$R,MATCH($A15,'Valo FX'!$A:$A,0)),INDEX(Base!$V:$V,MATCH($A15,Base!$A:$A,0)),0)))</f>
        <v>11.803319999999999</v>
      </c>
      <c r="HX15" s="21">
        <f>IF(HX$1&lt;INDEX('Valo FX'!$Q:$Q,MATCH($A15,'Valo FX'!$A:$A,0)),0,IF(HX$1&lt;INDEX('Valo FX'!$R:$R,MATCH($A15,'Valo FX'!$A:$A,0)),INDEX(Base!$U:$U,MATCH($A15,Base!$A:$A,0)),IF(HX$1=INDEX('Valo FX'!$R:$R,MATCH($A15,'Valo FX'!$A:$A,0)),INDEX(Base!$V:$V,MATCH($A15,Base!$A:$A,0)),0)))</f>
        <v>11.803319999999999</v>
      </c>
      <c r="HY15" s="21">
        <f>IF(HY$1&lt;INDEX('Valo FX'!$Q:$Q,MATCH($A15,'Valo FX'!$A:$A,0)),0,IF(HY$1&lt;INDEX('Valo FX'!$R:$R,MATCH($A15,'Valo FX'!$A:$A,0)),INDEX(Base!$U:$U,MATCH($A15,Base!$A:$A,0)),IF(HY$1=INDEX('Valo FX'!$R:$R,MATCH($A15,'Valo FX'!$A:$A,0)),INDEX(Base!$V:$V,MATCH($A15,Base!$A:$A,0)),0)))</f>
        <v>11.803319999999999</v>
      </c>
      <c r="HZ15" s="21">
        <f>IF(HZ$1&lt;INDEX('Valo FX'!$Q:$Q,MATCH($A15,'Valo FX'!$A:$A,0)),0,IF(HZ$1&lt;INDEX('Valo FX'!$R:$R,MATCH($A15,'Valo FX'!$A:$A,0)),INDEX(Base!$U:$U,MATCH($A15,Base!$A:$A,0)),IF(HZ$1=INDEX('Valo FX'!$R:$R,MATCH($A15,'Valo FX'!$A:$A,0)),INDEX(Base!$V:$V,MATCH($A15,Base!$A:$A,0)),0)))</f>
        <v>11.803319999999999</v>
      </c>
      <c r="IA15" s="21">
        <f>IF(IA$1&lt;INDEX('Valo FX'!$Q:$Q,MATCH($A15,'Valo FX'!$A:$A,0)),0,IF(IA$1&lt;INDEX('Valo FX'!$R:$R,MATCH($A15,'Valo FX'!$A:$A,0)),INDEX(Base!$U:$U,MATCH($A15,Base!$A:$A,0)),IF(IA$1=INDEX('Valo FX'!$R:$R,MATCH($A15,'Valo FX'!$A:$A,0)),INDEX(Base!$V:$V,MATCH($A15,Base!$A:$A,0)),0)))</f>
        <v>11.803319999999999</v>
      </c>
      <c r="IB15" s="21">
        <f>IF(IB$1&lt;INDEX('Valo FX'!$Q:$Q,MATCH($A15,'Valo FX'!$A:$A,0)),0,IF(IB$1&lt;INDEX('Valo FX'!$R:$R,MATCH($A15,'Valo FX'!$A:$A,0)),INDEX(Base!$U:$U,MATCH($A15,Base!$A:$A,0)),IF(IB$1=INDEX('Valo FX'!$R:$R,MATCH($A15,'Valo FX'!$A:$A,0)),INDEX(Base!$V:$V,MATCH($A15,Base!$A:$A,0)),0)))</f>
        <v>11.803319999999999</v>
      </c>
      <c r="IC15" s="21">
        <f>IF(IC$1&lt;INDEX('Valo FX'!$Q:$Q,MATCH($A15,'Valo FX'!$A:$A,0)),0,IF(IC$1&lt;INDEX('Valo FX'!$R:$R,MATCH($A15,'Valo FX'!$A:$A,0)),INDEX(Base!$U:$U,MATCH($A15,Base!$A:$A,0)),IF(IC$1=INDEX('Valo FX'!$R:$R,MATCH($A15,'Valo FX'!$A:$A,0)),INDEX(Base!$V:$V,MATCH($A15,Base!$A:$A,0)),0)))</f>
        <v>11.803319999999999</v>
      </c>
      <c r="ID15" s="21">
        <f>IF(ID$1&lt;INDEX('Valo FX'!$Q:$Q,MATCH($A15,'Valo FX'!$A:$A,0)),0,IF(ID$1&lt;INDEX('Valo FX'!$R:$R,MATCH($A15,'Valo FX'!$A:$A,0)),INDEX(Base!$U:$U,MATCH($A15,Base!$A:$A,0)),IF(ID$1=INDEX('Valo FX'!$R:$R,MATCH($A15,'Valo FX'!$A:$A,0)),INDEX(Base!$V:$V,MATCH($A15,Base!$A:$A,0)),0)))</f>
        <v>11.803319999999999</v>
      </c>
      <c r="IE15" s="21">
        <f>IF(IE$1&lt;INDEX('Valo FX'!$Q:$Q,MATCH($A15,'Valo FX'!$A:$A,0)),0,IF(IE$1&lt;INDEX('Valo FX'!$R:$R,MATCH($A15,'Valo FX'!$A:$A,0)),INDEX(Base!$U:$U,MATCH($A15,Base!$A:$A,0)),IF(IE$1=INDEX('Valo FX'!$R:$R,MATCH($A15,'Valo FX'!$A:$A,0)),INDEX(Base!$V:$V,MATCH($A15,Base!$A:$A,0)),0)))</f>
        <v>11.803319999999999</v>
      </c>
      <c r="IF15" s="21">
        <f>IF(IF$1&lt;INDEX('Valo FX'!$Q:$Q,MATCH($A15,'Valo FX'!$A:$A,0)),0,IF(IF$1&lt;INDEX('Valo FX'!$R:$R,MATCH($A15,'Valo FX'!$A:$A,0)),INDEX(Base!$U:$U,MATCH($A15,Base!$A:$A,0)),IF(IF$1=INDEX('Valo FX'!$R:$R,MATCH($A15,'Valo FX'!$A:$A,0)),INDEX(Base!$V:$V,MATCH($A15,Base!$A:$A,0)),0)))</f>
        <v>11.803319999999999</v>
      </c>
      <c r="IG15" s="21">
        <f>IF(IG$1&lt;INDEX('Valo FX'!$Q:$Q,MATCH($A15,'Valo FX'!$A:$A,0)),0,IF(IG$1&lt;INDEX('Valo FX'!$R:$R,MATCH($A15,'Valo FX'!$A:$A,0)),INDEX(Base!$U:$U,MATCH($A15,Base!$A:$A,0)),IF(IG$1=INDEX('Valo FX'!$R:$R,MATCH($A15,'Valo FX'!$A:$A,0)),INDEX(Base!$V:$V,MATCH($A15,Base!$A:$A,0)),0)))</f>
        <v>11.803319999999999</v>
      </c>
      <c r="IH15" s="21">
        <f>IF(IH$1&lt;INDEX('Valo FX'!$Q:$Q,MATCH($A15,'Valo FX'!$A:$A,0)),0,IF(IH$1&lt;INDEX('Valo FX'!$R:$R,MATCH($A15,'Valo FX'!$A:$A,0)),INDEX(Base!$U:$U,MATCH($A15,Base!$A:$A,0)),IF(IH$1=INDEX('Valo FX'!$R:$R,MATCH($A15,'Valo FX'!$A:$A,0)),INDEX(Base!$V:$V,MATCH($A15,Base!$A:$A,0)),0)))</f>
        <v>11.803319999999999</v>
      </c>
      <c r="II15" s="21">
        <f>IF(II$1&lt;INDEX('Valo FX'!$Q:$Q,MATCH($A15,'Valo FX'!$A:$A,0)),0,IF(II$1&lt;INDEX('Valo FX'!$R:$R,MATCH($A15,'Valo FX'!$A:$A,0)),INDEX(Base!$U:$U,MATCH($A15,Base!$A:$A,0)),IF(II$1=INDEX('Valo FX'!$R:$R,MATCH($A15,'Valo FX'!$A:$A,0)),INDEX(Base!$V:$V,MATCH($A15,Base!$A:$A,0)),0)))</f>
        <v>11.803319999999999</v>
      </c>
      <c r="IJ15" s="21">
        <f>IF(IJ$1&lt;INDEX('Valo FX'!$Q:$Q,MATCH($A15,'Valo FX'!$A:$A,0)),0,IF(IJ$1&lt;INDEX('Valo FX'!$R:$R,MATCH($A15,'Valo FX'!$A:$A,0)),INDEX(Base!$U:$U,MATCH($A15,Base!$A:$A,0)),IF(IJ$1=INDEX('Valo FX'!$R:$R,MATCH($A15,'Valo FX'!$A:$A,0)),INDEX(Base!$V:$V,MATCH($A15,Base!$A:$A,0)),0)))</f>
        <v>11.803319999999999</v>
      </c>
      <c r="IK15" s="21">
        <f>IF(IK$1&lt;INDEX('Valo FX'!$Q:$Q,MATCH($A15,'Valo FX'!$A:$A,0)),0,IF(IK$1&lt;INDEX('Valo FX'!$R:$R,MATCH($A15,'Valo FX'!$A:$A,0)),INDEX(Base!$U:$U,MATCH($A15,Base!$A:$A,0)),IF(IK$1=INDEX('Valo FX'!$R:$R,MATCH($A15,'Valo FX'!$A:$A,0)),INDEX(Base!$V:$V,MATCH($A15,Base!$A:$A,0)),0)))</f>
        <v>11.803319999999999</v>
      </c>
      <c r="IL15" s="21">
        <f>IF(IL$1&lt;INDEX('Valo FX'!$Q:$Q,MATCH($A15,'Valo FX'!$A:$A,0)),0,IF(IL$1&lt;INDEX('Valo FX'!$R:$R,MATCH($A15,'Valo FX'!$A:$A,0)),INDEX(Base!$U:$U,MATCH($A15,Base!$A:$A,0)),IF(IL$1=INDEX('Valo FX'!$R:$R,MATCH($A15,'Valo FX'!$A:$A,0)),INDEX(Base!$V:$V,MATCH($A15,Base!$A:$A,0)),0)))</f>
        <v>11.803319999999999</v>
      </c>
      <c r="IM15" s="21">
        <f>IF(IM$1&lt;INDEX('Valo FX'!$Q:$Q,MATCH($A15,'Valo FX'!$A:$A,0)),0,IF(IM$1&lt;INDEX('Valo FX'!$R:$R,MATCH($A15,'Valo FX'!$A:$A,0)),INDEX(Base!$U:$U,MATCH($A15,Base!$A:$A,0)),IF(IM$1=INDEX('Valo FX'!$R:$R,MATCH($A15,'Valo FX'!$A:$A,0)),INDEX(Base!$V:$V,MATCH($A15,Base!$A:$A,0)),0)))</f>
        <v>11.803319999999999</v>
      </c>
      <c r="IN15" s="21">
        <f>IF(IN$1&lt;INDEX('Valo FX'!$Q:$Q,MATCH($A15,'Valo FX'!$A:$A,0)),0,IF(IN$1&lt;INDEX('Valo FX'!$R:$R,MATCH($A15,'Valo FX'!$A:$A,0)),INDEX(Base!$U:$U,MATCH($A15,Base!$A:$A,0)),IF(IN$1=INDEX('Valo FX'!$R:$R,MATCH($A15,'Valo FX'!$A:$A,0)),INDEX(Base!$V:$V,MATCH($A15,Base!$A:$A,0)),0)))</f>
        <v>11.803319999999999</v>
      </c>
      <c r="IO15" s="21">
        <f>IF(IO$1&lt;INDEX('Valo FX'!$Q:$Q,MATCH($A15,'Valo FX'!$A:$A,0)),0,IF(IO$1&lt;INDEX('Valo FX'!$R:$R,MATCH($A15,'Valo FX'!$A:$A,0)),INDEX(Base!$U:$U,MATCH($A15,Base!$A:$A,0)),IF(IO$1=INDEX('Valo FX'!$R:$R,MATCH($A15,'Valo FX'!$A:$A,0)),INDEX(Base!$V:$V,MATCH($A15,Base!$A:$A,0)),0)))</f>
        <v>11.803319999999999</v>
      </c>
      <c r="IP15" s="21">
        <f>IF(IP$1&lt;INDEX('Valo FX'!$Q:$Q,MATCH($A15,'Valo FX'!$A:$A,0)),0,IF(IP$1&lt;INDEX('Valo FX'!$R:$R,MATCH($A15,'Valo FX'!$A:$A,0)),INDEX(Base!$U:$U,MATCH($A15,Base!$A:$A,0)),IF(IP$1=INDEX('Valo FX'!$R:$R,MATCH($A15,'Valo FX'!$A:$A,0)),INDEX(Base!$V:$V,MATCH($A15,Base!$A:$A,0)),0)))</f>
        <v>11.803319999999999</v>
      </c>
      <c r="IQ15" s="21">
        <f>IF(IQ$1&lt;INDEX('Valo FX'!$Q:$Q,MATCH($A15,'Valo FX'!$A:$A,0)),0,IF(IQ$1&lt;INDEX('Valo FX'!$R:$R,MATCH($A15,'Valo FX'!$A:$A,0)),INDEX(Base!$U:$U,MATCH($A15,Base!$A:$A,0)),IF(IQ$1=INDEX('Valo FX'!$R:$R,MATCH($A15,'Valo FX'!$A:$A,0)),INDEX(Base!$V:$V,MATCH($A15,Base!$A:$A,0)),0)))</f>
        <v>11.803319999999999</v>
      </c>
      <c r="IR15" s="21">
        <f>IF(IR$1&lt;INDEX('Valo FX'!$Q:$Q,MATCH($A15,'Valo FX'!$A:$A,0)),0,IF(IR$1&lt;INDEX('Valo FX'!$R:$R,MATCH($A15,'Valo FX'!$A:$A,0)),INDEX(Base!$U:$U,MATCH($A15,Base!$A:$A,0)),IF(IR$1=INDEX('Valo FX'!$R:$R,MATCH($A15,'Valo FX'!$A:$A,0)),INDEX(Base!$V:$V,MATCH($A15,Base!$A:$A,0)),0)))</f>
        <v>11.803319999999999</v>
      </c>
      <c r="IS15" s="21">
        <f>IF(IS$1&lt;INDEX('Valo FX'!$Q:$Q,MATCH($A15,'Valo FX'!$A:$A,0)),0,IF(IS$1&lt;INDEX('Valo FX'!$R:$R,MATCH($A15,'Valo FX'!$A:$A,0)),INDEX(Base!$U:$U,MATCH($A15,Base!$A:$A,0)),IF(IS$1=INDEX('Valo FX'!$R:$R,MATCH($A15,'Valo FX'!$A:$A,0)),INDEX(Base!$V:$V,MATCH($A15,Base!$A:$A,0)),0)))</f>
        <v>11.803319999999999</v>
      </c>
      <c r="IT15" s="21">
        <f>IF(IT$1&lt;INDEX('Valo FX'!$Q:$Q,MATCH($A15,'Valo FX'!$A:$A,0)),0,IF(IT$1&lt;INDEX('Valo FX'!$R:$R,MATCH($A15,'Valo FX'!$A:$A,0)),INDEX(Base!$U:$U,MATCH($A15,Base!$A:$A,0)),IF(IT$1=INDEX('Valo FX'!$R:$R,MATCH($A15,'Valo FX'!$A:$A,0)),INDEX(Base!$V:$V,MATCH($A15,Base!$A:$A,0)),0)))</f>
        <v>11.803319999999999</v>
      </c>
      <c r="IU15" s="21">
        <f>IF(IU$1&lt;INDEX('Valo FX'!$Q:$Q,MATCH($A15,'Valo FX'!$A:$A,0)),0,IF(IU$1&lt;INDEX('Valo FX'!$R:$R,MATCH($A15,'Valo FX'!$A:$A,0)),INDEX(Base!$U:$U,MATCH($A15,Base!$A:$A,0)),IF(IU$1=INDEX('Valo FX'!$R:$R,MATCH($A15,'Valo FX'!$A:$A,0)),INDEX(Base!$V:$V,MATCH($A15,Base!$A:$A,0)),0)))</f>
        <v>11.803319999999999</v>
      </c>
      <c r="IV15" s="21">
        <f>IF(IV$1&lt;INDEX('Valo FX'!$Q:$Q,MATCH($A15,'Valo FX'!$A:$A,0)),0,IF(IV$1&lt;INDEX('Valo FX'!$R:$R,MATCH($A15,'Valo FX'!$A:$A,0)),INDEX(Base!$U:$U,MATCH($A15,Base!$A:$A,0)),IF(IV$1=INDEX('Valo FX'!$R:$R,MATCH($A15,'Valo FX'!$A:$A,0)),INDEX(Base!$V:$V,MATCH($A15,Base!$A:$A,0)),0)))</f>
        <v>11.803319999999999</v>
      </c>
      <c r="IW15" s="21">
        <f>IF(IW$1&lt;INDEX('Valo FX'!$Q:$Q,MATCH($A15,'Valo FX'!$A:$A,0)),0,IF(IW$1&lt;INDEX('Valo FX'!$R:$R,MATCH($A15,'Valo FX'!$A:$A,0)),INDEX(Base!$U:$U,MATCH($A15,Base!$A:$A,0)),IF(IW$1=INDEX('Valo FX'!$R:$R,MATCH($A15,'Valo FX'!$A:$A,0)),INDEX(Base!$V:$V,MATCH($A15,Base!$A:$A,0)),0)))</f>
        <v>11.803319999999999</v>
      </c>
      <c r="IX15" s="21">
        <f>IF(IX$1&lt;INDEX('Valo FX'!$Q:$Q,MATCH($A15,'Valo FX'!$A:$A,0)),0,IF(IX$1&lt;INDEX('Valo FX'!$R:$R,MATCH($A15,'Valo FX'!$A:$A,0)),INDEX(Base!$U:$U,MATCH($A15,Base!$A:$A,0)),IF(IX$1=INDEX('Valo FX'!$R:$R,MATCH($A15,'Valo FX'!$A:$A,0)),INDEX(Base!$V:$V,MATCH($A15,Base!$A:$A,0)),0)))</f>
        <v>11.803319999999999</v>
      </c>
      <c r="IY15" s="21">
        <f>IF(IY$1&lt;INDEX('Valo FX'!$Q:$Q,MATCH($A15,'Valo FX'!$A:$A,0)),0,IF(IY$1&lt;INDEX('Valo FX'!$R:$R,MATCH($A15,'Valo FX'!$A:$A,0)),INDEX(Base!$U:$U,MATCH($A15,Base!$A:$A,0)),IF(IY$1=INDEX('Valo FX'!$R:$R,MATCH($A15,'Valo FX'!$A:$A,0)),INDEX(Base!$V:$V,MATCH($A15,Base!$A:$A,0)),0)))</f>
        <v>11.803319999999999</v>
      </c>
      <c r="IZ15" s="21">
        <f>IF(IZ$1&lt;INDEX('Valo FX'!$Q:$Q,MATCH($A15,'Valo FX'!$A:$A,0)),0,IF(IZ$1&lt;INDEX('Valo FX'!$R:$R,MATCH($A15,'Valo FX'!$A:$A,0)),INDEX(Base!$U:$U,MATCH($A15,Base!$A:$A,0)),IF(IZ$1=INDEX('Valo FX'!$R:$R,MATCH($A15,'Valo FX'!$A:$A,0)),INDEX(Base!$V:$V,MATCH($A15,Base!$A:$A,0)),0)))</f>
        <v>11.803319999999999</v>
      </c>
      <c r="JA15" s="21">
        <f>IF(JA$1&lt;INDEX('Valo FX'!$Q:$Q,MATCH($A15,'Valo FX'!$A:$A,0)),0,IF(JA$1&lt;INDEX('Valo FX'!$R:$R,MATCH($A15,'Valo FX'!$A:$A,0)),INDEX(Base!$U:$U,MATCH($A15,Base!$A:$A,0)),IF(JA$1=INDEX('Valo FX'!$R:$R,MATCH($A15,'Valo FX'!$A:$A,0)),INDEX(Base!$V:$V,MATCH($A15,Base!$A:$A,0)),0)))</f>
        <v>11.803319999999999</v>
      </c>
      <c r="JB15" s="21">
        <f>IF(JB$1&lt;INDEX('Valo FX'!$Q:$Q,MATCH($A15,'Valo FX'!$A:$A,0)),0,IF(JB$1&lt;INDEX('Valo FX'!$R:$R,MATCH($A15,'Valo FX'!$A:$A,0)),INDEX(Base!$U:$U,MATCH($A15,Base!$A:$A,0)),IF(JB$1=INDEX('Valo FX'!$R:$R,MATCH($A15,'Valo FX'!$A:$A,0)),INDEX(Base!$V:$V,MATCH($A15,Base!$A:$A,0)),0)))</f>
        <v>11.803319999999999</v>
      </c>
      <c r="JC15" s="21">
        <f>IF(JC$1&lt;INDEX('Valo FX'!$Q:$Q,MATCH($A15,'Valo FX'!$A:$A,0)),0,IF(JC$1&lt;INDEX('Valo FX'!$R:$R,MATCH($A15,'Valo FX'!$A:$A,0)),INDEX(Base!$U:$U,MATCH($A15,Base!$A:$A,0)),IF(JC$1=INDEX('Valo FX'!$R:$R,MATCH($A15,'Valo FX'!$A:$A,0)),INDEX(Base!$V:$V,MATCH($A15,Base!$A:$A,0)),0)))</f>
        <v>11.803319999999999</v>
      </c>
      <c r="JD15" s="21">
        <f>IF(JD$1&lt;INDEX('Valo FX'!$Q:$Q,MATCH($A15,'Valo FX'!$A:$A,0)),0,IF(JD$1&lt;INDEX('Valo FX'!$R:$R,MATCH($A15,'Valo FX'!$A:$A,0)),INDEX(Base!$U:$U,MATCH($A15,Base!$A:$A,0)),IF(JD$1=INDEX('Valo FX'!$R:$R,MATCH($A15,'Valo FX'!$A:$A,0)),INDEX(Base!$V:$V,MATCH($A15,Base!$A:$A,0)),0)))</f>
        <v>11.803319999999999</v>
      </c>
      <c r="JE15" s="21">
        <f>IF(JE$1&lt;INDEX('Valo FX'!$Q:$Q,MATCH($A15,'Valo FX'!$A:$A,0)),0,IF(JE$1&lt;INDEX('Valo FX'!$R:$R,MATCH($A15,'Valo FX'!$A:$A,0)),INDEX(Base!$U:$U,MATCH($A15,Base!$A:$A,0)),IF(JE$1=INDEX('Valo FX'!$R:$R,MATCH($A15,'Valo FX'!$A:$A,0)),INDEX(Base!$V:$V,MATCH($A15,Base!$A:$A,0)),0)))</f>
        <v>11.803319999999999</v>
      </c>
      <c r="JF15" s="21">
        <f>IF(JF$1&lt;INDEX('Valo FX'!$Q:$Q,MATCH($A15,'Valo FX'!$A:$A,0)),0,IF(JF$1&lt;INDEX('Valo FX'!$R:$R,MATCH($A15,'Valo FX'!$A:$A,0)),INDEX(Base!$U:$U,MATCH($A15,Base!$A:$A,0)),IF(JF$1=INDEX('Valo FX'!$R:$R,MATCH($A15,'Valo FX'!$A:$A,0)),INDEX(Base!$V:$V,MATCH($A15,Base!$A:$A,0)),0)))</f>
        <v>11.803319999999999</v>
      </c>
      <c r="JG15" s="21">
        <f>IF(JG$1&lt;INDEX('Valo FX'!$Q:$Q,MATCH($A15,'Valo FX'!$A:$A,0)),0,IF(JG$1&lt;INDEX('Valo FX'!$R:$R,MATCH($A15,'Valo FX'!$A:$A,0)),INDEX(Base!$U:$U,MATCH($A15,Base!$A:$A,0)),IF(JG$1=INDEX('Valo FX'!$R:$R,MATCH($A15,'Valo FX'!$A:$A,0)),INDEX(Base!$V:$V,MATCH($A15,Base!$A:$A,0)),0)))</f>
        <v>11.803319999999999</v>
      </c>
      <c r="JH15" s="21">
        <f>IF(JH$1&lt;INDEX('Valo FX'!$Q:$Q,MATCH($A15,'Valo FX'!$A:$A,0)),0,IF(JH$1&lt;INDEX('Valo FX'!$R:$R,MATCH($A15,'Valo FX'!$A:$A,0)),INDEX(Base!$U:$U,MATCH($A15,Base!$A:$A,0)),IF(JH$1=INDEX('Valo FX'!$R:$R,MATCH($A15,'Valo FX'!$A:$A,0)),INDEX(Base!$V:$V,MATCH($A15,Base!$A:$A,0)),0)))</f>
        <v>11.803319999999999</v>
      </c>
      <c r="JI15" s="21">
        <f>IF(JI$1&lt;INDEX('Valo FX'!$Q:$Q,MATCH($A15,'Valo FX'!$A:$A,0)),0,IF(JI$1&lt;INDEX('Valo FX'!$R:$R,MATCH($A15,'Valo FX'!$A:$A,0)),INDEX(Base!$U:$U,MATCH($A15,Base!$A:$A,0)),IF(JI$1=INDEX('Valo FX'!$R:$R,MATCH($A15,'Valo FX'!$A:$A,0)),INDEX(Base!$V:$V,MATCH($A15,Base!$A:$A,0)),0)))</f>
        <v>11.803319999999999</v>
      </c>
      <c r="JJ15" s="21">
        <f>IF(JJ$1&lt;INDEX('Valo FX'!$Q:$Q,MATCH($A15,'Valo FX'!$A:$A,0)),0,IF(JJ$1&lt;INDEX('Valo FX'!$R:$R,MATCH($A15,'Valo FX'!$A:$A,0)),INDEX(Base!$U:$U,MATCH($A15,Base!$A:$A,0)),IF(JJ$1=INDEX('Valo FX'!$R:$R,MATCH($A15,'Valo FX'!$A:$A,0)),INDEX(Base!$V:$V,MATCH($A15,Base!$A:$A,0)),0)))</f>
        <v>11.803319999999999</v>
      </c>
      <c r="JK15" s="21">
        <f>IF(JK$1&lt;INDEX('Valo FX'!$Q:$Q,MATCH($A15,'Valo FX'!$A:$A,0)),0,IF(JK$1&lt;INDEX('Valo FX'!$R:$R,MATCH($A15,'Valo FX'!$A:$A,0)),INDEX(Base!$U:$U,MATCH($A15,Base!$A:$A,0)),IF(JK$1=INDEX('Valo FX'!$R:$R,MATCH($A15,'Valo FX'!$A:$A,0)),INDEX(Base!$V:$V,MATCH($A15,Base!$A:$A,0)),0)))</f>
        <v>11.803319999999999</v>
      </c>
      <c r="JL15" s="21">
        <f>IF(JL$1&lt;INDEX('Valo FX'!$Q:$Q,MATCH($A15,'Valo FX'!$A:$A,0)),0,IF(JL$1&lt;INDEX('Valo FX'!$R:$R,MATCH($A15,'Valo FX'!$A:$A,0)),INDEX(Base!$U:$U,MATCH($A15,Base!$A:$A,0)),IF(JL$1=INDEX('Valo FX'!$R:$R,MATCH($A15,'Valo FX'!$A:$A,0)),INDEX(Base!$V:$V,MATCH($A15,Base!$A:$A,0)),0)))</f>
        <v>11.803319999999999</v>
      </c>
      <c r="JM15" s="21">
        <f>IF(JM$1&lt;INDEX('Valo FX'!$Q:$Q,MATCH($A15,'Valo FX'!$A:$A,0)),0,IF(JM$1&lt;INDEX('Valo FX'!$R:$R,MATCH($A15,'Valo FX'!$A:$A,0)),INDEX(Base!$U:$U,MATCH($A15,Base!$A:$A,0)),IF(JM$1=INDEX('Valo FX'!$R:$R,MATCH($A15,'Valo FX'!$A:$A,0)),INDEX(Base!$V:$V,MATCH($A15,Base!$A:$A,0)),0)))</f>
        <v>11.803319999999999</v>
      </c>
      <c r="JN15" s="21">
        <f>IF(JN$1&lt;INDEX('Valo FX'!$Q:$Q,MATCH($A15,'Valo FX'!$A:$A,0)),0,IF(JN$1&lt;INDEX('Valo FX'!$R:$R,MATCH($A15,'Valo FX'!$A:$A,0)),INDEX(Base!$U:$U,MATCH($A15,Base!$A:$A,0)),IF(JN$1=INDEX('Valo FX'!$R:$R,MATCH($A15,'Valo FX'!$A:$A,0)),INDEX(Base!$V:$V,MATCH($A15,Base!$A:$A,0)),0)))</f>
        <v>11.803319999999999</v>
      </c>
      <c r="JO15" s="21">
        <f>IF(JO$1&lt;INDEX('Valo FX'!$Q:$Q,MATCH($A15,'Valo FX'!$A:$A,0)),0,IF(JO$1&lt;INDEX('Valo FX'!$R:$R,MATCH($A15,'Valo FX'!$A:$A,0)),INDEX(Base!$U:$U,MATCH($A15,Base!$A:$A,0)),IF(JO$1=INDEX('Valo FX'!$R:$R,MATCH($A15,'Valo FX'!$A:$A,0)),INDEX(Base!$V:$V,MATCH($A15,Base!$A:$A,0)),0)))</f>
        <v>11.803319999999999</v>
      </c>
      <c r="JP15" s="21">
        <f>IF(JP$1&lt;INDEX('Valo FX'!$Q:$Q,MATCH($A15,'Valo FX'!$A:$A,0)),0,IF(JP$1&lt;INDEX('Valo FX'!$R:$R,MATCH($A15,'Valo FX'!$A:$A,0)),INDEX(Base!$U:$U,MATCH($A15,Base!$A:$A,0)),IF(JP$1=INDEX('Valo FX'!$R:$R,MATCH($A15,'Valo FX'!$A:$A,0)),INDEX(Base!$V:$V,MATCH($A15,Base!$A:$A,0)),0)))</f>
        <v>11.803319999999999</v>
      </c>
      <c r="JQ15" s="21">
        <f>IF(JQ$1&lt;INDEX('Valo FX'!$Q:$Q,MATCH($A15,'Valo FX'!$A:$A,0)),0,IF(JQ$1&lt;INDEX('Valo FX'!$R:$R,MATCH($A15,'Valo FX'!$A:$A,0)),INDEX(Base!$U:$U,MATCH($A15,Base!$A:$A,0)),IF(JQ$1=INDEX('Valo FX'!$R:$R,MATCH($A15,'Valo FX'!$A:$A,0)),INDEX(Base!$V:$V,MATCH($A15,Base!$A:$A,0)),0)))</f>
        <v>11.803319999999999</v>
      </c>
      <c r="JR15" s="21">
        <f>IF(JR$1&lt;INDEX('Valo FX'!$Q:$Q,MATCH($A15,'Valo FX'!$A:$A,0)),0,IF(JR$1&lt;INDEX('Valo FX'!$R:$R,MATCH($A15,'Valo FX'!$A:$A,0)),INDEX(Base!$U:$U,MATCH($A15,Base!$A:$A,0)),IF(JR$1=INDEX('Valo FX'!$R:$R,MATCH($A15,'Valo FX'!$A:$A,0)),INDEX(Base!$V:$V,MATCH($A15,Base!$A:$A,0)),0)))</f>
        <v>11.803319999999999</v>
      </c>
      <c r="JS15" s="21">
        <f>IF(JS$1&lt;INDEX('Valo FX'!$Q:$Q,MATCH($A15,'Valo FX'!$A:$A,0)),0,IF(JS$1&lt;INDEX('Valo FX'!$R:$R,MATCH($A15,'Valo FX'!$A:$A,0)),INDEX(Base!$U:$U,MATCH($A15,Base!$A:$A,0)),IF(JS$1=INDEX('Valo FX'!$R:$R,MATCH($A15,'Valo FX'!$A:$A,0)),INDEX(Base!$V:$V,MATCH($A15,Base!$A:$A,0)),0)))</f>
        <v>11.803319999999999</v>
      </c>
      <c r="JT15" s="21">
        <f>IF(JT$1&lt;INDEX('Valo FX'!$Q:$Q,MATCH($A15,'Valo FX'!$A:$A,0)),0,IF(JT$1&lt;INDEX('Valo FX'!$R:$R,MATCH($A15,'Valo FX'!$A:$A,0)),INDEX(Base!$U:$U,MATCH($A15,Base!$A:$A,0)),IF(JT$1=INDEX('Valo FX'!$R:$R,MATCH($A15,'Valo FX'!$A:$A,0)),INDEX(Base!$V:$V,MATCH($A15,Base!$A:$A,0)),0)))</f>
        <v>11.803319999999999</v>
      </c>
      <c r="JU15" s="21">
        <f>IF(JU$1&lt;INDEX('Valo FX'!$Q:$Q,MATCH($A15,'Valo FX'!$A:$A,0)),0,IF(JU$1&lt;INDEX('Valo FX'!$R:$R,MATCH($A15,'Valo FX'!$A:$A,0)),INDEX(Base!$U:$U,MATCH($A15,Base!$A:$A,0)),IF(JU$1=INDEX('Valo FX'!$R:$R,MATCH($A15,'Valo FX'!$A:$A,0)),INDEX(Base!$V:$V,MATCH($A15,Base!$A:$A,0)),0)))</f>
        <v>11.803319999999999</v>
      </c>
      <c r="JV15" s="21">
        <f>IF(JV$1&lt;INDEX('Valo FX'!$Q:$Q,MATCH($A15,'Valo FX'!$A:$A,0)),0,IF(JV$1&lt;INDEX('Valo FX'!$R:$R,MATCH($A15,'Valo FX'!$A:$A,0)),INDEX(Base!$U:$U,MATCH($A15,Base!$A:$A,0)),IF(JV$1=INDEX('Valo FX'!$R:$R,MATCH($A15,'Valo FX'!$A:$A,0)),INDEX(Base!$V:$V,MATCH($A15,Base!$A:$A,0)),0)))</f>
        <v>11.803319999999999</v>
      </c>
      <c r="JW15" s="21">
        <f>IF(JW$1&lt;INDEX('Valo FX'!$Q:$Q,MATCH($A15,'Valo FX'!$A:$A,0)),0,IF(JW$1&lt;INDEX('Valo FX'!$R:$R,MATCH($A15,'Valo FX'!$A:$A,0)),INDEX(Base!$U:$U,MATCH($A15,Base!$A:$A,0)),IF(JW$1=INDEX('Valo FX'!$R:$R,MATCH($A15,'Valo FX'!$A:$A,0)),INDEX(Base!$V:$V,MATCH($A15,Base!$A:$A,0)),0)))</f>
        <v>11.803319999999999</v>
      </c>
      <c r="JX15" s="21">
        <f>IF(JX$1&lt;INDEX('Valo FX'!$Q:$Q,MATCH($A15,'Valo FX'!$A:$A,0)),0,IF(JX$1&lt;INDEX('Valo FX'!$R:$R,MATCH($A15,'Valo FX'!$A:$A,0)),INDEX(Base!$U:$U,MATCH($A15,Base!$A:$A,0)),IF(JX$1=INDEX('Valo FX'!$R:$R,MATCH($A15,'Valo FX'!$A:$A,0)),INDEX(Base!$V:$V,MATCH($A15,Base!$A:$A,0)),0)))</f>
        <v>11.803319999999999</v>
      </c>
      <c r="JY15" s="21">
        <f>IF(JY$1&lt;INDEX('Valo FX'!$Q:$Q,MATCH($A15,'Valo FX'!$A:$A,0)),0,IF(JY$1&lt;INDEX('Valo FX'!$R:$R,MATCH($A15,'Valo FX'!$A:$A,0)),INDEX(Base!$U:$U,MATCH($A15,Base!$A:$A,0)),IF(JY$1=INDEX('Valo FX'!$R:$R,MATCH($A15,'Valo FX'!$A:$A,0)),INDEX(Base!$V:$V,MATCH($A15,Base!$A:$A,0)),0)))</f>
        <v>11.803319999999999</v>
      </c>
      <c r="JZ15" s="21">
        <f>IF(JZ$1&lt;INDEX('Valo FX'!$Q:$Q,MATCH($A15,'Valo FX'!$A:$A,0)),0,IF(JZ$1&lt;INDEX('Valo FX'!$R:$R,MATCH($A15,'Valo FX'!$A:$A,0)),INDEX(Base!$U:$U,MATCH($A15,Base!$A:$A,0)),IF(JZ$1=INDEX('Valo FX'!$R:$R,MATCH($A15,'Valo FX'!$A:$A,0)),INDEX(Base!$V:$V,MATCH($A15,Base!$A:$A,0)),0)))</f>
        <v>11.803319999999999</v>
      </c>
      <c r="KA15" s="21">
        <f>IF(KA$1&lt;INDEX('Valo FX'!$Q:$Q,MATCH($A15,'Valo FX'!$A:$A,0)),0,IF(KA$1&lt;INDEX('Valo FX'!$R:$R,MATCH($A15,'Valo FX'!$A:$A,0)),INDEX(Base!$U:$U,MATCH($A15,Base!$A:$A,0)),IF(KA$1=INDEX('Valo FX'!$R:$R,MATCH($A15,'Valo FX'!$A:$A,0)),INDEX(Base!$V:$V,MATCH($A15,Base!$A:$A,0)),0)))</f>
        <v>11.803319999999999</v>
      </c>
      <c r="KB15" s="21">
        <f>IF(KB$1&lt;INDEX('Valo FX'!$Q:$Q,MATCH($A15,'Valo FX'!$A:$A,0)),0,IF(KB$1&lt;INDEX('Valo FX'!$R:$R,MATCH($A15,'Valo FX'!$A:$A,0)),INDEX(Base!$U:$U,MATCH($A15,Base!$A:$A,0)),IF(KB$1=INDEX('Valo FX'!$R:$R,MATCH($A15,'Valo FX'!$A:$A,0)),INDEX(Base!$V:$V,MATCH($A15,Base!$A:$A,0)),0)))</f>
        <v>11.803319999999999</v>
      </c>
      <c r="KC15" s="21">
        <f>IF(KC$1&lt;INDEX('Valo FX'!$Q:$Q,MATCH($A15,'Valo FX'!$A:$A,0)),0,IF(KC$1&lt;INDEX('Valo FX'!$R:$R,MATCH($A15,'Valo FX'!$A:$A,0)),INDEX(Base!$U:$U,MATCH($A15,Base!$A:$A,0)),IF(KC$1=INDEX('Valo FX'!$R:$R,MATCH($A15,'Valo FX'!$A:$A,0)),INDEX(Base!$V:$V,MATCH($A15,Base!$A:$A,0)),0)))</f>
        <v>11.803319999999999</v>
      </c>
      <c r="KD15" s="21">
        <f>IF(KD$1&lt;INDEX('Valo FX'!$Q:$Q,MATCH($A15,'Valo FX'!$A:$A,0)),0,IF(KD$1&lt;INDEX('Valo FX'!$R:$R,MATCH($A15,'Valo FX'!$A:$A,0)),INDEX(Base!$U:$U,MATCH($A15,Base!$A:$A,0)),IF(KD$1=INDEX('Valo FX'!$R:$R,MATCH($A15,'Valo FX'!$A:$A,0)),INDEX(Base!$V:$V,MATCH($A15,Base!$A:$A,0)),0)))</f>
        <v>11.803319999999999</v>
      </c>
      <c r="KE15" s="21">
        <f>IF(KE$1&lt;INDEX('Valo FX'!$Q:$Q,MATCH($A15,'Valo FX'!$A:$A,0)),0,IF(KE$1&lt;INDEX('Valo FX'!$R:$R,MATCH($A15,'Valo FX'!$A:$A,0)),INDEX(Base!$U:$U,MATCH($A15,Base!$A:$A,0)),IF(KE$1=INDEX('Valo FX'!$R:$R,MATCH($A15,'Valo FX'!$A:$A,0)),INDEX(Base!$V:$V,MATCH($A15,Base!$A:$A,0)),0)))</f>
        <v>11.803319999999999</v>
      </c>
      <c r="KF15" s="21">
        <f>IF(KF$1&lt;INDEX('Valo FX'!$Q:$Q,MATCH($A15,'Valo FX'!$A:$A,0)),0,IF(KF$1&lt;INDEX('Valo FX'!$R:$R,MATCH($A15,'Valo FX'!$A:$A,0)),INDEX(Base!$U:$U,MATCH($A15,Base!$A:$A,0)),IF(KF$1=INDEX('Valo FX'!$R:$R,MATCH($A15,'Valo FX'!$A:$A,0)),INDEX(Base!$V:$V,MATCH($A15,Base!$A:$A,0)),0)))</f>
        <v>11.803319999999999</v>
      </c>
      <c r="KG15" s="21">
        <f>IF(KG$1&lt;INDEX('Valo FX'!$Q:$Q,MATCH($A15,'Valo FX'!$A:$A,0)),0,IF(KG$1&lt;INDEX('Valo FX'!$R:$R,MATCH($A15,'Valo FX'!$A:$A,0)),INDEX(Base!$U:$U,MATCH($A15,Base!$A:$A,0)),IF(KG$1=INDEX('Valo FX'!$R:$R,MATCH($A15,'Valo FX'!$A:$A,0)),INDEX(Base!$V:$V,MATCH($A15,Base!$A:$A,0)),0)))</f>
        <v>11.803319999999999</v>
      </c>
      <c r="KH15" s="21">
        <f>IF(KH$1&lt;INDEX('Valo FX'!$Q:$Q,MATCH($A15,'Valo FX'!$A:$A,0)),0,IF(KH$1&lt;INDEX('Valo FX'!$R:$R,MATCH($A15,'Valo FX'!$A:$A,0)),INDEX(Base!$U:$U,MATCH($A15,Base!$A:$A,0)),IF(KH$1=INDEX('Valo FX'!$R:$R,MATCH($A15,'Valo FX'!$A:$A,0)),INDEX(Base!$V:$V,MATCH($A15,Base!$A:$A,0)),0)))</f>
        <v>11.803319999999999</v>
      </c>
      <c r="KI15" s="21">
        <f>IF(KI$1&lt;INDEX('Valo FX'!$Q:$Q,MATCH($A15,'Valo FX'!$A:$A,0)),0,IF(KI$1&lt;INDEX('Valo FX'!$R:$R,MATCH($A15,'Valo FX'!$A:$A,0)),INDEX(Base!$U:$U,MATCH($A15,Base!$A:$A,0)),IF(KI$1=INDEX('Valo FX'!$R:$R,MATCH($A15,'Valo FX'!$A:$A,0)),INDEX(Base!$V:$V,MATCH($A15,Base!$A:$A,0)),0)))</f>
        <v>11.803319999999999</v>
      </c>
      <c r="KJ15" s="21">
        <f>IF(KJ$1&lt;INDEX('Valo FX'!$Q:$Q,MATCH($A15,'Valo FX'!$A:$A,0)),0,IF(KJ$1&lt;INDEX('Valo FX'!$R:$R,MATCH($A15,'Valo FX'!$A:$A,0)),INDEX(Base!$U:$U,MATCH($A15,Base!$A:$A,0)),IF(KJ$1=INDEX('Valo FX'!$R:$R,MATCH($A15,'Valo FX'!$A:$A,0)),INDEX(Base!$V:$V,MATCH($A15,Base!$A:$A,0)),0)))</f>
        <v>11.803319999999999</v>
      </c>
      <c r="KK15" s="21">
        <f>IF(KK$1&lt;INDEX('Valo FX'!$Q:$Q,MATCH($A15,'Valo FX'!$A:$A,0)),0,IF(KK$1&lt;INDEX('Valo FX'!$R:$R,MATCH($A15,'Valo FX'!$A:$A,0)),INDEX(Base!$U:$U,MATCH($A15,Base!$A:$A,0)),IF(KK$1=INDEX('Valo FX'!$R:$R,MATCH($A15,'Valo FX'!$A:$A,0)),INDEX(Base!$V:$V,MATCH($A15,Base!$A:$A,0)),0)))</f>
        <v>11.803319999999999</v>
      </c>
      <c r="KL15" s="21">
        <f>IF(KL$1&lt;INDEX('Valo FX'!$Q:$Q,MATCH($A15,'Valo FX'!$A:$A,0)),0,IF(KL$1&lt;INDEX('Valo FX'!$R:$R,MATCH($A15,'Valo FX'!$A:$A,0)),INDEX(Base!$U:$U,MATCH($A15,Base!$A:$A,0)),IF(KL$1=INDEX('Valo FX'!$R:$R,MATCH($A15,'Valo FX'!$A:$A,0)),INDEX(Base!$V:$V,MATCH($A15,Base!$A:$A,0)),0)))</f>
        <v>11.803319999999999</v>
      </c>
      <c r="KM15" s="21">
        <f>IF(KM$1&lt;INDEX('Valo FX'!$Q:$Q,MATCH($A15,'Valo FX'!$A:$A,0)),0,IF(KM$1&lt;INDEX('Valo FX'!$R:$R,MATCH($A15,'Valo FX'!$A:$A,0)),INDEX(Base!$U:$U,MATCH($A15,Base!$A:$A,0)),IF(KM$1=INDEX('Valo FX'!$R:$R,MATCH($A15,'Valo FX'!$A:$A,0)),INDEX(Base!$V:$V,MATCH($A15,Base!$A:$A,0)),0)))</f>
        <v>11.803319999999999</v>
      </c>
      <c r="KN15" s="21">
        <f>IF(KN$1&lt;INDEX('Valo FX'!$Q:$Q,MATCH($A15,'Valo FX'!$A:$A,0)),0,IF(KN$1&lt;INDEX('Valo FX'!$R:$R,MATCH($A15,'Valo FX'!$A:$A,0)),INDEX(Base!$U:$U,MATCH($A15,Base!$A:$A,0)),IF(KN$1=INDEX('Valo FX'!$R:$R,MATCH($A15,'Valo FX'!$A:$A,0)),INDEX(Base!$V:$V,MATCH($A15,Base!$A:$A,0)),0)))</f>
        <v>11.803319999999999</v>
      </c>
      <c r="KO15" s="21">
        <f>IF(KO$1&lt;INDEX('Valo FX'!$Q:$Q,MATCH($A15,'Valo FX'!$A:$A,0)),0,IF(KO$1&lt;INDEX('Valo FX'!$R:$R,MATCH($A15,'Valo FX'!$A:$A,0)),INDEX(Base!$U:$U,MATCH($A15,Base!$A:$A,0)),IF(KO$1=INDEX('Valo FX'!$R:$R,MATCH($A15,'Valo FX'!$A:$A,0)),INDEX(Base!$V:$V,MATCH($A15,Base!$A:$A,0)),0)))</f>
        <v>11.803319999999999</v>
      </c>
      <c r="KP15" s="21">
        <f>IF(KP$1&lt;INDEX('Valo FX'!$Q:$Q,MATCH($A15,'Valo FX'!$A:$A,0)),0,IF(KP$1&lt;INDEX('Valo FX'!$R:$R,MATCH($A15,'Valo FX'!$A:$A,0)),INDEX(Base!$U:$U,MATCH($A15,Base!$A:$A,0)),IF(KP$1=INDEX('Valo FX'!$R:$R,MATCH($A15,'Valo FX'!$A:$A,0)),INDEX(Base!$V:$V,MATCH($A15,Base!$A:$A,0)),0)))</f>
        <v>11.803319999999999</v>
      </c>
      <c r="KQ15" s="21">
        <f>IF(KQ$1&lt;INDEX('Valo FX'!$Q:$Q,MATCH($A15,'Valo FX'!$A:$A,0)),0,IF(KQ$1&lt;INDEX('Valo FX'!$R:$R,MATCH($A15,'Valo FX'!$A:$A,0)),INDEX(Base!$U:$U,MATCH($A15,Base!$A:$A,0)),IF(KQ$1=INDEX('Valo FX'!$R:$R,MATCH($A15,'Valo FX'!$A:$A,0)),INDEX(Base!$V:$V,MATCH($A15,Base!$A:$A,0)),0)))</f>
        <v>11.803319999999999</v>
      </c>
      <c r="KR15" s="21">
        <f>IF(KR$1&lt;INDEX('Valo FX'!$Q:$Q,MATCH($A15,'Valo FX'!$A:$A,0)),0,IF(KR$1&lt;INDEX('Valo FX'!$R:$R,MATCH($A15,'Valo FX'!$A:$A,0)),INDEX(Base!$U:$U,MATCH($A15,Base!$A:$A,0)),IF(KR$1=INDEX('Valo FX'!$R:$R,MATCH($A15,'Valo FX'!$A:$A,0)),INDEX(Base!$V:$V,MATCH($A15,Base!$A:$A,0)),0)))</f>
        <v>11.803319999999999</v>
      </c>
      <c r="KS15" s="21">
        <f>IF(KS$1&lt;INDEX('Valo FX'!$Q:$Q,MATCH($A15,'Valo FX'!$A:$A,0)),0,IF(KS$1&lt;INDEX('Valo FX'!$R:$R,MATCH($A15,'Valo FX'!$A:$A,0)),INDEX(Base!$U:$U,MATCH($A15,Base!$A:$A,0)),IF(KS$1=INDEX('Valo FX'!$R:$R,MATCH($A15,'Valo FX'!$A:$A,0)),INDEX(Base!$V:$V,MATCH($A15,Base!$A:$A,0)),0)))</f>
        <v>11.803319999999999</v>
      </c>
      <c r="KT15" s="21">
        <f>IF(KT$1&lt;INDEX('Valo FX'!$Q:$Q,MATCH($A15,'Valo FX'!$A:$A,0)),0,IF(KT$1&lt;INDEX('Valo FX'!$R:$R,MATCH($A15,'Valo FX'!$A:$A,0)),INDEX(Base!$U:$U,MATCH($A15,Base!$A:$A,0)),IF(KT$1=INDEX('Valo FX'!$R:$R,MATCH($A15,'Valo FX'!$A:$A,0)),INDEX(Base!$V:$V,MATCH($A15,Base!$A:$A,0)),0)))</f>
        <v>11.803319999999999</v>
      </c>
      <c r="KU15" s="21">
        <f>IF(KU$1&lt;INDEX('Valo FX'!$Q:$Q,MATCH($A15,'Valo FX'!$A:$A,0)),0,IF(KU$1&lt;INDEX('Valo FX'!$R:$R,MATCH($A15,'Valo FX'!$A:$A,0)),INDEX(Base!$U:$U,MATCH($A15,Base!$A:$A,0)),IF(KU$1=INDEX('Valo FX'!$R:$R,MATCH($A15,'Valo FX'!$A:$A,0)),INDEX(Base!$V:$V,MATCH($A15,Base!$A:$A,0)),0)))</f>
        <v>11.803319999999999</v>
      </c>
      <c r="KV15" s="21">
        <f>IF(KV$1&lt;INDEX('Valo FX'!$Q:$Q,MATCH($A15,'Valo FX'!$A:$A,0)),0,IF(KV$1&lt;INDEX('Valo FX'!$R:$R,MATCH($A15,'Valo FX'!$A:$A,0)),INDEX(Base!$U:$U,MATCH($A15,Base!$A:$A,0)),IF(KV$1=INDEX('Valo FX'!$R:$R,MATCH($A15,'Valo FX'!$A:$A,0)),INDEX(Base!$V:$V,MATCH($A15,Base!$A:$A,0)),0)))</f>
        <v>11.803319999999999</v>
      </c>
      <c r="KW15" s="21">
        <f>IF(KW$1&lt;INDEX('Valo FX'!$Q:$Q,MATCH($A15,'Valo FX'!$A:$A,0)),0,IF(KW$1&lt;INDEX('Valo FX'!$R:$R,MATCH($A15,'Valo FX'!$A:$A,0)),INDEX(Base!$U:$U,MATCH($A15,Base!$A:$A,0)),IF(KW$1=INDEX('Valo FX'!$R:$R,MATCH($A15,'Valo FX'!$A:$A,0)),INDEX(Base!$V:$V,MATCH($A15,Base!$A:$A,0)),0)))</f>
        <v>11.803319999999999</v>
      </c>
      <c r="KX15" s="21">
        <f>IF(KX$1&lt;INDEX('Valo FX'!$Q:$Q,MATCH($A15,'Valo FX'!$A:$A,0)),0,IF(KX$1&lt;INDEX('Valo FX'!$R:$R,MATCH($A15,'Valo FX'!$A:$A,0)),INDEX(Base!$U:$U,MATCH($A15,Base!$A:$A,0)),IF(KX$1=INDEX('Valo FX'!$R:$R,MATCH($A15,'Valo FX'!$A:$A,0)),INDEX(Base!$V:$V,MATCH($A15,Base!$A:$A,0)),0)))</f>
        <v>11.803319999999999</v>
      </c>
      <c r="KY15" s="21">
        <f>IF(KY$1&lt;INDEX('Valo FX'!$Q:$Q,MATCH($A15,'Valo FX'!$A:$A,0)),0,IF(KY$1&lt;INDEX('Valo FX'!$R:$R,MATCH($A15,'Valo FX'!$A:$A,0)),INDEX(Base!$U:$U,MATCH($A15,Base!$A:$A,0)),IF(KY$1=INDEX('Valo FX'!$R:$R,MATCH($A15,'Valo FX'!$A:$A,0)),INDEX(Base!$V:$V,MATCH($A15,Base!$A:$A,0)),0)))</f>
        <v>11.803319999999999</v>
      </c>
      <c r="KZ15" s="21">
        <f>IF(KZ$1&lt;INDEX('Valo FX'!$Q:$Q,MATCH($A15,'Valo FX'!$A:$A,0)),0,IF(KZ$1&lt;INDEX('Valo FX'!$R:$R,MATCH($A15,'Valo FX'!$A:$A,0)),INDEX(Base!$U:$U,MATCH($A15,Base!$A:$A,0)),IF(KZ$1=INDEX('Valo FX'!$R:$R,MATCH($A15,'Valo FX'!$A:$A,0)),INDEX(Base!$V:$V,MATCH($A15,Base!$A:$A,0)),0)))</f>
        <v>11.803319999999999</v>
      </c>
      <c r="LA15" s="21">
        <f>IF(LA$1&lt;INDEX('Valo FX'!$Q:$Q,MATCH($A15,'Valo FX'!$A:$A,0)),0,IF(LA$1&lt;INDEX('Valo FX'!$R:$R,MATCH($A15,'Valo FX'!$A:$A,0)),INDEX(Base!$U:$U,MATCH($A15,Base!$A:$A,0)),IF(LA$1=INDEX('Valo FX'!$R:$R,MATCH($A15,'Valo FX'!$A:$A,0)),INDEX(Base!$V:$V,MATCH($A15,Base!$A:$A,0)),0)))</f>
        <v>11.803319999999999</v>
      </c>
      <c r="LB15" s="21">
        <f>IF(LB$1&lt;INDEX('Valo FX'!$Q:$Q,MATCH($A15,'Valo FX'!$A:$A,0)),0,IF(LB$1&lt;INDEX('Valo FX'!$R:$R,MATCH($A15,'Valo FX'!$A:$A,0)),INDEX(Base!$U:$U,MATCH($A15,Base!$A:$A,0)),IF(LB$1=INDEX('Valo FX'!$R:$R,MATCH($A15,'Valo FX'!$A:$A,0)),INDEX(Base!$V:$V,MATCH($A15,Base!$A:$A,0)),0)))</f>
        <v>11.803319999999999</v>
      </c>
      <c r="LC15" s="21">
        <f>IF(LC$1&lt;INDEX('Valo FX'!$Q:$Q,MATCH($A15,'Valo FX'!$A:$A,0)),0,IF(LC$1&lt;INDEX('Valo FX'!$R:$R,MATCH($A15,'Valo FX'!$A:$A,0)),INDEX(Base!$U:$U,MATCH($A15,Base!$A:$A,0)),IF(LC$1=INDEX('Valo FX'!$R:$R,MATCH($A15,'Valo FX'!$A:$A,0)),INDEX(Base!$V:$V,MATCH($A15,Base!$A:$A,0)),0)))</f>
        <v>11.803319999999999</v>
      </c>
      <c r="LD15" s="21">
        <f>IF(LD$1&lt;INDEX('Valo FX'!$Q:$Q,MATCH($A15,'Valo FX'!$A:$A,0)),0,IF(LD$1&lt;INDEX('Valo FX'!$R:$R,MATCH($A15,'Valo FX'!$A:$A,0)),INDEX(Base!$U:$U,MATCH($A15,Base!$A:$A,0)),IF(LD$1=INDEX('Valo FX'!$R:$R,MATCH($A15,'Valo FX'!$A:$A,0)),INDEX(Base!$V:$V,MATCH($A15,Base!$A:$A,0)),0)))</f>
        <v>11.803319999999999</v>
      </c>
      <c r="LE15" s="21">
        <f>IF(LE$1&lt;INDEX('Valo FX'!$Q:$Q,MATCH($A15,'Valo FX'!$A:$A,0)),0,IF(LE$1&lt;INDEX('Valo FX'!$R:$R,MATCH($A15,'Valo FX'!$A:$A,0)),INDEX(Base!$U:$U,MATCH($A15,Base!$A:$A,0)),IF(LE$1=INDEX('Valo FX'!$R:$R,MATCH($A15,'Valo FX'!$A:$A,0)),INDEX(Base!$V:$V,MATCH($A15,Base!$A:$A,0)),0)))</f>
        <v>11.803319999999999</v>
      </c>
      <c r="LF15" s="21">
        <f>IF(LF$1&lt;INDEX('Valo FX'!$Q:$Q,MATCH($A15,'Valo FX'!$A:$A,0)),0,IF(LF$1&lt;INDEX('Valo FX'!$R:$R,MATCH($A15,'Valo FX'!$A:$A,0)),INDEX(Base!$U:$U,MATCH($A15,Base!$A:$A,0)),IF(LF$1=INDEX('Valo FX'!$R:$R,MATCH($A15,'Valo FX'!$A:$A,0)),INDEX(Base!$V:$V,MATCH($A15,Base!$A:$A,0)),0)))</f>
        <v>11.803319999999999</v>
      </c>
      <c r="LG15" s="21">
        <f>IF(LG$1&lt;INDEX('Valo FX'!$Q:$Q,MATCH($A15,'Valo FX'!$A:$A,0)),0,IF(LG$1&lt;INDEX('Valo FX'!$R:$R,MATCH($A15,'Valo FX'!$A:$A,0)),INDEX(Base!$U:$U,MATCH($A15,Base!$A:$A,0)),IF(LG$1=INDEX('Valo FX'!$R:$R,MATCH($A15,'Valo FX'!$A:$A,0)),INDEX(Base!$V:$V,MATCH($A15,Base!$A:$A,0)),0)))</f>
        <v>11.803319999999999</v>
      </c>
      <c r="LH15" s="21">
        <f>IF(LH$1&lt;INDEX('Valo FX'!$Q:$Q,MATCH($A15,'Valo FX'!$A:$A,0)),0,IF(LH$1&lt;INDEX('Valo FX'!$R:$R,MATCH($A15,'Valo FX'!$A:$A,0)),INDEX(Base!$U:$U,MATCH($A15,Base!$A:$A,0)),IF(LH$1=INDEX('Valo FX'!$R:$R,MATCH($A15,'Valo FX'!$A:$A,0)),INDEX(Base!$V:$V,MATCH($A15,Base!$A:$A,0)),0)))</f>
        <v>11.803319999999999</v>
      </c>
      <c r="LI15" s="21">
        <f>IF(LI$1&lt;INDEX('Valo FX'!$Q:$Q,MATCH($A15,'Valo FX'!$A:$A,0)),0,IF(LI$1&lt;INDEX('Valo FX'!$R:$R,MATCH($A15,'Valo FX'!$A:$A,0)),INDEX(Base!$U:$U,MATCH($A15,Base!$A:$A,0)),IF(LI$1=INDEX('Valo FX'!$R:$R,MATCH($A15,'Valo FX'!$A:$A,0)),INDEX(Base!$V:$V,MATCH($A15,Base!$A:$A,0)),0)))</f>
        <v>11.803319999999999</v>
      </c>
      <c r="LJ15" s="21">
        <f>IF(LJ$1&lt;INDEX('Valo FX'!$Q:$Q,MATCH($A15,'Valo FX'!$A:$A,0)),0,IF(LJ$1&lt;INDEX('Valo FX'!$R:$R,MATCH($A15,'Valo FX'!$A:$A,0)),INDEX(Base!$U:$U,MATCH($A15,Base!$A:$A,0)),IF(LJ$1=INDEX('Valo FX'!$R:$R,MATCH($A15,'Valo FX'!$A:$A,0)),INDEX(Base!$V:$V,MATCH($A15,Base!$A:$A,0)),0)))</f>
        <v>11.803319999999999</v>
      </c>
      <c r="LK15" s="21">
        <f>IF(LK$1&lt;INDEX('Valo FX'!$Q:$Q,MATCH($A15,'Valo FX'!$A:$A,0)),0,IF(LK$1&lt;INDEX('Valo FX'!$R:$R,MATCH($A15,'Valo FX'!$A:$A,0)),INDEX(Base!$U:$U,MATCH($A15,Base!$A:$A,0)),IF(LK$1=INDEX('Valo FX'!$R:$R,MATCH($A15,'Valo FX'!$A:$A,0)),INDEX(Base!$V:$V,MATCH($A15,Base!$A:$A,0)),0)))</f>
        <v>11.803319999999999</v>
      </c>
      <c r="LL15" s="21">
        <f>IF(LL$1&lt;INDEX('Valo FX'!$Q:$Q,MATCH($A15,'Valo FX'!$A:$A,0)),0,IF(LL$1&lt;INDEX('Valo FX'!$R:$R,MATCH($A15,'Valo FX'!$A:$A,0)),INDEX(Base!$U:$U,MATCH($A15,Base!$A:$A,0)),IF(LL$1=INDEX('Valo FX'!$R:$R,MATCH($A15,'Valo FX'!$A:$A,0)),INDEX(Base!$V:$V,MATCH($A15,Base!$A:$A,0)),0)))</f>
        <v>11.803319999999999</v>
      </c>
      <c r="LM15" s="21">
        <f>IF(LM$1&lt;INDEX('Valo FX'!$Q:$Q,MATCH($A15,'Valo FX'!$A:$A,0)),0,IF(LM$1&lt;INDEX('Valo FX'!$R:$R,MATCH($A15,'Valo FX'!$A:$A,0)),INDEX(Base!$U:$U,MATCH($A15,Base!$A:$A,0)),IF(LM$1=INDEX('Valo FX'!$R:$R,MATCH($A15,'Valo FX'!$A:$A,0)),INDEX(Base!$V:$V,MATCH($A15,Base!$A:$A,0)),0)))</f>
        <v>11.803319999999999</v>
      </c>
      <c r="LN15" s="21">
        <f>IF(LN$1&lt;INDEX('Valo FX'!$Q:$Q,MATCH($A15,'Valo FX'!$A:$A,0)),0,IF(LN$1&lt;INDEX('Valo FX'!$R:$R,MATCH($A15,'Valo FX'!$A:$A,0)),INDEX(Base!$U:$U,MATCH($A15,Base!$A:$A,0)),IF(LN$1=INDEX('Valo FX'!$R:$R,MATCH($A15,'Valo FX'!$A:$A,0)),INDEX(Base!$V:$V,MATCH($A15,Base!$A:$A,0)),0)))</f>
        <v>11.803319999999999</v>
      </c>
      <c r="LO15" s="21">
        <f>IF(LO$1&lt;INDEX('Valo FX'!$Q:$Q,MATCH($A15,'Valo FX'!$A:$A,0)),0,IF(LO$1&lt;INDEX('Valo FX'!$R:$R,MATCH($A15,'Valo FX'!$A:$A,0)),INDEX(Base!$U:$U,MATCH($A15,Base!$A:$A,0)),IF(LO$1=INDEX('Valo FX'!$R:$R,MATCH($A15,'Valo FX'!$A:$A,0)),INDEX(Base!$V:$V,MATCH($A15,Base!$A:$A,0)),0)))</f>
        <v>11.803319999999999</v>
      </c>
      <c r="LP15" s="21">
        <f>IF(LP$1&lt;INDEX('Valo FX'!$Q:$Q,MATCH($A15,'Valo FX'!$A:$A,0)),0,IF(LP$1&lt;INDEX('Valo FX'!$R:$R,MATCH($A15,'Valo FX'!$A:$A,0)),INDEX(Base!$U:$U,MATCH($A15,Base!$A:$A,0)),IF(LP$1=INDEX('Valo FX'!$R:$R,MATCH($A15,'Valo FX'!$A:$A,0)),INDEX(Base!$V:$V,MATCH($A15,Base!$A:$A,0)),0)))</f>
        <v>11.803319999999999</v>
      </c>
      <c r="LQ15" s="21">
        <f>IF(LQ$1&lt;INDEX('Valo FX'!$Q:$Q,MATCH($A15,'Valo FX'!$A:$A,0)),0,IF(LQ$1&lt;INDEX('Valo FX'!$R:$R,MATCH($A15,'Valo FX'!$A:$A,0)),INDEX(Base!$U:$U,MATCH($A15,Base!$A:$A,0)),IF(LQ$1=INDEX('Valo FX'!$R:$R,MATCH($A15,'Valo FX'!$A:$A,0)),INDEX(Base!$V:$V,MATCH($A15,Base!$A:$A,0)),0)))</f>
        <v>11.803319999999999</v>
      </c>
      <c r="LR15" s="21">
        <f>IF(LR$1&lt;INDEX('Valo FX'!$Q:$Q,MATCH($A15,'Valo FX'!$A:$A,0)),0,IF(LR$1&lt;INDEX('Valo FX'!$R:$R,MATCH($A15,'Valo FX'!$A:$A,0)),INDEX(Base!$U:$U,MATCH($A15,Base!$A:$A,0)),IF(LR$1=INDEX('Valo FX'!$R:$R,MATCH($A15,'Valo FX'!$A:$A,0)),INDEX(Base!$V:$V,MATCH($A15,Base!$A:$A,0)),0)))</f>
        <v>11.803319999999999</v>
      </c>
      <c r="LS15" s="21">
        <f>IF(LS$1&lt;INDEX('Valo FX'!$Q:$Q,MATCH($A15,'Valo FX'!$A:$A,0)),0,IF(LS$1&lt;INDEX('Valo FX'!$R:$R,MATCH($A15,'Valo FX'!$A:$A,0)),INDEX(Base!$U:$U,MATCH($A15,Base!$A:$A,0)),IF(LS$1=INDEX('Valo FX'!$R:$R,MATCH($A15,'Valo FX'!$A:$A,0)),INDEX(Base!$V:$V,MATCH($A15,Base!$A:$A,0)),0)))</f>
        <v>11.803319999999999</v>
      </c>
      <c r="LT15" s="21">
        <f>IF(LT$1&lt;INDEX('Valo FX'!$Q:$Q,MATCH($A15,'Valo FX'!$A:$A,0)),0,IF(LT$1&lt;INDEX('Valo FX'!$R:$R,MATCH($A15,'Valo FX'!$A:$A,0)),INDEX(Base!$U:$U,MATCH($A15,Base!$A:$A,0)),IF(LT$1=INDEX('Valo FX'!$R:$R,MATCH($A15,'Valo FX'!$A:$A,0)),INDEX(Base!$V:$V,MATCH($A15,Base!$A:$A,0)),0)))</f>
        <v>11.803319999999999</v>
      </c>
      <c r="LU15" s="21">
        <f>IF(LU$1&lt;INDEX('Valo FX'!$Q:$Q,MATCH($A15,'Valo FX'!$A:$A,0)),0,IF(LU$1&lt;INDEX('Valo FX'!$R:$R,MATCH($A15,'Valo FX'!$A:$A,0)),INDEX(Base!$U:$U,MATCH($A15,Base!$A:$A,0)),IF(LU$1=INDEX('Valo FX'!$R:$R,MATCH($A15,'Valo FX'!$A:$A,0)),INDEX(Base!$V:$V,MATCH($A15,Base!$A:$A,0)),0)))</f>
        <v>11.803319999999999</v>
      </c>
      <c r="LV15" s="21">
        <f>IF(LV$1&lt;INDEX('Valo FX'!$Q:$Q,MATCH($A15,'Valo FX'!$A:$A,0)),0,IF(LV$1&lt;INDEX('Valo FX'!$R:$R,MATCH($A15,'Valo FX'!$A:$A,0)),INDEX(Base!$U:$U,MATCH($A15,Base!$A:$A,0)),IF(LV$1=INDEX('Valo FX'!$R:$R,MATCH($A15,'Valo FX'!$A:$A,0)),INDEX(Base!$V:$V,MATCH($A15,Base!$A:$A,0)),0)))</f>
        <v>11.803319999999999</v>
      </c>
      <c r="LW15" s="21">
        <f>IF(LW$1&lt;INDEX('Valo FX'!$Q:$Q,MATCH($A15,'Valo FX'!$A:$A,0)),0,IF(LW$1&lt;INDEX('Valo FX'!$R:$R,MATCH($A15,'Valo FX'!$A:$A,0)),INDEX(Base!$U:$U,MATCH($A15,Base!$A:$A,0)),IF(LW$1=INDEX('Valo FX'!$R:$R,MATCH($A15,'Valo FX'!$A:$A,0)),INDEX(Base!$V:$V,MATCH($A15,Base!$A:$A,0)),0)))</f>
        <v>11.803319999999999</v>
      </c>
      <c r="LX15" s="21">
        <f>IF(LX$1&lt;INDEX('Valo FX'!$Q:$Q,MATCH($A15,'Valo FX'!$A:$A,0)),0,IF(LX$1&lt;INDEX('Valo FX'!$R:$R,MATCH($A15,'Valo FX'!$A:$A,0)),INDEX(Base!$U:$U,MATCH($A15,Base!$A:$A,0)),IF(LX$1=INDEX('Valo FX'!$R:$R,MATCH($A15,'Valo FX'!$A:$A,0)),INDEX(Base!$V:$V,MATCH($A15,Base!$A:$A,0)),0)))</f>
        <v>11.803319999999999</v>
      </c>
      <c r="LY15" s="21">
        <f>IF(LY$1&lt;INDEX('Valo FX'!$Q:$Q,MATCH($A15,'Valo FX'!$A:$A,0)),0,IF(LY$1&lt;INDEX('Valo FX'!$R:$R,MATCH($A15,'Valo FX'!$A:$A,0)),INDEX(Base!$U:$U,MATCH($A15,Base!$A:$A,0)),IF(LY$1=INDEX('Valo FX'!$R:$R,MATCH($A15,'Valo FX'!$A:$A,0)),INDEX(Base!$V:$V,MATCH($A15,Base!$A:$A,0)),0)))</f>
        <v>11.803319999999999</v>
      </c>
      <c r="LZ15" s="21">
        <f>IF(LZ$1&lt;INDEX('Valo FX'!$Q:$Q,MATCH($A15,'Valo FX'!$A:$A,0)),0,IF(LZ$1&lt;INDEX('Valo FX'!$R:$R,MATCH($A15,'Valo FX'!$A:$A,0)),INDEX(Base!$U:$U,MATCH($A15,Base!$A:$A,0)),IF(LZ$1=INDEX('Valo FX'!$R:$R,MATCH($A15,'Valo FX'!$A:$A,0)),INDEX(Base!$V:$V,MATCH($A15,Base!$A:$A,0)),0)))</f>
        <v>11.803319999999999</v>
      </c>
      <c r="MA15" s="21">
        <f>IF(MA$1&lt;INDEX('Valo FX'!$Q:$Q,MATCH($A15,'Valo FX'!$A:$A,0)),0,IF(MA$1&lt;INDEX('Valo FX'!$R:$R,MATCH($A15,'Valo FX'!$A:$A,0)),INDEX(Base!$U:$U,MATCH($A15,Base!$A:$A,0)),IF(MA$1=INDEX('Valo FX'!$R:$R,MATCH($A15,'Valo FX'!$A:$A,0)),INDEX(Base!$V:$V,MATCH($A15,Base!$A:$A,0)),0)))</f>
        <v>11.803319999999999</v>
      </c>
      <c r="MB15" s="21">
        <f>IF(MB$1&lt;INDEX('Valo FX'!$Q:$Q,MATCH($A15,'Valo FX'!$A:$A,0)),0,IF(MB$1&lt;INDEX('Valo FX'!$R:$R,MATCH($A15,'Valo FX'!$A:$A,0)),INDEX(Base!$U:$U,MATCH($A15,Base!$A:$A,0)),IF(MB$1=INDEX('Valo FX'!$R:$R,MATCH($A15,'Valo FX'!$A:$A,0)),INDEX(Base!$V:$V,MATCH($A15,Base!$A:$A,0)),0)))</f>
        <v>11.803319999999999</v>
      </c>
      <c r="MC15" s="21">
        <f>IF(MC$1&lt;INDEX('Valo FX'!$Q:$Q,MATCH($A15,'Valo FX'!$A:$A,0)),0,IF(MC$1&lt;INDEX('Valo FX'!$R:$R,MATCH($A15,'Valo FX'!$A:$A,0)),INDEX(Base!$U:$U,MATCH($A15,Base!$A:$A,0)),IF(MC$1=INDEX('Valo FX'!$R:$R,MATCH($A15,'Valo FX'!$A:$A,0)),INDEX(Base!$V:$V,MATCH($A15,Base!$A:$A,0)),0)))</f>
        <v>11.803319999999999</v>
      </c>
      <c r="MD15" s="21">
        <f>IF(MD$1&lt;INDEX('Valo FX'!$Q:$Q,MATCH($A15,'Valo FX'!$A:$A,0)),0,IF(MD$1&lt;INDEX('Valo FX'!$R:$R,MATCH($A15,'Valo FX'!$A:$A,0)),INDEX(Base!$U:$U,MATCH($A15,Base!$A:$A,0)),IF(MD$1=INDEX('Valo FX'!$R:$R,MATCH($A15,'Valo FX'!$A:$A,0)),INDEX(Base!$V:$V,MATCH($A15,Base!$A:$A,0)),0)))</f>
        <v>11.803319999999999</v>
      </c>
      <c r="ME15" s="21">
        <f>IF(ME$1&lt;INDEX('Valo FX'!$Q:$Q,MATCH($A15,'Valo FX'!$A:$A,0)),0,IF(ME$1&lt;INDEX('Valo FX'!$R:$R,MATCH($A15,'Valo FX'!$A:$A,0)),INDEX(Base!$U:$U,MATCH($A15,Base!$A:$A,0)),IF(ME$1=INDEX('Valo FX'!$R:$R,MATCH($A15,'Valo FX'!$A:$A,0)),INDEX(Base!$V:$V,MATCH($A15,Base!$A:$A,0)),0)))</f>
        <v>11.803319999999999</v>
      </c>
      <c r="MF15" s="21">
        <f>IF(MF$1&lt;INDEX('Valo FX'!$Q:$Q,MATCH($A15,'Valo FX'!$A:$A,0)),0,IF(MF$1&lt;INDEX('Valo FX'!$R:$R,MATCH($A15,'Valo FX'!$A:$A,0)),INDEX(Base!$U:$U,MATCH($A15,Base!$A:$A,0)),IF(MF$1=INDEX('Valo FX'!$R:$R,MATCH($A15,'Valo FX'!$A:$A,0)),INDEX(Base!$V:$V,MATCH($A15,Base!$A:$A,0)),0)))</f>
        <v>11.803319999999999</v>
      </c>
      <c r="MG15" s="21">
        <f>IF(MG$1&lt;INDEX('Valo FX'!$Q:$Q,MATCH($A15,'Valo FX'!$A:$A,0)),0,IF(MG$1&lt;INDEX('Valo FX'!$R:$R,MATCH($A15,'Valo FX'!$A:$A,0)),INDEX(Base!$U:$U,MATCH($A15,Base!$A:$A,0)),IF(MG$1=INDEX('Valo FX'!$R:$R,MATCH($A15,'Valo FX'!$A:$A,0)),INDEX(Base!$V:$V,MATCH($A15,Base!$A:$A,0)),0)))</f>
        <v>11.803319999999999</v>
      </c>
      <c r="MH15" s="21">
        <f>IF(MH$1&lt;INDEX('Valo FX'!$Q:$Q,MATCH($A15,'Valo FX'!$A:$A,0)),0,IF(MH$1&lt;INDEX('Valo FX'!$R:$R,MATCH($A15,'Valo FX'!$A:$A,0)),INDEX(Base!$U:$U,MATCH($A15,Base!$A:$A,0)),IF(MH$1=INDEX('Valo FX'!$R:$R,MATCH($A15,'Valo FX'!$A:$A,0)),INDEX(Base!$V:$V,MATCH($A15,Base!$A:$A,0)),0)))</f>
        <v>11.803319999999999</v>
      </c>
      <c r="MI15" s="21">
        <f>IF(MI$1&lt;INDEX('Valo FX'!$Q:$Q,MATCH($A15,'Valo FX'!$A:$A,0)),0,IF(MI$1&lt;INDEX('Valo FX'!$R:$R,MATCH($A15,'Valo FX'!$A:$A,0)),INDEX(Base!$U:$U,MATCH($A15,Base!$A:$A,0)),IF(MI$1=INDEX('Valo FX'!$R:$R,MATCH($A15,'Valo FX'!$A:$A,0)),INDEX(Base!$V:$V,MATCH($A15,Base!$A:$A,0)),0)))</f>
        <v>11.803319999999999</v>
      </c>
      <c r="MJ15" s="21">
        <f>IF(MJ$1&lt;INDEX('Valo FX'!$Q:$Q,MATCH($A15,'Valo FX'!$A:$A,0)),0,IF(MJ$1&lt;INDEX('Valo FX'!$R:$R,MATCH($A15,'Valo FX'!$A:$A,0)),INDEX(Base!$U:$U,MATCH($A15,Base!$A:$A,0)),IF(MJ$1=INDEX('Valo FX'!$R:$R,MATCH($A15,'Valo FX'!$A:$A,0)),INDEX(Base!$V:$V,MATCH($A15,Base!$A:$A,0)),0)))</f>
        <v>11.803319999999999</v>
      </c>
      <c r="MK15" s="21">
        <f>IF(MK$1&lt;INDEX('Valo FX'!$Q:$Q,MATCH($A15,'Valo FX'!$A:$A,0)),0,IF(MK$1&lt;INDEX('Valo FX'!$R:$R,MATCH($A15,'Valo FX'!$A:$A,0)),INDEX(Base!$U:$U,MATCH($A15,Base!$A:$A,0)),IF(MK$1=INDEX('Valo FX'!$R:$R,MATCH($A15,'Valo FX'!$A:$A,0)),INDEX(Base!$V:$V,MATCH($A15,Base!$A:$A,0)),0)))</f>
        <v>11.803319999999999</v>
      </c>
      <c r="ML15" s="21">
        <f>IF(ML$1&lt;INDEX('Valo FX'!$Q:$Q,MATCH($A15,'Valo FX'!$A:$A,0)),0,IF(ML$1&lt;INDEX('Valo FX'!$R:$R,MATCH($A15,'Valo FX'!$A:$A,0)),INDEX(Base!$U:$U,MATCH($A15,Base!$A:$A,0)),IF(ML$1=INDEX('Valo FX'!$R:$R,MATCH($A15,'Valo FX'!$A:$A,0)),INDEX(Base!$V:$V,MATCH($A15,Base!$A:$A,0)),0)))</f>
        <v>11.803319999999999</v>
      </c>
      <c r="MM15" s="21">
        <f>IF(MM$1&lt;INDEX('Valo FX'!$Q:$Q,MATCH($A15,'Valo FX'!$A:$A,0)),0,IF(MM$1&lt;INDEX('Valo FX'!$R:$R,MATCH($A15,'Valo FX'!$A:$A,0)),INDEX(Base!$U:$U,MATCH($A15,Base!$A:$A,0)),IF(MM$1=INDEX('Valo FX'!$R:$R,MATCH($A15,'Valo FX'!$A:$A,0)),INDEX(Base!$V:$V,MATCH($A15,Base!$A:$A,0)),0)))</f>
        <v>11.803319999999999</v>
      </c>
      <c r="MN15" s="21">
        <f>IF(MN$1&lt;INDEX('Valo FX'!$Q:$Q,MATCH($A15,'Valo FX'!$A:$A,0)),0,IF(MN$1&lt;INDEX('Valo FX'!$R:$R,MATCH($A15,'Valo FX'!$A:$A,0)),INDEX(Base!$U:$U,MATCH($A15,Base!$A:$A,0)),IF(MN$1=INDEX('Valo FX'!$R:$R,MATCH($A15,'Valo FX'!$A:$A,0)),INDEX(Base!$V:$V,MATCH($A15,Base!$A:$A,0)),0)))</f>
        <v>11.803319999999999</v>
      </c>
      <c r="MO15" s="21">
        <f>IF(MO$1&lt;INDEX('Valo FX'!$Q:$Q,MATCH($A15,'Valo FX'!$A:$A,0)),0,IF(MO$1&lt;INDEX('Valo FX'!$R:$R,MATCH($A15,'Valo FX'!$A:$A,0)),INDEX(Base!$U:$U,MATCH($A15,Base!$A:$A,0)),IF(MO$1=INDEX('Valo FX'!$R:$R,MATCH($A15,'Valo FX'!$A:$A,0)),INDEX(Base!$V:$V,MATCH($A15,Base!$A:$A,0)),0)))</f>
        <v>11.803319999999999</v>
      </c>
      <c r="MP15" s="21">
        <f>IF(MP$1&lt;INDEX('Valo FX'!$Q:$Q,MATCH($A15,'Valo FX'!$A:$A,0)),0,IF(MP$1&lt;INDEX('Valo FX'!$R:$R,MATCH($A15,'Valo FX'!$A:$A,0)),INDEX(Base!$U:$U,MATCH($A15,Base!$A:$A,0)),IF(MP$1=INDEX('Valo FX'!$R:$R,MATCH($A15,'Valo FX'!$A:$A,0)),INDEX(Base!$V:$V,MATCH($A15,Base!$A:$A,0)),0)))</f>
        <v>11.803319999999999</v>
      </c>
      <c r="MQ15" s="21">
        <f>IF(MQ$1&lt;INDEX('Valo FX'!$Q:$Q,MATCH($A15,'Valo FX'!$A:$A,0)),0,IF(MQ$1&lt;INDEX('Valo FX'!$R:$R,MATCH($A15,'Valo FX'!$A:$A,0)),INDEX(Base!$U:$U,MATCH($A15,Base!$A:$A,0)),IF(MQ$1=INDEX('Valo FX'!$R:$R,MATCH($A15,'Valo FX'!$A:$A,0)),INDEX(Base!$V:$V,MATCH($A15,Base!$A:$A,0)),0)))</f>
        <v>11.803319999999999</v>
      </c>
      <c r="MR15" s="21">
        <f>IF(MR$1&lt;INDEX('Valo FX'!$Q:$Q,MATCH($A15,'Valo FX'!$A:$A,0)),0,IF(MR$1&lt;INDEX('Valo FX'!$R:$R,MATCH($A15,'Valo FX'!$A:$A,0)),INDEX(Base!$U:$U,MATCH($A15,Base!$A:$A,0)),IF(MR$1=INDEX('Valo FX'!$R:$R,MATCH($A15,'Valo FX'!$A:$A,0)),INDEX(Base!$V:$V,MATCH($A15,Base!$A:$A,0)),0)))</f>
        <v>11.803319999999999</v>
      </c>
      <c r="MS15" s="21">
        <f>IF(MS$1&lt;INDEX('Valo FX'!$Q:$Q,MATCH($A15,'Valo FX'!$A:$A,0)),0,IF(MS$1&lt;INDEX('Valo FX'!$R:$R,MATCH($A15,'Valo FX'!$A:$A,0)),INDEX(Base!$U:$U,MATCH($A15,Base!$A:$A,0)),IF(MS$1=INDEX('Valo FX'!$R:$R,MATCH($A15,'Valo FX'!$A:$A,0)),INDEX(Base!$V:$V,MATCH($A15,Base!$A:$A,0)),0)))</f>
        <v>11.803319999999999</v>
      </c>
      <c r="MT15" s="21">
        <f>IF(MT$1&lt;INDEX('Valo FX'!$Q:$Q,MATCH($A15,'Valo FX'!$A:$A,0)),0,IF(MT$1&lt;INDEX('Valo FX'!$R:$R,MATCH($A15,'Valo FX'!$A:$A,0)),INDEX(Base!$U:$U,MATCH($A15,Base!$A:$A,0)),IF(MT$1=INDEX('Valo FX'!$R:$R,MATCH($A15,'Valo FX'!$A:$A,0)),INDEX(Base!$V:$V,MATCH($A15,Base!$A:$A,0)),0)))</f>
        <v>11.803319999999999</v>
      </c>
      <c r="MU15" s="21">
        <f>IF(MU$1&lt;INDEX('Valo FX'!$Q:$Q,MATCH($A15,'Valo FX'!$A:$A,0)),0,IF(MU$1&lt;INDEX('Valo FX'!$R:$R,MATCH($A15,'Valo FX'!$A:$A,0)),INDEX(Base!$U:$U,MATCH($A15,Base!$A:$A,0)),IF(MU$1=INDEX('Valo FX'!$R:$R,MATCH($A15,'Valo FX'!$A:$A,0)),INDEX(Base!$V:$V,MATCH($A15,Base!$A:$A,0)),0)))</f>
        <v>11.803319999999999</v>
      </c>
      <c r="MV15" s="21">
        <f>IF(MV$1&lt;INDEX('Valo FX'!$Q:$Q,MATCH($A15,'Valo FX'!$A:$A,0)),0,IF(MV$1&lt;INDEX('Valo FX'!$R:$R,MATCH($A15,'Valo FX'!$A:$A,0)),INDEX(Base!$U:$U,MATCH($A15,Base!$A:$A,0)),IF(MV$1=INDEX('Valo FX'!$R:$R,MATCH($A15,'Valo FX'!$A:$A,0)),INDEX(Base!$V:$V,MATCH($A15,Base!$A:$A,0)),0)))</f>
        <v>11.803319999999999</v>
      </c>
      <c r="MW15" s="21">
        <f>IF(MW$1&lt;INDEX('Valo FX'!$Q:$Q,MATCH($A15,'Valo FX'!$A:$A,0)),0,IF(MW$1&lt;INDEX('Valo FX'!$R:$R,MATCH($A15,'Valo FX'!$A:$A,0)),INDEX(Base!$U:$U,MATCH($A15,Base!$A:$A,0)),IF(MW$1=INDEX('Valo FX'!$R:$R,MATCH($A15,'Valo FX'!$A:$A,0)),INDEX(Base!$V:$V,MATCH($A15,Base!$A:$A,0)),0)))</f>
        <v>11.803319999999999</v>
      </c>
      <c r="MX15" s="21">
        <f>IF(MX$1&lt;INDEX('Valo FX'!$Q:$Q,MATCH($A15,'Valo FX'!$A:$A,0)),0,IF(MX$1&lt;INDEX('Valo FX'!$R:$R,MATCH($A15,'Valo FX'!$A:$A,0)),INDEX(Base!$U:$U,MATCH($A15,Base!$A:$A,0)),IF(MX$1=INDEX('Valo FX'!$R:$R,MATCH($A15,'Valo FX'!$A:$A,0)),INDEX(Base!$V:$V,MATCH($A15,Base!$A:$A,0)),0)))</f>
        <v>12.76722</v>
      </c>
      <c r="MY15" s="21">
        <f>IF(MY$1&lt;INDEX('Valo FX'!$Q:$Q,MATCH($A15,'Valo FX'!$A:$A,0)),0,IF(MY$1&lt;INDEX('Valo FX'!$R:$R,MATCH($A15,'Valo FX'!$A:$A,0)),INDEX(Base!$U:$U,MATCH($A15,Base!$A:$A,0)),IF(MY$1=INDEX('Valo FX'!$R:$R,MATCH($A15,'Valo FX'!$A:$A,0)),INDEX(Base!$V:$V,MATCH($A15,Base!$A:$A,0)),0)))</f>
        <v>0</v>
      </c>
    </row>
    <row r="16" spans="1:363" x14ac:dyDescent="0.25">
      <c r="A16" s="7">
        <f>+'Valo FX'!A17</f>
        <v>14</v>
      </c>
      <c r="B16" s="59">
        <f>-'Valo FX'!T17</f>
        <v>-1755.831063263845</v>
      </c>
      <c r="C16" s="21">
        <f>IF(C$1&lt;INDEX('Valo FX'!$Q:$Q,MATCH($A16,'Valo FX'!$A:$A,0)),0,IF(C$1&lt;INDEX('Valo FX'!$R:$R,MATCH($A16,'Valo FX'!$A:$A,0)),INDEX(Base!$U:$U,MATCH($A16,Base!$A:$A,0)),IF(C$1=INDEX('Valo FX'!$R:$R,MATCH($A16,'Valo FX'!$A:$A,0)),INDEX(Base!$V:$V,MATCH($A16,Base!$A:$A,0)),0)))</f>
        <v>0</v>
      </c>
      <c r="D16" s="21">
        <f>IF(D$1&lt;INDEX('Valo FX'!$Q:$Q,MATCH($A16,'Valo FX'!$A:$A,0)),0,IF(D$1&lt;INDEX('Valo FX'!$R:$R,MATCH($A16,'Valo FX'!$A:$A,0)),INDEX(Base!$U:$U,MATCH($A16,Base!$A:$A,0)),IF(D$1=INDEX('Valo FX'!$R:$R,MATCH($A16,'Valo FX'!$A:$A,0)),INDEX(Base!$V:$V,MATCH($A16,Base!$A:$A,0)),0)))</f>
        <v>0</v>
      </c>
      <c r="E16" s="21">
        <f>IF(E$1&lt;INDEX('Valo FX'!$Q:$Q,MATCH($A16,'Valo FX'!$A:$A,0)),0,IF(E$1&lt;INDEX('Valo FX'!$R:$R,MATCH($A16,'Valo FX'!$A:$A,0)),INDEX(Base!$U:$U,MATCH($A16,Base!$A:$A,0)),IF(E$1=INDEX('Valo FX'!$R:$R,MATCH($A16,'Valo FX'!$A:$A,0)),INDEX(Base!$V:$V,MATCH($A16,Base!$A:$A,0)),0)))</f>
        <v>0</v>
      </c>
      <c r="F16" s="21">
        <f>IF(F$1&lt;INDEX('Valo FX'!$Q:$Q,MATCH($A16,'Valo FX'!$A:$A,0)),0,IF(F$1&lt;INDEX('Valo FX'!$R:$R,MATCH($A16,'Valo FX'!$A:$A,0)),INDEX(Base!$U:$U,MATCH($A16,Base!$A:$A,0)),IF(F$1=INDEX('Valo FX'!$R:$R,MATCH($A16,'Valo FX'!$A:$A,0)),INDEX(Base!$V:$V,MATCH($A16,Base!$A:$A,0)),0)))</f>
        <v>0</v>
      </c>
      <c r="G16" s="21">
        <f>IF(G$1&lt;INDEX('Valo FX'!$Q:$Q,MATCH($A16,'Valo FX'!$A:$A,0)),0,IF(G$1&lt;INDEX('Valo FX'!$R:$R,MATCH($A16,'Valo FX'!$A:$A,0)),INDEX(Base!$U:$U,MATCH($A16,Base!$A:$A,0)),IF(G$1=INDEX('Valo FX'!$R:$R,MATCH($A16,'Valo FX'!$A:$A,0)),INDEX(Base!$V:$V,MATCH($A16,Base!$A:$A,0)),0)))</f>
        <v>0</v>
      </c>
      <c r="H16" s="21">
        <f>IF(H$1&lt;INDEX('Valo FX'!$Q:$Q,MATCH($A16,'Valo FX'!$A:$A,0)),0,IF(H$1&lt;INDEX('Valo FX'!$R:$R,MATCH($A16,'Valo FX'!$A:$A,0)),INDEX(Base!$U:$U,MATCH($A16,Base!$A:$A,0)),IF(H$1=INDEX('Valo FX'!$R:$R,MATCH($A16,'Valo FX'!$A:$A,0)),INDEX(Base!$V:$V,MATCH($A16,Base!$A:$A,0)),0)))</f>
        <v>12.24048</v>
      </c>
      <c r="I16" s="21">
        <f>IF(I$1&lt;INDEX('Valo FX'!$Q:$Q,MATCH($A16,'Valo FX'!$A:$A,0)),0,IF(I$1&lt;INDEX('Valo FX'!$R:$R,MATCH($A16,'Valo FX'!$A:$A,0)),INDEX(Base!$U:$U,MATCH($A16,Base!$A:$A,0)),IF(I$1=INDEX('Valo FX'!$R:$R,MATCH($A16,'Valo FX'!$A:$A,0)),INDEX(Base!$V:$V,MATCH($A16,Base!$A:$A,0)),0)))</f>
        <v>12.24048</v>
      </c>
      <c r="J16" s="21">
        <f>IF(J$1&lt;INDEX('Valo FX'!$Q:$Q,MATCH($A16,'Valo FX'!$A:$A,0)),0,IF(J$1&lt;INDEX('Valo FX'!$R:$R,MATCH($A16,'Valo FX'!$A:$A,0)),INDEX(Base!$U:$U,MATCH($A16,Base!$A:$A,0)),IF(J$1=INDEX('Valo FX'!$R:$R,MATCH($A16,'Valo FX'!$A:$A,0)),INDEX(Base!$V:$V,MATCH($A16,Base!$A:$A,0)),0)))</f>
        <v>12.24048</v>
      </c>
      <c r="K16" s="21">
        <f>IF(K$1&lt;INDEX('Valo FX'!$Q:$Q,MATCH($A16,'Valo FX'!$A:$A,0)),0,IF(K$1&lt;INDEX('Valo FX'!$R:$R,MATCH($A16,'Valo FX'!$A:$A,0)),INDEX(Base!$U:$U,MATCH($A16,Base!$A:$A,0)),IF(K$1=INDEX('Valo FX'!$R:$R,MATCH($A16,'Valo FX'!$A:$A,0)),INDEX(Base!$V:$V,MATCH($A16,Base!$A:$A,0)),0)))</f>
        <v>12.24048</v>
      </c>
      <c r="L16" s="21">
        <f>IF(L$1&lt;INDEX('Valo FX'!$Q:$Q,MATCH($A16,'Valo FX'!$A:$A,0)),0,IF(L$1&lt;INDEX('Valo FX'!$R:$R,MATCH($A16,'Valo FX'!$A:$A,0)),INDEX(Base!$U:$U,MATCH($A16,Base!$A:$A,0)),IF(L$1=INDEX('Valo FX'!$R:$R,MATCH($A16,'Valo FX'!$A:$A,0)),INDEX(Base!$V:$V,MATCH($A16,Base!$A:$A,0)),0)))</f>
        <v>12.24048</v>
      </c>
      <c r="M16" s="21">
        <f>IF(M$1&lt;INDEX('Valo FX'!$Q:$Q,MATCH($A16,'Valo FX'!$A:$A,0)),0,IF(M$1&lt;INDEX('Valo FX'!$R:$R,MATCH($A16,'Valo FX'!$A:$A,0)),INDEX(Base!$U:$U,MATCH($A16,Base!$A:$A,0)),IF(M$1=INDEX('Valo FX'!$R:$R,MATCH($A16,'Valo FX'!$A:$A,0)),INDEX(Base!$V:$V,MATCH($A16,Base!$A:$A,0)),0)))</f>
        <v>12.24048</v>
      </c>
      <c r="N16" s="21">
        <f>IF(N$1&lt;INDEX('Valo FX'!$Q:$Q,MATCH($A16,'Valo FX'!$A:$A,0)),0,IF(N$1&lt;INDEX('Valo FX'!$R:$R,MATCH($A16,'Valo FX'!$A:$A,0)),INDEX(Base!$U:$U,MATCH($A16,Base!$A:$A,0)),IF(N$1=INDEX('Valo FX'!$R:$R,MATCH($A16,'Valo FX'!$A:$A,0)),INDEX(Base!$V:$V,MATCH($A16,Base!$A:$A,0)),0)))</f>
        <v>12.24048</v>
      </c>
      <c r="O16" s="21">
        <f>IF(O$1&lt;INDEX('Valo FX'!$Q:$Q,MATCH($A16,'Valo FX'!$A:$A,0)),0,IF(O$1&lt;INDEX('Valo FX'!$R:$R,MATCH($A16,'Valo FX'!$A:$A,0)),INDEX(Base!$U:$U,MATCH($A16,Base!$A:$A,0)),IF(O$1=INDEX('Valo FX'!$R:$R,MATCH($A16,'Valo FX'!$A:$A,0)),INDEX(Base!$V:$V,MATCH($A16,Base!$A:$A,0)),0)))</f>
        <v>12.24048</v>
      </c>
      <c r="P16" s="21">
        <f>IF(P$1&lt;INDEX('Valo FX'!$Q:$Q,MATCH($A16,'Valo FX'!$A:$A,0)),0,IF(P$1&lt;INDEX('Valo FX'!$R:$R,MATCH($A16,'Valo FX'!$A:$A,0)),INDEX(Base!$U:$U,MATCH($A16,Base!$A:$A,0)),IF(P$1=INDEX('Valo FX'!$R:$R,MATCH($A16,'Valo FX'!$A:$A,0)),INDEX(Base!$V:$V,MATCH($A16,Base!$A:$A,0)),0)))</f>
        <v>12.24048</v>
      </c>
      <c r="Q16" s="21">
        <f>IF(Q$1&lt;INDEX('Valo FX'!$Q:$Q,MATCH($A16,'Valo FX'!$A:$A,0)),0,IF(Q$1&lt;INDEX('Valo FX'!$R:$R,MATCH($A16,'Valo FX'!$A:$A,0)),INDEX(Base!$U:$U,MATCH($A16,Base!$A:$A,0)),IF(Q$1=INDEX('Valo FX'!$R:$R,MATCH($A16,'Valo FX'!$A:$A,0)),INDEX(Base!$V:$V,MATCH($A16,Base!$A:$A,0)),0)))</f>
        <v>12.24048</v>
      </c>
      <c r="R16" s="21">
        <f>IF(R$1&lt;INDEX('Valo FX'!$Q:$Q,MATCH($A16,'Valo FX'!$A:$A,0)),0,IF(R$1&lt;INDEX('Valo FX'!$R:$R,MATCH($A16,'Valo FX'!$A:$A,0)),INDEX(Base!$U:$U,MATCH($A16,Base!$A:$A,0)),IF(R$1=INDEX('Valo FX'!$R:$R,MATCH($A16,'Valo FX'!$A:$A,0)),INDEX(Base!$V:$V,MATCH($A16,Base!$A:$A,0)),0)))</f>
        <v>12.24048</v>
      </c>
      <c r="S16" s="21">
        <f>IF(S$1&lt;INDEX('Valo FX'!$Q:$Q,MATCH($A16,'Valo FX'!$A:$A,0)),0,IF(S$1&lt;INDEX('Valo FX'!$R:$R,MATCH($A16,'Valo FX'!$A:$A,0)),INDEX(Base!$U:$U,MATCH($A16,Base!$A:$A,0)),IF(S$1=INDEX('Valo FX'!$R:$R,MATCH($A16,'Valo FX'!$A:$A,0)),INDEX(Base!$V:$V,MATCH($A16,Base!$A:$A,0)),0)))</f>
        <v>12.24048</v>
      </c>
      <c r="T16" s="21">
        <f>IF(T$1&lt;INDEX('Valo FX'!$Q:$Q,MATCH($A16,'Valo FX'!$A:$A,0)),0,IF(T$1&lt;INDEX('Valo FX'!$R:$R,MATCH($A16,'Valo FX'!$A:$A,0)),INDEX(Base!$U:$U,MATCH($A16,Base!$A:$A,0)),IF(T$1=INDEX('Valo FX'!$R:$R,MATCH($A16,'Valo FX'!$A:$A,0)),INDEX(Base!$V:$V,MATCH($A16,Base!$A:$A,0)),0)))</f>
        <v>12.24048</v>
      </c>
      <c r="U16" s="21">
        <f>IF(U$1&lt;INDEX('Valo FX'!$Q:$Q,MATCH($A16,'Valo FX'!$A:$A,0)),0,IF(U$1&lt;INDEX('Valo FX'!$R:$R,MATCH($A16,'Valo FX'!$A:$A,0)),INDEX(Base!$U:$U,MATCH($A16,Base!$A:$A,0)),IF(U$1=INDEX('Valo FX'!$R:$R,MATCH($A16,'Valo FX'!$A:$A,0)),INDEX(Base!$V:$V,MATCH($A16,Base!$A:$A,0)),0)))</f>
        <v>12.24048</v>
      </c>
      <c r="V16" s="21">
        <f>IF(V$1&lt;INDEX('Valo FX'!$Q:$Q,MATCH($A16,'Valo FX'!$A:$A,0)),0,IF(V$1&lt;INDEX('Valo FX'!$R:$R,MATCH($A16,'Valo FX'!$A:$A,0)),INDEX(Base!$U:$U,MATCH($A16,Base!$A:$A,0)),IF(V$1=INDEX('Valo FX'!$R:$R,MATCH($A16,'Valo FX'!$A:$A,0)),INDEX(Base!$V:$V,MATCH($A16,Base!$A:$A,0)),0)))</f>
        <v>12.24048</v>
      </c>
      <c r="W16" s="21">
        <f>IF(W$1&lt;INDEX('Valo FX'!$Q:$Q,MATCH($A16,'Valo FX'!$A:$A,0)),0,IF(W$1&lt;INDEX('Valo FX'!$R:$R,MATCH($A16,'Valo FX'!$A:$A,0)),INDEX(Base!$U:$U,MATCH($A16,Base!$A:$A,0)),IF(W$1=INDEX('Valo FX'!$R:$R,MATCH($A16,'Valo FX'!$A:$A,0)),INDEX(Base!$V:$V,MATCH($A16,Base!$A:$A,0)),0)))</f>
        <v>12.24048</v>
      </c>
      <c r="X16" s="21">
        <f>IF(X$1&lt;INDEX('Valo FX'!$Q:$Q,MATCH($A16,'Valo FX'!$A:$A,0)),0,IF(X$1&lt;INDEX('Valo FX'!$R:$R,MATCH($A16,'Valo FX'!$A:$A,0)),INDEX(Base!$U:$U,MATCH($A16,Base!$A:$A,0)),IF(X$1=INDEX('Valo FX'!$R:$R,MATCH($A16,'Valo FX'!$A:$A,0)),INDEX(Base!$V:$V,MATCH($A16,Base!$A:$A,0)),0)))</f>
        <v>12.24048</v>
      </c>
      <c r="Y16" s="21">
        <f>IF(Y$1&lt;INDEX('Valo FX'!$Q:$Q,MATCH($A16,'Valo FX'!$A:$A,0)),0,IF(Y$1&lt;INDEX('Valo FX'!$R:$R,MATCH($A16,'Valo FX'!$A:$A,0)),INDEX(Base!$U:$U,MATCH($A16,Base!$A:$A,0)),IF(Y$1=INDEX('Valo FX'!$R:$R,MATCH($A16,'Valo FX'!$A:$A,0)),INDEX(Base!$V:$V,MATCH($A16,Base!$A:$A,0)),0)))</f>
        <v>12.24048</v>
      </c>
      <c r="Z16" s="21">
        <f>IF(Z$1&lt;INDEX('Valo FX'!$Q:$Q,MATCH($A16,'Valo FX'!$A:$A,0)),0,IF(Z$1&lt;INDEX('Valo FX'!$R:$R,MATCH($A16,'Valo FX'!$A:$A,0)),INDEX(Base!$U:$U,MATCH($A16,Base!$A:$A,0)),IF(Z$1=INDEX('Valo FX'!$R:$R,MATCH($A16,'Valo FX'!$A:$A,0)),INDEX(Base!$V:$V,MATCH($A16,Base!$A:$A,0)),0)))</f>
        <v>12.24048</v>
      </c>
      <c r="AA16" s="21">
        <f>IF(AA$1&lt;INDEX('Valo FX'!$Q:$Q,MATCH($A16,'Valo FX'!$A:$A,0)),0,IF(AA$1&lt;INDEX('Valo FX'!$R:$R,MATCH($A16,'Valo FX'!$A:$A,0)),INDEX(Base!$U:$U,MATCH($A16,Base!$A:$A,0)),IF(AA$1=INDEX('Valo FX'!$R:$R,MATCH($A16,'Valo FX'!$A:$A,0)),INDEX(Base!$V:$V,MATCH($A16,Base!$A:$A,0)),0)))</f>
        <v>12.24048</v>
      </c>
      <c r="AB16" s="21">
        <f>IF(AB$1&lt;INDEX('Valo FX'!$Q:$Q,MATCH($A16,'Valo FX'!$A:$A,0)),0,IF(AB$1&lt;INDEX('Valo FX'!$R:$R,MATCH($A16,'Valo FX'!$A:$A,0)),INDEX(Base!$U:$U,MATCH($A16,Base!$A:$A,0)),IF(AB$1=INDEX('Valo FX'!$R:$R,MATCH($A16,'Valo FX'!$A:$A,0)),INDEX(Base!$V:$V,MATCH($A16,Base!$A:$A,0)),0)))</f>
        <v>12.24048</v>
      </c>
      <c r="AC16" s="21">
        <f>IF(AC$1&lt;INDEX('Valo FX'!$Q:$Q,MATCH($A16,'Valo FX'!$A:$A,0)),0,IF(AC$1&lt;INDEX('Valo FX'!$R:$R,MATCH($A16,'Valo FX'!$A:$A,0)),INDEX(Base!$U:$U,MATCH($A16,Base!$A:$A,0)),IF(AC$1=INDEX('Valo FX'!$R:$R,MATCH($A16,'Valo FX'!$A:$A,0)),INDEX(Base!$V:$V,MATCH($A16,Base!$A:$A,0)),0)))</f>
        <v>12.24048</v>
      </c>
      <c r="AD16" s="21">
        <f>IF(AD$1&lt;INDEX('Valo FX'!$Q:$Q,MATCH($A16,'Valo FX'!$A:$A,0)),0,IF(AD$1&lt;INDEX('Valo FX'!$R:$R,MATCH($A16,'Valo FX'!$A:$A,0)),INDEX(Base!$U:$U,MATCH($A16,Base!$A:$A,0)),IF(AD$1=INDEX('Valo FX'!$R:$R,MATCH($A16,'Valo FX'!$A:$A,0)),INDEX(Base!$V:$V,MATCH($A16,Base!$A:$A,0)),0)))</f>
        <v>12.24048</v>
      </c>
      <c r="AE16" s="21">
        <f>IF(AE$1&lt;INDEX('Valo FX'!$Q:$Q,MATCH($A16,'Valo FX'!$A:$A,0)),0,IF(AE$1&lt;INDEX('Valo FX'!$R:$R,MATCH($A16,'Valo FX'!$A:$A,0)),INDEX(Base!$U:$U,MATCH($A16,Base!$A:$A,0)),IF(AE$1=INDEX('Valo FX'!$R:$R,MATCH($A16,'Valo FX'!$A:$A,0)),INDEX(Base!$V:$V,MATCH($A16,Base!$A:$A,0)),0)))</f>
        <v>12.24048</v>
      </c>
      <c r="AF16" s="21">
        <f>IF(AF$1&lt;INDEX('Valo FX'!$Q:$Q,MATCH($A16,'Valo FX'!$A:$A,0)),0,IF(AF$1&lt;INDEX('Valo FX'!$R:$R,MATCH($A16,'Valo FX'!$A:$A,0)),INDEX(Base!$U:$U,MATCH($A16,Base!$A:$A,0)),IF(AF$1=INDEX('Valo FX'!$R:$R,MATCH($A16,'Valo FX'!$A:$A,0)),INDEX(Base!$V:$V,MATCH($A16,Base!$A:$A,0)),0)))</f>
        <v>12.24048</v>
      </c>
      <c r="AG16" s="21">
        <f>IF(AG$1&lt;INDEX('Valo FX'!$Q:$Q,MATCH($A16,'Valo FX'!$A:$A,0)),0,IF(AG$1&lt;INDEX('Valo FX'!$R:$R,MATCH($A16,'Valo FX'!$A:$A,0)),INDEX(Base!$U:$U,MATCH($A16,Base!$A:$A,0)),IF(AG$1=INDEX('Valo FX'!$R:$R,MATCH($A16,'Valo FX'!$A:$A,0)),INDEX(Base!$V:$V,MATCH($A16,Base!$A:$A,0)),0)))</f>
        <v>12.24048</v>
      </c>
      <c r="AH16" s="21">
        <f>IF(AH$1&lt;INDEX('Valo FX'!$Q:$Q,MATCH($A16,'Valo FX'!$A:$A,0)),0,IF(AH$1&lt;INDEX('Valo FX'!$R:$R,MATCH($A16,'Valo FX'!$A:$A,0)),INDEX(Base!$U:$U,MATCH($A16,Base!$A:$A,0)),IF(AH$1=INDEX('Valo FX'!$R:$R,MATCH($A16,'Valo FX'!$A:$A,0)),INDEX(Base!$V:$V,MATCH($A16,Base!$A:$A,0)),0)))</f>
        <v>12.24048</v>
      </c>
      <c r="AI16" s="21">
        <f>IF(AI$1&lt;INDEX('Valo FX'!$Q:$Q,MATCH($A16,'Valo FX'!$A:$A,0)),0,IF(AI$1&lt;INDEX('Valo FX'!$R:$R,MATCH($A16,'Valo FX'!$A:$A,0)),INDEX(Base!$U:$U,MATCH($A16,Base!$A:$A,0)),IF(AI$1=INDEX('Valo FX'!$R:$R,MATCH($A16,'Valo FX'!$A:$A,0)),INDEX(Base!$V:$V,MATCH($A16,Base!$A:$A,0)),0)))</f>
        <v>12.24048</v>
      </c>
      <c r="AJ16" s="21">
        <f>IF(AJ$1&lt;INDEX('Valo FX'!$Q:$Q,MATCH($A16,'Valo FX'!$A:$A,0)),0,IF(AJ$1&lt;INDEX('Valo FX'!$R:$R,MATCH($A16,'Valo FX'!$A:$A,0)),INDEX(Base!$U:$U,MATCH($A16,Base!$A:$A,0)),IF(AJ$1=INDEX('Valo FX'!$R:$R,MATCH($A16,'Valo FX'!$A:$A,0)),INDEX(Base!$V:$V,MATCH($A16,Base!$A:$A,0)),0)))</f>
        <v>12.24048</v>
      </c>
      <c r="AK16" s="21">
        <f>IF(AK$1&lt;INDEX('Valo FX'!$Q:$Q,MATCH($A16,'Valo FX'!$A:$A,0)),0,IF(AK$1&lt;INDEX('Valo FX'!$R:$R,MATCH($A16,'Valo FX'!$A:$A,0)),INDEX(Base!$U:$U,MATCH($A16,Base!$A:$A,0)),IF(AK$1=INDEX('Valo FX'!$R:$R,MATCH($A16,'Valo FX'!$A:$A,0)),INDEX(Base!$V:$V,MATCH($A16,Base!$A:$A,0)),0)))</f>
        <v>12.24048</v>
      </c>
      <c r="AL16" s="21">
        <f>IF(AL$1&lt;INDEX('Valo FX'!$Q:$Q,MATCH($A16,'Valo FX'!$A:$A,0)),0,IF(AL$1&lt;INDEX('Valo FX'!$R:$R,MATCH($A16,'Valo FX'!$A:$A,0)),INDEX(Base!$U:$U,MATCH($A16,Base!$A:$A,0)),IF(AL$1=INDEX('Valo FX'!$R:$R,MATCH($A16,'Valo FX'!$A:$A,0)),INDEX(Base!$V:$V,MATCH($A16,Base!$A:$A,0)),0)))</f>
        <v>12.24048</v>
      </c>
      <c r="AM16" s="21">
        <f>IF(AM$1&lt;INDEX('Valo FX'!$Q:$Q,MATCH($A16,'Valo FX'!$A:$A,0)),0,IF(AM$1&lt;INDEX('Valo FX'!$R:$R,MATCH($A16,'Valo FX'!$A:$A,0)),INDEX(Base!$U:$U,MATCH($A16,Base!$A:$A,0)),IF(AM$1=INDEX('Valo FX'!$R:$R,MATCH($A16,'Valo FX'!$A:$A,0)),INDEX(Base!$V:$V,MATCH($A16,Base!$A:$A,0)),0)))</f>
        <v>12.24048</v>
      </c>
      <c r="AN16" s="21">
        <f>IF(AN$1&lt;INDEX('Valo FX'!$Q:$Q,MATCH($A16,'Valo FX'!$A:$A,0)),0,IF(AN$1&lt;INDEX('Valo FX'!$R:$R,MATCH($A16,'Valo FX'!$A:$A,0)),INDEX(Base!$U:$U,MATCH($A16,Base!$A:$A,0)),IF(AN$1=INDEX('Valo FX'!$R:$R,MATCH($A16,'Valo FX'!$A:$A,0)),INDEX(Base!$V:$V,MATCH($A16,Base!$A:$A,0)),0)))</f>
        <v>12.24048</v>
      </c>
      <c r="AO16" s="21">
        <f>IF(AO$1&lt;INDEX('Valo FX'!$Q:$Q,MATCH($A16,'Valo FX'!$A:$A,0)),0,IF(AO$1&lt;INDEX('Valo FX'!$R:$R,MATCH($A16,'Valo FX'!$A:$A,0)),INDEX(Base!$U:$U,MATCH($A16,Base!$A:$A,0)),IF(AO$1=INDEX('Valo FX'!$R:$R,MATCH($A16,'Valo FX'!$A:$A,0)),INDEX(Base!$V:$V,MATCH($A16,Base!$A:$A,0)),0)))</f>
        <v>12.24048</v>
      </c>
      <c r="AP16" s="21">
        <f>IF(AP$1&lt;INDEX('Valo FX'!$Q:$Q,MATCH($A16,'Valo FX'!$A:$A,0)),0,IF(AP$1&lt;INDEX('Valo FX'!$R:$R,MATCH($A16,'Valo FX'!$A:$A,0)),INDEX(Base!$U:$U,MATCH($A16,Base!$A:$A,0)),IF(AP$1=INDEX('Valo FX'!$R:$R,MATCH($A16,'Valo FX'!$A:$A,0)),INDEX(Base!$V:$V,MATCH($A16,Base!$A:$A,0)),0)))</f>
        <v>12.24048</v>
      </c>
      <c r="AQ16" s="21">
        <f>IF(AQ$1&lt;INDEX('Valo FX'!$Q:$Q,MATCH($A16,'Valo FX'!$A:$A,0)),0,IF(AQ$1&lt;INDEX('Valo FX'!$R:$R,MATCH($A16,'Valo FX'!$A:$A,0)),INDEX(Base!$U:$U,MATCH($A16,Base!$A:$A,0)),IF(AQ$1=INDEX('Valo FX'!$R:$R,MATCH($A16,'Valo FX'!$A:$A,0)),INDEX(Base!$V:$V,MATCH($A16,Base!$A:$A,0)),0)))</f>
        <v>12.24048</v>
      </c>
      <c r="AR16" s="21">
        <f>IF(AR$1&lt;INDEX('Valo FX'!$Q:$Q,MATCH($A16,'Valo FX'!$A:$A,0)),0,IF(AR$1&lt;INDEX('Valo FX'!$R:$R,MATCH($A16,'Valo FX'!$A:$A,0)),INDEX(Base!$U:$U,MATCH($A16,Base!$A:$A,0)),IF(AR$1=INDEX('Valo FX'!$R:$R,MATCH($A16,'Valo FX'!$A:$A,0)),INDEX(Base!$V:$V,MATCH($A16,Base!$A:$A,0)),0)))</f>
        <v>12.24048</v>
      </c>
      <c r="AS16" s="21">
        <f>IF(AS$1&lt;INDEX('Valo FX'!$Q:$Q,MATCH($A16,'Valo FX'!$A:$A,0)),0,IF(AS$1&lt;INDEX('Valo FX'!$R:$R,MATCH($A16,'Valo FX'!$A:$A,0)),INDEX(Base!$U:$U,MATCH($A16,Base!$A:$A,0)),IF(AS$1=INDEX('Valo FX'!$R:$R,MATCH($A16,'Valo FX'!$A:$A,0)),INDEX(Base!$V:$V,MATCH($A16,Base!$A:$A,0)),0)))</f>
        <v>12.24048</v>
      </c>
      <c r="AT16" s="21">
        <f>IF(AT$1&lt;INDEX('Valo FX'!$Q:$Q,MATCH($A16,'Valo FX'!$A:$A,0)),0,IF(AT$1&lt;INDEX('Valo FX'!$R:$R,MATCH($A16,'Valo FX'!$A:$A,0)),INDEX(Base!$U:$U,MATCH($A16,Base!$A:$A,0)),IF(AT$1=INDEX('Valo FX'!$R:$R,MATCH($A16,'Valo FX'!$A:$A,0)),INDEX(Base!$V:$V,MATCH($A16,Base!$A:$A,0)),0)))</f>
        <v>12.24048</v>
      </c>
      <c r="AU16" s="21">
        <f>IF(AU$1&lt;INDEX('Valo FX'!$Q:$Q,MATCH($A16,'Valo FX'!$A:$A,0)),0,IF(AU$1&lt;INDEX('Valo FX'!$R:$R,MATCH($A16,'Valo FX'!$A:$A,0)),INDEX(Base!$U:$U,MATCH($A16,Base!$A:$A,0)),IF(AU$1=INDEX('Valo FX'!$R:$R,MATCH($A16,'Valo FX'!$A:$A,0)),INDEX(Base!$V:$V,MATCH($A16,Base!$A:$A,0)),0)))</f>
        <v>12.24048</v>
      </c>
      <c r="AV16" s="21">
        <f>IF(AV$1&lt;INDEX('Valo FX'!$Q:$Q,MATCH($A16,'Valo FX'!$A:$A,0)),0,IF(AV$1&lt;INDEX('Valo FX'!$R:$R,MATCH($A16,'Valo FX'!$A:$A,0)),INDEX(Base!$U:$U,MATCH($A16,Base!$A:$A,0)),IF(AV$1=INDEX('Valo FX'!$R:$R,MATCH($A16,'Valo FX'!$A:$A,0)),INDEX(Base!$V:$V,MATCH($A16,Base!$A:$A,0)),0)))</f>
        <v>12.24048</v>
      </c>
      <c r="AW16" s="21">
        <f>IF(AW$1&lt;INDEX('Valo FX'!$Q:$Q,MATCH($A16,'Valo FX'!$A:$A,0)),0,IF(AW$1&lt;INDEX('Valo FX'!$R:$R,MATCH($A16,'Valo FX'!$A:$A,0)),INDEX(Base!$U:$U,MATCH($A16,Base!$A:$A,0)),IF(AW$1=INDEX('Valo FX'!$R:$R,MATCH($A16,'Valo FX'!$A:$A,0)),INDEX(Base!$V:$V,MATCH($A16,Base!$A:$A,0)),0)))</f>
        <v>12.24048</v>
      </c>
      <c r="AX16" s="21">
        <f>IF(AX$1&lt;INDEX('Valo FX'!$Q:$Q,MATCH($A16,'Valo FX'!$A:$A,0)),0,IF(AX$1&lt;INDEX('Valo FX'!$R:$R,MATCH($A16,'Valo FX'!$A:$A,0)),INDEX(Base!$U:$U,MATCH($A16,Base!$A:$A,0)),IF(AX$1=INDEX('Valo FX'!$R:$R,MATCH($A16,'Valo FX'!$A:$A,0)),INDEX(Base!$V:$V,MATCH($A16,Base!$A:$A,0)),0)))</f>
        <v>12.24048</v>
      </c>
      <c r="AY16" s="21">
        <f>IF(AY$1&lt;INDEX('Valo FX'!$Q:$Q,MATCH($A16,'Valo FX'!$A:$A,0)),0,IF(AY$1&lt;INDEX('Valo FX'!$R:$R,MATCH($A16,'Valo FX'!$A:$A,0)),INDEX(Base!$U:$U,MATCH($A16,Base!$A:$A,0)),IF(AY$1=INDEX('Valo FX'!$R:$R,MATCH($A16,'Valo FX'!$A:$A,0)),INDEX(Base!$V:$V,MATCH($A16,Base!$A:$A,0)),0)))</f>
        <v>12.24048</v>
      </c>
      <c r="AZ16" s="21">
        <f>IF(AZ$1&lt;INDEX('Valo FX'!$Q:$Q,MATCH($A16,'Valo FX'!$A:$A,0)),0,IF(AZ$1&lt;INDEX('Valo FX'!$R:$R,MATCH($A16,'Valo FX'!$A:$A,0)),INDEX(Base!$U:$U,MATCH($A16,Base!$A:$A,0)),IF(AZ$1=INDEX('Valo FX'!$R:$R,MATCH($A16,'Valo FX'!$A:$A,0)),INDEX(Base!$V:$V,MATCH($A16,Base!$A:$A,0)),0)))</f>
        <v>12.24048</v>
      </c>
      <c r="BA16" s="21">
        <f>IF(BA$1&lt;INDEX('Valo FX'!$Q:$Q,MATCH($A16,'Valo FX'!$A:$A,0)),0,IF(BA$1&lt;INDEX('Valo FX'!$R:$R,MATCH($A16,'Valo FX'!$A:$A,0)),INDEX(Base!$U:$U,MATCH($A16,Base!$A:$A,0)),IF(BA$1=INDEX('Valo FX'!$R:$R,MATCH($A16,'Valo FX'!$A:$A,0)),INDEX(Base!$V:$V,MATCH($A16,Base!$A:$A,0)),0)))</f>
        <v>12.24048</v>
      </c>
      <c r="BB16" s="21">
        <f>IF(BB$1&lt;INDEX('Valo FX'!$Q:$Q,MATCH($A16,'Valo FX'!$A:$A,0)),0,IF(BB$1&lt;INDEX('Valo FX'!$R:$R,MATCH($A16,'Valo FX'!$A:$A,0)),INDEX(Base!$U:$U,MATCH($A16,Base!$A:$A,0)),IF(BB$1=INDEX('Valo FX'!$R:$R,MATCH($A16,'Valo FX'!$A:$A,0)),INDEX(Base!$V:$V,MATCH($A16,Base!$A:$A,0)),0)))</f>
        <v>12.24048</v>
      </c>
      <c r="BC16" s="21">
        <f>IF(BC$1&lt;INDEX('Valo FX'!$Q:$Q,MATCH($A16,'Valo FX'!$A:$A,0)),0,IF(BC$1&lt;INDEX('Valo FX'!$R:$R,MATCH($A16,'Valo FX'!$A:$A,0)),INDEX(Base!$U:$U,MATCH($A16,Base!$A:$A,0)),IF(BC$1=INDEX('Valo FX'!$R:$R,MATCH($A16,'Valo FX'!$A:$A,0)),INDEX(Base!$V:$V,MATCH($A16,Base!$A:$A,0)),0)))</f>
        <v>12.24048</v>
      </c>
      <c r="BD16" s="21">
        <f>IF(BD$1&lt;INDEX('Valo FX'!$Q:$Q,MATCH($A16,'Valo FX'!$A:$A,0)),0,IF(BD$1&lt;INDEX('Valo FX'!$R:$R,MATCH($A16,'Valo FX'!$A:$A,0)),INDEX(Base!$U:$U,MATCH($A16,Base!$A:$A,0)),IF(BD$1=INDEX('Valo FX'!$R:$R,MATCH($A16,'Valo FX'!$A:$A,0)),INDEX(Base!$V:$V,MATCH($A16,Base!$A:$A,0)),0)))</f>
        <v>12.24048</v>
      </c>
      <c r="BE16" s="21">
        <f>IF(BE$1&lt;INDEX('Valo FX'!$Q:$Q,MATCH($A16,'Valo FX'!$A:$A,0)),0,IF(BE$1&lt;INDEX('Valo FX'!$R:$R,MATCH($A16,'Valo FX'!$A:$A,0)),INDEX(Base!$U:$U,MATCH($A16,Base!$A:$A,0)),IF(BE$1=INDEX('Valo FX'!$R:$R,MATCH($A16,'Valo FX'!$A:$A,0)),INDEX(Base!$V:$V,MATCH($A16,Base!$A:$A,0)),0)))</f>
        <v>12.24048</v>
      </c>
      <c r="BF16" s="21">
        <f>IF(BF$1&lt;INDEX('Valo FX'!$Q:$Q,MATCH($A16,'Valo FX'!$A:$A,0)),0,IF(BF$1&lt;INDEX('Valo FX'!$R:$R,MATCH($A16,'Valo FX'!$A:$A,0)),INDEX(Base!$U:$U,MATCH($A16,Base!$A:$A,0)),IF(BF$1=INDEX('Valo FX'!$R:$R,MATCH($A16,'Valo FX'!$A:$A,0)),INDEX(Base!$V:$V,MATCH($A16,Base!$A:$A,0)),0)))</f>
        <v>12.24048</v>
      </c>
      <c r="BG16" s="21">
        <f>IF(BG$1&lt;INDEX('Valo FX'!$Q:$Q,MATCH($A16,'Valo FX'!$A:$A,0)),0,IF(BG$1&lt;INDEX('Valo FX'!$R:$R,MATCH($A16,'Valo FX'!$A:$A,0)),INDEX(Base!$U:$U,MATCH($A16,Base!$A:$A,0)),IF(BG$1=INDEX('Valo FX'!$R:$R,MATCH($A16,'Valo FX'!$A:$A,0)),INDEX(Base!$V:$V,MATCH($A16,Base!$A:$A,0)),0)))</f>
        <v>12.24048</v>
      </c>
      <c r="BH16" s="21">
        <f>IF(BH$1&lt;INDEX('Valo FX'!$Q:$Q,MATCH($A16,'Valo FX'!$A:$A,0)),0,IF(BH$1&lt;INDEX('Valo FX'!$R:$R,MATCH($A16,'Valo FX'!$A:$A,0)),INDEX(Base!$U:$U,MATCH($A16,Base!$A:$A,0)),IF(BH$1=INDEX('Valo FX'!$R:$R,MATCH($A16,'Valo FX'!$A:$A,0)),INDEX(Base!$V:$V,MATCH($A16,Base!$A:$A,0)),0)))</f>
        <v>12.24048</v>
      </c>
      <c r="BI16" s="21">
        <f>IF(BI$1&lt;INDEX('Valo FX'!$Q:$Q,MATCH($A16,'Valo FX'!$A:$A,0)),0,IF(BI$1&lt;INDEX('Valo FX'!$R:$R,MATCH($A16,'Valo FX'!$A:$A,0)),INDEX(Base!$U:$U,MATCH($A16,Base!$A:$A,0)),IF(BI$1=INDEX('Valo FX'!$R:$R,MATCH($A16,'Valo FX'!$A:$A,0)),INDEX(Base!$V:$V,MATCH($A16,Base!$A:$A,0)),0)))</f>
        <v>12.24048</v>
      </c>
      <c r="BJ16" s="21">
        <f>IF(BJ$1&lt;INDEX('Valo FX'!$Q:$Q,MATCH($A16,'Valo FX'!$A:$A,0)),0,IF(BJ$1&lt;INDEX('Valo FX'!$R:$R,MATCH($A16,'Valo FX'!$A:$A,0)),INDEX(Base!$U:$U,MATCH($A16,Base!$A:$A,0)),IF(BJ$1=INDEX('Valo FX'!$R:$R,MATCH($A16,'Valo FX'!$A:$A,0)),INDEX(Base!$V:$V,MATCH($A16,Base!$A:$A,0)),0)))</f>
        <v>12.24048</v>
      </c>
      <c r="BK16" s="21">
        <f>IF(BK$1&lt;INDEX('Valo FX'!$Q:$Q,MATCH($A16,'Valo FX'!$A:$A,0)),0,IF(BK$1&lt;INDEX('Valo FX'!$R:$R,MATCH($A16,'Valo FX'!$A:$A,0)),INDEX(Base!$U:$U,MATCH($A16,Base!$A:$A,0)),IF(BK$1=INDEX('Valo FX'!$R:$R,MATCH($A16,'Valo FX'!$A:$A,0)),INDEX(Base!$V:$V,MATCH($A16,Base!$A:$A,0)),0)))</f>
        <v>12.24048</v>
      </c>
      <c r="BL16" s="21">
        <f>IF(BL$1&lt;INDEX('Valo FX'!$Q:$Q,MATCH($A16,'Valo FX'!$A:$A,0)),0,IF(BL$1&lt;INDEX('Valo FX'!$R:$R,MATCH($A16,'Valo FX'!$A:$A,0)),INDEX(Base!$U:$U,MATCH($A16,Base!$A:$A,0)),IF(BL$1=INDEX('Valo FX'!$R:$R,MATCH($A16,'Valo FX'!$A:$A,0)),INDEX(Base!$V:$V,MATCH($A16,Base!$A:$A,0)),0)))</f>
        <v>12.24048</v>
      </c>
      <c r="BM16" s="21">
        <f>IF(BM$1&lt;INDEX('Valo FX'!$Q:$Q,MATCH($A16,'Valo FX'!$A:$A,0)),0,IF(BM$1&lt;INDEX('Valo FX'!$R:$R,MATCH($A16,'Valo FX'!$A:$A,0)),INDEX(Base!$U:$U,MATCH($A16,Base!$A:$A,0)),IF(BM$1=INDEX('Valo FX'!$R:$R,MATCH($A16,'Valo FX'!$A:$A,0)),INDEX(Base!$V:$V,MATCH($A16,Base!$A:$A,0)),0)))</f>
        <v>12.24048</v>
      </c>
      <c r="BN16" s="21">
        <f>IF(BN$1&lt;INDEX('Valo FX'!$Q:$Q,MATCH($A16,'Valo FX'!$A:$A,0)),0,IF(BN$1&lt;INDEX('Valo FX'!$R:$R,MATCH($A16,'Valo FX'!$A:$A,0)),INDEX(Base!$U:$U,MATCH($A16,Base!$A:$A,0)),IF(BN$1=INDEX('Valo FX'!$R:$R,MATCH($A16,'Valo FX'!$A:$A,0)),INDEX(Base!$V:$V,MATCH($A16,Base!$A:$A,0)),0)))</f>
        <v>12.24048</v>
      </c>
      <c r="BO16" s="21">
        <f>IF(BO$1&lt;INDEX('Valo FX'!$Q:$Q,MATCH($A16,'Valo FX'!$A:$A,0)),0,IF(BO$1&lt;INDEX('Valo FX'!$R:$R,MATCH($A16,'Valo FX'!$A:$A,0)),INDEX(Base!$U:$U,MATCH($A16,Base!$A:$A,0)),IF(BO$1=INDEX('Valo FX'!$R:$R,MATCH($A16,'Valo FX'!$A:$A,0)),INDEX(Base!$V:$V,MATCH($A16,Base!$A:$A,0)),0)))</f>
        <v>12.24048</v>
      </c>
      <c r="BP16" s="21">
        <f>IF(BP$1&lt;INDEX('Valo FX'!$Q:$Q,MATCH($A16,'Valo FX'!$A:$A,0)),0,IF(BP$1&lt;INDEX('Valo FX'!$R:$R,MATCH($A16,'Valo FX'!$A:$A,0)),INDEX(Base!$U:$U,MATCH($A16,Base!$A:$A,0)),IF(BP$1=INDEX('Valo FX'!$R:$R,MATCH($A16,'Valo FX'!$A:$A,0)),INDEX(Base!$V:$V,MATCH($A16,Base!$A:$A,0)),0)))</f>
        <v>12.24048</v>
      </c>
      <c r="BQ16" s="21">
        <f>IF(BQ$1&lt;INDEX('Valo FX'!$Q:$Q,MATCH($A16,'Valo FX'!$A:$A,0)),0,IF(BQ$1&lt;INDEX('Valo FX'!$R:$R,MATCH($A16,'Valo FX'!$A:$A,0)),INDEX(Base!$U:$U,MATCH($A16,Base!$A:$A,0)),IF(BQ$1=INDEX('Valo FX'!$R:$R,MATCH($A16,'Valo FX'!$A:$A,0)),INDEX(Base!$V:$V,MATCH($A16,Base!$A:$A,0)),0)))</f>
        <v>12.24048</v>
      </c>
      <c r="BR16" s="21">
        <f>IF(BR$1&lt;INDEX('Valo FX'!$Q:$Q,MATCH($A16,'Valo FX'!$A:$A,0)),0,IF(BR$1&lt;INDEX('Valo FX'!$R:$R,MATCH($A16,'Valo FX'!$A:$A,0)),INDEX(Base!$U:$U,MATCH($A16,Base!$A:$A,0)),IF(BR$1=INDEX('Valo FX'!$R:$R,MATCH($A16,'Valo FX'!$A:$A,0)),INDEX(Base!$V:$V,MATCH($A16,Base!$A:$A,0)),0)))</f>
        <v>12.24048</v>
      </c>
      <c r="BS16" s="21">
        <f>IF(BS$1&lt;INDEX('Valo FX'!$Q:$Q,MATCH($A16,'Valo FX'!$A:$A,0)),0,IF(BS$1&lt;INDEX('Valo FX'!$R:$R,MATCH($A16,'Valo FX'!$A:$A,0)),INDEX(Base!$U:$U,MATCH($A16,Base!$A:$A,0)),IF(BS$1=INDEX('Valo FX'!$R:$R,MATCH($A16,'Valo FX'!$A:$A,0)),INDEX(Base!$V:$V,MATCH($A16,Base!$A:$A,0)),0)))</f>
        <v>12.24048</v>
      </c>
      <c r="BT16" s="21">
        <f>IF(BT$1&lt;INDEX('Valo FX'!$Q:$Q,MATCH($A16,'Valo FX'!$A:$A,0)),0,IF(BT$1&lt;INDEX('Valo FX'!$R:$R,MATCH($A16,'Valo FX'!$A:$A,0)),INDEX(Base!$U:$U,MATCH($A16,Base!$A:$A,0)),IF(BT$1=INDEX('Valo FX'!$R:$R,MATCH($A16,'Valo FX'!$A:$A,0)),INDEX(Base!$V:$V,MATCH($A16,Base!$A:$A,0)),0)))</f>
        <v>12.24048</v>
      </c>
      <c r="BU16" s="21">
        <f>IF(BU$1&lt;INDEX('Valo FX'!$Q:$Q,MATCH($A16,'Valo FX'!$A:$A,0)),0,IF(BU$1&lt;INDEX('Valo FX'!$R:$R,MATCH($A16,'Valo FX'!$A:$A,0)),INDEX(Base!$U:$U,MATCH($A16,Base!$A:$A,0)),IF(BU$1=INDEX('Valo FX'!$R:$R,MATCH($A16,'Valo FX'!$A:$A,0)),INDEX(Base!$V:$V,MATCH($A16,Base!$A:$A,0)),0)))</f>
        <v>12.24048</v>
      </c>
      <c r="BV16" s="21">
        <f>IF(BV$1&lt;INDEX('Valo FX'!$Q:$Q,MATCH($A16,'Valo FX'!$A:$A,0)),0,IF(BV$1&lt;INDEX('Valo FX'!$R:$R,MATCH($A16,'Valo FX'!$A:$A,0)),INDEX(Base!$U:$U,MATCH($A16,Base!$A:$A,0)),IF(BV$1=INDEX('Valo FX'!$R:$R,MATCH($A16,'Valo FX'!$A:$A,0)),INDEX(Base!$V:$V,MATCH($A16,Base!$A:$A,0)),0)))</f>
        <v>12.24048</v>
      </c>
      <c r="BW16" s="21">
        <f>IF(BW$1&lt;INDEX('Valo FX'!$Q:$Q,MATCH($A16,'Valo FX'!$A:$A,0)),0,IF(BW$1&lt;INDEX('Valo FX'!$R:$R,MATCH($A16,'Valo FX'!$A:$A,0)),INDEX(Base!$U:$U,MATCH($A16,Base!$A:$A,0)),IF(BW$1=INDEX('Valo FX'!$R:$R,MATCH($A16,'Valo FX'!$A:$A,0)),INDEX(Base!$V:$V,MATCH($A16,Base!$A:$A,0)),0)))</f>
        <v>12.24048</v>
      </c>
      <c r="BX16" s="21">
        <f>IF(BX$1&lt;INDEX('Valo FX'!$Q:$Q,MATCH($A16,'Valo FX'!$A:$A,0)),0,IF(BX$1&lt;INDEX('Valo FX'!$R:$R,MATCH($A16,'Valo FX'!$A:$A,0)),INDEX(Base!$U:$U,MATCH($A16,Base!$A:$A,0)),IF(BX$1=INDEX('Valo FX'!$R:$R,MATCH($A16,'Valo FX'!$A:$A,0)),INDEX(Base!$V:$V,MATCH($A16,Base!$A:$A,0)),0)))</f>
        <v>12.24048</v>
      </c>
      <c r="BY16" s="21">
        <f>IF(BY$1&lt;INDEX('Valo FX'!$Q:$Q,MATCH($A16,'Valo FX'!$A:$A,0)),0,IF(BY$1&lt;INDEX('Valo FX'!$R:$R,MATCH($A16,'Valo FX'!$A:$A,0)),INDEX(Base!$U:$U,MATCH($A16,Base!$A:$A,0)),IF(BY$1=INDEX('Valo FX'!$R:$R,MATCH($A16,'Valo FX'!$A:$A,0)),INDEX(Base!$V:$V,MATCH($A16,Base!$A:$A,0)),0)))</f>
        <v>12.24048</v>
      </c>
      <c r="BZ16" s="21">
        <f>IF(BZ$1&lt;INDEX('Valo FX'!$Q:$Q,MATCH($A16,'Valo FX'!$A:$A,0)),0,IF(BZ$1&lt;INDEX('Valo FX'!$R:$R,MATCH($A16,'Valo FX'!$A:$A,0)),INDEX(Base!$U:$U,MATCH($A16,Base!$A:$A,0)),IF(BZ$1=INDEX('Valo FX'!$R:$R,MATCH($A16,'Valo FX'!$A:$A,0)),INDEX(Base!$V:$V,MATCH($A16,Base!$A:$A,0)),0)))</f>
        <v>12.24048</v>
      </c>
      <c r="CA16" s="21">
        <f>IF(CA$1&lt;INDEX('Valo FX'!$Q:$Q,MATCH($A16,'Valo FX'!$A:$A,0)),0,IF(CA$1&lt;INDEX('Valo FX'!$R:$R,MATCH($A16,'Valo FX'!$A:$A,0)),INDEX(Base!$U:$U,MATCH($A16,Base!$A:$A,0)),IF(CA$1=INDEX('Valo FX'!$R:$R,MATCH($A16,'Valo FX'!$A:$A,0)),INDEX(Base!$V:$V,MATCH($A16,Base!$A:$A,0)),0)))</f>
        <v>12.24048</v>
      </c>
      <c r="CB16" s="21">
        <f>IF(CB$1&lt;INDEX('Valo FX'!$Q:$Q,MATCH($A16,'Valo FX'!$A:$A,0)),0,IF(CB$1&lt;INDEX('Valo FX'!$R:$R,MATCH($A16,'Valo FX'!$A:$A,0)),INDEX(Base!$U:$U,MATCH($A16,Base!$A:$A,0)),IF(CB$1=INDEX('Valo FX'!$R:$R,MATCH($A16,'Valo FX'!$A:$A,0)),INDEX(Base!$V:$V,MATCH($A16,Base!$A:$A,0)),0)))</f>
        <v>12.24048</v>
      </c>
      <c r="CC16" s="21">
        <f>IF(CC$1&lt;INDEX('Valo FX'!$Q:$Q,MATCH($A16,'Valo FX'!$A:$A,0)),0,IF(CC$1&lt;INDEX('Valo FX'!$R:$R,MATCH($A16,'Valo FX'!$A:$A,0)),INDEX(Base!$U:$U,MATCH($A16,Base!$A:$A,0)),IF(CC$1=INDEX('Valo FX'!$R:$R,MATCH($A16,'Valo FX'!$A:$A,0)),INDEX(Base!$V:$V,MATCH($A16,Base!$A:$A,0)),0)))</f>
        <v>12.24048</v>
      </c>
      <c r="CD16" s="21">
        <f>IF(CD$1&lt;INDEX('Valo FX'!$Q:$Q,MATCH($A16,'Valo FX'!$A:$A,0)),0,IF(CD$1&lt;INDEX('Valo FX'!$R:$R,MATCH($A16,'Valo FX'!$A:$A,0)),INDEX(Base!$U:$U,MATCH($A16,Base!$A:$A,0)),IF(CD$1=INDEX('Valo FX'!$R:$R,MATCH($A16,'Valo FX'!$A:$A,0)),INDEX(Base!$V:$V,MATCH($A16,Base!$A:$A,0)),0)))</f>
        <v>12.24048</v>
      </c>
      <c r="CE16" s="21">
        <f>IF(CE$1&lt;INDEX('Valo FX'!$Q:$Q,MATCH($A16,'Valo FX'!$A:$A,0)),0,IF(CE$1&lt;INDEX('Valo FX'!$R:$R,MATCH($A16,'Valo FX'!$A:$A,0)),INDEX(Base!$U:$U,MATCH($A16,Base!$A:$A,0)),IF(CE$1=INDEX('Valo FX'!$R:$R,MATCH($A16,'Valo FX'!$A:$A,0)),INDEX(Base!$V:$V,MATCH($A16,Base!$A:$A,0)),0)))</f>
        <v>12.24048</v>
      </c>
      <c r="CF16" s="21">
        <f>IF(CF$1&lt;INDEX('Valo FX'!$Q:$Q,MATCH($A16,'Valo FX'!$A:$A,0)),0,IF(CF$1&lt;INDEX('Valo FX'!$R:$R,MATCH($A16,'Valo FX'!$A:$A,0)),INDEX(Base!$U:$U,MATCH($A16,Base!$A:$A,0)),IF(CF$1=INDEX('Valo FX'!$R:$R,MATCH($A16,'Valo FX'!$A:$A,0)),INDEX(Base!$V:$V,MATCH($A16,Base!$A:$A,0)),0)))</f>
        <v>12.24048</v>
      </c>
      <c r="CG16" s="21">
        <f>IF(CG$1&lt;INDEX('Valo FX'!$Q:$Q,MATCH($A16,'Valo FX'!$A:$A,0)),0,IF(CG$1&lt;INDEX('Valo FX'!$R:$R,MATCH($A16,'Valo FX'!$A:$A,0)),INDEX(Base!$U:$U,MATCH($A16,Base!$A:$A,0)),IF(CG$1=INDEX('Valo FX'!$R:$R,MATCH($A16,'Valo FX'!$A:$A,0)),INDEX(Base!$V:$V,MATCH($A16,Base!$A:$A,0)),0)))</f>
        <v>12.24048</v>
      </c>
      <c r="CH16" s="21">
        <f>IF(CH$1&lt;INDEX('Valo FX'!$Q:$Q,MATCH($A16,'Valo FX'!$A:$A,0)),0,IF(CH$1&lt;INDEX('Valo FX'!$R:$R,MATCH($A16,'Valo FX'!$A:$A,0)),INDEX(Base!$U:$U,MATCH($A16,Base!$A:$A,0)),IF(CH$1=INDEX('Valo FX'!$R:$R,MATCH($A16,'Valo FX'!$A:$A,0)),INDEX(Base!$V:$V,MATCH($A16,Base!$A:$A,0)),0)))</f>
        <v>12.24048</v>
      </c>
      <c r="CI16" s="21">
        <f>IF(CI$1&lt;INDEX('Valo FX'!$Q:$Q,MATCH($A16,'Valo FX'!$A:$A,0)),0,IF(CI$1&lt;INDEX('Valo FX'!$R:$R,MATCH($A16,'Valo FX'!$A:$A,0)),INDEX(Base!$U:$U,MATCH($A16,Base!$A:$A,0)),IF(CI$1=INDEX('Valo FX'!$R:$R,MATCH($A16,'Valo FX'!$A:$A,0)),INDEX(Base!$V:$V,MATCH($A16,Base!$A:$A,0)),0)))</f>
        <v>12.24048</v>
      </c>
      <c r="CJ16" s="21">
        <f>IF(CJ$1&lt;INDEX('Valo FX'!$Q:$Q,MATCH($A16,'Valo FX'!$A:$A,0)),0,IF(CJ$1&lt;INDEX('Valo FX'!$R:$R,MATCH($A16,'Valo FX'!$A:$A,0)),INDEX(Base!$U:$U,MATCH($A16,Base!$A:$A,0)),IF(CJ$1=INDEX('Valo FX'!$R:$R,MATCH($A16,'Valo FX'!$A:$A,0)),INDEX(Base!$V:$V,MATCH($A16,Base!$A:$A,0)),0)))</f>
        <v>12.24048</v>
      </c>
      <c r="CK16" s="21">
        <f>IF(CK$1&lt;INDEX('Valo FX'!$Q:$Q,MATCH($A16,'Valo FX'!$A:$A,0)),0,IF(CK$1&lt;INDEX('Valo FX'!$R:$R,MATCH($A16,'Valo FX'!$A:$A,0)),INDEX(Base!$U:$U,MATCH($A16,Base!$A:$A,0)),IF(CK$1=INDEX('Valo FX'!$R:$R,MATCH($A16,'Valo FX'!$A:$A,0)),INDEX(Base!$V:$V,MATCH($A16,Base!$A:$A,0)),0)))</f>
        <v>12.24048</v>
      </c>
      <c r="CL16" s="21">
        <f>IF(CL$1&lt;INDEX('Valo FX'!$Q:$Q,MATCH($A16,'Valo FX'!$A:$A,0)),0,IF(CL$1&lt;INDEX('Valo FX'!$R:$R,MATCH($A16,'Valo FX'!$A:$A,0)),INDEX(Base!$U:$U,MATCH($A16,Base!$A:$A,0)),IF(CL$1=INDEX('Valo FX'!$R:$R,MATCH($A16,'Valo FX'!$A:$A,0)),INDEX(Base!$V:$V,MATCH($A16,Base!$A:$A,0)),0)))</f>
        <v>12.24048</v>
      </c>
      <c r="CM16" s="21">
        <f>IF(CM$1&lt;INDEX('Valo FX'!$Q:$Q,MATCH($A16,'Valo FX'!$A:$A,0)),0,IF(CM$1&lt;INDEX('Valo FX'!$R:$R,MATCH($A16,'Valo FX'!$A:$A,0)),INDEX(Base!$U:$U,MATCH($A16,Base!$A:$A,0)),IF(CM$1=INDEX('Valo FX'!$R:$R,MATCH($A16,'Valo FX'!$A:$A,0)),INDEX(Base!$V:$V,MATCH($A16,Base!$A:$A,0)),0)))</f>
        <v>12.24048</v>
      </c>
      <c r="CN16" s="21">
        <f>IF(CN$1&lt;INDEX('Valo FX'!$Q:$Q,MATCH($A16,'Valo FX'!$A:$A,0)),0,IF(CN$1&lt;INDEX('Valo FX'!$R:$R,MATCH($A16,'Valo FX'!$A:$A,0)),INDEX(Base!$U:$U,MATCH($A16,Base!$A:$A,0)),IF(CN$1=INDEX('Valo FX'!$R:$R,MATCH($A16,'Valo FX'!$A:$A,0)),INDEX(Base!$V:$V,MATCH($A16,Base!$A:$A,0)),0)))</f>
        <v>12.24048</v>
      </c>
      <c r="CO16" s="21">
        <f>IF(CO$1&lt;INDEX('Valo FX'!$Q:$Q,MATCH($A16,'Valo FX'!$A:$A,0)),0,IF(CO$1&lt;INDEX('Valo FX'!$R:$R,MATCH($A16,'Valo FX'!$A:$A,0)),INDEX(Base!$U:$U,MATCH($A16,Base!$A:$A,0)),IF(CO$1=INDEX('Valo FX'!$R:$R,MATCH($A16,'Valo FX'!$A:$A,0)),INDEX(Base!$V:$V,MATCH($A16,Base!$A:$A,0)),0)))</f>
        <v>12.24048</v>
      </c>
      <c r="CP16" s="21">
        <f>IF(CP$1&lt;INDEX('Valo FX'!$Q:$Q,MATCH($A16,'Valo FX'!$A:$A,0)),0,IF(CP$1&lt;INDEX('Valo FX'!$R:$R,MATCH($A16,'Valo FX'!$A:$A,0)),INDEX(Base!$U:$U,MATCH($A16,Base!$A:$A,0)),IF(CP$1=INDEX('Valo FX'!$R:$R,MATCH($A16,'Valo FX'!$A:$A,0)),INDEX(Base!$V:$V,MATCH($A16,Base!$A:$A,0)),0)))</f>
        <v>12.24048</v>
      </c>
      <c r="CQ16" s="21">
        <f>IF(CQ$1&lt;INDEX('Valo FX'!$Q:$Q,MATCH($A16,'Valo FX'!$A:$A,0)),0,IF(CQ$1&lt;INDEX('Valo FX'!$R:$R,MATCH($A16,'Valo FX'!$A:$A,0)),INDEX(Base!$U:$U,MATCH($A16,Base!$A:$A,0)),IF(CQ$1=INDEX('Valo FX'!$R:$R,MATCH($A16,'Valo FX'!$A:$A,0)),INDEX(Base!$V:$V,MATCH($A16,Base!$A:$A,0)),0)))</f>
        <v>12.24048</v>
      </c>
      <c r="CR16" s="21">
        <f>IF(CR$1&lt;INDEX('Valo FX'!$Q:$Q,MATCH($A16,'Valo FX'!$A:$A,0)),0,IF(CR$1&lt;INDEX('Valo FX'!$R:$R,MATCH($A16,'Valo FX'!$A:$A,0)),INDEX(Base!$U:$U,MATCH($A16,Base!$A:$A,0)),IF(CR$1=INDEX('Valo FX'!$R:$R,MATCH($A16,'Valo FX'!$A:$A,0)),INDEX(Base!$V:$V,MATCH($A16,Base!$A:$A,0)),0)))</f>
        <v>12.24048</v>
      </c>
      <c r="CS16" s="21">
        <f>IF(CS$1&lt;INDEX('Valo FX'!$Q:$Q,MATCH($A16,'Valo FX'!$A:$A,0)),0,IF(CS$1&lt;INDEX('Valo FX'!$R:$R,MATCH($A16,'Valo FX'!$A:$A,0)),INDEX(Base!$U:$U,MATCH($A16,Base!$A:$A,0)),IF(CS$1=INDEX('Valo FX'!$R:$R,MATCH($A16,'Valo FX'!$A:$A,0)),INDEX(Base!$V:$V,MATCH($A16,Base!$A:$A,0)),0)))</f>
        <v>12.24048</v>
      </c>
      <c r="CT16" s="21">
        <f>IF(CT$1&lt;INDEX('Valo FX'!$Q:$Q,MATCH($A16,'Valo FX'!$A:$A,0)),0,IF(CT$1&lt;INDEX('Valo FX'!$R:$R,MATCH($A16,'Valo FX'!$A:$A,0)),INDEX(Base!$U:$U,MATCH($A16,Base!$A:$A,0)),IF(CT$1=INDEX('Valo FX'!$R:$R,MATCH($A16,'Valo FX'!$A:$A,0)),INDEX(Base!$V:$V,MATCH($A16,Base!$A:$A,0)),0)))</f>
        <v>12.24048</v>
      </c>
      <c r="CU16" s="21">
        <f>IF(CU$1&lt;INDEX('Valo FX'!$Q:$Q,MATCH($A16,'Valo FX'!$A:$A,0)),0,IF(CU$1&lt;INDEX('Valo FX'!$R:$R,MATCH($A16,'Valo FX'!$A:$A,0)),INDEX(Base!$U:$U,MATCH($A16,Base!$A:$A,0)),IF(CU$1=INDEX('Valo FX'!$R:$R,MATCH($A16,'Valo FX'!$A:$A,0)),INDEX(Base!$V:$V,MATCH($A16,Base!$A:$A,0)),0)))</f>
        <v>12.24048</v>
      </c>
      <c r="CV16" s="21">
        <f>IF(CV$1&lt;INDEX('Valo FX'!$Q:$Q,MATCH($A16,'Valo FX'!$A:$A,0)),0,IF(CV$1&lt;INDEX('Valo FX'!$R:$R,MATCH($A16,'Valo FX'!$A:$A,0)),INDEX(Base!$U:$U,MATCH($A16,Base!$A:$A,0)),IF(CV$1=INDEX('Valo FX'!$R:$R,MATCH($A16,'Valo FX'!$A:$A,0)),INDEX(Base!$V:$V,MATCH($A16,Base!$A:$A,0)),0)))</f>
        <v>12.24048</v>
      </c>
      <c r="CW16" s="21">
        <f>IF(CW$1&lt;INDEX('Valo FX'!$Q:$Q,MATCH($A16,'Valo FX'!$A:$A,0)),0,IF(CW$1&lt;INDEX('Valo FX'!$R:$R,MATCH($A16,'Valo FX'!$A:$A,0)),INDEX(Base!$U:$U,MATCH($A16,Base!$A:$A,0)),IF(CW$1=INDEX('Valo FX'!$R:$R,MATCH($A16,'Valo FX'!$A:$A,0)),INDEX(Base!$V:$V,MATCH($A16,Base!$A:$A,0)),0)))</f>
        <v>12.24048</v>
      </c>
      <c r="CX16" s="21">
        <f>IF(CX$1&lt;INDEX('Valo FX'!$Q:$Q,MATCH($A16,'Valo FX'!$A:$A,0)),0,IF(CX$1&lt;INDEX('Valo FX'!$R:$R,MATCH($A16,'Valo FX'!$A:$A,0)),INDEX(Base!$U:$U,MATCH($A16,Base!$A:$A,0)),IF(CX$1=INDEX('Valo FX'!$R:$R,MATCH($A16,'Valo FX'!$A:$A,0)),INDEX(Base!$V:$V,MATCH($A16,Base!$A:$A,0)),0)))</f>
        <v>12.24048</v>
      </c>
      <c r="CY16" s="21">
        <f>IF(CY$1&lt;INDEX('Valo FX'!$Q:$Q,MATCH($A16,'Valo FX'!$A:$A,0)),0,IF(CY$1&lt;INDEX('Valo FX'!$R:$R,MATCH($A16,'Valo FX'!$A:$A,0)),INDEX(Base!$U:$U,MATCH($A16,Base!$A:$A,0)),IF(CY$1=INDEX('Valo FX'!$R:$R,MATCH($A16,'Valo FX'!$A:$A,0)),INDEX(Base!$V:$V,MATCH($A16,Base!$A:$A,0)),0)))</f>
        <v>12.24048</v>
      </c>
      <c r="CZ16" s="21">
        <f>IF(CZ$1&lt;INDEX('Valo FX'!$Q:$Q,MATCH($A16,'Valo FX'!$A:$A,0)),0,IF(CZ$1&lt;INDEX('Valo FX'!$R:$R,MATCH($A16,'Valo FX'!$A:$A,0)),INDEX(Base!$U:$U,MATCH($A16,Base!$A:$A,0)),IF(CZ$1=INDEX('Valo FX'!$R:$R,MATCH($A16,'Valo FX'!$A:$A,0)),INDEX(Base!$V:$V,MATCH($A16,Base!$A:$A,0)),0)))</f>
        <v>12.24048</v>
      </c>
      <c r="DA16" s="21">
        <f>IF(DA$1&lt;INDEX('Valo FX'!$Q:$Q,MATCH($A16,'Valo FX'!$A:$A,0)),0,IF(DA$1&lt;INDEX('Valo FX'!$R:$R,MATCH($A16,'Valo FX'!$A:$A,0)),INDEX(Base!$U:$U,MATCH($A16,Base!$A:$A,0)),IF(DA$1=INDEX('Valo FX'!$R:$R,MATCH($A16,'Valo FX'!$A:$A,0)),INDEX(Base!$V:$V,MATCH($A16,Base!$A:$A,0)),0)))</f>
        <v>12.24048</v>
      </c>
      <c r="DB16" s="21">
        <f>IF(DB$1&lt;INDEX('Valo FX'!$Q:$Q,MATCH($A16,'Valo FX'!$A:$A,0)),0,IF(DB$1&lt;INDEX('Valo FX'!$R:$R,MATCH($A16,'Valo FX'!$A:$A,0)),INDEX(Base!$U:$U,MATCH($A16,Base!$A:$A,0)),IF(DB$1=INDEX('Valo FX'!$R:$R,MATCH($A16,'Valo FX'!$A:$A,0)),INDEX(Base!$V:$V,MATCH($A16,Base!$A:$A,0)),0)))</f>
        <v>12.24048</v>
      </c>
      <c r="DC16" s="21">
        <f>IF(DC$1&lt;INDEX('Valo FX'!$Q:$Q,MATCH($A16,'Valo FX'!$A:$A,0)),0,IF(DC$1&lt;INDEX('Valo FX'!$R:$R,MATCH($A16,'Valo FX'!$A:$A,0)),INDEX(Base!$U:$U,MATCH($A16,Base!$A:$A,0)),IF(DC$1=INDEX('Valo FX'!$R:$R,MATCH($A16,'Valo FX'!$A:$A,0)),INDEX(Base!$V:$V,MATCH($A16,Base!$A:$A,0)),0)))</f>
        <v>12.24048</v>
      </c>
      <c r="DD16" s="21">
        <f>IF(DD$1&lt;INDEX('Valo FX'!$Q:$Q,MATCH($A16,'Valo FX'!$A:$A,0)),0,IF(DD$1&lt;INDEX('Valo FX'!$R:$R,MATCH($A16,'Valo FX'!$A:$A,0)),INDEX(Base!$U:$U,MATCH($A16,Base!$A:$A,0)),IF(DD$1=INDEX('Valo FX'!$R:$R,MATCH($A16,'Valo FX'!$A:$A,0)),INDEX(Base!$V:$V,MATCH($A16,Base!$A:$A,0)),0)))</f>
        <v>12.24048</v>
      </c>
      <c r="DE16" s="21">
        <f>IF(DE$1&lt;INDEX('Valo FX'!$Q:$Q,MATCH($A16,'Valo FX'!$A:$A,0)),0,IF(DE$1&lt;INDEX('Valo FX'!$R:$R,MATCH($A16,'Valo FX'!$A:$A,0)),INDEX(Base!$U:$U,MATCH($A16,Base!$A:$A,0)),IF(DE$1=INDEX('Valo FX'!$R:$R,MATCH($A16,'Valo FX'!$A:$A,0)),INDEX(Base!$V:$V,MATCH($A16,Base!$A:$A,0)),0)))</f>
        <v>12.24048</v>
      </c>
      <c r="DF16" s="21">
        <f>IF(DF$1&lt;INDEX('Valo FX'!$Q:$Q,MATCH($A16,'Valo FX'!$A:$A,0)),0,IF(DF$1&lt;INDEX('Valo FX'!$R:$R,MATCH($A16,'Valo FX'!$A:$A,0)),INDEX(Base!$U:$U,MATCH($A16,Base!$A:$A,0)),IF(DF$1=INDEX('Valo FX'!$R:$R,MATCH($A16,'Valo FX'!$A:$A,0)),INDEX(Base!$V:$V,MATCH($A16,Base!$A:$A,0)),0)))</f>
        <v>12.24048</v>
      </c>
      <c r="DG16" s="21">
        <f>IF(DG$1&lt;INDEX('Valo FX'!$Q:$Q,MATCH($A16,'Valo FX'!$A:$A,0)),0,IF(DG$1&lt;INDEX('Valo FX'!$R:$R,MATCH($A16,'Valo FX'!$A:$A,0)),INDEX(Base!$U:$U,MATCH($A16,Base!$A:$A,0)),IF(DG$1=INDEX('Valo FX'!$R:$R,MATCH($A16,'Valo FX'!$A:$A,0)),INDEX(Base!$V:$V,MATCH($A16,Base!$A:$A,0)),0)))</f>
        <v>12.24048</v>
      </c>
      <c r="DH16" s="21">
        <f>IF(DH$1&lt;INDEX('Valo FX'!$Q:$Q,MATCH($A16,'Valo FX'!$A:$A,0)),0,IF(DH$1&lt;INDEX('Valo FX'!$R:$R,MATCH($A16,'Valo FX'!$A:$A,0)),INDEX(Base!$U:$U,MATCH($A16,Base!$A:$A,0)),IF(DH$1=INDEX('Valo FX'!$R:$R,MATCH($A16,'Valo FX'!$A:$A,0)),INDEX(Base!$V:$V,MATCH($A16,Base!$A:$A,0)),0)))</f>
        <v>12.24048</v>
      </c>
      <c r="DI16" s="21">
        <f>IF(DI$1&lt;INDEX('Valo FX'!$Q:$Q,MATCH($A16,'Valo FX'!$A:$A,0)),0,IF(DI$1&lt;INDEX('Valo FX'!$R:$R,MATCH($A16,'Valo FX'!$A:$A,0)),INDEX(Base!$U:$U,MATCH($A16,Base!$A:$A,0)),IF(DI$1=INDEX('Valo FX'!$R:$R,MATCH($A16,'Valo FX'!$A:$A,0)),INDEX(Base!$V:$V,MATCH($A16,Base!$A:$A,0)),0)))</f>
        <v>12.24048</v>
      </c>
      <c r="DJ16" s="21">
        <f>IF(DJ$1&lt;INDEX('Valo FX'!$Q:$Q,MATCH($A16,'Valo FX'!$A:$A,0)),0,IF(DJ$1&lt;INDEX('Valo FX'!$R:$R,MATCH($A16,'Valo FX'!$A:$A,0)),INDEX(Base!$U:$U,MATCH($A16,Base!$A:$A,0)),IF(DJ$1=INDEX('Valo FX'!$R:$R,MATCH($A16,'Valo FX'!$A:$A,0)),INDEX(Base!$V:$V,MATCH($A16,Base!$A:$A,0)),0)))</f>
        <v>12.24048</v>
      </c>
      <c r="DK16" s="21">
        <f>IF(DK$1&lt;INDEX('Valo FX'!$Q:$Q,MATCH($A16,'Valo FX'!$A:$A,0)),0,IF(DK$1&lt;INDEX('Valo FX'!$R:$R,MATCH($A16,'Valo FX'!$A:$A,0)),INDEX(Base!$U:$U,MATCH($A16,Base!$A:$A,0)),IF(DK$1=INDEX('Valo FX'!$R:$R,MATCH($A16,'Valo FX'!$A:$A,0)),INDEX(Base!$V:$V,MATCH($A16,Base!$A:$A,0)),0)))</f>
        <v>12.24048</v>
      </c>
      <c r="DL16" s="21">
        <f>IF(DL$1&lt;INDEX('Valo FX'!$Q:$Q,MATCH($A16,'Valo FX'!$A:$A,0)),0,IF(DL$1&lt;INDEX('Valo FX'!$R:$R,MATCH($A16,'Valo FX'!$A:$A,0)),INDEX(Base!$U:$U,MATCH($A16,Base!$A:$A,0)),IF(DL$1=INDEX('Valo FX'!$R:$R,MATCH($A16,'Valo FX'!$A:$A,0)),INDEX(Base!$V:$V,MATCH($A16,Base!$A:$A,0)),0)))</f>
        <v>12.24048</v>
      </c>
      <c r="DM16" s="21">
        <f>IF(DM$1&lt;INDEX('Valo FX'!$Q:$Q,MATCH($A16,'Valo FX'!$A:$A,0)),0,IF(DM$1&lt;INDEX('Valo FX'!$R:$R,MATCH($A16,'Valo FX'!$A:$A,0)),INDEX(Base!$U:$U,MATCH($A16,Base!$A:$A,0)),IF(DM$1=INDEX('Valo FX'!$R:$R,MATCH($A16,'Valo FX'!$A:$A,0)),INDEX(Base!$V:$V,MATCH($A16,Base!$A:$A,0)),0)))</f>
        <v>12.24048</v>
      </c>
      <c r="DN16" s="21">
        <f>IF(DN$1&lt;INDEX('Valo FX'!$Q:$Q,MATCH($A16,'Valo FX'!$A:$A,0)),0,IF(DN$1&lt;INDEX('Valo FX'!$R:$R,MATCH($A16,'Valo FX'!$A:$A,0)),INDEX(Base!$U:$U,MATCH($A16,Base!$A:$A,0)),IF(DN$1=INDEX('Valo FX'!$R:$R,MATCH($A16,'Valo FX'!$A:$A,0)),INDEX(Base!$V:$V,MATCH($A16,Base!$A:$A,0)),0)))</f>
        <v>12.24048</v>
      </c>
      <c r="DO16" s="21">
        <f>IF(DO$1&lt;INDEX('Valo FX'!$Q:$Q,MATCH($A16,'Valo FX'!$A:$A,0)),0,IF(DO$1&lt;INDEX('Valo FX'!$R:$R,MATCH($A16,'Valo FX'!$A:$A,0)),INDEX(Base!$U:$U,MATCH($A16,Base!$A:$A,0)),IF(DO$1=INDEX('Valo FX'!$R:$R,MATCH($A16,'Valo FX'!$A:$A,0)),INDEX(Base!$V:$V,MATCH($A16,Base!$A:$A,0)),0)))</f>
        <v>12.24048</v>
      </c>
      <c r="DP16" s="21">
        <f>IF(DP$1&lt;INDEX('Valo FX'!$Q:$Q,MATCH($A16,'Valo FX'!$A:$A,0)),0,IF(DP$1&lt;INDEX('Valo FX'!$R:$R,MATCH($A16,'Valo FX'!$A:$A,0)),INDEX(Base!$U:$U,MATCH($A16,Base!$A:$A,0)),IF(DP$1=INDEX('Valo FX'!$R:$R,MATCH($A16,'Valo FX'!$A:$A,0)),INDEX(Base!$V:$V,MATCH($A16,Base!$A:$A,0)),0)))</f>
        <v>12.24048</v>
      </c>
      <c r="DQ16" s="21">
        <f>IF(DQ$1&lt;INDEX('Valo FX'!$Q:$Q,MATCH($A16,'Valo FX'!$A:$A,0)),0,IF(DQ$1&lt;INDEX('Valo FX'!$R:$R,MATCH($A16,'Valo FX'!$A:$A,0)),INDEX(Base!$U:$U,MATCH($A16,Base!$A:$A,0)),IF(DQ$1=INDEX('Valo FX'!$R:$R,MATCH($A16,'Valo FX'!$A:$A,0)),INDEX(Base!$V:$V,MATCH($A16,Base!$A:$A,0)),0)))</f>
        <v>12.24048</v>
      </c>
      <c r="DR16" s="21">
        <f>IF(DR$1&lt;INDEX('Valo FX'!$Q:$Q,MATCH($A16,'Valo FX'!$A:$A,0)),0,IF(DR$1&lt;INDEX('Valo FX'!$R:$R,MATCH($A16,'Valo FX'!$A:$A,0)),INDEX(Base!$U:$U,MATCH($A16,Base!$A:$A,0)),IF(DR$1=INDEX('Valo FX'!$R:$R,MATCH($A16,'Valo FX'!$A:$A,0)),INDEX(Base!$V:$V,MATCH($A16,Base!$A:$A,0)),0)))</f>
        <v>12.24048</v>
      </c>
      <c r="DS16" s="21">
        <f>IF(DS$1&lt;INDEX('Valo FX'!$Q:$Q,MATCH($A16,'Valo FX'!$A:$A,0)),0,IF(DS$1&lt;INDEX('Valo FX'!$R:$R,MATCH($A16,'Valo FX'!$A:$A,0)),INDEX(Base!$U:$U,MATCH($A16,Base!$A:$A,0)),IF(DS$1=INDEX('Valo FX'!$R:$R,MATCH($A16,'Valo FX'!$A:$A,0)),INDEX(Base!$V:$V,MATCH($A16,Base!$A:$A,0)),0)))</f>
        <v>12.24048</v>
      </c>
      <c r="DT16" s="21">
        <f>IF(DT$1&lt;INDEX('Valo FX'!$Q:$Q,MATCH($A16,'Valo FX'!$A:$A,0)),0,IF(DT$1&lt;INDEX('Valo FX'!$R:$R,MATCH($A16,'Valo FX'!$A:$A,0)),INDEX(Base!$U:$U,MATCH($A16,Base!$A:$A,0)),IF(DT$1=INDEX('Valo FX'!$R:$R,MATCH($A16,'Valo FX'!$A:$A,0)),INDEX(Base!$V:$V,MATCH($A16,Base!$A:$A,0)),0)))</f>
        <v>12.24048</v>
      </c>
      <c r="DU16" s="21">
        <f>IF(DU$1&lt;INDEX('Valo FX'!$Q:$Q,MATCH($A16,'Valo FX'!$A:$A,0)),0,IF(DU$1&lt;INDEX('Valo FX'!$R:$R,MATCH($A16,'Valo FX'!$A:$A,0)),INDEX(Base!$U:$U,MATCH($A16,Base!$A:$A,0)),IF(DU$1=INDEX('Valo FX'!$R:$R,MATCH($A16,'Valo FX'!$A:$A,0)),INDEX(Base!$V:$V,MATCH($A16,Base!$A:$A,0)),0)))</f>
        <v>12.24048</v>
      </c>
      <c r="DV16" s="21">
        <f>IF(DV$1&lt;INDEX('Valo FX'!$Q:$Q,MATCH($A16,'Valo FX'!$A:$A,0)),0,IF(DV$1&lt;INDEX('Valo FX'!$R:$R,MATCH($A16,'Valo FX'!$A:$A,0)),INDEX(Base!$U:$U,MATCH($A16,Base!$A:$A,0)),IF(DV$1=INDEX('Valo FX'!$R:$R,MATCH($A16,'Valo FX'!$A:$A,0)),INDEX(Base!$V:$V,MATCH($A16,Base!$A:$A,0)),0)))</f>
        <v>12.24048</v>
      </c>
      <c r="DW16" s="21">
        <f>IF(DW$1&lt;INDEX('Valo FX'!$Q:$Q,MATCH($A16,'Valo FX'!$A:$A,0)),0,IF(DW$1&lt;INDEX('Valo FX'!$R:$R,MATCH($A16,'Valo FX'!$A:$A,0)),INDEX(Base!$U:$U,MATCH($A16,Base!$A:$A,0)),IF(DW$1=INDEX('Valo FX'!$R:$R,MATCH($A16,'Valo FX'!$A:$A,0)),INDEX(Base!$V:$V,MATCH($A16,Base!$A:$A,0)),0)))</f>
        <v>12.24048</v>
      </c>
      <c r="DX16" s="21">
        <f>IF(DX$1&lt;INDEX('Valo FX'!$Q:$Q,MATCH($A16,'Valo FX'!$A:$A,0)),0,IF(DX$1&lt;INDEX('Valo FX'!$R:$R,MATCH($A16,'Valo FX'!$A:$A,0)),INDEX(Base!$U:$U,MATCH($A16,Base!$A:$A,0)),IF(DX$1=INDEX('Valo FX'!$R:$R,MATCH($A16,'Valo FX'!$A:$A,0)),INDEX(Base!$V:$V,MATCH($A16,Base!$A:$A,0)),0)))</f>
        <v>12.24048</v>
      </c>
      <c r="DY16" s="21">
        <f>IF(DY$1&lt;INDEX('Valo FX'!$Q:$Q,MATCH($A16,'Valo FX'!$A:$A,0)),0,IF(DY$1&lt;INDEX('Valo FX'!$R:$R,MATCH($A16,'Valo FX'!$A:$A,0)),INDEX(Base!$U:$U,MATCH($A16,Base!$A:$A,0)),IF(DY$1=INDEX('Valo FX'!$R:$R,MATCH($A16,'Valo FX'!$A:$A,0)),INDEX(Base!$V:$V,MATCH($A16,Base!$A:$A,0)),0)))</f>
        <v>12.24048</v>
      </c>
      <c r="DZ16" s="21">
        <f>IF(DZ$1&lt;INDEX('Valo FX'!$Q:$Q,MATCH($A16,'Valo FX'!$A:$A,0)),0,IF(DZ$1&lt;INDEX('Valo FX'!$R:$R,MATCH($A16,'Valo FX'!$A:$A,0)),INDEX(Base!$U:$U,MATCH($A16,Base!$A:$A,0)),IF(DZ$1=INDEX('Valo FX'!$R:$R,MATCH($A16,'Valo FX'!$A:$A,0)),INDEX(Base!$V:$V,MATCH($A16,Base!$A:$A,0)),0)))</f>
        <v>12.24048</v>
      </c>
      <c r="EA16" s="21">
        <f>IF(EA$1&lt;INDEX('Valo FX'!$Q:$Q,MATCH($A16,'Valo FX'!$A:$A,0)),0,IF(EA$1&lt;INDEX('Valo FX'!$R:$R,MATCH($A16,'Valo FX'!$A:$A,0)),INDEX(Base!$U:$U,MATCH($A16,Base!$A:$A,0)),IF(EA$1=INDEX('Valo FX'!$R:$R,MATCH($A16,'Valo FX'!$A:$A,0)),INDEX(Base!$V:$V,MATCH($A16,Base!$A:$A,0)),0)))</f>
        <v>12.24048</v>
      </c>
      <c r="EB16" s="21">
        <f>IF(EB$1&lt;INDEX('Valo FX'!$Q:$Q,MATCH($A16,'Valo FX'!$A:$A,0)),0,IF(EB$1&lt;INDEX('Valo FX'!$R:$R,MATCH($A16,'Valo FX'!$A:$A,0)),INDEX(Base!$U:$U,MATCH($A16,Base!$A:$A,0)),IF(EB$1=INDEX('Valo FX'!$R:$R,MATCH($A16,'Valo FX'!$A:$A,0)),INDEX(Base!$V:$V,MATCH($A16,Base!$A:$A,0)),0)))</f>
        <v>12.24048</v>
      </c>
      <c r="EC16" s="21">
        <f>IF(EC$1&lt;INDEX('Valo FX'!$Q:$Q,MATCH($A16,'Valo FX'!$A:$A,0)),0,IF(EC$1&lt;INDEX('Valo FX'!$R:$R,MATCH($A16,'Valo FX'!$A:$A,0)),INDEX(Base!$U:$U,MATCH($A16,Base!$A:$A,0)),IF(EC$1=INDEX('Valo FX'!$R:$R,MATCH($A16,'Valo FX'!$A:$A,0)),INDEX(Base!$V:$V,MATCH($A16,Base!$A:$A,0)),0)))</f>
        <v>12.24048</v>
      </c>
      <c r="ED16" s="21">
        <f>IF(ED$1&lt;INDEX('Valo FX'!$Q:$Q,MATCH($A16,'Valo FX'!$A:$A,0)),0,IF(ED$1&lt;INDEX('Valo FX'!$R:$R,MATCH($A16,'Valo FX'!$A:$A,0)),INDEX(Base!$U:$U,MATCH($A16,Base!$A:$A,0)),IF(ED$1=INDEX('Valo FX'!$R:$R,MATCH($A16,'Valo FX'!$A:$A,0)),INDEX(Base!$V:$V,MATCH($A16,Base!$A:$A,0)),0)))</f>
        <v>12.24048</v>
      </c>
      <c r="EE16" s="21">
        <f>IF(EE$1&lt;INDEX('Valo FX'!$Q:$Q,MATCH($A16,'Valo FX'!$A:$A,0)),0,IF(EE$1&lt;INDEX('Valo FX'!$R:$R,MATCH($A16,'Valo FX'!$A:$A,0)),INDEX(Base!$U:$U,MATCH($A16,Base!$A:$A,0)),IF(EE$1=INDEX('Valo FX'!$R:$R,MATCH($A16,'Valo FX'!$A:$A,0)),INDEX(Base!$V:$V,MATCH($A16,Base!$A:$A,0)),0)))</f>
        <v>12.24048</v>
      </c>
      <c r="EF16" s="21">
        <f>IF(EF$1&lt;INDEX('Valo FX'!$Q:$Q,MATCH($A16,'Valo FX'!$A:$A,0)),0,IF(EF$1&lt;INDEX('Valo FX'!$R:$R,MATCH($A16,'Valo FX'!$A:$A,0)),INDEX(Base!$U:$U,MATCH($A16,Base!$A:$A,0)),IF(EF$1=INDEX('Valo FX'!$R:$R,MATCH($A16,'Valo FX'!$A:$A,0)),INDEX(Base!$V:$V,MATCH($A16,Base!$A:$A,0)),0)))</f>
        <v>12.24048</v>
      </c>
      <c r="EG16" s="21">
        <f>IF(EG$1&lt;INDEX('Valo FX'!$Q:$Q,MATCH($A16,'Valo FX'!$A:$A,0)),0,IF(EG$1&lt;INDEX('Valo FX'!$R:$R,MATCH($A16,'Valo FX'!$A:$A,0)),INDEX(Base!$U:$U,MATCH($A16,Base!$A:$A,0)),IF(EG$1=INDEX('Valo FX'!$R:$R,MATCH($A16,'Valo FX'!$A:$A,0)),INDEX(Base!$V:$V,MATCH($A16,Base!$A:$A,0)),0)))</f>
        <v>12.24048</v>
      </c>
      <c r="EH16" s="21">
        <f>IF(EH$1&lt;INDEX('Valo FX'!$Q:$Q,MATCH($A16,'Valo FX'!$A:$A,0)),0,IF(EH$1&lt;INDEX('Valo FX'!$R:$R,MATCH($A16,'Valo FX'!$A:$A,0)),INDEX(Base!$U:$U,MATCH($A16,Base!$A:$A,0)),IF(EH$1=INDEX('Valo FX'!$R:$R,MATCH($A16,'Valo FX'!$A:$A,0)),INDEX(Base!$V:$V,MATCH($A16,Base!$A:$A,0)),0)))</f>
        <v>12.24048</v>
      </c>
      <c r="EI16" s="21">
        <f>IF(EI$1&lt;INDEX('Valo FX'!$Q:$Q,MATCH($A16,'Valo FX'!$A:$A,0)),0,IF(EI$1&lt;INDEX('Valo FX'!$R:$R,MATCH($A16,'Valo FX'!$A:$A,0)),INDEX(Base!$U:$U,MATCH($A16,Base!$A:$A,0)),IF(EI$1=INDEX('Valo FX'!$R:$R,MATCH($A16,'Valo FX'!$A:$A,0)),INDEX(Base!$V:$V,MATCH($A16,Base!$A:$A,0)),0)))</f>
        <v>12.24048</v>
      </c>
      <c r="EJ16" s="21">
        <f>IF(EJ$1&lt;INDEX('Valo FX'!$Q:$Q,MATCH($A16,'Valo FX'!$A:$A,0)),0,IF(EJ$1&lt;INDEX('Valo FX'!$R:$R,MATCH($A16,'Valo FX'!$A:$A,0)),INDEX(Base!$U:$U,MATCH($A16,Base!$A:$A,0)),IF(EJ$1=INDEX('Valo FX'!$R:$R,MATCH($A16,'Valo FX'!$A:$A,0)),INDEX(Base!$V:$V,MATCH($A16,Base!$A:$A,0)),0)))</f>
        <v>12.24048</v>
      </c>
      <c r="EK16" s="21">
        <f>IF(EK$1&lt;INDEX('Valo FX'!$Q:$Q,MATCH($A16,'Valo FX'!$A:$A,0)),0,IF(EK$1&lt;INDEX('Valo FX'!$R:$R,MATCH($A16,'Valo FX'!$A:$A,0)),INDEX(Base!$U:$U,MATCH($A16,Base!$A:$A,0)),IF(EK$1=INDEX('Valo FX'!$R:$R,MATCH($A16,'Valo FX'!$A:$A,0)),INDEX(Base!$V:$V,MATCH($A16,Base!$A:$A,0)),0)))</f>
        <v>12.24048</v>
      </c>
      <c r="EL16" s="21">
        <f>IF(EL$1&lt;INDEX('Valo FX'!$Q:$Q,MATCH($A16,'Valo FX'!$A:$A,0)),0,IF(EL$1&lt;INDEX('Valo FX'!$R:$R,MATCH($A16,'Valo FX'!$A:$A,0)),INDEX(Base!$U:$U,MATCH($A16,Base!$A:$A,0)),IF(EL$1=INDEX('Valo FX'!$R:$R,MATCH($A16,'Valo FX'!$A:$A,0)),INDEX(Base!$V:$V,MATCH($A16,Base!$A:$A,0)),0)))</f>
        <v>12.24048</v>
      </c>
      <c r="EM16" s="21">
        <f>IF(EM$1&lt;INDEX('Valo FX'!$Q:$Q,MATCH($A16,'Valo FX'!$A:$A,0)),0,IF(EM$1&lt;INDEX('Valo FX'!$R:$R,MATCH($A16,'Valo FX'!$A:$A,0)),INDEX(Base!$U:$U,MATCH($A16,Base!$A:$A,0)),IF(EM$1=INDEX('Valo FX'!$R:$R,MATCH($A16,'Valo FX'!$A:$A,0)),INDEX(Base!$V:$V,MATCH($A16,Base!$A:$A,0)),0)))</f>
        <v>12.24048</v>
      </c>
      <c r="EN16" s="21">
        <f>IF(EN$1&lt;INDEX('Valo FX'!$Q:$Q,MATCH($A16,'Valo FX'!$A:$A,0)),0,IF(EN$1&lt;INDEX('Valo FX'!$R:$R,MATCH($A16,'Valo FX'!$A:$A,0)),INDEX(Base!$U:$U,MATCH($A16,Base!$A:$A,0)),IF(EN$1=INDEX('Valo FX'!$R:$R,MATCH($A16,'Valo FX'!$A:$A,0)),INDEX(Base!$V:$V,MATCH($A16,Base!$A:$A,0)),0)))</f>
        <v>12.24048</v>
      </c>
      <c r="EO16" s="21">
        <f>IF(EO$1&lt;INDEX('Valo FX'!$Q:$Q,MATCH($A16,'Valo FX'!$A:$A,0)),0,IF(EO$1&lt;INDEX('Valo FX'!$R:$R,MATCH($A16,'Valo FX'!$A:$A,0)),INDEX(Base!$U:$U,MATCH($A16,Base!$A:$A,0)),IF(EO$1=INDEX('Valo FX'!$R:$R,MATCH($A16,'Valo FX'!$A:$A,0)),INDEX(Base!$V:$V,MATCH($A16,Base!$A:$A,0)),0)))</f>
        <v>12.24048</v>
      </c>
      <c r="EP16" s="21">
        <f>IF(EP$1&lt;INDEX('Valo FX'!$Q:$Q,MATCH($A16,'Valo FX'!$A:$A,0)),0,IF(EP$1&lt;INDEX('Valo FX'!$R:$R,MATCH($A16,'Valo FX'!$A:$A,0)),INDEX(Base!$U:$U,MATCH($A16,Base!$A:$A,0)),IF(EP$1=INDEX('Valo FX'!$R:$R,MATCH($A16,'Valo FX'!$A:$A,0)),INDEX(Base!$V:$V,MATCH($A16,Base!$A:$A,0)),0)))</f>
        <v>12.24048</v>
      </c>
      <c r="EQ16" s="21">
        <f>IF(EQ$1&lt;INDEX('Valo FX'!$Q:$Q,MATCH($A16,'Valo FX'!$A:$A,0)),0,IF(EQ$1&lt;INDEX('Valo FX'!$R:$R,MATCH($A16,'Valo FX'!$A:$A,0)),INDEX(Base!$U:$U,MATCH($A16,Base!$A:$A,0)),IF(EQ$1=INDEX('Valo FX'!$R:$R,MATCH($A16,'Valo FX'!$A:$A,0)),INDEX(Base!$V:$V,MATCH($A16,Base!$A:$A,0)),0)))</f>
        <v>12.24048</v>
      </c>
      <c r="ER16" s="21">
        <f>IF(ER$1&lt;INDEX('Valo FX'!$Q:$Q,MATCH($A16,'Valo FX'!$A:$A,0)),0,IF(ER$1&lt;INDEX('Valo FX'!$R:$R,MATCH($A16,'Valo FX'!$A:$A,0)),INDEX(Base!$U:$U,MATCH($A16,Base!$A:$A,0)),IF(ER$1=INDEX('Valo FX'!$R:$R,MATCH($A16,'Valo FX'!$A:$A,0)),INDEX(Base!$V:$V,MATCH($A16,Base!$A:$A,0)),0)))</f>
        <v>12.24048</v>
      </c>
      <c r="ES16" s="21">
        <f>IF(ES$1&lt;INDEX('Valo FX'!$Q:$Q,MATCH($A16,'Valo FX'!$A:$A,0)),0,IF(ES$1&lt;INDEX('Valo FX'!$R:$R,MATCH($A16,'Valo FX'!$A:$A,0)),INDEX(Base!$U:$U,MATCH($A16,Base!$A:$A,0)),IF(ES$1=INDEX('Valo FX'!$R:$R,MATCH($A16,'Valo FX'!$A:$A,0)),INDEX(Base!$V:$V,MATCH($A16,Base!$A:$A,0)),0)))</f>
        <v>12.24048</v>
      </c>
      <c r="ET16" s="21">
        <f>IF(ET$1&lt;INDEX('Valo FX'!$Q:$Q,MATCH($A16,'Valo FX'!$A:$A,0)),0,IF(ET$1&lt;INDEX('Valo FX'!$R:$R,MATCH($A16,'Valo FX'!$A:$A,0)),INDEX(Base!$U:$U,MATCH($A16,Base!$A:$A,0)),IF(ET$1=INDEX('Valo FX'!$R:$R,MATCH($A16,'Valo FX'!$A:$A,0)),INDEX(Base!$V:$V,MATCH($A16,Base!$A:$A,0)),0)))</f>
        <v>12.24048</v>
      </c>
      <c r="EU16" s="21">
        <f>IF(EU$1&lt;INDEX('Valo FX'!$Q:$Q,MATCH($A16,'Valo FX'!$A:$A,0)),0,IF(EU$1&lt;INDEX('Valo FX'!$R:$R,MATCH($A16,'Valo FX'!$A:$A,0)),INDEX(Base!$U:$U,MATCH($A16,Base!$A:$A,0)),IF(EU$1=INDEX('Valo FX'!$R:$R,MATCH($A16,'Valo FX'!$A:$A,0)),INDEX(Base!$V:$V,MATCH($A16,Base!$A:$A,0)),0)))</f>
        <v>12.24048</v>
      </c>
      <c r="EV16" s="21">
        <f>IF(EV$1&lt;INDEX('Valo FX'!$Q:$Q,MATCH($A16,'Valo FX'!$A:$A,0)),0,IF(EV$1&lt;INDEX('Valo FX'!$R:$R,MATCH($A16,'Valo FX'!$A:$A,0)),INDEX(Base!$U:$U,MATCH($A16,Base!$A:$A,0)),IF(EV$1=INDEX('Valo FX'!$R:$R,MATCH($A16,'Valo FX'!$A:$A,0)),INDEX(Base!$V:$V,MATCH($A16,Base!$A:$A,0)),0)))</f>
        <v>12.24048</v>
      </c>
      <c r="EW16" s="21">
        <f>IF(EW$1&lt;INDEX('Valo FX'!$Q:$Q,MATCH($A16,'Valo FX'!$A:$A,0)),0,IF(EW$1&lt;INDEX('Valo FX'!$R:$R,MATCH($A16,'Valo FX'!$A:$A,0)),INDEX(Base!$U:$U,MATCH($A16,Base!$A:$A,0)),IF(EW$1=INDEX('Valo FX'!$R:$R,MATCH($A16,'Valo FX'!$A:$A,0)),INDEX(Base!$V:$V,MATCH($A16,Base!$A:$A,0)),0)))</f>
        <v>12.24048</v>
      </c>
      <c r="EX16" s="21">
        <f>IF(EX$1&lt;INDEX('Valo FX'!$Q:$Q,MATCH($A16,'Valo FX'!$A:$A,0)),0,IF(EX$1&lt;INDEX('Valo FX'!$R:$R,MATCH($A16,'Valo FX'!$A:$A,0)),INDEX(Base!$U:$U,MATCH($A16,Base!$A:$A,0)),IF(EX$1=INDEX('Valo FX'!$R:$R,MATCH($A16,'Valo FX'!$A:$A,0)),INDEX(Base!$V:$V,MATCH($A16,Base!$A:$A,0)),0)))</f>
        <v>12.24048</v>
      </c>
      <c r="EY16" s="21">
        <f>IF(EY$1&lt;INDEX('Valo FX'!$Q:$Q,MATCH($A16,'Valo FX'!$A:$A,0)),0,IF(EY$1&lt;INDEX('Valo FX'!$R:$R,MATCH($A16,'Valo FX'!$A:$A,0)),INDEX(Base!$U:$U,MATCH($A16,Base!$A:$A,0)),IF(EY$1=INDEX('Valo FX'!$R:$R,MATCH($A16,'Valo FX'!$A:$A,0)),INDEX(Base!$V:$V,MATCH($A16,Base!$A:$A,0)),0)))</f>
        <v>12.24048</v>
      </c>
      <c r="EZ16" s="21">
        <f>IF(EZ$1&lt;INDEX('Valo FX'!$Q:$Q,MATCH($A16,'Valo FX'!$A:$A,0)),0,IF(EZ$1&lt;INDEX('Valo FX'!$R:$R,MATCH($A16,'Valo FX'!$A:$A,0)),INDEX(Base!$U:$U,MATCH($A16,Base!$A:$A,0)),IF(EZ$1=INDEX('Valo FX'!$R:$R,MATCH($A16,'Valo FX'!$A:$A,0)),INDEX(Base!$V:$V,MATCH($A16,Base!$A:$A,0)),0)))</f>
        <v>12.24048</v>
      </c>
      <c r="FA16" s="21">
        <f>IF(FA$1&lt;INDEX('Valo FX'!$Q:$Q,MATCH($A16,'Valo FX'!$A:$A,0)),0,IF(FA$1&lt;INDEX('Valo FX'!$R:$R,MATCH($A16,'Valo FX'!$A:$A,0)),INDEX(Base!$U:$U,MATCH($A16,Base!$A:$A,0)),IF(FA$1=INDEX('Valo FX'!$R:$R,MATCH($A16,'Valo FX'!$A:$A,0)),INDEX(Base!$V:$V,MATCH($A16,Base!$A:$A,0)),0)))</f>
        <v>12.24048</v>
      </c>
      <c r="FB16" s="21">
        <f>IF(FB$1&lt;INDEX('Valo FX'!$Q:$Q,MATCH($A16,'Valo FX'!$A:$A,0)),0,IF(FB$1&lt;INDEX('Valo FX'!$R:$R,MATCH($A16,'Valo FX'!$A:$A,0)),INDEX(Base!$U:$U,MATCH($A16,Base!$A:$A,0)),IF(FB$1=INDEX('Valo FX'!$R:$R,MATCH($A16,'Valo FX'!$A:$A,0)),INDEX(Base!$V:$V,MATCH($A16,Base!$A:$A,0)),0)))</f>
        <v>12.24048</v>
      </c>
      <c r="FC16" s="21">
        <f>IF(FC$1&lt;INDEX('Valo FX'!$Q:$Q,MATCH($A16,'Valo FX'!$A:$A,0)),0,IF(FC$1&lt;INDEX('Valo FX'!$R:$R,MATCH($A16,'Valo FX'!$A:$A,0)),INDEX(Base!$U:$U,MATCH($A16,Base!$A:$A,0)),IF(FC$1=INDEX('Valo FX'!$R:$R,MATCH($A16,'Valo FX'!$A:$A,0)),INDEX(Base!$V:$V,MATCH($A16,Base!$A:$A,0)),0)))</f>
        <v>12.24048</v>
      </c>
      <c r="FD16" s="21">
        <f>IF(FD$1&lt;INDEX('Valo FX'!$Q:$Q,MATCH($A16,'Valo FX'!$A:$A,0)),0,IF(FD$1&lt;INDEX('Valo FX'!$R:$R,MATCH($A16,'Valo FX'!$A:$A,0)),INDEX(Base!$U:$U,MATCH($A16,Base!$A:$A,0)),IF(FD$1=INDEX('Valo FX'!$R:$R,MATCH($A16,'Valo FX'!$A:$A,0)),INDEX(Base!$V:$V,MATCH($A16,Base!$A:$A,0)),0)))</f>
        <v>12.24048</v>
      </c>
      <c r="FE16" s="21">
        <f>IF(FE$1&lt;INDEX('Valo FX'!$Q:$Q,MATCH($A16,'Valo FX'!$A:$A,0)),0,IF(FE$1&lt;INDEX('Valo FX'!$R:$R,MATCH($A16,'Valo FX'!$A:$A,0)),INDEX(Base!$U:$U,MATCH($A16,Base!$A:$A,0)),IF(FE$1=INDEX('Valo FX'!$R:$R,MATCH($A16,'Valo FX'!$A:$A,0)),INDEX(Base!$V:$V,MATCH($A16,Base!$A:$A,0)),0)))</f>
        <v>12.24048</v>
      </c>
      <c r="FF16" s="21">
        <f>IF(FF$1&lt;INDEX('Valo FX'!$Q:$Q,MATCH($A16,'Valo FX'!$A:$A,0)),0,IF(FF$1&lt;INDEX('Valo FX'!$R:$R,MATCH($A16,'Valo FX'!$A:$A,0)),INDEX(Base!$U:$U,MATCH($A16,Base!$A:$A,0)),IF(FF$1=INDEX('Valo FX'!$R:$R,MATCH($A16,'Valo FX'!$A:$A,0)),INDEX(Base!$V:$V,MATCH($A16,Base!$A:$A,0)),0)))</f>
        <v>12.24048</v>
      </c>
      <c r="FG16" s="21">
        <f>IF(FG$1&lt;INDEX('Valo FX'!$Q:$Q,MATCH($A16,'Valo FX'!$A:$A,0)),0,IF(FG$1&lt;INDEX('Valo FX'!$R:$R,MATCH($A16,'Valo FX'!$A:$A,0)),INDEX(Base!$U:$U,MATCH($A16,Base!$A:$A,0)),IF(FG$1=INDEX('Valo FX'!$R:$R,MATCH($A16,'Valo FX'!$A:$A,0)),INDEX(Base!$V:$V,MATCH($A16,Base!$A:$A,0)),0)))</f>
        <v>12.24048</v>
      </c>
      <c r="FH16" s="21">
        <f>IF(FH$1&lt;INDEX('Valo FX'!$Q:$Q,MATCH($A16,'Valo FX'!$A:$A,0)),0,IF(FH$1&lt;INDEX('Valo FX'!$R:$R,MATCH($A16,'Valo FX'!$A:$A,0)),INDEX(Base!$U:$U,MATCH($A16,Base!$A:$A,0)),IF(FH$1=INDEX('Valo FX'!$R:$R,MATCH($A16,'Valo FX'!$A:$A,0)),INDEX(Base!$V:$V,MATCH($A16,Base!$A:$A,0)),0)))</f>
        <v>12.24048</v>
      </c>
      <c r="FI16" s="21">
        <f>IF(FI$1&lt;INDEX('Valo FX'!$Q:$Q,MATCH($A16,'Valo FX'!$A:$A,0)),0,IF(FI$1&lt;INDEX('Valo FX'!$R:$R,MATCH($A16,'Valo FX'!$A:$A,0)),INDEX(Base!$U:$U,MATCH($A16,Base!$A:$A,0)),IF(FI$1=INDEX('Valo FX'!$R:$R,MATCH($A16,'Valo FX'!$A:$A,0)),INDEX(Base!$V:$V,MATCH($A16,Base!$A:$A,0)),0)))</f>
        <v>12.24048</v>
      </c>
      <c r="FJ16" s="21">
        <f>IF(FJ$1&lt;INDEX('Valo FX'!$Q:$Q,MATCH($A16,'Valo FX'!$A:$A,0)),0,IF(FJ$1&lt;INDEX('Valo FX'!$R:$R,MATCH($A16,'Valo FX'!$A:$A,0)),INDEX(Base!$U:$U,MATCH($A16,Base!$A:$A,0)),IF(FJ$1=INDEX('Valo FX'!$R:$R,MATCH($A16,'Valo FX'!$A:$A,0)),INDEX(Base!$V:$V,MATCH($A16,Base!$A:$A,0)),0)))</f>
        <v>12.24048</v>
      </c>
      <c r="FK16" s="21">
        <f>IF(FK$1&lt;INDEX('Valo FX'!$Q:$Q,MATCH($A16,'Valo FX'!$A:$A,0)),0,IF(FK$1&lt;INDEX('Valo FX'!$R:$R,MATCH($A16,'Valo FX'!$A:$A,0)),INDEX(Base!$U:$U,MATCH($A16,Base!$A:$A,0)),IF(FK$1=INDEX('Valo FX'!$R:$R,MATCH($A16,'Valo FX'!$A:$A,0)),INDEX(Base!$V:$V,MATCH($A16,Base!$A:$A,0)),0)))</f>
        <v>12.24048</v>
      </c>
      <c r="FL16" s="21">
        <f>IF(FL$1&lt;INDEX('Valo FX'!$Q:$Q,MATCH($A16,'Valo FX'!$A:$A,0)),0,IF(FL$1&lt;INDEX('Valo FX'!$R:$R,MATCH($A16,'Valo FX'!$A:$A,0)),INDEX(Base!$U:$U,MATCH($A16,Base!$A:$A,0)),IF(FL$1=INDEX('Valo FX'!$R:$R,MATCH($A16,'Valo FX'!$A:$A,0)),INDEX(Base!$V:$V,MATCH($A16,Base!$A:$A,0)),0)))</f>
        <v>12.24048</v>
      </c>
      <c r="FM16" s="21">
        <f>IF(FM$1&lt;INDEX('Valo FX'!$Q:$Q,MATCH($A16,'Valo FX'!$A:$A,0)),0,IF(FM$1&lt;INDEX('Valo FX'!$R:$R,MATCH($A16,'Valo FX'!$A:$A,0)),INDEX(Base!$U:$U,MATCH($A16,Base!$A:$A,0)),IF(FM$1=INDEX('Valo FX'!$R:$R,MATCH($A16,'Valo FX'!$A:$A,0)),INDEX(Base!$V:$V,MATCH($A16,Base!$A:$A,0)),0)))</f>
        <v>12.24048</v>
      </c>
      <c r="FN16" s="21">
        <f>IF(FN$1&lt;INDEX('Valo FX'!$Q:$Q,MATCH($A16,'Valo FX'!$A:$A,0)),0,IF(FN$1&lt;INDEX('Valo FX'!$R:$R,MATCH($A16,'Valo FX'!$A:$A,0)),INDEX(Base!$U:$U,MATCH($A16,Base!$A:$A,0)),IF(FN$1=INDEX('Valo FX'!$R:$R,MATCH($A16,'Valo FX'!$A:$A,0)),INDEX(Base!$V:$V,MATCH($A16,Base!$A:$A,0)),0)))</f>
        <v>12.24048</v>
      </c>
      <c r="FO16" s="21">
        <f>IF(FO$1&lt;INDEX('Valo FX'!$Q:$Q,MATCH($A16,'Valo FX'!$A:$A,0)),0,IF(FO$1&lt;INDEX('Valo FX'!$R:$R,MATCH($A16,'Valo FX'!$A:$A,0)),INDEX(Base!$U:$U,MATCH($A16,Base!$A:$A,0)),IF(FO$1=INDEX('Valo FX'!$R:$R,MATCH($A16,'Valo FX'!$A:$A,0)),INDEX(Base!$V:$V,MATCH($A16,Base!$A:$A,0)),0)))</f>
        <v>12.24048</v>
      </c>
      <c r="FP16" s="21">
        <f>IF(FP$1&lt;INDEX('Valo FX'!$Q:$Q,MATCH($A16,'Valo FX'!$A:$A,0)),0,IF(FP$1&lt;INDEX('Valo FX'!$R:$R,MATCH($A16,'Valo FX'!$A:$A,0)),INDEX(Base!$U:$U,MATCH($A16,Base!$A:$A,0)),IF(FP$1=INDEX('Valo FX'!$R:$R,MATCH($A16,'Valo FX'!$A:$A,0)),INDEX(Base!$V:$V,MATCH($A16,Base!$A:$A,0)),0)))</f>
        <v>12.24048</v>
      </c>
      <c r="FQ16" s="21">
        <f>IF(FQ$1&lt;INDEX('Valo FX'!$Q:$Q,MATCH($A16,'Valo FX'!$A:$A,0)),0,IF(FQ$1&lt;INDEX('Valo FX'!$R:$R,MATCH($A16,'Valo FX'!$A:$A,0)),INDEX(Base!$U:$U,MATCH($A16,Base!$A:$A,0)),IF(FQ$1=INDEX('Valo FX'!$R:$R,MATCH($A16,'Valo FX'!$A:$A,0)),INDEX(Base!$V:$V,MATCH($A16,Base!$A:$A,0)),0)))</f>
        <v>12.24048</v>
      </c>
      <c r="FR16" s="21">
        <f>IF(FR$1&lt;INDEX('Valo FX'!$Q:$Q,MATCH($A16,'Valo FX'!$A:$A,0)),0,IF(FR$1&lt;INDEX('Valo FX'!$R:$R,MATCH($A16,'Valo FX'!$A:$A,0)),INDEX(Base!$U:$U,MATCH($A16,Base!$A:$A,0)),IF(FR$1=INDEX('Valo FX'!$R:$R,MATCH($A16,'Valo FX'!$A:$A,0)),INDEX(Base!$V:$V,MATCH($A16,Base!$A:$A,0)),0)))</f>
        <v>12.24048</v>
      </c>
      <c r="FS16" s="21">
        <f>IF(FS$1&lt;INDEX('Valo FX'!$Q:$Q,MATCH($A16,'Valo FX'!$A:$A,0)),0,IF(FS$1&lt;INDEX('Valo FX'!$R:$R,MATCH($A16,'Valo FX'!$A:$A,0)),INDEX(Base!$U:$U,MATCH($A16,Base!$A:$A,0)),IF(FS$1=INDEX('Valo FX'!$R:$R,MATCH($A16,'Valo FX'!$A:$A,0)),INDEX(Base!$V:$V,MATCH($A16,Base!$A:$A,0)),0)))</f>
        <v>12.24048</v>
      </c>
      <c r="FT16" s="21">
        <f>IF(FT$1&lt;INDEX('Valo FX'!$Q:$Q,MATCH($A16,'Valo FX'!$A:$A,0)),0,IF(FT$1&lt;INDEX('Valo FX'!$R:$R,MATCH($A16,'Valo FX'!$A:$A,0)),INDEX(Base!$U:$U,MATCH($A16,Base!$A:$A,0)),IF(FT$1=INDEX('Valo FX'!$R:$R,MATCH($A16,'Valo FX'!$A:$A,0)),INDEX(Base!$V:$V,MATCH($A16,Base!$A:$A,0)),0)))</f>
        <v>12.24048</v>
      </c>
      <c r="FU16" s="21">
        <f>IF(FU$1&lt;INDEX('Valo FX'!$Q:$Q,MATCH($A16,'Valo FX'!$A:$A,0)),0,IF(FU$1&lt;INDEX('Valo FX'!$R:$R,MATCH($A16,'Valo FX'!$A:$A,0)),INDEX(Base!$U:$U,MATCH($A16,Base!$A:$A,0)),IF(FU$1=INDEX('Valo FX'!$R:$R,MATCH($A16,'Valo FX'!$A:$A,0)),INDEX(Base!$V:$V,MATCH($A16,Base!$A:$A,0)),0)))</f>
        <v>12.24048</v>
      </c>
      <c r="FV16" s="21">
        <f>IF(FV$1&lt;INDEX('Valo FX'!$Q:$Q,MATCH($A16,'Valo FX'!$A:$A,0)),0,IF(FV$1&lt;INDEX('Valo FX'!$R:$R,MATCH($A16,'Valo FX'!$A:$A,0)),INDEX(Base!$U:$U,MATCH($A16,Base!$A:$A,0)),IF(FV$1=INDEX('Valo FX'!$R:$R,MATCH($A16,'Valo FX'!$A:$A,0)),INDEX(Base!$V:$V,MATCH($A16,Base!$A:$A,0)),0)))</f>
        <v>12.24048</v>
      </c>
      <c r="FW16" s="21">
        <f>IF(FW$1&lt;INDEX('Valo FX'!$Q:$Q,MATCH($A16,'Valo FX'!$A:$A,0)),0,IF(FW$1&lt;INDEX('Valo FX'!$R:$R,MATCH($A16,'Valo FX'!$A:$A,0)),INDEX(Base!$U:$U,MATCH($A16,Base!$A:$A,0)),IF(FW$1=INDEX('Valo FX'!$R:$R,MATCH($A16,'Valo FX'!$A:$A,0)),INDEX(Base!$V:$V,MATCH($A16,Base!$A:$A,0)),0)))</f>
        <v>12.24048</v>
      </c>
      <c r="FX16" s="21">
        <f>IF(FX$1&lt;INDEX('Valo FX'!$Q:$Q,MATCH($A16,'Valo FX'!$A:$A,0)),0,IF(FX$1&lt;INDEX('Valo FX'!$R:$R,MATCH($A16,'Valo FX'!$A:$A,0)),INDEX(Base!$U:$U,MATCH($A16,Base!$A:$A,0)),IF(FX$1=INDEX('Valo FX'!$R:$R,MATCH($A16,'Valo FX'!$A:$A,0)),INDEX(Base!$V:$V,MATCH($A16,Base!$A:$A,0)),0)))</f>
        <v>12.24048</v>
      </c>
      <c r="FY16" s="21">
        <f>IF(FY$1&lt;INDEX('Valo FX'!$Q:$Q,MATCH($A16,'Valo FX'!$A:$A,0)),0,IF(FY$1&lt;INDEX('Valo FX'!$R:$R,MATCH($A16,'Valo FX'!$A:$A,0)),INDEX(Base!$U:$U,MATCH($A16,Base!$A:$A,0)),IF(FY$1=INDEX('Valo FX'!$R:$R,MATCH($A16,'Valo FX'!$A:$A,0)),INDEX(Base!$V:$V,MATCH($A16,Base!$A:$A,0)),0)))</f>
        <v>12.24048</v>
      </c>
      <c r="FZ16" s="21">
        <f>IF(FZ$1&lt;INDEX('Valo FX'!$Q:$Q,MATCH($A16,'Valo FX'!$A:$A,0)),0,IF(FZ$1&lt;INDEX('Valo FX'!$R:$R,MATCH($A16,'Valo FX'!$A:$A,0)),INDEX(Base!$U:$U,MATCH($A16,Base!$A:$A,0)),IF(FZ$1=INDEX('Valo FX'!$R:$R,MATCH($A16,'Valo FX'!$A:$A,0)),INDEX(Base!$V:$V,MATCH($A16,Base!$A:$A,0)),0)))</f>
        <v>12.24048</v>
      </c>
      <c r="GA16" s="21">
        <f>IF(GA$1&lt;INDEX('Valo FX'!$Q:$Q,MATCH($A16,'Valo FX'!$A:$A,0)),0,IF(GA$1&lt;INDEX('Valo FX'!$R:$R,MATCH($A16,'Valo FX'!$A:$A,0)),INDEX(Base!$U:$U,MATCH($A16,Base!$A:$A,0)),IF(GA$1=INDEX('Valo FX'!$R:$R,MATCH($A16,'Valo FX'!$A:$A,0)),INDEX(Base!$V:$V,MATCH($A16,Base!$A:$A,0)),0)))</f>
        <v>12.24048</v>
      </c>
      <c r="GB16" s="21">
        <f>IF(GB$1&lt;INDEX('Valo FX'!$Q:$Q,MATCH($A16,'Valo FX'!$A:$A,0)),0,IF(GB$1&lt;INDEX('Valo FX'!$R:$R,MATCH($A16,'Valo FX'!$A:$A,0)),INDEX(Base!$U:$U,MATCH($A16,Base!$A:$A,0)),IF(GB$1=INDEX('Valo FX'!$R:$R,MATCH($A16,'Valo FX'!$A:$A,0)),INDEX(Base!$V:$V,MATCH($A16,Base!$A:$A,0)),0)))</f>
        <v>12.24048</v>
      </c>
      <c r="GC16" s="21">
        <f>IF(GC$1&lt;INDEX('Valo FX'!$Q:$Q,MATCH($A16,'Valo FX'!$A:$A,0)),0,IF(GC$1&lt;INDEX('Valo FX'!$R:$R,MATCH($A16,'Valo FX'!$A:$A,0)),INDEX(Base!$U:$U,MATCH($A16,Base!$A:$A,0)),IF(GC$1=INDEX('Valo FX'!$R:$R,MATCH($A16,'Valo FX'!$A:$A,0)),INDEX(Base!$V:$V,MATCH($A16,Base!$A:$A,0)),0)))</f>
        <v>12.24048</v>
      </c>
      <c r="GD16" s="21">
        <f>IF(GD$1&lt;INDEX('Valo FX'!$Q:$Q,MATCH($A16,'Valo FX'!$A:$A,0)),0,IF(GD$1&lt;INDEX('Valo FX'!$R:$R,MATCH($A16,'Valo FX'!$A:$A,0)),INDEX(Base!$U:$U,MATCH($A16,Base!$A:$A,0)),IF(GD$1=INDEX('Valo FX'!$R:$R,MATCH($A16,'Valo FX'!$A:$A,0)),INDEX(Base!$V:$V,MATCH($A16,Base!$A:$A,0)),0)))</f>
        <v>12.24048</v>
      </c>
      <c r="GE16" s="21">
        <f>IF(GE$1&lt;INDEX('Valo FX'!$Q:$Q,MATCH($A16,'Valo FX'!$A:$A,0)),0,IF(GE$1&lt;INDEX('Valo FX'!$R:$R,MATCH($A16,'Valo FX'!$A:$A,0)),INDEX(Base!$U:$U,MATCH($A16,Base!$A:$A,0)),IF(GE$1=INDEX('Valo FX'!$R:$R,MATCH($A16,'Valo FX'!$A:$A,0)),INDEX(Base!$V:$V,MATCH($A16,Base!$A:$A,0)),0)))</f>
        <v>12.24048</v>
      </c>
      <c r="GF16" s="21">
        <f>IF(GF$1&lt;INDEX('Valo FX'!$Q:$Q,MATCH($A16,'Valo FX'!$A:$A,0)),0,IF(GF$1&lt;INDEX('Valo FX'!$R:$R,MATCH($A16,'Valo FX'!$A:$A,0)),INDEX(Base!$U:$U,MATCH($A16,Base!$A:$A,0)),IF(GF$1=INDEX('Valo FX'!$R:$R,MATCH($A16,'Valo FX'!$A:$A,0)),INDEX(Base!$V:$V,MATCH($A16,Base!$A:$A,0)),0)))</f>
        <v>12.24048</v>
      </c>
      <c r="GG16" s="21">
        <f>IF(GG$1&lt;INDEX('Valo FX'!$Q:$Q,MATCH($A16,'Valo FX'!$A:$A,0)),0,IF(GG$1&lt;INDEX('Valo FX'!$R:$R,MATCH($A16,'Valo FX'!$A:$A,0)),INDEX(Base!$U:$U,MATCH($A16,Base!$A:$A,0)),IF(GG$1=INDEX('Valo FX'!$R:$R,MATCH($A16,'Valo FX'!$A:$A,0)),INDEX(Base!$V:$V,MATCH($A16,Base!$A:$A,0)),0)))</f>
        <v>12.24048</v>
      </c>
      <c r="GH16" s="21">
        <f>IF(GH$1&lt;INDEX('Valo FX'!$Q:$Q,MATCH($A16,'Valo FX'!$A:$A,0)),0,IF(GH$1&lt;INDEX('Valo FX'!$R:$R,MATCH($A16,'Valo FX'!$A:$A,0)),INDEX(Base!$U:$U,MATCH($A16,Base!$A:$A,0)),IF(GH$1=INDEX('Valo FX'!$R:$R,MATCH($A16,'Valo FX'!$A:$A,0)),INDEX(Base!$V:$V,MATCH($A16,Base!$A:$A,0)),0)))</f>
        <v>12.24048</v>
      </c>
      <c r="GI16" s="21">
        <f>IF(GI$1&lt;INDEX('Valo FX'!$Q:$Q,MATCH($A16,'Valo FX'!$A:$A,0)),0,IF(GI$1&lt;INDEX('Valo FX'!$R:$R,MATCH($A16,'Valo FX'!$A:$A,0)),INDEX(Base!$U:$U,MATCH($A16,Base!$A:$A,0)),IF(GI$1=INDEX('Valo FX'!$R:$R,MATCH($A16,'Valo FX'!$A:$A,0)),INDEX(Base!$V:$V,MATCH($A16,Base!$A:$A,0)),0)))</f>
        <v>12.24048</v>
      </c>
      <c r="GJ16" s="21">
        <f>IF(GJ$1&lt;INDEX('Valo FX'!$Q:$Q,MATCH($A16,'Valo FX'!$A:$A,0)),0,IF(GJ$1&lt;INDEX('Valo FX'!$R:$R,MATCH($A16,'Valo FX'!$A:$A,0)),INDEX(Base!$U:$U,MATCH($A16,Base!$A:$A,0)),IF(GJ$1=INDEX('Valo FX'!$R:$R,MATCH($A16,'Valo FX'!$A:$A,0)),INDEX(Base!$V:$V,MATCH($A16,Base!$A:$A,0)),0)))</f>
        <v>12.24048</v>
      </c>
      <c r="GK16" s="21">
        <f>IF(GK$1&lt;INDEX('Valo FX'!$Q:$Q,MATCH($A16,'Valo FX'!$A:$A,0)),0,IF(GK$1&lt;INDEX('Valo FX'!$R:$R,MATCH($A16,'Valo FX'!$A:$A,0)),INDEX(Base!$U:$U,MATCH($A16,Base!$A:$A,0)),IF(GK$1=INDEX('Valo FX'!$R:$R,MATCH($A16,'Valo FX'!$A:$A,0)),INDEX(Base!$V:$V,MATCH($A16,Base!$A:$A,0)),0)))</f>
        <v>12.24048</v>
      </c>
      <c r="GL16" s="21">
        <f>IF(GL$1&lt;INDEX('Valo FX'!$Q:$Q,MATCH($A16,'Valo FX'!$A:$A,0)),0,IF(GL$1&lt;INDEX('Valo FX'!$R:$R,MATCH($A16,'Valo FX'!$A:$A,0)),INDEX(Base!$U:$U,MATCH($A16,Base!$A:$A,0)),IF(GL$1=INDEX('Valo FX'!$R:$R,MATCH($A16,'Valo FX'!$A:$A,0)),INDEX(Base!$V:$V,MATCH($A16,Base!$A:$A,0)),0)))</f>
        <v>12.24048</v>
      </c>
      <c r="GM16" s="21">
        <f>IF(GM$1&lt;INDEX('Valo FX'!$Q:$Q,MATCH($A16,'Valo FX'!$A:$A,0)),0,IF(GM$1&lt;INDEX('Valo FX'!$R:$R,MATCH($A16,'Valo FX'!$A:$A,0)),INDEX(Base!$U:$U,MATCH($A16,Base!$A:$A,0)),IF(GM$1=INDEX('Valo FX'!$R:$R,MATCH($A16,'Valo FX'!$A:$A,0)),INDEX(Base!$V:$V,MATCH($A16,Base!$A:$A,0)),0)))</f>
        <v>12.24048</v>
      </c>
      <c r="GN16" s="21">
        <f>IF(GN$1&lt;INDEX('Valo FX'!$Q:$Q,MATCH($A16,'Valo FX'!$A:$A,0)),0,IF(GN$1&lt;INDEX('Valo FX'!$R:$R,MATCH($A16,'Valo FX'!$A:$A,0)),INDEX(Base!$U:$U,MATCH($A16,Base!$A:$A,0)),IF(GN$1=INDEX('Valo FX'!$R:$R,MATCH($A16,'Valo FX'!$A:$A,0)),INDEX(Base!$V:$V,MATCH($A16,Base!$A:$A,0)),0)))</f>
        <v>12.24048</v>
      </c>
      <c r="GO16" s="21">
        <f>IF(GO$1&lt;INDEX('Valo FX'!$Q:$Q,MATCH($A16,'Valo FX'!$A:$A,0)),0,IF(GO$1&lt;INDEX('Valo FX'!$R:$R,MATCH($A16,'Valo FX'!$A:$A,0)),INDEX(Base!$U:$U,MATCH($A16,Base!$A:$A,0)),IF(GO$1=INDEX('Valo FX'!$R:$R,MATCH($A16,'Valo FX'!$A:$A,0)),INDEX(Base!$V:$V,MATCH($A16,Base!$A:$A,0)),0)))</f>
        <v>12.24048</v>
      </c>
      <c r="GP16" s="21">
        <f>IF(GP$1&lt;INDEX('Valo FX'!$Q:$Q,MATCH($A16,'Valo FX'!$A:$A,0)),0,IF(GP$1&lt;INDEX('Valo FX'!$R:$R,MATCH($A16,'Valo FX'!$A:$A,0)),INDEX(Base!$U:$U,MATCH($A16,Base!$A:$A,0)),IF(GP$1=INDEX('Valo FX'!$R:$R,MATCH($A16,'Valo FX'!$A:$A,0)),INDEX(Base!$V:$V,MATCH($A16,Base!$A:$A,0)),0)))</f>
        <v>12.24048</v>
      </c>
      <c r="GQ16" s="21">
        <f>IF(GQ$1&lt;INDEX('Valo FX'!$Q:$Q,MATCH($A16,'Valo FX'!$A:$A,0)),0,IF(GQ$1&lt;INDEX('Valo FX'!$R:$R,MATCH($A16,'Valo FX'!$A:$A,0)),INDEX(Base!$U:$U,MATCH($A16,Base!$A:$A,0)),IF(GQ$1=INDEX('Valo FX'!$R:$R,MATCH($A16,'Valo FX'!$A:$A,0)),INDEX(Base!$V:$V,MATCH($A16,Base!$A:$A,0)),0)))</f>
        <v>12.24048</v>
      </c>
      <c r="GR16" s="21">
        <f>IF(GR$1&lt;INDEX('Valo FX'!$Q:$Q,MATCH($A16,'Valo FX'!$A:$A,0)),0,IF(GR$1&lt;INDEX('Valo FX'!$R:$R,MATCH($A16,'Valo FX'!$A:$A,0)),INDEX(Base!$U:$U,MATCH($A16,Base!$A:$A,0)),IF(GR$1=INDEX('Valo FX'!$R:$R,MATCH($A16,'Valo FX'!$A:$A,0)),INDEX(Base!$V:$V,MATCH($A16,Base!$A:$A,0)),0)))</f>
        <v>12.24048</v>
      </c>
      <c r="GS16" s="21">
        <f>IF(GS$1&lt;INDEX('Valo FX'!$Q:$Q,MATCH($A16,'Valo FX'!$A:$A,0)),0,IF(GS$1&lt;INDEX('Valo FX'!$R:$R,MATCH($A16,'Valo FX'!$A:$A,0)),INDEX(Base!$U:$U,MATCH($A16,Base!$A:$A,0)),IF(GS$1=INDEX('Valo FX'!$R:$R,MATCH($A16,'Valo FX'!$A:$A,0)),INDEX(Base!$V:$V,MATCH($A16,Base!$A:$A,0)),0)))</f>
        <v>12.24048</v>
      </c>
      <c r="GT16" s="21">
        <f>IF(GT$1&lt;INDEX('Valo FX'!$Q:$Q,MATCH($A16,'Valo FX'!$A:$A,0)),0,IF(GT$1&lt;INDEX('Valo FX'!$R:$R,MATCH($A16,'Valo FX'!$A:$A,0)),INDEX(Base!$U:$U,MATCH($A16,Base!$A:$A,0)),IF(GT$1=INDEX('Valo FX'!$R:$R,MATCH($A16,'Valo FX'!$A:$A,0)),INDEX(Base!$V:$V,MATCH($A16,Base!$A:$A,0)),0)))</f>
        <v>12.24048</v>
      </c>
      <c r="GU16" s="21">
        <f>IF(GU$1&lt;INDEX('Valo FX'!$Q:$Q,MATCH($A16,'Valo FX'!$A:$A,0)),0,IF(GU$1&lt;INDEX('Valo FX'!$R:$R,MATCH($A16,'Valo FX'!$A:$A,0)),INDEX(Base!$U:$U,MATCH($A16,Base!$A:$A,0)),IF(GU$1=INDEX('Valo FX'!$R:$R,MATCH($A16,'Valo FX'!$A:$A,0)),INDEX(Base!$V:$V,MATCH($A16,Base!$A:$A,0)),0)))</f>
        <v>12.24048</v>
      </c>
      <c r="GV16" s="21">
        <f>IF(GV$1&lt;INDEX('Valo FX'!$Q:$Q,MATCH($A16,'Valo FX'!$A:$A,0)),0,IF(GV$1&lt;INDEX('Valo FX'!$R:$R,MATCH($A16,'Valo FX'!$A:$A,0)),INDEX(Base!$U:$U,MATCH($A16,Base!$A:$A,0)),IF(GV$1=INDEX('Valo FX'!$R:$R,MATCH($A16,'Valo FX'!$A:$A,0)),INDEX(Base!$V:$V,MATCH($A16,Base!$A:$A,0)),0)))</f>
        <v>12.24048</v>
      </c>
      <c r="GW16" s="21">
        <f>IF(GW$1&lt;INDEX('Valo FX'!$Q:$Q,MATCH($A16,'Valo FX'!$A:$A,0)),0,IF(GW$1&lt;INDEX('Valo FX'!$R:$R,MATCH($A16,'Valo FX'!$A:$A,0)),INDEX(Base!$U:$U,MATCH($A16,Base!$A:$A,0)),IF(GW$1=INDEX('Valo FX'!$R:$R,MATCH($A16,'Valo FX'!$A:$A,0)),INDEX(Base!$V:$V,MATCH($A16,Base!$A:$A,0)),0)))</f>
        <v>12.24048</v>
      </c>
      <c r="GX16" s="21">
        <f>IF(GX$1&lt;INDEX('Valo FX'!$Q:$Q,MATCH($A16,'Valo FX'!$A:$A,0)),0,IF(GX$1&lt;INDEX('Valo FX'!$R:$R,MATCH($A16,'Valo FX'!$A:$A,0)),INDEX(Base!$U:$U,MATCH($A16,Base!$A:$A,0)),IF(GX$1=INDEX('Valo FX'!$R:$R,MATCH($A16,'Valo FX'!$A:$A,0)),INDEX(Base!$V:$V,MATCH($A16,Base!$A:$A,0)),0)))</f>
        <v>12.24048</v>
      </c>
      <c r="GY16" s="21">
        <f>IF(GY$1&lt;INDEX('Valo FX'!$Q:$Q,MATCH($A16,'Valo FX'!$A:$A,0)),0,IF(GY$1&lt;INDEX('Valo FX'!$R:$R,MATCH($A16,'Valo FX'!$A:$A,0)),INDEX(Base!$U:$U,MATCH($A16,Base!$A:$A,0)),IF(GY$1=INDEX('Valo FX'!$R:$R,MATCH($A16,'Valo FX'!$A:$A,0)),INDEX(Base!$V:$V,MATCH($A16,Base!$A:$A,0)),0)))</f>
        <v>12.24048</v>
      </c>
      <c r="GZ16" s="21">
        <f>IF(GZ$1&lt;INDEX('Valo FX'!$Q:$Q,MATCH($A16,'Valo FX'!$A:$A,0)),0,IF(GZ$1&lt;INDEX('Valo FX'!$R:$R,MATCH($A16,'Valo FX'!$A:$A,0)),INDEX(Base!$U:$U,MATCH($A16,Base!$A:$A,0)),IF(GZ$1=INDEX('Valo FX'!$R:$R,MATCH($A16,'Valo FX'!$A:$A,0)),INDEX(Base!$V:$V,MATCH($A16,Base!$A:$A,0)),0)))</f>
        <v>12.24048</v>
      </c>
      <c r="HA16" s="21">
        <f>IF(HA$1&lt;INDEX('Valo FX'!$Q:$Q,MATCH($A16,'Valo FX'!$A:$A,0)),0,IF(HA$1&lt;INDEX('Valo FX'!$R:$R,MATCH($A16,'Valo FX'!$A:$A,0)),INDEX(Base!$U:$U,MATCH($A16,Base!$A:$A,0)),IF(HA$1=INDEX('Valo FX'!$R:$R,MATCH($A16,'Valo FX'!$A:$A,0)),INDEX(Base!$V:$V,MATCH($A16,Base!$A:$A,0)),0)))</f>
        <v>12.24048</v>
      </c>
      <c r="HB16" s="21">
        <f>IF(HB$1&lt;INDEX('Valo FX'!$Q:$Q,MATCH($A16,'Valo FX'!$A:$A,0)),0,IF(HB$1&lt;INDEX('Valo FX'!$R:$R,MATCH($A16,'Valo FX'!$A:$A,0)),INDEX(Base!$U:$U,MATCH($A16,Base!$A:$A,0)),IF(HB$1=INDEX('Valo FX'!$R:$R,MATCH($A16,'Valo FX'!$A:$A,0)),INDEX(Base!$V:$V,MATCH($A16,Base!$A:$A,0)),0)))</f>
        <v>12.24048</v>
      </c>
      <c r="HC16" s="21">
        <f>IF(HC$1&lt;INDEX('Valo FX'!$Q:$Q,MATCH($A16,'Valo FX'!$A:$A,0)),0,IF(HC$1&lt;INDEX('Valo FX'!$R:$R,MATCH($A16,'Valo FX'!$A:$A,0)),INDEX(Base!$U:$U,MATCH($A16,Base!$A:$A,0)),IF(HC$1=INDEX('Valo FX'!$R:$R,MATCH($A16,'Valo FX'!$A:$A,0)),INDEX(Base!$V:$V,MATCH($A16,Base!$A:$A,0)),0)))</f>
        <v>12.24048</v>
      </c>
      <c r="HD16" s="21">
        <f>IF(HD$1&lt;INDEX('Valo FX'!$Q:$Q,MATCH($A16,'Valo FX'!$A:$A,0)),0,IF(HD$1&lt;INDEX('Valo FX'!$R:$R,MATCH($A16,'Valo FX'!$A:$A,0)),INDEX(Base!$U:$U,MATCH($A16,Base!$A:$A,0)),IF(HD$1=INDEX('Valo FX'!$R:$R,MATCH($A16,'Valo FX'!$A:$A,0)),INDEX(Base!$V:$V,MATCH($A16,Base!$A:$A,0)),0)))</f>
        <v>12.24048</v>
      </c>
      <c r="HE16" s="21">
        <f>IF(HE$1&lt;INDEX('Valo FX'!$Q:$Q,MATCH($A16,'Valo FX'!$A:$A,0)),0,IF(HE$1&lt;INDEX('Valo FX'!$R:$R,MATCH($A16,'Valo FX'!$A:$A,0)),INDEX(Base!$U:$U,MATCH($A16,Base!$A:$A,0)),IF(HE$1=INDEX('Valo FX'!$R:$R,MATCH($A16,'Valo FX'!$A:$A,0)),INDEX(Base!$V:$V,MATCH($A16,Base!$A:$A,0)),0)))</f>
        <v>12.24048</v>
      </c>
      <c r="HF16" s="21">
        <f>IF(HF$1&lt;INDEX('Valo FX'!$Q:$Q,MATCH($A16,'Valo FX'!$A:$A,0)),0,IF(HF$1&lt;INDEX('Valo FX'!$R:$R,MATCH($A16,'Valo FX'!$A:$A,0)),INDEX(Base!$U:$U,MATCH($A16,Base!$A:$A,0)),IF(HF$1=INDEX('Valo FX'!$R:$R,MATCH($A16,'Valo FX'!$A:$A,0)),INDEX(Base!$V:$V,MATCH($A16,Base!$A:$A,0)),0)))</f>
        <v>12.24048</v>
      </c>
      <c r="HG16" s="21">
        <f>IF(HG$1&lt;INDEX('Valo FX'!$Q:$Q,MATCH($A16,'Valo FX'!$A:$A,0)),0,IF(HG$1&lt;INDEX('Valo FX'!$R:$R,MATCH($A16,'Valo FX'!$A:$A,0)),INDEX(Base!$U:$U,MATCH($A16,Base!$A:$A,0)),IF(HG$1=INDEX('Valo FX'!$R:$R,MATCH($A16,'Valo FX'!$A:$A,0)),INDEX(Base!$V:$V,MATCH($A16,Base!$A:$A,0)),0)))</f>
        <v>12.24048</v>
      </c>
      <c r="HH16" s="21">
        <f>IF(HH$1&lt;INDEX('Valo FX'!$Q:$Q,MATCH($A16,'Valo FX'!$A:$A,0)),0,IF(HH$1&lt;INDEX('Valo FX'!$R:$R,MATCH($A16,'Valo FX'!$A:$A,0)),INDEX(Base!$U:$U,MATCH($A16,Base!$A:$A,0)),IF(HH$1=INDEX('Valo FX'!$R:$R,MATCH($A16,'Valo FX'!$A:$A,0)),INDEX(Base!$V:$V,MATCH($A16,Base!$A:$A,0)),0)))</f>
        <v>12.24048</v>
      </c>
      <c r="HI16" s="21">
        <f>IF(HI$1&lt;INDEX('Valo FX'!$Q:$Q,MATCH($A16,'Valo FX'!$A:$A,0)),0,IF(HI$1&lt;INDEX('Valo FX'!$R:$R,MATCH($A16,'Valo FX'!$A:$A,0)),INDEX(Base!$U:$U,MATCH($A16,Base!$A:$A,0)),IF(HI$1=INDEX('Valo FX'!$R:$R,MATCH($A16,'Valo FX'!$A:$A,0)),INDEX(Base!$V:$V,MATCH($A16,Base!$A:$A,0)),0)))</f>
        <v>12.24048</v>
      </c>
      <c r="HJ16" s="21">
        <f>IF(HJ$1&lt;INDEX('Valo FX'!$Q:$Q,MATCH($A16,'Valo FX'!$A:$A,0)),0,IF(HJ$1&lt;INDEX('Valo FX'!$R:$R,MATCH($A16,'Valo FX'!$A:$A,0)),INDEX(Base!$U:$U,MATCH($A16,Base!$A:$A,0)),IF(HJ$1=INDEX('Valo FX'!$R:$R,MATCH($A16,'Valo FX'!$A:$A,0)),INDEX(Base!$V:$V,MATCH($A16,Base!$A:$A,0)),0)))</f>
        <v>12.24048</v>
      </c>
      <c r="HK16" s="21">
        <f>IF(HK$1&lt;INDEX('Valo FX'!$Q:$Q,MATCH($A16,'Valo FX'!$A:$A,0)),0,IF(HK$1&lt;INDEX('Valo FX'!$R:$R,MATCH($A16,'Valo FX'!$A:$A,0)),INDEX(Base!$U:$U,MATCH($A16,Base!$A:$A,0)),IF(HK$1=INDEX('Valo FX'!$R:$R,MATCH($A16,'Valo FX'!$A:$A,0)),INDEX(Base!$V:$V,MATCH($A16,Base!$A:$A,0)),0)))</f>
        <v>12.24048</v>
      </c>
      <c r="HL16" s="21">
        <f>IF(HL$1&lt;INDEX('Valo FX'!$Q:$Q,MATCH($A16,'Valo FX'!$A:$A,0)),0,IF(HL$1&lt;INDEX('Valo FX'!$R:$R,MATCH($A16,'Valo FX'!$A:$A,0)),INDEX(Base!$U:$U,MATCH($A16,Base!$A:$A,0)),IF(HL$1=INDEX('Valo FX'!$R:$R,MATCH($A16,'Valo FX'!$A:$A,0)),INDEX(Base!$V:$V,MATCH($A16,Base!$A:$A,0)),0)))</f>
        <v>12.24048</v>
      </c>
      <c r="HM16" s="21">
        <f>IF(HM$1&lt;INDEX('Valo FX'!$Q:$Q,MATCH($A16,'Valo FX'!$A:$A,0)),0,IF(HM$1&lt;INDEX('Valo FX'!$R:$R,MATCH($A16,'Valo FX'!$A:$A,0)),INDEX(Base!$U:$U,MATCH($A16,Base!$A:$A,0)),IF(HM$1=INDEX('Valo FX'!$R:$R,MATCH($A16,'Valo FX'!$A:$A,0)),INDEX(Base!$V:$V,MATCH($A16,Base!$A:$A,0)),0)))</f>
        <v>12.24048</v>
      </c>
      <c r="HN16" s="21">
        <f>IF(HN$1&lt;INDEX('Valo FX'!$Q:$Q,MATCH($A16,'Valo FX'!$A:$A,0)),0,IF(HN$1&lt;INDEX('Valo FX'!$R:$R,MATCH($A16,'Valo FX'!$A:$A,0)),INDEX(Base!$U:$U,MATCH($A16,Base!$A:$A,0)),IF(HN$1=INDEX('Valo FX'!$R:$R,MATCH($A16,'Valo FX'!$A:$A,0)),INDEX(Base!$V:$V,MATCH($A16,Base!$A:$A,0)),0)))</f>
        <v>12.24048</v>
      </c>
      <c r="HO16" s="21">
        <f>IF(HO$1&lt;INDEX('Valo FX'!$Q:$Q,MATCH($A16,'Valo FX'!$A:$A,0)),0,IF(HO$1&lt;INDEX('Valo FX'!$R:$R,MATCH($A16,'Valo FX'!$A:$A,0)),INDEX(Base!$U:$U,MATCH($A16,Base!$A:$A,0)),IF(HO$1=INDEX('Valo FX'!$R:$R,MATCH($A16,'Valo FX'!$A:$A,0)),INDEX(Base!$V:$V,MATCH($A16,Base!$A:$A,0)),0)))</f>
        <v>12.24048</v>
      </c>
      <c r="HP16" s="21">
        <f>IF(HP$1&lt;INDEX('Valo FX'!$Q:$Q,MATCH($A16,'Valo FX'!$A:$A,0)),0,IF(HP$1&lt;INDEX('Valo FX'!$R:$R,MATCH($A16,'Valo FX'!$A:$A,0)),INDEX(Base!$U:$U,MATCH($A16,Base!$A:$A,0)),IF(HP$1=INDEX('Valo FX'!$R:$R,MATCH($A16,'Valo FX'!$A:$A,0)),INDEX(Base!$V:$V,MATCH($A16,Base!$A:$A,0)),0)))</f>
        <v>12.24048</v>
      </c>
      <c r="HQ16" s="21">
        <f>IF(HQ$1&lt;INDEX('Valo FX'!$Q:$Q,MATCH($A16,'Valo FX'!$A:$A,0)),0,IF(HQ$1&lt;INDEX('Valo FX'!$R:$R,MATCH($A16,'Valo FX'!$A:$A,0)),INDEX(Base!$U:$U,MATCH($A16,Base!$A:$A,0)),IF(HQ$1=INDEX('Valo FX'!$R:$R,MATCH($A16,'Valo FX'!$A:$A,0)),INDEX(Base!$V:$V,MATCH($A16,Base!$A:$A,0)),0)))</f>
        <v>12.24048</v>
      </c>
      <c r="HR16" s="21">
        <f>IF(HR$1&lt;INDEX('Valo FX'!$Q:$Q,MATCH($A16,'Valo FX'!$A:$A,0)),0,IF(HR$1&lt;INDEX('Valo FX'!$R:$R,MATCH($A16,'Valo FX'!$A:$A,0)),INDEX(Base!$U:$U,MATCH($A16,Base!$A:$A,0)),IF(HR$1=INDEX('Valo FX'!$R:$R,MATCH($A16,'Valo FX'!$A:$A,0)),INDEX(Base!$V:$V,MATCH($A16,Base!$A:$A,0)),0)))</f>
        <v>12.24048</v>
      </c>
      <c r="HS16" s="21">
        <f>IF(HS$1&lt;INDEX('Valo FX'!$Q:$Q,MATCH($A16,'Valo FX'!$A:$A,0)),0,IF(HS$1&lt;INDEX('Valo FX'!$R:$R,MATCH($A16,'Valo FX'!$A:$A,0)),INDEX(Base!$U:$U,MATCH($A16,Base!$A:$A,0)),IF(HS$1=INDEX('Valo FX'!$R:$R,MATCH($A16,'Valo FX'!$A:$A,0)),INDEX(Base!$V:$V,MATCH($A16,Base!$A:$A,0)),0)))</f>
        <v>12.24048</v>
      </c>
      <c r="HT16" s="21">
        <f>IF(HT$1&lt;INDEX('Valo FX'!$Q:$Q,MATCH($A16,'Valo FX'!$A:$A,0)),0,IF(HT$1&lt;INDEX('Valo FX'!$R:$R,MATCH($A16,'Valo FX'!$A:$A,0)),INDEX(Base!$U:$U,MATCH($A16,Base!$A:$A,0)),IF(HT$1=INDEX('Valo FX'!$R:$R,MATCH($A16,'Valo FX'!$A:$A,0)),INDEX(Base!$V:$V,MATCH($A16,Base!$A:$A,0)),0)))</f>
        <v>12.24048</v>
      </c>
      <c r="HU16" s="21">
        <f>IF(HU$1&lt;INDEX('Valo FX'!$Q:$Q,MATCH($A16,'Valo FX'!$A:$A,0)),0,IF(HU$1&lt;INDEX('Valo FX'!$R:$R,MATCH($A16,'Valo FX'!$A:$A,0)),INDEX(Base!$U:$U,MATCH($A16,Base!$A:$A,0)),IF(HU$1=INDEX('Valo FX'!$R:$R,MATCH($A16,'Valo FX'!$A:$A,0)),INDEX(Base!$V:$V,MATCH($A16,Base!$A:$A,0)),0)))</f>
        <v>12.24048</v>
      </c>
      <c r="HV16" s="21">
        <f>IF(HV$1&lt;INDEX('Valo FX'!$Q:$Q,MATCH($A16,'Valo FX'!$A:$A,0)),0,IF(HV$1&lt;INDEX('Valo FX'!$R:$R,MATCH($A16,'Valo FX'!$A:$A,0)),INDEX(Base!$U:$U,MATCH($A16,Base!$A:$A,0)),IF(HV$1=INDEX('Valo FX'!$R:$R,MATCH($A16,'Valo FX'!$A:$A,0)),INDEX(Base!$V:$V,MATCH($A16,Base!$A:$A,0)),0)))</f>
        <v>12.24048</v>
      </c>
      <c r="HW16" s="21">
        <f>IF(HW$1&lt;INDEX('Valo FX'!$Q:$Q,MATCH($A16,'Valo FX'!$A:$A,0)),0,IF(HW$1&lt;INDEX('Valo FX'!$R:$R,MATCH($A16,'Valo FX'!$A:$A,0)),INDEX(Base!$U:$U,MATCH($A16,Base!$A:$A,0)),IF(HW$1=INDEX('Valo FX'!$R:$R,MATCH($A16,'Valo FX'!$A:$A,0)),INDEX(Base!$V:$V,MATCH($A16,Base!$A:$A,0)),0)))</f>
        <v>12.24048</v>
      </c>
      <c r="HX16" s="21">
        <f>IF(HX$1&lt;INDEX('Valo FX'!$Q:$Q,MATCH($A16,'Valo FX'!$A:$A,0)),0,IF(HX$1&lt;INDEX('Valo FX'!$R:$R,MATCH($A16,'Valo FX'!$A:$A,0)),INDEX(Base!$U:$U,MATCH($A16,Base!$A:$A,0)),IF(HX$1=INDEX('Valo FX'!$R:$R,MATCH($A16,'Valo FX'!$A:$A,0)),INDEX(Base!$V:$V,MATCH($A16,Base!$A:$A,0)),0)))</f>
        <v>12.24048</v>
      </c>
      <c r="HY16" s="21">
        <f>IF(HY$1&lt;INDEX('Valo FX'!$Q:$Q,MATCH($A16,'Valo FX'!$A:$A,0)),0,IF(HY$1&lt;INDEX('Valo FX'!$R:$R,MATCH($A16,'Valo FX'!$A:$A,0)),INDEX(Base!$U:$U,MATCH($A16,Base!$A:$A,0)),IF(HY$1=INDEX('Valo FX'!$R:$R,MATCH($A16,'Valo FX'!$A:$A,0)),INDEX(Base!$V:$V,MATCH($A16,Base!$A:$A,0)),0)))</f>
        <v>12.24048</v>
      </c>
      <c r="HZ16" s="21">
        <f>IF(HZ$1&lt;INDEX('Valo FX'!$Q:$Q,MATCH($A16,'Valo FX'!$A:$A,0)),0,IF(HZ$1&lt;INDEX('Valo FX'!$R:$R,MATCH($A16,'Valo FX'!$A:$A,0)),INDEX(Base!$U:$U,MATCH($A16,Base!$A:$A,0)),IF(HZ$1=INDEX('Valo FX'!$R:$R,MATCH($A16,'Valo FX'!$A:$A,0)),INDEX(Base!$V:$V,MATCH($A16,Base!$A:$A,0)),0)))</f>
        <v>12.24048</v>
      </c>
      <c r="IA16" s="21">
        <f>IF(IA$1&lt;INDEX('Valo FX'!$Q:$Q,MATCH($A16,'Valo FX'!$A:$A,0)),0,IF(IA$1&lt;INDEX('Valo FX'!$R:$R,MATCH($A16,'Valo FX'!$A:$A,0)),INDEX(Base!$U:$U,MATCH($A16,Base!$A:$A,0)),IF(IA$1=INDEX('Valo FX'!$R:$R,MATCH($A16,'Valo FX'!$A:$A,0)),INDEX(Base!$V:$V,MATCH($A16,Base!$A:$A,0)),0)))</f>
        <v>12.24048</v>
      </c>
      <c r="IB16" s="21">
        <f>IF(IB$1&lt;INDEX('Valo FX'!$Q:$Q,MATCH($A16,'Valo FX'!$A:$A,0)),0,IF(IB$1&lt;INDEX('Valo FX'!$R:$R,MATCH($A16,'Valo FX'!$A:$A,0)),INDEX(Base!$U:$U,MATCH($A16,Base!$A:$A,0)),IF(IB$1=INDEX('Valo FX'!$R:$R,MATCH($A16,'Valo FX'!$A:$A,0)),INDEX(Base!$V:$V,MATCH($A16,Base!$A:$A,0)),0)))</f>
        <v>12.24048</v>
      </c>
      <c r="IC16" s="21">
        <f>IF(IC$1&lt;INDEX('Valo FX'!$Q:$Q,MATCH($A16,'Valo FX'!$A:$A,0)),0,IF(IC$1&lt;INDEX('Valo FX'!$R:$R,MATCH($A16,'Valo FX'!$A:$A,0)),INDEX(Base!$U:$U,MATCH($A16,Base!$A:$A,0)),IF(IC$1=INDEX('Valo FX'!$R:$R,MATCH($A16,'Valo FX'!$A:$A,0)),INDEX(Base!$V:$V,MATCH($A16,Base!$A:$A,0)),0)))</f>
        <v>12.24048</v>
      </c>
      <c r="ID16" s="21">
        <f>IF(ID$1&lt;INDEX('Valo FX'!$Q:$Q,MATCH($A16,'Valo FX'!$A:$A,0)),0,IF(ID$1&lt;INDEX('Valo FX'!$R:$R,MATCH($A16,'Valo FX'!$A:$A,0)),INDEX(Base!$U:$U,MATCH($A16,Base!$A:$A,0)),IF(ID$1=INDEX('Valo FX'!$R:$R,MATCH($A16,'Valo FX'!$A:$A,0)),INDEX(Base!$V:$V,MATCH($A16,Base!$A:$A,0)),0)))</f>
        <v>12.24048</v>
      </c>
      <c r="IE16" s="21">
        <f>IF(IE$1&lt;INDEX('Valo FX'!$Q:$Q,MATCH($A16,'Valo FX'!$A:$A,0)),0,IF(IE$1&lt;INDEX('Valo FX'!$R:$R,MATCH($A16,'Valo FX'!$A:$A,0)),INDEX(Base!$U:$U,MATCH($A16,Base!$A:$A,0)),IF(IE$1=INDEX('Valo FX'!$R:$R,MATCH($A16,'Valo FX'!$A:$A,0)),INDEX(Base!$V:$V,MATCH($A16,Base!$A:$A,0)),0)))</f>
        <v>12.24048</v>
      </c>
      <c r="IF16" s="21">
        <f>IF(IF$1&lt;INDEX('Valo FX'!$Q:$Q,MATCH($A16,'Valo FX'!$A:$A,0)),0,IF(IF$1&lt;INDEX('Valo FX'!$R:$R,MATCH($A16,'Valo FX'!$A:$A,0)),INDEX(Base!$U:$U,MATCH($A16,Base!$A:$A,0)),IF(IF$1=INDEX('Valo FX'!$R:$R,MATCH($A16,'Valo FX'!$A:$A,0)),INDEX(Base!$V:$V,MATCH($A16,Base!$A:$A,0)),0)))</f>
        <v>12.24048</v>
      </c>
      <c r="IG16" s="21">
        <f>IF(IG$1&lt;INDEX('Valo FX'!$Q:$Q,MATCH($A16,'Valo FX'!$A:$A,0)),0,IF(IG$1&lt;INDEX('Valo FX'!$R:$R,MATCH($A16,'Valo FX'!$A:$A,0)),INDEX(Base!$U:$U,MATCH($A16,Base!$A:$A,0)),IF(IG$1=INDEX('Valo FX'!$R:$R,MATCH($A16,'Valo FX'!$A:$A,0)),INDEX(Base!$V:$V,MATCH($A16,Base!$A:$A,0)),0)))</f>
        <v>12.24048</v>
      </c>
      <c r="IH16" s="21">
        <f>IF(IH$1&lt;INDEX('Valo FX'!$Q:$Q,MATCH($A16,'Valo FX'!$A:$A,0)),0,IF(IH$1&lt;INDEX('Valo FX'!$R:$R,MATCH($A16,'Valo FX'!$A:$A,0)),INDEX(Base!$U:$U,MATCH($A16,Base!$A:$A,0)),IF(IH$1=INDEX('Valo FX'!$R:$R,MATCH($A16,'Valo FX'!$A:$A,0)),INDEX(Base!$V:$V,MATCH($A16,Base!$A:$A,0)),0)))</f>
        <v>12.24048</v>
      </c>
      <c r="II16" s="21">
        <f>IF(II$1&lt;INDEX('Valo FX'!$Q:$Q,MATCH($A16,'Valo FX'!$A:$A,0)),0,IF(II$1&lt;INDEX('Valo FX'!$R:$R,MATCH($A16,'Valo FX'!$A:$A,0)),INDEX(Base!$U:$U,MATCH($A16,Base!$A:$A,0)),IF(II$1=INDEX('Valo FX'!$R:$R,MATCH($A16,'Valo FX'!$A:$A,0)),INDEX(Base!$V:$V,MATCH($A16,Base!$A:$A,0)),0)))</f>
        <v>12.24048</v>
      </c>
      <c r="IJ16" s="21">
        <f>IF(IJ$1&lt;INDEX('Valo FX'!$Q:$Q,MATCH($A16,'Valo FX'!$A:$A,0)),0,IF(IJ$1&lt;INDEX('Valo FX'!$R:$R,MATCH($A16,'Valo FX'!$A:$A,0)),INDEX(Base!$U:$U,MATCH($A16,Base!$A:$A,0)),IF(IJ$1=INDEX('Valo FX'!$R:$R,MATCH($A16,'Valo FX'!$A:$A,0)),INDEX(Base!$V:$V,MATCH($A16,Base!$A:$A,0)),0)))</f>
        <v>12.24048</v>
      </c>
      <c r="IK16" s="21">
        <f>IF(IK$1&lt;INDEX('Valo FX'!$Q:$Q,MATCH($A16,'Valo FX'!$A:$A,0)),0,IF(IK$1&lt;INDEX('Valo FX'!$R:$R,MATCH($A16,'Valo FX'!$A:$A,0)),INDEX(Base!$U:$U,MATCH($A16,Base!$A:$A,0)),IF(IK$1=INDEX('Valo FX'!$R:$R,MATCH($A16,'Valo FX'!$A:$A,0)),INDEX(Base!$V:$V,MATCH($A16,Base!$A:$A,0)),0)))</f>
        <v>12.24048</v>
      </c>
      <c r="IL16" s="21">
        <f>IF(IL$1&lt;INDEX('Valo FX'!$Q:$Q,MATCH($A16,'Valo FX'!$A:$A,0)),0,IF(IL$1&lt;INDEX('Valo FX'!$R:$R,MATCH($A16,'Valo FX'!$A:$A,0)),INDEX(Base!$U:$U,MATCH($A16,Base!$A:$A,0)),IF(IL$1=INDEX('Valo FX'!$R:$R,MATCH($A16,'Valo FX'!$A:$A,0)),INDEX(Base!$V:$V,MATCH($A16,Base!$A:$A,0)),0)))</f>
        <v>12.24048</v>
      </c>
      <c r="IM16" s="21">
        <f>IF(IM$1&lt;INDEX('Valo FX'!$Q:$Q,MATCH($A16,'Valo FX'!$A:$A,0)),0,IF(IM$1&lt;INDEX('Valo FX'!$R:$R,MATCH($A16,'Valo FX'!$A:$A,0)),INDEX(Base!$U:$U,MATCH($A16,Base!$A:$A,0)),IF(IM$1=INDEX('Valo FX'!$R:$R,MATCH($A16,'Valo FX'!$A:$A,0)),INDEX(Base!$V:$V,MATCH($A16,Base!$A:$A,0)),0)))</f>
        <v>12.24048</v>
      </c>
      <c r="IN16" s="21">
        <f>IF(IN$1&lt;INDEX('Valo FX'!$Q:$Q,MATCH($A16,'Valo FX'!$A:$A,0)),0,IF(IN$1&lt;INDEX('Valo FX'!$R:$R,MATCH($A16,'Valo FX'!$A:$A,0)),INDEX(Base!$U:$U,MATCH($A16,Base!$A:$A,0)),IF(IN$1=INDEX('Valo FX'!$R:$R,MATCH($A16,'Valo FX'!$A:$A,0)),INDEX(Base!$V:$V,MATCH($A16,Base!$A:$A,0)),0)))</f>
        <v>12.24048</v>
      </c>
      <c r="IO16" s="21">
        <f>IF(IO$1&lt;INDEX('Valo FX'!$Q:$Q,MATCH($A16,'Valo FX'!$A:$A,0)),0,IF(IO$1&lt;INDEX('Valo FX'!$R:$R,MATCH($A16,'Valo FX'!$A:$A,0)),INDEX(Base!$U:$U,MATCH($A16,Base!$A:$A,0)),IF(IO$1=INDEX('Valo FX'!$R:$R,MATCH($A16,'Valo FX'!$A:$A,0)),INDEX(Base!$V:$V,MATCH($A16,Base!$A:$A,0)),0)))</f>
        <v>12.24048</v>
      </c>
      <c r="IP16" s="21">
        <f>IF(IP$1&lt;INDEX('Valo FX'!$Q:$Q,MATCH($A16,'Valo FX'!$A:$A,0)),0,IF(IP$1&lt;INDEX('Valo FX'!$R:$R,MATCH($A16,'Valo FX'!$A:$A,0)),INDEX(Base!$U:$U,MATCH($A16,Base!$A:$A,0)),IF(IP$1=INDEX('Valo FX'!$R:$R,MATCH($A16,'Valo FX'!$A:$A,0)),INDEX(Base!$V:$V,MATCH($A16,Base!$A:$A,0)),0)))</f>
        <v>12.24048</v>
      </c>
      <c r="IQ16" s="21">
        <f>IF(IQ$1&lt;INDEX('Valo FX'!$Q:$Q,MATCH($A16,'Valo FX'!$A:$A,0)),0,IF(IQ$1&lt;INDEX('Valo FX'!$R:$R,MATCH($A16,'Valo FX'!$A:$A,0)),INDEX(Base!$U:$U,MATCH($A16,Base!$A:$A,0)),IF(IQ$1=INDEX('Valo FX'!$R:$R,MATCH($A16,'Valo FX'!$A:$A,0)),INDEX(Base!$V:$V,MATCH($A16,Base!$A:$A,0)),0)))</f>
        <v>12.24048</v>
      </c>
      <c r="IR16" s="21">
        <f>IF(IR$1&lt;INDEX('Valo FX'!$Q:$Q,MATCH($A16,'Valo FX'!$A:$A,0)),0,IF(IR$1&lt;INDEX('Valo FX'!$R:$R,MATCH($A16,'Valo FX'!$A:$A,0)),INDEX(Base!$U:$U,MATCH($A16,Base!$A:$A,0)),IF(IR$1=INDEX('Valo FX'!$R:$R,MATCH($A16,'Valo FX'!$A:$A,0)),INDEX(Base!$V:$V,MATCH($A16,Base!$A:$A,0)),0)))</f>
        <v>12.24048</v>
      </c>
      <c r="IS16" s="21">
        <f>IF(IS$1&lt;INDEX('Valo FX'!$Q:$Q,MATCH($A16,'Valo FX'!$A:$A,0)),0,IF(IS$1&lt;INDEX('Valo FX'!$R:$R,MATCH($A16,'Valo FX'!$A:$A,0)),INDEX(Base!$U:$U,MATCH($A16,Base!$A:$A,0)),IF(IS$1=INDEX('Valo FX'!$R:$R,MATCH($A16,'Valo FX'!$A:$A,0)),INDEX(Base!$V:$V,MATCH($A16,Base!$A:$A,0)),0)))</f>
        <v>12.24048</v>
      </c>
      <c r="IT16" s="21">
        <f>IF(IT$1&lt;INDEX('Valo FX'!$Q:$Q,MATCH($A16,'Valo FX'!$A:$A,0)),0,IF(IT$1&lt;INDEX('Valo FX'!$R:$R,MATCH($A16,'Valo FX'!$A:$A,0)),INDEX(Base!$U:$U,MATCH($A16,Base!$A:$A,0)),IF(IT$1=INDEX('Valo FX'!$R:$R,MATCH($A16,'Valo FX'!$A:$A,0)),INDEX(Base!$V:$V,MATCH($A16,Base!$A:$A,0)),0)))</f>
        <v>12.24048</v>
      </c>
      <c r="IU16" s="21">
        <f>IF(IU$1&lt;INDEX('Valo FX'!$Q:$Q,MATCH($A16,'Valo FX'!$A:$A,0)),0,IF(IU$1&lt;INDEX('Valo FX'!$R:$R,MATCH($A16,'Valo FX'!$A:$A,0)),INDEX(Base!$U:$U,MATCH($A16,Base!$A:$A,0)),IF(IU$1=INDEX('Valo FX'!$R:$R,MATCH($A16,'Valo FX'!$A:$A,0)),INDEX(Base!$V:$V,MATCH($A16,Base!$A:$A,0)),0)))</f>
        <v>12.24048</v>
      </c>
      <c r="IV16" s="21">
        <f>IF(IV$1&lt;INDEX('Valo FX'!$Q:$Q,MATCH($A16,'Valo FX'!$A:$A,0)),0,IF(IV$1&lt;INDEX('Valo FX'!$R:$R,MATCH($A16,'Valo FX'!$A:$A,0)),INDEX(Base!$U:$U,MATCH($A16,Base!$A:$A,0)),IF(IV$1=INDEX('Valo FX'!$R:$R,MATCH($A16,'Valo FX'!$A:$A,0)),INDEX(Base!$V:$V,MATCH($A16,Base!$A:$A,0)),0)))</f>
        <v>12.24048</v>
      </c>
      <c r="IW16" s="21">
        <f>IF(IW$1&lt;INDEX('Valo FX'!$Q:$Q,MATCH($A16,'Valo FX'!$A:$A,0)),0,IF(IW$1&lt;INDEX('Valo FX'!$R:$R,MATCH($A16,'Valo FX'!$A:$A,0)),INDEX(Base!$U:$U,MATCH($A16,Base!$A:$A,0)),IF(IW$1=INDEX('Valo FX'!$R:$R,MATCH($A16,'Valo FX'!$A:$A,0)),INDEX(Base!$V:$V,MATCH($A16,Base!$A:$A,0)),0)))</f>
        <v>12.24048</v>
      </c>
      <c r="IX16" s="21">
        <f>IF(IX$1&lt;INDEX('Valo FX'!$Q:$Q,MATCH($A16,'Valo FX'!$A:$A,0)),0,IF(IX$1&lt;INDEX('Valo FX'!$R:$R,MATCH($A16,'Valo FX'!$A:$A,0)),INDEX(Base!$U:$U,MATCH($A16,Base!$A:$A,0)),IF(IX$1=INDEX('Valo FX'!$R:$R,MATCH($A16,'Valo FX'!$A:$A,0)),INDEX(Base!$V:$V,MATCH($A16,Base!$A:$A,0)),0)))</f>
        <v>12.24048</v>
      </c>
      <c r="IY16" s="21">
        <f>IF(IY$1&lt;INDEX('Valo FX'!$Q:$Q,MATCH($A16,'Valo FX'!$A:$A,0)),0,IF(IY$1&lt;INDEX('Valo FX'!$R:$R,MATCH($A16,'Valo FX'!$A:$A,0)),INDEX(Base!$U:$U,MATCH($A16,Base!$A:$A,0)),IF(IY$1=INDEX('Valo FX'!$R:$R,MATCH($A16,'Valo FX'!$A:$A,0)),INDEX(Base!$V:$V,MATCH($A16,Base!$A:$A,0)),0)))</f>
        <v>12.24048</v>
      </c>
      <c r="IZ16" s="21">
        <f>IF(IZ$1&lt;INDEX('Valo FX'!$Q:$Q,MATCH($A16,'Valo FX'!$A:$A,0)),0,IF(IZ$1&lt;INDEX('Valo FX'!$R:$R,MATCH($A16,'Valo FX'!$A:$A,0)),INDEX(Base!$U:$U,MATCH($A16,Base!$A:$A,0)),IF(IZ$1=INDEX('Valo FX'!$R:$R,MATCH($A16,'Valo FX'!$A:$A,0)),INDEX(Base!$V:$V,MATCH($A16,Base!$A:$A,0)),0)))</f>
        <v>12.24048</v>
      </c>
      <c r="JA16" s="21">
        <f>IF(JA$1&lt;INDEX('Valo FX'!$Q:$Q,MATCH($A16,'Valo FX'!$A:$A,0)),0,IF(JA$1&lt;INDEX('Valo FX'!$R:$R,MATCH($A16,'Valo FX'!$A:$A,0)),INDEX(Base!$U:$U,MATCH($A16,Base!$A:$A,0)),IF(JA$1=INDEX('Valo FX'!$R:$R,MATCH($A16,'Valo FX'!$A:$A,0)),INDEX(Base!$V:$V,MATCH($A16,Base!$A:$A,0)),0)))</f>
        <v>12.24048</v>
      </c>
      <c r="JB16" s="21">
        <f>IF(JB$1&lt;INDEX('Valo FX'!$Q:$Q,MATCH($A16,'Valo FX'!$A:$A,0)),0,IF(JB$1&lt;INDEX('Valo FX'!$R:$R,MATCH($A16,'Valo FX'!$A:$A,0)),INDEX(Base!$U:$U,MATCH($A16,Base!$A:$A,0)),IF(JB$1=INDEX('Valo FX'!$R:$R,MATCH($A16,'Valo FX'!$A:$A,0)),INDEX(Base!$V:$V,MATCH($A16,Base!$A:$A,0)),0)))</f>
        <v>12.24048</v>
      </c>
      <c r="JC16" s="21">
        <f>IF(JC$1&lt;INDEX('Valo FX'!$Q:$Q,MATCH($A16,'Valo FX'!$A:$A,0)),0,IF(JC$1&lt;INDEX('Valo FX'!$R:$R,MATCH($A16,'Valo FX'!$A:$A,0)),INDEX(Base!$U:$U,MATCH($A16,Base!$A:$A,0)),IF(JC$1=INDEX('Valo FX'!$R:$R,MATCH($A16,'Valo FX'!$A:$A,0)),INDEX(Base!$V:$V,MATCH($A16,Base!$A:$A,0)),0)))</f>
        <v>12.24048</v>
      </c>
      <c r="JD16" s="21">
        <f>IF(JD$1&lt;INDEX('Valo FX'!$Q:$Q,MATCH($A16,'Valo FX'!$A:$A,0)),0,IF(JD$1&lt;INDEX('Valo FX'!$R:$R,MATCH($A16,'Valo FX'!$A:$A,0)),INDEX(Base!$U:$U,MATCH($A16,Base!$A:$A,0)),IF(JD$1=INDEX('Valo FX'!$R:$R,MATCH($A16,'Valo FX'!$A:$A,0)),INDEX(Base!$V:$V,MATCH($A16,Base!$A:$A,0)),0)))</f>
        <v>12.24048</v>
      </c>
      <c r="JE16" s="21">
        <f>IF(JE$1&lt;INDEX('Valo FX'!$Q:$Q,MATCH($A16,'Valo FX'!$A:$A,0)),0,IF(JE$1&lt;INDEX('Valo FX'!$R:$R,MATCH($A16,'Valo FX'!$A:$A,0)),INDEX(Base!$U:$U,MATCH($A16,Base!$A:$A,0)),IF(JE$1=INDEX('Valo FX'!$R:$R,MATCH($A16,'Valo FX'!$A:$A,0)),INDEX(Base!$V:$V,MATCH($A16,Base!$A:$A,0)),0)))</f>
        <v>12.24048</v>
      </c>
      <c r="JF16" s="21">
        <f>IF(JF$1&lt;INDEX('Valo FX'!$Q:$Q,MATCH($A16,'Valo FX'!$A:$A,0)),0,IF(JF$1&lt;INDEX('Valo FX'!$R:$R,MATCH($A16,'Valo FX'!$A:$A,0)),INDEX(Base!$U:$U,MATCH($A16,Base!$A:$A,0)),IF(JF$1=INDEX('Valo FX'!$R:$R,MATCH($A16,'Valo FX'!$A:$A,0)),INDEX(Base!$V:$V,MATCH($A16,Base!$A:$A,0)),0)))</f>
        <v>12.24048</v>
      </c>
      <c r="JG16" s="21">
        <f>IF(JG$1&lt;INDEX('Valo FX'!$Q:$Q,MATCH($A16,'Valo FX'!$A:$A,0)),0,IF(JG$1&lt;INDEX('Valo FX'!$R:$R,MATCH($A16,'Valo FX'!$A:$A,0)),INDEX(Base!$U:$U,MATCH($A16,Base!$A:$A,0)),IF(JG$1=INDEX('Valo FX'!$R:$R,MATCH($A16,'Valo FX'!$A:$A,0)),INDEX(Base!$V:$V,MATCH($A16,Base!$A:$A,0)),0)))</f>
        <v>12.24048</v>
      </c>
      <c r="JH16" s="21">
        <f>IF(JH$1&lt;INDEX('Valo FX'!$Q:$Q,MATCH($A16,'Valo FX'!$A:$A,0)),0,IF(JH$1&lt;INDEX('Valo FX'!$R:$R,MATCH($A16,'Valo FX'!$A:$A,0)),INDEX(Base!$U:$U,MATCH($A16,Base!$A:$A,0)),IF(JH$1=INDEX('Valo FX'!$R:$R,MATCH($A16,'Valo FX'!$A:$A,0)),INDEX(Base!$V:$V,MATCH($A16,Base!$A:$A,0)),0)))</f>
        <v>12.24048</v>
      </c>
      <c r="JI16" s="21">
        <f>IF(JI$1&lt;INDEX('Valo FX'!$Q:$Q,MATCH($A16,'Valo FX'!$A:$A,0)),0,IF(JI$1&lt;INDEX('Valo FX'!$R:$R,MATCH($A16,'Valo FX'!$A:$A,0)),INDEX(Base!$U:$U,MATCH($A16,Base!$A:$A,0)),IF(JI$1=INDEX('Valo FX'!$R:$R,MATCH($A16,'Valo FX'!$A:$A,0)),INDEX(Base!$V:$V,MATCH($A16,Base!$A:$A,0)),0)))</f>
        <v>12.24048</v>
      </c>
      <c r="JJ16" s="21">
        <f>IF(JJ$1&lt;INDEX('Valo FX'!$Q:$Q,MATCH($A16,'Valo FX'!$A:$A,0)),0,IF(JJ$1&lt;INDEX('Valo FX'!$R:$R,MATCH($A16,'Valo FX'!$A:$A,0)),INDEX(Base!$U:$U,MATCH($A16,Base!$A:$A,0)),IF(JJ$1=INDEX('Valo FX'!$R:$R,MATCH($A16,'Valo FX'!$A:$A,0)),INDEX(Base!$V:$V,MATCH($A16,Base!$A:$A,0)),0)))</f>
        <v>12.24048</v>
      </c>
      <c r="JK16" s="21">
        <f>IF(JK$1&lt;INDEX('Valo FX'!$Q:$Q,MATCH($A16,'Valo FX'!$A:$A,0)),0,IF(JK$1&lt;INDEX('Valo FX'!$R:$R,MATCH($A16,'Valo FX'!$A:$A,0)),INDEX(Base!$U:$U,MATCH($A16,Base!$A:$A,0)),IF(JK$1=INDEX('Valo FX'!$R:$R,MATCH($A16,'Valo FX'!$A:$A,0)),INDEX(Base!$V:$V,MATCH($A16,Base!$A:$A,0)),0)))</f>
        <v>12.24048</v>
      </c>
      <c r="JL16" s="21">
        <f>IF(JL$1&lt;INDEX('Valo FX'!$Q:$Q,MATCH($A16,'Valo FX'!$A:$A,0)),0,IF(JL$1&lt;INDEX('Valo FX'!$R:$R,MATCH($A16,'Valo FX'!$A:$A,0)),INDEX(Base!$U:$U,MATCH($A16,Base!$A:$A,0)),IF(JL$1=INDEX('Valo FX'!$R:$R,MATCH($A16,'Valo FX'!$A:$A,0)),INDEX(Base!$V:$V,MATCH($A16,Base!$A:$A,0)),0)))</f>
        <v>12.24048</v>
      </c>
      <c r="JM16" s="21">
        <f>IF(JM$1&lt;INDEX('Valo FX'!$Q:$Q,MATCH($A16,'Valo FX'!$A:$A,0)),0,IF(JM$1&lt;INDEX('Valo FX'!$R:$R,MATCH($A16,'Valo FX'!$A:$A,0)),INDEX(Base!$U:$U,MATCH($A16,Base!$A:$A,0)),IF(JM$1=INDEX('Valo FX'!$R:$R,MATCH($A16,'Valo FX'!$A:$A,0)),INDEX(Base!$V:$V,MATCH($A16,Base!$A:$A,0)),0)))</f>
        <v>12.24048</v>
      </c>
      <c r="JN16" s="21">
        <f>IF(JN$1&lt;INDEX('Valo FX'!$Q:$Q,MATCH($A16,'Valo FX'!$A:$A,0)),0,IF(JN$1&lt;INDEX('Valo FX'!$R:$R,MATCH($A16,'Valo FX'!$A:$A,0)),INDEX(Base!$U:$U,MATCH($A16,Base!$A:$A,0)),IF(JN$1=INDEX('Valo FX'!$R:$R,MATCH($A16,'Valo FX'!$A:$A,0)),INDEX(Base!$V:$V,MATCH($A16,Base!$A:$A,0)),0)))</f>
        <v>12.24048</v>
      </c>
      <c r="JO16" s="21">
        <f>IF(JO$1&lt;INDEX('Valo FX'!$Q:$Q,MATCH($A16,'Valo FX'!$A:$A,0)),0,IF(JO$1&lt;INDEX('Valo FX'!$R:$R,MATCH($A16,'Valo FX'!$A:$A,0)),INDEX(Base!$U:$U,MATCH($A16,Base!$A:$A,0)),IF(JO$1=INDEX('Valo FX'!$R:$R,MATCH($A16,'Valo FX'!$A:$A,0)),INDEX(Base!$V:$V,MATCH($A16,Base!$A:$A,0)),0)))</f>
        <v>12.24048</v>
      </c>
      <c r="JP16" s="21">
        <f>IF(JP$1&lt;INDEX('Valo FX'!$Q:$Q,MATCH($A16,'Valo FX'!$A:$A,0)),0,IF(JP$1&lt;INDEX('Valo FX'!$R:$R,MATCH($A16,'Valo FX'!$A:$A,0)),INDEX(Base!$U:$U,MATCH($A16,Base!$A:$A,0)),IF(JP$1=INDEX('Valo FX'!$R:$R,MATCH($A16,'Valo FX'!$A:$A,0)),INDEX(Base!$V:$V,MATCH($A16,Base!$A:$A,0)),0)))</f>
        <v>12.24048</v>
      </c>
      <c r="JQ16" s="21">
        <f>IF(JQ$1&lt;INDEX('Valo FX'!$Q:$Q,MATCH($A16,'Valo FX'!$A:$A,0)),0,IF(JQ$1&lt;INDEX('Valo FX'!$R:$R,MATCH($A16,'Valo FX'!$A:$A,0)),INDEX(Base!$U:$U,MATCH($A16,Base!$A:$A,0)),IF(JQ$1=INDEX('Valo FX'!$R:$R,MATCH($A16,'Valo FX'!$A:$A,0)),INDEX(Base!$V:$V,MATCH($A16,Base!$A:$A,0)),0)))</f>
        <v>12.24048</v>
      </c>
      <c r="JR16" s="21">
        <f>IF(JR$1&lt;INDEX('Valo FX'!$Q:$Q,MATCH($A16,'Valo FX'!$A:$A,0)),0,IF(JR$1&lt;INDEX('Valo FX'!$R:$R,MATCH($A16,'Valo FX'!$A:$A,0)),INDEX(Base!$U:$U,MATCH($A16,Base!$A:$A,0)),IF(JR$1=INDEX('Valo FX'!$R:$R,MATCH($A16,'Valo FX'!$A:$A,0)),INDEX(Base!$V:$V,MATCH($A16,Base!$A:$A,0)),0)))</f>
        <v>12.24048</v>
      </c>
      <c r="JS16" s="21">
        <f>IF(JS$1&lt;INDEX('Valo FX'!$Q:$Q,MATCH($A16,'Valo FX'!$A:$A,0)),0,IF(JS$1&lt;INDEX('Valo FX'!$R:$R,MATCH($A16,'Valo FX'!$A:$A,0)),INDEX(Base!$U:$U,MATCH($A16,Base!$A:$A,0)),IF(JS$1=INDEX('Valo FX'!$R:$R,MATCH($A16,'Valo FX'!$A:$A,0)),INDEX(Base!$V:$V,MATCH($A16,Base!$A:$A,0)),0)))</f>
        <v>12.24048</v>
      </c>
      <c r="JT16" s="21">
        <f>IF(JT$1&lt;INDEX('Valo FX'!$Q:$Q,MATCH($A16,'Valo FX'!$A:$A,0)),0,IF(JT$1&lt;INDEX('Valo FX'!$R:$R,MATCH($A16,'Valo FX'!$A:$A,0)),INDEX(Base!$U:$U,MATCH($A16,Base!$A:$A,0)),IF(JT$1=INDEX('Valo FX'!$R:$R,MATCH($A16,'Valo FX'!$A:$A,0)),INDEX(Base!$V:$V,MATCH($A16,Base!$A:$A,0)),0)))</f>
        <v>12.24048</v>
      </c>
      <c r="JU16" s="21">
        <f>IF(JU$1&lt;INDEX('Valo FX'!$Q:$Q,MATCH($A16,'Valo FX'!$A:$A,0)),0,IF(JU$1&lt;INDEX('Valo FX'!$R:$R,MATCH($A16,'Valo FX'!$A:$A,0)),INDEX(Base!$U:$U,MATCH($A16,Base!$A:$A,0)),IF(JU$1=INDEX('Valo FX'!$R:$R,MATCH($A16,'Valo FX'!$A:$A,0)),INDEX(Base!$V:$V,MATCH($A16,Base!$A:$A,0)),0)))</f>
        <v>12.24048</v>
      </c>
      <c r="JV16" s="21">
        <f>IF(JV$1&lt;INDEX('Valo FX'!$Q:$Q,MATCH($A16,'Valo FX'!$A:$A,0)),0,IF(JV$1&lt;INDEX('Valo FX'!$R:$R,MATCH($A16,'Valo FX'!$A:$A,0)),INDEX(Base!$U:$U,MATCH($A16,Base!$A:$A,0)),IF(JV$1=INDEX('Valo FX'!$R:$R,MATCH($A16,'Valo FX'!$A:$A,0)),INDEX(Base!$V:$V,MATCH($A16,Base!$A:$A,0)),0)))</f>
        <v>12.24048</v>
      </c>
      <c r="JW16" s="21">
        <f>IF(JW$1&lt;INDEX('Valo FX'!$Q:$Q,MATCH($A16,'Valo FX'!$A:$A,0)),0,IF(JW$1&lt;INDEX('Valo FX'!$R:$R,MATCH($A16,'Valo FX'!$A:$A,0)),INDEX(Base!$U:$U,MATCH($A16,Base!$A:$A,0)),IF(JW$1=INDEX('Valo FX'!$R:$R,MATCH($A16,'Valo FX'!$A:$A,0)),INDEX(Base!$V:$V,MATCH($A16,Base!$A:$A,0)),0)))</f>
        <v>12.24048</v>
      </c>
      <c r="JX16" s="21">
        <f>IF(JX$1&lt;INDEX('Valo FX'!$Q:$Q,MATCH($A16,'Valo FX'!$A:$A,0)),0,IF(JX$1&lt;INDEX('Valo FX'!$R:$R,MATCH($A16,'Valo FX'!$A:$A,0)),INDEX(Base!$U:$U,MATCH($A16,Base!$A:$A,0)),IF(JX$1=INDEX('Valo FX'!$R:$R,MATCH($A16,'Valo FX'!$A:$A,0)),INDEX(Base!$V:$V,MATCH($A16,Base!$A:$A,0)),0)))</f>
        <v>12.24048</v>
      </c>
      <c r="JY16" s="21">
        <f>IF(JY$1&lt;INDEX('Valo FX'!$Q:$Q,MATCH($A16,'Valo FX'!$A:$A,0)),0,IF(JY$1&lt;INDEX('Valo FX'!$R:$R,MATCH($A16,'Valo FX'!$A:$A,0)),INDEX(Base!$U:$U,MATCH($A16,Base!$A:$A,0)),IF(JY$1=INDEX('Valo FX'!$R:$R,MATCH($A16,'Valo FX'!$A:$A,0)),INDEX(Base!$V:$V,MATCH($A16,Base!$A:$A,0)),0)))</f>
        <v>12.24048</v>
      </c>
      <c r="JZ16" s="21">
        <f>IF(JZ$1&lt;INDEX('Valo FX'!$Q:$Q,MATCH($A16,'Valo FX'!$A:$A,0)),0,IF(JZ$1&lt;INDEX('Valo FX'!$R:$R,MATCH($A16,'Valo FX'!$A:$A,0)),INDEX(Base!$U:$U,MATCH($A16,Base!$A:$A,0)),IF(JZ$1=INDEX('Valo FX'!$R:$R,MATCH($A16,'Valo FX'!$A:$A,0)),INDEX(Base!$V:$V,MATCH($A16,Base!$A:$A,0)),0)))</f>
        <v>12.24048</v>
      </c>
      <c r="KA16" s="21">
        <f>IF(KA$1&lt;INDEX('Valo FX'!$Q:$Q,MATCH($A16,'Valo FX'!$A:$A,0)),0,IF(KA$1&lt;INDEX('Valo FX'!$R:$R,MATCH($A16,'Valo FX'!$A:$A,0)),INDEX(Base!$U:$U,MATCH($A16,Base!$A:$A,0)),IF(KA$1=INDEX('Valo FX'!$R:$R,MATCH($A16,'Valo FX'!$A:$A,0)),INDEX(Base!$V:$V,MATCH($A16,Base!$A:$A,0)),0)))</f>
        <v>12.24048</v>
      </c>
      <c r="KB16" s="21">
        <f>IF(KB$1&lt;INDEX('Valo FX'!$Q:$Q,MATCH($A16,'Valo FX'!$A:$A,0)),0,IF(KB$1&lt;INDEX('Valo FX'!$R:$R,MATCH($A16,'Valo FX'!$A:$A,0)),INDEX(Base!$U:$U,MATCH($A16,Base!$A:$A,0)),IF(KB$1=INDEX('Valo FX'!$R:$R,MATCH($A16,'Valo FX'!$A:$A,0)),INDEX(Base!$V:$V,MATCH($A16,Base!$A:$A,0)),0)))</f>
        <v>12.24048</v>
      </c>
      <c r="KC16" s="21">
        <f>IF(KC$1&lt;INDEX('Valo FX'!$Q:$Q,MATCH($A16,'Valo FX'!$A:$A,0)),0,IF(KC$1&lt;INDEX('Valo FX'!$R:$R,MATCH($A16,'Valo FX'!$A:$A,0)),INDEX(Base!$U:$U,MATCH($A16,Base!$A:$A,0)),IF(KC$1=INDEX('Valo FX'!$R:$R,MATCH($A16,'Valo FX'!$A:$A,0)),INDEX(Base!$V:$V,MATCH($A16,Base!$A:$A,0)),0)))</f>
        <v>12.24048</v>
      </c>
      <c r="KD16" s="21">
        <f>IF(KD$1&lt;INDEX('Valo FX'!$Q:$Q,MATCH($A16,'Valo FX'!$A:$A,0)),0,IF(KD$1&lt;INDEX('Valo FX'!$R:$R,MATCH($A16,'Valo FX'!$A:$A,0)),INDEX(Base!$U:$U,MATCH($A16,Base!$A:$A,0)),IF(KD$1=INDEX('Valo FX'!$R:$R,MATCH($A16,'Valo FX'!$A:$A,0)),INDEX(Base!$V:$V,MATCH($A16,Base!$A:$A,0)),0)))</f>
        <v>12.24048</v>
      </c>
      <c r="KE16" s="21">
        <f>IF(KE$1&lt;INDEX('Valo FX'!$Q:$Q,MATCH($A16,'Valo FX'!$A:$A,0)),0,IF(KE$1&lt;INDEX('Valo FX'!$R:$R,MATCH($A16,'Valo FX'!$A:$A,0)),INDEX(Base!$U:$U,MATCH($A16,Base!$A:$A,0)),IF(KE$1=INDEX('Valo FX'!$R:$R,MATCH($A16,'Valo FX'!$A:$A,0)),INDEX(Base!$V:$V,MATCH($A16,Base!$A:$A,0)),0)))</f>
        <v>12.24048</v>
      </c>
      <c r="KF16" s="21">
        <f>IF(KF$1&lt;INDEX('Valo FX'!$Q:$Q,MATCH($A16,'Valo FX'!$A:$A,0)),0,IF(KF$1&lt;INDEX('Valo FX'!$R:$R,MATCH($A16,'Valo FX'!$A:$A,0)),INDEX(Base!$U:$U,MATCH($A16,Base!$A:$A,0)),IF(KF$1=INDEX('Valo FX'!$R:$R,MATCH($A16,'Valo FX'!$A:$A,0)),INDEX(Base!$V:$V,MATCH($A16,Base!$A:$A,0)),0)))</f>
        <v>12.24048</v>
      </c>
      <c r="KG16" s="21">
        <f>IF(KG$1&lt;INDEX('Valo FX'!$Q:$Q,MATCH($A16,'Valo FX'!$A:$A,0)),0,IF(KG$1&lt;INDEX('Valo FX'!$R:$R,MATCH($A16,'Valo FX'!$A:$A,0)),INDEX(Base!$U:$U,MATCH($A16,Base!$A:$A,0)),IF(KG$1=INDEX('Valo FX'!$R:$R,MATCH($A16,'Valo FX'!$A:$A,0)),INDEX(Base!$V:$V,MATCH($A16,Base!$A:$A,0)),0)))</f>
        <v>12.24048</v>
      </c>
      <c r="KH16" s="21">
        <f>IF(KH$1&lt;INDEX('Valo FX'!$Q:$Q,MATCH($A16,'Valo FX'!$A:$A,0)),0,IF(KH$1&lt;INDEX('Valo FX'!$R:$R,MATCH($A16,'Valo FX'!$A:$A,0)),INDEX(Base!$U:$U,MATCH($A16,Base!$A:$A,0)),IF(KH$1=INDEX('Valo FX'!$R:$R,MATCH($A16,'Valo FX'!$A:$A,0)),INDEX(Base!$V:$V,MATCH($A16,Base!$A:$A,0)),0)))</f>
        <v>12.24048</v>
      </c>
      <c r="KI16" s="21">
        <f>IF(KI$1&lt;INDEX('Valo FX'!$Q:$Q,MATCH($A16,'Valo FX'!$A:$A,0)),0,IF(KI$1&lt;INDEX('Valo FX'!$R:$R,MATCH($A16,'Valo FX'!$A:$A,0)),INDEX(Base!$U:$U,MATCH($A16,Base!$A:$A,0)),IF(KI$1=INDEX('Valo FX'!$R:$R,MATCH($A16,'Valo FX'!$A:$A,0)),INDEX(Base!$V:$V,MATCH($A16,Base!$A:$A,0)),0)))</f>
        <v>12.24048</v>
      </c>
      <c r="KJ16" s="21">
        <f>IF(KJ$1&lt;INDEX('Valo FX'!$Q:$Q,MATCH($A16,'Valo FX'!$A:$A,0)),0,IF(KJ$1&lt;INDEX('Valo FX'!$R:$R,MATCH($A16,'Valo FX'!$A:$A,0)),INDEX(Base!$U:$U,MATCH($A16,Base!$A:$A,0)),IF(KJ$1=INDEX('Valo FX'!$R:$R,MATCH($A16,'Valo FX'!$A:$A,0)),INDEX(Base!$V:$V,MATCH($A16,Base!$A:$A,0)),0)))</f>
        <v>12.24048</v>
      </c>
      <c r="KK16" s="21">
        <f>IF(KK$1&lt;INDEX('Valo FX'!$Q:$Q,MATCH($A16,'Valo FX'!$A:$A,0)),0,IF(KK$1&lt;INDEX('Valo FX'!$R:$R,MATCH($A16,'Valo FX'!$A:$A,0)),INDEX(Base!$U:$U,MATCH($A16,Base!$A:$A,0)),IF(KK$1=INDEX('Valo FX'!$R:$R,MATCH($A16,'Valo FX'!$A:$A,0)),INDEX(Base!$V:$V,MATCH($A16,Base!$A:$A,0)),0)))</f>
        <v>12.24048</v>
      </c>
      <c r="KL16" s="21">
        <f>IF(KL$1&lt;INDEX('Valo FX'!$Q:$Q,MATCH($A16,'Valo FX'!$A:$A,0)),0,IF(KL$1&lt;INDEX('Valo FX'!$R:$R,MATCH($A16,'Valo FX'!$A:$A,0)),INDEX(Base!$U:$U,MATCH($A16,Base!$A:$A,0)),IF(KL$1=INDEX('Valo FX'!$R:$R,MATCH($A16,'Valo FX'!$A:$A,0)),INDEX(Base!$V:$V,MATCH($A16,Base!$A:$A,0)),0)))</f>
        <v>12.24048</v>
      </c>
      <c r="KM16" s="21">
        <f>IF(KM$1&lt;INDEX('Valo FX'!$Q:$Q,MATCH($A16,'Valo FX'!$A:$A,0)),0,IF(KM$1&lt;INDEX('Valo FX'!$R:$R,MATCH($A16,'Valo FX'!$A:$A,0)),INDEX(Base!$U:$U,MATCH($A16,Base!$A:$A,0)),IF(KM$1=INDEX('Valo FX'!$R:$R,MATCH($A16,'Valo FX'!$A:$A,0)),INDEX(Base!$V:$V,MATCH($A16,Base!$A:$A,0)),0)))</f>
        <v>12.24048</v>
      </c>
      <c r="KN16" s="21">
        <f>IF(KN$1&lt;INDEX('Valo FX'!$Q:$Q,MATCH($A16,'Valo FX'!$A:$A,0)),0,IF(KN$1&lt;INDEX('Valo FX'!$R:$R,MATCH($A16,'Valo FX'!$A:$A,0)),INDEX(Base!$U:$U,MATCH($A16,Base!$A:$A,0)),IF(KN$1=INDEX('Valo FX'!$R:$R,MATCH($A16,'Valo FX'!$A:$A,0)),INDEX(Base!$V:$V,MATCH($A16,Base!$A:$A,0)),0)))</f>
        <v>12.24048</v>
      </c>
      <c r="KO16" s="21">
        <f>IF(KO$1&lt;INDEX('Valo FX'!$Q:$Q,MATCH($A16,'Valo FX'!$A:$A,0)),0,IF(KO$1&lt;INDEX('Valo FX'!$R:$R,MATCH($A16,'Valo FX'!$A:$A,0)),INDEX(Base!$U:$U,MATCH($A16,Base!$A:$A,0)),IF(KO$1=INDEX('Valo FX'!$R:$R,MATCH($A16,'Valo FX'!$A:$A,0)),INDEX(Base!$V:$V,MATCH($A16,Base!$A:$A,0)),0)))</f>
        <v>12.24048</v>
      </c>
      <c r="KP16" s="21">
        <f>IF(KP$1&lt;INDEX('Valo FX'!$Q:$Q,MATCH($A16,'Valo FX'!$A:$A,0)),0,IF(KP$1&lt;INDEX('Valo FX'!$R:$R,MATCH($A16,'Valo FX'!$A:$A,0)),INDEX(Base!$U:$U,MATCH($A16,Base!$A:$A,0)),IF(KP$1=INDEX('Valo FX'!$R:$R,MATCH($A16,'Valo FX'!$A:$A,0)),INDEX(Base!$V:$V,MATCH($A16,Base!$A:$A,0)),0)))</f>
        <v>12.24048</v>
      </c>
      <c r="KQ16" s="21">
        <f>IF(KQ$1&lt;INDEX('Valo FX'!$Q:$Q,MATCH($A16,'Valo FX'!$A:$A,0)),0,IF(KQ$1&lt;INDEX('Valo FX'!$R:$R,MATCH($A16,'Valo FX'!$A:$A,0)),INDEX(Base!$U:$U,MATCH($A16,Base!$A:$A,0)),IF(KQ$1=INDEX('Valo FX'!$R:$R,MATCH($A16,'Valo FX'!$A:$A,0)),INDEX(Base!$V:$V,MATCH($A16,Base!$A:$A,0)),0)))</f>
        <v>12.24048</v>
      </c>
      <c r="KR16" s="21">
        <f>IF(KR$1&lt;INDEX('Valo FX'!$Q:$Q,MATCH($A16,'Valo FX'!$A:$A,0)),0,IF(KR$1&lt;INDEX('Valo FX'!$R:$R,MATCH($A16,'Valo FX'!$A:$A,0)),INDEX(Base!$U:$U,MATCH($A16,Base!$A:$A,0)),IF(KR$1=INDEX('Valo FX'!$R:$R,MATCH($A16,'Valo FX'!$A:$A,0)),INDEX(Base!$V:$V,MATCH($A16,Base!$A:$A,0)),0)))</f>
        <v>12.24048</v>
      </c>
      <c r="KS16" s="21">
        <f>IF(KS$1&lt;INDEX('Valo FX'!$Q:$Q,MATCH($A16,'Valo FX'!$A:$A,0)),0,IF(KS$1&lt;INDEX('Valo FX'!$R:$R,MATCH($A16,'Valo FX'!$A:$A,0)),INDEX(Base!$U:$U,MATCH($A16,Base!$A:$A,0)),IF(KS$1=INDEX('Valo FX'!$R:$R,MATCH($A16,'Valo FX'!$A:$A,0)),INDEX(Base!$V:$V,MATCH($A16,Base!$A:$A,0)),0)))</f>
        <v>12.24048</v>
      </c>
      <c r="KT16" s="21">
        <f>IF(KT$1&lt;INDEX('Valo FX'!$Q:$Q,MATCH($A16,'Valo FX'!$A:$A,0)),0,IF(KT$1&lt;INDEX('Valo FX'!$R:$R,MATCH($A16,'Valo FX'!$A:$A,0)),INDEX(Base!$U:$U,MATCH($A16,Base!$A:$A,0)),IF(KT$1=INDEX('Valo FX'!$R:$R,MATCH($A16,'Valo FX'!$A:$A,0)),INDEX(Base!$V:$V,MATCH($A16,Base!$A:$A,0)),0)))</f>
        <v>12.24048</v>
      </c>
      <c r="KU16" s="21">
        <f>IF(KU$1&lt;INDEX('Valo FX'!$Q:$Q,MATCH($A16,'Valo FX'!$A:$A,0)),0,IF(KU$1&lt;INDEX('Valo FX'!$R:$R,MATCH($A16,'Valo FX'!$A:$A,0)),INDEX(Base!$U:$U,MATCH($A16,Base!$A:$A,0)),IF(KU$1=INDEX('Valo FX'!$R:$R,MATCH($A16,'Valo FX'!$A:$A,0)),INDEX(Base!$V:$V,MATCH($A16,Base!$A:$A,0)),0)))</f>
        <v>12.24048</v>
      </c>
      <c r="KV16" s="21">
        <f>IF(KV$1&lt;INDEX('Valo FX'!$Q:$Q,MATCH($A16,'Valo FX'!$A:$A,0)),0,IF(KV$1&lt;INDEX('Valo FX'!$R:$R,MATCH($A16,'Valo FX'!$A:$A,0)),INDEX(Base!$U:$U,MATCH($A16,Base!$A:$A,0)),IF(KV$1=INDEX('Valo FX'!$R:$R,MATCH($A16,'Valo FX'!$A:$A,0)),INDEX(Base!$V:$V,MATCH($A16,Base!$A:$A,0)),0)))</f>
        <v>12.24048</v>
      </c>
      <c r="KW16" s="21">
        <f>IF(KW$1&lt;INDEX('Valo FX'!$Q:$Q,MATCH($A16,'Valo FX'!$A:$A,0)),0,IF(KW$1&lt;INDEX('Valo FX'!$R:$R,MATCH($A16,'Valo FX'!$A:$A,0)),INDEX(Base!$U:$U,MATCH($A16,Base!$A:$A,0)),IF(KW$1=INDEX('Valo FX'!$R:$R,MATCH($A16,'Valo FX'!$A:$A,0)),INDEX(Base!$V:$V,MATCH($A16,Base!$A:$A,0)),0)))</f>
        <v>12.24048</v>
      </c>
      <c r="KX16" s="21">
        <f>IF(KX$1&lt;INDEX('Valo FX'!$Q:$Q,MATCH($A16,'Valo FX'!$A:$A,0)),0,IF(KX$1&lt;INDEX('Valo FX'!$R:$R,MATCH($A16,'Valo FX'!$A:$A,0)),INDEX(Base!$U:$U,MATCH($A16,Base!$A:$A,0)),IF(KX$1=INDEX('Valo FX'!$R:$R,MATCH($A16,'Valo FX'!$A:$A,0)),INDEX(Base!$V:$V,MATCH($A16,Base!$A:$A,0)),0)))</f>
        <v>12.24048</v>
      </c>
      <c r="KY16" s="21">
        <f>IF(KY$1&lt;INDEX('Valo FX'!$Q:$Q,MATCH($A16,'Valo FX'!$A:$A,0)),0,IF(KY$1&lt;INDEX('Valo FX'!$R:$R,MATCH($A16,'Valo FX'!$A:$A,0)),INDEX(Base!$U:$U,MATCH($A16,Base!$A:$A,0)),IF(KY$1=INDEX('Valo FX'!$R:$R,MATCH($A16,'Valo FX'!$A:$A,0)),INDEX(Base!$V:$V,MATCH($A16,Base!$A:$A,0)),0)))</f>
        <v>12.24048</v>
      </c>
      <c r="KZ16" s="21">
        <f>IF(KZ$1&lt;INDEX('Valo FX'!$Q:$Q,MATCH($A16,'Valo FX'!$A:$A,0)),0,IF(KZ$1&lt;INDEX('Valo FX'!$R:$R,MATCH($A16,'Valo FX'!$A:$A,0)),INDEX(Base!$U:$U,MATCH($A16,Base!$A:$A,0)),IF(KZ$1=INDEX('Valo FX'!$R:$R,MATCH($A16,'Valo FX'!$A:$A,0)),INDEX(Base!$V:$V,MATCH($A16,Base!$A:$A,0)),0)))</f>
        <v>12.24048</v>
      </c>
      <c r="LA16" s="21">
        <f>IF(LA$1&lt;INDEX('Valo FX'!$Q:$Q,MATCH($A16,'Valo FX'!$A:$A,0)),0,IF(LA$1&lt;INDEX('Valo FX'!$R:$R,MATCH($A16,'Valo FX'!$A:$A,0)),INDEX(Base!$U:$U,MATCH($A16,Base!$A:$A,0)),IF(LA$1=INDEX('Valo FX'!$R:$R,MATCH($A16,'Valo FX'!$A:$A,0)),INDEX(Base!$V:$V,MATCH($A16,Base!$A:$A,0)),0)))</f>
        <v>12.24048</v>
      </c>
      <c r="LB16" s="21">
        <f>IF(LB$1&lt;INDEX('Valo FX'!$Q:$Q,MATCH($A16,'Valo FX'!$A:$A,0)),0,IF(LB$1&lt;INDEX('Valo FX'!$R:$R,MATCH($A16,'Valo FX'!$A:$A,0)),INDEX(Base!$U:$U,MATCH($A16,Base!$A:$A,0)),IF(LB$1=INDEX('Valo FX'!$R:$R,MATCH($A16,'Valo FX'!$A:$A,0)),INDEX(Base!$V:$V,MATCH($A16,Base!$A:$A,0)),0)))</f>
        <v>12.24048</v>
      </c>
      <c r="LC16" s="21">
        <f>IF(LC$1&lt;INDEX('Valo FX'!$Q:$Q,MATCH($A16,'Valo FX'!$A:$A,0)),0,IF(LC$1&lt;INDEX('Valo FX'!$R:$R,MATCH($A16,'Valo FX'!$A:$A,0)),INDEX(Base!$U:$U,MATCH($A16,Base!$A:$A,0)),IF(LC$1=INDEX('Valo FX'!$R:$R,MATCH($A16,'Valo FX'!$A:$A,0)),INDEX(Base!$V:$V,MATCH($A16,Base!$A:$A,0)),0)))</f>
        <v>12.24048</v>
      </c>
      <c r="LD16" s="21">
        <f>IF(LD$1&lt;INDEX('Valo FX'!$Q:$Q,MATCH($A16,'Valo FX'!$A:$A,0)),0,IF(LD$1&lt;INDEX('Valo FX'!$R:$R,MATCH($A16,'Valo FX'!$A:$A,0)),INDEX(Base!$U:$U,MATCH($A16,Base!$A:$A,0)),IF(LD$1=INDEX('Valo FX'!$R:$R,MATCH($A16,'Valo FX'!$A:$A,0)),INDEX(Base!$V:$V,MATCH($A16,Base!$A:$A,0)),0)))</f>
        <v>12.24048</v>
      </c>
      <c r="LE16" s="21">
        <f>IF(LE$1&lt;INDEX('Valo FX'!$Q:$Q,MATCH($A16,'Valo FX'!$A:$A,0)),0,IF(LE$1&lt;INDEX('Valo FX'!$R:$R,MATCH($A16,'Valo FX'!$A:$A,0)),INDEX(Base!$U:$U,MATCH($A16,Base!$A:$A,0)),IF(LE$1=INDEX('Valo FX'!$R:$R,MATCH($A16,'Valo FX'!$A:$A,0)),INDEX(Base!$V:$V,MATCH($A16,Base!$A:$A,0)),0)))</f>
        <v>12.24048</v>
      </c>
      <c r="LF16" s="21">
        <f>IF(LF$1&lt;INDEX('Valo FX'!$Q:$Q,MATCH($A16,'Valo FX'!$A:$A,0)),0,IF(LF$1&lt;INDEX('Valo FX'!$R:$R,MATCH($A16,'Valo FX'!$A:$A,0)),INDEX(Base!$U:$U,MATCH($A16,Base!$A:$A,0)),IF(LF$1=INDEX('Valo FX'!$R:$R,MATCH($A16,'Valo FX'!$A:$A,0)),INDEX(Base!$V:$V,MATCH($A16,Base!$A:$A,0)),0)))</f>
        <v>12.24048</v>
      </c>
      <c r="LG16" s="21">
        <f>IF(LG$1&lt;INDEX('Valo FX'!$Q:$Q,MATCH($A16,'Valo FX'!$A:$A,0)),0,IF(LG$1&lt;INDEX('Valo FX'!$R:$R,MATCH($A16,'Valo FX'!$A:$A,0)),INDEX(Base!$U:$U,MATCH($A16,Base!$A:$A,0)),IF(LG$1=INDEX('Valo FX'!$R:$R,MATCH($A16,'Valo FX'!$A:$A,0)),INDEX(Base!$V:$V,MATCH($A16,Base!$A:$A,0)),0)))</f>
        <v>12.24048</v>
      </c>
      <c r="LH16" s="21">
        <f>IF(LH$1&lt;INDEX('Valo FX'!$Q:$Q,MATCH($A16,'Valo FX'!$A:$A,0)),0,IF(LH$1&lt;INDEX('Valo FX'!$R:$R,MATCH($A16,'Valo FX'!$A:$A,0)),INDEX(Base!$U:$U,MATCH($A16,Base!$A:$A,0)),IF(LH$1=INDEX('Valo FX'!$R:$R,MATCH($A16,'Valo FX'!$A:$A,0)),INDEX(Base!$V:$V,MATCH($A16,Base!$A:$A,0)),0)))</f>
        <v>12.24048</v>
      </c>
      <c r="LI16" s="21">
        <f>IF(LI$1&lt;INDEX('Valo FX'!$Q:$Q,MATCH($A16,'Valo FX'!$A:$A,0)),0,IF(LI$1&lt;INDEX('Valo FX'!$R:$R,MATCH($A16,'Valo FX'!$A:$A,0)),INDEX(Base!$U:$U,MATCH($A16,Base!$A:$A,0)),IF(LI$1=INDEX('Valo FX'!$R:$R,MATCH($A16,'Valo FX'!$A:$A,0)),INDEX(Base!$V:$V,MATCH($A16,Base!$A:$A,0)),0)))</f>
        <v>12.24048</v>
      </c>
      <c r="LJ16" s="21">
        <f>IF(LJ$1&lt;INDEX('Valo FX'!$Q:$Q,MATCH($A16,'Valo FX'!$A:$A,0)),0,IF(LJ$1&lt;INDEX('Valo FX'!$R:$R,MATCH($A16,'Valo FX'!$A:$A,0)),INDEX(Base!$U:$U,MATCH($A16,Base!$A:$A,0)),IF(LJ$1=INDEX('Valo FX'!$R:$R,MATCH($A16,'Valo FX'!$A:$A,0)),INDEX(Base!$V:$V,MATCH($A16,Base!$A:$A,0)),0)))</f>
        <v>12.24048</v>
      </c>
      <c r="LK16" s="21">
        <f>IF(LK$1&lt;INDEX('Valo FX'!$Q:$Q,MATCH($A16,'Valo FX'!$A:$A,0)),0,IF(LK$1&lt;INDEX('Valo FX'!$R:$R,MATCH($A16,'Valo FX'!$A:$A,0)),INDEX(Base!$U:$U,MATCH($A16,Base!$A:$A,0)),IF(LK$1=INDEX('Valo FX'!$R:$R,MATCH($A16,'Valo FX'!$A:$A,0)),INDEX(Base!$V:$V,MATCH($A16,Base!$A:$A,0)),0)))</f>
        <v>12.24048</v>
      </c>
      <c r="LL16" s="21">
        <f>IF(LL$1&lt;INDEX('Valo FX'!$Q:$Q,MATCH($A16,'Valo FX'!$A:$A,0)),0,IF(LL$1&lt;INDEX('Valo FX'!$R:$R,MATCH($A16,'Valo FX'!$A:$A,0)),INDEX(Base!$U:$U,MATCH($A16,Base!$A:$A,0)),IF(LL$1=INDEX('Valo FX'!$R:$R,MATCH($A16,'Valo FX'!$A:$A,0)),INDEX(Base!$V:$V,MATCH($A16,Base!$A:$A,0)),0)))</f>
        <v>12.24048</v>
      </c>
      <c r="LM16" s="21">
        <f>IF(LM$1&lt;INDEX('Valo FX'!$Q:$Q,MATCH($A16,'Valo FX'!$A:$A,0)),0,IF(LM$1&lt;INDEX('Valo FX'!$R:$R,MATCH($A16,'Valo FX'!$A:$A,0)),INDEX(Base!$U:$U,MATCH($A16,Base!$A:$A,0)),IF(LM$1=INDEX('Valo FX'!$R:$R,MATCH($A16,'Valo FX'!$A:$A,0)),INDEX(Base!$V:$V,MATCH($A16,Base!$A:$A,0)),0)))</f>
        <v>12.24048</v>
      </c>
      <c r="LN16" s="21">
        <f>IF(LN$1&lt;INDEX('Valo FX'!$Q:$Q,MATCH($A16,'Valo FX'!$A:$A,0)),0,IF(LN$1&lt;INDEX('Valo FX'!$R:$R,MATCH($A16,'Valo FX'!$A:$A,0)),INDEX(Base!$U:$U,MATCH($A16,Base!$A:$A,0)),IF(LN$1=INDEX('Valo FX'!$R:$R,MATCH($A16,'Valo FX'!$A:$A,0)),INDEX(Base!$V:$V,MATCH($A16,Base!$A:$A,0)),0)))</f>
        <v>12.24048</v>
      </c>
      <c r="LO16" s="21">
        <f>IF(LO$1&lt;INDEX('Valo FX'!$Q:$Q,MATCH($A16,'Valo FX'!$A:$A,0)),0,IF(LO$1&lt;INDEX('Valo FX'!$R:$R,MATCH($A16,'Valo FX'!$A:$A,0)),INDEX(Base!$U:$U,MATCH($A16,Base!$A:$A,0)),IF(LO$1=INDEX('Valo FX'!$R:$R,MATCH($A16,'Valo FX'!$A:$A,0)),INDEX(Base!$V:$V,MATCH($A16,Base!$A:$A,0)),0)))</f>
        <v>12.24048</v>
      </c>
      <c r="LP16" s="21">
        <f>IF(LP$1&lt;INDEX('Valo FX'!$Q:$Q,MATCH($A16,'Valo FX'!$A:$A,0)),0,IF(LP$1&lt;INDEX('Valo FX'!$R:$R,MATCH($A16,'Valo FX'!$A:$A,0)),INDEX(Base!$U:$U,MATCH($A16,Base!$A:$A,0)),IF(LP$1=INDEX('Valo FX'!$R:$R,MATCH($A16,'Valo FX'!$A:$A,0)),INDEX(Base!$V:$V,MATCH($A16,Base!$A:$A,0)),0)))</f>
        <v>12.24048</v>
      </c>
      <c r="LQ16" s="21">
        <f>IF(LQ$1&lt;INDEX('Valo FX'!$Q:$Q,MATCH($A16,'Valo FX'!$A:$A,0)),0,IF(LQ$1&lt;INDEX('Valo FX'!$R:$R,MATCH($A16,'Valo FX'!$A:$A,0)),INDEX(Base!$U:$U,MATCH($A16,Base!$A:$A,0)),IF(LQ$1=INDEX('Valo FX'!$R:$R,MATCH($A16,'Valo FX'!$A:$A,0)),INDEX(Base!$V:$V,MATCH($A16,Base!$A:$A,0)),0)))</f>
        <v>12.24048</v>
      </c>
      <c r="LR16" s="21">
        <f>IF(LR$1&lt;INDEX('Valo FX'!$Q:$Q,MATCH($A16,'Valo FX'!$A:$A,0)),0,IF(LR$1&lt;INDEX('Valo FX'!$R:$R,MATCH($A16,'Valo FX'!$A:$A,0)),INDEX(Base!$U:$U,MATCH($A16,Base!$A:$A,0)),IF(LR$1=INDEX('Valo FX'!$R:$R,MATCH($A16,'Valo FX'!$A:$A,0)),INDEX(Base!$V:$V,MATCH($A16,Base!$A:$A,0)),0)))</f>
        <v>12.24048</v>
      </c>
      <c r="LS16" s="21">
        <f>IF(LS$1&lt;INDEX('Valo FX'!$Q:$Q,MATCH($A16,'Valo FX'!$A:$A,0)),0,IF(LS$1&lt;INDEX('Valo FX'!$R:$R,MATCH($A16,'Valo FX'!$A:$A,0)),INDEX(Base!$U:$U,MATCH($A16,Base!$A:$A,0)),IF(LS$1=INDEX('Valo FX'!$R:$R,MATCH($A16,'Valo FX'!$A:$A,0)),INDEX(Base!$V:$V,MATCH($A16,Base!$A:$A,0)),0)))</f>
        <v>12.24048</v>
      </c>
      <c r="LT16" s="21">
        <f>IF(LT$1&lt;INDEX('Valo FX'!$Q:$Q,MATCH($A16,'Valo FX'!$A:$A,0)),0,IF(LT$1&lt;INDEX('Valo FX'!$R:$R,MATCH($A16,'Valo FX'!$A:$A,0)),INDEX(Base!$U:$U,MATCH($A16,Base!$A:$A,0)),IF(LT$1=INDEX('Valo FX'!$R:$R,MATCH($A16,'Valo FX'!$A:$A,0)),INDEX(Base!$V:$V,MATCH($A16,Base!$A:$A,0)),0)))</f>
        <v>12.24048</v>
      </c>
      <c r="LU16" s="21">
        <f>IF(LU$1&lt;INDEX('Valo FX'!$Q:$Q,MATCH($A16,'Valo FX'!$A:$A,0)),0,IF(LU$1&lt;INDEX('Valo FX'!$R:$R,MATCH($A16,'Valo FX'!$A:$A,0)),INDEX(Base!$U:$U,MATCH($A16,Base!$A:$A,0)),IF(LU$1=INDEX('Valo FX'!$R:$R,MATCH($A16,'Valo FX'!$A:$A,0)),INDEX(Base!$V:$V,MATCH($A16,Base!$A:$A,0)),0)))</f>
        <v>12.24048</v>
      </c>
      <c r="LV16" s="21">
        <f>IF(LV$1&lt;INDEX('Valo FX'!$Q:$Q,MATCH($A16,'Valo FX'!$A:$A,0)),0,IF(LV$1&lt;INDEX('Valo FX'!$R:$R,MATCH($A16,'Valo FX'!$A:$A,0)),INDEX(Base!$U:$U,MATCH($A16,Base!$A:$A,0)),IF(LV$1=INDEX('Valo FX'!$R:$R,MATCH($A16,'Valo FX'!$A:$A,0)),INDEX(Base!$V:$V,MATCH($A16,Base!$A:$A,0)),0)))</f>
        <v>12.24048</v>
      </c>
      <c r="LW16" s="21">
        <f>IF(LW$1&lt;INDEX('Valo FX'!$Q:$Q,MATCH($A16,'Valo FX'!$A:$A,0)),0,IF(LW$1&lt;INDEX('Valo FX'!$R:$R,MATCH($A16,'Valo FX'!$A:$A,0)),INDEX(Base!$U:$U,MATCH($A16,Base!$A:$A,0)),IF(LW$1=INDEX('Valo FX'!$R:$R,MATCH($A16,'Valo FX'!$A:$A,0)),INDEX(Base!$V:$V,MATCH($A16,Base!$A:$A,0)),0)))</f>
        <v>12.24048</v>
      </c>
      <c r="LX16" s="21">
        <f>IF(LX$1&lt;INDEX('Valo FX'!$Q:$Q,MATCH($A16,'Valo FX'!$A:$A,0)),0,IF(LX$1&lt;INDEX('Valo FX'!$R:$R,MATCH($A16,'Valo FX'!$A:$A,0)),INDEX(Base!$U:$U,MATCH($A16,Base!$A:$A,0)),IF(LX$1=INDEX('Valo FX'!$R:$R,MATCH($A16,'Valo FX'!$A:$A,0)),INDEX(Base!$V:$V,MATCH($A16,Base!$A:$A,0)),0)))</f>
        <v>12.24048</v>
      </c>
      <c r="LY16" s="21">
        <f>IF(LY$1&lt;INDEX('Valo FX'!$Q:$Q,MATCH($A16,'Valo FX'!$A:$A,0)),0,IF(LY$1&lt;INDEX('Valo FX'!$R:$R,MATCH($A16,'Valo FX'!$A:$A,0)),INDEX(Base!$U:$U,MATCH($A16,Base!$A:$A,0)),IF(LY$1=INDEX('Valo FX'!$R:$R,MATCH($A16,'Valo FX'!$A:$A,0)),INDEX(Base!$V:$V,MATCH($A16,Base!$A:$A,0)),0)))</f>
        <v>12.24048</v>
      </c>
      <c r="LZ16" s="21">
        <f>IF(LZ$1&lt;INDEX('Valo FX'!$Q:$Q,MATCH($A16,'Valo FX'!$A:$A,0)),0,IF(LZ$1&lt;INDEX('Valo FX'!$R:$R,MATCH($A16,'Valo FX'!$A:$A,0)),INDEX(Base!$U:$U,MATCH($A16,Base!$A:$A,0)),IF(LZ$1=INDEX('Valo FX'!$R:$R,MATCH($A16,'Valo FX'!$A:$A,0)),INDEX(Base!$V:$V,MATCH($A16,Base!$A:$A,0)),0)))</f>
        <v>12.24048</v>
      </c>
      <c r="MA16" s="21">
        <f>IF(MA$1&lt;INDEX('Valo FX'!$Q:$Q,MATCH($A16,'Valo FX'!$A:$A,0)),0,IF(MA$1&lt;INDEX('Valo FX'!$R:$R,MATCH($A16,'Valo FX'!$A:$A,0)),INDEX(Base!$U:$U,MATCH($A16,Base!$A:$A,0)),IF(MA$1=INDEX('Valo FX'!$R:$R,MATCH($A16,'Valo FX'!$A:$A,0)),INDEX(Base!$V:$V,MATCH($A16,Base!$A:$A,0)),0)))</f>
        <v>12.24048</v>
      </c>
      <c r="MB16" s="21">
        <f>IF(MB$1&lt;INDEX('Valo FX'!$Q:$Q,MATCH($A16,'Valo FX'!$A:$A,0)),0,IF(MB$1&lt;INDEX('Valo FX'!$R:$R,MATCH($A16,'Valo FX'!$A:$A,0)),INDEX(Base!$U:$U,MATCH($A16,Base!$A:$A,0)),IF(MB$1=INDEX('Valo FX'!$R:$R,MATCH($A16,'Valo FX'!$A:$A,0)),INDEX(Base!$V:$V,MATCH($A16,Base!$A:$A,0)),0)))</f>
        <v>12.24048</v>
      </c>
      <c r="MC16" s="21">
        <f>IF(MC$1&lt;INDEX('Valo FX'!$Q:$Q,MATCH($A16,'Valo FX'!$A:$A,0)),0,IF(MC$1&lt;INDEX('Valo FX'!$R:$R,MATCH($A16,'Valo FX'!$A:$A,0)),INDEX(Base!$U:$U,MATCH($A16,Base!$A:$A,0)),IF(MC$1=INDEX('Valo FX'!$R:$R,MATCH($A16,'Valo FX'!$A:$A,0)),INDEX(Base!$V:$V,MATCH($A16,Base!$A:$A,0)),0)))</f>
        <v>12.24048</v>
      </c>
      <c r="MD16" s="21">
        <f>IF(MD$1&lt;INDEX('Valo FX'!$Q:$Q,MATCH($A16,'Valo FX'!$A:$A,0)),0,IF(MD$1&lt;INDEX('Valo FX'!$R:$R,MATCH($A16,'Valo FX'!$A:$A,0)),INDEX(Base!$U:$U,MATCH($A16,Base!$A:$A,0)),IF(MD$1=INDEX('Valo FX'!$R:$R,MATCH($A16,'Valo FX'!$A:$A,0)),INDEX(Base!$V:$V,MATCH($A16,Base!$A:$A,0)),0)))</f>
        <v>12.24048</v>
      </c>
      <c r="ME16" s="21">
        <f>IF(ME$1&lt;INDEX('Valo FX'!$Q:$Q,MATCH($A16,'Valo FX'!$A:$A,0)),0,IF(ME$1&lt;INDEX('Valo FX'!$R:$R,MATCH($A16,'Valo FX'!$A:$A,0)),INDEX(Base!$U:$U,MATCH($A16,Base!$A:$A,0)),IF(ME$1=INDEX('Valo FX'!$R:$R,MATCH($A16,'Valo FX'!$A:$A,0)),INDEX(Base!$V:$V,MATCH($A16,Base!$A:$A,0)),0)))</f>
        <v>12.24048</v>
      </c>
      <c r="MF16" s="21">
        <f>IF(MF$1&lt;INDEX('Valo FX'!$Q:$Q,MATCH($A16,'Valo FX'!$A:$A,0)),0,IF(MF$1&lt;INDEX('Valo FX'!$R:$R,MATCH($A16,'Valo FX'!$A:$A,0)),INDEX(Base!$U:$U,MATCH($A16,Base!$A:$A,0)),IF(MF$1=INDEX('Valo FX'!$R:$R,MATCH($A16,'Valo FX'!$A:$A,0)),INDEX(Base!$V:$V,MATCH($A16,Base!$A:$A,0)),0)))</f>
        <v>12.24048</v>
      </c>
      <c r="MG16" s="21">
        <f>IF(MG$1&lt;INDEX('Valo FX'!$Q:$Q,MATCH($A16,'Valo FX'!$A:$A,0)),0,IF(MG$1&lt;INDEX('Valo FX'!$R:$R,MATCH($A16,'Valo FX'!$A:$A,0)),INDEX(Base!$U:$U,MATCH($A16,Base!$A:$A,0)),IF(MG$1=INDEX('Valo FX'!$R:$R,MATCH($A16,'Valo FX'!$A:$A,0)),INDEX(Base!$V:$V,MATCH($A16,Base!$A:$A,0)),0)))</f>
        <v>12.24048</v>
      </c>
      <c r="MH16" s="21">
        <f>IF(MH$1&lt;INDEX('Valo FX'!$Q:$Q,MATCH($A16,'Valo FX'!$A:$A,0)),0,IF(MH$1&lt;INDEX('Valo FX'!$R:$R,MATCH($A16,'Valo FX'!$A:$A,0)),INDEX(Base!$U:$U,MATCH($A16,Base!$A:$A,0)),IF(MH$1=INDEX('Valo FX'!$R:$R,MATCH($A16,'Valo FX'!$A:$A,0)),INDEX(Base!$V:$V,MATCH($A16,Base!$A:$A,0)),0)))</f>
        <v>12.24048</v>
      </c>
      <c r="MI16" s="21">
        <f>IF(MI$1&lt;INDEX('Valo FX'!$Q:$Q,MATCH($A16,'Valo FX'!$A:$A,0)),0,IF(MI$1&lt;INDEX('Valo FX'!$R:$R,MATCH($A16,'Valo FX'!$A:$A,0)),INDEX(Base!$U:$U,MATCH($A16,Base!$A:$A,0)),IF(MI$1=INDEX('Valo FX'!$R:$R,MATCH($A16,'Valo FX'!$A:$A,0)),INDEX(Base!$V:$V,MATCH($A16,Base!$A:$A,0)),0)))</f>
        <v>12.24048</v>
      </c>
      <c r="MJ16" s="21">
        <f>IF(MJ$1&lt;INDEX('Valo FX'!$Q:$Q,MATCH($A16,'Valo FX'!$A:$A,0)),0,IF(MJ$1&lt;INDEX('Valo FX'!$R:$R,MATCH($A16,'Valo FX'!$A:$A,0)),INDEX(Base!$U:$U,MATCH($A16,Base!$A:$A,0)),IF(MJ$1=INDEX('Valo FX'!$R:$R,MATCH($A16,'Valo FX'!$A:$A,0)),INDEX(Base!$V:$V,MATCH($A16,Base!$A:$A,0)),0)))</f>
        <v>12.24048</v>
      </c>
      <c r="MK16" s="21">
        <f>IF(MK$1&lt;INDEX('Valo FX'!$Q:$Q,MATCH($A16,'Valo FX'!$A:$A,0)),0,IF(MK$1&lt;INDEX('Valo FX'!$R:$R,MATCH($A16,'Valo FX'!$A:$A,0)),INDEX(Base!$U:$U,MATCH($A16,Base!$A:$A,0)),IF(MK$1=INDEX('Valo FX'!$R:$R,MATCH($A16,'Valo FX'!$A:$A,0)),INDEX(Base!$V:$V,MATCH($A16,Base!$A:$A,0)),0)))</f>
        <v>12.24048</v>
      </c>
      <c r="ML16" s="21">
        <f>IF(ML$1&lt;INDEX('Valo FX'!$Q:$Q,MATCH($A16,'Valo FX'!$A:$A,0)),0,IF(ML$1&lt;INDEX('Valo FX'!$R:$R,MATCH($A16,'Valo FX'!$A:$A,0)),INDEX(Base!$U:$U,MATCH($A16,Base!$A:$A,0)),IF(ML$1=INDEX('Valo FX'!$R:$R,MATCH($A16,'Valo FX'!$A:$A,0)),INDEX(Base!$V:$V,MATCH($A16,Base!$A:$A,0)),0)))</f>
        <v>12.24048</v>
      </c>
      <c r="MM16" s="21">
        <f>IF(MM$1&lt;INDEX('Valo FX'!$Q:$Q,MATCH($A16,'Valo FX'!$A:$A,0)),0,IF(MM$1&lt;INDEX('Valo FX'!$R:$R,MATCH($A16,'Valo FX'!$A:$A,0)),INDEX(Base!$U:$U,MATCH($A16,Base!$A:$A,0)),IF(MM$1=INDEX('Valo FX'!$R:$R,MATCH($A16,'Valo FX'!$A:$A,0)),INDEX(Base!$V:$V,MATCH($A16,Base!$A:$A,0)),0)))</f>
        <v>12.24048</v>
      </c>
      <c r="MN16" s="21">
        <f>IF(MN$1&lt;INDEX('Valo FX'!$Q:$Q,MATCH($A16,'Valo FX'!$A:$A,0)),0,IF(MN$1&lt;INDEX('Valo FX'!$R:$R,MATCH($A16,'Valo FX'!$A:$A,0)),INDEX(Base!$U:$U,MATCH($A16,Base!$A:$A,0)),IF(MN$1=INDEX('Valo FX'!$R:$R,MATCH($A16,'Valo FX'!$A:$A,0)),INDEX(Base!$V:$V,MATCH($A16,Base!$A:$A,0)),0)))</f>
        <v>12.24048</v>
      </c>
      <c r="MO16" s="21">
        <f>IF(MO$1&lt;INDEX('Valo FX'!$Q:$Q,MATCH($A16,'Valo FX'!$A:$A,0)),0,IF(MO$1&lt;INDEX('Valo FX'!$R:$R,MATCH($A16,'Valo FX'!$A:$A,0)),INDEX(Base!$U:$U,MATCH($A16,Base!$A:$A,0)),IF(MO$1=INDEX('Valo FX'!$R:$R,MATCH($A16,'Valo FX'!$A:$A,0)),INDEX(Base!$V:$V,MATCH($A16,Base!$A:$A,0)),0)))</f>
        <v>12.24048</v>
      </c>
      <c r="MP16" s="21">
        <f>IF(MP$1&lt;INDEX('Valo FX'!$Q:$Q,MATCH($A16,'Valo FX'!$A:$A,0)),0,IF(MP$1&lt;INDEX('Valo FX'!$R:$R,MATCH($A16,'Valo FX'!$A:$A,0)),INDEX(Base!$U:$U,MATCH($A16,Base!$A:$A,0)),IF(MP$1=INDEX('Valo FX'!$R:$R,MATCH($A16,'Valo FX'!$A:$A,0)),INDEX(Base!$V:$V,MATCH($A16,Base!$A:$A,0)),0)))</f>
        <v>12.24048</v>
      </c>
      <c r="MQ16" s="21">
        <f>IF(MQ$1&lt;INDEX('Valo FX'!$Q:$Q,MATCH($A16,'Valo FX'!$A:$A,0)),0,IF(MQ$1&lt;INDEX('Valo FX'!$R:$R,MATCH($A16,'Valo FX'!$A:$A,0)),INDEX(Base!$U:$U,MATCH($A16,Base!$A:$A,0)),IF(MQ$1=INDEX('Valo FX'!$R:$R,MATCH($A16,'Valo FX'!$A:$A,0)),INDEX(Base!$V:$V,MATCH($A16,Base!$A:$A,0)),0)))</f>
        <v>12.24048</v>
      </c>
      <c r="MR16" s="21">
        <f>IF(MR$1&lt;INDEX('Valo FX'!$Q:$Q,MATCH($A16,'Valo FX'!$A:$A,0)),0,IF(MR$1&lt;INDEX('Valo FX'!$R:$R,MATCH($A16,'Valo FX'!$A:$A,0)),INDEX(Base!$U:$U,MATCH($A16,Base!$A:$A,0)),IF(MR$1=INDEX('Valo FX'!$R:$R,MATCH($A16,'Valo FX'!$A:$A,0)),INDEX(Base!$V:$V,MATCH($A16,Base!$A:$A,0)),0)))</f>
        <v>12.24048</v>
      </c>
      <c r="MS16" s="21">
        <f>IF(MS$1&lt;INDEX('Valo FX'!$Q:$Q,MATCH($A16,'Valo FX'!$A:$A,0)),0,IF(MS$1&lt;INDEX('Valo FX'!$R:$R,MATCH($A16,'Valo FX'!$A:$A,0)),INDEX(Base!$U:$U,MATCH($A16,Base!$A:$A,0)),IF(MS$1=INDEX('Valo FX'!$R:$R,MATCH($A16,'Valo FX'!$A:$A,0)),INDEX(Base!$V:$V,MATCH($A16,Base!$A:$A,0)),0)))</f>
        <v>12.24048</v>
      </c>
      <c r="MT16" s="21">
        <f>IF(MT$1&lt;INDEX('Valo FX'!$Q:$Q,MATCH($A16,'Valo FX'!$A:$A,0)),0,IF(MT$1&lt;INDEX('Valo FX'!$R:$R,MATCH($A16,'Valo FX'!$A:$A,0)),INDEX(Base!$U:$U,MATCH($A16,Base!$A:$A,0)),IF(MT$1=INDEX('Valo FX'!$R:$R,MATCH($A16,'Valo FX'!$A:$A,0)),INDEX(Base!$V:$V,MATCH($A16,Base!$A:$A,0)),0)))</f>
        <v>12.24048</v>
      </c>
      <c r="MU16" s="21">
        <f>IF(MU$1&lt;INDEX('Valo FX'!$Q:$Q,MATCH($A16,'Valo FX'!$A:$A,0)),0,IF(MU$1&lt;INDEX('Valo FX'!$R:$R,MATCH($A16,'Valo FX'!$A:$A,0)),INDEX(Base!$U:$U,MATCH($A16,Base!$A:$A,0)),IF(MU$1=INDEX('Valo FX'!$R:$R,MATCH($A16,'Valo FX'!$A:$A,0)),INDEX(Base!$V:$V,MATCH($A16,Base!$A:$A,0)),0)))</f>
        <v>12.24048</v>
      </c>
      <c r="MV16" s="21">
        <f>IF(MV$1&lt;INDEX('Valo FX'!$Q:$Q,MATCH($A16,'Valo FX'!$A:$A,0)),0,IF(MV$1&lt;INDEX('Valo FX'!$R:$R,MATCH($A16,'Valo FX'!$A:$A,0)),INDEX(Base!$U:$U,MATCH($A16,Base!$A:$A,0)),IF(MV$1=INDEX('Valo FX'!$R:$R,MATCH($A16,'Valo FX'!$A:$A,0)),INDEX(Base!$V:$V,MATCH($A16,Base!$A:$A,0)),0)))</f>
        <v>12.24048</v>
      </c>
      <c r="MW16" s="21">
        <f>IF(MW$1&lt;INDEX('Valo FX'!$Q:$Q,MATCH($A16,'Valo FX'!$A:$A,0)),0,IF(MW$1&lt;INDEX('Valo FX'!$R:$R,MATCH($A16,'Valo FX'!$A:$A,0)),INDEX(Base!$U:$U,MATCH($A16,Base!$A:$A,0)),IF(MW$1=INDEX('Valo FX'!$R:$R,MATCH($A16,'Valo FX'!$A:$A,0)),INDEX(Base!$V:$V,MATCH($A16,Base!$A:$A,0)),0)))</f>
        <v>12.24048</v>
      </c>
      <c r="MX16" s="21">
        <f>IF(MX$1&lt;INDEX('Valo FX'!$Q:$Q,MATCH($A16,'Valo FX'!$A:$A,0)),0,IF(MX$1&lt;INDEX('Valo FX'!$R:$R,MATCH($A16,'Valo FX'!$A:$A,0)),INDEX(Base!$U:$U,MATCH($A16,Base!$A:$A,0)),IF(MX$1=INDEX('Valo FX'!$R:$R,MATCH($A16,'Valo FX'!$A:$A,0)),INDEX(Base!$V:$V,MATCH($A16,Base!$A:$A,0)),0)))</f>
        <v>13.240080000000001</v>
      </c>
      <c r="MY16" s="21">
        <f>IF(MY$1&lt;INDEX('Valo FX'!$Q:$Q,MATCH($A16,'Valo FX'!$A:$A,0)),0,IF(MY$1&lt;INDEX('Valo FX'!$R:$R,MATCH($A16,'Valo FX'!$A:$A,0)),INDEX(Base!$U:$U,MATCH($A16,Base!$A:$A,0)),IF(MY$1=INDEX('Valo FX'!$R:$R,MATCH($A16,'Valo FX'!$A:$A,0)),INDEX(Base!$V:$V,MATCH($A16,Base!$A:$A,0)),0)))</f>
        <v>0</v>
      </c>
    </row>
    <row r="17" spans="1:363" x14ac:dyDescent="0.25">
      <c r="A17" s="7">
        <f>+'Valo FX'!A18</f>
        <v>15</v>
      </c>
      <c r="B17" s="59">
        <f>-'Valo FX'!T18</f>
        <v>-1809.5075138583566</v>
      </c>
      <c r="C17" s="21">
        <f>IF(C$1&lt;INDEX('Valo FX'!$Q:$Q,MATCH($A17,'Valo FX'!$A:$A,0)),0,IF(C$1&lt;INDEX('Valo FX'!$R:$R,MATCH($A17,'Valo FX'!$A:$A,0)),INDEX(Base!$U:$U,MATCH($A17,Base!$A:$A,0)),IF(C$1=INDEX('Valo FX'!$R:$R,MATCH($A17,'Valo FX'!$A:$A,0)),INDEX(Base!$V:$V,MATCH($A17,Base!$A:$A,0)),0)))</f>
        <v>0</v>
      </c>
      <c r="D17" s="21">
        <f>IF(D$1&lt;INDEX('Valo FX'!$Q:$Q,MATCH($A17,'Valo FX'!$A:$A,0)),0,IF(D$1&lt;INDEX('Valo FX'!$R:$R,MATCH($A17,'Valo FX'!$A:$A,0)),INDEX(Base!$U:$U,MATCH($A17,Base!$A:$A,0)),IF(D$1=INDEX('Valo FX'!$R:$R,MATCH($A17,'Valo FX'!$A:$A,0)),INDEX(Base!$V:$V,MATCH($A17,Base!$A:$A,0)),0)))</f>
        <v>0</v>
      </c>
      <c r="E17" s="21">
        <f>IF(E$1&lt;INDEX('Valo FX'!$Q:$Q,MATCH($A17,'Valo FX'!$A:$A,0)),0,IF(E$1&lt;INDEX('Valo FX'!$R:$R,MATCH($A17,'Valo FX'!$A:$A,0)),INDEX(Base!$U:$U,MATCH($A17,Base!$A:$A,0)),IF(E$1=INDEX('Valo FX'!$R:$R,MATCH($A17,'Valo FX'!$A:$A,0)),INDEX(Base!$V:$V,MATCH($A17,Base!$A:$A,0)),0)))</f>
        <v>0</v>
      </c>
      <c r="F17" s="21">
        <f>IF(F$1&lt;INDEX('Valo FX'!$Q:$Q,MATCH($A17,'Valo FX'!$A:$A,0)),0,IF(F$1&lt;INDEX('Valo FX'!$R:$R,MATCH($A17,'Valo FX'!$A:$A,0)),INDEX(Base!$U:$U,MATCH($A17,Base!$A:$A,0)),IF(F$1=INDEX('Valo FX'!$R:$R,MATCH($A17,'Valo FX'!$A:$A,0)),INDEX(Base!$V:$V,MATCH($A17,Base!$A:$A,0)),0)))</f>
        <v>0</v>
      </c>
      <c r="G17" s="21">
        <f>IF(G$1&lt;INDEX('Valo FX'!$Q:$Q,MATCH($A17,'Valo FX'!$A:$A,0)),0,IF(G$1&lt;INDEX('Valo FX'!$R:$R,MATCH($A17,'Valo FX'!$A:$A,0)),INDEX(Base!$U:$U,MATCH($A17,Base!$A:$A,0)),IF(G$1=INDEX('Valo FX'!$R:$R,MATCH($A17,'Valo FX'!$A:$A,0)),INDEX(Base!$V:$V,MATCH($A17,Base!$A:$A,0)),0)))</f>
        <v>0</v>
      </c>
      <c r="H17" s="21">
        <f>IF(H$1&lt;INDEX('Valo FX'!$Q:$Q,MATCH($A17,'Valo FX'!$A:$A,0)),0,IF(H$1&lt;INDEX('Valo FX'!$R:$R,MATCH($A17,'Valo FX'!$A:$A,0)),INDEX(Base!$U:$U,MATCH($A17,Base!$A:$A,0)),IF(H$1=INDEX('Valo FX'!$R:$R,MATCH($A17,'Valo FX'!$A:$A,0)),INDEX(Base!$V:$V,MATCH($A17,Base!$A:$A,0)),0)))</f>
        <v>12.433773</v>
      </c>
      <c r="I17" s="21">
        <f>IF(I$1&lt;INDEX('Valo FX'!$Q:$Q,MATCH($A17,'Valo FX'!$A:$A,0)),0,IF(I$1&lt;INDEX('Valo FX'!$R:$R,MATCH($A17,'Valo FX'!$A:$A,0)),INDEX(Base!$U:$U,MATCH($A17,Base!$A:$A,0)),IF(I$1=INDEX('Valo FX'!$R:$R,MATCH($A17,'Valo FX'!$A:$A,0)),INDEX(Base!$V:$V,MATCH($A17,Base!$A:$A,0)),0)))</f>
        <v>12.433773</v>
      </c>
      <c r="J17" s="21">
        <f>IF(J$1&lt;INDEX('Valo FX'!$Q:$Q,MATCH($A17,'Valo FX'!$A:$A,0)),0,IF(J$1&lt;INDEX('Valo FX'!$R:$R,MATCH($A17,'Valo FX'!$A:$A,0)),INDEX(Base!$U:$U,MATCH($A17,Base!$A:$A,0)),IF(J$1=INDEX('Valo FX'!$R:$R,MATCH($A17,'Valo FX'!$A:$A,0)),INDEX(Base!$V:$V,MATCH($A17,Base!$A:$A,0)),0)))</f>
        <v>12.433773</v>
      </c>
      <c r="K17" s="21">
        <f>IF(K$1&lt;INDEX('Valo FX'!$Q:$Q,MATCH($A17,'Valo FX'!$A:$A,0)),0,IF(K$1&lt;INDEX('Valo FX'!$R:$R,MATCH($A17,'Valo FX'!$A:$A,0)),INDEX(Base!$U:$U,MATCH($A17,Base!$A:$A,0)),IF(K$1=INDEX('Valo FX'!$R:$R,MATCH($A17,'Valo FX'!$A:$A,0)),INDEX(Base!$V:$V,MATCH($A17,Base!$A:$A,0)),0)))</f>
        <v>12.433773</v>
      </c>
      <c r="L17" s="21">
        <f>IF(L$1&lt;INDEX('Valo FX'!$Q:$Q,MATCH($A17,'Valo FX'!$A:$A,0)),0,IF(L$1&lt;INDEX('Valo FX'!$R:$R,MATCH($A17,'Valo FX'!$A:$A,0)),INDEX(Base!$U:$U,MATCH($A17,Base!$A:$A,0)),IF(L$1=INDEX('Valo FX'!$R:$R,MATCH($A17,'Valo FX'!$A:$A,0)),INDEX(Base!$V:$V,MATCH($A17,Base!$A:$A,0)),0)))</f>
        <v>12.433773</v>
      </c>
      <c r="M17" s="21">
        <f>IF(M$1&lt;INDEX('Valo FX'!$Q:$Q,MATCH($A17,'Valo FX'!$A:$A,0)),0,IF(M$1&lt;INDEX('Valo FX'!$R:$R,MATCH($A17,'Valo FX'!$A:$A,0)),INDEX(Base!$U:$U,MATCH($A17,Base!$A:$A,0)),IF(M$1=INDEX('Valo FX'!$R:$R,MATCH($A17,'Valo FX'!$A:$A,0)),INDEX(Base!$V:$V,MATCH($A17,Base!$A:$A,0)),0)))</f>
        <v>12.433773</v>
      </c>
      <c r="N17" s="21">
        <f>IF(N$1&lt;INDEX('Valo FX'!$Q:$Q,MATCH($A17,'Valo FX'!$A:$A,0)),0,IF(N$1&lt;INDEX('Valo FX'!$R:$R,MATCH($A17,'Valo FX'!$A:$A,0)),INDEX(Base!$U:$U,MATCH($A17,Base!$A:$A,0)),IF(N$1=INDEX('Valo FX'!$R:$R,MATCH($A17,'Valo FX'!$A:$A,0)),INDEX(Base!$V:$V,MATCH($A17,Base!$A:$A,0)),0)))</f>
        <v>12.433773</v>
      </c>
      <c r="O17" s="21">
        <f>IF(O$1&lt;INDEX('Valo FX'!$Q:$Q,MATCH($A17,'Valo FX'!$A:$A,0)),0,IF(O$1&lt;INDEX('Valo FX'!$R:$R,MATCH($A17,'Valo FX'!$A:$A,0)),INDEX(Base!$U:$U,MATCH($A17,Base!$A:$A,0)),IF(O$1=INDEX('Valo FX'!$R:$R,MATCH($A17,'Valo FX'!$A:$A,0)),INDEX(Base!$V:$V,MATCH($A17,Base!$A:$A,0)),0)))</f>
        <v>12.433773</v>
      </c>
      <c r="P17" s="21">
        <f>IF(P$1&lt;INDEX('Valo FX'!$Q:$Q,MATCH($A17,'Valo FX'!$A:$A,0)),0,IF(P$1&lt;INDEX('Valo FX'!$R:$R,MATCH($A17,'Valo FX'!$A:$A,0)),INDEX(Base!$U:$U,MATCH($A17,Base!$A:$A,0)),IF(P$1=INDEX('Valo FX'!$R:$R,MATCH($A17,'Valo FX'!$A:$A,0)),INDEX(Base!$V:$V,MATCH($A17,Base!$A:$A,0)),0)))</f>
        <v>12.433773</v>
      </c>
      <c r="Q17" s="21">
        <f>IF(Q$1&lt;INDEX('Valo FX'!$Q:$Q,MATCH($A17,'Valo FX'!$A:$A,0)),0,IF(Q$1&lt;INDEX('Valo FX'!$R:$R,MATCH($A17,'Valo FX'!$A:$A,0)),INDEX(Base!$U:$U,MATCH($A17,Base!$A:$A,0)),IF(Q$1=INDEX('Valo FX'!$R:$R,MATCH($A17,'Valo FX'!$A:$A,0)),INDEX(Base!$V:$V,MATCH($A17,Base!$A:$A,0)),0)))</f>
        <v>12.433773</v>
      </c>
      <c r="R17" s="21">
        <f>IF(R$1&lt;INDEX('Valo FX'!$Q:$Q,MATCH($A17,'Valo FX'!$A:$A,0)),0,IF(R$1&lt;INDEX('Valo FX'!$R:$R,MATCH($A17,'Valo FX'!$A:$A,0)),INDEX(Base!$U:$U,MATCH($A17,Base!$A:$A,0)),IF(R$1=INDEX('Valo FX'!$R:$R,MATCH($A17,'Valo FX'!$A:$A,0)),INDEX(Base!$V:$V,MATCH($A17,Base!$A:$A,0)),0)))</f>
        <v>12.433773</v>
      </c>
      <c r="S17" s="21">
        <f>IF(S$1&lt;INDEX('Valo FX'!$Q:$Q,MATCH($A17,'Valo FX'!$A:$A,0)),0,IF(S$1&lt;INDEX('Valo FX'!$R:$R,MATCH($A17,'Valo FX'!$A:$A,0)),INDEX(Base!$U:$U,MATCH($A17,Base!$A:$A,0)),IF(S$1=INDEX('Valo FX'!$R:$R,MATCH($A17,'Valo FX'!$A:$A,0)),INDEX(Base!$V:$V,MATCH($A17,Base!$A:$A,0)),0)))</f>
        <v>12.433773</v>
      </c>
      <c r="T17" s="21">
        <f>IF(T$1&lt;INDEX('Valo FX'!$Q:$Q,MATCH($A17,'Valo FX'!$A:$A,0)),0,IF(T$1&lt;INDEX('Valo FX'!$R:$R,MATCH($A17,'Valo FX'!$A:$A,0)),INDEX(Base!$U:$U,MATCH($A17,Base!$A:$A,0)),IF(T$1=INDEX('Valo FX'!$R:$R,MATCH($A17,'Valo FX'!$A:$A,0)),INDEX(Base!$V:$V,MATCH($A17,Base!$A:$A,0)),0)))</f>
        <v>12.433773</v>
      </c>
      <c r="U17" s="21">
        <f>IF(U$1&lt;INDEX('Valo FX'!$Q:$Q,MATCH($A17,'Valo FX'!$A:$A,0)),0,IF(U$1&lt;INDEX('Valo FX'!$R:$R,MATCH($A17,'Valo FX'!$A:$A,0)),INDEX(Base!$U:$U,MATCH($A17,Base!$A:$A,0)),IF(U$1=INDEX('Valo FX'!$R:$R,MATCH($A17,'Valo FX'!$A:$A,0)),INDEX(Base!$V:$V,MATCH($A17,Base!$A:$A,0)),0)))</f>
        <v>12.433773</v>
      </c>
      <c r="V17" s="21">
        <f>IF(V$1&lt;INDEX('Valo FX'!$Q:$Q,MATCH($A17,'Valo FX'!$A:$A,0)),0,IF(V$1&lt;INDEX('Valo FX'!$R:$R,MATCH($A17,'Valo FX'!$A:$A,0)),INDEX(Base!$U:$U,MATCH($A17,Base!$A:$A,0)),IF(V$1=INDEX('Valo FX'!$R:$R,MATCH($A17,'Valo FX'!$A:$A,0)),INDEX(Base!$V:$V,MATCH($A17,Base!$A:$A,0)),0)))</f>
        <v>12.433773</v>
      </c>
      <c r="W17" s="21">
        <f>IF(W$1&lt;INDEX('Valo FX'!$Q:$Q,MATCH($A17,'Valo FX'!$A:$A,0)),0,IF(W$1&lt;INDEX('Valo FX'!$R:$R,MATCH($A17,'Valo FX'!$A:$A,0)),INDEX(Base!$U:$U,MATCH($A17,Base!$A:$A,0)),IF(W$1=INDEX('Valo FX'!$R:$R,MATCH($A17,'Valo FX'!$A:$A,0)),INDEX(Base!$V:$V,MATCH($A17,Base!$A:$A,0)),0)))</f>
        <v>12.433773</v>
      </c>
      <c r="X17" s="21">
        <f>IF(X$1&lt;INDEX('Valo FX'!$Q:$Q,MATCH($A17,'Valo FX'!$A:$A,0)),0,IF(X$1&lt;INDEX('Valo FX'!$R:$R,MATCH($A17,'Valo FX'!$A:$A,0)),INDEX(Base!$U:$U,MATCH($A17,Base!$A:$A,0)),IF(X$1=INDEX('Valo FX'!$R:$R,MATCH($A17,'Valo FX'!$A:$A,0)),INDEX(Base!$V:$V,MATCH($A17,Base!$A:$A,0)),0)))</f>
        <v>12.433773</v>
      </c>
      <c r="Y17" s="21">
        <f>IF(Y$1&lt;INDEX('Valo FX'!$Q:$Q,MATCH($A17,'Valo FX'!$A:$A,0)),0,IF(Y$1&lt;INDEX('Valo FX'!$R:$R,MATCH($A17,'Valo FX'!$A:$A,0)),INDEX(Base!$U:$U,MATCH($A17,Base!$A:$A,0)),IF(Y$1=INDEX('Valo FX'!$R:$R,MATCH($A17,'Valo FX'!$A:$A,0)),INDEX(Base!$V:$V,MATCH($A17,Base!$A:$A,0)),0)))</f>
        <v>12.433773</v>
      </c>
      <c r="Z17" s="21">
        <f>IF(Z$1&lt;INDEX('Valo FX'!$Q:$Q,MATCH($A17,'Valo FX'!$A:$A,0)),0,IF(Z$1&lt;INDEX('Valo FX'!$R:$R,MATCH($A17,'Valo FX'!$A:$A,0)),INDEX(Base!$U:$U,MATCH($A17,Base!$A:$A,0)),IF(Z$1=INDEX('Valo FX'!$R:$R,MATCH($A17,'Valo FX'!$A:$A,0)),INDEX(Base!$V:$V,MATCH($A17,Base!$A:$A,0)),0)))</f>
        <v>12.433773</v>
      </c>
      <c r="AA17" s="21">
        <f>IF(AA$1&lt;INDEX('Valo FX'!$Q:$Q,MATCH($A17,'Valo FX'!$A:$A,0)),0,IF(AA$1&lt;INDEX('Valo FX'!$R:$R,MATCH($A17,'Valo FX'!$A:$A,0)),INDEX(Base!$U:$U,MATCH($A17,Base!$A:$A,0)),IF(AA$1=INDEX('Valo FX'!$R:$R,MATCH($A17,'Valo FX'!$A:$A,0)),INDEX(Base!$V:$V,MATCH($A17,Base!$A:$A,0)),0)))</f>
        <v>12.433773</v>
      </c>
      <c r="AB17" s="21">
        <f>IF(AB$1&lt;INDEX('Valo FX'!$Q:$Q,MATCH($A17,'Valo FX'!$A:$A,0)),0,IF(AB$1&lt;INDEX('Valo FX'!$R:$R,MATCH($A17,'Valo FX'!$A:$A,0)),INDEX(Base!$U:$U,MATCH($A17,Base!$A:$A,0)),IF(AB$1=INDEX('Valo FX'!$R:$R,MATCH($A17,'Valo FX'!$A:$A,0)),INDEX(Base!$V:$V,MATCH($A17,Base!$A:$A,0)),0)))</f>
        <v>12.433773</v>
      </c>
      <c r="AC17" s="21">
        <f>IF(AC$1&lt;INDEX('Valo FX'!$Q:$Q,MATCH($A17,'Valo FX'!$A:$A,0)),0,IF(AC$1&lt;INDEX('Valo FX'!$R:$R,MATCH($A17,'Valo FX'!$A:$A,0)),INDEX(Base!$U:$U,MATCH($A17,Base!$A:$A,0)),IF(AC$1=INDEX('Valo FX'!$R:$R,MATCH($A17,'Valo FX'!$A:$A,0)),INDEX(Base!$V:$V,MATCH($A17,Base!$A:$A,0)),0)))</f>
        <v>12.433773</v>
      </c>
      <c r="AD17" s="21">
        <f>IF(AD$1&lt;INDEX('Valo FX'!$Q:$Q,MATCH($A17,'Valo FX'!$A:$A,0)),0,IF(AD$1&lt;INDEX('Valo FX'!$R:$R,MATCH($A17,'Valo FX'!$A:$A,0)),INDEX(Base!$U:$U,MATCH($A17,Base!$A:$A,0)),IF(AD$1=INDEX('Valo FX'!$R:$R,MATCH($A17,'Valo FX'!$A:$A,0)),INDEX(Base!$V:$V,MATCH($A17,Base!$A:$A,0)),0)))</f>
        <v>12.433773</v>
      </c>
      <c r="AE17" s="21">
        <f>IF(AE$1&lt;INDEX('Valo FX'!$Q:$Q,MATCH($A17,'Valo FX'!$A:$A,0)),0,IF(AE$1&lt;INDEX('Valo FX'!$R:$R,MATCH($A17,'Valo FX'!$A:$A,0)),INDEX(Base!$U:$U,MATCH($A17,Base!$A:$A,0)),IF(AE$1=INDEX('Valo FX'!$R:$R,MATCH($A17,'Valo FX'!$A:$A,0)),INDEX(Base!$V:$V,MATCH($A17,Base!$A:$A,0)),0)))</f>
        <v>12.433773</v>
      </c>
      <c r="AF17" s="21">
        <f>IF(AF$1&lt;INDEX('Valo FX'!$Q:$Q,MATCH($A17,'Valo FX'!$A:$A,0)),0,IF(AF$1&lt;INDEX('Valo FX'!$R:$R,MATCH($A17,'Valo FX'!$A:$A,0)),INDEX(Base!$U:$U,MATCH($A17,Base!$A:$A,0)),IF(AF$1=INDEX('Valo FX'!$R:$R,MATCH($A17,'Valo FX'!$A:$A,0)),INDEX(Base!$V:$V,MATCH($A17,Base!$A:$A,0)),0)))</f>
        <v>12.433773</v>
      </c>
      <c r="AG17" s="21">
        <f>IF(AG$1&lt;INDEX('Valo FX'!$Q:$Q,MATCH($A17,'Valo FX'!$A:$A,0)),0,IF(AG$1&lt;INDEX('Valo FX'!$R:$R,MATCH($A17,'Valo FX'!$A:$A,0)),INDEX(Base!$U:$U,MATCH($A17,Base!$A:$A,0)),IF(AG$1=INDEX('Valo FX'!$R:$R,MATCH($A17,'Valo FX'!$A:$A,0)),INDEX(Base!$V:$V,MATCH($A17,Base!$A:$A,0)),0)))</f>
        <v>12.433773</v>
      </c>
      <c r="AH17" s="21">
        <f>IF(AH$1&lt;INDEX('Valo FX'!$Q:$Q,MATCH($A17,'Valo FX'!$A:$A,0)),0,IF(AH$1&lt;INDEX('Valo FX'!$R:$R,MATCH($A17,'Valo FX'!$A:$A,0)),INDEX(Base!$U:$U,MATCH($A17,Base!$A:$A,0)),IF(AH$1=INDEX('Valo FX'!$R:$R,MATCH($A17,'Valo FX'!$A:$A,0)),INDEX(Base!$V:$V,MATCH($A17,Base!$A:$A,0)),0)))</f>
        <v>12.433773</v>
      </c>
      <c r="AI17" s="21">
        <f>IF(AI$1&lt;INDEX('Valo FX'!$Q:$Q,MATCH($A17,'Valo FX'!$A:$A,0)),0,IF(AI$1&lt;INDEX('Valo FX'!$R:$R,MATCH($A17,'Valo FX'!$A:$A,0)),INDEX(Base!$U:$U,MATCH($A17,Base!$A:$A,0)),IF(AI$1=INDEX('Valo FX'!$R:$R,MATCH($A17,'Valo FX'!$A:$A,0)),INDEX(Base!$V:$V,MATCH($A17,Base!$A:$A,0)),0)))</f>
        <v>12.433773</v>
      </c>
      <c r="AJ17" s="21">
        <f>IF(AJ$1&lt;INDEX('Valo FX'!$Q:$Q,MATCH($A17,'Valo FX'!$A:$A,0)),0,IF(AJ$1&lt;INDEX('Valo FX'!$R:$R,MATCH($A17,'Valo FX'!$A:$A,0)),INDEX(Base!$U:$U,MATCH($A17,Base!$A:$A,0)),IF(AJ$1=INDEX('Valo FX'!$R:$R,MATCH($A17,'Valo FX'!$A:$A,0)),INDEX(Base!$V:$V,MATCH($A17,Base!$A:$A,0)),0)))</f>
        <v>12.433773</v>
      </c>
      <c r="AK17" s="21">
        <f>IF(AK$1&lt;INDEX('Valo FX'!$Q:$Q,MATCH($A17,'Valo FX'!$A:$A,0)),0,IF(AK$1&lt;INDEX('Valo FX'!$R:$R,MATCH($A17,'Valo FX'!$A:$A,0)),INDEX(Base!$U:$U,MATCH($A17,Base!$A:$A,0)),IF(AK$1=INDEX('Valo FX'!$R:$R,MATCH($A17,'Valo FX'!$A:$A,0)),INDEX(Base!$V:$V,MATCH($A17,Base!$A:$A,0)),0)))</f>
        <v>12.433773</v>
      </c>
      <c r="AL17" s="21">
        <f>IF(AL$1&lt;INDEX('Valo FX'!$Q:$Q,MATCH($A17,'Valo FX'!$A:$A,0)),0,IF(AL$1&lt;INDEX('Valo FX'!$R:$R,MATCH($A17,'Valo FX'!$A:$A,0)),INDEX(Base!$U:$U,MATCH($A17,Base!$A:$A,0)),IF(AL$1=INDEX('Valo FX'!$R:$R,MATCH($A17,'Valo FX'!$A:$A,0)),INDEX(Base!$V:$V,MATCH($A17,Base!$A:$A,0)),0)))</f>
        <v>12.433773</v>
      </c>
      <c r="AM17" s="21">
        <f>IF(AM$1&lt;INDEX('Valo FX'!$Q:$Q,MATCH($A17,'Valo FX'!$A:$A,0)),0,IF(AM$1&lt;INDEX('Valo FX'!$R:$R,MATCH($A17,'Valo FX'!$A:$A,0)),INDEX(Base!$U:$U,MATCH($A17,Base!$A:$A,0)),IF(AM$1=INDEX('Valo FX'!$R:$R,MATCH($A17,'Valo FX'!$A:$A,0)),INDEX(Base!$V:$V,MATCH($A17,Base!$A:$A,0)),0)))</f>
        <v>12.433773</v>
      </c>
      <c r="AN17" s="21">
        <f>IF(AN$1&lt;INDEX('Valo FX'!$Q:$Q,MATCH($A17,'Valo FX'!$A:$A,0)),0,IF(AN$1&lt;INDEX('Valo FX'!$R:$R,MATCH($A17,'Valo FX'!$A:$A,0)),INDEX(Base!$U:$U,MATCH($A17,Base!$A:$A,0)),IF(AN$1=INDEX('Valo FX'!$R:$R,MATCH($A17,'Valo FX'!$A:$A,0)),INDEX(Base!$V:$V,MATCH($A17,Base!$A:$A,0)),0)))</f>
        <v>12.433773</v>
      </c>
      <c r="AO17" s="21">
        <f>IF(AO$1&lt;INDEX('Valo FX'!$Q:$Q,MATCH($A17,'Valo FX'!$A:$A,0)),0,IF(AO$1&lt;INDEX('Valo FX'!$R:$R,MATCH($A17,'Valo FX'!$A:$A,0)),INDEX(Base!$U:$U,MATCH($A17,Base!$A:$A,0)),IF(AO$1=INDEX('Valo FX'!$R:$R,MATCH($A17,'Valo FX'!$A:$A,0)),INDEX(Base!$V:$V,MATCH($A17,Base!$A:$A,0)),0)))</f>
        <v>12.433773</v>
      </c>
      <c r="AP17" s="21">
        <f>IF(AP$1&lt;INDEX('Valo FX'!$Q:$Q,MATCH($A17,'Valo FX'!$A:$A,0)),0,IF(AP$1&lt;INDEX('Valo FX'!$R:$R,MATCH($A17,'Valo FX'!$A:$A,0)),INDEX(Base!$U:$U,MATCH($A17,Base!$A:$A,0)),IF(AP$1=INDEX('Valo FX'!$R:$R,MATCH($A17,'Valo FX'!$A:$A,0)),INDEX(Base!$V:$V,MATCH($A17,Base!$A:$A,0)),0)))</f>
        <v>12.433773</v>
      </c>
      <c r="AQ17" s="21">
        <f>IF(AQ$1&lt;INDEX('Valo FX'!$Q:$Q,MATCH($A17,'Valo FX'!$A:$A,0)),0,IF(AQ$1&lt;INDEX('Valo FX'!$R:$R,MATCH($A17,'Valo FX'!$A:$A,0)),INDEX(Base!$U:$U,MATCH($A17,Base!$A:$A,0)),IF(AQ$1=INDEX('Valo FX'!$R:$R,MATCH($A17,'Valo FX'!$A:$A,0)),INDEX(Base!$V:$V,MATCH($A17,Base!$A:$A,0)),0)))</f>
        <v>12.433773</v>
      </c>
      <c r="AR17" s="21">
        <f>IF(AR$1&lt;INDEX('Valo FX'!$Q:$Q,MATCH($A17,'Valo FX'!$A:$A,0)),0,IF(AR$1&lt;INDEX('Valo FX'!$R:$R,MATCH($A17,'Valo FX'!$A:$A,0)),INDEX(Base!$U:$U,MATCH($A17,Base!$A:$A,0)),IF(AR$1=INDEX('Valo FX'!$R:$R,MATCH($A17,'Valo FX'!$A:$A,0)),INDEX(Base!$V:$V,MATCH($A17,Base!$A:$A,0)),0)))</f>
        <v>12.433773</v>
      </c>
      <c r="AS17" s="21">
        <f>IF(AS$1&lt;INDEX('Valo FX'!$Q:$Q,MATCH($A17,'Valo FX'!$A:$A,0)),0,IF(AS$1&lt;INDEX('Valo FX'!$R:$R,MATCH($A17,'Valo FX'!$A:$A,0)),INDEX(Base!$U:$U,MATCH($A17,Base!$A:$A,0)),IF(AS$1=INDEX('Valo FX'!$R:$R,MATCH($A17,'Valo FX'!$A:$A,0)),INDEX(Base!$V:$V,MATCH($A17,Base!$A:$A,0)),0)))</f>
        <v>12.433773</v>
      </c>
      <c r="AT17" s="21">
        <f>IF(AT$1&lt;INDEX('Valo FX'!$Q:$Q,MATCH($A17,'Valo FX'!$A:$A,0)),0,IF(AT$1&lt;INDEX('Valo FX'!$R:$R,MATCH($A17,'Valo FX'!$A:$A,0)),INDEX(Base!$U:$U,MATCH($A17,Base!$A:$A,0)),IF(AT$1=INDEX('Valo FX'!$R:$R,MATCH($A17,'Valo FX'!$A:$A,0)),INDEX(Base!$V:$V,MATCH($A17,Base!$A:$A,0)),0)))</f>
        <v>12.433773</v>
      </c>
      <c r="AU17" s="21">
        <f>IF(AU$1&lt;INDEX('Valo FX'!$Q:$Q,MATCH($A17,'Valo FX'!$A:$A,0)),0,IF(AU$1&lt;INDEX('Valo FX'!$R:$R,MATCH($A17,'Valo FX'!$A:$A,0)),INDEX(Base!$U:$U,MATCH($A17,Base!$A:$A,0)),IF(AU$1=INDEX('Valo FX'!$R:$R,MATCH($A17,'Valo FX'!$A:$A,0)),INDEX(Base!$V:$V,MATCH($A17,Base!$A:$A,0)),0)))</f>
        <v>12.433773</v>
      </c>
      <c r="AV17" s="21">
        <f>IF(AV$1&lt;INDEX('Valo FX'!$Q:$Q,MATCH($A17,'Valo FX'!$A:$A,0)),0,IF(AV$1&lt;INDEX('Valo FX'!$R:$R,MATCH($A17,'Valo FX'!$A:$A,0)),INDEX(Base!$U:$U,MATCH($A17,Base!$A:$A,0)),IF(AV$1=INDEX('Valo FX'!$R:$R,MATCH($A17,'Valo FX'!$A:$A,0)),INDEX(Base!$V:$V,MATCH($A17,Base!$A:$A,0)),0)))</f>
        <v>12.433773</v>
      </c>
      <c r="AW17" s="21">
        <f>IF(AW$1&lt;INDEX('Valo FX'!$Q:$Q,MATCH($A17,'Valo FX'!$A:$A,0)),0,IF(AW$1&lt;INDEX('Valo FX'!$R:$R,MATCH($A17,'Valo FX'!$A:$A,0)),INDEX(Base!$U:$U,MATCH($A17,Base!$A:$A,0)),IF(AW$1=INDEX('Valo FX'!$R:$R,MATCH($A17,'Valo FX'!$A:$A,0)),INDEX(Base!$V:$V,MATCH($A17,Base!$A:$A,0)),0)))</f>
        <v>12.433773</v>
      </c>
      <c r="AX17" s="21">
        <f>IF(AX$1&lt;INDEX('Valo FX'!$Q:$Q,MATCH($A17,'Valo FX'!$A:$A,0)),0,IF(AX$1&lt;INDEX('Valo FX'!$R:$R,MATCH($A17,'Valo FX'!$A:$A,0)),INDEX(Base!$U:$U,MATCH($A17,Base!$A:$A,0)),IF(AX$1=INDEX('Valo FX'!$R:$R,MATCH($A17,'Valo FX'!$A:$A,0)),INDEX(Base!$V:$V,MATCH($A17,Base!$A:$A,0)),0)))</f>
        <v>12.433773</v>
      </c>
      <c r="AY17" s="21">
        <f>IF(AY$1&lt;INDEX('Valo FX'!$Q:$Q,MATCH($A17,'Valo FX'!$A:$A,0)),0,IF(AY$1&lt;INDEX('Valo FX'!$R:$R,MATCH($A17,'Valo FX'!$A:$A,0)),INDEX(Base!$U:$U,MATCH($A17,Base!$A:$A,0)),IF(AY$1=INDEX('Valo FX'!$R:$R,MATCH($A17,'Valo FX'!$A:$A,0)),INDEX(Base!$V:$V,MATCH($A17,Base!$A:$A,0)),0)))</f>
        <v>12.433773</v>
      </c>
      <c r="AZ17" s="21">
        <f>IF(AZ$1&lt;INDEX('Valo FX'!$Q:$Q,MATCH($A17,'Valo FX'!$A:$A,0)),0,IF(AZ$1&lt;INDEX('Valo FX'!$R:$R,MATCH($A17,'Valo FX'!$A:$A,0)),INDEX(Base!$U:$U,MATCH($A17,Base!$A:$A,0)),IF(AZ$1=INDEX('Valo FX'!$R:$R,MATCH($A17,'Valo FX'!$A:$A,0)),INDEX(Base!$V:$V,MATCH($A17,Base!$A:$A,0)),0)))</f>
        <v>12.433773</v>
      </c>
      <c r="BA17" s="21">
        <f>IF(BA$1&lt;INDEX('Valo FX'!$Q:$Q,MATCH($A17,'Valo FX'!$A:$A,0)),0,IF(BA$1&lt;INDEX('Valo FX'!$R:$R,MATCH($A17,'Valo FX'!$A:$A,0)),INDEX(Base!$U:$U,MATCH($A17,Base!$A:$A,0)),IF(BA$1=INDEX('Valo FX'!$R:$R,MATCH($A17,'Valo FX'!$A:$A,0)),INDEX(Base!$V:$V,MATCH($A17,Base!$A:$A,0)),0)))</f>
        <v>12.433773</v>
      </c>
      <c r="BB17" s="21">
        <f>IF(BB$1&lt;INDEX('Valo FX'!$Q:$Q,MATCH($A17,'Valo FX'!$A:$A,0)),0,IF(BB$1&lt;INDEX('Valo FX'!$R:$R,MATCH($A17,'Valo FX'!$A:$A,0)),INDEX(Base!$U:$U,MATCH($A17,Base!$A:$A,0)),IF(BB$1=INDEX('Valo FX'!$R:$R,MATCH($A17,'Valo FX'!$A:$A,0)),INDEX(Base!$V:$V,MATCH($A17,Base!$A:$A,0)),0)))</f>
        <v>12.433773</v>
      </c>
      <c r="BC17" s="21">
        <f>IF(BC$1&lt;INDEX('Valo FX'!$Q:$Q,MATCH($A17,'Valo FX'!$A:$A,0)),0,IF(BC$1&lt;INDEX('Valo FX'!$R:$R,MATCH($A17,'Valo FX'!$A:$A,0)),INDEX(Base!$U:$U,MATCH($A17,Base!$A:$A,0)),IF(BC$1=INDEX('Valo FX'!$R:$R,MATCH($A17,'Valo FX'!$A:$A,0)),INDEX(Base!$V:$V,MATCH($A17,Base!$A:$A,0)),0)))</f>
        <v>12.433773</v>
      </c>
      <c r="BD17" s="21">
        <f>IF(BD$1&lt;INDEX('Valo FX'!$Q:$Q,MATCH($A17,'Valo FX'!$A:$A,0)),0,IF(BD$1&lt;INDEX('Valo FX'!$R:$R,MATCH($A17,'Valo FX'!$A:$A,0)),INDEX(Base!$U:$U,MATCH($A17,Base!$A:$A,0)),IF(BD$1=INDEX('Valo FX'!$R:$R,MATCH($A17,'Valo FX'!$A:$A,0)),INDEX(Base!$V:$V,MATCH($A17,Base!$A:$A,0)),0)))</f>
        <v>12.433773</v>
      </c>
      <c r="BE17" s="21">
        <f>IF(BE$1&lt;INDEX('Valo FX'!$Q:$Q,MATCH($A17,'Valo FX'!$A:$A,0)),0,IF(BE$1&lt;INDEX('Valo FX'!$R:$R,MATCH($A17,'Valo FX'!$A:$A,0)),INDEX(Base!$U:$U,MATCH($A17,Base!$A:$A,0)),IF(BE$1=INDEX('Valo FX'!$R:$R,MATCH($A17,'Valo FX'!$A:$A,0)),INDEX(Base!$V:$V,MATCH($A17,Base!$A:$A,0)),0)))</f>
        <v>12.433773</v>
      </c>
      <c r="BF17" s="21">
        <f>IF(BF$1&lt;INDEX('Valo FX'!$Q:$Q,MATCH($A17,'Valo FX'!$A:$A,0)),0,IF(BF$1&lt;INDEX('Valo FX'!$R:$R,MATCH($A17,'Valo FX'!$A:$A,0)),INDEX(Base!$U:$U,MATCH($A17,Base!$A:$A,0)),IF(BF$1=INDEX('Valo FX'!$R:$R,MATCH($A17,'Valo FX'!$A:$A,0)),INDEX(Base!$V:$V,MATCH($A17,Base!$A:$A,0)),0)))</f>
        <v>12.433773</v>
      </c>
      <c r="BG17" s="21">
        <f>IF(BG$1&lt;INDEX('Valo FX'!$Q:$Q,MATCH($A17,'Valo FX'!$A:$A,0)),0,IF(BG$1&lt;INDEX('Valo FX'!$R:$R,MATCH($A17,'Valo FX'!$A:$A,0)),INDEX(Base!$U:$U,MATCH($A17,Base!$A:$A,0)),IF(BG$1=INDEX('Valo FX'!$R:$R,MATCH($A17,'Valo FX'!$A:$A,0)),INDEX(Base!$V:$V,MATCH($A17,Base!$A:$A,0)),0)))</f>
        <v>12.433773</v>
      </c>
      <c r="BH17" s="21">
        <f>IF(BH$1&lt;INDEX('Valo FX'!$Q:$Q,MATCH($A17,'Valo FX'!$A:$A,0)),0,IF(BH$1&lt;INDEX('Valo FX'!$R:$R,MATCH($A17,'Valo FX'!$A:$A,0)),INDEX(Base!$U:$U,MATCH($A17,Base!$A:$A,0)),IF(BH$1=INDEX('Valo FX'!$R:$R,MATCH($A17,'Valo FX'!$A:$A,0)),INDEX(Base!$V:$V,MATCH($A17,Base!$A:$A,0)),0)))</f>
        <v>12.433773</v>
      </c>
      <c r="BI17" s="21">
        <f>IF(BI$1&lt;INDEX('Valo FX'!$Q:$Q,MATCH($A17,'Valo FX'!$A:$A,0)),0,IF(BI$1&lt;INDEX('Valo FX'!$R:$R,MATCH($A17,'Valo FX'!$A:$A,0)),INDEX(Base!$U:$U,MATCH($A17,Base!$A:$A,0)),IF(BI$1=INDEX('Valo FX'!$R:$R,MATCH($A17,'Valo FX'!$A:$A,0)),INDEX(Base!$V:$V,MATCH($A17,Base!$A:$A,0)),0)))</f>
        <v>12.433773</v>
      </c>
      <c r="BJ17" s="21">
        <f>IF(BJ$1&lt;INDEX('Valo FX'!$Q:$Q,MATCH($A17,'Valo FX'!$A:$A,0)),0,IF(BJ$1&lt;INDEX('Valo FX'!$R:$R,MATCH($A17,'Valo FX'!$A:$A,0)),INDEX(Base!$U:$U,MATCH($A17,Base!$A:$A,0)),IF(BJ$1=INDEX('Valo FX'!$R:$R,MATCH($A17,'Valo FX'!$A:$A,0)),INDEX(Base!$V:$V,MATCH($A17,Base!$A:$A,0)),0)))</f>
        <v>12.433773</v>
      </c>
      <c r="BK17" s="21">
        <f>IF(BK$1&lt;INDEX('Valo FX'!$Q:$Q,MATCH($A17,'Valo FX'!$A:$A,0)),0,IF(BK$1&lt;INDEX('Valo FX'!$R:$R,MATCH($A17,'Valo FX'!$A:$A,0)),INDEX(Base!$U:$U,MATCH($A17,Base!$A:$A,0)),IF(BK$1=INDEX('Valo FX'!$R:$R,MATCH($A17,'Valo FX'!$A:$A,0)),INDEX(Base!$V:$V,MATCH($A17,Base!$A:$A,0)),0)))</f>
        <v>12.433773</v>
      </c>
      <c r="BL17" s="21">
        <f>IF(BL$1&lt;INDEX('Valo FX'!$Q:$Q,MATCH($A17,'Valo FX'!$A:$A,0)),0,IF(BL$1&lt;INDEX('Valo FX'!$R:$R,MATCH($A17,'Valo FX'!$A:$A,0)),INDEX(Base!$U:$U,MATCH($A17,Base!$A:$A,0)),IF(BL$1=INDEX('Valo FX'!$R:$R,MATCH($A17,'Valo FX'!$A:$A,0)),INDEX(Base!$V:$V,MATCH($A17,Base!$A:$A,0)),0)))</f>
        <v>12.433773</v>
      </c>
      <c r="BM17" s="21">
        <f>IF(BM$1&lt;INDEX('Valo FX'!$Q:$Q,MATCH($A17,'Valo FX'!$A:$A,0)),0,IF(BM$1&lt;INDEX('Valo FX'!$R:$R,MATCH($A17,'Valo FX'!$A:$A,0)),INDEX(Base!$U:$U,MATCH($A17,Base!$A:$A,0)),IF(BM$1=INDEX('Valo FX'!$R:$R,MATCH($A17,'Valo FX'!$A:$A,0)),INDEX(Base!$V:$V,MATCH($A17,Base!$A:$A,0)),0)))</f>
        <v>12.433773</v>
      </c>
      <c r="BN17" s="21">
        <f>IF(BN$1&lt;INDEX('Valo FX'!$Q:$Q,MATCH($A17,'Valo FX'!$A:$A,0)),0,IF(BN$1&lt;INDEX('Valo FX'!$R:$R,MATCH($A17,'Valo FX'!$A:$A,0)),INDEX(Base!$U:$U,MATCH($A17,Base!$A:$A,0)),IF(BN$1=INDEX('Valo FX'!$R:$R,MATCH($A17,'Valo FX'!$A:$A,0)),INDEX(Base!$V:$V,MATCH($A17,Base!$A:$A,0)),0)))</f>
        <v>12.433773</v>
      </c>
      <c r="BO17" s="21">
        <f>IF(BO$1&lt;INDEX('Valo FX'!$Q:$Q,MATCH($A17,'Valo FX'!$A:$A,0)),0,IF(BO$1&lt;INDEX('Valo FX'!$R:$R,MATCH($A17,'Valo FX'!$A:$A,0)),INDEX(Base!$U:$U,MATCH($A17,Base!$A:$A,0)),IF(BO$1=INDEX('Valo FX'!$R:$R,MATCH($A17,'Valo FX'!$A:$A,0)),INDEX(Base!$V:$V,MATCH($A17,Base!$A:$A,0)),0)))</f>
        <v>12.433773</v>
      </c>
      <c r="BP17" s="21">
        <f>IF(BP$1&lt;INDEX('Valo FX'!$Q:$Q,MATCH($A17,'Valo FX'!$A:$A,0)),0,IF(BP$1&lt;INDEX('Valo FX'!$R:$R,MATCH($A17,'Valo FX'!$A:$A,0)),INDEX(Base!$U:$U,MATCH($A17,Base!$A:$A,0)),IF(BP$1=INDEX('Valo FX'!$R:$R,MATCH($A17,'Valo FX'!$A:$A,0)),INDEX(Base!$V:$V,MATCH($A17,Base!$A:$A,0)),0)))</f>
        <v>12.433773</v>
      </c>
      <c r="BQ17" s="21">
        <f>IF(BQ$1&lt;INDEX('Valo FX'!$Q:$Q,MATCH($A17,'Valo FX'!$A:$A,0)),0,IF(BQ$1&lt;INDEX('Valo FX'!$R:$R,MATCH($A17,'Valo FX'!$A:$A,0)),INDEX(Base!$U:$U,MATCH($A17,Base!$A:$A,0)),IF(BQ$1=INDEX('Valo FX'!$R:$R,MATCH($A17,'Valo FX'!$A:$A,0)),INDEX(Base!$V:$V,MATCH($A17,Base!$A:$A,0)),0)))</f>
        <v>12.433773</v>
      </c>
      <c r="BR17" s="21">
        <f>IF(BR$1&lt;INDEX('Valo FX'!$Q:$Q,MATCH($A17,'Valo FX'!$A:$A,0)),0,IF(BR$1&lt;INDEX('Valo FX'!$R:$R,MATCH($A17,'Valo FX'!$A:$A,0)),INDEX(Base!$U:$U,MATCH($A17,Base!$A:$A,0)),IF(BR$1=INDEX('Valo FX'!$R:$R,MATCH($A17,'Valo FX'!$A:$A,0)),INDEX(Base!$V:$V,MATCH($A17,Base!$A:$A,0)),0)))</f>
        <v>12.433773</v>
      </c>
      <c r="BS17" s="21">
        <f>IF(BS$1&lt;INDEX('Valo FX'!$Q:$Q,MATCH($A17,'Valo FX'!$A:$A,0)),0,IF(BS$1&lt;INDEX('Valo FX'!$R:$R,MATCH($A17,'Valo FX'!$A:$A,0)),INDEX(Base!$U:$U,MATCH($A17,Base!$A:$A,0)),IF(BS$1=INDEX('Valo FX'!$R:$R,MATCH($A17,'Valo FX'!$A:$A,0)),INDEX(Base!$V:$V,MATCH($A17,Base!$A:$A,0)),0)))</f>
        <v>12.433773</v>
      </c>
      <c r="BT17" s="21">
        <f>IF(BT$1&lt;INDEX('Valo FX'!$Q:$Q,MATCH($A17,'Valo FX'!$A:$A,0)),0,IF(BT$1&lt;INDEX('Valo FX'!$R:$R,MATCH($A17,'Valo FX'!$A:$A,0)),INDEX(Base!$U:$U,MATCH($A17,Base!$A:$A,0)),IF(BT$1=INDEX('Valo FX'!$R:$R,MATCH($A17,'Valo FX'!$A:$A,0)),INDEX(Base!$V:$V,MATCH($A17,Base!$A:$A,0)),0)))</f>
        <v>12.433773</v>
      </c>
      <c r="BU17" s="21">
        <f>IF(BU$1&lt;INDEX('Valo FX'!$Q:$Q,MATCH($A17,'Valo FX'!$A:$A,0)),0,IF(BU$1&lt;INDEX('Valo FX'!$R:$R,MATCH($A17,'Valo FX'!$A:$A,0)),INDEX(Base!$U:$U,MATCH($A17,Base!$A:$A,0)),IF(BU$1=INDEX('Valo FX'!$R:$R,MATCH($A17,'Valo FX'!$A:$A,0)),INDEX(Base!$V:$V,MATCH($A17,Base!$A:$A,0)),0)))</f>
        <v>12.433773</v>
      </c>
      <c r="BV17" s="21">
        <f>IF(BV$1&lt;INDEX('Valo FX'!$Q:$Q,MATCH($A17,'Valo FX'!$A:$A,0)),0,IF(BV$1&lt;INDEX('Valo FX'!$R:$R,MATCH($A17,'Valo FX'!$A:$A,0)),INDEX(Base!$U:$U,MATCH($A17,Base!$A:$A,0)),IF(BV$1=INDEX('Valo FX'!$R:$R,MATCH($A17,'Valo FX'!$A:$A,0)),INDEX(Base!$V:$V,MATCH($A17,Base!$A:$A,0)),0)))</f>
        <v>12.433773</v>
      </c>
      <c r="BW17" s="21">
        <f>IF(BW$1&lt;INDEX('Valo FX'!$Q:$Q,MATCH($A17,'Valo FX'!$A:$A,0)),0,IF(BW$1&lt;INDEX('Valo FX'!$R:$R,MATCH($A17,'Valo FX'!$A:$A,0)),INDEX(Base!$U:$U,MATCH($A17,Base!$A:$A,0)),IF(BW$1=INDEX('Valo FX'!$R:$R,MATCH($A17,'Valo FX'!$A:$A,0)),INDEX(Base!$V:$V,MATCH($A17,Base!$A:$A,0)),0)))</f>
        <v>12.433773</v>
      </c>
      <c r="BX17" s="21">
        <f>IF(BX$1&lt;INDEX('Valo FX'!$Q:$Q,MATCH($A17,'Valo FX'!$A:$A,0)),0,IF(BX$1&lt;INDEX('Valo FX'!$R:$R,MATCH($A17,'Valo FX'!$A:$A,0)),INDEX(Base!$U:$U,MATCH($A17,Base!$A:$A,0)),IF(BX$1=INDEX('Valo FX'!$R:$R,MATCH($A17,'Valo FX'!$A:$A,0)),INDEX(Base!$V:$V,MATCH($A17,Base!$A:$A,0)),0)))</f>
        <v>12.433773</v>
      </c>
      <c r="BY17" s="21">
        <f>IF(BY$1&lt;INDEX('Valo FX'!$Q:$Q,MATCH($A17,'Valo FX'!$A:$A,0)),0,IF(BY$1&lt;INDEX('Valo FX'!$R:$R,MATCH($A17,'Valo FX'!$A:$A,0)),INDEX(Base!$U:$U,MATCH($A17,Base!$A:$A,0)),IF(BY$1=INDEX('Valo FX'!$R:$R,MATCH($A17,'Valo FX'!$A:$A,0)),INDEX(Base!$V:$V,MATCH($A17,Base!$A:$A,0)),0)))</f>
        <v>12.433773</v>
      </c>
      <c r="BZ17" s="21">
        <f>IF(BZ$1&lt;INDEX('Valo FX'!$Q:$Q,MATCH($A17,'Valo FX'!$A:$A,0)),0,IF(BZ$1&lt;INDEX('Valo FX'!$R:$R,MATCH($A17,'Valo FX'!$A:$A,0)),INDEX(Base!$U:$U,MATCH($A17,Base!$A:$A,0)),IF(BZ$1=INDEX('Valo FX'!$R:$R,MATCH($A17,'Valo FX'!$A:$A,0)),INDEX(Base!$V:$V,MATCH($A17,Base!$A:$A,0)),0)))</f>
        <v>12.433773</v>
      </c>
      <c r="CA17" s="21">
        <f>IF(CA$1&lt;INDEX('Valo FX'!$Q:$Q,MATCH($A17,'Valo FX'!$A:$A,0)),0,IF(CA$1&lt;INDEX('Valo FX'!$R:$R,MATCH($A17,'Valo FX'!$A:$A,0)),INDEX(Base!$U:$U,MATCH($A17,Base!$A:$A,0)),IF(CA$1=INDEX('Valo FX'!$R:$R,MATCH($A17,'Valo FX'!$A:$A,0)),INDEX(Base!$V:$V,MATCH($A17,Base!$A:$A,0)),0)))</f>
        <v>12.433773</v>
      </c>
      <c r="CB17" s="21">
        <f>IF(CB$1&lt;INDEX('Valo FX'!$Q:$Q,MATCH($A17,'Valo FX'!$A:$A,0)),0,IF(CB$1&lt;INDEX('Valo FX'!$R:$R,MATCH($A17,'Valo FX'!$A:$A,0)),INDEX(Base!$U:$U,MATCH($A17,Base!$A:$A,0)),IF(CB$1=INDEX('Valo FX'!$R:$R,MATCH($A17,'Valo FX'!$A:$A,0)),INDEX(Base!$V:$V,MATCH($A17,Base!$A:$A,0)),0)))</f>
        <v>12.433773</v>
      </c>
      <c r="CC17" s="21">
        <f>IF(CC$1&lt;INDEX('Valo FX'!$Q:$Q,MATCH($A17,'Valo FX'!$A:$A,0)),0,IF(CC$1&lt;INDEX('Valo FX'!$R:$R,MATCH($A17,'Valo FX'!$A:$A,0)),INDEX(Base!$U:$U,MATCH($A17,Base!$A:$A,0)),IF(CC$1=INDEX('Valo FX'!$R:$R,MATCH($A17,'Valo FX'!$A:$A,0)),INDEX(Base!$V:$V,MATCH($A17,Base!$A:$A,0)),0)))</f>
        <v>12.433773</v>
      </c>
      <c r="CD17" s="21">
        <f>IF(CD$1&lt;INDEX('Valo FX'!$Q:$Q,MATCH($A17,'Valo FX'!$A:$A,0)),0,IF(CD$1&lt;INDEX('Valo FX'!$R:$R,MATCH($A17,'Valo FX'!$A:$A,0)),INDEX(Base!$U:$U,MATCH($A17,Base!$A:$A,0)),IF(CD$1=INDEX('Valo FX'!$R:$R,MATCH($A17,'Valo FX'!$A:$A,0)),INDEX(Base!$V:$V,MATCH($A17,Base!$A:$A,0)),0)))</f>
        <v>12.433773</v>
      </c>
      <c r="CE17" s="21">
        <f>IF(CE$1&lt;INDEX('Valo FX'!$Q:$Q,MATCH($A17,'Valo FX'!$A:$A,0)),0,IF(CE$1&lt;INDEX('Valo FX'!$R:$R,MATCH($A17,'Valo FX'!$A:$A,0)),INDEX(Base!$U:$U,MATCH($A17,Base!$A:$A,0)),IF(CE$1=INDEX('Valo FX'!$R:$R,MATCH($A17,'Valo FX'!$A:$A,0)),INDEX(Base!$V:$V,MATCH($A17,Base!$A:$A,0)),0)))</f>
        <v>12.433773</v>
      </c>
      <c r="CF17" s="21">
        <f>IF(CF$1&lt;INDEX('Valo FX'!$Q:$Q,MATCH($A17,'Valo FX'!$A:$A,0)),0,IF(CF$1&lt;INDEX('Valo FX'!$R:$R,MATCH($A17,'Valo FX'!$A:$A,0)),INDEX(Base!$U:$U,MATCH($A17,Base!$A:$A,0)),IF(CF$1=INDEX('Valo FX'!$R:$R,MATCH($A17,'Valo FX'!$A:$A,0)),INDEX(Base!$V:$V,MATCH($A17,Base!$A:$A,0)),0)))</f>
        <v>12.433773</v>
      </c>
      <c r="CG17" s="21">
        <f>IF(CG$1&lt;INDEX('Valo FX'!$Q:$Q,MATCH($A17,'Valo FX'!$A:$A,0)),0,IF(CG$1&lt;INDEX('Valo FX'!$R:$R,MATCH($A17,'Valo FX'!$A:$A,0)),INDEX(Base!$U:$U,MATCH($A17,Base!$A:$A,0)),IF(CG$1=INDEX('Valo FX'!$R:$R,MATCH($A17,'Valo FX'!$A:$A,0)),INDEX(Base!$V:$V,MATCH($A17,Base!$A:$A,0)),0)))</f>
        <v>12.433773</v>
      </c>
      <c r="CH17" s="21">
        <f>IF(CH$1&lt;INDEX('Valo FX'!$Q:$Q,MATCH($A17,'Valo FX'!$A:$A,0)),0,IF(CH$1&lt;INDEX('Valo FX'!$R:$R,MATCH($A17,'Valo FX'!$A:$A,0)),INDEX(Base!$U:$U,MATCH($A17,Base!$A:$A,0)),IF(CH$1=INDEX('Valo FX'!$R:$R,MATCH($A17,'Valo FX'!$A:$A,0)),INDEX(Base!$V:$V,MATCH($A17,Base!$A:$A,0)),0)))</f>
        <v>12.433773</v>
      </c>
      <c r="CI17" s="21">
        <f>IF(CI$1&lt;INDEX('Valo FX'!$Q:$Q,MATCH($A17,'Valo FX'!$A:$A,0)),0,IF(CI$1&lt;INDEX('Valo FX'!$R:$R,MATCH($A17,'Valo FX'!$A:$A,0)),INDEX(Base!$U:$U,MATCH($A17,Base!$A:$A,0)),IF(CI$1=INDEX('Valo FX'!$R:$R,MATCH($A17,'Valo FX'!$A:$A,0)),INDEX(Base!$V:$V,MATCH($A17,Base!$A:$A,0)),0)))</f>
        <v>12.433773</v>
      </c>
      <c r="CJ17" s="21">
        <f>IF(CJ$1&lt;INDEX('Valo FX'!$Q:$Q,MATCH($A17,'Valo FX'!$A:$A,0)),0,IF(CJ$1&lt;INDEX('Valo FX'!$R:$R,MATCH($A17,'Valo FX'!$A:$A,0)),INDEX(Base!$U:$U,MATCH($A17,Base!$A:$A,0)),IF(CJ$1=INDEX('Valo FX'!$R:$R,MATCH($A17,'Valo FX'!$A:$A,0)),INDEX(Base!$V:$V,MATCH($A17,Base!$A:$A,0)),0)))</f>
        <v>12.433773</v>
      </c>
      <c r="CK17" s="21">
        <f>IF(CK$1&lt;INDEX('Valo FX'!$Q:$Q,MATCH($A17,'Valo FX'!$A:$A,0)),0,IF(CK$1&lt;INDEX('Valo FX'!$R:$R,MATCH($A17,'Valo FX'!$A:$A,0)),INDEX(Base!$U:$U,MATCH($A17,Base!$A:$A,0)),IF(CK$1=INDEX('Valo FX'!$R:$R,MATCH($A17,'Valo FX'!$A:$A,0)),INDEX(Base!$V:$V,MATCH($A17,Base!$A:$A,0)),0)))</f>
        <v>12.433773</v>
      </c>
      <c r="CL17" s="21">
        <f>IF(CL$1&lt;INDEX('Valo FX'!$Q:$Q,MATCH($A17,'Valo FX'!$A:$A,0)),0,IF(CL$1&lt;INDEX('Valo FX'!$R:$R,MATCH($A17,'Valo FX'!$A:$A,0)),INDEX(Base!$U:$U,MATCH($A17,Base!$A:$A,0)),IF(CL$1=INDEX('Valo FX'!$R:$R,MATCH($A17,'Valo FX'!$A:$A,0)),INDEX(Base!$V:$V,MATCH($A17,Base!$A:$A,0)),0)))</f>
        <v>12.433773</v>
      </c>
      <c r="CM17" s="21">
        <f>IF(CM$1&lt;INDEX('Valo FX'!$Q:$Q,MATCH($A17,'Valo FX'!$A:$A,0)),0,IF(CM$1&lt;INDEX('Valo FX'!$R:$R,MATCH($A17,'Valo FX'!$A:$A,0)),INDEX(Base!$U:$U,MATCH($A17,Base!$A:$A,0)),IF(CM$1=INDEX('Valo FX'!$R:$R,MATCH($A17,'Valo FX'!$A:$A,0)),INDEX(Base!$V:$V,MATCH($A17,Base!$A:$A,0)),0)))</f>
        <v>12.433773</v>
      </c>
      <c r="CN17" s="21">
        <f>IF(CN$1&lt;INDEX('Valo FX'!$Q:$Q,MATCH($A17,'Valo FX'!$A:$A,0)),0,IF(CN$1&lt;INDEX('Valo FX'!$R:$R,MATCH($A17,'Valo FX'!$A:$A,0)),INDEX(Base!$U:$U,MATCH($A17,Base!$A:$A,0)),IF(CN$1=INDEX('Valo FX'!$R:$R,MATCH($A17,'Valo FX'!$A:$A,0)),INDEX(Base!$V:$V,MATCH($A17,Base!$A:$A,0)),0)))</f>
        <v>12.433773</v>
      </c>
      <c r="CO17" s="21">
        <f>IF(CO$1&lt;INDEX('Valo FX'!$Q:$Q,MATCH($A17,'Valo FX'!$A:$A,0)),0,IF(CO$1&lt;INDEX('Valo FX'!$R:$R,MATCH($A17,'Valo FX'!$A:$A,0)),INDEX(Base!$U:$U,MATCH($A17,Base!$A:$A,0)),IF(CO$1=INDEX('Valo FX'!$R:$R,MATCH($A17,'Valo FX'!$A:$A,0)),INDEX(Base!$V:$V,MATCH($A17,Base!$A:$A,0)),0)))</f>
        <v>12.433773</v>
      </c>
      <c r="CP17" s="21">
        <f>IF(CP$1&lt;INDEX('Valo FX'!$Q:$Q,MATCH($A17,'Valo FX'!$A:$A,0)),0,IF(CP$1&lt;INDEX('Valo FX'!$R:$R,MATCH($A17,'Valo FX'!$A:$A,0)),INDEX(Base!$U:$U,MATCH($A17,Base!$A:$A,0)),IF(CP$1=INDEX('Valo FX'!$R:$R,MATCH($A17,'Valo FX'!$A:$A,0)),INDEX(Base!$V:$V,MATCH($A17,Base!$A:$A,0)),0)))</f>
        <v>12.433773</v>
      </c>
      <c r="CQ17" s="21">
        <f>IF(CQ$1&lt;INDEX('Valo FX'!$Q:$Q,MATCH($A17,'Valo FX'!$A:$A,0)),0,IF(CQ$1&lt;INDEX('Valo FX'!$R:$R,MATCH($A17,'Valo FX'!$A:$A,0)),INDEX(Base!$U:$U,MATCH($A17,Base!$A:$A,0)),IF(CQ$1=INDEX('Valo FX'!$R:$R,MATCH($A17,'Valo FX'!$A:$A,0)),INDEX(Base!$V:$V,MATCH($A17,Base!$A:$A,0)),0)))</f>
        <v>12.433773</v>
      </c>
      <c r="CR17" s="21">
        <f>IF(CR$1&lt;INDEX('Valo FX'!$Q:$Q,MATCH($A17,'Valo FX'!$A:$A,0)),0,IF(CR$1&lt;INDEX('Valo FX'!$R:$R,MATCH($A17,'Valo FX'!$A:$A,0)),INDEX(Base!$U:$U,MATCH($A17,Base!$A:$A,0)),IF(CR$1=INDEX('Valo FX'!$R:$R,MATCH($A17,'Valo FX'!$A:$A,0)),INDEX(Base!$V:$V,MATCH($A17,Base!$A:$A,0)),0)))</f>
        <v>12.433773</v>
      </c>
      <c r="CS17" s="21">
        <f>IF(CS$1&lt;INDEX('Valo FX'!$Q:$Q,MATCH($A17,'Valo FX'!$A:$A,0)),0,IF(CS$1&lt;INDEX('Valo FX'!$R:$R,MATCH($A17,'Valo FX'!$A:$A,0)),INDEX(Base!$U:$U,MATCH($A17,Base!$A:$A,0)),IF(CS$1=INDEX('Valo FX'!$R:$R,MATCH($A17,'Valo FX'!$A:$A,0)),INDEX(Base!$V:$V,MATCH($A17,Base!$A:$A,0)),0)))</f>
        <v>12.433773</v>
      </c>
      <c r="CT17" s="21">
        <f>IF(CT$1&lt;INDEX('Valo FX'!$Q:$Q,MATCH($A17,'Valo FX'!$A:$A,0)),0,IF(CT$1&lt;INDEX('Valo FX'!$R:$R,MATCH($A17,'Valo FX'!$A:$A,0)),INDEX(Base!$U:$U,MATCH($A17,Base!$A:$A,0)),IF(CT$1=INDEX('Valo FX'!$R:$R,MATCH($A17,'Valo FX'!$A:$A,0)),INDEX(Base!$V:$V,MATCH($A17,Base!$A:$A,0)),0)))</f>
        <v>12.433773</v>
      </c>
      <c r="CU17" s="21">
        <f>IF(CU$1&lt;INDEX('Valo FX'!$Q:$Q,MATCH($A17,'Valo FX'!$A:$A,0)),0,IF(CU$1&lt;INDEX('Valo FX'!$R:$R,MATCH($A17,'Valo FX'!$A:$A,0)),INDEX(Base!$U:$U,MATCH($A17,Base!$A:$A,0)),IF(CU$1=INDEX('Valo FX'!$R:$R,MATCH($A17,'Valo FX'!$A:$A,0)),INDEX(Base!$V:$V,MATCH($A17,Base!$A:$A,0)),0)))</f>
        <v>12.433773</v>
      </c>
      <c r="CV17" s="21">
        <f>IF(CV$1&lt;INDEX('Valo FX'!$Q:$Q,MATCH($A17,'Valo FX'!$A:$A,0)),0,IF(CV$1&lt;INDEX('Valo FX'!$R:$R,MATCH($A17,'Valo FX'!$A:$A,0)),INDEX(Base!$U:$U,MATCH($A17,Base!$A:$A,0)),IF(CV$1=INDEX('Valo FX'!$R:$R,MATCH($A17,'Valo FX'!$A:$A,0)),INDEX(Base!$V:$V,MATCH($A17,Base!$A:$A,0)),0)))</f>
        <v>12.433773</v>
      </c>
      <c r="CW17" s="21">
        <f>IF(CW$1&lt;INDEX('Valo FX'!$Q:$Q,MATCH($A17,'Valo FX'!$A:$A,0)),0,IF(CW$1&lt;INDEX('Valo FX'!$R:$R,MATCH($A17,'Valo FX'!$A:$A,0)),INDEX(Base!$U:$U,MATCH($A17,Base!$A:$A,0)),IF(CW$1=INDEX('Valo FX'!$R:$R,MATCH($A17,'Valo FX'!$A:$A,0)),INDEX(Base!$V:$V,MATCH($A17,Base!$A:$A,0)),0)))</f>
        <v>12.433773</v>
      </c>
      <c r="CX17" s="21">
        <f>IF(CX$1&lt;INDEX('Valo FX'!$Q:$Q,MATCH($A17,'Valo FX'!$A:$A,0)),0,IF(CX$1&lt;INDEX('Valo FX'!$R:$R,MATCH($A17,'Valo FX'!$A:$A,0)),INDEX(Base!$U:$U,MATCH($A17,Base!$A:$A,0)),IF(CX$1=INDEX('Valo FX'!$R:$R,MATCH($A17,'Valo FX'!$A:$A,0)),INDEX(Base!$V:$V,MATCH($A17,Base!$A:$A,0)),0)))</f>
        <v>12.433773</v>
      </c>
      <c r="CY17" s="21">
        <f>IF(CY$1&lt;INDEX('Valo FX'!$Q:$Q,MATCH($A17,'Valo FX'!$A:$A,0)),0,IF(CY$1&lt;INDEX('Valo FX'!$R:$R,MATCH($A17,'Valo FX'!$A:$A,0)),INDEX(Base!$U:$U,MATCH($A17,Base!$A:$A,0)),IF(CY$1=INDEX('Valo FX'!$R:$R,MATCH($A17,'Valo FX'!$A:$A,0)),INDEX(Base!$V:$V,MATCH($A17,Base!$A:$A,0)),0)))</f>
        <v>12.433773</v>
      </c>
      <c r="CZ17" s="21">
        <f>IF(CZ$1&lt;INDEX('Valo FX'!$Q:$Q,MATCH($A17,'Valo FX'!$A:$A,0)),0,IF(CZ$1&lt;INDEX('Valo FX'!$R:$R,MATCH($A17,'Valo FX'!$A:$A,0)),INDEX(Base!$U:$U,MATCH($A17,Base!$A:$A,0)),IF(CZ$1=INDEX('Valo FX'!$R:$R,MATCH($A17,'Valo FX'!$A:$A,0)),INDEX(Base!$V:$V,MATCH($A17,Base!$A:$A,0)),0)))</f>
        <v>12.433773</v>
      </c>
      <c r="DA17" s="21">
        <f>IF(DA$1&lt;INDEX('Valo FX'!$Q:$Q,MATCH($A17,'Valo FX'!$A:$A,0)),0,IF(DA$1&lt;INDEX('Valo FX'!$R:$R,MATCH($A17,'Valo FX'!$A:$A,0)),INDEX(Base!$U:$U,MATCH($A17,Base!$A:$A,0)),IF(DA$1=INDEX('Valo FX'!$R:$R,MATCH($A17,'Valo FX'!$A:$A,0)),INDEX(Base!$V:$V,MATCH($A17,Base!$A:$A,0)),0)))</f>
        <v>12.433773</v>
      </c>
      <c r="DB17" s="21">
        <f>IF(DB$1&lt;INDEX('Valo FX'!$Q:$Q,MATCH($A17,'Valo FX'!$A:$A,0)),0,IF(DB$1&lt;INDEX('Valo FX'!$R:$R,MATCH($A17,'Valo FX'!$A:$A,0)),INDEX(Base!$U:$U,MATCH($A17,Base!$A:$A,0)),IF(DB$1=INDEX('Valo FX'!$R:$R,MATCH($A17,'Valo FX'!$A:$A,0)),INDEX(Base!$V:$V,MATCH($A17,Base!$A:$A,0)),0)))</f>
        <v>12.433773</v>
      </c>
      <c r="DC17" s="21">
        <f>IF(DC$1&lt;INDEX('Valo FX'!$Q:$Q,MATCH($A17,'Valo FX'!$A:$A,0)),0,IF(DC$1&lt;INDEX('Valo FX'!$R:$R,MATCH($A17,'Valo FX'!$A:$A,0)),INDEX(Base!$U:$U,MATCH($A17,Base!$A:$A,0)),IF(DC$1=INDEX('Valo FX'!$R:$R,MATCH($A17,'Valo FX'!$A:$A,0)),INDEX(Base!$V:$V,MATCH($A17,Base!$A:$A,0)),0)))</f>
        <v>12.433773</v>
      </c>
      <c r="DD17" s="21">
        <f>IF(DD$1&lt;INDEX('Valo FX'!$Q:$Q,MATCH($A17,'Valo FX'!$A:$A,0)),0,IF(DD$1&lt;INDEX('Valo FX'!$R:$R,MATCH($A17,'Valo FX'!$A:$A,0)),INDEX(Base!$U:$U,MATCH($A17,Base!$A:$A,0)),IF(DD$1=INDEX('Valo FX'!$R:$R,MATCH($A17,'Valo FX'!$A:$A,0)),INDEX(Base!$V:$V,MATCH($A17,Base!$A:$A,0)),0)))</f>
        <v>12.433773</v>
      </c>
      <c r="DE17" s="21">
        <f>IF(DE$1&lt;INDEX('Valo FX'!$Q:$Q,MATCH($A17,'Valo FX'!$A:$A,0)),0,IF(DE$1&lt;INDEX('Valo FX'!$R:$R,MATCH($A17,'Valo FX'!$A:$A,0)),INDEX(Base!$U:$U,MATCH($A17,Base!$A:$A,0)),IF(DE$1=INDEX('Valo FX'!$R:$R,MATCH($A17,'Valo FX'!$A:$A,0)),INDEX(Base!$V:$V,MATCH($A17,Base!$A:$A,0)),0)))</f>
        <v>12.433773</v>
      </c>
      <c r="DF17" s="21">
        <f>IF(DF$1&lt;INDEX('Valo FX'!$Q:$Q,MATCH($A17,'Valo FX'!$A:$A,0)),0,IF(DF$1&lt;INDEX('Valo FX'!$R:$R,MATCH($A17,'Valo FX'!$A:$A,0)),INDEX(Base!$U:$U,MATCH($A17,Base!$A:$A,0)),IF(DF$1=INDEX('Valo FX'!$R:$R,MATCH($A17,'Valo FX'!$A:$A,0)),INDEX(Base!$V:$V,MATCH($A17,Base!$A:$A,0)),0)))</f>
        <v>12.433773</v>
      </c>
      <c r="DG17" s="21">
        <f>IF(DG$1&lt;INDEX('Valo FX'!$Q:$Q,MATCH($A17,'Valo FX'!$A:$A,0)),0,IF(DG$1&lt;INDEX('Valo FX'!$R:$R,MATCH($A17,'Valo FX'!$A:$A,0)),INDEX(Base!$U:$U,MATCH($A17,Base!$A:$A,0)),IF(DG$1=INDEX('Valo FX'!$R:$R,MATCH($A17,'Valo FX'!$A:$A,0)),INDEX(Base!$V:$V,MATCH($A17,Base!$A:$A,0)),0)))</f>
        <v>12.433773</v>
      </c>
      <c r="DH17" s="21">
        <f>IF(DH$1&lt;INDEX('Valo FX'!$Q:$Q,MATCH($A17,'Valo FX'!$A:$A,0)),0,IF(DH$1&lt;INDEX('Valo FX'!$R:$R,MATCH($A17,'Valo FX'!$A:$A,0)),INDEX(Base!$U:$U,MATCH($A17,Base!$A:$A,0)),IF(DH$1=INDEX('Valo FX'!$R:$R,MATCH($A17,'Valo FX'!$A:$A,0)),INDEX(Base!$V:$V,MATCH($A17,Base!$A:$A,0)),0)))</f>
        <v>12.433773</v>
      </c>
      <c r="DI17" s="21">
        <f>IF(DI$1&lt;INDEX('Valo FX'!$Q:$Q,MATCH($A17,'Valo FX'!$A:$A,0)),0,IF(DI$1&lt;INDEX('Valo FX'!$R:$R,MATCH($A17,'Valo FX'!$A:$A,0)),INDEX(Base!$U:$U,MATCH($A17,Base!$A:$A,0)),IF(DI$1=INDEX('Valo FX'!$R:$R,MATCH($A17,'Valo FX'!$A:$A,0)),INDEX(Base!$V:$V,MATCH($A17,Base!$A:$A,0)),0)))</f>
        <v>12.433773</v>
      </c>
      <c r="DJ17" s="21">
        <f>IF(DJ$1&lt;INDEX('Valo FX'!$Q:$Q,MATCH($A17,'Valo FX'!$A:$A,0)),0,IF(DJ$1&lt;INDEX('Valo FX'!$R:$R,MATCH($A17,'Valo FX'!$A:$A,0)),INDEX(Base!$U:$U,MATCH($A17,Base!$A:$A,0)),IF(DJ$1=INDEX('Valo FX'!$R:$R,MATCH($A17,'Valo FX'!$A:$A,0)),INDEX(Base!$V:$V,MATCH($A17,Base!$A:$A,0)),0)))</f>
        <v>12.433773</v>
      </c>
      <c r="DK17" s="21">
        <f>IF(DK$1&lt;INDEX('Valo FX'!$Q:$Q,MATCH($A17,'Valo FX'!$A:$A,0)),0,IF(DK$1&lt;INDEX('Valo FX'!$R:$R,MATCH($A17,'Valo FX'!$A:$A,0)),INDEX(Base!$U:$U,MATCH($A17,Base!$A:$A,0)),IF(DK$1=INDEX('Valo FX'!$R:$R,MATCH($A17,'Valo FX'!$A:$A,0)),INDEX(Base!$V:$V,MATCH($A17,Base!$A:$A,0)),0)))</f>
        <v>12.433773</v>
      </c>
      <c r="DL17" s="21">
        <f>IF(DL$1&lt;INDEX('Valo FX'!$Q:$Q,MATCH($A17,'Valo FX'!$A:$A,0)),0,IF(DL$1&lt;INDEX('Valo FX'!$R:$R,MATCH($A17,'Valo FX'!$A:$A,0)),INDEX(Base!$U:$U,MATCH($A17,Base!$A:$A,0)),IF(DL$1=INDEX('Valo FX'!$R:$R,MATCH($A17,'Valo FX'!$A:$A,0)),INDEX(Base!$V:$V,MATCH($A17,Base!$A:$A,0)),0)))</f>
        <v>12.433773</v>
      </c>
      <c r="DM17" s="21">
        <f>IF(DM$1&lt;INDEX('Valo FX'!$Q:$Q,MATCH($A17,'Valo FX'!$A:$A,0)),0,IF(DM$1&lt;INDEX('Valo FX'!$R:$R,MATCH($A17,'Valo FX'!$A:$A,0)),INDEX(Base!$U:$U,MATCH($A17,Base!$A:$A,0)),IF(DM$1=INDEX('Valo FX'!$R:$R,MATCH($A17,'Valo FX'!$A:$A,0)),INDEX(Base!$V:$V,MATCH($A17,Base!$A:$A,0)),0)))</f>
        <v>12.433773</v>
      </c>
      <c r="DN17" s="21">
        <f>IF(DN$1&lt;INDEX('Valo FX'!$Q:$Q,MATCH($A17,'Valo FX'!$A:$A,0)),0,IF(DN$1&lt;INDEX('Valo FX'!$R:$R,MATCH($A17,'Valo FX'!$A:$A,0)),INDEX(Base!$U:$U,MATCH($A17,Base!$A:$A,0)),IF(DN$1=INDEX('Valo FX'!$R:$R,MATCH($A17,'Valo FX'!$A:$A,0)),INDEX(Base!$V:$V,MATCH($A17,Base!$A:$A,0)),0)))</f>
        <v>12.433773</v>
      </c>
      <c r="DO17" s="21">
        <f>IF(DO$1&lt;INDEX('Valo FX'!$Q:$Q,MATCH($A17,'Valo FX'!$A:$A,0)),0,IF(DO$1&lt;INDEX('Valo FX'!$R:$R,MATCH($A17,'Valo FX'!$A:$A,0)),INDEX(Base!$U:$U,MATCH($A17,Base!$A:$A,0)),IF(DO$1=INDEX('Valo FX'!$R:$R,MATCH($A17,'Valo FX'!$A:$A,0)),INDEX(Base!$V:$V,MATCH($A17,Base!$A:$A,0)),0)))</f>
        <v>12.433773</v>
      </c>
      <c r="DP17" s="21">
        <f>IF(DP$1&lt;INDEX('Valo FX'!$Q:$Q,MATCH($A17,'Valo FX'!$A:$A,0)),0,IF(DP$1&lt;INDEX('Valo FX'!$R:$R,MATCH($A17,'Valo FX'!$A:$A,0)),INDEX(Base!$U:$U,MATCH($A17,Base!$A:$A,0)),IF(DP$1=INDEX('Valo FX'!$R:$R,MATCH($A17,'Valo FX'!$A:$A,0)),INDEX(Base!$V:$V,MATCH($A17,Base!$A:$A,0)),0)))</f>
        <v>12.433773</v>
      </c>
      <c r="DQ17" s="21">
        <f>IF(DQ$1&lt;INDEX('Valo FX'!$Q:$Q,MATCH($A17,'Valo FX'!$A:$A,0)),0,IF(DQ$1&lt;INDEX('Valo FX'!$R:$R,MATCH($A17,'Valo FX'!$A:$A,0)),INDEX(Base!$U:$U,MATCH($A17,Base!$A:$A,0)),IF(DQ$1=INDEX('Valo FX'!$R:$R,MATCH($A17,'Valo FX'!$A:$A,0)),INDEX(Base!$V:$V,MATCH($A17,Base!$A:$A,0)),0)))</f>
        <v>12.433773</v>
      </c>
      <c r="DR17" s="21">
        <f>IF(DR$1&lt;INDEX('Valo FX'!$Q:$Q,MATCH($A17,'Valo FX'!$A:$A,0)),0,IF(DR$1&lt;INDEX('Valo FX'!$R:$R,MATCH($A17,'Valo FX'!$A:$A,0)),INDEX(Base!$U:$U,MATCH($A17,Base!$A:$A,0)),IF(DR$1=INDEX('Valo FX'!$R:$R,MATCH($A17,'Valo FX'!$A:$A,0)),INDEX(Base!$V:$V,MATCH($A17,Base!$A:$A,0)),0)))</f>
        <v>12.433773</v>
      </c>
      <c r="DS17" s="21">
        <f>IF(DS$1&lt;INDEX('Valo FX'!$Q:$Q,MATCH($A17,'Valo FX'!$A:$A,0)),0,IF(DS$1&lt;INDEX('Valo FX'!$R:$R,MATCH($A17,'Valo FX'!$A:$A,0)),INDEX(Base!$U:$U,MATCH($A17,Base!$A:$A,0)),IF(DS$1=INDEX('Valo FX'!$R:$R,MATCH($A17,'Valo FX'!$A:$A,0)),INDEX(Base!$V:$V,MATCH($A17,Base!$A:$A,0)),0)))</f>
        <v>12.433773</v>
      </c>
      <c r="DT17" s="21">
        <f>IF(DT$1&lt;INDEX('Valo FX'!$Q:$Q,MATCH($A17,'Valo FX'!$A:$A,0)),0,IF(DT$1&lt;INDEX('Valo FX'!$R:$R,MATCH($A17,'Valo FX'!$A:$A,0)),INDEX(Base!$U:$U,MATCH($A17,Base!$A:$A,0)),IF(DT$1=INDEX('Valo FX'!$R:$R,MATCH($A17,'Valo FX'!$A:$A,0)),INDEX(Base!$V:$V,MATCH($A17,Base!$A:$A,0)),0)))</f>
        <v>12.433773</v>
      </c>
      <c r="DU17" s="21">
        <f>IF(DU$1&lt;INDEX('Valo FX'!$Q:$Q,MATCH($A17,'Valo FX'!$A:$A,0)),0,IF(DU$1&lt;INDEX('Valo FX'!$R:$R,MATCH($A17,'Valo FX'!$A:$A,0)),INDEX(Base!$U:$U,MATCH($A17,Base!$A:$A,0)),IF(DU$1=INDEX('Valo FX'!$R:$R,MATCH($A17,'Valo FX'!$A:$A,0)),INDEX(Base!$V:$V,MATCH($A17,Base!$A:$A,0)),0)))</f>
        <v>12.433773</v>
      </c>
      <c r="DV17" s="21">
        <f>IF(DV$1&lt;INDEX('Valo FX'!$Q:$Q,MATCH($A17,'Valo FX'!$A:$A,0)),0,IF(DV$1&lt;INDEX('Valo FX'!$R:$R,MATCH($A17,'Valo FX'!$A:$A,0)),INDEX(Base!$U:$U,MATCH($A17,Base!$A:$A,0)),IF(DV$1=INDEX('Valo FX'!$R:$R,MATCH($A17,'Valo FX'!$A:$A,0)),INDEX(Base!$V:$V,MATCH($A17,Base!$A:$A,0)),0)))</f>
        <v>12.433773</v>
      </c>
      <c r="DW17" s="21">
        <f>IF(DW$1&lt;INDEX('Valo FX'!$Q:$Q,MATCH($A17,'Valo FX'!$A:$A,0)),0,IF(DW$1&lt;INDEX('Valo FX'!$R:$R,MATCH($A17,'Valo FX'!$A:$A,0)),INDEX(Base!$U:$U,MATCH($A17,Base!$A:$A,0)),IF(DW$1=INDEX('Valo FX'!$R:$R,MATCH($A17,'Valo FX'!$A:$A,0)),INDEX(Base!$V:$V,MATCH($A17,Base!$A:$A,0)),0)))</f>
        <v>12.433773</v>
      </c>
      <c r="DX17" s="21">
        <f>IF(DX$1&lt;INDEX('Valo FX'!$Q:$Q,MATCH($A17,'Valo FX'!$A:$A,0)),0,IF(DX$1&lt;INDEX('Valo FX'!$R:$R,MATCH($A17,'Valo FX'!$A:$A,0)),INDEX(Base!$U:$U,MATCH($A17,Base!$A:$A,0)),IF(DX$1=INDEX('Valo FX'!$R:$R,MATCH($A17,'Valo FX'!$A:$A,0)),INDEX(Base!$V:$V,MATCH($A17,Base!$A:$A,0)),0)))</f>
        <v>12.433773</v>
      </c>
      <c r="DY17" s="21">
        <f>IF(DY$1&lt;INDEX('Valo FX'!$Q:$Q,MATCH($A17,'Valo FX'!$A:$A,0)),0,IF(DY$1&lt;INDEX('Valo FX'!$R:$R,MATCH($A17,'Valo FX'!$A:$A,0)),INDEX(Base!$U:$U,MATCH($A17,Base!$A:$A,0)),IF(DY$1=INDEX('Valo FX'!$R:$R,MATCH($A17,'Valo FX'!$A:$A,0)),INDEX(Base!$V:$V,MATCH($A17,Base!$A:$A,0)),0)))</f>
        <v>12.433773</v>
      </c>
      <c r="DZ17" s="21">
        <f>IF(DZ$1&lt;INDEX('Valo FX'!$Q:$Q,MATCH($A17,'Valo FX'!$A:$A,0)),0,IF(DZ$1&lt;INDEX('Valo FX'!$R:$R,MATCH($A17,'Valo FX'!$A:$A,0)),INDEX(Base!$U:$U,MATCH($A17,Base!$A:$A,0)),IF(DZ$1=INDEX('Valo FX'!$R:$R,MATCH($A17,'Valo FX'!$A:$A,0)),INDEX(Base!$V:$V,MATCH($A17,Base!$A:$A,0)),0)))</f>
        <v>12.433773</v>
      </c>
      <c r="EA17" s="21">
        <f>IF(EA$1&lt;INDEX('Valo FX'!$Q:$Q,MATCH($A17,'Valo FX'!$A:$A,0)),0,IF(EA$1&lt;INDEX('Valo FX'!$R:$R,MATCH($A17,'Valo FX'!$A:$A,0)),INDEX(Base!$U:$U,MATCH($A17,Base!$A:$A,0)),IF(EA$1=INDEX('Valo FX'!$R:$R,MATCH($A17,'Valo FX'!$A:$A,0)),INDEX(Base!$V:$V,MATCH($A17,Base!$A:$A,0)),0)))</f>
        <v>12.433773</v>
      </c>
      <c r="EB17" s="21">
        <f>IF(EB$1&lt;INDEX('Valo FX'!$Q:$Q,MATCH($A17,'Valo FX'!$A:$A,0)),0,IF(EB$1&lt;INDEX('Valo FX'!$R:$R,MATCH($A17,'Valo FX'!$A:$A,0)),INDEX(Base!$U:$U,MATCH($A17,Base!$A:$A,0)),IF(EB$1=INDEX('Valo FX'!$R:$R,MATCH($A17,'Valo FX'!$A:$A,0)),INDEX(Base!$V:$V,MATCH($A17,Base!$A:$A,0)),0)))</f>
        <v>12.433773</v>
      </c>
      <c r="EC17" s="21">
        <f>IF(EC$1&lt;INDEX('Valo FX'!$Q:$Q,MATCH($A17,'Valo FX'!$A:$A,0)),0,IF(EC$1&lt;INDEX('Valo FX'!$R:$R,MATCH($A17,'Valo FX'!$A:$A,0)),INDEX(Base!$U:$U,MATCH($A17,Base!$A:$A,0)),IF(EC$1=INDEX('Valo FX'!$R:$R,MATCH($A17,'Valo FX'!$A:$A,0)),INDEX(Base!$V:$V,MATCH($A17,Base!$A:$A,0)),0)))</f>
        <v>12.433773</v>
      </c>
      <c r="ED17" s="21">
        <f>IF(ED$1&lt;INDEX('Valo FX'!$Q:$Q,MATCH($A17,'Valo FX'!$A:$A,0)),0,IF(ED$1&lt;INDEX('Valo FX'!$R:$R,MATCH($A17,'Valo FX'!$A:$A,0)),INDEX(Base!$U:$U,MATCH($A17,Base!$A:$A,0)),IF(ED$1=INDEX('Valo FX'!$R:$R,MATCH($A17,'Valo FX'!$A:$A,0)),INDEX(Base!$V:$V,MATCH($A17,Base!$A:$A,0)),0)))</f>
        <v>12.433773</v>
      </c>
      <c r="EE17" s="21">
        <f>IF(EE$1&lt;INDEX('Valo FX'!$Q:$Q,MATCH($A17,'Valo FX'!$A:$A,0)),0,IF(EE$1&lt;INDEX('Valo FX'!$R:$R,MATCH($A17,'Valo FX'!$A:$A,0)),INDEX(Base!$U:$U,MATCH($A17,Base!$A:$A,0)),IF(EE$1=INDEX('Valo FX'!$R:$R,MATCH($A17,'Valo FX'!$A:$A,0)),INDEX(Base!$V:$V,MATCH($A17,Base!$A:$A,0)),0)))</f>
        <v>12.433773</v>
      </c>
      <c r="EF17" s="21">
        <f>IF(EF$1&lt;INDEX('Valo FX'!$Q:$Q,MATCH($A17,'Valo FX'!$A:$A,0)),0,IF(EF$1&lt;INDEX('Valo FX'!$R:$R,MATCH($A17,'Valo FX'!$A:$A,0)),INDEX(Base!$U:$U,MATCH($A17,Base!$A:$A,0)),IF(EF$1=INDEX('Valo FX'!$R:$R,MATCH($A17,'Valo FX'!$A:$A,0)),INDEX(Base!$V:$V,MATCH($A17,Base!$A:$A,0)),0)))</f>
        <v>12.433773</v>
      </c>
      <c r="EG17" s="21">
        <f>IF(EG$1&lt;INDEX('Valo FX'!$Q:$Q,MATCH($A17,'Valo FX'!$A:$A,0)),0,IF(EG$1&lt;INDEX('Valo FX'!$R:$R,MATCH($A17,'Valo FX'!$A:$A,0)),INDEX(Base!$U:$U,MATCH($A17,Base!$A:$A,0)),IF(EG$1=INDEX('Valo FX'!$R:$R,MATCH($A17,'Valo FX'!$A:$A,0)),INDEX(Base!$V:$V,MATCH($A17,Base!$A:$A,0)),0)))</f>
        <v>12.433773</v>
      </c>
      <c r="EH17" s="21">
        <f>IF(EH$1&lt;INDEX('Valo FX'!$Q:$Q,MATCH($A17,'Valo FX'!$A:$A,0)),0,IF(EH$1&lt;INDEX('Valo FX'!$R:$R,MATCH($A17,'Valo FX'!$A:$A,0)),INDEX(Base!$U:$U,MATCH($A17,Base!$A:$A,0)),IF(EH$1=INDEX('Valo FX'!$R:$R,MATCH($A17,'Valo FX'!$A:$A,0)),INDEX(Base!$V:$V,MATCH($A17,Base!$A:$A,0)),0)))</f>
        <v>12.433773</v>
      </c>
      <c r="EI17" s="21">
        <f>IF(EI$1&lt;INDEX('Valo FX'!$Q:$Q,MATCH($A17,'Valo FX'!$A:$A,0)),0,IF(EI$1&lt;INDEX('Valo FX'!$R:$R,MATCH($A17,'Valo FX'!$A:$A,0)),INDEX(Base!$U:$U,MATCH($A17,Base!$A:$A,0)),IF(EI$1=INDEX('Valo FX'!$R:$R,MATCH($A17,'Valo FX'!$A:$A,0)),INDEX(Base!$V:$V,MATCH($A17,Base!$A:$A,0)),0)))</f>
        <v>12.433773</v>
      </c>
      <c r="EJ17" s="21">
        <f>IF(EJ$1&lt;INDEX('Valo FX'!$Q:$Q,MATCH($A17,'Valo FX'!$A:$A,0)),0,IF(EJ$1&lt;INDEX('Valo FX'!$R:$R,MATCH($A17,'Valo FX'!$A:$A,0)),INDEX(Base!$U:$U,MATCH($A17,Base!$A:$A,0)),IF(EJ$1=INDEX('Valo FX'!$R:$R,MATCH($A17,'Valo FX'!$A:$A,0)),INDEX(Base!$V:$V,MATCH($A17,Base!$A:$A,0)),0)))</f>
        <v>12.433773</v>
      </c>
      <c r="EK17" s="21">
        <f>IF(EK$1&lt;INDEX('Valo FX'!$Q:$Q,MATCH($A17,'Valo FX'!$A:$A,0)),0,IF(EK$1&lt;INDEX('Valo FX'!$R:$R,MATCH($A17,'Valo FX'!$A:$A,0)),INDEX(Base!$U:$U,MATCH($A17,Base!$A:$A,0)),IF(EK$1=INDEX('Valo FX'!$R:$R,MATCH($A17,'Valo FX'!$A:$A,0)),INDEX(Base!$V:$V,MATCH($A17,Base!$A:$A,0)),0)))</f>
        <v>12.433773</v>
      </c>
      <c r="EL17" s="21">
        <f>IF(EL$1&lt;INDEX('Valo FX'!$Q:$Q,MATCH($A17,'Valo FX'!$A:$A,0)),0,IF(EL$1&lt;INDEX('Valo FX'!$R:$R,MATCH($A17,'Valo FX'!$A:$A,0)),INDEX(Base!$U:$U,MATCH($A17,Base!$A:$A,0)),IF(EL$1=INDEX('Valo FX'!$R:$R,MATCH($A17,'Valo FX'!$A:$A,0)),INDEX(Base!$V:$V,MATCH($A17,Base!$A:$A,0)),0)))</f>
        <v>12.433773</v>
      </c>
      <c r="EM17" s="21">
        <f>IF(EM$1&lt;INDEX('Valo FX'!$Q:$Q,MATCH($A17,'Valo FX'!$A:$A,0)),0,IF(EM$1&lt;INDEX('Valo FX'!$R:$R,MATCH($A17,'Valo FX'!$A:$A,0)),INDEX(Base!$U:$U,MATCH($A17,Base!$A:$A,0)),IF(EM$1=INDEX('Valo FX'!$R:$R,MATCH($A17,'Valo FX'!$A:$A,0)),INDEX(Base!$V:$V,MATCH($A17,Base!$A:$A,0)),0)))</f>
        <v>12.433773</v>
      </c>
      <c r="EN17" s="21">
        <f>IF(EN$1&lt;INDEX('Valo FX'!$Q:$Q,MATCH($A17,'Valo FX'!$A:$A,0)),0,IF(EN$1&lt;INDEX('Valo FX'!$R:$R,MATCH($A17,'Valo FX'!$A:$A,0)),INDEX(Base!$U:$U,MATCH($A17,Base!$A:$A,0)),IF(EN$1=INDEX('Valo FX'!$R:$R,MATCH($A17,'Valo FX'!$A:$A,0)),INDEX(Base!$V:$V,MATCH($A17,Base!$A:$A,0)),0)))</f>
        <v>12.433773</v>
      </c>
      <c r="EO17" s="21">
        <f>IF(EO$1&lt;INDEX('Valo FX'!$Q:$Q,MATCH($A17,'Valo FX'!$A:$A,0)),0,IF(EO$1&lt;INDEX('Valo FX'!$R:$R,MATCH($A17,'Valo FX'!$A:$A,0)),INDEX(Base!$U:$U,MATCH($A17,Base!$A:$A,0)),IF(EO$1=INDEX('Valo FX'!$R:$R,MATCH($A17,'Valo FX'!$A:$A,0)),INDEX(Base!$V:$V,MATCH($A17,Base!$A:$A,0)),0)))</f>
        <v>12.433773</v>
      </c>
      <c r="EP17" s="21">
        <f>IF(EP$1&lt;INDEX('Valo FX'!$Q:$Q,MATCH($A17,'Valo FX'!$A:$A,0)),0,IF(EP$1&lt;INDEX('Valo FX'!$R:$R,MATCH($A17,'Valo FX'!$A:$A,0)),INDEX(Base!$U:$U,MATCH($A17,Base!$A:$A,0)),IF(EP$1=INDEX('Valo FX'!$R:$R,MATCH($A17,'Valo FX'!$A:$A,0)),INDEX(Base!$V:$V,MATCH($A17,Base!$A:$A,0)),0)))</f>
        <v>12.433773</v>
      </c>
      <c r="EQ17" s="21">
        <f>IF(EQ$1&lt;INDEX('Valo FX'!$Q:$Q,MATCH($A17,'Valo FX'!$A:$A,0)),0,IF(EQ$1&lt;INDEX('Valo FX'!$R:$R,MATCH($A17,'Valo FX'!$A:$A,0)),INDEX(Base!$U:$U,MATCH($A17,Base!$A:$A,0)),IF(EQ$1=INDEX('Valo FX'!$R:$R,MATCH($A17,'Valo FX'!$A:$A,0)),INDEX(Base!$V:$V,MATCH($A17,Base!$A:$A,0)),0)))</f>
        <v>12.433773</v>
      </c>
      <c r="ER17" s="21">
        <f>IF(ER$1&lt;INDEX('Valo FX'!$Q:$Q,MATCH($A17,'Valo FX'!$A:$A,0)),0,IF(ER$1&lt;INDEX('Valo FX'!$R:$R,MATCH($A17,'Valo FX'!$A:$A,0)),INDEX(Base!$U:$U,MATCH($A17,Base!$A:$A,0)),IF(ER$1=INDEX('Valo FX'!$R:$R,MATCH($A17,'Valo FX'!$A:$A,0)),INDEX(Base!$V:$V,MATCH($A17,Base!$A:$A,0)),0)))</f>
        <v>12.433773</v>
      </c>
      <c r="ES17" s="21">
        <f>IF(ES$1&lt;INDEX('Valo FX'!$Q:$Q,MATCH($A17,'Valo FX'!$A:$A,0)),0,IF(ES$1&lt;INDEX('Valo FX'!$R:$R,MATCH($A17,'Valo FX'!$A:$A,0)),INDEX(Base!$U:$U,MATCH($A17,Base!$A:$A,0)),IF(ES$1=INDEX('Valo FX'!$R:$R,MATCH($A17,'Valo FX'!$A:$A,0)),INDEX(Base!$V:$V,MATCH($A17,Base!$A:$A,0)),0)))</f>
        <v>12.433773</v>
      </c>
      <c r="ET17" s="21">
        <f>IF(ET$1&lt;INDEX('Valo FX'!$Q:$Q,MATCH($A17,'Valo FX'!$A:$A,0)),0,IF(ET$1&lt;INDEX('Valo FX'!$R:$R,MATCH($A17,'Valo FX'!$A:$A,0)),INDEX(Base!$U:$U,MATCH($A17,Base!$A:$A,0)),IF(ET$1=INDEX('Valo FX'!$R:$R,MATCH($A17,'Valo FX'!$A:$A,0)),INDEX(Base!$V:$V,MATCH($A17,Base!$A:$A,0)),0)))</f>
        <v>12.433773</v>
      </c>
      <c r="EU17" s="21">
        <f>IF(EU$1&lt;INDEX('Valo FX'!$Q:$Q,MATCH($A17,'Valo FX'!$A:$A,0)),0,IF(EU$1&lt;INDEX('Valo FX'!$R:$R,MATCH($A17,'Valo FX'!$A:$A,0)),INDEX(Base!$U:$U,MATCH($A17,Base!$A:$A,0)),IF(EU$1=INDEX('Valo FX'!$R:$R,MATCH($A17,'Valo FX'!$A:$A,0)),INDEX(Base!$V:$V,MATCH($A17,Base!$A:$A,0)),0)))</f>
        <v>12.433773</v>
      </c>
      <c r="EV17" s="21">
        <f>IF(EV$1&lt;INDEX('Valo FX'!$Q:$Q,MATCH($A17,'Valo FX'!$A:$A,0)),0,IF(EV$1&lt;INDEX('Valo FX'!$R:$R,MATCH($A17,'Valo FX'!$A:$A,0)),INDEX(Base!$U:$U,MATCH($A17,Base!$A:$A,0)),IF(EV$1=INDEX('Valo FX'!$R:$R,MATCH($A17,'Valo FX'!$A:$A,0)),INDEX(Base!$V:$V,MATCH($A17,Base!$A:$A,0)),0)))</f>
        <v>12.433773</v>
      </c>
      <c r="EW17" s="21">
        <f>IF(EW$1&lt;INDEX('Valo FX'!$Q:$Q,MATCH($A17,'Valo FX'!$A:$A,0)),0,IF(EW$1&lt;INDEX('Valo FX'!$R:$R,MATCH($A17,'Valo FX'!$A:$A,0)),INDEX(Base!$U:$U,MATCH($A17,Base!$A:$A,0)),IF(EW$1=INDEX('Valo FX'!$R:$R,MATCH($A17,'Valo FX'!$A:$A,0)),INDEX(Base!$V:$V,MATCH($A17,Base!$A:$A,0)),0)))</f>
        <v>12.433773</v>
      </c>
      <c r="EX17" s="21">
        <f>IF(EX$1&lt;INDEX('Valo FX'!$Q:$Q,MATCH($A17,'Valo FX'!$A:$A,0)),0,IF(EX$1&lt;INDEX('Valo FX'!$R:$R,MATCH($A17,'Valo FX'!$A:$A,0)),INDEX(Base!$U:$U,MATCH($A17,Base!$A:$A,0)),IF(EX$1=INDEX('Valo FX'!$R:$R,MATCH($A17,'Valo FX'!$A:$A,0)),INDEX(Base!$V:$V,MATCH($A17,Base!$A:$A,0)),0)))</f>
        <v>12.433773</v>
      </c>
      <c r="EY17" s="21">
        <f>IF(EY$1&lt;INDEX('Valo FX'!$Q:$Q,MATCH($A17,'Valo FX'!$A:$A,0)),0,IF(EY$1&lt;INDEX('Valo FX'!$R:$R,MATCH($A17,'Valo FX'!$A:$A,0)),INDEX(Base!$U:$U,MATCH($A17,Base!$A:$A,0)),IF(EY$1=INDEX('Valo FX'!$R:$R,MATCH($A17,'Valo FX'!$A:$A,0)),INDEX(Base!$V:$V,MATCH($A17,Base!$A:$A,0)),0)))</f>
        <v>12.433773</v>
      </c>
      <c r="EZ17" s="21">
        <f>IF(EZ$1&lt;INDEX('Valo FX'!$Q:$Q,MATCH($A17,'Valo FX'!$A:$A,0)),0,IF(EZ$1&lt;INDEX('Valo FX'!$R:$R,MATCH($A17,'Valo FX'!$A:$A,0)),INDEX(Base!$U:$U,MATCH($A17,Base!$A:$A,0)),IF(EZ$1=INDEX('Valo FX'!$R:$R,MATCH($A17,'Valo FX'!$A:$A,0)),INDEX(Base!$V:$V,MATCH($A17,Base!$A:$A,0)),0)))</f>
        <v>12.433773</v>
      </c>
      <c r="FA17" s="21">
        <f>IF(FA$1&lt;INDEX('Valo FX'!$Q:$Q,MATCH($A17,'Valo FX'!$A:$A,0)),0,IF(FA$1&lt;INDEX('Valo FX'!$R:$R,MATCH($A17,'Valo FX'!$A:$A,0)),INDEX(Base!$U:$U,MATCH($A17,Base!$A:$A,0)),IF(FA$1=INDEX('Valo FX'!$R:$R,MATCH($A17,'Valo FX'!$A:$A,0)),INDEX(Base!$V:$V,MATCH($A17,Base!$A:$A,0)),0)))</f>
        <v>12.433773</v>
      </c>
      <c r="FB17" s="21">
        <f>IF(FB$1&lt;INDEX('Valo FX'!$Q:$Q,MATCH($A17,'Valo FX'!$A:$A,0)),0,IF(FB$1&lt;INDEX('Valo FX'!$R:$R,MATCH($A17,'Valo FX'!$A:$A,0)),INDEX(Base!$U:$U,MATCH($A17,Base!$A:$A,0)),IF(FB$1=INDEX('Valo FX'!$R:$R,MATCH($A17,'Valo FX'!$A:$A,0)),INDEX(Base!$V:$V,MATCH($A17,Base!$A:$A,0)),0)))</f>
        <v>12.433773</v>
      </c>
      <c r="FC17" s="21">
        <f>IF(FC$1&lt;INDEX('Valo FX'!$Q:$Q,MATCH($A17,'Valo FX'!$A:$A,0)),0,IF(FC$1&lt;INDEX('Valo FX'!$R:$R,MATCH($A17,'Valo FX'!$A:$A,0)),INDEX(Base!$U:$U,MATCH($A17,Base!$A:$A,0)),IF(FC$1=INDEX('Valo FX'!$R:$R,MATCH($A17,'Valo FX'!$A:$A,0)),INDEX(Base!$V:$V,MATCH($A17,Base!$A:$A,0)),0)))</f>
        <v>12.433773</v>
      </c>
      <c r="FD17" s="21">
        <f>IF(FD$1&lt;INDEX('Valo FX'!$Q:$Q,MATCH($A17,'Valo FX'!$A:$A,0)),0,IF(FD$1&lt;INDEX('Valo FX'!$R:$R,MATCH($A17,'Valo FX'!$A:$A,0)),INDEX(Base!$U:$U,MATCH($A17,Base!$A:$A,0)),IF(FD$1=INDEX('Valo FX'!$R:$R,MATCH($A17,'Valo FX'!$A:$A,0)),INDEX(Base!$V:$V,MATCH($A17,Base!$A:$A,0)),0)))</f>
        <v>12.433773</v>
      </c>
      <c r="FE17" s="21">
        <f>IF(FE$1&lt;INDEX('Valo FX'!$Q:$Q,MATCH($A17,'Valo FX'!$A:$A,0)),0,IF(FE$1&lt;INDEX('Valo FX'!$R:$R,MATCH($A17,'Valo FX'!$A:$A,0)),INDEX(Base!$U:$U,MATCH($A17,Base!$A:$A,0)),IF(FE$1=INDEX('Valo FX'!$R:$R,MATCH($A17,'Valo FX'!$A:$A,0)),INDEX(Base!$V:$V,MATCH($A17,Base!$A:$A,0)),0)))</f>
        <v>12.433773</v>
      </c>
      <c r="FF17" s="21">
        <f>IF(FF$1&lt;INDEX('Valo FX'!$Q:$Q,MATCH($A17,'Valo FX'!$A:$A,0)),0,IF(FF$1&lt;INDEX('Valo FX'!$R:$R,MATCH($A17,'Valo FX'!$A:$A,0)),INDEX(Base!$U:$U,MATCH($A17,Base!$A:$A,0)),IF(FF$1=INDEX('Valo FX'!$R:$R,MATCH($A17,'Valo FX'!$A:$A,0)),INDEX(Base!$V:$V,MATCH($A17,Base!$A:$A,0)),0)))</f>
        <v>12.433773</v>
      </c>
      <c r="FG17" s="21">
        <f>IF(FG$1&lt;INDEX('Valo FX'!$Q:$Q,MATCH($A17,'Valo FX'!$A:$A,0)),0,IF(FG$1&lt;INDEX('Valo FX'!$R:$R,MATCH($A17,'Valo FX'!$A:$A,0)),INDEX(Base!$U:$U,MATCH($A17,Base!$A:$A,0)),IF(FG$1=INDEX('Valo FX'!$R:$R,MATCH($A17,'Valo FX'!$A:$A,0)),INDEX(Base!$V:$V,MATCH($A17,Base!$A:$A,0)),0)))</f>
        <v>12.433773</v>
      </c>
      <c r="FH17" s="21">
        <f>IF(FH$1&lt;INDEX('Valo FX'!$Q:$Q,MATCH($A17,'Valo FX'!$A:$A,0)),0,IF(FH$1&lt;INDEX('Valo FX'!$R:$R,MATCH($A17,'Valo FX'!$A:$A,0)),INDEX(Base!$U:$U,MATCH($A17,Base!$A:$A,0)),IF(FH$1=INDEX('Valo FX'!$R:$R,MATCH($A17,'Valo FX'!$A:$A,0)),INDEX(Base!$V:$V,MATCH($A17,Base!$A:$A,0)),0)))</f>
        <v>12.433773</v>
      </c>
      <c r="FI17" s="21">
        <f>IF(FI$1&lt;INDEX('Valo FX'!$Q:$Q,MATCH($A17,'Valo FX'!$A:$A,0)),0,IF(FI$1&lt;INDEX('Valo FX'!$R:$R,MATCH($A17,'Valo FX'!$A:$A,0)),INDEX(Base!$U:$U,MATCH($A17,Base!$A:$A,0)),IF(FI$1=INDEX('Valo FX'!$R:$R,MATCH($A17,'Valo FX'!$A:$A,0)),INDEX(Base!$V:$V,MATCH($A17,Base!$A:$A,0)),0)))</f>
        <v>12.433773</v>
      </c>
      <c r="FJ17" s="21">
        <f>IF(FJ$1&lt;INDEX('Valo FX'!$Q:$Q,MATCH($A17,'Valo FX'!$A:$A,0)),0,IF(FJ$1&lt;INDEX('Valo FX'!$R:$R,MATCH($A17,'Valo FX'!$A:$A,0)),INDEX(Base!$U:$U,MATCH($A17,Base!$A:$A,0)),IF(FJ$1=INDEX('Valo FX'!$R:$R,MATCH($A17,'Valo FX'!$A:$A,0)),INDEX(Base!$V:$V,MATCH($A17,Base!$A:$A,0)),0)))</f>
        <v>12.433773</v>
      </c>
      <c r="FK17" s="21">
        <f>IF(FK$1&lt;INDEX('Valo FX'!$Q:$Q,MATCH($A17,'Valo FX'!$A:$A,0)),0,IF(FK$1&lt;INDEX('Valo FX'!$R:$R,MATCH($A17,'Valo FX'!$A:$A,0)),INDEX(Base!$U:$U,MATCH($A17,Base!$A:$A,0)),IF(FK$1=INDEX('Valo FX'!$R:$R,MATCH($A17,'Valo FX'!$A:$A,0)),INDEX(Base!$V:$V,MATCH($A17,Base!$A:$A,0)),0)))</f>
        <v>12.433773</v>
      </c>
      <c r="FL17" s="21">
        <f>IF(FL$1&lt;INDEX('Valo FX'!$Q:$Q,MATCH($A17,'Valo FX'!$A:$A,0)),0,IF(FL$1&lt;INDEX('Valo FX'!$R:$R,MATCH($A17,'Valo FX'!$A:$A,0)),INDEX(Base!$U:$U,MATCH($A17,Base!$A:$A,0)),IF(FL$1=INDEX('Valo FX'!$R:$R,MATCH($A17,'Valo FX'!$A:$A,0)),INDEX(Base!$V:$V,MATCH($A17,Base!$A:$A,0)),0)))</f>
        <v>12.433773</v>
      </c>
      <c r="FM17" s="21">
        <f>IF(FM$1&lt;INDEX('Valo FX'!$Q:$Q,MATCH($A17,'Valo FX'!$A:$A,0)),0,IF(FM$1&lt;INDEX('Valo FX'!$R:$R,MATCH($A17,'Valo FX'!$A:$A,0)),INDEX(Base!$U:$U,MATCH($A17,Base!$A:$A,0)),IF(FM$1=INDEX('Valo FX'!$R:$R,MATCH($A17,'Valo FX'!$A:$A,0)),INDEX(Base!$V:$V,MATCH($A17,Base!$A:$A,0)),0)))</f>
        <v>12.433773</v>
      </c>
      <c r="FN17" s="21">
        <f>IF(FN$1&lt;INDEX('Valo FX'!$Q:$Q,MATCH($A17,'Valo FX'!$A:$A,0)),0,IF(FN$1&lt;INDEX('Valo FX'!$R:$R,MATCH($A17,'Valo FX'!$A:$A,0)),INDEX(Base!$U:$U,MATCH($A17,Base!$A:$A,0)),IF(FN$1=INDEX('Valo FX'!$R:$R,MATCH($A17,'Valo FX'!$A:$A,0)),INDEX(Base!$V:$V,MATCH($A17,Base!$A:$A,0)),0)))</f>
        <v>12.433773</v>
      </c>
      <c r="FO17" s="21">
        <f>IF(FO$1&lt;INDEX('Valo FX'!$Q:$Q,MATCH($A17,'Valo FX'!$A:$A,0)),0,IF(FO$1&lt;INDEX('Valo FX'!$R:$R,MATCH($A17,'Valo FX'!$A:$A,0)),INDEX(Base!$U:$U,MATCH($A17,Base!$A:$A,0)),IF(FO$1=INDEX('Valo FX'!$R:$R,MATCH($A17,'Valo FX'!$A:$A,0)),INDEX(Base!$V:$V,MATCH($A17,Base!$A:$A,0)),0)))</f>
        <v>12.433773</v>
      </c>
      <c r="FP17" s="21">
        <f>IF(FP$1&lt;INDEX('Valo FX'!$Q:$Q,MATCH($A17,'Valo FX'!$A:$A,0)),0,IF(FP$1&lt;INDEX('Valo FX'!$R:$R,MATCH($A17,'Valo FX'!$A:$A,0)),INDEX(Base!$U:$U,MATCH($A17,Base!$A:$A,0)),IF(FP$1=INDEX('Valo FX'!$R:$R,MATCH($A17,'Valo FX'!$A:$A,0)),INDEX(Base!$V:$V,MATCH($A17,Base!$A:$A,0)),0)))</f>
        <v>12.433773</v>
      </c>
      <c r="FQ17" s="21">
        <f>IF(FQ$1&lt;INDEX('Valo FX'!$Q:$Q,MATCH($A17,'Valo FX'!$A:$A,0)),0,IF(FQ$1&lt;INDEX('Valo FX'!$R:$R,MATCH($A17,'Valo FX'!$A:$A,0)),INDEX(Base!$U:$U,MATCH($A17,Base!$A:$A,0)),IF(FQ$1=INDEX('Valo FX'!$R:$R,MATCH($A17,'Valo FX'!$A:$A,0)),INDEX(Base!$V:$V,MATCH($A17,Base!$A:$A,0)),0)))</f>
        <v>12.433773</v>
      </c>
      <c r="FR17" s="21">
        <f>IF(FR$1&lt;INDEX('Valo FX'!$Q:$Q,MATCH($A17,'Valo FX'!$A:$A,0)),0,IF(FR$1&lt;INDEX('Valo FX'!$R:$R,MATCH($A17,'Valo FX'!$A:$A,0)),INDEX(Base!$U:$U,MATCH($A17,Base!$A:$A,0)),IF(FR$1=INDEX('Valo FX'!$R:$R,MATCH($A17,'Valo FX'!$A:$A,0)),INDEX(Base!$V:$V,MATCH($A17,Base!$A:$A,0)),0)))</f>
        <v>12.433773</v>
      </c>
      <c r="FS17" s="21">
        <f>IF(FS$1&lt;INDEX('Valo FX'!$Q:$Q,MATCH($A17,'Valo FX'!$A:$A,0)),0,IF(FS$1&lt;INDEX('Valo FX'!$R:$R,MATCH($A17,'Valo FX'!$A:$A,0)),INDEX(Base!$U:$U,MATCH($A17,Base!$A:$A,0)),IF(FS$1=INDEX('Valo FX'!$R:$R,MATCH($A17,'Valo FX'!$A:$A,0)),INDEX(Base!$V:$V,MATCH($A17,Base!$A:$A,0)),0)))</f>
        <v>12.433773</v>
      </c>
      <c r="FT17" s="21">
        <f>IF(FT$1&lt;INDEX('Valo FX'!$Q:$Q,MATCH($A17,'Valo FX'!$A:$A,0)),0,IF(FT$1&lt;INDEX('Valo FX'!$R:$R,MATCH($A17,'Valo FX'!$A:$A,0)),INDEX(Base!$U:$U,MATCH($A17,Base!$A:$A,0)),IF(FT$1=INDEX('Valo FX'!$R:$R,MATCH($A17,'Valo FX'!$A:$A,0)),INDEX(Base!$V:$V,MATCH($A17,Base!$A:$A,0)),0)))</f>
        <v>12.433773</v>
      </c>
      <c r="FU17" s="21">
        <f>IF(FU$1&lt;INDEX('Valo FX'!$Q:$Q,MATCH($A17,'Valo FX'!$A:$A,0)),0,IF(FU$1&lt;INDEX('Valo FX'!$R:$R,MATCH($A17,'Valo FX'!$A:$A,0)),INDEX(Base!$U:$U,MATCH($A17,Base!$A:$A,0)),IF(FU$1=INDEX('Valo FX'!$R:$R,MATCH($A17,'Valo FX'!$A:$A,0)),INDEX(Base!$V:$V,MATCH($A17,Base!$A:$A,0)),0)))</f>
        <v>12.433773</v>
      </c>
      <c r="FV17" s="21">
        <f>IF(FV$1&lt;INDEX('Valo FX'!$Q:$Q,MATCH($A17,'Valo FX'!$A:$A,0)),0,IF(FV$1&lt;INDEX('Valo FX'!$R:$R,MATCH($A17,'Valo FX'!$A:$A,0)),INDEX(Base!$U:$U,MATCH($A17,Base!$A:$A,0)),IF(FV$1=INDEX('Valo FX'!$R:$R,MATCH($A17,'Valo FX'!$A:$A,0)),INDEX(Base!$V:$V,MATCH($A17,Base!$A:$A,0)),0)))</f>
        <v>12.433773</v>
      </c>
      <c r="FW17" s="21">
        <f>IF(FW$1&lt;INDEX('Valo FX'!$Q:$Q,MATCH($A17,'Valo FX'!$A:$A,0)),0,IF(FW$1&lt;INDEX('Valo FX'!$R:$R,MATCH($A17,'Valo FX'!$A:$A,0)),INDEX(Base!$U:$U,MATCH($A17,Base!$A:$A,0)),IF(FW$1=INDEX('Valo FX'!$R:$R,MATCH($A17,'Valo FX'!$A:$A,0)),INDEX(Base!$V:$V,MATCH($A17,Base!$A:$A,0)),0)))</f>
        <v>12.433773</v>
      </c>
      <c r="FX17" s="21">
        <f>IF(FX$1&lt;INDEX('Valo FX'!$Q:$Q,MATCH($A17,'Valo FX'!$A:$A,0)),0,IF(FX$1&lt;INDEX('Valo FX'!$R:$R,MATCH($A17,'Valo FX'!$A:$A,0)),INDEX(Base!$U:$U,MATCH($A17,Base!$A:$A,0)),IF(FX$1=INDEX('Valo FX'!$R:$R,MATCH($A17,'Valo FX'!$A:$A,0)),INDEX(Base!$V:$V,MATCH($A17,Base!$A:$A,0)),0)))</f>
        <v>12.433773</v>
      </c>
      <c r="FY17" s="21">
        <f>IF(FY$1&lt;INDEX('Valo FX'!$Q:$Q,MATCH($A17,'Valo FX'!$A:$A,0)),0,IF(FY$1&lt;INDEX('Valo FX'!$R:$R,MATCH($A17,'Valo FX'!$A:$A,0)),INDEX(Base!$U:$U,MATCH($A17,Base!$A:$A,0)),IF(FY$1=INDEX('Valo FX'!$R:$R,MATCH($A17,'Valo FX'!$A:$A,0)),INDEX(Base!$V:$V,MATCH($A17,Base!$A:$A,0)),0)))</f>
        <v>12.433773</v>
      </c>
      <c r="FZ17" s="21">
        <f>IF(FZ$1&lt;INDEX('Valo FX'!$Q:$Q,MATCH($A17,'Valo FX'!$A:$A,0)),0,IF(FZ$1&lt;INDEX('Valo FX'!$R:$R,MATCH($A17,'Valo FX'!$A:$A,0)),INDEX(Base!$U:$U,MATCH($A17,Base!$A:$A,0)),IF(FZ$1=INDEX('Valo FX'!$R:$R,MATCH($A17,'Valo FX'!$A:$A,0)),INDEX(Base!$V:$V,MATCH($A17,Base!$A:$A,0)),0)))</f>
        <v>12.433773</v>
      </c>
      <c r="GA17" s="21">
        <f>IF(GA$1&lt;INDEX('Valo FX'!$Q:$Q,MATCH($A17,'Valo FX'!$A:$A,0)),0,IF(GA$1&lt;INDEX('Valo FX'!$R:$R,MATCH($A17,'Valo FX'!$A:$A,0)),INDEX(Base!$U:$U,MATCH($A17,Base!$A:$A,0)),IF(GA$1=INDEX('Valo FX'!$R:$R,MATCH($A17,'Valo FX'!$A:$A,0)),INDEX(Base!$V:$V,MATCH($A17,Base!$A:$A,0)),0)))</f>
        <v>12.433773</v>
      </c>
      <c r="GB17" s="21">
        <f>IF(GB$1&lt;INDEX('Valo FX'!$Q:$Q,MATCH($A17,'Valo FX'!$A:$A,0)),0,IF(GB$1&lt;INDEX('Valo FX'!$R:$R,MATCH($A17,'Valo FX'!$A:$A,0)),INDEX(Base!$U:$U,MATCH($A17,Base!$A:$A,0)),IF(GB$1=INDEX('Valo FX'!$R:$R,MATCH($A17,'Valo FX'!$A:$A,0)),INDEX(Base!$V:$V,MATCH($A17,Base!$A:$A,0)),0)))</f>
        <v>12.433773</v>
      </c>
      <c r="GC17" s="21">
        <f>IF(GC$1&lt;INDEX('Valo FX'!$Q:$Q,MATCH($A17,'Valo FX'!$A:$A,0)),0,IF(GC$1&lt;INDEX('Valo FX'!$R:$R,MATCH($A17,'Valo FX'!$A:$A,0)),INDEX(Base!$U:$U,MATCH($A17,Base!$A:$A,0)),IF(GC$1=INDEX('Valo FX'!$R:$R,MATCH($A17,'Valo FX'!$A:$A,0)),INDEX(Base!$V:$V,MATCH($A17,Base!$A:$A,0)),0)))</f>
        <v>12.433773</v>
      </c>
      <c r="GD17" s="21">
        <f>IF(GD$1&lt;INDEX('Valo FX'!$Q:$Q,MATCH($A17,'Valo FX'!$A:$A,0)),0,IF(GD$1&lt;INDEX('Valo FX'!$R:$R,MATCH($A17,'Valo FX'!$A:$A,0)),INDEX(Base!$U:$U,MATCH($A17,Base!$A:$A,0)),IF(GD$1=INDEX('Valo FX'!$R:$R,MATCH($A17,'Valo FX'!$A:$A,0)),INDEX(Base!$V:$V,MATCH($A17,Base!$A:$A,0)),0)))</f>
        <v>12.433773</v>
      </c>
      <c r="GE17" s="21">
        <f>IF(GE$1&lt;INDEX('Valo FX'!$Q:$Q,MATCH($A17,'Valo FX'!$A:$A,0)),0,IF(GE$1&lt;INDEX('Valo FX'!$R:$R,MATCH($A17,'Valo FX'!$A:$A,0)),INDEX(Base!$U:$U,MATCH($A17,Base!$A:$A,0)),IF(GE$1=INDEX('Valo FX'!$R:$R,MATCH($A17,'Valo FX'!$A:$A,0)),INDEX(Base!$V:$V,MATCH($A17,Base!$A:$A,0)),0)))</f>
        <v>12.433773</v>
      </c>
      <c r="GF17" s="21">
        <f>IF(GF$1&lt;INDEX('Valo FX'!$Q:$Q,MATCH($A17,'Valo FX'!$A:$A,0)),0,IF(GF$1&lt;INDEX('Valo FX'!$R:$R,MATCH($A17,'Valo FX'!$A:$A,0)),INDEX(Base!$U:$U,MATCH($A17,Base!$A:$A,0)),IF(GF$1=INDEX('Valo FX'!$R:$R,MATCH($A17,'Valo FX'!$A:$A,0)),INDEX(Base!$V:$V,MATCH($A17,Base!$A:$A,0)),0)))</f>
        <v>12.433773</v>
      </c>
      <c r="GG17" s="21">
        <f>IF(GG$1&lt;INDEX('Valo FX'!$Q:$Q,MATCH($A17,'Valo FX'!$A:$A,0)),0,IF(GG$1&lt;INDEX('Valo FX'!$R:$R,MATCH($A17,'Valo FX'!$A:$A,0)),INDEX(Base!$U:$U,MATCH($A17,Base!$A:$A,0)),IF(GG$1=INDEX('Valo FX'!$R:$R,MATCH($A17,'Valo FX'!$A:$A,0)),INDEX(Base!$V:$V,MATCH($A17,Base!$A:$A,0)),0)))</f>
        <v>12.433773</v>
      </c>
      <c r="GH17" s="21">
        <f>IF(GH$1&lt;INDEX('Valo FX'!$Q:$Q,MATCH($A17,'Valo FX'!$A:$A,0)),0,IF(GH$1&lt;INDEX('Valo FX'!$R:$R,MATCH($A17,'Valo FX'!$A:$A,0)),INDEX(Base!$U:$U,MATCH($A17,Base!$A:$A,0)),IF(GH$1=INDEX('Valo FX'!$R:$R,MATCH($A17,'Valo FX'!$A:$A,0)),INDEX(Base!$V:$V,MATCH($A17,Base!$A:$A,0)),0)))</f>
        <v>12.433773</v>
      </c>
      <c r="GI17" s="21">
        <f>IF(GI$1&lt;INDEX('Valo FX'!$Q:$Q,MATCH($A17,'Valo FX'!$A:$A,0)),0,IF(GI$1&lt;INDEX('Valo FX'!$R:$R,MATCH($A17,'Valo FX'!$A:$A,0)),INDEX(Base!$U:$U,MATCH($A17,Base!$A:$A,0)),IF(GI$1=INDEX('Valo FX'!$R:$R,MATCH($A17,'Valo FX'!$A:$A,0)),INDEX(Base!$V:$V,MATCH($A17,Base!$A:$A,0)),0)))</f>
        <v>12.433773</v>
      </c>
      <c r="GJ17" s="21">
        <f>IF(GJ$1&lt;INDEX('Valo FX'!$Q:$Q,MATCH($A17,'Valo FX'!$A:$A,0)),0,IF(GJ$1&lt;INDEX('Valo FX'!$R:$R,MATCH($A17,'Valo FX'!$A:$A,0)),INDEX(Base!$U:$U,MATCH($A17,Base!$A:$A,0)),IF(GJ$1=INDEX('Valo FX'!$R:$R,MATCH($A17,'Valo FX'!$A:$A,0)),INDEX(Base!$V:$V,MATCH($A17,Base!$A:$A,0)),0)))</f>
        <v>12.433773</v>
      </c>
      <c r="GK17" s="21">
        <f>IF(GK$1&lt;INDEX('Valo FX'!$Q:$Q,MATCH($A17,'Valo FX'!$A:$A,0)),0,IF(GK$1&lt;INDEX('Valo FX'!$R:$R,MATCH($A17,'Valo FX'!$A:$A,0)),INDEX(Base!$U:$U,MATCH($A17,Base!$A:$A,0)),IF(GK$1=INDEX('Valo FX'!$R:$R,MATCH($A17,'Valo FX'!$A:$A,0)),INDEX(Base!$V:$V,MATCH($A17,Base!$A:$A,0)),0)))</f>
        <v>12.433773</v>
      </c>
      <c r="GL17" s="21">
        <f>IF(GL$1&lt;INDEX('Valo FX'!$Q:$Q,MATCH($A17,'Valo FX'!$A:$A,0)),0,IF(GL$1&lt;INDEX('Valo FX'!$R:$R,MATCH($A17,'Valo FX'!$A:$A,0)),INDEX(Base!$U:$U,MATCH($A17,Base!$A:$A,0)),IF(GL$1=INDEX('Valo FX'!$R:$R,MATCH($A17,'Valo FX'!$A:$A,0)),INDEX(Base!$V:$V,MATCH($A17,Base!$A:$A,0)),0)))</f>
        <v>12.433773</v>
      </c>
      <c r="GM17" s="21">
        <f>IF(GM$1&lt;INDEX('Valo FX'!$Q:$Q,MATCH($A17,'Valo FX'!$A:$A,0)),0,IF(GM$1&lt;INDEX('Valo FX'!$R:$R,MATCH($A17,'Valo FX'!$A:$A,0)),INDEX(Base!$U:$U,MATCH($A17,Base!$A:$A,0)),IF(GM$1=INDEX('Valo FX'!$R:$R,MATCH($A17,'Valo FX'!$A:$A,0)),INDEX(Base!$V:$V,MATCH($A17,Base!$A:$A,0)),0)))</f>
        <v>12.433773</v>
      </c>
      <c r="GN17" s="21">
        <f>IF(GN$1&lt;INDEX('Valo FX'!$Q:$Q,MATCH($A17,'Valo FX'!$A:$A,0)),0,IF(GN$1&lt;INDEX('Valo FX'!$R:$R,MATCH($A17,'Valo FX'!$A:$A,0)),INDEX(Base!$U:$U,MATCH($A17,Base!$A:$A,0)),IF(GN$1=INDEX('Valo FX'!$R:$R,MATCH($A17,'Valo FX'!$A:$A,0)),INDEX(Base!$V:$V,MATCH($A17,Base!$A:$A,0)),0)))</f>
        <v>12.433773</v>
      </c>
      <c r="GO17" s="21">
        <f>IF(GO$1&lt;INDEX('Valo FX'!$Q:$Q,MATCH($A17,'Valo FX'!$A:$A,0)),0,IF(GO$1&lt;INDEX('Valo FX'!$R:$R,MATCH($A17,'Valo FX'!$A:$A,0)),INDEX(Base!$U:$U,MATCH($A17,Base!$A:$A,0)),IF(GO$1=INDEX('Valo FX'!$R:$R,MATCH($A17,'Valo FX'!$A:$A,0)),INDEX(Base!$V:$V,MATCH($A17,Base!$A:$A,0)),0)))</f>
        <v>12.433773</v>
      </c>
      <c r="GP17" s="21">
        <f>IF(GP$1&lt;INDEX('Valo FX'!$Q:$Q,MATCH($A17,'Valo FX'!$A:$A,0)),0,IF(GP$1&lt;INDEX('Valo FX'!$R:$R,MATCH($A17,'Valo FX'!$A:$A,0)),INDEX(Base!$U:$U,MATCH($A17,Base!$A:$A,0)),IF(GP$1=INDEX('Valo FX'!$R:$R,MATCH($A17,'Valo FX'!$A:$A,0)),INDEX(Base!$V:$V,MATCH($A17,Base!$A:$A,0)),0)))</f>
        <v>12.433773</v>
      </c>
      <c r="GQ17" s="21">
        <f>IF(GQ$1&lt;INDEX('Valo FX'!$Q:$Q,MATCH($A17,'Valo FX'!$A:$A,0)),0,IF(GQ$1&lt;INDEX('Valo FX'!$R:$R,MATCH($A17,'Valo FX'!$A:$A,0)),INDEX(Base!$U:$U,MATCH($A17,Base!$A:$A,0)),IF(GQ$1=INDEX('Valo FX'!$R:$R,MATCH($A17,'Valo FX'!$A:$A,0)),INDEX(Base!$V:$V,MATCH($A17,Base!$A:$A,0)),0)))</f>
        <v>12.433773</v>
      </c>
      <c r="GR17" s="21">
        <f>IF(GR$1&lt;INDEX('Valo FX'!$Q:$Q,MATCH($A17,'Valo FX'!$A:$A,0)),0,IF(GR$1&lt;INDEX('Valo FX'!$R:$R,MATCH($A17,'Valo FX'!$A:$A,0)),INDEX(Base!$U:$U,MATCH($A17,Base!$A:$A,0)),IF(GR$1=INDEX('Valo FX'!$R:$R,MATCH($A17,'Valo FX'!$A:$A,0)),INDEX(Base!$V:$V,MATCH($A17,Base!$A:$A,0)),0)))</f>
        <v>12.433773</v>
      </c>
      <c r="GS17" s="21">
        <f>IF(GS$1&lt;INDEX('Valo FX'!$Q:$Q,MATCH($A17,'Valo FX'!$A:$A,0)),0,IF(GS$1&lt;INDEX('Valo FX'!$R:$R,MATCH($A17,'Valo FX'!$A:$A,0)),INDEX(Base!$U:$U,MATCH($A17,Base!$A:$A,0)),IF(GS$1=INDEX('Valo FX'!$R:$R,MATCH($A17,'Valo FX'!$A:$A,0)),INDEX(Base!$V:$V,MATCH($A17,Base!$A:$A,0)),0)))</f>
        <v>12.433773</v>
      </c>
      <c r="GT17" s="21">
        <f>IF(GT$1&lt;INDEX('Valo FX'!$Q:$Q,MATCH($A17,'Valo FX'!$A:$A,0)),0,IF(GT$1&lt;INDEX('Valo FX'!$R:$R,MATCH($A17,'Valo FX'!$A:$A,0)),INDEX(Base!$U:$U,MATCH($A17,Base!$A:$A,0)),IF(GT$1=INDEX('Valo FX'!$R:$R,MATCH($A17,'Valo FX'!$A:$A,0)),INDEX(Base!$V:$V,MATCH($A17,Base!$A:$A,0)),0)))</f>
        <v>12.433773</v>
      </c>
      <c r="GU17" s="21">
        <f>IF(GU$1&lt;INDEX('Valo FX'!$Q:$Q,MATCH($A17,'Valo FX'!$A:$A,0)),0,IF(GU$1&lt;INDEX('Valo FX'!$R:$R,MATCH($A17,'Valo FX'!$A:$A,0)),INDEX(Base!$U:$U,MATCH($A17,Base!$A:$A,0)),IF(GU$1=INDEX('Valo FX'!$R:$R,MATCH($A17,'Valo FX'!$A:$A,0)),INDEX(Base!$V:$V,MATCH($A17,Base!$A:$A,0)),0)))</f>
        <v>12.433773</v>
      </c>
      <c r="GV17" s="21">
        <f>IF(GV$1&lt;INDEX('Valo FX'!$Q:$Q,MATCH($A17,'Valo FX'!$A:$A,0)),0,IF(GV$1&lt;INDEX('Valo FX'!$R:$R,MATCH($A17,'Valo FX'!$A:$A,0)),INDEX(Base!$U:$U,MATCH($A17,Base!$A:$A,0)),IF(GV$1=INDEX('Valo FX'!$R:$R,MATCH($A17,'Valo FX'!$A:$A,0)),INDEX(Base!$V:$V,MATCH($A17,Base!$A:$A,0)),0)))</f>
        <v>12.433773</v>
      </c>
      <c r="GW17" s="21">
        <f>IF(GW$1&lt;INDEX('Valo FX'!$Q:$Q,MATCH($A17,'Valo FX'!$A:$A,0)),0,IF(GW$1&lt;INDEX('Valo FX'!$R:$R,MATCH($A17,'Valo FX'!$A:$A,0)),INDEX(Base!$U:$U,MATCH($A17,Base!$A:$A,0)),IF(GW$1=INDEX('Valo FX'!$R:$R,MATCH($A17,'Valo FX'!$A:$A,0)),INDEX(Base!$V:$V,MATCH($A17,Base!$A:$A,0)),0)))</f>
        <v>12.433773</v>
      </c>
      <c r="GX17" s="21">
        <f>IF(GX$1&lt;INDEX('Valo FX'!$Q:$Q,MATCH($A17,'Valo FX'!$A:$A,0)),0,IF(GX$1&lt;INDEX('Valo FX'!$R:$R,MATCH($A17,'Valo FX'!$A:$A,0)),INDEX(Base!$U:$U,MATCH($A17,Base!$A:$A,0)),IF(GX$1=INDEX('Valo FX'!$R:$R,MATCH($A17,'Valo FX'!$A:$A,0)),INDEX(Base!$V:$V,MATCH($A17,Base!$A:$A,0)),0)))</f>
        <v>12.433773</v>
      </c>
      <c r="GY17" s="21">
        <f>IF(GY$1&lt;INDEX('Valo FX'!$Q:$Q,MATCH($A17,'Valo FX'!$A:$A,0)),0,IF(GY$1&lt;INDEX('Valo FX'!$R:$R,MATCH($A17,'Valo FX'!$A:$A,0)),INDEX(Base!$U:$U,MATCH($A17,Base!$A:$A,0)),IF(GY$1=INDEX('Valo FX'!$R:$R,MATCH($A17,'Valo FX'!$A:$A,0)),INDEX(Base!$V:$V,MATCH($A17,Base!$A:$A,0)),0)))</f>
        <v>12.433773</v>
      </c>
      <c r="GZ17" s="21">
        <f>IF(GZ$1&lt;INDEX('Valo FX'!$Q:$Q,MATCH($A17,'Valo FX'!$A:$A,0)),0,IF(GZ$1&lt;INDEX('Valo FX'!$R:$R,MATCH($A17,'Valo FX'!$A:$A,0)),INDEX(Base!$U:$U,MATCH($A17,Base!$A:$A,0)),IF(GZ$1=INDEX('Valo FX'!$R:$R,MATCH($A17,'Valo FX'!$A:$A,0)),INDEX(Base!$V:$V,MATCH($A17,Base!$A:$A,0)),0)))</f>
        <v>12.433773</v>
      </c>
      <c r="HA17" s="21">
        <f>IF(HA$1&lt;INDEX('Valo FX'!$Q:$Q,MATCH($A17,'Valo FX'!$A:$A,0)),0,IF(HA$1&lt;INDEX('Valo FX'!$R:$R,MATCH($A17,'Valo FX'!$A:$A,0)),INDEX(Base!$U:$U,MATCH($A17,Base!$A:$A,0)),IF(HA$1=INDEX('Valo FX'!$R:$R,MATCH($A17,'Valo FX'!$A:$A,0)),INDEX(Base!$V:$V,MATCH($A17,Base!$A:$A,0)),0)))</f>
        <v>12.433773</v>
      </c>
      <c r="HB17" s="21">
        <f>IF(HB$1&lt;INDEX('Valo FX'!$Q:$Q,MATCH($A17,'Valo FX'!$A:$A,0)),0,IF(HB$1&lt;INDEX('Valo FX'!$R:$R,MATCH($A17,'Valo FX'!$A:$A,0)),INDEX(Base!$U:$U,MATCH($A17,Base!$A:$A,0)),IF(HB$1=INDEX('Valo FX'!$R:$R,MATCH($A17,'Valo FX'!$A:$A,0)),INDEX(Base!$V:$V,MATCH($A17,Base!$A:$A,0)),0)))</f>
        <v>12.433773</v>
      </c>
      <c r="HC17" s="21">
        <f>IF(HC$1&lt;INDEX('Valo FX'!$Q:$Q,MATCH($A17,'Valo FX'!$A:$A,0)),0,IF(HC$1&lt;INDEX('Valo FX'!$R:$R,MATCH($A17,'Valo FX'!$A:$A,0)),INDEX(Base!$U:$U,MATCH($A17,Base!$A:$A,0)),IF(HC$1=INDEX('Valo FX'!$R:$R,MATCH($A17,'Valo FX'!$A:$A,0)),INDEX(Base!$V:$V,MATCH($A17,Base!$A:$A,0)),0)))</f>
        <v>12.433773</v>
      </c>
      <c r="HD17" s="21">
        <f>IF(HD$1&lt;INDEX('Valo FX'!$Q:$Q,MATCH($A17,'Valo FX'!$A:$A,0)),0,IF(HD$1&lt;INDEX('Valo FX'!$R:$R,MATCH($A17,'Valo FX'!$A:$A,0)),INDEX(Base!$U:$U,MATCH($A17,Base!$A:$A,0)),IF(HD$1=INDEX('Valo FX'!$R:$R,MATCH($A17,'Valo FX'!$A:$A,0)),INDEX(Base!$V:$V,MATCH($A17,Base!$A:$A,0)),0)))</f>
        <v>12.433773</v>
      </c>
      <c r="HE17" s="21">
        <f>IF(HE$1&lt;INDEX('Valo FX'!$Q:$Q,MATCH($A17,'Valo FX'!$A:$A,0)),0,IF(HE$1&lt;INDEX('Valo FX'!$R:$R,MATCH($A17,'Valo FX'!$A:$A,0)),INDEX(Base!$U:$U,MATCH($A17,Base!$A:$A,0)),IF(HE$1=INDEX('Valo FX'!$R:$R,MATCH($A17,'Valo FX'!$A:$A,0)),INDEX(Base!$V:$V,MATCH($A17,Base!$A:$A,0)),0)))</f>
        <v>12.433773</v>
      </c>
      <c r="HF17" s="21">
        <f>IF(HF$1&lt;INDEX('Valo FX'!$Q:$Q,MATCH($A17,'Valo FX'!$A:$A,0)),0,IF(HF$1&lt;INDEX('Valo FX'!$R:$R,MATCH($A17,'Valo FX'!$A:$A,0)),INDEX(Base!$U:$U,MATCH($A17,Base!$A:$A,0)),IF(HF$1=INDEX('Valo FX'!$R:$R,MATCH($A17,'Valo FX'!$A:$A,0)),INDEX(Base!$V:$V,MATCH($A17,Base!$A:$A,0)),0)))</f>
        <v>12.433773</v>
      </c>
      <c r="HG17" s="21">
        <f>IF(HG$1&lt;INDEX('Valo FX'!$Q:$Q,MATCH($A17,'Valo FX'!$A:$A,0)),0,IF(HG$1&lt;INDEX('Valo FX'!$R:$R,MATCH($A17,'Valo FX'!$A:$A,0)),INDEX(Base!$U:$U,MATCH($A17,Base!$A:$A,0)),IF(HG$1=INDEX('Valo FX'!$R:$R,MATCH($A17,'Valo FX'!$A:$A,0)),INDEX(Base!$V:$V,MATCH($A17,Base!$A:$A,0)),0)))</f>
        <v>12.433773</v>
      </c>
      <c r="HH17" s="21">
        <f>IF(HH$1&lt;INDEX('Valo FX'!$Q:$Q,MATCH($A17,'Valo FX'!$A:$A,0)),0,IF(HH$1&lt;INDEX('Valo FX'!$R:$R,MATCH($A17,'Valo FX'!$A:$A,0)),INDEX(Base!$U:$U,MATCH($A17,Base!$A:$A,0)),IF(HH$1=INDEX('Valo FX'!$R:$R,MATCH($A17,'Valo FX'!$A:$A,0)),INDEX(Base!$V:$V,MATCH($A17,Base!$A:$A,0)),0)))</f>
        <v>12.433773</v>
      </c>
      <c r="HI17" s="21">
        <f>IF(HI$1&lt;INDEX('Valo FX'!$Q:$Q,MATCH($A17,'Valo FX'!$A:$A,0)),0,IF(HI$1&lt;INDEX('Valo FX'!$R:$R,MATCH($A17,'Valo FX'!$A:$A,0)),INDEX(Base!$U:$U,MATCH($A17,Base!$A:$A,0)),IF(HI$1=INDEX('Valo FX'!$R:$R,MATCH($A17,'Valo FX'!$A:$A,0)),INDEX(Base!$V:$V,MATCH($A17,Base!$A:$A,0)),0)))</f>
        <v>12.433773</v>
      </c>
      <c r="HJ17" s="21">
        <f>IF(HJ$1&lt;INDEX('Valo FX'!$Q:$Q,MATCH($A17,'Valo FX'!$A:$A,0)),0,IF(HJ$1&lt;INDEX('Valo FX'!$R:$R,MATCH($A17,'Valo FX'!$A:$A,0)),INDEX(Base!$U:$U,MATCH($A17,Base!$A:$A,0)),IF(HJ$1=INDEX('Valo FX'!$R:$R,MATCH($A17,'Valo FX'!$A:$A,0)),INDEX(Base!$V:$V,MATCH($A17,Base!$A:$A,0)),0)))</f>
        <v>12.433773</v>
      </c>
      <c r="HK17" s="21">
        <f>IF(HK$1&lt;INDEX('Valo FX'!$Q:$Q,MATCH($A17,'Valo FX'!$A:$A,0)),0,IF(HK$1&lt;INDEX('Valo FX'!$R:$R,MATCH($A17,'Valo FX'!$A:$A,0)),INDEX(Base!$U:$U,MATCH($A17,Base!$A:$A,0)),IF(HK$1=INDEX('Valo FX'!$R:$R,MATCH($A17,'Valo FX'!$A:$A,0)),INDEX(Base!$V:$V,MATCH($A17,Base!$A:$A,0)),0)))</f>
        <v>12.433773</v>
      </c>
      <c r="HL17" s="21">
        <f>IF(HL$1&lt;INDEX('Valo FX'!$Q:$Q,MATCH($A17,'Valo FX'!$A:$A,0)),0,IF(HL$1&lt;INDEX('Valo FX'!$R:$R,MATCH($A17,'Valo FX'!$A:$A,0)),INDEX(Base!$U:$U,MATCH($A17,Base!$A:$A,0)),IF(HL$1=INDEX('Valo FX'!$R:$R,MATCH($A17,'Valo FX'!$A:$A,0)),INDEX(Base!$V:$V,MATCH($A17,Base!$A:$A,0)),0)))</f>
        <v>12.433773</v>
      </c>
      <c r="HM17" s="21">
        <f>IF(HM$1&lt;INDEX('Valo FX'!$Q:$Q,MATCH($A17,'Valo FX'!$A:$A,0)),0,IF(HM$1&lt;INDEX('Valo FX'!$R:$R,MATCH($A17,'Valo FX'!$A:$A,0)),INDEX(Base!$U:$U,MATCH($A17,Base!$A:$A,0)),IF(HM$1=INDEX('Valo FX'!$R:$R,MATCH($A17,'Valo FX'!$A:$A,0)),INDEX(Base!$V:$V,MATCH($A17,Base!$A:$A,0)),0)))</f>
        <v>12.433773</v>
      </c>
      <c r="HN17" s="21">
        <f>IF(HN$1&lt;INDEX('Valo FX'!$Q:$Q,MATCH($A17,'Valo FX'!$A:$A,0)),0,IF(HN$1&lt;INDEX('Valo FX'!$R:$R,MATCH($A17,'Valo FX'!$A:$A,0)),INDEX(Base!$U:$U,MATCH($A17,Base!$A:$A,0)),IF(HN$1=INDEX('Valo FX'!$R:$R,MATCH($A17,'Valo FX'!$A:$A,0)),INDEX(Base!$V:$V,MATCH($A17,Base!$A:$A,0)),0)))</f>
        <v>12.433773</v>
      </c>
      <c r="HO17" s="21">
        <f>IF(HO$1&lt;INDEX('Valo FX'!$Q:$Q,MATCH($A17,'Valo FX'!$A:$A,0)),0,IF(HO$1&lt;INDEX('Valo FX'!$R:$R,MATCH($A17,'Valo FX'!$A:$A,0)),INDEX(Base!$U:$U,MATCH($A17,Base!$A:$A,0)),IF(HO$1=INDEX('Valo FX'!$R:$R,MATCH($A17,'Valo FX'!$A:$A,0)),INDEX(Base!$V:$V,MATCH($A17,Base!$A:$A,0)),0)))</f>
        <v>12.433773</v>
      </c>
      <c r="HP17" s="21">
        <f>IF(HP$1&lt;INDEX('Valo FX'!$Q:$Q,MATCH($A17,'Valo FX'!$A:$A,0)),0,IF(HP$1&lt;INDEX('Valo FX'!$R:$R,MATCH($A17,'Valo FX'!$A:$A,0)),INDEX(Base!$U:$U,MATCH($A17,Base!$A:$A,0)),IF(HP$1=INDEX('Valo FX'!$R:$R,MATCH($A17,'Valo FX'!$A:$A,0)),INDEX(Base!$V:$V,MATCH($A17,Base!$A:$A,0)),0)))</f>
        <v>12.433773</v>
      </c>
      <c r="HQ17" s="21">
        <f>IF(HQ$1&lt;INDEX('Valo FX'!$Q:$Q,MATCH($A17,'Valo FX'!$A:$A,0)),0,IF(HQ$1&lt;INDEX('Valo FX'!$R:$R,MATCH($A17,'Valo FX'!$A:$A,0)),INDEX(Base!$U:$U,MATCH($A17,Base!$A:$A,0)),IF(HQ$1=INDEX('Valo FX'!$R:$R,MATCH($A17,'Valo FX'!$A:$A,0)),INDEX(Base!$V:$V,MATCH($A17,Base!$A:$A,0)),0)))</f>
        <v>12.433773</v>
      </c>
      <c r="HR17" s="21">
        <f>IF(HR$1&lt;INDEX('Valo FX'!$Q:$Q,MATCH($A17,'Valo FX'!$A:$A,0)),0,IF(HR$1&lt;INDEX('Valo FX'!$R:$R,MATCH($A17,'Valo FX'!$A:$A,0)),INDEX(Base!$U:$U,MATCH($A17,Base!$A:$A,0)),IF(HR$1=INDEX('Valo FX'!$R:$R,MATCH($A17,'Valo FX'!$A:$A,0)),INDEX(Base!$V:$V,MATCH($A17,Base!$A:$A,0)),0)))</f>
        <v>12.433773</v>
      </c>
      <c r="HS17" s="21">
        <f>IF(HS$1&lt;INDEX('Valo FX'!$Q:$Q,MATCH($A17,'Valo FX'!$A:$A,0)),0,IF(HS$1&lt;INDEX('Valo FX'!$R:$R,MATCH($A17,'Valo FX'!$A:$A,0)),INDEX(Base!$U:$U,MATCH($A17,Base!$A:$A,0)),IF(HS$1=INDEX('Valo FX'!$R:$R,MATCH($A17,'Valo FX'!$A:$A,0)),INDEX(Base!$V:$V,MATCH($A17,Base!$A:$A,0)),0)))</f>
        <v>12.433773</v>
      </c>
      <c r="HT17" s="21">
        <f>IF(HT$1&lt;INDEX('Valo FX'!$Q:$Q,MATCH($A17,'Valo FX'!$A:$A,0)),0,IF(HT$1&lt;INDEX('Valo FX'!$R:$R,MATCH($A17,'Valo FX'!$A:$A,0)),INDEX(Base!$U:$U,MATCH($A17,Base!$A:$A,0)),IF(HT$1=INDEX('Valo FX'!$R:$R,MATCH($A17,'Valo FX'!$A:$A,0)),INDEX(Base!$V:$V,MATCH($A17,Base!$A:$A,0)),0)))</f>
        <v>12.433773</v>
      </c>
      <c r="HU17" s="21">
        <f>IF(HU$1&lt;INDEX('Valo FX'!$Q:$Q,MATCH($A17,'Valo FX'!$A:$A,0)),0,IF(HU$1&lt;INDEX('Valo FX'!$R:$R,MATCH($A17,'Valo FX'!$A:$A,0)),INDEX(Base!$U:$U,MATCH($A17,Base!$A:$A,0)),IF(HU$1=INDEX('Valo FX'!$R:$R,MATCH($A17,'Valo FX'!$A:$A,0)),INDEX(Base!$V:$V,MATCH($A17,Base!$A:$A,0)),0)))</f>
        <v>12.433773</v>
      </c>
      <c r="HV17" s="21">
        <f>IF(HV$1&lt;INDEX('Valo FX'!$Q:$Q,MATCH($A17,'Valo FX'!$A:$A,0)),0,IF(HV$1&lt;INDEX('Valo FX'!$R:$R,MATCH($A17,'Valo FX'!$A:$A,0)),INDEX(Base!$U:$U,MATCH($A17,Base!$A:$A,0)),IF(HV$1=INDEX('Valo FX'!$R:$R,MATCH($A17,'Valo FX'!$A:$A,0)),INDEX(Base!$V:$V,MATCH($A17,Base!$A:$A,0)),0)))</f>
        <v>12.433773</v>
      </c>
      <c r="HW17" s="21">
        <f>IF(HW$1&lt;INDEX('Valo FX'!$Q:$Q,MATCH($A17,'Valo FX'!$A:$A,0)),0,IF(HW$1&lt;INDEX('Valo FX'!$R:$R,MATCH($A17,'Valo FX'!$A:$A,0)),INDEX(Base!$U:$U,MATCH($A17,Base!$A:$A,0)),IF(HW$1=INDEX('Valo FX'!$R:$R,MATCH($A17,'Valo FX'!$A:$A,0)),INDEX(Base!$V:$V,MATCH($A17,Base!$A:$A,0)),0)))</f>
        <v>12.433773</v>
      </c>
      <c r="HX17" s="21">
        <f>IF(HX$1&lt;INDEX('Valo FX'!$Q:$Q,MATCH($A17,'Valo FX'!$A:$A,0)),0,IF(HX$1&lt;INDEX('Valo FX'!$R:$R,MATCH($A17,'Valo FX'!$A:$A,0)),INDEX(Base!$U:$U,MATCH($A17,Base!$A:$A,0)),IF(HX$1=INDEX('Valo FX'!$R:$R,MATCH($A17,'Valo FX'!$A:$A,0)),INDEX(Base!$V:$V,MATCH($A17,Base!$A:$A,0)),0)))</f>
        <v>12.433773</v>
      </c>
      <c r="HY17" s="21">
        <f>IF(HY$1&lt;INDEX('Valo FX'!$Q:$Q,MATCH($A17,'Valo FX'!$A:$A,0)),0,IF(HY$1&lt;INDEX('Valo FX'!$R:$R,MATCH($A17,'Valo FX'!$A:$A,0)),INDEX(Base!$U:$U,MATCH($A17,Base!$A:$A,0)),IF(HY$1=INDEX('Valo FX'!$R:$R,MATCH($A17,'Valo FX'!$A:$A,0)),INDEX(Base!$V:$V,MATCH($A17,Base!$A:$A,0)),0)))</f>
        <v>12.433773</v>
      </c>
      <c r="HZ17" s="21">
        <f>IF(HZ$1&lt;INDEX('Valo FX'!$Q:$Q,MATCH($A17,'Valo FX'!$A:$A,0)),0,IF(HZ$1&lt;INDEX('Valo FX'!$R:$R,MATCH($A17,'Valo FX'!$A:$A,0)),INDEX(Base!$U:$U,MATCH($A17,Base!$A:$A,0)),IF(HZ$1=INDEX('Valo FX'!$R:$R,MATCH($A17,'Valo FX'!$A:$A,0)),INDEX(Base!$V:$V,MATCH($A17,Base!$A:$A,0)),0)))</f>
        <v>12.433773</v>
      </c>
      <c r="IA17" s="21">
        <f>IF(IA$1&lt;INDEX('Valo FX'!$Q:$Q,MATCH($A17,'Valo FX'!$A:$A,0)),0,IF(IA$1&lt;INDEX('Valo FX'!$R:$R,MATCH($A17,'Valo FX'!$A:$A,0)),INDEX(Base!$U:$U,MATCH($A17,Base!$A:$A,0)),IF(IA$1=INDEX('Valo FX'!$R:$R,MATCH($A17,'Valo FX'!$A:$A,0)),INDEX(Base!$V:$V,MATCH($A17,Base!$A:$A,0)),0)))</f>
        <v>12.433773</v>
      </c>
      <c r="IB17" s="21">
        <f>IF(IB$1&lt;INDEX('Valo FX'!$Q:$Q,MATCH($A17,'Valo FX'!$A:$A,0)),0,IF(IB$1&lt;INDEX('Valo FX'!$R:$R,MATCH($A17,'Valo FX'!$A:$A,0)),INDEX(Base!$U:$U,MATCH($A17,Base!$A:$A,0)),IF(IB$1=INDEX('Valo FX'!$R:$R,MATCH($A17,'Valo FX'!$A:$A,0)),INDEX(Base!$V:$V,MATCH($A17,Base!$A:$A,0)),0)))</f>
        <v>12.433773</v>
      </c>
      <c r="IC17" s="21">
        <f>IF(IC$1&lt;INDEX('Valo FX'!$Q:$Q,MATCH($A17,'Valo FX'!$A:$A,0)),0,IF(IC$1&lt;INDEX('Valo FX'!$R:$R,MATCH($A17,'Valo FX'!$A:$A,0)),INDEX(Base!$U:$U,MATCH($A17,Base!$A:$A,0)),IF(IC$1=INDEX('Valo FX'!$R:$R,MATCH($A17,'Valo FX'!$A:$A,0)),INDEX(Base!$V:$V,MATCH($A17,Base!$A:$A,0)),0)))</f>
        <v>12.433773</v>
      </c>
      <c r="ID17" s="21">
        <f>IF(ID$1&lt;INDEX('Valo FX'!$Q:$Q,MATCH($A17,'Valo FX'!$A:$A,0)),0,IF(ID$1&lt;INDEX('Valo FX'!$R:$R,MATCH($A17,'Valo FX'!$A:$A,0)),INDEX(Base!$U:$U,MATCH($A17,Base!$A:$A,0)),IF(ID$1=INDEX('Valo FX'!$R:$R,MATCH($A17,'Valo FX'!$A:$A,0)),INDEX(Base!$V:$V,MATCH($A17,Base!$A:$A,0)),0)))</f>
        <v>12.433773</v>
      </c>
      <c r="IE17" s="21">
        <f>IF(IE$1&lt;INDEX('Valo FX'!$Q:$Q,MATCH($A17,'Valo FX'!$A:$A,0)),0,IF(IE$1&lt;INDEX('Valo FX'!$R:$R,MATCH($A17,'Valo FX'!$A:$A,0)),INDEX(Base!$U:$U,MATCH($A17,Base!$A:$A,0)),IF(IE$1=INDEX('Valo FX'!$R:$R,MATCH($A17,'Valo FX'!$A:$A,0)),INDEX(Base!$V:$V,MATCH($A17,Base!$A:$A,0)),0)))</f>
        <v>12.433773</v>
      </c>
      <c r="IF17" s="21">
        <f>IF(IF$1&lt;INDEX('Valo FX'!$Q:$Q,MATCH($A17,'Valo FX'!$A:$A,0)),0,IF(IF$1&lt;INDEX('Valo FX'!$R:$R,MATCH($A17,'Valo FX'!$A:$A,0)),INDEX(Base!$U:$U,MATCH($A17,Base!$A:$A,0)),IF(IF$1=INDEX('Valo FX'!$R:$R,MATCH($A17,'Valo FX'!$A:$A,0)),INDEX(Base!$V:$V,MATCH($A17,Base!$A:$A,0)),0)))</f>
        <v>12.433773</v>
      </c>
      <c r="IG17" s="21">
        <f>IF(IG$1&lt;INDEX('Valo FX'!$Q:$Q,MATCH($A17,'Valo FX'!$A:$A,0)),0,IF(IG$1&lt;INDEX('Valo FX'!$R:$R,MATCH($A17,'Valo FX'!$A:$A,0)),INDEX(Base!$U:$U,MATCH($A17,Base!$A:$A,0)),IF(IG$1=INDEX('Valo FX'!$R:$R,MATCH($A17,'Valo FX'!$A:$A,0)),INDEX(Base!$V:$V,MATCH($A17,Base!$A:$A,0)),0)))</f>
        <v>12.433773</v>
      </c>
      <c r="IH17" s="21">
        <f>IF(IH$1&lt;INDEX('Valo FX'!$Q:$Q,MATCH($A17,'Valo FX'!$A:$A,0)),0,IF(IH$1&lt;INDEX('Valo FX'!$R:$R,MATCH($A17,'Valo FX'!$A:$A,0)),INDEX(Base!$U:$U,MATCH($A17,Base!$A:$A,0)),IF(IH$1=INDEX('Valo FX'!$R:$R,MATCH($A17,'Valo FX'!$A:$A,0)),INDEX(Base!$V:$V,MATCH($A17,Base!$A:$A,0)),0)))</f>
        <v>12.433773</v>
      </c>
      <c r="II17" s="21">
        <f>IF(II$1&lt;INDEX('Valo FX'!$Q:$Q,MATCH($A17,'Valo FX'!$A:$A,0)),0,IF(II$1&lt;INDEX('Valo FX'!$R:$R,MATCH($A17,'Valo FX'!$A:$A,0)),INDEX(Base!$U:$U,MATCH($A17,Base!$A:$A,0)),IF(II$1=INDEX('Valo FX'!$R:$R,MATCH($A17,'Valo FX'!$A:$A,0)),INDEX(Base!$V:$V,MATCH($A17,Base!$A:$A,0)),0)))</f>
        <v>12.433773</v>
      </c>
      <c r="IJ17" s="21">
        <f>IF(IJ$1&lt;INDEX('Valo FX'!$Q:$Q,MATCH($A17,'Valo FX'!$A:$A,0)),0,IF(IJ$1&lt;INDEX('Valo FX'!$R:$R,MATCH($A17,'Valo FX'!$A:$A,0)),INDEX(Base!$U:$U,MATCH($A17,Base!$A:$A,0)),IF(IJ$1=INDEX('Valo FX'!$R:$R,MATCH($A17,'Valo FX'!$A:$A,0)),INDEX(Base!$V:$V,MATCH($A17,Base!$A:$A,0)),0)))</f>
        <v>12.433773</v>
      </c>
      <c r="IK17" s="21">
        <f>IF(IK$1&lt;INDEX('Valo FX'!$Q:$Q,MATCH($A17,'Valo FX'!$A:$A,0)),0,IF(IK$1&lt;INDEX('Valo FX'!$R:$R,MATCH($A17,'Valo FX'!$A:$A,0)),INDEX(Base!$U:$U,MATCH($A17,Base!$A:$A,0)),IF(IK$1=INDEX('Valo FX'!$R:$R,MATCH($A17,'Valo FX'!$A:$A,0)),INDEX(Base!$V:$V,MATCH($A17,Base!$A:$A,0)),0)))</f>
        <v>12.433773</v>
      </c>
      <c r="IL17" s="21">
        <f>IF(IL$1&lt;INDEX('Valo FX'!$Q:$Q,MATCH($A17,'Valo FX'!$A:$A,0)),0,IF(IL$1&lt;INDEX('Valo FX'!$R:$R,MATCH($A17,'Valo FX'!$A:$A,0)),INDEX(Base!$U:$U,MATCH($A17,Base!$A:$A,0)),IF(IL$1=INDEX('Valo FX'!$R:$R,MATCH($A17,'Valo FX'!$A:$A,0)),INDEX(Base!$V:$V,MATCH($A17,Base!$A:$A,0)),0)))</f>
        <v>12.433773</v>
      </c>
      <c r="IM17" s="21">
        <f>IF(IM$1&lt;INDEX('Valo FX'!$Q:$Q,MATCH($A17,'Valo FX'!$A:$A,0)),0,IF(IM$1&lt;INDEX('Valo FX'!$R:$R,MATCH($A17,'Valo FX'!$A:$A,0)),INDEX(Base!$U:$U,MATCH($A17,Base!$A:$A,0)),IF(IM$1=INDEX('Valo FX'!$R:$R,MATCH($A17,'Valo FX'!$A:$A,0)),INDEX(Base!$V:$V,MATCH($A17,Base!$A:$A,0)),0)))</f>
        <v>12.433773</v>
      </c>
      <c r="IN17" s="21">
        <f>IF(IN$1&lt;INDEX('Valo FX'!$Q:$Q,MATCH($A17,'Valo FX'!$A:$A,0)),0,IF(IN$1&lt;INDEX('Valo FX'!$R:$R,MATCH($A17,'Valo FX'!$A:$A,0)),INDEX(Base!$U:$U,MATCH($A17,Base!$A:$A,0)),IF(IN$1=INDEX('Valo FX'!$R:$R,MATCH($A17,'Valo FX'!$A:$A,0)),INDEX(Base!$V:$V,MATCH($A17,Base!$A:$A,0)),0)))</f>
        <v>12.433773</v>
      </c>
      <c r="IO17" s="21">
        <f>IF(IO$1&lt;INDEX('Valo FX'!$Q:$Q,MATCH($A17,'Valo FX'!$A:$A,0)),0,IF(IO$1&lt;INDEX('Valo FX'!$R:$R,MATCH($A17,'Valo FX'!$A:$A,0)),INDEX(Base!$U:$U,MATCH($A17,Base!$A:$A,0)),IF(IO$1=INDEX('Valo FX'!$R:$R,MATCH($A17,'Valo FX'!$A:$A,0)),INDEX(Base!$V:$V,MATCH($A17,Base!$A:$A,0)),0)))</f>
        <v>12.433773</v>
      </c>
      <c r="IP17" s="21">
        <f>IF(IP$1&lt;INDEX('Valo FX'!$Q:$Q,MATCH($A17,'Valo FX'!$A:$A,0)),0,IF(IP$1&lt;INDEX('Valo FX'!$R:$R,MATCH($A17,'Valo FX'!$A:$A,0)),INDEX(Base!$U:$U,MATCH($A17,Base!$A:$A,0)),IF(IP$1=INDEX('Valo FX'!$R:$R,MATCH($A17,'Valo FX'!$A:$A,0)),INDEX(Base!$V:$V,MATCH($A17,Base!$A:$A,0)),0)))</f>
        <v>12.433773</v>
      </c>
      <c r="IQ17" s="21">
        <f>IF(IQ$1&lt;INDEX('Valo FX'!$Q:$Q,MATCH($A17,'Valo FX'!$A:$A,0)),0,IF(IQ$1&lt;INDEX('Valo FX'!$R:$R,MATCH($A17,'Valo FX'!$A:$A,0)),INDEX(Base!$U:$U,MATCH($A17,Base!$A:$A,0)),IF(IQ$1=INDEX('Valo FX'!$R:$R,MATCH($A17,'Valo FX'!$A:$A,0)),INDEX(Base!$V:$V,MATCH($A17,Base!$A:$A,0)),0)))</f>
        <v>12.433773</v>
      </c>
      <c r="IR17" s="21">
        <f>IF(IR$1&lt;INDEX('Valo FX'!$Q:$Q,MATCH($A17,'Valo FX'!$A:$A,0)),0,IF(IR$1&lt;INDEX('Valo FX'!$R:$R,MATCH($A17,'Valo FX'!$A:$A,0)),INDEX(Base!$U:$U,MATCH($A17,Base!$A:$A,0)),IF(IR$1=INDEX('Valo FX'!$R:$R,MATCH($A17,'Valo FX'!$A:$A,0)),INDEX(Base!$V:$V,MATCH($A17,Base!$A:$A,0)),0)))</f>
        <v>12.433773</v>
      </c>
      <c r="IS17" s="21">
        <f>IF(IS$1&lt;INDEX('Valo FX'!$Q:$Q,MATCH($A17,'Valo FX'!$A:$A,0)),0,IF(IS$1&lt;INDEX('Valo FX'!$R:$R,MATCH($A17,'Valo FX'!$A:$A,0)),INDEX(Base!$U:$U,MATCH($A17,Base!$A:$A,0)),IF(IS$1=INDEX('Valo FX'!$R:$R,MATCH($A17,'Valo FX'!$A:$A,0)),INDEX(Base!$V:$V,MATCH($A17,Base!$A:$A,0)),0)))</f>
        <v>12.433773</v>
      </c>
      <c r="IT17" s="21">
        <f>IF(IT$1&lt;INDEX('Valo FX'!$Q:$Q,MATCH($A17,'Valo FX'!$A:$A,0)),0,IF(IT$1&lt;INDEX('Valo FX'!$R:$R,MATCH($A17,'Valo FX'!$A:$A,0)),INDEX(Base!$U:$U,MATCH($A17,Base!$A:$A,0)),IF(IT$1=INDEX('Valo FX'!$R:$R,MATCH($A17,'Valo FX'!$A:$A,0)),INDEX(Base!$V:$V,MATCH($A17,Base!$A:$A,0)),0)))</f>
        <v>12.433773</v>
      </c>
      <c r="IU17" s="21">
        <f>IF(IU$1&lt;INDEX('Valo FX'!$Q:$Q,MATCH($A17,'Valo FX'!$A:$A,0)),0,IF(IU$1&lt;INDEX('Valo FX'!$R:$R,MATCH($A17,'Valo FX'!$A:$A,0)),INDEX(Base!$U:$U,MATCH($A17,Base!$A:$A,0)),IF(IU$1=INDEX('Valo FX'!$R:$R,MATCH($A17,'Valo FX'!$A:$A,0)),INDEX(Base!$V:$V,MATCH($A17,Base!$A:$A,0)),0)))</f>
        <v>12.433773</v>
      </c>
      <c r="IV17" s="21">
        <f>IF(IV$1&lt;INDEX('Valo FX'!$Q:$Q,MATCH($A17,'Valo FX'!$A:$A,0)),0,IF(IV$1&lt;INDEX('Valo FX'!$R:$R,MATCH($A17,'Valo FX'!$A:$A,0)),INDEX(Base!$U:$U,MATCH($A17,Base!$A:$A,0)),IF(IV$1=INDEX('Valo FX'!$R:$R,MATCH($A17,'Valo FX'!$A:$A,0)),INDEX(Base!$V:$V,MATCH($A17,Base!$A:$A,0)),0)))</f>
        <v>12.433773</v>
      </c>
      <c r="IW17" s="21">
        <f>IF(IW$1&lt;INDEX('Valo FX'!$Q:$Q,MATCH($A17,'Valo FX'!$A:$A,0)),0,IF(IW$1&lt;INDEX('Valo FX'!$R:$R,MATCH($A17,'Valo FX'!$A:$A,0)),INDEX(Base!$U:$U,MATCH($A17,Base!$A:$A,0)),IF(IW$1=INDEX('Valo FX'!$R:$R,MATCH($A17,'Valo FX'!$A:$A,0)),INDEX(Base!$V:$V,MATCH($A17,Base!$A:$A,0)),0)))</f>
        <v>12.433773</v>
      </c>
      <c r="IX17" s="21">
        <f>IF(IX$1&lt;INDEX('Valo FX'!$Q:$Q,MATCH($A17,'Valo FX'!$A:$A,0)),0,IF(IX$1&lt;INDEX('Valo FX'!$R:$R,MATCH($A17,'Valo FX'!$A:$A,0)),INDEX(Base!$U:$U,MATCH($A17,Base!$A:$A,0)),IF(IX$1=INDEX('Valo FX'!$R:$R,MATCH($A17,'Valo FX'!$A:$A,0)),INDEX(Base!$V:$V,MATCH($A17,Base!$A:$A,0)),0)))</f>
        <v>12.433773</v>
      </c>
      <c r="IY17" s="21">
        <f>IF(IY$1&lt;INDEX('Valo FX'!$Q:$Q,MATCH($A17,'Valo FX'!$A:$A,0)),0,IF(IY$1&lt;INDEX('Valo FX'!$R:$R,MATCH($A17,'Valo FX'!$A:$A,0)),INDEX(Base!$U:$U,MATCH($A17,Base!$A:$A,0)),IF(IY$1=INDEX('Valo FX'!$R:$R,MATCH($A17,'Valo FX'!$A:$A,0)),INDEX(Base!$V:$V,MATCH($A17,Base!$A:$A,0)),0)))</f>
        <v>12.433773</v>
      </c>
      <c r="IZ17" s="21">
        <f>IF(IZ$1&lt;INDEX('Valo FX'!$Q:$Q,MATCH($A17,'Valo FX'!$A:$A,0)),0,IF(IZ$1&lt;INDEX('Valo FX'!$R:$R,MATCH($A17,'Valo FX'!$A:$A,0)),INDEX(Base!$U:$U,MATCH($A17,Base!$A:$A,0)),IF(IZ$1=INDEX('Valo FX'!$R:$R,MATCH($A17,'Valo FX'!$A:$A,0)),INDEX(Base!$V:$V,MATCH($A17,Base!$A:$A,0)),0)))</f>
        <v>12.433773</v>
      </c>
      <c r="JA17" s="21">
        <f>IF(JA$1&lt;INDEX('Valo FX'!$Q:$Q,MATCH($A17,'Valo FX'!$A:$A,0)),0,IF(JA$1&lt;INDEX('Valo FX'!$R:$R,MATCH($A17,'Valo FX'!$A:$A,0)),INDEX(Base!$U:$U,MATCH($A17,Base!$A:$A,0)),IF(JA$1=INDEX('Valo FX'!$R:$R,MATCH($A17,'Valo FX'!$A:$A,0)),INDEX(Base!$V:$V,MATCH($A17,Base!$A:$A,0)),0)))</f>
        <v>12.433773</v>
      </c>
      <c r="JB17" s="21">
        <f>IF(JB$1&lt;INDEX('Valo FX'!$Q:$Q,MATCH($A17,'Valo FX'!$A:$A,0)),0,IF(JB$1&lt;INDEX('Valo FX'!$R:$R,MATCH($A17,'Valo FX'!$A:$A,0)),INDEX(Base!$U:$U,MATCH($A17,Base!$A:$A,0)),IF(JB$1=INDEX('Valo FX'!$R:$R,MATCH($A17,'Valo FX'!$A:$A,0)),INDEX(Base!$V:$V,MATCH($A17,Base!$A:$A,0)),0)))</f>
        <v>12.433773</v>
      </c>
      <c r="JC17" s="21">
        <f>IF(JC$1&lt;INDEX('Valo FX'!$Q:$Q,MATCH($A17,'Valo FX'!$A:$A,0)),0,IF(JC$1&lt;INDEX('Valo FX'!$R:$R,MATCH($A17,'Valo FX'!$A:$A,0)),INDEX(Base!$U:$U,MATCH($A17,Base!$A:$A,0)),IF(JC$1=INDEX('Valo FX'!$R:$R,MATCH($A17,'Valo FX'!$A:$A,0)),INDEX(Base!$V:$V,MATCH($A17,Base!$A:$A,0)),0)))</f>
        <v>12.433773</v>
      </c>
      <c r="JD17" s="21">
        <f>IF(JD$1&lt;INDEX('Valo FX'!$Q:$Q,MATCH($A17,'Valo FX'!$A:$A,0)),0,IF(JD$1&lt;INDEX('Valo FX'!$R:$R,MATCH($A17,'Valo FX'!$A:$A,0)),INDEX(Base!$U:$U,MATCH($A17,Base!$A:$A,0)),IF(JD$1=INDEX('Valo FX'!$R:$R,MATCH($A17,'Valo FX'!$A:$A,0)),INDEX(Base!$V:$V,MATCH($A17,Base!$A:$A,0)),0)))</f>
        <v>12.433773</v>
      </c>
      <c r="JE17" s="21">
        <f>IF(JE$1&lt;INDEX('Valo FX'!$Q:$Q,MATCH($A17,'Valo FX'!$A:$A,0)),0,IF(JE$1&lt;INDEX('Valo FX'!$R:$R,MATCH($A17,'Valo FX'!$A:$A,0)),INDEX(Base!$U:$U,MATCH($A17,Base!$A:$A,0)),IF(JE$1=INDEX('Valo FX'!$R:$R,MATCH($A17,'Valo FX'!$A:$A,0)),INDEX(Base!$V:$V,MATCH($A17,Base!$A:$A,0)),0)))</f>
        <v>12.433773</v>
      </c>
      <c r="JF17" s="21">
        <f>IF(JF$1&lt;INDEX('Valo FX'!$Q:$Q,MATCH($A17,'Valo FX'!$A:$A,0)),0,IF(JF$1&lt;INDEX('Valo FX'!$R:$R,MATCH($A17,'Valo FX'!$A:$A,0)),INDEX(Base!$U:$U,MATCH($A17,Base!$A:$A,0)),IF(JF$1=INDEX('Valo FX'!$R:$R,MATCH($A17,'Valo FX'!$A:$A,0)),INDEX(Base!$V:$V,MATCH($A17,Base!$A:$A,0)),0)))</f>
        <v>12.433773</v>
      </c>
      <c r="JG17" s="21">
        <f>IF(JG$1&lt;INDEX('Valo FX'!$Q:$Q,MATCH($A17,'Valo FX'!$A:$A,0)),0,IF(JG$1&lt;INDEX('Valo FX'!$R:$R,MATCH($A17,'Valo FX'!$A:$A,0)),INDEX(Base!$U:$U,MATCH($A17,Base!$A:$A,0)),IF(JG$1=INDEX('Valo FX'!$R:$R,MATCH($A17,'Valo FX'!$A:$A,0)),INDEX(Base!$V:$V,MATCH($A17,Base!$A:$A,0)),0)))</f>
        <v>12.433773</v>
      </c>
      <c r="JH17" s="21">
        <f>IF(JH$1&lt;INDEX('Valo FX'!$Q:$Q,MATCH($A17,'Valo FX'!$A:$A,0)),0,IF(JH$1&lt;INDEX('Valo FX'!$R:$R,MATCH($A17,'Valo FX'!$A:$A,0)),INDEX(Base!$U:$U,MATCH($A17,Base!$A:$A,0)),IF(JH$1=INDEX('Valo FX'!$R:$R,MATCH($A17,'Valo FX'!$A:$A,0)),INDEX(Base!$V:$V,MATCH($A17,Base!$A:$A,0)),0)))</f>
        <v>12.433773</v>
      </c>
      <c r="JI17" s="21">
        <f>IF(JI$1&lt;INDEX('Valo FX'!$Q:$Q,MATCH($A17,'Valo FX'!$A:$A,0)),0,IF(JI$1&lt;INDEX('Valo FX'!$R:$R,MATCH($A17,'Valo FX'!$A:$A,0)),INDEX(Base!$U:$U,MATCH($A17,Base!$A:$A,0)),IF(JI$1=INDEX('Valo FX'!$R:$R,MATCH($A17,'Valo FX'!$A:$A,0)),INDEX(Base!$V:$V,MATCH($A17,Base!$A:$A,0)),0)))</f>
        <v>12.433773</v>
      </c>
      <c r="JJ17" s="21">
        <f>IF(JJ$1&lt;INDEX('Valo FX'!$Q:$Q,MATCH($A17,'Valo FX'!$A:$A,0)),0,IF(JJ$1&lt;INDEX('Valo FX'!$R:$R,MATCH($A17,'Valo FX'!$A:$A,0)),INDEX(Base!$U:$U,MATCH($A17,Base!$A:$A,0)),IF(JJ$1=INDEX('Valo FX'!$R:$R,MATCH($A17,'Valo FX'!$A:$A,0)),INDEX(Base!$V:$V,MATCH($A17,Base!$A:$A,0)),0)))</f>
        <v>12.433773</v>
      </c>
      <c r="JK17" s="21">
        <f>IF(JK$1&lt;INDEX('Valo FX'!$Q:$Q,MATCH($A17,'Valo FX'!$A:$A,0)),0,IF(JK$1&lt;INDEX('Valo FX'!$R:$R,MATCH($A17,'Valo FX'!$A:$A,0)),INDEX(Base!$U:$U,MATCH($A17,Base!$A:$A,0)),IF(JK$1=INDEX('Valo FX'!$R:$R,MATCH($A17,'Valo FX'!$A:$A,0)),INDEX(Base!$V:$V,MATCH($A17,Base!$A:$A,0)),0)))</f>
        <v>12.433773</v>
      </c>
      <c r="JL17" s="21">
        <f>IF(JL$1&lt;INDEX('Valo FX'!$Q:$Q,MATCH($A17,'Valo FX'!$A:$A,0)),0,IF(JL$1&lt;INDEX('Valo FX'!$R:$R,MATCH($A17,'Valo FX'!$A:$A,0)),INDEX(Base!$U:$U,MATCH($A17,Base!$A:$A,0)),IF(JL$1=INDEX('Valo FX'!$R:$R,MATCH($A17,'Valo FX'!$A:$A,0)),INDEX(Base!$V:$V,MATCH($A17,Base!$A:$A,0)),0)))</f>
        <v>12.433773</v>
      </c>
      <c r="JM17" s="21">
        <f>IF(JM$1&lt;INDEX('Valo FX'!$Q:$Q,MATCH($A17,'Valo FX'!$A:$A,0)),0,IF(JM$1&lt;INDEX('Valo FX'!$R:$R,MATCH($A17,'Valo FX'!$A:$A,0)),INDEX(Base!$U:$U,MATCH($A17,Base!$A:$A,0)),IF(JM$1=INDEX('Valo FX'!$R:$R,MATCH($A17,'Valo FX'!$A:$A,0)),INDEX(Base!$V:$V,MATCH($A17,Base!$A:$A,0)),0)))</f>
        <v>12.433773</v>
      </c>
      <c r="JN17" s="21">
        <f>IF(JN$1&lt;INDEX('Valo FX'!$Q:$Q,MATCH($A17,'Valo FX'!$A:$A,0)),0,IF(JN$1&lt;INDEX('Valo FX'!$R:$R,MATCH($A17,'Valo FX'!$A:$A,0)),INDEX(Base!$U:$U,MATCH($A17,Base!$A:$A,0)),IF(JN$1=INDEX('Valo FX'!$R:$R,MATCH($A17,'Valo FX'!$A:$A,0)),INDEX(Base!$V:$V,MATCH($A17,Base!$A:$A,0)),0)))</f>
        <v>12.433773</v>
      </c>
      <c r="JO17" s="21">
        <f>IF(JO$1&lt;INDEX('Valo FX'!$Q:$Q,MATCH($A17,'Valo FX'!$A:$A,0)),0,IF(JO$1&lt;INDEX('Valo FX'!$R:$R,MATCH($A17,'Valo FX'!$A:$A,0)),INDEX(Base!$U:$U,MATCH($A17,Base!$A:$A,0)),IF(JO$1=INDEX('Valo FX'!$R:$R,MATCH($A17,'Valo FX'!$A:$A,0)),INDEX(Base!$V:$V,MATCH($A17,Base!$A:$A,0)),0)))</f>
        <v>12.433773</v>
      </c>
      <c r="JP17" s="21">
        <f>IF(JP$1&lt;INDEX('Valo FX'!$Q:$Q,MATCH($A17,'Valo FX'!$A:$A,0)),0,IF(JP$1&lt;INDEX('Valo FX'!$R:$R,MATCH($A17,'Valo FX'!$A:$A,0)),INDEX(Base!$U:$U,MATCH($A17,Base!$A:$A,0)),IF(JP$1=INDEX('Valo FX'!$R:$R,MATCH($A17,'Valo FX'!$A:$A,0)),INDEX(Base!$V:$V,MATCH($A17,Base!$A:$A,0)),0)))</f>
        <v>12.433773</v>
      </c>
      <c r="JQ17" s="21">
        <f>IF(JQ$1&lt;INDEX('Valo FX'!$Q:$Q,MATCH($A17,'Valo FX'!$A:$A,0)),0,IF(JQ$1&lt;INDEX('Valo FX'!$R:$R,MATCH($A17,'Valo FX'!$A:$A,0)),INDEX(Base!$U:$U,MATCH($A17,Base!$A:$A,0)),IF(JQ$1=INDEX('Valo FX'!$R:$R,MATCH($A17,'Valo FX'!$A:$A,0)),INDEX(Base!$V:$V,MATCH($A17,Base!$A:$A,0)),0)))</f>
        <v>12.433773</v>
      </c>
      <c r="JR17" s="21">
        <f>IF(JR$1&lt;INDEX('Valo FX'!$Q:$Q,MATCH($A17,'Valo FX'!$A:$A,0)),0,IF(JR$1&lt;INDEX('Valo FX'!$R:$R,MATCH($A17,'Valo FX'!$A:$A,0)),INDEX(Base!$U:$U,MATCH($A17,Base!$A:$A,0)),IF(JR$1=INDEX('Valo FX'!$R:$R,MATCH($A17,'Valo FX'!$A:$A,0)),INDEX(Base!$V:$V,MATCH($A17,Base!$A:$A,0)),0)))</f>
        <v>12.433773</v>
      </c>
      <c r="JS17" s="21">
        <f>IF(JS$1&lt;INDEX('Valo FX'!$Q:$Q,MATCH($A17,'Valo FX'!$A:$A,0)),0,IF(JS$1&lt;INDEX('Valo FX'!$R:$R,MATCH($A17,'Valo FX'!$A:$A,0)),INDEX(Base!$U:$U,MATCH($A17,Base!$A:$A,0)),IF(JS$1=INDEX('Valo FX'!$R:$R,MATCH($A17,'Valo FX'!$A:$A,0)),INDEX(Base!$V:$V,MATCH($A17,Base!$A:$A,0)),0)))</f>
        <v>12.433773</v>
      </c>
      <c r="JT17" s="21">
        <f>IF(JT$1&lt;INDEX('Valo FX'!$Q:$Q,MATCH($A17,'Valo FX'!$A:$A,0)),0,IF(JT$1&lt;INDEX('Valo FX'!$R:$R,MATCH($A17,'Valo FX'!$A:$A,0)),INDEX(Base!$U:$U,MATCH($A17,Base!$A:$A,0)),IF(JT$1=INDEX('Valo FX'!$R:$R,MATCH($A17,'Valo FX'!$A:$A,0)),INDEX(Base!$V:$V,MATCH($A17,Base!$A:$A,0)),0)))</f>
        <v>12.433773</v>
      </c>
      <c r="JU17" s="21">
        <f>IF(JU$1&lt;INDEX('Valo FX'!$Q:$Q,MATCH($A17,'Valo FX'!$A:$A,0)),0,IF(JU$1&lt;INDEX('Valo FX'!$R:$R,MATCH($A17,'Valo FX'!$A:$A,0)),INDEX(Base!$U:$U,MATCH($A17,Base!$A:$A,0)),IF(JU$1=INDEX('Valo FX'!$R:$R,MATCH($A17,'Valo FX'!$A:$A,0)),INDEX(Base!$V:$V,MATCH($A17,Base!$A:$A,0)),0)))</f>
        <v>12.433773</v>
      </c>
      <c r="JV17" s="21">
        <f>IF(JV$1&lt;INDEX('Valo FX'!$Q:$Q,MATCH($A17,'Valo FX'!$A:$A,0)),0,IF(JV$1&lt;INDEX('Valo FX'!$R:$R,MATCH($A17,'Valo FX'!$A:$A,0)),INDEX(Base!$U:$U,MATCH($A17,Base!$A:$A,0)),IF(JV$1=INDEX('Valo FX'!$R:$R,MATCH($A17,'Valo FX'!$A:$A,0)),INDEX(Base!$V:$V,MATCH($A17,Base!$A:$A,0)),0)))</f>
        <v>12.433773</v>
      </c>
      <c r="JW17" s="21">
        <f>IF(JW$1&lt;INDEX('Valo FX'!$Q:$Q,MATCH($A17,'Valo FX'!$A:$A,0)),0,IF(JW$1&lt;INDEX('Valo FX'!$R:$R,MATCH($A17,'Valo FX'!$A:$A,0)),INDEX(Base!$U:$U,MATCH($A17,Base!$A:$A,0)),IF(JW$1=INDEX('Valo FX'!$R:$R,MATCH($A17,'Valo FX'!$A:$A,0)),INDEX(Base!$V:$V,MATCH($A17,Base!$A:$A,0)),0)))</f>
        <v>12.433773</v>
      </c>
      <c r="JX17" s="21">
        <f>IF(JX$1&lt;INDEX('Valo FX'!$Q:$Q,MATCH($A17,'Valo FX'!$A:$A,0)),0,IF(JX$1&lt;INDEX('Valo FX'!$R:$R,MATCH($A17,'Valo FX'!$A:$A,0)),INDEX(Base!$U:$U,MATCH($A17,Base!$A:$A,0)),IF(JX$1=INDEX('Valo FX'!$R:$R,MATCH($A17,'Valo FX'!$A:$A,0)),INDEX(Base!$V:$V,MATCH($A17,Base!$A:$A,0)),0)))</f>
        <v>12.433773</v>
      </c>
      <c r="JY17" s="21">
        <f>IF(JY$1&lt;INDEX('Valo FX'!$Q:$Q,MATCH($A17,'Valo FX'!$A:$A,0)),0,IF(JY$1&lt;INDEX('Valo FX'!$R:$R,MATCH($A17,'Valo FX'!$A:$A,0)),INDEX(Base!$U:$U,MATCH($A17,Base!$A:$A,0)),IF(JY$1=INDEX('Valo FX'!$R:$R,MATCH($A17,'Valo FX'!$A:$A,0)),INDEX(Base!$V:$V,MATCH($A17,Base!$A:$A,0)),0)))</f>
        <v>12.433773</v>
      </c>
      <c r="JZ17" s="21">
        <f>IF(JZ$1&lt;INDEX('Valo FX'!$Q:$Q,MATCH($A17,'Valo FX'!$A:$A,0)),0,IF(JZ$1&lt;INDEX('Valo FX'!$R:$R,MATCH($A17,'Valo FX'!$A:$A,0)),INDEX(Base!$U:$U,MATCH($A17,Base!$A:$A,0)),IF(JZ$1=INDEX('Valo FX'!$R:$R,MATCH($A17,'Valo FX'!$A:$A,0)),INDEX(Base!$V:$V,MATCH($A17,Base!$A:$A,0)),0)))</f>
        <v>12.433773</v>
      </c>
      <c r="KA17" s="21">
        <f>IF(KA$1&lt;INDEX('Valo FX'!$Q:$Q,MATCH($A17,'Valo FX'!$A:$A,0)),0,IF(KA$1&lt;INDEX('Valo FX'!$R:$R,MATCH($A17,'Valo FX'!$A:$A,0)),INDEX(Base!$U:$U,MATCH($A17,Base!$A:$A,0)),IF(KA$1=INDEX('Valo FX'!$R:$R,MATCH($A17,'Valo FX'!$A:$A,0)),INDEX(Base!$V:$V,MATCH($A17,Base!$A:$A,0)),0)))</f>
        <v>12.433773</v>
      </c>
      <c r="KB17" s="21">
        <f>IF(KB$1&lt;INDEX('Valo FX'!$Q:$Q,MATCH($A17,'Valo FX'!$A:$A,0)),0,IF(KB$1&lt;INDEX('Valo FX'!$R:$R,MATCH($A17,'Valo FX'!$A:$A,0)),INDEX(Base!$U:$U,MATCH($A17,Base!$A:$A,0)),IF(KB$1=INDEX('Valo FX'!$R:$R,MATCH($A17,'Valo FX'!$A:$A,0)),INDEX(Base!$V:$V,MATCH($A17,Base!$A:$A,0)),0)))</f>
        <v>12.433773</v>
      </c>
      <c r="KC17" s="21">
        <f>IF(KC$1&lt;INDEX('Valo FX'!$Q:$Q,MATCH($A17,'Valo FX'!$A:$A,0)),0,IF(KC$1&lt;INDEX('Valo FX'!$R:$R,MATCH($A17,'Valo FX'!$A:$A,0)),INDEX(Base!$U:$U,MATCH($A17,Base!$A:$A,0)),IF(KC$1=INDEX('Valo FX'!$R:$R,MATCH($A17,'Valo FX'!$A:$A,0)),INDEX(Base!$V:$V,MATCH($A17,Base!$A:$A,0)),0)))</f>
        <v>12.433773</v>
      </c>
      <c r="KD17" s="21">
        <f>IF(KD$1&lt;INDEX('Valo FX'!$Q:$Q,MATCH($A17,'Valo FX'!$A:$A,0)),0,IF(KD$1&lt;INDEX('Valo FX'!$R:$R,MATCH($A17,'Valo FX'!$A:$A,0)),INDEX(Base!$U:$U,MATCH($A17,Base!$A:$A,0)),IF(KD$1=INDEX('Valo FX'!$R:$R,MATCH($A17,'Valo FX'!$A:$A,0)),INDEX(Base!$V:$V,MATCH($A17,Base!$A:$A,0)),0)))</f>
        <v>12.433773</v>
      </c>
      <c r="KE17" s="21">
        <f>IF(KE$1&lt;INDEX('Valo FX'!$Q:$Q,MATCH($A17,'Valo FX'!$A:$A,0)),0,IF(KE$1&lt;INDEX('Valo FX'!$R:$R,MATCH($A17,'Valo FX'!$A:$A,0)),INDEX(Base!$U:$U,MATCH($A17,Base!$A:$A,0)),IF(KE$1=INDEX('Valo FX'!$R:$R,MATCH($A17,'Valo FX'!$A:$A,0)),INDEX(Base!$V:$V,MATCH($A17,Base!$A:$A,0)),0)))</f>
        <v>12.433773</v>
      </c>
      <c r="KF17" s="21">
        <f>IF(KF$1&lt;INDEX('Valo FX'!$Q:$Q,MATCH($A17,'Valo FX'!$A:$A,0)),0,IF(KF$1&lt;INDEX('Valo FX'!$R:$R,MATCH($A17,'Valo FX'!$A:$A,0)),INDEX(Base!$U:$U,MATCH($A17,Base!$A:$A,0)),IF(KF$1=INDEX('Valo FX'!$R:$R,MATCH($A17,'Valo FX'!$A:$A,0)),INDEX(Base!$V:$V,MATCH($A17,Base!$A:$A,0)),0)))</f>
        <v>12.433773</v>
      </c>
      <c r="KG17" s="21">
        <f>IF(KG$1&lt;INDEX('Valo FX'!$Q:$Q,MATCH($A17,'Valo FX'!$A:$A,0)),0,IF(KG$1&lt;INDEX('Valo FX'!$R:$R,MATCH($A17,'Valo FX'!$A:$A,0)),INDEX(Base!$U:$U,MATCH($A17,Base!$A:$A,0)),IF(KG$1=INDEX('Valo FX'!$R:$R,MATCH($A17,'Valo FX'!$A:$A,0)),INDEX(Base!$V:$V,MATCH($A17,Base!$A:$A,0)),0)))</f>
        <v>12.433773</v>
      </c>
      <c r="KH17" s="21">
        <f>IF(KH$1&lt;INDEX('Valo FX'!$Q:$Q,MATCH($A17,'Valo FX'!$A:$A,0)),0,IF(KH$1&lt;INDEX('Valo FX'!$R:$R,MATCH($A17,'Valo FX'!$A:$A,0)),INDEX(Base!$U:$U,MATCH($A17,Base!$A:$A,0)),IF(KH$1=INDEX('Valo FX'!$R:$R,MATCH($A17,'Valo FX'!$A:$A,0)),INDEX(Base!$V:$V,MATCH($A17,Base!$A:$A,0)),0)))</f>
        <v>12.433773</v>
      </c>
      <c r="KI17" s="21">
        <f>IF(KI$1&lt;INDEX('Valo FX'!$Q:$Q,MATCH($A17,'Valo FX'!$A:$A,0)),0,IF(KI$1&lt;INDEX('Valo FX'!$R:$R,MATCH($A17,'Valo FX'!$A:$A,0)),INDEX(Base!$U:$U,MATCH($A17,Base!$A:$A,0)),IF(KI$1=INDEX('Valo FX'!$R:$R,MATCH($A17,'Valo FX'!$A:$A,0)),INDEX(Base!$V:$V,MATCH($A17,Base!$A:$A,0)),0)))</f>
        <v>12.433773</v>
      </c>
      <c r="KJ17" s="21">
        <f>IF(KJ$1&lt;INDEX('Valo FX'!$Q:$Q,MATCH($A17,'Valo FX'!$A:$A,0)),0,IF(KJ$1&lt;INDEX('Valo FX'!$R:$R,MATCH($A17,'Valo FX'!$A:$A,0)),INDEX(Base!$U:$U,MATCH($A17,Base!$A:$A,0)),IF(KJ$1=INDEX('Valo FX'!$R:$R,MATCH($A17,'Valo FX'!$A:$A,0)),INDEX(Base!$V:$V,MATCH($A17,Base!$A:$A,0)),0)))</f>
        <v>12.433773</v>
      </c>
      <c r="KK17" s="21">
        <f>IF(KK$1&lt;INDEX('Valo FX'!$Q:$Q,MATCH($A17,'Valo FX'!$A:$A,0)),0,IF(KK$1&lt;INDEX('Valo FX'!$R:$R,MATCH($A17,'Valo FX'!$A:$A,0)),INDEX(Base!$U:$U,MATCH($A17,Base!$A:$A,0)),IF(KK$1=INDEX('Valo FX'!$R:$R,MATCH($A17,'Valo FX'!$A:$A,0)),INDEX(Base!$V:$V,MATCH($A17,Base!$A:$A,0)),0)))</f>
        <v>12.433773</v>
      </c>
      <c r="KL17" s="21">
        <f>IF(KL$1&lt;INDEX('Valo FX'!$Q:$Q,MATCH($A17,'Valo FX'!$A:$A,0)),0,IF(KL$1&lt;INDEX('Valo FX'!$R:$R,MATCH($A17,'Valo FX'!$A:$A,0)),INDEX(Base!$U:$U,MATCH($A17,Base!$A:$A,0)),IF(KL$1=INDEX('Valo FX'!$R:$R,MATCH($A17,'Valo FX'!$A:$A,0)),INDEX(Base!$V:$V,MATCH($A17,Base!$A:$A,0)),0)))</f>
        <v>12.433773</v>
      </c>
      <c r="KM17" s="21">
        <f>IF(KM$1&lt;INDEX('Valo FX'!$Q:$Q,MATCH($A17,'Valo FX'!$A:$A,0)),0,IF(KM$1&lt;INDEX('Valo FX'!$R:$R,MATCH($A17,'Valo FX'!$A:$A,0)),INDEX(Base!$U:$U,MATCH($A17,Base!$A:$A,0)),IF(KM$1=INDEX('Valo FX'!$R:$R,MATCH($A17,'Valo FX'!$A:$A,0)),INDEX(Base!$V:$V,MATCH($A17,Base!$A:$A,0)),0)))</f>
        <v>12.433773</v>
      </c>
      <c r="KN17" s="21">
        <f>IF(KN$1&lt;INDEX('Valo FX'!$Q:$Q,MATCH($A17,'Valo FX'!$A:$A,0)),0,IF(KN$1&lt;INDEX('Valo FX'!$R:$R,MATCH($A17,'Valo FX'!$A:$A,0)),INDEX(Base!$U:$U,MATCH($A17,Base!$A:$A,0)),IF(KN$1=INDEX('Valo FX'!$R:$R,MATCH($A17,'Valo FX'!$A:$A,0)),INDEX(Base!$V:$V,MATCH($A17,Base!$A:$A,0)),0)))</f>
        <v>12.433773</v>
      </c>
      <c r="KO17" s="21">
        <f>IF(KO$1&lt;INDEX('Valo FX'!$Q:$Q,MATCH($A17,'Valo FX'!$A:$A,0)),0,IF(KO$1&lt;INDEX('Valo FX'!$R:$R,MATCH($A17,'Valo FX'!$A:$A,0)),INDEX(Base!$U:$U,MATCH($A17,Base!$A:$A,0)),IF(KO$1=INDEX('Valo FX'!$R:$R,MATCH($A17,'Valo FX'!$A:$A,0)),INDEX(Base!$V:$V,MATCH($A17,Base!$A:$A,0)),0)))</f>
        <v>12.433773</v>
      </c>
      <c r="KP17" s="21">
        <f>IF(KP$1&lt;INDEX('Valo FX'!$Q:$Q,MATCH($A17,'Valo FX'!$A:$A,0)),0,IF(KP$1&lt;INDEX('Valo FX'!$R:$R,MATCH($A17,'Valo FX'!$A:$A,0)),INDEX(Base!$U:$U,MATCH($A17,Base!$A:$A,0)),IF(KP$1=INDEX('Valo FX'!$R:$R,MATCH($A17,'Valo FX'!$A:$A,0)),INDEX(Base!$V:$V,MATCH($A17,Base!$A:$A,0)),0)))</f>
        <v>12.433773</v>
      </c>
      <c r="KQ17" s="21">
        <f>IF(KQ$1&lt;INDEX('Valo FX'!$Q:$Q,MATCH($A17,'Valo FX'!$A:$A,0)),0,IF(KQ$1&lt;INDEX('Valo FX'!$R:$R,MATCH($A17,'Valo FX'!$A:$A,0)),INDEX(Base!$U:$U,MATCH($A17,Base!$A:$A,0)),IF(KQ$1=INDEX('Valo FX'!$R:$R,MATCH($A17,'Valo FX'!$A:$A,0)),INDEX(Base!$V:$V,MATCH($A17,Base!$A:$A,0)),0)))</f>
        <v>12.433773</v>
      </c>
      <c r="KR17" s="21">
        <f>IF(KR$1&lt;INDEX('Valo FX'!$Q:$Q,MATCH($A17,'Valo FX'!$A:$A,0)),0,IF(KR$1&lt;INDEX('Valo FX'!$R:$R,MATCH($A17,'Valo FX'!$A:$A,0)),INDEX(Base!$U:$U,MATCH($A17,Base!$A:$A,0)),IF(KR$1=INDEX('Valo FX'!$R:$R,MATCH($A17,'Valo FX'!$A:$A,0)),INDEX(Base!$V:$V,MATCH($A17,Base!$A:$A,0)),0)))</f>
        <v>12.433773</v>
      </c>
      <c r="KS17" s="21">
        <f>IF(KS$1&lt;INDEX('Valo FX'!$Q:$Q,MATCH($A17,'Valo FX'!$A:$A,0)),0,IF(KS$1&lt;INDEX('Valo FX'!$R:$R,MATCH($A17,'Valo FX'!$A:$A,0)),INDEX(Base!$U:$U,MATCH($A17,Base!$A:$A,0)),IF(KS$1=INDEX('Valo FX'!$R:$R,MATCH($A17,'Valo FX'!$A:$A,0)),INDEX(Base!$V:$V,MATCH($A17,Base!$A:$A,0)),0)))</f>
        <v>12.433773</v>
      </c>
      <c r="KT17" s="21">
        <f>IF(KT$1&lt;INDEX('Valo FX'!$Q:$Q,MATCH($A17,'Valo FX'!$A:$A,0)),0,IF(KT$1&lt;INDEX('Valo FX'!$R:$R,MATCH($A17,'Valo FX'!$A:$A,0)),INDEX(Base!$U:$U,MATCH($A17,Base!$A:$A,0)),IF(KT$1=INDEX('Valo FX'!$R:$R,MATCH($A17,'Valo FX'!$A:$A,0)),INDEX(Base!$V:$V,MATCH($A17,Base!$A:$A,0)),0)))</f>
        <v>12.433773</v>
      </c>
      <c r="KU17" s="21">
        <f>IF(KU$1&lt;INDEX('Valo FX'!$Q:$Q,MATCH($A17,'Valo FX'!$A:$A,0)),0,IF(KU$1&lt;INDEX('Valo FX'!$R:$R,MATCH($A17,'Valo FX'!$A:$A,0)),INDEX(Base!$U:$U,MATCH($A17,Base!$A:$A,0)),IF(KU$1=INDEX('Valo FX'!$R:$R,MATCH($A17,'Valo FX'!$A:$A,0)),INDEX(Base!$V:$V,MATCH($A17,Base!$A:$A,0)),0)))</f>
        <v>12.433773</v>
      </c>
      <c r="KV17" s="21">
        <f>IF(KV$1&lt;INDEX('Valo FX'!$Q:$Q,MATCH($A17,'Valo FX'!$A:$A,0)),0,IF(KV$1&lt;INDEX('Valo FX'!$R:$R,MATCH($A17,'Valo FX'!$A:$A,0)),INDEX(Base!$U:$U,MATCH($A17,Base!$A:$A,0)),IF(KV$1=INDEX('Valo FX'!$R:$R,MATCH($A17,'Valo FX'!$A:$A,0)),INDEX(Base!$V:$V,MATCH($A17,Base!$A:$A,0)),0)))</f>
        <v>12.433773</v>
      </c>
      <c r="KW17" s="21">
        <f>IF(KW$1&lt;INDEX('Valo FX'!$Q:$Q,MATCH($A17,'Valo FX'!$A:$A,0)),0,IF(KW$1&lt;INDEX('Valo FX'!$R:$R,MATCH($A17,'Valo FX'!$A:$A,0)),INDEX(Base!$U:$U,MATCH($A17,Base!$A:$A,0)),IF(KW$1=INDEX('Valo FX'!$R:$R,MATCH($A17,'Valo FX'!$A:$A,0)),INDEX(Base!$V:$V,MATCH($A17,Base!$A:$A,0)),0)))</f>
        <v>12.433773</v>
      </c>
      <c r="KX17" s="21">
        <f>IF(KX$1&lt;INDEX('Valo FX'!$Q:$Q,MATCH($A17,'Valo FX'!$A:$A,0)),0,IF(KX$1&lt;INDEX('Valo FX'!$R:$R,MATCH($A17,'Valo FX'!$A:$A,0)),INDEX(Base!$U:$U,MATCH($A17,Base!$A:$A,0)),IF(KX$1=INDEX('Valo FX'!$R:$R,MATCH($A17,'Valo FX'!$A:$A,0)),INDEX(Base!$V:$V,MATCH($A17,Base!$A:$A,0)),0)))</f>
        <v>12.433773</v>
      </c>
      <c r="KY17" s="21">
        <f>IF(KY$1&lt;INDEX('Valo FX'!$Q:$Q,MATCH($A17,'Valo FX'!$A:$A,0)),0,IF(KY$1&lt;INDEX('Valo FX'!$R:$R,MATCH($A17,'Valo FX'!$A:$A,0)),INDEX(Base!$U:$U,MATCH($A17,Base!$A:$A,0)),IF(KY$1=INDEX('Valo FX'!$R:$R,MATCH($A17,'Valo FX'!$A:$A,0)),INDEX(Base!$V:$V,MATCH($A17,Base!$A:$A,0)),0)))</f>
        <v>12.433773</v>
      </c>
      <c r="KZ17" s="21">
        <f>IF(KZ$1&lt;INDEX('Valo FX'!$Q:$Q,MATCH($A17,'Valo FX'!$A:$A,0)),0,IF(KZ$1&lt;INDEX('Valo FX'!$R:$R,MATCH($A17,'Valo FX'!$A:$A,0)),INDEX(Base!$U:$U,MATCH($A17,Base!$A:$A,0)),IF(KZ$1=INDEX('Valo FX'!$R:$R,MATCH($A17,'Valo FX'!$A:$A,0)),INDEX(Base!$V:$V,MATCH($A17,Base!$A:$A,0)),0)))</f>
        <v>12.433773</v>
      </c>
      <c r="LA17" s="21">
        <f>IF(LA$1&lt;INDEX('Valo FX'!$Q:$Q,MATCH($A17,'Valo FX'!$A:$A,0)),0,IF(LA$1&lt;INDEX('Valo FX'!$R:$R,MATCH($A17,'Valo FX'!$A:$A,0)),INDEX(Base!$U:$U,MATCH($A17,Base!$A:$A,0)),IF(LA$1=INDEX('Valo FX'!$R:$R,MATCH($A17,'Valo FX'!$A:$A,0)),INDEX(Base!$V:$V,MATCH($A17,Base!$A:$A,0)),0)))</f>
        <v>12.433773</v>
      </c>
      <c r="LB17" s="21">
        <f>IF(LB$1&lt;INDEX('Valo FX'!$Q:$Q,MATCH($A17,'Valo FX'!$A:$A,0)),0,IF(LB$1&lt;INDEX('Valo FX'!$R:$R,MATCH($A17,'Valo FX'!$A:$A,0)),INDEX(Base!$U:$U,MATCH($A17,Base!$A:$A,0)),IF(LB$1=INDEX('Valo FX'!$R:$R,MATCH($A17,'Valo FX'!$A:$A,0)),INDEX(Base!$V:$V,MATCH($A17,Base!$A:$A,0)),0)))</f>
        <v>12.433773</v>
      </c>
      <c r="LC17" s="21">
        <f>IF(LC$1&lt;INDEX('Valo FX'!$Q:$Q,MATCH($A17,'Valo FX'!$A:$A,0)),0,IF(LC$1&lt;INDEX('Valo FX'!$R:$R,MATCH($A17,'Valo FX'!$A:$A,0)),INDEX(Base!$U:$U,MATCH($A17,Base!$A:$A,0)),IF(LC$1=INDEX('Valo FX'!$R:$R,MATCH($A17,'Valo FX'!$A:$A,0)),INDEX(Base!$V:$V,MATCH($A17,Base!$A:$A,0)),0)))</f>
        <v>12.433773</v>
      </c>
      <c r="LD17" s="21">
        <f>IF(LD$1&lt;INDEX('Valo FX'!$Q:$Q,MATCH($A17,'Valo FX'!$A:$A,0)),0,IF(LD$1&lt;INDEX('Valo FX'!$R:$R,MATCH($A17,'Valo FX'!$A:$A,0)),INDEX(Base!$U:$U,MATCH($A17,Base!$A:$A,0)),IF(LD$1=INDEX('Valo FX'!$R:$R,MATCH($A17,'Valo FX'!$A:$A,0)),INDEX(Base!$V:$V,MATCH($A17,Base!$A:$A,0)),0)))</f>
        <v>12.433773</v>
      </c>
      <c r="LE17" s="21">
        <f>IF(LE$1&lt;INDEX('Valo FX'!$Q:$Q,MATCH($A17,'Valo FX'!$A:$A,0)),0,IF(LE$1&lt;INDEX('Valo FX'!$R:$R,MATCH($A17,'Valo FX'!$A:$A,0)),INDEX(Base!$U:$U,MATCH($A17,Base!$A:$A,0)),IF(LE$1=INDEX('Valo FX'!$R:$R,MATCH($A17,'Valo FX'!$A:$A,0)),INDEX(Base!$V:$V,MATCH($A17,Base!$A:$A,0)),0)))</f>
        <v>12.433773</v>
      </c>
      <c r="LF17" s="21">
        <f>IF(LF$1&lt;INDEX('Valo FX'!$Q:$Q,MATCH($A17,'Valo FX'!$A:$A,0)),0,IF(LF$1&lt;INDEX('Valo FX'!$R:$R,MATCH($A17,'Valo FX'!$A:$A,0)),INDEX(Base!$U:$U,MATCH($A17,Base!$A:$A,0)),IF(LF$1=INDEX('Valo FX'!$R:$R,MATCH($A17,'Valo FX'!$A:$A,0)),INDEX(Base!$V:$V,MATCH($A17,Base!$A:$A,0)),0)))</f>
        <v>12.433773</v>
      </c>
      <c r="LG17" s="21">
        <f>IF(LG$1&lt;INDEX('Valo FX'!$Q:$Q,MATCH($A17,'Valo FX'!$A:$A,0)),0,IF(LG$1&lt;INDEX('Valo FX'!$R:$R,MATCH($A17,'Valo FX'!$A:$A,0)),INDEX(Base!$U:$U,MATCH($A17,Base!$A:$A,0)),IF(LG$1=INDEX('Valo FX'!$R:$R,MATCH($A17,'Valo FX'!$A:$A,0)),INDEX(Base!$V:$V,MATCH($A17,Base!$A:$A,0)),0)))</f>
        <v>12.433773</v>
      </c>
      <c r="LH17" s="21">
        <f>IF(LH$1&lt;INDEX('Valo FX'!$Q:$Q,MATCH($A17,'Valo FX'!$A:$A,0)),0,IF(LH$1&lt;INDEX('Valo FX'!$R:$R,MATCH($A17,'Valo FX'!$A:$A,0)),INDEX(Base!$U:$U,MATCH($A17,Base!$A:$A,0)),IF(LH$1=INDEX('Valo FX'!$R:$R,MATCH($A17,'Valo FX'!$A:$A,0)),INDEX(Base!$V:$V,MATCH($A17,Base!$A:$A,0)),0)))</f>
        <v>12.433773</v>
      </c>
      <c r="LI17" s="21">
        <f>IF(LI$1&lt;INDEX('Valo FX'!$Q:$Q,MATCH($A17,'Valo FX'!$A:$A,0)),0,IF(LI$1&lt;INDEX('Valo FX'!$R:$R,MATCH($A17,'Valo FX'!$A:$A,0)),INDEX(Base!$U:$U,MATCH($A17,Base!$A:$A,0)),IF(LI$1=INDEX('Valo FX'!$R:$R,MATCH($A17,'Valo FX'!$A:$A,0)),INDEX(Base!$V:$V,MATCH($A17,Base!$A:$A,0)),0)))</f>
        <v>12.433773</v>
      </c>
      <c r="LJ17" s="21">
        <f>IF(LJ$1&lt;INDEX('Valo FX'!$Q:$Q,MATCH($A17,'Valo FX'!$A:$A,0)),0,IF(LJ$1&lt;INDEX('Valo FX'!$R:$R,MATCH($A17,'Valo FX'!$A:$A,0)),INDEX(Base!$U:$U,MATCH($A17,Base!$A:$A,0)),IF(LJ$1=INDEX('Valo FX'!$R:$R,MATCH($A17,'Valo FX'!$A:$A,0)),INDEX(Base!$V:$V,MATCH($A17,Base!$A:$A,0)),0)))</f>
        <v>12.433773</v>
      </c>
      <c r="LK17" s="21">
        <f>IF(LK$1&lt;INDEX('Valo FX'!$Q:$Q,MATCH($A17,'Valo FX'!$A:$A,0)),0,IF(LK$1&lt;INDEX('Valo FX'!$R:$R,MATCH($A17,'Valo FX'!$A:$A,0)),INDEX(Base!$U:$U,MATCH($A17,Base!$A:$A,0)),IF(LK$1=INDEX('Valo FX'!$R:$R,MATCH($A17,'Valo FX'!$A:$A,0)),INDEX(Base!$V:$V,MATCH($A17,Base!$A:$A,0)),0)))</f>
        <v>12.433773</v>
      </c>
      <c r="LL17" s="21">
        <f>IF(LL$1&lt;INDEX('Valo FX'!$Q:$Q,MATCH($A17,'Valo FX'!$A:$A,0)),0,IF(LL$1&lt;INDEX('Valo FX'!$R:$R,MATCH($A17,'Valo FX'!$A:$A,0)),INDEX(Base!$U:$U,MATCH($A17,Base!$A:$A,0)),IF(LL$1=INDEX('Valo FX'!$R:$R,MATCH($A17,'Valo FX'!$A:$A,0)),INDEX(Base!$V:$V,MATCH($A17,Base!$A:$A,0)),0)))</f>
        <v>12.433773</v>
      </c>
      <c r="LM17" s="21">
        <f>IF(LM$1&lt;INDEX('Valo FX'!$Q:$Q,MATCH($A17,'Valo FX'!$A:$A,0)),0,IF(LM$1&lt;INDEX('Valo FX'!$R:$R,MATCH($A17,'Valo FX'!$A:$A,0)),INDEX(Base!$U:$U,MATCH($A17,Base!$A:$A,0)),IF(LM$1=INDEX('Valo FX'!$R:$R,MATCH($A17,'Valo FX'!$A:$A,0)),INDEX(Base!$V:$V,MATCH($A17,Base!$A:$A,0)),0)))</f>
        <v>12.433773</v>
      </c>
      <c r="LN17" s="21">
        <f>IF(LN$1&lt;INDEX('Valo FX'!$Q:$Q,MATCH($A17,'Valo FX'!$A:$A,0)),0,IF(LN$1&lt;INDEX('Valo FX'!$R:$R,MATCH($A17,'Valo FX'!$A:$A,0)),INDEX(Base!$U:$U,MATCH($A17,Base!$A:$A,0)),IF(LN$1=INDEX('Valo FX'!$R:$R,MATCH($A17,'Valo FX'!$A:$A,0)),INDEX(Base!$V:$V,MATCH($A17,Base!$A:$A,0)),0)))</f>
        <v>12.433773</v>
      </c>
      <c r="LO17" s="21">
        <f>IF(LO$1&lt;INDEX('Valo FX'!$Q:$Q,MATCH($A17,'Valo FX'!$A:$A,0)),0,IF(LO$1&lt;INDEX('Valo FX'!$R:$R,MATCH($A17,'Valo FX'!$A:$A,0)),INDEX(Base!$U:$U,MATCH($A17,Base!$A:$A,0)),IF(LO$1=INDEX('Valo FX'!$R:$R,MATCH($A17,'Valo FX'!$A:$A,0)),INDEX(Base!$V:$V,MATCH($A17,Base!$A:$A,0)),0)))</f>
        <v>12.433773</v>
      </c>
      <c r="LP17" s="21">
        <f>IF(LP$1&lt;INDEX('Valo FX'!$Q:$Q,MATCH($A17,'Valo FX'!$A:$A,0)),0,IF(LP$1&lt;INDEX('Valo FX'!$R:$R,MATCH($A17,'Valo FX'!$A:$A,0)),INDEX(Base!$U:$U,MATCH($A17,Base!$A:$A,0)),IF(LP$1=INDEX('Valo FX'!$R:$R,MATCH($A17,'Valo FX'!$A:$A,0)),INDEX(Base!$V:$V,MATCH($A17,Base!$A:$A,0)),0)))</f>
        <v>12.433773</v>
      </c>
      <c r="LQ17" s="21">
        <f>IF(LQ$1&lt;INDEX('Valo FX'!$Q:$Q,MATCH($A17,'Valo FX'!$A:$A,0)),0,IF(LQ$1&lt;INDEX('Valo FX'!$R:$R,MATCH($A17,'Valo FX'!$A:$A,0)),INDEX(Base!$U:$U,MATCH($A17,Base!$A:$A,0)),IF(LQ$1=INDEX('Valo FX'!$R:$R,MATCH($A17,'Valo FX'!$A:$A,0)),INDEX(Base!$V:$V,MATCH($A17,Base!$A:$A,0)),0)))</f>
        <v>12.433773</v>
      </c>
      <c r="LR17" s="21">
        <f>IF(LR$1&lt;INDEX('Valo FX'!$Q:$Q,MATCH($A17,'Valo FX'!$A:$A,0)),0,IF(LR$1&lt;INDEX('Valo FX'!$R:$R,MATCH($A17,'Valo FX'!$A:$A,0)),INDEX(Base!$U:$U,MATCH($A17,Base!$A:$A,0)),IF(LR$1=INDEX('Valo FX'!$R:$R,MATCH($A17,'Valo FX'!$A:$A,0)),INDEX(Base!$V:$V,MATCH($A17,Base!$A:$A,0)),0)))</f>
        <v>12.433773</v>
      </c>
      <c r="LS17" s="21">
        <f>IF(LS$1&lt;INDEX('Valo FX'!$Q:$Q,MATCH($A17,'Valo FX'!$A:$A,0)),0,IF(LS$1&lt;INDEX('Valo FX'!$R:$R,MATCH($A17,'Valo FX'!$A:$A,0)),INDEX(Base!$U:$U,MATCH($A17,Base!$A:$A,0)),IF(LS$1=INDEX('Valo FX'!$R:$R,MATCH($A17,'Valo FX'!$A:$A,0)),INDEX(Base!$V:$V,MATCH($A17,Base!$A:$A,0)),0)))</f>
        <v>12.433773</v>
      </c>
      <c r="LT17" s="21">
        <f>IF(LT$1&lt;INDEX('Valo FX'!$Q:$Q,MATCH($A17,'Valo FX'!$A:$A,0)),0,IF(LT$1&lt;INDEX('Valo FX'!$R:$R,MATCH($A17,'Valo FX'!$A:$A,0)),INDEX(Base!$U:$U,MATCH($A17,Base!$A:$A,0)),IF(LT$1=INDEX('Valo FX'!$R:$R,MATCH($A17,'Valo FX'!$A:$A,0)),INDEX(Base!$V:$V,MATCH($A17,Base!$A:$A,0)),0)))</f>
        <v>12.433773</v>
      </c>
      <c r="LU17" s="21">
        <f>IF(LU$1&lt;INDEX('Valo FX'!$Q:$Q,MATCH($A17,'Valo FX'!$A:$A,0)),0,IF(LU$1&lt;INDEX('Valo FX'!$R:$R,MATCH($A17,'Valo FX'!$A:$A,0)),INDEX(Base!$U:$U,MATCH($A17,Base!$A:$A,0)),IF(LU$1=INDEX('Valo FX'!$R:$R,MATCH($A17,'Valo FX'!$A:$A,0)),INDEX(Base!$V:$V,MATCH($A17,Base!$A:$A,0)),0)))</f>
        <v>12.433773</v>
      </c>
      <c r="LV17" s="21">
        <f>IF(LV$1&lt;INDEX('Valo FX'!$Q:$Q,MATCH($A17,'Valo FX'!$A:$A,0)),0,IF(LV$1&lt;INDEX('Valo FX'!$R:$R,MATCH($A17,'Valo FX'!$A:$A,0)),INDEX(Base!$U:$U,MATCH($A17,Base!$A:$A,0)),IF(LV$1=INDEX('Valo FX'!$R:$R,MATCH($A17,'Valo FX'!$A:$A,0)),INDEX(Base!$V:$V,MATCH($A17,Base!$A:$A,0)),0)))</f>
        <v>12.433773</v>
      </c>
      <c r="LW17" s="21">
        <f>IF(LW$1&lt;INDEX('Valo FX'!$Q:$Q,MATCH($A17,'Valo FX'!$A:$A,0)),0,IF(LW$1&lt;INDEX('Valo FX'!$R:$R,MATCH($A17,'Valo FX'!$A:$A,0)),INDEX(Base!$U:$U,MATCH($A17,Base!$A:$A,0)),IF(LW$1=INDEX('Valo FX'!$R:$R,MATCH($A17,'Valo FX'!$A:$A,0)),INDEX(Base!$V:$V,MATCH($A17,Base!$A:$A,0)),0)))</f>
        <v>12.433773</v>
      </c>
      <c r="LX17" s="21">
        <f>IF(LX$1&lt;INDEX('Valo FX'!$Q:$Q,MATCH($A17,'Valo FX'!$A:$A,0)),0,IF(LX$1&lt;INDEX('Valo FX'!$R:$R,MATCH($A17,'Valo FX'!$A:$A,0)),INDEX(Base!$U:$U,MATCH($A17,Base!$A:$A,0)),IF(LX$1=INDEX('Valo FX'!$R:$R,MATCH($A17,'Valo FX'!$A:$A,0)),INDEX(Base!$V:$V,MATCH($A17,Base!$A:$A,0)),0)))</f>
        <v>12.433773</v>
      </c>
      <c r="LY17" s="21">
        <f>IF(LY$1&lt;INDEX('Valo FX'!$Q:$Q,MATCH($A17,'Valo FX'!$A:$A,0)),0,IF(LY$1&lt;INDEX('Valo FX'!$R:$R,MATCH($A17,'Valo FX'!$A:$A,0)),INDEX(Base!$U:$U,MATCH($A17,Base!$A:$A,0)),IF(LY$1=INDEX('Valo FX'!$R:$R,MATCH($A17,'Valo FX'!$A:$A,0)),INDEX(Base!$V:$V,MATCH($A17,Base!$A:$A,0)),0)))</f>
        <v>12.433773</v>
      </c>
      <c r="LZ17" s="21">
        <f>IF(LZ$1&lt;INDEX('Valo FX'!$Q:$Q,MATCH($A17,'Valo FX'!$A:$A,0)),0,IF(LZ$1&lt;INDEX('Valo FX'!$R:$R,MATCH($A17,'Valo FX'!$A:$A,0)),INDEX(Base!$U:$U,MATCH($A17,Base!$A:$A,0)),IF(LZ$1=INDEX('Valo FX'!$R:$R,MATCH($A17,'Valo FX'!$A:$A,0)),INDEX(Base!$V:$V,MATCH($A17,Base!$A:$A,0)),0)))</f>
        <v>12.433773</v>
      </c>
      <c r="MA17" s="21">
        <f>IF(MA$1&lt;INDEX('Valo FX'!$Q:$Q,MATCH($A17,'Valo FX'!$A:$A,0)),0,IF(MA$1&lt;INDEX('Valo FX'!$R:$R,MATCH($A17,'Valo FX'!$A:$A,0)),INDEX(Base!$U:$U,MATCH($A17,Base!$A:$A,0)),IF(MA$1=INDEX('Valo FX'!$R:$R,MATCH($A17,'Valo FX'!$A:$A,0)),INDEX(Base!$V:$V,MATCH($A17,Base!$A:$A,0)),0)))</f>
        <v>12.433773</v>
      </c>
      <c r="MB17" s="21">
        <f>IF(MB$1&lt;INDEX('Valo FX'!$Q:$Q,MATCH($A17,'Valo FX'!$A:$A,0)),0,IF(MB$1&lt;INDEX('Valo FX'!$R:$R,MATCH($A17,'Valo FX'!$A:$A,0)),INDEX(Base!$U:$U,MATCH($A17,Base!$A:$A,0)),IF(MB$1=INDEX('Valo FX'!$R:$R,MATCH($A17,'Valo FX'!$A:$A,0)),INDEX(Base!$V:$V,MATCH($A17,Base!$A:$A,0)),0)))</f>
        <v>12.433773</v>
      </c>
      <c r="MC17" s="21">
        <f>IF(MC$1&lt;INDEX('Valo FX'!$Q:$Q,MATCH($A17,'Valo FX'!$A:$A,0)),0,IF(MC$1&lt;INDEX('Valo FX'!$R:$R,MATCH($A17,'Valo FX'!$A:$A,0)),INDEX(Base!$U:$U,MATCH($A17,Base!$A:$A,0)),IF(MC$1=INDEX('Valo FX'!$R:$R,MATCH($A17,'Valo FX'!$A:$A,0)),INDEX(Base!$V:$V,MATCH($A17,Base!$A:$A,0)),0)))</f>
        <v>12.433773</v>
      </c>
      <c r="MD17" s="21">
        <f>IF(MD$1&lt;INDEX('Valo FX'!$Q:$Q,MATCH($A17,'Valo FX'!$A:$A,0)),0,IF(MD$1&lt;INDEX('Valo FX'!$R:$R,MATCH($A17,'Valo FX'!$A:$A,0)),INDEX(Base!$U:$U,MATCH($A17,Base!$A:$A,0)),IF(MD$1=INDEX('Valo FX'!$R:$R,MATCH($A17,'Valo FX'!$A:$A,0)),INDEX(Base!$V:$V,MATCH($A17,Base!$A:$A,0)),0)))</f>
        <v>12.433773</v>
      </c>
      <c r="ME17" s="21">
        <f>IF(ME$1&lt;INDEX('Valo FX'!$Q:$Q,MATCH($A17,'Valo FX'!$A:$A,0)),0,IF(ME$1&lt;INDEX('Valo FX'!$R:$R,MATCH($A17,'Valo FX'!$A:$A,0)),INDEX(Base!$U:$U,MATCH($A17,Base!$A:$A,0)),IF(ME$1=INDEX('Valo FX'!$R:$R,MATCH($A17,'Valo FX'!$A:$A,0)),INDEX(Base!$V:$V,MATCH($A17,Base!$A:$A,0)),0)))</f>
        <v>12.433773</v>
      </c>
      <c r="MF17" s="21">
        <f>IF(MF$1&lt;INDEX('Valo FX'!$Q:$Q,MATCH($A17,'Valo FX'!$A:$A,0)),0,IF(MF$1&lt;INDEX('Valo FX'!$R:$R,MATCH($A17,'Valo FX'!$A:$A,0)),INDEX(Base!$U:$U,MATCH($A17,Base!$A:$A,0)),IF(MF$1=INDEX('Valo FX'!$R:$R,MATCH($A17,'Valo FX'!$A:$A,0)),INDEX(Base!$V:$V,MATCH($A17,Base!$A:$A,0)),0)))</f>
        <v>12.433773</v>
      </c>
      <c r="MG17" s="21">
        <f>IF(MG$1&lt;INDEX('Valo FX'!$Q:$Q,MATCH($A17,'Valo FX'!$A:$A,0)),0,IF(MG$1&lt;INDEX('Valo FX'!$R:$R,MATCH($A17,'Valo FX'!$A:$A,0)),INDEX(Base!$U:$U,MATCH($A17,Base!$A:$A,0)),IF(MG$1=INDEX('Valo FX'!$R:$R,MATCH($A17,'Valo FX'!$A:$A,0)),INDEX(Base!$V:$V,MATCH($A17,Base!$A:$A,0)),0)))</f>
        <v>12.433773</v>
      </c>
      <c r="MH17" s="21">
        <f>IF(MH$1&lt;INDEX('Valo FX'!$Q:$Q,MATCH($A17,'Valo FX'!$A:$A,0)),0,IF(MH$1&lt;INDEX('Valo FX'!$R:$R,MATCH($A17,'Valo FX'!$A:$A,0)),INDEX(Base!$U:$U,MATCH($A17,Base!$A:$A,0)),IF(MH$1=INDEX('Valo FX'!$R:$R,MATCH($A17,'Valo FX'!$A:$A,0)),INDEX(Base!$V:$V,MATCH($A17,Base!$A:$A,0)),0)))</f>
        <v>12.433773</v>
      </c>
      <c r="MI17" s="21">
        <f>IF(MI$1&lt;INDEX('Valo FX'!$Q:$Q,MATCH($A17,'Valo FX'!$A:$A,0)),0,IF(MI$1&lt;INDEX('Valo FX'!$R:$R,MATCH($A17,'Valo FX'!$A:$A,0)),INDEX(Base!$U:$U,MATCH($A17,Base!$A:$A,0)),IF(MI$1=INDEX('Valo FX'!$R:$R,MATCH($A17,'Valo FX'!$A:$A,0)),INDEX(Base!$V:$V,MATCH($A17,Base!$A:$A,0)),0)))</f>
        <v>12.433773</v>
      </c>
      <c r="MJ17" s="21">
        <f>IF(MJ$1&lt;INDEX('Valo FX'!$Q:$Q,MATCH($A17,'Valo FX'!$A:$A,0)),0,IF(MJ$1&lt;INDEX('Valo FX'!$R:$R,MATCH($A17,'Valo FX'!$A:$A,0)),INDEX(Base!$U:$U,MATCH($A17,Base!$A:$A,0)),IF(MJ$1=INDEX('Valo FX'!$R:$R,MATCH($A17,'Valo FX'!$A:$A,0)),INDEX(Base!$V:$V,MATCH($A17,Base!$A:$A,0)),0)))</f>
        <v>12.433773</v>
      </c>
      <c r="MK17" s="21">
        <f>IF(MK$1&lt;INDEX('Valo FX'!$Q:$Q,MATCH($A17,'Valo FX'!$A:$A,0)),0,IF(MK$1&lt;INDEX('Valo FX'!$R:$R,MATCH($A17,'Valo FX'!$A:$A,0)),INDEX(Base!$U:$U,MATCH($A17,Base!$A:$A,0)),IF(MK$1=INDEX('Valo FX'!$R:$R,MATCH($A17,'Valo FX'!$A:$A,0)),INDEX(Base!$V:$V,MATCH($A17,Base!$A:$A,0)),0)))</f>
        <v>12.433773</v>
      </c>
      <c r="ML17" s="21">
        <f>IF(ML$1&lt;INDEX('Valo FX'!$Q:$Q,MATCH($A17,'Valo FX'!$A:$A,0)),0,IF(ML$1&lt;INDEX('Valo FX'!$R:$R,MATCH($A17,'Valo FX'!$A:$A,0)),INDEX(Base!$U:$U,MATCH($A17,Base!$A:$A,0)),IF(ML$1=INDEX('Valo FX'!$R:$R,MATCH($A17,'Valo FX'!$A:$A,0)),INDEX(Base!$V:$V,MATCH($A17,Base!$A:$A,0)),0)))</f>
        <v>12.433773</v>
      </c>
      <c r="MM17" s="21">
        <f>IF(MM$1&lt;INDEX('Valo FX'!$Q:$Q,MATCH($A17,'Valo FX'!$A:$A,0)),0,IF(MM$1&lt;INDEX('Valo FX'!$R:$R,MATCH($A17,'Valo FX'!$A:$A,0)),INDEX(Base!$U:$U,MATCH($A17,Base!$A:$A,0)),IF(MM$1=INDEX('Valo FX'!$R:$R,MATCH($A17,'Valo FX'!$A:$A,0)),INDEX(Base!$V:$V,MATCH($A17,Base!$A:$A,0)),0)))</f>
        <v>12.433773</v>
      </c>
      <c r="MN17" s="21">
        <f>IF(MN$1&lt;INDEX('Valo FX'!$Q:$Q,MATCH($A17,'Valo FX'!$A:$A,0)),0,IF(MN$1&lt;INDEX('Valo FX'!$R:$R,MATCH($A17,'Valo FX'!$A:$A,0)),INDEX(Base!$U:$U,MATCH($A17,Base!$A:$A,0)),IF(MN$1=INDEX('Valo FX'!$R:$R,MATCH($A17,'Valo FX'!$A:$A,0)),INDEX(Base!$V:$V,MATCH($A17,Base!$A:$A,0)),0)))</f>
        <v>12.433773</v>
      </c>
      <c r="MO17" s="21">
        <f>IF(MO$1&lt;INDEX('Valo FX'!$Q:$Q,MATCH($A17,'Valo FX'!$A:$A,0)),0,IF(MO$1&lt;INDEX('Valo FX'!$R:$R,MATCH($A17,'Valo FX'!$A:$A,0)),INDEX(Base!$U:$U,MATCH($A17,Base!$A:$A,0)),IF(MO$1=INDEX('Valo FX'!$R:$R,MATCH($A17,'Valo FX'!$A:$A,0)),INDEX(Base!$V:$V,MATCH($A17,Base!$A:$A,0)),0)))</f>
        <v>12.433773</v>
      </c>
      <c r="MP17" s="21">
        <f>IF(MP$1&lt;INDEX('Valo FX'!$Q:$Q,MATCH($A17,'Valo FX'!$A:$A,0)),0,IF(MP$1&lt;INDEX('Valo FX'!$R:$R,MATCH($A17,'Valo FX'!$A:$A,0)),INDEX(Base!$U:$U,MATCH($A17,Base!$A:$A,0)),IF(MP$1=INDEX('Valo FX'!$R:$R,MATCH($A17,'Valo FX'!$A:$A,0)),INDEX(Base!$V:$V,MATCH($A17,Base!$A:$A,0)),0)))</f>
        <v>12.433773</v>
      </c>
      <c r="MQ17" s="21">
        <f>IF(MQ$1&lt;INDEX('Valo FX'!$Q:$Q,MATCH($A17,'Valo FX'!$A:$A,0)),0,IF(MQ$1&lt;INDEX('Valo FX'!$R:$R,MATCH($A17,'Valo FX'!$A:$A,0)),INDEX(Base!$U:$U,MATCH($A17,Base!$A:$A,0)),IF(MQ$1=INDEX('Valo FX'!$R:$R,MATCH($A17,'Valo FX'!$A:$A,0)),INDEX(Base!$V:$V,MATCH($A17,Base!$A:$A,0)),0)))</f>
        <v>12.433773</v>
      </c>
      <c r="MR17" s="21">
        <f>IF(MR$1&lt;INDEX('Valo FX'!$Q:$Q,MATCH($A17,'Valo FX'!$A:$A,0)),0,IF(MR$1&lt;INDEX('Valo FX'!$R:$R,MATCH($A17,'Valo FX'!$A:$A,0)),INDEX(Base!$U:$U,MATCH($A17,Base!$A:$A,0)),IF(MR$1=INDEX('Valo FX'!$R:$R,MATCH($A17,'Valo FX'!$A:$A,0)),INDEX(Base!$V:$V,MATCH($A17,Base!$A:$A,0)),0)))</f>
        <v>12.433773</v>
      </c>
      <c r="MS17" s="21">
        <f>IF(MS$1&lt;INDEX('Valo FX'!$Q:$Q,MATCH($A17,'Valo FX'!$A:$A,0)),0,IF(MS$1&lt;INDEX('Valo FX'!$R:$R,MATCH($A17,'Valo FX'!$A:$A,0)),INDEX(Base!$U:$U,MATCH($A17,Base!$A:$A,0)),IF(MS$1=INDEX('Valo FX'!$R:$R,MATCH($A17,'Valo FX'!$A:$A,0)),INDEX(Base!$V:$V,MATCH($A17,Base!$A:$A,0)),0)))</f>
        <v>12.433773</v>
      </c>
      <c r="MT17" s="21">
        <f>IF(MT$1&lt;INDEX('Valo FX'!$Q:$Q,MATCH($A17,'Valo FX'!$A:$A,0)),0,IF(MT$1&lt;INDEX('Valo FX'!$R:$R,MATCH($A17,'Valo FX'!$A:$A,0)),INDEX(Base!$U:$U,MATCH($A17,Base!$A:$A,0)),IF(MT$1=INDEX('Valo FX'!$R:$R,MATCH($A17,'Valo FX'!$A:$A,0)),INDEX(Base!$V:$V,MATCH($A17,Base!$A:$A,0)),0)))</f>
        <v>12.433773</v>
      </c>
      <c r="MU17" s="21">
        <f>IF(MU$1&lt;INDEX('Valo FX'!$Q:$Q,MATCH($A17,'Valo FX'!$A:$A,0)),0,IF(MU$1&lt;INDEX('Valo FX'!$R:$R,MATCH($A17,'Valo FX'!$A:$A,0)),INDEX(Base!$U:$U,MATCH($A17,Base!$A:$A,0)),IF(MU$1=INDEX('Valo FX'!$R:$R,MATCH($A17,'Valo FX'!$A:$A,0)),INDEX(Base!$V:$V,MATCH($A17,Base!$A:$A,0)),0)))</f>
        <v>12.433773</v>
      </c>
      <c r="MV17" s="21">
        <f>IF(MV$1&lt;INDEX('Valo FX'!$Q:$Q,MATCH($A17,'Valo FX'!$A:$A,0)),0,IF(MV$1&lt;INDEX('Valo FX'!$R:$R,MATCH($A17,'Valo FX'!$A:$A,0)),INDEX(Base!$U:$U,MATCH($A17,Base!$A:$A,0)),IF(MV$1=INDEX('Valo FX'!$R:$R,MATCH($A17,'Valo FX'!$A:$A,0)),INDEX(Base!$V:$V,MATCH($A17,Base!$A:$A,0)),0)))</f>
        <v>12.433773</v>
      </c>
      <c r="MW17" s="21">
        <f>IF(MW$1&lt;INDEX('Valo FX'!$Q:$Q,MATCH($A17,'Valo FX'!$A:$A,0)),0,IF(MW$1&lt;INDEX('Valo FX'!$R:$R,MATCH($A17,'Valo FX'!$A:$A,0)),INDEX(Base!$U:$U,MATCH($A17,Base!$A:$A,0)),IF(MW$1=INDEX('Valo FX'!$R:$R,MATCH($A17,'Valo FX'!$A:$A,0)),INDEX(Base!$V:$V,MATCH($A17,Base!$A:$A,0)),0)))</f>
        <v>12.433773</v>
      </c>
      <c r="MX17" s="21">
        <f>IF(MX$1&lt;INDEX('Valo FX'!$Q:$Q,MATCH($A17,'Valo FX'!$A:$A,0)),0,IF(MX$1&lt;INDEX('Valo FX'!$R:$R,MATCH($A17,'Valo FX'!$A:$A,0)),INDEX(Base!$U:$U,MATCH($A17,Base!$A:$A,0)),IF(MX$1=INDEX('Valo FX'!$R:$R,MATCH($A17,'Valo FX'!$A:$A,0)),INDEX(Base!$V:$V,MATCH($A17,Base!$A:$A,0)),0)))</f>
        <v>13.481028</v>
      </c>
      <c r="MY17" s="21">
        <f>IF(MY$1&lt;INDEX('Valo FX'!$Q:$Q,MATCH($A17,'Valo FX'!$A:$A,0)),0,IF(MY$1&lt;INDEX('Valo FX'!$R:$R,MATCH($A17,'Valo FX'!$A:$A,0)),INDEX(Base!$U:$U,MATCH($A17,Base!$A:$A,0)),IF(MY$1=INDEX('Valo FX'!$R:$R,MATCH($A17,'Valo FX'!$A:$A,0)),INDEX(Base!$V:$V,MATCH($A17,Base!$A:$A,0)),0)))</f>
        <v>0</v>
      </c>
    </row>
    <row r="18" spans="1:363" x14ac:dyDescent="0.25">
      <c r="A18" s="7">
        <f>+'Valo FX'!A19</f>
        <v>16</v>
      </c>
      <c r="B18" s="59">
        <f>-'Valo FX'!T19</f>
        <v>-1878.148972550727</v>
      </c>
      <c r="C18" s="21">
        <f>IF(C$1&lt;INDEX('Valo FX'!$Q:$Q,MATCH($A18,'Valo FX'!$A:$A,0)),0,IF(C$1&lt;INDEX('Valo FX'!$R:$R,MATCH($A18,'Valo FX'!$A:$A,0)),INDEX(Base!$U:$U,MATCH($A18,Base!$A:$A,0)),IF(C$1=INDEX('Valo FX'!$R:$R,MATCH($A18,'Valo FX'!$A:$A,0)),INDEX(Base!$V:$V,MATCH($A18,Base!$A:$A,0)),0)))</f>
        <v>0</v>
      </c>
      <c r="D18" s="21">
        <f>IF(D$1&lt;INDEX('Valo FX'!$Q:$Q,MATCH($A18,'Valo FX'!$A:$A,0)),0,IF(D$1&lt;INDEX('Valo FX'!$R:$R,MATCH($A18,'Valo FX'!$A:$A,0)),INDEX(Base!$U:$U,MATCH($A18,Base!$A:$A,0)),IF(D$1=INDEX('Valo FX'!$R:$R,MATCH($A18,'Valo FX'!$A:$A,0)),INDEX(Base!$V:$V,MATCH($A18,Base!$A:$A,0)),0)))</f>
        <v>0</v>
      </c>
      <c r="E18" s="21">
        <f>IF(E$1&lt;INDEX('Valo FX'!$Q:$Q,MATCH($A18,'Valo FX'!$A:$A,0)),0,IF(E$1&lt;INDEX('Valo FX'!$R:$R,MATCH($A18,'Valo FX'!$A:$A,0)),INDEX(Base!$U:$U,MATCH($A18,Base!$A:$A,0)),IF(E$1=INDEX('Valo FX'!$R:$R,MATCH($A18,'Valo FX'!$A:$A,0)),INDEX(Base!$V:$V,MATCH($A18,Base!$A:$A,0)),0)))</f>
        <v>0</v>
      </c>
      <c r="F18" s="21">
        <f>IF(F$1&lt;INDEX('Valo FX'!$Q:$Q,MATCH($A18,'Valo FX'!$A:$A,0)),0,IF(F$1&lt;INDEX('Valo FX'!$R:$R,MATCH($A18,'Valo FX'!$A:$A,0)),INDEX(Base!$U:$U,MATCH($A18,Base!$A:$A,0)),IF(F$1=INDEX('Valo FX'!$R:$R,MATCH($A18,'Valo FX'!$A:$A,0)),INDEX(Base!$V:$V,MATCH($A18,Base!$A:$A,0)),0)))</f>
        <v>0</v>
      </c>
      <c r="G18" s="21">
        <f>IF(G$1&lt;INDEX('Valo FX'!$Q:$Q,MATCH($A18,'Valo FX'!$A:$A,0)),0,IF(G$1&lt;INDEX('Valo FX'!$R:$R,MATCH($A18,'Valo FX'!$A:$A,0)),INDEX(Base!$U:$U,MATCH($A18,Base!$A:$A,0)),IF(G$1=INDEX('Valo FX'!$R:$R,MATCH($A18,'Valo FX'!$A:$A,0)),INDEX(Base!$V:$V,MATCH($A18,Base!$A:$A,0)),0)))</f>
        <v>0</v>
      </c>
      <c r="H18" s="21">
        <f>IF(H$1&lt;INDEX('Valo FX'!$Q:$Q,MATCH($A18,'Valo FX'!$A:$A,0)),0,IF(H$1&lt;INDEX('Valo FX'!$R:$R,MATCH($A18,'Valo FX'!$A:$A,0)),INDEX(Base!$U:$U,MATCH($A18,Base!$A:$A,0)),IF(H$1=INDEX('Valo FX'!$R:$R,MATCH($A18,'Valo FX'!$A:$A,0)),INDEX(Base!$V:$V,MATCH($A18,Base!$A:$A,0)),0)))</f>
        <v>0</v>
      </c>
      <c r="I18" s="21">
        <f>IF(I$1&lt;INDEX('Valo FX'!$Q:$Q,MATCH($A18,'Valo FX'!$A:$A,0)),0,IF(I$1&lt;INDEX('Valo FX'!$R:$R,MATCH($A18,'Valo FX'!$A:$A,0)),INDEX(Base!$U:$U,MATCH($A18,Base!$A:$A,0)),IF(I$1=INDEX('Valo FX'!$R:$R,MATCH($A18,'Valo FX'!$A:$A,0)),INDEX(Base!$V:$V,MATCH($A18,Base!$A:$A,0)),0)))</f>
        <v>13.171631</v>
      </c>
      <c r="J18" s="21">
        <f>IF(J$1&lt;INDEX('Valo FX'!$Q:$Q,MATCH($A18,'Valo FX'!$A:$A,0)),0,IF(J$1&lt;INDEX('Valo FX'!$R:$R,MATCH($A18,'Valo FX'!$A:$A,0)),INDEX(Base!$U:$U,MATCH($A18,Base!$A:$A,0)),IF(J$1=INDEX('Valo FX'!$R:$R,MATCH($A18,'Valo FX'!$A:$A,0)),INDEX(Base!$V:$V,MATCH($A18,Base!$A:$A,0)),0)))</f>
        <v>13.171631</v>
      </c>
      <c r="K18" s="21">
        <f>IF(K$1&lt;INDEX('Valo FX'!$Q:$Q,MATCH($A18,'Valo FX'!$A:$A,0)),0,IF(K$1&lt;INDEX('Valo FX'!$R:$R,MATCH($A18,'Valo FX'!$A:$A,0)),INDEX(Base!$U:$U,MATCH($A18,Base!$A:$A,0)),IF(K$1=INDEX('Valo FX'!$R:$R,MATCH($A18,'Valo FX'!$A:$A,0)),INDEX(Base!$V:$V,MATCH($A18,Base!$A:$A,0)),0)))</f>
        <v>13.171631</v>
      </c>
      <c r="L18" s="21">
        <f>IF(L$1&lt;INDEX('Valo FX'!$Q:$Q,MATCH($A18,'Valo FX'!$A:$A,0)),0,IF(L$1&lt;INDEX('Valo FX'!$R:$R,MATCH($A18,'Valo FX'!$A:$A,0)),INDEX(Base!$U:$U,MATCH($A18,Base!$A:$A,0)),IF(L$1=INDEX('Valo FX'!$R:$R,MATCH($A18,'Valo FX'!$A:$A,0)),INDEX(Base!$V:$V,MATCH($A18,Base!$A:$A,0)),0)))</f>
        <v>13.171631</v>
      </c>
      <c r="M18" s="21">
        <f>IF(M$1&lt;INDEX('Valo FX'!$Q:$Q,MATCH($A18,'Valo FX'!$A:$A,0)),0,IF(M$1&lt;INDEX('Valo FX'!$R:$R,MATCH($A18,'Valo FX'!$A:$A,0)),INDEX(Base!$U:$U,MATCH($A18,Base!$A:$A,0)),IF(M$1=INDEX('Valo FX'!$R:$R,MATCH($A18,'Valo FX'!$A:$A,0)),INDEX(Base!$V:$V,MATCH($A18,Base!$A:$A,0)),0)))</f>
        <v>13.171631</v>
      </c>
      <c r="N18" s="21">
        <f>IF(N$1&lt;INDEX('Valo FX'!$Q:$Q,MATCH($A18,'Valo FX'!$A:$A,0)),0,IF(N$1&lt;INDEX('Valo FX'!$R:$R,MATCH($A18,'Valo FX'!$A:$A,0)),INDEX(Base!$U:$U,MATCH($A18,Base!$A:$A,0)),IF(N$1=INDEX('Valo FX'!$R:$R,MATCH($A18,'Valo FX'!$A:$A,0)),INDEX(Base!$V:$V,MATCH($A18,Base!$A:$A,0)),0)))</f>
        <v>13.171631</v>
      </c>
      <c r="O18" s="21">
        <f>IF(O$1&lt;INDEX('Valo FX'!$Q:$Q,MATCH($A18,'Valo FX'!$A:$A,0)),0,IF(O$1&lt;INDEX('Valo FX'!$R:$R,MATCH($A18,'Valo FX'!$A:$A,0)),INDEX(Base!$U:$U,MATCH($A18,Base!$A:$A,0)),IF(O$1=INDEX('Valo FX'!$R:$R,MATCH($A18,'Valo FX'!$A:$A,0)),INDEX(Base!$V:$V,MATCH($A18,Base!$A:$A,0)),0)))</f>
        <v>13.171631</v>
      </c>
      <c r="P18" s="21">
        <f>IF(P$1&lt;INDEX('Valo FX'!$Q:$Q,MATCH($A18,'Valo FX'!$A:$A,0)),0,IF(P$1&lt;INDEX('Valo FX'!$R:$R,MATCH($A18,'Valo FX'!$A:$A,0)),INDEX(Base!$U:$U,MATCH($A18,Base!$A:$A,0)),IF(P$1=INDEX('Valo FX'!$R:$R,MATCH($A18,'Valo FX'!$A:$A,0)),INDEX(Base!$V:$V,MATCH($A18,Base!$A:$A,0)),0)))</f>
        <v>13.171631</v>
      </c>
      <c r="Q18" s="21">
        <f>IF(Q$1&lt;INDEX('Valo FX'!$Q:$Q,MATCH($A18,'Valo FX'!$A:$A,0)),0,IF(Q$1&lt;INDEX('Valo FX'!$R:$R,MATCH($A18,'Valo FX'!$A:$A,0)),INDEX(Base!$U:$U,MATCH($A18,Base!$A:$A,0)),IF(Q$1=INDEX('Valo FX'!$R:$R,MATCH($A18,'Valo FX'!$A:$A,0)),INDEX(Base!$V:$V,MATCH($A18,Base!$A:$A,0)),0)))</f>
        <v>13.171631</v>
      </c>
      <c r="R18" s="21">
        <f>IF(R$1&lt;INDEX('Valo FX'!$Q:$Q,MATCH($A18,'Valo FX'!$A:$A,0)),0,IF(R$1&lt;INDEX('Valo FX'!$R:$R,MATCH($A18,'Valo FX'!$A:$A,0)),INDEX(Base!$U:$U,MATCH($A18,Base!$A:$A,0)),IF(R$1=INDEX('Valo FX'!$R:$R,MATCH($A18,'Valo FX'!$A:$A,0)),INDEX(Base!$V:$V,MATCH($A18,Base!$A:$A,0)),0)))</f>
        <v>13.171631</v>
      </c>
      <c r="S18" s="21">
        <f>IF(S$1&lt;INDEX('Valo FX'!$Q:$Q,MATCH($A18,'Valo FX'!$A:$A,0)),0,IF(S$1&lt;INDEX('Valo FX'!$R:$R,MATCH($A18,'Valo FX'!$A:$A,0)),INDEX(Base!$U:$U,MATCH($A18,Base!$A:$A,0)),IF(S$1=INDEX('Valo FX'!$R:$R,MATCH($A18,'Valo FX'!$A:$A,0)),INDEX(Base!$V:$V,MATCH($A18,Base!$A:$A,0)),0)))</f>
        <v>13.171631</v>
      </c>
      <c r="T18" s="21">
        <f>IF(T$1&lt;INDEX('Valo FX'!$Q:$Q,MATCH($A18,'Valo FX'!$A:$A,0)),0,IF(T$1&lt;INDEX('Valo FX'!$R:$R,MATCH($A18,'Valo FX'!$A:$A,0)),INDEX(Base!$U:$U,MATCH($A18,Base!$A:$A,0)),IF(T$1=INDEX('Valo FX'!$R:$R,MATCH($A18,'Valo FX'!$A:$A,0)),INDEX(Base!$V:$V,MATCH($A18,Base!$A:$A,0)),0)))</f>
        <v>13.171631</v>
      </c>
      <c r="U18" s="21">
        <f>IF(U$1&lt;INDEX('Valo FX'!$Q:$Q,MATCH($A18,'Valo FX'!$A:$A,0)),0,IF(U$1&lt;INDEX('Valo FX'!$R:$R,MATCH($A18,'Valo FX'!$A:$A,0)),INDEX(Base!$U:$U,MATCH($A18,Base!$A:$A,0)),IF(U$1=INDEX('Valo FX'!$R:$R,MATCH($A18,'Valo FX'!$A:$A,0)),INDEX(Base!$V:$V,MATCH($A18,Base!$A:$A,0)),0)))</f>
        <v>13.171631</v>
      </c>
      <c r="V18" s="21">
        <f>IF(V$1&lt;INDEX('Valo FX'!$Q:$Q,MATCH($A18,'Valo FX'!$A:$A,0)),0,IF(V$1&lt;INDEX('Valo FX'!$R:$R,MATCH($A18,'Valo FX'!$A:$A,0)),INDEX(Base!$U:$U,MATCH($A18,Base!$A:$A,0)),IF(V$1=INDEX('Valo FX'!$R:$R,MATCH($A18,'Valo FX'!$A:$A,0)),INDEX(Base!$V:$V,MATCH($A18,Base!$A:$A,0)),0)))</f>
        <v>13.171631</v>
      </c>
      <c r="W18" s="21">
        <f>IF(W$1&lt;INDEX('Valo FX'!$Q:$Q,MATCH($A18,'Valo FX'!$A:$A,0)),0,IF(W$1&lt;INDEX('Valo FX'!$R:$R,MATCH($A18,'Valo FX'!$A:$A,0)),INDEX(Base!$U:$U,MATCH($A18,Base!$A:$A,0)),IF(W$1=INDEX('Valo FX'!$R:$R,MATCH($A18,'Valo FX'!$A:$A,0)),INDEX(Base!$V:$V,MATCH($A18,Base!$A:$A,0)),0)))</f>
        <v>13.171631</v>
      </c>
      <c r="X18" s="21">
        <f>IF(X$1&lt;INDEX('Valo FX'!$Q:$Q,MATCH($A18,'Valo FX'!$A:$A,0)),0,IF(X$1&lt;INDEX('Valo FX'!$R:$R,MATCH($A18,'Valo FX'!$A:$A,0)),INDEX(Base!$U:$U,MATCH($A18,Base!$A:$A,0)),IF(X$1=INDEX('Valo FX'!$R:$R,MATCH($A18,'Valo FX'!$A:$A,0)),INDEX(Base!$V:$V,MATCH($A18,Base!$A:$A,0)),0)))</f>
        <v>13.171631</v>
      </c>
      <c r="Y18" s="21">
        <f>IF(Y$1&lt;INDEX('Valo FX'!$Q:$Q,MATCH($A18,'Valo FX'!$A:$A,0)),0,IF(Y$1&lt;INDEX('Valo FX'!$R:$R,MATCH($A18,'Valo FX'!$A:$A,0)),INDEX(Base!$U:$U,MATCH($A18,Base!$A:$A,0)),IF(Y$1=INDEX('Valo FX'!$R:$R,MATCH($A18,'Valo FX'!$A:$A,0)),INDEX(Base!$V:$V,MATCH($A18,Base!$A:$A,0)),0)))</f>
        <v>13.171631</v>
      </c>
      <c r="Z18" s="21">
        <f>IF(Z$1&lt;INDEX('Valo FX'!$Q:$Q,MATCH($A18,'Valo FX'!$A:$A,0)),0,IF(Z$1&lt;INDEX('Valo FX'!$R:$R,MATCH($A18,'Valo FX'!$A:$A,0)),INDEX(Base!$U:$U,MATCH($A18,Base!$A:$A,0)),IF(Z$1=INDEX('Valo FX'!$R:$R,MATCH($A18,'Valo FX'!$A:$A,0)),INDEX(Base!$V:$V,MATCH($A18,Base!$A:$A,0)),0)))</f>
        <v>13.171631</v>
      </c>
      <c r="AA18" s="21">
        <f>IF(AA$1&lt;INDEX('Valo FX'!$Q:$Q,MATCH($A18,'Valo FX'!$A:$A,0)),0,IF(AA$1&lt;INDEX('Valo FX'!$R:$R,MATCH($A18,'Valo FX'!$A:$A,0)),INDEX(Base!$U:$U,MATCH($A18,Base!$A:$A,0)),IF(AA$1=INDEX('Valo FX'!$R:$R,MATCH($A18,'Valo FX'!$A:$A,0)),INDEX(Base!$V:$V,MATCH($A18,Base!$A:$A,0)),0)))</f>
        <v>13.171631</v>
      </c>
      <c r="AB18" s="21">
        <f>IF(AB$1&lt;INDEX('Valo FX'!$Q:$Q,MATCH($A18,'Valo FX'!$A:$A,0)),0,IF(AB$1&lt;INDEX('Valo FX'!$R:$R,MATCH($A18,'Valo FX'!$A:$A,0)),INDEX(Base!$U:$U,MATCH($A18,Base!$A:$A,0)),IF(AB$1=INDEX('Valo FX'!$R:$R,MATCH($A18,'Valo FX'!$A:$A,0)),INDEX(Base!$V:$V,MATCH($A18,Base!$A:$A,0)),0)))</f>
        <v>13.171631</v>
      </c>
      <c r="AC18" s="21">
        <f>IF(AC$1&lt;INDEX('Valo FX'!$Q:$Q,MATCH($A18,'Valo FX'!$A:$A,0)),0,IF(AC$1&lt;INDEX('Valo FX'!$R:$R,MATCH($A18,'Valo FX'!$A:$A,0)),INDEX(Base!$U:$U,MATCH($A18,Base!$A:$A,0)),IF(AC$1=INDEX('Valo FX'!$R:$R,MATCH($A18,'Valo FX'!$A:$A,0)),INDEX(Base!$V:$V,MATCH($A18,Base!$A:$A,0)),0)))</f>
        <v>13.171631</v>
      </c>
      <c r="AD18" s="21">
        <f>IF(AD$1&lt;INDEX('Valo FX'!$Q:$Q,MATCH($A18,'Valo FX'!$A:$A,0)),0,IF(AD$1&lt;INDEX('Valo FX'!$R:$R,MATCH($A18,'Valo FX'!$A:$A,0)),INDEX(Base!$U:$U,MATCH($A18,Base!$A:$A,0)),IF(AD$1=INDEX('Valo FX'!$R:$R,MATCH($A18,'Valo FX'!$A:$A,0)),INDEX(Base!$V:$V,MATCH($A18,Base!$A:$A,0)),0)))</f>
        <v>13.171631</v>
      </c>
      <c r="AE18" s="21">
        <f>IF(AE$1&lt;INDEX('Valo FX'!$Q:$Q,MATCH($A18,'Valo FX'!$A:$A,0)),0,IF(AE$1&lt;INDEX('Valo FX'!$R:$R,MATCH($A18,'Valo FX'!$A:$A,0)),INDEX(Base!$U:$U,MATCH($A18,Base!$A:$A,0)),IF(AE$1=INDEX('Valo FX'!$R:$R,MATCH($A18,'Valo FX'!$A:$A,0)),INDEX(Base!$V:$V,MATCH($A18,Base!$A:$A,0)),0)))</f>
        <v>13.171631</v>
      </c>
      <c r="AF18" s="21">
        <f>IF(AF$1&lt;INDEX('Valo FX'!$Q:$Q,MATCH($A18,'Valo FX'!$A:$A,0)),0,IF(AF$1&lt;INDEX('Valo FX'!$R:$R,MATCH($A18,'Valo FX'!$A:$A,0)),INDEX(Base!$U:$U,MATCH($A18,Base!$A:$A,0)),IF(AF$1=INDEX('Valo FX'!$R:$R,MATCH($A18,'Valo FX'!$A:$A,0)),INDEX(Base!$V:$V,MATCH($A18,Base!$A:$A,0)),0)))</f>
        <v>13.171631</v>
      </c>
      <c r="AG18" s="21">
        <f>IF(AG$1&lt;INDEX('Valo FX'!$Q:$Q,MATCH($A18,'Valo FX'!$A:$A,0)),0,IF(AG$1&lt;INDEX('Valo FX'!$R:$R,MATCH($A18,'Valo FX'!$A:$A,0)),INDEX(Base!$U:$U,MATCH($A18,Base!$A:$A,0)),IF(AG$1=INDEX('Valo FX'!$R:$R,MATCH($A18,'Valo FX'!$A:$A,0)),INDEX(Base!$V:$V,MATCH($A18,Base!$A:$A,0)),0)))</f>
        <v>13.171631</v>
      </c>
      <c r="AH18" s="21">
        <f>IF(AH$1&lt;INDEX('Valo FX'!$Q:$Q,MATCH($A18,'Valo FX'!$A:$A,0)),0,IF(AH$1&lt;INDEX('Valo FX'!$R:$R,MATCH($A18,'Valo FX'!$A:$A,0)),INDEX(Base!$U:$U,MATCH($A18,Base!$A:$A,0)),IF(AH$1=INDEX('Valo FX'!$R:$R,MATCH($A18,'Valo FX'!$A:$A,0)),INDEX(Base!$V:$V,MATCH($A18,Base!$A:$A,0)),0)))</f>
        <v>13.171631</v>
      </c>
      <c r="AI18" s="21">
        <f>IF(AI$1&lt;INDEX('Valo FX'!$Q:$Q,MATCH($A18,'Valo FX'!$A:$A,0)),0,IF(AI$1&lt;INDEX('Valo FX'!$R:$R,MATCH($A18,'Valo FX'!$A:$A,0)),INDEX(Base!$U:$U,MATCH($A18,Base!$A:$A,0)),IF(AI$1=INDEX('Valo FX'!$R:$R,MATCH($A18,'Valo FX'!$A:$A,0)),INDEX(Base!$V:$V,MATCH($A18,Base!$A:$A,0)),0)))</f>
        <v>13.171631</v>
      </c>
      <c r="AJ18" s="21">
        <f>IF(AJ$1&lt;INDEX('Valo FX'!$Q:$Q,MATCH($A18,'Valo FX'!$A:$A,0)),0,IF(AJ$1&lt;INDEX('Valo FX'!$R:$R,MATCH($A18,'Valo FX'!$A:$A,0)),INDEX(Base!$U:$U,MATCH($A18,Base!$A:$A,0)),IF(AJ$1=INDEX('Valo FX'!$R:$R,MATCH($A18,'Valo FX'!$A:$A,0)),INDEX(Base!$V:$V,MATCH($A18,Base!$A:$A,0)),0)))</f>
        <v>13.171631</v>
      </c>
      <c r="AK18" s="21">
        <f>IF(AK$1&lt;INDEX('Valo FX'!$Q:$Q,MATCH($A18,'Valo FX'!$A:$A,0)),0,IF(AK$1&lt;INDEX('Valo FX'!$R:$R,MATCH($A18,'Valo FX'!$A:$A,0)),INDEX(Base!$U:$U,MATCH($A18,Base!$A:$A,0)),IF(AK$1=INDEX('Valo FX'!$R:$R,MATCH($A18,'Valo FX'!$A:$A,0)),INDEX(Base!$V:$V,MATCH($A18,Base!$A:$A,0)),0)))</f>
        <v>13.171631</v>
      </c>
      <c r="AL18" s="21">
        <f>IF(AL$1&lt;INDEX('Valo FX'!$Q:$Q,MATCH($A18,'Valo FX'!$A:$A,0)),0,IF(AL$1&lt;INDEX('Valo FX'!$R:$R,MATCH($A18,'Valo FX'!$A:$A,0)),INDEX(Base!$U:$U,MATCH($A18,Base!$A:$A,0)),IF(AL$1=INDEX('Valo FX'!$R:$R,MATCH($A18,'Valo FX'!$A:$A,0)),INDEX(Base!$V:$V,MATCH($A18,Base!$A:$A,0)),0)))</f>
        <v>13.171631</v>
      </c>
      <c r="AM18" s="21">
        <f>IF(AM$1&lt;INDEX('Valo FX'!$Q:$Q,MATCH($A18,'Valo FX'!$A:$A,0)),0,IF(AM$1&lt;INDEX('Valo FX'!$R:$R,MATCH($A18,'Valo FX'!$A:$A,0)),INDEX(Base!$U:$U,MATCH($A18,Base!$A:$A,0)),IF(AM$1=INDEX('Valo FX'!$R:$R,MATCH($A18,'Valo FX'!$A:$A,0)),INDEX(Base!$V:$V,MATCH($A18,Base!$A:$A,0)),0)))</f>
        <v>13.171631</v>
      </c>
      <c r="AN18" s="21">
        <f>IF(AN$1&lt;INDEX('Valo FX'!$Q:$Q,MATCH($A18,'Valo FX'!$A:$A,0)),0,IF(AN$1&lt;INDEX('Valo FX'!$R:$R,MATCH($A18,'Valo FX'!$A:$A,0)),INDEX(Base!$U:$U,MATCH($A18,Base!$A:$A,0)),IF(AN$1=INDEX('Valo FX'!$R:$R,MATCH($A18,'Valo FX'!$A:$A,0)),INDEX(Base!$V:$V,MATCH($A18,Base!$A:$A,0)),0)))</f>
        <v>13.171631</v>
      </c>
      <c r="AO18" s="21">
        <f>IF(AO$1&lt;INDEX('Valo FX'!$Q:$Q,MATCH($A18,'Valo FX'!$A:$A,0)),0,IF(AO$1&lt;INDEX('Valo FX'!$R:$R,MATCH($A18,'Valo FX'!$A:$A,0)),INDEX(Base!$U:$U,MATCH($A18,Base!$A:$A,0)),IF(AO$1=INDEX('Valo FX'!$R:$R,MATCH($A18,'Valo FX'!$A:$A,0)),INDEX(Base!$V:$V,MATCH($A18,Base!$A:$A,0)),0)))</f>
        <v>13.171631</v>
      </c>
      <c r="AP18" s="21">
        <f>IF(AP$1&lt;INDEX('Valo FX'!$Q:$Q,MATCH($A18,'Valo FX'!$A:$A,0)),0,IF(AP$1&lt;INDEX('Valo FX'!$R:$R,MATCH($A18,'Valo FX'!$A:$A,0)),INDEX(Base!$U:$U,MATCH($A18,Base!$A:$A,0)),IF(AP$1=INDEX('Valo FX'!$R:$R,MATCH($A18,'Valo FX'!$A:$A,0)),INDEX(Base!$V:$V,MATCH($A18,Base!$A:$A,0)),0)))</f>
        <v>13.171631</v>
      </c>
      <c r="AQ18" s="21">
        <f>IF(AQ$1&lt;INDEX('Valo FX'!$Q:$Q,MATCH($A18,'Valo FX'!$A:$A,0)),0,IF(AQ$1&lt;INDEX('Valo FX'!$R:$R,MATCH($A18,'Valo FX'!$A:$A,0)),INDEX(Base!$U:$U,MATCH($A18,Base!$A:$A,0)),IF(AQ$1=INDEX('Valo FX'!$R:$R,MATCH($A18,'Valo FX'!$A:$A,0)),INDEX(Base!$V:$V,MATCH($A18,Base!$A:$A,0)),0)))</f>
        <v>13.171631</v>
      </c>
      <c r="AR18" s="21">
        <f>IF(AR$1&lt;INDEX('Valo FX'!$Q:$Q,MATCH($A18,'Valo FX'!$A:$A,0)),0,IF(AR$1&lt;INDEX('Valo FX'!$R:$R,MATCH($A18,'Valo FX'!$A:$A,0)),INDEX(Base!$U:$U,MATCH($A18,Base!$A:$A,0)),IF(AR$1=INDEX('Valo FX'!$R:$R,MATCH($A18,'Valo FX'!$A:$A,0)),INDEX(Base!$V:$V,MATCH($A18,Base!$A:$A,0)),0)))</f>
        <v>13.171631</v>
      </c>
      <c r="AS18" s="21">
        <f>IF(AS$1&lt;INDEX('Valo FX'!$Q:$Q,MATCH($A18,'Valo FX'!$A:$A,0)),0,IF(AS$1&lt;INDEX('Valo FX'!$R:$R,MATCH($A18,'Valo FX'!$A:$A,0)),INDEX(Base!$U:$U,MATCH($A18,Base!$A:$A,0)),IF(AS$1=INDEX('Valo FX'!$R:$R,MATCH($A18,'Valo FX'!$A:$A,0)),INDEX(Base!$V:$V,MATCH($A18,Base!$A:$A,0)),0)))</f>
        <v>13.171631</v>
      </c>
      <c r="AT18" s="21">
        <f>IF(AT$1&lt;INDEX('Valo FX'!$Q:$Q,MATCH($A18,'Valo FX'!$A:$A,0)),0,IF(AT$1&lt;INDEX('Valo FX'!$R:$R,MATCH($A18,'Valo FX'!$A:$A,0)),INDEX(Base!$U:$U,MATCH($A18,Base!$A:$A,0)),IF(AT$1=INDEX('Valo FX'!$R:$R,MATCH($A18,'Valo FX'!$A:$A,0)),INDEX(Base!$V:$V,MATCH($A18,Base!$A:$A,0)),0)))</f>
        <v>13.171631</v>
      </c>
      <c r="AU18" s="21">
        <f>IF(AU$1&lt;INDEX('Valo FX'!$Q:$Q,MATCH($A18,'Valo FX'!$A:$A,0)),0,IF(AU$1&lt;INDEX('Valo FX'!$R:$R,MATCH($A18,'Valo FX'!$A:$A,0)),INDEX(Base!$U:$U,MATCH($A18,Base!$A:$A,0)),IF(AU$1=INDEX('Valo FX'!$R:$R,MATCH($A18,'Valo FX'!$A:$A,0)),INDEX(Base!$V:$V,MATCH($A18,Base!$A:$A,0)),0)))</f>
        <v>13.171631</v>
      </c>
      <c r="AV18" s="21">
        <f>IF(AV$1&lt;INDEX('Valo FX'!$Q:$Q,MATCH($A18,'Valo FX'!$A:$A,0)),0,IF(AV$1&lt;INDEX('Valo FX'!$R:$R,MATCH($A18,'Valo FX'!$A:$A,0)),INDEX(Base!$U:$U,MATCH($A18,Base!$A:$A,0)),IF(AV$1=INDEX('Valo FX'!$R:$R,MATCH($A18,'Valo FX'!$A:$A,0)),INDEX(Base!$V:$V,MATCH($A18,Base!$A:$A,0)),0)))</f>
        <v>13.171631</v>
      </c>
      <c r="AW18" s="21">
        <f>IF(AW$1&lt;INDEX('Valo FX'!$Q:$Q,MATCH($A18,'Valo FX'!$A:$A,0)),0,IF(AW$1&lt;INDEX('Valo FX'!$R:$R,MATCH($A18,'Valo FX'!$A:$A,0)),INDEX(Base!$U:$U,MATCH($A18,Base!$A:$A,0)),IF(AW$1=INDEX('Valo FX'!$R:$R,MATCH($A18,'Valo FX'!$A:$A,0)),INDEX(Base!$V:$V,MATCH($A18,Base!$A:$A,0)),0)))</f>
        <v>13.171631</v>
      </c>
      <c r="AX18" s="21">
        <f>IF(AX$1&lt;INDEX('Valo FX'!$Q:$Q,MATCH($A18,'Valo FX'!$A:$A,0)),0,IF(AX$1&lt;INDEX('Valo FX'!$R:$R,MATCH($A18,'Valo FX'!$A:$A,0)),INDEX(Base!$U:$U,MATCH($A18,Base!$A:$A,0)),IF(AX$1=INDEX('Valo FX'!$R:$R,MATCH($A18,'Valo FX'!$A:$A,0)),INDEX(Base!$V:$V,MATCH($A18,Base!$A:$A,0)),0)))</f>
        <v>13.171631</v>
      </c>
      <c r="AY18" s="21">
        <f>IF(AY$1&lt;INDEX('Valo FX'!$Q:$Q,MATCH($A18,'Valo FX'!$A:$A,0)),0,IF(AY$1&lt;INDEX('Valo FX'!$R:$R,MATCH($A18,'Valo FX'!$A:$A,0)),INDEX(Base!$U:$U,MATCH($A18,Base!$A:$A,0)),IF(AY$1=INDEX('Valo FX'!$R:$R,MATCH($A18,'Valo FX'!$A:$A,0)),INDEX(Base!$V:$V,MATCH($A18,Base!$A:$A,0)),0)))</f>
        <v>13.171631</v>
      </c>
      <c r="AZ18" s="21">
        <f>IF(AZ$1&lt;INDEX('Valo FX'!$Q:$Q,MATCH($A18,'Valo FX'!$A:$A,0)),0,IF(AZ$1&lt;INDEX('Valo FX'!$R:$R,MATCH($A18,'Valo FX'!$A:$A,0)),INDEX(Base!$U:$U,MATCH($A18,Base!$A:$A,0)),IF(AZ$1=INDEX('Valo FX'!$R:$R,MATCH($A18,'Valo FX'!$A:$A,0)),INDEX(Base!$V:$V,MATCH($A18,Base!$A:$A,0)),0)))</f>
        <v>13.171631</v>
      </c>
      <c r="BA18" s="21">
        <f>IF(BA$1&lt;INDEX('Valo FX'!$Q:$Q,MATCH($A18,'Valo FX'!$A:$A,0)),0,IF(BA$1&lt;INDEX('Valo FX'!$R:$R,MATCH($A18,'Valo FX'!$A:$A,0)),INDEX(Base!$U:$U,MATCH($A18,Base!$A:$A,0)),IF(BA$1=INDEX('Valo FX'!$R:$R,MATCH($A18,'Valo FX'!$A:$A,0)),INDEX(Base!$V:$V,MATCH($A18,Base!$A:$A,0)),0)))</f>
        <v>13.171631</v>
      </c>
      <c r="BB18" s="21">
        <f>IF(BB$1&lt;INDEX('Valo FX'!$Q:$Q,MATCH($A18,'Valo FX'!$A:$A,0)),0,IF(BB$1&lt;INDEX('Valo FX'!$R:$R,MATCH($A18,'Valo FX'!$A:$A,0)),INDEX(Base!$U:$U,MATCH($A18,Base!$A:$A,0)),IF(BB$1=INDEX('Valo FX'!$R:$R,MATCH($A18,'Valo FX'!$A:$A,0)),INDEX(Base!$V:$V,MATCH($A18,Base!$A:$A,0)),0)))</f>
        <v>13.171631</v>
      </c>
      <c r="BC18" s="21">
        <f>IF(BC$1&lt;INDEX('Valo FX'!$Q:$Q,MATCH($A18,'Valo FX'!$A:$A,0)),0,IF(BC$1&lt;INDEX('Valo FX'!$R:$R,MATCH($A18,'Valo FX'!$A:$A,0)),INDEX(Base!$U:$U,MATCH($A18,Base!$A:$A,0)),IF(BC$1=INDEX('Valo FX'!$R:$R,MATCH($A18,'Valo FX'!$A:$A,0)),INDEX(Base!$V:$V,MATCH($A18,Base!$A:$A,0)),0)))</f>
        <v>13.171631</v>
      </c>
      <c r="BD18" s="21">
        <f>IF(BD$1&lt;INDEX('Valo FX'!$Q:$Q,MATCH($A18,'Valo FX'!$A:$A,0)),0,IF(BD$1&lt;INDEX('Valo FX'!$R:$R,MATCH($A18,'Valo FX'!$A:$A,0)),INDEX(Base!$U:$U,MATCH($A18,Base!$A:$A,0)),IF(BD$1=INDEX('Valo FX'!$R:$R,MATCH($A18,'Valo FX'!$A:$A,0)),INDEX(Base!$V:$V,MATCH($A18,Base!$A:$A,0)),0)))</f>
        <v>13.171631</v>
      </c>
      <c r="BE18" s="21">
        <f>IF(BE$1&lt;INDEX('Valo FX'!$Q:$Q,MATCH($A18,'Valo FX'!$A:$A,0)),0,IF(BE$1&lt;INDEX('Valo FX'!$R:$R,MATCH($A18,'Valo FX'!$A:$A,0)),INDEX(Base!$U:$U,MATCH($A18,Base!$A:$A,0)),IF(BE$1=INDEX('Valo FX'!$R:$R,MATCH($A18,'Valo FX'!$A:$A,0)),INDEX(Base!$V:$V,MATCH($A18,Base!$A:$A,0)),0)))</f>
        <v>13.171631</v>
      </c>
      <c r="BF18" s="21">
        <f>IF(BF$1&lt;INDEX('Valo FX'!$Q:$Q,MATCH($A18,'Valo FX'!$A:$A,0)),0,IF(BF$1&lt;INDEX('Valo FX'!$R:$R,MATCH($A18,'Valo FX'!$A:$A,0)),INDEX(Base!$U:$U,MATCH($A18,Base!$A:$A,0)),IF(BF$1=INDEX('Valo FX'!$R:$R,MATCH($A18,'Valo FX'!$A:$A,0)),INDEX(Base!$V:$V,MATCH($A18,Base!$A:$A,0)),0)))</f>
        <v>13.171631</v>
      </c>
      <c r="BG18" s="21">
        <f>IF(BG$1&lt;INDEX('Valo FX'!$Q:$Q,MATCH($A18,'Valo FX'!$A:$A,0)),0,IF(BG$1&lt;INDEX('Valo FX'!$R:$R,MATCH($A18,'Valo FX'!$A:$A,0)),INDEX(Base!$U:$U,MATCH($A18,Base!$A:$A,0)),IF(BG$1=INDEX('Valo FX'!$R:$R,MATCH($A18,'Valo FX'!$A:$A,0)),INDEX(Base!$V:$V,MATCH($A18,Base!$A:$A,0)),0)))</f>
        <v>13.171631</v>
      </c>
      <c r="BH18" s="21">
        <f>IF(BH$1&lt;INDEX('Valo FX'!$Q:$Q,MATCH($A18,'Valo FX'!$A:$A,0)),0,IF(BH$1&lt;INDEX('Valo FX'!$R:$R,MATCH($A18,'Valo FX'!$A:$A,0)),INDEX(Base!$U:$U,MATCH($A18,Base!$A:$A,0)),IF(BH$1=INDEX('Valo FX'!$R:$R,MATCH($A18,'Valo FX'!$A:$A,0)),INDEX(Base!$V:$V,MATCH($A18,Base!$A:$A,0)),0)))</f>
        <v>13.171631</v>
      </c>
      <c r="BI18" s="21">
        <f>IF(BI$1&lt;INDEX('Valo FX'!$Q:$Q,MATCH($A18,'Valo FX'!$A:$A,0)),0,IF(BI$1&lt;INDEX('Valo FX'!$R:$R,MATCH($A18,'Valo FX'!$A:$A,0)),INDEX(Base!$U:$U,MATCH($A18,Base!$A:$A,0)),IF(BI$1=INDEX('Valo FX'!$R:$R,MATCH($A18,'Valo FX'!$A:$A,0)),INDEX(Base!$V:$V,MATCH($A18,Base!$A:$A,0)),0)))</f>
        <v>13.171631</v>
      </c>
      <c r="BJ18" s="21">
        <f>IF(BJ$1&lt;INDEX('Valo FX'!$Q:$Q,MATCH($A18,'Valo FX'!$A:$A,0)),0,IF(BJ$1&lt;INDEX('Valo FX'!$R:$R,MATCH($A18,'Valo FX'!$A:$A,0)),INDEX(Base!$U:$U,MATCH($A18,Base!$A:$A,0)),IF(BJ$1=INDEX('Valo FX'!$R:$R,MATCH($A18,'Valo FX'!$A:$A,0)),INDEX(Base!$V:$V,MATCH($A18,Base!$A:$A,0)),0)))</f>
        <v>13.171631</v>
      </c>
      <c r="BK18" s="21">
        <f>IF(BK$1&lt;INDEX('Valo FX'!$Q:$Q,MATCH($A18,'Valo FX'!$A:$A,0)),0,IF(BK$1&lt;INDEX('Valo FX'!$R:$R,MATCH($A18,'Valo FX'!$A:$A,0)),INDEX(Base!$U:$U,MATCH($A18,Base!$A:$A,0)),IF(BK$1=INDEX('Valo FX'!$R:$R,MATCH($A18,'Valo FX'!$A:$A,0)),INDEX(Base!$V:$V,MATCH($A18,Base!$A:$A,0)),0)))</f>
        <v>13.171631</v>
      </c>
      <c r="BL18" s="21">
        <f>IF(BL$1&lt;INDEX('Valo FX'!$Q:$Q,MATCH($A18,'Valo FX'!$A:$A,0)),0,IF(BL$1&lt;INDEX('Valo FX'!$R:$R,MATCH($A18,'Valo FX'!$A:$A,0)),INDEX(Base!$U:$U,MATCH($A18,Base!$A:$A,0)),IF(BL$1=INDEX('Valo FX'!$R:$R,MATCH($A18,'Valo FX'!$A:$A,0)),INDEX(Base!$V:$V,MATCH($A18,Base!$A:$A,0)),0)))</f>
        <v>13.171631</v>
      </c>
      <c r="BM18" s="21">
        <f>IF(BM$1&lt;INDEX('Valo FX'!$Q:$Q,MATCH($A18,'Valo FX'!$A:$A,0)),0,IF(BM$1&lt;INDEX('Valo FX'!$R:$R,MATCH($A18,'Valo FX'!$A:$A,0)),INDEX(Base!$U:$U,MATCH($A18,Base!$A:$A,0)),IF(BM$1=INDEX('Valo FX'!$R:$R,MATCH($A18,'Valo FX'!$A:$A,0)),INDEX(Base!$V:$V,MATCH($A18,Base!$A:$A,0)),0)))</f>
        <v>13.171631</v>
      </c>
      <c r="BN18" s="21">
        <f>IF(BN$1&lt;INDEX('Valo FX'!$Q:$Q,MATCH($A18,'Valo FX'!$A:$A,0)),0,IF(BN$1&lt;INDEX('Valo FX'!$R:$R,MATCH($A18,'Valo FX'!$A:$A,0)),INDEX(Base!$U:$U,MATCH($A18,Base!$A:$A,0)),IF(BN$1=INDEX('Valo FX'!$R:$R,MATCH($A18,'Valo FX'!$A:$A,0)),INDEX(Base!$V:$V,MATCH($A18,Base!$A:$A,0)),0)))</f>
        <v>13.171631</v>
      </c>
      <c r="BO18" s="21">
        <f>IF(BO$1&lt;INDEX('Valo FX'!$Q:$Q,MATCH($A18,'Valo FX'!$A:$A,0)),0,IF(BO$1&lt;INDEX('Valo FX'!$R:$R,MATCH($A18,'Valo FX'!$A:$A,0)),INDEX(Base!$U:$U,MATCH($A18,Base!$A:$A,0)),IF(BO$1=INDEX('Valo FX'!$R:$R,MATCH($A18,'Valo FX'!$A:$A,0)),INDEX(Base!$V:$V,MATCH($A18,Base!$A:$A,0)),0)))</f>
        <v>13.171631</v>
      </c>
      <c r="BP18" s="21">
        <f>IF(BP$1&lt;INDEX('Valo FX'!$Q:$Q,MATCH($A18,'Valo FX'!$A:$A,0)),0,IF(BP$1&lt;INDEX('Valo FX'!$R:$R,MATCH($A18,'Valo FX'!$A:$A,0)),INDEX(Base!$U:$U,MATCH($A18,Base!$A:$A,0)),IF(BP$1=INDEX('Valo FX'!$R:$R,MATCH($A18,'Valo FX'!$A:$A,0)),INDEX(Base!$V:$V,MATCH($A18,Base!$A:$A,0)),0)))</f>
        <v>13.171631</v>
      </c>
      <c r="BQ18" s="21">
        <f>IF(BQ$1&lt;INDEX('Valo FX'!$Q:$Q,MATCH($A18,'Valo FX'!$A:$A,0)),0,IF(BQ$1&lt;INDEX('Valo FX'!$R:$R,MATCH($A18,'Valo FX'!$A:$A,0)),INDEX(Base!$U:$U,MATCH($A18,Base!$A:$A,0)),IF(BQ$1=INDEX('Valo FX'!$R:$R,MATCH($A18,'Valo FX'!$A:$A,0)),INDEX(Base!$V:$V,MATCH($A18,Base!$A:$A,0)),0)))</f>
        <v>13.171631</v>
      </c>
      <c r="BR18" s="21">
        <f>IF(BR$1&lt;INDEX('Valo FX'!$Q:$Q,MATCH($A18,'Valo FX'!$A:$A,0)),0,IF(BR$1&lt;INDEX('Valo FX'!$R:$R,MATCH($A18,'Valo FX'!$A:$A,0)),INDEX(Base!$U:$U,MATCH($A18,Base!$A:$A,0)),IF(BR$1=INDEX('Valo FX'!$R:$R,MATCH($A18,'Valo FX'!$A:$A,0)),INDEX(Base!$V:$V,MATCH($A18,Base!$A:$A,0)),0)))</f>
        <v>13.171631</v>
      </c>
      <c r="BS18" s="21">
        <f>IF(BS$1&lt;INDEX('Valo FX'!$Q:$Q,MATCH($A18,'Valo FX'!$A:$A,0)),0,IF(BS$1&lt;INDEX('Valo FX'!$R:$R,MATCH($A18,'Valo FX'!$A:$A,0)),INDEX(Base!$U:$U,MATCH($A18,Base!$A:$A,0)),IF(BS$1=INDEX('Valo FX'!$R:$R,MATCH($A18,'Valo FX'!$A:$A,0)),INDEX(Base!$V:$V,MATCH($A18,Base!$A:$A,0)),0)))</f>
        <v>13.171631</v>
      </c>
      <c r="BT18" s="21">
        <f>IF(BT$1&lt;INDEX('Valo FX'!$Q:$Q,MATCH($A18,'Valo FX'!$A:$A,0)),0,IF(BT$1&lt;INDEX('Valo FX'!$R:$R,MATCH($A18,'Valo FX'!$A:$A,0)),INDEX(Base!$U:$U,MATCH($A18,Base!$A:$A,0)),IF(BT$1=INDEX('Valo FX'!$R:$R,MATCH($A18,'Valo FX'!$A:$A,0)),INDEX(Base!$V:$V,MATCH($A18,Base!$A:$A,0)),0)))</f>
        <v>13.171631</v>
      </c>
      <c r="BU18" s="21">
        <f>IF(BU$1&lt;INDEX('Valo FX'!$Q:$Q,MATCH($A18,'Valo FX'!$A:$A,0)),0,IF(BU$1&lt;INDEX('Valo FX'!$R:$R,MATCH($A18,'Valo FX'!$A:$A,0)),INDEX(Base!$U:$U,MATCH($A18,Base!$A:$A,0)),IF(BU$1=INDEX('Valo FX'!$R:$R,MATCH($A18,'Valo FX'!$A:$A,0)),INDEX(Base!$V:$V,MATCH($A18,Base!$A:$A,0)),0)))</f>
        <v>13.171631</v>
      </c>
      <c r="BV18" s="21">
        <f>IF(BV$1&lt;INDEX('Valo FX'!$Q:$Q,MATCH($A18,'Valo FX'!$A:$A,0)),0,IF(BV$1&lt;INDEX('Valo FX'!$R:$R,MATCH($A18,'Valo FX'!$A:$A,0)),INDEX(Base!$U:$U,MATCH($A18,Base!$A:$A,0)),IF(BV$1=INDEX('Valo FX'!$R:$R,MATCH($A18,'Valo FX'!$A:$A,0)),INDEX(Base!$V:$V,MATCH($A18,Base!$A:$A,0)),0)))</f>
        <v>13.171631</v>
      </c>
      <c r="BW18" s="21">
        <f>IF(BW$1&lt;INDEX('Valo FX'!$Q:$Q,MATCH($A18,'Valo FX'!$A:$A,0)),0,IF(BW$1&lt;INDEX('Valo FX'!$R:$R,MATCH($A18,'Valo FX'!$A:$A,0)),INDEX(Base!$U:$U,MATCH($A18,Base!$A:$A,0)),IF(BW$1=INDEX('Valo FX'!$R:$R,MATCH($A18,'Valo FX'!$A:$A,0)),INDEX(Base!$V:$V,MATCH($A18,Base!$A:$A,0)),0)))</f>
        <v>13.171631</v>
      </c>
      <c r="BX18" s="21">
        <f>IF(BX$1&lt;INDEX('Valo FX'!$Q:$Q,MATCH($A18,'Valo FX'!$A:$A,0)),0,IF(BX$1&lt;INDEX('Valo FX'!$R:$R,MATCH($A18,'Valo FX'!$A:$A,0)),INDEX(Base!$U:$U,MATCH($A18,Base!$A:$A,0)),IF(BX$1=INDEX('Valo FX'!$R:$R,MATCH($A18,'Valo FX'!$A:$A,0)),INDEX(Base!$V:$V,MATCH($A18,Base!$A:$A,0)),0)))</f>
        <v>13.171631</v>
      </c>
      <c r="BY18" s="21">
        <f>IF(BY$1&lt;INDEX('Valo FX'!$Q:$Q,MATCH($A18,'Valo FX'!$A:$A,0)),0,IF(BY$1&lt;INDEX('Valo FX'!$R:$R,MATCH($A18,'Valo FX'!$A:$A,0)),INDEX(Base!$U:$U,MATCH($A18,Base!$A:$A,0)),IF(BY$1=INDEX('Valo FX'!$R:$R,MATCH($A18,'Valo FX'!$A:$A,0)),INDEX(Base!$V:$V,MATCH($A18,Base!$A:$A,0)),0)))</f>
        <v>13.171631</v>
      </c>
      <c r="BZ18" s="21">
        <f>IF(BZ$1&lt;INDEX('Valo FX'!$Q:$Q,MATCH($A18,'Valo FX'!$A:$A,0)),0,IF(BZ$1&lt;INDEX('Valo FX'!$R:$R,MATCH($A18,'Valo FX'!$A:$A,0)),INDEX(Base!$U:$U,MATCH($A18,Base!$A:$A,0)),IF(BZ$1=INDEX('Valo FX'!$R:$R,MATCH($A18,'Valo FX'!$A:$A,0)),INDEX(Base!$V:$V,MATCH($A18,Base!$A:$A,0)),0)))</f>
        <v>13.171631</v>
      </c>
      <c r="CA18" s="21">
        <f>IF(CA$1&lt;INDEX('Valo FX'!$Q:$Q,MATCH($A18,'Valo FX'!$A:$A,0)),0,IF(CA$1&lt;INDEX('Valo FX'!$R:$R,MATCH($A18,'Valo FX'!$A:$A,0)),INDEX(Base!$U:$U,MATCH($A18,Base!$A:$A,0)),IF(CA$1=INDEX('Valo FX'!$R:$R,MATCH($A18,'Valo FX'!$A:$A,0)),INDEX(Base!$V:$V,MATCH($A18,Base!$A:$A,0)),0)))</f>
        <v>13.171631</v>
      </c>
      <c r="CB18" s="21">
        <f>IF(CB$1&lt;INDEX('Valo FX'!$Q:$Q,MATCH($A18,'Valo FX'!$A:$A,0)),0,IF(CB$1&lt;INDEX('Valo FX'!$R:$R,MATCH($A18,'Valo FX'!$A:$A,0)),INDEX(Base!$U:$U,MATCH($A18,Base!$A:$A,0)),IF(CB$1=INDEX('Valo FX'!$R:$R,MATCH($A18,'Valo FX'!$A:$A,0)),INDEX(Base!$V:$V,MATCH($A18,Base!$A:$A,0)),0)))</f>
        <v>13.171631</v>
      </c>
      <c r="CC18" s="21">
        <f>IF(CC$1&lt;INDEX('Valo FX'!$Q:$Q,MATCH($A18,'Valo FX'!$A:$A,0)),0,IF(CC$1&lt;INDEX('Valo FX'!$R:$R,MATCH($A18,'Valo FX'!$A:$A,0)),INDEX(Base!$U:$U,MATCH($A18,Base!$A:$A,0)),IF(CC$1=INDEX('Valo FX'!$R:$R,MATCH($A18,'Valo FX'!$A:$A,0)),INDEX(Base!$V:$V,MATCH($A18,Base!$A:$A,0)),0)))</f>
        <v>13.171631</v>
      </c>
      <c r="CD18" s="21">
        <f>IF(CD$1&lt;INDEX('Valo FX'!$Q:$Q,MATCH($A18,'Valo FX'!$A:$A,0)),0,IF(CD$1&lt;INDEX('Valo FX'!$R:$R,MATCH($A18,'Valo FX'!$A:$A,0)),INDEX(Base!$U:$U,MATCH($A18,Base!$A:$A,0)),IF(CD$1=INDEX('Valo FX'!$R:$R,MATCH($A18,'Valo FX'!$A:$A,0)),INDEX(Base!$V:$V,MATCH($A18,Base!$A:$A,0)),0)))</f>
        <v>13.171631</v>
      </c>
      <c r="CE18" s="21">
        <f>IF(CE$1&lt;INDEX('Valo FX'!$Q:$Q,MATCH($A18,'Valo FX'!$A:$A,0)),0,IF(CE$1&lt;INDEX('Valo FX'!$R:$R,MATCH($A18,'Valo FX'!$A:$A,0)),INDEX(Base!$U:$U,MATCH($A18,Base!$A:$A,0)),IF(CE$1=INDEX('Valo FX'!$R:$R,MATCH($A18,'Valo FX'!$A:$A,0)),INDEX(Base!$V:$V,MATCH($A18,Base!$A:$A,0)),0)))</f>
        <v>13.171631</v>
      </c>
      <c r="CF18" s="21">
        <f>IF(CF$1&lt;INDEX('Valo FX'!$Q:$Q,MATCH($A18,'Valo FX'!$A:$A,0)),0,IF(CF$1&lt;INDEX('Valo FX'!$R:$R,MATCH($A18,'Valo FX'!$A:$A,0)),INDEX(Base!$U:$U,MATCH($A18,Base!$A:$A,0)),IF(CF$1=INDEX('Valo FX'!$R:$R,MATCH($A18,'Valo FX'!$A:$A,0)),INDEX(Base!$V:$V,MATCH($A18,Base!$A:$A,0)),0)))</f>
        <v>13.171631</v>
      </c>
      <c r="CG18" s="21">
        <f>IF(CG$1&lt;INDEX('Valo FX'!$Q:$Q,MATCH($A18,'Valo FX'!$A:$A,0)),0,IF(CG$1&lt;INDEX('Valo FX'!$R:$R,MATCH($A18,'Valo FX'!$A:$A,0)),INDEX(Base!$U:$U,MATCH($A18,Base!$A:$A,0)),IF(CG$1=INDEX('Valo FX'!$R:$R,MATCH($A18,'Valo FX'!$A:$A,0)),INDEX(Base!$V:$V,MATCH($A18,Base!$A:$A,0)),0)))</f>
        <v>13.171631</v>
      </c>
      <c r="CH18" s="21">
        <f>IF(CH$1&lt;INDEX('Valo FX'!$Q:$Q,MATCH($A18,'Valo FX'!$A:$A,0)),0,IF(CH$1&lt;INDEX('Valo FX'!$R:$R,MATCH($A18,'Valo FX'!$A:$A,0)),INDEX(Base!$U:$U,MATCH($A18,Base!$A:$A,0)),IF(CH$1=INDEX('Valo FX'!$R:$R,MATCH($A18,'Valo FX'!$A:$A,0)),INDEX(Base!$V:$V,MATCH($A18,Base!$A:$A,0)),0)))</f>
        <v>13.171631</v>
      </c>
      <c r="CI18" s="21">
        <f>IF(CI$1&lt;INDEX('Valo FX'!$Q:$Q,MATCH($A18,'Valo FX'!$A:$A,0)),0,IF(CI$1&lt;INDEX('Valo FX'!$R:$R,MATCH($A18,'Valo FX'!$A:$A,0)),INDEX(Base!$U:$U,MATCH($A18,Base!$A:$A,0)),IF(CI$1=INDEX('Valo FX'!$R:$R,MATCH($A18,'Valo FX'!$A:$A,0)),INDEX(Base!$V:$V,MATCH($A18,Base!$A:$A,0)),0)))</f>
        <v>13.171631</v>
      </c>
      <c r="CJ18" s="21">
        <f>IF(CJ$1&lt;INDEX('Valo FX'!$Q:$Q,MATCH($A18,'Valo FX'!$A:$A,0)),0,IF(CJ$1&lt;INDEX('Valo FX'!$R:$R,MATCH($A18,'Valo FX'!$A:$A,0)),INDEX(Base!$U:$U,MATCH($A18,Base!$A:$A,0)),IF(CJ$1=INDEX('Valo FX'!$R:$R,MATCH($A18,'Valo FX'!$A:$A,0)),INDEX(Base!$V:$V,MATCH($A18,Base!$A:$A,0)),0)))</f>
        <v>13.171631</v>
      </c>
      <c r="CK18" s="21">
        <f>IF(CK$1&lt;INDEX('Valo FX'!$Q:$Q,MATCH($A18,'Valo FX'!$A:$A,0)),0,IF(CK$1&lt;INDEX('Valo FX'!$R:$R,MATCH($A18,'Valo FX'!$A:$A,0)),INDEX(Base!$U:$U,MATCH($A18,Base!$A:$A,0)),IF(CK$1=INDEX('Valo FX'!$R:$R,MATCH($A18,'Valo FX'!$A:$A,0)),INDEX(Base!$V:$V,MATCH($A18,Base!$A:$A,0)),0)))</f>
        <v>13.171631</v>
      </c>
      <c r="CL18" s="21">
        <f>IF(CL$1&lt;INDEX('Valo FX'!$Q:$Q,MATCH($A18,'Valo FX'!$A:$A,0)),0,IF(CL$1&lt;INDEX('Valo FX'!$R:$R,MATCH($A18,'Valo FX'!$A:$A,0)),INDEX(Base!$U:$U,MATCH($A18,Base!$A:$A,0)),IF(CL$1=INDEX('Valo FX'!$R:$R,MATCH($A18,'Valo FX'!$A:$A,0)),INDEX(Base!$V:$V,MATCH($A18,Base!$A:$A,0)),0)))</f>
        <v>13.171631</v>
      </c>
      <c r="CM18" s="21">
        <f>IF(CM$1&lt;INDEX('Valo FX'!$Q:$Q,MATCH($A18,'Valo FX'!$A:$A,0)),0,IF(CM$1&lt;INDEX('Valo FX'!$R:$R,MATCH($A18,'Valo FX'!$A:$A,0)),INDEX(Base!$U:$U,MATCH($A18,Base!$A:$A,0)),IF(CM$1=INDEX('Valo FX'!$R:$R,MATCH($A18,'Valo FX'!$A:$A,0)),INDEX(Base!$V:$V,MATCH($A18,Base!$A:$A,0)),0)))</f>
        <v>13.171631</v>
      </c>
      <c r="CN18" s="21">
        <f>IF(CN$1&lt;INDEX('Valo FX'!$Q:$Q,MATCH($A18,'Valo FX'!$A:$A,0)),0,IF(CN$1&lt;INDEX('Valo FX'!$R:$R,MATCH($A18,'Valo FX'!$A:$A,0)),INDEX(Base!$U:$U,MATCH($A18,Base!$A:$A,0)),IF(CN$1=INDEX('Valo FX'!$R:$R,MATCH($A18,'Valo FX'!$A:$A,0)),INDEX(Base!$V:$V,MATCH($A18,Base!$A:$A,0)),0)))</f>
        <v>13.171631</v>
      </c>
      <c r="CO18" s="21">
        <f>IF(CO$1&lt;INDEX('Valo FX'!$Q:$Q,MATCH($A18,'Valo FX'!$A:$A,0)),0,IF(CO$1&lt;INDEX('Valo FX'!$R:$R,MATCH($A18,'Valo FX'!$A:$A,0)),INDEX(Base!$U:$U,MATCH($A18,Base!$A:$A,0)),IF(CO$1=INDEX('Valo FX'!$R:$R,MATCH($A18,'Valo FX'!$A:$A,0)),INDEX(Base!$V:$V,MATCH($A18,Base!$A:$A,0)),0)))</f>
        <v>13.171631</v>
      </c>
      <c r="CP18" s="21">
        <f>IF(CP$1&lt;INDEX('Valo FX'!$Q:$Q,MATCH($A18,'Valo FX'!$A:$A,0)),0,IF(CP$1&lt;INDEX('Valo FX'!$R:$R,MATCH($A18,'Valo FX'!$A:$A,0)),INDEX(Base!$U:$U,MATCH($A18,Base!$A:$A,0)),IF(CP$1=INDEX('Valo FX'!$R:$R,MATCH($A18,'Valo FX'!$A:$A,0)),INDEX(Base!$V:$V,MATCH($A18,Base!$A:$A,0)),0)))</f>
        <v>13.171631</v>
      </c>
      <c r="CQ18" s="21">
        <f>IF(CQ$1&lt;INDEX('Valo FX'!$Q:$Q,MATCH($A18,'Valo FX'!$A:$A,0)),0,IF(CQ$1&lt;INDEX('Valo FX'!$R:$R,MATCH($A18,'Valo FX'!$A:$A,0)),INDEX(Base!$U:$U,MATCH($A18,Base!$A:$A,0)),IF(CQ$1=INDEX('Valo FX'!$R:$R,MATCH($A18,'Valo FX'!$A:$A,0)),INDEX(Base!$V:$V,MATCH($A18,Base!$A:$A,0)),0)))</f>
        <v>13.171631</v>
      </c>
      <c r="CR18" s="21">
        <f>IF(CR$1&lt;INDEX('Valo FX'!$Q:$Q,MATCH($A18,'Valo FX'!$A:$A,0)),0,IF(CR$1&lt;INDEX('Valo FX'!$R:$R,MATCH($A18,'Valo FX'!$A:$A,0)),INDEX(Base!$U:$U,MATCH($A18,Base!$A:$A,0)),IF(CR$1=INDEX('Valo FX'!$R:$R,MATCH($A18,'Valo FX'!$A:$A,0)),INDEX(Base!$V:$V,MATCH($A18,Base!$A:$A,0)),0)))</f>
        <v>13.171631</v>
      </c>
      <c r="CS18" s="21">
        <f>IF(CS$1&lt;INDEX('Valo FX'!$Q:$Q,MATCH($A18,'Valo FX'!$A:$A,0)),0,IF(CS$1&lt;INDEX('Valo FX'!$R:$R,MATCH($A18,'Valo FX'!$A:$A,0)),INDEX(Base!$U:$U,MATCH($A18,Base!$A:$A,0)),IF(CS$1=INDEX('Valo FX'!$R:$R,MATCH($A18,'Valo FX'!$A:$A,0)),INDEX(Base!$V:$V,MATCH($A18,Base!$A:$A,0)),0)))</f>
        <v>13.171631</v>
      </c>
      <c r="CT18" s="21">
        <f>IF(CT$1&lt;INDEX('Valo FX'!$Q:$Q,MATCH($A18,'Valo FX'!$A:$A,0)),0,IF(CT$1&lt;INDEX('Valo FX'!$R:$R,MATCH($A18,'Valo FX'!$A:$A,0)),INDEX(Base!$U:$U,MATCH($A18,Base!$A:$A,0)),IF(CT$1=INDEX('Valo FX'!$R:$R,MATCH($A18,'Valo FX'!$A:$A,0)),INDEX(Base!$V:$V,MATCH($A18,Base!$A:$A,0)),0)))</f>
        <v>13.171631</v>
      </c>
      <c r="CU18" s="21">
        <f>IF(CU$1&lt;INDEX('Valo FX'!$Q:$Q,MATCH($A18,'Valo FX'!$A:$A,0)),0,IF(CU$1&lt;INDEX('Valo FX'!$R:$R,MATCH($A18,'Valo FX'!$A:$A,0)),INDEX(Base!$U:$U,MATCH($A18,Base!$A:$A,0)),IF(CU$1=INDEX('Valo FX'!$R:$R,MATCH($A18,'Valo FX'!$A:$A,0)),INDEX(Base!$V:$V,MATCH($A18,Base!$A:$A,0)),0)))</f>
        <v>13.171631</v>
      </c>
      <c r="CV18" s="21">
        <f>IF(CV$1&lt;INDEX('Valo FX'!$Q:$Q,MATCH($A18,'Valo FX'!$A:$A,0)),0,IF(CV$1&lt;INDEX('Valo FX'!$R:$R,MATCH($A18,'Valo FX'!$A:$A,0)),INDEX(Base!$U:$U,MATCH($A18,Base!$A:$A,0)),IF(CV$1=INDEX('Valo FX'!$R:$R,MATCH($A18,'Valo FX'!$A:$A,0)),INDEX(Base!$V:$V,MATCH($A18,Base!$A:$A,0)),0)))</f>
        <v>13.171631</v>
      </c>
      <c r="CW18" s="21">
        <f>IF(CW$1&lt;INDEX('Valo FX'!$Q:$Q,MATCH($A18,'Valo FX'!$A:$A,0)),0,IF(CW$1&lt;INDEX('Valo FX'!$R:$R,MATCH($A18,'Valo FX'!$A:$A,0)),INDEX(Base!$U:$U,MATCH($A18,Base!$A:$A,0)),IF(CW$1=INDEX('Valo FX'!$R:$R,MATCH($A18,'Valo FX'!$A:$A,0)),INDEX(Base!$V:$V,MATCH($A18,Base!$A:$A,0)),0)))</f>
        <v>13.171631</v>
      </c>
      <c r="CX18" s="21">
        <f>IF(CX$1&lt;INDEX('Valo FX'!$Q:$Q,MATCH($A18,'Valo FX'!$A:$A,0)),0,IF(CX$1&lt;INDEX('Valo FX'!$R:$R,MATCH($A18,'Valo FX'!$A:$A,0)),INDEX(Base!$U:$U,MATCH($A18,Base!$A:$A,0)),IF(CX$1=INDEX('Valo FX'!$R:$R,MATCH($A18,'Valo FX'!$A:$A,0)),INDEX(Base!$V:$V,MATCH($A18,Base!$A:$A,0)),0)))</f>
        <v>13.171631</v>
      </c>
      <c r="CY18" s="21">
        <f>IF(CY$1&lt;INDEX('Valo FX'!$Q:$Q,MATCH($A18,'Valo FX'!$A:$A,0)),0,IF(CY$1&lt;INDEX('Valo FX'!$R:$R,MATCH($A18,'Valo FX'!$A:$A,0)),INDEX(Base!$U:$U,MATCH($A18,Base!$A:$A,0)),IF(CY$1=INDEX('Valo FX'!$R:$R,MATCH($A18,'Valo FX'!$A:$A,0)),INDEX(Base!$V:$V,MATCH($A18,Base!$A:$A,0)),0)))</f>
        <v>13.171631</v>
      </c>
      <c r="CZ18" s="21">
        <f>IF(CZ$1&lt;INDEX('Valo FX'!$Q:$Q,MATCH($A18,'Valo FX'!$A:$A,0)),0,IF(CZ$1&lt;INDEX('Valo FX'!$R:$R,MATCH($A18,'Valo FX'!$A:$A,0)),INDEX(Base!$U:$U,MATCH($A18,Base!$A:$A,0)),IF(CZ$1=INDEX('Valo FX'!$R:$R,MATCH($A18,'Valo FX'!$A:$A,0)),INDEX(Base!$V:$V,MATCH($A18,Base!$A:$A,0)),0)))</f>
        <v>13.171631</v>
      </c>
      <c r="DA18" s="21">
        <f>IF(DA$1&lt;INDEX('Valo FX'!$Q:$Q,MATCH($A18,'Valo FX'!$A:$A,0)),0,IF(DA$1&lt;INDEX('Valo FX'!$R:$R,MATCH($A18,'Valo FX'!$A:$A,0)),INDEX(Base!$U:$U,MATCH($A18,Base!$A:$A,0)),IF(DA$1=INDEX('Valo FX'!$R:$R,MATCH($A18,'Valo FX'!$A:$A,0)),INDEX(Base!$V:$V,MATCH($A18,Base!$A:$A,0)),0)))</f>
        <v>13.171631</v>
      </c>
      <c r="DB18" s="21">
        <f>IF(DB$1&lt;INDEX('Valo FX'!$Q:$Q,MATCH($A18,'Valo FX'!$A:$A,0)),0,IF(DB$1&lt;INDEX('Valo FX'!$R:$R,MATCH($A18,'Valo FX'!$A:$A,0)),INDEX(Base!$U:$U,MATCH($A18,Base!$A:$A,0)),IF(DB$1=INDEX('Valo FX'!$R:$R,MATCH($A18,'Valo FX'!$A:$A,0)),INDEX(Base!$V:$V,MATCH($A18,Base!$A:$A,0)),0)))</f>
        <v>13.171631</v>
      </c>
      <c r="DC18" s="21">
        <f>IF(DC$1&lt;INDEX('Valo FX'!$Q:$Q,MATCH($A18,'Valo FX'!$A:$A,0)),0,IF(DC$1&lt;INDEX('Valo FX'!$R:$R,MATCH($A18,'Valo FX'!$A:$A,0)),INDEX(Base!$U:$U,MATCH($A18,Base!$A:$A,0)),IF(DC$1=INDEX('Valo FX'!$R:$R,MATCH($A18,'Valo FX'!$A:$A,0)),INDEX(Base!$V:$V,MATCH($A18,Base!$A:$A,0)),0)))</f>
        <v>13.171631</v>
      </c>
      <c r="DD18" s="21">
        <f>IF(DD$1&lt;INDEX('Valo FX'!$Q:$Q,MATCH($A18,'Valo FX'!$A:$A,0)),0,IF(DD$1&lt;INDEX('Valo FX'!$R:$R,MATCH($A18,'Valo FX'!$A:$A,0)),INDEX(Base!$U:$U,MATCH($A18,Base!$A:$A,0)),IF(DD$1=INDEX('Valo FX'!$R:$R,MATCH($A18,'Valo FX'!$A:$A,0)),INDEX(Base!$V:$V,MATCH($A18,Base!$A:$A,0)),0)))</f>
        <v>13.171631</v>
      </c>
      <c r="DE18" s="21">
        <f>IF(DE$1&lt;INDEX('Valo FX'!$Q:$Q,MATCH($A18,'Valo FX'!$A:$A,0)),0,IF(DE$1&lt;INDEX('Valo FX'!$R:$R,MATCH($A18,'Valo FX'!$A:$A,0)),INDEX(Base!$U:$U,MATCH($A18,Base!$A:$A,0)),IF(DE$1=INDEX('Valo FX'!$R:$R,MATCH($A18,'Valo FX'!$A:$A,0)),INDEX(Base!$V:$V,MATCH($A18,Base!$A:$A,0)),0)))</f>
        <v>13.171631</v>
      </c>
      <c r="DF18" s="21">
        <f>IF(DF$1&lt;INDEX('Valo FX'!$Q:$Q,MATCH($A18,'Valo FX'!$A:$A,0)),0,IF(DF$1&lt;INDEX('Valo FX'!$R:$R,MATCH($A18,'Valo FX'!$A:$A,0)),INDEX(Base!$U:$U,MATCH($A18,Base!$A:$A,0)),IF(DF$1=INDEX('Valo FX'!$R:$R,MATCH($A18,'Valo FX'!$A:$A,0)),INDEX(Base!$V:$V,MATCH($A18,Base!$A:$A,0)),0)))</f>
        <v>13.171631</v>
      </c>
      <c r="DG18" s="21">
        <f>IF(DG$1&lt;INDEX('Valo FX'!$Q:$Q,MATCH($A18,'Valo FX'!$A:$A,0)),0,IF(DG$1&lt;INDEX('Valo FX'!$R:$R,MATCH($A18,'Valo FX'!$A:$A,0)),INDEX(Base!$U:$U,MATCH($A18,Base!$A:$A,0)),IF(DG$1=INDEX('Valo FX'!$R:$R,MATCH($A18,'Valo FX'!$A:$A,0)),INDEX(Base!$V:$V,MATCH($A18,Base!$A:$A,0)),0)))</f>
        <v>13.171631</v>
      </c>
      <c r="DH18" s="21">
        <f>IF(DH$1&lt;INDEX('Valo FX'!$Q:$Q,MATCH($A18,'Valo FX'!$A:$A,0)),0,IF(DH$1&lt;INDEX('Valo FX'!$R:$R,MATCH($A18,'Valo FX'!$A:$A,0)),INDEX(Base!$U:$U,MATCH($A18,Base!$A:$A,0)),IF(DH$1=INDEX('Valo FX'!$R:$R,MATCH($A18,'Valo FX'!$A:$A,0)),INDEX(Base!$V:$V,MATCH($A18,Base!$A:$A,0)),0)))</f>
        <v>13.171631</v>
      </c>
      <c r="DI18" s="21">
        <f>IF(DI$1&lt;INDEX('Valo FX'!$Q:$Q,MATCH($A18,'Valo FX'!$A:$A,0)),0,IF(DI$1&lt;INDEX('Valo FX'!$R:$R,MATCH($A18,'Valo FX'!$A:$A,0)),INDEX(Base!$U:$U,MATCH($A18,Base!$A:$A,0)),IF(DI$1=INDEX('Valo FX'!$R:$R,MATCH($A18,'Valo FX'!$A:$A,0)),INDEX(Base!$V:$V,MATCH($A18,Base!$A:$A,0)),0)))</f>
        <v>13.171631</v>
      </c>
      <c r="DJ18" s="21">
        <f>IF(DJ$1&lt;INDEX('Valo FX'!$Q:$Q,MATCH($A18,'Valo FX'!$A:$A,0)),0,IF(DJ$1&lt;INDEX('Valo FX'!$R:$R,MATCH($A18,'Valo FX'!$A:$A,0)),INDEX(Base!$U:$U,MATCH($A18,Base!$A:$A,0)),IF(DJ$1=INDEX('Valo FX'!$R:$R,MATCH($A18,'Valo FX'!$A:$A,0)),INDEX(Base!$V:$V,MATCH($A18,Base!$A:$A,0)),0)))</f>
        <v>13.171631</v>
      </c>
      <c r="DK18" s="21">
        <f>IF(DK$1&lt;INDEX('Valo FX'!$Q:$Q,MATCH($A18,'Valo FX'!$A:$A,0)),0,IF(DK$1&lt;INDEX('Valo FX'!$R:$R,MATCH($A18,'Valo FX'!$A:$A,0)),INDEX(Base!$U:$U,MATCH($A18,Base!$A:$A,0)),IF(DK$1=INDEX('Valo FX'!$R:$R,MATCH($A18,'Valo FX'!$A:$A,0)),INDEX(Base!$V:$V,MATCH($A18,Base!$A:$A,0)),0)))</f>
        <v>13.171631</v>
      </c>
      <c r="DL18" s="21">
        <f>IF(DL$1&lt;INDEX('Valo FX'!$Q:$Q,MATCH($A18,'Valo FX'!$A:$A,0)),0,IF(DL$1&lt;INDEX('Valo FX'!$R:$R,MATCH($A18,'Valo FX'!$A:$A,0)),INDEX(Base!$U:$U,MATCH($A18,Base!$A:$A,0)),IF(DL$1=INDEX('Valo FX'!$R:$R,MATCH($A18,'Valo FX'!$A:$A,0)),INDEX(Base!$V:$V,MATCH($A18,Base!$A:$A,0)),0)))</f>
        <v>13.171631</v>
      </c>
      <c r="DM18" s="21">
        <f>IF(DM$1&lt;INDEX('Valo FX'!$Q:$Q,MATCH($A18,'Valo FX'!$A:$A,0)),0,IF(DM$1&lt;INDEX('Valo FX'!$R:$R,MATCH($A18,'Valo FX'!$A:$A,0)),INDEX(Base!$U:$U,MATCH($A18,Base!$A:$A,0)),IF(DM$1=INDEX('Valo FX'!$R:$R,MATCH($A18,'Valo FX'!$A:$A,0)),INDEX(Base!$V:$V,MATCH($A18,Base!$A:$A,0)),0)))</f>
        <v>13.171631</v>
      </c>
      <c r="DN18" s="21">
        <f>IF(DN$1&lt;INDEX('Valo FX'!$Q:$Q,MATCH($A18,'Valo FX'!$A:$A,0)),0,IF(DN$1&lt;INDEX('Valo FX'!$R:$R,MATCH($A18,'Valo FX'!$A:$A,0)),INDEX(Base!$U:$U,MATCH($A18,Base!$A:$A,0)),IF(DN$1=INDEX('Valo FX'!$R:$R,MATCH($A18,'Valo FX'!$A:$A,0)),INDEX(Base!$V:$V,MATCH($A18,Base!$A:$A,0)),0)))</f>
        <v>13.171631</v>
      </c>
      <c r="DO18" s="21">
        <f>IF(DO$1&lt;INDEX('Valo FX'!$Q:$Q,MATCH($A18,'Valo FX'!$A:$A,0)),0,IF(DO$1&lt;INDEX('Valo FX'!$R:$R,MATCH($A18,'Valo FX'!$A:$A,0)),INDEX(Base!$U:$U,MATCH($A18,Base!$A:$A,0)),IF(DO$1=INDEX('Valo FX'!$R:$R,MATCH($A18,'Valo FX'!$A:$A,0)),INDEX(Base!$V:$V,MATCH($A18,Base!$A:$A,0)),0)))</f>
        <v>13.171631</v>
      </c>
      <c r="DP18" s="21">
        <f>IF(DP$1&lt;INDEX('Valo FX'!$Q:$Q,MATCH($A18,'Valo FX'!$A:$A,0)),0,IF(DP$1&lt;INDEX('Valo FX'!$R:$R,MATCH($A18,'Valo FX'!$A:$A,0)),INDEX(Base!$U:$U,MATCH($A18,Base!$A:$A,0)),IF(DP$1=INDEX('Valo FX'!$R:$R,MATCH($A18,'Valo FX'!$A:$A,0)),INDEX(Base!$V:$V,MATCH($A18,Base!$A:$A,0)),0)))</f>
        <v>13.171631</v>
      </c>
      <c r="DQ18" s="21">
        <f>IF(DQ$1&lt;INDEX('Valo FX'!$Q:$Q,MATCH($A18,'Valo FX'!$A:$A,0)),0,IF(DQ$1&lt;INDEX('Valo FX'!$R:$R,MATCH($A18,'Valo FX'!$A:$A,0)),INDEX(Base!$U:$U,MATCH($A18,Base!$A:$A,0)),IF(DQ$1=INDEX('Valo FX'!$R:$R,MATCH($A18,'Valo FX'!$A:$A,0)),INDEX(Base!$V:$V,MATCH($A18,Base!$A:$A,0)),0)))</f>
        <v>13.171631</v>
      </c>
      <c r="DR18" s="21">
        <f>IF(DR$1&lt;INDEX('Valo FX'!$Q:$Q,MATCH($A18,'Valo FX'!$A:$A,0)),0,IF(DR$1&lt;INDEX('Valo FX'!$R:$R,MATCH($A18,'Valo FX'!$A:$A,0)),INDEX(Base!$U:$U,MATCH($A18,Base!$A:$A,0)),IF(DR$1=INDEX('Valo FX'!$R:$R,MATCH($A18,'Valo FX'!$A:$A,0)),INDEX(Base!$V:$V,MATCH($A18,Base!$A:$A,0)),0)))</f>
        <v>13.171631</v>
      </c>
      <c r="DS18" s="21">
        <f>IF(DS$1&lt;INDEX('Valo FX'!$Q:$Q,MATCH($A18,'Valo FX'!$A:$A,0)),0,IF(DS$1&lt;INDEX('Valo FX'!$R:$R,MATCH($A18,'Valo FX'!$A:$A,0)),INDEX(Base!$U:$U,MATCH($A18,Base!$A:$A,0)),IF(DS$1=INDEX('Valo FX'!$R:$R,MATCH($A18,'Valo FX'!$A:$A,0)),INDEX(Base!$V:$V,MATCH($A18,Base!$A:$A,0)),0)))</f>
        <v>13.171631</v>
      </c>
      <c r="DT18" s="21">
        <f>IF(DT$1&lt;INDEX('Valo FX'!$Q:$Q,MATCH($A18,'Valo FX'!$A:$A,0)),0,IF(DT$1&lt;INDEX('Valo FX'!$R:$R,MATCH($A18,'Valo FX'!$A:$A,0)),INDEX(Base!$U:$U,MATCH($A18,Base!$A:$A,0)),IF(DT$1=INDEX('Valo FX'!$R:$R,MATCH($A18,'Valo FX'!$A:$A,0)),INDEX(Base!$V:$V,MATCH($A18,Base!$A:$A,0)),0)))</f>
        <v>13.171631</v>
      </c>
      <c r="DU18" s="21">
        <f>IF(DU$1&lt;INDEX('Valo FX'!$Q:$Q,MATCH($A18,'Valo FX'!$A:$A,0)),0,IF(DU$1&lt;INDEX('Valo FX'!$R:$R,MATCH($A18,'Valo FX'!$A:$A,0)),INDEX(Base!$U:$U,MATCH($A18,Base!$A:$A,0)),IF(DU$1=INDEX('Valo FX'!$R:$R,MATCH($A18,'Valo FX'!$A:$A,0)),INDEX(Base!$V:$V,MATCH($A18,Base!$A:$A,0)),0)))</f>
        <v>13.171631</v>
      </c>
      <c r="DV18" s="21">
        <f>IF(DV$1&lt;INDEX('Valo FX'!$Q:$Q,MATCH($A18,'Valo FX'!$A:$A,0)),0,IF(DV$1&lt;INDEX('Valo FX'!$R:$R,MATCH($A18,'Valo FX'!$A:$A,0)),INDEX(Base!$U:$U,MATCH($A18,Base!$A:$A,0)),IF(DV$1=INDEX('Valo FX'!$R:$R,MATCH($A18,'Valo FX'!$A:$A,0)),INDEX(Base!$V:$V,MATCH($A18,Base!$A:$A,0)),0)))</f>
        <v>13.171631</v>
      </c>
      <c r="DW18" s="21">
        <f>IF(DW$1&lt;INDEX('Valo FX'!$Q:$Q,MATCH($A18,'Valo FX'!$A:$A,0)),0,IF(DW$1&lt;INDEX('Valo FX'!$R:$R,MATCH($A18,'Valo FX'!$A:$A,0)),INDEX(Base!$U:$U,MATCH($A18,Base!$A:$A,0)),IF(DW$1=INDEX('Valo FX'!$R:$R,MATCH($A18,'Valo FX'!$A:$A,0)),INDEX(Base!$V:$V,MATCH($A18,Base!$A:$A,0)),0)))</f>
        <v>13.171631</v>
      </c>
      <c r="DX18" s="21">
        <f>IF(DX$1&lt;INDEX('Valo FX'!$Q:$Q,MATCH($A18,'Valo FX'!$A:$A,0)),0,IF(DX$1&lt;INDEX('Valo FX'!$R:$R,MATCH($A18,'Valo FX'!$A:$A,0)),INDEX(Base!$U:$U,MATCH($A18,Base!$A:$A,0)),IF(DX$1=INDEX('Valo FX'!$R:$R,MATCH($A18,'Valo FX'!$A:$A,0)),INDEX(Base!$V:$V,MATCH($A18,Base!$A:$A,0)),0)))</f>
        <v>13.171631</v>
      </c>
      <c r="DY18" s="21">
        <f>IF(DY$1&lt;INDEX('Valo FX'!$Q:$Q,MATCH($A18,'Valo FX'!$A:$A,0)),0,IF(DY$1&lt;INDEX('Valo FX'!$R:$R,MATCH($A18,'Valo FX'!$A:$A,0)),INDEX(Base!$U:$U,MATCH($A18,Base!$A:$A,0)),IF(DY$1=INDEX('Valo FX'!$R:$R,MATCH($A18,'Valo FX'!$A:$A,0)),INDEX(Base!$V:$V,MATCH($A18,Base!$A:$A,0)),0)))</f>
        <v>13.171631</v>
      </c>
      <c r="DZ18" s="21">
        <f>IF(DZ$1&lt;INDEX('Valo FX'!$Q:$Q,MATCH($A18,'Valo FX'!$A:$A,0)),0,IF(DZ$1&lt;INDEX('Valo FX'!$R:$R,MATCH($A18,'Valo FX'!$A:$A,0)),INDEX(Base!$U:$U,MATCH($A18,Base!$A:$A,0)),IF(DZ$1=INDEX('Valo FX'!$R:$R,MATCH($A18,'Valo FX'!$A:$A,0)),INDEX(Base!$V:$V,MATCH($A18,Base!$A:$A,0)),0)))</f>
        <v>13.171631</v>
      </c>
      <c r="EA18" s="21">
        <f>IF(EA$1&lt;INDEX('Valo FX'!$Q:$Q,MATCH($A18,'Valo FX'!$A:$A,0)),0,IF(EA$1&lt;INDEX('Valo FX'!$R:$R,MATCH($A18,'Valo FX'!$A:$A,0)),INDEX(Base!$U:$U,MATCH($A18,Base!$A:$A,0)),IF(EA$1=INDEX('Valo FX'!$R:$R,MATCH($A18,'Valo FX'!$A:$A,0)),INDEX(Base!$V:$V,MATCH($A18,Base!$A:$A,0)),0)))</f>
        <v>13.171631</v>
      </c>
      <c r="EB18" s="21">
        <f>IF(EB$1&lt;INDEX('Valo FX'!$Q:$Q,MATCH($A18,'Valo FX'!$A:$A,0)),0,IF(EB$1&lt;INDEX('Valo FX'!$R:$R,MATCH($A18,'Valo FX'!$A:$A,0)),INDEX(Base!$U:$U,MATCH($A18,Base!$A:$A,0)),IF(EB$1=INDEX('Valo FX'!$R:$R,MATCH($A18,'Valo FX'!$A:$A,0)),INDEX(Base!$V:$V,MATCH($A18,Base!$A:$A,0)),0)))</f>
        <v>13.171631</v>
      </c>
      <c r="EC18" s="21">
        <f>IF(EC$1&lt;INDEX('Valo FX'!$Q:$Q,MATCH($A18,'Valo FX'!$A:$A,0)),0,IF(EC$1&lt;INDEX('Valo FX'!$R:$R,MATCH($A18,'Valo FX'!$A:$A,0)),INDEX(Base!$U:$U,MATCH($A18,Base!$A:$A,0)),IF(EC$1=INDEX('Valo FX'!$R:$R,MATCH($A18,'Valo FX'!$A:$A,0)),INDEX(Base!$V:$V,MATCH($A18,Base!$A:$A,0)),0)))</f>
        <v>13.171631</v>
      </c>
      <c r="ED18" s="21">
        <f>IF(ED$1&lt;INDEX('Valo FX'!$Q:$Q,MATCH($A18,'Valo FX'!$A:$A,0)),0,IF(ED$1&lt;INDEX('Valo FX'!$R:$R,MATCH($A18,'Valo FX'!$A:$A,0)),INDEX(Base!$U:$U,MATCH($A18,Base!$A:$A,0)),IF(ED$1=INDEX('Valo FX'!$R:$R,MATCH($A18,'Valo FX'!$A:$A,0)),INDEX(Base!$V:$V,MATCH($A18,Base!$A:$A,0)),0)))</f>
        <v>13.171631</v>
      </c>
      <c r="EE18" s="21">
        <f>IF(EE$1&lt;INDEX('Valo FX'!$Q:$Q,MATCH($A18,'Valo FX'!$A:$A,0)),0,IF(EE$1&lt;INDEX('Valo FX'!$R:$R,MATCH($A18,'Valo FX'!$A:$A,0)),INDEX(Base!$U:$U,MATCH($A18,Base!$A:$A,0)),IF(EE$1=INDEX('Valo FX'!$R:$R,MATCH($A18,'Valo FX'!$A:$A,0)),INDEX(Base!$V:$V,MATCH($A18,Base!$A:$A,0)),0)))</f>
        <v>13.171631</v>
      </c>
      <c r="EF18" s="21">
        <f>IF(EF$1&lt;INDEX('Valo FX'!$Q:$Q,MATCH($A18,'Valo FX'!$A:$A,0)),0,IF(EF$1&lt;INDEX('Valo FX'!$R:$R,MATCH($A18,'Valo FX'!$A:$A,0)),INDEX(Base!$U:$U,MATCH($A18,Base!$A:$A,0)),IF(EF$1=INDEX('Valo FX'!$R:$R,MATCH($A18,'Valo FX'!$A:$A,0)),INDEX(Base!$V:$V,MATCH($A18,Base!$A:$A,0)),0)))</f>
        <v>13.171631</v>
      </c>
      <c r="EG18" s="21">
        <f>IF(EG$1&lt;INDEX('Valo FX'!$Q:$Q,MATCH($A18,'Valo FX'!$A:$A,0)),0,IF(EG$1&lt;INDEX('Valo FX'!$R:$R,MATCH($A18,'Valo FX'!$A:$A,0)),INDEX(Base!$U:$U,MATCH($A18,Base!$A:$A,0)),IF(EG$1=INDEX('Valo FX'!$R:$R,MATCH($A18,'Valo FX'!$A:$A,0)),INDEX(Base!$V:$V,MATCH($A18,Base!$A:$A,0)),0)))</f>
        <v>13.171631</v>
      </c>
      <c r="EH18" s="21">
        <f>IF(EH$1&lt;INDEX('Valo FX'!$Q:$Q,MATCH($A18,'Valo FX'!$A:$A,0)),0,IF(EH$1&lt;INDEX('Valo FX'!$R:$R,MATCH($A18,'Valo FX'!$A:$A,0)),INDEX(Base!$U:$U,MATCH($A18,Base!$A:$A,0)),IF(EH$1=INDEX('Valo FX'!$R:$R,MATCH($A18,'Valo FX'!$A:$A,0)),INDEX(Base!$V:$V,MATCH($A18,Base!$A:$A,0)),0)))</f>
        <v>13.171631</v>
      </c>
      <c r="EI18" s="21">
        <f>IF(EI$1&lt;INDEX('Valo FX'!$Q:$Q,MATCH($A18,'Valo FX'!$A:$A,0)),0,IF(EI$1&lt;INDEX('Valo FX'!$R:$R,MATCH($A18,'Valo FX'!$A:$A,0)),INDEX(Base!$U:$U,MATCH($A18,Base!$A:$A,0)),IF(EI$1=INDEX('Valo FX'!$R:$R,MATCH($A18,'Valo FX'!$A:$A,0)),INDEX(Base!$V:$V,MATCH($A18,Base!$A:$A,0)),0)))</f>
        <v>13.171631</v>
      </c>
      <c r="EJ18" s="21">
        <f>IF(EJ$1&lt;INDEX('Valo FX'!$Q:$Q,MATCH($A18,'Valo FX'!$A:$A,0)),0,IF(EJ$1&lt;INDEX('Valo FX'!$R:$R,MATCH($A18,'Valo FX'!$A:$A,0)),INDEX(Base!$U:$U,MATCH($A18,Base!$A:$A,0)),IF(EJ$1=INDEX('Valo FX'!$R:$R,MATCH($A18,'Valo FX'!$A:$A,0)),INDEX(Base!$V:$V,MATCH($A18,Base!$A:$A,0)),0)))</f>
        <v>13.171631</v>
      </c>
      <c r="EK18" s="21">
        <f>IF(EK$1&lt;INDEX('Valo FX'!$Q:$Q,MATCH($A18,'Valo FX'!$A:$A,0)),0,IF(EK$1&lt;INDEX('Valo FX'!$R:$R,MATCH($A18,'Valo FX'!$A:$A,0)),INDEX(Base!$U:$U,MATCH($A18,Base!$A:$A,0)),IF(EK$1=INDEX('Valo FX'!$R:$R,MATCH($A18,'Valo FX'!$A:$A,0)),INDEX(Base!$V:$V,MATCH($A18,Base!$A:$A,0)),0)))</f>
        <v>13.171631</v>
      </c>
      <c r="EL18" s="21">
        <f>IF(EL$1&lt;INDEX('Valo FX'!$Q:$Q,MATCH($A18,'Valo FX'!$A:$A,0)),0,IF(EL$1&lt;INDEX('Valo FX'!$R:$R,MATCH($A18,'Valo FX'!$A:$A,0)),INDEX(Base!$U:$U,MATCH($A18,Base!$A:$A,0)),IF(EL$1=INDEX('Valo FX'!$R:$R,MATCH($A18,'Valo FX'!$A:$A,0)),INDEX(Base!$V:$V,MATCH($A18,Base!$A:$A,0)),0)))</f>
        <v>13.171631</v>
      </c>
      <c r="EM18" s="21">
        <f>IF(EM$1&lt;INDEX('Valo FX'!$Q:$Q,MATCH($A18,'Valo FX'!$A:$A,0)),0,IF(EM$1&lt;INDEX('Valo FX'!$R:$R,MATCH($A18,'Valo FX'!$A:$A,0)),INDEX(Base!$U:$U,MATCH($A18,Base!$A:$A,0)),IF(EM$1=INDEX('Valo FX'!$R:$R,MATCH($A18,'Valo FX'!$A:$A,0)),INDEX(Base!$V:$V,MATCH($A18,Base!$A:$A,0)),0)))</f>
        <v>13.171631</v>
      </c>
      <c r="EN18" s="21">
        <f>IF(EN$1&lt;INDEX('Valo FX'!$Q:$Q,MATCH($A18,'Valo FX'!$A:$A,0)),0,IF(EN$1&lt;INDEX('Valo FX'!$R:$R,MATCH($A18,'Valo FX'!$A:$A,0)),INDEX(Base!$U:$U,MATCH($A18,Base!$A:$A,0)),IF(EN$1=INDEX('Valo FX'!$R:$R,MATCH($A18,'Valo FX'!$A:$A,0)),INDEX(Base!$V:$V,MATCH($A18,Base!$A:$A,0)),0)))</f>
        <v>13.171631</v>
      </c>
      <c r="EO18" s="21">
        <f>IF(EO$1&lt;INDEX('Valo FX'!$Q:$Q,MATCH($A18,'Valo FX'!$A:$A,0)),0,IF(EO$1&lt;INDEX('Valo FX'!$R:$R,MATCH($A18,'Valo FX'!$A:$A,0)),INDEX(Base!$U:$U,MATCH($A18,Base!$A:$A,0)),IF(EO$1=INDEX('Valo FX'!$R:$R,MATCH($A18,'Valo FX'!$A:$A,0)),INDEX(Base!$V:$V,MATCH($A18,Base!$A:$A,0)),0)))</f>
        <v>13.171631</v>
      </c>
      <c r="EP18" s="21">
        <f>IF(EP$1&lt;INDEX('Valo FX'!$Q:$Q,MATCH($A18,'Valo FX'!$A:$A,0)),0,IF(EP$1&lt;INDEX('Valo FX'!$R:$R,MATCH($A18,'Valo FX'!$A:$A,0)),INDEX(Base!$U:$U,MATCH($A18,Base!$A:$A,0)),IF(EP$1=INDEX('Valo FX'!$R:$R,MATCH($A18,'Valo FX'!$A:$A,0)),INDEX(Base!$V:$V,MATCH($A18,Base!$A:$A,0)),0)))</f>
        <v>13.171631</v>
      </c>
      <c r="EQ18" s="21">
        <f>IF(EQ$1&lt;INDEX('Valo FX'!$Q:$Q,MATCH($A18,'Valo FX'!$A:$A,0)),0,IF(EQ$1&lt;INDEX('Valo FX'!$R:$R,MATCH($A18,'Valo FX'!$A:$A,0)),INDEX(Base!$U:$U,MATCH($A18,Base!$A:$A,0)),IF(EQ$1=INDEX('Valo FX'!$R:$R,MATCH($A18,'Valo FX'!$A:$A,0)),INDEX(Base!$V:$V,MATCH($A18,Base!$A:$A,0)),0)))</f>
        <v>13.171631</v>
      </c>
      <c r="ER18" s="21">
        <f>IF(ER$1&lt;INDEX('Valo FX'!$Q:$Q,MATCH($A18,'Valo FX'!$A:$A,0)),0,IF(ER$1&lt;INDEX('Valo FX'!$R:$R,MATCH($A18,'Valo FX'!$A:$A,0)),INDEX(Base!$U:$U,MATCH($A18,Base!$A:$A,0)),IF(ER$1=INDEX('Valo FX'!$R:$R,MATCH($A18,'Valo FX'!$A:$A,0)),INDEX(Base!$V:$V,MATCH($A18,Base!$A:$A,0)),0)))</f>
        <v>13.171631</v>
      </c>
      <c r="ES18" s="21">
        <f>IF(ES$1&lt;INDEX('Valo FX'!$Q:$Q,MATCH($A18,'Valo FX'!$A:$A,0)),0,IF(ES$1&lt;INDEX('Valo FX'!$R:$R,MATCH($A18,'Valo FX'!$A:$A,0)),INDEX(Base!$U:$U,MATCH($A18,Base!$A:$A,0)),IF(ES$1=INDEX('Valo FX'!$R:$R,MATCH($A18,'Valo FX'!$A:$A,0)),INDEX(Base!$V:$V,MATCH($A18,Base!$A:$A,0)),0)))</f>
        <v>13.171631</v>
      </c>
      <c r="ET18" s="21">
        <f>IF(ET$1&lt;INDEX('Valo FX'!$Q:$Q,MATCH($A18,'Valo FX'!$A:$A,0)),0,IF(ET$1&lt;INDEX('Valo FX'!$R:$R,MATCH($A18,'Valo FX'!$A:$A,0)),INDEX(Base!$U:$U,MATCH($A18,Base!$A:$A,0)),IF(ET$1=INDEX('Valo FX'!$R:$R,MATCH($A18,'Valo FX'!$A:$A,0)),INDEX(Base!$V:$V,MATCH($A18,Base!$A:$A,0)),0)))</f>
        <v>13.171631</v>
      </c>
      <c r="EU18" s="21">
        <f>IF(EU$1&lt;INDEX('Valo FX'!$Q:$Q,MATCH($A18,'Valo FX'!$A:$A,0)),0,IF(EU$1&lt;INDEX('Valo FX'!$R:$R,MATCH($A18,'Valo FX'!$A:$A,0)),INDEX(Base!$U:$U,MATCH($A18,Base!$A:$A,0)),IF(EU$1=INDEX('Valo FX'!$R:$R,MATCH($A18,'Valo FX'!$A:$A,0)),INDEX(Base!$V:$V,MATCH($A18,Base!$A:$A,0)),0)))</f>
        <v>13.171631</v>
      </c>
      <c r="EV18" s="21">
        <f>IF(EV$1&lt;INDEX('Valo FX'!$Q:$Q,MATCH($A18,'Valo FX'!$A:$A,0)),0,IF(EV$1&lt;INDEX('Valo FX'!$R:$R,MATCH($A18,'Valo FX'!$A:$A,0)),INDEX(Base!$U:$U,MATCH($A18,Base!$A:$A,0)),IF(EV$1=INDEX('Valo FX'!$R:$R,MATCH($A18,'Valo FX'!$A:$A,0)),INDEX(Base!$V:$V,MATCH($A18,Base!$A:$A,0)),0)))</f>
        <v>13.171631</v>
      </c>
      <c r="EW18" s="21">
        <f>IF(EW$1&lt;INDEX('Valo FX'!$Q:$Q,MATCH($A18,'Valo FX'!$A:$A,0)),0,IF(EW$1&lt;INDEX('Valo FX'!$R:$R,MATCH($A18,'Valo FX'!$A:$A,0)),INDEX(Base!$U:$U,MATCH($A18,Base!$A:$A,0)),IF(EW$1=INDEX('Valo FX'!$R:$R,MATCH($A18,'Valo FX'!$A:$A,0)),INDEX(Base!$V:$V,MATCH($A18,Base!$A:$A,0)),0)))</f>
        <v>13.171631</v>
      </c>
      <c r="EX18" s="21">
        <f>IF(EX$1&lt;INDEX('Valo FX'!$Q:$Q,MATCH($A18,'Valo FX'!$A:$A,0)),0,IF(EX$1&lt;INDEX('Valo FX'!$R:$R,MATCH($A18,'Valo FX'!$A:$A,0)),INDEX(Base!$U:$U,MATCH($A18,Base!$A:$A,0)),IF(EX$1=INDEX('Valo FX'!$R:$R,MATCH($A18,'Valo FX'!$A:$A,0)),INDEX(Base!$V:$V,MATCH($A18,Base!$A:$A,0)),0)))</f>
        <v>13.171631</v>
      </c>
      <c r="EY18" s="21">
        <f>IF(EY$1&lt;INDEX('Valo FX'!$Q:$Q,MATCH($A18,'Valo FX'!$A:$A,0)),0,IF(EY$1&lt;INDEX('Valo FX'!$R:$R,MATCH($A18,'Valo FX'!$A:$A,0)),INDEX(Base!$U:$U,MATCH($A18,Base!$A:$A,0)),IF(EY$1=INDEX('Valo FX'!$R:$R,MATCH($A18,'Valo FX'!$A:$A,0)),INDEX(Base!$V:$V,MATCH($A18,Base!$A:$A,0)),0)))</f>
        <v>13.171631</v>
      </c>
      <c r="EZ18" s="21">
        <f>IF(EZ$1&lt;INDEX('Valo FX'!$Q:$Q,MATCH($A18,'Valo FX'!$A:$A,0)),0,IF(EZ$1&lt;INDEX('Valo FX'!$R:$R,MATCH($A18,'Valo FX'!$A:$A,0)),INDEX(Base!$U:$U,MATCH($A18,Base!$A:$A,0)),IF(EZ$1=INDEX('Valo FX'!$R:$R,MATCH($A18,'Valo FX'!$A:$A,0)),INDEX(Base!$V:$V,MATCH($A18,Base!$A:$A,0)),0)))</f>
        <v>13.171631</v>
      </c>
      <c r="FA18" s="21">
        <f>IF(FA$1&lt;INDEX('Valo FX'!$Q:$Q,MATCH($A18,'Valo FX'!$A:$A,0)),0,IF(FA$1&lt;INDEX('Valo FX'!$R:$R,MATCH($A18,'Valo FX'!$A:$A,0)),INDEX(Base!$U:$U,MATCH($A18,Base!$A:$A,0)),IF(FA$1=INDEX('Valo FX'!$R:$R,MATCH($A18,'Valo FX'!$A:$A,0)),INDEX(Base!$V:$V,MATCH($A18,Base!$A:$A,0)),0)))</f>
        <v>13.171631</v>
      </c>
      <c r="FB18" s="21">
        <f>IF(FB$1&lt;INDEX('Valo FX'!$Q:$Q,MATCH($A18,'Valo FX'!$A:$A,0)),0,IF(FB$1&lt;INDEX('Valo FX'!$R:$R,MATCH($A18,'Valo FX'!$A:$A,0)),INDEX(Base!$U:$U,MATCH($A18,Base!$A:$A,0)),IF(FB$1=INDEX('Valo FX'!$R:$R,MATCH($A18,'Valo FX'!$A:$A,0)),INDEX(Base!$V:$V,MATCH($A18,Base!$A:$A,0)),0)))</f>
        <v>13.171631</v>
      </c>
      <c r="FC18" s="21">
        <f>IF(FC$1&lt;INDEX('Valo FX'!$Q:$Q,MATCH($A18,'Valo FX'!$A:$A,0)),0,IF(FC$1&lt;INDEX('Valo FX'!$R:$R,MATCH($A18,'Valo FX'!$A:$A,0)),INDEX(Base!$U:$U,MATCH($A18,Base!$A:$A,0)),IF(FC$1=INDEX('Valo FX'!$R:$R,MATCH($A18,'Valo FX'!$A:$A,0)),INDEX(Base!$V:$V,MATCH($A18,Base!$A:$A,0)),0)))</f>
        <v>13.171631</v>
      </c>
      <c r="FD18" s="21">
        <f>IF(FD$1&lt;INDEX('Valo FX'!$Q:$Q,MATCH($A18,'Valo FX'!$A:$A,0)),0,IF(FD$1&lt;INDEX('Valo FX'!$R:$R,MATCH($A18,'Valo FX'!$A:$A,0)),INDEX(Base!$U:$U,MATCH($A18,Base!$A:$A,0)),IF(FD$1=INDEX('Valo FX'!$R:$R,MATCH($A18,'Valo FX'!$A:$A,0)),INDEX(Base!$V:$V,MATCH($A18,Base!$A:$A,0)),0)))</f>
        <v>13.171631</v>
      </c>
      <c r="FE18" s="21">
        <f>IF(FE$1&lt;INDEX('Valo FX'!$Q:$Q,MATCH($A18,'Valo FX'!$A:$A,0)),0,IF(FE$1&lt;INDEX('Valo FX'!$R:$R,MATCH($A18,'Valo FX'!$A:$A,0)),INDEX(Base!$U:$U,MATCH($A18,Base!$A:$A,0)),IF(FE$1=INDEX('Valo FX'!$R:$R,MATCH($A18,'Valo FX'!$A:$A,0)),INDEX(Base!$V:$V,MATCH($A18,Base!$A:$A,0)),0)))</f>
        <v>13.171631</v>
      </c>
      <c r="FF18" s="21">
        <f>IF(FF$1&lt;INDEX('Valo FX'!$Q:$Q,MATCH($A18,'Valo FX'!$A:$A,0)),0,IF(FF$1&lt;INDEX('Valo FX'!$R:$R,MATCH($A18,'Valo FX'!$A:$A,0)),INDEX(Base!$U:$U,MATCH($A18,Base!$A:$A,0)),IF(FF$1=INDEX('Valo FX'!$R:$R,MATCH($A18,'Valo FX'!$A:$A,0)),INDEX(Base!$V:$V,MATCH($A18,Base!$A:$A,0)),0)))</f>
        <v>13.171631</v>
      </c>
      <c r="FG18" s="21">
        <f>IF(FG$1&lt;INDEX('Valo FX'!$Q:$Q,MATCH($A18,'Valo FX'!$A:$A,0)),0,IF(FG$1&lt;INDEX('Valo FX'!$R:$R,MATCH($A18,'Valo FX'!$A:$A,0)),INDEX(Base!$U:$U,MATCH($A18,Base!$A:$A,0)),IF(FG$1=INDEX('Valo FX'!$R:$R,MATCH($A18,'Valo FX'!$A:$A,0)),INDEX(Base!$V:$V,MATCH($A18,Base!$A:$A,0)),0)))</f>
        <v>13.171631</v>
      </c>
      <c r="FH18" s="21">
        <f>IF(FH$1&lt;INDEX('Valo FX'!$Q:$Q,MATCH($A18,'Valo FX'!$A:$A,0)),0,IF(FH$1&lt;INDEX('Valo FX'!$R:$R,MATCH($A18,'Valo FX'!$A:$A,0)),INDEX(Base!$U:$U,MATCH($A18,Base!$A:$A,0)),IF(FH$1=INDEX('Valo FX'!$R:$R,MATCH($A18,'Valo FX'!$A:$A,0)),INDEX(Base!$V:$V,MATCH($A18,Base!$A:$A,0)),0)))</f>
        <v>13.171631</v>
      </c>
      <c r="FI18" s="21">
        <f>IF(FI$1&lt;INDEX('Valo FX'!$Q:$Q,MATCH($A18,'Valo FX'!$A:$A,0)),0,IF(FI$1&lt;INDEX('Valo FX'!$R:$R,MATCH($A18,'Valo FX'!$A:$A,0)),INDEX(Base!$U:$U,MATCH($A18,Base!$A:$A,0)),IF(FI$1=INDEX('Valo FX'!$R:$R,MATCH($A18,'Valo FX'!$A:$A,0)),INDEX(Base!$V:$V,MATCH($A18,Base!$A:$A,0)),0)))</f>
        <v>13.171631</v>
      </c>
      <c r="FJ18" s="21">
        <f>IF(FJ$1&lt;INDEX('Valo FX'!$Q:$Q,MATCH($A18,'Valo FX'!$A:$A,0)),0,IF(FJ$1&lt;INDEX('Valo FX'!$R:$R,MATCH($A18,'Valo FX'!$A:$A,0)),INDEX(Base!$U:$U,MATCH($A18,Base!$A:$A,0)),IF(FJ$1=INDEX('Valo FX'!$R:$R,MATCH($A18,'Valo FX'!$A:$A,0)),INDEX(Base!$V:$V,MATCH($A18,Base!$A:$A,0)),0)))</f>
        <v>13.171631</v>
      </c>
      <c r="FK18" s="21">
        <f>IF(FK$1&lt;INDEX('Valo FX'!$Q:$Q,MATCH($A18,'Valo FX'!$A:$A,0)),0,IF(FK$1&lt;INDEX('Valo FX'!$R:$R,MATCH($A18,'Valo FX'!$A:$A,0)),INDEX(Base!$U:$U,MATCH($A18,Base!$A:$A,0)),IF(FK$1=INDEX('Valo FX'!$R:$R,MATCH($A18,'Valo FX'!$A:$A,0)),INDEX(Base!$V:$V,MATCH($A18,Base!$A:$A,0)),0)))</f>
        <v>13.171631</v>
      </c>
      <c r="FL18" s="21">
        <f>IF(FL$1&lt;INDEX('Valo FX'!$Q:$Q,MATCH($A18,'Valo FX'!$A:$A,0)),0,IF(FL$1&lt;INDEX('Valo FX'!$R:$R,MATCH($A18,'Valo FX'!$A:$A,0)),INDEX(Base!$U:$U,MATCH($A18,Base!$A:$A,0)),IF(FL$1=INDEX('Valo FX'!$R:$R,MATCH($A18,'Valo FX'!$A:$A,0)),INDEX(Base!$V:$V,MATCH($A18,Base!$A:$A,0)),0)))</f>
        <v>13.171631</v>
      </c>
      <c r="FM18" s="21">
        <f>IF(FM$1&lt;INDEX('Valo FX'!$Q:$Q,MATCH($A18,'Valo FX'!$A:$A,0)),0,IF(FM$1&lt;INDEX('Valo FX'!$R:$R,MATCH($A18,'Valo FX'!$A:$A,0)),INDEX(Base!$U:$U,MATCH($A18,Base!$A:$A,0)),IF(FM$1=INDEX('Valo FX'!$R:$R,MATCH($A18,'Valo FX'!$A:$A,0)),INDEX(Base!$V:$V,MATCH($A18,Base!$A:$A,0)),0)))</f>
        <v>13.171631</v>
      </c>
      <c r="FN18" s="21">
        <f>IF(FN$1&lt;INDEX('Valo FX'!$Q:$Q,MATCH($A18,'Valo FX'!$A:$A,0)),0,IF(FN$1&lt;INDEX('Valo FX'!$R:$R,MATCH($A18,'Valo FX'!$A:$A,0)),INDEX(Base!$U:$U,MATCH($A18,Base!$A:$A,0)),IF(FN$1=INDEX('Valo FX'!$R:$R,MATCH($A18,'Valo FX'!$A:$A,0)),INDEX(Base!$V:$V,MATCH($A18,Base!$A:$A,0)),0)))</f>
        <v>13.171631</v>
      </c>
      <c r="FO18" s="21">
        <f>IF(FO$1&lt;INDEX('Valo FX'!$Q:$Q,MATCH($A18,'Valo FX'!$A:$A,0)),0,IF(FO$1&lt;INDEX('Valo FX'!$R:$R,MATCH($A18,'Valo FX'!$A:$A,0)),INDEX(Base!$U:$U,MATCH($A18,Base!$A:$A,0)),IF(FO$1=INDEX('Valo FX'!$R:$R,MATCH($A18,'Valo FX'!$A:$A,0)),INDEX(Base!$V:$V,MATCH($A18,Base!$A:$A,0)),0)))</f>
        <v>13.171631</v>
      </c>
      <c r="FP18" s="21">
        <f>IF(FP$1&lt;INDEX('Valo FX'!$Q:$Q,MATCH($A18,'Valo FX'!$A:$A,0)),0,IF(FP$1&lt;INDEX('Valo FX'!$R:$R,MATCH($A18,'Valo FX'!$A:$A,0)),INDEX(Base!$U:$U,MATCH($A18,Base!$A:$A,0)),IF(FP$1=INDEX('Valo FX'!$R:$R,MATCH($A18,'Valo FX'!$A:$A,0)),INDEX(Base!$V:$V,MATCH($A18,Base!$A:$A,0)),0)))</f>
        <v>13.171631</v>
      </c>
      <c r="FQ18" s="21">
        <f>IF(FQ$1&lt;INDEX('Valo FX'!$Q:$Q,MATCH($A18,'Valo FX'!$A:$A,0)),0,IF(FQ$1&lt;INDEX('Valo FX'!$R:$R,MATCH($A18,'Valo FX'!$A:$A,0)),INDEX(Base!$U:$U,MATCH($A18,Base!$A:$A,0)),IF(FQ$1=INDEX('Valo FX'!$R:$R,MATCH($A18,'Valo FX'!$A:$A,0)),INDEX(Base!$V:$V,MATCH($A18,Base!$A:$A,0)),0)))</f>
        <v>13.171631</v>
      </c>
      <c r="FR18" s="21">
        <f>IF(FR$1&lt;INDEX('Valo FX'!$Q:$Q,MATCH($A18,'Valo FX'!$A:$A,0)),0,IF(FR$1&lt;INDEX('Valo FX'!$R:$R,MATCH($A18,'Valo FX'!$A:$A,0)),INDEX(Base!$U:$U,MATCH($A18,Base!$A:$A,0)),IF(FR$1=INDEX('Valo FX'!$R:$R,MATCH($A18,'Valo FX'!$A:$A,0)),INDEX(Base!$V:$V,MATCH($A18,Base!$A:$A,0)),0)))</f>
        <v>13.171631</v>
      </c>
      <c r="FS18" s="21">
        <f>IF(FS$1&lt;INDEX('Valo FX'!$Q:$Q,MATCH($A18,'Valo FX'!$A:$A,0)),0,IF(FS$1&lt;INDEX('Valo FX'!$R:$R,MATCH($A18,'Valo FX'!$A:$A,0)),INDEX(Base!$U:$U,MATCH($A18,Base!$A:$A,0)),IF(FS$1=INDEX('Valo FX'!$R:$R,MATCH($A18,'Valo FX'!$A:$A,0)),INDEX(Base!$V:$V,MATCH($A18,Base!$A:$A,0)),0)))</f>
        <v>13.171631</v>
      </c>
      <c r="FT18" s="21">
        <f>IF(FT$1&lt;INDEX('Valo FX'!$Q:$Q,MATCH($A18,'Valo FX'!$A:$A,0)),0,IF(FT$1&lt;INDEX('Valo FX'!$R:$R,MATCH($A18,'Valo FX'!$A:$A,0)),INDEX(Base!$U:$U,MATCH($A18,Base!$A:$A,0)),IF(FT$1=INDEX('Valo FX'!$R:$R,MATCH($A18,'Valo FX'!$A:$A,0)),INDEX(Base!$V:$V,MATCH($A18,Base!$A:$A,0)),0)))</f>
        <v>13.171631</v>
      </c>
      <c r="FU18" s="21">
        <f>IF(FU$1&lt;INDEX('Valo FX'!$Q:$Q,MATCH($A18,'Valo FX'!$A:$A,0)),0,IF(FU$1&lt;INDEX('Valo FX'!$R:$R,MATCH($A18,'Valo FX'!$A:$A,0)),INDEX(Base!$U:$U,MATCH($A18,Base!$A:$A,0)),IF(FU$1=INDEX('Valo FX'!$R:$R,MATCH($A18,'Valo FX'!$A:$A,0)),INDEX(Base!$V:$V,MATCH($A18,Base!$A:$A,0)),0)))</f>
        <v>13.171631</v>
      </c>
      <c r="FV18" s="21">
        <f>IF(FV$1&lt;INDEX('Valo FX'!$Q:$Q,MATCH($A18,'Valo FX'!$A:$A,0)),0,IF(FV$1&lt;INDEX('Valo FX'!$R:$R,MATCH($A18,'Valo FX'!$A:$A,0)),INDEX(Base!$U:$U,MATCH($A18,Base!$A:$A,0)),IF(FV$1=INDEX('Valo FX'!$R:$R,MATCH($A18,'Valo FX'!$A:$A,0)),INDEX(Base!$V:$V,MATCH($A18,Base!$A:$A,0)),0)))</f>
        <v>13.171631</v>
      </c>
      <c r="FW18" s="21">
        <f>IF(FW$1&lt;INDEX('Valo FX'!$Q:$Q,MATCH($A18,'Valo FX'!$A:$A,0)),0,IF(FW$1&lt;INDEX('Valo FX'!$R:$R,MATCH($A18,'Valo FX'!$A:$A,0)),INDEX(Base!$U:$U,MATCH($A18,Base!$A:$A,0)),IF(FW$1=INDEX('Valo FX'!$R:$R,MATCH($A18,'Valo FX'!$A:$A,0)),INDEX(Base!$V:$V,MATCH($A18,Base!$A:$A,0)),0)))</f>
        <v>13.171631</v>
      </c>
      <c r="FX18" s="21">
        <f>IF(FX$1&lt;INDEX('Valo FX'!$Q:$Q,MATCH($A18,'Valo FX'!$A:$A,0)),0,IF(FX$1&lt;INDEX('Valo FX'!$R:$R,MATCH($A18,'Valo FX'!$A:$A,0)),INDEX(Base!$U:$U,MATCH($A18,Base!$A:$A,0)),IF(FX$1=INDEX('Valo FX'!$R:$R,MATCH($A18,'Valo FX'!$A:$A,0)),INDEX(Base!$V:$V,MATCH($A18,Base!$A:$A,0)),0)))</f>
        <v>13.171631</v>
      </c>
      <c r="FY18" s="21">
        <f>IF(FY$1&lt;INDEX('Valo FX'!$Q:$Q,MATCH($A18,'Valo FX'!$A:$A,0)),0,IF(FY$1&lt;INDEX('Valo FX'!$R:$R,MATCH($A18,'Valo FX'!$A:$A,0)),INDEX(Base!$U:$U,MATCH($A18,Base!$A:$A,0)),IF(FY$1=INDEX('Valo FX'!$R:$R,MATCH($A18,'Valo FX'!$A:$A,0)),INDEX(Base!$V:$V,MATCH($A18,Base!$A:$A,0)),0)))</f>
        <v>13.171631</v>
      </c>
      <c r="FZ18" s="21">
        <f>IF(FZ$1&lt;INDEX('Valo FX'!$Q:$Q,MATCH($A18,'Valo FX'!$A:$A,0)),0,IF(FZ$1&lt;INDEX('Valo FX'!$R:$R,MATCH($A18,'Valo FX'!$A:$A,0)),INDEX(Base!$U:$U,MATCH($A18,Base!$A:$A,0)),IF(FZ$1=INDEX('Valo FX'!$R:$R,MATCH($A18,'Valo FX'!$A:$A,0)),INDEX(Base!$V:$V,MATCH($A18,Base!$A:$A,0)),0)))</f>
        <v>13.171631</v>
      </c>
      <c r="GA18" s="21">
        <f>IF(GA$1&lt;INDEX('Valo FX'!$Q:$Q,MATCH($A18,'Valo FX'!$A:$A,0)),0,IF(GA$1&lt;INDEX('Valo FX'!$R:$R,MATCH($A18,'Valo FX'!$A:$A,0)),INDEX(Base!$U:$U,MATCH($A18,Base!$A:$A,0)),IF(GA$1=INDEX('Valo FX'!$R:$R,MATCH($A18,'Valo FX'!$A:$A,0)),INDEX(Base!$V:$V,MATCH($A18,Base!$A:$A,0)),0)))</f>
        <v>13.171631</v>
      </c>
      <c r="GB18" s="21">
        <f>IF(GB$1&lt;INDEX('Valo FX'!$Q:$Q,MATCH($A18,'Valo FX'!$A:$A,0)),0,IF(GB$1&lt;INDEX('Valo FX'!$R:$R,MATCH($A18,'Valo FX'!$A:$A,0)),INDEX(Base!$U:$U,MATCH($A18,Base!$A:$A,0)),IF(GB$1=INDEX('Valo FX'!$R:$R,MATCH($A18,'Valo FX'!$A:$A,0)),INDEX(Base!$V:$V,MATCH($A18,Base!$A:$A,0)),0)))</f>
        <v>13.171631</v>
      </c>
      <c r="GC18" s="21">
        <f>IF(GC$1&lt;INDEX('Valo FX'!$Q:$Q,MATCH($A18,'Valo FX'!$A:$A,0)),0,IF(GC$1&lt;INDEX('Valo FX'!$R:$R,MATCH($A18,'Valo FX'!$A:$A,0)),INDEX(Base!$U:$U,MATCH($A18,Base!$A:$A,0)),IF(GC$1=INDEX('Valo FX'!$R:$R,MATCH($A18,'Valo FX'!$A:$A,0)),INDEX(Base!$V:$V,MATCH($A18,Base!$A:$A,0)),0)))</f>
        <v>13.171631</v>
      </c>
      <c r="GD18" s="21">
        <f>IF(GD$1&lt;INDEX('Valo FX'!$Q:$Q,MATCH($A18,'Valo FX'!$A:$A,0)),0,IF(GD$1&lt;INDEX('Valo FX'!$R:$R,MATCH($A18,'Valo FX'!$A:$A,0)),INDEX(Base!$U:$U,MATCH($A18,Base!$A:$A,0)),IF(GD$1=INDEX('Valo FX'!$R:$R,MATCH($A18,'Valo FX'!$A:$A,0)),INDEX(Base!$V:$V,MATCH($A18,Base!$A:$A,0)),0)))</f>
        <v>13.171631</v>
      </c>
      <c r="GE18" s="21">
        <f>IF(GE$1&lt;INDEX('Valo FX'!$Q:$Q,MATCH($A18,'Valo FX'!$A:$A,0)),0,IF(GE$1&lt;INDEX('Valo FX'!$R:$R,MATCH($A18,'Valo FX'!$A:$A,0)),INDEX(Base!$U:$U,MATCH($A18,Base!$A:$A,0)),IF(GE$1=INDEX('Valo FX'!$R:$R,MATCH($A18,'Valo FX'!$A:$A,0)),INDEX(Base!$V:$V,MATCH($A18,Base!$A:$A,0)),0)))</f>
        <v>13.171631</v>
      </c>
      <c r="GF18" s="21">
        <f>IF(GF$1&lt;INDEX('Valo FX'!$Q:$Q,MATCH($A18,'Valo FX'!$A:$A,0)),0,IF(GF$1&lt;INDEX('Valo FX'!$R:$R,MATCH($A18,'Valo FX'!$A:$A,0)),INDEX(Base!$U:$U,MATCH($A18,Base!$A:$A,0)),IF(GF$1=INDEX('Valo FX'!$R:$R,MATCH($A18,'Valo FX'!$A:$A,0)),INDEX(Base!$V:$V,MATCH($A18,Base!$A:$A,0)),0)))</f>
        <v>13.171631</v>
      </c>
      <c r="GG18" s="21">
        <f>IF(GG$1&lt;INDEX('Valo FX'!$Q:$Q,MATCH($A18,'Valo FX'!$A:$A,0)),0,IF(GG$1&lt;INDEX('Valo FX'!$R:$R,MATCH($A18,'Valo FX'!$A:$A,0)),INDEX(Base!$U:$U,MATCH($A18,Base!$A:$A,0)),IF(GG$1=INDEX('Valo FX'!$R:$R,MATCH($A18,'Valo FX'!$A:$A,0)),INDEX(Base!$V:$V,MATCH($A18,Base!$A:$A,0)),0)))</f>
        <v>13.171631</v>
      </c>
      <c r="GH18" s="21">
        <f>IF(GH$1&lt;INDEX('Valo FX'!$Q:$Q,MATCH($A18,'Valo FX'!$A:$A,0)),0,IF(GH$1&lt;INDEX('Valo FX'!$R:$R,MATCH($A18,'Valo FX'!$A:$A,0)),INDEX(Base!$U:$U,MATCH($A18,Base!$A:$A,0)),IF(GH$1=INDEX('Valo FX'!$R:$R,MATCH($A18,'Valo FX'!$A:$A,0)),INDEX(Base!$V:$V,MATCH($A18,Base!$A:$A,0)),0)))</f>
        <v>13.171631</v>
      </c>
      <c r="GI18" s="21">
        <f>IF(GI$1&lt;INDEX('Valo FX'!$Q:$Q,MATCH($A18,'Valo FX'!$A:$A,0)),0,IF(GI$1&lt;INDEX('Valo FX'!$R:$R,MATCH($A18,'Valo FX'!$A:$A,0)),INDEX(Base!$U:$U,MATCH($A18,Base!$A:$A,0)),IF(GI$1=INDEX('Valo FX'!$R:$R,MATCH($A18,'Valo FX'!$A:$A,0)),INDEX(Base!$V:$V,MATCH($A18,Base!$A:$A,0)),0)))</f>
        <v>13.171631</v>
      </c>
      <c r="GJ18" s="21">
        <f>IF(GJ$1&lt;INDEX('Valo FX'!$Q:$Q,MATCH($A18,'Valo FX'!$A:$A,0)),0,IF(GJ$1&lt;INDEX('Valo FX'!$R:$R,MATCH($A18,'Valo FX'!$A:$A,0)),INDEX(Base!$U:$U,MATCH($A18,Base!$A:$A,0)),IF(GJ$1=INDEX('Valo FX'!$R:$R,MATCH($A18,'Valo FX'!$A:$A,0)),INDEX(Base!$V:$V,MATCH($A18,Base!$A:$A,0)),0)))</f>
        <v>13.171631</v>
      </c>
      <c r="GK18" s="21">
        <f>IF(GK$1&lt;INDEX('Valo FX'!$Q:$Q,MATCH($A18,'Valo FX'!$A:$A,0)),0,IF(GK$1&lt;INDEX('Valo FX'!$R:$R,MATCH($A18,'Valo FX'!$A:$A,0)),INDEX(Base!$U:$U,MATCH($A18,Base!$A:$A,0)),IF(GK$1=INDEX('Valo FX'!$R:$R,MATCH($A18,'Valo FX'!$A:$A,0)),INDEX(Base!$V:$V,MATCH($A18,Base!$A:$A,0)),0)))</f>
        <v>13.171631</v>
      </c>
      <c r="GL18" s="21">
        <f>IF(GL$1&lt;INDEX('Valo FX'!$Q:$Q,MATCH($A18,'Valo FX'!$A:$A,0)),0,IF(GL$1&lt;INDEX('Valo FX'!$R:$R,MATCH($A18,'Valo FX'!$A:$A,0)),INDEX(Base!$U:$U,MATCH($A18,Base!$A:$A,0)),IF(GL$1=INDEX('Valo FX'!$R:$R,MATCH($A18,'Valo FX'!$A:$A,0)),INDEX(Base!$V:$V,MATCH($A18,Base!$A:$A,0)),0)))</f>
        <v>13.171631</v>
      </c>
      <c r="GM18" s="21">
        <f>IF(GM$1&lt;INDEX('Valo FX'!$Q:$Q,MATCH($A18,'Valo FX'!$A:$A,0)),0,IF(GM$1&lt;INDEX('Valo FX'!$R:$R,MATCH($A18,'Valo FX'!$A:$A,0)),INDEX(Base!$U:$U,MATCH($A18,Base!$A:$A,0)),IF(GM$1=INDEX('Valo FX'!$R:$R,MATCH($A18,'Valo FX'!$A:$A,0)),INDEX(Base!$V:$V,MATCH($A18,Base!$A:$A,0)),0)))</f>
        <v>13.171631</v>
      </c>
      <c r="GN18" s="21">
        <f>IF(GN$1&lt;INDEX('Valo FX'!$Q:$Q,MATCH($A18,'Valo FX'!$A:$A,0)),0,IF(GN$1&lt;INDEX('Valo FX'!$R:$R,MATCH($A18,'Valo FX'!$A:$A,0)),INDEX(Base!$U:$U,MATCH($A18,Base!$A:$A,0)),IF(GN$1=INDEX('Valo FX'!$R:$R,MATCH($A18,'Valo FX'!$A:$A,0)),INDEX(Base!$V:$V,MATCH($A18,Base!$A:$A,0)),0)))</f>
        <v>13.171631</v>
      </c>
      <c r="GO18" s="21">
        <f>IF(GO$1&lt;INDEX('Valo FX'!$Q:$Q,MATCH($A18,'Valo FX'!$A:$A,0)),0,IF(GO$1&lt;INDEX('Valo FX'!$R:$R,MATCH($A18,'Valo FX'!$A:$A,0)),INDEX(Base!$U:$U,MATCH($A18,Base!$A:$A,0)),IF(GO$1=INDEX('Valo FX'!$R:$R,MATCH($A18,'Valo FX'!$A:$A,0)),INDEX(Base!$V:$V,MATCH($A18,Base!$A:$A,0)),0)))</f>
        <v>13.171631</v>
      </c>
      <c r="GP18" s="21">
        <f>IF(GP$1&lt;INDEX('Valo FX'!$Q:$Q,MATCH($A18,'Valo FX'!$A:$A,0)),0,IF(GP$1&lt;INDEX('Valo FX'!$R:$R,MATCH($A18,'Valo FX'!$A:$A,0)),INDEX(Base!$U:$U,MATCH($A18,Base!$A:$A,0)),IF(GP$1=INDEX('Valo FX'!$R:$R,MATCH($A18,'Valo FX'!$A:$A,0)),INDEX(Base!$V:$V,MATCH($A18,Base!$A:$A,0)),0)))</f>
        <v>13.171631</v>
      </c>
      <c r="GQ18" s="21">
        <f>IF(GQ$1&lt;INDEX('Valo FX'!$Q:$Q,MATCH($A18,'Valo FX'!$A:$A,0)),0,IF(GQ$1&lt;INDEX('Valo FX'!$R:$R,MATCH($A18,'Valo FX'!$A:$A,0)),INDEX(Base!$U:$U,MATCH($A18,Base!$A:$A,0)),IF(GQ$1=INDEX('Valo FX'!$R:$R,MATCH($A18,'Valo FX'!$A:$A,0)),INDEX(Base!$V:$V,MATCH($A18,Base!$A:$A,0)),0)))</f>
        <v>13.171631</v>
      </c>
      <c r="GR18" s="21">
        <f>IF(GR$1&lt;INDEX('Valo FX'!$Q:$Q,MATCH($A18,'Valo FX'!$A:$A,0)),0,IF(GR$1&lt;INDEX('Valo FX'!$R:$R,MATCH($A18,'Valo FX'!$A:$A,0)),INDEX(Base!$U:$U,MATCH($A18,Base!$A:$A,0)),IF(GR$1=INDEX('Valo FX'!$R:$R,MATCH($A18,'Valo FX'!$A:$A,0)),INDEX(Base!$V:$V,MATCH($A18,Base!$A:$A,0)),0)))</f>
        <v>13.171631</v>
      </c>
      <c r="GS18" s="21">
        <f>IF(GS$1&lt;INDEX('Valo FX'!$Q:$Q,MATCH($A18,'Valo FX'!$A:$A,0)),0,IF(GS$1&lt;INDEX('Valo FX'!$R:$R,MATCH($A18,'Valo FX'!$A:$A,0)),INDEX(Base!$U:$U,MATCH($A18,Base!$A:$A,0)),IF(GS$1=INDEX('Valo FX'!$R:$R,MATCH($A18,'Valo FX'!$A:$A,0)),INDEX(Base!$V:$V,MATCH($A18,Base!$A:$A,0)),0)))</f>
        <v>13.171631</v>
      </c>
      <c r="GT18" s="21">
        <f>IF(GT$1&lt;INDEX('Valo FX'!$Q:$Q,MATCH($A18,'Valo FX'!$A:$A,0)),0,IF(GT$1&lt;INDEX('Valo FX'!$R:$R,MATCH($A18,'Valo FX'!$A:$A,0)),INDEX(Base!$U:$U,MATCH($A18,Base!$A:$A,0)),IF(GT$1=INDEX('Valo FX'!$R:$R,MATCH($A18,'Valo FX'!$A:$A,0)),INDEX(Base!$V:$V,MATCH($A18,Base!$A:$A,0)),0)))</f>
        <v>13.171631</v>
      </c>
      <c r="GU18" s="21">
        <f>IF(GU$1&lt;INDEX('Valo FX'!$Q:$Q,MATCH($A18,'Valo FX'!$A:$A,0)),0,IF(GU$1&lt;INDEX('Valo FX'!$R:$R,MATCH($A18,'Valo FX'!$A:$A,0)),INDEX(Base!$U:$U,MATCH($A18,Base!$A:$A,0)),IF(GU$1=INDEX('Valo FX'!$R:$R,MATCH($A18,'Valo FX'!$A:$A,0)),INDEX(Base!$V:$V,MATCH($A18,Base!$A:$A,0)),0)))</f>
        <v>13.171631</v>
      </c>
      <c r="GV18" s="21">
        <f>IF(GV$1&lt;INDEX('Valo FX'!$Q:$Q,MATCH($A18,'Valo FX'!$A:$A,0)),0,IF(GV$1&lt;INDEX('Valo FX'!$R:$R,MATCH($A18,'Valo FX'!$A:$A,0)),INDEX(Base!$U:$U,MATCH($A18,Base!$A:$A,0)),IF(GV$1=INDEX('Valo FX'!$R:$R,MATCH($A18,'Valo FX'!$A:$A,0)),INDEX(Base!$V:$V,MATCH($A18,Base!$A:$A,0)),0)))</f>
        <v>13.171631</v>
      </c>
      <c r="GW18" s="21">
        <f>IF(GW$1&lt;INDEX('Valo FX'!$Q:$Q,MATCH($A18,'Valo FX'!$A:$A,0)),0,IF(GW$1&lt;INDEX('Valo FX'!$R:$R,MATCH($A18,'Valo FX'!$A:$A,0)),INDEX(Base!$U:$U,MATCH($A18,Base!$A:$A,0)),IF(GW$1=INDEX('Valo FX'!$R:$R,MATCH($A18,'Valo FX'!$A:$A,0)),INDEX(Base!$V:$V,MATCH($A18,Base!$A:$A,0)),0)))</f>
        <v>13.171631</v>
      </c>
      <c r="GX18" s="21">
        <f>IF(GX$1&lt;INDEX('Valo FX'!$Q:$Q,MATCH($A18,'Valo FX'!$A:$A,0)),0,IF(GX$1&lt;INDEX('Valo FX'!$R:$R,MATCH($A18,'Valo FX'!$A:$A,0)),INDEX(Base!$U:$U,MATCH($A18,Base!$A:$A,0)),IF(GX$1=INDEX('Valo FX'!$R:$R,MATCH($A18,'Valo FX'!$A:$A,0)),INDEX(Base!$V:$V,MATCH($A18,Base!$A:$A,0)),0)))</f>
        <v>13.171631</v>
      </c>
      <c r="GY18" s="21">
        <f>IF(GY$1&lt;INDEX('Valo FX'!$Q:$Q,MATCH($A18,'Valo FX'!$A:$A,0)),0,IF(GY$1&lt;INDEX('Valo FX'!$R:$R,MATCH($A18,'Valo FX'!$A:$A,0)),INDEX(Base!$U:$U,MATCH($A18,Base!$A:$A,0)),IF(GY$1=INDEX('Valo FX'!$R:$R,MATCH($A18,'Valo FX'!$A:$A,0)),INDEX(Base!$V:$V,MATCH($A18,Base!$A:$A,0)),0)))</f>
        <v>13.171631</v>
      </c>
      <c r="GZ18" s="21">
        <f>IF(GZ$1&lt;INDEX('Valo FX'!$Q:$Q,MATCH($A18,'Valo FX'!$A:$A,0)),0,IF(GZ$1&lt;INDEX('Valo FX'!$R:$R,MATCH($A18,'Valo FX'!$A:$A,0)),INDEX(Base!$U:$U,MATCH($A18,Base!$A:$A,0)),IF(GZ$1=INDEX('Valo FX'!$R:$R,MATCH($A18,'Valo FX'!$A:$A,0)),INDEX(Base!$V:$V,MATCH($A18,Base!$A:$A,0)),0)))</f>
        <v>13.171631</v>
      </c>
      <c r="HA18" s="21">
        <f>IF(HA$1&lt;INDEX('Valo FX'!$Q:$Q,MATCH($A18,'Valo FX'!$A:$A,0)),0,IF(HA$1&lt;INDEX('Valo FX'!$R:$R,MATCH($A18,'Valo FX'!$A:$A,0)),INDEX(Base!$U:$U,MATCH($A18,Base!$A:$A,0)),IF(HA$1=INDEX('Valo FX'!$R:$R,MATCH($A18,'Valo FX'!$A:$A,0)),INDEX(Base!$V:$V,MATCH($A18,Base!$A:$A,0)),0)))</f>
        <v>13.171631</v>
      </c>
      <c r="HB18" s="21">
        <f>IF(HB$1&lt;INDEX('Valo FX'!$Q:$Q,MATCH($A18,'Valo FX'!$A:$A,0)),0,IF(HB$1&lt;INDEX('Valo FX'!$R:$R,MATCH($A18,'Valo FX'!$A:$A,0)),INDEX(Base!$U:$U,MATCH($A18,Base!$A:$A,0)),IF(HB$1=INDEX('Valo FX'!$R:$R,MATCH($A18,'Valo FX'!$A:$A,0)),INDEX(Base!$V:$V,MATCH($A18,Base!$A:$A,0)),0)))</f>
        <v>13.171631</v>
      </c>
      <c r="HC18" s="21">
        <f>IF(HC$1&lt;INDEX('Valo FX'!$Q:$Q,MATCH($A18,'Valo FX'!$A:$A,0)),0,IF(HC$1&lt;INDEX('Valo FX'!$R:$R,MATCH($A18,'Valo FX'!$A:$A,0)),INDEX(Base!$U:$U,MATCH($A18,Base!$A:$A,0)),IF(HC$1=INDEX('Valo FX'!$R:$R,MATCH($A18,'Valo FX'!$A:$A,0)),INDEX(Base!$V:$V,MATCH($A18,Base!$A:$A,0)),0)))</f>
        <v>13.171631</v>
      </c>
      <c r="HD18" s="21">
        <f>IF(HD$1&lt;INDEX('Valo FX'!$Q:$Q,MATCH($A18,'Valo FX'!$A:$A,0)),0,IF(HD$1&lt;INDEX('Valo FX'!$R:$R,MATCH($A18,'Valo FX'!$A:$A,0)),INDEX(Base!$U:$U,MATCH($A18,Base!$A:$A,0)),IF(HD$1=INDEX('Valo FX'!$R:$R,MATCH($A18,'Valo FX'!$A:$A,0)),INDEX(Base!$V:$V,MATCH($A18,Base!$A:$A,0)),0)))</f>
        <v>13.171631</v>
      </c>
      <c r="HE18" s="21">
        <f>IF(HE$1&lt;INDEX('Valo FX'!$Q:$Q,MATCH($A18,'Valo FX'!$A:$A,0)),0,IF(HE$1&lt;INDEX('Valo FX'!$R:$R,MATCH($A18,'Valo FX'!$A:$A,0)),INDEX(Base!$U:$U,MATCH($A18,Base!$A:$A,0)),IF(HE$1=INDEX('Valo FX'!$R:$R,MATCH($A18,'Valo FX'!$A:$A,0)),INDEX(Base!$V:$V,MATCH($A18,Base!$A:$A,0)),0)))</f>
        <v>13.171631</v>
      </c>
      <c r="HF18" s="21">
        <f>IF(HF$1&lt;INDEX('Valo FX'!$Q:$Q,MATCH($A18,'Valo FX'!$A:$A,0)),0,IF(HF$1&lt;INDEX('Valo FX'!$R:$R,MATCH($A18,'Valo FX'!$A:$A,0)),INDEX(Base!$U:$U,MATCH($A18,Base!$A:$A,0)),IF(HF$1=INDEX('Valo FX'!$R:$R,MATCH($A18,'Valo FX'!$A:$A,0)),INDEX(Base!$V:$V,MATCH($A18,Base!$A:$A,0)),0)))</f>
        <v>13.171631</v>
      </c>
      <c r="HG18" s="21">
        <f>IF(HG$1&lt;INDEX('Valo FX'!$Q:$Q,MATCH($A18,'Valo FX'!$A:$A,0)),0,IF(HG$1&lt;INDEX('Valo FX'!$R:$R,MATCH($A18,'Valo FX'!$A:$A,0)),INDEX(Base!$U:$U,MATCH($A18,Base!$A:$A,0)),IF(HG$1=INDEX('Valo FX'!$R:$R,MATCH($A18,'Valo FX'!$A:$A,0)),INDEX(Base!$V:$V,MATCH($A18,Base!$A:$A,0)),0)))</f>
        <v>13.171631</v>
      </c>
      <c r="HH18" s="21">
        <f>IF(HH$1&lt;INDEX('Valo FX'!$Q:$Q,MATCH($A18,'Valo FX'!$A:$A,0)),0,IF(HH$1&lt;INDEX('Valo FX'!$R:$R,MATCH($A18,'Valo FX'!$A:$A,0)),INDEX(Base!$U:$U,MATCH($A18,Base!$A:$A,0)),IF(HH$1=INDEX('Valo FX'!$R:$R,MATCH($A18,'Valo FX'!$A:$A,0)),INDEX(Base!$V:$V,MATCH($A18,Base!$A:$A,0)),0)))</f>
        <v>13.171631</v>
      </c>
      <c r="HI18" s="21">
        <f>IF(HI$1&lt;INDEX('Valo FX'!$Q:$Q,MATCH($A18,'Valo FX'!$A:$A,0)),0,IF(HI$1&lt;INDEX('Valo FX'!$R:$R,MATCH($A18,'Valo FX'!$A:$A,0)),INDEX(Base!$U:$U,MATCH($A18,Base!$A:$A,0)),IF(HI$1=INDEX('Valo FX'!$R:$R,MATCH($A18,'Valo FX'!$A:$A,0)),INDEX(Base!$V:$V,MATCH($A18,Base!$A:$A,0)),0)))</f>
        <v>13.171631</v>
      </c>
      <c r="HJ18" s="21">
        <f>IF(HJ$1&lt;INDEX('Valo FX'!$Q:$Q,MATCH($A18,'Valo FX'!$A:$A,0)),0,IF(HJ$1&lt;INDEX('Valo FX'!$R:$R,MATCH($A18,'Valo FX'!$A:$A,0)),INDEX(Base!$U:$U,MATCH($A18,Base!$A:$A,0)),IF(HJ$1=INDEX('Valo FX'!$R:$R,MATCH($A18,'Valo FX'!$A:$A,0)),INDEX(Base!$V:$V,MATCH($A18,Base!$A:$A,0)),0)))</f>
        <v>13.171631</v>
      </c>
      <c r="HK18" s="21">
        <f>IF(HK$1&lt;INDEX('Valo FX'!$Q:$Q,MATCH($A18,'Valo FX'!$A:$A,0)),0,IF(HK$1&lt;INDEX('Valo FX'!$R:$R,MATCH($A18,'Valo FX'!$A:$A,0)),INDEX(Base!$U:$U,MATCH($A18,Base!$A:$A,0)),IF(HK$1=INDEX('Valo FX'!$R:$R,MATCH($A18,'Valo FX'!$A:$A,0)),INDEX(Base!$V:$V,MATCH($A18,Base!$A:$A,0)),0)))</f>
        <v>13.171631</v>
      </c>
      <c r="HL18" s="21">
        <f>IF(HL$1&lt;INDEX('Valo FX'!$Q:$Q,MATCH($A18,'Valo FX'!$A:$A,0)),0,IF(HL$1&lt;INDEX('Valo FX'!$R:$R,MATCH($A18,'Valo FX'!$A:$A,0)),INDEX(Base!$U:$U,MATCH($A18,Base!$A:$A,0)),IF(HL$1=INDEX('Valo FX'!$R:$R,MATCH($A18,'Valo FX'!$A:$A,0)),INDEX(Base!$V:$V,MATCH($A18,Base!$A:$A,0)),0)))</f>
        <v>13.171631</v>
      </c>
      <c r="HM18" s="21">
        <f>IF(HM$1&lt;INDEX('Valo FX'!$Q:$Q,MATCH($A18,'Valo FX'!$A:$A,0)),0,IF(HM$1&lt;INDEX('Valo FX'!$R:$R,MATCH($A18,'Valo FX'!$A:$A,0)),INDEX(Base!$U:$U,MATCH($A18,Base!$A:$A,0)),IF(HM$1=INDEX('Valo FX'!$R:$R,MATCH($A18,'Valo FX'!$A:$A,0)),INDEX(Base!$V:$V,MATCH($A18,Base!$A:$A,0)),0)))</f>
        <v>13.171631</v>
      </c>
      <c r="HN18" s="21">
        <f>IF(HN$1&lt;INDEX('Valo FX'!$Q:$Q,MATCH($A18,'Valo FX'!$A:$A,0)),0,IF(HN$1&lt;INDEX('Valo FX'!$R:$R,MATCH($A18,'Valo FX'!$A:$A,0)),INDEX(Base!$U:$U,MATCH($A18,Base!$A:$A,0)),IF(HN$1=INDEX('Valo FX'!$R:$R,MATCH($A18,'Valo FX'!$A:$A,0)),INDEX(Base!$V:$V,MATCH($A18,Base!$A:$A,0)),0)))</f>
        <v>13.171631</v>
      </c>
      <c r="HO18" s="21">
        <f>IF(HO$1&lt;INDEX('Valo FX'!$Q:$Q,MATCH($A18,'Valo FX'!$A:$A,0)),0,IF(HO$1&lt;INDEX('Valo FX'!$R:$R,MATCH($A18,'Valo FX'!$A:$A,0)),INDEX(Base!$U:$U,MATCH($A18,Base!$A:$A,0)),IF(HO$1=INDEX('Valo FX'!$R:$R,MATCH($A18,'Valo FX'!$A:$A,0)),INDEX(Base!$V:$V,MATCH($A18,Base!$A:$A,0)),0)))</f>
        <v>13.171631</v>
      </c>
      <c r="HP18" s="21">
        <f>IF(HP$1&lt;INDEX('Valo FX'!$Q:$Q,MATCH($A18,'Valo FX'!$A:$A,0)),0,IF(HP$1&lt;INDEX('Valo FX'!$R:$R,MATCH($A18,'Valo FX'!$A:$A,0)),INDEX(Base!$U:$U,MATCH($A18,Base!$A:$A,0)),IF(HP$1=INDEX('Valo FX'!$R:$R,MATCH($A18,'Valo FX'!$A:$A,0)),INDEX(Base!$V:$V,MATCH($A18,Base!$A:$A,0)),0)))</f>
        <v>13.171631</v>
      </c>
      <c r="HQ18" s="21">
        <f>IF(HQ$1&lt;INDEX('Valo FX'!$Q:$Q,MATCH($A18,'Valo FX'!$A:$A,0)),0,IF(HQ$1&lt;INDEX('Valo FX'!$R:$R,MATCH($A18,'Valo FX'!$A:$A,0)),INDEX(Base!$U:$U,MATCH($A18,Base!$A:$A,0)),IF(HQ$1=INDEX('Valo FX'!$R:$R,MATCH($A18,'Valo FX'!$A:$A,0)),INDEX(Base!$V:$V,MATCH($A18,Base!$A:$A,0)),0)))</f>
        <v>13.171631</v>
      </c>
      <c r="HR18" s="21">
        <f>IF(HR$1&lt;INDEX('Valo FX'!$Q:$Q,MATCH($A18,'Valo FX'!$A:$A,0)),0,IF(HR$1&lt;INDEX('Valo FX'!$R:$R,MATCH($A18,'Valo FX'!$A:$A,0)),INDEX(Base!$U:$U,MATCH($A18,Base!$A:$A,0)),IF(HR$1=INDEX('Valo FX'!$R:$R,MATCH($A18,'Valo FX'!$A:$A,0)),INDEX(Base!$V:$V,MATCH($A18,Base!$A:$A,0)),0)))</f>
        <v>13.171631</v>
      </c>
      <c r="HS18" s="21">
        <f>IF(HS$1&lt;INDEX('Valo FX'!$Q:$Q,MATCH($A18,'Valo FX'!$A:$A,0)),0,IF(HS$1&lt;INDEX('Valo FX'!$R:$R,MATCH($A18,'Valo FX'!$A:$A,0)),INDEX(Base!$U:$U,MATCH($A18,Base!$A:$A,0)),IF(HS$1=INDEX('Valo FX'!$R:$R,MATCH($A18,'Valo FX'!$A:$A,0)),INDEX(Base!$V:$V,MATCH($A18,Base!$A:$A,0)),0)))</f>
        <v>13.171631</v>
      </c>
      <c r="HT18" s="21">
        <f>IF(HT$1&lt;INDEX('Valo FX'!$Q:$Q,MATCH($A18,'Valo FX'!$A:$A,0)),0,IF(HT$1&lt;INDEX('Valo FX'!$R:$R,MATCH($A18,'Valo FX'!$A:$A,0)),INDEX(Base!$U:$U,MATCH($A18,Base!$A:$A,0)),IF(HT$1=INDEX('Valo FX'!$R:$R,MATCH($A18,'Valo FX'!$A:$A,0)),INDEX(Base!$V:$V,MATCH($A18,Base!$A:$A,0)),0)))</f>
        <v>13.171631</v>
      </c>
      <c r="HU18" s="21">
        <f>IF(HU$1&lt;INDEX('Valo FX'!$Q:$Q,MATCH($A18,'Valo FX'!$A:$A,0)),0,IF(HU$1&lt;INDEX('Valo FX'!$R:$R,MATCH($A18,'Valo FX'!$A:$A,0)),INDEX(Base!$U:$U,MATCH($A18,Base!$A:$A,0)),IF(HU$1=INDEX('Valo FX'!$R:$R,MATCH($A18,'Valo FX'!$A:$A,0)),INDEX(Base!$V:$V,MATCH($A18,Base!$A:$A,0)),0)))</f>
        <v>13.171631</v>
      </c>
      <c r="HV18" s="21">
        <f>IF(HV$1&lt;INDEX('Valo FX'!$Q:$Q,MATCH($A18,'Valo FX'!$A:$A,0)),0,IF(HV$1&lt;INDEX('Valo FX'!$R:$R,MATCH($A18,'Valo FX'!$A:$A,0)),INDEX(Base!$U:$U,MATCH($A18,Base!$A:$A,0)),IF(HV$1=INDEX('Valo FX'!$R:$R,MATCH($A18,'Valo FX'!$A:$A,0)),INDEX(Base!$V:$V,MATCH($A18,Base!$A:$A,0)),0)))</f>
        <v>13.171631</v>
      </c>
      <c r="HW18" s="21">
        <f>IF(HW$1&lt;INDEX('Valo FX'!$Q:$Q,MATCH($A18,'Valo FX'!$A:$A,0)),0,IF(HW$1&lt;INDEX('Valo FX'!$R:$R,MATCH($A18,'Valo FX'!$A:$A,0)),INDEX(Base!$U:$U,MATCH($A18,Base!$A:$A,0)),IF(HW$1=INDEX('Valo FX'!$R:$R,MATCH($A18,'Valo FX'!$A:$A,0)),INDEX(Base!$V:$V,MATCH($A18,Base!$A:$A,0)),0)))</f>
        <v>13.171631</v>
      </c>
      <c r="HX18" s="21">
        <f>IF(HX$1&lt;INDEX('Valo FX'!$Q:$Q,MATCH($A18,'Valo FX'!$A:$A,0)),0,IF(HX$1&lt;INDEX('Valo FX'!$R:$R,MATCH($A18,'Valo FX'!$A:$A,0)),INDEX(Base!$U:$U,MATCH($A18,Base!$A:$A,0)),IF(HX$1=INDEX('Valo FX'!$R:$R,MATCH($A18,'Valo FX'!$A:$A,0)),INDEX(Base!$V:$V,MATCH($A18,Base!$A:$A,0)),0)))</f>
        <v>13.171631</v>
      </c>
      <c r="HY18" s="21">
        <f>IF(HY$1&lt;INDEX('Valo FX'!$Q:$Q,MATCH($A18,'Valo FX'!$A:$A,0)),0,IF(HY$1&lt;INDEX('Valo FX'!$R:$R,MATCH($A18,'Valo FX'!$A:$A,0)),INDEX(Base!$U:$U,MATCH($A18,Base!$A:$A,0)),IF(HY$1=INDEX('Valo FX'!$R:$R,MATCH($A18,'Valo FX'!$A:$A,0)),INDEX(Base!$V:$V,MATCH($A18,Base!$A:$A,0)),0)))</f>
        <v>13.171631</v>
      </c>
      <c r="HZ18" s="21">
        <f>IF(HZ$1&lt;INDEX('Valo FX'!$Q:$Q,MATCH($A18,'Valo FX'!$A:$A,0)),0,IF(HZ$1&lt;INDEX('Valo FX'!$R:$R,MATCH($A18,'Valo FX'!$A:$A,0)),INDEX(Base!$U:$U,MATCH($A18,Base!$A:$A,0)),IF(HZ$1=INDEX('Valo FX'!$R:$R,MATCH($A18,'Valo FX'!$A:$A,0)),INDEX(Base!$V:$V,MATCH($A18,Base!$A:$A,0)),0)))</f>
        <v>13.171631</v>
      </c>
      <c r="IA18" s="21">
        <f>IF(IA$1&lt;INDEX('Valo FX'!$Q:$Q,MATCH($A18,'Valo FX'!$A:$A,0)),0,IF(IA$1&lt;INDEX('Valo FX'!$R:$R,MATCH($A18,'Valo FX'!$A:$A,0)),INDEX(Base!$U:$U,MATCH($A18,Base!$A:$A,0)),IF(IA$1=INDEX('Valo FX'!$R:$R,MATCH($A18,'Valo FX'!$A:$A,0)),INDEX(Base!$V:$V,MATCH($A18,Base!$A:$A,0)),0)))</f>
        <v>13.171631</v>
      </c>
      <c r="IB18" s="21">
        <f>IF(IB$1&lt;INDEX('Valo FX'!$Q:$Q,MATCH($A18,'Valo FX'!$A:$A,0)),0,IF(IB$1&lt;INDEX('Valo FX'!$R:$R,MATCH($A18,'Valo FX'!$A:$A,0)),INDEX(Base!$U:$U,MATCH($A18,Base!$A:$A,0)),IF(IB$1=INDEX('Valo FX'!$R:$R,MATCH($A18,'Valo FX'!$A:$A,0)),INDEX(Base!$V:$V,MATCH($A18,Base!$A:$A,0)),0)))</f>
        <v>13.171631</v>
      </c>
      <c r="IC18" s="21">
        <f>IF(IC$1&lt;INDEX('Valo FX'!$Q:$Q,MATCH($A18,'Valo FX'!$A:$A,0)),0,IF(IC$1&lt;INDEX('Valo FX'!$R:$R,MATCH($A18,'Valo FX'!$A:$A,0)),INDEX(Base!$U:$U,MATCH($A18,Base!$A:$A,0)),IF(IC$1=INDEX('Valo FX'!$R:$R,MATCH($A18,'Valo FX'!$A:$A,0)),INDEX(Base!$V:$V,MATCH($A18,Base!$A:$A,0)),0)))</f>
        <v>13.171631</v>
      </c>
      <c r="ID18" s="21">
        <f>IF(ID$1&lt;INDEX('Valo FX'!$Q:$Q,MATCH($A18,'Valo FX'!$A:$A,0)),0,IF(ID$1&lt;INDEX('Valo FX'!$R:$R,MATCH($A18,'Valo FX'!$A:$A,0)),INDEX(Base!$U:$U,MATCH($A18,Base!$A:$A,0)),IF(ID$1=INDEX('Valo FX'!$R:$R,MATCH($A18,'Valo FX'!$A:$A,0)),INDEX(Base!$V:$V,MATCH($A18,Base!$A:$A,0)),0)))</f>
        <v>13.171631</v>
      </c>
      <c r="IE18" s="21">
        <f>IF(IE$1&lt;INDEX('Valo FX'!$Q:$Q,MATCH($A18,'Valo FX'!$A:$A,0)),0,IF(IE$1&lt;INDEX('Valo FX'!$R:$R,MATCH($A18,'Valo FX'!$A:$A,0)),INDEX(Base!$U:$U,MATCH($A18,Base!$A:$A,0)),IF(IE$1=INDEX('Valo FX'!$R:$R,MATCH($A18,'Valo FX'!$A:$A,0)),INDEX(Base!$V:$V,MATCH($A18,Base!$A:$A,0)),0)))</f>
        <v>13.171631</v>
      </c>
      <c r="IF18" s="21">
        <f>IF(IF$1&lt;INDEX('Valo FX'!$Q:$Q,MATCH($A18,'Valo FX'!$A:$A,0)),0,IF(IF$1&lt;INDEX('Valo FX'!$R:$R,MATCH($A18,'Valo FX'!$A:$A,0)),INDEX(Base!$U:$U,MATCH($A18,Base!$A:$A,0)),IF(IF$1=INDEX('Valo FX'!$R:$R,MATCH($A18,'Valo FX'!$A:$A,0)),INDEX(Base!$V:$V,MATCH($A18,Base!$A:$A,0)),0)))</f>
        <v>13.171631</v>
      </c>
      <c r="IG18" s="21">
        <f>IF(IG$1&lt;INDEX('Valo FX'!$Q:$Q,MATCH($A18,'Valo FX'!$A:$A,0)),0,IF(IG$1&lt;INDEX('Valo FX'!$R:$R,MATCH($A18,'Valo FX'!$A:$A,0)),INDEX(Base!$U:$U,MATCH($A18,Base!$A:$A,0)),IF(IG$1=INDEX('Valo FX'!$R:$R,MATCH($A18,'Valo FX'!$A:$A,0)),INDEX(Base!$V:$V,MATCH($A18,Base!$A:$A,0)),0)))</f>
        <v>13.171631</v>
      </c>
      <c r="IH18" s="21">
        <f>IF(IH$1&lt;INDEX('Valo FX'!$Q:$Q,MATCH($A18,'Valo FX'!$A:$A,0)),0,IF(IH$1&lt;INDEX('Valo FX'!$R:$R,MATCH($A18,'Valo FX'!$A:$A,0)),INDEX(Base!$U:$U,MATCH($A18,Base!$A:$A,0)),IF(IH$1=INDEX('Valo FX'!$R:$R,MATCH($A18,'Valo FX'!$A:$A,0)),INDEX(Base!$V:$V,MATCH($A18,Base!$A:$A,0)),0)))</f>
        <v>13.171631</v>
      </c>
      <c r="II18" s="21">
        <f>IF(II$1&lt;INDEX('Valo FX'!$Q:$Q,MATCH($A18,'Valo FX'!$A:$A,0)),0,IF(II$1&lt;INDEX('Valo FX'!$R:$R,MATCH($A18,'Valo FX'!$A:$A,0)),INDEX(Base!$U:$U,MATCH($A18,Base!$A:$A,0)),IF(II$1=INDEX('Valo FX'!$R:$R,MATCH($A18,'Valo FX'!$A:$A,0)),INDEX(Base!$V:$V,MATCH($A18,Base!$A:$A,0)),0)))</f>
        <v>13.171631</v>
      </c>
      <c r="IJ18" s="21">
        <f>IF(IJ$1&lt;INDEX('Valo FX'!$Q:$Q,MATCH($A18,'Valo FX'!$A:$A,0)),0,IF(IJ$1&lt;INDEX('Valo FX'!$R:$R,MATCH($A18,'Valo FX'!$A:$A,0)),INDEX(Base!$U:$U,MATCH($A18,Base!$A:$A,0)),IF(IJ$1=INDEX('Valo FX'!$R:$R,MATCH($A18,'Valo FX'!$A:$A,0)),INDEX(Base!$V:$V,MATCH($A18,Base!$A:$A,0)),0)))</f>
        <v>13.171631</v>
      </c>
      <c r="IK18" s="21">
        <f>IF(IK$1&lt;INDEX('Valo FX'!$Q:$Q,MATCH($A18,'Valo FX'!$A:$A,0)),0,IF(IK$1&lt;INDEX('Valo FX'!$R:$R,MATCH($A18,'Valo FX'!$A:$A,0)),INDEX(Base!$U:$U,MATCH($A18,Base!$A:$A,0)),IF(IK$1=INDEX('Valo FX'!$R:$R,MATCH($A18,'Valo FX'!$A:$A,0)),INDEX(Base!$V:$V,MATCH($A18,Base!$A:$A,0)),0)))</f>
        <v>13.171631</v>
      </c>
      <c r="IL18" s="21">
        <f>IF(IL$1&lt;INDEX('Valo FX'!$Q:$Q,MATCH($A18,'Valo FX'!$A:$A,0)),0,IF(IL$1&lt;INDEX('Valo FX'!$R:$R,MATCH($A18,'Valo FX'!$A:$A,0)),INDEX(Base!$U:$U,MATCH($A18,Base!$A:$A,0)),IF(IL$1=INDEX('Valo FX'!$R:$R,MATCH($A18,'Valo FX'!$A:$A,0)),INDEX(Base!$V:$V,MATCH($A18,Base!$A:$A,0)),0)))</f>
        <v>13.171631</v>
      </c>
      <c r="IM18" s="21">
        <f>IF(IM$1&lt;INDEX('Valo FX'!$Q:$Q,MATCH($A18,'Valo FX'!$A:$A,0)),0,IF(IM$1&lt;INDEX('Valo FX'!$R:$R,MATCH($A18,'Valo FX'!$A:$A,0)),INDEX(Base!$U:$U,MATCH($A18,Base!$A:$A,0)),IF(IM$1=INDEX('Valo FX'!$R:$R,MATCH($A18,'Valo FX'!$A:$A,0)),INDEX(Base!$V:$V,MATCH($A18,Base!$A:$A,0)),0)))</f>
        <v>13.171631</v>
      </c>
      <c r="IN18" s="21">
        <f>IF(IN$1&lt;INDEX('Valo FX'!$Q:$Q,MATCH($A18,'Valo FX'!$A:$A,0)),0,IF(IN$1&lt;INDEX('Valo FX'!$R:$R,MATCH($A18,'Valo FX'!$A:$A,0)),INDEX(Base!$U:$U,MATCH($A18,Base!$A:$A,0)),IF(IN$1=INDEX('Valo FX'!$R:$R,MATCH($A18,'Valo FX'!$A:$A,0)),INDEX(Base!$V:$V,MATCH($A18,Base!$A:$A,0)),0)))</f>
        <v>13.171631</v>
      </c>
      <c r="IO18" s="21">
        <f>IF(IO$1&lt;INDEX('Valo FX'!$Q:$Q,MATCH($A18,'Valo FX'!$A:$A,0)),0,IF(IO$1&lt;INDEX('Valo FX'!$R:$R,MATCH($A18,'Valo FX'!$A:$A,0)),INDEX(Base!$U:$U,MATCH($A18,Base!$A:$A,0)),IF(IO$1=INDEX('Valo FX'!$R:$R,MATCH($A18,'Valo FX'!$A:$A,0)),INDEX(Base!$V:$V,MATCH($A18,Base!$A:$A,0)),0)))</f>
        <v>13.171631</v>
      </c>
      <c r="IP18" s="21">
        <f>IF(IP$1&lt;INDEX('Valo FX'!$Q:$Q,MATCH($A18,'Valo FX'!$A:$A,0)),0,IF(IP$1&lt;INDEX('Valo FX'!$R:$R,MATCH($A18,'Valo FX'!$A:$A,0)),INDEX(Base!$U:$U,MATCH($A18,Base!$A:$A,0)),IF(IP$1=INDEX('Valo FX'!$R:$R,MATCH($A18,'Valo FX'!$A:$A,0)),INDEX(Base!$V:$V,MATCH($A18,Base!$A:$A,0)),0)))</f>
        <v>13.171631</v>
      </c>
      <c r="IQ18" s="21">
        <f>IF(IQ$1&lt;INDEX('Valo FX'!$Q:$Q,MATCH($A18,'Valo FX'!$A:$A,0)),0,IF(IQ$1&lt;INDEX('Valo FX'!$R:$R,MATCH($A18,'Valo FX'!$A:$A,0)),INDEX(Base!$U:$U,MATCH($A18,Base!$A:$A,0)),IF(IQ$1=INDEX('Valo FX'!$R:$R,MATCH($A18,'Valo FX'!$A:$A,0)),INDEX(Base!$V:$V,MATCH($A18,Base!$A:$A,0)),0)))</f>
        <v>13.171631</v>
      </c>
      <c r="IR18" s="21">
        <f>IF(IR$1&lt;INDEX('Valo FX'!$Q:$Q,MATCH($A18,'Valo FX'!$A:$A,0)),0,IF(IR$1&lt;INDEX('Valo FX'!$R:$R,MATCH($A18,'Valo FX'!$A:$A,0)),INDEX(Base!$U:$U,MATCH($A18,Base!$A:$A,0)),IF(IR$1=INDEX('Valo FX'!$R:$R,MATCH($A18,'Valo FX'!$A:$A,0)),INDEX(Base!$V:$V,MATCH($A18,Base!$A:$A,0)),0)))</f>
        <v>13.171631</v>
      </c>
      <c r="IS18" s="21">
        <f>IF(IS$1&lt;INDEX('Valo FX'!$Q:$Q,MATCH($A18,'Valo FX'!$A:$A,0)),0,IF(IS$1&lt;INDEX('Valo FX'!$R:$R,MATCH($A18,'Valo FX'!$A:$A,0)),INDEX(Base!$U:$U,MATCH($A18,Base!$A:$A,0)),IF(IS$1=INDEX('Valo FX'!$R:$R,MATCH($A18,'Valo FX'!$A:$A,0)),INDEX(Base!$V:$V,MATCH($A18,Base!$A:$A,0)),0)))</f>
        <v>13.171631</v>
      </c>
      <c r="IT18" s="21">
        <f>IF(IT$1&lt;INDEX('Valo FX'!$Q:$Q,MATCH($A18,'Valo FX'!$A:$A,0)),0,IF(IT$1&lt;INDEX('Valo FX'!$R:$R,MATCH($A18,'Valo FX'!$A:$A,0)),INDEX(Base!$U:$U,MATCH($A18,Base!$A:$A,0)),IF(IT$1=INDEX('Valo FX'!$R:$R,MATCH($A18,'Valo FX'!$A:$A,0)),INDEX(Base!$V:$V,MATCH($A18,Base!$A:$A,0)),0)))</f>
        <v>13.171631</v>
      </c>
      <c r="IU18" s="21">
        <f>IF(IU$1&lt;INDEX('Valo FX'!$Q:$Q,MATCH($A18,'Valo FX'!$A:$A,0)),0,IF(IU$1&lt;INDEX('Valo FX'!$R:$R,MATCH($A18,'Valo FX'!$A:$A,0)),INDEX(Base!$U:$U,MATCH($A18,Base!$A:$A,0)),IF(IU$1=INDEX('Valo FX'!$R:$R,MATCH($A18,'Valo FX'!$A:$A,0)),INDEX(Base!$V:$V,MATCH($A18,Base!$A:$A,0)),0)))</f>
        <v>13.171631</v>
      </c>
      <c r="IV18" s="21">
        <f>IF(IV$1&lt;INDEX('Valo FX'!$Q:$Q,MATCH($A18,'Valo FX'!$A:$A,0)),0,IF(IV$1&lt;INDEX('Valo FX'!$R:$R,MATCH($A18,'Valo FX'!$A:$A,0)),INDEX(Base!$U:$U,MATCH($A18,Base!$A:$A,0)),IF(IV$1=INDEX('Valo FX'!$R:$R,MATCH($A18,'Valo FX'!$A:$A,0)),INDEX(Base!$V:$V,MATCH($A18,Base!$A:$A,0)),0)))</f>
        <v>13.171631</v>
      </c>
      <c r="IW18" s="21">
        <f>IF(IW$1&lt;INDEX('Valo FX'!$Q:$Q,MATCH($A18,'Valo FX'!$A:$A,0)),0,IF(IW$1&lt;INDEX('Valo FX'!$R:$R,MATCH($A18,'Valo FX'!$A:$A,0)),INDEX(Base!$U:$U,MATCH($A18,Base!$A:$A,0)),IF(IW$1=INDEX('Valo FX'!$R:$R,MATCH($A18,'Valo FX'!$A:$A,0)),INDEX(Base!$V:$V,MATCH($A18,Base!$A:$A,0)),0)))</f>
        <v>13.171631</v>
      </c>
      <c r="IX18" s="21">
        <f>IF(IX$1&lt;INDEX('Valo FX'!$Q:$Q,MATCH($A18,'Valo FX'!$A:$A,0)),0,IF(IX$1&lt;INDEX('Valo FX'!$R:$R,MATCH($A18,'Valo FX'!$A:$A,0)),INDEX(Base!$U:$U,MATCH($A18,Base!$A:$A,0)),IF(IX$1=INDEX('Valo FX'!$R:$R,MATCH($A18,'Valo FX'!$A:$A,0)),INDEX(Base!$V:$V,MATCH($A18,Base!$A:$A,0)),0)))</f>
        <v>13.171631</v>
      </c>
      <c r="IY18" s="21">
        <f>IF(IY$1&lt;INDEX('Valo FX'!$Q:$Q,MATCH($A18,'Valo FX'!$A:$A,0)),0,IF(IY$1&lt;INDEX('Valo FX'!$R:$R,MATCH($A18,'Valo FX'!$A:$A,0)),INDEX(Base!$U:$U,MATCH($A18,Base!$A:$A,0)),IF(IY$1=INDEX('Valo FX'!$R:$R,MATCH($A18,'Valo FX'!$A:$A,0)),INDEX(Base!$V:$V,MATCH($A18,Base!$A:$A,0)),0)))</f>
        <v>13.171631</v>
      </c>
      <c r="IZ18" s="21">
        <f>IF(IZ$1&lt;INDEX('Valo FX'!$Q:$Q,MATCH($A18,'Valo FX'!$A:$A,0)),0,IF(IZ$1&lt;INDEX('Valo FX'!$R:$R,MATCH($A18,'Valo FX'!$A:$A,0)),INDEX(Base!$U:$U,MATCH($A18,Base!$A:$A,0)),IF(IZ$1=INDEX('Valo FX'!$R:$R,MATCH($A18,'Valo FX'!$A:$A,0)),INDEX(Base!$V:$V,MATCH($A18,Base!$A:$A,0)),0)))</f>
        <v>13.171631</v>
      </c>
      <c r="JA18" s="21">
        <f>IF(JA$1&lt;INDEX('Valo FX'!$Q:$Q,MATCH($A18,'Valo FX'!$A:$A,0)),0,IF(JA$1&lt;INDEX('Valo FX'!$R:$R,MATCH($A18,'Valo FX'!$A:$A,0)),INDEX(Base!$U:$U,MATCH($A18,Base!$A:$A,0)),IF(JA$1=INDEX('Valo FX'!$R:$R,MATCH($A18,'Valo FX'!$A:$A,0)),INDEX(Base!$V:$V,MATCH($A18,Base!$A:$A,0)),0)))</f>
        <v>13.171631</v>
      </c>
      <c r="JB18" s="21">
        <f>IF(JB$1&lt;INDEX('Valo FX'!$Q:$Q,MATCH($A18,'Valo FX'!$A:$A,0)),0,IF(JB$1&lt;INDEX('Valo FX'!$R:$R,MATCH($A18,'Valo FX'!$A:$A,0)),INDEX(Base!$U:$U,MATCH($A18,Base!$A:$A,0)),IF(JB$1=INDEX('Valo FX'!$R:$R,MATCH($A18,'Valo FX'!$A:$A,0)),INDEX(Base!$V:$V,MATCH($A18,Base!$A:$A,0)),0)))</f>
        <v>13.171631</v>
      </c>
      <c r="JC18" s="21">
        <f>IF(JC$1&lt;INDEX('Valo FX'!$Q:$Q,MATCH($A18,'Valo FX'!$A:$A,0)),0,IF(JC$1&lt;INDEX('Valo FX'!$R:$R,MATCH($A18,'Valo FX'!$A:$A,0)),INDEX(Base!$U:$U,MATCH($A18,Base!$A:$A,0)),IF(JC$1=INDEX('Valo FX'!$R:$R,MATCH($A18,'Valo FX'!$A:$A,0)),INDEX(Base!$V:$V,MATCH($A18,Base!$A:$A,0)),0)))</f>
        <v>13.171631</v>
      </c>
      <c r="JD18" s="21">
        <f>IF(JD$1&lt;INDEX('Valo FX'!$Q:$Q,MATCH($A18,'Valo FX'!$A:$A,0)),0,IF(JD$1&lt;INDEX('Valo FX'!$R:$R,MATCH($A18,'Valo FX'!$A:$A,0)),INDEX(Base!$U:$U,MATCH($A18,Base!$A:$A,0)),IF(JD$1=INDEX('Valo FX'!$R:$R,MATCH($A18,'Valo FX'!$A:$A,0)),INDEX(Base!$V:$V,MATCH($A18,Base!$A:$A,0)),0)))</f>
        <v>13.171631</v>
      </c>
      <c r="JE18" s="21">
        <f>IF(JE$1&lt;INDEX('Valo FX'!$Q:$Q,MATCH($A18,'Valo FX'!$A:$A,0)),0,IF(JE$1&lt;INDEX('Valo FX'!$R:$R,MATCH($A18,'Valo FX'!$A:$A,0)),INDEX(Base!$U:$U,MATCH($A18,Base!$A:$A,0)),IF(JE$1=INDEX('Valo FX'!$R:$R,MATCH($A18,'Valo FX'!$A:$A,0)),INDEX(Base!$V:$V,MATCH($A18,Base!$A:$A,0)),0)))</f>
        <v>13.171631</v>
      </c>
      <c r="JF18" s="21">
        <f>IF(JF$1&lt;INDEX('Valo FX'!$Q:$Q,MATCH($A18,'Valo FX'!$A:$A,0)),0,IF(JF$1&lt;INDEX('Valo FX'!$R:$R,MATCH($A18,'Valo FX'!$A:$A,0)),INDEX(Base!$U:$U,MATCH($A18,Base!$A:$A,0)),IF(JF$1=INDEX('Valo FX'!$R:$R,MATCH($A18,'Valo FX'!$A:$A,0)),INDEX(Base!$V:$V,MATCH($A18,Base!$A:$A,0)),0)))</f>
        <v>13.171631</v>
      </c>
      <c r="JG18" s="21">
        <f>IF(JG$1&lt;INDEX('Valo FX'!$Q:$Q,MATCH($A18,'Valo FX'!$A:$A,0)),0,IF(JG$1&lt;INDEX('Valo FX'!$R:$R,MATCH($A18,'Valo FX'!$A:$A,0)),INDEX(Base!$U:$U,MATCH($A18,Base!$A:$A,0)),IF(JG$1=INDEX('Valo FX'!$R:$R,MATCH($A18,'Valo FX'!$A:$A,0)),INDEX(Base!$V:$V,MATCH($A18,Base!$A:$A,0)),0)))</f>
        <v>13.171631</v>
      </c>
      <c r="JH18" s="21">
        <f>IF(JH$1&lt;INDEX('Valo FX'!$Q:$Q,MATCH($A18,'Valo FX'!$A:$A,0)),0,IF(JH$1&lt;INDEX('Valo FX'!$R:$R,MATCH($A18,'Valo FX'!$A:$A,0)),INDEX(Base!$U:$U,MATCH($A18,Base!$A:$A,0)),IF(JH$1=INDEX('Valo FX'!$R:$R,MATCH($A18,'Valo FX'!$A:$A,0)),INDEX(Base!$V:$V,MATCH($A18,Base!$A:$A,0)),0)))</f>
        <v>13.171631</v>
      </c>
      <c r="JI18" s="21">
        <f>IF(JI$1&lt;INDEX('Valo FX'!$Q:$Q,MATCH($A18,'Valo FX'!$A:$A,0)),0,IF(JI$1&lt;INDEX('Valo FX'!$R:$R,MATCH($A18,'Valo FX'!$A:$A,0)),INDEX(Base!$U:$U,MATCH($A18,Base!$A:$A,0)),IF(JI$1=INDEX('Valo FX'!$R:$R,MATCH($A18,'Valo FX'!$A:$A,0)),INDEX(Base!$V:$V,MATCH($A18,Base!$A:$A,0)),0)))</f>
        <v>13.171631</v>
      </c>
      <c r="JJ18" s="21">
        <f>IF(JJ$1&lt;INDEX('Valo FX'!$Q:$Q,MATCH($A18,'Valo FX'!$A:$A,0)),0,IF(JJ$1&lt;INDEX('Valo FX'!$R:$R,MATCH($A18,'Valo FX'!$A:$A,0)),INDEX(Base!$U:$U,MATCH($A18,Base!$A:$A,0)),IF(JJ$1=INDEX('Valo FX'!$R:$R,MATCH($A18,'Valo FX'!$A:$A,0)),INDEX(Base!$V:$V,MATCH($A18,Base!$A:$A,0)),0)))</f>
        <v>13.171631</v>
      </c>
      <c r="JK18" s="21">
        <f>IF(JK$1&lt;INDEX('Valo FX'!$Q:$Q,MATCH($A18,'Valo FX'!$A:$A,0)),0,IF(JK$1&lt;INDEX('Valo FX'!$R:$R,MATCH($A18,'Valo FX'!$A:$A,0)),INDEX(Base!$U:$U,MATCH($A18,Base!$A:$A,0)),IF(JK$1=INDEX('Valo FX'!$R:$R,MATCH($A18,'Valo FX'!$A:$A,0)),INDEX(Base!$V:$V,MATCH($A18,Base!$A:$A,0)),0)))</f>
        <v>13.171631</v>
      </c>
      <c r="JL18" s="21">
        <f>IF(JL$1&lt;INDEX('Valo FX'!$Q:$Q,MATCH($A18,'Valo FX'!$A:$A,0)),0,IF(JL$1&lt;INDEX('Valo FX'!$R:$R,MATCH($A18,'Valo FX'!$A:$A,0)),INDEX(Base!$U:$U,MATCH($A18,Base!$A:$A,0)),IF(JL$1=INDEX('Valo FX'!$R:$R,MATCH($A18,'Valo FX'!$A:$A,0)),INDEX(Base!$V:$V,MATCH($A18,Base!$A:$A,0)),0)))</f>
        <v>13.171631</v>
      </c>
      <c r="JM18" s="21">
        <f>IF(JM$1&lt;INDEX('Valo FX'!$Q:$Q,MATCH($A18,'Valo FX'!$A:$A,0)),0,IF(JM$1&lt;INDEX('Valo FX'!$R:$R,MATCH($A18,'Valo FX'!$A:$A,0)),INDEX(Base!$U:$U,MATCH($A18,Base!$A:$A,0)),IF(JM$1=INDEX('Valo FX'!$R:$R,MATCH($A18,'Valo FX'!$A:$A,0)),INDEX(Base!$V:$V,MATCH($A18,Base!$A:$A,0)),0)))</f>
        <v>13.171631</v>
      </c>
      <c r="JN18" s="21">
        <f>IF(JN$1&lt;INDEX('Valo FX'!$Q:$Q,MATCH($A18,'Valo FX'!$A:$A,0)),0,IF(JN$1&lt;INDEX('Valo FX'!$R:$R,MATCH($A18,'Valo FX'!$A:$A,0)),INDEX(Base!$U:$U,MATCH($A18,Base!$A:$A,0)),IF(JN$1=INDEX('Valo FX'!$R:$R,MATCH($A18,'Valo FX'!$A:$A,0)),INDEX(Base!$V:$V,MATCH($A18,Base!$A:$A,0)),0)))</f>
        <v>13.171631</v>
      </c>
      <c r="JO18" s="21">
        <f>IF(JO$1&lt;INDEX('Valo FX'!$Q:$Q,MATCH($A18,'Valo FX'!$A:$A,0)),0,IF(JO$1&lt;INDEX('Valo FX'!$R:$R,MATCH($A18,'Valo FX'!$A:$A,0)),INDEX(Base!$U:$U,MATCH($A18,Base!$A:$A,0)),IF(JO$1=INDEX('Valo FX'!$R:$R,MATCH($A18,'Valo FX'!$A:$A,0)),INDEX(Base!$V:$V,MATCH($A18,Base!$A:$A,0)),0)))</f>
        <v>13.171631</v>
      </c>
      <c r="JP18" s="21">
        <f>IF(JP$1&lt;INDEX('Valo FX'!$Q:$Q,MATCH($A18,'Valo FX'!$A:$A,0)),0,IF(JP$1&lt;INDEX('Valo FX'!$R:$R,MATCH($A18,'Valo FX'!$A:$A,0)),INDEX(Base!$U:$U,MATCH($A18,Base!$A:$A,0)),IF(JP$1=INDEX('Valo FX'!$R:$R,MATCH($A18,'Valo FX'!$A:$A,0)),INDEX(Base!$V:$V,MATCH($A18,Base!$A:$A,0)),0)))</f>
        <v>13.171631</v>
      </c>
      <c r="JQ18" s="21">
        <f>IF(JQ$1&lt;INDEX('Valo FX'!$Q:$Q,MATCH($A18,'Valo FX'!$A:$A,0)),0,IF(JQ$1&lt;INDEX('Valo FX'!$R:$R,MATCH($A18,'Valo FX'!$A:$A,0)),INDEX(Base!$U:$U,MATCH($A18,Base!$A:$A,0)),IF(JQ$1=INDEX('Valo FX'!$R:$R,MATCH($A18,'Valo FX'!$A:$A,0)),INDEX(Base!$V:$V,MATCH($A18,Base!$A:$A,0)),0)))</f>
        <v>13.171631</v>
      </c>
      <c r="JR18" s="21">
        <f>IF(JR$1&lt;INDEX('Valo FX'!$Q:$Q,MATCH($A18,'Valo FX'!$A:$A,0)),0,IF(JR$1&lt;INDEX('Valo FX'!$R:$R,MATCH($A18,'Valo FX'!$A:$A,0)),INDEX(Base!$U:$U,MATCH($A18,Base!$A:$A,0)),IF(JR$1=INDEX('Valo FX'!$R:$R,MATCH($A18,'Valo FX'!$A:$A,0)),INDEX(Base!$V:$V,MATCH($A18,Base!$A:$A,0)),0)))</f>
        <v>13.171631</v>
      </c>
      <c r="JS18" s="21">
        <f>IF(JS$1&lt;INDEX('Valo FX'!$Q:$Q,MATCH($A18,'Valo FX'!$A:$A,0)),0,IF(JS$1&lt;INDEX('Valo FX'!$R:$R,MATCH($A18,'Valo FX'!$A:$A,0)),INDEX(Base!$U:$U,MATCH($A18,Base!$A:$A,0)),IF(JS$1=INDEX('Valo FX'!$R:$R,MATCH($A18,'Valo FX'!$A:$A,0)),INDEX(Base!$V:$V,MATCH($A18,Base!$A:$A,0)),0)))</f>
        <v>13.171631</v>
      </c>
      <c r="JT18" s="21">
        <f>IF(JT$1&lt;INDEX('Valo FX'!$Q:$Q,MATCH($A18,'Valo FX'!$A:$A,0)),0,IF(JT$1&lt;INDEX('Valo FX'!$R:$R,MATCH($A18,'Valo FX'!$A:$A,0)),INDEX(Base!$U:$U,MATCH($A18,Base!$A:$A,0)),IF(JT$1=INDEX('Valo FX'!$R:$R,MATCH($A18,'Valo FX'!$A:$A,0)),INDEX(Base!$V:$V,MATCH($A18,Base!$A:$A,0)),0)))</f>
        <v>13.171631</v>
      </c>
      <c r="JU18" s="21">
        <f>IF(JU$1&lt;INDEX('Valo FX'!$Q:$Q,MATCH($A18,'Valo FX'!$A:$A,0)),0,IF(JU$1&lt;INDEX('Valo FX'!$R:$R,MATCH($A18,'Valo FX'!$A:$A,0)),INDEX(Base!$U:$U,MATCH($A18,Base!$A:$A,0)),IF(JU$1=INDEX('Valo FX'!$R:$R,MATCH($A18,'Valo FX'!$A:$A,0)),INDEX(Base!$V:$V,MATCH($A18,Base!$A:$A,0)),0)))</f>
        <v>13.171631</v>
      </c>
      <c r="JV18" s="21">
        <f>IF(JV$1&lt;INDEX('Valo FX'!$Q:$Q,MATCH($A18,'Valo FX'!$A:$A,0)),0,IF(JV$1&lt;INDEX('Valo FX'!$R:$R,MATCH($A18,'Valo FX'!$A:$A,0)),INDEX(Base!$U:$U,MATCH($A18,Base!$A:$A,0)),IF(JV$1=INDEX('Valo FX'!$R:$R,MATCH($A18,'Valo FX'!$A:$A,0)),INDEX(Base!$V:$V,MATCH($A18,Base!$A:$A,0)),0)))</f>
        <v>13.171631</v>
      </c>
      <c r="JW18" s="21">
        <f>IF(JW$1&lt;INDEX('Valo FX'!$Q:$Q,MATCH($A18,'Valo FX'!$A:$A,0)),0,IF(JW$1&lt;INDEX('Valo FX'!$R:$R,MATCH($A18,'Valo FX'!$A:$A,0)),INDEX(Base!$U:$U,MATCH($A18,Base!$A:$A,0)),IF(JW$1=INDEX('Valo FX'!$R:$R,MATCH($A18,'Valo FX'!$A:$A,0)),INDEX(Base!$V:$V,MATCH($A18,Base!$A:$A,0)),0)))</f>
        <v>13.171631</v>
      </c>
      <c r="JX18" s="21">
        <f>IF(JX$1&lt;INDEX('Valo FX'!$Q:$Q,MATCH($A18,'Valo FX'!$A:$A,0)),0,IF(JX$1&lt;INDEX('Valo FX'!$R:$R,MATCH($A18,'Valo FX'!$A:$A,0)),INDEX(Base!$U:$U,MATCH($A18,Base!$A:$A,0)),IF(JX$1=INDEX('Valo FX'!$R:$R,MATCH($A18,'Valo FX'!$A:$A,0)),INDEX(Base!$V:$V,MATCH($A18,Base!$A:$A,0)),0)))</f>
        <v>13.171631</v>
      </c>
      <c r="JY18" s="21">
        <f>IF(JY$1&lt;INDEX('Valo FX'!$Q:$Q,MATCH($A18,'Valo FX'!$A:$A,0)),0,IF(JY$1&lt;INDEX('Valo FX'!$R:$R,MATCH($A18,'Valo FX'!$A:$A,0)),INDEX(Base!$U:$U,MATCH($A18,Base!$A:$A,0)),IF(JY$1=INDEX('Valo FX'!$R:$R,MATCH($A18,'Valo FX'!$A:$A,0)),INDEX(Base!$V:$V,MATCH($A18,Base!$A:$A,0)),0)))</f>
        <v>13.171631</v>
      </c>
      <c r="JZ18" s="21">
        <f>IF(JZ$1&lt;INDEX('Valo FX'!$Q:$Q,MATCH($A18,'Valo FX'!$A:$A,0)),0,IF(JZ$1&lt;INDEX('Valo FX'!$R:$R,MATCH($A18,'Valo FX'!$A:$A,0)),INDEX(Base!$U:$U,MATCH($A18,Base!$A:$A,0)),IF(JZ$1=INDEX('Valo FX'!$R:$R,MATCH($A18,'Valo FX'!$A:$A,0)),INDEX(Base!$V:$V,MATCH($A18,Base!$A:$A,0)),0)))</f>
        <v>13.171631</v>
      </c>
      <c r="KA18" s="21">
        <f>IF(KA$1&lt;INDEX('Valo FX'!$Q:$Q,MATCH($A18,'Valo FX'!$A:$A,0)),0,IF(KA$1&lt;INDEX('Valo FX'!$R:$R,MATCH($A18,'Valo FX'!$A:$A,0)),INDEX(Base!$U:$U,MATCH($A18,Base!$A:$A,0)),IF(KA$1=INDEX('Valo FX'!$R:$R,MATCH($A18,'Valo FX'!$A:$A,0)),INDEX(Base!$V:$V,MATCH($A18,Base!$A:$A,0)),0)))</f>
        <v>13.171631</v>
      </c>
      <c r="KB18" s="21">
        <f>IF(KB$1&lt;INDEX('Valo FX'!$Q:$Q,MATCH($A18,'Valo FX'!$A:$A,0)),0,IF(KB$1&lt;INDEX('Valo FX'!$R:$R,MATCH($A18,'Valo FX'!$A:$A,0)),INDEX(Base!$U:$U,MATCH($A18,Base!$A:$A,0)),IF(KB$1=INDEX('Valo FX'!$R:$R,MATCH($A18,'Valo FX'!$A:$A,0)),INDEX(Base!$V:$V,MATCH($A18,Base!$A:$A,0)),0)))</f>
        <v>13.171631</v>
      </c>
      <c r="KC18" s="21">
        <f>IF(KC$1&lt;INDEX('Valo FX'!$Q:$Q,MATCH($A18,'Valo FX'!$A:$A,0)),0,IF(KC$1&lt;INDEX('Valo FX'!$R:$R,MATCH($A18,'Valo FX'!$A:$A,0)),INDEX(Base!$U:$U,MATCH($A18,Base!$A:$A,0)),IF(KC$1=INDEX('Valo FX'!$R:$R,MATCH($A18,'Valo FX'!$A:$A,0)),INDEX(Base!$V:$V,MATCH($A18,Base!$A:$A,0)),0)))</f>
        <v>13.171631</v>
      </c>
      <c r="KD18" s="21">
        <f>IF(KD$1&lt;INDEX('Valo FX'!$Q:$Q,MATCH($A18,'Valo FX'!$A:$A,0)),0,IF(KD$1&lt;INDEX('Valo FX'!$R:$R,MATCH($A18,'Valo FX'!$A:$A,0)),INDEX(Base!$U:$U,MATCH($A18,Base!$A:$A,0)),IF(KD$1=INDEX('Valo FX'!$R:$R,MATCH($A18,'Valo FX'!$A:$A,0)),INDEX(Base!$V:$V,MATCH($A18,Base!$A:$A,0)),0)))</f>
        <v>13.171631</v>
      </c>
      <c r="KE18" s="21">
        <f>IF(KE$1&lt;INDEX('Valo FX'!$Q:$Q,MATCH($A18,'Valo FX'!$A:$A,0)),0,IF(KE$1&lt;INDEX('Valo FX'!$R:$R,MATCH($A18,'Valo FX'!$A:$A,0)),INDEX(Base!$U:$U,MATCH($A18,Base!$A:$A,0)),IF(KE$1=INDEX('Valo FX'!$R:$R,MATCH($A18,'Valo FX'!$A:$A,0)),INDEX(Base!$V:$V,MATCH($A18,Base!$A:$A,0)),0)))</f>
        <v>13.171631</v>
      </c>
      <c r="KF18" s="21">
        <f>IF(KF$1&lt;INDEX('Valo FX'!$Q:$Q,MATCH($A18,'Valo FX'!$A:$A,0)),0,IF(KF$1&lt;INDEX('Valo FX'!$R:$R,MATCH($A18,'Valo FX'!$A:$A,0)),INDEX(Base!$U:$U,MATCH($A18,Base!$A:$A,0)),IF(KF$1=INDEX('Valo FX'!$R:$R,MATCH($A18,'Valo FX'!$A:$A,0)),INDEX(Base!$V:$V,MATCH($A18,Base!$A:$A,0)),0)))</f>
        <v>13.171631</v>
      </c>
      <c r="KG18" s="21">
        <f>IF(KG$1&lt;INDEX('Valo FX'!$Q:$Q,MATCH($A18,'Valo FX'!$A:$A,0)),0,IF(KG$1&lt;INDEX('Valo FX'!$R:$R,MATCH($A18,'Valo FX'!$A:$A,0)),INDEX(Base!$U:$U,MATCH($A18,Base!$A:$A,0)),IF(KG$1=INDEX('Valo FX'!$R:$R,MATCH($A18,'Valo FX'!$A:$A,0)),INDEX(Base!$V:$V,MATCH($A18,Base!$A:$A,0)),0)))</f>
        <v>13.171631</v>
      </c>
      <c r="KH18" s="21">
        <f>IF(KH$1&lt;INDEX('Valo FX'!$Q:$Q,MATCH($A18,'Valo FX'!$A:$A,0)),0,IF(KH$1&lt;INDEX('Valo FX'!$R:$R,MATCH($A18,'Valo FX'!$A:$A,0)),INDEX(Base!$U:$U,MATCH($A18,Base!$A:$A,0)),IF(KH$1=INDEX('Valo FX'!$R:$R,MATCH($A18,'Valo FX'!$A:$A,0)),INDEX(Base!$V:$V,MATCH($A18,Base!$A:$A,0)),0)))</f>
        <v>13.171631</v>
      </c>
      <c r="KI18" s="21">
        <f>IF(KI$1&lt;INDEX('Valo FX'!$Q:$Q,MATCH($A18,'Valo FX'!$A:$A,0)),0,IF(KI$1&lt;INDEX('Valo FX'!$R:$R,MATCH($A18,'Valo FX'!$A:$A,0)),INDEX(Base!$U:$U,MATCH($A18,Base!$A:$A,0)),IF(KI$1=INDEX('Valo FX'!$R:$R,MATCH($A18,'Valo FX'!$A:$A,0)),INDEX(Base!$V:$V,MATCH($A18,Base!$A:$A,0)),0)))</f>
        <v>13.171631</v>
      </c>
      <c r="KJ18" s="21">
        <f>IF(KJ$1&lt;INDEX('Valo FX'!$Q:$Q,MATCH($A18,'Valo FX'!$A:$A,0)),0,IF(KJ$1&lt;INDEX('Valo FX'!$R:$R,MATCH($A18,'Valo FX'!$A:$A,0)),INDEX(Base!$U:$U,MATCH($A18,Base!$A:$A,0)),IF(KJ$1=INDEX('Valo FX'!$R:$R,MATCH($A18,'Valo FX'!$A:$A,0)),INDEX(Base!$V:$V,MATCH($A18,Base!$A:$A,0)),0)))</f>
        <v>13.171631</v>
      </c>
      <c r="KK18" s="21">
        <f>IF(KK$1&lt;INDEX('Valo FX'!$Q:$Q,MATCH($A18,'Valo FX'!$A:$A,0)),0,IF(KK$1&lt;INDEX('Valo FX'!$R:$R,MATCH($A18,'Valo FX'!$A:$A,0)),INDEX(Base!$U:$U,MATCH($A18,Base!$A:$A,0)),IF(KK$1=INDEX('Valo FX'!$R:$R,MATCH($A18,'Valo FX'!$A:$A,0)),INDEX(Base!$V:$V,MATCH($A18,Base!$A:$A,0)),0)))</f>
        <v>13.171631</v>
      </c>
      <c r="KL18" s="21">
        <f>IF(KL$1&lt;INDEX('Valo FX'!$Q:$Q,MATCH($A18,'Valo FX'!$A:$A,0)),0,IF(KL$1&lt;INDEX('Valo FX'!$R:$R,MATCH($A18,'Valo FX'!$A:$A,0)),INDEX(Base!$U:$U,MATCH($A18,Base!$A:$A,0)),IF(KL$1=INDEX('Valo FX'!$R:$R,MATCH($A18,'Valo FX'!$A:$A,0)),INDEX(Base!$V:$V,MATCH($A18,Base!$A:$A,0)),0)))</f>
        <v>13.171631</v>
      </c>
      <c r="KM18" s="21">
        <f>IF(KM$1&lt;INDEX('Valo FX'!$Q:$Q,MATCH($A18,'Valo FX'!$A:$A,0)),0,IF(KM$1&lt;INDEX('Valo FX'!$R:$R,MATCH($A18,'Valo FX'!$A:$A,0)),INDEX(Base!$U:$U,MATCH($A18,Base!$A:$A,0)),IF(KM$1=INDEX('Valo FX'!$R:$R,MATCH($A18,'Valo FX'!$A:$A,0)),INDEX(Base!$V:$V,MATCH($A18,Base!$A:$A,0)),0)))</f>
        <v>13.171631</v>
      </c>
      <c r="KN18" s="21">
        <f>IF(KN$1&lt;INDEX('Valo FX'!$Q:$Q,MATCH($A18,'Valo FX'!$A:$A,0)),0,IF(KN$1&lt;INDEX('Valo FX'!$R:$R,MATCH($A18,'Valo FX'!$A:$A,0)),INDEX(Base!$U:$U,MATCH($A18,Base!$A:$A,0)),IF(KN$1=INDEX('Valo FX'!$R:$R,MATCH($A18,'Valo FX'!$A:$A,0)),INDEX(Base!$V:$V,MATCH($A18,Base!$A:$A,0)),0)))</f>
        <v>13.171631</v>
      </c>
      <c r="KO18" s="21">
        <f>IF(KO$1&lt;INDEX('Valo FX'!$Q:$Q,MATCH($A18,'Valo FX'!$A:$A,0)),0,IF(KO$1&lt;INDEX('Valo FX'!$R:$R,MATCH($A18,'Valo FX'!$A:$A,0)),INDEX(Base!$U:$U,MATCH($A18,Base!$A:$A,0)),IF(KO$1=INDEX('Valo FX'!$R:$R,MATCH($A18,'Valo FX'!$A:$A,0)),INDEX(Base!$V:$V,MATCH($A18,Base!$A:$A,0)),0)))</f>
        <v>13.171631</v>
      </c>
      <c r="KP18" s="21">
        <f>IF(KP$1&lt;INDEX('Valo FX'!$Q:$Q,MATCH($A18,'Valo FX'!$A:$A,0)),0,IF(KP$1&lt;INDEX('Valo FX'!$R:$R,MATCH($A18,'Valo FX'!$A:$A,0)),INDEX(Base!$U:$U,MATCH($A18,Base!$A:$A,0)),IF(KP$1=INDEX('Valo FX'!$R:$R,MATCH($A18,'Valo FX'!$A:$A,0)),INDEX(Base!$V:$V,MATCH($A18,Base!$A:$A,0)),0)))</f>
        <v>13.171631</v>
      </c>
      <c r="KQ18" s="21">
        <f>IF(KQ$1&lt;INDEX('Valo FX'!$Q:$Q,MATCH($A18,'Valo FX'!$A:$A,0)),0,IF(KQ$1&lt;INDEX('Valo FX'!$R:$R,MATCH($A18,'Valo FX'!$A:$A,0)),INDEX(Base!$U:$U,MATCH($A18,Base!$A:$A,0)),IF(KQ$1=INDEX('Valo FX'!$R:$R,MATCH($A18,'Valo FX'!$A:$A,0)),INDEX(Base!$V:$V,MATCH($A18,Base!$A:$A,0)),0)))</f>
        <v>13.171631</v>
      </c>
      <c r="KR18" s="21">
        <f>IF(KR$1&lt;INDEX('Valo FX'!$Q:$Q,MATCH($A18,'Valo FX'!$A:$A,0)),0,IF(KR$1&lt;INDEX('Valo FX'!$R:$R,MATCH($A18,'Valo FX'!$A:$A,0)),INDEX(Base!$U:$U,MATCH($A18,Base!$A:$A,0)),IF(KR$1=INDEX('Valo FX'!$R:$R,MATCH($A18,'Valo FX'!$A:$A,0)),INDEX(Base!$V:$V,MATCH($A18,Base!$A:$A,0)),0)))</f>
        <v>13.171631</v>
      </c>
      <c r="KS18" s="21">
        <f>IF(KS$1&lt;INDEX('Valo FX'!$Q:$Q,MATCH($A18,'Valo FX'!$A:$A,0)),0,IF(KS$1&lt;INDEX('Valo FX'!$R:$R,MATCH($A18,'Valo FX'!$A:$A,0)),INDEX(Base!$U:$U,MATCH($A18,Base!$A:$A,0)),IF(KS$1=INDEX('Valo FX'!$R:$R,MATCH($A18,'Valo FX'!$A:$A,0)),INDEX(Base!$V:$V,MATCH($A18,Base!$A:$A,0)),0)))</f>
        <v>13.171631</v>
      </c>
      <c r="KT18" s="21">
        <f>IF(KT$1&lt;INDEX('Valo FX'!$Q:$Q,MATCH($A18,'Valo FX'!$A:$A,0)),0,IF(KT$1&lt;INDEX('Valo FX'!$R:$R,MATCH($A18,'Valo FX'!$A:$A,0)),INDEX(Base!$U:$U,MATCH($A18,Base!$A:$A,0)),IF(KT$1=INDEX('Valo FX'!$R:$R,MATCH($A18,'Valo FX'!$A:$A,0)),INDEX(Base!$V:$V,MATCH($A18,Base!$A:$A,0)),0)))</f>
        <v>13.171631</v>
      </c>
      <c r="KU18" s="21">
        <f>IF(KU$1&lt;INDEX('Valo FX'!$Q:$Q,MATCH($A18,'Valo FX'!$A:$A,0)),0,IF(KU$1&lt;INDEX('Valo FX'!$R:$R,MATCH($A18,'Valo FX'!$A:$A,0)),INDEX(Base!$U:$U,MATCH($A18,Base!$A:$A,0)),IF(KU$1=INDEX('Valo FX'!$R:$R,MATCH($A18,'Valo FX'!$A:$A,0)),INDEX(Base!$V:$V,MATCH($A18,Base!$A:$A,0)),0)))</f>
        <v>13.171631</v>
      </c>
      <c r="KV18" s="21">
        <f>IF(KV$1&lt;INDEX('Valo FX'!$Q:$Q,MATCH($A18,'Valo FX'!$A:$A,0)),0,IF(KV$1&lt;INDEX('Valo FX'!$R:$R,MATCH($A18,'Valo FX'!$A:$A,0)),INDEX(Base!$U:$U,MATCH($A18,Base!$A:$A,0)),IF(KV$1=INDEX('Valo FX'!$R:$R,MATCH($A18,'Valo FX'!$A:$A,0)),INDEX(Base!$V:$V,MATCH($A18,Base!$A:$A,0)),0)))</f>
        <v>13.171631</v>
      </c>
      <c r="KW18" s="21">
        <f>IF(KW$1&lt;INDEX('Valo FX'!$Q:$Q,MATCH($A18,'Valo FX'!$A:$A,0)),0,IF(KW$1&lt;INDEX('Valo FX'!$R:$R,MATCH($A18,'Valo FX'!$A:$A,0)),INDEX(Base!$U:$U,MATCH($A18,Base!$A:$A,0)),IF(KW$1=INDEX('Valo FX'!$R:$R,MATCH($A18,'Valo FX'!$A:$A,0)),INDEX(Base!$V:$V,MATCH($A18,Base!$A:$A,0)),0)))</f>
        <v>13.171631</v>
      </c>
      <c r="KX18" s="21">
        <f>IF(KX$1&lt;INDEX('Valo FX'!$Q:$Q,MATCH($A18,'Valo FX'!$A:$A,0)),0,IF(KX$1&lt;INDEX('Valo FX'!$R:$R,MATCH($A18,'Valo FX'!$A:$A,0)),INDEX(Base!$U:$U,MATCH($A18,Base!$A:$A,0)),IF(KX$1=INDEX('Valo FX'!$R:$R,MATCH($A18,'Valo FX'!$A:$A,0)),INDEX(Base!$V:$V,MATCH($A18,Base!$A:$A,0)),0)))</f>
        <v>13.171631</v>
      </c>
      <c r="KY18" s="21">
        <f>IF(KY$1&lt;INDEX('Valo FX'!$Q:$Q,MATCH($A18,'Valo FX'!$A:$A,0)),0,IF(KY$1&lt;INDEX('Valo FX'!$R:$R,MATCH($A18,'Valo FX'!$A:$A,0)),INDEX(Base!$U:$U,MATCH($A18,Base!$A:$A,0)),IF(KY$1=INDEX('Valo FX'!$R:$R,MATCH($A18,'Valo FX'!$A:$A,0)),INDEX(Base!$V:$V,MATCH($A18,Base!$A:$A,0)),0)))</f>
        <v>13.171631</v>
      </c>
      <c r="KZ18" s="21">
        <f>IF(KZ$1&lt;INDEX('Valo FX'!$Q:$Q,MATCH($A18,'Valo FX'!$A:$A,0)),0,IF(KZ$1&lt;INDEX('Valo FX'!$R:$R,MATCH($A18,'Valo FX'!$A:$A,0)),INDEX(Base!$U:$U,MATCH($A18,Base!$A:$A,0)),IF(KZ$1=INDEX('Valo FX'!$R:$R,MATCH($A18,'Valo FX'!$A:$A,0)),INDEX(Base!$V:$V,MATCH($A18,Base!$A:$A,0)),0)))</f>
        <v>13.171631</v>
      </c>
      <c r="LA18" s="21">
        <f>IF(LA$1&lt;INDEX('Valo FX'!$Q:$Q,MATCH($A18,'Valo FX'!$A:$A,0)),0,IF(LA$1&lt;INDEX('Valo FX'!$R:$R,MATCH($A18,'Valo FX'!$A:$A,0)),INDEX(Base!$U:$U,MATCH($A18,Base!$A:$A,0)),IF(LA$1=INDEX('Valo FX'!$R:$R,MATCH($A18,'Valo FX'!$A:$A,0)),INDEX(Base!$V:$V,MATCH($A18,Base!$A:$A,0)),0)))</f>
        <v>13.171631</v>
      </c>
      <c r="LB18" s="21">
        <f>IF(LB$1&lt;INDEX('Valo FX'!$Q:$Q,MATCH($A18,'Valo FX'!$A:$A,0)),0,IF(LB$1&lt;INDEX('Valo FX'!$R:$R,MATCH($A18,'Valo FX'!$A:$A,0)),INDEX(Base!$U:$U,MATCH($A18,Base!$A:$A,0)),IF(LB$1=INDEX('Valo FX'!$R:$R,MATCH($A18,'Valo FX'!$A:$A,0)),INDEX(Base!$V:$V,MATCH($A18,Base!$A:$A,0)),0)))</f>
        <v>13.171631</v>
      </c>
      <c r="LC18" s="21">
        <f>IF(LC$1&lt;INDEX('Valo FX'!$Q:$Q,MATCH($A18,'Valo FX'!$A:$A,0)),0,IF(LC$1&lt;INDEX('Valo FX'!$R:$R,MATCH($A18,'Valo FX'!$A:$A,0)),INDEX(Base!$U:$U,MATCH($A18,Base!$A:$A,0)),IF(LC$1=INDEX('Valo FX'!$R:$R,MATCH($A18,'Valo FX'!$A:$A,0)),INDEX(Base!$V:$V,MATCH($A18,Base!$A:$A,0)),0)))</f>
        <v>13.171631</v>
      </c>
      <c r="LD18" s="21">
        <f>IF(LD$1&lt;INDEX('Valo FX'!$Q:$Q,MATCH($A18,'Valo FX'!$A:$A,0)),0,IF(LD$1&lt;INDEX('Valo FX'!$R:$R,MATCH($A18,'Valo FX'!$A:$A,0)),INDEX(Base!$U:$U,MATCH($A18,Base!$A:$A,0)),IF(LD$1=INDEX('Valo FX'!$R:$R,MATCH($A18,'Valo FX'!$A:$A,0)),INDEX(Base!$V:$V,MATCH($A18,Base!$A:$A,0)),0)))</f>
        <v>13.171631</v>
      </c>
      <c r="LE18" s="21">
        <f>IF(LE$1&lt;INDEX('Valo FX'!$Q:$Q,MATCH($A18,'Valo FX'!$A:$A,0)),0,IF(LE$1&lt;INDEX('Valo FX'!$R:$R,MATCH($A18,'Valo FX'!$A:$A,0)),INDEX(Base!$U:$U,MATCH($A18,Base!$A:$A,0)),IF(LE$1=INDEX('Valo FX'!$R:$R,MATCH($A18,'Valo FX'!$A:$A,0)),INDEX(Base!$V:$V,MATCH($A18,Base!$A:$A,0)),0)))</f>
        <v>13.171631</v>
      </c>
      <c r="LF18" s="21">
        <f>IF(LF$1&lt;INDEX('Valo FX'!$Q:$Q,MATCH($A18,'Valo FX'!$A:$A,0)),0,IF(LF$1&lt;INDEX('Valo FX'!$R:$R,MATCH($A18,'Valo FX'!$A:$A,0)),INDEX(Base!$U:$U,MATCH($A18,Base!$A:$A,0)),IF(LF$1=INDEX('Valo FX'!$R:$R,MATCH($A18,'Valo FX'!$A:$A,0)),INDEX(Base!$V:$V,MATCH($A18,Base!$A:$A,0)),0)))</f>
        <v>13.171631</v>
      </c>
      <c r="LG18" s="21">
        <f>IF(LG$1&lt;INDEX('Valo FX'!$Q:$Q,MATCH($A18,'Valo FX'!$A:$A,0)),0,IF(LG$1&lt;INDEX('Valo FX'!$R:$R,MATCH($A18,'Valo FX'!$A:$A,0)),INDEX(Base!$U:$U,MATCH($A18,Base!$A:$A,0)),IF(LG$1=INDEX('Valo FX'!$R:$R,MATCH($A18,'Valo FX'!$A:$A,0)),INDEX(Base!$V:$V,MATCH($A18,Base!$A:$A,0)),0)))</f>
        <v>13.171631</v>
      </c>
      <c r="LH18" s="21">
        <f>IF(LH$1&lt;INDEX('Valo FX'!$Q:$Q,MATCH($A18,'Valo FX'!$A:$A,0)),0,IF(LH$1&lt;INDEX('Valo FX'!$R:$R,MATCH($A18,'Valo FX'!$A:$A,0)),INDEX(Base!$U:$U,MATCH($A18,Base!$A:$A,0)),IF(LH$1=INDEX('Valo FX'!$R:$R,MATCH($A18,'Valo FX'!$A:$A,0)),INDEX(Base!$V:$V,MATCH($A18,Base!$A:$A,0)),0)))</f>
        <v>13.171631</v>
      </c>
      <c r="LI18" s="21">
        <f>IF(LI$1&lt;INDEX('Valo FX'!$Q:$Q,MATCH($A18,'Valo FX'!$A:$A,0)),0,IF(LI$1&lt;INDEX('Valo FX'!$R:$R,MATCH($A18,'Valo FX'!$A:$A,0)),INDEX(Base!$U:$U,MATCH($A18,Base!$A:$A,0)),IF(LI$1=INDEX('Valo FX'!$R:$R,MATCH($A18,'Valo FX'!$A:$A,0)),INDEX(Base!$V:$V,MATCH($A18,Base!$A:$A,0)),0)))</f>
        <v>13.171631</v>
      </c>
      <c r="LJ18" s="21">
        <f>IF(LJ$1&lt;INDEX('Valo FX'!$Q:$Q,MATCH($A18,'Valo FX'!$A:$A,0)),0,IF(LJ$1&lt;INDEX('Valo FX'!$R:$R,MATCH($A18,'Valo FX'!$A:$A,0)),INDEX(Base!$U:$U,MATCH($A18,Base!$A:$A,0)),IF(LJ$1=INDEX('Valo FX'!$R:$R,MATCH($A18,'Valo FX'!$A:$A,0)),INDEX(Base!$V:$V,MATCH($A18,Base!$A:$A,0)),0)))</f>
        <v>13.171631</v>
      </c>
      <c r="LK18" s="21">
        <f>IF(LK$1&lt;INDEX('Valo FX'!$Q:$Q,MATCH($A18,'Valo FX'!$A:$A,0)),0,IF(LK$1&lt;INDEX('Valo FX'!$R:$R,MATCH($A18,'Valo FX'!$A:$A,0)),INDEX(Base!$U:$U,MATCH($A18,Base!$A:$A,0)),IF(LK$1=INDEX('Valo FX'!$R:$R,MATCH($A18,'Valo FX'!$A:$A,0)),INDEX(Base!$V:$V,MATCH($A18,Base!$A:$A,0)),0)))</f>
        <v>13.171631</v>
      </c>
      <c r="LL18" s="21">
        <f>IF(LL$1&lt;INDEX('Valo FX'!$Q:$Q,MATCH($A18,'Valo FX'!$A:$A,0)),0,IF(LL$1&lt;INDEX('Valo FX'!$R:$R,MATCH($A18,'Valo FX'!$A:$A,0)),INDEX(Base!$U:$U,MATCH($A18,Base!$A:$A,0)),IF(LL$1=INDEX('Valo FX'!$R:$R,MATCH($A18,'Valo FX'!$A:$A,0)),INDEX(Base!$V:$V,MATCH($A18,Base!$A:$A,0)),0)))</f>
        <v>13.171631</v>
      </c>
      <c r="LM18" s="21">
        <f>IF(LM$1&lt;INDEX('Valo FX'!$Q:$Q,MATCH($A18,'Valo FX'!$A:$A,0)),0,IF(LM$1&lt;INDEX('Valo FX'!$R:$R,MATCH($A18,'Valo FX'!$A:$A,0)),INDEX(Base!$U:$U,MATCH($A18,Base!$A:$A,0)),IF(LM$1=INDEX('Valo FX'!$R:$R,MATCH($A18,'Valo FX'!$A:$A,0)),INDEX(Base!$V:$V,MATCH($A18,Base!$A:$A,0)),0)))</f>
        <v>13.171631</v>
      </c>
      <c r="LN18" s="21">
        <f>IF(LN$1&lt;INDEX('Valo FX'!$Q:$Q,MATCH($A18,'Valo FX'!$A:$A,0)),0,IF(LN$1&lt;INDEX('Valo FX'!$R:$R,MATCH($A18,'Valo FX'!$A:$A,0)),INDEX(Base!$U:$U,MATCH($A18,Base!$A:$A,0)),IF(LN$1=INDEX('Valo FX'!$R:$R,MATCH($A18,'Valo FX'!$A:$A,0)),INDEX(Base!$V:$V,MATCH($A18,Base!$A:$A,0)),0)))</f>
        <v>13.171631</v>
      </c>
      <c r="LO18" s="21">
        <f>IF(LO$1&lt;INDEX('Valo FX'!$Q:$Q,MATCH($A18,'Valo FX'!$A:$A,0)),0,IF(LO$1&lt;INDEX('Valo FX'!$R:$R,MATCH($A18,'Valo FX'!$A:$A,0)),INDEX(Base!$U:$U,MATCH($A18,Base!$A:$A,0)),IF(LO$1=INDEX('Valo FX'!$R:$R,MATCH($A18,'Valo FX'!$A:$A,0)),INDEX(Base!$V:$V,MATCH($A18,Base!$A:$A,0)),0)))</f>
        <v>13.171631</v>
      </c>
      <c r="LP18" s="21">
        <f>IF(LP$1&lt;INDEX('Valo FX'!$Q:$Q,MATCH($A18,'Valo FX'!$A:$A,0)),0,IF(LP$1&lt;INDEX('Valo FX'!$R:$R,MATCH($A18,'Valo FX'!$A:$A,0)),INDEX(Base!$U:$U,MATCH($A18,Base!$A:$A,0)),IF(LP$1=INDEX('Valo FX'!$R:$R,MATCH($A18,'Valo FX'!$A:$A,0)),INDEX(Base!$V:$V,MATCH($A18,Base!$A:$A,0)),0)))</f>
        <v>13.171631</v>
      </c>
      <c r="LQ18" s="21">
        <f>IF(LQ$1&lt;INDEX('Valo FX'!$Q:$Q,MATCH($A18,'Valo FX'!$A:$A,0)),0,IF(LQ$1&lt;INDEX('Valo FX'!$R:$R,MATCH($A18,'Valo FX'!$A:$A,0)),INDEX(Base!$U:$U,MATCH($A18,Base!$A:$A,0)),IF(LQ$1=INDEX('Valo FX'!$R:$R,MATCH($A18,'Valo FX'!$A:$A,0)),INDEX(Base!$V:$V,MATCH($A18,Base!$A:$A,0)),0)))</f>
        <v>13.171631</v>
      </c>
      <c r="LR18" s="21">
        <f>IF(LR$1&lt;INDEX('Valo FX'!$Q:$Q,MATCH($A18,'Valo FX'!$A:$A,0)),0,IF(LR$1&lt;INDEX('Valo FX'!$R:$R,MATCH($A18,'Valo FX'!$A:$A,0)),INDEX(Base!$U:$U,MATCH($A18,Base!$A:$A,0)),IF(LR$1=INDEX('Valo FX'!$R:$R,MATCH($A18,'Valo FX'!$A:$A,0)),INDEX(Base!$V:$V,MATCH($A18,Base!$A:$A,0)),0)))</f>
        <v>13.171631</v>
      </c>
      <c r="LS18" s="21">
        <f>IF(LS$1&lt;INDEX('Valo FX'!$Q:$Q,MATCH($A18,'Valo FX'!$A:$A,0)),0,IF(LS$1&lt;INDEX('Valo FX'!$R:$R,MATCH($A18,'Valo FX'!$A:$A,0)),INDEX(Base!$U:$U,MATCH($A18,Base!$A:$A,0)),IF(LS$1=INDEX('Valo FX'!$R:$R,MATCH($A18,'Valo FX'!$A:$A,0)),INDEX(Base!$V:$V,MATCH($A18,Base!$A:$A,0)),0)))</f>
        <v>13.171631</v>
      </c>
      <c r="LT18" s="21">
        <f>IF(LT$1&lt;INDEX('Valo FX'!$Q:$Q,MATCH($A18,'Valo FX'!$A:$A,0)),0,IF(LT$1&lt;INDEX('Valo FX'!$R:$R,MATCH($A18,'Valo FX'!$A:$A,0)),INDEX(Base!$U:$U,MATCH($A18,Base!$A:$A,0)),IF(LT$1=INDEX('Valo FX'!$R:$R,MATCH($A18,'Valo FX'!$A:$A,0)),INDEX(Base!$V:$V,MATCH($A18,Base!$A:$A,0)),0)))</f>
        <v>13.171631</v>
      </c>
      <c r="LU18" s="21">
        <f>IF(LU$1&lt;INDEX('Valo FX'!$Q:$Q,MATCH($A18,'Valo FX'!$A:$A,0)),0,IF(LU$1&lt;INDEX('Valo FX'!$R:$R,MATCH($A18,'Valo FX'!$A:$A,0)),INDEX(Base!$U:$U,MATCH($A18,Base!$A:$A,0)),IF(LU$1=INDEX('Valo FX'!$R:$R,MATCH($A18,'Valo FX'!$A:$A,0)),INDEX(Base!$V:$V,MATCH($A18,Base!$A:$A,0)),0)))</f>
        <v>13.171631</v>
      </c>
      <c r="LV18" s="21">
        <f>IF(LV$1&lt;INDEX('Valo FX'!$Q:$Q,MATCH($A18,'Valo FX'!$A:$A,0)),0,IF(LV$1&lt;INDEX('Valo FX'!$R:$R,MATCH($A18,'Valo FX'!$A:$A,0)),INDEX(Base!$U:$U,MATCH($A18,Base!$A:$A,0)),IF(LV$1=INDEX('Valo FX'!$R:$R,MATCH($A18,'Valo FX'!$A:$A,0)),INDEX(Base!$V:$V,MATCH($A18,Base!$A:$A,0)),0)))</f>
        <v>13.171631</v>
      </c>
      <c r="LW18" s="21">
        <f>IF(LW$1&lt;INDEX('Valo FX'!$Q:$Q,MATCH($A18,'Valo FX'!$A:$A,0)),0,IF(LW$1&lt;INDEX('Valo FX'!$R:$R,MATCH($A18,'Valo FX'!$A:$A,0)),INDEX(Base!$U:$U,MATCH($A18,Base!$A:$A,0)),IF(LW$1=INDEX('Valo FX'!$R:$R,MATCH($A18,'Valo FX'!$A:$A,0)),INDEX(Base!$V:$V,MATCH($A18,Base!$A:$A,0)),0)))</f>
        <v>13.171631</v>
      </c>
      <c r="LX18" s="21">
        <f>IF(LX$1&lt;INDEX('Valo FX'!$Q:$Q,MATCH($A18,'Valo FX'!$A:$A,0)),0,IF(LX$1&lt;INDEX('Valo FX'!$R:$R,MATCH($A18,'Valo FX'!$A:$A,0)),INDEX(Base!$U:$U,MATCH($A18,Base!$A:$A,0)),IF(LX$1=INDEX('Valo FX'!$R:$R,MATCH($A18,'Valo FX'!$A:$A,0)),INDEX(Base!$V:$V,MATCH($A18,Base!$A:$A,0)),0)))</f>
        <v>13.171631</v>
      </c>
      <c r="LY18" s="21">
        <f>IF(LY$1&lt;INDEX('Valo FX'!$Q:$Q,MATCH($A18,'Valo FX'!$A:$A,0)),0,IF(LY$1&lt;INDEX('Valo FX'!$R:$R,MATCH($A18,'Valo FX'!$A:$A,0)),INDEX(Base!$U:$U,MATCH($A18,Base!$A:$A,0)),IF(LY$1=INDEX('Valo FX'!$R:$R,MATCH($A18,'Valo FX'!$A:$A,0)),INDEX(Base!$V:$V,MATCH($A18,Base!$A:$A,0)),0)))</f>
        <v>13.171631</v>
      </c>
      <c r="LZ18" s="21">
        <f>IF(LZ$1&lt;INDEX('Valo FX'!$Q:$Q,MATCH($A18,'Valo FX'!$A:$A,0)),0,IF(LZ$1&lt;INDEX('Valo FX'!$R:$R,MATCH($A18,'Valo FX'!$A:$A,0)),INDEX(Base!$U:$U,MATCH($A18,Base!$A:$A,0)),IF(LZ$1=INDEX('Valo FX'!$R:$R,MATCH($A18,'Valo FX'!$A:$A,0)),INDEX(Base!$V:$V,MATCH($A18,Base!$A:$A,0)),0)))</f>
        <v>13.171631</v>
      </c>
      <c r="MA18" s="21">
        <f>IF(MA$1&lt;INDEX('Valo FX'!$Q:$Q,MATCH($A18,'Valo FX'!$A:$A,0)),0,IF(MA$1&lt;INDEX('Valo FX'!$R:$R,MATCH($A18,'Valo FX'!$A:$A,0)),INDEX(Base!$U:$U,MATCH($A18,Base!$A:$A,0)),IF(MA$1=INDEX('Valo FX'!$R:$R,MATCH($A18,'Valo FX'!$A:$A,0)),INDEX(Base!$V:$V,MATCH($A18,Base!$A:$A,0)),0)))</f>
        <v>13.171631</v>
      </c>
      <c r="MB18" s="21">
        <f>IF(MB$1&lt;INDEX('Valo FX'!$Q:$Q,MATCH($A18,'Valo FX'!$A:$A,0)),0,IF(MB$1&lt;INDEX('Valo FX'!$R:$R,MATCH($A18,'Valo FX'!$A:$A,0)),INDEX(Base!$U:$U,MATCH($A18,Base!$A:$A,0)),IF(MB$1=INDEX('Valo FX'!$R:$R,MATCH($A18,'Valo FX'!$A:$A,0)),INDEX(Base!$V:$V,MATCH($A18,Base!$A:$A,0)),0)))</f>
        <v>13.171631</v>
      </c>
      <c r="MC18" s="21">
        <f>IF(MC$1&lt;INDEX('Valo FX'!$Q:$Q,MATCH($A18,'Valo FX'!$A:$A,0)),0,IF(MC$1&lt;INDEX('Valo FX'!$R:$R,MATCH($A18,'Valo FX'!$A:$A,0)),INDEX(Base!$U:$U,MATCH($A18,Base!$A:$A,0)),IF(MC$1=INDEX('Valo FX'!$R:$R,MATCH($A18,'Valo FX'!$A:$A,0)),INDEX(Base!$V:$V,MATCH($A18,Base!$A:$A,0)),0)))</f>
        <v>13.171631</v>
      </c>
      <c r="MD18" s="21">
        <f>IF(MD$1&lt;INDEX('Valo FX'!$Q:$Q,MATCH($A18,'Valo FX'!$A:$A,0)),0,IF(MD$1&lt;INDEX('Valo FX'!$R:$R,MATCH($A18,'Valo FX'!$A:$A,0)),INDEX(Base!$U:$U,MATCH($A18,Base!$A:$A,0)),IF(MD$1=INDEX('Valo FX'!$R:$R,MATCH($A18,'Valo FX'!$A:$A,0)),INDEX(Base!$V:$V,MATCH($A18,Base!$A:$A,0)),0)))</f>
        <v>13.171631</v>
      </c>
      <c r="ME18" s="21">
        <f>IF(ME$1&lt;INDEX('Valo FX'!$Q:$Q,MATCH($A18,'Valo FX'!$A:$A,0)),0,IF(ME$1&lt;INDEX('Valo FX'!$R:$R,MATCH($A18,'Valo FX'!$A:$A,0)),INDEX(Base!$U:$U,MATCH($A18,Base!$A:$A,0)),IF(ME$1=INDEX('Valo FX'!$R:$R,MATCH($A18,'Valo FX'!$A:$A,0)),INDEX(Base!$V:$V,MATCH($A18,Base!$A:$A,0)),0)))</f>
        <v>13.171631</v>
      </c>
      <c r="MF18" s="21">
        <f>IF(MF$1&lt;INDEX('Valo FX'!$Q:$Q,MATCH($A18,'Valo FX'!$A:$A,0)),0,IF(MF$1&lt;INDEX('Valo FX'!$R:$R,MATCH($A18,'Valo FX'!$A:$A,0)),INDEX(Base!$U:$U,MATCH($A18,Base!$A:$A,0)),IF(MF$1=INDEX('Valo FX'!$R:$R,MATCH($A18,'Valo FX'!$A:$A,0)),INDEX(Base!$V:$V,MATCH($A18,Base!$A:$A,0)),0)))</f>
        <v>13.171631</v>
      </c>
      <c r="MG18" s="21">
        <f>IF(MG$1&lt;INDEX('Valo FX'!$Q:$Q,MATCH($A18,'Valo FX'!$A:$A,0)),0,IF(MG$1&lt;INDEX('Valo FX'!$R:$R,MATCH($A18,'Valo FX'!$A:$A,0)),INDEX(Base!$U:$U,MATCH($A18,Base!$A:$A,0)),IF(MG$1=INDEX('Valo FX'!$R:$R,MATCH($A18,'Valo FX'!$A:$A,0)),INDEX(Base!$V:$V,MATCH($A18,Base!$A:$A,0)),0)))</f>
        <v>13.171631</v>
      </c>
      <c r="MH18" s="21">
        <f>IF(MH$1&lt;INDEX('Valo FX'!$Q:$Q,MATCH($A18,'Valo FX'!$A:$A,0)),0,IF(MH$1&lt;INDEX('Valo FX'!$R:$R,MATCH($A18,'Valo FX'!$A:$A,0)),INDEX(Base!$U:$U,MATCH($A18,Base!$A:$A,0)),IF(MH$1=INDEX('Valo FX'!$R:$R,MATCH($A18,'Valo FX'!$A:$A,0)),INDEX(Base!$V:$V,MATCH($A18,Base!$A:$A,0)),0)))</f>
        <v>13.171631</v>
      </c>
      <c r="MI18" s="21">
        <f>IF(MI$1&lt;INDEX('Valo FX'!$Q:$Q,MATCH($A18,'Valo FX'!$A:$A,0)),0,IF(MI$1&lt;INDEX('Valo FX'!$R:$R,MATCH($A18,'Valo FX'!$A:$A,0)),INDEX(Base!$U:$U,MATCH($A18,Base!$A:$A,0)),IF(MI$1=INDEX('Valo FX'!$R:$R,MATCH($A18,'Valo FX'!$A:$A,0)),INDEX(Base!$V:$V,MATCH($A18,Base!$A:$A,0)),0)))</f>
        <v>13.171631</v>
      </c>
      <c r="MJ18" s="21">
        <f>IF(MJ$1&lt;INDEX('Valo FX'!$Q:$Q,MATCH($A18,'Valo FX'!$A:$A,0)),0,IF(MJ$1&lt;INDEX('Valo FX'!$R:$R,MATCH($A18,'Valo FX'!$A:$A,0)),INDEX(Base!$U:$U,MATCH($A18,Base!$A:$A,0)),IF(MJ$1=INDEX('Valo FX'!$R:$R,MATCH($A18,'Valo FX'!$A:$A,0)),INDEX(Base!$V:$V,MATCH($A18,Base!$A:$A,0)),0)))</f>
        <v>13.171631</v>
      </c>
      <c r="MK18" s="21">
        <f>IF(MK$1&lt;INDEX('Valo FX'!$Q:$Q,MATCH($A18,'Valo FX'!$A:$A,0)),0,IF(MK$1&lt;INDEX('Valo FX'!$R:$R,MATCH($A18,'Valo FX'!$A:$A,0)),INDEX(Base!$U:$U,MATCH($A18,Base!$A:$A,0)),IF(MK$1=INDEX('Valo FX'!$R:$R,MATCH($A18,'Valo FX'!$A:$A,0)),INDEX(Base!$V:$V,MATCH($A18,Base!$A:$A,0)),0)))</f>
        <v>13.171631</v>
      </c>
      <c r="ML18" s="21">
        <f>IF(ML$1&lt;INDEX('Valo FX'!$Q:$Q,MATCH($A18,'Valo FX'!$A:$A,0)),0,IF(ML$1&lt;INDEX('Valo FX'!$R:$R,MATCH($A18,'Valo FX'!$A:$A,0)),INDEX(Base!$U:$U,MATCH($A18,Base!$A:$A,0)),IF(ML$1=INDEX('Valo FX'!$R:$R,MATCH($A18,'Valo FX'!$A:$A,0)),INDEX(Base!$V:$V,MATCH($A18,Base!$A:$A,0)),0)))</f>
        <v>13.171631</v>
      </c>
      <c r="MM18" s="21">
        <f>IF(MM$1&lt;INDEX('Valo FX'!$Q:$Q,MATCH($A18,'Valo FX'!$A:$A,0)),0,IF(MM$1&lt;INDEX('Valo FX'!$R:$R,MATCH($A18,'Valo FX'!$A:$A,0)),INDEX(Base!$U:$U,MATCH($A18,Base!$A:$A,0)),IF(MM$1=INDEX('Valo FX'!$R:$R,MATCH($A18,'Valo FX'!$A:$A,0)),INDEX(Base!$V:$V,MATCH($A18,Base!$A:$A,0)),0)))</f>
        <v>13.171631</v>
      </c>
      <c r="MN18" s="21">
        <f>IF(MN$1&lt;INDEX('Valo FX'!$Q:$Q,MATCH($A18,'Valo FX'!$A:$A,0)),0,IF(MN$1&lt;INDEX('Valo FX'!$R:$R,MATCH($A18,'Valo FX'!$A:$A,0)),INDEX(Base!$U:$U,MATCH($A18,Base!$A:$A,0)),IF(MN$1=INDEX('Valo FX'!$R:$R,MATCH($A18,'Valo FX'!$A:$A,0)),INDEX(Base!$V:$V,MATCH($A18,Base!$A:$A,0)),0)))</f>
        <v>13.171631</v>
      </c>
      <c r="MO18" s="21">
        <f>IF(MO$1&lt;INDEX('Valo FX'!$Q:$Q,MATCH($A18,'Valo FX'!$A:$A,0)),0,IF(MO$1&lt;INDEX('Valo FX'!$R:$R,MATCH($A18,'Valo FX'!$A:$A,0)),INDEX(Base!$U:$U,MATCH($A18,Base!$A:$A,0)),IF(MO$1=INDEX('Valo FX'!$R:$R,MATCH($A18,'Valo FX'!$A:$A,0)),INDEX(Base!$V:$V,MATCH($A18,Base!$A:$A,0)),0)))</f>
        <v>13.171631</v>
      </c>
      <c r="MP18" s="21">
        <f>IF(MP$1&lt;INDEX('Valo FX'!$Q:$Q,MATCH($A18,'Valo FX'!$A:$A,0)),0,IF(MP$1&lt;INDEX('Valo FX'!$R:$R,MATCH($A18,'Valo FX'!$A:$A,0)),INDEX(Base!$U:$U,MATCH($A18,Base!$A:$A,0)),IF(MP$1=INDEX('Valo FX'!$R:$R,MATCH($A18,'Valo FX'!$A:$A,0)),INDEX(Base!$V:$V,MATCH($A18,Base!$A:$A,0)),0)))</f>
        <v>13.171631</v>
      </c>
      <c r="MQ18" s="21">
        <f>IF(MQ$1&lt;INDEX('Valo FX'!$Q:$Q,MATCH($A18,'Valo FX'!$A:$A,0)),0,IF(MQ$1&lt;INDEX('Valo FX'!$R:$R,MATCH($A18,'Valo FX'!$A:$A,0)),INDEX(Base!$U:$U,MATCH($A18,Base!$A:$A,0)),IF(MQ$1=INDEX('Valo FX'!$R:$R,MATCH($A18,'Valo FX'!$A:$A,0)),INDEX(Base!$V:$V,MATCH($A18,Base!$A:$A,0)),0)))</f>
        <v>13.171631</v>
      </c>
      <c r="MR18" s="21">
        <f>IF(MR$1&lt;INDEX('Valo FX'!$Q:$Q,MATCH($A18,'Valo FX'!$A:$A,0)),0,IF(MR$1&lt;INDEX('Valo FX'!$R:$R,MATCH($A18,'Valo FX'!$A:$A,0)),INDEX(Base!$U:$U,MATCH($A18,Base!$A:$A,0)),IF(MR$1=INDEX('Valo FX'!$R:$R,MATCH($A18,'Valo FX'!$A:$A,0)),INDEX(Base!$V:$V,MATCH($A18,Base!$A:$A,0)),0)))</f>
        <v>13.171631</v>
      </c>
      <c r="MS18" s="21">
        <f>IF(MS$1&lt;INDEX('Valo FX'!$Q:$Q,MATCH($A18,'Valo FX'!$A:$A,0)),0,IF(MS$1&lt;INDEX('Valo FX'!$R:$R,MATCH($A18,'Valo FX'!$A:$A,0)),INDEX(Base!$U:$U,MATCH($A18,Base!$A:$A,0)),IF(MS$1=INDEX('Valo FX'!$R:$R,MATCH($A18,'Valo FX'!$A:$A,0)),INDEX(Base!$V:$V,MATCH($A18,Base!$A:$A,0)),0)))</f>
        <v>13.171631</v>
      </c>
      <c r="MT18" s="21">
        <f>IF(MT$1&lt;INDEX('Valo FX'!$Q:$Q,MATCH($A18,'Valo FX'!$A:$A,0)),0,IF(MT$1&lt;INDEX('Valo FX'!$R:$R,MATCH($A18,'Valo FX'!$A:$A,0)),INDEX(Base!$U:$U,MATCH($A18,Base!$A:$A,0)),IF(MT$1=INDEX('Valo FX'!$R:$R,MATCH($A18,'Valo FX'!$A:$A,0)),INDEX(Base!$V:$V,MATCH($A18,Base!$A:$A,0)),0)))</f>
        <v>13.171631</v>
      </c>
      <c r="MU18" s="21">
        <f>IF(MU$1&lt;INDEX('Valo FX'!$Q:$Q,MATCH($A18,'Valo FX'!$A:$A,0)),0,IF(MU$1&lt;INDEX('Valo FX'!$R:$R,MATCH($A18,'Valo FX'!$A:$A,0)),INDEX(Base!$U:$U,MATCH($A18,Base!$A:$A,0)),IF(MU$1=INDEX('Valo FX'!$R:$R,MATCH($A18,'Valo FX'!$A:$A,0)),INDEX(Base!$V:$V,MATCH($A18,Base!$A:$A,0)),0)))</f>
        <v>13.171631</v>
      </c>
      <c r="MV18" s="21">
        <f>IF(MV$1&lt;INDEX('Valo FX'!$Q:$Q,MATCH($A18,'Valo FX'!$A:$A,0)),0,IF(MV$1&lt;INDEX('Valo FX'!$R:$R,MATCH($A18,'Valo FX'!$A:$A,0)),INDEX(Base!$U:$U,MATCH($A18,Base!$A:$A,0)),IF(MV$1=INDEX('Valo FX'!$R:$R,MATCH($A18,'Valo FX'!$A:$A,0)),INDEX(Base!$V:$V,MATCH($A18,Base!$A:$A,0)),0)))</f>
        <v>13.171631</v>
      </c>
      <c r="MW18" s="21">
        <f>IF(MW$1&lt;INDEX('Valo FX'!$Q:$Q,MATCH($A18,'Valo FX'!$A:$A,0)),0,IF(MW$1&lt;INDEX('Valo FX'!$R:$R,MATCH($A18,'Valo FX'!$A:$A,0)),INDEX(Base!$U:$U,MATCH($A18,Base!$A:$A,0)),IF(MW$1=INDEX('Valo FX'!$R:$R,MATCH($A18,'Valo FX'!$A:$A,0)),INDEX(Base!$V:$V,MATCH($A18,Base!$A:$A,0)),0)))</f>
        <v>13.171631</v>
      </c>
      <c r="MX18" s="21">
        <f>IF(MX$1&lt;INDEX('Valo FX'!$Q:$Q,MATCH($A18,'Valo FX'!$A:$A,0)),0,IF(MX$1&lt;INDEX('Valo FX'!$R:$R,MATCH($A18,'Valo FX'!$A:$A,0)),INDEX(Base!$U:$U,MATCH($A18,Base!$A:$A,0)),IF(MX$1=INDEX('Valo FX'!$R:$R,MATCH($A18,'Valo FX'!$A:$A,0)),INDEX(Base!$V:$V,MATCH($A18,Base!$A:$A,0)),0)))</f>
        <v>13.171631</v>
      </c>
      <c r="MY18" s="21">
        <f>IF(MY$1&lt;INDEX('Valo FX'!$Q:$Q,MATCH($A18,'Valo FX'!$A:$A,0)),0,IF(MY$1&lt;INDEX('Valo FX'!$R:$R,MATCH($A18,'Valo FX'!$A:$A,0)),INDEX(Base!$U:$U,MATCH($A18,Base!$A:$A,0)),IF(MY$1=INDEX('Valo FX'!$R:$R,MATCH($A18,'Valo FX'!$A:$A,0)),INDEX(Base!$V:$V,MATCH($A18,Base!$A:$A,0)),0)))</f>
        <v>14.247272000000001</v>
      </c>
    </row>
    <row r="19" spans="1:363" x14ac:dyDescent="0.25">
      <c r="A19" s="7">
        <f>+'Valo FX'!A20</f>
        <v>17</v>
      </c>
      <c r="B19" s="59">
        <f>-'Valo FX'!T20</f>
        <v>-1445.5573721140508</v>
      </c>
      <c r="C19" s="21">
        <f>IF(C$1&lt;INDEX('Valo FX'!$Q:$Q,MATCH($A19,'Valo FX'!$A:$A,0)),0,IF(C$1&lt;INDEX('Valo FX'!$R:$R,MATCH($A19,'Valo FX'!$A:$A,0)),INDEX(Base!$U:$U,MATCH($A19,Base!$A:$A,0)),IF(C$1=INDEX('Valo FX'!$R:$R,MATCH($A19,'Valo FX'!$A:$A,0)),INDEX(Base!$V:$V,MATCH($A19,Base!$A:$A,0)),0)))</f>
        <v>0</v>
      </c>
      <c r="D19" s="21">
        <f>IF(D$1&lt;INDEX('Valo FX'!$Q:$Q,MATCH($A19,'Valo FX'!$A:$A,0)),0,IF(D$1&lt;INDEX('Valo FX'!$R:$R,MATCH($A19,'Valo FX'!$A:$A,0)),INDEX(Base!$U:$U,MATCH($A19,Base!$A:$A,0)),IF(D$1=INDEX('Valo FX'!$R:$R,MATCH($A19,'Valo FX'!$A:$A,0)),INDEX(Base!$V:$V,MATCH($A19,Base!$A:$A,0)),0)))</f>
        <v>0</v>
      </c>
      <c r="E19" s="21">
        <f>IF(E$1&lt;INDEX('Valo FX'!$Q:$Q,MATCH($A19,'Valo FX'!$A:$A,0)),0,IF(E$1&lt;INDEX('Valo FX'!$R:$R,MATCH($A19,'Valo FX'!$A:$A,0)),INDEX(Base!$U:$U,MATCH($A19,Base!$A:$A,0)),IF(E$1=INDEX('Valo FX'!$R:$R,MATCH($A19,'Valo FX'!$A:$A,0)),INDEX(Base!$V:$V,MATCH($A19,Base!$A:$A,0)),0)))</f>
        <v>0</v>
      </c>
      <c r="F19" s="21">
        <f>IF(F$1&lt;INDEX('Valo FX'!$Q:$Q,MATCH($A19,'Valo FX'!$A:$A,0)),0,IF(F$1&lt;INDEX('Valo FX'!$R:$R,MATCH($A19,'Valo FX'!$A:$A,0)),INDEX(Base!$U:$U,MATCH($A19,Base!$A:$A,0)),IF(F$1=INDEX('Valo FX'!$R:$R,MATCH($A19,'Valo FX'!$A:$A,0)),INDEX(Base!$V:$V,MATCH($A19,Base!$A:$A,0)),0)))</f>
        <v>0</v>
      </c>
      <c r="G19" s="21">
        <f>IF(G$1&lt;INDEX('Valo FX'!$Q:$Q,MATCH($A19,'Valo FX'!$A:$A,0)),0,IF(G$1&lt;INDEX('Valo FX'!$R:$R,MATCH($A19,'Valo FX'!$A:$A,0)),INDEX(Base!$U:$U,MATCH($A19,Base!$A:$A,0)),IF(G$1=INDEX('Valo FX'!$R:$R,MATCH($A19,'Valo FX'!$A:$A,0)),INDEX(Base!$V:$V,MATCH($A19,Base!$A:$A,0)),0)))</f>
        <v>0</v>
      </c>
      <c r="H19" s="21">
        <f>IF(H$1&lt;INDEX('Valo FX'!$Q:$Q,MATCH($A19,'Valo FX'!$A:$A,0)),0,IF(H$1&lt;INDEX('Valo FX'!$R:$R,MATCH($A19,'Valo FX'!$A:$A,0)),INDEX(Base!$U:$U,MATCH($A19,Base!$A:$A,0)),IF(H$1=INDEX('Valo FX'!$R:$R,MATCH($A19,'Valo FX'!$A:$A,0)),INDEX(Base!$V:$V,MATCH($A19,Base!$A:$A,0)),0)))</f>
        <v>0</v>
      </c>
      <c r="I19" s="21">
        <f>IF(I$1&lt;INDEX('Valo FX'!$Q:$Q,MATCH($A19,'Valo FX'!$A:$A,0)),0,IF(I$1&lt;INDEX('Valo FX'!$R:$R,MATCH($A19,'Valo FX'!$A:$A,0)),INDEX(Base!$U:$U,MATCH($A19,Base!$A:$A,0)),IF(I$1=INDEX('Valo FX'!$R:$R,MATCH($A19,'Valo FX'!$A:$A,0)),INDEX(Base!$V:$V,MATCH($A19,Base!$A:$A,0)),0)))</f>
        <v>10.394145</v>
      </c>
      <c r="J19" s="21">
        <f>IF(J$1&lt;INDEX('Valo FX'!$Q:$Q,MATCH($A19,'Valo FX'!$A:$A,0)),0,IF(J$1&lt;INDEX('Valo FX'!$R:$R,MATCH($A19,'Valo FX'!$A:$A,0)),INDEX(Base!$U:$U,MATCH($A19,Base!$A:$A,0)),IF(J$1=INDEX('Valo FX'!$R:$R,MATCH($A19,'Valo FX'!$A:$A,0)),INDEX(Base!$V:$V,MATCH($A19,Base!$A:$A,0)),0)))</f>
        <v>10.394145</v>
      </c>
      <c r="K19" s="21">
        <f>IF(K$1&lt;INDEX('Valo FX'!$Q:$Q,MATCH($A19,'Valo FX'!$A:$A,0)),0,IF(K$1&lt;INDEX('Valo FX'!$R:$R,MATCH($A19,'Valo FX'!$A:$A,0)),INDEX(Base!$U:$U,MATCH($A19,Base!$A:$A,0)),IF(K$1=INDEX('Valo FX'!$R:$R,MATCH($A19,'Valo FX'!$A:$A,0)),INDEX(Base!$V:$V,MATCH($A19,Base!$A:$A,0)),0)))</f>
        <v>10.394145</v>
      </c>
      <c r="L19" s="21">
        <f>IF(L$1&lt;INDEX('Valo FX'!$Q:$Q,MATCH($A19,'Valo FX'!$A:$A,0)),0,IF(L$1&lt;INDEX('Valo FX'!$R:$R,MATCH($A19,'Valo FX'!$A:$A,0)),INDEX(Base!$U:$U,MATCH($A19,Base!$A:$A,0)),IF(L$1=INDEX('Valo FX'!$R:$R,MATCH($A19,'Valo FX'!$A:$A,0)),INDEX(Base!$V:$V,MATCH($A19,Base!$A:$A,0)),0)))</f>
        <v>10.394145</v>
      </c>
      <c r="M19" s="21">
        <f>IF(M$1&lt;INDEX('Valo FX'!$Q:$Q,MATCH($A19,'Valo FX'!$A:$A,0)),0,IF(M$1&lt;INDEX('Valo FX'!$R:$R,MATCH($A19,'Valo FX'!$A:$A,0)),INDEX(Base!$U:$U,MATCH($A19,Base!$A:$A,0)),IF(M$1=INDEX('Valo FX'!$R:$R,MATCH($A19,'Valo FX'!$A:$A,0)),INDEX(Base!$V:$V,MATCH($A19,Base!$A:$A,0)),0)))</f>
        <v>10.394145</v>
      </c>
      <c r="N19" s="21">
        <f>IF(N$1&lt;INDEX('Valo FX'!$Q:$Q,MATCH($A19,'Valo FX'!$A:$A,0)),0,IF(N$1&lt;INDEX('Valo FX'!$R:$R,MATCH($A19,'Valo FX'!$A:$A,0)),INDEX(Base!$U:$U,MATCH($A19,Base!$A:$A,0)),IF(N$1=INDEX('Valo FX'!$R:$R,MATCH($A19,'Valo FX'!$A:$A,0)),INDEX(Base!$V:$V,MATCH($A19,Base!$A:$A,0)),0)))</f>
        <v>10.394145</v>
      </c>
      <c r="O19" s="21">
        <f>IF(O$1&lt;INDEX('Valo FX'!$Q:$Q,MATCH($A19,'Valo FX'!$A:$A,0)),0,IF(O$1&lt;INDEX('Valo FX'!$R:$R,MATCH($A19,'Valo FX'!$A:$A,0)),INDEX(Base!$U:$U,MATCH($A19,Base!$A:$A,0)),IF(O$1=INDEX('Valo FX'!$R:$R,MATCH($A19,'Valo FX'!$A:$A,0)),INDEX(Base!$V:$V,MATCH($A19,Base!$A:$A,0)),0)))</f>
        <v>10.394145</v>
      </c>
      <c r="P19" s="21">
        <f>IF(P$1&lt;INDEX('Valo FX'!$Q:$Q,MATCH($A19,'Valo FX'!$A:$A,0)),0,IF(P$1&lt;INDEX('Valo FX'!$R:$R,MATCH($A19,'Valo FX'!$A:$A,0)),INDEX(Base!$U:$U,MATCH($A19,Base!$A:$A,0)),IF(P$1=INDEX('Valo FX'!$R:$R,MATCH($A19,'Valo FX'!$A:$A,0)),INDEX(Base!$V:$V,MATCH($A19,Base!$A:$A,0)),0)))</f>
        <v>10.394145</v>
      </c>
      <c r="Q19" s="21">
        <f>IF(Q$1&lt;INDEX('Valo FX'!$Q:$Q,MATCH($A19,'Valo FX'!$A:$A,0)),0,IF(Q$1&lt;INDEX('Valo FX'!$R:$R,MATCH($A19,'Valo FX'!$A:$A,0)),INDEX(Base!$U:$U,MATCH($A19,Base!$A:$A,0)),IF(Q$1=INDEX('Valo FX'!$R:$R,MATCH($A19,'Valo FX'!$A:$A,0)),INDEX(Base!$V:$V,MATCH($A19,Base!$A:$A,0)),0)))</f>
        <v>10.394145</v>
      </c>
      <c r="R19" s="21">
        <f>IF(R$1&lt;INDEX('Valo FX'!$Q:$Q,MATCH($A19,'Valo FX'!$A:$A,0)),0,IF(R$1&lt;INDEX('Valo FX'!$R:$R,MATCH($A19,'Valo FX'!$A:$A,0)),INDEX(Base!$U:$U,MATCH($A19,Base!$A:$A,0)),IF(R$1=INDEX('Valo FX'!$R:$R,MATCH($A19,'Valo FX'!$A:$A,0)),INDEX(Base!$V:$V,MATCH($A19,Base!$A:$A,0)),0)))</f>
        <v>10.394145</v>
      </c>
      <c r="S19" s="21">
        <f>IF(S$1&lt;INDEX('Valo FX'!$Q:$Q,MATCH($A19,'Valo FX'!$A:$A,0)),0,IF(S$1&lt;INDEX('Valo FX'!$R:$R,MATCH($A19,'Valo FX'!$A:$A,0)),INDEX(Base!$U:$U,MATCH($A19,Base!$A:$A,0)),IF(S$1=INDEX('Valo FX'!$R:$R,MATCH($A19,'Valo FX'!$A:$A,0)),INDEX(Base!$V:$V,MATCH($A19,Base!$A:$A,0)),0)))</f>
        <v>10.394145</v>
      </c>
      <c r="T19" s="21">
        <f>IF(T$1&lt;INDEX('Valo FX'!$Q:$Q,MATCH($A19,'Valo FX'!$A:$A,0)),0,IF(T$1&lt;INDEX('Valo FX'!$R:$R,MATCH($A19,'Valo FX'!$A:$A,0)),INDEX(Base!$U:$U,MATCH($A19,Base!$A:$A,0)),IF(T$1=INDEX('Valo FX'!$R:$R,MATCH($A19,'Valo FX'!$A:$A,0)),INDEX(Base!$V:$V,MATCH($A19,Base!$A:$A,0)),0)))</f>
        <v>10.394145</v>
      </c>
      <c r="U19" s="21">
        <f>IF(U$1&lt;INDEX('Valo FX'!$Q:$Q,MATCH($A19,'Valo FX'!$A:$A,0)),0,IF(U$1&lt;INDEX('Valo FX'!$R:$R,MATCH($A19,'Valo FX'!$A:$A,0)),INDEX(Base!$U:$U,MATCH($A19,Base!$A:$A,0)),IF(U$1=INDEX('Valo FX'!$R:$R,MATCH($A19,'Valo FX'!$A:$A,0)),INDEX(Base!$V:$V,MATCH($A19,Base!$A:$A,0)),0)))</f>
        <v>10.394145</v>
      </c>
      <c r="V19" s="21">
        <f>IF(V$1&lt;INDEX('Valo FX'!$Q:$Q,MATCH($A19,'Valo FX'!$A:$A,0)),0,IF(V$1&lt;INDEX('Valo FX'!$R:$R,MATCH($A19,'Valo FX'!$A:$A,0)),INDEX(Base!$U:$U,MATCH($A19,Base!$A:$A,0)),IF(V$1=INDEX('Valo FX'!$R:$R,MATCH($A19,'Valo FX'!$A:$A,0)),INDEX(Base!$V:$V,MATCH($A19,Base!$A:$A,0)),0)))</f>
        <v>10.394145</v>
      </c>
      <c r="W19" s="21">
        <f>IF(W$1&lt;INDEX('Valo FX'!$Q:$Q,MATCH($A19,'Valo FX'!$A:$A,0)),0,IF(W$1&lt;INDEX('Valo FX'!$R:$R,MATCH($A19,'Valo FX'!$A:$A,0)),INDEX(Base!$U:$U,MATCH($A19,Base!$A:$A,0)),IF(W$1=INDEX('Valo FX'!$R:$R,MATCH($A19,'Valo FX'!$A:$A,0)),INDEX(Base!$V:$V,MATCH($A19,Base!$A:$A,0)),0)))</f>
        <v>10.394145</v>
      </c>
      <c r="X19" s="21">
        <f>IF(X$1&lt;INDEX('Valo FX'!$Q:$Q,MATCH($A19,'Valo FX'!$A:$A,0)),0,IF(X$1&lt;INDEX('Valo FX'!$R:$R,MATCH($A19,'Valo FX'!$A:$A,0)),INDEX(Base!$U:$U,MATCH($A19,Base!$A:$A,0)),IF(X$1=INDEX('Valo FX'!$R:$R,MATCH($A19,'Valo FX'!$A:$A,0)),INDEX(Base!$V:$V,MATCH($A19,Base!$A:$A,0)),0)))</f>
        <v>10.394145</v>
      </c>
      <c r="Y19" s="21">
        <f>IF(Y$1&lt;INDEX('Valo FX'!$Q:$Q,MATCH($A19,'Valo FX'!$A:$A,0)),0,IF(Y$1&lt;INDEX('Valo FX'!$R:$R,MATCH($A19,'Valo FX'!$A:$A,0)),INDEX(Base!$U:$U,MATCH($A19,Base!$A:$A,0)),IF(Y$1=INDEX('Valo FX'!$R:$R,MATCH($A19,'Valo FX'!$A:$A,0)),INDEX(Base!$V:$V,MATCH($A19,Base!$A:$A,0)),0)))</f>
        <v>10.394145</v>
      </c>
      <c r="Z19" s="21">
        <f>IF(Z$1&lt;INDEX('Valo FX'!$Q:$Q,MATCH($A19,'Valo FX'!$A:$A,0)),0,IF(Z$1&lt;INDEX('Valo FX'!$R:$R,MATCH($A19,'Valo FX'!$A:$A,0)),INDEX(Base!$U:$U,MATCH($A19,Base!$A:$A,0)),IF(Z$1=INDEX('Valo FX'!$R:$R,MATCH($A19,'Valo FX'!$A:$A,0)),INDEX(Base!$V:$V,MATCH($A19,Base!$A:$A,0)),0)))</f>
        <v>10.394145</v>
      </c>
      <c r="AA19" s="21">
        <f>IF(AA$1&lt;INDEX('Valo FX'!$Q:$Q,MATCH($A19,'Valo FX'!$A:$A,0)),0,IF(AA$1&lt;INDEX('Valo FX'!$R:$R,MATCH($A19,'Valo FX'!$A:$A,0)),INDEX(Base!$U:$U,MATCH($A19,Base!$A:$A,0)),IF(AA$1=INDEX('Valo FX'!$R:$R,MATCH($A19,'Valo FX'!$A:$A,0)),INDEX(Base!$V:$V,MATCH($A19,Base!$A:$A,0)),0)))</f>
        <v>10.394145</v>
      </c>
      <c r="AB19" s="21">
        <f>IF(AB$1&lt;INDEX('Valo FX'!$Q:$Q,MATCH($A19,'Valo FX'!$A:$A,0)),0,IF(AB$1&lt;INDEX('Valo FX'!$R:$R,MATCH($A19,'Valo FX'!$A:$A,0)),INDEX(Base!$U:$U,MATCH($A19,Base!$A:$A,0)),IF(AB$1=INDEX('Valo FX'!$R:$R,MATCH($A19,'Valo FX'!$A:$A,0)),INDEX(Base!$V:$V,MATCH($A19,Base!$A:$A,0)),0)))</f>
        <v>10.394145</v>
      </c>
      <c r="AC19" s="21">
        <f>IF(AC$1&lt;INDEX('Valo FX'!$Q:$Q,MATCH($A19,'Valo FX'!$A:$A,0)),0,IF(AC$1&lt;INDEX('Valo FX'!$R:$R,MATCH($A19,'Valo FX'!$A:$A,0)),INDEX(Base!$U:$U,MATCH($A19,Base!$A:$A,0)),IF(AC$1=INDEX('Valo FX'!$R:$R,MATCH($A19,'Valo FX'!$A:$A,0)),INDEX(Base!$V:$V,MATCH($A19,Base!$A:$A,0)),0)))</f>
        <v>10.394145</v>
      </c>
      <c r="AD19" s="21">
        <f>IF(AD$1&lt;INDEX('Valo FX'!$Q:$Q,MATCH($A19,'Valo FX'!$A:$A,0)),0,IF(AD$1&lt;INDEX('Valo FX'!$R:$R,MATCH($A19,'Valo FX'!$A:$A,0)),INDEX(Base!$U:$U,MATCH($A19,Base!$A:$A,0)),IF(AD$1=INDEX('Valo FX'!$R:$R,MATCH($A19,'Valo FX'!$A:$A,0)),INDEX(Base!$V:$V,MATCH($A19,Base!$A:$A,0)),0)))</f>
        <v>10.394145</v>
      </c>
      <c r="AE19" s="21">
        <f>IF(AE$1&lt;INDEX('Valo FX'!$Q:$Q,MATCH($A19,'Valo FX'!$A:$A,0)),0,IF(AE$1&lt;INDEX('Valo FX'!$R:$R,MATCH($A19,'Valo FX'!$A:$A,0)),INDEX(Base!$U:$U,MATCH($A19,Base!$A:$A,0)),IF(AE$1=INDEX('Valo FX'!$R:$R,MATCH($A19,'Valo FX'!$A:$A,0)),INDEX(Base!$V:$V,MATCH($A19,Base!$A:$A,0)),0)))</f>
        <v>10.394145</v>
      </c>
      <c r="AF19" s="21">
        <f>IF(AF$1&lt;INDEX('Valo FX'!$Q:$Q,MATCH($A19,'Valo FX'!$A:$A,0)),0,IF(AF$1&lt;INDEX('Valo FX'!$R:$R,MATCH($A19,'Valo FX'!$A:$A,0)),INDEX(Base!$U:$U,MATCH($A19,Base!$A:$A,0)),IF(AF$1=INDEX('Valo FX'!$R:$R,MATCH($A19,'Valo FX'!$A:$A,0)),INDEX(Base!$V:$V,MATCH($A19,Base!$A:$A,0)),0)))</f>
        <v>10.394145</v>
      </c>
      <c r="AG19" s="21">
        <f>IF(AG$1&lt;INDEX('Valo FX'!$Q:$Q,MATCH($A19,'Valo FX'!$A:$A,0)),0,IF(AG$1&lt;INDEX('Valo FX'!$R:$R,MATCH($A19,'Valo FX'!$A:$A,0)),INDEX(Base!$U:$U,MATCH($A19,Base!$A:$A,0)),IF(AG$1=INDEX('Valo FX'!$R:$R,MATCH($A19,'Valo FX'!$A:$A,0)),INDEX(Base!$V:$V,MATCH($A19,Base!$A:$A,0)),0)))</f>
        <v>10.394145</v>
      </c>
      <c r="AH19" s="21">
        <f>IF(AH$1&lt;INDEX('Valo FX'!$Q:$Q,MATCH($A19,'Valo FX'!$A:$A,0)),0,IF(AH$1&lt;INDEX('Valo FX'!$R:$R,MATCH($A19,'Valo FX'!$A:$A,0)),INDEX(Base!$U:$U,MATCH($A19,Base!$A:$A,0)),IF(AH$1=INDEX('Valo FX'!$R:$R,MATCH($A19,'Valo FX'!$A:$A,0)),INDEX(Base!$V:$V,MATCH($A19,Base!$A:$A,0)),0)))</f>
        <v>10.394145</v>
      </c>
      <c r="AI19" s="21">
        <f>IF(AI$1&lt;INDEX('Valo FX'!$Q:$Q,MATCH($A19,'Valo FX'!$A:$A,0)),0,IF(AI$1&lt;INDEX('Valo FX'!$R:$R,MATCH($A19,'Valo FX'!$A:$A,0)),INDEX(Base!$U:$U,MATCH($A19,Base!$A:$A,0)),IF(AI$1=INDEX('Valo FX'!$R:$R,MATCH($A19,'Valo FX'!$A:$A,0)),INDEX(Base!$V:$V,MATCH($A19,Base!$A:$A,0)),0)))</f>
        <v>10.394145</v>
      </c>
      <c r="AJ19" s="21">
        <f>IF(AJ$1&lt;INDEX('Valo FX'!$Q:$Q,MATCH($A19,'Valo FX'!$A:$A,0)),0,IF(AJ$1&lt;INDEX('Valo FX'!$R:$R,MATCH($A19,'Valo FX'!$A:$A,0)),INDEX(Base!$U:$U,MATCH($A19,Base!$A:$A,0)),IF(AJ$1=INDEX('Valo FX'!$R:$R,MATCH($A19,'Valo FX'!$A:$A,0)),INDEX(Base!$V:$V,MATCH($A19,Base!$A:$A,0)),0)))</f>
        <v>10.394145</v>
      </c>
      <c r="AK19" s="21">
        <f>IF(AK$1&lt;INDEX('Valo FX'!$Q:$Q,MATCH($A19,'Valo FX'!$A:$A,0)),0,IF(AK$1&lt;INDEX('Valo FX'!$R:$R,MATCH($A19,'Valo FX'!$A:$A,0)),INDEX(Base!$U:$U,MATCH($A19,Base!$A:$A,0)),IF(AK$1=INDEX('Valo FX'!$R:$R,MATCH($A19,'Valo FX'!$A:$A,0)),INDEX(Base!$V:$V,MATCH($A19,Base!$A:$A,0)),0)))</f>
        <v>10.394145</v>
      </c>
      <c r="AL19" s="21">
        <f>IF(AL$1&lt;INDEX('Valo FX'!$Q:$Q,MATCH($A19,'Valo FX'!$A:$A,0)),0,IF(AL$1&lt;INDEX('Valo FX'!$R:$R,MATCH($A19,'Valo FX'!$A:$A,0)),INDEX(Base!$U:$U,MATCH($A19,Base!$A:$A,0)),IF(AL$1=INDEX('Valo FX'!$R:$R,MATCH($A19,'Valo FX'!$A:$A,0)),INDEX(Base!$V:$V,MATCH($A19,Base!$A:$A,0)),0)))</f>
        <v>10.394145</v>
      </c>
      <c r="AM19" s="21">
        <f>IF(AM$1&lt;INDEX('Valo FX'!$Q:$Q,MATCH($A19,'Valo FX'!$A:$A,0)),0,IF(AM$1&lt;INDEX('Valo FX'!$R:$R,MATCH($A19,'Valo FX'!$A:$A,0)),INDEX(Base!$U:$U,MATCH($A19,Base!$A:$A,0)),IF(AM$1=INDEX('Valo FX'!$R:$R,MATCH($A19,'Valo FX'!$A:$A,0)),INDEX(Base!$V:$V,MATCH($A19,Base!$A:$A,0)),0)))</f>
        <v>10.394145</v>
      </c>
      <c r="AN19" s="21">
        <f>IF(AN$1&lt;INDEX('Valo FX'!$Q:$Q,MATCH($A19,'Valo FX'!$A:$A,0)),0,IF(AN$1&lt;INDEX('Valo FX'!$R:$R,MATCH($A19,'Valo FX'!$A:$A,0)),INDEX(Base!$U:$U,MATCH($A19,Base!$A:$A,0)),IF(AN$1=INDEX('Valo FX'!$R:$R,MATCH($A19,'Valo FX'!$A:$A,0)),INDEX(Base!$V:$V,MATCH($A19,Base!$A:$A,0)),0)))</f>
        <v>10.394145</v>
      </c>
      <c r="AO19" s="21">
        <f>IF(AO$1&lt;INDEX('Valo FX'!$Q:$Q,MATCH($A19,'Valo FX'!$A:$A,0)),0,IF(AO$1&lt;INDEX('Valo FX'!$R:$R,MATCH($A19,'Valo FX'!$A:$A,0)),INDEX(Base!$U:$U,MATCH($A19,Base!$A:$A,0)),IF(AO$1=INDEX('Valo FX'!$R:$R,MATCH($A19,'Valo FX'!$A:$A,0)),INDEX(Base!$V:$V,MATCH($A19,Base!$A:$A,0)),0)))</f>
        <v>10.394145</v>
      </c>
      <c r="AP19" s="21">
        <f>IF(AP$1&lt;INDEX('Valo FX'!$Q:$Q,MATCH($A19,'Valo FX'!$A:$A,0)),0,IF(AP$1&lt;INDEX('Valo FX'!$R:$R,MATCH($A19,'Valo FX'!$A:$A,0)),INDEX(Base!$U:$U,MATCH($A19,Base!$A:$A,0)),IF(AP$1=INDEX('Valo FX'!$R:$R,MATCH($A19,'Valo FX'!$A:$A,0)),INDEX(Base!$V:$V,MATCH($A19,Base!$A:$A,0)),0)))</f>
        <v>10.394145</v>
      </c>
      <c r="AQ19" s="21">
        <f>IF(AQ$1&lt;INDEX('Valo FX'!$Q:$Q,MATCH($A19,'Valo FX'!$A:$A,0)),0,IF(AQ$1&lt;INDEX('Valo FX'!$R:$R,MATCH($A19,'Valo FX'!$A:$A,0)),INDEX(Base!$U:$U,MATCH($A19,Base!$A:$A,0)),IF(AQ$1=INDEX('Valo FX'!$R:$R,MATCH($A19,'Valo FX'!$A:$A,0)),INDEX(Base!$V:$V,MATCH($A19,Base!$A:$A,0)),0)))</f>
        <v>10.394145</v>
      </c>
      <c r="AR19" s="21">
        <f>IF(AR$1&lt;INDEX('Valo FX'!$Q:$Q,MATCH($A19,'Valo FX'!$A:$A,0)),0,IF(AR$1&lt;INDEX('Valo FX'!$R:$R,MATCH($A19,'Valo FX'!$A:$A,0)),INDEX(Base!$U:$U,MATCH($A19,Base!$A:$A,0)),IF(AR$1=INDEX('Valo FX'!$R:$R,MATCH($A19,'Valo FX'!$A:$A,0)),INDEX(Base!$V:$V,MATCH($A19,Base!$A:$A,0)),0)))</f>
        <v>10.394145</v>
      </c>
      <c r="AS19" s="21">
        <f>IF(AS$1&lt;INDEX('Valo FX'!$Q:$Q,MATCH($A19,'Valo FX'!$A:$A,0)),0,IF(AS$1&lt;INDEX('Valo FX'!$R:$R,MATCH($A19,'Valo FX'!$A:$A,0)),INDEX(Base!$U:$U,MATCH($A19,Base!$A:$A,0)),IF(AS$1=INDEX('Valo FX'!$R:$R,MATCH($A19,'Valo FX'!$A:$A,0)),INDEX(Base!$V:$V,MATCH($A19,Base!$A:$A,0)),0)))</f>
        <v>10.394145</v>
      </c>
      <c r="AT19" s="21">
        <f>IF(AT$1&lt;INDEX('Valo FX'!$Q:$Q,MATCH($A19,'Valo FX'!$A:$A,0)),0,IF(AT$1&lt;INDEX('Valo FX'!$R:$R,MATCH($A19,'Valo FX'!$A:$A,0)),INDEX(Base!$U:$U,MATCH($A19,Base!$A:$A,0)),IF(AT$1=INDEX('Valo FX'!$R:$R,MATCH($A19,'Valo FX'!$A:$A,0)),INDEX(Base!$V:$V,MATCH($A19,Base!$A:$A,0)),0)))</f>
        <v>10.394145</v>
      </c>
      <c r="AU19" s="21">
        <f>IF(AU$1&lt;INDEX('Valo FX'!$Q:$Q,MATCH($A19,'Valo FX'!$A:$A,0)),0,IF(AU$1&lt;INDEX('Valo FX'!$R:$R,MATCH($A19,'Valo FX'!$A:$A,0)),INDEX(Base!$U:$U,MATCH($A19,Base!$A:$A,0)),IF(AU$1=INDEX('Valo FX'!$R:$R,MATCH($A19,'Valo FX'!$A:$A,0)),INDEX(Base!$V:$V,MATCH($A19,Base!$A:$A,0)),0)))</f>
        <v>10.394145</v>
      </c>
      <c r="AV19" s="21">
        <f>IF(AV$1&lt;INDEX('Valo FX'!$Q:$Q,MATCH($A19,'Valo FX'!$A:$A,0)),0,IF(AV$1&lt;INDEX('Valo FX'!$R:$R,MATCH($A19,'Valo FX'!$A:$A,0)),INDEX(Base!$U:$U,MATCH($A19,Base!$A:$A,0)),IF(AV$1=INDEX('Valo FX'!$R:$R,MATCH($A19,'Valo FX'!$A:$A,0)),INDEX(Base!$V:$V,MATCH($A19,Base!$A:$A,0)),0)))</f>
        <v>10.394145</v>
      </c>
      <c r="AW19" s="21">
        <f>IF(AW$1&lt;INDEX('Valo FX'!$Q:$Q,MATCH($A19,'Valo FX'!$A:$A,0)),0,IF(AW$1&lt;INDEX('Valo FX'!$R:$R,MATCH($A19,'Valo FX'!$A:$A,0)),INDEX(Base!$U:$U,MATCH($A19,Base!$A:$A,0)),IF(AW$1=INDEX('Valo FX'!$R:$R,MATCH($A19,'Valo FX'!$A:$A,0)),INDEX(Base!$V:$V,MATCH($A19,Base!$A:$A,0)),0)))</f>
        <v>10.394145</v>
      </c>
      <c r="AX19" s="21">
        <f>IF(AX$1&lt;INDEX('Valo FX'!$Q:$Q,MATCH($A19,'Valo FX'!$A:$A,0)),0,IF(AX$1&lt;INDEX('Valo FX'!$R:$R,MATCH($A19,'Valo FX'!$A:$A,0)),INDEX(Base!$U:$U,MATCH($A19,Base!$A:$A,0)),IF(AX$1=INDEX('Valo FX'!$R:$R,MATCH($A19,'Valo FX'!$A:$A,0)),INDEX(Base!$V:$V,MATCH($A19,Base!$A:$A,0)),0)))</f>
        <v>10.394145</v>
      </c>
      <c r="AY19" s="21">
        <f>IF(AY$1&lt;INDEX('Valo FX'!$Q:$Q,MATCH($A19,'Valo FX'!$A:$A,0)),0,IF(AY$1&lt;INDEX('Valo FX'!$R:$R,MATCH($A19,'Valo FX'!$A:$A,0)),INDEX(Base!$U:$U,MATCH($A19,Base!$A:$A,0)),IF(AY$1=INDEX('Valo FX'!$R:$R,MATCH($A19,'Valo FX'!$A:$A,0)),INDEX(Base!$V:$V,MATCH($A19,Base!$A:$A,0)),0)))</f>
        <v>10.394145</v>
      </c>
      <c r="AZ19" s="21">
        <f>IF(AZ$1&lt;INDEX('Valo FX'!$Q:$Q,MATCH($A19,'Valo FX'!$A:$A,0)),0,IF(AZ$1&lt;INDEX('Valo FX'!$R:$R,MATCH($A19,'Valo FX'!$A:$A,0)),INDEX(Base!$U:$U,MATCH($A19,Base!$A:$A,0)),IF(AZ$1=INDEX('Valo FX'!$R:$R,MATCH($A19,'Valo FX'!$A:$A,0)),INDEX(Base!$V:$V,MATCH($A19,Base!$A:$A,0)),0)))</f>
        <v>10.394145</v>
      </c>
      <c r="BA19" s="21">
        <f>IF(BA$1&lt;INDEX('Valo FX'!$Q:$Q,MATCH($A19,'Valo FX'!$A:$A,0)),0,IF(BA$1&lt;INDEX('Valo FX'!$R:$R,MATCH($A19,'Valo FX'!$A:$A,0)),INDEX(Base!$U:$U,MATCH($A19,Base!$A:$A,0)),IF(BA$1=INDEX('Valo FX'!$R:$R,MATCH($A19,'Valo FX'!$A:$A,0)),INDEX(Base!$V:$V,MATCH($A19,Base!$A:$A,0)),0)))</f>
        <v>10.394145</v>
      </c>
      <c r="BB19" s="21">
        <f>IF(BB$1&lt;INDEX('Valo FX'!$Q:$Q,MATCH($A19,'Valo FX'!$A:$A,0)),0,IF(BB$1&lt;INDEX('Valo FX'!$R:$R,MATCH($A19,'Valo FX'!$A:$A,0)),INDEX(Base!$U:$U,MATCH($A19,Base!$A:$A,0)),IF(BB$1=INDEX('Valo FX'!$R:$R,MATCH($A19,'Valo FX'!$A:$A,0)),INDEX(Base!$V:$V,MATCH($A19,Base!$A:$A,0)),0)))</f>
        <v>10.394145</v>
      </c>
      <c r="BC19" s="21">
        <f>IF(BC$1&lt;INDEX('Valo FX'!$Q:$Q,MATCH($A19,'Valo FX'!$A:$A,0)),0,IF(BC$1&lt;INDEX('Valo FX'!$R:$R,MATCH($A19,'Valo FX'!$A:$A,0)),INDEX(Base!$U:$U,MATCH($A19,Base!$A:$A,0)),IF(BC$1=INDEX('Valo FX'!$R:$R,MATCH($A19,'Valo FX'!$A:$A,0)),INDEX(Base!$V:$V,MATCH($A19,Base!$A:$A,0)),0)))</f>
        <v>10.394145</v>
      </c>
      <c r="BD19" s="21">
        <f>IF(BD$1&lt;INDEX('Valo FX'!$Q:$Q,MATCH($A19,'Valo FX'!$A:$A,0)),0,IF(BD$1&lt;INDEX('Valo FX'!$R:$R,MATCH($A19,'Valo FX'!$A:$A,0)),INDEX(Base!$U:$U,MATCH($A19,Base!$A:$A,0)),IF(BD$1=INDEX('Valo FX'!$R:$R,MATCH($A19,'Valo FX'!$A:$A,0)),INDEX(Base!$V:$V,MATCH($A19,Base!$A:$A,0)),0)))</f>
        <v>10.394145</v>
      </c>
      <c r="BE19" s="21">
        <f>IF(BE$1&lt;INDEX('Valo FX'!$Q:$Q,MATCH($A19,'Valo FX'!$A:$A,0)),0,IF(BE$1&lt;INDEX('Valo FX'!$R:$R,MATCH($A19,'Valo FX'!$A:$A,0)),INDEX(Base!$U:$U,MATCH($A19,Base!$A:$A,0)),IF(BE$1=INDEX('Valo FX'!$R:$R,MATCH($A19,'Valo FX'!$A:$A,0)),INDEX(Base!$V:$V,MATCH($A19,Base!$A:$A,0)),0)))</f>
        <v>10.394145</v>
      </c>
      <c r="BF19" s="21">
        <f>IF(BF$1&lt;INDEX('Valo FX'!$Q:$Q,MATCH($A19,'Valo FX'!$A:$A,0)),0,IF(BF$1&lt;INDEX('Valo FX'!$R:$R,MATCH($A19,'Valo FX'!$A:$A,0)),INDEX(Base!$U:$U,MATCH($A19,Base!$A:$A,0)),IF(BF$1=INDEX('Valo FX'!$R:$R,MATCH($A19,'Valo FX'!$A:$A,0)),INDEX(Base!$V:$V,MATCH($A19,Base!$A:$A,0)),0)))</f>
        <v>10.394145</v>
      </c>
      <c r="BG19" s="21">
        <f>IF(BG$1&lt;INDEX('Valo FX'!$Q:$Q,MATCH($A19,'Valo FX'!$A:$A,0)),0,IF(BG$1&lt;INDEX('Valo FX'!$R:$R,MATCH($A19,'Valo FX'!$A:$A,0)),INDEX(Base!$U:$U,MATCH($A19,Base!$A:$A,0)),IF(BG$1=INDEX('Valo FX'!$R:$R,MATCH($A19,'Valo FX'!$A:$A,0)),INDEX(Base!$V:$V,MATCH($A19,Base!$A:$A,0)),0)))</f>
        <v>10.394145</v>
      </c>
      <c r="BH19" s="21">
        <f>IF(BH$1&lt;INDEX('Valo FX'!$Q:$Q,MATCH($A19,'Valo FX'!$A:$A,0)),0,IF(BH$1&lt;INDEX('Valo FX'!$R:$R,MATCH($A19,'Valo FX'!$A:$A,0)),INDEX(Base!$U:$U,MATCH($A19,Base!$A:$A,0)),IF(BH$1=INDEX('Valo FX'!$R:$R,MATCH($A19,'Valo FX'!$A:$A,0)),INDEX(Base!$V:$V,MATCH($A19,Base!$A:$A,0)),0)))</f>
        <v>10.394145</v>
      </c>
      <c r="BI19" s="21">
        <f>IF(BI$1&lt;INDEX('Valo FX'!$Q:$Q,MATCH($A19,'Valo FX'!$A:$A,0)),0,IF(BI$1&lt;INDEX('Valo FX'!$R:$R,MATCH($A19,'Valo FX'!$A:$A,0)),INDEX(Base!$U:$U,MATCH($A19,Base!$A:$A,0)),IF(BI$1=INDEX('Valo FX'!$R:$R,MATCH($A19,'Valo FX'!$A:$A,0)),INDEX(Base!$V:$V,MATCH($A19,Base!$A:$A,0)),0)))</f>
        <v>10.394145</v>
      </c>
      <c r="BJ19" s="21">
        <f>IF(BJ$1&lt;INDEX('Valo FX'!$Q:$Q,MATCH($A19,'Valo FX'!$A:$A,0)),0,IF(BJ$1&lt;INDEX('Valo FX'!$R:$R,MATCH($A19,'Valo FX'!$A:$A,0)),INDEX(Base!$U:$U,MATCH($A19,Base!$A:$A,0)),IF(BJ$1=INDEX('Valo FX'!$R:$R,MATCH($A19,'Valo FX'!$A:$A,0)),INDEX(Base!$V:$V,MATCH($A19,Base!$A:$A,0)),0)))</f>
        <v>10.394145</v>
      </c>
      <c r="BK19" s="21">
        <f>IF(BK$1&lt;INDEX('Valo FX'!$Q:$Q,MATCH($A19,'Valo FX'!$A:$A,0)),0,IF(BK$1&lt;INDEX('Valo FX'!$R:$R,MATCH($A19,'Valo FX'!$A:$A,0)),INDEX(Base!$U:$U,MATCH($A19,Base!$A:$A,0)),IF(BK$1=INDEX('Valo FX'!$R:$R,MATCH($A19,'Valo FX'!$A:$A,0)),INDEX(Base!$V:$V,MATCH($A19,Base!$A:$A,0)),0)))</f>
        <v>10.394145</v>
      </c>
      <c r="BL19" s="21">
        <f>IF(BL$1&lt;INDEX('Valo FX'!$Q:$Q,MATCH($A19,'Valo FX'!$A:$A,0)),0,IF(BL$1&lt;INDEX('Valo FX'!$R:$R,MATCH($A19,'Valo FX'!$A:$A,0)),INDEX(Base!$U:$U,MATCH($A19,Base!$A:$A,0)),IF(BL$1=INDEX('Valo FX'!$R:$R,MATCH($A19,'Valo FX'!$A:$A,0)),INDEX(Base!$V:$V,MATCH($A19,Base!$A:$A,0)),0)))</f>
        <v>10.394145</v>
      </c>
      <c r="BM19" s="21">
        <f>IF(BM$1&lt;INDEX('Valo FX'!$Q:$Q,MATCH($A19,'Valo FX'!$A:$A,0)),0,IF(BM$1&lt;INDEX('Valo FX'!$R:$R,MATCH($A19,'Valo FX'!$A:$A,0)),INDEX(Base!$U:$U,MATCH($A19,Base!$A:$A,0)),IF(BM$1=INDEX('Valo FX'!$R:$R,MATCH($A19,'Valo FX'!$A:$A,0)),INDEX(Base!$V:$V,MATCH($A19,Base!$A:$A,0)),0)))</f>
        <v>10.394145</v>
      </c>
      <c r="BN19" s="21">
        <f>IF(BN$1&lt;INDEX('Valo FX'!$Q:$Q,MATCH($A19,'Valo FX'!$A:$A,0)),0,IF(BN$1&lt;INDEX('Valo FX'!$R:$R,MATCH($A19,'Valo FX'!$A:$A,0)),INDEX(Base!$U:$U,MATCH($A19,Base!$A:$A,0)),IF(BN$1=INDEX('Valo FX'!$R:$R,MATCH($A19,'Valo FX'!$A:$A,0)),INDEX(Base!$V:$V,MATCH($A19,Base!$A:$A,0)),0)))</f>
        <v>10.394145</v>
      </c>
      <c r="BO19" s="21">
        <f>IF(BO$1&lt;INDEX('Valo FX'!$Q:$Q,MATCH($A19,'Valo FX'!$A:$A,0)),0,IF(BO$1&lt;INDEX('Valo FX'!$R:$R,MATCH($A19,'Valo FX'!$A:$A,0)),INDEX(Base!$U:$U,MATCH($A19,Base!$A:$A,0)),IF(BO$1=INDEX('Valo FX'!$R:$R,MATCH($A19,'Valo FX'!$A:$A,0)),INDEX(Base!$V:$V,MATCH($A19,Base!$A:$A,0)),0)))</f>
        <v>10.394145</v>
      </c>
      <c r="BP19" s="21">
        <f>IF(BP$1&lt;INDEX('Valo FX'!$Q:$Q,MATCH($A19,'Valo FX'!$A:$A,0)),0,IF(BP$1&lt;INDEX('Valo FX'!$R:$R,MATCH($A19,'Valo FX'!$A:$A,0)),INDEX(Base!$U:$U,MATCH($A19,Base!$A:$A,0)),IF(BP$1=INDEX('Valo FX'!$R:$R,MATCH($A19,'Valo FX'!$A:$A,0)),INDEX(Base!$V:$V,MATCH($A19,Base!$A:$A,0)),0)))</f>
        <v>10.394145</v>
      </c>
      <c r="BQ19" s="21">
        <f>IF(BQ$1&lt;INDEX('Valo FX'!$Q:$Q,MATCH($A19,'Valo FX'!$A:$A,0)),0,IF(BQ$1&lt;INDEX('Valo FX'!$R:$R,MATCH($A19,'Valo FX'!$A:$A,0)),INDEX(Base!$U:$U,MATCH($A19,Base!$A:$A,0)),IF(BQ$1=INDEX('Valo FX'!$R:$R,MATCH($A19,'Valo FX'!$A:$A,0)),INDEX(Base!$V:$V,MATCH($A19,Base!$A:$A,0)),0)))</f>
        <v>10.394145</v>
      </c>
      <c r="BR19" s="21">
        <f>IF(BR$1&lt;INDEX('Valo FX'!$Q:$Q,MATCH($A19,'Valo FX'!$A:$A,0)),0,IF(BR$1&lt;INDEX('Valo FX'!$R:$R,MATCH($A19,'Valo FX'!$A:$A,0)),INDEX(Base!$U:$U,MATCH($A19,Base!$A:$A,0)),IF(BR$1=INDEX('Valo FX'!$R:$R,MATCH($A19,'Valo FX'!$A:$A,0)),INDEX(Base!$V:$V,MATCH($A19,Base!$A:$A,0)),0)))</f>
        <v>10.394145</v>
      </c>
      <c r="BS19" s="21">
        <f>IF(BS$1&lt;INDEX('Valo FX'!$Q:$Q,MATCH($A19,'Valo FX'!$A:$A,0)),0,IF(BS$1&lt;INDEX('Valo FX'!$R:$R,MATCH($A19,'Valo FX'!$A:$A,0)),INDEX(Base!$U:$U,MATCH($A19,Base!$A:$A,0)),IF(BS$1=INDEX('Valo FX'!$R:$R,MATCH($A19,'Valo FX'!$A:$A,0)),INDEX(Base!$V:$V,MATCH($A19,Base!$A:$A,0)),0)))</f>
        <v>10.394145</v>
      </c>
      <c r="BT19" s="21">
        <f>IF(BT$1&lt;INDEX('Valo FX'!$Q:$Q,MATCH($A19,'Valo FX'!$A:$A,0)),0,IF(BT$1&lt;INDEX('Valo FX'!$R:$R,MATCH($A19,'Valo FX'!$A:$A,0)),INDEX(Base!$U:$U,MATCH($A19,Base!$A:$A,0)),IF(BT$1=INDEX('Valo FX'!$R:$R,MATCH($A19,'Valo FX'!$A:$A,0)),INDEX(Base!$V:$V,MATCH($A19,Base!$A:$A,0)),0)))</f>
        <v>10.394145</v>
      </c>
      <c r="BU19" s="21">
        <f>IF(BU$1&lt;INDEX('Valo FX'!$Q:$Q,MATCH($A19,'Valo FX'!$A:$A,0)),0,IF(BU$1&lt;INDEX('Valo FX'!$R:$R,MATCH($A19,'Valo FX'!$A:$A,0)),INDEX(Base!$U:$U,MATCH($A19,Base!$A:$A,0)),IF(BU$1=INDEX('Valo FX'!$R:$R,MATCH($A19,'Valo FX'!$A:$A,0)),INDEX(Base!$V:$V,MATCH($A19,Base!$A:$A,0)),0)))</f>
        <v>10.394145</v>
      </c>
      <c r="BV19" s="21">
        <f>IF(BV$1&lt;INDEX('Valo FX'!$Q:$Q,MATCH($A19,'Valo FX'!$A:$A,0)),0,IF(BV$1&lt;INDEX('Valo FX'!$R:$R,MATCH($A19,'Valo FX'!$A:$A,0)),INDEX(Base!$U:$U,MATCH($A19,Base!$A:$A,0)),IF(BV$1=INDEX('Valo FX'!$R:$R,MATCH($A19,'Valo FX'!$A:$A,0)),INDEX(Base!$V:$V,MATCH($A19,Base!$A:$A,0)),0)))</f>
        <v>10.394145</v>
      </c>
      <c r="BW19" s="21">
        <f>IF(BW$1&lt;INDEX('Valo FX'!$Q:$Q,MATCH($A19,'Valo FX'!$A:$A,0)),0,IF(BW$1&lt;INDEX('Valo FX'!$R:$R,MATCH($A19,'Valo FX'!$A:$A,0)),INDEX(Base!$U:$U,MATCH($A19,Base!$A:$A,0)),IF(BW$1=INDEX('Valo FX'!$R:$R,MATCH($A19,'Valo FX'!$A:$A,0)),INDEX(Base!$V:$V,MATCH($A19,Base!$A:$A,0)),0)))</f>
        <v>10.394145</v>
      </c>
      <c r="BX19" s="21">
        <f>IF(BX$1&lt;INDEX('Valo FX'!$Q:$Q,MATCH($A19,'Valo FX'!$A:$A,0)),0,IF(BX$1&lt;INDEX('Valo FX'!$R:$R,MATCH($A19,'Valo FX'!$A:$A,0)),INDEX(Base!$U:$U,MATCH($A19,Base!$A:$A,0)),IF(BX$1=INDEX('Valo FX'!$R:$R,MATCH($A19,'Valo FX'!$A:$A,0)),INDEX(Base!$V:$V,MATCH($A19,Base!$A:$A,0)),0)))</f>
        <v>10.394145</v>
      </c>
      <c r="BY19" s="21">
        <f>IF(BY$1&lt;INDEX('Valo FX'!$Q:$Q,MATCH($A19,'Valo FX'!$A:$A,0)),0,IF(BY$1&lt;INDEX('Valo FX'!$R:$R,MATCH($A19,'Valo FX'!$A:$A,0)),INDEX(Base!$U:$U,MATCH($A19,Base!$A:$A,0)),IF(BY$1=INDEX('Valo FX'!$R:$R,MATCH($A19,'Valo FX'!$A:$A,0)),INDEX(Base!$V:$V,MATCH($A19,Base!$A:$A,0)),0)))</f>
        <v>10.394145</v>
      </c>
      <c r="BZ19" s="21">
        <f>IF(BZ$1&lt;INDEX('Valo FX'!$Q:$Q,MATCH($A19,'Valo FX'!$A:$A,0)),0,IF(BZ$1&lt;INDEX('Valo FX'!$R:$R,MATCH($A19,'Valo FX'!$A:$A,0)),INDEX(Base!$U:$U,MATCH($A19,Base!$A:$A,0)),IF(BZ$1=INDEX('Valo FX'!$R:$R,MATCH($A19,'Valo FX'!$A:$A,0)),INDEX(Base!$V:$V,MATCH($A19,Base!$A:$A,0)),0)))</f>
        <v>10.394145</v>
      </c>
      <c r="CA19" s="21">
        <f>IF(CA$1&lt;INDEX('Valo FX'!$Q:$Q,MATCH($A19,'Valo FX'!$A:$A,0)),0,IF(CA$1&lt;INDEX('Valo FX'!$R:$R,MATCH($A19,'Valo FX'!$A:$A,0)),INDEX(Base!$U:$U,MATCH($A19,Base!$A:$A,0)),IF(CA$1=INDEX('Valo FX'!$R:$R,MATCH($A19,'Valo FX'!$A:$A,0)),INDEX(Base!$V:$V,MATCH($A19,Base!$A:$A,0)),0)))</f>
        <v>10.394145</v>
      </c>
      <c r="CB19" s="21">
        <f>IF(CB$1&lt;INDEX('Valo FX'!$Q:$Q,MATCH($A19,'Valo FX'!$A:$A,0)),0,IF(CB$1&lt;INDEX('Valo FX'!$R:$R,MATCH($A19,'Valo FX'!$A:$A,0)),INDEX(Base!$U:$U,MATCH($A19,Base!$A:$A,0)),IF(CB$1=INDEX('Valo FX'!$R:$R,MATCH($A19,'Valo FX'!$A:$A,0)),INDEX(Base!$V:$V,MATCH($A19,Base!$A:$A,0)),0)))</f>
        <v>10.394145</v>
      </c>
      <c r="CC19" s="21">
        <f>IF(CC$1&lt;INDEX('Valo FX'!$Q:$Q,MATCH($A19,'Valo FX'!$A:$A,0)),0,IF(CC$1&lt;INDEX('Valo FX'!$R:$R,MATCH($A19,'Valo FX'!$A:$A,0)),INDEX(Base!$U:$U,MATCH($A19,Base!$A:$A,0)),IF(CC$1=INDEX('Valo FX'!$R:$R,MATCH($A19,'Valo FX'!$A:$A,0)),INDEX(Base!$V:$V,MATCH($A19,Base!$A:$A,0)),0)))</f>
        <v>10.394145</v>
      </c>
      <c r="CD19" s="21">
        <f>IF(CD$1&lt;INDEX('Valo FX'!$Q:$Q,MATCH($A19,'Valo FX'!$A:$A,0)),0,IF(CD$1&lt;INDEX('Valo FX'!$R:$R,MATCH($A19,'Valo FX'!$A:$A,0)),INDEX(Base!$U:$U,MATCH($A19,Base!$A:$A,0)),IF(CD$1=INDEX('Valo FX'!$R:$R,MATCH($A19,'Valo FX'!$A:$A,0)),INDEX(Base!$V:$V,MATCH($A19,Base!$A:$A,0)),0)))</f>
        <v>10.394145</v>
      </c>
      <c r="CE19" s="21">
        <f>IF(CE$1&lt;INDEX('Valo FX'!$Q:$Q,MATCH($A19,'Valo FX'!$A:$A,0)),0,IF(CE$1&lt;INDEX('Valo FX'!$R:$R,MATCH($A19,'Valo FX'!$A:$A,0)),INDEX(Base!$U:$U,MATCH($A19,Base!$A:$A,0)),IF(CE$1=INDEX('Valo FX'!$R:$R,MATCH($A19,'Valo FX'!$A:$A,0)),INDEX(Base!$V:$V,MATCH($A19,Base!$A:$A,0)),0)))</f>
        <v>10.394145</v>
      </c>
      <c r="CF19" s="21">
        <f>IF(CF$1&lt;INDEX('Valo FX'!$Q:$Q,MATCH($A19,'Valo FX'!$A:$A,0)),0,IF(CF$1&lt;INDEX('Valo FX'!$R:$R,MATCH($A19,'Valo FX'!$A:$A,0)),INDEX(Base!$U:$U,MATCH($A19,Base!$A:$A,0)),IF(CF$1=INDEX('Valo FX'!$R:$R,MATCH($A19,'Valo FX'!$A:$A,0)),INDEX(Base!$V:$V,MATCH($A19,Base!$A:$A,0)),0)))</f>
        <v>10.394145</v>
      </c>
      <c r="CG19" s="21">
        <f>IF(CG$1&lt;INDEX('Valo FX'!$Q:$Q,MATCH($A19,'Valo FX'!$A:$A,0)),0,IF(CG$1&lt;INDEX('Valo FX'!$R:$R,MATCH($A19,'Valo FX'!$A:$A,0)),INDEX(Base!$U:$U,MATCH($A19,Base!$A:$A,0)),IF(CG$1=INDEX('Valo FX'!$R:$R,MATCH($A19,'Valo FX'!$A:$A,0)),INDEX(Base!$V:$V,MATCH($A19,Base!$A:$A,0)),0)))</f>
        <v>10.394145</v>
      </c>
      <c r="CH19" s="21">
        <f>IF(CH$1&lt;INDEX('Valo FX'!$Q:$Q,MATCH($A19,'Valo FX'!$A:$A,0)),0,IF(CH$1&lt;INDEX('Valo FX'!$R:$R,MATCH($A19,'Valo FX'!$A:$A,0)),INDEX(Base!$U:$U,MATCH($A19,Base!$A:$A,0)),IF(CH$1=INDEX('Valo FX'!$R:$R,MATCH($A19,'Valo FX'!$A:$A,0)),INDEX(Base!$V:$V,MATCH($A19,Base!$A:$A,0)),0)))</f>
        <v>10.394145</v>
      </c>
      <c r="CI19" s="21">
        <f>IF(CI$1&lt;INDEX('Valo FX'!$Q:$Q,MATCH($A19,'Valo FX'!$A:$A,0)),0,IF(CI$1&lt;INDEX('Valo FX'!$R:$R,MATCH($A19,'Valo FX'!$A:$A,0)),INDEX(Base!$U:$U,MATCH($A19,Base!$A:$A,0)),IF(CI$1=INDEX('Valo FX'!$R:$R,MATCH($A19,'Valo FX'!$A:$A,0)),INDEX(Base!$V:$V,MATCH($A19,Base!$A:$A,0)),0)))</f>
        <v>10.394145</v>
      </c>
      <c r="CJ19" s="21">
        <f>IF(CJ$1&lt;INDEX('Valo FX'!$Q:$Q,MATCH($A19,'Valo FX'!$A:$A,0)),0,IF(CJ$1&lt;INDEX('Valo FX'!$R:$R,MATCH($A19,'Valo FX'!$A:$A,0)),INDEX(Base!$U:$U,MATCH($A19,Base!$A:$A,0)),IF(CJ$1=INDEX('Valo FX'!$R:$R,MATCH($A19,'Valo FX'!$A:$A,0)),INDEX(Base!$V:$V,MATCH($A19,Base!$A:$A,0)),0)))</f>
        <v>10.394145</v>
      </c>
      <c r="CK19" s="21">
        <f>IF(CK$1&lt;INDEX('Valo FX'!$Q:$Q,MATCH($A19,'Valo FX'!$A:$A,0)),0,IF(CK$1&lt;INDEX('Valo FX'!$R:$R,MATCH($A19,'Valo FX'!$A:$A,0)),INDEX(Base!$U:$U,MATCH($A19,Base!$A:$A,0)),IF(CK$1=INDEX('Valo FX'!$R:$R,MATCH($A19,'Valo FX'!$A:$A,0)),INDEX(Base!$V:$V,MATCH($A19,Base!$A:$A,0)),0)))</f>
        <v>10.394145</v>
      </c>
      <c r="CL19" s="21">
        <f>IF(CL$1&lt;INDEX('Valo FX'!$Q:$Q,MATCH($A19,'Valo FX'!$A:$A,0)),0,IF(CL$1&lt;INDEX('Valo FX'!$R:$R,MATCH($A19,'Valo FX'!$A:$A,0)),INDEX(Base!$U:$U,MATCH($A19,Base!$A:$A,0)),IF(CL$1=INDEX('Valo FX'!$R:$R,MATCH($A19,'Valo FX'!$A:$A,0)),INDEX(Base!$V:$V,MATCH($A19,Base!$A:$A,0)),0)))</f>
        <v>10.394145</v>
      </c>
      <c r="CM19" s="21">
        <f>IF(CM$1&lt;INDEX('Valo FX'!$Q:$Q,MATCH($A19,'Valo FX'!$A:$A,0)),0,IF(CM$1&lt;INDEX('Valo FX'!$R:$R,MATCH($A19,'Valo FX'!$A:$A,0)),INDEX(Base!$U:$U,MATCH($A19,Base!$A:$A,0)),IF(CM$1=INDEX('Valo FX'!$R:$R,MATCH($A19,'Valo FX'!$A:$A,0)),INDEX(Base!$V:$V,MATCH($A19,Base!$A:$A,0)),0)))</f>
        <v>10.394145</v>
      </c>
      <c r="CN19" s="21">
        <f>IF(CN$1&lt;INDEX('Valo FX'!$Q:$Q,MATCH($A19,'Valo FX'!$A:$A,0)),0,IF(CN$1&lt;INDEX('Valo FX'!$R:$R,MATCH($A19,'Valo FX'!$A:$A,0)),INDEX(Base!$U:$U,MATCH($A19,Base!$A:$A,0)),IF(CN$1=INDEX('Valo FX'!$R:$R,MATCH($A19,'Valo FX'!$A:$A,0)),INDEX(Base!$V:$V,MATCH($A19,Base!$A:$A,0)),0)))</f>
        <v>10.394145</v>
      </c>
      <c r="CO19" s="21">
        <f>IF(CO$1&lt;INDEX('Valo FX'!$Q:$Q,MATCH($A19,'Valo FX'!$A:$A,0)),0,IF(CO$1&lt;INDEX('Valo FX'!$R:$R,MATCH($A19,'Valo FX'!$A:$A,0)),INDEX(Base!$U:$U,MATCH($A19,Base!$A:$A,0)),IF(CO$1=INDEX('Valo FX'!$R:$R,MATCH($A19,'Valo FX'!$A:$A,0)),INDEX(Base!$V:$V,MATCH($A19,Base!$A:$A,0)),0)))</f>
        <v>10.394145</v>
      </c>
      <c r="CP19" s="21">
        <f>IF(CP$1&lt;INDEX('Valo FX'!$Q:$Q,MATCH($A19,'Valo FX'!$A:$A,0)),0,IF(CP$1&lt;INDEX('Valo FX'!$R:$R,MATCH($A19,'Valo FX'!$A:$A,0)),INDEX(Base!$U:$U,MATCH($A19,Base!$A:$A,0)),IF(CP$1=INDEX('Valo FX'!$R:$R,MATCH($A19,'Valo FX'!$A:$A,0)),INDEX(Base!$V:$V,MATCH($A19,Base!$A:$A,0)),0)))</f>
        <v>10.394145</v>
      </c>
      <c r="CQ19" s="21">
        <f>IF(CQ$1&lt;INDEX('Valo FX'!$Q:$Q,MATCH($A19,'Valo FX'!$A:$A,0)),0,IF(CQ$1&lt;INDEX('Valo FX'!$R:$R,MATCH($A19,'Valo FX'!$A:$A,0)),INDEX(Base!$U:$U,MATCH($A19,Base!$A:$A,0)),IF(CQ$1=INDEX('Valo FX'!$R:$R,MATCH($A19,'Valo FX'!$A:$A,0)),INDEX(Base!$V:$V,MATCH($A19,Base!$A:$A,0)),0)))</f>
        <v>10.394145</v>
      </c>
      <c r="CR19" s="21">
        <f>IF(CR$1&lt;INDEX('Valo FX'!$Q:$Q,MATCH($A19,'Valo FX'!$A:$A,0)),0,IF(CR$1&lt;INDEX('Valo FX'!$R:$R,MATCH($A19,'Valo FX'!$A:$A,0)),INDEX(Base!$U:$U,MATCH($A19,Base!$A:$A,0)),IF(CR$1=INDEX('Valo FX'!$R:$R,MATCH($A19,'Valo FX'!$A:$A,0)),INDEX(Base!$V:$V,MATCH($A19,Base!$A:$A,0)),0)))</f>
        <v>10.394145</v>
      </c>
      <c r="CS19" s="21">
        <f>IF(CS$1&lt;INDEX('Valo FX'!$Q:$Q,MATCH($A19,'Valo FX'!$A:$A,0)),0,IF(CS$1&lt;INDEX('Valo FX'!$R:$R,MATCH($A19,'Valo FX'!$A:$A,0)),INDEX(Base!$U:$U,MATCH($A19,Base!$A:$A,0)),IF(CS$1=INDEX('Valo FX'!$R:$R,MATCH($A19,'Valo FX'!$A:$A,0)),INDEX(Base!$V:$V,MATCH($A19,Base!$A:$A,0)),0)))</f>
        <v>10.394145</v>
      </c>
      <c r="CT19" s="21">
        <f>IF(CT$1&lt;INDEX('Valo FX'!$Q:$Q,MATCH($A19,'Valo FX'!$A:$A,0)),0,IF(CT$1&lt;INDEX('Valo FX'!$R:$R,MATCH($A19,'Valo FX'!$A:$A,0)),INDEX(Base!$U:$U,MATCH($A19,Base!$A:$A,0)),IF(CT$1=INDEX('Valo FX'!$R:$R,MATCH($A19,'Valo FX'!$A:$A,0)),INDEX(Base!$V:$V,MATCH($A19,Base!$A:$A,0)),0)))</f>
        <v>10.394145</v>
      </c>
      <c r="CU19" s="21">
        <f>IF(CU$1&lt;INDEX('Valo FX'!$Q:$Q,MATCH($A19,'Valo FX'!$A:$A,0)),0,IF(CU$1&lt;INDEX('Valo FX'!$R:$R,MATCH($A19,'Valo FX'!$A:$A,0)),INDEX(Base!$U:$U,MATCH($A19,Base!$A:$A,0)),IF(CU$1=INDEX('Valo FX'!$R:$R,MATCH($A19,'Valo FX'!$A:$A,0)),INDEX(Base!$V:$V,MATCH($A19,Base!$A:$A,0)),0)))</f>
        <v>10.394145</v>
      </c>
      <c r="CV19" s="21">
        <f>IF(CV$1&lt;INDEX('Valo FX'!$Q:$Q,MATCH($A19,'Valo FX'!$A:$A,0)),0,IF(CV$1&lt;INDEX('Valo FX'!$R:$R,MATCH($A19,'Valo FX'!$A:$A,0)),INDEX(Base!$U:$U,MATCH($A19,Base!$A:$A,0)),IF(CV$1=INDEX('Valo FX'!$R:$R,MATCH($A19,'Valo FX'!$A:$A,0)),INDEX(Base!$V:$V,MATCH($A19,Base!$A:$A,0)),0)))</f>
        <v>10.394145</v>
      </c>
      <c r="CW19" s="21">
        <f>IF(CW$1&lt;INDEX('Valo FX'!$Q:$Q,MATCH($A19,'Valo FX'!$A:$A,0)),0,IF(CW$1&lt;INDEX('Valo FX'!$R:$R,MATCH($A19,'Valo FX'!$A:$A,0)),INDEX(Base!$U:$U,MATCH($A19,Base!$A:$A,0)),IF(CW$1=INDEX('Valo FX'!$R:$R,MATCH($A19,'Valo FX'!$A:$A,0)),INDEX(Base!$V:$V,MATCH($A19,Base!$A:$A,0)),0)))</f>
        <v>10.394145</v>
      </c>
      <c r="CX19" s="21">
        <f>IF(CX$1&lt;INDEX('Valo FX'!$Q:$Q,MATCH($A19,'Valo FX'!$A:$A,0)),0,IF(CX$1&lt;INDEX('Valo FX'!$R:$R,MATCH($A19,'Valo FX'!$A:$A,0)),INDEX(Base!$U:$U,MATCH($A19,Base!$A:$A,0)),IF(CX$1=INDEX('Valo FX'!$R:$R,MATCH($A19,'Valo FX'!$A:$A,0)),INDEX(Base!$V:$V,MATCH($A19,Base!$A:$A,0)),0)))</f>
        <v>10.394145</v>
      </c>
      <c r="CY19" s="21">
        <f>IF(CY$1&lt;INDEX('Valo FX'!$Q:$Q,MATCH($A19,'Valo FX'!$A:$A,0)),0,IF(CY$1&lt;INDEX('Valo FX'!$R:$R,MATCH($A19,'Valo FX'!$A:$A,0)),INDEX(Base!$U:$U,MATCH($A19,Base!$A:$A,0)),IF(CY$1=INDEX('Valo FX'!$R:$R,MATCH($A19,'Valo FX'!$A:$A,0)),INDEX(Base!$V:$V,MATCH($A19,Base!$A:$A,0)),0)))</f>
        <v>10.394145</v>
      </c>
      <c r="CZ19" s="21">
        <f>IF(CZ$1&lt;INDEX('Valo FX'!$Q:$Q,MATCH($A19,'Valo FX'!$A:$A,0)),0,IF(CZ$1&lt;INDEX('Valo FX'!$R:$R,MATCH($A19,'Valo FX'!$A:$A,0)),INDEX(Base!$U:$U,MATCH($A19,Base!$A:$A,0)),IF(CZ$1=INDEX('Valo FX'!$R:$R,MATCH($A19,'Valo FX'!$A:$A,0)),INDEX(Base!$V:$V,MATCH($A19,Base!$A:$A,0)),0)))</f>
        <v>10.394145</v>
      </c>
      <c r="DA19" s="21">
        <f>IF(DA$1&lt;INDEX('Valo FX'!$Q:$Q,MATCH($A19,'Valo FX'!$A:$A,0)),0,IF(DA$1&lt;INDEX('Valo FX'!$R:$R,MATCH($A19,'Valo FX'!$A:$A,0)),INDEX(Base!$U:$U,MATCH($A19,Base!$A:$A,0)),IF(DA$1=INDEX('Valo FX'!$R:$R,MATCH($A19,'Valo FX'!$A:$A,0)),INDEX(Base!$V:$V,MATCH($A19,Base!$A:$A,0)),0)))</f>
        <v>10.394145</v>
      </c>
      <c r="DB19" s="21">
        <f>IF(DB$1&lt;INDEX('Valo FX'!$Q:$Q,MATCH($A19,'Valo FX'!$A:$A,0)),0,IF(DB$1&lt;INDEX('Valo FX'!$R:$R,MATCH($A19,'Valo FX'!$A:$A,0)),INDEX(Base!$U:$U,MATCH($A19,Base!$A:$A,0)),IF(DB$1=INDEX('Valo FX'!$R:$R,MATCH($A19,'Valo FX'!$A:$A,0)),INDEX(Base!$V:$V,MATCH($A19,Base!$A:$A,0)),0)))</f>
        <v>10.394145</v>
      </c>
      <c r="DC19" s="21">
        <f>IF(DC$1&lt;INDEX('Valo FX'!$Q:$Q,MATCH($A19,'Valo FX'!$A:$A,0)),0,IF(DC$1&lt;INDEX('Valo FX'!$R:$R,MATCH($A19,'Valo FX'!$A:$A,0)),INDEX(Base!$U:$U,MATCH($A19,Base!$A:$A,0)),IF(DC$1=INDEX('Valo FX'!$R:$R,MATCH($A19,'Valo FX'!$A:$A,0)),INDEX(Base!$V:$V,MATCH($A19,Base!$A:$A,0)),0)))</f>
        <v>10.394145</v>
      </c>
      <c r="DD19" s="21">
        <f>IF(DD$1&lt;INDEX('Valo FX'!$Q:$Q,MATCH($A19,'Valo FX'!$A:$A,0)),0,IF(DD$1&lt;INDEX('Valo FX'!$R:$R,MATCH($A19,'Valo FX'!$A:$A,0)),INDEX(Base!$U:$U,MATCH($A19,Base!$A:$A,0)),IF(DD$1=INDEX('Valo FX'!$R:$R,MATCH($A19,'Valo FX'!$A:$A,0)),INDEX(Base!$V:$V,MATCH($A19,Base!$A:$A,0)),0)))</f>
        <v>10.394145</v>
      </c>
      <c r="DE19" s="21">
        <f>IF(DE$1&lt;INDEX('Valo FX'!$Q:$Q,MATCH($A19,'Valo FX'!$A:$A,0)),0,IF(DE$1&lt;INDEX('Valo FX'!$R:$R,MATCH($A19,'Valo FX'!$A:$A,0)),INDEX(Base!$U:$U,MATCH($A19,Base!$A:$A,0)),IF(DE$1=INDEX('Valo FX'!$R:$R,MATCH($A19,'Valo FX'!$A:$A,0)),INDEX(Base!$V:$V,MATCH($A19,Base!$A:$A,0)),0)))</f>
        <v>10.394145</v>
      </c>
      <c r="DF19" s="21">
        <f>IF(DF$1&lt;INDEX('Valo FX'!$Q:$Q,MATCH($A19,'Valo FX'!$A:$A,0)),0,IF(DF$1&lt;INDEX('Valo FX'!$R:$R,MATCH($A19,'Valo FX'!$A:$A,0)),INDEX(Base!$U:$U,MATCH($A19,Base!$A:$A,0)),IF(DF$1=INDEX('Valo FX'!$R:$R,MATCH($A19,'Valo FX'!$A:$A,0)),INDEX(Base!$V:$V,MATCH($A19,Base!$A:$A,0)),0)))</f>
        <v>10.394145</v>
      </c>
      <c r="DG19" s="21">
        <f>IF(DG$1&lt;INDEX('Valo FX'!$Q:$Q,MATCH($A19,'Valo FX'!$A:$A,0)),0,IF(DG$1&lt;INDEX('Valo FX'!$R:$R,MATCH($A19,'Valo FX'!$A:$A,0)),INDEX(Base!$U:$U,MATCH($A19,Base!$A:$A,0)),IF(DG$1=INDEX('Valo FX'!$R:$R,MATCH($A19,'Valo FX'!$A:$A,0)),INDEX(Base!$V:$V,MATCH($A19,Base!$A:$A,0)),0)))</f>
        <v>10.394145</v>
      </c>
      <c r="DH19" s="21">
        <f>IF(DH$1&lt;INDEX('Valo FX'!$Q:$Q,MATCH($A19,'Valo FX'!$A:$A,0)),0,IF(DH$1&lt;INDEX('Valo FX'!$R:$R,MATCH($A19,'Valo FX'!$A:$A,0)),INDEX(Base!$U:$U,MATCH($A19,Base!$A:$A,0)),IF(DH$1=INDEX('Valo FX'!$R:$R,MATCH($A19,'Valo FX'!$A:$A,0)),INDEX(Base!$V:$V,MATCH($A19,Base!$A:$A,0)),0)))</f>
        <v>10.394145</v>
      </c>
      <c r="DI19" s="21">
        <f>IF(DI$1&lt;INDEX('Valo FX'!$Q:$Q,MATCH($A19,'Valo FX'!$A:$A,0)),0,IF(DI$1&lt;INDEX('Valo FX'!$R:$R,MATCH($A19,'Valo FX'!$A:$A,0)),INDEX(Base!$U:$U,MATCH($A19,Base!$A:$A,0)),IF(DI$1=INDEX('Valo FX'!$R:$R,MATCH($A19,'Valo FX'!$A:$A,0)),INDEX(Base!$V:$V,MATCH($A19,Base!$A:$A,0)),0)))</f>
        <v>10.394145</v>
      </c>
      <c r="DJ19" s="21">
        <f>IF(DJ$1&lt;INDEX('Valo FX'!$Q:$Q,MATCH($A19,'Valo FX'!$A:$A,0)),0,IF(DJ$1&lt;INDEX('Valo FX'!$R:$R,MATCH($A19,'Valo FX'!$A:$A,0)),INDEX(Base!$U:$U,MATCH($A19,Base!$A:$A,0)),IF(DJ$1=INDEX('Valo FX'!$R:$R,MATCH($A19,'Valo FX'!$A:$A,0)),INDEX(Base!$V:$V,MATCH($A19,Base!$A:$A,0)),0)))</f>
        <v>10.394145</v>
      </c>
      <c r="DK19" s="21">
        <f>IF(DK$1&lt;INDEX('Valo FX'!$Q:$Q,MATCH($A19,'Valo FX'!$A:$A,0)),0,IF(DK$1&lt;INDEX('Valo FX'!$R:$R,MATCH($A19,'Valo FX'!$A:$A,0)),INDEX(Base!$U:$U,MATCH($A19,Base!$A:$A,0)),IF(DK$1=INDEX('Valo FX'!$R:$R,MATCH($A19,'Valo FX'!$A:$A,0)),INDEX(Base!$V:$V,MATCH($A19,Base!$A:$A,0)),0)))</f>
        <v>10.394145</v>
      </c>
      <c r="DL19" s="21">
        <f>IF(DL$1&lt;INDEX('Valo FX'!$Q:$Q,MATCH($A19,'Valo FX'!$A:$A,0)),0,IF(DL$1&lt;INDEX('Valo FX'!$R:$R,MATCH($A19,'Valo FX'!$A:$A,0)),INDEX(Base!$U:$U,MATCH($A19,Base!$A:$A,0)),IF(DL$1=INDEX('Valo FX'!$R:$R,MATCH($A19,'Valo FX'!$A:$A,0)),INDEX(Base!$V:$V,MATCH($A19,Base!$A:$A,0)),0)))</f>
        <v>10.394145</v>
      </c>
      <c r="DM19" s="21">
        <f>IF(DM$1&lt;INDEX('Valo FX'!$Q:$Q,MATCH($A19,'Valo FX'!$A:$A,0)),0,IF(DM$1&lt;INDEX('Valo FX'!$R:$R,MATCH($A19,'Valo FX'!$A:$A,0)),INDEX(Base!$U:$U,MATCH($A19,Base!$A:$A,0)),IF(DM$1=INDEX('Valo FX'!$R:$R,MATCH($A19,'Valo FX'!$A:$A,0)),INDEX(Base!$V:$V,MATCH($A19,Base!$A:$A,0)),0)))</f>
        <v>10.394145</v>
      </c>
      <c r="DN19" s="21">
        <f>IF(DN$1&lt;INDEX('Valo FX'!$Q:$Q,MATCH($A19,'Valo FX'!$A:$A,0)),0,IF(DN$1&lt;INDEX('Valo FX'!$R:$R,MATCH($A19,'Valo FX'!$A:$A,0)),INDEX(Base!$U:$U,MATCH($A19,Base!$A:$A,0)),IF(DN$1=INDEX('Valo FX'!$R:$R,MATCH($A19,'Valo FX'!$A:$A,0)),INDEX(Base!$V:$V,MATCH($A19,Base!$A:$A,0)),0)))</f>
        <v>10.394145</v>
      </c>
      <c r="DO19" s="21">
        <f>IF(DO$1&lt;INDEX('Valo FX'!$Q:$Q,MATCH($A19,'Valo FX'!$A:$A,0)),0,IF(DO$1&lt;INDEX('Valo FX'!$R:$R,MATCH($A19,'Valo FX'!$A:$A,0)),INDEX(Base!$U:$U,MATCH($A19,Base!$A:$A,0)),IF(DO$1=INDEX('Valo FX'!$R:$R,MATCH($A19,'Valo FX'!$A:$A,0)),INDEX(Base!$V:$V,MATCH($A19,Base!$A:$A,0)),0)))</f>
        <v>10.394145</v>
      </c>
      <c r="DP19" s="21">
        <f>IF(DP$1&lt;INDEX('Valo FX'!$Q:$Q,MATCH($A19,'Valo FX'!$A:$A,0)),0,IF(DP$1&lt;INDEX('Valo FX'!$R:$R,MATCH($A19,'Valo FX'!$A:$A,0)),INDEX(Base!$U:$U,MATCH($A19,Base!$A:$A,0)),IF(DP$1=INDEX('Valo FX'!$R:$R,MATCH($A19,'Valo FX'!$A:$A,0)),INDEX(Base!$V:$V,MATCH($A19,Base!$A:$A,0)),0)))</f>
        <v>10.394145</v>
      </c>
      <c r="DQ19" s="21">
        <f>IF(DQ$1&lt;INDEX('Valo FX'!$Q:$Q,MATCH($A19,'Valo FX'!$A:$A,0)),0,IF(DQ$1&lt;INDEX('Valo FX'!$R:$R,MATCH($A19,'Valo FX'!$A:$A,0)),INDEX(Base!$U:$U,MATCH($A19,Base!$A:$A,0)),IF(DQ$1=INDEX('Valo FX'!$R:$R,MATCH($A19,'Valo FX'!$A:$A,0)),INDEX(Base!$V:$V,MATCH($A19,Base!$A:$A,0)),0)))</f>
        <v>10.394145</v>
      </c>
      <c r="DR19" s="21">
        <f>IF(DR$1&lt;INDEX('Valo FX'!$Q:$Q,MATCH($A19,'Valo FX'!$A:$A,0)),0,IF(DR$1&lt;INDEX('Valo FX'!$R:$R,MATCH($A19,'Valo FX'!$A:$A,0)),INDEX(Base!$U:$U,MATCH($A19,Base!$A:$A,0)),IF(DR$1=INDEX('Valo FX'!$R:$R,MATCH($A19,'Valo FX'!$A:$A,0)),INDEX(Base!$V:$V,MATCH($A19,Base!$A:$A,0)),0)))</f>
        <v>10.394145</v>
      </c>
      <c r="DS19" s="21">
        <f>IF(DS$1&lt;INDEX('Valo FX'!$Q:$Q,MATCH($A19,'Valo FX'!$A:$A,0)),0,IF(DS$1&lt;INDEX('Valo FX'!$R:$R,MATCH($A19,'Valo FX'!$A:$A,0)),INDEX(Base!$U:$U,MATCH($A19,Base!$A:$A,0)),IF(DS$1=INDEX('Valo FX'!$R:$R,MATCH($A19,'Valo FX'!$A:$A,0)),INDEX(Base!$V:$V,MATCH($A19,Base!$A:$A,0)),0)))</f>
        <v>10.394145</v>
      </c>
      <c r="DT19" s="21">
        <f>IF(DT$1&lt;INDEX('Valo FX'!$Q:$Q,MATCH($A19,'Valo FX'!$A:$A,0)),0,IF(DT$1&lt;INDEX('Valo FX'!$R:$R,MATCH($A19,'Valo FX'!$A:$A,0)),INDEX(Base!$U:$U,MATCH($A19,Base!$A:$A,0)),IF(DT$1=INDEX('Valo FX'!$R:$R,MATCH($A19,'Valo FX'!$A:$A,0)),INDEX(Base!$V:$V,MATCH($A19,Base!$A:$A,0)),0)))</f>
        <v>10.394145</v>
      </c>
      <c r="DU19" s="21">
        <f>IF(DU$1&lt;INDEX('Valo FX'!$Q:$Q,MATCH($A19,'Valo FX'!$A:$A,0)),0,IF(DU$1&lt;INDEX('Valo FX'!$R:$R,MATCH($A19,'Valo FX'!$A:$A,0)),INDEX(Base!$U:$U,MATCH($A19,Base!$A:$A,0)),IF(DU$1=INDEX('Valo FX'!$R:$R,MATCH($A19,'Valo FX'!$A:$A,0)),INDEX(Base!$V:$V,MATCH($A19,Base!$A:$A,0)),0)))</f>
        <v>10.394145</v>
      </c>
      <c r="DV19" s="21">
        <f>IF(DV$1&lt;INDEX('Valo FX'!$Q:$Q,MATCH($A19,'Valo FX'!$A:$A,0)),0,IF(DV$1&lt;INDEX('Valo FX'!$R:$R,MATCH($A19,'Valo FX'!$A:$A,0)),INDEX(Base!$U:$U,MATCH($A19,Base!$A:$A,0)),IF(DV$1=INDEX('Valo FX'!$R:$R,MATCH($A19,'Valo FX'!$A:$A,0)),INDEX(Base!$V:$V,MATCH($A19,Base!$A:$A,0)),0)))</f>
        <v>10.394145</v>
      </c>
      <c r="DW19" s="21">
        <f>IF(DW$1&lt;INDEX('Valo FX'!$Q:$Q,MATCH($A19,'Valo FX'!$A:$A,0)),0,IF(DW$1&lt;INDEX('Valo FX'!$R:$R,MATCH($A19,'Valo FX'!$A:$A,0)),INDEX(Base!$U:$U,MATCH($A19,Base!$A:$A,0)),IF(DW$1=INDEX('Valo FX'!$R:$R,MATCH($A19,'Valo FX'!$A:$A,0)),INDEX(Base!$V:$V,MATCH($A19,Base!$A:$A,0)),0)))</f>
        <v>10.394145</v>
      </c>
      <c r="DX19" s="21">
        <f>IF(DX$1&lt;INDEX('Valo FX'!$Q:$Q,MATCH($A19,'Valo FX'!$A:$A,0)),0,IF(DX$1&lt;INDEX('Valo FX'!$R:$R,MATCH($A19,'Valo FX'!$A:$A,0)),INDEX(Base!$U:$U,MATCH($A19,Base!$A:$A,0)),IF(DX$1=INDEX('Valo FX'!$R:$R,MATCH($A19,'Valo FX'!$A:$A,0)),INDEX(Base!$V:$V,MATCH($A19,Base!$A:$A,0)),0)))</f>
        <v>10.394145</v>
      </c>
      <c r="DY19" s="21">
        <f>IF(DY$1&lt;INDEX('Valo FX'!$Q:$Q,MATCH($A19,'Valo FX'!$A:$A,0)),0,IF(DY$1&lt;INDEX('Valo FX'!$R:$R,MATCH($A19,'Valo FX'!$A:$A,0)),INDEX(Base!$U:$U,MATCH($A19,Base!$A:$A,0)),IF(DY$1=INDEX('Valo FX'!$R:$R,MATCH($A19,'Valo FX'!$A:$A,0)),INDEX(Base!$V:$V,MATCH($A19,Base!$A:$A,0)),0)))</f>
        <v>10.394145</v>
      </c>
      <c r="DZ19" s="21">
        <f>IF(DZ$1&lt;INDEX('Valo FX'!$Q:$Q,MATCH($A19,'Valo FX'!$A:$A,0)),0,IF(DZ$1&lt;INDEX('Valo FX'!$R:$R,MATCH($A19,'Valo FX'!$A:$A,0)),INDEX(Base!$U:$U,MATCH($A19,Base!$A:$A,0)),IF(DZ$1=INDEX('Valo FX'!$R:$R,MATCH($A19,'Valo FX'!$A:$A,0)),INDEX(Base!$V:$V,MATCH($A19,Base!$A:$A,0)),0)))</f>
        <v>10.394145</v>
      </c>
      <c r="EA19" s="21">
        <f>IF(EA$1&lt;INDEX('Valo FX'!$Q:$Q,MATCH($A19,'Valo FX'!$A:$A,0)),0,IF(EA$1&lt;INDEX('Valo FX'!$R:$R,MATCH($A19,'Valo FX'!$A:$A,0)),INDEX(Base!$U:$U,MATCH($A19,Base!$A:$A,0)),IF(EA$1=INDEX('Valo FX'!$R:$R,MATCH($A19,'Valo FX'!$A:$A,0)),INDEX(Base!$V:$V,MATCH($A19,Base!$A:$A,0)),0)))</f>
        <v>10.394145</v>
      </c>
      <c r="EB19" s="21">
        <f>IF(EB$1&lt;INDEX('Valo FX'!$Q:$Q,MATCH($A19,'Valo FX'!$A:$A,0)),0,IF(EB$1&lt;INDEX('Valo FX'!$R:$R,MATCH($A19,'Valo FX'!$A:$A,0)),INDEX(Base!$U:$U,MATCH($A19,Base!$A:$A,0)),IF(EB$1=INDEX('Valo FX'!$R:$R,MATCH($A19,'Valo FX'!$A:$A,0)),INDEX(Base!$V:$V,MATCH($A19,Base!$A:$A,0)),0)))</f>
        <v>10.394145</v>
      </c>
      <c r="EC19" s="21">
        <f>IF(EC$1&lt;INDEX('Valo FX'!$Q:$Q,MATCH($A19,'Valo FX'!$A:$A,0)),0,IF(EC$1&lt;INDEX('Valo FX'!$R:$R,MATCH($A19,'Valo FX'!$A:$A,0)),INDEX(Base!$U:$U,MATCH($A19,Base!$A:$A,0)),IF(EC$1=INDEX('Valo FX'!$R:$R,MATCH($A19,'Valo FX'!$A:$A,0)),INDEX(Base!$V:$V,MATCH($A19,Base!$A:$A,0)),0)))</f>
        <v>10.394145</v>
      </c>
      <c r="ED19" s="21">
        <f>IF(ED$1&lt;INDEX('Valo FX'!$Q:$Q,MATCH($A19,'Valo FX'!$A:$A,0)),0,IF(ED$1&lt;INDEX('Valo FX'!$R:$R,MATCH($A19,'Valo FX'!$A:$A,0)),INDEX(Base!$U:$U,MATCH($A19,Base!$A:$A,0)),IF(ED$1=INDEX('Valo FX'!$R:$R,MATCH($A19,'Valo FX'!$A:$A,0)),INDEX(Base!$V:$V,MATCH($A19,Base!$A:$A,0)),0)))</f>
        <v>10.394145</v>
      </c>
      <c r="EE19" s="21">
        <f>IF(EE$1&lt;INDEX('Valo FX'!$Q:$Q,MATCH($A19,'Valo FX'!$A:$A,0)),0,IF(EE$1&lt;INDEX('Valo FX'!$R:$R,MATCH($A19,'Valo FX'!$A:$A,0)),INDEX(Base!$U:$U,MATCH($A19,Base!$A:$A,0)),IF(EE$1=INDEX('Valo FX'!$R:$R,MATCH($A19,'Valo FX'!$A:$A,0)),INDEX(Base!$V:$V,MATCH($A19,Base!$A:$A,0)),0)))</f>
        <v>10.394145</v>
      </c>
      <c r="EF19" s="21">
        <f>IF(EF$1&lt;INDEX('Valo FX'!$Q:$Q,MATCH($A19,'Valo FX'!$A:$A,0)),0,IF(EF$1&lt;INDEX('Valo FX'!$R:$R,MATCH($A19,'Valo FX'!$A:$A,0)),INDEX(Base!$U:$U,MATCH($A19,Base!$A:$A,0)),IF(EF$1=INDEX('Valo FX'!$R:$R,MATCH($A19,'Valo FX'!$A:$A,0)),INDEX(Base!$V:$V,MATCH($A19,Base!$A:$A,0)),0)))</f>
        <v>10.394145</v>
      </c>
      <c r="EG19" s="21">
        <f>IF(EG$1&lt;INDEX('Valo FX'!$Q:$Q,MATCH($A19,'Valo FX'!$A:$A,0)),0,IF(EG$1&lt;INDEX('Valo FX'!$R:$R,MATCH($A19,'Valo FX'!$A:$A,0)),INDEX(Base!$U:$U,MATCH($A19,Base!$A:$A,0)),IF(EG$1=INDEX('Valo FX'!$R:$R,MATCH($A19,'Valo FX'!$A:$A,0)),INDEX(Base!$V:$V,MATCH($A19,Base!$A:$A,0)),0)))</f>
        <v>10.394145</v>
      </c>
      <c r="EH19" s="21">
        <f>IF(EH$1&lt;INDEX('Valo FX'!$Q:$Q,MATCH($A19,'Valo FX'!$A:$A,0)),0,IF(EH$1&lt;INDEX('Valo FX'!$R:$R,MATCH($A19,'Valo FX'!$A:$A,0)),INDEX(Base!$U:$U,MATCH($A19,Base!$A:$A,0)),IF(EH$1=INDEX('Valo FX'!$R:$R,MATCH($A19,'Valo FX'!$A:$A,0)),INDEX(Base!$V:$V,MATCH($A19,Base!$A:$A,0)),0)))</f>
        <v>10.394145</v>
      </c>
      <c r="EI19" s="21">
        <f>IF(EI$1&lt;INDEX('Valo FX'!$Q:$Q,MATCH($A19,'Valo FX'!$A:$A,0)),0,IF(EI$1&lt;INDEX('Valo FX'!$R:$R,MATCH($A19,'Valo FX'!$A:$A,0)),INDEX(Base!$U:$U,MATCH($A19,Base!$A:$A,0)),IF(EI$1=INDEX('Valo FX'!$R:$R,MATCH($A19,'Valo FX'!$A:$A,0)),INDEX(Base!$V:$V,MATCH($A19,Base!$A:$A,0)),0)))</f>
        <v>10.394145</v>
      </c>
      <c r="EJ19" s="21">
        <f>IF(EJ$1&lt;INDEX('Valo FX'!$Q:$Q,MATCH($A19,'Valo FX'!$A:$A,0)),0,IF(EJ$1&lt;INDEX('Valo FX'!$R:$R,MATCH($A19,'Valo FX'!$A:$A,0)),INDEX(Base!$U:$U,MATCH($A19,Base!$A:$A,0)),IF(EJ$1=INDEX('Valo FX'!$R:$R,MATCH($A19,'Valo FX'!$A:$A,0)),INDEX(Base!$V:$V,MATCH($A19,Base!$A:$A,0)),0)))</f>
        <v>10.394145</v>
      </c>
      <c r="EK19" s="21">
        <f>IF(EK$1&lt;INDEX('Valo FX'!$Q:$Q,MATCH($A19,'Valo FX'!$A:$A,0)),0,IF(EK$1&lt;INDEX('Valo FX'!$R:$R,MATCH($A19,'Valo FX'!$A:$A,0)),INDEX(Base!$U:$U,MATCH($A19,Base!$A:$A,0)),IF(EK$1=INDEX('Valo FX'!$R:$R,MATCH($A19,'Valo FX'!$A:$A,0)),INDEX(Base!$V:$V,MATCH($A19,Base!$A:$A,0)),0)))</f>
        <v>10.394145</v>
      </c>
      <c r="EL19" s="21">
        <f>IF(EL$1&lt;INDEX('Valo FX'!$Q:$Q,MATCH($A19,'Valo FX'!$A:$A,0)),0,IF(EL$1&lt;INDEX('Valo FX'!$R:$R,MATCH($A19,'Valo FX'!$A:$A,0)),INDEX(Base!$U:$U,MATCH($A19,Base!$A:$A,0)),IF(EL$1=INDEX('Valo FX'!$R:$R,MATCH($A19,'Valo FX'!$A:$A,0)),INDEX(Base!$V:$V,MATCH($A19,Base!$A:$A,0)),0)))</f>
        <v>10.394145</v>
      </c>
      <c r="EM19" s="21">
        <f>IF(EM$1&lt;INDEX('Valo FX'!$Q:$Q,MATCH($A19,'Valo FX'!$A:$A,0)),0,IF(EM$1&lt;INDEX('Valo FX'!$R:$R,MATCH($A19,'Valo FX'!$A:$A,0)),INDEX(Base!$U:$U,MATCH($A19,Base!$A:$A,0)),IF(EM$1=INDEX('Valo FX'!$R:$R,MATCH($A19,'Valo FX'!$A:$A,0)),INDEX(Base!$V:$V,MATCH($A19,Base!$A:$A,0)),0)))</f>
        <v>10.394145</v>
      </c>
      <c r="EN19" s="21">
        <f>IF(EN$1&lt;INDEX('Valo FX'!$Q:$Q,MATCH($A19,'Valo FX'!$A:$A,0)),0,IF(EN$1&lt;INDEX('Valo FX'!$R:$R,MATCH($A19,'Valo FX'!$A:$A,0)),INDEX(Base!$U:$U,MATCH($A19,Base!$A:$A,0)),IF(EN$1=INDEX('Valo FX'!$R:$R,MATCH($A19,'Valo FX'!$A:$A,0)),INDEX(Base!$V:$V,MATCH($A19,Base!$A:$A,0)),0)))</f>
        <v>10.394145</v>
      </c>
      <c r="EO19" s="21">
        <f>IF(EO$1&lt;INDEX('Valo FX'!$Q:$Q,MATCH($A19,'Valo FX'!$A:$A,0)),0,IF(EO$1&lt;INDEX('Valo FX'!$R:$R,MATCH($A19,'Valo FX'!$A:$A,0)),INDEX(Base!$U:$U,MATCH($A19,Base!$A:$A,0)),IF(EO$1=INDEX('Valo FX'!$R:$R,MATCH($A19,'Valo FX'!$A:$A,0)),INDEX(Base!$V:$V,MATCH($A19,Base!$A:$A,0)),0)))</f>
        <v>10.394145</v>
      </c>
      <c r="EP19" s="21">
        <f>IF(EP$1&lt;INDEX('Valo FX'!$Q:$Q,MATCH($A19,'Valo FX'!$A:$A,0)),0,IF(EP$1&lt;INDEX('Valo FX'!$R:$R,MATCH($A19,'Valo FX'!$A:$A,0)),INDEX(Base!$U:$U,MATCH($A19,Base!$A:$A,0)),IF(EP$1=INDEX('Valo FX'!$R:$R,MATCH($A19,'Valo FX'!$A:$A,0)),INDEX(Base!$V:$V,MATCH($A19,Base!$A:$A,0)),0)))</f>
        <v>10.394145</v>
      </c>
      <c r="EQ19" s="21">
        <f>IF(EQ$1&lt;INDEX('Valo FX'!$Q:$Q,MATCH($A19,'Valo FX'!$A:$A,0)),0,IF(EQ$1&lt;INDEX('Valo FX'!$R:$R,MATCH($A19,'Valo FX'!$A:$A,0)),INDEX(Base!$U:$U,MATCH($A19,Base!$A:$A,0)),IF(EQ$1=INDEX('Valo FX'!$R:$R,MATCH($A19,'Valo FX'!$A:$A,0)),INDEX(Base!$V:$V,MATCH($A19,Base!$A:$A,0)),0)))</f>
        <v>10.394145</v>
      </c>
      <c r="ER19" s="21">
        <f>IF(ER$1&lt;INDEX('Valo FX'!$Q:$Q,MATCH($A19,'Valo FX'!$A:$A,0)),0,IF(ER$1&lt;INDEX('Valo FX'!$R:$R,MATCH($A19,'Valo FX'!$A:$A,0)),INDEX(Base!$U:$U,MATCH($A19,Base!$A:$A,0)),IF(ER$1=INDEX('Valo FX'!$R:$R,MATCH($A19,'Valo FX'!$A:$A,0)),INDEX(Base!$V:$V,MATCH($A19,Base!$A:$A,0)),0)))</f>
        <v>10.394145</v>
      </c>
      <c r="ES19" s="21">
        <f>IF(ES$1&lt;INDEX('Valo FX'!$Q:$Q,MATCH($A19,'Valo FX'!$A:$A,0)),0,IF(ES$1&lt;INDEX('Valo FX'!$R:$R,MATCH($A19,'Valo FX'!$A:$A,0)),INDEX(Base!$U:$U,MATCH($A19,Base!$A:$A,0)),IF(ES$1=INDEX('Valo FX'!$R:$R,MATCH($A19,'Valo FX'!$A:$A,0)),INDEX(Base!$V:$V,MATCH($A19,Base!$A:$A,0)),0)))</f>
        <v>10.394145</v>
      </c>
      <c r="ET19" s="21">
        <f>IF(ET$1&lt;INDEX('Valo FX'!$Q:$Q,MATCH($A19,'Valo FX'!$A:$A,0)),0,IF(ET$1&lt;INDEX('Valo FX'!$R:$R,MATCH($A19,'Valo FX'!$A:$A,0)),INDEX(Base!$U:$U,MATCH($A19,Base!$A:$A,0)),IF(ET$1=INDEX('Valo FX'!$R:$R,MATCH($A19,'Valo FX'!$A:$A,0)),INDEX(Base!$V:$V,MATCH($A19,Base!$A:$A,0)),0)))</f>
        <v>10.394145</v>
      </c>
      <c r="EU19" s="21">
        <f>IF(EU$1&lt;INDEX('Valo FX'!$Q:$Q,MATCH($A19,'Valo FX'!$A:$A,0)),0,IF(EU$1&lt;INDEX('Valo FX'!$R:$R,MATCH($A19,'Valo FX'!$A:$A,0)),INDEX(Base!$U:$U,MATCH($A19,Base!$A:$A,0)),IF(EU$1=INDEX('Valo FX'!$R:$R,MATCH($A19,'Valo FX'!$A:$A,0)),INDEX(Base!$V:$V,MATCH($A19,Base!$A:$A,0)),0)))</f>
        <v>10.394145</v>
      </c>
      <c r="EV19" s="21">
        <f>IF(EV$1&lt;INDEX('Valo FX'!$Q:$Q,MATCH($A19,'Valo FX'!$A:$A,0)),0,IF(EV$1&lt;INDEX('Valo FX'!$R:$R,MATCH($A19,'Valo FX'!$A:$A,0)),INDEX(Base!$U:$U,MATCH($A19,Base!$A:$A,0)),IF(EV$1=INDEX('Valo FX'!$R:$R,MATCH($A19,'Valo FX'!$A:$A,0)),INDEX(Base!$V:$V,MATCH($A19,Base!$A:$A,0)),0)))</f>
        <v>10.394145</v>
      </c>
      <c r="EW19" s="21">
        <f>IF(EW$1&lt;INDEX('Valo FX'!$Q:$Q,MATCH($A19,'Valo FX'!$A:$A,0)),0,IF(EW$1&lt;INDEX('Valo FX'!$R:$R,MATCH($A19,'Valo FX'!$A:$A,0)),INDEX(Base!$U:$U,MATCH($A19,Base!$A:$A,0)),IF(EW$1=INDEX('Valo FX'!$R:$R,MATCH($A19,'Valo FX'!$A:$A,0)),INDEX(Base!$V:$V,MATCH($A19,Base!$A:$A,0)),0)))</f>
        <v>10.394145</v>
      </c>
      <c r="EX19" s="21">
        <f>IF(EX$1&lt;INDEX('Valo FX'!$Q:$Q,MATCH($A19,'Valo FX'!$A:$A,0)),0,IF(EX$1&lt;INDEX('Valo FX'!$R:$R,MATCH($A19,'Valo FX'!$A:$A,0)),INDEX(Base!$U:$U,MATCH($A19,Base!$A:$A,0)),IF(EX$1=INDEX('Valo FX'!$R:$R,MATCH($A19,'Valo FX'!$A:$A,0)),INDEX(Base!$V:$V,MATCH($A19,Base!$A:$A,0)),0)))</f>
        <v>10.394145</v>
      </c>
      <c r="EY19" s="21">
        <f>IF(EY$1&lt;INDEX('Valo FX'!$Q:$Q,MATCH($A19,'Valo FX'!$A:$A,0)),0,IF(EY$1&lt;INDEX('Valo FX'!$R:$R,MATCH($A19,'Valo FX'!$A:$A,0)),INDEX(Base!$U:$U,MATCH($A19,Base!$A:$A,0)),IF(EY$1=INDEX('Valo FX'!$R:$R,MATCH($A19,'Valo FX'!$A:$A,0)),INDEX(Base!$V:$V,MATCH($A19,Base!$A:$A,0)),0)))</f>
        <v>10.394145</v>
      </c>
      <c r="EZ19" s="21">
        <f>IF(EZ$1&lt;INDEX('Valo FX'!$Q:$Q,MATCH($A19,'Valo FX'!$A:$A,0)),0,IF(EZ$1&lt;INDEX('Valo FX'!$R:$R,MATCH($A19,'Valo FX'!$A:$A,0)),INDEX(Base!$U:$U,MATCH($A19,Base!$A:$A,0)),IF(EZ$1=INDEX('Valo FX'!$R:$R,MATCH($A19,'Valo FX'!$A:$A,0)),INDEX(Base!$V:$V,MATCH($A19,Base!$A:$A,0)),0)))</f>
        <v>10.394145</v>
      </c>
      <c r="FA19" s="21">
        <f>IF(FA$1&lt;INDEX('Valo FX'!$Q:$Q,MATCH($A19,'Valo FX'!$A:$A,0)),0,IF(FA$1&lt;INDEX('Valo FX'!$R:$R,MATCH($A19,'Valo FX'!$A:$A,0)),INDEX(Base!$U:$U,MATCH($A19,Base!$A:$A,0)),IF(FA$1=INDEX('Valo FX'!$R:$R,MATCH($A19,'Valo FX'!$A:$A,0)),INDEX(Base!$V:$V,MATCH($A19,Base!$A:$A,0)),0)))</f>
        <v>10.394145</v>
      </c>
      <c r="FB19" s="21">
        <f>IF(FB$1&lt;INDEX('Valo FX'!$Q:$Q,MATCH($A19,'Valo FX'!$A:$A,0)),0,IF(FB$1&lt;INDEX('Valo FX'!$R:$R,MATCH($A19,'Valo FX'!$A:$A,0)),INDEX(Base!$U:$U,MATCH($A19,Base!$A:$A,0)),IF(FB$1=INDEX('Valo FX'!$R:$R,MATCH($A19,'Valo FX'!$A:$A,0)),INDEX(Base!$V:$V,MATCH($A19,Base!$A:$A,0)),0)))</f>
        <v>10.394145</v>
      </c>
      <c r="FC19" s="21">
        <f>IF(FC$1&lt;INDEX('Valo FX'!$Q:$Q,MATCH($A19,'Valo FX'!$A:$A,0)),0,IF(FC$1&lt;INDEX('Valo FX'!$R:$R,MATCH($A19,'Valo FX'!$A:$A,0)),INDEX(Base!$U:$U,MATCH($A19,Base!$A:$A,0)),IF(FC$1=INDEX('Valo FX'!$R:$R,MATCH($A19,'Valo FX'!$A:$A,0)),INDEX(Base!$V:$V,MATCH($A19,Base!$A:$A,0)),0)))</f>
        <v>10.394145</v>
      </c>
      <c r="FD19" s="21">
        <f>IF(FD$1&lt;INDEX('Valo FX'!$Q:$Q,MATCH($A19,'Valo FX'!$A:$A,0)),0,IF(FD$1&lt;INDEX('Valo FX'!$R:$R,MATCH($A19,'Valo FX'!$A:$A,0)),INDEX(Base!$U:$U,MATCH($A19,Base!$A:$A,0)),IF(FD$1=INDEX('Valo FX'!$R:$R,MATCH($A19,'Valo FX'!$A:$A,0)),INDEX(Base!$V:$V,MATCH($A19,Base!$A:$A,0)),0)))</f>
        <v>10.394145</v>
      </c>
      <c r="FE19" s="21">
        <f>IF(FE$1&lt;INDEX('Valo FX'!$Q:$Q,MATCH($A19,'Valo FX'!$A:$A,0)),0,IF(FE$1&lt;INDEX('Valo FX'!$R:$R,MATCH($A19,'Valo FX'!$A:$A,0)),INDEX(Base!$U:$U,MATCH($A19,Base!$A:$A,0)),IF(FE$1=INDEX('Valo FX'!$R:$R,MATCH($A19,'Valo FX'!$A:$A,0)),INDEX(Base!$V:$V,MATCH($A19,Base!$A:$A,0)),0)))</f>
        <v>10.394145</v>
      </c>
      <c r="FF19" s="21">
        <f>IF(FF$1&lt;INDEX('Valo FX'!$Q:$Q,MATCH($A19,'Valo FX'!$A:$A,0)),0,IF(FF$1&lt;INDEX('Valo FX'!$R:$R,MATCH($A19,'Valo FX'!$A:$A,0)),INDEX(Base!$U:$U,MATCH($A19,Base!$A:$A,0)),IF(FF$1=INDEX('Valo FX'!$R:$R,MATCH($A19,'Valo FX'!$A:$A,0)),INDEX(Base!$V:$V,MATCH($A19,Base!$A:$A,0)),0)))</f>
        <v>10.394145</v>
      </c>
      <c r="FG19" s="21">
        <f>IF(FG$1&lt;INDEX('Valo FX'!$Q:$Q,MATCH($A19,'Valo FX'!$A:$A,0)),0,IF(FG$1&lt;INDEX('Valo FX'!$R:$R,MATCH($A19,'Valo FX'!$A:$A,0)),INDEX(Base!$U:$U,MATCH($A19,Base!$A:$A,0)),IF(FG$1=INDEX('Valo FX'!$R:$R,MATCH($A19,'Valo FX'!$A:$A,0)),INDEX(Base!$V:$V,MATCH($A19,Base!$A:$A,0)),0)))</f>
        <v>10.394145</v>
      </c>
      <c r="FH19" s="21">
        <f>IF(FH$1&lt;INDEX('Valo FX'!$Q:$Q,MATCH($A19,'Valo FX'!$A:$A,0)),0,IF(FH$1&lt;INDEX('Valo FX'!$R:$R,MATCH($A19,'Valo FX'!$A:$A,0)),INDEX(Base!$U:$U,MATCH($A19,Base!$A:$A,0)),IF(FH$1=INDEX('Valo FX'!$R:$R,MATCH($A19,'Valo FX'!$A:$A,0)),INDEX(Base!$V:$V,MATCH($A19,Base!$A:$A,0)),0)))</f>
        <v>10.394145</v>
      </c>
      <c r="FI19" s="21">
        <f>IF(FI$1&lt;INDEX('Valo FX'!$Q:$Q,MATCH($A19,'Valo FX'!$A:$A,0)),0,IF(FI$1&lt;INDEX('Valo FX'!$R:$R,MATCH($A19,'Valo FX'!$A:$A,0)),INDEX(Base!$U:$U,MATCH($A19,Base!$A:$A,0)),IF(FI$1=INDEX('Valo FX'!$R:$R,MATCH($A19,'Valo FX'!$A:$A,0)),INDEX(Base!$V:$V,MATCH($A19,Base!$A:$A,0)),0)))</f>
        <v>10.394145</v>
      </c>
      <c r="FJ19" s="21">
        <f>IF(FJ$1&lt;INDEX('Valo FX'!$Q:$Q,MATCH($A19,'Valo FX'!$A:$A,0)),0,IF(FJ$1&lt;INDEX('Valo FX'!$R:$R,MATCH($A19,'Valo FX'!$A:$A,0)),INDEX(Base!$U:$U,MATCH($A19,Base!$A:$A,0)),IF(FJ$1=INDEX('Valo FX'!$R:$R,MATCH($A19,'Valo FX'!$A:$A,0)),INDEX(Base!$V:$V,MATCH($A19,Base!$A:$A,0)),0)))</f>
        <v>10.394145</v>
      </c>
      <c r="FK19" s="21">
        <f>IF(FK$1&lt;INDEX('Valo FX'!$Q:$Q,MATCH($A19,'Valo FX'!$A:$A,0)),0,IF(FK$1&lt;INDEX('Valo FX'!$R:$R,MATCH($A19,'Valo FX'!$A:$A,0)),INDEX(Base!$U:$U,MATCH($A19,Base!$A:$A,0)),IF(FK$1=INDEX('Valo FX'!$R:$R,MATCH($A19,'Valo FX'!$A:$A,0)),INDEX(Base!$V:$V,MATCH($A19,Base!$A:$A,0)),0)))</f>
        <v>10.394145</v>
      </c>
      <c r="FL19" s="21">
        <f>IF(FL$1&lt;INDEX('Valo FX'!$Q:$Q,MATCH($A19,'Valo FX'!$A:$A,0)),0,IF(FL$1&lt;INDEX('Valo FX'!$R:$R,MATCH($A19,'Valo FX'!$A:$A,0)),INDEX(Base!$U:$U,MATCH($A19,Base!$A:$A,0)),IF(FL$1=INDEX('Valo FX'!$R:$R,MATCH($A19,'Valo FX'!$A:$A,0)),INDEX(Base!$V:$V,MATCH($A19,Base!$A:$A,0)),0)))</f>
        <v>10.394145</v>
      </c>
      <c r="FM19" s="21">
        <f>IF(FM$1&lt;INDEX('Valo FX'!$Q:$Q,MATCH($A19,'Valo FX'!$A:$A,0)),0,IF(FM$1&lt;INDEX('Valo FX'!$R:$R,MATCH($A19,'Valo FX'!$A:$A,0)),INDEX(Base!$U:$U,MATCH($A19,Base!$A:$A,0)),IF(FM$1=INDEX('Valo FX'!$R:$R,MATCH($A19,'Valo FX'!$A:$A,0)),INDEX(Base!$V:$V,MATCH($A19,Base!$A:$A,0)),0)))</f>
        <v>10.394145</v>
      </c>
      <c r="FN19" s="21">
        <f>IF(FN$1&lt;INDEX('Valo FX'!$Q:$Q,MATCH($A19,'Valo FX'!$A:$A,0)),0,IF(FN$1&lt;INDEX('Valo FX'!$R:$R,MATCH($A19,'Valo FX'!$A:$A,0)),INDEX(Base!$U:$U,MATCH($A19,Base!$A:$A,0)),IF(FN$1=INDEX('Valo FX'!$R:$R,MATCH($A19,'Valo FX'!$A:$A,0)),INDEX(Base!$V:$V,MATCH($A19,Base!$A:$A,0)),0)))</f>
        <v>10.394145</v>
      </c>
      <c r="FO19" s="21">
        <f>IF(FO$1&lt;INDEX('Valo FX'!$Q:$Q,MATCH($A19,'Valo FX'!$A:$A,0)),0,IF(FO$1&lt;INDEX('Valo FX'!$R:$R,MATCH($A19,'Valo FX'!$A:$A,0)),INDEX(Base!$U:$U,MATCH($A19,Base!$A:$A,0)),IF(FO$1=INDEX('Valo FX'!$R:$R,MATCH($A19,'Valo FX'!$A:$A,0)),INDEX(Base!$V:$V,MATCH($A19,Base!$A:$A,0)),0)))</f>
        <v>10.394145</v>
      </c>
      <c r="FP19" s="21">
        <f>IF(FP$1&lt;INDEX('Valo FX'!$Q:$Q,MATCH($A19,'Valo FX'!$A:$A,0)),0,IF(FP$1&lt;INDEX('Valo FX'!$R:$R,MATCH($A19,'Valo FX'!$A:$A,0)),INDEX(Base!$U:$U,MATCH($A19,Base!$A:$A,0)),IF(FP$1=INDEX('Valo FX'!$R:$R,MATCH($A19,'Valo FX'!$A:$A,0)),INDEX(Base!$V:$V,MATCH($A19,Base!$A:$A,0)),0)))</f>
        <v>10.394145</v>
      </c>
      <c r="FQ19" s="21">
        <f>IF(FQ$1&lt;INDEX('Valo FX'!$Q:$Q,MATCH($A19,'Valo FX'!$A:$A,0)),0,IF(FQ$1&lt;INDEX('Valo FX'!$R:$R,MATCH($A19,'Valo FX'!$A:$A,0)),INDEX(Base!$U:$U,MATCH($A19,Base!$A:$A,0)),IF(FQ$1=INDEX('Valo FX'!$R:$R,MATCH($A19,'Valo FX'!$A:$A,0)),INDEX(Base!$V:$V,MATCH($A19,Base!$A:$A,0)),0)))</f>
        <v>10.394145</v>
      </c>
      <c r="FR19" s="21">
        <f>IF(FR$1&lt;INDEX('Valo FX'!$Q:$Q,MATCH($A19,'Valo FX'!$A:$A,0)),0,IF(FR$1&lt;INDEX('Valo FX'!$R:$R,MATCH($A19,'Valo FX'!$A:$A,0)),INDEX(Base!$U:$U,MATCH($A19,Base!$A:$A,0)),IF(FR$1=INDEX('Valo FX'!$R:$R,MATCH($A19,'Valo FX'!$A:$A,0)),INDEX(Base!$V:$V,MATCH($A19,Base!$A:$A,0)),0)))</f>
        <v>10.394145</v>
      </c>
      <c r="FS19" s="21">
        <f>IF(FS$1&lt;INDEX('Valo FX'!$Q:$Q,MATCH($A19,'Valo FX'!$A:$A,0)),0,IF(FS$1&lt;INDEX('Valo FX'!$R:$R,MATCH($A19,'Valo FX'!$A:$A,0)),INDEX(Base!$U:$U,MATCH($A19,Base!$A:$A,0)),IF(FS$1=INDEX('Valo FX'!$R:$R,MATCH($A19,'Valo FX'!$A:$A,0)),INDEX(Base!$V:$V,MATCH($A19,Base!$A:$A,0)),0)))</f>
        <v>10.394145</v>
      </c>
      <c r="FT19" s="21">
        <f>IF(FT$1&lt;INDEX('Valo FX'!$Q:$Q,MATCH($A19,'Valo FX'!$A:$A,0)),0,IF(FT$1&lt;INDEX('Valo FX'!$R:$R,MATCH($A19,'Valo FX'!$A:$A,0)),INDEX(Base!$U:$U,MATCH($A19,Base!$A:$A,0)),IF(FT$1=INDEX('Valo FX'!$R:$R,MATCH($A19,'Valo FX'!$A:$A,0)),INDEX(Base!$V:$V,MATCH($A19,Base!$A:$A,0)),0)))</f>
        <v>10.394145</v>
      </c>
      <c r="FU19" s="21">
        <f>IF(FU$1&lt;INDEX('Valo FX'!$Q:$Q,MATCH($A19,'Valo FX'!$A:$A,0)),0,IF(FU$1&lt;INDEX('Valo FX'!$R:$R,MATCH($A19,'Valo FX'!$A:$A,0)),INDEX(Base!$U:$U,MATCH($A19,Base!$A:$A,0)),IF(FU$1=INDEX('Valo FX'!$R:$R,MATCH($A19,'Valo FX'!$A:$A,0)),INDEX(Base!$V:$V,MATCH($A19,Base!$A:$A,0)),0)))</f>
        <v>10.394145</v>
      </c>
      <c r="FV19" s="21">
        <f>IF(FV$1&lt;INDEX('Valo FX'!$Q:$Q,MATCH($A19,'Valo FX'!$A:$A,0)),0,IF(FV$1&lt;INDEX('Valo FX'!$R:$R,MATCH($A19,'Valo FX'!$A:$A,0)),INDEX(Base!$U:$U,MATCH($A19,Base!$A:$A,0)),IF(FV$1=INDEX('Valo FX'!$R:$R,MATCH($A19,'Valo FX'!$A:$A,0)),INDEX(Base!$V:$V,MATCH($A19,Base!$A:$A,0)),0)))</f>
        <v>10.394145</v>
      </c>
      <c r="FW19" s="21">
        <f>IF(FW$1&lt;INDEX('Valo FX'!$Q:$Q,MATCH($A19,'Valo FX'!$A:$A,0)),0,IF(FW$1&lt;INDEX('Valo FX'!$R:$R,MATCH($A19,'Valo FX'!$A:$A,0)),INDEX(Base!$U:$U,MATCH($A19,Base!$A:$A,0)),IF(FW$1=INDEX('Valo FX'!$R:$R,MATCH($A19,'Valo FX'!$A:$A,0)),INDEX(Base!$V:$V,MATCH($A19,Base!$A:$A,0)),0)))</f>
        <v>10.394145</v>
      </c>
      <c r="FX19" s="21">
        <f>IF(FX$1&lt;INDEX('Valo FX'!$Q:$Q,MATCH($A19,'Valo FX'!$A:$A,0)),0,IF(FX$1&lt;INDEX('Valo FX'!$R:$R,MATCH($A19,'Valo FX'!$A:$A,0)),INDEX(Base!$U:$U,MATCH($A19,Base!$A:$A,0)),IF(FX$1=INDEX('Valo FX'!$R:$R,MATCH($A19,'Valo FX'!$A:$A,0)),INDEX(Base!$V:$V,MATCH($A19,Base!$A:$A,0)),0)))</f>
        <v>10.394145</v>
      </c>
      <c r="FY19" s="21">
        <f>IF(FY$1&lt;INDEX('Valo FX'!$Q:$Q,MATCH($A19,'Valo FX'!$A:$A,0)),0,IF(FY$1&lt;INDEX('Valo FX'!$R:$R,MATCH($A19,'Valo FX'!$A:$A,0)),INDEX(Base!$U:$U,MATCH($A19,Base!$A:$A,0)),IF(FY$1=INDEX('Valo FX'!$R:$R,MATCH($A19,'Valo FX'!$A:$A,0)),INDEX(Base!$V:$V,MATCH($A19,Base!$A:$A,0)),0)))</f>
        <v>10.394145</v>
      </c>
      <c r="FZ19" s="21">
        <f>IF(FZ$1&lt;INDEX('Valo FX'!$Q:$Q,MATCH($A19,'Valo FX'!$A:$A,0)),0,IF(FZ$1&lt;INDEX('Valo FX'!$R:$R,MATCH($A19,'Valo FX'!$A:$A,0)),INDEX(Base!$U:$U,MATCH($A19,Base!$A:$A,0)),IF(FZ$1=INDEX('Valo FX'!$R:$R,MATCH($A19,'Valo FX'!$A:$A,0)),INDEX(Base!$V:$V,MATCH($A19,Base!$A:$A,0)),0)))</f>
        <v>10.394145</v>
      </c>
      <c r="GA19" s="21">
        <f>IF(GA$1&lt;INDEX('Valo FX'!$Q:$Q,MATCH($A19,'Valo FX'!$A:$A,0)),0,IF(GA$1&lt;INDEX('Valo FX'!$R:$R,MATCH($A19,'Valo FX'!$A:$A,0)),INDEX(Base!$U:$U,MATCH($A19,Base!$A:$A,0)),IF(GA$1=INDEX('Valo FX'!$R:$R,MATCH($A19,'Valo FX'!$A:$A,0)),INDEX(Base!$V:$V,MATCH($A19,Base!$A:$A,0)),0)))</f>
        <v>10.394145</v>
      </c>
      <c r="GB19" s="21">
        <f>IF(GB$1&lt;INDEX('Valo FX'!$Q:$Q,MATCH($A19,'Valo FX'!$A:$A,0)),0,IF(GB$1&lt;INDEX('Valo FX'!$R:$R,MATCH($A19,'Valo FX'!$A:$A,0)),INDEX(Base!$U:$U,MATCH($A19,Base!$A:$A,0)),IF(GB$1=INDEX('Valo FX'!$R:$R,MATCH($A19,'Valo FX'!$A:$A,0)),INDEX(Base!$V:$V,MATCH($A19,Base!$A:$A,0)),0)))</f>
        <v>10.394145</v>
      </c>
      <c r="GC19" s="21">
        <f>IF(GC$1&lt;INDEX('Valo FX'!$Q:$Q,MATCH($A19,'Valo FX'!$A:$A,0)),0,IF(GC$1&lt;INDEX('Valo FX'!$R:$R,MATCH($A19,'Valo FX'!$A:$A,0)),INDEX(Base!$U:$U,MATCH($A19,Base!$A:$A,0)),IF(GC$1=INDEX('Valo FX'!$R:$R,MATCH($A19,'Valo FX'!$A:$A,0)),INDEX(Base!$V:$V,MATCH($A19,Base!$A:$A,0)),0)))</f>
        <v>10.394145</v>
      </c>
      <c r="GD19" s="21">
        <f>IF(GD$1&lt;INDEX('Valo FX'!$Q:$Q,MATCH($A19,'Valo FX'!$A:$A,0)),0,IF(GD$1&lt;INDEX('Valo FX'!$R:$R,MATCH($A19,'Valo FX'!$A:$A,0)),INDEX(Base!$U:$U,MATCH($A19,Base!$A:$A,0)),IF(GD$1=INDEX('Valo FX'!$R:$R,MATCH($A19,'Valo FX'!$A:$A,0)),INDEX(Base!$V:$V,MATCH($A19,Base!$A:$A,0)),0)))</f>
        <v>10.394145</v>
      </c>
      <c r="GE19" s="21">
        <f>IF(GE$1&lt;INDEX('Valo FX'!$Q:$Q,MATCH($A19,'Valo FX'!$A:$A,0)),0,IF(GE$1&lt;INDEX('Valo FX'!$R:$R,MATCH($A19,'Valo FX'!$A:$A,0)),INDEX(Base!$U:$U,MATCH($A19,Base!$A:$A,0)),IF(GE$1=INDEX('Valo FX'!$R:$R,MATCH($A19,'Valo FX'!$A:$A,0)),INDEX(Base!$V:$V,MATCH($A19,Base!$A:$A,0)),0)))</f>
        <v>10.394145</v>
      </c>
      <c r="GF19" s="21">
        <f>IF(GF$1&lt;INDEX('Valo FX'!$Q:$Q,MATCH($A19,'Valo FX'!$A:$A,0)),0,IF(GF$1&lt;INDEX('Valo FX'!$R:$R,MATCH($A19,'Valo FX'!$A:$A,0)),INDEX(Base!$U:$U,MATCH($A19,Base!$A:$A,0)),IF(GF$1=INDEX('Valo FX'!$R:$R,MATCH($A19,'Valo FX'!$A:$A,0)),INDEX(Base!$V:$V,MATCH($A19,Base!$A:$A,0)),0)))</f>
        <v>10.394145</v>
      </c>
      <c r="GG19" s="21">
        <f>IF(GG$1&lt;INDEX('Valo FX'!$Q:$Q,MATCH($A19,'Valo FX'!$A:$A,0)),0,IF(GG$1&lt;INDEX('Valo FX'!$R:$R,MATCH($A19,'Valo FX'!$A:$A,0)),INDEX(Base!$U:$U,MATCH($A19,Base!$A:$A,0)),IF(GG$1=INDEX('Valo FX'!$R:$R,MATCH($A19,'Valo FX'!$A:$A,0)),INDEX(Base!$V:$V,MATCH($A19,Base!$A:$A,0)),0)))</f>
        <v>10.394145</v>
      </c>
      <c r="GH19" s="21">
        <f>IF(GH$1&lt;INDEX('Valo FX'!$Q:$Q,MATCH($A19,'Valo FX'!$A:$A,0)),0,IF(GH$1&lt;INDEX('Valo FX'!$R:$R,MATCH($A19,'Valo FX'!$A:$A,0)),INDEX(Base!$U:$U,MATCH($A19,Base!$A:$A,0)),IF(GH$1=INDEX('Valo FX'!$R:$R,MATCH($A19,'Valo FX'!$A:$A,0)),INDEX(Base!$V:$V,MATCH($A19,Base!$A:$A,0)),0)))</f>
        <v>10.394145</v>
      </c>
      <c r="GI19" s="21">
        <f>IF(GI$1&lt;INDEX('Valo FX'!$Q:$Q,MATCH($A19,'Valo FX'!$A:$A,0)),0,IF(GI$1&lt;INDEX('Valo FX'!$R:$R,MATCH($A19,'Valo FX'!$A:$A,0)),INDEX(Base!$U:$U,MATCH($A19,Base!$A:$A,0)),IF(GI$1=INDEX('Valo FX'!$R:$R,MATCH($A19,'Valo FX'!$A:$A,0)),INDEX(Base!$V:$V,MATCH($A19,Base!$A:$A,0)),0)))</f>
        <v>10.394145</v>
      </c>
      <c r="GJ19" s="21">
        <f>IF(GJ$1&lt;INDEX('Valo FX'!$Q:$Q,MATCH($A19,'Valo FX'!$A:$A,0)),0,IF(GJ$1&lt;INDEX('Valo FX'!$R:$R,MATCH($A19,'Valo FX'!$A:$A,0)),INDEX(Base!$U:$U,MATCH($A19,Base!$A:$A,0)),IF(GJ$1=INDEX('Valo FX'!$R:$R,MATCH($A19,'Valo FX'!$A:$A,0)),INDEX(Base!$V:$V,MATCH($A19,Base!$A:$A,0)),0)))</f>
        <v>10.394145</v>
      </c>
      <c r="GK19" s="21">
        <f>IF(GK$1&lt;INDEX('Valo FX'!$Q:$Q,MATCH($A19,'Valo FX'!$A:$A,0)),0,IF(GK$1&lt;INDEX('Valo FX'!$R:$R,MATCH($A19,'Valo FX'!$A:$A,0)),INDEX(Base!$U:$U,MATCH($A19,Base!$A:$A,0)),IF(GK$1=INDEX('Valo FX'!$R:$R,MATCH($A19,'Valo FX'!$A:$A,0)),INDEX(Base!$V:$V,MATCH($A19,Base!$A:$A,0)),0)))</f>
        <v>10.394145</v>
      </c>
      <c r="GL19" s="21">
        <f>IF(GL$1&lt;INDEX('Valo FX'!$Q:$Q,MATCH($A19,'Valo FX'!$A:$A,0)),0,IF(GL$1&lt;INDEX('Valo FX'!$R:$R,MATCH($A19,'Valo FX'!$A:$A,0)),INDEX(Base!$U:$U,MATCH($A19,Base!$A:$A,0)),IF(GL$1=INDEX('Valo FX'!$R:$R,MATCH($A19,'Valo FX'!$A:$A,0)),INDEX(Base!$V:$V,MATCH($A19,Base!$A:$A,0)),0)))</f>
        <v>10.394145</v>
      </c>
      <c r="GM19" s="21">
        <f>IF(GM$1&lt;INDEX('Valo FX'!$Q:$Q,MATCH($A19,'Valo FX'!$A:$A,0)),0,IF(GM$1&lt;INDEX('Valo FX'!$R:$R,MATCH($A19,'Valo FX'!$A:$A,0)),INDEX(Base!$U:$U,MATCH($A19,Base!$A:$A,0)),IF(GM$1=INDEX('Valo FX'!$R:$R,MATCH($A19,'Valo FX'!$A:$A,0)),INDEX(Base!$V:$V,MATCH($A19,Base!$A:$A,0)),0)))</f>
        <v>10.394145</v>
      </c>
      <c r="GN19" s="21">
        <f>IF(GN$1&lt;INDEX('Valo FX'!$Q:$Q,MATCH($A19,'Valo FX'!$A:$A,0)),0,IF(GN$1&lt;INDEX('Valo FX'!$R:$R,MATCH($A19,'Valo FX'!$A:$A,0)),INDEX(Base!$U:$U,MATCH($A19,Base!$A:$A,0)),IF(GN$1=INDEX('Valo FX'!$R:$R,MATCH($A19,'Valo FX'!$A:$A,0)),INDEX(Base!$V:$V,MATCH($A19,Base!$A:$A,0)),0)))</f>
        <v>10.394145</v>
      </c>
      <c r="GO19" s="21">
        <f>IF(GO$1&lt;INDEX('Valo FX'!$Q:$Q,MATCH($A19,'Valo FX'!$A:$A,0)),0,IF(GO$1&lt;INDEX('Valo FX'!$R:$R,MATCH($A19,'Valo FX'!$A:$A,0)),INDEX(Base!$U:$U,MATCH($A19,Base!$A:$A,0)),IF(GO$1=INDEX('Valo FX'!$R:$R,MATCH($A19,'Valo FX'!$A:$A,0)),INDEX(Base!$V:$V,MATCH($A19,Base!$A:$A,0)),0)))</f>
        <v>10.394145</v>
      </c>
      <c r="GP19" s="21">
        <f>IF(GP$1&lt;INDEX('Valo FX'!$Q:$Q,MATCH($A19,'Valo FX'!$A:$A,0)),0,IF(GP$1&lt;INDEX('Valo FX'!$R:$R,MATCH($A19,'Valo FX'!$A:$A,0)),INDEX(Base!$U:$U,MATCH($A19,Base!$A:$A,0)),IF(GP$1=INDEX('Valo FX'!$R:$R,MATCH($A19,'Valo FX'!$A:$A,0)),INDEX(Base!$V:$V,MATCH($A19,Base!$A:$A,0)),0)))</f>
        <v>10.394145</v>
      </c>
      <c r="GQ19" s="21">
        <f>IF(GQ$1&lt;INDEX('Valo FX'!$Q:$Q,MATCH($A19,'Valo FX'!$A:$A,0)),0,IF(GQ$1&lt;INDEX('Valo FX'!$R:$R,MATCH($A19,'Valo FX'!$A:$A,0)),INDEX(Base!$U:$U,MATCH($A19,Base!$A:$A,0)),IF(GQ$1=INDEX('Valo FX'!$R:$R,MATCH($A19,'Valo FX'!$A:$A,0)),INDEX(Base!$V:$V,MATCH($A19,Base!$A:$A,0)),0)))</f>
        <v>10.394145</v>
      </c>
      <c r="GR19" s="21">
        <f>IF(GR$1&lt;INDEX('Valo FX'!$Q:$Q,MATCH($A19,'Valo FX'!$A:$A,0)),0,IF(GR$1&lt;INDEX('Valo FX'!$R:$R,MATCH($A19,'Valo FX'!$A:$A,0)),INDEX(Base!$U:$U,MATCH($A19,Base!$A:$A,0)),IF(GR$1=INDEX('Valo FX'!$R:$R,MATCH($A19,'Valo FX'!$A:$A,0)),INDEX(Base!$V:$V,MATCH($A19,Base!$A:$A,0)),0)))</f>
        <v>10.394145</v>
      </c>
      <c r="GS19" s="21">
        <f>IF(GS$1&lt;INDEX('Valo FX'!$Q:$Q,MATCH($A19,'Valo FX'!$A:$A,0)),0,IF(GS$1&lt;INDEX('Valo FX'!$R:$R,MATCH($A19,'Valo FX'!$A:$A,0)),INDEX(Base!$U:$U,MATCH($A19,Base!$A:$A,0)),IF(GS$1=INDEX('Valo FX'!$R:$R,MATCH($A19,'Valo FX'!$A:$A,0)),INDEX(Base!$V:$V,MATCH($A19,Base!$A:$A,0)),0)))</f>
        <v>10.394145</v>
      </c>
      <c r="GT19" s="21">
        <f>IF(GT$1&lt;INDEX('Valo FX'!$Q:$Q,MATCH($A19,'Valo FX'!$A:$A,0)),0,IF(GT$1&lt;INDEX('Valo FX'!$R:$R,MATCH($A19,'Valo FX'!$A:$A,0)),INDEX(Base!$U:$U,MATCH($A19,Base!$A:$A,0)),IF(GT$1=INDEX('Valo FX'!$R:$R,MATCH($A19,'Valo FX'!$A:$A,0)),INDEX(Base!$V:$V,MATCH($A19,Base!$A:$A,0)),0)))</f>
        <v>10.394145</v>
      </c>
      <c r="GU19" s="21">
        <f>IF(GU$1&lt;INDEX('Valo FX'!$Q:$Q,MATCH($A19,'Valo FX'!$A:$A,0)),0,IF(GU$1&lt;INDEX('Valo FX'!$R:$R,MATCH($A19,'Valo FX'!$A:$A,0)),INDEX(Base!$U:$U,MATCH($A19,Base!$A:$A,0)),IF(GU$1=INDEX('Valo FX'!$R:$R,MATCH($A19,'Valo FX'!$A:$A,0)),INDEX(Base!$V:$V,MATCH($A19,Base!$A:$A,0)),0)))</f>
        <v>10.394145</v>
      </c>
      <c r="GV19" s="21">
        <f>IF(GV$1&lt;INDEX('Valo FX'!$Q:$Q,MATCH($A19,'Valo FX'!$A:$A,0)),0,IF(GV$1&lt;INDEX('Valo FX'!$R:$R,MATCH($A19,'Valo FX'!$A:$A,0)),INDEX(Base!$U:$U,MATCH($A19,Base!$A:$A,0)),IF(GV$1=INDEX('Valo FX'!$R:$R,MATCH($A19,'Valo FX'!$A:$A,0)),INDEX(Base!$V:$V,MATCH($A19,Base!$A:$A,0)),0)))</f>
        <v>10.394145</v>
      </c>
      <c r="GW19" s="21">
        <f>IF(GW$1&lt;INDEX('Valo FX'!$Q:$Q,MATCH($A19,'Valo FX'!$A:$A,0)),0,IF(GW$1&lt;INDEX('Valo FX'!$R:$R,MATCH($A19,'Valo FX'!$A:$A,0)),INDEX(Base!$U:$U,MATCH($A19,Base!$A:$A,0)),IF(GW$1=INDEX('Valo FX'!$R:$R,MATCH($A19,'Valo FX'!$A:$A,0)),INDEX(Base!$V:$V,MATCH($A19,Base!$A:$A,0)),0)))</f>
        <v>10.394145</v>
      </c>
      <c r="GX19" s="21">
        <f>IF(GX$1&lt;INDEX('Valo FX'!$Q:$Q,MATCH($A19,'Valo FX'!$A:$A,0)),0,IF(GX$1&lt;INDEX('Valo FX'!$R:$R,MATCH($A19,'Valo FX'!$A:$A,0)),INDEX(Base!$U:$U,MATCH($A19,Base!$A:$A,0)),IF(GX$1=INDEX('Valo FX'!$R:$R,MATCH($A19,'Valo FX'!$A:$A,0)),INDEX(Base!$V:$V,MATCH($A19,Base!$A:$A,0)),0)))</f>
        <v>10.394145</v>
      </c>
      <c r="GY19" s="21">
        <f>IF(GY$1&lt;INDEX('Valo FX'!$Q:$Q,MATCH($A19,'Valo FX'!$A:$A,0)),0,IF(GY$1&lt;INDEX('Valo FX'!$R:$R,MATCH($A19,'Valo FX'!$A:$A,0)),INDEX(Base!$U:$U,MATCH($A19,Base!$A:$A,0)),IF(GY$1=INDEX('Valo FX'!$R:$R,MATCH($A19,'Valo FX'!$A:$A,0)),INDEX(Base!$V:$V,MATCH($A19,Base!$A:$A,0)),0)))</f>
        <v>10.394145</v>
      </c>
      <c r="GZ19" s="21">
        <f>IF(GZ$1&lt;INDEX('Valo FX'!$Q:$Q,MATCH($A19,'Valo FX'!$A:$A,0)),0,IF(GZ$1&lt;INDEX('Valo FX'!$R:$R,MATCH($A19,'Valo FX'!$A:$A,0)),INDEX(Base!$U:$U,MATCH($A19,Base!$A:$A,0)),IF(GZ$1=INDEX('Valo FX'!$R:$R,MATCH($A19,'Valo FX'!$A:$A,0)),INDEX(Base!$V:$V,MATCH($A19,Base!$A:$A,0)),0)))</f>
        <v>10.394145</v>
      </c>
      <c r="HA19" s="21">
        <f>IF(HA$1&lt;INDEX('Valo FX'!$Q:$Q,MATCH($A19,'Valo FX'!$A:$A,0)),0,IF(HA$1&lt;INDEX('Valo FX'!$R:$R,MATCH($A19,'Valo FX'!$A:$A,0)),INDEX(Base!$U:$U,MATCH($A19,Base!$A:$A,0)),IF(HA$1=INDEX('Valo FX'!$R:$R,MATCH($A19,'Valo FX'!$A:$A,0)),INDEX(Base!$V:$V,MATCH($A19,Base!$A:$A,0)),0)))</f>
        <v>10.394145</v>
      </c>
      <c r="HB19" s="21">
        <f>IF(HB$1&lt;INDEX('Valo FX'!$Q:$Q,MATCH($A19,'Valo FX'!$A:$A,0)),0,IF(HB$1&lt;INDEX('Valo FX'!$R:$R,MATCH($A19,'Valo FX'!$A:$A,0)),INDEX(Base!$U:$U,MATCH($A19,Base!$A:$A,0)),IF(HB$1=INDEX('Valo FX'!$R:$R,MATCH($A19,'Valo FX'!$A:$A,0)),INDEX(Base!$V:$V,MATCH($A19,Base!$A:$A,0)),0)))</f>
        <v>10.394145</v>
      </c>
      <c r="HC19" s="21">
        <f>IF(HC$1&lt;INDEX('Valo FX'!$Q:$Q,MATCH($A19,'Valo FX'!$A:$A,0)),0,IF(HC$1&lt;INDEX('Valo FX'!$R:$R,MATCH($A19,'Valo FX'!$A:$A,0)),INDEX(Base!$U:$U,MATCH($A19,Base!$A:$A,0)),IF(HC$1=INDEX('Valo FX'!$R:$R,MATCH($A19,'Valo FX'!$A:$A,0)),INDEX(Base!$V:$V,MATCH($A19,Base!$A:$A,0)),0)))</f>
        <v>10.394145</v>
      </c>
      <c r="HD19" s="21">
        <f>IF(HD$1&lt;INDEX('Valo FX'!$Q:$Q,MATCH($A19,'Valo FX'!$A:$A,0)),0,IF(HD$1&lt;INDEX('Valo FX'!$R:$R,MATCH($A19,'Valo FX'!$A:$A,0)),INDEX(Base!$U:$U,MATCH($A19,Base!$A:$A,0)),IF(HD$1=INDEX('Valo FX'!$R:$R,MATCH($A19,'Valo FX'!$A:$A,0)),INDEX(Base!$V:$V,MATCH($A19,Base!$A:$A,0)),0)))</f>
        <v>10.394145</v>
      </c>
      <c r="HE19" s="21">
        <f>IF(HE$1&lt;INDEX('Valo FX'!$Q:$Q,MATCH($A19,'Valo FX'!$A:$A,0)),0,IF(HE$1&lt;INDEX('Valo FX'!$R:$R,MATCH($A19,'Valo FX'!$A:$A,0)),INDEX(Base!$U:$U,MATCH($A19,Base!$A:$A,0)),IF(HE$1=INDEX('Valo FX'!$R:$R,MATCH($A19,'Valo FX'!$A:$A,0)),INDEX(Base!$V:$V,MATCH($A19,Base!$A:$A,0)),0)))</f>
        <v>10.394145</v>
      </c>
      <c r="HF19" s="21">
        <f>IF(HF$1&lt;INDEX('Valo FX'!$Q:$Q,MATCH($A19,'Valo FX'!$A:$A,0)),0,IF(HF$1&lt;INDEX('Valo FX'!$R:$R,MATCH($A19,'Valo FX'!$A:$A,0)),INDEX(Base!$U:$U,MATCH($A19,Base!$A:$A,0)),IF(HF$1=INDEX('Valo FX'!$R:$R,MATCH($A19,'Valo FX'!$A:$A,0)),INDEX(Base!$V:$V,MATCH($A19,Base!$A:$A,0)),0)))</f>
        <v>10.394145</v>
      </c>
      <c r="HG19" s="21">
        <f>IF(HG$1&lt;INDEX('Valo FX'!$Q:$Q,MATCH($A19,'Valo FX'!$A:$A,0)),0,IF(HG$1&lt;INDEX('Valo FX'!$R:$R,MATCH($A19,'Valo FX'!$A:$A,0)),INDEX(Base!$U:$U,MATCH($A19,Base!$A:$A,0)),IF(HG$1=INDEX('Valo FX'!$R:$R,MATCH($A19,'Valo FX'!$A:$A,0)),INDEX(Base!$V:$V,MATCH($A19,Base!$A:$A,0)),0)))</f>
        <v>10.394145</v>
      </c>
      <c r="HH19" s="21">
        <f>IF(HH$1&lt;INDEX('Valo FX'!$Q:$Q,MATCH($A19,'Valo FX'!$A:$A,0)),0,IF(HH$1&lt;INDEX('Valo FX'!$R:$R,MATCH($A19,'Valo FX'!$A:$A,0)),INDEX(Base!$U:$U,MATCH($A19,Base!$A:$A,0)),IF(HH$1=INDEX('Valo FX'!$R:$R,MATCH($A19,'Valo FX'!$A:$A,0)),INDEX(Base!$V:$V,MATCH($A19,Base!$A:$A,0)),0)))</f>
        <v>10.394145</v>
      </c>
      <c r="HI19" s="21">
        <f>IF(HI$1&lt;INDEX('Valo FX'!$Q:$Q,MATCH($A19,'Valo FX'!$A:$A,0)),0,IF(HI$1&lt;INDEX('Valo FX'!$R:$R,MATCH($A19,'Valo FX'!$A:$A,0)),INDEX(Base!$U:$U,MATCH($A19,Base!$A:$A,0)),IF(HI$1=INDEX('Valo FX'!$R:$R,MATCH($A19,'Valo FX'!$A:$A,0)),INDEX(Base!$V:$V,MATCH($A19,Base!$A:$A,0)),0)))</f>
        <v>10.394145</v>
      </c>
      <c r="HJ19" s="21">
        <f>IF(HJ$1&lt;INDEX('Valo FX'!$Q:$Q,MATCH($A19,'Valo FX'!$A:$A,0)),0,IF(HJ$1&lt;INDEX('Valo FX'!$R:$R,MATCH($A19,'Valo FX'!$A:$A,0)),INDEX(Base!$U:$U,MATCH($A19,Base!$A:$A,0)),IF(HJ$1=INDEX('Valo FX'!$R:$R,MATCH($A19,'Valo FX'!$A:$A,0)),INDEX(Base!$V:$V,MATCH($A19,Base!$A:$A,0)),0)))</f>
        <v>10.394145</v>
      </c>
      <c r="HK19" s="21">
        <f>IF(HK$1&lt;INDEX('Valo FX'!$Q:$Q,MATCH($A19,'Valo FX'!$A:$A,0)),0,IF(HK$1&lt;INDEX('Valo FX'!$R:$R,MATCH($A19,'Valo FX'!$A:$A,0)),INDEX(Base!$U:$U,MATCH($A19,Base!$A:$A,0)),IF(HK$1=INDEX('Valo FX'!$R:$R,MATCH($A19,'Valo FX'!$A:$A,0)),INDEX(Base!$V:$V,MATCH($A19,Base!$A:$A,0)),0)))</f>
        <v>10.394145</v>
      </c>
      <c r="HL19" s="21">
        <f>IF(HL$1&lt;INDEX('Valo FX'!$Q:$Q,MATCH($A19,'Valo FX'!$A:$A,0)),0,IF(HL$1&lt;INDEX('Valo FX'!$R:$R,MATCH($A19,'Valo FX'!$A:$A,0)),INDEX(Base!$U:$U,MATCH($A19,Base!$A:$A,0)),IF(HL$1=INDEX('Valo FX'!$R:$R,MATCH($A19,'Valo FX'!$A:$A,0)),INDEX(Base!$V:$V,MATCH($A19,Base!$A:$A,0)),0)))</f>
        <v>10.394145</v>
      </c>
      <c r="HM19" s="21">
        <f>IF(HM$1&lt;INDEX('Valo FX'!$Q:$Q,MATCH($A19,'Valo FX'!$A:$A,0)),0,IF(HM$1&lt;INDEX('Valo FX'!$R:$R,MATCH($A19,'Valo FX'!$A:$A,0)),INDEX(Base!$U:$U,MATCH($A19,Base!$A:$A,0)),IF(HM$1=INDEX('Valo FX'!$R:$R,MATCH($A19,'Valo FX'!$A:$A,0)),INDEX(Base!$V:$V,MATCH($A19,Base!$A:$A,0)),0)))</f>
        <v>10.394145</v>
      </c>
      <c r="HN19" s="21">
        <f>IF(HN$1&lt;INDEX('Valo FX'!$Q:$Q,MATCH($A19,'Valo FX'!$A:$A,0)),0,IF(HN$1&lt;INDEX('Valo FX'!$R:$R,MATCH($A19,'Valo FX'!$A:$A,0)),INDEX(Base!$U:$U,MATCH($A19,Base!$A:$A,0)),IF(HN$1=INDEX('Valo FX'!$R:$R,MATCH($A19,'Valo FX'!$A:$A,0)),INDEX(Base!$V:$V,MATCH($A19,Base!$A:$A,0)),0)))</f>
        <v>10.394145</v>
      </c>
      <c r="HO19" s="21">
        <f>IF(HO$1&lt;INDEX('Valo FX'!$Q:$Q,MATCH($A19,'Valo FX'!$A:$A,0)),0,IF(HO$1&lt;INDEX('Valo FX'!$R:$R,MATCH($A19,'Valo FX'!$A:$A,0)),INDEX(Base!$U:$U,MATCH($A19,Base!$A:$A,0)),IF(HO$1=INDEX('Valo FX'!$R:$R,MATCH($A19,'Valo FX'!$A:$A,0)),INDEX(Base!$V:$V,MATCH($A19,Base!$A:$A,0)),0)))</f>
        <v>10.394145</v>
      </c>
      <c r="HP19" s="21">
        <f>IF(HP$1&lt;INDEX('Valo FX'!$Q:$Q,MATCH($A19,'Valo FX'!$A:$A,0)),0,IF(HP$1&lt;INDEX('Valo FX'!$R:$R,MATCH($A19,'Valo FX'!$A:$A,0)),INDEX(Base!$U:$U,MATCH($A19,Base!$A:$A,0)),IF(HP$1=INDEX('Valo FX'!$R:$R,MATCH($A19,'Valo FX'!$A:$A,0)),INDEX(Base!$V:$V,MATCH($A19,Base!$A:$A,0)),0)))</f>
        <v>10.394145</v>
      </c>
      <c r="HQ19" s="21">
        <f>IF(HQ$1&lt;INDEX('Valo FX'!$Q:$Q,MATCH($A19,'Valo FX'!$A:$A,0)),0,IF(HQ$1&lt;INDEX('Valo FX'!$R:$R,MATCH($A19,'Valo FX'!$A:$A,0)),INDEX(Base!$U:$U,MATCH($A19,Base!$A:$A,0)),IF(HQ$1=INDEX('Valo FX'!$R:$R,MATCH($A19,'Valo FX'!$A:$A,0)),INDEX(Base!$V:$V,MATCH($A19,Base!$A:$A,0)),0)))</f>
        <v>10.394145</v>
      </c>
      <c r="HR19" s="21">
        <f>IF(HR$1&lt;INDEX('Valo FX'!$Q:$Q,MATCH($A19,'Valo FX'!$A:$A,0)),0,IF(HR$1&lt;INDEX('Valo FX'!$R:$R,MATCH($A19,'Valo FX'!$A:$A,0)),INDEX(Base!$U:$U,MATCH($A19,Base!$A:$A,0)),IF(HR$1=INDEX('Valo FX'!$R:$R,MATCH($A19,'Valo FX'!$A:$A,0)),INDEX(Base!$V:$V,MATCH($A19,Base!$A:$A,0)),0)))</f>
        <v>10.394145</v>
      </c>
      <c r="HS19" s="21">
        <f>IF(HS$1&lt;INDEX('Valo FX'!$Q:$Q,MATCH($A19,'Valo FX'!$A:$A,0)),0,IF(HS$1&lt;INDEX('Valo FX'!$R:$R,MATCH($A19,'Valo FX'!$A:$A,0)),INDEX(Base!$U:$U,MATCH($A19,Base!$A:$A,0)),IF(HS$1=INDEX('Valo FX'!$R:$R,MATCH($A19,'Valo FX'!$A:$A,0)),INDEX(Base!$V:$V,MATCH($A19,Base!$A:$A,0)),0)))</f>
        <v>10.394145</v>
      </c>
      <c r="HT19" s="21">
        <f>IF(HT$1&lt;INDEX('Valo FX'!$Q:$Q,MATCH($A19,'Valo FX'!$A:$A,0)),0,IF(HT$1&lt;INDEX('Valo FX'!$R:$R,MATCH($A19,'Valo FX'!$A:$A,0)),INDEX(Base!$U:$U,MATCH($A19,Base!$A:$A,0)),IF(HT$1=INDEX('Valo FX'!$R:$R,MATCH($A19,'Valo FX'!$A:$A,0)),INDEX(Base!$V:$V,MATCH($A19,Base!$A:$A,0)),0)))</f>
        <v>10.394145</v>
      </c>
      <c r="HU19" s="21">
        <f>IF(HU$1&lt;INDEX('Valo FX'!$Q:$Q,MATCH($A19,'Valo FX'!$A:$A,0)),0,IF(HU$1&lt;INDEX('Valo FX'!$R:$R,MATCH($A19,'Valo FX'!$A:$A,0)),INDEX(Base!$U:$U,MATCH($A19,Base!$A:$A,0)),IF(HU$1=INDEX('Valo FX'!$R:$R,MATCH($A19,'Valo FX'!$A:$A,0)),INDEX(Base!$V:$V,MATCH($A19,Base!$A:$A,0)),0)))</f>
        <v>10.394145</v>
      </c>
      <c r="HV19" s="21">
        <f>IF(HV$1&lt;INDEX('Valo FX'!$Q:$Q,MATCH($A19,'Valo FX'!$A:$A,0)),0,IF(HV$1&lt;INDEX('Valo FX'!$R:$R,MATCH($A19,'Valo FX'!$A:$A,0)),INDEX(Base!$U:$U,MATCH($A19,Base!$A:$A,0)),IF(HV$1=INDEX('Valo FX'!$R:$R,MATCH($A19,'Valo FX'!$A:$A,0)),INDEX(Base!$V:$V,MATCH($A19,Base!$A:$A,0)),0)))</f>
        <v>10.394145</v>
      </c>
      <c r="HW19" s="21">
        <f>IF(HW$1&lt;INDEX('Valo FX'!$Q:$Q,MATCH($A19,'Valo FX'!$A:$A,0)),0,IF(HW$1&lt;INDEX('Valo FX'!$R:$R,MATCH($A19,'Valo FX'!$A:$A,0)),INDEX(Base!$U:$U,MATCH($A19,Base!$A:$A,0)),IF(HW$1=INDEX('Valo FX'!$R:$R,MATCH($A19,'Valo FX'!$A:$A,0)),INDEX(Base!$V:$V,MATCH($A19,Base!$A:$A,0)),0)))</f>
        <v>10.394145</v>
      </c>
      <c r="HX19" s="21">
        <f>IF(HX$1&lt;INDEX('Valo FX'!$Q:$Q,MATCH($A19,'Valo FX'!$A:$A,0)),0,IF(HX$1&lt;INDEX('Valo FX'!$R:$R,MATCH($A19,'Valo FX'!$A:$A,0)),INDEX(Base!$U:$U,MATCH($A19,Base!$A:$A,0)),IF(HX$1=INDEX('Valo FX'!$R:$R,MATCH($A19,'Valo FX'!$A:$A,0)),INDEX(Base!$V:$V,MATCH($A19,Base!$A:$A,0)),0)))</f>
        <v>10.394145</v>
      </c>
      <c r="HY19" s="21">
        <f>IF(HY$1&lt;INDEX('Valo FX'!$Q:$Q,MATCH($A19,'Valo FX'!$A:$A,0)),0,IF(HY$1&lt;INDEX('Valo FX'!$R:$R,MATCH($A19,'Valo FX'!$A:$A,0)),INDEX(Base!$U:$U,MATCH($A19,Base!$A:$A,0)),IF(HY$1=INDEX('Valo FX'!$R:$R,MATCH($A19,'Valo FX'!$A:$A,0)),INDEX(Base!$V:$V,MATCH($A19,Base!$A:$A,0)),0)))</f>
        <v>10.394145</v>
      </c>
      <c r="HZ19" s="21">
        <f>IF(HZ$1&lt;INDEX('Valo FX'!$Q:$Q,MATCH($A19,'Valo FX'!$A:$A,0)),0,IF(HZ$1&lt;INDEX('Valo FX'!$R:$R,MATCH($A19,'Valo FX'!$A:$A,0)),INDEX(Base!$U:$U,MATCH($A19,Base!$A:$A,0)),IF(HZ$1=INDEX('Valo FX'!$R:$R,MATCH($A19,'Valo FX'!$A:$A,0)),INDEX(Base!$V:$V,MATCH($A19,Base!$A:$A,0)),0)))</f>
        <v>10.394145</v>
      </c>
      <c r="IA19" s="21">
        <f>IF(IA$1&lt;INDEX('Valo FX'!$Q:$Q,MATCH($A19,'Valo FX'!$A:$A,0)),0,IF(IA$1&lt;INDEX('Valo FX'!$R:$R,MATCH($A19,'Valo FX'!$A:$A,0)),INDEX(Base!$U:$U,MATCH($A19,Base!$A:$A,0)),IF(IA$1=INDEX('Valo FX'!$R:$R,MATCH($A19,'Valo FX'!$A:$A,0)),INDEX(Base!$V:$V,MATCH($A19,Base!$A:$A,0)),0)))</f>
        <v>10.394145</v>
      </c>
      <c r="IB19" s="21">
        <f>IF(IB$1&lt;INDEX('Valo FX'!$Q:$Q,MATCH($A19,'Valo FX'!$A:$A,0)),0,IF(IB$1&lt;INDEX('Valo FX'!$R:$R,MATCH($A19,'Valo FX'!$A:$A,0)),INDEX(Base!$U:$U,MATCH($A19,Base!$A:$A,0)),IF(IB$1=INDEX('Valo FX'!$R:$R,MATCH($A19,'Valo FX'!$A:$A,0)),INDEX(Base!$V:$V,MATCH($A19,Base!$A:$A,0)),0)))</f>
        <v>10.394145</v>
      </c>
      <c r="IC19" s="21">
        <f>IF(IC$1&lt;INDEX('Valo FX'!$Q:$Q,MATCH($A19,'Valo FX'!$A:$A,0)),0,IF(IC$1&lt;INDEX('Valo FX'!$R:$R,MATCH($A19,'Valo FX'!$A:$A,0)),INDEX(Base!$U:$U,MATCH($A19,Base!$A:$A,0)),IF(IC$1=INDEX('Valo FX'!$R:$R,MATCH($A19,'Valo FX'!$A:$A,0)),INDEX(Base!$V:$V,MATCH($A19,Base!$A:$A,0)),0)))</f>
        <v>10.394145</v>
      </c>
      <c r="ID19" s="21">
        <f>IF(ID$1&lt;INDEX('Valo FX'!$Q:$Q,MATCH($A19,'Valo FX'!$A:$A,0)),0,IF(ID$1&lt;INDEX('Valo FX'!$R:$R,MATCH($A19,'Valo FX'!$A:$A,0)),INDEX(Base!$U:$U,MATCH($A19,Base!$A:$A,0)),IF(ID$1=INDEX('Valo FX'!$R:$R,MATCH($A19,'Valo FX'!$A:$A,0)),INDEX(Base!$V:$V,MATCH($A19,Base!$A:$A,0)),0)))</f>
        <v>10.394145</v>
      </c>
      <c r="IE19" s="21">
        <f>IF(IE$1&lt;INDEX('Valo FX'!$Q:$Q,MATCH($A19,'Valo FX'!$A:$A,0)),0,IF(IE$1&lt;INDEX('Valo FX'!$R:$R,MATCH($A19,'Valo FX'!$A:$A,0)),INDEX(Base!$U:$U,MATCH($A19,Base!$A:$A,0)),IF(IE$1=INDEX('Valo FX'!$R:$R,MATCH($A19,'Valo FX'!$A:$A,0)),INDEX(Base!$V:$V,MATCH($A19,Base!$A:$A,0)),0)))</f>
        <v>10.394145</v>
      </c>
      <c r="IF19" s="21">
        <f>IF(IF$1&lt;INDEX('Valo FX'!$Q:$Q,MATCH($A19,'Valo FX'!$A:$A,0)),0,IF(IF$1&lt;INDEX('Valo FX'!$R:$R,MATCH($A19,'Valo FX'!$A:$A,0)),INDEX(Base!$U:$U,MATCH($A19,Base!$A:$A,0)),IF(IF$1=INDEX('Valo FX'!$R:$R,MATCH($A19,'Valo FX'!$A:$A,0)),INDEX(Base!$V:$V,MATCH($A19,Base!$A:$A,0)),0)))</f>
        <v>10.394145</v>
      </c>
      <c r="IG19" s="21">
        <f>IF(IG$1&lt;INDEX('Valo FX'!$Q:$Q,MATCH($A19,'Valo FX'!$A:$A,0)),0,IF(IG$1&lt;INDEX('Valo FX'!$R:$R,MATCH($A19,'Valo FX'!$A:$A,0)),INDEX(Base!$U:$U,MATCH($A19,Base!$A:$A,0)),IF(IG$1=INDEX('Valo FX'!$R:$R,MATCH($A19,'Valo FX'!$A:$A,0)),INDEX(Base!$V:$V,MATCH($A19,Base!$A:$A,0)),0)))</f>
        <v>10.394145</v>
      </c>
      <c r="IH19" s="21">
        <f>IF(IH$1&lt;INDEX('Valo FX'!$Q:$Q,MATCH($A19,'Valo FX'!$A:$A,0)),0,IF(IH$1&lt;INDEX('Valo FX'!$R:$R,MATCH($A19,'Valo FX'!$A:$A,0)),INDEX(Base!$U:$U,MATCH($A19,Base!$A:$A,0)),IF(IH$1=INDEX('Valo FX'!$R:$R,MATCH($A19,'Valo FX'!$A:$A,0)),INDEX(Base!$V:$V,MATCH($A19,Base!$A:$A,0)),0)))</f>
        <v>10.394145</v>
      </c>
      <c r="II19" s="21">
        <f>IF(II$1&lt;INDEX('Valo FX'!$Q:$Q,MATCH($A19,'Valo FX'!$A:$A,0)),0,IF(II$1&lt;INDEX('Valo FX'!$R:$R,MATCH($A19,'Valo FX'!$A:$A,0)),INDEX(Base!$U:$U,MATCH($A19,Base!$A:$A,0)),IF(II$1=INDEX('Valo FX'!$R:$R,MATCH($A19,'Valo FX'!$A:$A,0)),INDEX(Base!$V:$V,MATCH($A19,Base!$A:$A,0)),0)))</f>
        <v>10.394145</v>
      </c>
      <c r="IJ19" s="21">
        <f>IF(IJ$1&lt;INDEX('Valo FX'!$Q:$Q,MATCH($A19,'Valo FX'!$A:$A,0)),0,IF(IJ$1&lt;INDEX('Valo FX'!$R:$R,MATCH($A19,'Valo FX'!$A:$A,0)),INDEX(Base!$U:$U,MATCH($A19,Base!$A:$A,0)),IF(IJ$1=INDEX('Valo FX'!$R:$R,MATCH($A19,'Valo FX'!$A:$A,0)),INDEX(Base!$V:$V,MATCH($A19,Base!$A:$A,0)),0)))</f>
        <v>10.394145</v>
      </c>
      <c r="IK19" s="21">
        <f>IF(IK$1&lt;INDEX('Valo FX'!$Q:$Q,MATCH($A19,'Valo FX'!$A:$A,0)),0,IF(IK$1&lt;INDEX('Valo FX'!$R:$R,MATCH($A19,'Valo FX'!$A:$A,0)),INDEX(Base!$U:$U,MATCH($A19,Base!$A:$A,0)),IF(IK$1=INDEX('Valo FX'!$R:$R,MATCH($A19,'Valo FX'!$A:$A,0)),INDEX(Base!$V:$V,MATCH($A19,Base!$A:$A,0)),0)))</f>
        <v>10.394145</v>
      </c>
      <c r="IL19" s="21">
        <f>IF(IL$1&lt;INDEX('Valo FX'!$Q:$Q,MATCH($A19,'Valo FX'!$A:$A,0)),0,IF(IL$1&lt;INDEX('Valo FX'!$R:$R,MATCH($A19,'Valo FX'!$A:$A,0)),INDEX(Base!$U:$U,MATCH($A19,Base!$A:$A,0)),IF(IL$1=INDEX('Valo FX'!$R:$R,MATCH($A19,'Valo FX'!$A:$A,0)),INDEX(Base!$V:$V,MATCH($A19,Base!$A:$A,0)),0)))</f>
        <v>10.394145</v>
      </c>
      <c r="IM19" s="21">
        <f>IF(IM$1&lt;INDEX('Valo FX'!$Q:$Q,MATCH($A19,'Valo FX'!$A:$A,0)),0,IF(IM$1&lt;INDEX('Valo FX'!$R:$R,MATCH($A19,'Valo FX'!$A:$A,0)),INDEX(Base!$U:$U,MATCH($A19,Base!$A:$A,0)),IF(IM$1=INDEX('Valo FX'!$R:$R,MATCH($A19,'Valo FX'!$A:$A,0)),INDEX(Base!$V:$V,MATCH($A19,Base!$A:$A,0)),0)))</f>
        <v>10.394145</v>
      </c>
      <c r="IN19" s="21">
        <f>IF(IN$1&lt;INDEX('Valo FX'!$Q:$Q,MATCH($A19,'Valo FX'!$A:$A,0)),0,IF(IN$1&lt;INDEX('Valo FX'!$R:$R,MATCH($A19,'Valo FX'!$A:$A,0)),INDEX(Base!$U:$U,MATCH($A19,Base!$A:$A,0)),IF(IN$1=INDEX('Valo FX'!$R:$R,MATCH($A19,'Valo FX'!$A:$A,0)),INDEX(Base!$V:$V,MATCH($A19,Base!$A:$A,0)),0)))</f>
        <v>10.394145</v>
      </c>
      <c r="IO19" s="21">
        <f>IF(IO$1&lt;INDEX('Valo FX'!$Q:$Q,MATCH($A19,'Valo FX'!$A:$A,0)),0,IF(IO$1&lt;INDEX('Valo FX'!$R:$R,MATCH($A19,'Valo FX'!$A:$A,0)),INDEX(Base!$U:$U,MATCH($A19,Base!$A:$A,0)),IF(IO$1=INDEX('Valo FX'!$R:$R,MATCH($A19,'Valo FX'!$A:$A,0)),INDEX(Base!$V:$V,MATCH($A19,Base!$A:$A,0)),0)))</f>
        <v>10.394145</v>
      </c>
      <c r="IP19" s="21">
        <f>IF(IP$1&lt;INDEX('Valo FX'!$Q:$Q,MATCH($A19,'Valo FX'!$A:$A,0)),0,IF(IP$1&lt;INDEX('Valo FX'!$R:$R,MATCH($A19,'Valo FX'!$A:$A,0)),INDEX(Base!$U:$U,MATCH($A19,Base!$A:$A,0)),IF(IP$1=INDEX('Valo FX'!$R:$R,MATCH($A19,'Valo FX'!$A:$A,0)),INDEX(Base!$V:$V,MATCH($A19,Base!$A:$A,0)),0)))</f>
        <v>10.394145</v>
      </c>
      <c r="IQ19" s="21">
        <f>IF(IQ$1&lt;INDEX('Valo FX'!$Q:$Q,MATCH($A19,'Valo FX'!$A:$A,0)),0,IF(IQ$1&lt;INDEX('Valo FX'!$R:$R,MATCH($A19,'Valo FX'!$A:$A,0)),INDEX(Base!$U:$U,MATCH($A19,Base!$A:$A,0)),IF(IQ$1=INDEX('Valo FX'!$R:$R,MATCH($A19,'Valo FX'!$A:$A,0)),INDEX(Base!$V:$V,MATCH($A19,Base!$A:$A,0)),0)))</f>
        <v>10.394145</v>
      </c>
      <c r="IR19" s="21">
        <f>IF(IR$1&lt;INDEX('Valo FX'!$Q:$Q,MATCH($A19,'Valo FX'!$A:$A,0)),0,IF(IR$1&lt;INDEX('Valo FX'!$R:$R,MATCH($A19,'Valo FX'!$A:$A,0)),INDEX(Base!$U:$U,MATCH($A19,Base!$A:$A,0)),IF(IR$1=INDEX('Valo FX'!$R:$R,MATCH($A19,'Valo FX'!$A:$A,0)),INDEX(Base!$V:$V,MATCH($A19,Base!$A:$A,0)),0)))</f>
        <v>10.394145</v>
      </c>
      <c r="IS19" s="21">
        <f>IF(IS$1&lt;INDEX('Valo FX'!$Q:$Q,MATCH($A19,'Valo FX'!$A:$A,0)),0,IF(IS$1&lt;INDEX('Valo FX'!$R:$R,MATCH($A19,'Valo FX'!$A:$A,0)),INDEX(Base!$U:$U,MATCH($A19,Base!$A:$A,0)),IF(IS$1=INDEX('Valo FX'!$R:$R,MATCH($A19,'Valo FX'!$A:$A,0)),INDEX(Base!$V:$V,MATCH($A19,Base!$A:$A,0)),0)))</f>
        <v>10.394145</v>
      </c>
      <c r="IT19" s="21">
        <f>IF(IT$1&lt;INDEX('Valo FX'!$Q:$Q,MATCH($A19,'Valo FX'!$A:$A,0)),0,IF(IT$1&lt;INDEX('Valo FX'!$R:$R,MATCH($A19,'Valo FX'!$A:$A,0)),INDEX(Base!$U:$U,MATCH($A19,Base!$A:$A,0)),IF(IT$1=INDEX('Valo FX'!$R:$R,MATCH($A19,'Valo FX'!$A:$A,0)),INDEX(Base!$V:$V,MATCH($A19,Base!$A:$A,0)),0)))</f>
        <v>10.394145</v>
      </c>
      <c r="IU19" s="21">
        <f>IF(IU$1&lt;INDEX('Valo FX'!$Q:$Q,MATCH($A19,'Valo FX'!$A:$A,0)),0,IF(IU$1&lt;INDEX('Valo FX'!$R:$R,MATCH($A19,'Valo FX'!$A:$A,0)),INDEX(Base!$U:$U,MATCH($A19,Base!$A:$A,0)),IF(IU$1=INDEX('Valo FX'!$R:$R,MATCH($A19,'Valo FX'!$A:$A,0)),INDEX(Base!$V:$V,MATCH($A19,Base!$A:$A,0)),0)))</f>
        <v>10.394145</v>
      </c>
      <c r="IV19" s="21">
        <f>IF(IV$1&lt;INDEX('Valo FX'!$Q:$Q,MATCH($A19,'Valo FX'!$A:$A,0)),0,IF(IV$1&lt;INDEX('Valo FX'!$R:$R,MATCH($A19,'Valo FX'!$A:$A,0)),INDEX(Base!$U:$U,MATCH($A19,Base!$A:$A,0)),IF(IV$1=INDEX('Valo FX'!$R:$R,MATCH($A19,'Valo FX'!$A:$A,0)),INDEX(Base!$V:$V,MATCH($A19,Base!$A:$A,0)),0)))</f>
        <v>10.394145</v>
      </c>
      <c r="IW19" s="21">
        <f>IF(IW$1&lt;INDEX('Valo FX'!$Q:$Q,MATCH($A19,'Valo FX'!$A:$A,0)),0,IF(IW$1&lt;INDEX('Valo FX'!$R:$R,MATCH($A19,'Valo FX'!$A:$A,0)),INDEX(Base!$U:$U,MATCH($A19,Base!$A:$A,0)),IF(IW$1=INDEX('Valo FX'!$R:$R,MATCH($A19,'Valo FX'!$A:$A,0)),INDEX(Base!$V:$V,MATCH($A19,Base!$A:$A,0)),0)))</f>
        <v>10.394145</v>
      </c>
      <c r="IX19" s="21">
        <f>IF(IX$1&lt;INDEX('Valo FX'!$Q:$Q,MATCH($A19,'Valo FX'!$A:$A,0)),0,IF(IX$1&lt;INDEX('Valo FX'!$R:$R,MATCH($A19,'Valo FX'!$A:$A,0)),INDEX(Base!$U:$U,MATCH($A19,Base!$A:$A,0)),IF(IX$1=INDEX('Valo FX'!$R:$R,MATCH($A19,'Valo FX'!$A:$A,0)),INDEX(Base!$V:$V,MATCH($A19,Base!$A:$A,0)),0)))</f>
        <v>10.394145</v>
      </c>
      <c r="IY19" s="21">
        <f>IF(IY$1&lt;INDEX('Valo FX'!$Q:$Q,MATCH($A19,'Valo FX'!$A:$A,0)),0,IF(IY$1&lt;INDEX('Valo FX'!$R:$R,MATCH($A19,'Valo FX'!$A:$A,0)),INDEX(Base!$U:$U,MATCH($A19,Base!$A:$A,0)),IF(IY$1=INDEX('Valo FX'!$R:$R,MATCH($A19,'Valo FX'!$A:$A,0)),INDEX(Base!$V:$V,MATCH($A19,Base!$A:$A,0)),0)))</f>
        <v>10.394145</v>
      </c>
      <c r="IZ19" s="21">
        <f>IF(IZ$1&lt;INDEX('Valo FX'!$Q:$Q,MATCH($A19,'Valo FX'!$A:$A,0)),0,IF(IZ$1&lt;INDEX('Valo FX'!$R:$R,MATCH($A19,'Valo FX'!$A:$A,0)),INDEX(Base!$U:$U,MATCH($A19,Base!$A:$A,0)),IF(IZ$1=INDEX('Valo FX'!$R:$R,MATCH($A19,'Valo FX'!$A:$A,0)),INDEX(Base!$V:$V,MATCH($A19,Base!$A:$A,0)),0)))</f>
        <v>10.394145</v>
      </c>
      <c r="JA19" s="21">
        <f>IF(JA$1&lt;INDEX('Valo FX'!$Q:$Q,MATCH($A19,'Valo FX'!$A:$A,0)),0,IF(JA$1&lt;INDEX('Valo FX'!$R:$R,MATCH($A19,'Valo FX'!$A:$A,0)),INDEX(Base!$U:$U,MATCH($A19,Base!$A:$A,0)),IF(JA$1=INDEX('Valo FX'!$R:$R,MATCH($A19,'Valo FX'!$A:$A,0)),INDEX(Base!$V:$V,MATCH($A19,Base!$A:$A,0)),0)))</f>
        <v>10.394145</v>
      </c>
      <c r="JB19" s="21">
        <f>IF(JB$1&lt;INDEX('Valo FX'!$Q:$Q,MATCH($A19,'Valo FX'!$A:$A,0)),0,IF(JB$1&lt;INDEX('Valo FX'!$R:$R,MATCH($A19,'Valo FX'!$A:$A,0)),INDEX(Base!$U:$U,MATCH($A19,Base!$A:$A,0)),IF(JB$1=INDEX('Valo FX'!$R:$R,MATCH($A19,'Valo FX'!$A:$A,0)),INDEX(Base!$V:$V,MATCH($A19,Base!$A:$A,0)),0)))</f>
        <v>10.394145</v>
      </c>
      <c r="JC19" s="21">
        <f>IF(JC$1&lt;INDEX('Valo FX'!$Q:$Q,MATCH($A19,'Valo FX'!$A:$A,0)),0,IF(JC$1&lt;INDEX('Valo FX'!$R:$R,MATCH($A19,'Valo FX'!$A:$A,0)),INDEX(Base!$U:$U,MATCH($A19,Base!$A:$A,0)),IF(JC$1=INDEX('Valo FX'!$R:$R,MATCH($A19,'Valo FX'!$A:$A,0)),INDEX(Base!$V:$V,MATCH($A19,Base!$A:$A,0)),0)))</f>
        <v>10.394145</v>
      </c>
      <c r="JD19" s="21">
        <f>IF(JD$1&lt;INDEX('Valo FX'!$Q:$Q,MATCH($A19,'Valo FX'!$A:$A,0)),0,IF(JD$1&lt;INDEX('Valo FX'!$R:$R,MATCH($A19,'Valo FX'!$A:$A,0)),INDEX(Base!$U:$U,MATCH($A19,Base!$A:$A,0)),IF(JD$1=INDEX('Valo FX'!$R:$R,MATCH($A19,'Valo FX'!$A:$A,0)),INDEX(Base!$V:$V,MATCH($A19,Base!$A:$A,0)),0)))</f>
        <v>10.394145</v>
      </c>
      <c r="JE19" s="21">
        <f>IF(JE$1&lt;INDEX('Valo FX'!$Q:$Q,MATCH($A19,'Valo FX'!$A:$A,0)),0,IF(JE$1&lt;INDEX('Valo FX'!$R:$R,MATCH($A19,'Valo FX'!$A:$A,0)),INDEX(Base!$U:$U,MATCH($A19,Base!$A:$A,0)),IF(JE$1=INDEX('Valo FX'!$R:$R,MATCH($A19,'Valo FX'!$A:$A,0)),INDEX(Base!$V:$V,MATCH($A19,Base!$A:$A,0)),0)))</f>
        <v>10.394145</v>
      </c>
      <c r="JF19" s="21">
        <f>IF(JF$1&lt;INDEX('Valo FX'!$Q:$Q,MATCH($A19,'Valo FX'!$A:$A,0)),0,IF(JF$1&lt;INDEX('Valo FX'!$R:$R,MATCH($A19,'Valo FX'!$A:$A,0)),INDEX(Base!$U:$U,MATCH($A19,Base!$A:$A,0)),IF(JF$1=INDEX('Valo FX'!$R:$R,MATCH($A19,'Valo FX'!$A:$A,0)),INDEX(Base!$V:$V,MATCH($A19,Base!$A:$A,0)),0)))</f>
        <v>10.394145</v>
      </c>
      <c r="JG19" s="21">
        <f>IF(JG$1&lt;INDEX('Valo FX'!$Q:$Q,MATCH($A19,'Valo FX'!$A:$A,0)),0,IF(JG$1&lt;INDEX('Valo FX'!$R:$R,MATCH($A19,'Valo FX'!$A:$A,0)),INDEX(Base!$U:$U,MATCH($A19,Base!$A:$A,0)),IF(JG$1=INDEX('Valo FX'!$R:$R,MATCH($A19,'Valo FX'!$A:$A,0)),INDEX(Base!$V:$V,MATCH($A19,Base!$A:$A,0)),0)))</f>
        <v>10.394145</v>
      </c>
      <c r="JH19" s="21">
        <f>IF(JH$1&lt;INDEX('Valo FX'!$Q:$Q,MATCH($A19,'Valo FX'!$A:$A,0)),0,IF(JH$1&lt;INDEX('Valo FX'!$R:$R,MATCH($A19,'Valo FX'!$A:$A,0)),INDEX(Base!$U:$U,MATCH($A19,Base!$A:$A,0)),IF(JH$1=INDEX('Valo FX'!$R:$R,MATCH($A19,'Valo FX'!$A:$A,0)),INDEX(Base!$V:$V,MATCH($A19,Base!$A:$A,0)),0)))</f>
        <v>10.394145</v>
      </c>
      <c r="JI19" s="21">
        <f>IF(JI$1&lt;INDEX('Valo FX'!$Q:$Q,MATCH($A19,'Valo FX'!$A:$A,0)),0,IF(JI$1&lt;INDEX('Valo FX'!$R:$R,MATCH($A19,'Valo FX'!$A:$A,0)),INDEX(Base!$U:$U,MATCH($A19,Base!$A:$A,0)),IF(JI$1=INDEX('Valo FX'!$R:$R,MATCH($A19,'Valo FX'!$A:$A,0)),INDEX(Base!$V:$V,MATCH($A19,Base!$A:$A,0)),0)))</f>
        <v>10.394145</v>
      </c>
      <c r="JJ19" s="21">
        <f>IF(JJ$1&lt;INDEX('Valo FX'!$Q:$Q,MATCH($A19,'Valo FX'!$A:$A,0)),0,IF(JJ$1&lt;INDEX('Valo FX'!$R:$R,MATCH($A19,'Valo FX'!$A:$A,0)),INDEX(Base!$U:$U,MATCH($A19,Base!$A:$A,0)),IF(JJ$1=INDEX('Valo FX'!$R:$R,MATCH($A19,'Valo FX'!$A:$A,0)),INDEX(Base!$V:$V,MATCH($A19,Base!$A:$A,0)),0)))</f>
        <v>10.394145</v>
      </c>
      <c r="JK19" s="21">
        <f>IF(JK$1&lt;INDEX('Valo FX'!$Q:$Q,MATCH($A19,'Valo FX'!$A:$A,0)),0,IF(JK$1&lt;INDEX('Valo FX'!$R:$R,MATCH($A19,'Valo FX'!$A:$A,0)),INDEX(Base!$U:$U,MATCH($A19,Base!$A:$A,0)),IF(JK$1=INDEX('Valo FX'!$R:$R,MATCH($A19,'Valo FX'!$A:$A,0)),INDEX(Base!$V:$V,MATCH($A19,Base!$A:$A,0)),0)))</f>
        <v>10.394145</v>
      </c>
      <c r="JL19" s="21">
        <f>IF(JL$1&lt;INDEX('Valo FX'!$Q:$Q,MATCH($A19,'Valo FX'!$A:$A,0)),0,IF(JL$1&lt;INDEX('Valo FX'!$R:$R,MATCH($A19,'Valo FX'!$A:$A,0)),INDEX(Base!$U:$U,MATCH($A19,Base!$A:$A,0)),IF(JL$1=INDEX('Valo FX'!$R:$R,MATCH($A19,'Valo FX'!$A:$A,0)),INDEX(Base!$V:$V,MATCH($A19,Base!$A:$A,0)),0)))</f>
        <v>10.394145</v>
      </c>
      <c r="JM19" s="21">
        <f>IF(JM$1&lt;INDEX('Valo FX'!$Q:$Q,MATCH($A19,'Valo FX'!$A:$A,0)),0,IF(JM$1&lt;INDEX('Valo FX'!$R:$R,MATCH($A19,'Valo FX'!$A:$A,0)),INDEX(Base!$U:$U,MATCH($A19,Base!$A:$A,0)),IF(JM$1=INDEX('Valo FX'!$R:$R,MATCH($A19,'Valo FX'!$A:$A,0)),INDEX(Base!$V:$V,MATCH($A19,Base!$A:$A,0)),0)))</f>
        <v>10.394145</v>
      </c>
      <c r="JN19" s="21">
        <f>IF(JN$1&lt;INDEX('Valo FX'!$Q:$Q,MATCH($A19,'Valo FX'!$A:$A,0)),0,IF(JN$1&lt;INDEX('Valo FX'!$R:$R,MATCH($A19,'Valo FX'!$A:$A,0)),INDEX(Base!$U:$U,MATCH($A19,Base!$A:$A,0)),IF(JN$1=INDEX('Valo FX'!$R:$R,MATCH($A19,'Valo FX'!$A:$A,0)),INDEX(Base!$V:$V,MATCH($A19,Base!$A:$A,0)),0)))</f>
        <v>10.394145</v>
      </c>
      <c r="JO19" s="21">
        <f>IF(JO$1&lt;INDEX('Valo FX'!$Q:$Q,MATCH($A19,'Valo FX'!$A:$A,0)),0,IF(JO$1&lt;INDEX('Valo FX'!$R:$R,MATCH($A19,'Valo FX'!$A:$A,0)),INDEX(Base!$U:$U,MATCH($A19,Base!$A:$A,0)),IF(JO$1=INDEX('Valo FX'!$R:$R,MATCH($A19,'Valo FX'!$A:$A,0)),INDEX(Base!$V:$V,MATCH($A19,Base!$A:$A,0)),0)))</f>
        <v>10.394145</v>
      </c>
      <c r="JP19" s="21">
        <f>IF(JP$1&lt;INDEX('Valo FX'!$Q:$Q,MATCH($A19,'Valo FX'!$A:$A,0)),0,IF(JP$1&lt;INDEX('Valo FX'!$R:$R,MATCH($A19,'Valo FX'!$A:$A,0)),INDEX(Base!$U:$U,MATCH($A19,Base!$A:$A,0)),IF(JP$1=INDEX('Valo FX'!$R:$R,MATCH($A19,'Valo FX'!$A:$A,0)),INDEX(Base!$V:$V,MATCH($A19,Base!$A:$A,0)),0)))</f>
        <v>10.394145</v>
      </c>
      <c r="JQ19" s="21">
        <f>IF(JQ$1&lt;INDEX('Valo FX'!$Q:$Q,MATCH($A19,'Valo FX'!$A:$A,0)),0,IF(JQ$1&lt;INDEX('Valo FX'!$R:$R,MATCH($A19,'Valo FX'!$A:$A,0)),INDEX(Base!$U:$U,MATCH($A19,Base!$A:$A,0)),IF(JQ$1=INDEX('Valo FX'!$R:$R,MATCH($A19,'Valo FX'!$A:$A,0)),INDEX(Base!$V:$V,MATCH($A19,Base!$A:$A,0)),0)))</f>
        <v>10.394145</v>
      </c>
      <c r="JR19" s="21">
        <f>IF(JR$1&lt;INDEX('Valo FX'!$Q:$Q,MATCH($A19,'Valo FX'!$A:$A,0)),0,IF(JR$1&lt;INDEX('Valo FX'!$R:$R,MATCH($A19,'Valo FX'!$A:$A,0)),INDEX(Base!$U:$U,MATCH($A19,Base!$A:$A,0)),IF(JR$1=INDEX('Valo FX'!$R:$R,MATCH($A19,'Valo FX'!$A:$A,0)),INDEX(Base!$V:$V,MATCH($A19,Base!$A:$A,0)),0)))</f>
        <v>10.394145</v>
      </c>
      <c r="JS19" s="21">
        <f>IF(JS$1&lt;INDEX('Valo FX'!$Q:$Q,MATCH($A19,'Valo FX'!$A:$A,0)),0,IF(JS$1&lt;INDEX('Valo FX'!$R:$R,MATCH($A19,'Valo FX'!$A:$A,0)),INDEX(Base!$U:$U,MATCH($A19,Base!$A:$A,0)),IF(JS$1=INDEX('Valo FX'!$R:$R,MATCH($A19,'Valo FX'!$A:$A,0)),INDEX(Base!$V:$V,MATCH($A19,Base!$A:$A,0)),0)))</f>
        <v>10.394145</v>
      </c>
      <c r="JT19" s="21">
        <f>IF(JT$1&lt;INDEX('Valo FX'!$Q:$Q,MATCH($A19,'Valo FX'!$A:$A,0)),0,IF(JT$1&lt;INDEX('Valo FX'!$R:$R,MATCH($A19,'Valo FX'!$A:$A,0)),INDEX(Base!$U:$U,MATCH($A19,Base!$A:$A,0)),IF(JT$1=INDEX('Valo FX'!$R:$R,MATCH($A19,'Valo FX'!$A:$A,0)),INDEX(Base!$V:$V,MATCH($A19,Base!$A:$A,0)),0)))</f>
        <v>10.394145</v>
      </c>
      <c r="JU19" s="21">
        <f>IF(JU$1&lt;INDEX('Valo FX'!$Q:$Q,MATCH($A19,'Valo FX'!$A:$A,0)),0,IF(JU$1&lt;INDEX('Valo FX'!$R:$R,MATCH($A19,'Valo FX'!$A:$A,0)),INDEX(Base!$U:$U,MATCH($A19,Base!$A:$A,0)),IF(JU$1=INDEX('Valo FX'!$R:$R,MATCH($A19,'Valo FX'!$A:$A,0)),INDEX(Base!$V:$V,MATCH($A19,Base!$A:$A,0)),0)))</f>
        <v>10.394145</v>
      </c>
      <c r="JV19" s="21">
        <f>IF(JV$1&lt;INDEX('Valo FX'!$Q:$Q,MATCH($A19,'Valo FX'!$A:$A,0)),0,IF(JV$1&lt;INDEX('Valo FX'!$R:$R,MATCH($A19,'Valo FX'!$A:$A,0)),INDEX(Base!$U:$U,MATCH($A19,Base!$A:$A,0)),IF(JV$1=INDEX('Valo FX'!$R:$R,MATCH($A19,'Valo FX'!$A:$A,0)),INDEX(Base!$V:$V,MATCH($A19,Base!$A:$A,0)),0)))</f>
        <v>10.394145</v>
      </c>
      <c r="JW19" s="21">
        <f>IF(JW$1&lt;INDEX('Valo FX'!$Q:$Q,MATCH($A19,'Valo FX'!$A:$A,0)),0,IF(JW$1&lt;INDEX('Valo FX'!$R:$R,MATCH($A19,'Valo FX'!$A:$A,0)),INDEX(Base!$U:$U,MATCH($A19,Base!$A:$A,0)),IF(JW$1=INDEX('Valo FX'!$R:$R,MATCH($A19,'Valo FX'!$A:$A,0)),INDEX(Base!$V:$V,MATCH($A19,Base!$A:$A,0)),0)))</f>
        <v>10.394145</v>
      </c>
      <c r="JX19" s="21">
        <f>IF(JX$1&lt;INDEX('Valo FX'!$Q:$Q,MATCH($A19,'Valo FX'!$A:$A,0)),0,IF(JX$1&lt;INDEX('Valo FX'!$R:$R,MATCH($A19,'Valo FX'!$A:$A,0)),INDEX(Base!$U:$U,MATCH($A19,Base!$A:$A,0)),IF(JX$1=INDEX('Valo FX'!$R:$R,MATCH($A19,'Valo FX'!$A:$A,0)),INDEX(Base!$V:$V,MATCH($A19,Base!$A:$A,0)),0)))</f>
        <v>10.394145</v>
      </c>
      <c r="JY19" s="21">
        <f>IF(JY$1&lt;INDEX('Valo FX'!$Q:$Q,MATCH($A19,'Valo FX'!$A:$A,0)),0,IF(JY$1&lt;INDEX('Valo FX'!$R:$R,MATCH($A19,'Valo FX'!$A:$A,0)),INDEX(Base!$U:$U,MATCH($A19,Base!$A:$A,0)),IF(JY$1=INDEX('Valo FX'!$R:$R,MATCH($A19,'Valo FX'!$A:$A,0)),INDEX(Base!$V:$V,MATCH($A19,Base!$A:$A,0)),0)))</f>
        <v>10.394145</v>
      </c>
      <c r="JZ19" s="21">
        <f>IF(JZ$1&lt;INDEX('Valo FX'!$Q:$Q,MATCH($A19,'Valo FX'!$A:$A,0)),0,IF(JZ$1&lt;INDEX('Valo FX'!$R:$R,MATCH($A19,'Valo FX'!$A:$A,0)),INDEX(Base!$U:$U,MATCH($A19,Base!$A:$A,0)),IF(JZ$1=INDEX('Valo FX'!$R:$R,MATCH($A19,'Valo FX'!$A:$A,0)),INDEX(Base!$V:$V,MATCH($A19,Base!$A:$A,0)),0)))</f>
        <v>10.394145</v>
      </c>
      <c r="KA19" s="21">
        <f>IF(KA$1&lt;INDEX('Valo FX'!$Q:$Q,MATCH($A19,'Valo FX'!$A:$A,0)),0,IF(KA$1&lt;INDEX('Valo FX'!$R:$R,MATCH($A19,'Valo FX'!$A:$A,0)),INDEX(Base!$U:$U,MATCH($A19,Base!$A:$A,0)),IF(KA$1=INDEX('Valo FX'!$R:$R,MATCH($A19,'Valo FX'!$A:$A,0)),INDEX(Base!$V:$V,MATCH($A19,Base!$A:$A,0)),0)))</f>
        <v>10.394145</v>
      </c>
      <c r="KB19" s="21">
        <f>IF(KB$1&lt;INDEX('Valo FX'!$Q:$Q,MATCH($A19,'Valo FX'!$A:$A,0)),0,IF(KB$1&lt;INDEX('Valo FX'!$R:$R,MATCH($A19,'Valo FX'!$A:$A,0)),INDEX(Base!$U:$U,MATCH($A19,Base!$A:$A,0)),IF(KB$1=INDEX('Valo FX'!$R:$R,MATCH($A19,'Valo FX'!$A:$A,0)),INDEX(Base!$V:$V,MATCH($A19,Base!$A:$A,0)),0)))</f>
        <v>10.394145</v>
      </c>
      <c r="KC19" s="21">
        <f>IF(KC$1&lt;INDEX('Valo FX'!$Q:$Q,MATCH($A19,'Valo FX'!$A:$A,0)),0,IF(KC$1&lt;INDEX('Valo FX'!$R:$R,MATCH($A19,'Valo FX'!$A:$A,0)),INDEX(Base!$U:$U,MATCH($A19,Base!$A:$A,0)),IF(KC$1=INDEX('Valo FX'!$R:$R,MATCH($A19,'Valo FX'!$A:$A,0)),INDEX(Base!$V:$V,MATCH($A19,Base!$A:$A,0)),0)))</f>
        <v>10.394145</v>
      </c>
      <c r="KD19" s="21">
        <f>IF(KD$1&lt;INDEX('Valo FX'!$Q:$Q,MATCH($A19,'Valo FX'!$A:$A,0)),0,IF(KD$1&lt;INDEX('Valo FX'!$R:$R,MATCH($A19,'Valo FX'!$A:$A,0)),INDEX(Base!$U:$U,MATCH($A19,Base!$A:$A,0)),IF(KD$1=INDEX('Valo FX'!$R:$R,MATCH($A19,'Valo FX'!$A:$A,0)),INDEX(Base!$V:$V,MATCH($A19,Base!$A:$A,0)),0)))</f>
        <v>10.394145</v>
      </c>
      <c r="KE19" s="21">
        <f>IF(KE$1&lt;INDEX('Valo FX'!$Q:$Q,MATCH($A19,'Valo FX'!$A:$A,0)),0,IF(KE$1&lt;INDEX('Valo FX'!$R:$R,MATCH($A19,'Valo FX'!$A:$A,0)),INDEX(Base!$U:$U,MATCH($A19,Base!$A:$A,0)),IF(KE$1=INDEX('Valo FX'!$R:$R,MATCH($A19,'Valo FX'!$A:$A,0)),INDEX(Base!$V:$V,MATCH($A19,Base!$A:$A,0)),0)))</f>
        <v>10.394145</v>
      </c>
      <c r="KF19" s="21">
        <f>IF(KF$1&lt;INDEX('Valo FX'!$Q:$Q,MATCH($A19,'Valo FX'!$A:$A,0)),0,IF(KF$1&lt;INDEX('Valo FX'!$R:$R,MATCH($A19,'Valo FX'!$A:$A,0)),INDEX(Base!$U:$U,MATCH($A19,Base!$A:$A,0)),IF(KF$1=INDEX('Valo FX'!$R:$R,MATCH($A19,'Valo FX'!$A:$A,0)),INDEX(Base!$V:$V,MATCH($A19,Base!$A:$A,0)),0)))</f>
        <v>10.394145</v>
      </c>
      <c r="KG19" s="21">
        <f>IF(KG$1&lt;INDEX('Valo FX'!$Q:$Q,MATCH($A19,'Valo FX'!$A:$A,0)),0,IF(KG$1&lt;INDEX('Valo FX'!$R:$R,MATCH($A19,'Valo FX'!$A:$A,0)),INDEX(Base!$U:$U,MATCH($A19,Base!$A:$A,0)),IF(KG$1=INDEX('Valo FX'!$R:$R,MATCH($A19,'Valo FX'!$A:$A,0)),INDEX(Base!$V:$V,MATCH($A19,Base!$A:$A,0)),0)))</f>
        <v>10.394145</v>
      </c>
      <c r="KH19" s="21">
        <f>IF(KH$1&lt;INDEX('Valo FX'!$Q:$Q,MATCH($A19,'Valo FX'!$A:$A,0)),0,IF(KH$1&lt;INDEX('Valo FX'!$R:$R,MATCH($A19,'Valo FX'!$A:$A,0)),INDEX(Base!$U:$U,MATCH($A19,Base!$A:$A,0)),IF(KH$1=INDEX('Valo FX'!$R:$R,MATCH($A19,'Valo FX'!$A:$A,0)),INDEX(Base!$V:$V,MATCH($A19,Base!$A:$A,0)),0)))</f>
        <v>10.394145</v>
      </c>
      <c r="KI19" s="21">
        <f>IF(KI$1&lt;INDEX('Valo FX'!$Q:$Q,MATCH($A19,'Valo FX'!$A:$A,0)),0,IF(KI$1&lt;INDEX('Valo FX'!$R:$R,MATCH($A19,'Valo FX'!$A:$A,0)),INDEX(Base!$U:$U,MATCH($A19,Base!$A:$A,0)),IF(KI$1=INDEX('Valo FX'!$R:$R,MATCH($A19,'Valo FX'!$A:$A,0)),INDEX(Base!$V:$V,MATCH($A19,Base!$A:$A,0)),0)))</f>
        <v>10.394145</v>
      </c>
      <c r="KJ19" s="21">
        <f>IF(KJ$1&lt;INDEX('Valo FX'!$Q:$Q,MATCH($A19,'Valo FX'!$A:$A,0)),0,IF(KJ$1&lt;INDEX('Valo FX'!$R:$R,MATCH($A19,'Valo FX'!$A:$A,0)),INDEX(Base!$U:$U,MATCH($A19,Base!$A:$A,0)),IF(KJ$1=INDEX('Valo FX'!$R:$R,MATCH($A19,'Valo FX'!$A:$A,0)),INDEX(Base!$V:$V,MATCH($A19,Base!$A:$A,0)),0)))</f>
        <v>10.394145</v>
      </c>
      <c r="KK19" s="21">
        <f>IF(KK$1&lt;INDEX('Valo FX'!$Q:$Q,MATCH($A19,'Valo FX'!$A:$A,0)),0,IF(KK$1&lt;INDEX('Valo FX'!$R:$R,MATCH($A19,'Valo FX'!$A:$A,0)),INDEX(Base!$U:$U,MATCH($A19,Base!$A:$A,0)),IF(KK$1=INDEX('Valo FX'!$R:$R,MATCH($A19,'Valo FX'!$A:$A,0)),INDEX(Base!$V:$V,MATCH($A19,Base!$A:$A,0)),0)))</f>
        <v>10.394145</v>
      </c>
      <c r="KL19" s="21">
        <f>IF(KL$1&lt;INDEX('Valo FX'!$Q:$Q,MATCH($A19,'Valo FX'!$A:$A,0)),0,IF(KL$1&lt;INDEX('Valo FX'!$R:$R,MATCH($A19,'Valo FX'!$A:$A,0)),INDEX(Base!$U:$U,MATCH($A19,Base!$A:$A,0)),IF(KL$1=INDEX('Valo FX'!$R:$R,MATCH($A19,'Valo FX'!$A:$A,0)),INDEX(Base!$V:$V,MATCH($A19,Base!$A:$A,0)),0)))</f>
        <v>10.394145</v>
      </c>
      <c r="KM19" s="21">
        <f>IF(KM$1&lt;INDEX('Valo FX'!$Q:$Q,MATCH($A19,'Valo FX'!$A:$A,0)),0,IF(KM$1&lt;INDEX('Valo FX'!$R:$R,MATCH($A19,'Valo FX'!$A:$A,0)),INDEX(Base!$U:$U,MATCH($A19,Base!$A:$A,0)),IF(KM$1=INDEX('Valo FX'!$R:$R,MATCH($A19,'Valo FX'!$A:$A,0)),INDEX(Base!$V:$V,MATCH($A19,Base!$A:$A,0)),0)))</f>
        <v>10.394145</v>
      </c>
      <c r="KN19" s="21">
        <f>IF(KN$1&lt;INDEX('Valo FX'!$Q:$Q,MATCH($A19,'Valo FX'!$A:$A,0)),0,IF(KN$1&lt;INDEX('Valo FX'!$R:$R,MATCH($A19,'Valo FX'!$A:$A,0)),INDEX(Base!$U:$U,MATCH($A19,Base!$A:$A,0)),IF(KN$1=INDEX('Valo FX'!$R:$R,MATCH($A19,'Valo FX'!$A:$A,0)),INDEX(Base!$V:$V,MATCH($A19,Base!$A:$A,0)),0)))</f>
        <v>10.394145</v>
      </c>
      <c r="KO19" s="21">
        <f>IF(KO$1&lt;INDEX('Valo FX'!$Q:$Q,MATCH($A19,'Valo FX'!$A:$A,0)),0,IF(KO$1&lt;INDEX('Valo FX'!$R:$R,MATCH($A19,'Valo FX'!$A:$A,0)),INDEX(Base!$U:$U,MATCH($A19,Base!$A:$A,0)),IF(KO$1=INDEX('Valo FX'!$R:$R,MATCH($A19,'Valo FX'!$A:$A,0)),INDEX(Base!$V:$V,MATCH($A19,Base!$A:$A,0)),0)))</f>
        <v>10.394145</v>
      </c>
      <c r="KP19" s="21">
        <f>IF(KP$1&lt;INDEX('Valo FX'!$Q:$Q,MATCH($A19,'Valo FX'!$A:$A,0)),0,IF(KP$1&lt;INDEX('Valo FX'!$R:$R,MATCH($A19,'Valo FX'!$A:$A,0)),INDEX(Base!$U:$U,MATCH($A19,Base!$A:$A,0)),IF(KP$1=INDEX('Valo FX'!$R:$R,MATCH($A19,'Valo FX'!$A:$A,0)),INDEX(Base!$V:$V,MATCH($A19,Base!$A:$A,0)),0)))</f>
        <v>10.394145</v>
      </c>
      <c r="KQ19" s="21">
        <f>IF(KQ$1&lt;INDEX('Valo FX'!$Q:$Q,MATCH($A19,'Valo FX'!$A:$A,0)),0,IF(KQ$1&lt;INDEX('Valo FX'!$R:$R,MATCH($A19,'Valo FX'!$A:$A,0)),INDEX(Base!$U:$U,MATCH($A19,Base!$A:$A,0)),IF(KQ$1=INDEX('Valo FX'!$R:$R,MATCH($A19,'Valo FX'!$A:$A,0)),INDEX(Base!$V:$V,MATCH($A19,Base!$A:$A,0)),0)))</f>
        <v>10.394145</v>
      </c>
      <c r="KR19" s="21">
        <f>IF(KR$1&lt;INDEX('Valo FX'!$Q:$Q,MATCH($A19,'Valo FX'!$A:$A,0)),0,IF(KR$1&lt;INDEX('Valo FX'!$R:$R,MATCH($A19,'Valo FX'!$A:$A,0)),INDEX(Base!$U:$U,MATCH($A19,Base!$A:$A,0)),IF(KR$1=INDEX('Valo FX'!$R:$R,MATCH($A19,'Valo FX'!$A:$A,0)),INDEX(Base!$V:$V,MATCH($A19,Base!$A:$A,0)),0)))</f>
        <v>10.394145</v>
      </c>
      <c r="KS19" s="21">
        <f>IF(KS$1&lt;INDEX('Valo FX'!$Q:$Q,MATCH($A19,'Valo FX'!$A:$A,0)),0,IF(KS$1&lt;INDEX('Valo FX'!$R:$R,MATCH($A19,'Valo FX'!$A:$A,0)),INDEX(Base!$U:$U,MATCH($A19,Base!$A:$A,0)),IF(KS$1=INDEX('Valo FX'!$R:$R,MATCH($A19,'Valo FX'!$A:$A,0)),INDEX(Base!$V:$V,MATCH($A19,Base!$A:$A,0)),0)))</f>
        <v>10.394145</v>
      </c>
      <c r="KT19" s="21">
        <f>IF(KT$1&lt;INDEX('Valo FX'!$Q:$Q,MATCH($A19,'Valo FX'!$A:$A,0)),0,IF(KT$1&lt;INDEX('Valo FX'!$R:$R,MATCH($A19,'Valo FX'!$A:$A,0)),INDEX(Base!$U:$U,MATCH($A19,Base!$A:$A,0)),IF(KT$1=INDEX('Valo FX'!$R:$R,MATCH($A19,'Valo FX'!$A:$A,0)),INDEX(Base!$V:$V,MATCH($A19,Base!$A:$A,0)),0)))</f>
        <v>10.394145</v>
      </c>
      <c r="KU19" s="21">
        <f>IF(KU$1&lt;INDEX('Valo FX'!$Q:$Q,MATCH($A19,'Valo FX'!$A:$A,0)),0,IF(KU$1&lt;INDEX('Valo FX'!$R:$R,MATCH($A19,'Valo FX'!$A:$A,0)),INDEX(Base!$U:$U,MATCH($A19,Base!$A:$A,0)),IF(KU$1=INDEX('Valo FX'!$R:$R,MATCH($A19,'Valo FX'!$A:$A,0)),INDEX(Base!$V:$V,MATCH($A19,Base!$A:$A,0)),0)))</f>
        <v>10.394145</v>
      </c>
      <c r="KV19" s="21">
        <f>IF(KV$1&lt;INDEX('Valo FX'!$Q:$Q,MATCH($A19,'Valo FX'!$A:$A,0)),0,IF(KV$1&lt;INDEX('Valo FX'!$R:$R,MATCH($A19,'Valo FX'!$A:$A,0)),INDEX(Base!$U:$U,MATCH($A19,Base!$A:$A,0)),IF(KV$1=INDEX('Valo FX'!$R:$R,MATCH($A19,'Valo FX'!$A:$A,0)),INDEX(Base!$V:$V,MATCH($A19,Base!$A:$A,0)),0)))</f>
        <v>10.394145</v>
      </c>
      <c r="KW19" s="21">
        <f>IF(KW$1&lt;INDEX('Valo FX'!$Q:$Q,MATCH($A19,'Valo FX'!$A:$A,0)),0,IF(KW$1&lt;INDEX('Valo FX'!$R:$R,MATCH($A19,'Valo FX'!$A:$A,0)),INDEX(Base!$U:$U,MATCH($A19,Base!$A:$A,0)),IF(KW$1=INDEX('Valo FX'!$R:$R,MATCH($A19,'Valo FX'!$A:$A,0)),INDEX(Base!$V:$V,MATCH($A19,Base!$A:$A,0)),0)))</f>
        <v>10.394145</v>
      </c>
      <c r="KX19" s="21">
        <f>IF(KX$1&lt;INDEX('Valo FX'!$Q:$Q,MATCH($A19,'Valo FX'!$A:$A,0)),0,IF(KX$1&lt;INDEX('Valo FX'!$R:$R,MATCH($A19,'Valo FX'!$A:$A,0)),INDEX(Base!$U:$U,MATCH($A19,Base!$A:$A,0)),IF(KX$1=INDEX('Valo FX'!$R:$R,MATCH($A19,'Valo FX'!$A:$A,0)),INDEX(Base!$V:$V,MATCH($A19,Base!$A:$A,0)),0)))</f>
        <v>10.394145</v>
      </c>
      <c r="KY19" s="21">
        <f>IF(KY$1&lt;INDEX('Valo FX'!$Q:$Q,MATCH($A19,'Valo FX'!$A:$A,0)),0,IF(KY$1&lt;INDEX('Valo FX'!$R:$R,MATCH($A19,'Valo FX'!$A:$A,0)),INDEX(Base!$U:$U,MATCH($A19,Base!$A:$A,0)),IF(KY$1=INDEX('Valo FX'!$R:$R,MATCH($A19,'Valo FX'!$A:$A,0)),INDEX(Base!$V:$V,MATCH($A19,Base!$A:$A,0)),0)))</f>
        <v>10.394145</v>
      </c>
      <c r="KZ19" s="21">
        <f>IF(KZ$1&lt;INDEX('Valo FX'!$Q:$Q,MATCH($A19,'Valo FX'!$A:$A,0)),0,IF(KZ$1&lt;INDEX('Valo FX'!$R:$R,MATCH($A19,'Valo FX'!$A:$A,0)),INDEX(Base!$U:$U,MATCH($A19,Base!$A:$A,0)),IF(KZ$1=INDEX('Valo FX'!$R:$R,MATCH($A19,'Valo FX'!$A:$A,0)),INDEX(Base!$V:$V,MATCH($A19,Base!$A:$A,0)),0)))</f>
        <v>10.394145</v>
      </c>
      <c r="LA19" s="21">
        <f>IF(LA$1&lt;INDEX('Valo FX'!$Q:$Q,MATCH($A19,'Valo FX'!$A:$A,0)),0,IF(LA$1&lt;INDEX('Valo FX'!$R:$R,MATCH($A19,'Valo FX'!$A:$A,0)),INDEX(Base!$U:$U,MATCH($A19,Base!$A:$A,0)),IF(LA$1=INDEX('Valo FX'!$R:$R,MATCH($A19,'Valo FX'!$A:$A,0)),INDEX(Base!$V:$V,MATCH($A19,Base!$A:$A,0)),0)))</f>
        <v>10.394145</v>
      </c>
      <c r="LB19" s="21">
        <f>IF(LB$1&lt;INDEX('Valo FX'!$Q:$Q,MATCH($A19,'Valo FX'!$A:$A,0)),0,IF(LB$1&lt;INDEX('Valo FX'!$R:$R,MATCH($A19,'Valo FX'!$A:$A,0)),INDEX(Base!$U:$U,MATCH($A19,Base!$A:$A,0)),IF(LB$1=INDEX('Valo FX'!$R:$R,MATCH($A19,'Valo FX'!$A:$A,0)),INDEX(Base!$V:$V,MATCH($A19,Base!$A:$A,0)),0)))</f>
        <v>10.394145</v>
      </c>
      <c r="LC19" s="21">
        <f>IF(LC$1&lt;INDEX('Valo FX'!$Q:$Q,MATCH($A19,'Valo FX'!$A:$A,0)),0,IF(LC$1&lt;INDEX('Valo FX'!$R:$R,MATCH($A19,'Valo FX'!$A:$A,0)),INDEX(Base!$U:$U,MATCH($A19,Base!$A:$A,0)),IF(LC$1=INDEX('Valo FX'!$R:$R,MATCH($A19,'Valo FX'!$A:$A,0)),INDEX(Base!$V:$V,MATCH($A19,Base!$A:$A,0)),0)))</f>
        <v>10.106775000000001</v>
      </c>
      <c r="LD19" s="21">
        <f>IF(LD$1&lt;INDEX('Valo FX'!$Q:$Q,MATCH($A19,'Valo FX'!$A:$A,0)),0,IF(LD$1&lt;INDEX('Valo FX'!$R:$R,MATCH($A19,'Valo FX'!$A:$A,0)),INDEX(Base!$U:$U,MATCH($A19,Base!$A:$A,0)),IF(LD$1=INDEX('Valo FX'!$R:$R,MATCH($A19,'Valo FX'!$A:$A,0)),INDEX(Base!$V:$V,MATCH($A19,Base!$A:$A,0)),0)))</f>
        <v>0</v>
      </c>
      <c r="LE19" s="21">
        <f>IF(LE$1&lt;INDEX('Valo FX'!$Q:$Q,MATCH($A19,'Valo FX'!$A:$A,0)),0,IF(LE$1&lt;INDEX('Valo FX'!$R:$R,MATCH($A19,'Valo FX'!$A:$A,0)),INDEX(Base!$U:$U,MATCH($A19,Base!$A:$A,0)),IF(LE$1=INDEX('Valo FX'!$R:$R,MATCH($A19,'Valo FX'!$A:$A,0)),INDEX(Base!$V:$V,MATCH($A19,Base!$A:$A,0)),0)))</f>
        <v>0</v>
      </c>
      <c r="LF19" s="21">
        <f>IF(LF$1&lt;INDEX('Valo FX'!$Q:$Q,MATCH($A19,'Valo FX'!$A:$A,0)),0,IF(LF$1&lt;INDEX('Valo FX'!$R:$R,MATCH($A19,'Valo FX'!$A:$A,0)),INDEX(Base!$U:$U,MATCH($A19,Base!$A:$A,0)),IF(LF$1=INDEX('Valo FX'!$R:$R,MATCH($A19,'Valo FX'!$A:$A,0)),INDEX(Base!$V:$V,MATCH($A19,Base!$A:$A,0)),0)))</f>
        <v>0</v>
      </c>
      <c r="LG19" s="21">
        <f>IF(LG$1&lt;INDEX('Valo FX'!$Q:$Q,MATCH($A19,'Valo FX'!$A:$A,0)),0,IF(LG$1&lt;INDEX('Valo FX'!$R:$R,MATCH($A19,'Valo FX'!$A:$A,0)),INDEX(Base!$U:$U,MATCH($A19,Base!$A:$A,0)),IF(LG$1=INDEX('Valo FX'!$R:$R,MATCH($A19,'Valo FX'!$A:$A,0)),INDEX(Base!$V:$V,MATCH($A19,Base!$A:$A,0)),0)))</f>
        <v>0</v>
      </c>
      <c r="LH19" s="21">
        <f>IF(LH$1&lt;INDEX('Valo FX'!$Q:$Q,MATCH($A19,'Valo FX'!$A:$A,0)),0,IF(LH$1&lt;INDEX('Valo FX'!$R:$R,MATCH($A19,'Valo FX'!$A:$A,0)),INDEX(Base!$U:$U,MATCH($A19,Base!$A:$A,0)),IF(LH$1=INDEX('Valo FX'!$R:$R,MATCH($A19,'Valo FX'!$A:$A,0)),INDEX(Base!$V:$V,MATCH($A19,Base!$A:$A,0)),0)))</f>
        <v>0</v>
      </c>
      <c r="LI19" s="21">
        <f>IF(LI$1&lt;INDEX('Valo FX'!$Q:$Q,MATCH($A19,'Valo FX'!$A:$A,0)),0,IF(LI$1&lt;INDEX('Valo FX'!$R:$R,MATCH($A19,'Valo FX'!$A:$A,0)),INDEX(Base!$U:$U,MATCH($A19,Base!$A:$A,0)),IF(LI$1=INDEX('Valo FX'!$R:$R,MATCH($A19,'Valo FX'!$A:$A,0)),INDEX(Base!$V:$V,MATCH($A19,Base!$A:$A,0)),0)))</f>
        <v>0</v>
      </c>
      <c r="LJ19" s="21">
        <f>IF(LJ$1&lt;INDEX('Valo FX'!$Q:$Q,MATCH($A19,'Valo FX'!$A:$A,0)),0,IF(LJ$1&lt;INDEX('Valo FX'!$R:$R,MATCH($A19,'Valo FX'!$A:$A,0)),INDEX(Base!$U:$U,MATCH($A19,Base!$A:$A,0)),IF(LJ$1=INDEX('Valo FX'!$R:$R,MATCH($A19,'Valo FX'!$A:$A,0)),INDEX(Base!$V:$V,MATCH($A19,Base!$A:$A,0)),0)))</f>
        <v>0</v>
      </c>
      <c r="LK19" s="21">
        <f>IF(LK$1&lt;INDEX('Valo FX'!$Q:$Q,MATCH($A19,'Valo FX'!$A:$A,0)),0,IF(LK$1&lt;INDEX('Valo FX'!$R:$R,MATCH($A19,'Valo FX'!$A:$A,0)),INDEX(Base!$U:$U,MATCH($A19,Base!$A:$A,0)),IF(LK$1=INDEX('Valo FX'!$R:$R,MATCH($A19,'Valo FX'!$A:$A,0)),INDEX(Base!$V:$V,MATCH($A19,Base!$A:$A,0)),0)))</f>
        <v>0</v>
      </c>
      <c r="LL19" s="21">
        <f>IF(LL$1&lt;INDEX('Valo FX'!$Q:$Q,MATCH($A19,'Valo FX'!$A:$A,0)),0,IF(LL$1&lt;INDEX('Valo FX'!$R:$R,MATCH($A19,'Valo FX'!$A:$A,0)),INDEX(Base!$U:$U,MATCH($A19,Base!$A:$A,0)),IF(LL$1=INDEX('Valo FX'!$R:$R,MATCH($A19,'Valo FX'!$A:$A,0)),INDEX(Base!$V:$V,MATCH($A19,Base!$A:$A,0)),0)))</f>
        <v>0</v>
      </c>
      <c r="LM19" s="21">
        <f>IF(LM$1&lt;INDEX('Valo FX'!$Q:$Q,MATCH($A19,'Valo FX'!$A:$A,0)),0,IF(LM$1&lt;INDEX('Valo FX'!$R:$R,MATCH($A19,'Valo FX'!$A:$A,0)),INDEX(Base!$U:$U,MATCH($A19,Base!$A:$A,0)),IF(LM$1=INDEX('Valo FX'!$R:$R,MATCH($A19,'Valo FX'!$A:$A,0)),INDEX(Base!$V:$V,MATCH($A19,Base!$A:$A,0)),0)))</f>
        <v>0</v>
      </c>
      <c r="LN19" s="21">
        <f>IF(LN$1&lt;INDEX('Valo FX'!$Q:$Q,MATCH($A19,'Valo FX'!$A:$A,0)),0,IF(LN$1&lt;INDEX('Valo FX'!$R:$R,MATCH($A19,'Valo FX'!$A:$A,0)),INDEX(Base!$U:$U,MATCH($A19,Base!$A:$A,0)),IF(LN$1=INDEX('Valo FX'!$R:$R,MATCH($A19,'Valo FX'!$A:$A,0)),INDEX(Base!$V:$V,MATCH($A19,Base!$A:$A,0)),0)))</f>
        <v>0</v>
      </c>
      <c r="LO19" s="21">
        <f>IF(LO$1&lt;INDEX('Valo FX'!$Q:$Q,MATCH($A19,'Valo FX'!$A:$A,0)),0,IF(LO$1&lt;INDEX('Valo FX'!$R:$R,MATCH($A19,'Valo FX'!$A:$A,0)),INDEX(Base!$U:$U,MATCH($A19,Base!$A:$A,0)),IF(LO$1=INDEX('Valo FX'!$R:$R,MATCH($A19,'Valo FX'!$A:$A,0)),INDEX(Base!$V:$V,MATCH($A19,Base!$A:$A,0)),0)))</f>
        <v>0</v>
      </c>
      <c r="LP19" s="21">
        <f>IF(LP$1&lt;INDEX('Valo FX'!$Q:$Q,MATCH($A19,'Valo FX'!$A:$A,0)),0,IF(LP$1&lt;INDEX('Valo FX'!$R:$R,MATCH($A19,'Valo FX'!$A:$A,0)),INDEX(Base!$U:$U,MATCH($A19,Base!$A:$A,0)),IF(LP$1=INDEX('Valo FX'!$R:$R,MATCH($A19,'Valo FX'!$A:$A,0)),INDEX(Base!$V:$V,MATCH($A19,Base!$A:$A,0)),0)))</f>
        <v>0</v>
      </c>
      <c r="LQ19" s="21">
        <f>IF(LQ$1&lt;INDEX('Valo FX'!$Q:$Q,MATCH($A19,'Valo FX'!$A:$A,0)),0,IF(LQ$1&lt;INDEX('Valo FX'!$R:$R,MATCH($A19,'Valo FX'!$A:$A,0)),INDEX(Base!$U:$U,MATCH($A19,Base!$A:$A,0)),IF(LQ$1=INDEX('Valo FX'!$R:$R,MATCH($A19,'Valo FX'!$A:$A,0)),INDEX(Base!$V:$V,MATCH($A19,Base!$A:$A,0)),0)))</f>
        <v>0</v>
      </c>
      <c r="LR19" s="21">
        <f>IF(LR$1&lt;INDEX('Valo FX'!$Q:$Q,MATCH($A19,'Valo FX'!$A:$A,0)),0,IF(LR$1&lt;INDEX('Valo FX'!$R:$R,MATCH($A19,'Valo FX'!$A:$A,0)),INDEX(Base!$U:$U,MATCH($A19,Base!$A:$A,0)),IF(LR$1=INDEX('Valo FX'!$R:$R,MATCH($A19,'Valo FX'!$A:$A,0)),INDEX(Base!$V:$V,MATCH($A19,Base!$A:$A,0)),0)))</f>
        <v>0</v>
      </c>
      <c r="LS19" s="21">
        <f>IF(LS$1&lt;INDEX('Valo FX'!$Q:$Q,MATCH($A19,'Valo FX'!$A:$A,0)),0,IF(LS$1&lt;INDEX('Valo FX'!$R:$R,MATCH($A19,'Valo FX'!$A:$A,0)),INDEX(Base!$U:$U,MATCH($A19,Base!$A:$A,0)),IF(LS$1=INDEX('Valo FX'!$R:$R,MATCH($A19,'Valo FX'!$A:$A,0)),INDEX(Base!$V:$V,MATCH($A19,Base!$A:$A,0)),0)))</f>
        <v>0</v>
      </c>
      <c r="LT19" s="21">
        <f>IF(LT$1&lt;INDEX('Valo FX'!$Q:$Q,MATCH($A19,'Valo FX'!$A:$A,0)),0,IF(LT$1&lt;INDEX('Valo FX'!$R:$R,MATCH($A19,'Valo FX'!$A:$A,0)),INDEX(Base!$U:$U,MATCH($A19,Base!$A:$A,0)),IF(LT$1=INDEX('Valo FX'!$R:$R,MATCH($A19,'Valo FX'!$A:$A,0)),INDEX(Base!$V:$V,MATCH($A19,Base!$A:$A,0)),0)))</f>
        <v>0</v>
      </c>
      <c r="LU19" s="21">
        <f>IF(LU$1&lt;INDEX('Valo FX'!$Q:$Q,MATCH($A19,'Valo FX'!$A:$A,0)),0,IF(LU$1&lt;INDEX('Valo FX'!$R:$R,MATCH($A19,'Valo FX'!$A:$A,0)),INDEX(Base!$U:$U,MATCH($A19,Base!$A:$A,0)),IF(LU$1=INDEX('Valo FX'!$R:$R,MATCH($A19,'Valo FX'!$A:$A,0)),INDEX(Base!$V:$V,MATCH($A19,Base!$A:$A,0)),0)))</f>
        <v>0</v>
      </c>
      <c r="LV19" s="21">
        <f>IF(LV$1&lt;INDEX('Valo FX'!$Q:$Q,MATCH($A19,'Valo FX'!$A:$A,0)),0,IF(LV$1&lt;INDEX('Valo FX'!$R:$R,MATCH($A19,'Valo FX'!$A:$A,0)),INDEX(Base!$U:$U,MATCH($A19,Base!$A:$A,0)),IF(LV$1=INDEX('Valo FX'!$R:$R,MATCH($A19,'Valo FX'!$A:$A,0)),INDEX(Base!$V:$V,MATCH($A19,Base!$A:$A,0)),0)))</f>
        <v>0</v>
      </c>
      <c r="LW19" s="21">
        <f>IF(LW$1&lt;INDEX('Valo FX'!$Q:$Q,MATCH($A19,'Valo FX'!$A:$A,0)),0,IF(LW$1&lt;INDEX('Valo FX'!$R:$R,MATCH($A19,'Valo FX'!$A:$A,0)),INDEX(Base!$U:$U,MATCH($A19,Base!$A:$A,0)),IF(LW$1=INDEX('Valo FX'!$R:$R,MATCH($A19,'Valo FX'!$A:$A,0)),INDEX(Base!$V:$V,MATCH($A19,Base!$A:$A,0)),0)))</f>
        <v>0</v>
      </c>
      <c r="LX19" s="21">
        <f>IF(LX$1&lt;INDEX('Valo FX'!$Q:$Q,MATCH($A19,'Valo FX'!$A:$A,0)),0,IF(LX$1&lt;INDEX('Valo FX'!$R:$R,MATCH($A19,'Valo FX'!$A:$A,0)),INDEX(Base!$U:$U,MATCH($A19,Base!$A:$A,0)),IF(LX$1=INDEX('Valo FX'!$R:$R,MATCH($A19,'Valo FX'!$A:$A,0)),INDEX(Base!$V:$V,MATCH($A19,Base!$A:$A,0)),0)))</f>
        <v>0</v>
      </c>
      <c r="LY19" s="21">
        <f>IF(LY$1&lt;INDEX('Valo FX'!$Q:$Q,MATCH($A19,'Valo FX'!$A:$A,0)),0,IF(LY$1&lt;INDEX('Valo FX'!$R:$R,MATCH($A19,'Valo FX'!$A:$A,0)),INDEX(Base!$U:$U,MATCH($A19,Base!$A:$A,0)),IF(LY$1=INDEX('Valo FX'!$R:$R,MATCH($A19,'Valo FX'!$A:$A,0)),INDEX(Base!$V:$V,MATCH($A19,Base!$A:$A,0)),0)))</f>
        <v>0</v>
      </c>
      <c r="LZ19" s="21">
        <f>IF(LZ$1&lt;INDEX('Valo FX'!$Q:$Q,MATCH($A19,'Valo FX'!$A:$A,0)),0,IF(LZ$1&lt;INDEX('Valo FX'!$R:$R,MATCH($A19,'Valo FX'!$A:$A,0)),INDEX(Base!$U:$U,MATCH($A19,Base!$A:$A,0)),IF(LZ$1=INDEX('Valo FX'!$R:$R,MATCH($A19,'Valo FX'!$A:$A,0)),INDEX(Base!$V:$V,MATCH($A19,Base!$A:$A,0)),0)))</f>
        <v>0</v>
      </c>
      <c r="MA19" s="21">
        <f>IF(MA$1&lt;INDEX('Valo FX'!$Q:$Q,MATCH($A19,'Valo FX'!$A:$A,0)),0,IF(MA$1&lt;INDEX('Valo FX'!$R:$R,MATCH($A19,'Valo FX'!$A:$A,0)),INDEX(Base!$U:$U,MATCH($A19,Base!$A:$A,0)),IF(MA$1=INDEX('Valo FX'!$R:$R,MATCH($A19,'Valo FX'!$A:$A,0)),INDEX(Base!$V:$V,MATCH($A19,Base!$A:$A,0)),0)))</f>
        <v>0</v>
      </c>
      <c r="MB19" s="21">
        <f>IF(MB$1&lt;INDEX('Valo FX'!$Q:$Q,MATCH($A19,'Valo FX'!$A:$A,0)),0,IF(MB$1&lt;INDEX('Valo FX'!$R:$R,MATCH($A19,'Valo FX'!$A:$A,0)),INDEX(Base!$U:$U,MATCH($A19,Base!$A:$A,0)),IF(MB$1=INDEX('Valo FX'!$R:$R,MATCH($A19,'Valo FX'!$A:$A,0)),INDEX(Base!$V:$V,MATCH($A19,Base!$A:$A,0)),0)))</f>
        <v>0</v>
      </c>
      <c r="MC19" s="21">
        <f>IF(MC$1&lt;INDEX('Valo FX'!$Q:$Q,MATCH($A19,'Valo FX'!$A:$A,0)),0,IF(MC$1&lt;INDEX('Valo FX'!$R:$R,MATCH($A19,'Valo FX'!$A:$A,0)),INDEX(Base!$U:$U,MATCH($A19,Base!$A:$A,0)),IF(MC$1=INDEX('Valo FX'!$R:$R,MATCH($A19,'Valo FX'!$A:$A,0)),INDEX(Base!$V:$V,MATCH($A19,Base!$A:$A,0)),0)))</f>
        <v>0</v>
      </c>
      <c r="MD19" s="21">
        <f>IF(MD$1&lt;INDEX('Valo FX'!$Q:$Q,MATCH($A19,'Valo FX'!$A:$A,0)),0,IF(MD$1&lt;INDEX('Valo FX'!$R:$R,MATCH($A19,'Valo FX'!$A:$A,0)),INDEX(Base!$U:$U,MATCH($A19,Base!$A:$A,0)),IF(MD$1=INDEX('Valo FX'!$R:$R,MATCH($A19,'Valo FX'!$A:$A,0)),INDEX(Base!$V:$V,MATCH($A19,Base!$A:$A,0)),0)))</f>
        <v>0</v>
      </c>
      <c r="ME19" s="21">
        <f>IF(ME$1&lt;INDEX('Valo FX'!$Q:$Q,MATCH($A19,'Valo FX'!$A:$A,0)),0,IF(ME$1&lt;INDEX('Valo FX'!$R:$R,MATCH($A19,'Valo FX'!$A:$A,0)),INDEX(Base!$U:$U,MATCH($A19,Base!$A:$A,0)),IF(ME$1=INDEX('Valo FX'!$R:$R,MATCH($A19,'Valo FX'!$A:$A,0)),INDEX(Base!$V:$V,MATCH($A19,Base!$A:$A,0)),0)))</f>
        <v>0</v>
      </c>
      <c r="MF19" s="21">
        <f>IF(MF$1&lt;INDEX('Valo FX'!$Q:$Q,MATCH($A19,'Valo FX'!$A:$A,0)),0,IF(MF$1&lt;INDEX('Valo FX'!$R:$R,MATCH($A19,'Valo FX'!$A:$A,0)),INDEX(Base!$U:$U,MATCH($A19,Base!$A:$A,0)),IF(MF$1=INDEX('Valo FX'!$R:$R,MATCH($A19,'Valo FX'!$A:$A,0)),INDEX(Base!$V:$V,MATCH($A19,Base!$A:$A,0)),0)))</f>
        <v>0</v>
      </c>
      <c r="MG19" s="21">
        <f>IF(MG$1&lt;INDEX('Valo FX'!$Q:$Q,MATCH($A19,'Valo FX'!$A:$A,0)),0,IF(MG$1&lt;INDEX('Valo FX'!$R:$R,MATCH($A19,'Valo FX'!$A:$A,0)),INDEX(Base!$U:$U,MATCH($A19,Base!$A:$A,0)),IF(MG$1=INDEX('Valo FX'!$R:$R,MATCH($A19,'Valo FX'!$A:$A,0)),INDEX(Base!$V:$V,MATCH($A19,Base!$A:$A,0)),0)))</f>
        <v>0</v>
      </c>
      <c r="MH19" s="21">
        <f>IF(MH$1&lt;INDEX('Valo FX'!$Q:$Q,MATCH($A19,'Valo FX'!$A:$A,0)),0,IF(MH$1&lt;INDEX('Valo FX'!$R:$R,MATCH($A19,'Valo FX'!$A:$A,0)),INDEX(Base!$U:$U,MATCH($A19,Base!$A:$A,0)),IF(MH$1=INDEX('Valo FX'!$R:$R,MATCH($A19,'Valo FX'!$A:$A,0)),INDEX(Base!$V:$V,MATCH($A19,Base!$A:$A,0)),0)))</f>
        <v>0</v>
      </c>
      <c r="MI19" s="21">
        <f>IF(MI$1&lt;INDEX('Valo FX'!$Q:$Q,MATCH($A19,'Valo FX'!$A:$A,0)),0,IF(MI$1&lt;INDEX('Valo FX'!$R:$R,MATCH($A19,'Valo FX'!$A:$A,0)),INDEX(Base!$U:$U,MATCH($A19,Base!$A:$A,0)),IF(MI$1=INDEX('Valo FX'!$R:$R,MATCH($A19,'Valo FX'!$A:$A,0)),INDEX(Base!$V:$V,MATCH($A19,Base!$A:$A,0)),0)))</f>
        <v>0</v>
      </c>
      <c r="MJ19" s="21">
        <f>IF(MJ$1&lt;INDEX('Valo FX'!$Q:$Q,MATCH($A19,'Valo FX'!$A:$A,0)),0,IF(MJ$1&lt;INDEX('Valo FX'!$R:$R,MATCH($A19,'Valo FX'!$A:$A,0)),INDEX(Base!$U:$U,MATCH($A19,Base!$A:$A,0)),IF(MJ$1=INDEX('Valo FX'!$R:$R,MATCH($A19,'Valo FX'!$A:$A,0)),INDEX(Base!$V:$V,MATCH($A19,Base!$A:$A,0)),0)))</f>
        <v>0</v>
      </c>
      <c r="MK19" s="21">
        <f>IF(MK$1&lt;INDEX('Valo FX'!$Q:$Q,MATCH($A19,'Valo FX'!$A:$A,0)),0,IF(MK$1&lt;INDEX('Valo FX'!$R:$R,MATCH($A19,'Valo FX'!$A:$A,0)),INDEX(Base!$U:$U,MATCH($A19,Base!$A:$A,0)),IF(MK$1=INDEX('Valo FX'!$R:$R,MATCH($A19,'Valo FX'!$A:$A,0)),INDEX(Base!$V:$V,MATCH($A19,Base!$A:$A,0)),0)))</f>
        <v>0</v>
      </c>
      <c r="ML19" s="21">
        <f>IF(ML$1&lt;INDEX('Valo FX'!$Q:$Q,MATCH($A19,'Valo FX'!$A:$A,0)),0,IF(ML$1&lt;INDEX('Valo FX'!$R:$R,MATCH($A19,'Valo FX'!$A:$A,0)),INDEX(Base!$U:$U,MATCH($A19,Base!$A:$A,0)),IF(ML$1=INDEX('Valo FX'!$R:$R,MATCH($A19,'Valo FX'!$A:$A,0)),INDEX(Base!$V:$V,MATCH($A19,Base!$A:$A,0)),0)))</f>
        <v>0</v>
      </c>
      <c r="MM19" s="21">
        <f>IF(MM$1&lt;INDEX('Valo FX'!$Q:$Q,MATCH($A19,'Valo FX'!$A:$A,0)),0,IF(MM$1&lt;INDEX('Valo FX'!$R:$R,MATCH($A19,'Valo FX'!$A:$A,0)),INDEX(Base!$U:$U,MATCH($A19,Base!$A:$A,0)),IF(MM$1=INDEX('Valo FX'!$R:$R,MATCH($A19,'Valo FX'!$A:$A,0)),INDEX(Base!$V:$V,MATCH($A19,Base!$A:$A,0)),0)))</f>
        <v>0</v>
      </c>
      <c r="MN19" s="21">
        <f>IF(MN$1&lt;INDEX('Valo FX'!$Q:$Q,MATCH($A19,'Valo FX'!$A:$A,0)),0,IF(MN$1&lt;INDEX('Valo FX'!$R:$R,MATCH($A19,'Valo FX'!$A:$A,0)),INDEX(Base!$U:$U,MATCH($A19,Base!$A:$A,0)),IF(MN$1=INDEX('Valo FX'!$R:$R,MATCH($A19,'Valo FX'!$A:$A,0)),INDEX(Base!$V:$V,MATCH($A19,Base!$A:$A,0)),0)))</f>
        <v>0</v>
      </c>
      <c r="MO19" s="21">
        <f>IF(MO$1&lt;INDEX('Valo FX'!$Q:$Q,MATCH($A19,'Valo FX'!$A:$A,0)),0,IF(MO$1&lt;INDEX('Valo FX'!$R:$R,MATCH($A19,'Valo FX'!$A:$A,0)),INDEX(Base!$U:$U,MATCH($A19,Base!$A:$A,0)),IF(MO$1=INDEX('Valo FX'!$R:$R,MATCH($A19,'Valo FX'!$A:$A,0)),INDEX(Base!$V:$V,MATCH($A19,Base!$A:$A,0)),0)))</f>
        <v>0</v>
      </c>
      <c r="MP19" s="21">
        <f>IF(MP$1&lt;INDEX('Valo FX'!$Q:$Q,MATCH($A19,'Valo FX'!$A:$A,0)),0,IF(MP$1&lt;INDEX('Valo FX'!$R:$R,MATCH($A19,'Valo FX'!$A:$A,0)),INDEX(Base!$U:$U,MATCH($A19,Base!$A:$A,0)),IF(MP$1=INDEX('Valo FX'!$R:$R,MATCH($A19,'Valo FX'!$A:$A,0)),INDEX(Base!$V:$V,MATCH($A19,Base!$A:$A,0)),0)))</f>
        <v>0</v>
      </c>
      <c r="MQ19" s="21">
        <f>IF(MQ$1&lt;INDEX('Valo FX'!$Q:$Q,MATCH($A19,'Valo FX'!$A:$A,0)),0,IF(MQ$1&lt;INDEX('Valo FX'!$R:$R,MATCH($A19,'Valo FX'!$A:$A,0)),INDEX(Base!$U:$U,MATCH($A19,Base!$A:$A,0)),IF(MQ$1=INDEX('Valo FX'!$R:$R,MATCH($A19,'Valo FX'!$A:$A,0)),INDEX(Base!$V:$V,MATCH($A19,Base!$A:$A,0)),0)))</f>
        <v>0</v>
      </c>
      <c r="MR19" s="21">
        <f>IF(MR$1&lt;INDEX('Valo FX'!$Q:$Q,MATCH($A19,'Valo FX'!$A:$A,0)),0,IF(MR$1&lt;INDEX('Valo FX'!$R:$R,MATCH($A19,'Valo FX'!$A:$A,0)),INDEX(Base!$U:$U,MATCH($A19,Base!$A:$A,0)),IF(MR$1=INDEX('Valo FX'!$R:$R,MATCH($A19,'Valo FX'!$A:$A,0)),INDEX(Base!$V:$V,MATCH($A19,Base!$A:$A,0)),0)))</f>
        <v>0</v>
      </c>
      <c r="MS19" s="21">
        <f>IF(MS$1&lt;INDEX('Valo FX'!$Q:$Q,MATCH($A19,'Valo FX'!$A:$A,0)),0,IF(MS$1&lt;INDEX('Valo FX'!$R:$R,MATCH($A19,'Valo FX'!$A:$A,0)),INDEX(Base!$U:$U,MATCH($A19,Base!$A:$A,0)),IF(MS$1=INDEX('Valo FX'!$R:$R,MATCH($A19,'Valo FX'!$A:$A,0)),INDEX(Base!$V:$V,MATCH($A19,Base!$A:$A,0)),0)))</f>
        <v>0</v>
      </c>
      <c r="MT19" s="21">
        <f>IF(MT$1&lt;INDEX('Valo FX'!$Q:$Q,MATCH($A19,'Valo FX'!$A:$A,0)),0,IF(MT$1&lt;INDEX('Valo FX'!$R:$R,MATCH($A19,'Valo FX'!$A:$A,0)),INDEX(Base!$U:$U,MATCH($A19,Base!$A:$A,0)),IF(MT$1=INDEX('Valo FX'!$R:$R,MATCH($A19,'Valo FX'!$A:$A,0)),INDEX(Base!$V:$V,MATCH($A19,Base!$A:$A,0)),0)))</f>
        <v>0</v>
      </c>
      <c r="MU19" s="21">
        <f>IF(MU$1&lt;INDEX('Valo FX'!$Q:$Q,MATCH($A19,'Valo FX'!$A:$A,0)),0,IF(MU$1&lt;INDEX('Valo FX'!$R:$R,MATCH($A19,'Valo FX'!$A:$A,0)),INDEX(Base!$U:$U,MATCH($A19,Base!$A:$A,0)),IF(MU$1=INDEX('Valo FX'!$R:$R,MATCH($A19,'Valo FX'!$A:$A,0)),INDEX(Base!$V:$V,MATCH($A19,Base!$A:$A,0)),0)))</f>
        <v>0</v>
      </c>
      <c r="MV19" s="21">
        <f>IF(MV$1&lt;INDEX('Valo FX'!$Q:$Q,MATCH($A19,'Valo FX'!$A:$A,0)),0,IF(MV$1&lt;INDEX('Valo FX'!$R:$R,MATCH($A19,'Valo FX'!$A:$A,0)),INDEX(Base!$U:$U,MATCH($A19,Base!$A:$A,0)),IF(MV$1=INDEX('Valo FX'!$R:$R,MATCH($A19,'Valo FX'!$A:$A,0)),INDEX(Base!$V:$V,MATCH($A19,Base!$A:$A,0)),0)))</f>
        <v>0</v>
      </c>
      <c r="MW19" s="21">
        <f>IF(MW$1&lt;INDEX('Valo FX'!$Q:$Q,MATCH($A19,'Valo FX'!$A:$A,0)),0,IF(MW$1&lt;INDEX('Valo FX'!$R:$R,MATCH($A19,'Valo FX'!$A:$A,0)),INDEX(Base!$U:$U,MATCH($A19,Base!$A:$A,0)),IF(MW$1=INDEX('Valo FX'!$R:$R,MATCH($A19,'Valo FX'!$A:$A,0)),INDEX(Base!$V:$V,MATCH($A19,Base!$A:$A,0)),0)))</f>
        <v>0</v>
      </c>
      <c r="MX19" s="21">
        <f>IF(MX$1&lt;INDEX('Valo FX'!$Q:$Q,MATCH($A19,'Valo FX'!$A:$A,0)),0,IF(MX$1&lt;INDEX('Valo FX'!$R:$R,MATCH($A19,'Valo FX'!$A:$A,0)),INDEX(Base!$U:$U,MATCH($A19,Base!$A:$A,0)),IF(MX$1=INDEX('Valo FX'!$R:$R,MATCH($A19,'Valo FX'!$A:$A,0)),INDEX(Base!$V:$V,MATCH($A19,Base!$A:$A,0)),0)))</f>
        <v>0</v>
      </c>
      <c r="MY19" s="21">
        <f>IF(MY$1&lt;INDEX('Valo FX'!$Q:$Q,MATCH($A19,'Valo FX'!$A:$A,0)),0,IF(MY$1&lt;INDEX('Valo FX'!$R:$R,MATCH($A19,'Valo FX'!$A:$A,0)),INDEX(Base!$U:$U,MATCH($A19,Base!$A:$A,0)),IF(MY$1=INDEX('Valo FX'!$R:$R,MATCH($A19,'Valo FX'!$A:$A,0)),INDEX(Base!$V:$V,MATCH($A19,Base!$A:$A,0)),0)))</f>
        <v>0</v>
      </c>
    </row>
    <row r="20" spans="1:363" x14ac:dyDescent="0.25">
      <c r="A20" s="7">
        <f>+'Valo FX'!A21</f>
        <v>18</v>
      </c>
      <c r="B20" s="59">
        <f>-'Valo FX'!T21</f>
        <v>-1584.5103918241134</v>
      </c>
      <c r="C20" s="21">
        <f>IF(C$1&lt;INDEX('Valo FX'!$Q:$Q,MATCH($A20,'Valo FX'!$A:$A,0)),0,IF(C$1&lt;INDEX('Valo FX'!$R:$R,MATCH($A20,'Valo FX'!$A:$A,0)),INDEX(Base!$U:$U,MATCH($A20,Base!$A:$A,0)),IF(C$1=INDEX('Valo FX'!$R:$R,MATCH($A20,'Valo FX'!$A:$A,0)),INDEX(Base!$V:$V,MATCH($A20,Base!$A:$A,0)),0)))</f>
        <v>0</v>
      </c>
      <c r="D20" s="21">
        <f>IF(D$1&lt;INDEX('Valo FX'!$Q:$Q,MATCH($A20,'Valo FX'!$A:$A,0)),0,IF(D$1&lt;INDEX('Valo FX'!$R:$R,MATCH($A20,'Valo FX'!$A:$A,0)),INDEX(Base!$U:$U,MATCH($A20,Base!$A:$A,0)),IF(D$1=INDEX('Valo FX'!$R:$R,MATCH($A20,'Valo FX'!$A:$A,0)),INDEX(Base!$V:$V,MATCH($A20,Base!$A:$A,0)),0)))</f>
        <v>0</v>
      </c>
      <c r="E20" s="21">
        <f>IF(E$1&lt;INDEX('Valo FX'!$Q:$Q,MATCH($A20,'Valo FX'!$A:$A,0)),0,IF(E$1&lt;INDEX('Valo FX'!$R:$R,MATCH($A20,'Valo FX'!$A:$A,0)),INDEX(Base!$U:$U,MATCH($A20,Base!$A:$A,0)),IF(E$1=INDEX('Valo FX'!$R:$R,MATCH($A20,'Valo FX'!$A:$A,0)),INDEX(Base!$V:$V,MATCH($A20,Base!$A:$A,0)),0)))</f>
        <v>0</v>
      </c>
      <c r="F20" s="21">
        <f>IF(F$1&lt;INDEX('Valo FX'!$Q:$Q,MATCH($A20,'Valo FX'!$A:$A,0)),0,IF(F$1&lt;INDEX('Valo FX'!$R:$R,MATCH($A20,'Valo FX'!$A:$A,0)),INDEX(Base!$U:$U,MATCH($A20,Base!$A:$A,0)),IF(F$1=INDEX('Valo FX'!$R:$R,MATCH($A20,'Valo FX'!$A:$A,0)),INDEX(Base!$V:$V,MATCH($A20,Base!$A:$A,0)),0)))</f>
        <v>0</v>
      </c>
      <c r="G20" s="21">
        <f>IF(G$1&lt;INDEX('Valo FX'!$Q:$Q,MATCH($A20,'Valo FX'!$A:$A,0)),0,IF(G$1&lt;INDEX('Valo FX'!$R:$R,MATCH($A20,'Valo FX'!$A:$A,0)),INDEX(Base!$U:$U,MATCH($A20,Base!$A:$A,0)),IF(G$1=INDEX('Valo FX'!$R:$R,MATCH($A20,'Valo FX'!$A:$A,0)),INDEX(Base!$V:$V,MATCH($A20,Base!$A:$A,0)),0)))</f>
        <v>0</v>
      </c>
      <c r="H20" s="21">
        <f>IF(H$1&lt;INDEX('Valo FX'!$Q:$Q,MATCH($A20,'Valo FX'!$A:$A,0)),0,IF(H$1&lt;INDEX('Valo FX'!$R:$R,MATCH($A20,'Valo FX'!$A:$A,0)),INDEX(Base!$U:$U,MATCH($A20,Base!$A:$A,0)),IF(H$1=INDEX('Valo FX'!$R:$R,MATCH($A20,'Valo FX'!$A:$A,0)),INDEX(Base!$V:$V,MATCH($A20,Base!$A:$A,0)),0)))</f>
        <v>0</v>
      </c>
      <c r="I20" s="21">
        <f>IF(I$1&lt;INDEX('Valo FX'!$Q:$Q,MATCH($A20,'Valo FX'!$A:$A,0)),0,IF(I$1&lt;INDEX('Valo FX'!$R:$R,MATCH($A20,'Valo FX'!$A:$A,0)),INDEX(Base!$U:$U,MATCH($A20,Base!$A:$A,0)),IF(I$1=INDEX('Valo FX'!$R:$R,MATCH($A20,'Valo FX'!$A:$A,0)),INDEX(Base!$V:$V,MATCH($A20,Base!$A:$A,0)),0)))</f>
        <v>14.538449999999999</v>
      </c>
      <c r="J20" s="21">
        <f>IF(J$1&lt;INDEX('Valo FX'!$Q:$Q,MATCH($A20,'Valo FX'!$A:$A,0)),0,IF(J$1&lt;INDEX('Valo FX'!$R:$R,MATCH($A20,'Valo FX'!$A:$A,0)),INDEX(Base!$U:$U,MATCH($A20,Base!$A:$A,0)),IF(J$1=INDEX('Valo FX'!$R:$R,MATCH($A20,'Valo FX'!$A:$A,0)),INDEX(Base!$V:$V,MATCH($A20,Base!$A:$A,0)),0)))</f>
        <v>14.538449999999999</v>
      </c>
      <c r="K20" s="21">
        <f>IF(K$1&lt;INDEX('Valo FX'!$Q:$Q,MATCH($A20,'Valo FX'!$A:$A,0)),0,IF(K$1&lt;INDEX('Valo FX'!$R:$R,MATCH($A20,'Valo FX'!$A:$A,0)),INDEX(Base!$U:$U,MATCH($A20,Base!$A:$A,0)),IF(K$1=INDEX('Valo FX'!$R:$R,MATCH($A20,'Valo FX'!$A:$A,0)),INDEX(Base!$V:$V,MATCH($A20,Base!$A:$A,0)),0)))</f>
        <v>14.538449999999999</v>
      </c>
      <c r="L20" s="21">
        <f>IF(L$1&lt;INDEX('Valo FX'!$Q:$Q,MATCH($A20,'Valo FX'!$A:$A,0)),0,IF(L$1&lt;INDEX('Valo FX'!$R:$R,MATCH($A20,'Valo FX'!$A:$A,0)),INDEX(Base!$U:$U,MATCH($A20,Base!$A:$A,0)),IF(L$1=INDEX('Valo FX'!$R:$R,MATCH($A20,'Valo FX'!$A:$A,0)),INDEX(Base!$V:$V,MATCH($A20,Base!$A:$A,0)),0)))</f>
        <v>14.538449999999999</v>
      </c>
      <c r="M20" s="21">
        <f>IF(M$1&lt;INDEX('Valo FX'!$Q:$Q,MATCH($A20,'Valo FX'!$A:$A,0)),0,IF(M$1&lt;INDEX('Valo FX'!$R:$R,MATCH($A20,'Valo FX'!$A:$A,0)),INDEX(Base!$U:$U,MATCH($A20,Base!$A:$A,0)),IF(M$1=INDEX('Valo FX'!$R:$R,MATCH($A20,'Valo FX'!$A:$A,0)),INDEX(Base!$V:$V,MATCH($A20,Base!$A:$A,0)),0)))</f>
        <v>14.538449999999999</v>
      </c>
      <c r="N20" s="21">
        <f>IF(N$1&lt;INDEX('Valo FX'!$Q:$Q,MATCH($A20,'Valo FX'!$A:$A,0)),0,IF(N$1&lt;INDEX('Valo FX'!$R:$R,MATCH($A20,'Valo FX'!$A:$A,0)),INDEX(Base!$U:$U,MATCH($A20,Base!$A:$A,0)),IF(N$1=INDEX('Valo FX'!$R:$R,MATCH($A20,'Valo FX'!$A:$A,0)),INDEX(Base!$V:$V,MATCH($A20,Base!$A:$A,0)),0)))</f>
        <v>14.538449999999999</v>
      </c>
      <c r="O20" s="21">
        <f>IF(O$1&lt;INDEX('Valo FX'!$Q:$Q,MATCH($A20,'Valo FX'!$A:$A,0)),0,IF(O$1&lt;INDEX('Valo FX'!$R:$R,MATCH($A20,'Valo FX'!$A:$A,0)),INDEX(Base!$U:$U,MATCH($A20,Base!$A:$A,0)),IF(O$1=INDEX('Valo FX'!$R:$R,MATCH($A20,'Valo FX'!$A:$A,0)),INDEX(Base!$V:$V,MATCH($A20,Base!$A:$A,0)),0)))</f>
        <v>14.538449999999999</v>
      </c>
      <c r="P20" s="21">
        <f>IF(P$1&lt;INDEX('Valo FX'!$Q:$Q,MATCH($A20,'Valo FX'!$A:$A,0)),0,IF(P$1&lt;INDEX('Valo FX'!$R:$R,MATCH($A20,'Valo FX'!$A:$A,0)),INDEX(Base!$U:$U,MATCH($A20,Base!$A:$A,0)),IF(P$1=INDEX('Valo FX'!$R:$R,MATCH($A20,'Valo FX'!$A:$A,0)),INDEX(Base!$V:$V,MATCH($A20,Base!$A:$A,0)),0)))</f>
        <v>14.538449999999999</v>
      </c>
      <c r="Q20" s="21">
        <f>IF(Q$1&lt;INDEX('Valo FX'!$Q:$Q,MATCH($A20,'Valo FX'!$A:$A,0)),0,IF(Q$1&lt;INDEX('Valo FX'!$R:$R,MATCH($A20,'Valo FX'!$A:$A,0)),INDEX(Base!$U:$U,MATCH($A20,Base!$A:$A,0)),IF(Q$1=INDEX('Valo FX'!$R:$R,MATCH($A20,'Valo FX'!$A:$A,0)),INDEX(Base!$V:$V,MATCH($A20,Base!$A:$A,0)),0)))</f>
        <v>14.538449999999999</v>
      </c>
      <c r="R20" s="21">
        <f>IF(R$1&lt;INDEX('Valo FX'!$Q:$Q,MATCH($A20,'Valo FX'!$A:$A,0)),0,IF(R$1&lt;INDEX('Valo FX'!$R:$R,MATCH($A20,'Valo FX'!$A:$A,0)),INDEX(Base!$U:$U,MATCH($A20,Base!$A:$A,0)),IF(R$1=INDEX('Valo FX'!$R:$R,MATCH($A20,'Valo FX'!$A:$A,0)),INDEX(Base!$V:$V,MATCH($A20,Base!$A:$A,0)),0)))</f>
        <v>14.538449999999999</v>
      </c>
      <c r="S20" s="21">
        <f>IF(S$1&lt;INDEX('Valo FX'!$Q:$Q,MATCH($A20,'Valo FX'!$A:$A,0)),0,IF(S$1&lt;INDEX('Valo FX'!$R:$R,MATCH($A20,'Valo FX'!$A:$A,0)),INDEX(Base!$U:$U,MATCH($A20,Base!$A:$A,0)),IF(S$1=INDEX('Valo FX'!$R:$R,MATCH($A20,'Valo FX'!$A:$A,0)),INDEX(Base!$V:$V,MATCH($A20,Base!$A:$A,0)),0)))</f>
        <v>14.538449999999999</v>
      </c>
      <c r="T20" s="21">
        <f>IF(T$1&lt;INDEX('Valo FX'!$Q:$Q,MATCH($A20,'Valo FX'!$A:$A,0)),0,IF(T$1&lt;INDEX('Valo FX'!$R:$R,MATCH($A20,'Valo FX'!$A:$A,0)),INDEX(Base!$U:$U,MATCH($A20,Base!$A:$A,0)),IF(T$1=INDEX('Valo FX'!$R:$R,MATCH($A20,'Valo FX'!$A:$A,0)),INDEX(Base!$V:$V,MATCH($A20,Base!$A:$A,0)),0)))</f>
        <v>14.538449999999999</v>
      </c>
      <c r="U20" s="21">
        <f>IF(U$1&lt;INDEX('Valo FX'!$Q:$Q,MATCH($A20,'Valo FX'!$A:$A,0)),0,IF(U$1&lt;INDEX('Valo FX'!$R:$R,MATCH($A20,'Valo FX'!$A:$A,0)),INDEX(Base!$U:$U,MATCH($A20,Base!$A:$A,0)),IF(U$1=INDEX('Valo FX'!$R:$R,MATCH($A20,'Valo FX'!$A:$A,0)),INDEX(Base!$V:$V,MATCH($A20,Base!$A:$A,0)),0)))</f>
        <v>14.538449999999999</v>
      </c>
      <c r="V20" s="21">
        <f>IF(V$1&lt;INDEX('Valo FX'!$Q:$Q,MATCH($A20,'Valo FX'!$A:$A,0)),0,IF(V$1&lt;INDEX('Valo FX'!$R:$R,MATCH($A20,'Valo FX'!$A:$A,0)),INDEX(Base!$U:$U,MATCH($A20,Base!$A:$A,0)),IF(V$1=INDEX('Valo FX'!$R:$R,MATCH($A20,'Valo FX'!$A:$A,0)),INDEX(Base!$V:$V,MATCH($A20,Base!$A:$A,0)),0)))</f>
        <v>14.538449999999999</v>
      </c>
      <c r="W20" s="21">
        <f>IF(W$1&lt;INDEX('Valo FX'!$Q:$Q,MATCH($A20,'Valo FX'!$A:$A,0)),0,IF(W$1&lt;INDEX('Valo FX'!$R:$R,MATCH($A20,'Valo FX'!$A:$A,0)),INDEX(Base!$U:$U,MATCH($A20,Base!$A:$A,0)),IF(W$1=INDEX('Valo FX'!$R:$R,MATCH($A20,'Valo FX'!$A:$A,0)),INDEX(Base!$V:$V,MATCH($A20,Base!$A:$A,0)),0)))</f>
        <v>14.538449999999999</v>
      </c>
      <c r="X20" s="21">
        <f>IF(X$1&lt;INDEX('Valo FX'!$Q:$Q,MATCH($A20,'Valo FX'!$A:$A,0)),0,IF(X$1&lt;INDEX('Valo FX'!$R:$R,MATCH($A20,'Valo FX'!$A:$A,0)),INDEX(Base!$U:$U,MATCH($A20,Base!$A:$A,0)),IF(X$1=INDEX('Valo FX'!$R:$R,MATCH($A20,'Valo FX'!$A:$A,0)),INDEX(Base!$V:$V,MATCH($A20,Base!$A:$A,0)),0)))</f>
        <v>14.538449999999999</v>
      </c>
      <c r="Y20" s="21">
        <f>IF(Y$1&lt;INDEX('Valo FX'!$Q:$Q,MATCH($A20,'Valo FX'!$A:$A,0)),0,IF(Y$1&lt;INDEX('Valo FX'!$R:$R,MATCH($A20,'Valo FX'!$A:$A,0)),INDEX(Base!$U:$U,MATCH($A20,Base!$A:$A,0)),IF(Y$1=INDEX('Valo FX'!$R:$R,MATCH($A20,'Valo FX'!$A:$A,0)),INDEX(Base!$V:$V,MATCH($A20,Base!$A:$A,0)),0)))</f>
        <v>14.538449999999999</v>
      </c>
      <c r="Z20" s="21">
        <f>IF(Z$1&lt;INDEX('Valo FX'!$Q:$Q,MATCH($A20,'Valo FX'!$A:$A,0)),0,IF(Z$1&lt;INDEX('Valo FX'!$R:$R,MATCH($A20,'Valo FX'!$A:$A,0)),INDEX(Base!$U:$U,MATCH($A20,Base!$A:$A,0)),IF(Z$1=INDEX('Valo FX'!$R:$R,MATCH($A20,'Valo FX'!$A:$A,0)),INDEX(Base!$V:$V,MATCH($A20,Base!$A:$A,0)),0)))</f>
        <v>14.538449999999999</v>
      </c>
      <c r="AA20" s="21">
        <f>IF(AA$1&lt;INDEX('Valo FX'!$Q:$Q,MATCH($A20,'Valo FX'!$A:$A,0)),0,IF(AA$1&lt;INDEX('Valo FX'!$R:$R,MATCH($A20,'Valo FX'!$A:$A,0)),INDEX(Base!$U:$U,MATCH($A20,Base!$A:$A,0)),IF(AA$1=INDEX('Valo FX'!$R:$R,MATCH($A20,'Valo FX'!$A:$A,0)),INDEX(Base!$V:$V,MATCH($A20,Base!$A:$A,0)),0)))</f>
        <v>14.538449999999999</v>
      </c>
      <c r="AB20" s="21">
        <f>IF(AB$1&lt;INDEX('Valo FX'!$Q:$Q,MATCH($A20,'Valo FX'!$A:$A,0)),0,IF(AB$1&lt;INDEX('Valo FX'!$R:$R,MATCH($A20,'Valo FX'!$A:$A,0)),INDEX(Base!$U:$U,MATCH($A20,Base!$A:$A,0)),IF(AB$1=INDEX('Valo FX'!$R:$R,MATCH($A20,'Valo FX'!$A:$A,0)),INDEX(Base!$V:$V,MATCH($A20,Base!$A:$A,0)),0)))</f>
        <v>14.538449999999999</v>
      </c>
      <c r="AC20" s="21">
        <f>IF(AC$1&lt;INDEX('Valo FX'!$Q:$Q,MATCH($A20,'Valo FX'!$A:$A,0)),0,IF(AC$1&lt;INDEX('Valo FX'!$R:$R,MATCH($A20,'Valo FX'!$A:$A,0)),INDEX(Base!$U:$U,MATCH($A20,Base!$A:$A,0)),IF(AC$1=INDEX('Valo FX'!$R:$R,MATCH($A20,'Valo FX'!$A:$A,0)),INDEX(Base!$V:$V,MATCH($A20,Base!$A:$A,0)),0)))</f>
        <v>14.538449999999999</v>
      </c>
      <c r="AD20" s="21">
        <f>IF(AD$1&lt;INDEX('Valo FX'!$Q:$Q,MATCH($A20,'Valo FX'!$A:$A,0)),0,IF(AD$1&lt;INDEX('Valo FX'!$R:$R,MATCH($A20,'Valo FX'!$A:$A,0)),INDEX(Base!$U:$U,MATCH($A20,Base!$A:$A,0)),IF(AD$1=INDEX('Valo FX'!$R:$R,MATCH($A20,'Valo FX'!$A:$A,0)),INDEX(Base!$V:$V,MATCH($A20,Base!$A:$A,0)),0)))</f>
        <v>14.538449999999999</v>
      </c>
      <c r="AE20" s="21">
        <f>IF(AE$1&lt;INDEX('Valo FX'!$Q:$Q,MATCH($A20,'Valo FX'!$A:$A,0)),0,IF(AE$1&lt;INDEX('Valo FX'!$R:$R,MATCH($A20,'Valo FX'!$A:$A,0)),INDEX(Base!$U:$U,MATCH($A20,Base!$A:$A,0)),IF(AE$1=INDEX('Valo FX'!$R:$R,MATCH($A20,'Valo FX'!$A:$A,0)),INDEX(Base!$V:$V,MATCH($A20,Base!$A:$A,0)),0)))</f>
        <v>14.538449999999999</v>
      </c>
      <c r="AF20" s="21">
        <f>IF(AF$1&lt;INDEX('Valo FX'!$Q:$Q,MATCH($A20,'Valo FX'!$A:$A,0)),0,IF(AF$1&lt;INDEX('Valo FX'!$R:$R,MATCH($A20,'Valo FX'!$A:$A,0)),INDEX(Base!$U:$U,MATCH($A20,Base!$A:$A,0)),IF(AF$1=INDEX('Valo FX'!$R:$R,MATCH($A20,'Valo FX'!$A:$A,0)),INDEX(Base!$V:$V,MATCH($A20,Base!$A:$A,0)),0)))</f>
        <v>14.538449999999999</v>
      </c>
      <c r="AG20" s="21">
        <f>IF(AG$1&lt;INDEX('Valo FX'!$Q:$Q,MATCH($A20,'Valo FX'!$A:$A,0)),0,IF(AG$1&lt;INDEX('Valo FX'!$R:$R,MATCH($A20,'Valo FX'!$A:$A,0)),INDEX(Base!$U:$U,MATCH($A20,Base!$A:$A,0)),IF(AG$1=INDEX('Valo FX'!$R:$R,MATCH($A20,'Valo FX'!$A:$A,0)),INDEX(Base!$V:$V,MATCH($A20,Base!$A:$A,0)),0)))</f>
        <v>14.538449999999999</v>
      </c>
      <c r="AH20" s="21">
        <f>IF(AH$1&lt;INDEX('Valo FX'!$Q:$Q,MATCH($A20,'Valo FX'!$A:$A,0)),0,IF(AH$1&lt;INDEX('Valo FX'!$R:$R,MATCH($A20,'Valo FX'!$A:$A,0)),INDEX(Base!$U:$U,MATCH($A20,Base!$A:$A,0)),IF(AH$1=INDEX('Valo FX'!$R:$R,MATCH($A20,'Valo FX'!$A:$A,0)),INDEX(Base!$V:$V,MATCH($A20,Base!$A:$A,0)),0)))</f>
        <v>14.538449999999999</v>
      </c>
      <c r="AI20" s="21">
        <f>IF(AI$1&lt;INDEX('Valo FX'!$Q:$Q,MATCH($A20,'Valo FX'!$A:$A,0)),0,IF(AI$1&lt;INDEX('Valo FX'!$R:$R,MATCH($A20,'Valo FX'!$A:$A,0)),INDEX(Base!$U:$U,MATCH($A20,Base!$A:$A,0)),IF(AI$1=INDEX('Valo FX'!$R:$R,MATCH($A20,'Valo FX'!$A:$A,0)),INDEX(Base!$V:$V,MATCH($A20,Base!$A:$A,0)),0)))</f>
        <v>14.538449999999999</v>
      </c>
      <c r="AJ20" s="21">
        <f>IF(AJ$1&lt;INDEX('Valo FX'!$Q:$Q,MATCH($A20,'Valo FX'!$A:$A,0)),0,IF(AJ$1&lt;INDEX('Valo FX'!$R:$R,MATCH($A20,'Valo FX'!$A:$A,0)),INDEX(Base!$U:$U,MATCH($A20,Base!$A:$A,0)),IF(AJ$1=INDEX('Valo FX'!$R:$R,MATCH($A20,'Valo FX'!$A:$A,0)),INDEX(Base!$V:$V,MATCH($A20,Base!$A:$A,0)),0)))</f>
        <v>14.538449999999999</v>
      </c>
      <c r="AK20" s="21">
        <f>IF(AK$1&lt;INDEX('Valo FX'!$Q:$Q,MATCH($A20,'Valo FX'!$A:$A,0)),0,IF(AK$1&lt;INDEX('Valo FX'!$R:$R,MATCH($A20,'Valo FX'!$A:$A,0)),INDEX(Base!$U:$U,MATCH($A20,Base!$A:$A,0)),IF(AK$1=INDEX('Valo FX'!$R:$R,MATCH($A20,'Valo FX'!$A:$A,0)),INDEX(Base!$V:$V,MATCH($A20,Base!$A:$A,0)),0)))</f>
        <v>14.538449999999999</v>
      </c>
      <c r="AL20" s="21">
        <f>IF(AL$1&lt;INDEX('Valo FX'!$Q:$Q,MATCH($A20,'Valo FX'!$A:$A,0)),0,IF(AL$1&lt;INDEX('Valo FX'!$R:$R,MATCH($A20,'Valo FX'!$A:$A,0)),INDEX(Base!$U:$U,MATCH($A20,Base!$A:$A,0)),IF(AL$1=INDEX('Valo FX'!$R:$R,MATCH($A20,'Valo FX'!$A:$A,0)),INDEX(Base!$V:$V,MATCH($A20,Base!$A:$A,0)),0)))</f>
        <v>14.538449999999999</v>
      </c>
      <c r="AM20" s="21">
        <f>IF(AM$1&lt;INDEX('Valo FX'!$Q:$Q,MATCH($A20,'Valo FX'!$A:$A,0)),0,IF(AM$1&lt;INDEX('Valo FX'!$R:$R,MATCH($A20,'Valo FX'!$A:$A,0)),INDEX(Base!$U:$U,MATCH($A20,Base!$A:$A,0)),IF(AM$1=INDEX('Valo FX'!$R:$R,MATCH($A20,'Valo FX'!$A:$A,0)),INDEX(Base!$V:$V,MATCH($A20,Base!$A:$A,0)),0)))</f>
        <v>14.538449999999999</v>
      </c>
      <c r="AN20" s="21">
        <f>IF(AN$1&lt;INDEX('Valo FX'!$Q:$Q,MATCH($A20,'Valo FX'!$A:$A,0)),0,IF(AN$1&lt;INDEX('Valo FX'!$R:$R,MATCH($A20,'Valo FX'!$A:$A,0)),INDEX(Base!$U:$U,MATCH($A20,Base!$A:$A,0)),IF(AN$1=INDEX('Valo FX'!$R:$R,MATCH($A20,'Valo FX'!$A:$A,0)),INDEX(Base!$V:$V,MATCH($A20,Base!$A:$A,0)),0)))</f>
        <v>14.538449999999999</v>
      </c>
      <c r="AO20" s="21">
        <f>IF(AO$1&lt;INDEX('Valo FX'!$Q:$Q,MATCH($A20,'Valo FX'!$A:$A,0)),0,IF(AO$1&lt;INDEX('Valo FX'!$R:$R,MATCH($A20,'Valo FX'!$A:$A,0)),INDEX(Base!$U:$U,MATCH($A20,Base!$A:$A,0)),IF(AO$1=INDEX('Valo FX'!$R:$R,MATCH($A20,'Valo FX'!$A:$A,0)),INDEX(Base!$V:$V,MATCH($A20,Base!$A:$A,0)),0)))</f>
        <v>14.538449999999999</v>
      </c>
      <c r="AP20" s="21">
        <f>IF(AP$1&lt;INDEX('Valo FX'!$Q:$Q,MATCH($A20,'Valo FX'!$A:$A,0)),0,IF(AP$1&lt;INDEX('Valo FX'!$R:$R,MATCH($A20,'Valo FX'!$A:$A,0)),INDEX(Base!$U:$U,MATCH($A20,Base!$A:$A,0)),IF(AP$1=INDEX('Valo FX'!$R:$R,MATCH($A20,'Valo FX'!$A:$A,0)),INDEX(Base!$V:$V,MATCH($A20,Base!$A:$A,0)),0)))</f>
        <v>14.538449999999999</v>
      </c>
      <c r="AQ20" s="21">
        <f>IF(AQ$1&lt;INDEX('Valo FX'!$Q:$Q,MATCH($A20,'Valo FX'!$A:$A,0)),0,IF(AQ$1&lt;INDEX('Valo FX'!$R:$R,MATCH($A20,'Valo FX'!$A:$A,0)),INDEX(Base!$U:$U,MATCH($A20,Base!$A:$A,0)),IF(AQ$1=INDEX('Valo FX'!$R:$R,MATCH($A20,'Valo FX'!$A:$A,0)),INDEX(Base!$V:$V,MATCH($A20,Base!$A:$A,0)),0)))</f>
        <v>14.538449999999999</v>
      </c>
      <c r="AR20" s="21">
        <f>IF(AR$1&lt;INDEX('Valo FX'!$Q:$Q,MATCH($A20,'Valo FX'!$A:$A,0)),0,IF(AR$1&lt;INDEX('Valo FX'!$R:$R,MATCH($A20,'Valo FX'!$A:$A,0)),INDEX(Base!$U:$U,MATCH($A20,Base!$A:$A,0)),IF(AR$1=INDEX('Valo FX'!$R:$R,MATCH($A20,'Valo FX'!$A:$A,0)),INDEX(Base!$V:$V,MATCH($A20,Base!$A:$A,0)),0)))</f>
        <v>14.538449999999999</v>
      </c>
      <c r="AS20" s="21">
        <f>IF(AS$1&lt;INDEX('Valo FX'!$Q:$Q,MATCH($A20,'Valo FX'!$A:$A,0)),0,IF(AS$1&lt;INDEX('Valo FX'!$R:$R,MATCH($A20,'Valo FX'!$A:$A,0)),INDEX(Base!$U:$U,MATCH($A20,Base!$A:$A,0)),IF(AS$1=INDEX('Valo FX'!$R:$R,MATCH($A20,'Valo FX'!$A:$A,0)),INDEX(Base!$V:$V,MATCH($A20,Base!$A:$A,0)),0)))</f>
        <v>14.538449999999999</v>
      </c>
      <c r="AT20" s="21">
        <f>IF(AT$1&lt;INDEX('Valo FX'!$Q:$Q,MATCH($A20,'Valo FX'!$A:$A,0)),0,IF(AT$1&lt;INDEX('Valo FX'!$R:$R,MATCH($A20,'Valo FX'!$A:$A,0)),INDEX(Base!$U:$U,MATCH($A20,Base!$A:$A,0)),IF(AT$1=INDEX('Valo FX'!$R:$R,MATCH($A20,'Valo FX'!$A:$A,0)),INDEX(Base!$V:$V,MATCH($A20,Base!$A:$A,0)),0)))</f>
        <v>14.538449999999999</v>
      </c>
      <c r="AU20" s="21">
        <f>IF(AU$1&lt;INDEX('Valo FX'!$Q:$Q,MATCH($A20,'Valo FX'!$A:$A,0)),0,IF(AU$1&lt;INDEX('Valo FX'!$R:$R,MATCH($A20,'Valo FX'!$A:$A,0)),INDEX(Base!$U:$U,MATCH($A20,Base!$A:$A,0)),IF(AU$1=INDEX('Valo FX'!$R:$R,MATCH($A20,'Valo FX'!$A:$A,0)),INDEX(Base!$V:$V,MATCH($A20,Base!$A:$A,0)),0)))</f>
        <v>14.538449999999999</v>
      </c>
      <c r="AV20" s="21">
        <f>IF(AV$1&lt;INDEX('Valo FX'!$Q:$Q,MATCH($A20,'Valo FX'!$A:$A,0)),0,IF(AV$1&lt;INDEX('Valo FX'!$R:$R,MATCH($A20,'Valo FX'!$A:$A,0)),INDEX(Base!$U:$U,MATCH($A20,Base!$A:$A,0)),IF(AV$1=INDEX('Valo FX'!$R:$R,MATCH($A20,'Valo FX'!$A:$A,0)),INDEX(Base!$V:$V,MATCH($A20,Base!$A:$A,0)),0)))</f>
        <v>14.538449999999999</v>
      </c>
      <c r="AW20" s="21">
        <f>IF(AW$1&lt;INDEX('Valo FX'!$Q:$Q,MATCH($A20,'Valo FX'!$A:$A,0)),0,IF(AW$1&lt;INDEX('Valo FX'!$R:$R,MATCH($A20,'Valo FX'!$A:$A,0)),INDEX(Base!$U:$U,MATCH($A20,Base!$A:$A,0)),IF(AW$1=INDEX('Valo FX'!$R:$R,MATCH($A20,'Valo FX'!$A:$A,0)),INDEX(Base!$V:$V,MATCH($A20,Base!$A:$A,0)),0)))</f>
        <v>14.538449999999999</v>
      </c>
      <c r="AX20" s="21">
        <f>IF(AX$1&lt;INDEX('Valo FX'!$Q:$Q,MATCH($A20,'Valo FX'!$A:$A,0)),0,IF(AX$1&lt;INDEX('Valo FX'!$R:$R,MATCH($A20,'Valo FX'!$A:$A,0)),INDEX(Base!$U:$U,MATCH($A20,Base!$A:$A,0)),IF(AX$1=INDEX('Valo FX'!$R:$R,MATCH($A20,'Valo FX'!$A:$A,0)),INDEX(Base!$V:$V,MATCH($A20,Base!$A:$A,0)),0)))</f>
        <v>14.538449999999999</v>
      </c>
      <c r="AY20" s="21">
        <f>IF(AY$1&lt;INDEX('Valo FX'!$Q:$Q,MATCH($A20,'Valo FX'!$A:$A,0)),0,IF(AY$1&lt;INDEX('Valo FX'!$R:$R,MATCH($A20,'Valo FX'!$A:$A,0)),INDEX(Base!$U:$U,MATCH($A20,Base!$A:$A,0)),IF(AY$1=INDEX('Valo FX'!$R:$R,MATCH($A20,'Valo FX'!$A:$A,0)),INDEX(Base!$V:$V,MATCH($A20,Base!$A:$A,0)),0)))</f>
        <v>14.538449999999999</v>
      </c>
      <c r="AZ20" s="21">
        <f>IF(AZ$1&lt;INDEX('Valo FX'!$Q:$Q,MATCH($A20,'Valo FX'!$A:$A,0)),0,IF(AZ$1&lt;INDEX('Valo FX'!$R:$R,MATCH($A20,'Valo FX'!$A:$A,0)),INDEX(Base!$U:$U,MATCH($A20,Base!$A:$A,0)),IF(AZ$1=INDEX('Valo FX'!$R:$R,MATCH($A20,'Valo FX'!$A:$A,0)),INDEX(Base!$V:$V,MATCH($A20,Base!$A:$A,0)),0)))</f>
        <v>14.538449999999999</v>
      </c>
      <c r="BA20" s="21">
        <f>IF(BA$1&lt;INDEX('Valo FX'!$Q:$Q,MATCH($A20,'Valo FX'!$A:$A,0)),0,IF(BA$1&lt;INDEX('Valo FX'!$R:$R,MATCH($A20,'Valo FX'!$A:$A,0)),INDEX(Base!$U:$U,MATCH($A20,Base!$A:$A,0)),IF(BA$1=INDEX('Valo FX'!$R:$R,MATCH($A20,'Valo FX'!$A:$A,0)),INDEX(Base!$V:$V,MATCH($A20,Base!$A:$A,0)),0)))</f>
        <v>14.538449999999999</v>
      </c>
      <c r="BB20" s="21">
        <f>IF(BB$1&lt;INDEX('Valo FX'!$Q:$Q,MATCH($A20,'Valo FX'!$A:$A,0)),0,IF(BB$1&lt;INDEX('Valo FX'!$R:$R,MATCH($A20,'Valo FX'!$A:$A,0)),INDEX(Base!$U:$U,MATCH($A20,Base!$A:$A,0)),IF(BB$1=INDEX('Valo FX'!$R:$R,MATCH($A20,'Valo FX'!$A:$A,0)),INDEX(Base!$V:$V,MATCH($A20,Base!$A:$A,0)),0)))</f>
        <v>14.538449999999999</v>
      </c>
      <c r="BC20" s="21">
        <f>IF(BC$1&lt;INDEX('Valo FX'!$Q:$Q,MATCH($A20,'Valo FX'!$A:$A,0)),0,IF(BC$1&lt;INDEX('Valo FX'!$R:$R,MATCH($A20,'Valo FX'!$A:$A,0)),INDEX(Base!$U:$U,MATCH($A20,Base!$A:$A,0)),IF(BC$1=INDEX('Valo FX'!$R:$R,MATCH($A20,'Valo FX'!$A:$A,0)),INDEX(Base!$V:$V,MATCH($A20,Base!$A:$A,0)),0)))</f>
        <v>14.538449999999999</v>
      </c>
      <c r="BD20" s="21">
        <f>IF(BD$1&lt;INDEX('Valo FX'!$Q:$Q,MATCH($A20,'Valo FX'!$A:$A,0)),0,IF(BD$1&lt;INDEX('Valo FX'!$R:$R,MATCH($A20,'Valo FX'!$A:$A,0)),INDEX(Base!$U:$U,MATCH($A20,Base!$A:$A,0)),IF(BD$1=INDEX('Valo FX'!$R:$R,MATCH($A20,'Valo FX'!$A:$A,0)),INDEX(Base!$V:$V,MATCH($A20,Base!$A:$A,0)),0)))</f>
        <v>14.538449999999999</v>
      </c>
      <c r="BE20" s="21">
        <f>IF(BE$1&lt;INDEX('Valo FX'!$Q:$Q,MATCH($A20,'Valo FX'!$A:$A,0)),0,IF(BE$1&lt;INDEX('Valo FX'!$R:$R,MATCH($A20,'Valo FX'!$A:$A,0)),INDEX(Base!$U:$U,MATCH($A20,Base!$A:$A,0)),IF(BE$1=INDEX('Valo FX'!$R:$R,MATCH($A20,'Valo FX'!$A:$A,0)),INDEX(Base!$V:$V,MATCH($A20,Base!$A:$A,0)),0)))</f>
        <v>14.538449999999999</v>
      </c>
      <c r="BF20" s="21">
        <f>IF(BF$1&lt;INDEX('Valo FX'!$Q:$Q,MATCH($A20,'Valo FX'!$A:$A,0)),0,IF(BF$1&lt;INDEX('Valo FX'!$R:$R,MATCH($A20,'Valo FX'!$A:$A,0)),INDEX(Base!$U:$U,MATCH($A20,Base!$A:$A,0)),IF(BF$1=INDEX('Valo FX'!$R:$R,MATCH($A20,'Valo FX'!$A:$A,0)),INDEX(Base!$V:$V,MATCH($A20,Base!$A:$A,0)),0)))</f>
        <v>14.538449999999999</v>
      </c>
      <c r="BG20" s="21">
        <f>IF(BG$1&lt;INDEX('Valo FX'!$Q:$Q,MATCH($A20,'Valo FX'!$A:$A,0)),0,IF(BG$1&lt;INDEX('Valo FX'!$R:$R,MATCH($A20,'Valo FX'!$A:$A,0)),INDEX(Base!$U:$U,MATCH($A20,Base!$A:$A,0)),IF(BG$1=INDEX('Valo FX'!$R:$R,MATCH($A20,'Valo FX'!$A:$A,0)),INDEX(Base!$V:$V,MATCH($A20,Base!$A:$A,0)),0)))</f>
        <v>14.538449999999999</v>
      </c>
      <c r="BH20" s="21">
        <f>IF(BH$1&lt;INDEX('Valo FX'!$Q:$Q,MATCH($A20,'Valo FX'!$A:$A,0)),0,IF(BH$1&lt;INDEX('Valo FX'!$R:$R,MATCH($A20,'Valo FX'!$A:$A,0)),INDEX(Base!$U:$U,MATCH($A20,Base!$A:$A,0)),IF(BH$1=INDEX('Valo FX'!$R:$R,MATCH($A20,'Valo FX'!$A:$A,0)),INDEX(Base!$V:$V,MATCH($A20,Base!$A:$A,0)),0)))</f>
        <v>14.538449999999999</v>
      </c>
      <c r="BI20" s="21">
        <f>IF(BI$1&lt;INDEX('Valo FX'!$Q:$Q,MATCH($A20,'Valo FX'!$A:$A,0)),0,IF(BI$1&lt;INDEX('Valo FX'!$R:$R,MATCH($A20,'Valo FX'!$A:$A,0)),INDEX(Base!$U:$U,MATCH($A20,Base!$A:$A,0)),IF(BI$1=INDEX('Valo FX'!$R:$R,MATCH($A20,'Valo FX'!$A:$A,0)),INDEX(Base!$V:$V,MATCH($A20,Base!$A:$A,0)),0)))</f>
        <v>14.538449999999999</v>
      </c>
      <c r="BJ20" s="21">
        <f>IF(BJ$1&lt;INDEX('Valo FX'!$Q:$Q,MATCH($A20,'Valo FX'!$A:$A,0)),0,IF(BJ$1&lt;INDEX('Valo FX'!$R:$R,MATCH($A20,'Valo FX'!$A:$A,0)),INDEX(Base!$U:$U,MATCH($A20,Base!$A:$A,0)),IF(BJ$1=INDEX('Valo FX'!$R:$R,MATCH($A20,'Valo FX'!$A:$A,0)),INDEX(Base!$V:$V,MATCH($A20,Base!$A:$A,0)),0)))</f>
        <v>14.538449999999999</v>
      </c>
      <c r="BK20" s="21">
        <f>IF(BK$1&lt;INDEX('Valo FX'!$Q:$Q,MATCH($A20,'Valo FX'!$A:$A,0)),0,IF(BK$1&lt;INDEX('Valo FX'!$R:$R,MATCH($A20,'Valo FX'!$A:$A,0)),INDEX(Base!$U:$U,MATCH($A20,Base!$A:$A,0)),IF(BK$1=INDEX('Valo FX'!$R:$R,MATCH($A20,'Valo FX'!$A:$A,0)),INDEX(Base!$V:$V,MATCH($A20,Base!$A:$A,0)),0)))</f>
        <v>14.538449999999999</v>
      </c>
      <c r="BL20" s="21">
        <f>IF(BL$1&lt;INDEX('Valo FX'!$Q:$Q,MATCH($A20,'Valo FX'!$A:$A,0)),0,IF(BL$1&lt;INDEX('Valo FX'!$R:$R,MATCH($A20,'Valo FX'!$A:$A,0)),INDEX(Base!$U:$U,MATCH($A20,Base!$A:$A,0)),IF(BL$1=INDEX('Valo FX'!$R:$R,MATCH($A20,'Valo FX'!$A:$A,0)),INDEX(Base!$V:$V,MATCH($A20,Base!$A:$A,0)),0)))</f>
        <v>14.538449999999999</v>
      </c>
      <c r="BM20" s="21">
        <f>IF(BM$1&lt;INDEX('Valo FX'!$Q:$Q,MATCH($A20,'Valo FX'!$A:$A,0)),0,IF(BM$1&lt;INDEX('Valo FX'!$R:$R,MATCH($A20,'Valo FX'!$A:$A,0)),INDEX(Base!$U:$U,MATCH($A20,Base!$A:$A,0)),IF(BM$1=INDEX('Valo FX'!$R:$R,MATCH($A20,'Valo FX'!$A:$A,0)),INDEX(Base!$V:$V,MATCH($A20,Base!$A:$A,0)),0)))</f>
        <v>14.538449999999999</v>
      </c>
      <c r="BN20" s="21">
        <f>IF(BN$1&lt;INDEX('Valo FX'!$Q:$Q,MATCH($A20,'Valo FX'!$A:$A,0)),0,IF(BN$1&lt;INDEX('Valo FX'!$R:$R,MATCH($A20,'Valo FX'!$A:$A,0)),INDEX(Base!$U:$U,MATCH($A20,Base!$A:$A,0)),IF(BN$1=INDEX('Valo FX'!$R:$R,MATCH($A20,'Valo FX'!$A:$A,0)),INDEX(Base!$V:$V,MATCH($A20,Base!$A:$A,0)),0)))</f>
        <v>14.538449999999999</v>
      </c>
      <c r="BO20" s="21">
        <f>IF(BO$1&lt;INDEX('Valo FX'!$Q:$Q,MATCH($A20,'Valo FX'!$A:$A,0)),0,IF(BO$1&lt;INDEX('Valo FX'!$R:$R,MATCH($A20,'Valo FX'!$A:$A,0)),INDEX(Base!$U:$U,MATCH($A20,Base!$A:$A,0)),IF(BO$1=INDEX('Valo FX'!$R:$R,MATCH($A20,'Valo FX'!$A:$A,0)),INDEX(Base!$V:$V,MATCH($A20,Base!$A:$A,0)),0)))</f>
        <v>14.538449999999999</v>
      </c>
      <c r="BP20" s="21">
        <f>IF(BP$1&lt;INDEX('Valo FX'!$Q:$Q,MATCH($A20,'Valo FX'!$A:$A,0)),0,IF(BP$1&lt;INDEX('Valo FX'!$R:$R,MATCH($A20,'Valo FX'!$A:$A,0)),INDEX(Base!$U:$U,MATCH($A20,Base!$A:$A,0)),IF(BP$1=INDEX('Valo FX'!$R:$R,MATCH($A20,'Valo FX'!$A:$A,0)),INDEX(Base!$V:$V,MATCH($A20,Base!$A:$A,0)),0)))</f>
        <v>14.538449999999999</v>
      </c>
      <c r="BQ20" s="21">
        <f>IF(BQ$1&lt;INDEX('Valo FX'!$Q:$Q,MATCH($A20,'Valo FX'!$A:$A,0)),0,IF(BQ$1&lt;INDEX('Valo FX'!$R:$R,MATCH($A20,'Valo FX'!$A:$A,0)),INDEX(Base!$U:$U,MATCH($A20,Base!$A:$A,0)),IF(BQ$1=INDEX('Valo FX'!$R:$R,MATCH($A20,'Valo FX'!$A:$A,0)),INDEX(Base!$V:$V,MATCH($A20,Base!$A:$A,0)),0)))</f>
        <v>14.538449999999999</v>
      </c>
      <c r="BR20" s="21">
        <f>IF(BR$1&lt;INDEX('Valo FX'!$Q:$Q,MATCH($A20,'Valo FX'!$A:$A,0)),0,IF(BR$1&lt;INDEX('Valo FX'!$R:$R,MATCH($A20,'Valo FX'!$A:$A,0)),INDEX(Base!$U:$U,MATCH($A20,Base!$A:$A,0)),IF(BR$1=INDEX('Valo FX'!$R:$R,MATCH($A20,'Valo FX'!$A:$A,0)),INDEX(Base!$V:$V,MATCH($A20,Base!$A:$A,0)),0)))</f>
        <v>14.538449999999999</v>
      </c>
      <c r="BS20" s="21">
        <f>IF(BS$1&lt;INDEX('Valo FX'!$Q:$Q,MATCH($A20,'Valo FX'!$A:$A,0)),0,IF(BS$1&lt;INDEX('Valo FX'!$R:$R,MATCH($A20,'Valo FX'!$A:$A,0)),INDEX(Base!$U:$U,MATCH($A20,Base!$A:$A,0)),IF(BS$1=INDEX('Valo FX'!$R:$R,MATCH($A20,'Valo FX'!$A:$A,0)),INDEX(Base!$V:$V,MATCH($A20,Base!$A:$A,0)),0)))</f>
        <v>14.538449999999999</v>
      </c>
      <c r="BT20" s="21">
        <f>IF(BT$1&lt;INDEX('Valo FX'!$Q:$Q,MATCH($A20,'Valo FX'!$A:$A,0)),0,IF(BT$1&lt;INDEX('Valo FX'!$R:$R,MATCH($A20,'Valo FX'!$A:$A,0)),INDEX(Base!$U:$U,MATCH($A20,Base!$A:$A,0)),IF(BT$1=INDEX('Valo FX'!$R:$R,MATCH($A20,'Valo FX'!$A:$A,0)),INDEX(Base!$V:$V,MATCH($A20,Base!$A:$A,0)),0)))</f>
        <v>14.538449999999999</v>
      </c>
      <c r="BU20" s="21">
        <f>IF(BU$1&lt;INDEX('Valo FX'!$Q:$Q,MATCH($A20,'Valo FX'!$A:$A,0)),0,IF(BU$1&lt;INDEX('Valo FX'!$R:$R,MATCH($A20,'Valo FX'!$A:$A,0)),INDEX(Base!$U:$U,MATCH($A20,Base!$A:$A,0)),IF(BU$1=INDEX('Valo FX'!$R:$R,MATCH($A20,'Valo FX'!$A:$A,0)),INDEX(Base!$V:$V,MATCH($A20,Base!$A:$A,0)),0)))</f>
        <v>14.538449999999999</v>
      </c>
      <c r="BV20" s="21">
        <f>IF(BV$1&lt;INDEX('Valo FX'!$Q:$Q,MATCH($A20,'Valo FX'!$A:$A,0)),0,IF(BV$1&lt;INDEX('Valo FX'!$R:$R,MATCH($A20,'Valo FX'!$A:$A,0)),INDEX(Base!$U:$U,MATCH($A20,Base!$A:$A,0)),IF(BV$1=INDEX('Valo FX'!$R:$R,MATCH($A20,'Valo FX'!$A:$A,0)),INDEX(Base!$V:$V,MATCH($A20,Base!$A:$A,0)),0)))</f>
        <v>14.538449999999999</v>
      </c>
      <c r="BW20" s="21">
        <f>IF(BW$1&lt;INDEX('Valo FX'!$Q:$Q,MATCH($A20,'Valo FX'!$A:$A,0)),0,IF(BW$1&lt;INDEX('Valo FX'!$R:$R,MATCH($A20,'Valo FX'!$A:$A,0)),INDEX(Base!$U:$U,MATCH($A20,Base!$A:$A,0)),IF(BW$1=INDEX('Valo FX'!$R:$R,MATCH($A20,'Valo FX'!$A:$A,0)),INDEX(Base!$V:$V,MATCH($A20,Base!$A:$A,0)),0)))</f>
        <v>14.538449999999999</v>
      </c>
      <c r="BX20" s="21">
        <f>IF(BX$1&lt;INDEX('Valo FX'!$Q:$Q,MATCH($A20,'Valo FX'!$A:$A,0)),0,IF(BX$1&lt;INDEX('Valo FX'!$R:$R,MATCH($A20,'Valo FX'!$A:$A,0)),INDEX(Base!$U:$U,MATCH($A20,Base!$A:$A,0)),IF(BX$1=INDEX('Valo FX'!$R:$R,MATCH($A20,'Valo FX'!$A:$A,0)),INDEX(Base!$V:$V,MATCH($A20,Base!$A:$A,0)),0)))</f>
        <v>14.538449999999999</v>
      </c>
      <c r="BY20" s="21">
        <f>IF(BY$1&lt;INDEX('Valo FX'!$Q:$Q,MATCH($A20,'Valo FX'!$A:$A,0)),0,IF(BY$1&lt;INDEX('Valo FX'!$R:$R,MATCH($A20,'Valo FX'!$A:$A,0)),INDEX(Base!$U:$U,MATCH($A20,Base!$A:$A,0)),IF(BY$1=INDEX('Valo FX'!$R:$R,MATCH($A20,'Valo FX'!$A:$A,0)),INDEX(Base!$V:$V,MATCH($A20,Base!$A:$A,0)),0)))</f>
        <v>14.538449999999999</v>
      </c>
      <c r="BZ20" s="21">
        <f>IF(BZ$1&lt;INDEX('Valo FX'!$Q:$Q,MATCH($A20,'Valo FX'!$A:$A,0)),0,IF(BZ$1&lt;INDEX('Valo FX'!$R:$R,MATCH($A20,'Valo FX'!$A:$A,0)),INDEX(Base!$U:$U,MATCH($A20,Base!$A:$A,0)),IF(BZ$1=INDEX('Valo FX'!$R:$R,MATCH($A20,'Valo FX'!$A:$A,0)),INDEX(Base!$V:$V,MATCH($A20,Base!$A:$A,0)),0)))</f>
        <v>14.538449999999999</v>
      </c>
      <c r="CA20" s="21">
        <f>IF(CA$1&lt;INDEX('Valo FX'!$Q:$Q,MATCH($A20,'Valo FX'!$A:$A,0)),0,IF(CA$1&lt;INDEX('Valo FX'!$R:$R,MATCH($A20,'Valo FX'!$A:$A,0)),INDEX(Base!$U:$U,MATCH($A20,Base!$A:$A,0)),IF(CA$1=INDEX('Valo FX'!$R:$R,MATCH($A20,'Valo FX'!$A:$A,0)),INDEX(Base!$V:$V,MATCH($A20,Base!$A:$A,0)),0)))</f>
        <v>14.538449999999999</v>
      </c>
      <c r="CB20" s="21">
        <f>IF(CB$1&lt;INDEX('Valo FX'!$Q:$Q,MATCH($A20,'Valo FX'!$A:$A,0)),0,IF(CB$1&lt;INDEX('Valo FX'!$R:$R,MATCH($A20,'Valo FX'!$A:$A,0)),INDEX(Base!$U:$U,MATCH($A20,Base!$A:$A,0)),IF(CB$1=INDEX('Valo FX'!$R:$R,MATCH($A20,'Valo FX'!$A:$A,0)),INDEX(Base!$V:$V,MATCH($A20,Base!$A:$A,0)),0)))</f>
        <v>14.538449999999999</v>
      </c>
      <c r="CC20" s="21">
        <f>IF(CC$1&lt;INDEX('Valo FX'!$Q:$Q,MATCH($A20,'Valo FX'!$A:$A,0)),0,IF(CC$1&lt;INDEX('Valo FX'!$R:$R,MATCH($A20,'Valo FX'!$A:$A,0)),INDEX(Base!$U:$U,MATCH($A20,Base!$A:$A,0)),IF(CC$1=INDEX('Valo FX'!$R:$R,MATCH($A20,'Valo FX'!$A:$A,0)),INDEX(Base!$V:$V,MATCH($A20,Base!$A:$A,0)),0)))</f>
        <v>14.538449999999999</v>
      </c>
      <c r="CD20" s="21">
        <f>IF(CD$1&lt;INDEX('Valo FX'!$Q:$Q,MATCH($A20,'Valo FX'!$A:$A,0)),0,IF(CD$1&lt;INDEX('Valo FX'!$R:$R,MATCH($A20,'Valo FX'!$A:$A,0)),INDEX(Base!$U:$U,MATCH($A20,Base!$A:$A,0)),IF(CD$1=INDEX('Valo FX'!$R:$R,MATCH($A20,'Valo FX'!$A:$A,0)),INDEX(Base!$V:$V,MATCH($A20,Base!$A:$A,0)),0)))</f>
        <v>14.538449999999999</v>
      </c>
      <c r="CE20" s="21">
        <f>IF(CE$1&lt;INDEX('Valo FX'!$Q:$Q,MATCH($A20,'Valo FX'!$A:$A,0)),0,IF(CE$1&lt;INDEX('Valo FX'!$R:$R,MATCH($A20,'Valo FX'!$A:$A,0)),INDEX(Base!$U:$U,MATCH($A20,Base!$A:$A,0)),IF(CE$1=INDEX('Valo FX'!$R:$R,MATCH($A20,'Valo FX'!$A:$A,0)),INDEX(Base!$V:$V,MATCH($A20,Base!$A:$A,0)),0)))</f>
        <v>14.538449999999999</v>
      </c>
      <c r="CF20" s="21">
        <f>IF(CF$1&lt;INDEX('Valo FX'!$Q:$Q,MATCH($A20,'Valo FX'!$A:$A,0)),0,IF(CF$1&lt;INDEX('Valo FX'!$R:$R,MATCH($A20,'Valo FX'!$A:$A,0)),INDEX(Base!$U:$U,MATCH($A20,Base!$A:$A,0)),IF(CF$1=INDEX('Valo FX'!$R:$R,MATCH($A20,'Valo FX'!$A:$A,0)),INDEX(Base!$V:$V,MATCH($A20,Base!$A:$A,0)),0)))</f>
        <v>14.538449999999999</v>
      </c>
      <c r="CG20" s="21">
        <f>IF(CG$1&lt;INDEX('Valo FX'!$Q:$Q,MATCH($A20,'Valo FX'!$A:$A,0)),0,IF(CG$1&lt;INDEX('Valo FX'!$R:$R,MATCH($A20,'Valo FX'!$A:$A,0)),INDEX(Base!$U:$U,MATCH($A20,Base!$A:$A,0)),IF(CG$1=INDEX('Valo FX'!$R:$R,MATCH($A20,'Valo FX'!$A:$A,0)),INDEX(Base!$V:$V,MATCH($A20,Base!$A:$A,0)),0)))</f>
        <v>14.538449999999999</v>
      </c>
      <c r="CH20" s="21">
        <f>IF(CH$1&lt;INDEX('Valo FX'!$Q:$Q,MATCH($A20,'Valo FX'!$A:$A,0)),0,IF(CH$1&lt;INDEX('Valo FX'!$R:$R,MATCH($A20,'Valo FX'!$A:$A,0)),INDEX(Base!$U:$U,MATCH($A20,Base!$A:$A,0)),IF(CH$1=INDEX('Valo FX'!$R:$R,MATCH($A20,'Valo FX'!$A:$A,0)),INDEX(Base!$V:$V,MATCH($A20,Base!$A:$A,0)),0)))</f>
        <v>14.538449999999999</v>
      </c>
      <c r="CI20" s="21">
        <f>IF(CI$1&lt;INDEX('Valo FX'!$Q:$Q,MATCH($A20,'Valo FX'!$A:$A,0)),0,IF(CI$1&lt;INDEX('Valo FX'!$R:$R,MATCH($A20,'Valo FX'!$A:$A,0)),INDEX(Base!$U:$U,MATCH($A20,Base!$A:$A,0)),IF(CI$1=INDEX('Valo FX'!$R:$R,MATCH($A20,'Valo FX'!$A:$A,0)),INDEX(Base!$V:$V,MATCH($A20,Base!$A:$A,0)),0)))</f>
        <v>14.538449999999999</v>
      </c>
      <c r="CJ20" s="21">
        <f>IF(CJ$1&lt;INDEX('Valo FX'!$Q:$Q,MATCH($A20,'Valo FX'!$A:$A,0)),0,IF(CJ$1&lt;INDEX('Valo FX'!$R:$R,MATCH($A20,'Valo FX'!$A:$A,0)),INDEX(Base!$U:$U,MATCH($A20,Base!$A:$A,0)),IF(CJ$1=INDEX('Valo FX'!$R:$R,MATCH($A20,'Valo FX'!$A:$A,0)),INDEX(Base!$V:$V,MATCH($A20,Base!$A:$A,0)),0)))</f>
        <v>14.538449999999999</v>
      </c>
      <c r="CK20" s="21">
        <f>IF(CK$1&lt;INDEX('Valo FX'!$Q:$Q,MATCH($A20,'Valo FX'!$A:$A,0)),0,IF(CK$1&lt;INDEX('Valo FX'!$R:$R,MATCH($A20,'Valo FX'!$A:$A,0)),INDEX(Base!$U:$U,MATCH($A20,Base!$A:$A,0)),IF(CK$1=INDEX('Valo FX'!$R:$R,MATCH($A20,'Valo FX'!$A:$A,0)),INDEX(Base!$V:$V,MATCH($A20,Base!$A:$A,0)),0)))</f>
        <v>14.538449999999999</v>
      </c>
      <c r="CL20" s="21">
        <f>IF(CL$1&lt;INDEX('Valo FX'!$Q:$Q,MATCH($A20,'Valo FX'!$A:$A,0)),0,IF(CL$1&lt;INDEX('Valo FX'!$R:$R,MATCH($A20,'Valo FX'!$A:$A,0)),INDEX(Base!$U:$U,MATCH($A20,Base!$A:$A,0)),IF(CL$1=INDEX('Valo FX'!$R:$R,MATCH($A20,'Valo FX'!$A:$A,0)),INDEX(Base!$V:$V,MATCH($A20,Base!$A:$A,0)),0)))</f>
        <v>14.538449999999999</v>
      </c>
      <c r="CM20" s="21">
        <f>IF(CM$1&lt;INDEX('Valo FX'!$Q:$Q,MATCH($A20,'Valo FX'!$A:$A,0)),0,IF(CM$1&lt;INDEX('Valo FX'!$R:$R,MATCH($A20,'Valo FX'!$A:$A,0)),INDEX(Base!$U:$U,MATCH($A20,Base!$A:$A,0)),IF(CM$1=INDEX('Valo FX'!$R:$R,MATCH($A20,'Valo FX'!$A:$A,0)),INDEX(Base!$V:$V,MATCH($A20,Base!$A:$A,0)),0)))</f>
        <v>14.538449999999999</v>
      </c>
      <c r="CN20" s="21">
        <f>IF(CN$1&lt;INDEX('Valo FX'!$Q:$Q,MATCH($A20,'Valo FX'!$A:$A,0)),0,IF(CN$1&lt;INDEX('Valo FX'!$R:$R,MATCH($A20,'Valo FX'!$A:$A,0)),INDEX(Base!$U:$U,MATCH($A20,Base!$A:$A,0)),IF(CN$1=INDEX('Valo FX'!$R:$R,MATCH($A20,'Valo FX'!$A:$A,0)),INDEX(Base!$V:$V,MATCH($A20,Base!$A:$A,0)),0)))</f>
        <v>14.538449999999999</v>
      </c>
      <c r="CO20" s="21">
        <f>IF(CO$1&lt;INDEX('Valo FX'!$Q:$Q,MATCH($A20,'Valo FX'!$A:$A,0)),0,IF(CO$1&lt;INDEX('Valo FX'!$R:$R,MATCH($A20,'Valo FX'!$A:$A,0)),INDEX(Base!$U:$U,MATCH($A20,Base!$A:$A,0)),IF(CO$1=INDEX('Valo FX'!$R:$R,MATCH($A20,'Valo FX'!$A:$A,0)),INDEX(Base!$V:$V,MATCH($A20,Base!$A:$A,0)),0)))</f>
        <v>14.538449999999999</v>
      </c>
      <c r="CP20" s="21">
        <f>IF(CP$1&lt;INDEX('Valo FX'!$Q:$Q,MATCH($A20,'Valo FX'!$A:$A,0)),0,IF(CP$1&lt;INDEX('Valo FX'!$R:$R,MATCH($A20,'Valo FX'!$A:$A,0)),INDEX(Base!$U:$U,MATCH($A20,Base!$A:$A,0)),IF(CP$1=INDEX('Valo FX'!$R:$R,MATCH($A20,'Valo FX'!$A:$A,0)),INDEX(Base!$V:$V,MATCH($A20,Base!$A:$A,0)),0)))</f>
        <v>14.538449999999999</v>
      </c>
      <c r="CQ20" s="21">
        <f>IF(CQ$1&lt;INDEX('Valo FX'!$Q:$Q,MATCH($A20,'Valo FX'!$A:$A,0)),0,IF(CQ$1&lt;INDEX('Valo FX'!$R:$R,MATCH($A20,'Valo FX'!$A:$A,0)),INDEX(Base!$U:$U,MATCH($A20,Base!$A:$A,0)),IF(CQ$1=INDEX('Valo FX'!$R:$R,MATCH($A20,'Valo FX'!$A:$A,0)),INDEX(Base!$V:$V,MATCH($A20,Base!$A:$A,0)),0)))</f>
        <v>14.538449999999999</v>
      </c>
      <c r="CR20" s="21">
        <f>IF(CR$1&lt;INDEX('Valo FX'!$Q:$Q,MATCH($A20,'Valo FX'!$A:$A,0)),0,IF(CR$1&lt;INDEX('Valo FX'!$R:$R,MATCH($A20,'Valo FX'!$A:$A,0)),INDEX(Base!$U:$U,MATCH($A20,Base!$A:$A,0)),IF(CR$1=INDEX('Valo FX'!$R:$R,MATCH($A20,'Valo FX'!$A:$A,0)),INDEX(Base!$V:$V,MATCH($A20,Base!$A:$A,0)),0)))</f>
        <v>14.538449999999999</v>
      </c>
      <c r="CS20" s="21">
        <f>IF(CS$1&lt;INDEX('Valo FX'!$Q:$Q,MATCH($A20,'Valo FX'!$A:$A,0)),0,IF(CS$1&lt;INDEX('Valo FX'!$R:$R,MATCH($A20,'Valo FX'!$A:$A,0)),INDEX(Base!$U:$U,MATCH($A20,Base!$A:$A,0)),IF(CS$1=INDEX('Valo FX'!$R:$R,MATCH($A20,'Valo FX'!$A:$A,0)),INDEX(Base!$V:$V,MATCH($A20,Base!$A:$A,0)),0)))</f>
        <v>14.538449999999999</v>
      </c>
      <c r="CT20" s="21">
        <f>IF(CT$1&lt;INDEX('Valo FX'!$Q:$Q,MATCH($A20,'Valo FX'!$A:$A,0)),0,IF(CT$1&lt;INDEX('Valo FX'!$R:$R,MATCH($A20,'Valo FX'!$A:$A,0)),INDEX(Base!$U:$U,MATCH($A20,Base!$A:$A,0)),IF(CT$1=INDEX('Valo FX'!$R:$R,MATCH($A20,'Valo FX'!$A:$A,0)),INDEX(Base!$V:$V,MATCH($A20,Base!$A:$A,0)),0)))</f>
        <v>14.538449999999999</v>
      </c>
      <c r="CU20" s="21">
        <f>IF(CU$1&lt;INDEX('Valo FX'!$Q:$Q,MATCH($A20,'Valo FX'!$A:$A,0)),0,IF(CU$1&lt;INDEX('Valo FX'!$R:$R,MATCH($A20,'Valo FX'!$A:$A,0)),INDEX(Base!$U:$U,MATCH($A20,Base!$A:$A,0)),IF(CU$1=INDEX('Valo FX'!$R:$R,MATCH($A20,'Valo FX'!$A:$A,0)),INDEX(Base!$V:$V,MATCH($A20,Base!$A:$A,0)),0)))</f>
        <v>14.538449999999999</v>
      </c>
      <c r="CV20" s="21">
        <f>IF(CV$1&lt;INDEX('Valo FX'!$Q:$Q,MATCH($A20,'Valo FX'!$A:$A,0)),0,IF(CV$1&lt;INDEX('Valo FX'!$R:$R,MATCH($A20,'Valo FX'!$A:$A,0)),INDEX(Base!$U:$U,MATCH($A20,Base!$A:$A,0)),IF(CV$1=INDEX('Valo FX'!$R:$R,MATCH($A20,'Valo FX'!$A:$A,0)),INDEX(Base!$V:$V,MATCH($A20,Base!$A:$A,0)),0)))</f>
        <v>14.538449999999999</v>
      </c>
      <c r="CW20" s="21">
        <f>IF(CW$1&lt;INDEX('Valo FX'!$Q:$Q,MATCH($A20,'Valo FX'!$A:$A,0)),0,IF(CW$1&lt;INDEX('Valo FX'!$R:$R,MATCH($A20,'Valo FX'!$A:$A,0)),INDEX(Base!$U:$U,MATCH($A20,Base!$A:$A,0)),IF(CW$1=INDEX('Valo FX'!$R:$R,MATCH($A20,'Valo FX'!$A:$A,0)),INDEX(Base!$V:$V,MATCH($A20,Base!$A:$A,0)),0)))</f>
        <v>14.538449999999999</v>
      </c>
      <c r="CX20" s="21">
        <f>IF(CX$1&lt;INDEX('Valo FX'!$Q:$Q,MATCH($A20,'Valo FX'!$A:$A,0)),0,IF(CX$1&lt;INDEX('Valo FX'!$R:$R,MATCH($A20,'Valo FX'!$A:$A,0)),INDEX(Base!$U:$U,MATCH($A20,Base!$A:$A,0)),IF(CX$1=INDEX('Valo FX'!$R:$R,MATCH($A20,'Valo FX'!$A:$A,0)),INDEX(Base!$V:$V,MATCH($A20,Base!$A:$A,0)),0)))</f>
        <v>14.538449999999999</v>
      </c>
      <c r="CY20" s="21">
        <f>IF(CY$1&lt;INDEX('Valo FX'!$Q:$Q,MATCH($A20,'Valo FX'!$A:$A,0)),0,IF(CY$1&lt;INDEX('Valo FX'!$R:$R,MATCH($A20,'Valo FX'!$A:$A,0)),INDEX(Base!$U:$U,MATCH($A20,Base!$A:$A,0)),IF(CY$1=INDEX('Valo FX'!$R:$R,MATCH($A20,'Valo FX'!$A:$A,0)),INDEX(Base!$V:$V,MATCH($A20,Base!$A:$A,0)),0)))</f>
        <v>14.538449999999999</v>
      </c>
      <c r="CZ20" s="21">
        <f>IF(CZ$1&lt;INDEX('Valo FX'!$Q:$Q,MATCH($A20,'Valo FX'!$A:$A,0)),0,IF(CZ$1&lt;INDEX('Valo FX'!$R:$R,MATCH($A20,'Valo FX'!$A:$A,0)),INDEX(Base!$U:$U,MATCH($A20,Base!$A:$A,0)),IF(CZ$1=INDEX('Valo FX'!$R:$R,MATCH($A20,'Valo FX'!$A:$A,0)),INDEX(Base!$V:$V,MATCH($A20,Base!$A:$A,0)),0)))</f>
        <v>14.538449999999999</v>
      </c>
      <c r="DA20" s="21">
        <f>IF(DA$1&lt;INDEX('Valo FX'!$Q:$Q,MATCH($A20,'Valo FX'!$A:$A,0)),0,IF(DA$1&lt;INDEX('Valo FX'!$R:$R,MATCH($A20,'Valo FX'!$A:$A,0)),INDEX(Base!$U:$U,MATCH($A20,Base!$A:$A,0)),IF(DA$1=INDEX('Valo FX'!$R:$R,MATCH($A20,'Valo FX'!$A:$A,0)),INDEX(Base!$V:$V,MATCH($A20,Base!$A:$A,0)),0)))</f>
        <v>14.538449999999999</v>
      </c>
      <c r="DB20" s="21">
        <f>IF(DB$1&lt;INDEX('Valo FX'!$Q:$Q,MATCH($A20,'Valo FX'!$A:$A,0)),0,IF(DB$1&lt;INDEX('Valo FX'!$R:$R,MATCH($A20,'Valo FX'!$A:$A,0)),INDEX(Base!$U:$U,MATCH($A20,Base!$A:$A,0)),IF(DB$1=INDEX('Valo FX'!$R:$R,MATCH($A20,'Valo FX'!$A:$A,0)),INDEX(Base!$V:$V,MATCH($A20,Base!$A:$A,0)),0)))</f>
        <v>14.538449999999999</v>
      </c>
      <c r="DC20" s="21">
        <f>IF(DC$1&lt;INDEX('Valo FX'!$Q:$Q,MATCH($A20,'Valo FX'!$A:$A,0)),0,IF(DC$1&lt;INDEX('Valo FX'!$R:$R,MATCH($A20,'Valo FX'!$A:$A,0)),INDEX(Base!$U:$U,MATCH($A20,Base!$A:$A,0)),IF(DC$1=INDEX('Valo FX'!$R:$R,MATCH($A20,'Valo FX'!$A:$A,0)),INDEX(Base!$V:$V,MATCH($A20,Base!$A:$A,0)),0)))</f>
        <v>14.538449999999999</v>
      </c>
      <c r="DD20" s="21">
        <f>IF(DD$1&lt;INDEX('Valo FX'!$Q:$Q,MATCH($A20,'Valo FX'!$A:$A,0)),0,IF(DD$1&lt;INDEX('Valo FX'!$R:$R,MATCH($A20,'Valo FX'!$A:$A,0)),INDEX(Base!$U:$U,MATCH($A20,Base!$A:$A,0)),IF(DD$1=INDEX('Valo FX'!$R:$R,MATCH($A20,'Valo FX'!$A:$A,0)),INDEX(Base!$V:$V,MATCH($A20,Base!$A:$A,0)),0)))</f>
        <v>14.538449999999999</v>
      </c>
      <c r="DE20" s="21">
        <f>IF(DE$1&lt;INDEX('Valo FX'!$Q:$Q,MATCH($A20,'Valo FX'!$A:$A,0)),0,IF(DE$1&lt;INDEX('Valo FX'!$R:$R,MATCH($A20,'Valo FX'!$A:$A,0)),INDEX(Base!$U:$U,MATCH($A20,Base!$A:$A,0)),IF(DE$1=INDEX('Valo FX'!$R:$R,MATCH($A20,'Valo FX'!$A:$A,0)),INDEX(Base!$V:$V,MATCH($A20,Base!$A:$A,0)),0)))</f>
        <v>14.538449999999999</v>
      </c>
      <c r="DF20" s="21">
        <f>IF(DF$1&lt;INDEX('Valo FX'!$Q:$Q,MATCH($A20,'Valo FX'!$A:$A,0)),0,IF(DF$1&lt;INDEX('Valo FX'!$R:$R,MATCH($A20,'Valo FX'!$A:$A,0)),INDEX(Base!$U:$U,MATCH($A20,Base!$A:$A,0)),IF(DF$1=INDEX('Valo FX'!$R:$R,MATCH($A20,'Valo FX'!$A:$A,0)),INDEX(Base!$V:$V,MATCH($A20,Base!$A:$A,0)),0)))</f>
        <v>14.538449999999999</v>
      </c>
      <c r="DG20" s="21">
        <f>IF(DG$1&lt;INDEX('Valo FX'!$Q:$Q,MATCH($A20,'Valo FX'!$A:$A,0)),0,IF(DG$1&lt;INDEX('Valo FX'!$R:$R,MATCH($A20,'Valo FX'!$A:$A,0)),INDEX(Base!$U:$U,MATCH($A20,Base!$A:$A,0)),IF(DG$1=INDEX('Valo FX'!$R:$R,MATCH($A20,'Valo FX'!$A:$A,0)),INDEX(Base!$V:$V,MATCH($A20,Base!$A:$A,0)),0)))</f>
        <v>14.538449999999999</v>
      </c>
      <c r="DH20" s="21">
        <f>IF(DH$1&lt;INDEX('Valo FX'!$Q:$Q,MATCH($A20,'Valo FX'!$A:$A,0)),0,IF(DH$1&lt;INDEX('Valo FX'!$R:$R,MATCH($A20,'Valo FX'!$A:$A,0)),INDEX(Base!$U:$U,MATCH($A20,Base!$A:$A,0)),IF(DH$1=INDEX('Valo FX'!$R:$R,MATCH($A20,'Valo FX'!$A:$A,0)),INDEX(Base!$V:$V,MATCH($A20,Base!$A:$A,0)),0)))</f>
        <v>14.538449999999999</v>
      </c>
      <c r="DI20" s="21">
        <f>IF(DI$1&lt;INDEX('Valo FX'!$Q:$Q,MATCH($A20,'Valo FX'!$A:$A,0)),0,IF(DI$1&lt;INDEX('Valo FX'!$R:$R,MATCH($A20,'Valo FX'!$A:$A,0)),INDEX(Base!$U:$U,MATCH($A20,Base!$A:$A,0)),IF(DI$1=INDEX('Valo FX'!$R:$R,MATCH($A20,'Valo FX'!$A:$A,0)),INDEX(Base!$V:$V,MATCH($A20,Base!$A:$A,0)),0)))</f>
        <v>14.538449999999999</v>
      </c>
      <c r="DJ20" s="21">
        <f>IF(DJ$1&lt;INDEX('Valo FX'!$Q:$Q,MATCH($A20,'Valo FX'!$A:$A,0)),0,IF(DJ$1&lt;INDEX('Valo FX'!$R:$R,MATCH($A20,'Valo FX'!$A:$A,0)),INDEX(Base!$U:$U,MATCH($A20,Base!$A:$A,0)),IF(DJ$1=INDEX('Valo FX'!$R:$R,MATCH($A20,'Valo FX'!$A:$A,0)),INDEX(Base!$V:$V,MATCH($A20,Base!$A:$A,0)),0)))</f>
        <v>14.538449999999999</v>
      </c>
      <c r="DK20" s="21">
        <f>IF(DK$1&lt;INDEX('Valo FX'!$Q:$Q,MATCH($A20,'Valo FX'!$A:$A,0)),0,IF(DK$1&lt;INDEX('Valo FX'!$R:$R,MATCH($A20,'Valo FX'!$A:$A,0)),INDEX(Base!$U:$U,MATCH($A20,Base!$A:$A,0)),IF(DK$1=INDEX('Valo FX'!$R:$R,MATCH($A20,'Valo FX'!$A:$A,0)),INDEX(Base!$V:$V,MATCH($A20,Base!$A:$A,0)),0)))</f>
        <v>14.538449999999999</v>
      </c>
      <c r="DL20" s="21">
        <f>IF(DL$1&lt;INDEX('Valo FX'!$Q:$Q,MATCH($A20,'Valo FX'!$A:$A,0)),0,IF(DL$1&lt;INDEX('Valo FX'!$R:$R,MATCH($A20,'Valo FX'!$A:$A,0)),INDEX(Base!$U:$U,MATCH($A20,Base!$A:$A,0)),IF(DL$1=INDEX('Valo FX'!$R:$R,MATCH($A20,'Valo FX'!$A:$A,0)),INDEX(Base!$V:$V,MATCH($A20,Base!$A:$A,0)),0)))</f>
        <v>14.538449999999999</v>
      </c>
      <c r="DM20" s="21">
        <f>IF(DM$1&lt;INDEX('Valo FX'!$Q:$Q,MATCH($A20,'Valo FX'!$A:$A,0)),0,IF(DM$1&lt;INDEX('Valo FX'!$R:$R,MATCH($A20,'Valo FX'!$A:$A,0)),INDEX(Base!$U:$U,MATCH($A20,Base!$A:$A,0)),IF(DM$1=INDEX('Valo FX'!$R:$R,MATCH($A20,'Valo FX'!$A:$A,0)),INDEX(Base!$V:$V,MATCH($A20,Base!$A:$A,0)),0)))</f>
        <v>14.538449999999999</v>
      </c>
      <c r="DN20" s="21">
        <f>IF(DN$1&lt;INDEX('Valo FX'!$Q:$Q,MATCH($A20,'Valo FX'!$A:$A,0)),0,IF(DN$1&lt;INDEX('Valo FX'!$R:$R,MATCH($A20,'Valo FX'!$A:$A,0)),INDEX(Base!$U:$U,MATCH($A20,Base!$A:$A,0)),IF(DN$1=INDEX('Valo FX'!$R:$R,MATCH($A20,'Valo FX'!$A:$A,0)),INDEX(Base!$V:$V,MATCH($A20,Base!$A:$A,0)),0)))</f>
        <v>14.538449999999999</v>
      </c>
      <c r="DO20" s="21">
        <f>IF(DO$1&lt;INDEX('Valo FX'!$Q:$Q,MATCH($A20,'Valo FX'!$A:$A,0)),0,IF(DO$1&lt;INDEX('Valo FX'!$R:$R,MATCH($A20,'Valo FX'!$A:$A,0)),INDEX(Base!$U:$U,MATCH($A20,Base!$A:$A,0)),IF(DO$1=INDEX('Valo FX'!$R:$R,MATCH($A20,'Valo FX'!$A:$A,0)),INDEX(Base!$V:$V,MATCH($A20,Base!$A:$A,0)),0)))</f>
        <v>14.538449999999999</v>
      </c>
      <c r="DP20" s="21">
        <f>IF(DP$1&lt;INDEX('Valo FX'!$Q:$Q,MATCH($A20,'Valo FX'!$A:$A,0)),0,IF(DP$1&lt;INDEX('Valo FX'!$R:$R,MATCH($A20,'Valo FX'!$A:$A,0)),INDEX(Base!$U:$U,MATCH($A20,Base!$A:$A,0)),IF(DP$1=INDEX('Valo FX'!$R:$R,MATCH($A20,'Valo FX'!$A:$A,0)),INDEX(Base!$V:$V,MATCH($A20,Base!$A:$A,0)),0)))</f>
        <v>14.538449999999999</v>
      </c>
      <c r="DQ20" s="21">
        <f>IF(DQ$1&lt;INDEX('Valo FX'!$Q:$Q,MATCH($A20,'Valo FX'!$A:$A,0)),0,IF(DQ$1&lt;INDEX('Valo FX'!$R:$R,MATCH($A20,'Valo FX'!$A:$A,0)),INDEX(Base!$U:$U,MATCH($A20,Base!$A:$A,0)),IF(DQ$1=INDEX('Valo FX'!$R:$R,MATCH($A20,'Valo FX'!$A:$A,0)),INDEX(Base!$V:$V,MATCH($A20,Base!$A:$A,0)),0)))</f>
        <v>14.538449999999999</v>
      </c>
      <c r="DR20" s="21">
        <f>IF(DR$1&lt;INDEX('Valo FX'!$Q:$Q,MATCH($A20,'Valo FX'!$A:$A,0)),0,IF(DR$1&lt;INDEX('Valo FX'!$R:$R,MATCH($A20,'Valo FX'!$A:$A,0)),INDEX(Base!$U:$U,MATCH($A20,Base!$A:$A,0)),IF(DR$1=INDEX('Valo FX'!$R:$R,MATCH($A20,'Valo FX'!$A:$A,0)),INDEX(Base!$V:$V,MATCH($A20,Base!$A:$A,0)),0)))</f>
        <v>14.538449999999999</v>
      </c>
      <c r="DS20" s="21">
        <f>IF(DS$1&lt;INDEX('Valo FX'!$Q:$Q,MATCH($A20,'Valo FX'!$A:$A,0)),0,IF(DS$1&lt;INDEX('Valo FX'!$R:$R,MATCH($A20,'Valo FX'!$A:$A,0)),INDEX(Base!$U:$U,MATCH($A20,Base!$A:$A,0)),IF(DS$1=INDEX('Valo FX'!$R:$R,MATCH($A20,'Valo FX'!$A:$A,0)),INDEX(Base!$V:$V,MATCH($A20,Base!$A:$A,0)),0)))</f>
        <v>14.538449999999999</v>
      </c>
      <c r="DT20" s="21">
        <f>IF(DT$1&lt;INDEX('Valo FX'!$Q:$Q,MATCH($A20,'Valo FX'!$A:$A,0)),0,IF(DT$1&lt;INDEX('Valo FX'!$R:$R,MATCH($A20,'Valo FX'!$A:$A,0)),INDEX(Base!$U:$U,MATCH($A20,Base!$A:$A,0)),IF(DT$1=INDEX('Valo FX'!$R:$R,MATCH($A20,'Valo FX'!$A:$A,0)),INDEX(Base!$V:$V,MATCH($A20,Base!$A:$A,0)),0)))</f>
        <v>14.538449999999999</v>
      </c>
      <c r="DU20" s="21">
        <f>IF(DU$1&lt;INDEX('Valo FX'!$Q:$Q,MATCH($A20,'Valo FX'!$A:$A,0)),0,IF(DU$1&lt;INDEX('Valo FX'!$R:$R,MATCH($A20,'Valo FX'!$A:$A,0)),INDEX(Base!$U:$U,MATCH($A20,Base!$A:$A,0)),IF(DU$1=INDEX('Valo FX'!$R:$R,MATCH($A20,'Valo FX'!$A:$A,0)),INDEX(Base!$V:$V,MATCH($A20,Base!$A:$A,0)),0)))</f>
        <v>14.538449999999999</v>
      </c>
      <c r="DV20" s="21">
        <f>IF(DV$1&lt;INDEX('Valo FX'!$Q:$Q,MATCH($A20,'Valo FX'!$A:$A,0)),0,IF(DV$1&lt;INDEX('Valo FX'!$R:$R,MATCH($A20,'Valo FX'!$A:$A,0)),INDEX(Base!$U:$U,MATCH($A20,Base!$A:$A,0)),IF(DV$1=INDEX('Valo FX'!$R:$R,MATCH($A20,'Valo FX'!$A:$A,0)),INDEX(Base!$V:$V,MATCH($A20,Base!$A:$A,0)),0)))</f>
        <v>14.538449999999999</v>
      </c>
      <c r="DW20" s="21">
        <f>IF(DW$1&lt;INDEX('Valo FX'!$Q:$Q,MATCH($A20,'Valo FX'!$A:$A,0)),0,IF(DW$1&lt;INDEX('Valo FX'!$R:$R,MATCH($A20,'Valo FX'!$A:$A,0)),INDEX(Base!$U:$U,MATCH($A20,Base!$A:$A,0)),IF(DW$1=INDEX('Valo FX'!$R:$R,MATCH($A20,'Valo FX'!$A:$A,0)),INDEX(Base!$V:$V,MATCH($A20,Base!$A:$A,0)),0)))</f>
        <v>14.538449999999999</v>
      </c>
      <c r="DX20" s="21">
        <f>IF(DX$1&lt;INDEX('Valo FX'!$Q:$Q,MATCH($A20,'Valo FX'!$A:$A,0)),0,IF(DX$1&lt;INDEX('Valo FX'!$R:$R,MATCH($A20,'Valo FX'!$A:$A,0)),INDEX(Base!$U:$U,MATCH($A20,Base!$A:$A,0)),IF(DX$1=INDEX('Valo FX'!$R:$R,MATCH($A20,'Valo FX'!$A:$A,0)),INDEX(Base!$V:$V,MATCH($A20,Base!$A:$A,0)),0)))</f>
        <v>14.538449999999999</v>
      </c>
      <c r="DY20" s="21">
        <f>IF(DY$1&lt;INDEX('Valo FX'!$Q:$Q,MATCH($A20,'Valo FX'!$A:$A,0)),0,IF(DY$1&lt;INDEX('Valo FX'!$R:$R,MATCH($A20,'Valo FX'!$A:$A,0)),INDEX(Base!$U:$U,MATCH($A20,Base!$A:$A,0)),IF(DY$1=INDEX('Valo FX'!$R:$R,MATCH($A20,'Valo FX'!$A:$A,0)),INDEX(Base!$V:$V,MATCH($A20,Base!$A:$A,0)),0)))</f>
        <v>14.538449999999999</v>
      </c>
      <c r="DZ20" s="21">
        <f>IF(DZ$1&lt;INDEX('Valo FX'!$Q:$Q,MATCH($A20,'Valo FX'!$A:$A,0)),0,IF(DZ$1&lt;INDEX('Valo FX'!$R:$R,MATCH($A20,'Valo FX'!$A:$A,0)),INDEX(Base!$U:$U,MATCH($A20,Base!$A:$A,0)),IF(DZ$1=INDEX('Valo FX'!$R:$R,MATCH($A20,'Valo FX'!$A:$A,0)),INDEX(Base!$V:$V,MATCH($A20,Base!$A:$A,0)),0)))</f>
        <v>14.538449999999999</v>
      </c>
      <c r="EA20" s="21">
        <f>IF(EA$1&lt;INDEX('Valo FX'!$Q:$Q,MATCH($A20,'Valo FX'!$A:$A,0)),0,IF(EA$1&lt;INDEX('Valo FX'!$R:$R,MATCH($A20,'Valo FX'!$A:$A,0)),INDEX(Base!$U:$U,MATCH($A20,Base!$A:$A,0)),IF(EA$1=INDEX('Valo FX'!$R:$R,MATCH($A20,'Valo FX'!$A:$A,0)),INDEX(Base!$V:$V,MATCH($A20,Base!$A:$A,0)),0)))</f>
        <v>14.538449999999999</v>
      </c>
      <c r="EB20" s="21">
        <f>IF(EB$1&lt;INDEX('Valo FX'!$Q:$Q,MATCH($A20,'Valo FX'!$A:$A,0)),0,IF(EB$1&lt;INDEX('Valo FX'!$R:$R,MATCH($A20,'Valo FX'!$A:$A,0)),INDEX(Base!$U:$U,MATCH($A20,Base!$A:$A,0)),IF(EB$1=INDEX('Valo FX'!$R:$R,MATCH($A20,'Valo FX'!$A:$A,0)),INDEX(Base!$V:$V,MATCH($A20,Base!$A:$A,0)),0)))</f>
        <v>14.538449999999999</v>
      </c>
      <c r="EC20" s="21">
        <f>IF(EC$1&lt;INDEX('Valo FX'!$Q:$Q,MATCH($A20,'Valo FX'!$A:$A,0)),0,IF(EC$1&lt;INDEX('Valo FX'!$R:$R,MATCH($A20,'Valo FX'!$A:$A,0)),INDEX(Base!$U:$U,MATCH($A20,Base!$A:$A,0)),IF(EC$1=INDEX('Valo FX'!$R:$R,MATCH($A20,'Valo FX'!$A:$A,0)),INDEX(Base!$V:$V,MATCH($A20,Base!$A:$A,0)),0)))</f>
        <v>14.538449999999999</v>
      </c>
      <c r="ED20" s="21">
        <f>IF(ED$1&lt;INDEX('Valo FX'!$Q:$Q,MATCH($A20,'Valo FX'!$A:$A,0)),0,IF(ED$1&lt;INDEX('Valo FX'!$R:$R,MATCH($A20,'Valo FX'!$A:$A,0)),INDEX(Base!$U:$U,MATCH($A20,Base!$A:$A,0)),IF(ED$1=INDEX('Valo FX'!$R:$R,MATCH($A20,'Valo FX'!$A:$A,0)),INDEX(Base!$V:$V,MATCH($A20,Base!$A:$A,0)),0)))</f>
        <v>14.538449999999999</v>
      </c>
      <c r="EE20" s="21">
        <f>IF(EE$1&lt;INDEX('Valo FX'!$Q:$Q,MATCH($A20,'Valo FX'!$A:$A,0)),0,IF(EE$1&lt;INDEX('Valo FX'!$R:$R,MATCH($A20,'Valo FX'!$A:$A,0)),INDEX(Base!$U:$U,MATCH($A20,Base!$A:$A,0)),IF(EE$1=INDEX('Valo FX'!$R:$R,MATCH($A20,'Valo FX'!$A:$A,0)),INDEX(Base!$V:$V,MATCH($A20,Base!$A:$A,0)),0)))</f>
        <v>14.538449999999999</v>
      </c>
      <c r="EF20" s="21">
        <f>IF(EF$1&lt;INDEX('Valo FX'!$Q:$Q,MATCH($A20,'Valo FX'!$A:$A,0)),0,IF(EF$1&lt;INDEX('Valo FX'!$R:$R,MATCH($A20,'Valo FX'!$A:$A,0)),INDEX(Base!$U:$U,MATCH($A20,Base!$A:$A,0)),IF(EF$1=INDEX('Valo FX'!$R:$R,MATCH($A20,'Valo FX'!$A:$A,0)),INDEX(Base!$V:$V,MATCH($A20,Base!$A:$A,0)),0)))</f>
        <v>14.538449999999999</v>
      </c>
      <c r="EG20" s="21">
        <f>IF(EG$1&lt;INDEX('Valo FX'!$Q:$Q,MATCH($A20,'Valo FX'!$A:$A,0)),0,IF(EG$1&lt;INDEX('Valo FX'!$R:$R,MATCH($A20,'Valo FX'!$A:$A,0)),INDEX(Base!$U:$U,MATCH($A20,Base!$A:$A,0)),IF(EG$1=INDEX('Valo FX'!$R:$R,MATCH($A20,'Valo FX'!$A:$A,0)),INDEX(Base!$V:$V,MATCH($A20,Base!$A:$A,0)),0)))</f>
        <v>14.538449999999999</v>
      </c>
      <c r="EH20" s="21">
        <f>IF(EH$1&lt;INDEX('Valo FX'!$Q:$Q,MATCH($A20,'Valo FX'!$A:$A,0)),0,IF(EH$1&lt;INDEX('Valo FX'!$R:$R,MATCH($A20,'Valo FX'!$A:$A,0)),INDEX(Base!$U:$U,MATCH($A20,Base!$A:$A,0)),IF(EH$1=INDEX('Valo FX'!$R:$R,MATCH($A20,'Valo FX'!$A:$A,0)),INDEX(Base!$V:$V,MATCH($A20,Base!$A:$A,0)),0)))</f>
        <v>14.538449999999999</v>
      </c>
      <c r="EI20" s="21">
        <f>IF(EI$1&lt;INDEX('Valo FX'!$Q:$Q,MATCH($A20,'Valo FX'!$A:$A,0)),0,IF(EI$1&lt;INDEX('Valo FX'!$R:$R,MATCH($A20,'Valo FX'!$A:$A,0)),INDEX(Base!$U:$U,MATCH($A20,Base!$A:$A,0)),IF(EI$1=INDEX('Valo FX'!$R:$R,MATCH($A20,'Valo FX'!$A:$A,0)),INDEX(Base!$V:$V,MATCH($A20,Base!$A:$A,0)),0)))</f>
        <v>14.538449999999999</v>
      </c>
      <c r="EJ20" s="21">
        <f>IF(EJ$1&lt;INDEX('Valo FX'!$Q:$Q,MATCH($A20,'Valo FX'!$A:$A,0)),0,IF(EJ$1&lt;INDEX('Valo FX'!$R:$R,MATCH($A20,'Valo FX'!$A:$A,0)),INDEX(Base!$U:$U,MATCH($A20,Base!$A:$A,0)),IF(EJ$1=INDEX('Valo FX'!$R:$R,MATCH($A20,'Valo FX'!$A:$A,0)),INDEX(Base!$V:$V,MATCH($A20,Base!$A:$A,0)),0)))</f>
        <v>14.538449999999999</v>
      </c>
      <c r="EK20" s="21">
        <f>IF(EK$1&lt;INDEX('Valo FX'!$Q:$Q,MATCH($A20,'Valo FX'!$A:$A,0)),0,IF(EK$1&lt;INDEX('Valo FX'!$R:$R,MATCH($A20,'Valo FX'!$A:$A,0)),INDEX(Base!$U:$U,MATCH($A20,Base!$A:$A,0)),IF(EK$1=INDEX('Valo FX'!$R:$R,MATCH($A20,'Valo FX'!$A:$A,0)),INDEX(Base!$V:$V,MATCH($A20,Base!$A:$A,0)),0)))</f>
        <v>14.538449999999999</v>
      </c>
      <c r="EL20" s="21">
        <f>IF(EL$1&lt;INDEX('Valo FX'!$Q:$Q,MATCH($A20,'Valo FX'!$A:$A,0)),0,IF(EL$1&lt;INDEX('Valo FX'!$R:$R,MATCH($A20,'Valo FX'!$A:$A,0)),INDEX(Base!$U:$U,MATCH($A20,Base!$A:$A,0)),IF(EL$1=INDEX('Valo FX'!$R:$R,MATCH($A20,'Valo FX'!$A:$A,0)),INDEX(Base!$V:$V,MATCH($A20,Base!$A:$A,0)),0)))</f>
        <v>14.538449999999999</v>
      </c>
      <c r="EM20" s="21">
        <f>IF(EM$1&lt;INDEX('Valo FX'!$Q:$Q,MATCH($A20,'Valo FX'!$A:$A,0)),0,IF(EM$1&lt;INDEX('Valo FX'!$R:$R,MATCH($A20,'Valo FX'!$A:$A,0)),INDEX(Base!$U:$U,MATCH($A20,Base!$A:$A,0)),IF(EM$1=INDEX('Valo FX'!$R:$R,MATCH($A20,'Valo FX'!$A:$A,0)),INDEX(Base!$V:$V,MATCH($A20,Base!$A:$A,0)),0)))</f>
        <v>14.538449999999999</v>
      </c>
      <c r="EN20" s="21">
        <f>IF(EN$1&lt;INDEX('Valo FX'!$Q:$Q,MATCH($A20,'Valo FX'!$A:$A,0)),0,IF(EN$1&lt;INDEX('Valo FX'!$R:$R,MATCH($A20,'Valo FX'!$A:$A,0)),INDEX(Base!$U:$U,MATCH($A20,Base!$A:$A,0)),IF(EN$1=INDEX('Valo FX'!$R:$R,MATCH($A20,'Valo FX'!$A:$A,0)),INDEX(Base!$V:$V,MATCH($A20,Base!$A:$A,0)),0)))</f>
        <v>14.538449999999999</v>
      </c>
      <c r="EO20" s="21">
        <f>IF(EO$1&lt;INDEX('Valo FX'!$Q:$Q,MATCH($A20,'Valo FX'!$A:$A,0)),0,IF(EO$1&lt;INDEX('Valo FX'!$R:$R,MATCH($A20,'Valo FX'!$A:$A,0)),INDEX(Base!$U:$U,MATCH($A20,Base!$A:$A,0)),IF(EO$1=INDEX('Valo FX'!$R:$R,MATCH($A20,'Valo FX'!$A:$A,0)),INDEX(Base!$V:$V,MATCH($A20,Base!$A:$A,0)),0)))</f>
        <v>14.538449999999999</v>
      </c>
      <c r="EP20" s="21">
        <f>IF(EP$1&lt;INDEX('Valo FX'!$Q:$Q,MATCH($A20,'Valo FX'!$A:$A,0)),0,IF(EP$1&lt;INDEX('Valo FX'!$R:$R,MATCH($A20,'Valo FX'!$A:$A,0)),INDEX(Base!$U:$U,MATCH($A20,Base!$A:$A,0)),IF(EP$1=INDEX('Valo FX'!$R:$R,MATCH($A20,'Valo FX'!$A:$A,0)),INDEX(Base!$V:$V,MATCH($A20,Base!$A:$A,0)),0)))</f>
        <v>14.538449999999999</v>
      </c>
      <c r="EQ20" s="21">
        <f>IF(EQ$1&lt;INDEX('Valo FX'!$Q:$Q,MATCH($A20,'Valo FX'!$A:$A,0)),0,IF(EQ$1&lt;INDEX('Valo FX'!$R:$R,MATCH($A20,'Valo FX'!$A:$A,0)),INDEX(Base!$U:$U,MATCH($A20,Base!$A:$A,0)),IF(EQ$1=INDEX('Valo FX'!$R:$R,MATCH($A20,'Valo FX'!$A:$A,0)),INDEX(Base!$V:$V,MATCH($A20,Base!$A:$A,0)),0)))</f>
        <v>14.538449999999999</v>
      </c>
      <c r="ER20" s="21">
        <f>IF(ER$1&lt;INDEX('Valo FX'!$Q:$Q,MATCH($A20,'Valo FX'!$A:$A,0)),0,IF(ER$1&lt;INDEX('Valo FX'!$R:$R,MATCH($A20,'Valo FX'!$A:$A,0)),INDEX(Base!$U:$U,MATCH($A20,Base!$A:$A,0)),IF(ER$1=INDEX('Valo FX'!$R:$R,MATCH($A20,'Valo FX'!$A:$A,0)),INDEX(Base!$V:$V,MATCH($A20,Base!$A:$A,0)),0)))</f>
        <v>14.538449999999999</v>
      </c>
      <c r="ES20" s="21">
        <f>IF(ES$1&lt;INDEX('Valo FX'!$Q:$Q,MATCH($A20,'Valo FX'!$A:$A,0)),0,IF(ES$1&lt;INDEX('Valo FX'!$R:$R,MATCH($A20,'Valo FX'!$A:$A,0)),INDEX(Base!$U:$U,MATCH($A20,Base!$A:$A,0)),IF(ES$1=INDEX('Valo FX'!$R:$R,MATCH($A20,'Valo FX'!$A:$A,0)),INDEX(Base!$V:$V,MATCH($A20,Base!$A:$A,0)),0)))</f>
        <v>14.538449999999999</v>
      </c>
      <c r="ET20" s="21">
        <f>IF(ET$1&lt;INDEX('Valo FX'!$Q:$Q,MATCH($A20,'Valo FX'!$A:$A,0)),0,IF(ET$1&lt;INDEX('Valo FX'!$R:$R,MATCH($A20,'Valo FX'!$A:$A,0)),INDEX(Base!$U:$U,MATCH($A20,Base!$A:$A,0)),IF(ET$1=INDEX('Valo FX'!$R:$R,MATCH($A20,'Valo FX'!$A:$A,0)),INDEX(Base!$V:$V,MATCH($A20,Base!$A:$A,0)),0)))</f>
        <v>14.538449999999999</v>
      </c>
      <c r="EU20" s="21">
        <f>IF(EU$1&lt;INDEX('Valo FX'!$Q:$Q,MATCH($A20,'Valo FX'!$A:$A,0)),0,IF(EU$1&lt;INDEX('Valo FX'!$R:$R,MATCH($A20,'Valo FX'!$A:$A,0)),INDEX(Base!$U:$U,MATCH($A20,Base!$A:$A,0)),IF(EU$1=INDEX('Valo FX'!$R:$R,MATCH($A20,'Valo FX'!$A:$A,0)),INDEX(Base!$V:$V,MATCH($A20,Base!$A:$A,0)),0)))</f>
        <v>14.538449999999999</v>
      </c>
      <c r="EV20" s="21">
        <f>IF(EV$1&lt;INDEX('Valo FX'!$Q:$Q,MATCH($A20,'Valo FX'!$A:$A,0)),0,IF(EV$1&lt;INDEX('Valo FX'!$R:$R,MATCH($A20,'Valo FX'!$A:$A,0)),INDEX(Base!$U:$U,MATCH($A20,Base!$A:$A,0)),IF(EV$1=INDEX('Valo FX'!$R:$R,MATCH($A20,'Valo FX'!$A:$A,0)),INDEX(Base!$V:$V,MATCH($A20,Base!$A:$A,0)),0)))</f>
        <v>14.538449999999999</v>
      </c>
      <c r="EW20" s="21">
        <f>IF(EW$1&lt;INDEX('Valo FX'!$Q:$Q,MATCH($A20,'Valo FX'!$A:$A,0)),0,IF(EW$1&lt;INDEX('Valo FX'!$R:$R,MATCH($A20,'Valo FX'!$A:$A,0)),INDEX(Base!$U:$U,MATCH($A20,Base!$A:$A,0)),IF(EW$1=INDEX('Valo FX'!$R:$R,MATCH($A20,'Valo FX'!$A:$A,0)),INDEX(Base!$V:$V,MATCH($A20,Base!$A:$A,0)),0)))</f>
        <v>14.538449999999999</v>
      </c>
      <c r="EX20" s="21">
        <f>IF(EX$1&lt;INDEX('Valo FX'!$Q:$Q,MATCH($A20,'Valo FX'!$A:$A,0)),0,IF(EX$1&lt;INDEX('Valo FX'!$R:$R,MATCH($A20,'Valo FX'!$A:$A,0)),INDEX(Base!$U:$U,MATCH($A20,Base!$A:$A,0)),IF(EX$1=INDEX('Valo FX'!$R:$R,MATCH($A20,'Valo FX'!$A:$A,0)),INDEX(Base!$V:$V,MATCH($A20,Base!$A:$A,0)),0)))</f>
        <v>14.538449999999999</v>
      </c>
      <c r="EY20" s="21">
        <f>IF(EY$1&lt;INDEX('Valo FX'!$Q:$Q,MATCH($A20,'Valo FX'!$A:$A,0)),0,IF(EY$1&lt;INDEX('Valo FX'!$R:$R,MATCH($A20,'Valo FX'!$A:$A,0)),INDEX(Base!$U:$U,MATCH($A20,Base!$A:$A,0)),IF(EY$1=INDEX('Valo FX'!$R:$R,MATCH($A20,'Valo FX'!$A:$A,0)),INDEX(Base!$V:$V,MATCH($A20,Base!$A:$A,0)),0)))</f>
        <v>14.538449999999999</v>
      </c>
      <c r="EZ20" s="21">
        <f>IF(EZ$1&lt;INDEX('Valo FX'!$Q:$Q,MATCH($A20,'Valo FX'!$A:$A,0)),0,IF(EZ$1&lt;INDEX('Valo FX'!$R:$R,MATCH($A20,'Valo FX'!$A:$A,0)),INDEX(Base!$U:$U,MATCH($A20,Base!$A:$A,0)),IF(EZ$1=INDEX('Valo FX'!$R:$R,MATCH($A20,'Valo FX'!$A:$A,0)),INDEX(Base!$V:$V,MATCH($A20,Base!$A:$A,0)),0)))</f>
        <v>14.538449999999999</v>
      </c>
      <c r="FA20" s="21">
        <f>IF(FA$1&lt;INDEX('Valo FX'!$Q:$Q,MATCH($A20,'Valo FX'!$A:$A,0)),0,IF(FA$1&lt;INDEX('Valo FX'!$R:$R,MATCH($A20,'Valo FX'!$A:$A,0)),INDEX(Base!$U:$U,MATCH($A20,Base!$A:$A,0)),IF(FA$1=INDEX('Valo FX'!$R:$R,MATCH($A20,'Valo FX'!$A:$A,0)),INDEX(Base!$V:$V,MATCH($A20,Base!$A:$A,0)),0)))</f>
        <v>14.538449999999999</v>
      </c>
      <c r="FB20" s="21">
        <f>IF(FB$1&lt;INDEX('Valo FX'!$Q:$Q,MATCH($A20,'Valo FX'!$A:$A,0)),0,IF(FB$1&lt;INDEX('Valo FX'!$R:$R,MATCH($A20,'Valo FX'!$A:$A,0)),INDEX(Base!$U:$U,MATCH($A20,Base!$A:$A,0)),IF(FB$1=INDEX('Valo FX'!$R:$R,MATCH($A20,'Valo FX'!$A:$A,0)),INDEX(Base!$V:$V,MATCH($A20,Base!$A:$A,0)),0)))</f>
        <v>14.538449999999999</v>
      </c>
      <c r="FC20" s="21">
        <f>IF(FC$1&lt;INDEX('Valo FX'!$Q:$Q,MATCH($A20,'Valo FX'!$A:$A,0)),0,IF(FC$1&lt;INDEX('Valo FX'!$R:$R,MATCH($A20,'Valo FX'!$A:$A,0)),INDEX(Base!$U:$U,MATCH($A20,Base!$A:$A,0)),IF(FC$1=INDEX('Valo FX'!$R:$R,MATCH($A20,'Valo FX'!$A:$A,0)),INDEX(Base!$V:$V,MATCH($A20,Base!$A:$A,0)),0)))</f>
        <v>14.538449999999999</v>
      </c>
      <c r="FD20" s="21">
        <f>IF(FD$1&lt;INDEX('Valo FX'!$Q:$Q,MATCH($A20,'Valo FX'!$A:$A,0)),0,IF(FD$1&lt;INDEX('Valo FX'!$R:$R,MATCH($A20,'Valo FX'!$A:$A,0)),INDEX(Base!$U:$U,MATCH($A20,Base!$A:$A,0)),IF(FD$1=INDEX('Valo FX'!$R:$R,MATCH($A20,'Valo FX'!$A:$A,0)),INDEX(Base!$V:$V,MATCH($A20,Base!$A:$A,0)),0)))</f>
        <v>14.538449999999999</v>
      </c>
      <c r="FE20" s="21">
        <f>IF(FE$1&lt;INDEX('Valo FX'!$Q:$Q,MATCH($A20,'Valo FX'!$A:$A,0)),0,IF(FE$1&lt;INDEX('Valo FX'!$R:$R,MATCH($A20,'Valo FX'!$A:$A,0)),INDEX(Base!$U:$U,MATCH($A20,Base!$A:$A,0)),IF(FE$1=INDEX('Valo FX'!$R:$R,MATCH($A20,'Valo FX'!$A:$A,0)),INDEX(Base!$V:$V,MATCH($A20,Base!$A:$A,0)),0)))</f>
        <v>14.538449999999999</v>
      </c>
      <c r="FF20" s="21">
        <f>IF(FF$1&lt;INDEX('Valo FX'!$Q:$Q,MATCH($A20,'Valo FX'!$A:$A,0)),0,IF(FF$1&lt;INDEX('Valo FX'!$R:$R,MATCH($A20,'Valo FX'!$A:$A,0)),INDEX(Base!$U:$U,MATCH($A20,Base!$A:$A,0)),IF(FF$1=INDEX('Valo FX'!$R:$R,MATCH($A20,'Valo FX'!$A:$A,0)),INDEX(Base!$V:$V,MATCH($A20,Base!$A:$A,0)),0)))</f>
        <v>14.538449999999999</v>
      </c>
      <c r="FG20" s="21">
        <f>IF(FG$1&lt;INDEX('Valo FX'!$Q:$Q,MATCH($A20,'Valo FX'!$A:$A,0)),0,IF(FG$1&lt;INDEX('Valo FX'!$R:$R,MATCH($A20,'Valo FX'!$A:$A,0)),INDEX(Base!$U:$U,MATCH($A20,Base!$A:$A,0)),IF(FG$1=INDEX('Valo FX'!$R:$R,MATCH($A20,'Valo FX'!$A:$A,0)),INDEX(Base!$V:$V,MATCH($A20,Base!$A:$A,0)),0)))</f>
        <v>14.538449999999999</v>
      </c>
      <c r="FH20" s="21">
        <f>IF(FH$1&lt;INDEX('Valo FX'!$Q:$Q,MATCH($A20,'Valo FX'!$A:$A,0)),0,IF(FH$1&lt;INDEX('Valo FX'!$R:$R,MATCH($A20,'Valo FX'!$A:$A,0)),INDEX(Base!$U:$U,MATCH($A20,Base!$A:$A,0)),IF(FH$1=INDEX('Valo FX'!$R:$R,MATCH($A20,'Valo FX'!$A:$A,0)),INDEX(Base!$V:$V,MATCH($A20,Base!$A:$A,0)),0)))</f>
        <v>14.538449999999999</v>
      </c>
      <c r="FI20" s="21">
        <f>IF(FI$1&lt;INDEX('Valo FX'!$Q:$Q,MATCH($A20,'Valo FX'!$A:$A,0)),0,IF(FI$1&lt;INDEX('Valo FX'!$R:$R,MATCH($A20,'Valo FX'!$A:$A,0)),INDEX(Base!$U:$U,MATCH($A20,Base!$A:$A,0)),IF(FI$1=INDEX('Valo FX'!$R:$R,MATCH($A20,'Valo FX'!$A:$A,0)),INDEX(Base!$V:$V,MATCH($A20,Base!$A:$A,0)),0)))</f>
        <v>14.538449999999999</v>
      </c>
      <c r="FJ20" s="21">
        <f>IF(FJ$1&lt;INDEX('Valo FX'!$Q:$Q,MATCH($A20,'Valo FX'!$A:$A,0)),0,IF(FJ$1&lt;INDEX('Valo FX'!$R:$R,MATCH($A20,'Valo FX'!$A:$A,0)),INDEX(Base!$U:$U,MATCH($A20,Base!$A:$A,0)),IF(FJ$1=INDEX('Valo FX'!$R:$R,MATCH($A20,'Valo FX'!$A:$A,0)),INDEX(Base!$V:$V,MATCH($A20,Base!$A:$A,0)),0)))</f>
        <v>14.538449999999999</v>
      </c>
      <c r="FK20" s="21">
        <f>IF(FK$1&lt;INDEX('Valo FX'!$Q:$Q,MATCH($A20,'Valo FX'!$A:$A,0)),0,IF(FK$1&lt;INDEX('Valo FX'!$R:$R,MATCH($A20,'Valo FX'!$A:$A,0)),INDEX(Base!$U:$U,MATCH($A20,Base!$A:$A,0)),IF(FK$1=INDEX('Valo FX'!$R:$R,MATCH($A20,'Valo FX'!$A:$A,0)),INDEX(Base!$V:$V,MATCH($A20,Base!$A:$A,0)),0)))</f>
        <v>14.538449999999999</v>
      </c>
      <c r="FL20" s="21">
        <f>IF(FL$1&lt;INDEX('Valo FX'!$Q:$Q,MATCH($A20,'Valo FX'!$A:$A,0)),0,IF(FL$1&lt;INDEX('Valo FX'!$R:$R,MATCH($A20,'Valo FX'!$A:$A,0)),INDEX(Base!$U:$U,MATCH($A20,Base!$A:$A,0)),IF(FL$1=INDEX('Valo FX'!$R:$R,MATCH($A20,'Valo FX'!$A:$A,0)),INDEX(Base!$V:$V,MATCH($A20,Base!$A:$A,0)),0)))</f>
        <v>14.538449999999999</v>
      </c>
      <c r="FM20" s="21">
        <f>IF(FM$1&lt;INDEX('Valo FX'!$Q:$Q,MATCH($A20,'Valo FX'!$A:$A,0)),0,IF(FM$1&lt;INDEX('Valo FX'!$R:$R,MATCH($A20,'Valo FX'!$A:$A,0)),INDEX(Base!$U:$U,MATCH($A20,Base!$A:$A,0)),IF(FM$1=INDEX('Valo FX'!$R:$R,MATCH($A20,'Valo FX'!$A:$A,0)),INDEX(Base!$V:$V,MATCH($A20,Base!$A:$A,0)),0)))</f>
        <v>14.538449999999999</v>
      </c>
      <c r="FN20" s="21">
        <f>IF(FN$1&lt;INDEX('Valo FX'!$Q:$Q,MATCH($A20,'Valo FX'!$A:$A,0)),0,IF(FN$1&lt;INDEX('Valo FX'!$R:$R,MATCH($A20,'Valo FX'!$A:$A,0)),INDEX(Base!$U:$U,MATCH($A20,Base!$A:$A,0)),IF(FN$1=INDEX('Valo FX'!$R:$R,MATCH($A20,'Valo FX'!$A:$A,0)),INDEX(Base!$V:$V,MATCH($A20,Base!$A:$A,0)),0)))</f>
        <v>14.538449999999999</v>
      </c>
      <c r="FO20" s="21">
        <f>IF(FO$1&lt;INDEX('Valo FX'!$Q:$Q,MATCH($A20,'Valo FX'!$A:$A,0)),0,IF(FO$1&lt;INDEX('Valo FX'!$R:$R,MATCH($A20,'Valo FX'!$A:$A,0)),INDEX(Base!$U:$U,MATCH($A20,Base!$A:$A,0)),IF(FO$1=INDEX('Valo FX'!$R:$R,MATCH($A20,'Valo FX'!$A:$A,0)),INDEX(Base!$V:$V,MATCH($A20,Base!$A:$A,0)),0)))</f>
        <v>14.538449999999999</v>
      </c>
      <c r="FP20" s="21">
        <f>IF(FP$1&lt;INDEX('Valo FX'!$Q:$Q,MATCH($A20,'Valo FX'!$A:$A,0)),0,IF(FP$1&lt;INDEX('Valo FX'!$R:$R,MATCH($A20,'Valo FX'!$A:$A,0)),INDEX(Base!$U:$U,MATCH($A20,Base!$A:$A,0)),IF(FP$1=INDEX('Valo FX'!$R:$R,MATCH($A20,'Valo FX'!$A:$A,0)),INDEX(Base!$V:$V,MATCH($A20,Base!$A:$A,0)),0)))</f>
        <v>14.538449999999999</v>
      </c>
      <c r="FQ20" s="21">
        <f>IF(FQ$1&lt;INDEX('Valo FX'!$Q:$Q,MATCH($A20,'Valo FX'!$A:$A,0)),0,IF(FQ$1&lt;INDEX('Valo FX'!$R:$R,MATCH($A20,'Valo FX'!$A:$A,0)),INDEX(Base!$U:$U,MATCH($A20,Base!$A:$A,0)),IF(FQ$1=INDEX('Valo FX'!$R:$R,MATCH($A20,'Valo FX'!$A:$A,0)),INDEX(Base!$V:$V,MATCH($A20,Base!$A:$A,0)),0)))</f>
        <v>14.538449999999999</v>
      </c>
      <c r="FR20" s="21">
        <f>IF(FR$1&lt;INDEX('Valo FX'!$Q:$Q,MATCH($A20,'Valo FX'!$A:$A,0)),0,IF(FR$1&lt;INDEX('Valo FX'!$R:$R,MATCH($A20,'Valo FX'!$A:$A,0)),INDEX(Base!$U:$U,MATCH($A20,Base!$A:$A,0)),IF(FR$1=INDEX('Valo FX'!$R:$R,MATCH($A20,'Valo FX'!$A:$A,0)),INDEX(Base!$V:$V,MATCH($A20,Base!$A:$A,0)),0)))</f>
        <v>14.538449999999999</v>
      </c>
      <c r="FS20" s="21">
        <f>IF(FS$1&lt;INDEX('Valo FX'!$Q:$Q,MATCH($A20,'Valo FX'!$A:$A,0)),0,IF(FS$1&lt;INDEX('Valo FX'!$R:$R,MATCH($A20,'Valo FX'!$A:$A,0)),INDEX(Base!$U:$U,MATCH($A20,Base!$A:$A,0)),IF(FS$1=INDEX('Valo FX'!$R:$R,MATCH($A20,'Valo FX'!$A:$A,0)),INDEX(Base!$V:$V,MATCH($A20,Base!$A:$A,0)),0)))</f>
        <v>14.538449999999999</v>
      </c>
      <c r="FT20" s="21">
        <f>IF(FT$1&lt;INDEX('Valo FX'!$Q:$Q,MATCH($A20,'Valo FX'!$A:$A,0)),0,IF(FT$1&lt;INDEX('Valo FX'!$R:$R,MATCH($A20,'Valo FX'!$A:$A,0)),INDEX(Base!$U:$U,MATCH($A20,Base!$A:$A,0)),IF(FT$1=INDEX('Valo FX'!$R:$R,MATCH($A20,'Valo FX'!$A:$A,0)),INDEX(Base!$V:$V,MATCH($A20,Base!$A:$A,0)),0)))</f>
        <v>14.538449999999999</v>
      </c>
      <c r="FU20" s="21">
        <f>IF(FU$1&lt;INDEX('Valo FX'!$Q:$Q,MATCH($A20,'Valo FX'!$A:$A,0)),0,IF(FU$1&lt;INDEX('Valo FX'!$R:$R,MATCH($A20,'Valo FX'!$A:$A,0)),INDEX(Base!$U:$U,MATCH($A20,Base!$A:$A,0)),IF(FU$1=INDEX('Valo FX'!$R:$R,MATCH($A20,'Valo FX'!$A:$A,0)),INDEX(Base!$V:$V,MATCH($A20,Base!$A:$A,0)),0)))</f>
        <v>14.538449999999999</v>
      </c>
      <c r="FV20" s="21">
        <f>IF(FV$1&lt;INDEX('Valo FX'!$Q:$Q,MATCH($A20,'Valo FX'!$A:$A,0)),0,IF(FV$1&lt;INDEX('Valo FX'!$R:$R,MATCH($A20,'Valo FX'!$A:$A,0)),INDEX(Base!$U:$U,MATCH($A20,Base!$A:$A,0)),IF(FV$1=INDEX('Valo FX'!$R:$R,MATCH($A20,'Valo FX'!$A:$A,0)),INDEX(Base!$V:$V,MATCH($A20,Base!$A:$A,0)),0)))</f>
        <v>14.538449999999999</v>
      </c>
      <c r="FW20" s="21">
        <f>IF(FW$1&lt;INDEX('Valo FX'!$Q:$Q,MATCH($A20,'Valo FX'!$A:$A,0)),0,IF(FW$1&lt;INDEX('Valo FX'!$R:$R,MATCH($A20,'Valo FX'!$A:$A,0)),INDEX(Base!$U:$U,MATCH($A20,Base!$A:$A,0)),IF(FW$1=INDEX('Valo FX'!$R:$R,MATCH($A20,'Valo FX'!$A:$A,0)),INDEX(Base!$V:$V,MATCH($A20,Base!$A:$A,0)),0)))</f>
        <v>14.538449999999999</v>
      </c>
      <c r="FX20" s="21">
        <f>IF(FX$1&lt;INDEX('Valo FX'!$Q:$Q,MATCH($A20,'Valo FX'!$A:$A,0)),0,IF(FX$1&lt;INDEX('Valo FX'!$R:$R,MATCH($A20,'Valo FX'!$A:$A,0)),INDEX(Base!$U:$U,MATCH($A20,Base!$A:$A,0)),IF(FX$1=INDEX('Valo FX'!$R:$R,MATCH($A20,'Valo FX'!$A:$A,0)),INDEX(Base!$V:$V,MATCH($A20,Base!$A:$A,0)),0)))</f>
        <v>14.538449999999999</v>
      </c>
      <c r="FY20" s="21">
        <f>IF(FY$1&lt;INDEX('Valo FX'!$Q:$Q,MATCH($A20,'Valo FX'!$A:$A,0)),0,IF(FY$1&lt;INDEX('Valo FX'!$R:$R,MATCH($A20,'Valo FX'!$A:$A,0)),INDEX(Base!$U:$U,MATCH($A20,Base!$A:$A,0)),IF(FY$1=INDEX('Valo FX'!$R:$R,MATCH($A20,'Valo FX'!$A:$A,0)),INDEX(Base!$V:$V,MATCH($A20,Base!$A:$A,0)),0)))</f>
        <v>14.538449999999999</v>
      </c>
      <c r="FZ20" s="21">
        <f>IF(FZ$1&lt;INDEX('Valo FX'!$Q:$Q,MATCH($A20,'Valo FX'!$A:$A,0)),0,IF(FZ$1&lt;INDEX('Valo FX'!$R:$R,MATCH($A20,'Valo FX'!$A:$A,0)),INDEX(Base!$U:$U,MATCH($A20,Base!$A:$A,0)),IF(FZ$1=INDEX('Valo FX'!$R:$R,MATCH($A20,'Valo FX'!$A:$A,0)),INDEX(Base!$V:$V,MATCH($A20,Base!$A:$A,0)),0)))</f>
        <v>14.538449999999999</v>
      </c>
      <c r="GA20" s="21">
        <f>IF(GA$1&lt;INDEX('Valo FX'!$Q:$Q,MATCH($A20,'Valo FX'!$A:$A,0)),0,IF(GA$1&lt;INDEX('Valo FX'!$R:$R,MATCH($A20,'Valo FX'!$A:$A,0)),INDEX(Base!$U:$U,MATCH($A20,Base!$A:$A,0)),IF(GA$1=INDEX('Valo FX'!$R:$R,MATCH($A20,'Valo FX'!$A:$A,0)),INDEX(Base!$V:$V,MATCH($A20,Base!$A:$A,0)),0)))</f>
        <v>14.538449999999999</v>
      </c>
      <c r="GB20" s="21">
        <f>IF(GB$1&lt;INDEX('Valo FX'!$Q:$Q,MATCH($A20,'Valo FX'!$A:$A,0)),0,IF(GB$1&lt;INDEX('Valo FX'!$R:$R,MATCH($A20,'Valo FX'!$A:$A,0)),INDEX(Base!$U:$U,MATCH($A20,Base!$A:$A,0)),IF(GB$1=INDEX('Valo FX'!$R:$R,MATCH($A20,'Valo FX'!$A:$A,0)),INDEX(Base!$V:$V,MATCH($A20,Base!$A:$A,0)),0)))</f>
        <v>14.538449999999999</v>
      </c>
      <c r="GC20" s="21">
        <f>IF(GC$1&lt;INDEX('Valo FX'!$Q:$Q,MATCH($A20,'Valo FX'!$A:$A,0)),0,IF(GC$1&lt;INDEX('Valo FX'!$R:$R,MATCH($A20,'Valo FX'!$A:$A,0)),INDEX(Base!$U:$U,MATCH($A20,Base!$A:$A,0)),IF(GC$1=INDEX('Valo FX'!$R:$R,MATCH($A20,'Valo FX'!$A:$A,0)),INDEX(Base!$V:$V,MATCH($A20,Base!$A:$A,0)),0)))</f>
        <v>14.538449999999999</v>
      </c>
      <c r="GD20" s="21">
        <f>IF(GD$1&lt;INDEX('Valo FX'!$Q:$Q,MATCH($A20,'Valo FX'!$A:$A,0)),0,IF(GD$1&lt;INDEX('Valo FX'!$R:$R,MATCH($A20,'Valo FX'!$A:$A,0)),INDEX(Base!$U:$U,MATCH($A20,Base!$A:$A,0)),IF(GD$1=INDEX('Valo FX'!$R:$R,MATCH($A20,'Valo FX'!$A:$A,0)),INDEX(Base!$V:$V,MATCH($A20,Base!$A:$A,0)),0)))</f>
        <v>14.538449999999999</v>
      </c>
      <c r="GE20" s="21">
        <f>IF(GE$1&lt;INDEX('Valo FX'!$Q:$Q,MATCH($A20,'Valo FX'!$A:$A,0)),0,IF(GE$1&lt;INDEX('Valo FX'!$R:$R,MATCH($A20,'Valo FX'!$A:$A,0)),INDEX(Base!$U:$U,MATCH($A20,Base!$A:$A,0)),IF(GE$1=INDEX('Valo FX'!$R:$R,MATCH($A20,'Valo FX'!$A:$A,0)),INDEX(Base!$V:$V,MATCH($A20,Base!$A:$A,0)),0)))</f>
        <v>14.538449999999999</v>
      </c>
      <c r="GF20" s="21">
        <f>IF(GF$1&lt;INDEX('Valo FX'!$Q:$Q,MATCH($A20,'Valo FX'!$A:$A,0)),0,IF(GF$1&lt;INDEX('Valo FX'!$R:$R,MATCH($A20,'Valo FX'!$A:$A,0)),INDEX(Base!$U:$U,MATCH($A20,Base!$A:$A,0)),IF(GF$1=INDEX('Valo FX'!$R:$R,MATCH($A20,'Valo FX'!$A:$A,0)),INDEX(Base!$V:$V,MATCH($A20,Base!$A:$A,0)),0)))</f>
        <v>14.538449999999999</v>
      </c>
      <c r="GG20" s="21">
        <f>IF(GG$1&lt;INDEX('Valo FX'!$Q:$Q,MATCH($A20,'Valo FX'!$A:$A,0)),0,IF(GG$1&lt;INDEX('Valo FX'!$R:$R,MATCH($A20,'Valo FX'!$A:$A,0)),INDEX(Base!$U:$U,MATCH($A20,Base!$A:$A,0)),IF(GG$1=INDEX('Valo FX'!$R:$R,MATCH($A20,'Valo FX'!$A:$A,0)),INDEX(Base!$V:$V,MATCH($A20,Base!$A:$A,0)),0)))</f>
        <v>14.538449999999999</v>
      </c>
      <c r="GH20" s="21">
        <f>IF(GH$1&lt;INDEX('Valo FX'!$Q:$Q,MATCH($A20,'Valo FX'!$A:$A,0)),0,IF(GH$1&lt;INDEX('Valo FX'!$R:$R,MATCH($A20,'Valo FX'!$A:$A,0)),INDEX(Base!$U:$U,MATCH($A20,Base!$A:$A,0)),IF(GH$1=INDEX('Valo FX'!$R:$R,MATCH($A20,'Valo FX'!$A:$A,0)),INDEX(Base!$V:$V,MATCH($A20,Base!$A:$A,0)),0)))</f>
        <v>14.538449999999999</v>
      </c>
      <c r="GI20" s="21">
        <f>IF(GI$1&lt;INDEX('Valo FX'!$Q:$Q,MATCH($A20,'Valo FX'!$A:$A,0)),0,IF(GI$1&lt;INDEX('Valo FX'!$R:$R,MATCH($A20,'Valo FX'!$A:$A,0)),INDEX(Base!$U:$U,MATCH($A20,Base!$A:$A,0)),IF(GI$1=INDEX('Valo FX'!$R:$R,MATCH($A20,'Valo FX'!$A:$A,0)),INDEX(Base!$V:$V,MATCH($A20,Base!$A:$A,0)),0)))</f>
        <v>14.538449999999999</v>
      </c>
      <c r="GJ20" s="21">
        <f>IF(GJ$1&lt;INDEX('Valo FX'!$Q:$Q,MATCH($A20,'Valo FX'!$A:$A,0)),0,IF(GJ$1&lt;INDEX('Valo FX'!$R:$R,MATCH($A20,'Valo FX'!$A:$A,0)),INDEX(Base!$U:$U,MATCH($A20,Base!$A:$A,0)),IF(GJ$1=INDEX('Valo FX'!$R:$R,MATCH($A20,'Valo FX'!$A:$A,0)),INDEX(Base!$V:$V,MATCH($A20,Base!$A:$A,0)),0)))</f>
        <v>14.538449999999999</v>
      </c>
      <c r="GK20" s="21">
        <f>IF(GK$1&lt;INDEX('Valo FX'!$Q:$Q,MATCH($A20,'Valo FX'!$A:$A,0)),0,IF(GK$1&lt;INDEX('Valo FX'!$R:$R,MATCH($A20,'Valo FX'!$A:$A,0)),INDEX(Base!$U:$U,MATCH($A20,Base!$A:$A,0)),IF(GK$1=INDEX('Valo FX'!$R:$R,MATCH($A20,'Valo FX'!$A:$A,0)),INDEX(Base!$V:$V,MATCH($A20,Base!$A:$A,0)),0)))</f>
        <v>14.538449999999999</v>
      </c>
      <c r="GL20" s="21">
        <f>IF(GL$1&lt;INDEX('Valo FX'!$Q:$Q,MATCH($A20,'Valo FX'!$A:$A,0)),0,IF(GL$1&lt;INDEX('Valo FX'!$R:$R,MATCH($A20,'Valo FX'!$A:$A,0)),INDEX(Base!$U:$U,MATCH($A20,Base!$A:$A,0)),IF(GL$1=INDEX('Valo FX'!$R:$R,MATCH($A20,'Valo FX'!$A:$A,0)),INDEX(Base!$V:$V,MATCH($A20,Base!$A:$A,0)),0)))</f>
        <v>14.538449999999999</v>
      </c>
      <c r="GM20" s="21">
        <f>IF(GM$1&lt;INDEX('Valo FX'!$Q:$Q,MATCH($A20,'Valo FX'!$A:$A,0)),0,IF(GM$1&lt;INDEX('Valo FX'!$R:$R,MATCH($A20,'Valo FX'!$A:$A,0)),INDEX(Base!$U:$U,MATCH($A20,Base!$A:$A,0)),IF(GM$1=INDEX('Valo FX'!$R:$R,MATCH($A20,'Valo FX'!$A:$A,0)),INDEX(Base!$V:$V,MATCH($A20,Base!$A:$A,0)),0)))</f>
        <v>14.31597</v>
      </c>
      <c r="GN20" s="21">
        <f>IF(GN$1&lt;INDEX('Valo FX'!$Q:$Q,MATCH($A20,'Valo FX'!$A:$A,0)),0,IF(GN$1&lt;INDEX('Valo FX'!$R:$R,MATCH($A20,'Valo FX'!$A:$A,0)),INDEX(Base!$U:$U,MATCH($A20,Base!$A:$A,0)),IF(GN$1=INDEX('Valo FX'!$R:$R,MATCH($A20,'Valo FX'!$A:$A,0)),INDEX(Base!$V:$V,MATCH($A20,Base!$A:$A,0)),0)))</f>
        <v>0</v>
      </c>
      <c r="GO20" s="21">
        <f>IF(GO$1&lt;INDEX('Valo FX'!$Q:$Q,MATCH($A20,'Valo FX'!$A:$A,0)),0,IF(GO$1&lt;INDEX('Valo FX'!$R:$R,MATCH($A20,'Valo FX'!$A:$A,0)),INDEX(Base!$U:$U,MATCH($A20,Base!$A:$A,0)),IF(GO$1=INDEX('Valo FX'!$R:$R,MATCH($A20,'Valo FX'!$A:$A,0)),INDEX(Base!$V:$V,MATCH($A20,Base!$A:$A,0)),0)))</f>
        <v>0</v>
      </c>
      <c r="GP20" s="21">
        <f>IF(GP$1&lt;INDEX('Valo FX'!$Q:$Q,MATCH($A20,'Valo FX'!$A:$A,0)),0,IF(GP$1&lt;INDEX('Valo FX'!$R:$R,MATCH($A20,'Valo FX'!$A:$A,0)),INDEX(Base!$U:$U,MATCH($A20,Base!$A:$A,0)),IF(GP$1=INDEX('Valo FX'!$R:$R,MATCH($A20,'Valo FX'!$A:$A,0)),INDEX(Base!$V:$V,MATCH($A20,Base!$A:$A,0)),0)))</f>
        <v>0</v>
      </c>
      <c r="GQ20" s="21">
        <f>IF(GQ$1&lt;INDEX('Valo FX'!$Q:$Q,MATCH($A20,'Valo FX'!$A:$A,0)),0,IF(GQ$1&lt;INDEX('Valo FX'!$R:$R,MATCH($A20,'Valo FX'!$A:$A,0)),INDEX(Base!$U:$U,MATCH($A20,Base!$A:$A,0)),IF(GQ$1=INDEX('Valo FX'!$R:$R,MATCH($A20,'Valo FX'!$A:$A,0)),INDEX(Base!$V:$V,MATCH($A20,Base!$A:$A,0)),0)))</f>
        <v>0</v>
      </c>
      <c r="GR20" s="21">
        <f>IF(GR$1&lt;INDEX('Valo FX'!$Q:$Q,MATCH($A20,'Valo FX'!$A:$A,0)),0,IF(GR$1&lt;INDEX('Valo FX'!$R:$R,MATCH($A20,'Valo FX'!$A:$A,0)),INDEX(Base!$U:$U,MATCH($A20,Base!$A:$A,0)),IF(GR$1=INDEX('Valo FX'!$R:$R,MATCH($A20,'Valo FX'!$A:$A,0)),INDEX(Base!$V:$V,MATCH($A20,Base!$A:$A,0)),0)))</f>
        <v>0</v>
      </c>
      <c r="GS20" s="21">
        <f>IF(GS$1&lt;INDEX('Valo FX'!$Q:$Q,MATCH($A20,'Valo FX'!$A:$A,0)),0,IF(GS$1&lt;INDEX('Valo FX'!$R:$R,MATCH($A20,'Valo FX'!$A:$A,0)),INDEX(Base!$U:$U,MATCH($A20,Base!$A:$A,0)),IF(GS$1=INDEX('Valo FX'!$R:$R,MATCH($A20,'Valo FX'!$A:$A,0)),INDEX(Base!$V:$V,MATCH($A20,Base!$A:$A,0)),0)))</f>
        <v>0</v>
      </c>
      <c r="GT20" s="21">
        <f>IF(GT$1&lt;INDEX('Valo FX'!$Q:$Q,MATCH($A20,'Valo FX'!$A:$A,0)),0,IF(GT$1&lt;INDEX('Valo FX'!$R:$R,MATCH($A20,'Valo FX'!$A:$A,0)),INDEX(Base!$U:$U,MATCH($A20,Base!$A:$A,0)),IF(GT$1=INDEX('Valo FX'!$R:$R,MATCH($A20,'Valo FX'!$A:$A,0)),INDEX(Base!$V:$V,MATCH($A20,Base!$A:$A,0)),0)))</f>
        <v>0</v>
      </c>
      <c r="GU20" s="21">
        <f>IF(GU$1&lt;INDEX('Valo FX'!$Q:$Q,MATCH($A20,'Valo FX'!$A:$A,0)),0,IF(GU$1&lt;INDEX('Valo FX'!$R:$R,MATCH($A20,'Valo FX'!$A:$A,0)),INDEX(Base!$U:$U,MATCH($A20,Base!$A:$A,0)),IF(GU$1=INDEX('Valo FX'!$R:$R,MATCH($A20,'Valo FX'!$A:$A,0)),INDEX(Base!$V:$V,MATCH($A20,Base!$A:$A,0)),0)))</f>
        <v>0</v>
      </c>
      <c r="GV20" s="21">
        <f>IF(GV$1&lt;INDEX('Valo FX'!$Q:$Q,MATCH($A20,'Valo FX'!$A:$A,0)),0,IF(GV$1&lt;INDEX('Valo FX'!$R:$R,MATCH($A20,'Valo FX'!$A:$A,0)),INDEX(Base!$U:$U,MATCH($A20,Base!$A:$A,0)),IF(GV$1=INDEX('Valo FX'!$R:$R,MATCH($A20,'Valo FX'!$A:$A,0)),INDEX(Base!$V:$V,MATCH($A20,Base!$A:$A,0)),0)))</f>
        <v>0</v>
      </c>
      <c r="GW20" s="21">
        <f>IF(GW$1&lt;INDEX('Valo FX'!$Q:$Q,MATCH($A20,'Valo FX'!$A:$A,0)),0,IF(GW$1&lt;INDEX('Valo FX'!$R:$R,MATCH($A20,'Valo FX'!$A:$A,0)),INDEX(Base!$U:$U,MATCH($A20,Base!$A:$A,0)),IF(GW$1=INDEX('Valo FX'!$R:$R,MATCH($A20,'Valo FX'!$A:$A,0)),INDEX(Base!$V:$V,MATCH($A20,Base!$A:$A,0)),0)))</f>
        <v>0</v>
      </c>
      <c r="GX20" s="21">
        <f>IF(GX$1&lt;INDEX('Valo FX'!$Q:$Q,MATCH($A20,'Valo FX'!$A:$A,0)),0,IF(GX$1&lt;INDEX('Valo FX'!$R:$R,MATCH($A20,'Valo FX'!$A:$A,0)),INDEX(Base!$U:$U,MATCH($A20,Base!$A:$A,0)),IF(GX$1=INDEX('Valo FX'!$R:$R,MATCH($A20,'Valo FX'!$A:$A,0)),INDEX(Base!$V:$V,MATCH($A20,Base!$A:$A,0)),0)))</f>
        <v>0</v>
      </c>
      <c r="GY20" s="21">
        <f>IF(GY$1&lt;INDEX('Valo FX'!$Q:$Q,MATCH($A20,'Valo FX'!$A:$A,0)),0,IF(GY$1&lt;INDEX('Valo FX'!$R:$R,MATCH($A20,'Valo FX'!$A:$A,0)),INDEX(Base!$U:$U,MATCH($A20,Base!$A:$A,0)),IF(GY$1=INDEX('Valo FX'!$R:$R,MATCH($A20,'Valo FX'!$A:$A,0)),INDEX(Base!$V:$V,MATCH($A20,Base!$A:$A,0)),0)))</f>
        <v>0</v>
      </c>
      <c r="GZ20" s="21">
        <f>IF(GZ$1&lt;INDEX('Valo FX'!$Q:$Q,MATCH($A20,'Valo FX'!$A:$A,0)),0,IF(GZ$1&lt;INDEX('Valo FX'!$R:$R,MATCH($A20,'Valo FX'!$A:$A,0)),INDEX(Base!$U:$U,MATCH($A20,Base!$A:$A,0)),IF(GZ$1=INDEX('Valo FX'!$R:$R,MATCH($A20,'Valo FX'!$A:$A,0)),INDEX(Base!$V:$V,MATCH($A20,Base!$A:$A,0)),0)))</f>
        <v>0</v>
      </c>
      <c r="HA20" s="21">
        <f>IF(HA$1&lt;INDEX('Valo FX'!$Q:$Q,MATCH($A20,'Valo FX'!$A:$A,0)),0,IF(HA$1&lt;INDEX('Valo FX'!$R:$R,MATCH($A20,'Valo FX'!$A:$A,0)),INDEX(Base!$U:$U,MATCH($A20,Base!$A:$A,0)),IF(HA$1=INDEX('Valo FX'!$R:$R,MATCH($A20,'Valo FX'!$A:$A,0)),INDEX(Base!$V:$V,MATCH($A20,Base!$A:$A,0)),0)))</f>
        <v>0</v>
      </c>
      <c r="HB20" s="21">
        <f>IF(HB$1&lt;INDEX('Valo FX'!$Q:$Q,MATCH($A20,'Valo FX'!$A:$A,0)),0,IF(HB$1&lt;INDEX('Valo FX'!$R:$R,MATCH($A20,'Valo FX'!$A:$A,0)),INDEX(Base!$U:$U,MATCH($A20,Base!$A:$A,0)),IF(HB$1=INDEX('Valo FX'!$R:$R,MATCH($A20,'Valo FX'!$A:$A,0)),INDEX(Base!$V:$V,MATCH($A20,Base!$A:$A,0)),0)))</f>
        <v>0</v>
      </c>
      <c r="HC20" s="21">
        <f>IF(HC$1&lt;INDEX('Valo FX'!$Q:$Q,MATCH($A20,'Valo FX'!$A:$A,0)),0,IF(HC$1&lt;INDEX('Valo FX'!$R:$R,MATCH($A20,'Valo FX'!$A:$A,0)),INDEX(Base!$U:$U,MATCH($A20,Base!$A:$A,0)),IF(HC$1=INDEX('Valo FX'!$R:$R,MATCH($A20,'Valo FX'!$A:$A,0)),INDEX(Base!$V:$V,MATCH($A20,Base!$A:$A,0)),0)))</f>
        <v>0</v>
      </c>
      <c r="HD20" s="21">
        <f>IF(HD$1&lt;INDEX('Valo FX'!$Q:$Q,MATCH($A20,'Valo FX'!$A:$A,0)),0,IF(HD$1&lt;INDEX('Valo FX'!$R:$R,MATCH($A20,'Valo FX'!$A:$A,0)),INDEX(Base!$U:$U,MATCH($A20,Base!$A:$A,0)),IF(HD$1=INDEX('Valo FX'!$R:$R,MATCH($A20,'Valo FX'!$A:$A,0)),INDEX(Base!$V:$V,MATCH($A20,Base!$A:$A,0)),0)))</f>
        <v>0</v>
      </c>
      <c r="HE20" s="21">
        <f>IF(HE$1&lt;INDEX('Valo FX'!$Q:$Q,MATCH($A20,'Valo FX'!$A:$A,0)),0,IF(HE$1&lt;INDEX('Valo FX'!$R:$R,MATCH($A20,'Valo FX'!$A:$A,0)),INDEX(Base!$U:$U,MATCH($A20,Base!$A:$A,0)),IF(HE$1=INDEX('Valo FX'!$R:$R,MATCH($A20,'Valo FX'!$A:$A,0)),INDEX(Base!$V:$V,MATCH($A20,Base!$A:$A,0)),0)))</f>
        <v>0</v>
      </c>
      <c r="HF20" s="21">
        <f>IF(HF$1&lt;INDEX('Valo FX'!$Q:$Q,MATCH($A20,'Valo FX'!$A:$A,0)),0,IF(HF$1&lt;INDEX('Valo FX'!$R:$R,MATCH($A20,'Valo FX'!$A:$A,0)),INDEX(Base!$U:$U,MATCH($A20,Base!$A:$A,0)),IF(HF$1=INDEX('Valo FX'!$R:$R,MATCH($A20,'Valo FX'!$A:$A,0)),INDEX(Base!$V:$V,MATCH($A20,Base!$A:$A,0)),0)))</f>
        <v>0</v>
      </c>
      <c r="HG20" s="21">
        <f>IF(HG$1&lt;INDEX('Valo FX'!$Q:$Q,MATCH($A20,'Valo FX'!$A:$A,0)),0,IF(HG$1&lt;INDEX('Valo FX'!$R:$R,MATCH($A20,'Valo FX'!$A:$A,0)),INDEX(Base!$U:$U,MATCH($A20,Base!$A:$A,0)),IF(HG$1=INDEX('Valo FX'!$R:$R,MATCH($A20,'Valo FX'!$A:$A,0)),INDEX(Base!$V:$V,MATCH($A20,Base!$A:$A,0)),0)))</f>
        <v>0</v>
      </c>
      <c r="HH20" s="21">
        <f>IF(HH$1&lt;INDEX('Valo FX'!$Q:$Q,MATCH($A20,'Valo FX'!$A:$A,0)),0,IF(HH$1&lt;INDEX('Valo FX'!$R:$R,MATCH($A20,'Valo FX'!$A:$A,0)),INDEX(Base!$U:$U,MATCH($A20,Base!$A:$A,0)),IF(HH$1=INDEX('Valo FX'!$R:$R,MATCH($A20,'Valo FX'!$A:$A,0)),INDEX(Base!$V:$V,MATCH($A20,Base!$A:$A,0)),0)))</f>
        <v>0</v>
      </c>
      <c r="HI20" s="21">
        <f>IF(HI$1&lt;INDEX('Valo FX'!$Q:$Q,MATCH($A20,'Valo FX'!$A:$A,0)),0,IF(HI$1&lt;INDEX('Valo FX'!$R:$R,MATCH($A20,'Valo FX'!$A:$A,0)),INDEX(Base!$U:$U,MATCH($A20,Base!$A:$A,0)),IF(HI$1=INDEX('Valo FX'!$R:$R,MATCH($A20,'Valo FX'!$A:$A,0)),INDEX(Base!$V:$V,MATCH($A20,Base!$A:$A,0)),0)))</f>
        <v>0</v>
      </c>
      <c r="HJ20" s="21">
        <f>IF(HJ$1&lt;INDEX('Valo FX'!$Q:$Q,MATCH($A20,'Valo FX'!$A:$A,0)),0,IF(HJ$1&lt;INDEX('Valo FX'!$R:$R,MATCH($A20,'Valo FX'!$A:$A,0)),INDEX(Base!$U:$U,MATCH($A20,Base!$A:$A,0)),IF(HJ$1=INDEX('Valo FX'!$R:$R,MATCH($A20,'Valo FX'!$A:$A,0)),INDEX(Base!$V:$V,MATCH($A20,Base!$A:$A,0)),0)))</f>
        <v>0</v>
      </c>
      <c r="HK20" s="21">
        <f>IF(HK$1&lt;INDEX('Valo FX'!$Q:$Q,MATCH($A20,'Valo FX'!$A:$A,0)),0,IF(HK$1&lt;INDEX('Valo FX'!$R:$R,MATCH($A20,'Valo FX'!$A:$A,0)),INDEX(Base!$U:$U,MATCH($A20,Base!$A:$A,0)),IF(HK$1=INDEX('Valo FX'!$R:$R,MATCH($A20,'Valo FX'!$A:$A,0)),INDEX(Base!$V:$V,MATCH($A20,Base!$A:$A,0)),0)))</f>
        <v>0</v>
      </c>
      <c r="HL20" s="21">
        <f>IF(HL$1&lt;INDEX('Valo FX'!$Q:$Q,MATCH($A20,'Valo FX'!$A:$A,0)),0,IF(HL$1&lt;INDEX('Valo FX'!$R:$R,MATCH($A20,'Valo FX'!$A:$A,0)),INDEX(Base!$U:$U,MATCH($A20,Base!$A:$A,0)),IF(HL$1=INDEX('Valo FX'!$R:$R,MATCH($A20,'Valo FX'!$A:$A,0)),INDEX(Base!$V:$V,MATCH($A20,Base!$A:$A,0)),0)))</f>
        <v>0</v>
      </c>
      <c r="HM20" s="21">
        <f>IF(HM$1&lt;INDEX('Valo FX'!$Q:$Q,MATCH($A20,'Valo FX'!$A:$A,0)),0,IF(HM$1&lt;INDEX('Valo FX'!$R:$R,MATCH($A20,'Valo FX'!$A:$A,0)),INDEX(Base!$U:$U,MATCH($A20,Base!$A:$A,0)),IF(HM$1=INDEX('Valo FX'!$R:$R,MATCH($A20,'Valo FX'!$A:$A,0)),INDEX(Base!$V:$V,MATCH($A20,Base!$A:$A,0)),0)))</f>
        <v>0</v>
      </c>
      <c r="HN20" s="21">
        <f>IF(HN$1&lt;INDEX('Valo FX'!$Q:$Q,MATCH($A20,'Valo FX'!$A:$A,0)),0,IF(HN$1&lt;INDEX('Valo FX'!$R:$R,MATCH($A20,'Valo FX'!$A:$A,0)),INDEX(Base!$U:$U,MATCH($A20,Base!$A:$A,0)),IF(HN$1=INDEX('Valo FX'!$R:$R,MATCH($A20,'Valo FX'!$A:$A,0)),INDEX(Base!$V:$V,MATCH($A20,Base!$A:$A,0)),0)))</f>
        <v>0</v>
      </c>
      <c r="HO20" s="21">
        <f>IF(HO$1&lt;INDEX('Valo FX'!$Q:$Q,MATCH($A20,'Valo FX'!$A:$A,0)),0,IF(HO$1&lt;INDEX('Valo FX'!$R:$R,MATCH($A20,'Valo FX'!$A:$A,0)),INDEX(Base!$U:$U,MATCH($A20,Base!$A:$A,0)),IF(HO$1=INDEX('Valo FX'!$R:$R,MATCH($A20,'Valo FX'!$A:$A,0)),INDEX(Base!$V:$V,MATCH($A20,Base!$A:$A,0)),0)))</f>
        <v>0</v>
      </c>
      <c r="HP20" s="21">
        <f>IF(HP$1&lt;INDEX('Valo FX'!$Q:$Q,MATCH($A20,'Valo FX'!$A:$A,0)),0,IF(HP$1&lt;INDEX('Valo FX'!$R:$R,MATCH($A20,'Valo FX'!$A:$A,0)),INDEX(Base!$U:$U,MATCH($A20,Base!$A:$A,0)),IF(HP$1=INDEX('Valo FX'!$R:$R,MATCH($A20,'Valo FX'!$A:$A,0)),INDEX(Base!$V:$V,MATCH($A20,Base!$A:$A,0)),0)))</f>
        <v>0</v>
      </c>
      <c r="HQ20" s="21">
        <f>IF(HQ$1&lt;INDEX('Valo FX'!$Q:$Q,MATCH($A20,'Valo FX'!$A:$A,0)),0,IF(HQ$1&lt;INDEX('Valo FX'!$R:$R,MATCH($A20,'Valo FX'!$A:$A,0)),INDEX(Base!$U:$U,MATCH($A20,Base!$A:$A,0)),IF(HQ$1=INDEX('Valo FX'!$R:$R,MATCH($A20,'Valo FX'!$A:$A,0)),INDEX(Base!$V:$V,MATCH($A20,Base!$A:$A,0)),0)))</f>
        <v>0</v>
      </c>
      <c r="HR20" s="21">
        <f>IF(HR$1&lt;INDEX('Valo FX'!$Q:$Q,MATCH($A20,'Valo FX'!$A:$A,0)),0,IF(HR$1&lt;INDEX('Valo FX'!$R:$R,MATCH($A20,'Valo FX'!$A:$A,0)),INDEX(Base!$U:$U,MATCH($A20,Base!$A:$A,0)),IF(HR$1=INDEX('Valo FX'!$R:$R,MATCH($A20,'Valo FX'!$A:$A,0)),INDEX(Base!$V:$V,MATCH($A20,Base!$A:$A,0)),0)))</f>
        <v>0</v>
      </c>
      <c r="HS20" s="21">
        <f>IF(HS$1&lt;INDEX('Valo FX'!$Q:$Q,MATCH($A20,'Valo FX'!$A:$A,0)),0,IF(HS$1&lt;INDEX('Valo FX'!$R:$R,MATCH($A20,'Valo FX'!$A:$A,0)),INDEX(Base!$U:$U,MATCH($A20,Base!$A:$A,0)),IF(HS$1=INDEX('Valo FX'!$R:$R,MATCH($A20,'Valo FX'!$A:$A,0)),INDEX(Base!$V:$V,MATCH($A20,Base!$A:$A,0)),0)))</f>
        <v>0</v>
      </c>
      <c r="HT20" s="21">
        <f>IF(HT$1&lt;INDEX('Valo FX'!$Q:$Q,MATCH($A20,'Valo FX'!$A:$A,0)),0,IF(HT$1&lt;INDEX('Valo FX'!$R:$R,MATCH($A20,'Valo FX'!$A:$A,0)),INDEX(Base!$U:$U,MATCH($A20,Base!$A:$A,0)),IF(HT$1=INDEX('Valo FX'!$R:$R,MATCH($A20,'Valo FX'!$A:$A,0)),INDEX(Base!$V:$V,MATCH($A20,Base!$A:$A,0)),0)))</f>
        <v>0</v>
      </c>
      <c r="HU20" s="21">
        <f>IF(HU$1&lt;INDEX('Valo FX'!$Q:$Q,MATCH($A20,'Valo FX'!$A:$A,0)),0,IF(HU$1&lt;INDEX('Valo FX'!$R:$R,MATCH($A20,'Valo FX'!$A:$A,0)),INDEX(Base!$U:$U,MATCH($A20,Base!$A:$A,0)),IF(HU$1=INDEX('Valo FX'!$R:$R,MATCH($A20,'Valo FX'!$A:$A,0)),INDEX(Base!$V:$V,MATCH($A20,Base!$A:$A,0)),0)))</f>
        <v>0</v>
      </c>
      <c r="HV20" s="21">
        <f>IF(HV$1&lt;INDEX('Valo FX'!$Q:$Q,MATCH($A20,'Valo FX'!$A:$A,0)),0,IF(HV$1&lt;INDEX('Valo FX'!$R:$R,MATCH($A20,'Valo FX'!$A:$A,0)),INDEX(Base!$U:$U,MATCH($A20,Base!$A:$A,0)),IF(HV$1=INDEX('Valo FX'!$R:$R,MATCH($A20,'Valo FX'!$A:$A,0)),INDEX(Base!$V:$V,MATCH($A20,Base!$A:$A,0)),0)))</f>
        <v>0</v>
      </c>
      <c r="HW20" s="21">
        <f>IF(HW$1&lt;INDEX('Valo FX'!$Q:$Q,MATCH($A20,'Valo FX'!$A:$A,0)),0,IF(HW$1&lt;INDEX('Valo FX'!$R:$R,MATCH($A20,'Valo FX'!$A:$A,0)),INDEX(Base!$U:$U,MATCH($A20,Base!$A:$A,0)),IF(HW$1=INDEX('Valo FX'!$R:$R,MATCH($A20,'Valo FX'!$A:$A,0)),INDEX(Base!$V:$V,MATCH($A20,Base!$A:$A,0)),0)))</f>
        <v>0</v>
      </c>
      <c r="HX20" s="21">
        <f>IF(HX$1&lt;INDEX('Valo FX'!$Q:$Q,MATCH($A20,'Valo FX'!$A:$A,0)),0,IF(HX$1&lt;INDEX('Valo FX'!$R:$R,MATCH($A20,'Valo FX'!$A:$A,0)),INDEX(Base!$U:$U,MATCH($A20,Base!$A:$A,0)),IF(HX$1=INDEX('Valo FX'!$R:$R,MATCH($A20,'Valo FX'!$A:$A,0)),INDEX(Base!$V:$V,MATCH($A20,Base!$A:$A,0)),0)))</f>
        <v>0</v>
      </c>
      <c r="HY20" s="21">
        <f>IF(HY$1&lt;INDEX('Valo FX'!$Q:$Q,MATCH($A20,'Valo FX'!$A:$A,0)),0,IF(HY$1&lt;INDEX('Valo FX'!$R:$R,MATCH($A20,'Valo FX'!$A:$A,0)),INDEX(Base!$U:$U,MATCH($A20,Base!$A:$A,0)),IF(HY$1=INDEX('Valo FX'!$R:$R,MATCH($A20,'Valo FX'!$A:$A,0)),INDEX(Base!$V:$V,MATCH($A20,Base!$A:$A,0)),0)))</f>
        <v>0</v>
      </c>
      <c r="HZ20" s="21">
        <f>IF(HZ$1&lt;INDEX('Valo FX'!$Q:$Q,MATCH($A20,'Valo FX'!$A:$A,0)),0,IF(HZ$1&lt;INDEX('Valo FX'!$R:$R,MATCH($A20,'Valo FX'!$A:$A,0)),INDEX(Base!$U:$U,MATCH($A20,Base!$A:$A,0)),IF(HZ$1=INDEX('Valo FX'!$R:$R,MATCH($A20,'Valo FX'!$A:$A,0)),INDEX(Base!$V:$V,MATCH($A20,Base!$A:$A,0)),0)))</f>
        <v>0</v>
      </c>
      <c r="IA20" s="21">
        <f>IF(IA$1&lt;INDEX('Valo FX'!$Q:$Q,MATCH($A20,'Valo FX'!$A:$A,0)),0,IF(IA$1&lt;INDEX('Valo FX'!$R:$R,MATCH($A20,'Valo FX'!$A:$A,0)),INDEX(Base!$U:$U,MATCH($A20,Base!$A:$A,0)),IF(IA$1=INDEX('Valo FX'!$R:$R,MATCH($A20,'Valo FX'!$A:$A,0)),INDEX(Base!$V:$V,MATCH($A20,Base!$A:$A,0)),0)))</f>
        <v>0</v>
      </c>
      <c r="IB20" s="21">
        <f>IF(IB$1&lt;INDEX('Valo FX'!$Q:$Q,MATCH($A20,'Valo FX'!$A:$A,0)),0,IF(IB$1&lt;INDEX('Valo FX'!$R:$R,MATCH($A20,'Valo FX'!$A:$A,0)),INDEX(Base!$U:$U,MATCH($A20,Base!$A:$A,0)),IF(IB$1=INDEX('Valo FX'!$R:$R,MATCH($A20,'Valo FX'!$A:$A,0)),INDEX(Base!$V:$V,MATCH($A20,Base!$A:$A,0)),0)))</f>
        <v>0</v>
      </c>
      <c r="IC20" s="21">
        <f>IF(IC$1&lt;INDEX('Valo FX'!$Q:$Q,MATCH($A20,'Valo FX'!$A:$A,0)),0,IF(IC$1&lt;INDEX('Valo FX'!$R:$R,MATCH($A20,'Valo FX'!$A:$A,0)),INDEX(Base!$U:$U,MATCH($A20,Base!$A:$A,0)),IF(IC$1=INDEX('Valo FX'!$R:$R,MATCH($A20,'Valo FX'!$A:$A,0)),INDEX(Base!$V:$V,MATCH($A20,Base!$A:$A,0)),0)))</f>
        <v>0</v>
      </c>
      <c r="ID20" s="21">
        <f>IF(ID$1&lt;INDEX('Valo FX'!$Q:$Q,MATCH($A20,'Valo FX'!$A:$A,0)),0,IF(ID$1&lt;INDEX('Valo FX'!$R:$R,MATCH($A20,'Valo FX'!$A:$A,0)),INDEX(Base!$U:$U,MATCH($A20,Base!$A:$A,0)),IF(ID$1=INDEX('Valo FX'!$R:$R,MATCH($A20,'Valo FX'!$A:$A,0)),INDEX(Base!$V:$V,MATCH($A20,Base!$A:$A,0)),0)))</f>
        <v>0</v>
      </c>
      <c r="IE20" s="21">
        <f>IF(IE$1&lt;INDEX('Valo FX'!$Q:$Q,MATCH($A20,'Valo FX'!$A:$A,0)),0,IF(IE$1&lt;INDEX('Valo FX'!$R:$R,MATCH($A20,'Valo FX'!$A:$A,0)),INDEX(Base!$U:$U,MATCH($A20,Base!$A:$A,0)),IF(IE$1=INDEX('Valo FX'!$R:$R,MATCH($A20,'Valo FX'!$A:$A,0)),INDEX(Base!$V:$V,MATCH($A20,Base!$A:$A,0)),0)))</f>
        <v>0</v>
      </c>
      <c r="IF20" s="21">
        <f>IF(IF$1&lt;INDEX('Valo FX'!$Q:$Q,MATCH($A20,'Valo FX'!$A:$A,0)),0,IF(IF$1&lt;INDEX('Valo FX'!$R:$R,MATCH($A20,'Valo FX'!$A:$A,0)),INDEX(Base!$U:$U,MATCH($A20,Base!$A:$A,0)),IF(IF$1=INDEX('Valo FX'!$R:$R,MATCH($A20,'Valo FX'!$A:$A,0)),INDEX(Base!$V:$V,MATCH($A20,Base!$A:$A,0)),0)))</f>
        <v>0</v>
      </c>
      <c r="IG20" s="21">
        <f>IF(IG$1&lt;INDEX('Valo FX'!$Q:$Q,MATCH($A20,'Valo FX'!$A:$A,0)),0,IF(IG$1&lt;INDEX('Valo FX'!$R:$R,MATCH($A20,'Valo FX'!$A:$A,0)),INDEX(Base!$U:$U,MATCH($A20,Base!$A:$A,0)),IF(IG$1=INDEX('Valo FX'!$R:$R,MATCH($A20,'Valo FX'!$A:$A,0)),INDEX(Base!$V:$V,MATCH($A20,Base!$A:$A,0)),0)))</f>
        <v>0</v>
      </c>
      <c r="IH20" s="21">
        <f>IF(IH$1&lt;INDEX('Valo FX'!$Q:$Q,MATCH($A20,'Valo FX'!$A:$A,0)),0,IF(IH$1&lt;INDEX('Valo FX'!$R:$R,MATCH($A20,'Valo FX'!$A:$A,0)),INDEX(Base!$U:$U,MATCH($A20,Base!$A:$A,0)),IF(IH$1=INDEX('Valo FX'!$R:$R,MATCH($A20,'Valo FX'!$A:$A,0)),INDEX(Base!$V:$V,MATCH($A20,Base!$A:$A,0)),0)))</f>
        <v>0</v>
      </c>
      <c r="II20" s="21">
        <f>IF(II$1&lt;INDEX('Valo FX'!$Q:$Q,MATCH($A20,'Valo FX'!$A:$A,0)),0,IF(II$1&lt;INDEX('Valo FX'!$R:$R,MATCH($A20,'Valo FX'!$A:$A,0)),INDEX(Base!$U:$U,MATCH($A20,Base!$A:$A,0)),IF(II$1=INDEX('Valo FX'!$R:$R,MATCH($A20,'Valo FX'!$A:$A,0)),INDEX(Base!$V:$V,MATCH($A20,Base!$A:$A,0)),0)))</f>
        <v>0</v>
      </c>
      <c r="IJ20" s="21">
        <f>IF(IJ$1&lt;INDEX('Valo FX'!$Q:$Q,MATCH($A20,'Valo FX'!$A:$A,0)),0,IF(IJ$1&lt;INDEX('Valo FX'!$R:$R,MATCH($A20,'Valo FX'!$A:$A,0)),INDEX(Base!$U:$U,MATCH($A20,Base!$A:$A,0)),IF(IJ$1=INDEX('Valo FX'!$R:$R,MATCH($A20,'Valo FX'!$A:$A,0)),INDEX(Base!$V:$V,MATCH($A20,Base!$A:$A,0)),0)))</f>
        <v>0</v>
      </c>
      <c r="IK20" s="21">
        <f>IF(IK$1&lt;INDEX('Valo FX'!$Q:$Q,MATCH($A20,'Valo FX'!$A:$A,0)),0,IF(IK$1&lt;INDEX('Valo FX'!$R:$R,MATCH($A20,'Valo FX'!$A:$A,0)),INDEX(Base!$U:$U,MATCH($A20,Base!$A:$A,0)),IF(IK$1=INDEX('Valo FX'!$R:$R,MATCH($A20,'Valo FX'!$A:$A,0)),INDEX(Base!$V:$V,MATCH($A20,Base!$A:$A,0)),0)))</f>
        <v>0</v>
      </c>
      <c r="IL20" s="21">
        <f>IF(IL$1&lt;INDEX('Valo FX'!$Q:$Q,MATCH($A20,'Valo FX'!$A:$A,0)),0,IF(IL$1&lt;INDEX('Valo FX'!$R:$R,MATCH($A20,'Valo FX'!$A:$A,0)),INDEX(Base!$U:$U,MATCH($A20,Base!$A:$A,0)),IF(IL$1=INDEX('Valo FX'!$R:$R,MATCH($A20,'Valo FX'!$A:$A,0)),INDEX(Base!$V:$V,MATCH($A20,Base!$A:$A,0)),0)))</f>
        <v>0</v>
      </c>
      <c r="IM20" s="21">
        <f>IF(IM$1&lt;INDEX('Valo FX'!$Q:$Q,MATCH($A20,'Valo FX'!$A:$A,0)),0,IF(IM$1&lt;INDEX('Valo FX'!$R:$R,MATCH($A20,'Valo FX'!$A:$A,0)),INDEX(Base!$U:$U,MATCH($A20,Base!$A:$A,0)),IF(IM$1=INDEX('Valo FX'!$R:$R,MATCH($A20,'Valo FX'!$A:$A,0)),INDEX(Base!$V:$V,MATCH($A20,Base!$A:$A,0)),0)))</f>
        <v>0</v>
      </c>
      <c r="IN20" s="21">
        <f>IF(IN$1&lt;INDEX('Valo FX'!$Q:$Q,MATCH($A20,'Valo FX'!$A:$A,0)),0,IF(IN$1&lt;INDEX('Valo FX'!$R:$R,MATCH($A20,'Valo FX'!$A:$A,0)),INDEX(Base!$U:$U,MATCH($A20,Base!$A:$A,0)),IF(IN$1=INDEX('Valo FX'!$R:$R,MATCH($A20,'Valo FX'!$A:$A,0)),INDEX(Base!$V:$V,MATCH($A20,Base!$A:$A,0)),0)))</f>
        <v>0</v>
      </c>
      <c r="IO20" s="21">
        <f>IF(IO$1&lt;INDEX('Valo FX'!$Q:$Q,MATCH($A20,'Valo FX'!$A:$A,0)),0,IF(IO$1&lt;INDEX('Valo FX'!$R:$R,MATCH($A20,'Valo FX'!$A:$A,0)),INDEX(Base!$U:$U,MATCH($A20,Base!$A:$A,0)),IF(IO$1=INDEX('Valo FX'!$R:$R,MATCH($A20,'Valo FX'!$A:$A,0)),INDEX(Base!$V:$V,MATCH($A20,Base!$A:$A,0)),0)))</f>
        <v>0</v>
      </c>
      <c r="IP20" s="21">
        <f>IF(IP$1&lt;INDEX('Valo FX'!$Q:$Q,MATCH($A20,'Valo FX'!$A:$A,0)),0,IF(IP$1&lt;INDEX('Valo FX'!$R:$R,MATCH($A20,'Valo FX'!$A:$A,0)),INDEX(Base!$U:$U,MATCH($A20,Base!$A:$A,0)),IF(IP$1=INDEX('Valo FX'!$R:$R,MATCH($A20,'Valo FX'!$A:$A,0)),INDEX(Base!$V:$V,MATCH($A20,Base!$A:$A,0)),0)))</f>
        <v>0</v>
      </c>
      <c r="IQ20" s="21">
        <f>IF(IQ$1&lt;INDEX('Valo FX'!$Q:$Q,MATCH($A20,'Valo FX'!$A:$A,0)),0,IF(IQ$1&lt;INDEX('Valo FX'!$R:$R,MATCH($A20,'Valo FX'!$A:$A,0)),INDEX(Base!$U:$U,MATCH($A20,Base!$A:$A,0)),IF(IQ$1=INDEX('Valo FX'!$R:$R,MATCH($A20,'Valo FX'!$A:$A,0)),INDEX(Base!$V:$V,MATCH($A20,Base!$A:$A,0)),0)))</f>
        <v>0</v>
      </c>
      <c r="IR20" s="21">
        <f>IF(IR$1&lt;INDEX('Valo FX'!$Q:$Q,MATCH($A20,'Valo FX'!$A:$A,0)),0,IF(IR$1&lt;INDEX('Valo FX'!$R:$R,MATCH($A20,'Valo FX'!$A:$A,0)),INDEX(Base!$U:$U,MATCH($A20,Base!$A:$A,0)),IF(IR$1=INDEX('Valo FX'!$R:$R,MATCH($A20,'Valo FX'!$A:$A,0)),INDEX(Base!$V:$V,MATCH($A20,Base!$A:$A,0)),0)))</f>
        <v>0</v>
      </c>
      <c r="IS20" s="21">
        <f>IF(IS$1&lt;INDEX('Valo FX'!$Q:$Q,MATCH($A20,'Valo FX'!$A:$A,0)),0,IF(IS$1&lt;INDEX('Valo FX'!$R:$R,MATCH($A20,'Valo FX'!$A:$A,0)),INDEX(Base!$U:$U,MATCH($A20,Base!$A:$A,0)),IF(IS$1=INDEX('Valo FX'!$R:$R,MATCH($A20,'Valo FX'!$A:$A,0)),INDEX(Base!$V:$V,MATCH($A20,Base!$A:$A,0)),0)))</f>
        <v>0</v>
      </c>
      <c r="IT20" s="21">
        <f>IF(IT$1&lt;INDEX('Valo FX'!$Q:$Q,MATCH($A20,'Valo FX'!$A:$A,0)),0,IF(IT$1&lt;INDEX('Valo FX'!$R:$R,MATCH($A20,'Valo FX'!$A:$A,0)),INDEX(Base!$U:$U,MATCH($A20,Base!$A:$A,0)),IF(IT$1=INDEX('Valo FX'!$R:$R,MATCH($A20,'Valo FX'!$A:$A,0)),INDEX(Base!$V:$V,MATCH($A20,Base!$A:$A,0)),0)))</f>
        <v>0</v>
      </c>
      <c r="IU20" s="21">
        <f>IF(IU$1&lt;INDEX('Valo FX'!$Q:$Q,MATCH($A20,'Valo FX'!$A:$A,0)),0,IF(IU$1&lt;INDEX('Valo FX'!$R:$R,MATCH($A20,'Valo FX'!$A:$A,0)),INDEX(Base!$U:$U,MATCH($A20,Base!$A:$A,0)),IF(IU$1=INDEX('Valo FX'!$R:$R,MATCH($A20,'Valo FX'!$A:$A,0)),INDEX(Base!$V:$V,MATCH($A20,Base!$A:$A,0)),0)))</f>
        <v>0</v>
      </c>
      <c r="IV20" s="21">
        <f>IF(IV$1&lt;INDEX('Valo FX'!$Q:$Q,MATCH($A20,'Valo FX'!$A:$A,0)),0,IF(IV$1&lt;INDEX('Valo FX'!$R:$R,MATCH($A20,'Valo FX'!$A:$A,0)),INDEX(Base!$U:$U,MATCH($A20,Base!$A:$A,0)),IF(IV$1=INDEX('Valo FX'!$R:$R,MATCH($A20,'Valo FX'!$A:$A,0)),INDEX(Base!$V:$V,MATCH($A20,Base!$A:$A,0)),0)))</f>
        <v>0</v>
      </c>
      <c r="IW20" s="21">
        <f>IF(IW$1&lt;INDEX('Valo FX'!$Q:$Q,MATCH($A20,'Valo FX'!$A:$A,0)),0,IF(IW$1&lt;INDEX('Valo FX'!$R:$R,MATCH($A20,'Valo FX'!$A:$A,0)),INDEX(Base!$U:$U,MATCH($A20,Base!$A:$A,0)),IF(IW$1=INDEX('Valo FX'!$R:$R,MATCH($A20,'Valo FX'!$A:$A,0)),INDEX(Base!$V:$V,MATCH($A20,Base!$A:$A,0)),0)))</f>
        <v>0</v>
      </c>
      <c r="IX20" s="21">
        <f>IF(IX$1&lt;INDEX('Valo FX'!$Q:$Q,MATCH($A20,'Valo FX'!$A:$A,0)),0,IF(IX$1&lt;INDEX('Valo FX'!$R:$R,MATCH($A20,'Valo FX'!$A:$A,0)),INDEX(Base!$U:$U,MATCH($A20,Base!$A:$A,0)),IF(IX$1=INDEX('Valo FX'!$R:$R,MATCH($A20,'Valo FX'!$A:$A,0)),INDEX(Base!$V:$V,MATCH($A20,Base!$A:$A,0)),0)))</f>
        <v>0</v>
      </c>
      <c r="IY20" s="21">
        <f>IF(IY$1&lt;INDEX('Valo FX'!$Q:$Q,MATCH($A20,'Valo FX'!$A:$A,0)),0,IF(IY$1&lt;INDEX('Valo FX'!$R:$R,MATCH($A20,'Valo FX'!$A:$A,0)),INDEX(Base!$U:$U,MATCH($A20,Base!$A:$A,0)),IF(IY$1=INDEX('Valo FX'!$R:$R,MATCH($A20,'Valo FX'!$A:$A,0)),INDEX(Base!$V:$V,MATCH($A20,Base!$A:$A,0)),0)))</f>
        <v>0</v>
      </c>
      <c r="IZ20" s="21">
        <f>IF(IZ$1&lt;INDEX('Valo FX'!$Q:$Q,MATCH($A20,'Valo FX'!$A:$A,0)),0,IF(IZ$1&lt;INDEX('Valo FX'!$R:$R,MATCH($A20,'Valo FX'!$A:$A,0)),INDEX(Base!$U:$U,MATCH($A20,Base!$A:$A,0)),IF(IZ$1=INDEX('Valo FX'!$R:$R,MATCH($A20,'Valo FX'!$A:$A,0)),INDEX(Base!$V:$V,MATCH($A20,Base!$A:$A,0)),0)))</f>
        <v>0</v>
      </c>
      <c r="JA20" s="21">
        <f>IF(JA$1&lt;INDEX('Valo FX'!$Q:$Q,MATCH($A20,'Valo FX'!$A:$A,0)),0,IF(JA$1&lt;INDEX('Valo FX'!$R:$R,MATCH($A20,'Valo FX'!$A:$A,0)),INDEX(Base!$U:$U,MATCH($A20,Base!$A:$A,0)),IF(JA$1=INDEX('Valo FX'!$R:$R,MATCH($A20,'Valo FX'!$A:$A,0)),INDEX(Base!$V:$V,MATCH($A20,Base!$A:$A,0)),0)))</f>
        <v>0</v>
      </c>
      <c r="JB20" s="21">
        <f>IF(JB$1&lt;INDEX('Valo FX'!$Q:$Q,MATCH($A20,'Valo FX'!$A:$A,0)),0,IF(JB$1&lt;INDEX('Valo FX'!$R:$R,MATCH($A20,'Valo FX'!$A:$A,0)),INDEX(Base!$U:$U,MATCH($A20,Base!$A:$A,0)),IF(JB$1=INDEX('Valo FX'!$R:$R,MATCH($A20,'Valo FX'!$A:$A,0)),INDEX(Base!$V:$V,MATCH($A20,Base!$A:$A,0)),0)))</f>
        <v>0</v>
      </c>
      <c r="JC20" s="21">
        <f>IF(JC$1&lt;INDEX('Valo FX'!$Q:$Q,MATCH($A20,'Valo FX'!$A:$A,0)),0,IF(JC$1&lt;INDEX('Valo FX'!$R:$R,MATCH($A20,'Valo FX'!$A:$A,0)),INDEX(Base!$U:$U,MATCH($A20,Base!$A:$A,0)),IF(JC$1=INDEX('Valo FX'!$R:$R,MATCH($A20,'Valo FX'!$A:$A,0)),INDEX(Base!$V:$V,MATCH($A20,Base!$A:$A,0)),0)))</f>
        <v>0</v>
      </c>
      <c r="JD20" s="21">
        <f>IF(JD$1&lt;INDEX('Valo FX'!$Q:$Q,MATCH($A20,'Valo FX'!$A:$A,0)),0,IF(JD$1&lt;INDEX('Valo FX'!$R:$R,MATCH($A20,'Valo FX'!$A:$A,0)),INDEX(Base!$U:$U,MATCH($A20,Base!$A:$A,0)),IF(JD$1=INDEX('Valo FX'!$R:$R,MATCH($A20,'Valo FX'!$A:$A,0)),INDEX(Base!$V:$V,MATCH($A20,Base!$A:$A,0)),0)))</f>
        <v>0</v>
      </c>
      <c r="JE20" s="21">
        <f>IF(JE$1&lt;INDEX('Valo FX'!$Q:$Q,MATCH($A20,'Valo FX'!$A:$A,0)),0,IF(JE$1&lt;INDEX('Valo FX'!$R:$R,MATCH($A20,'Valo FX'!$A:$A,0)),INDEX(Base!$U:$U,MATCH($A20,Base!$A:$A,0)),IF(JE$1=INDEX('Valo FX'!$R:$R,MATCH($A20,'Valo FX'!$A:$A,0)),INDEX(Base!$V:$V,MATCH($A20,Base!$A:$A,0)),0)))</f>
        <v>0</v>
      </c>
      <c r="JF20" s="21">
        <f>IF(JF$1&lt;INDEX('Valo FX'!$Q:$Q,MATCH($A20,'Valo FX'!$A:$A,0)),0,IF(JF$1&lt;INDEX('Valo FX'!$R:$R,MATCH($A20,'Valo FX'!$A:$A,0)),INDEX(Base!$U:$U,MATCH($A20,Base!$A:$A,0)),IF(JF$1=INDEX('Valo FX'!$R:$R,MATCH($A20,'Valo FX'!$A:$A,0)),INDEX(Base!$V:$V,MATCH($A20,Base!$A:$A,0)),0)))</f>
        <v>0</v>
      </c>
      <c r="JG20" s="21">
        <f>IF(JG$1&lt;INDEX('Valo FX'!$Q:$Q,MATCH($A20,'Valo FX'!$A:$A,0)),0,IF(JG$1&lt;INDEX('Valo FX'!$R:$R,MATCH($A20,'Valo FX'!$A:$A,0)),INDEX(Base!$U:$U,MATCH($A20,Base!$A:$A,0)),IF(JG$1=INDEX('Valo FX'!$R:$R,MATCH($A20,'Valo FX'!$A:$A,0)),INDEX(Base!$V:$V,MATCH($A20,Base!$A:$A,0)),0)))</f>
        <v>0</v>
      </c>
      <c r="JH20" s="21">
        <f>IF(JH$1&lt;INDEX('Valo FX'!$Q:$Q,MATCH($A20,'Valo FX'!$A:$A,0)),0,IF(JH$1&lt;INDEX('Valo FX'!$R:$R,MATCH($A20,'Valo FX'!$A:$A,0)),INDEX(Base!$U:$U,MATCH($A20,Base!$A:$A,0)),IF(JH$1=INDEX('Valo FX'!$R:$R,MATCH($A20,'Valo FX'!$A:$A,0)),INDEX(Base!$V:$V,MATCH($A20,Base!$A:$A,0)),0)))</f>
        <v>0</v>
      </c>
      <c r="JI20" s="21">
        <f>IF(JI$1&lt;INDEX('Valo FX'!$Q:$Q,MATCH($A20,'Valo FX'!$A:$A,0)),0,IF(JI$1&lt;INDEX('Valo FX'!$R:$R,MATCH($A20,'Valo FX'!$A:$A,0)),INDEX(Base!$U:$U,MATCH($A20,Base!$A:$A,0)),IF(JI$1=INDEX('Valo FX'!$R:$R,MATCH($A20,'Valo FX'!$A:$A,0)),INDEX(Base!$V:$V,MATCH($A20,Base!$A:$A,0)),0)))</f>
        <v>0</v>
      </c>
      <c r="JJ20" s="21">
        <f>IF(JJ$1&lt;INDEX('Valo FX'!$Q:$Q,MATCH($A20,'Valo FX'!$A:$A,0)),0,IF(JJ$1&lt;INDEX('Valo FX'!$R:$R,MATCH($A20,'Valo FX'!$A:$A,0)),INDEX(Base!$U:$U,MATCH($A20,Base!$A:$A,0)),IF(JJ$1=INDEX('Valo FX'!$R:$R,MATCH($A20,'Valo FX'!$A:$A,0)),INDEX(Base!$V:$V,MATCH($A20,Base!$A:$A,0)),0)))</f>
        <v>0</v>
      </c>
      <c r="JK20" s="21">
        <f>IF(JK$1&lt;INDEX('Valo FX'!$Q:$Q,MATCH($A20,'Valo FX'!$A:$A,0)),0,IF(JK$1&lt;INDEX('Valo FX'!$R:$R,MATCH($A20,'Valo FX'!$A:$A,0)),INDEX(Base!$U:$U,MATCH($A20,Base!$A:$A,0)),IF(JK$1=INDEX('Valo FX'!$R:$R,MATCH($A20,'Valo FX'!$A:$A,0)),INDEX(Base!$V:$V,MATCH($A20,Base!$A:$A,0)),0)))</f>
        <v>0</v>
      </c>
      <c r="JL20" s="21">
        <f>IF(JL$1&lt;INDEX('Valo FX'!$Q:$Q,MATCH($A20,'Valo FX'!$A:$A,0)),0,IF(JL$1&lt;INDEX('Valo FX'!$R:$R,MATCH($A20,'Valo FX'!$A:$A,0)),INDEX(Base!$U:$U,MATCH($A20,Base!$A:$A,0)),IF(JL$1=INDEX('Valo FX'!$R:$R,MATCH($A20,'Valo FX'!$A:$A,0)),INDEX(Base!$V:$V,MATCH($A20,Base!$A:$A,0)),0)))</f>
        <v>0</v>
      </c>
      <c r="JM20" s="21">
        <f>IF(JM$1&lt;INDEX('Valo FX'!$Q:$Q,MATCH($A20,'Valo FX'!$A:$A,0)),0,IF(JM$1&lt;INDEX('Valo FX'!$R:$R,MATCH($A20,'Valo FX'!$A:$A,0)),INDEX(Base!$U:$U,MATCH($A20,Base!$A:$A,0)),IF(JM$1=INDEX('Valo FX'!$R:$R,MATCH($A20,'Valo FX'!$A:$A,0)),INDEX(Base!$V:$V,MATCH($A20,Base!$A:$A,0)),0)))</f>
        <v>0</v>
      </c>
      <c r="JN20" s="21">
        <f>IF(JN$1&lt;INDEX('Valo FX'!$Q:$Q,MATCH($A20,'Valo FX'!$A:$A,0)),0,IF(JN$1&lt;INDEX('Valo FX'!$R:$R,MATCH($A20,'Valo FX'!$A:$A,0)),INDEX(Base!$U:$U,MATCH($A20,Base!$A:$A,0)),IF(JN$1=INDEX('Valo FX'!$R:$R,MATCH($A20,'Valo FX'!$A:$A,0)),INDEX(Base!$V:$V,MATCH($A20,Base!$A:$A,0)),0)))</f>
        <v>0</v>
      </c>
      <c r="JO20" s="21">
        <f>IF(JO$1&lt;INDEX('Valo FX'!$Q:$Q,MATCH($A20,'Valo FX'!$A:$A,0)),0,IF(JO$1&lt;INDEX('Valo FX'!$R:$R,MATCH($A20,'Valo FX'!$A:$A,0)),INDEX(Base!$U:$U,MATCH($A20,Base!$A:$A,0)),IF(JO$1=INDEX('Valo FX'!$R:$R,MATCH($A20,'Valo FX'!$A:$A,0)),INDEX(Base!$V:$V,MATCH($A20,Base!$A:$A,0)),0)))</f>
        <v>0</v>
      </c>
      <c r="JP20" s="21">
        <f>IF(JP$1&lt;INDEX('Valo FX'!$Q:$Q,MATCH($A20,'Valo FX'!$A:$A,0)),0,IF(JP$1&lt;INDEX('Valo FX'!$R:$R,MATCH($A20,'Valo FX'!$A:$A,0)),INDEX(Base!$U:$U,MATCH($A20,Base!$A:$A,0)),IF(JP$1=INDEX('Valo FX'!$R:$R,MATCH($A20,'Valo FX'!$A:$A,0)),INDEX(Base!$V:$V,MATCH($A20,Base!$A:$A,0)),0)))</f>
        <v>0</v>
      </c>
      <c r="JQ20" s="21">
        <f>IF(JQ$1&lt;INDEX('Valo FX'!$Q:$Q,MATCH($A20,'Valo FX'!$A:$A,0)),0,IF(JQ$1&lt;INDEX('Valo FX'!$R:$R,MATCH($A20,'Valo FX'!$A:$A,0)),INDEX(Base!$U:$U,MATCH($A20,Base!$A:$A,0)),IF(JQ$1=INDEX('Valo FX'!$R:$R,MATCH($A20,'Valo FX'!$A:$A,0)),INDEX(Base!$V:$V,MATCH($A20,Base!$A:$A,0)),0)))</f>
        <v>0</v>
      </c>
      <c r="JR20" s="21">
        <f>IF(JR$1&lt;INDEX('Valo FX'!$Q:$Q,MATCH($A20,'Valo FX'!$A:$A,0)),0,IF(JR$1&lt;INDEX('Valo FX'!$R:$R,MATCH($A20,'Valo FX'!$A:$A,0)),INDEX(Base!$U:$U,MATCH($A20,Base!$A:$A,0)),IF(JR$1=INDEX('Valo FX'!$R:$R,MATCH($A20,'Valo FX'!$A:$A,0)),INDEX(Base!$V:$V,MATCH($A20,Base!$A:$A,0)),0)))</f>
        <v>0</v>
      </c>
      <c r="JS20" s="21">
        <f>IF(JS$1&lt;INDEX('Valo FX'!$Q:$Q,MATCH($A20,'Valo FX'!$A:$A,0)),0,IF(JS$1&lt;INDEX('Valo FX'!$R:$R,MATCH($A20,'Valo FX'!$A:$A,0)),INDEX(Base!$U:$U,MATCH($A20,Base!$A:$A,0)),IF(JS$1=INDEX('Valo FX'!$R:$R,MATCH($A20,'Valo FX'!$A:$A,0)),INDEX(Base!$V:$V,MATCH($A20,Base!$A:$A,0)),0)))</f>
        <v>0</v>
      </c>
      <c r="JT20" s="21">
        <f>IF(JT$1&lt;INDEX('Valo FX'!$Q:$Q,MATCH($A20,'Valo FX'!$A:$A,0)),0,IF(JT$1&lt;INDEX('Valo FX'!$R:$R,MATCH($A20,'Valo FX'!$A:$A,0)),INDEX(Base!$U:$U,MATCH($A20,Base!$A:$A,0)),IF(JT$1=INDEX('Valo FX'!$R:$R,MATCH($A20,'Valo FX'!$A:$A,0)),INDEX(Base!$V:$V,MATCH($A20,Base!$A:$A,0)),0)))</f>
        <v>0</v>
      </c>
      <c r="JU20" s="21">
        <f>IF(JU$1&lt;INDEX('Valo FX'!$Q:$Q,MATCH($A20,'Valo FX'!$A:$A,0)),0,IF(JU$1&lt;INDEX('Valo FX'!$R:$R,MATCH($A20,'Valo FX'!$A:$A,0)),INDEX(Base!$U:$U,MATCH($A20,Base!$A:$A,0)),IF(JU$1=INDEX('Valo FX'!$R:$R,MATCH($A20,'Valo FX'!$A:$A,0)),INDEX(Base!$V:$V,MATCH($A20,Base!$A:$A,0)),0)))</f>
        <v>0</v>
      </c>
      <c r="JV20" s="21">
        <f>IF(JV$1&lt;INDEX('Valo FX'!$Q:$Q,MATCH($A20,'Valo FX'!$A:$A,0)),0,IF(JV$1&lt;INDEX('Valo FX'!$R:$R,MATCH($A20,'Valo FX'!$A:$A,0)),INDEX(Base!$U:$U,MATCH($A20,Base!$A:$A,0)),IF(JV$1=INDEX('Valo FX'!$R:$R,MATCH($A20,'Valo FX'!$A:$A,0)),INDEX(Base!$V:$V,MATCH($A20,Base!$A:$A,0)),0)))</f>
        <v>0</v>
      </c>
      <c r="JW20" s="21">
        <f>IF(JW$1&lt;INDEX('Valo FX'!$Q:$Q,MATCH($A20,'Valo FX'!$A:$A,0)),0,IF(JW$1&lt;INDEX('Valo FX'!$R:$R,MATCH($A20,'Valo FX'!$A:$A,0)),INDEX(Base!$U:$U,MATCH($A20,Base!$A:$A,0)),IF(JW$1=INDEX('Valo FX'!$R:$R,MATCH($A20,'Valo FX'!$A:$A,0)),INDEX(Base!$V:$V,MATCH($A20,Base!$A:$A,0)),0)))</f>
        <v>0</v>
      </c>
      <c r="JX20" s="21">
        <f>IF(JX$1&lt;INDEX('Valo FX'!$Q:$Q,MATCH($A20,'Valo FX'!$A:$A,0)),0,IF(JX$1&lt;INDEX('Valo FX'!$R:$R,MATCH($A20,'Valo FX'!$A:$A,0)),INDEX(Base!$U:$U,MATCH($A20,Base!$A:$A,0)),IF(JX$1=INDEX('Valo FX'!$R:$R,MATCH($A20,'Valo FX'!$A:$A,0)),INDEX(Base!$V:$V,MATCH($A20,Base!$A:$A,0)),0)))</f>
        <v>0</v>
      </c>
      <c r="JY20" s="21">
        <f>IF(JY$1&lt;INDEX('Valo FX'!$Q:$Q,MATCH($A20,'Valo FX'!$A:$A,0)),0,IF(JY$1&lt;INDEX('Valo FX'!$R:$R,MATCH($A20,'Valo FX'!$A:$A,0)),INDEX(Base!$U:$U,MATCH($A20,Base!$A:$A,0)),IF(JY$1=INDEX('Valo FX'!$R:$R,MATCH($A20,'Valo FX'!$A:$A,0)),INDEX(Base!$V:$V,MATCH($A20,Base!$A:$A,0)),0)))</f>
        <v>0</v>
      </c>
      <c r="JZ20" s="21">
        <f>IF(JZ$1&lt;INDEX('Valo FX'!$Q:$Q,MATCH($A20,'Valo FX'!$A:$A,0)),0,IF(JZ$1&lt;INDEX('Valo FX'!$R:$R,MATCH($A20,'Valo FX'!$A:$A,0)),INDEX(Base!$U:$U,MATCH($A20,Base!$A:$A,0)),IF(JZ$1=INDEX('Valo FX'!$R:$R,MATCH($A20,'Valo FX'!$A:$A,0)),INDEX(Base!$V:$V,MATCH($A20,Base!$A:$A,0)),0)))</f>
        <v>0</v>
      </c>
      <c r="KA20" s="21">
        <f>IF(KA$1&lt;INDEX('Valo FX'!$Q:$Q,MATCH($A20,'Valo FX'!$A:$A,0)),0,IF(KA$1&lt;INDEX('Valo FX'!$R:$R,MATCH($A20,'Valo FX'!$A:$A,0)),INDEX(Base!$U:$U,MATCH($A20,Base!$A:$A,0)),IF(KA$1=INDEX('Valo FX'!$R:$R,MATCH($A20,'Valo FX'!$A:$A,0)),INDEX(Base!$V:$V,MATCH($A20,Base!$A:$A,0)),0)))</f>
        <v>0</v>
      </c>
      <c r="KB20" s="21">
        <f>IF(KB$1&lt;INDEX('Valo FX'!$Q:$Q,MATCH($A20,'Valo FX'!$A:$A,0)),0,IF(KB$1&lt;INDEX('Valo FX'!$R:$R,MATCH($A20,'Valo FX'!$A:$A,0)),INDEX(Base!$U:$U,MATCH($A20,Base!$A:$A,0)),IF(KB$1=INDEX('Valo FX'!$R:$R,MATCH($A20,'Valo FX'!$A:$A,0)),INDEX(Base!$V:$V,MATCH($A20,Base!$A:$A,0)),0)))</f>
        <v>0</v>
      </c>
      <c r="KC20" s="21">
        <f>IF(KC$1&lt;INDEX('Valo FX'!$Q:$Q,MATCH($A20,'Valo FX'!$A:$A,0)),0,IF(KC$1&lt;INDEX('Valo FX'!$R:$R,MATCH($A20,'Valo FX'!$A:$A,0)),INDEX(Base!$U:$U,MATCH($A20,Base!$A:$A,0)),IF(KC$1=INDEX('Valo FX'!$R:$R,MATCH($A20,'Valo FX'!$A:$A,0)),INDEX(Base!$V:$V,MATCH($A20,Base!$A:$A,0)),0)))</f>
        <v>0</v>
      </c>
      <c r="KD20" s="21">
        <f>IF(KD$1&lt;INDEX('Valo FX'!$Q:$Q,MATCH($A20,'Valo FX'!$A:$A,0)),0,IF(KD$1&lt;INDEX('Valo FX'!$R:$R,MATCH($A20,'Valo FX'!$A:$A,0)),INDEX(Base!$U:$U,MATCH($A20,Base!$A:$A,0)),IF(KD$1=INDEX('Valo FX'!$R:$R,MATCH($A20,'Valo FX'!$A:$A,0)),INDEX(Base!$V:$V,MATCH($A20,Base!$A:$A,0)),0)))</f>
        <v>0</v>
      </c>
      <c r="KE20" s="21">
        <f>IF(KE$1&lt;INDEX('Valo FX'!$Q:$Q,MATCH($A20,'Valo FX'!$A:$A,0)),0,IF(KE$1&lt;INDEX('Valo FX'!$R:$R,MATCH($A20,'Valo FX'!$A:$A,0)),INDEX(Base!$U:$U,MATCH($A20,Base!$A:$A,0)),IF(KE$1=INDEX('Valo FX'!$R:$R,MATCH($A20,'Valo FX'!$A:$A,0)),INDEX(Base!$V:$V,MATCH($A20,Base!$A:$A,0)),0)))</f>
        <v>0</v>
      </c>
      <c r="KF20" s="21">
        <f>IF(KF$1&lt;INDEX('Valo FX'!$Q:$Q,MATCH($A20,'Valo FX'!$A:$A,0)),0,IF(KF$1&lt;INDEX('Valo FX'!$R:$R,MATCH($A20,'Valo FX'!$A:$A,0)),INDEX(Base!$U:$U,MATCH($A20,Base!$A:$A,0)),IF(KF$1=INDEX('Valo FX'!$R:$R,MATCH($A20,'Valo FX'!$A:$A,0)),INDEX(Base!$V:$V,MATCH($A20,Base!$A:$A,0)),0)))</f>
        <v>0</v>
      </c>
      <c r="KG20" s="21">
        <f>IF(KG$1&lt;INDEX('Valo FX'!$Q:$Q,MATCH($A20,'Valo FX'!$A:$A,0)),0,IF(KG$1&lt;INDEX('Valo FX'!$R:$R,MATCH($A20,'Valo FX'!$A:$A,0)),INDEX(Base!$U:$U,MATCH($A20,Base!$A:$A,0)),IF(KG$1=INDEX('Valo FX'!$R:$R,MATCH($A20,'Valo FX'!$A:$A,0)),INDEX(Base!$V:$V,MATCH($A20,Base!$A:$A,0)),0)))</f>
        <v>0</v>
      </c>
      <c r="KH20" s="21">
        <f>IF(KH$1&lt;INDEX('Valo FX'!$Q:$Q,MATCH($A20,'Valo FX'!$A:$A,0)),0,IF(KH$1&lt;INDEX('Valo FX'!$R:$R,MATCH($A20,'Valo FX'!$A:$A,0)),INDEX(Base!$U:$U,MATCH($A20,Base!$A:$A,0)),IF(KH$1=INDEX('Valo FX'!$R:$R,MATCH($A20,'Valo FX'!$A:$A,0)),INDEX(Base!$V:$V,MATCH($A20,Base!$A:$A,0)),0)))</f>
        <v>0</v>
      </c>
      <c r="KI20" s="21">
        <f>IF(KI$1&lt;INDEX('Valo FX'!$Q:$Q,MATCH($A20,'Valo FX'!$A:$A,0)),0,IF(KI$1&lt;INDEX('Valo FX'!$R:$R,MATCH($A20,'Valo FX'!$A:$A,0)),INDEX(Base!$U:$U,MATCH($A20,Base!$A:$A,0)),IF(KI$1=INDEX('Valo FX'!$R:$R,MATCH($A20,'Valo FX'!$A:$A,0)),INDEX(Base!$V:$V,MATCH($A20,Base!$A:$A,0)),0)))</f>
        <v>0</v>
      </c>
      <c r="KJ20" s="21">
        <f>IF(KJ$1&lt;INDEX('Valo FX'!$Q:$Q,MATCH($A20,'Valo FX'!$A:$A,0)),0,IF(KJ$1&lt;INDEX('Valo FX'!$R:$R,MATCH($A20,'Valo FX'!$A:$A,0)),INDEX(Base!$U:$U,MATCH($A20,Base!$A:$A,0)),IF(KJ$1=INDEX('Valo FX'!$R:$R,MATCH($A20,'Valo FX'!$A:$A,0)),INDEX(Base!$V:$V,MATCH($A20,Base!$A:$A,0)),0)))</f>
        <v>0</v>
      </c>
      <c r="KK20" s="21">
        <f>IF(KK$1&lt;INDEX('Valo FX'!$Q:$Q,MATCH($A20,'Valo FX'!$A:$A,0)),0,IF(KK$1&lt;INDEX('Valo FX'!$R:$R,MATCH($A20,'Valo FX'!$A:$A,0)),INDEX(Base!$U:$U,MATCH($A20,Base!$A:$A,0)),IF(KK$1=INDEX('Valo FX'!$R:$R,MATCH($A20,'Valo FX'!$A:$A,0)),INDEX(Base!$V:$V,MATCH($A20,Base!$A:$A,0)),0)))</f>
        <v>0</v>
      </c>
      <c r="KL20" s="21">
        <f>IF(KL$1&lt;INDEX('Valo FX'!$Q:$Q,MATCH($A20,'Valo FX'!$A:$A,0)),0,IF(KL$1&lt;INDEX('Valo FX'!$R:$R,MATCH($A20,'Valo FX'!$A:$A,0)),INDEX(Base!$U:$U,MATCH($A20,Base!$A:$A,0)),IF(KL$1=INDEX('Valo FX'!$R:$R,MATCH($A20,'Valo FX'!$A:$A,0)),INDEX(Base!$V:$V,MATCH($A20,Base!$A:$A,0)),0)))</f>
        <v>0</v>
      </c>
      <c r="KM20" s="21">
        <f>IF(KM$1&lt;INDEX('Valo FX'!$Q:$Q,MATCH($A20,'Valo FX'!$A:$A,0)),0,IF(KM$1&lt;INDEX('Valo FX'!$R:$R,MATCH($A20,'Valo FX'!$A:$A,0)),INDEX(Base!$U:$U,MATCH($A20,Base!$A:$A,0)),IF(KM$1=INDEX('Valo FX'!$R:$R,MATCH($A20,'Valo FX'!$A:$A,0)),INDEX(Base!$V:$V,MATCH($A20,Base!$A:$A,0)),0)))</f>
        <v>0</v>
      </c>
      <c r="KN20" s="21">
        <f>IF(KN$1&lt;INDEX('Valo FX'!$Q:$Q,MATCH($A20,'Valo FX'!$A:$A,0)),0,IF(KN$1&lt;INDEX('Valo FX'!$R:$R,MATCH($A20,'Valo FX'!$A:$A,0)),INDEX(Base!$U:$U,MATCH($A20,Base!$A:$A,0)),IF(KN$1=INDEX('Valo FX'!$R:$R,MATCH($A20,'Valo FX'!$A:$A,0)),INDEX(Base!$V:$V,MATCH($A20,Base!$A:$A,0)),0)))</f>
        <v>0</v>
      </c>
      <c r="KO20" s="21">
        <f>IF(KO$1&lt;INDEX('Valo FX'!$Q:$Q,MATCH($A20,'Valo FX'!$A:$A,0)),0,IF(KO$1&lt;INDEX('Valo FX'!$R:$R,MATCH($A20,'Valo FX'!$A:$A,0)),INDEX(Base!$U:$U,MATCH($A20,Base!$A:$A,0)),IF(KO$1=INDEX('Valo FX'!$R:$R,MATCH($A20,'Valo FX'!$A:$A,0)),INDEX(Base!$V:$V,MATCH($A20,Base!$A:$A,0)),0)))</f>
        <v>0</v>
      </c>
      <c r="KP20" s="21">
        <f>IF(KP$1&lt;INDEX('Valo FX'!$Q:$Q,MATCH($A20,'Valo FX'!$A:$A,0)),0,IF(KP$1&lt;INDEX('Valo FX'!$R:$R,MATCH($A20,'Valo FX'!$A:$A,0)),INDEX(Base!$U:$U,MATCH($A20,Base!$A:$A,0)),IF(KP$1=INDEX('Valo FX'!$R:$R,MATCH($A20,'Valo FX'!$A:$A,0)),INDEX(Base!$V:$V,MATCH($A20,Base!$A:$A,0)),0)))</f>
        <v>0</v>
      </c>
      <c r="KQ20" s="21">
        <f>IF(KQ$1&lt;INDEX('Valo FX'!$Q:$Q,MATCH($A20,'Valo FX'!$A:$A,0)),0,IF(KQ$1&lt;INDEX('Valo FX'!$R:$R,MATCH($A20,'Valo FX'!$A:$A,0)),INDEX(Base!$U:$U,MATCH($A20,Base!$A:$A,0)),IF(KQ$1=INDEX('Valo FX'!$R:$R,MATCH($A20,'Valo FX'!$A:$A,0)),INDEX(Base!$V:$V,MATCH($A20,Base!$A:$A,0)),0)))</f>
        <v>0</v>
      </c>
      <c r="KR20" s="21">
        <f>IF(KR$1&lt;INDEX('Valo FX'!$Q:$Q,MATCH($A20,'Valo FX'!$A:$A,0)),0,IF(KR$1&lt;INDEX('Valo FX'!$R:$R,MATCH($A20,'Valo FX'!$A:$A,0)),INDEX(Base!$U:$U,MATCH($A20,Base!$A:$A,0)),IF(KR$1=INDEX('Valo FX'!$R:$R,MATCH($A20,'Valo FX'!$A:$A,0)),INDEX(Base!$V:$V,MATCH($A20,Base!$A:$A,0)),0)))</f>
        <v>0</v>
      </c>
      <c r="KS20" s="21">
        <f>IF(KS$1&lt;INDEX('Valo FX'!$Q:$Q,MATCH($A20,'Valo FX'!$A:$A,0)),0,IF(KS$1&lt;INDEX('Valo FX'!$R:$R,MATCH($A20,'Valo FX'!$A:$A,0)),INDEX(Base!$U:$U,MATCH($A20,Base!$A:$A,0)),IF(KS$1=INDEX('Valo FX'!$R:$R,MATCH($A20,'Valo FX'!$A:$A,0)),INDEX(Base!$V:$V,MATCH($A20,Base!$A:$A,0)),0)))</f>
        <v>0</v>
      </c>
      <c r="KT20" s="21">
        <f>IF(KT$1&lt;INDEX('Valo FX'!$Q:$Q,MATCH($A20,'Valo FX'!$A:$A,0)),0,IF(KT$1&lt;INDEX('Valo FX'!$R:$R,MATCH($A20,'Valo FX'!$A:$A,0)),INDEX(Base!$U:$U,MATCH($A20,Base!$A:$A,0)),IF(KT$1=INDEX('Valo FX'!$R:$R,MATCH($A20,'Valo FX'!$A:$A,0)),INDEX(Base!$V:$V,MATCH($A20,Base!$A:$A,0)),0)))</f>
        <v>0</v>
      </c>
      <c r="KU20" s="21">
        <f>IF(KU$1&lt;INDEX('Valo FX'!$Q:$Q,MATCH($A20,'Valo FX'!$A:$A,0)),0,IF(KU$1&lt;INDEX('Valo FX'!$R:$R,MATCH($A20,'Valo FX'!$A:$A,0)),INDEX(Base!$U:$U,MATCH($A20,Base!$A:$A,0)),IF(KU$1=INDEX('Valo FX'!$R:$R,MATCH($A20,'Valo FX'!$A:$A,0)),INDEX(Base!$V:$V,MATCH($A20,Base!$A:$A,0)),0)))</f>
        <v>0</v>
      </c>
      <c r="KV20" s="21">
        <f>IF(KV$1&lt;INDEX('Valo FX'!$Q:$Q,MATCH($A20,'Valo FX'!$A:$A,0)),0,IF(KV$1&lt;INDEX('Valo FX'!$R:$R,MATCH($A20,'Valo FX'!$A:$A,0)),INDEX(Base!$U:$U,MATCH($A20,Base!$A:$A,0)),IF(KV$1=INDEX('Valo FX'!$R:$R,MATCH($A20,'Valo FX'!$A:$A,0)),INDEX(Base!$V:$V,MATCH($A20,Base!$A:$A,0)),0)))</f>
        <v>0</v>
      </c>
      <c r="KW20" s="21">
        <f>IF(KW$1&lt;INDEX('Valo FX'!$Q:$Q,MATCH($A20,'Valo FX'!$A:$A,0)),0,IF(KW$1&lt;INDEX('Valo FX'!$R:$R,MATCH($A20,'Valo FX'!$A:$A,0)),INDEX(Base!$U:$U,MATCH($A20,Base!$A:$A,0)),IF(KW$1=INDEX('Valo FX'!$R:$R,MATCH($A20,'Valo FX'!$A:$A,0)),INDEX(Base!$V:$V,MATCH($A20,Base!$A:$A,0)),0)))</f>
        <v>0</v>
      </c>
      <c r="KX20" s="21">
        <f>IF(KX$1&lt;INDEX('Valo FX'!$Q:$Q,MATCH($A20,'Valo FX'!$A:$A,0)),0,IF(KX$1&lt;INDEX('Valo FX'!$R:$R,MATCH($A20,'Valo FX'!$A:$A,0)),INDEX(Base!$U:$U,MATCH($A20,Base!$A:$A,0)),IF(KX$1=INDEX('Valo FX'!$R:$R,MATCH($A20,'Valo FX'!$A:$A,0)),INDEX(Base!$V:$V,MATCH($A20,Base!$A:$A,0)),0)))</f>
        <v>0</v>
      </c>
      <c r="KY20" s="21">
        <f>IF(KY$1&lt;INDEX('Valo FX'!$Q:$Q,MATCH($A20,'Valo FX'!$A:$A,0)),0,IF(KY$1&lt;INDEX('Valo FX'!$R:$R,MATCH($A20,'Valo FX'!$A:$A,0)),INDEX(Base!$U:$U,MATCH($A20,Base!$A:$A,0)),IF(KY$1=INDEX('Valo FX'!$R:$R,MATCH($A20,'Valo FX'!$A:$A,0)),INDEX(Base!$V:$V,MATCH($A20,Base!$A:$A,0)),0)))</f>
        <v>0</v>
      </c>
      <c r="KZ20" s="21">
        <f>IF(KZ$1&lt;INDEX('Valo FX'!$Q:$Q,MATCH($A20,'Valo FX'!$A:$A,0)),0,IF(KZ$1&lt;INDEX('Valo FX'!$R:$R,MATCH($A20,'Valo FX'!$A:$A,0)),INDEX(Base!$U:$U,MATCH($A20,Base!$A:$A,0)),IF(KZ$1=INDEX('Valo FX'!$R:$R,MATCH($A20,'Valo FX'!$A:$A,0)),INDEX(Base!$V:$V,MATCH($A20,Base!$A:$A,0)),0)))</f>
        <v>0</v>
      </c>
      <c r="LA20" s="21">
        <f>IF(LA$1&lt;INDEX('Valo FX'!$Q:$Q,MATCH($A20,'Valo FX'!$A:$A,0)),0,IF(LA$1&lt;INDEX('Valo FX'!$R:$R,MATCH($A20,'Valo FX'!$A:$A,0)),INDEX(Base!$U:$U,MATCH($A20,Base!$A:$A,0)),IF(LA$1=INDEX('Valo FX'!$R:$R,MATCH($A20,'Valo FX'!$A:$A,0)),INDEX(Base!$V:$V,MATCH($A20,Base!$A:$A,0)),0)))</f>
        <v>0</v>
      </c>
      <c r="LB20" s="21">
        <f>IF(LB$1&lt;INDEX('Valo FX'!$Q:$Q,MATCH($A20,'Valo FX'!$A:$A,0)),0,IF(LB$1&lt;INDEX('Valo FX'!$R:$R,MATCH($A20,'Valo FX'!$A:$A,0)),INDEX(Base!$U:$U,MATCH($A20,Base!$A:$A,0)),IF(LB$1=INDEX('Valo FX'!$R:$R,MATCH($A20,'Valo FX'!$A:$A,0)),INDEX(Base!$V:$V,MATCH($A20,Base!$A:$A,0)),0)))</f>
        <v>0</v>
      </c>
      <c r="LC20" s="21">
        <f>IF(LC$1&lt;INDEX('Valo FX'!$Q:$Q,MATCH($A20,'Valo FX'!$A:$A,0)),0,IF(LC$1&lt;INDEX('Valo FX'!$R:$R,MATCH($A20,'Valo FX'!$A:$A,0)),INDEX(Base!$U:$U,MATCH($A20,Base!$A:$A,0)),IF(LC$1=INDEX('Valo FX'!$R:$R,MATCH($A20,'Valo FX'!$A:$A,0)),INDEX(Base!$V:$V,MATCH($A20,Base!$A:$A,0)),0)))</f>
        <v>0</v>
      </c>
      <c r="LD20" s="21">
        <f>IF(LD$1&lt;INDEX('Valo FX'!$Q:$Q,MATCH($A20,'Valo FX'!$A:$A,0)),0,IF(LD$1&lt;INDEX('Valo FX'!$R:$R,MATCH($A20,'Valo FX'!$A:$A,0)),INDEX(Base!$U:$U,MATCH($A20,Base!$A:$A,0)),IF(LD$1=INDEX('Valo FX'!$R:$R,MATCH($A20,'Valo FX'!$A:$A,0)),INDEX(Base!$V:$V,MATCH($A20,Base!$A:$A,0)),0)))</f>
        <v>0</v>
      </c>
      <c r="LE20" s="21">
        <f>IF(LE$1&lt;INDEX('Valo FX'!$Q:$Q,MATCH($A20,'Valo FX'!$A:$A,0)),0,IF(LE$1&lt;INDEX('Valo FX'!$R:$R,MATCH($A20,'Valo FX'!$A:$A,0)),INDEX(Base!$U:$U,MATCH($A20,Base!$A:$A,0)),IF(LE$1=INDEX('Valo FX'!$R:$R,MATCH($A20,'Valo FX'!$A:$A,0)),INDEX(Base!$V:$V,MATCH($A20,Base!$A:$A,0)),0)))</f>
        <v>0</v>
      </c>
      <c r="LF20" s="21">
        <f>IF(LF$1&lt;INDEX('Valo FX'!$Q:$Q,MATCH($A20,'Valo FX'!$A:$A,0)),0,IF(LF$1&lt;INDEX('Valo FX'!$R:$R,MATCH($A20,'Valo FX'!$A:$A,0)),INDEX(Base!$U:$U,MATCH($A20,Base!$A:$A,0)),IF(LF$1=INDEX('Valo FX'!$R:$R,MATCH($A20,'Valo FX'!$A:$A,0)),INDEX(Base!$V:$V,MATCH($A20,Base!$A:$A,0)),0)))</f>
        <v>0</v>
      </c>
      <c r="LG20" s="21">
        <f>IF(LG$1&lt;INDEX('Valo FX'!$Q:$Q,MATCH($A20,'Valo FX'!$A:$A,0)),0,IF(LG$1&lt;INDEX('Valo FX'!$R:$R,MATCH($A20,'Valo FX'!$A:$A,0)),INDEX(Base!$U:$U,MATCH($A20,Base!$A:$A,0)),IF(LG$1=INDEX('Valo FX'!$R:$R,MATCH($A20,'Valo FX'!$A:$A,0)),INDEX(Base!$V:$V,MATCH($A20,Base!$A:$A,0)),0)))</f>
        <v>0</v>
      </c>
      <c r="LH20" s="21">
        <f>IF(LH$1&lt;INDEX('Valo FX'!$Q:$Q,MATCH($A20,'Valo FX'!$A:$A,0)),0,IF(LH$1&lt;INDEX('Valo FX'!$R:$R,MATCH($A20,'Valo FX'!$A:$A,0)),INDEX(Base!$U:$U,MATCH($A20,Base!$A:$A,0)),IF(LH$1=INDEX('Valo FX'!$R:$R,MATCH($A20,'Valo FX'!$A:$A,0)),INDEX(Base!$V:$V,MATCH($A20,Base!$A:$A,0)),0)))</f>
        <v>0</v>
      </c>
      <c r="LI20" s="21">
        <f>IF(LI$1&lt;INDEX('Valo FX'!$Q:$Q,MATCH($A20,'Valo FX'!$A:$A,0)),0,IF(LI$1&lt;INDEX('Valo FX'!$R:$R,MATCH($A20,'Valo FX'!$A:$A,0)),INDEX(Base!$U:$U,MATCH($A20,Base!$A:$A,0)),IF(LI$1=INDEX('Valo FX'!$R:$R,MATCH($A20,'Valo FX'!$A:$A,0)),INDEX(Base!$V:$V,MATCH($A20,Base!$A:$A,0)),0)))</f>
        <v>0</v>
      </c>
      <c r="LJ20" s="21">
        <f>IF(LJ$1&lt;INDEX('Valo FX'!$Q:$Q,MATCH($A20,'Valo FX'!$A:$A,0)),0,IF(LJ$1&lt;INDEX('Valo FX'!$R:$R,MATCH($A20,'Valo FX'!$A:$A,0)),INDEX(Base!$U:$U,MATCH($A20,Base!$A:$A,0)),IF(LJ$1=INDEX('Valo FX'!$R:$R,MATCH($A20,'Valo FX'!$A:$A,0)),INDEX(Base!$V:$V,MATCH($A20,Base!$A:$A,0)),0)))</f>
        <v>0</v>
      </c>
      <c r="LK20" s="21">
        <f>IF(LK$1&lt;INDEX('Valo FX'!$Q:$Q,MATCH($A20,'Valo FX'!$A:$A,0)),0,IF(LK$1&lt;INDEX('Valo FX'!$R:$R,MATCH($A20,'Valo FX'!$A:$A,0)),INDEX(Base!$U:$U,MATCH($A20,Base!$A:$A,0)),IF(LK$1=INDEX('Valo FX'!$R:$R,MATCH($A20,'Valo FX'!$A:$A,0)),INDEX(Base!$V:$V,MATCH($A20,Base!$A:$A,0)),0)))</f>
        <v>0</v>
      </c>
      <c r="LL20" s="21">
        <f>IF(LL$1&lt;INDEX('Valo FX'!$Q:$Q,MATCH($A20,'Valo FX'!$A:$A,0)),0,IF(LL$1&lt;INDEX('Valo FX'!$R:$R,MATCH($A20,'Valo FX'!$A:$A,0)),INDEX(Base!$U:$U,MATCH($A20,Base!$A:$A,0)),IF(LL$1=INDEX('Valo FX'!$R:$R,MATCH($A20,'Valo FX'!$A:$A,0)),INDEX(Base!$V:$V,MATCH($A20,Base!$A:$A,0)),0)))</f>
        <v>0</v>
      </c>
      <c r="LM20" s="21">
        <f>IF(LM$1&lt;INDEX('Valo FX'!$Q:$Q,MATCH($A20,'Valo FX'!$A:$A,0)),0,IF(LM$1&lt;INDEX('Valo FX'!$R:$R,MATCH($A20,'Valo FX'!$A:$A,0)),INDEX(Base!$U:$U,MATCH($A20,Base!$A:$A,0)),IF(LM$1=INDEX('Valo FX'!$R:$R,MATCH($A20,'Valo FX'!$A:$A,0)),INDEX(Base!$V:$V,MATCH($A20,Base!$A:$A,0)),0)))</f>
        <v>0</v>
      </c>
      <c r="LN20" s="21">
        <f>IF(LN$1&lt;INDEX('Valo FX'!$Q:$Q,MATCH($A20,'Valo FX'!$A:$A,0)),0,IF(LN$1&lt;INDEX('Valo FX'!$R:$R,MATCH($A20,'Valo FX'!$A:$A,0)),INDEX(Base!$U:$U,MATCH($A20,Base!$A:$A,0)),IF(LN$1=INDEX('Valo FX'!$R:$R,MATCH($A20,'Valo FX'!$A:$A,0)),INDEX(Base!$V:$V,MATCH($A20,Base!$A:$A,0)),0)))</f>
        <v>0</v>
      </c>
      <c r="LO20" s="21">
        <f>IF(LO$1&lt;INDEX('Valo FX'!$Q:$Q,MATCH($A20,'Valo FX'!$A:$A,0)),0,IF(LO$1&lt;INDEX('Valo FX'!$R:$R,MATCH($A20,'Valo FX'!$A:$A,0)),INDEX(Base!$U:$U,MATCH($A20,Base!$A:$A,0)),IF(LO$1=INDEX('Valo FX'!$R:$R,MATCH($A20,'Valo FX'!$A:$A,0)),INDEX(Base!$V:$V,MATCH($A20,Base!$A:$A,0)),0)))</f>
        <v>0</v>
      </c>
      <c r="LP20" s="21">
        <f>IF(LP$1&lt;INDEX('Valo FX'!$Q:$Q,MATCH($A20,'Valo FX'!$A:$A,0)),0,IF(LP$1&lt;INDEX('Valo FX'!$R:$R,MATCH($A20,'Valo FX'!$A:$A,0)),INDEX(Base!$U:$U,MATCH($A20,Base!$A:$A,0)),IF(LP$1=INDEX('Valo FX'!$R:$R,MATCH($A20,'Valo FX'!$A:$A,0)),INDEX(Base!$V:$V,MATCH($A20,Base!$A:$A,0)),0)))</f>
        <v>0</v>
      </c>
      <c r="LQ20" s="21">
        <f>IF(LQ$1&lt;INDEX('Valo FX'!$Q:$Q,MATCH($A20,'Valo FX'!$A:$A,0)),0,IF(LQ$1&lt;INDEX('Valo FX'!$R:$R,MATCH($A20,'Valo FX'!$A:$A,0)),INDEX(Base!$U:$U,MATCH($A20,Base!$A:$A,0)),IF(LQ$1=INDEX('Valo FX'!$R:$R,MATCH($A20,'Valo FX'!$A:$A,0)),INDEX(Base!$V:$V,MATCH($A20,Base!$A:$A,0)),0)))</f>
        <v>0</v>
      </c>
      <c r="LR20" s="21">
        <f>IF(LR$1&lt;INDEX('Valo FX'!$Q:$Q,MATCH($A20,'Valo FX'!$A:$A,0)),0,IF(LR$1&lt;INDEX('Valo FX'!$R:$R,MATCH($A20,'Valo FX'!$A:$A,0)),INDEX(Base!$U:$U,MATCH($A20,Base!$A:$A,0)),IF(LR$1=INDEX('Valo FX'!$R:$R,MATCH($A20,'Valo FX'!$A:$A,0)),INDEX(Base!$V:$V,MATCH($A20,Base!$A:$A,0)),0)))</f>
        <v>0</v>
      </c>
      <c r="LS20" s="21">
        <f>IF(LS$1&lt;INDEX('Valo FX'!$Q:$Q,MATCH($A20,'Valo FX'!$A:$A,0)),0,IF(LS$1&lt;INDEX('Valo FX'!$R:$R,MATCH($A20,'Valo FX'!$A:$A,0)),INDEX(Base!$U:$U,MATCH($A20,Base!$A:$A,0)),IF(LS$1=INDEX('Valo FX'!$R:$R,MATCH($A20,'Valo FX'!$A:$A,0)),INDEX(Base!$V:$V,MATCH($A20,Base!$A:$A,0)),0)))</f>
        <v>0</v>
      </c>
      <c r="LT20" s="21">
        <f>IF(LT$1&lt;INDEX('Valo FX'!$Q:$Q,MATCH($A20,'Valo FX'!$A:$A,0)),0,IF(LT$1&lt;INDEX('Valo FX'!$R:$R,MATCH($A20,'Valo FX'!$A:$A,0)),INDEX(Base!$U:$U,MATCH($A20,Base!$A:$A,0)),IF(LT$1=INDEX('Valo FX'!$R:$R,MATCH($A20,'Valo FX'!$A:$A,0)),INDEX(Base!$V:$V,MATCH($A20,Base!$A:$A,0)),0)))</f>
        <v>0</v>
      </c>
      <c r="LU20" s="21">
        <f>IF(LU$1&lt;INDEX('Valo FX'!$Q:$Q,MATCH($A20,'Valo FX'!$A:$A,0)),0,IF(LU$1&lt;INDEX('Valo FX'!$R:$R,MATCH($A20,'Valo FX'!$A:$A,0)),INDEX(Base!$U:$U,MATCH($A20,Base!$A:$A,0)),IF(LU$1=INDEX('Valo FX'!$R:$R,MATCH($A20,'Valo FX'!$A:$A,0)),INDEX(Base!$V:$V,MATCH($A20,Base!$A:$A,0)),0)))</f>
        <v>0</v>
      </c>
      <c r="LV20" s="21">
        <f>IF(LV$1&lt;INDEX('Valo FX'!$Q:$Q,MATCH($A20,'Valo FX'!$A:$A,0)),0,IF(LV$1&lt;INDEX('Valo FX'!$R:$R,MATCH($A20,'Valo FX'!$A:$A,0)),INDEX(Base!$U:$U,MATCH($A20,Base!$A:$A,0)),IF(LV$1=INDEX('Valo FX'!$R:$R,MATCH($A20,'Valo FX'!$A:$A,0)),INDEX(Base!$V:$V,MATCH($A20,Base!$A:$A,0)),0)))</f>
        <v>0</v>
      </c>
      <c r="LW20" s="21">
        <f>IF(LW$1&lt;INDEX('Valo FX'!$Q:$Q,MATCH($A20,'Valo FX'!$A:$A,0)),0,IF(LW$1&lt;INDEX('Valo FX'!$R:$R,MATCH($A20,'Valo FX'!$A:$A,0)),INDEX(Base!$U:$U,MATCH($A20,Base!$A:$A,0)),IF(LW$1=INDEX('Valo FX'!$R:$R,MATCH($A20,'Valo FX'!$A:$A,0)),INDEX(Base!$V:$V,MATCH($A20,Base!$A:$A,0)),0)))</f>
        <v>0</v>
      </c>
      <c r="LX20" s="21">
        <f>IF(LX$1&lt;INDEX('Valo FX'!$Q:$Q,MATCH($A20,'Valo FX'!$A:$A,0)),0,IF(LX$1&lt;INDEX('Valo FX'!$R:$R,MATCH($A20,'Valo FX'!$A:$A,0)),INDEX(Base!$U:$U,MATCH($A20,Base!$A:$A,0)),IF(LX$1=INDEX('Valo FX'!$R:$R,MATCH($A20,'Valo FX'!$A:$A,0)),INDEX(Base!$V:$V,MATCH($A20,Base!$A:$A,0)),0)))</f>
        <v>0</v>
      </c>
      <c r="LY20" s="21">
        <f>IF(LY$1&lt;INDEX('Valo FX'!$Q:$Q,MATCH($A20,'Valo FX'!$A:$A,0)),0,IF(LY$1&lt;INDEX('Valo FX'!$R:$R,MATCH($A20,'Valo FX'!$A:$A,0)),INDEX(Base!$U:$U,MATCH($A20,Base!$A:$A,0)),IF(LY$1=INDEX('Valo FX'!$R:$R,MATCH($A20,'Valo FX'!$A:$A,0)),INDEX(Base!$V:$V,MATCH($A20,Base!$A:$A,0)),0)))</f>
        <v>0</v>
      </c>
      <c r="LZ20" s="21">
        <f>IF(LZ$1&lt;INDEX('Valo FX'!$Q:$Q,MATCH($A20,'Valo FX'!$A:$A,0)),0,IF(LZ$1&lt;INDEX('Valo FX'!$R:$R,MATCH($A20,'Valo FX'!$A:$A,0)),INDEX(Base!$U:$U,MATCH($A20,Base!$A:$A,0)),IF(LZ$1=INDEX('Valo FX'!$R:$R,MATCH($A20,'Valo FX'!$A:$A,0)),INDEX(Base!$V:$V,MATCH($A20,Base!$A:$A,0)),0)))</f>
        <v>0</v>
      </c>
      <c r="MA20" s="21">
        <f>IF(MA$1&lt;INDEX('Valo FX'!$Q:$Q,MATCH($A20,'Valo FX'!$A:$A,0)),0,IF(MA$1&lt;INDEX('Valo FX'!$R:$R,MATCH($A20,'Valo FX'!$A:$A,0)),INDEX(Base!$U:$U,MATCH($A20,Base!$A:$A,0)),IF(MA$1=INDEX('Valo FX'!$R:$R,MATCH($A20,'Valo FX'!$A:$A,0)),INDEX(Base!$V:$V,MATCH($A20,Base!$A:$A,0)),0)))</f>
        <v>0</v>
      </c>
      <c r="MB20" s="21">
        <f>IF(MB$1&lt;INDEX('Valo FX'!$Q:$Q,MATCH($A20,'Valo FX'!$A:$A,0)),0,IF(MB$1&lt;INDEX('Valo FX'!$R:$R,MATCH($A20,'Valo FX'!$A:$A,0)),INDEX(Base!$U:$U,MATCH($A20,Base!$A:$A,0)),IF(MB$1=INDEX('Valo FX'!$R:$R,MATCH($A20,'Valo FX'!$A:$A,0)),INDEX(Base!$V:$V,MATCH($A20,Base!$A:$A,0)),0)))</f>
        <v>0</v>
      </c>
      <c r="MC20" s="21">
        <f>IF(MC$1&lt;INDEX('Valo FX'!$Q:$Q,MATCH($A20,'Valo FX'!$A:$A,0)),0,IF(MC$1&lt;INDEX('Valo FX'!$R:$R,MATCH($A20,'Valo FX'!$A:$A,0)),INDEX(Base!$U:$U,MATCH($A20,Base!$A:$A,0)),IF(MC$1=INDEX('Valo FX'!$R:$R,MATCH($A20,'Valo FX'!$A:$A,0)),INDEX(Base!$V:$V,MATCH($A20,Base!$A:$A,0)),0)))</f>
        <v>0</v>
      </c>
      <c r="MD20" s="21">
        <f>IF(MD$1&lt;INDEX('Valo FX'!$Q:$Q,MATCH($A20,'Valo FX'!$A:$A,0)),0,IF(MD$1&lt;INDEX('Valo FX'!$R:$R,MATCH($A20,'Valo FX'!$A:$A,0)),INDEX(Base!$U:$U,MATCH($A20,Base!$A:$A,0)),IF(MD$1=INDEX('Valo FX'!$R:$R,MATCH($A20,'Valo FX'!$A:$A,0)),INDEX(Base!$V:$V,MATCH($A20,Base!$A:$A,0)),0)))</f>
        <v>0</v>
      </c>
      <c r="ME20" s="21">
        <f>IF(ME$1&lt;INDEX('Valo FX'!$Q:$Q,MATCH($A20,'Valo FX'!$A:$A,0)),0,IF(ME$1&lt;INDEX('Valo FX'!$R:$R,MATCH($A20,'Valo FX'!$A:$A,0)),INDEX(Base!$U:$U,MATCH($A20,Base!$A:$A,0)),IF(ME$1=INDEX('Valo FX'!$R:$R,MATCH($A20,'Valo FX'!$A:$A,0)),INDEX(Base!$V:$V,MATCH($A20,Base!$A:$A,0)),0)))</f>
        <v>0</v>
      </c>
      <c r="MF20" s="21">
        <f>IF(MF$1&lt;INDEX('Valo FX'!$Q:$Q,MATCH($A20,'Valo FX'!$A:$A,0)),0,IF(MF$1&lt;INDEX('Valo FX'!$R:$R,MATCH($A20,'Valo FX'!$A:$A,0)),INDEX(Base!$U:$U,MATCH($A20,Base!$A:$A,0)),IF(MF$1=INDEX('Valo FX'!$R:$R,MATCH($A20,'Valo FX'!$A:$A,0)),INDEX(Base!$V:$V,MATCH($A20,Base!$A:$A,0)),0)))</f>
        <v>0</v>
      </c>
      <c r="MG20" s="21">
        <f>IF(MG$1&lt;INDEX('Valo FX'!$Q:$Q,MATCH($A20,'Valo FX'!$A:$A,0)),0,IF(MG$1&lt;INDEX('Valo FX'!$R:$R,MATCH($A20,'Valo FX'!$A:$A,0)),INDEX(Base!$U:$U,MATCH($A20,Base!$A:$A,0)),IF(MG$1=INDEX('Valo FX'!$R:$R,MATCH($A20,'Valo FX'!$A:$A,0)),INDEX(Base!$V:$V,MATCH($A20,Base!$A:$A,0)),0)))</f>
        <v>0</v>
      </c>
      <c r="MH20" s="21">
        <f>IF(MH$1&lt;INDEX('Valo FX'!$Q:$Q,MATCH($A20,'Valo FX'!$A:$A,0)),0,IF(MH$1&lt;INDEX('Valo FX'!$R:$R,MATCH($A20,'Valo FX'!$A:$A,0)),INDEX(Base!$U:$U,MATCH($A20,Base!$A:$A,0)),IF(MH$1=INDEX('Valo FX'!$R:$R,MATCH($A20,'Valo FX'!$A:$A,0)),INDEX(Base!$V:$V,MATCH($A20,Base!$A:$A,0)),0)))</f>
        <v>0</v>
      </c>
      <c r="MI20" s="21">
        <f>IF(MI$1&lt;INDEX('Valo FX'!$Q:$Q,MATCH($A20,'Valo FX'!$A:$A,0)),0,IF(MI$1&lt;INDEX('Valo FX'!$R:$R,MATCH($A20,'Valo FX'!$A:$A,0)),INDEX(Base!$U:$U,MATCH($A20,Base!$A:$A,0)),IF(MI$1=INDEX('Valo FX'!$R:$R,MATCH($A20,'Valo FX'!$A:$A,0)),INDEX(Base!$V:$V,MATCH($A20,Base!$A:$A,0)),0)))</f>
        <v>0</v>
      </c>
      <c r="MJ20" s="21">
        <f>IF(MJ$1&lt;INDEX('Valo FX'!$Q:$Q,MATCH($A20,'Valo FX'!$A:$A,0)),0,IF(MJ$1&lt;INDEX('Valo FX'!$R:$R,MATCH($A20,'Valo FX'!$A:$A,0)),INDEX(Base!$U:$U,MATCH($A20,Base!$A:$A,0)),IF(MJ$1=INDEX('Valo FX'!$R:$R,MATCH($A20,'Valo FX'!$A:$A,0)),INDEX(Base!$V:$V,MATCH($A20,Base!$A:$A,0)),0)))</f>
        <v>0</v>
      </c>
      <c r="MK20" s="21">
        <f>IF(MK$1&lt;INDEX('Valo FX'!$Q:$Q,MATCH($A20,'Valo FX'!$A:$A,0)),0,IF(MK$1&lt;INDEX('Valo FX'!$R:$R,MATCH($A20,'Valo FX'!$A:$A,0)),INDEX(Base!$U:$U,MATCH($A20,Base!$A:$A,0)),IF(MK$1=INDEX('Valo FX'!$R:$R,MATCH($A20,'Valo FX'!$A:$A,0)),INDEX(Base!$V:$V,MATCH($A20,Base!$A:$A,0)),0)))</f>
        <v>0</v>
      </c>
      <c r="ML20" s="21">
        <f>IF(ML$1&lt;INDEX('Valo FX'!$Q:$Q,MATCH($A20,'Valo FX'!$A:$A,0)),0,IF(ML$1&lt;INDEX('Valo FX'!$R:$R,MATCH($A20,'Valo FX'!$A:$A,0)),INDEX(Base!$U:$U,MATCH($A20,Base!$A:$A,0)),IF(ML$1=INDEX('Valo FX'!$R:$R,MATCH($A20,'Valo FX'!$A:$A,0)),INDEX(Base!$V:$V,MATCH($A20,Base!$A:$A,0)),0)))</f>
        <v>0</v>
      </c>
      <c r="MM20" s="21">
        <f>IF(MM$1&lt;INDEX('Valo FX'!$Q:$Q,MATCH($A20,'Valo FX'!$A:$A,0)),0,IF(MM$1&lt;INDEX('Valo FX'!$R:$R,MATCH($A20,'Valo FX'!$A:$A,0)),INDEX(Base!$U:$U,MATCH($A20,Base!$A:$A,0)),IF(MM$1=INDEX('Valo FX'!$R:$R,MATCH($A20,'Valo FX'!$A:$A,0)),INDEX(Base!$V:$V,MATCH($A20,Base!$A:$A,0)),0)))</f>
        <v>0</v>
      </c>
      <c r="MN20" s="21">
        <f>IF(MN$1&lt;INDEX('Valo FX'!$Q:$Q,MATCH($A20,'Valo FX'!$A:$A,0)),0,IF(MN$1&lt;INDEX('Valo FX'!$R:$R,MATCH($A20,'Valo FX'!$A:$A,0)),INDEX(Base!$U:$U,MATCH($A20,Base!$A:$A,0)),IF(MN$1=INDEX('Valo FX'!$R:$R,MATCH($A20,'Valo FX'!$A:$A,0)),INDEX(Base!$V:$V,MATCH($A20,Base!$A:$A,0)),0)))</f>
        <v>0</v>
      </c>
      <c r="MO20" s="21">
        <f>IF(MO$1&lt;INDEX('Valo FX'!$Q:$Q,MATCH($A20,'Valo FX'!$A:$A,0)),0,IF(MO$1&lt;INDEX('Valo FX'!$R:$R,MATCH($A20,'Valo FX'!$A:$A,0)),INDEX(Base!$U:$U,MATCH($A20,Base!$A:$A,0)),IF(MO$1=INDEX('Valo FX'!$R:$R,MATCH($A20,'Valo FX'!$A:$A,0)),INDEX(Base!$V:$V,MATCH($A20,Base!$A:$A,0)),0)))</f>
        <v>0</v>
      </c>
      <c r="MP20" s="21">
        <f>IF(MP$1&lt;INDEX('Valo FX'!$Q:$Q,MATCH($A20,'Valo FX'!$A:$A,0)),0,IF(MP$1&lt;INDEX('Valo FX'!$R:$R,MATCH($A20,'Valo FX'!$A:$A,0)),INDEX(Base!$U:$U,MATCH($A20,Base!$A:$A,0)),IF(MP$1=INDEX('Valo FX'!$R:$R,MATCH($A20,'Valo FX'!$A:$A,0)),INDEX(Base!$V:$V,MATCH($A20,Base!$A:$A,0)),0)))</f>
        <v>0</v>
      </c>
      <c r="MQ20" s="21">
        <f>IF(MQ$1&lt;INDEX('Valo FX'!$Q:$Q,MATCH($A20,'Valo FX'!$A:$A,0)),0,IF(MQ$1&lt;INDEX('Valo FX'!$R:$R,MATCH($A20,'Valo FX'!$A:$A,0)),INDEX(Base!$U:$U,MATCH($A20,Base!$A:$A,0)),IF(MQ$1=INDEX('Valo FX'!$R:$R,MATCH($A20,'Valo FX'!$A:$A,0)),INDEX(Base!$V:$V,MATCH($A20,Base!$A:$A,0)),0)))</f>
        <v>0</v>
      </c>
      <c r="MR20" s="21">
        <f>IF(MR$1&lt;INDEX('Valo FX'!$Q:$Q,MATCH($A20,'Valo FX'!$A:$A,0)),0,IF(MR$1&lt;INDEX('Valo FX'!$R:$R,MATCH($A20,'Valo FX'!$A:$A,0)),INDEX(Base!$U:$U,MATCH($A20,Base!$A:$A,0)),IF(MR$1=INDEX('Valo FX'!$R:$R,MATCH($A20,'Valo FX'!$A:$A,0)),INDEX(Base!$V:$V,MATCH($A20,Base!$A:$A,0)),0)))</f>
        <v>0</v>
      </c>
      <c r="MS20" s="21">
        <f>IF(MS$1&lt;INDEX('Valo FX'!$Q:$Q,MATCH($A20,'Valo FX'!$A:$A,0)),0,IF(MS$1&lt;INDEX('Valo FX'!$R:$R,MATCH($A20,'Valo FX'!$A:$A,0)),INDEX(Base!$U:$U,MATCH($A20,Base!$A:$A,0)),IF(MS$1=INDEX('Valo FX'!$R:$R,MATCH($A20,'Valo FX'!$A:$A,0)),INDEX(Base!$V:$V,MATCH($A20,Base!$A:$A,0)),0)))</f>
        <v>0</v>
      </c>
      <c r="MT20" s="21">
        <f>IF(MT$1&lt;INDEX('Valo FX'!$Q:$Q,MATCH($A20,'Valo FX'!$A:$A,0)),0,IF(MT$1&lt;INDEX('Valo FX'!$R:$R,MATCH($A20,'Valo FX'!$A:$A,0)),INDEX(Base!$U:$U,MATCH($A20,Base!$A:$A,0)),IF(MT$1=INDEX('Valo FX'!$R:$R,MATCH($A20,'Valo FX'!$A:$A,0)),INDEX(Base!$V:$V,MATCH($A20,Base!$A:$A,0)),0)))</f>
        <v>0</v>
      </c>
      <c r="MU20" s="21">
        <f>IF(MU$1&lt;INDEX('Valo FX'!$Q:$Q,MATCH($A20,'Valo FX'!$A:$A,0)),0,IF(MU$1&lt;INDEX('Valo FX'!$R:$R,MATCH($A20,'Valo FX'!$A:$A,0)),INDEX(Base!$U:$U,MATCH($A20,Base!$A:$A,0)),IF(MU$1=INDEX('Valo FX'!$R:$R,MATCH($A20,'Valo FX'!$A:$A,0)),INDEX(Base!$V:$V,MATCH($A20,Base!$A:$A,0)),0)))</f>
        <v>0</v>
      </c>
      <c r="MV20" s="21">
        <f>IF(MV$1&lt;INDEX('Valo FX'!$Q:$Q,MATCH($A20,'Valo FX'!$A:$A,0)),0,IF(MV$1&lt;INDEX('Valo FX'!$R:$R,MATCH($A20,'Valo FX'!$A:$A,0)),INDEX(Base!$U:$U,MATCH($A20,Base!$A:$A,0)),IF(MV$1=INDEX('Valo FX'!$R:$R,MATCH($A20,'Valo FX'!$A:$A,0)),INDEX(Base!$V:$V,MATCH($A20,Base!$A:$A,0)),0)))</f>
        <v>0</v>
      </c>
      <c r="MW20" s="21">
        <f>IF(MW$1&lt;INDEX('Valo FX'!$Q:$Q,MATCH($A20,'Valo FX'!$A:$A,0)),0,IF(MW$1&lt;INDEX('Valo FX'!$R:$R,MATCH($A20,'Valo FX'!$A:$A,0)),INDEX(Base!$U:$U,MATCH($A20,Base!$A:$A,0)),IF(MW$1=INDEX('Valo FX'!$R:$R,MATCH($A20,'Valo FX'!$A:$A,0)),INDEX(Base!$V:$V,MATCH($A20,Base!$A:$A,0)),0)))</f>
        <v>0</v>
      </c>
      <c r="MX20" s="21">
        <f>IF(MX$1&lt;INDEX('Valo FX'!$Q:$Q,MATCH($A20,'Valo FX'!$A:$A,0)),0,IF(MX$1&lt;INDEX('Valo FX'!$R:$R,MATCH($A20,'Valo FX'!$A:$A,0)),INDEX(Base!$U:$U,MATCH($A20,Base!$A:$A,0)),IF(MX$1=INDEX('Valo FX'!$R:$R,MATCH($A20,'Valo FX'!$A:$A,0)),INDEX(Base!$V:$V,MATCH($A20,Base!$A:$A,0)),0)))</f>
        <v>0</v>
      </c>
      <c r="MY20" s="21">
        <f>IF(MY$1&lt;INDEX('Valo FX'!$Q:$Q,MATCH($A20,'Valo FX'!$A:$A,0)),0,IF(MY$1&lt;INDEX('Valo FX'!$R:$R,MATCH($A20,'Valo FX'!$A:$A,0)),INDEX(Base!$U:$U,MATCH($A20,Base!$A:$A,0)),IF(MY$1=INDEX('Valo FX'!$R:$R,MATCH($A20,'Valo FX'!$A:$A,0)),INDEX(Base!$V:$V,MATCH($A20,Base!$A:$A,0)),0)))</f>
        <v>0</v>
      </c>
    </row>
    <row r="21" spans="1:363" x14ac:dyDescent="0.25">
      <c r="A21" s="7">
        <f>+'Valo FX'!A22</f>
        <v>19</v>
      </c>
      <c r="B21" s="59">
        <f>-'Valo FX'!T22</f>
        <v>-991.77740287525307</v>
      </c>
      <c r="C21" s="21">
        <f>IF(C$1&lt;INDEX('Valo FX'!$Q:$Q,MATCH($A21,'Valo FX'!$A:$A,0)),0,IF(C$1&lt;INDEX('Valo FX'!$R:$R,MATCH($A21,'Valo FX'!$A:$A,0)),INDEX(Base!$U:$U,MATCH($A21,Base!$A:$A,0)),IF(C$1=INDEX('Valo FX'!$R:$R,MATCH($A21,'Valo FX'!$A:$A,0)),INDEX(Base!$V:$V,MATCH($A21,Base!$A:$A,0)),0)))</f>
        <v>0</v>
      </c>
      <c r="D21" s="21">
        <f>IF(D$1&lt;INDEX('Valo FX'!$Q:$Q,MATCH($A21,'Valo FX'!$A:$A,0)),0,IF(D$1&lt;INDEX('Valo FX'!$R:$R,MATCH($A21,'Valo FX'!$A:$A,0)),INDEX(Base!$U:$U,MATCH($A21,Base!$A:$A,0)),IF(D$1=INDEX('Valo FX'!$R:$R,MATCH($A21,'Valo FX'!$A:$A,0)),INDEX(Base!$V:$V,MATCH($A21,Base!$A:$A,0)),0)))</f>
        <v>0</v>
      </c>
      <c r="E21" s="21">
        <f>IF(E$1&lt;INDEX('Valo FX'!$Q:$Q,MATCH($A21,'Valo FX'!$A:$A,0)),0,IF(E$1&lt;INDEX('Valo FX'!$R:$R,MATCH($A21,'Valo FX'!$A:$A,0)),INDEX(Base!$U:$U,MATCH($A21,Base!$A:$A,0)),IF(E$1=INDEX('Valo FX'!$R:$R,MATCH($A21,'Valo FX'!$A:$A,0)),INDEX(Base!$V:$V,MATCH($A21,Base!$A:$A,0)),0)))</f>
        <v>0</v>
      </c>
      <c r="F21" s="21">
        <f>IF(F$1&lt;INDEX('Valo FX'!$Q:$Q,MATCH($A21,'Valo FX'!$A:$A,0)),0,IF(F$1&lt;INDEX('Valo FX'!$R:$R,MATCH($A21,'Valo FX'!$A:$A,0)),INDEX(Base!$U:$U,MATCH($A21,Base!$A:$A,0)),IF(F$1=INDEX('Valo FX'!$R:$R,MATCH($A21,'Valo FX'!$A:$A,0)),INDEX(Base!$V:$V,MATCH($A21,Base!$A:$A,0)),0)))</f>
        <v>0</v>
      </c>
      <c r="G21" s="21">
        <f>IF(G$1&lt;INDEX('Valo FX'!$Q:$Q,MATCH($A21,'Valo FX'!$A:$A,0)),0,IF(G$1&lt;INDEX('Valo FX'!$R:$R,MATCH($A21,'Valo FX'!$A:$A,0)),INDEX(Base!$U:$U,MATCH($A21,Base!$A:$A,0)),IF(G$1=INDEX('Valo FX'!$R:$R,MATCH($A21,'Valo FX'!$A:$A,0)),INDEX(Base!$V:$V,MATCH($A21,Base!$A:$A,0)),0)))</f>
        <v>0</v>
      </c>
      <c r="H21" s="21">
        <f>IF(H$1&lt;INDEX('Valo FX'!$Q:$Q,MATCH($A21,'Valo FX'!$A:$A,0)),0,IF(H$1&lt;INDEX('Valo FX'!$R:$R,MATCH($A21,'Valo FX'!$A:$A,0)),INDEX(Base!$U:$U,MATCH($A21,Base!$A:$A,0)),IF(H$1=INDEX('Valo FX'!$R:$R,MATCH($A21,'Valo FX'!$A:$A,0)),INDEX(Base!$V:$V,MATCH($A21,Base!$A:$A,0)),0)))</f>
        <v>0</v>
      </c>
      <c r="I21" s="21">
        <f>IF(I$1&lt;INDEX('Valo FX'!$Q:$Q,MATCH($A21,'Valo FX'!$A:$A,0)),0,IF(I$1&lt;INDEX('Valo FX'!$R:$R,MATCH($A21,'Valo FX'!$A:$A,0)),INDEX(Base!$U:$U,MATCH($A21,Base!$A:$A,0)),IF(I$1=INDEX('Valo FX'!$R:$R,MATCH($A21,'Valo FX'!$A:$A,0)),INDEX(Base!$V:$V,MATCH($A21,Base!$A:$A,0)),0)))</f>
        <v>7.6339199999999998</v>
      </c>
      <c r="J21" s="21">
        <f>IF(J$1&lt;INDEX('Valo FX'!$Q:$Q,MATCH($A21,'Valo FX'!$A:$A,0)),0,IF(J$1&lt;INDEX('Valo FX'!$R:$R,MATCH($A21,'Valo FX'!$A:$A,0)),INDEX(Base!$U:$U,MATCH($A21,Base!$A:$A,0)),IF(J$1=INDEX('Valo FX'!$R:$R,MATCH($A21,'Valo FX'!$A:$A,0)),INDEX(Base!$V:$V,MATCH($A21,Base!$A:$A,0)),0)))</f>
        <v>7.6339199999999998</v>
      </c>
      <c r="K21" s="21">
        <f>IF(K$1&lt;INDEX('Valo FX'!$Q:$Q,MATCH($A21,'Valo FX'!$A:$A,0)),0,IF(K$1&lt;INDEX('Valo FX'!$R:$R,MATCH($A21,'Valo FX'!$A:$A,0)),INDEX(Base!$U:$U,MATCH($A21,Base!$A:$A,0)),IF(K$1=INDEX('Valo FX'!$R:$R,MATCH($A21,'Valo FX'!$A:$A,0)),INDEX(Base!$V:$V,MATCH($A21,Base!$A:$A,0)),0)))</f>
        <v>7.6339199999999998</v>
      </c>
      <c r="L21" s="21">
        <f>IF(L$1&lt;INDEX('Valo FX'!$Q:$Q,MATCH($A21,'Valo FX'!$A:$A,0)),0,IF(L$1&lt;INDEX('Valo FX'!$R:$R,MATCH($A21,'Valo FX'!$A:$A,0)),INDEX(Base!$U:$U,MATCH($A21,Base!$A:$A,0)),IF(L$1=INDEX('Valo FX'!$R:$R,MATCH($A21,'Valo FX'!$A:$A,0)),INDEX(Base!$V:$V,MATCH($A21,Base!$A:$A,0)),0)))</f>
        <v>7.6339199999999998</v>
      </c>
      <c r="M21" s="21">
        <f>IF(M$1&lt;INDEX('Valo FX'!$Q:$Q,MATCH($A21,'Valo FX'!$A:$A,0)),0,IF(M$1&lt;INDEX('Valo FX'!$R:$R,MATCH($A21,'Valo FX'!$A:$A,0)),INDEX(Base!$U:$U,MATCH($A21,Base!$A:$A,0)),IF(M$1=INDEX('Valo FX'!$R:$R,MATCH($A21,'Valo FX'!$A:$A,0)),INDEX(Base!$V:$V,MATCH($A21,Base!$A:$A,0)),0)))</f>
        <v>7.6339199999999998</v>
      </c>
      <c r="N21" s="21">
        <f>IF(N$1&lt;INDEX('Valo FX'!$Q:$Q,MATCH($A21,'Valo FX'!$A:$A,0)),0,IF(N$1&lt;INDEX('Valo FX'!$R:$R,MATCH($A21,'Valo FX'!$A:$A,0)),INDEX(Base!$U:$U,MATCH($A21,Base!$A:$A,0)),IF(N$1=INDEX('Valo FX'!$R:$R,MATCH($A21,'Valo FX'!$A:$A,0)),INDEX(Base!$V:$V,MATCH($A21,Base!$A:$A,0)),0)))</f>
        <v>7.6339199999999998</v>
      </c>
      <c r="O21" s="21">
        <f>IF(O$1&lt;INDEX('Valo FX'!$Q:$Q,MATCH($A21,'Valo FX'!$A:$A,0)),0,IF(O$1&lt;INDEX('Valo FX'!$R:$R,MATCH($A21,'Valo FX'!$A:$A,0)),INDEX(Base!$U:$U,MATCH($A21,Base!$A:$A,0)),IF(O$1=INDEX('Valo FX'!$R:$R,MATCH($A21,'Valo FX'!$A:$A,0)),INDEX(Base!$V:$V,MATCH($A21,Base!$A:$A,0)),0)))</f>
        <v>7.6339199999999998</v>
      </c>
      <c r="P21" s="21">
        <f>IF(P$1&lt;INDEX('Valo FX'!$Q:$Q,MATCH($A21,'Valo FX'!$A:$A,0)),0,IF(P$1&lt;INDEX('Valo FX'!$R:$R,MATCH($A21,'Valo FX'!$A:$A,0)),INDEX(Base!$U:$U,MATCH($A21,Base!$A:$A,0)),IF(P$1=INDEX('Valo FX'!$R:$R,MATCH($A21,'Valo FX'!$A:$A,0)),INDEX(Base!$V:$V,MATCH($A21,Base!$A:$A,0)),0)))</f>
        <v>7.6339199999999998</v>
      </c>
      <c r="Q21" s="21">
        <f>IF(Q$1&lt;INDEX('Valo FX'!$Q:$Q,MATCH($A21,'Valo FX'!$A:$A,0)),0,IF(Q$1&lt;INDEX('Valo FX'!$R:$R,MATCH($A21,'Valo FX'!$A:$A,0)),INDEX(Base!$U:$U,MATCH($A21,Base!$A:$A,0)),IF(Q$1=INDEX('Valo FX'!$R:$R,MATCH($A21,'Valo FX'!$A:$A,0)),INDEX(Base!$V:$V,MATCH($A21,Base!$A:$A,0)),0)))</f>
        <v>7.6339199999999998</v>
      </c>
      <c r="R21" s="21">
        <f>IF(R$1&lt;INDEX('Valo FX'!$Q:$Q,MATCH($A21,'Valo FX'!$A:$A,0)),0,IF(R$1&lt;INDEX('Valo FX'!$R:$R,MATCH($A21,'Valo FX'!$A:$A,0)),INDEX(Base!$U:$U,MATCH($A21,Base!$A:$A,0)),IF(R$1=INDEX('Valo FX'!$R:$R,MATCH($A21,'Valo FX'!$A:$A,0)),INDEX(Base!$V:$V,MATCH($A21,Base!$A:$A,0)),0)))</f>
        <v>7.6339199999999998</v>
      </c>
      <c r="S21" s="21">
        <f>IF(S$1&lt;INDEX('Valo FX'!$Q:$Q,MATCH($A21,'Valo FX'!$A:$A,0)),0,IF(S$1&lt;INDEX('Valo FX'!$R:$R,MATCH($A21,'Valo FX'!$A:$A,0)),INDEX(Base!$U:$U,MATCH($A21,Base!$A:$A,0)),IF(S$1=INDEX('Valo FX'!$R:$R,MATCH($A21,'Valo FX'!$A:$A,0)),INDEX(Base!$V:$V,MATCH($A21,Base!$A:$A,0)),0)))</f>
        <v>7.6339199999999998</v>
      </c>
      <c r="T21" s="21">
        <f>IF(T$1&lt;INDEX('Valo FX'!$Q:$Q,MATCH($A21,'Valo FX'!$A:$A,0)),0,IF(T$1&lt;INDEX('Valo FX'!$R:$R,MATCH($A21,'Valo FX'!$A:$A,0)),INDEX(Base!$U:$U,MATCH($A21,Base!$A:$A,0)),IF(T$1=INDEX('Valo FX'!$R:$R,MATCH($A21,'Valo FX'!$A:$A,0)),INDEX(Base!$V:$V,MATCH($A21,Base!$A:$A,0)),0)))</f>
        <v>7.6339199999999998</v>
      </c>
      <c r="U21" s="21">
        <f>IF(U$1&lt;INDEX('Valo FX'!$Q:$Q,MATCH($A21,'Valo FX'!$A:$A,0)),0,IF(U$1&lt;INDEX('Valo FX'!$R:$R,MATCH($A21,'Valo FX'!$A:$A,0)),INDEX(Base!$U:$U,MATCH($A21,Base!$A:$A,0)),IF(U$1=INDEX('Valo FX'!$R:$R,MATCH($A21,'Valo FX'!$A:$A,0)),INDEX(Base!$V:$V,MATCH($A21,Base!$A:$A,0)),0)))</f>
        <v>7.6339199999999998</v>
      </c>
      <c r="V21" s="21">
        <f>IF(V$1&lt;INDEX('Valo FX'!$Q:$Q,MATCH($A21,'Valo FX'!$A:$A,0)),0,IF(V$1&lt;INDEX('Valo FX'!$R:$R,MATCH($A21,'Valo FX'!$A:$A,0)),INDEX(Base!$U:$U,MATCH($A21,Base!$A:$A,0)),IF(V$1=INDEX('Valo FX'!$R:$R,MATCH($A21,'Valo FX'!$A:$A,0)),INDEX(Base!$V:$V,MATCH($A21,Base!$A:$A,0)),0)))</f>
        <v>7.6339199999999998</v>
      </c>
      <c r="W21" s="21">
        <f>IF(W$1&lt;INDEX('Valo FX'!$Q:$Q,MATCH($A21,'Valo FX'!$A:$A,0)),0,IF(W$1&lt;INDEX('Valo FX'!$R:$R,MATCH($A21,'Valo FX'!$A:$A,0)),INDEX(Base!$U:$U,MATCH($A21,Base!$A:$A,0)),IF(W$1=INDEX('Valo FX'!$R:$R,MATCH($A21,'Valo FX'!$A:$A,0)),INDEX(Base!$V:$V,MATCH($A21,Base!$A:$A,0)),0)))</f>
        <v>7.6339199999999998</v>
      </c>
      <c r="X21" s="21">
        <f>IF(X$1&lt;INDEX('Valo FX'!$Q:$Q,MATCH($A21,'Valo FX'!$A:$A,0)),0,IF(X$1&lt;INDEX('Valo FX'!$R:$R,MATCH($A21,'Valo FX'!$A:$A,0)),INDEX(Base!$U:$U,MATCH($A21,Base!$A:$A,0)),IF(X$1=INDEX('Valo FX'!$R:$R,MATCH($A21,'Valo FX'!$A:$A,0)),INDEX(Base!$V:$V,MATCH($A21,Base!$A:$A,0)),0)))</f>
        <v>7.6339199999999998</v>
      </c>
      <c r="Y21" s="21">
        <f>IF(Y$1&lt;INDEX('Valo FX'!$Q:$Q,MATCH($A21,'Valo FX'!$A:$A,0)),0,IF(Y$1&lt;INDEX('Valo FX'!$R:$R,MATCH($A21,'Valo FX'!$A:$A,0)),INDEX(Base!$U:$U,MATCH($A21,Base!$A:$A,0)),IF(Y$1=INDEX('Valo FX'!$R:$R,MATCH($A21,'Valo FX'!$A:$A,0)),INDEX(Base!$V:$V,MATCH($A21,Base!$A:$A,0)),0)))</f>
        <v>7.6339199999999998</v>
      </c>
      <c r="Z21" s="21">
        <f>IF(Z$1&lt;INDEX('Valo FX'!$Q:$Q,MATCH($A21,'Valo FX'!$A:$A,0)),0,IF(Z$1&lt;INDEX('Valo FX'!$R:$R,MATCH($A21,'Valo FX'!$A:$A,0)),INDEX(Base!$U:$U,MATCH($A21,Base!$A:$A,0)),IF(Z$1=INDEX('Valo FX'!$R:$R,MATCH($A21,'Valo FX'!$A:$A,0)),INDEX(Base!$V:$V,MATCH($A21,Base!$A:$A,0)),0)))</f>
        <v>7.6339199999999998</v>
      </c>
      <c r="AA21" s="21">
        <f>IF(AA$1&lt;INDEX('Valo FX'!$Q:$Q,MATCH($A21,'Valo FX'!$A:$A,0)),0,IF(AA$1&lt;INDEX('Valo FX'!$R:$R,MATCH($A21,'Valo FX'!$A:$A,0)),INDEX(Base!$U:$U,MATCH($A21,Base!$A:$A,0)),IF(AA$1=INDEX('Valo FX'!$R:$R,MATCH($A21,'Valo FX'!$A:$A,0)),INDEX(Base!$V:$V,MATCH($A21,Base!$A:$A,0)),0)))</f>
        <v>7.6339199999999998</v>
      </c>
      <c r="AB21" s="21">
        <f>IF(AB$1&lt;INDEX('Valo FX'!$Q:$Q,MATCH($A21,'Valo FX'!$A:$A,0)),0,IF(AB$1&lt;INDEX('Valo FX'!$R:$R,MATCH($A21,'Valo FX'!$A:$A,0)),INDEX(Base!$U:$U,MATCH($A21,Base!$A:$A,0)),IF(AB$1=INDEX('Valo FX'!$R:$R,MATCH($A21,'Valo FX'!$A:$A,0)),INDEX(Base!$V:$V,MATCH($A21,Base!$A:$A,0)),0)))</f>
        <v>7.6339199999999998</v>
      </c>
      <c r="AC21" s="21">
        <f>IF(AC$1&lt;INDEX('Valo FX'!$Q:$Q,MATCH($A21,'Valo FX'!$A:$A,0)),0,IF(AC$1&lt;INDEX('Valo FX'!$R:$R,MATCH($A21,'Valo FX'!$A:$A,0)),INDEX(Base!$U:$U,MATCH($A21,Base!$A:$A,0)),IF(AC$1=INDEX('Valo FX'!$R:$R,MATCH($A21,'Valo FX'!$A:$A,0)),INDEX(Base!$V:$V,MATCH($A21,Base!$A:$A,0)),0)))</f>
        <v>7.6339199999999998</v>
      </c>
      <c r="AD21" s="21">
        <f>IF(AD$1&lt;INDEX('Valo FX'!$Q:$Q,MATCH($A21,'Valo FX'!$A:$A,0)),0,IF(AD$1&lt;INDEX('Valo FX'!$R:$R,MATCH($A21,'Valo FX'!$A:$A,0)),INDEX(Base!$U:$U,MATCH($A21,Base!$A:$A,0)),IF(AD$1=INDEX('Valo FX'!$R:$R,MATCH($A21,'Valo FX'!$A:$A,0)),INDEX(Base!$V:$V,MATCH($A21,Base!$A:$A,0)),0)))</f>
        <v>7.6339199999999998</v>
      </c>
      <c r="AE21" s="21">
        <f>IF(AE$1&lt;INDEX('Valo FX'!$Q:$Q,MATCH($A21,'Valo FX'!$A:$A,0)),0,IF(AE$1&lt;INDEX('Valo FX'!$R:$R,MATCH($A21,'Valo FX'!$A:$A,0)),INDEX(Base!$U:$U,MATCH($A21,Base!$A:$A,0)),IF(AE$1=INDEX('Valo FX'!$R:$R,MATCH($A21,'Valo FX'!$A:$A,0)),INDEX(Base!$V:$V,MATCH($A21,Base!$A:$A,0)),0)))</f>
        <v>7.6339199999999998</v>
      </c>
      <c r="AF21" s="21">
        <f>IF(AF$1&lt;INDEX('Valo FX'!$Q:$Q,MATCH($A21,'Valo FX'!$A:$A,0)),0,IF(AF$1&lt;INDEX('Valo FX'!$R:$R,MATCH($A21,'Valo FX'!$A:$A,0)),INDEX(Base!$U:$U,MATCH($A21,Base!$A:$A,0)),IF(AF$1=INDEX('Valo FX'!$R:$R,MATCH($A21,'Valo FX'!$A:$A,0)),INDEX(Base!$V:$V,MATCH($A21,Base!$A:$A,0)),0)))</f>
        <v>7.6339199999999998</v>
      </c>
      <c r="AG21" s="21">
        <f>IF(AG$1&lt;INDEX('Valo FX'!$Q:$Q,MATCH($A21,'Valo FX'!$A:$A,0)),0,IF(AG$1&lt;INDEX('Valo FX'!$R:$R,MATCH($A21,'Valo FX'!$A:$A,0)),INDEX(Base!$U:$U,MATCH($A21,Base!$A:$A,0)),IF(AG$1=INDEX('Valo FX'!$R:$R,MATCH($A21,'Valo FX'!$A:$A,0)),INDEX(Base!$V:$V,MATCH($A21,Base!$A:$A,0)),0)))</f>
        <v>7.6339199999999998</v>
      </c>
      <c r="AH21" s="21">
        <f>IF(AH$1&lt;INDEX('Valo FX'!$Q:$Q,MATCH($A21,'Valo FX'!$A:$A,0)),0,IF(AH$1&lt;INDEX('Valo FX'!$R:$R,MATCH($A21,'Valo FX'!$A:$A,0)),INDEX(Base!$U:$U,MATCH($A21,Base!$A:$A,0)),IF(AH$1=INDEX('Valo FX'!$R:$R,MATCH($A21,'Valo FX'!$A:$A,0)),INDEX(Base!$V:$V,MATCH($A21,Base!$A:$A,0)),0)))</f>
        <v>7.6339199999999998</v>
      </c>
      <c r="AI21" s="21">
        <f>IF(AI$1&lt;INDEX('Valo FX'!$Q:$Q,MATCH($A21,'Valo FX'!$A:$A,0)),0,IF(AI$1&lt;INDEX('Valo FX'!$R:$R,MATCH($A21,'Valo FX'!$A:$A,0)),INDEX(Base!$U:$U,MATCH($A21,Base!$A:$A,0)),IF(AI$1=INDEX('Valo FX'!$R:$R,MATCH($A21,'Valo FX'!$A:$A,0)),INDEX(Base!$V:$V,MATCH($A21,Base!$A:$A,0)),0)))</f>
        <v>7.6339199999999998</v>
      </c>
      <c r="AJ21" s="21">
        <f>IF(AJ$1&lt;INDEX('Valo FX'!$Q:$Q,MATCH($A21,'Valo FX'!$A:$A,0)),0,IF(AJ$1&lt;INDEX('Valo FX'!$R:$R,MATCH($A21,'Valo FX'!$A:$A,0)),INDEX(Base!$U:$U,MATCH($A21,Base!$A:$A,0)),IF(AJ$1=INDEX('Valo FX'!$R:$R,MATCH($A21,'Valo FX'!$A:$A,0)),INDEX(Base!$V:$V,MATCH($A21,Base!$A:$A,0)),0)))</f>
        <v>7.6339199999999998</v>
      </c>
      <c r="AK21" s="21">
        <f>IF(AK$1&lt;INDEX('Valo FX'!$Q:$Q,MATCH($A21,'Valo FX'!$A:$A,0)),0,IF(AK$1&lt;INDEX('Valo FX'!$R:$R,MATCH($A21,'Valo FX'!$A:$A,0)),INDEX(Base!$U:$U,MATCH($A21,Base!$A:$A,0)),IF(AK$1=INDEX('Valo FX'!$R:$R,MATCH($A21,'Valo FX'!$A:$A,0)),INDEX(Base!$V:$V,MATCH($A21,Base!$A:$A,0)),0)))</f>
        <v>7.6339199999999998</v>
      </c>
      <c r="AL21" s="21">
        <f>IF(AL$1&lt;INDEX('Valo FX'!$Q:$Q,MATCH($A21,'Valo FX'!$A:$A,0)),0,IF(AL$1&lt;INDEX('Valo FX'!$R:$R,MATCH($A21,'Valo FX'!$A:$A,0)),INDEX(Base!$U:$U,MATCH($A21,Base!$A:$A,0)),IF(AL$1=INDEX('Valo FX'!$R:$R,MATCH($A21,'Valo FX'!$A:$A,0)),INDEX(Base!$V:$V,MATCH($A21,Base!$A:$A,0)),0)))</f>
        <v>7.6339199999999998</v>
      </c>
      <c r="AM21" s="21">
        <f>IF(AM$1&lt;INDEX('Valo FX'!$Q:$Q,MATCH($A21,'Valo FX'!$A:$A,0)),0,IF(AM$1&lt;INDEX('Valo FX'!$R:$R,MATCH($A21,'Valo FX'!$A:$A,0)),INDEX(Base!$U:$U,MATCH($A21,Base!$A:$A,0)),IF(AM$1=INDEX('Valo FX'!$R:$R,MATCH($A21,'Valo FX'!$A:$A,0)),INDEX(Base!$V:$V,MATCH($A21,Base!$A:$A,0)),0)))</f>
        <v>7.6339199999999998</v>
      </c>
      <c r="AN21" s="21">
        <f>IF(AN$1&lt;INDEX('Valo FX'!$Q:$Q,MATCH($A21,'Valo FX'!$A:$A,0)),0,IF(AN$1&lt;INDEX('Valo FX'!$R:$R,MATCH($A21,'Valo FX'!$A:$A,0)),INDEX(Base!$U:$U,MATCH($A21,Base!$A:$A,0)),IF(AN$1=INDEX('Valo FX'!$R:$R,MATCH($A21,'Valo FX'!$A:$A,0)),INDEX(Base!$V:$V,MATCH($A21,Base!$A:$A,0)),0)))</f>
        <v>7.6339199999999998</v>
      </c>
      <c r="AO21" s="21">
        <f>IF(AO$1&lt;INDEX('Valo FX'!$Q:$Q,MATCH($A21,'Valo FX'!$A:$A,0)),0,IF(AO$1&lt;INDEX('Valo FX'!$R:$R,MATCH($A21,'Valo FX'!$A:$A,0)),INDEX(Base!$U:$U,MATCH($A21,Base!$A:$A,0)),IF(AO$1=INDEX('Valo FX'!$R:$R,MATCH($A21,'Valo FX'!$A:$A,0)),INDEX(Base!$V:$V,MATCH($A21,Base!$A:$A,0)),0)))</f>
        <v>7.6339199999999998</v>
      </c>
      <c r="AP21" s="21">
        <f>IF(AP$1&lt;INDEX('Valo FX'!$Q:$Q,MATCH($A21,'Valo FX'!$A:$A,0)),0,IF(AP$1&lt;INDEX('Valo FX'!$R:$R,MATCH($A21,'Valo FX'!$A:$A,0)),INDEX(Base!$U:$U,MATCH($A21,Base!$A:$A,0)),IF(AP$1=INDEX('Valo FX'!$R:$R,MATCH($A21,'Valo FX'!$A:$A,0)),INDEX(Base!$V:$V,MATCH($A21,Base!$A:$A,0)),0)))</f>
        <v>7.6339199999999998</v>
      </c>
      <c r="AQ21" s="21">
        <f>IF(AQ$1&lt;INDEX('Valo FX'!$Q:$Q,MATCH($A21,'Valo FX'!$A:$A,0)),0,IF(AQ$1&lt;INDEX('Valo FX'!$R:$R,MATCH($A21,'Valo FX'!$A:$A,0)),INDEX(Base!$U:$U,MATCH($A21,Base!$A:$A,0)),IF(AQ$1=INDEX('Valo FX'!$R:$R,MATCH($A21,'Valo FX'!$A:$A,0)),INDEX(Base!$V:$V,MATCH($A21,Base!$A:$A,0)),0)))</f>
        <v>7.6339199999999998</v>
      </c>
      <c r="AR21" s="21">
        <f>IF(AR$1&lt;INDEX('Valo FX'!$Q:$Q,MATCH($A21,'Valo FX'!$A:$A,0)),0,IF(AR$1&lt;INDEX('Valo FX'!$R:$R,MATCH($A21,'Valo FX'!$A:$A,0)),INDEX(Base!$U:$U,MATCH($A21,Base!$A:$A,0)),IF(AR$1=INDEX('Valo FX'!$R:$R,MATCH($A21,'Valo FX'!$A:$A,0)),INDEX(Base!$V:$V,MATCH($A21,Base!$A:$A,0)),0)))</f>
        <v>7.6339199999999998</v>
      </c>
      <c r="AS21" s="21">
        <f>IF(AS$1&lt;INDEX('Valo FX'!$Q:$Q,MATCH($A21,'Valo FX'!$A:$A,0)),0,IF(AS$1&lt;INDEX('Valo FX'!$R:$R,MATCH($A21,'Valo FX'!$A:$A,0)),INDEX(Base!$U:$U,MATCH($A21,Base!$A:$A,0)),IF(AS$1=INDEX('Valo FX'!$R:$R,MATCH($A21,'Valo FX'!$A:$A,0)),INDEX(Base!$V:$V,MATCH($A21,Base!$A:$A,0)),0)))</f>
        <v>7.6339199999999998</v>
      </c>
      <c r="AT21" s="21">
        <f>IF(AT$1&lt;INDEX('Valo FX'!$Q:$Q,MATCH($A21,'Valo FX'!$A:$A,0)),0,IF(AT$1&lt;INDEX('Valo FX'!$R:$R,MATCH($A21,'Valo FX'!$A:$A,0)),INDEX(Base!$U:$U,MATCH($A21,Base!$A:$A,0)),IF(AT$1=INDEX('Valo FX'!$R:$R,MATCH($A21,'Valo FX'!$A:$A,0)),INDEX(Base!$V:$V,MATCH($A21,Base!$A:$A,0)),0)))</f>
        <v>7.6339199999999998</v>
      </c>
      <c r="AU21" s="21">
        <f>IF(AU$1&lt;INDEX('Valo FX'!$Q:$Q,MATCH($A21,'Valo FX'!$A:$A,0)),0,IF(AU$1&lt;INDEX('Valo FX'!$R:$R,MATCH($A21,'Valo FX'!$A:$A,0)),INDEX(Base!$U:$U,MATCH($A21,Base!$A:$A,0)),IF(AU$1=INDEX('Valo FX'!$R:$R,MATCH($A21,'Valo FX'!$A:$A,0)),INDEX(Base!$V:$V,MATCH($A21,Base!$A:$A,0)),0)))</f>
        <v>7.6339199999999998</v>
      </c>
      <c r="AV21" s="21">
        <f>IF(AV$1&lt;INDEX('Valo FX'!$Q:$Q,MATCH($A21,'Valo FX'!$A:$A,0)),0,IF(AV$1&lt;INDEX('Valo FX'!$R:$R,MATCH($A21,'Valo FX'!$A:$A,0)),INDEX(Base!$U:$U,MATCH($A21,Base!$A:$A,0)),IF(AV$1=INDEX('Valo FX'!$R:$R,MATCH($A21,'Valo FX'!$A:$A,0)),INDEX(Base!$V:$V,MATCH($A21,Base!$A:$A,0)),0)))</f>
        <v>7.6339199999999998</v>
      </c>
      <c r="AW21" s="21">
        <f>IF(AW$1&lt;INDEX('Valo FX'!$Q:$Q,MATCH($A21,'Valo FX'!$A:$A,0)),0,IF(AW$1&lt;INDEX('Valo FX'!$R:$R,MATCH($A21,'Valo FX'!$A:$A,0)),INDEX(Base!$U:$U,MATCH($A21,Base!$A:$A,0)),IF(AW$1=INDEX('Valo FX'!$R:$R,MATCH($A21,'Valo FX'!$A:$A,0)),INDEX(Base!$V:$V,MATCH($A21,Base!$A:$A,0)),0)))</f>
        <v>7.6339199999999998</v>
      </c>
      <c r="AX21" s="21">
        <f>IF(AX$1&lt;INDEX('Valo FX'!$Q:$Q,MATCH($A21,'Valo FX'!$A:$A,0)),0,IF(AX$1&lt;INDEX('Valo FX'!$R:$R,MATCH($A21,'Valo FX'!$A:$A,0)),INDEX(Base!$U:$U,MATCH($A21,Base!$A:$A,0)),IF(AX$1=INDEX('Valo FX'!$R:$R,MATCH($A21,'Valo FX'!$A:$A,0)),INDEX(Base!$V:$V,MATCH($A21,Base!$A:$A,0)),0)))</f>
        <v>7.6339199999999998</v>
      </c>
      <c r="AY21" s="21">
        <f>IF(AY$1&lt;INDEX('Valo FX'!$Q:$Q,MATCH($A21,'Valo FX'!$A:$A,0)),0,IF(AY$1&lt;INDEX('Valo FX'!$R:$R,MATCH($A21,'Valo FX'!$A:$A,0)),INDEX(Base!$U:$U,MATCH($A21,Base!$A:$A,0)),IF(AY$1=INDEX('Valo FX'!$R:$R,MATCH($A21,'Valo FX'!$A:$A,0)),INDEX(Base!$V:$V,MATCH($A21,Base!$A:$A,0)),0)))</f>
        <v>7.6339199999999998</v>
      </c>
      <c r="AZ21" s="21">
        <f>IF(AZ$1&lt;INDEX('Valo FX'!$Q:$Q,MATCH($A21,'Valo FX'!$A:$A,0)),0,IF(AZ$1&lt;INDEX('Valo FX'!$R:$R,MATCH($A21,'Valo FX'!$A:$A,0)),INDEX(Base!$U:$U,MATCH($A21,Base!$A:$A,0)),IF(AZ$1=INDEX('Valo FX'!$R:$R,MATCH($A21,'Valo FX'!$A:$A,0)),INDEX(Base!$V:$V,MATCH($A21,Base!$A:$A,0)),0)))</f>
        <v>7.6339199999999998</v>
      </c>
      <c r="BA21" s="21">
        <f>IF(BA$1&lt;INDEX('Valo FX'!$Q:$Q,MATCH($A21,'Valo FX'!$A:$A,0)),0,IF(BA$1&lt;INDEX('Valo FX'!$R:$R,MATCH($A21,'Valo FX'!$A:$A,0)),INDEX(Base!$U:$U,MATCH($A21,Base!$A:$A,0)),IF(BA$1=INDEX('Valo FX'!$R:$R,MATCH($A21,'Valo FX'!$A:$A,0)),INDEX(Base!$V:$V,MATCH($A21,Base!$A:$A,0)),0)))</f>
        <v>7.6339199999999998</v>
      </c>
      <c r="BB21" s="21">
        <f>IF(BB$1&lt;INDEX('Valo FX'!$Q:$Q,MATCH($A21,'Valo FX'!$A:$A,0)),0,IF(BB$1&lt;INDEX('Valo FX'!$R:$R,MATCH($A21,'Valo FX'!$A:$A,0)),INDEX(Base!$U:$U,MATCH($A21,Base!$A:$A,0)),IF(BB$1=INDEX('Valo FX'!$R:$R,MATCH($A21,'Valo FX'!$A:$A,0)),INDEX(Base!$V:$V,MATCH($A21,Base!$A:$A,0)),0)))</f>
        <v>7.6339199999999998</v>
      </c>
      <c r="BC21" s="21">
        <f>IF(BC$1&lt;INDEX('Valo FX'!$Q:$Q,MATCH($A21,'Valo FX'!$A:$A,0)),0,IF(BC$1&lt;INDEX('Valo FX'!$R:$R,MATCH($A21,'Valo FX'!$A:$A,0)),INDEX(Base!$U:$U,MATCH($A21,Base!$A:$A,0)),IF(BC$1=INDEX('Valo FX'!$R:$R,MATCH($A21,'Valo FX'!$A:$A,0)),INDEX(Base!$V:$V,MATCH($A21,Base!$A:$A,0)),0)))</f>
        <v>7.6339199999999998</v>
      </c>
      <c r="BD21" s="21">
        <f>IF(BD$1&lt;INDEX('Valo FX'!$Q:$Q,MATCH($A21,'Valo FX'!$A:$A,0)),0,IF(BD$1&lt;INDEX('Valo FX'!$R:$R,MATCH($A21,'Valo FX'!$A:$A,0)),INDEX(Base!$U:$U,MATCH($A21,Base!$A:$A,0)),IF(BD$1=INDEX('Valo FX'!$R:$R,MATCH($A21,'Valo FX'!$A:$A,0)),INDEX(Base!$V:$V,MATCH($A21,Base!$A:$A,0)),0)))</f>
        <v>7.6339199999999998</v>
      </c>
      <c r="BE21" s="21">
        <f>IF(BE$1&lt;INDEX('Valo FX'!$Q:$Q,MATCH($A21,'Valo FX'!$A:$A,0)),0,IF(BE$1&lt;INDEX('Valo FX'!$R:$R,MATCH($A21,'Valo FX'!$A:$A,0)),INDEX(Base!$U:$U,MATCH($A21,Base!$A:$A,0)),IF(BE$1=INDEX('Valo FX'!$R:$R,MATCH($A21,'Valo FX'!$A:$A,0)),INDEX(Base!$V:$V,MATCH($A21,Base!$A:$A,0)),0)))</f>
        <v>7.6339199999999998</v>
      </c>
      <c r="BF21" s="21">
        <f>IF(BF$1&lt;INDEX('Valo FX'!$Q:$Q,MATCH($A21,'Valo FX'!$A:$A,0)),0,IF(BF$1&lt;INDEX('Valo FX'!$R:$R,MATCH($A21,'Valo FX'!$A:$A,0)),INDEX(Base!$U:$U,MATCH($A21,Base!$A:$A,0)),IF(BF$1=INDEX('Valo FX'!$R:$R,MATCH($A21,'Valo FX'!$A:$A,0)),INDEX(Base!$V:$V,MATCH($A21,Base!$A:$A,0)),0)))</f>
        <v>7.6339199999999998</v>
      </c>
      <c r="BG21" s="21">
        <f>IF(BG$1&lt;INDEX('Valo FX'!$Q:$Q,MATCH($A21,'Valo FX'!$A:$A,0)),0,IF(BG$1&lt;INDEX('Valo FX'!$R:$R,MATCH($A21,'Valo FX'!$A:$A,0)),INDEX(Base!$U:$U,MATCH($A21,Base!$A:$A,0)),IF(BG$1=INDEX('Valo FX'!$R:$R,MATCH($A21,'Valo FX'!$A:$A,0)),INDEX(Base!$V:$V,MATCH($A21,Base!$A:$A,0)),0)))</f>
        <v>7.6339199999999998</v>
      </c>
      <c r="BH21" s="21">
        <f>IF(BH$1&lt;INDEX('Valo FX'!$Q:$Q,MATCH($A21,'Valo FX'!$A:$A,0)),0,IF(BH$1&lt;INDEX('Valo FX'!$R:$R,MATCH($A21,'Valo FX'!$A:$A,0)),INDEX(Base!$U:$U,MATCH($A21,Base!$A:$A,0)),IF(BH$1=INDEX('Valo FX'!$R:$R,MATCH($A21,'Valo FX'!$A:$A,0)),INDEX(Base!$V:$V,MATCH($A21,Base!$A:$A,0)),0)))</f>
        <v>7.6339199999999998</v>
      </c>
      <c r="BI21" s="21">
        <f>IF(BI$1&lt;INDEX('Valo FX'!$Q:$Q,MATCH($A21,'Valo FX'!$A:$A,0)),0,IF(BI$1&lt;INDEX('Valo FX'!$R:$R,MATCH($A21,'Valo FX'!$A:$A,0)),INDEX(Base!$U:$U,MATCH($A21,Base!$A:$A,0)),IF(BI$1=INDEX('Valo FX'!$R:$R,MATCH($A21,'Valo FX'!$A:$A,0)),INDEX(Base!$V:$V,MATCH($A21,Base!$A:$A,0)),0)))</f>
        <v>7.6339199999999998</v>
      </c>
      <c r="BJ21" s="21">
        <f>IF(BJ$1&lt;INDEX('Valo FX'!$Q:$Q,MATCH($A21,'Valo FX'!$A:$A,0)),0,IF(BJ$1&lt;INDEX('Valo FX'!$R:$R,MATCH($A21,'Valo FX'!$A:$A,0)),INDEX(Base!$U:$U,MATCH($A21,Base!$A:$A,0)),IF(BJ$1=INDEX('Valo FX'!$R:$R,MATCH($A21,'Valo FX'!$A:$A,0)),INDEX(Base!$V:$V,MATCH($A21,Base!$A:$A,0)),0)))</f>
        <v>7.6339199999999998</v>
      </c>
      <c r="BK21" s="21">
        <f>IF(BK$1&lt;INDEX('Valo FX'!$Q:$Q,MATCH($A21,'Valo FX'!$A:$A,0)),0,IF(BK$1&lt;INDEX('Valo FX'!$R:$R,MATCH($A21,'Valo FX'!$A:$A,0)),INDEX(Base!$U:$U,MATCH($A21,Base!$A:$A,0)),IF(BK$1=INDEX('Valo FX'!$R:$R,MATCH($A21,'Valo FX'!$A:$A,0)),INDEX(Base!$V:$V,MATCH($A21,Base!$A:$A,0)),0)))</f>
        <v>7.6339199999999998</v>
      </c>
      <c r="BL21" s="21">
        <f>IF(BL$1&lt;INDEX('Valo FX'!$Q:$Q,MATCH($A21,'Valo FX'!$A:$A,0)),0,IF(BL$1&lt;INDEX('Valo FX'!$R:$R,MATCH($A21,'Valo FX'!$A:$A,0)),INDEX(Base!$U:$U,MATCH($A21,Base!$A:$A,0)),IF(BL$1=INDEX('Valo FX'!$R:$R,MATCH($A21,'Valo FX'!$A:$A,0)),INDEX(Base!$V:$V,MATCH($A21,Base!$A:$A,0)),0)))</f>
        <v>7.6339199999999998</v>
      </c>
      <c r="BM21" s="21">
        <f>IF(BM$1&lt;INDEX('Valo FX'!$Q:$Q,MATCH($A21,'Valo FX'!$A:$A,0)),0,IF(BM$1&lt;INDEX('Valo FX'!$R:$R,MATCH($A21,'Valo FX'!$A:$A,0)),INDEX(Base!$U:$U,MATCH($A21,Base!$A:$A,0)),IF(BM$1=INDEX('Valo FX'!$R:$R,MATCH($A21,'Valo FX'!$A:$A,0)),INDEX(Base!$V:$V,MATCH($A21,Base!$A:$A,0)),0)))</f>
        <v>7.6339199999999998</v>
      </c>
      <c r="BN21" s="21">
        <f>IF(BN$1&lt;INDEX('Valo FX'!$Q:$Q,MATCH($A21,'Valo FX'!$A:$A,0)),0,IF(BN$1&lt;INDEX('Valo FX'!$R:$R,MATCH($A21,'Valo FX'!$A:$A,0)),INDEX(Base!$U:$U,MATCH($A21,Base!$A:$A,0)),IF(BN$1=INDEX('Valo FX'!$R:$R,MATCH($A21,'Valo FX'!$A:$A,0)),INDEX(Base!$V:$V,MATCH($A21,Base!$A:$A,0)),0)))</f>
        <v>7.6339199999999998</v>
      </c>
      <c r="BO21" s="21">
        <f>IF(BO$1&lt;INDEX('Valo FX'!$Q:$Q,MATCH($A21,'Valo FX'!$A:$A,0)),0,IF(BO$1&lt;INDEX('Valo FX'!$R:$R,MATCH($A21,'Valo FX'!$A:$A,0)),INDEX(Base!$U:$U,MATCH($A21,Base!$A:$A,0)),IF(BO$1=INDEX('Valo FX'!$R:$R,MATCH($A21,'Valo FX'!$A:$A,0)),INDEX(Base!$V:$V,MATCH($A21,Base!$A:$A,0)),0)))</f>
        <v>7.6339199999999998</v>
      </c>
      <c r="BP21" s="21">
        <f>IF(BP$1&lt;INDEX('Valo FX'!$Q:$Q,MATCH($A21,'Valo FX'!$A:$A,0)),0,IF(BP$1&lt;INDEX('Valo FX'!$R:$R,MATCH($A21,'Valo FX'!$A:$A,0)),INDEX(Base!$U:$U,MATCH($A21,Base!$A:$A,0)),IF(BP$1=INDEX('Valo FX'!$R:$R,MATCH($A21,'Valo FX'!$A:$A,0)),INDEX(Base!$V:$V,MATCH($A21,Base!$A:$A,0)),0)))</f>
        <v>7.6339199999999998</v>
      </c>
      <c r="BQ21" s="21">
        <f>IF(BQ$1&lt;INDEX('Valo FX'!$Q:$Q,MATCH($A21,'Valo FX'!$A:$A,0)),0,IF(BQ$1&lt;INDEX('Valo FX'!$R:$R,MATCH($A21,'Valo FX'!$A:$A,0)),INDEX(Base!$U:$U,MATCH($A21,Base!$A:$A,0)),IF(BQ$1=INDEX('Valo FX'!$R:$R,MATCH($A21,'Valo FX'!$A:$A,0)),INDEX(Base!$V:$V,MATCH($A21,Base!$A:$A,0)),0)))</f>
        <v>7.6339199999999998</v>
      </c>
      <c r="BR21" s="21">
        <f>IF(BR$1&lt;INDEX('Valo FX'!$Q:$Q,MATCH($A21,'Valo FX'!$A:$A,0)),0,IF(BR$1&lt;INDEX('Valo FX'!$R:$R,MATCH($A21,'Valo FX'!$A:$A,0)),INDEX(Base!$U:$U,MATCH($A21,Base!$A:$A,0)),IF(BR$1=INDEX('Valo FX'!$R:$R,MATCH($A21,'Valo FX'!$A:$A,0)),INDEX(Base!$V:$V,MATCH($A21,Base!$A:$A,0)),0)))</f>
        <v>7.6339199999999998</v>
      </c>
      <c r="BS21" s="21">
        <f>IF(BS$1&lt;INDEX('Valo FX'!$Q:$Q,MATCH($A21,'Valo FX'!$A:$A,0)),0,IF(BS$1&lt;INDEX('Valo FX'!$R:$R,MATCH($A21,'Valo FX'!$A:$A,0)),INDEX(Base!$U:$U,MATCH($A21,Base!$A:$A,0)),IF(BS$1=INDEX('Valo FX'!$R:$R,MATCH($A21,'Valo FX'!$A:$A,0)),INDEX(Base!$V:$V,MATCH($A21,Base!$A:$A,0)),0)))</f>
        <v>7.6339199999999998</v>
      </c>
      <c r="BT21" s="21">
        <f>IF(BT$1&lt;INDEX('Valo FX'!$Q:$Q,MATCH($A21,'Valo FX'!$A:$A,0)),0,IF(BT$1&lt;INDEX('Valo FX'!$R:$R,MATCH($A21,'Valo FX'!$A:$A,0)),INDEX(Base!$U:$U,MATCH($A21,Base!$A:$A,0)),IF(BT$1=INDEX('Valo FX'!$R:$R,MATCH($A21,'Valo FX'!$A:$A,0)),INDEX(Base!$V:$V,MATCH($A21,Base!$A:$A,0)),0)))</f>
        <v>7.6339199999999998</v>
      </c>
      <c r="BU21" s="21">
        <f>IF(BU$1&lt;INDEX('Valo FX'!$Q:$Q,MATCH($A21,'Valo FX'!$A:$A,0)),0,IF(BU$1&lt;INDEX('Valo FX'!$R:$R,MATCH($A21,'Valo FX'!$A:$A,0)),INDEX(Base!$U:$U,MATCH($A21,Base!$A:$A,0)),IF(BU$1=INDEX('Valo FX'!$R:$R,MATCH($A21,'Valo FX'!$A:$A,0)),INDEX(Base!$V:$V,MATCH($A21,Base!$A:$A,0)),0)))</f>
        <v>7.6339199999999998</v>
      </c>
      <c r="BV21" s="21">
        <f>IF(BV$1&lt;INDEX('Valo FX'!$Q:$Q,MATCH($A21,'Valo FX'!$A:$A,0)),0,IF(BV$1&lt;INDEX('Valo FX'!$R:$R,MATCH($A21,'Valo FX'!$A:$A,0)),INDEX(Base!$U:$U,MATCH($A21,Base!$A:$A,0)),IF(BV$1=INDEX('Valo FX'!$R:$R,MATCH($A21,'Valo FX'!$A:$A,0)),INDEX(Base!$V:$V,MATCH($A21,Base!$A:$A,0)),0)))</f>
        <v>7.6339199999999998</v>
      </c>
      <c r="BW21" s="21">
        <f>IF(BW$1&lt;INDEX('Valo FX'!$Q:$Q,MATCH($A21,'Valo FX'!$A:$A,0)),0,IF(BW$1&lt;INDEX('Valo FX'!$R:$R,MATCH($A21,'Valo FX'!$A:$A,0)),INDEX(Base!$U:$U,MATCH($A21,Base!$A:$A,0)),IF(BW$1=INDEX('Valo FX'!$R:$R,MATCH($A21,'Valo FX'!$A:$A,0)),INDEX(Base!$V:$V,MATCH($A21,Base!$A:$A,0)),0)))</f>
        <v>7.6339199999999998</v>
      </c>
      <c r="BX21" s="21">
        <f>IF(BX$1&lt;INDEX('Valo FX'!$Q:$Q,MATCH($A21,'Valo FX'!$A:$A,0)),0,IF(BX$1&lt;INDEX('Valo FX'!$R:$R,MATCH($A21,'Valo FX'!$A:$A,0)),INDEX(Base!$U:$U,MATCH($A21,Base!$A:$A,0)),IF(BX$1=INDEX('Valo FX'!$R:$R,MATCH($A21,'Valo FX'!$A:$A,0)),INDEX(Base!$V:$V,MATCH($A21,Base!$A:$A,0)),0)))</f>
        <v>7.6339199999999998</v>
      </c>
      <c r="BY21" s="21">
        <f>IF(BY$1&lt;INDEX('Valo FX'!$Q:$Q,MATCH($A21,'Valo FX'!$A:$A,0)),0,IF(BY$1&lt;INDEX('Valo FX'!$R:$R,MATCH($A21,'Valo FX'!$A:$A,0)),INDEX(Base!$U:$U,MATCH($A21,Base!$A:$A,0)),IF(BY$1=INDEX('Valo FX'!$R:$R,MATCH($A21,'Valo FX'!$A:$A,0)),INDEX(Base!$V:$V,MATCH($A21,Base!$A:$A,0)),0)))</f>
        <v>7.6339199999999998</v>
      </c>
      <c r="BZ21" s="21">
        <f>IF(BZ$1&lt;INDEX('Valo FX'!$Q:$Q,MATCH($A21,'Valo FX'!$A:$A,0)),0,IF(BZ$1&lt;INDEX('Valo FX'!$R:$R,MATCH($A21,'Valo FX'!$A:$A,0)),INDEX(Base!$U:$U,MATCH($A21,Base!$A:$A,0)),IF(BZ$1=INDEX('Valo FX'!$R:$R,MATCH($A21,'Valo FX'!$A:$A,0)),INDEX(Base!$V:$V,MATCH($A21,Base!$A:$A,0)),0)))</f>
        <v>7.6339199999999998</v>
      </c>
      <c r="CA21" s="21">
        <f>IF(CA$1&lt;INDEX('Valo FX'!$Q:$Q,MATCH($A21,'Valo FX'!$A:$A,0)),0,IF(CA$1&lt;INDEX('Valo FX'!$R:$R,MATCH($A21,'Valo FX'!$A:$A,0)),INDEX(Base!$U:$U,MATCH($A21,Base!$A:$A,0)),IF(CA$1=INDEX('Valo FX'!$R:$R,MATCH($A21,'Valo FX'!$A:$A,0)),INDEX(Base!$V:$V,MATCH($A21,Base!$A:$A,0)),0)))</f>
        <v>7.6339199999999998</v>
      </c>
      <c r="CB21" s="21">
        <f>IF(CB$1&lt;INDEX('Valo FX'!$Q:$Q,MATCH($A21,'Valo FX'!$A:$A,0)),0,IF(CB$1&lt;INDEX('Valo FX'!$R:$R,MATCH($A21,'Valo FX'!$A:$A,0)),INDEX(Base!$U:$U,MATCH($A21,Base!$A:$A,0)),IF(CB$1=INDEX('Valo FX'!$R:$R,MATCH($A21,'Valo FX'!$A:$A,0)),INDEX(Base!$V:$V,MATCH($A21,Base!$A:$A,0)),0)))</f>
        <v>7.6339199999999998</v>
      </c>
      <c r="CC21" s="21">
        <f>IF(CC$1&lt;INDEX('Valo FX'!$Q:$Q,MATCH($A21,'Valo FX'!$A:$A,0)),0,IF(CC$1&lt;INDEX('Valo FX'!$R:$R,MATCH($A21,'Valo FX'!$A:$A,0)),INDEX(Base!$U:$U,MATCH($A21,Base!$A:$A,0)),IF(CC$1=INDEX('Valo FX'!$R:$R,MATCH($A21,'Valo FX'!$A:$A,0)),INDEX(Base!$V:$V,MATCH($A21,Base!$A:$A,0)),0)))</f>
        <v>7.6339199999999998</v>
      </c>
      <c r="CD21" s="21">
        <f>IF(CD$1&lt;INDEX('Valo FX'!$Q:$Q,MATCH($A21,'Valo FX'!$A:$A,0)),0,IF(CD$1&lt;INDEX('Valo FX'!$R:$R,MATCH($A21,'Valo FX'!$A:$A,0)),INDEX(Base!$U:$U,MATCH($A21,Base!$A:$A,0)),IF(CD$1=INDEX('Valo FX'!$R:$R,MATCH($A21,'Valo FX'!$A:$A,0)),INDEX(Base!$V:$V,MATCH($A21,Base!$A:$A,0)),0)))</f>
        <v>7.6339199999999998</v>
      </c>
      <c r="CE21" s="21">
        <f>IF(CE$1&lt;INDEX('Valo FX'!$Q:$Q,MATCH($A21,'Valo FX'!$A:$A,0)),0,IF(CE$1&lt;INDEX('Valo FX'!$R:$R,MATCH($A21,'Valo FX'!$A:$A,0)),INDEX(Base!$U:$U,MATCH($A21,Base!$A:$A,0)),IF(CE$1=INDEX('Valo FX'!$R:$R,MATCH($A21,'Valo FX'!$A:$A,0)),INDEX(Base!$V:$V,MATCH($A21,Base!$A:$A,0)),0)))</f>
        <v>7.6339199999999998</v>
      </c>
      <c r="CF21" s="21">
        <f>IF(CF$1&lt;INDEX('Valo FX'!$Q:$Q,MATCH($A21,'Valo FX'!$A:$A,0)),0,IF(CF$1&lt;INDEX('Valo FX'!$R:$R,MATCH($A21,'Valo FX'!$A:$A,0)),INDEX(Base!$U:$U,MATCH($A21,Base!$A:$A,0)),IF(CF$1=INDEX('Valo FX'!$R:$R,MATCH($A21,'Valo FX'!$A:$A,0)),INDEX(Base!$V:$V,MATCH($A21,Base!$A:$A,0)),0)))</f>
        <v>7.6339199999999998</v>
      </c>
      <c r="CG21" s="21">
        <f>IF(CG$1&lt;INDEX('Valo FX'!$Q:$Q,MATCH($A21,'Valo FX'!$A:$A,0)),0,IF(CG$1&lt;INDEX('Valo FX'!$R:$R,MATCH($A21,'Valo FX'!$A:$A,0)),INDEX(Base!$U:$U,MATCH($A21,Base!$A:$A,0)),IF(CG$1=INDEX('Valo FX'!$R:$R,MATCH($A21,'Valo FX'!$A:$A,0)),INDEX(Base!$V:$V,MATCH($A21,Base!$A:$A,0)),0)))</f>
        <v>7.6339199999999998</v>
      </c>
      <c r="CH21" s="21">
        <f>IF(CH$1&lt;INDEX('Valo FX'!$Q:$Q,MATCH($A21,'Valo FX'!$A:$A,0)),0,IF(CH$1&lt;INDEX('Valo FX'!$R:$R,MATCH($A21,'Valo FX'!$A:$A,0)),INDEX(Base!$U:$U,MATCH($A21,Base!$A:$A,0)),IF(CH$1=INDEX('Valo FX'!$R:$R,MATCH($A21,'Valo FX'!$A:$A,0)),INDEX(Base!$V:$V,MATCH($A21,Base!$A:$A,0)),0)))</f>
        <v>7.6339199999999998</v>
      </c>
      <c r="CI21" s="21">
        <f>IF(CI$1&lt;INDEX('Valo FX'!$Q:$Q,MATCH($A21,'Valo FX'!$A:$A,0)),0,IF(CI$1&lt;INDEX('Valo FX'!$R:$R,MATCH($A21,'Valo FX'!$A:$A,0)),INDEX(Base!$U:$U,MATCH($A21,Base!$A:$A,0)),IF(CI$1=INDEX('Valo FX'!$R:$R,MATCH($A21,'Valo FX'!$A:$A,0)),INDEX(Base!$V:$V,MATCH($A21,Base!$A:$A,0)),0)))</f>
        <v>7.6339199999999998</v>
      </c>
      <c r="CJ21" s="21">
        <f>IF(CJ$1&lt;INDEX('Valo FX'!$Q:$Q,MATCH($A21,'Valo FX'!$A:$A,0)),0,IF(CJ$1&lt;INDEX('Valo FX'!$R:$R,MATCH($A21,'Valo FX'!$A:$A,0)),INDEX(Base!$U:$U,MATCH($A21,Base!$A:$A,0)),IF(CJ$1=INDEX('Valo FX'!$R:$R,MATCH($A21,'Valo FX'!$A:$A,0)),INDEX(Base!$V:$V,MATCH($A21,Base!$A:$A,0)),0)))</f>
        <v>7.6339199999999998</v>
      </c>
      <c r="CK21" s="21">
        <f>IF(CK$1&lt;INDEX('Valo FX'!$Q:$Q,MATCH($A21,'Valo FX'!$A:$A,0)),0,IF(CK$1&lt;INDEX('Valo FX'!$R:$R,MATCH($A21,'Valo FX'!$A:$A,0)),INDEX(Base!$U:$U,MATCH($A21,Base!$A:$A,0)),IF(CK$1=INDEX('Valo FX'!$R:$R,MATCH($A21,'Valo FX'!$A:$A,0)),INDEX(Base!$V:$V,MATCH($A21,Base!$A:$A,0)),0)))</f>
        <v>7.6339199999999998</v>
      </c>
      <c r="CL21" s="21">
        <f>IF(CL$1&lt;INDEX('Valo FX'!$Q:$Q,MATCH($A21,'Valo FX'!$A:$A,0)),0,IF(CL$1&lt;INDEX('Valo FX'!$R:$R,MATCH($A21,'Valo FX'!$A:$A,0)),INDEX(Base!$U:$U,MATCH($A21,Base!$A:$A,0)),IF(CL$1=INDEX('Valo FX'!$R:$R,MATCH($A21,'Valo FX'!$A:$A,0)),INDEX(Base!$V:$V,MATCH($A21,Base!$A:$A,0)),0)))</f>
        <v>7.6339199999999998</v>
      </c>
      <c r="CM21" s="21">
        <f>IF(CM$1&lt;INDEX('Valo FX'!$Q:$Q,MATCH($A21,'Valo FX'!$A:$A,0)),0,IF(CM$1&lt;INDEX('Valo FX'!$R:$R,MATCH($A21,'Valo FX'!$A:$A,0)),INDEX(Base!$U:$U,MATCH($A21,Base!$A:$A,0)),IF(CM$1=INDEX('Valo FX'!$R:$R,MATCH($A21,'Valo FX'!$A:$A,0)),INDEX(Base!$V:$V,MATCH($A21,Base!$A:$A,0)),0)))</f>
        <v>7.6339199999999998</v>
      </c>
      <c r="CN21" s="21">
        <f>IF(CN$1&lt;INDEX('Valo FX'!$Q:$Q,MATCH($A21,'Valo FX'!$A:$A,0)),0,IF(CN$1&lt;INDEX('Valo FX'!$R:$R,MATCH($A21,'Valo FX'!$A:$A,0)),INDEX(Base!$U:$U,MATCH($A21,Base!$A:$A,0)),IF(CN$1=INDEX('Valo FX'!$R:$R,MATCH($A21,'Valo FX'!$A:$A,0)),INDEX(Base!$V:$V,MATCH($A21,Base!$A:$A,0)),0)))</f>
        <v>7.6339199999999998</v>
      </c>
      <c r="CO21" s="21">
        <f>IF(CO$1&lt;INDEX('Valo FX'!$Q:$Q,MATCH($A21,'Valo FX'!$A:$A,0)),0,IF(CO$1&lt;INDEX('Valo FX'!$R:$R,MATCH($A21,'Valo FX'!$A:$A,0)),INDEX(Base!$U:$U,MATCH($A21,Base!$A:$A,0)),IF(CO$1=INDEX('Valo FX'!$R:$R,MATCH($A21,'Valo FX'!$A:$A,0)),INDEX(Base!$V:$V,MATCH($A21,Base!$A:$A,0)),0)))</f>
        <v>7.6339199999999998</v>
      </c>
      <c r="CP21" s="21">
        <f>IF(CP$1&lt;INDEX('Valo FX'!$Q:$Q,MATCH($A21,'Valo FX'!$A:$A,0)),0,IF(CP$1&lt;INDEX('Valo FX'!$R:$R,MATCH($A21,'Valo FX'!$A:$A,0)),INDEX(Base!$U:$U,MATCH($A21,Base!$A:$A,0)),IF(CP$1=INDEX('Valo FX'!$R:$R,MATCH($A21,'Valo FX'!$A:$A,0)),INDEX(Base!$V:$V,MATCH($A21,Base!$A:$A,0)),0)))</f>
        <v>7.6339199999999998</v>
      </c>
      <c r="CQ21" s="21">
        <f>IF(CQ$1&lt;INDEX('Valo FX'!$Q:$Q,MATCH($A21,'Valo FX'!$A:$A,0)),0,IF(CQ$1&lt;INDEX('Valo FX'!$R:$R,MATCH($A21,'Valo FX'!$A:$A,0)),INDEX(Base!$U:$U,MATCH($A21,Base!$A:$A,0)),IF(CQ$1=INDEX('Valo FX'!$R:$R,MATCH($A21,'Valo FX'!$A:$A,0)),INDEX(Base!$V:$V,MATCH($A21,Base!$A:$A,0)),0)))</f>
        <v>7.6339199999999998</v>
      </c>
      <c r="CR21" s="21">
        <f>IF(CR$1&lt;INDEX('Valo FX'!$Q:$Q,MATCH($A21,'Valo FX'!$A:$A,0)),0,IF(CR$1&lt;INDEX('Valo FX'!$R:$R,MATCH($A21,'Valo FX'!$A:$A,0)),INDEX(Base!$U:$U,MATCH($A21,Base!$A:$A,0)),IF(CR$1=INDEX('Valo FX'!$R:$R,MATCH($A21,'Valo FX'!$A:$A,0)),INDEX(Base!$V:$V,MATCH($A21,Base!$A:$A,0)),0)))</f>
        <v>7.6339199999999998</v>
      </c>
      <c r="CS21" s="21">
        <f>IF(CS$1&lt;INDEX('Valo FX'!$Q:$Q,MATCH($A21,'Valo FX'!$A:$A,0)),0,IF(CS$1&lt;INDEX('Valo FX'!$R:$R,MATCH($A21,'Valo FX'!$A:$A,0)),INDEX(Base!$U:$U,MATCH($A21,Base!$A:$A,0)),IF(CS$1=INDEX('Valo FX'!$R:$R,MATCH($A21,'Valo FX'!$A:$A,0)),INDEX(Base!$V:$V,MATCH($A21,Base!$A:$A,0)),0)))</f>
        <v>7.6339199999999998</v>
      </c>
      <c r="CT21" s="21">
        <f>IF(CT$1&lt;INDEX('Valo FX'!$Q:$Q,MATCH($A21,'Valo FX'!$A:$A,0)),0,IF(CT$1&lt;INDEX('Valo FX'!$R:$R,MATCH($A21,'Valo FX'!$A:$A,0)),INDEX(Base!$U:$U,MATCH($A21,Base!$A:$A,0)),IF(CT$1=INDEX('Valo FX'!$R:$R,MATCH($A21,'Valo FX'!$A:$A,0)),INDEX(Base!$V:$V,MATCH($A21,Base!$A:$A,0)),0)))</f>
        <v>7.6339199999999998</v>
      </c>
      <c r="CU21" s="21">
        <f>IF(CU$1&lt;INDEX('Valo FX'!$Q:$Q,MATCH($A21,'Valo FX'!$A:$A,0)),0,IF(CU$1&lt;INDEX('Valo FX'!$R:$R,MATCH($A21,'Valo FX'!$A:$A,0)),INDEX(Base!$U:$U,MATCH($A21,Base!$A:$A,0)),IF(CU$1=INDEX('Valo FX'!$R:$R,MATCH($A21,'Valo FX'!$A:$A,0)),INDEX(Base!$V:$V,MATCH($A21,Base!$A:$A,0)),0)))</f>
        <v>7.6339199999999998</v>
      </c>
      <c r="CV21" s="21">
        <f>IF(CV$1&lt;INDEX('Valo FX'!$Q:$Q,MATCH($A21,'Valo FX'!$A:$A,0)),0,IF(CV$1&lt;INDEX('Valo FX'!$R:$R,MATCH($A21,'Valo FX'!$A:$A,0)),INDEX(Base!$U:$U,MATCH($A21,Base!$A:$A,0)),IF(CV$1=INDEX('Valo FX'!$R:$R,MATCH($A21,'Valo FX'!$A:$A,0)),INDEX(Base!$V:$V,MATCH($A21,Base!$A:$A,0)),0)))</f>
        <v>7.6339199999999998</v>
      </c>
      <c r="CW21" s="21">
        <f>IF(CW$1&lt;INDEX('Valo FX'!$Q:$Q,MATCH($A21,'Valo FX'!$A:$A,0)),0,IF(CW$1&lt;INDEX('Valo FX'!$R:$R,MATCH($A21,'Valo FX'!$A:$A,0)),INDEX(Base!$U:$U,MATCH($A21,Base!$A:$A,0)),IF(CW$1=INDEX('Valo FX'!$R:$R,MATCH($A21,'Valo FX'!$A:$A,0)),INDEX(Base!$V:$V,MATCH($A21,Base!$A:$A,0)),0)))</f>
        <v>7.6339199999999998</v>
      </c>
      <c r="CX21" s="21">
        <f>IF(CX$1&lt;INDEX('Valo FX'!$Q:$Q,MATCH($A21,'Valo FX'!$A:$A,0)),0,IF(CX$1&lt;INDEX('Valo FX'!$R:$R,MATCH($A21,'Valo FX'!$A:$A,0)),INDEX(Base!$U:$U,MATCH($A21,Base!$A:$A,0)),IF(CX$1=INDEX('Valo FX'!$R:$R,MATCH($A21,'Valo FX'!$A:$A,0)),INDEX(Base!$V:$V,MATCH($A21,Base!$A:$A,0)),0)))</f>
        <v>7.6339199999999998</v>
      </c>
      <c r="CY21" s="21">
        <f>IF(CY$1&lt;INDEX('Valo FX'!$Q:$Q,MATCH($A21,'Valo FX'!$A:$A,0)),0,IF(CY$1&lt;INDEX('Valo FX'!$R:$R,MATCH($A21,'Valo FX'!$A:$A,0)),INDEX(Base!$U:$U,MATCH($A21,Base!$A:$A,0)),IF(CY$1=INDEX('Valo FX'!$R:$R,MATCH($A21,'Valo FX'!$A:$A,0)),INDEX(Base!$V:$V,MATCH($A21,Base!$A:$A,0)),0)))</f>
        <v>7.6339199999999998</v>
      </c>
      <c r="CZ21" s="21">
        <f>IF(CZ$1&lt;INDEX('Valo FX'!$Q:$Q,MATCH($A21,'Valo FX'!$A:$A,0)),0,IF(CZ$1&lt;INDEX('Valo FX'!$R:$R,MATCH($A21,'Valo FX'!$A:$A,0)),INDEX(Base!$U:$U,MATCH($A21,Base!$A:$A,0)),IF(CZ$1=INDEX('Valo FX'!$R:$R,MATCH($A21,'Valo FX'!$A:$A,0)),INDEX(Base!$V:$V,MATCH($A21,Base!$A:$A,0)),0)))</f>
        <v>7.6339199999999998</v>
      </c>
      <c r="DA21" s="21">
        <f>IF(DA$1&lt;INDEX('Valo FX'!$Q:$Q,MATCH($A21,'Valo FX'!$A:$A,0)),0,IF(DA$1&lt;INDEX('Valo FX'!$R:$R,MATCH($A21,'Valo FX'!$A:$A,0)),INDEX(Base!$U:$U,MATCH($A21,Base!$A:$A,0)),IF(DA$1=INDEX('Valo FX'!$R:$R,MATCH($A21,'Valo FX'!$A:$A,0)),INDEX(Base!$V:$V,MATCH($A21,Base!$A:$A,0)),0)))</f>
        <v>7.6339199999999998</v>
      </c>
      <c r="DB21" s="21">
        <f>IF(DB$1&lt;INDEX('Valo FX'!$Q:$Q,MATCH($A21,'Valo FX'!$A:$A,0)),0,IF(DB$1&lt;INDEX('Valo FX'!$R:$R,MATCH($A21,'Valo FX'!$A:$A,0)),INDEX(Base!$U:$U,MATCH($A21,Base!$A:$A,0)),IF(DB$1=INDEX('Valo FX'!$R:$R,MATCH($A21,'Valo FX'!$A:$A,0)),INDEX(Base!$V:$V,MATCH($A21,Base!$A:$A,0)),0)))</f>
        <v>7.6339199999999998</v>
      </c>
      <c r="DC21" s="21">
        <f>IF(DC$1&lt;INDEX('Valo FX'!$Q:$Q,MATCH($A21,'Valo FX'!$A:$A,0)),0,IF(DC$1&lt;INDEX('Valo FX'!$R:$R,MATCH($A21,'Valo FX'!$A:$A,0)),INDEX(Base!$U:$U,MATCH($A21,Base!$A:$A,0)),IF(DC$1=INDEX('Valo FX'!$R:$R,MATCH($A21,'Valo FX'!$A:$A,0)),INDEX(Base!$V:$V,MATCH($A21,Base!$A:$A,0)),0)))</f>
        <v>7.6339199999999998</v>
      </c>
      <c r="DD21" s="21">
        <f>IF(DD$1&lt;INDEX('Valo FX'!$Q:$Q,MATCH($A21,'Valo FX'!$A:$A,0)),0,IF(DD$1&lt;INDEX('Valo FX'!$R:$R,MATCH($A21,'Valo FX'!$A:$A,0)),INDEX(Base!$U:$U,MATCH($A21,Base!$A:$A,0)),IF(DD$1=INDEX('Valo FX'!$R:$R,MATCH($A21,'Valo FX'!$A:$A,0)),INDEX(Base!$V:$V,MATCH($A21,Base!$A:$A,0)),0)))</f>
        <v>7.6339199999999998</v>
      </c>
      <c r="DE21" s="21">
        <f>IF(DE$1&lt;INDEX('Valo FX'!$Q:$Q,MATCH($A21,'Valo FX'!$A:$A,0)),0,IF(DE$1&lt;INDEX('Valo FX'!$R:$R,MATCH($A21,'Valo FX'!$A:$A,0)),INDEX(Base!$U:$U,MATCH($A21,Base!$A:$A,0)),IF(DE$1=INDEX('Valo FX'!$R:$R,MATCH($A21,'Valo FX'!$A:$A,0)),INDEX(Base!$V:$V,MATCH($A21,Base!$A:$A,0)),0)))</f>
        <v>7.6339199999999998</v>
      </c>
      <c r="DF21" s="21">
        <f>IF(DF$1&lt;INDEX('Valo FX'!$Q:$Q,MATCH($A21,'Valo FX'!$A:$A,0)),0,IF(DF$1&lt;INDEX('Valo FX'!$R:$R,MATCH($A21,'Valo FX'!$A:$A,0)),INDEX(Base!$U:$U,MATCH($A21,Base!$A:$A,0)),IF(DF$1=INDEX('Valo FX'!$R:$R,MATCH($A21,'Valo FX'!$A:$A,0)),INDEX(Base!$V:$V,MATCH($A21,Base!$A:$A,0)),0)))</f>
        <v>7.6339199999999998</v>
      </c>
      <c r="DG21" s="21">
        <f>IF(DG$1&lt;INDEX('Valo FX'!$Q:$Q,MATCH($A21,'Valo FX'!$A:$A,0)),0,IF(DG$1&lt;INDEX('Valo FX'!$R:$R,MATCH($A21,'Valo FX'!$A:$A,0)),INDEX(Base!$U:$U,MATCH($A21,Base!$A:$A,0)),IF(DG$1=INDEX('Valo FX'!$R:$R,MATCH($A21,'Valo FX'!$A:$A,0)),INDEX(Base!$V:$V,MATCH($A21,Base!$A:$A,0)),0)))</f>
        <v>7.6339199999999998</v>
      </c>
      <c r="DH21" s="21">
        <f>IF(DH$1&lt;INDEX('Valo FX'!$Q:$Q,MATCH($A21,'Valo FX'!$A:$A,0)),0,IF(DH$1&lt;INDEX('Valo FX'!$R:$R,MATCH($A21,'Valo FX'!$A:$A,0)),INDEX(Base!$U:$U,MATCH($A21,Base!$A:$A,0)),IF(DH$1=INDEX('Valo FX'!$R:$R,MATCH($A21,'Valo FX'!$A:$A,0)),INDEX(Base!$V:$V,MATCH($A21,Base!$A:$A,0)),0)))</f>
        <v>7.6339199999999998</v>
      </c>
      <c r="DI21" s="21">
        <f>IF(DI$1&lt;INDEX('Valo FX'!$Q:$Q,MATCH($A21,'Valo FX'!$A:$A,0)),0,IF(DI$1&lt;INDEX('Valo FX'!$R:$R,MATCH($A21,'Valo FX'!$A:$A,0)),INDEX(Base!$U:$U,MATCH($A21,Base!$A:$A,0)),IF(DI$1=INDEX('Valo FX'!$R:$R,MATCH($A21,'Valo FX'!$A:$A,0)),INDEX(Base!$V:$V,MATCH($A21,Base!$A:$A,0)),0)))</f>
        <v>7.6339199999999998</v>
      </c>
      <c r="DJ21" s="21">
        <f>IF(DJ$1&lt;INDEX('Valo FX'!$Q:$Q,MATCH($A21,'Valo FX'!$A:$A,0)),0,IF(DJ$1&lt;INDEX('Valo FX'!$R:$R,MATCH($A21,'Valo FX'!$A:$A,0)),INDEX(Base!$U:$U,MATCH($A21,Base!$A:$A,0)),IF(DJ$1=INDEX('Valo FX'!$R:$R,MATCH($A21,'Valo FX'!$A:$A,0)),INDEX(Base!$V:$V,MATCH($A21,Base!$A:$A,0)),0)))</f>
        <v>7.6339199999999998</v>
      </c>
      <c r="DK21" s="21">
        <f>IF(DK$1&lt;INDEX('Valo FX'!$Q:$Q,MATCH($A21,'Valo FX'!$A:$A,0)),0,IF(DK$1&lt;INDEX('Valo FX'!$R:$R,MATCH($A21,'Valo FX'!$A:$A,0)),INDEX(Base!$U:$U,MATCH($A21,Base!$A:$A,0)),IF(DK$1=INDEX('Valo FX'!$R:$R,MATCH($A21,'Valo FX'!$A:$A,0)),INDEX(Base!$V:$V,MATCH($A21,Base!$A:$A,0)),0)))</f>
        <v>7.6339199999999998</v>
      </c>
      <c r="DL21" s="21">
        <f>IF(DL$1&lt;INDEX('Valo FX'!$Q:$Q,MATCH($A21,'Valo FX'!$A:$A,0)),0,IF(DL$1&lt;INDEX('Valo FX'!$R:$R,MATCH($A21,'Valo FX'!$A:$A,0)),INDEX(Base!$U:$U,MATCH($A21,Base!$A:$A,0)),IF(DL$1=INDEX('Valo FX'!$R:$R,MATCH($A21,'Valo FX'!$A:$A,0)),INDEX(Base!$V:$V,MATCH($A21,Base!$A:$A,0)),0)))</f>
        <v>7.6339199999999998</v>
      </c>
      <c r="DM21" s="21">
        <f>IF(DM$1&lt;INDEX('Valo FX'!$Q:$Q,MATCH($A21,'Valo FX'!$A:$A,0)),0,IF(DM$1&lt;INDEX('Valo FX'!$R:$R,MATCH($A21,'Valo FX'!$A:$A,0)),INDEX(Base!$U:$U,MATCH($A21,Base!$A:$A,0)),IF(DM$1=INDEX('Valo FX'!$R:$R,MATCH($A21,'Valo FX'!$A:$A,0)),INDEX(Base!$V:$V,MATCH($A21,Base!$A:$A,0)),0)))</f>
        <v>7.6339199999999998</v>
      </c>
      <c r="DN21" s="21">
        <f>IF(DN$1&lt;INDEX('Valo FX'!$Q:$Q,MATCH($A21,'Valo FX'!$A:$A,0)),0,IF(DN$1&lt;INDEX('Valo FX'!$R:$R,MATCH($A21,'Valo FX'!$A:$A,0)),INDEX(Base!$U:$U,MATCH($A21,Base!$A:$A,0)),IF(DN$1=INDEX('Valo FX'!$R:$R,MATCH($A21,'Valo FX'!$A:$A,0)),INDEX(Base!$V:$V,MATCH($A21,Base!$A:$A,0)),0)))</f>
        <v>7.6339199999999998</v>
      </c>
      <c r="DO21" s="21">
        <f>IF(DO$1&lt;INDEX('Valo FX'!$Q:$Q,MATCH($A21,'Valo FX'!$A:$A,0)),0,IF(DO$1&lt;INDEX('Valo FX'!$R:$R,MATCH($A21,'Valo FX'!$A:$A,0)),INDEX(Base!$U:$U,MATCH($A21,Base!$A:$A,0)),IF(DO$1=INDEX('Valo FX'!$R:$R,MATCH($A21,'Valo FX'!$A:$A,0)),INDEX(Base!$V:$V,MATCH($A21,Base!$A:$A,0)),0)))</f>
        <v>7.6339199999999998</v>
      </c>
      <c r="DP21" s="21">
        <f>IF(DP$1&lt;INDEX('Valo FX'!$Q:$Q,MATCH($A21,'Valo FX'!$A:$A,0)),0,IF(DP$1&lt;INDEX('Valo FX'!$R:$R,MATCH($A21,'Valo FX'!$A:$A,0)),INDEX(Base!$U:$U,MATCH($A21,Base!$A:$A,0)),IF(DP$1=INDEX('Valo FX'!$R:$R,MATCH($A21,'Valo FX'!$A:$A,0)),INDEX(Base!$V:$V,MATCH($A21,Base!$A:$A,0)),0)))</f>
        <v>7.6339199999999998</v>
      </c>
      <c r="DQ21" s="21">
        <f>IF(DQ$1&lt;INDEX('Valo FX'!$Q:$Q,MATCH($A21,'Valo FX'!$A:$A,0)),0,IF(DQ$1&lt;INDEX('Valo FX'!$R:$R,MATCH($A21,'Valo FX'!$A:$A,0)),INDEX(Base!$U:$U,MATCH($A21,Base!$A:$A,0)),IF(DQ$1=INDEX('Valo FX'!$R:$R,MATCH($A21,'Valo FX'!$A:$A,0)),INDEX(Base!$V:$V,MATCH($A21,Base!$A:$A,0)),0)))</f>
        <v>7.6339199999999998</v>
      </c>
      <c r="DR21" s="21">
        <f>IF(DR$1&lt;INDEX('Valo FX'!$Q:$Q,MATCH($A21,'Valo FX'!$A:$A,0)),0,IF(DR$1&lt;INDEX('Valo FX'!$R:$R,MATCH($A21,'Valo FX'!$A:$A,0)),INDEX(Base!$U:$U,MATCH($A21,Base!$A:$A,0)),IF(DR$1=INDEX('Valo FX'!$R:$R,MATCH($A21,'Valo FX'!$A:$A,0)),INDEX(Base!$V:$V,MATCH($A21,Base!$A:$A,0)),0)))</f>
        <v>7.6339199999999998</v>
      </c>
      <c r="DS21" s="21">
        <f>IF(DS$1&lt;INDEX('Valo FX'!$Q:$Q,MATCH($A21,'Valo FX'!$A:$A,0)),0,IF(DS$1&lt;INDEX('Valo FX'!$R:$R,MATCH($A21,'Valo FX'!$A:$A,0)),INDEX(Base!$U:$U,MATCH($A21,Base!$A:$A,0)),IF(DS$1=INDEX('Valo FX'!$R:$R,MATCH($A21,'Valo FX'!$A:$A,0)),INDEX(Base!$V:$V,MATCH($A21,Base!$A:$A,0)),0)))</f>
        <v>7.6339199999999998</v>
      </c>
      <c r="DT21" s="21">
        <f>IF(DT$1&lt;INDEX('Valo FX'!$Q:$Q,MATCH($A21,'Valo FX'!$A:$A,0)),0,IF(DT$1&lt;INDEX('Valo FX'!$R:$R,MATCH($A21,'Valo FX'!$A:$A,0)),INDEX(Base!$U:$U,MATCH($A21,Base!$A:$A,0)),IF(DT$1=INDEX('Valo FX'!$R:$R,MATCH($A21,'Valo FX'!$A:$A,0)),INDEX(Base!$V:$V,MATCH($A21,Base!$A:$A,0)),0)))</f>
        <v>7.6339199999999998</v>
      </c>
      <c r="DU21" s="21">
        <f>IF(DU$1&lt;INDEX('Valo FX'!$Q:$Q,MATCH($A21,'Valo FX'!$A:$A,0)),0,IF(DU$1&lt;INDEX('Valo FX'!$R:$R,MATCH($A21,'Valo FX'!$A:$A,0)),INDEX(Base!$U:$U,MATCH($A21,Base!$A:$A,0)),IF(DU$1=INDEX('Valo FX'!$R:$R,MATCH($A21,'Valo FX'!$A:$A,0)),INDEX(Base!$V:$V,MATCH($A21,Base!$A:$A,0)),0)))</f>
        <v>7.6339199999999998</v>
      </c>
      <c r="DV21" s="21">
        <f>IF(DV$1&lt;INDEX('Valo FX'!$Q:$Q,MATCH($A21,'Valo FX'!$A:$A,0)),0,IF(DV$1&lt;INDEX('Valo FX'!$R:$R,MATCH($A21,'Valo FX'!$A:$A,0)),INDEX(Base!$U:$U,MATCH($A21,Base!$A:$A,0)),IF(DV$1=INDEX('Valo FX'!$R:$R,MATCH($A21,'Valo FX'!$A:$A,0)),INDEX(Base!$V:$V,MATCH($A21,Base!$A:$A,0)),0)))</f>
        <v>7.6339199999999998</v>
      </c>
      <c r="DW21" s="21">
        <f>IF(DW$1&lt;INDEX('Valo FX'!$Q:$Q,MATCH($A21,'Valo FX'!$A:$A,0)),0,IF(DW$1&lt;INDEX('Valo FX'!$R:$R,MATCH($A21,'Valo FX'!$A:$A,0)),INDEX(Base!$U:$U,MATCH($A21,Base!$A:$A,0)),IF(DW$1=INDEX('Valo FX'!$R:$R,MATCH($A21,'Valo FX'!$A:$A,0)),INDEX(Base!$V:$V,MATCH($A21,Base!$A:$A,0)),0)))</f>
        <v>7.6339199999999998</v>
      </c>
      <c r="DX21" s="21">
        <f>IF(DX$1&lt;INDEX('Valo FX'!$Q:$Q,MATCH($A21,'Valo FX'!$A:$A,0)),0,IF(DX$1&lt;INDEX('Valo FX'!$R:$R,MATCH($A21,'Valo FX'!$A:$A,0)),INDEX(Base!$U:$U,MATCH($A21,Base!$A:$A,0)),IF(DX$1=INDEX('Valo FX'!$R:$R,MATCH($A21,'Valo FX'!$A:$A,0)),INDEX(Base!$V:$V,MATCH($A21,Base!$A:$A,0)),0)))</f>
        <v>7.6339199999999998</v>
      </c>
      <c r="DY21" s="21">
        <f>IF(DY$1&lt;INDEX('Valo FX'!$Q:$Q,MATCH($A21,'Valo FX'!$A:$A,0)),0,IF(DY$1&lt;INDEX('Valo FX'!$R:$R,MATCH($A21,'Valo FX'!$A:$A,0)),INDEX(Base!$U:$U,MATCH($A21,Base!$A:$A,0)),IF(DY$1=INDEX('Valo FX'!$R:$R,MATCH($A21,'Valo FX'!$A:$A,0)),INDEX(Base!$V:$V,MATCH($A21,Base!$A:$A,0)),0)))</f>
        <v>7.6339199999999998</v>
      </c>
      <c r="DZ21" s="21">
        <f>IF(DZ$1&lt;INDEX('Valo FX'!$Q:$Q,MATCH($A21,'Valo FX'!$A:$A,0)),0,IF(DZ$1&lt;INDEX('Valo FX'!$R:$R,MATCH($A21,'Valo FX'!$A:$A,0)),INDEX(Base!$U:$U,MATCH($A21,Base!$A:$A,0)),IF(DZ$1=INDEX('Valo FX'!$R:$R,MATCH($A21,'Valo FX'!$A:$A,0)),INDEX(Base!$V:$V,MATCH($A21,Base!$A:$A,0)),0)))</f>
        <v>7.6339199999999998</v>
      </c>
      <c r="EA21" s="21">
        <f>IF(EA$1&lt;INDEX('Valo FX'!$Q:$Q,MATCH($A21,'Valo FX'!$A:$A,0)),0,IF(EA$1&lt;INDEX('Valo FX'!$R:$R,MATCH($A21,'Valo FX'!$A:$A,0)),INDEX(Base!$U:$U,MATCH($A21,Base!$A:$A,0)),IF(EA$1=INDEX('Valo FX'!$R:$R,MATCH($A21,'Valo FX'!$A:$A,0)),INDEX(Base!$V:$V,MATCH($A21,Base!$A:$A,0)),0)))</f>
        <v>7.6339199999999998</v>
      </c>
      <c r="EB21" s="21">
        <f>IF(EB$1&lt;INDEX('Valo FX'!$Q:$Q,MATCH($A21,'Valo FX'!$A:$A,0)),0,IF(EB$1&lt;INDEX('Valo FX'!$R:$R,MATCH($A21,'Valo FX'!$A:$A,0)),INDEX(Base!$U:$U,MATCH($A21,Base!$A:$A,0)),IF(EB$1=INDEX('Valo FX'!$R:$R,MATCH($A21,'Valo FX'!$A:$A,0)),INDEX(Base!$V:$V,MATCH($A21,Base!$A:$A,0)),0)))</f>
        <v>7.6339199999999998</v>
      </c>
      <c r="EC21" s="21">
        <f>IF(EC$1&lt;INDEX('Valo FX'!$Q:$Q,MATCH($A21,'Valo FX'!$A:$A,0)),0,IF(EC$1&lt;INDEX('Valo FX'!$R:$R,MATCH($A21,'Valo FX'!$A:$A,0)),INDEX(Base!$U:$U,MATCH($A21,Base!$A:$A,0)),IF(EC$1=INDEX('Valo FX'!$R:$R,MATCH($A21,'Valo FX'!$A:$A,0)),INDEX(Base!$V:$V,MATCH($A21,Base!$A:$A,0)),0)))</f>
        <v>7.6339199999999998</v>
      </c>
      <c r="ED21" s="21">
        <f>IF(ED$1&lt;INDEX('Valo FX'!$Q:$Q,MATCH($A21,'Valo FX'!$A:$A,0)),0,IF(ED$1&lt;INDEX('Valo FX'!$R:$R,MATCH($A21,'Valo FX'!$A:$A,0)),INDEX(Base!$U:$U,MATCH($A21,Base!$A:$A,0)),IF(ED$1=INDEX('Valo FX'!$R:$R,MATCH($A21,'Valo FX'!$A:$A,0)),INDEX(Base!$V:$V,MATCH($A21,Base!$A:$A,0)),0)))</f>
        <v>7.6339199999999998</v>
      </c>
      <c r="EE21" s="21">
        <f>IF(EE$1&lt;INDEX('Valo FX'!$Q:$Q,MATCH($A21,'Valo FX'!$A:$A,0)),0,IF(EE$1&lt;INDEX('Valo FX'!$R:$R,MATCH($A21,'Valo FX'!$A:$A,0)),INDEX(Base!$U:$U,MATCH($A21,Base!$A:$A,0)),IF(EE$1=INDEX('Valo FX'!$R:$R,MATCH($A21,'Valo FX'!$A:$A,0)),INDEX(Base!$V:$V,MATCH($A21,Base!$A:$A,0)),0)))</f>
        <v>7.6339199999999998</v>
      </c>
      <c r="EF21" s="21">
        <f>IF(EF$1&lt;INDEX('Valo FX'!$Q:$Q,MATCH($A21,'Valo FX'!$A:$A,0)),0,IF(EF$1&lt;INDEX('Valo FX'!$R:$R,MATCH($A21,'Valo FX'!$A:$A,0)),INDEX(Base!$U:$U,MATCH($A21,Base!$A:$A,0)),IF(EF$1=INDEX('Valo FX'!$R:$R,MATCH($A21,'Valo FX'!$A:$A,0)),INDEX(Base!$V:$V,MATCH($A21,Base!$A:$A,0)),0)))</f>
        <v>7.6339199999999998</v>
      </c>
      <c r="EG21" s="21">
        <f>IF(EG$1&lt;INDEX('Valo FX'!$Q:$Q,MATCH($A21,'Valo FX'!$A:$A,0)),0,IF(EG$1&lt;INDEX('Valo FX'!$R:$R,MATCH($A21,'Valo FX'!$A:$A,0)),INDEX(Base!$U:$U,MATCH($A21,Base!$A:$A,0)),IF(EG$1=INDEX('Valo FX'!$R:$R,MATCH($A21,'Valo FX'!$A:$A,0)),INDEX(Base!$V:$V,MATCH($A21,Base!$A:$A,0)),0)))</f>
        <v>7.6339199999999998</v>
      </c>
      <c r="EH21" s="21">
        <f>IF(EH$1&lt;INDEX('Valo FX'!$Q:$Q,MATCH($A21,'Valo FX'!$A:$A,0)),0,IF(EH$1&lt;INDEX('Valo FX'!$R:$R,MATCH($A21,'Valo FX'!$A:$A,0)),INDEX(Base!$U:$U,MATCH($A21,Base!$A:$A,0)),IF(EH$1=INDEX('Valo FX'!$R:$R,MATCH($A21,'Valo FX'!$A:$A,0)),INDEX(Base!$V:$V,MATCH($A21,Base!$A:$A,0)),0)))</f>
        <v>7.6339199999999998</v>
      </c>
      <c r="EI21" s="21">
        <f>IF(EI$1&lt;INDEX('Valo FX'!$Q:$Q,MATCH($A21,'Valo FX'!$A:$A,0)),0,IF(EI$1&lt;INDEX('Valo FX'!$R:$R,MATCH($A21,'Valo FX'!$A:$A,0)),INDEX(Base!$U:$U,MATCH($A21,Base!$A:$A,0)),IF(EI$1=INDEX('Valo FX'!$R:$R,MATCH($A21,'Valo FX'!$A:$A,0)),INDEX(Base!$V:$V,MATCH($A21,Base!$A:$A,0)),0)))</f>
        <v>7.6339199999999998</v>
      </c>
      <c r="EJ21" s="21">
        <f>IF(EJ$1&lt;INDEX('Valo FX'!$Q:$Q,MATCH($A21,'Valo FX'!$A:$A,0)),0,IF(EJ$1&lt;INDEX('Valo FX'!$R:$R,MATCH($A21,'Valo FX'!$A:$A,0)),INDEX(Base!$U:$U,MATCH($A21,Base!$A:$A,0)),IF(EJ$1=INDEX('Valo FX'!$R:$R,MATCH($A21,'Valo FX'!$A:$A,0)),INDEX(Base!$V:$V,MATCH($A21,Base!$A:$A,0)),0)))</f>
        <v>7.6339199999999998</v>
      </c>
      <c r="EK21" s="21">
        <f>IF(EK$1&lt;INDEX('Valo FX'!$Q:$Q,MATCH($A21,'Valo FX'!$A:$A,0)),0,IF(EK$1&lt;INDEX('Valo FX'!$R:$R,MATCH($A21,'Valo FX'!$A:$A,0)),INDEX(Base!$U:$U,MATCH($A21,Base!$A:$A,0)),IF(EK$1=INDEX('Valo FX'!$R:$R,MATCH($A21,'Valo FX'!$A:$A,0)),INDEX(Base!$V:$V,MATCH($A21,Base!$A:$A,0)),0)))</f>
        <v>7.6339199999999998</v>
      </c>
      <c r="EL21" s="21">
        <f>IF(EL$1&lt;INDEX('Valo FX'!$Q:$Q,MATCH($A21,'Valo FX'!$A:$A,0)),0,IF(EL$1&lt;INDEX('Valo FX'!$R:$R,MATCH($A21,'Valo FX'!$A:$A,0)),INDEX(Base!$U:$U,MATCH($A21,Base!$A:$A,0)),IF(EL$1=INDEX('Valo FX'!$R:$R,MATCH($A21,'Valo FX'!$A:$A,0)),INDEX(Base!$V:$V,MATCH($A21,Base!$A:$A,0)),0)))</f>
        <v>7.6339199999999998</v>
      </c>
      <c r="EM21" s="21">
        <f>IF(EM$1&lt;INDEX('Valo FX'!$Q:$Q,MATCH($A21,'Valo FX'!$A:$A,0)),0,IF(EM$1&lt;INDEX('Valo FX'!$R:$R,MATCH($A21,'Valo FX'!$A:$A,0)),INDEX(Base!$U:$U,MATCH($A21,Base!$A:$A,0)),IF(EM$1=INDEX('Valo FX'!$R:$R,MATCH($A21,'Valo FX'!$A:$A,0)),INDEX(Base!$V:$V,MATCH($A21,Base!$A:$A,0)),0)))</f>
        <v>7.6339199999999998</v>
      </c>
      <c r="EN21" s="21">
        <f>IF(EN$1&lt;INDEX('Valo FX'!$Q:$Q,MATCH($A21,'Valo FX'!$A:$A,0)),0,IF(EN$1&lt;INDEX('Valo FX'!$R:$R,MATCH($A21,'Valo FX'!$A:$A,0)),INDEX(Base!$U:$U,MATCH($A21,Base!$A:$A,0)),IF(EN$1=INDEX('Valo FX'!$R:$R,MATCH($A21,'Valo FX'!$A:$A,0)),INDEX(Base!$V:$V,MATCH($A21,Base!$A:$A,0)),0)))</f>
        <v>7.6339199999999998</v>
      </c>
      <c r="EO21" s="21">
        <f>IF(EO$1&lt;INDEX('Valo FX'!$Q:$Q,MATCH($A21,'Valo FX'!$A:$A,0)),0,IF(EO$1&lt;INDEX('Valo FX'!$R:$R,MATCH($A21,'Valo FX'!$A:$A,0)),INDEX(Base!$U:$U,MATCH($A21,Base!$A:$A,0)),IF(EO$1=INDEX('Valo FX'!$R:$R,MATCH($A21,'Valo FX'!$A:$A,0)),INDEX(Base!$V:$V,MATCH($A21,Base!$A:$A,0)),0)))</f>
        <v>7.6339199999999998</v>
      </c>
      <c r="EP21" s="21">
        <f>IF(EP$1&lt;INDEX('Valo FX'!$Q:$Q,MATCH($A21,'Valo FX'!$A:$A,0)),0,IF(EP$1&lt;INDEX('Valo FX'!$R:$R,MATCH($A21,'Valo FX'!$A:$A,0)),INDEX(Base!$U:$U,MATCH($A21,Base!$A:$A,0)),IF(EP$1=INDEX('Valo FX'!$R:$R,MATCH($A21,'Valo FX'!$A:$A,0)),INDEX(Base!$V:$V,MATCH($A21,Base!$A:$A,0)),0)))</f>
        <v>7.6339199999999998</v>
      </c>
      <c r="EQ21" s="21">
        <f>IF(EQ$1&lt;INDEX('Valo FX'!$Q:$Q,MATCH($A21,'Valo FX'!$A:$A,0)),0,IF(EQ$1&lt;INDEX('Valo FX'!$R:$R,MATCH($A21,'Valo FX'!$A:$A,0)),INDEX(Base!$U:$U,MATCH($A21,Base!$A:$A,0)),IF(EQ$1=INDEX('Valo FX'!$R:$R,MATCH($A21,'Valo FX'!$A:$A,0)),INDEX(Base!$V:$V,MATCH($A21,Base!$A:$A,0)),0)))</f>
        <v>7.6339199999999998</v>
      </c>
      <c r="ER21" s="21">
        <f>IF(ER$1&lt;INDEX('Valo FX'!$Q:$Q,MATCH($A21,'Valo FX'!$A:$A,0)),0,IF(ER$1&lt;INDEX('Valo FX'!$R:$R,MATCH($A21,'Valo FX'!$A:$A,0)),INDEX(Base!$U:$U,MATCH($A21,Base!$A:$A,0)),IF(ER$1=INDEX('Valo FX'!$R:$R,MATCH($A21,'Valo FX'!$A:$A,0)),INDEX(Base!$V:$V,MATCH($A21,Base!$A:$A,0)),0)))</f>
        <v>7.6339199999999998</v>
      </c>
      <c r="ES21" s="21">
        <f>IF(ES$1&lt;INDEX('Valo FX'!$Q:$Q,MATCH($A21,'Valo FX'!$A:$A,0)),0,IF(ES$1&lt;INDEX('Valo FX'!$R:$R,MATCH($A21,'Valo FX'!$A:$A,0)),INDEX(Base!$U:$U,MATCH($A21,Base!$A:$A,0)),IF(ES$1=INDEX('Valo FX'!$R:$R,MATCH($A21,'Valo FX'!$A:$A,0)),INDEX(Base!$V:$V,MATCH($A21,Base!$A:$A,0)),0)))</f>
        <v>7.6339199999999998</v>
      </c>
      <c r="ET21" s="21">
        <f>IF(ET$1&lt;INDEX('Valo FX'!$Q:$Q,MATCH($A21,'Valo FX'!$A:$A,0)),0,IF(ET$1&lt;INDEX('Valo FX'!$R:$R,MATCH($A21,'Valo FX'!$A:$A,0)),INDEX(Base!$U:$U,MATCH($A21,Base!$A:$A,0)),IF(ET$1=INDEX('Valo FX'!$R:$R,MATCH($A21,'Valo FX'!$A:$A,0)),INDEX(Base!$V:$V,MATCH($A21,Base!$A:$A,0)),0)))</f>
        <v>7.6339199999999998</v>
      </c>
      <c r="EU21" s="21">
        <f>IF(EU$1&lt;INDEX('Valo FX'!$Q:$Q,MATCH($A21,'Valo FX'!$A:$A,0)),0,IF(EU$1&lt;INDEX('Valo FX'!$R:$R,MATCH($A21,'Valo FX'!$A:$A,0)),INDEX(Base!$U:$U,MATCH($A21,Base!$A:$A,0)),IF(EU$1=INDEX('Valo FX'!$R:$R,MATCH($A21,'Valo FX'!$A:$A,0)),INDEX(Base!$V:$V,MATCH($A21,Base!$A:$A,0)),0)))</f>
        <v>7.6339199999999998</v>
      </c>
      <c r="EV21" s="21">
        <f>IF(EV$1&lt;INDEX('Valo FX'!$Q:$Q,MATCH($A21,'Valo FX'!$A:$A,0)),0,IF(EV$1&lt;INDEX('Valo FX'!$R:$R,MATCH($A21,'Valo FX'!$A:$A,0)),INDEX(Base!$U:$U,MATCH($A21,Base!$A:$A,0)),IF(EV$1=INDEX('Valo FX'!$R:$R,MATCH($A21,'Valo FX'!$A:$A,0)),INDEX(Base!$V:$V,MATCH($A21,Base!$A:$A,0)),0)))</f>
        <v>7.6339199999999998</v>
      </c>
      <c r="EW21" s="21">
        <f>IF(EW$1&lt;INDEX('Valo FX'!$Q:$Q,MATCH($A21,'Valo FX'!$A:$A,0)),0,IF(EW$1&lt;INDEX('Valo FX'!$R:$R,MATCH($A21,'Valo FX'!$A:$A,0)),INDEX(Base!$U:$U,MATCH($A21,Base!$A:$A,0)),IF(EW$1=INDEX('Valo FX'!$R:$R,MATCH($A21,'Valo FX'!$A:$A,0)),INDEX(Base!$V:$V,MATCH($A21,Base!$A:$A,0)),0)))</f>
        <v>7.6339199999999998</v>
      </c>
      <c r="EX21" s="21">
        <f>IF(EX$1&lt;INDEX('Valo FX'!$Q:$Q,MATCH($A21,'Valo FX'!$A:$A,0)),0,IF(EX$1&lt;INDEX('Valo FX'!$R:$R,MATCH($A21,'Valo FX'!$A:$A,0)),INDEX(Base!$U:$U,MATCH($A21,Base!$A:$A,0)),IF(EX$1=INDEX('Valo FX'!$R:$R,MATCH($A21,'Valo FX'!$A:$A,0)),INDEX(Base!$V:$V,MATCH($A21,Base!$A:$A,0)),0)))</f>
        <v>7.6339199999999998</v>
      </c>
      <c r="EY21" s="21">
        <f>IF(EY$1&lt;INDEX('Valo FX'!$Q:$Q,MATCH($A21,'Valo FX'!$A:$A,0)),0,IF(EY$1&lt;INDEX('Valo FX'!$R:$R,MATCH($A21,'Valo FX'!$A:$A,0)),INDEX(Base!$U:$U,MATCH($A21,Base!$A:$A,0)),IF(EY$1=INDEX('Valo FX'!$R:$R,MATCH($A21,'Valo FX'!$A:$A,0)),INDEX(Base!$V:$V,MATCH($A21,Base!$A:$A,0)),0)))</f>
        <v>7.6339199999999998</v>
      </c>
      <c r="EZ21" s="21">
        <f>IF(EZ$1&lt;INDEX('Valo FX'!$Q:$Q,MATCH($A21,'Valo FX'!$A:$A,0)),0,IF(EZ$1&lt;INDEX('Valo FX'!$R:$R,MATCH($A21,'Valo FX'!$A:$A,0)),INDEX(Base!$U:$U,MATCH($A21,Base!$A:$A,0)),IF(EZ$1=INDEX('Valo FX'!$R:$R,MATCH($A21,'Valo FX'!$A:$A,0)),INDEX(Base!$V:$V,MATCH($A21,Base!$A:$A,0)),0)))</f>
        <v>7.6339199999999998</v>
      </c>
      <c r="FA21" s="21">
        <f>IF(FA$1&lt;INDEX('Valo FX'!$Q:$Q,MATCH($A21,'Valo FX'!$A:$A,0)),0,IF(FA$1&lt;INDEX('Valo FX'!$R:$R,MATCH($A21,'Valo FX'!$A:$A,0)),INDEX(Base!$U:$U,MATCH($A21,Base!$A:$A,0)),IF(FA$1=INDEX('Valo FX'!$R:$R,MATCH($A21,'Valo FX'!$A:$A,0)),INDEX(Base!$V:$V,MATCH($A21,Base!$A:$A,0)),0)))</f>
        <v>7.6339199999999998</v>
      </c>
      <c r="FB21" s="21">
        <f>IF(FB$1&lt;INDEX('Valo FX'!$Q:$Q,MATCH($A21,'Valo FX'!$A:$A,0)),0,IF(FB$1&lt;INDEX('Valo FX'!$R:$R,MATCH($A21,'Valo FX'!$A:$A,0)),INDEX(Base!$U:$U,MATCH($A21,Base!$A:$A,0)),IF(FB$1=INDEX('Valo FX'!$R:$R,MATCH($A21,'Valo FX'!$A:$A,0)),INDEX(Base!$V:$V,MATCH($A21,Base!$A:$A,0)),0)))</f>
        <v>7.6339199999999998</v>
      </c>
      <c r="FC21" s="21">
        <f>IF(FC$1&lt;INDEX('Valo FX'!$Q:$Q,MATCH($A21,'Valo FX'!$A:$A,0)),0,IF(FC$1&lt;INDEX('Valo FX'!$R:$R,MATCH($A21,'Valo FX'!$A:$A,0)),INDEX(Base!$U:$U,MATCH($A21,Base!$A:$A,0)),IF(FC$1=INDEX('Valo FX'!$R:$R,MATCH($A21,'Valo FX'!$A:$A,0)),INDEX(Base!$V:$V,MATCH($A21,Base!$A:$A,0)),0)))</f>
        <v>7.6339199999999998</v>
      </c>
      <c r="FD21" s="21">
        <f>IF(FD$1&lt;INDEX('Valo FX'!$Q:$Q,MATCH($A21,'Valo FX'!$A:$A,0)),0,IF(FD$1&lt;INDEX('Valo FX'!$R:$R,MATCH($A21,'Valo FX'!$A:$A,0)),INDEX(Base!$U:$U,MATCH($A21,Base!$A:$A,0)),IF(FD$1=INDEX('Valo FX'!$R:$R,MATCH($A21,'Valo FX'!$A:$A,0)),INDEX(Base!$V:$V,MATCH($A21,Base!$A:$A,0)),0)))</f>
        <v>7.6339199999999998</v>
      </c>
      <c r="FE21" s="21">
        <f>IF(FE$1&lt;INDEX('Valo FX'!$Q:$Q,MATCH($A21,'Valo FX'!$A:$A,0)),0,IF(FE$1&lt;INDEX('Valo FX'!$R:$R,MATCH($A21,'Valo FX'!$A:$A,0)),INDEX(Base!$U:$U,MATCH($A21,Base!$A:$A,0)),IF(FE$1=INDEX('Valo FX'!$R:$R,MATCH($A21,'Valo FX'!$A:$A,0)),INDEX(Base!$V:$V,MATCH($A21,Base!$A:$A,0)),0)))</f>
        <v>7.6339199999999998</v>
      </c>
      <c r="FF21" s="21">
        <f>IF(FF$1&lt;INDEX('Valo FX'!$Q:$Q,MATCH($A21,'Valo FX'!$A:$A,0)),0,IF(FF$1&lt;INDEX('Valo FX'!$R:$R,MATCH($A21,'Valo FX'!$A:$A,0)),INDEX(Base!$U:$U,MATCH($A21,Base!$A:$A,0)),IF(FF$1=INDEX('Valo FX'!$R:$R,MATCH($A21,'Valo FX'!$A:$A,0)),INDEX(Base!$V:$V,MATCH($A21,Base!$A:$A,0)),0)))</f>
        <v>7.6339199999999998</v>
      </c>
      <c r="FG21" s="21">
        <f>IF(FG$1&lt;INDEX('Valo FX'!$Q:$Q,MATCH($A21,'Valo FX'!$A:$A,0)),0,IF(FG$1&lt;INDEX('Valo FX'!$R:$R,MATCH($A21,'Valo FX'!$A:$A,0)),INDEX(Base!$U:$U,MATCH($A21,Base!$A:$A,0)),IF(FG$1=INDEX('Valo FX'!$R:$R,MATCH($A21,'Valo FX'!$A:$A,0)),INDEX(Base!$V:$V,MATCH($A21,Base!$A:$A,0)),0)))</f>
        <v>7.6339199999999998</v>
      </c>
      <c r="FH21" s="21">
        <f>IF(FH$1&lt;INDEX('Valo FX'!$Q:$Q,MATCH($A21,'Valo FX'!$A:$A,0)),0,IF(FH$1&lt;INDEX('Valo FX'!$R:$R,MATCH($A21,'Valo FX'!$A:$A,0)),INDEX(Base!$U:$U,MATCH($A21,Base!$A:$A,0)),IF(FH$1=INDEX('Valo FX'!$R:$R,MATCH($A21,'Valo FX'!$A:$A,0)),INDEX(Base!$V:$V,MATCH($A21,Base!$A:$A,0)),0)))</f>
        <v>7.6339199999999998</v>
      </c>
      <c r="FI21" s="21">
        <f>IF(FI$1&lt;INDEX('Valo FX'!$Q:$Q,MATCH($A21,'Valo FX'!$A:$A,0)),0,IF(FI$1&lt;INDEX('Valo FX'!$R:$R,MATCH($A21,'Valo FX'!$A:$A,0)),INDEX(Base!$U:$U,MATCH($A21,Base!$A:$A,0)),IF(FI$1=INDEX('Valo FX'!$R:$R,MATCH($A21,'Valo FX'!$A:$A,0)),INDEX(Base!$V:$V,MATCH($A21,Base!$A:$A,0)),0)))</f>
        <v>7.6339199999999998</v>
      </c>
      <c r="FJ21" s="21">
        <f>IF(FJ$1&lt;INDEX('Valo FX'!$Q:$Q,MATCH($A21,'Valo FX'!$A:$A,0)),0,IF(FJ$1&lt;INDEX('Valo FX'!$R:$R,MATCH($A21,'Valo FX'!$A:$A,0)),INDEX(Base!$U:$U,MATCH($A21,Base!$A:$A,0)),IF(FJ$1=INDEX('Valo FX'!$R:$R,MATCH($A21,'Valo FX'!$A:$A,0)),INDEX(Base!$V:$V,MATCH($A21,Base!$A:$A,0)),0)))</f>
        <v>7.6339199999999998</v>
      </c>
      <c r="FK21" s="21">
        <f>IF(FK$1&lt;INDEX('Valo FX'!$Q:$Q,MATCH($A21,'Valo FX'!$A:$A,0)),0,IF(FK$1&lt;INDEX('Valo FX'!$R:$R,MATCH($A21,'Valo FX'!$A:$A,0)),INDEX(Base!$U:$U,MATCH($A21,Base!$A:$A,0)),IF(FK$1=INDEX('Valo FX'!$R:$R,MATCH($A21,'Valo FX'!$A:$A,0)),INDEX(Base!$V:$V,MATCH($A21,Base!$A:$A,0)),0)))</f>
        <v>7.6339199999999998</v>
      </c>
      <c r="FL21" s="21">
        <f>IF(FL$1&lt;INDEX('Valo FX'!$Q:$Q,MATCH($A21,'Valo FX'!$A:$A,0)),0,IF(FL$1&lt;INDEX('Valo FX'!$R:$R,MATCH($A21,'Valo FX'!$A:$A,0)),INDEX(Base!$U:$U,MATCH($A21,Base!$A:$A,0)),IF(FL$1=INDEX('Valo FX'!$R:$R,MATCH($A21,'Valo FX'!$A:$A,0)),INDEX(Base!$V:$V,MATCH($A21,Base!$A:$A,0)),0)))</f>
        <v>7.6339199999999998</v>
      </c>
      <c r="FM21" s="21">
        <f>IF(FM$1&lt;INDEX('Valo FX'!$Q:$Q,MATCH($A21,'Valo FX'!$A:$A,0)),0,IF(FM$1&lt;INDEX('Valo FX'!$R:$R,MATCH($A21,'Valo FX'!$A:$A,0)),INDEX(Base!$U:$U,MATCH($A21,Base!$A:$A,0)),IF(FM$1=INDEX('Valo FX'!$R:$R,MATCH($A21,'Valo FX'!$A:$A,0)),INDEX(Base!$V:$V,MATCH($A21,Base!$A:$A,0)),0)))</f>
        <v>7.6339199999999998</v>
      </c>
      <c r="FN21" s="21">
        <f>IF(FN$1&lt;INDEX('Valo FX'!$Q:$Q,MATCH($A21,'Valo FX'!$A:$A,0)),0,IF(FN$1&lt;INDEX('Valo FX'!$R:$R,MATCH($A21,'Valo FX'!$A:$A,0)),INDEX(Base!$U:$U,MATCH($A21,Base!$A:$A,0)),IF(FN$1=INDEX('Valo FX'!$R:$R,MATCH($A21,'Valo FX'!$A:$A,0)),INDEX(Base!$V:$V,MATCH($A21,Base!$A:$A,0)),0)))</f>
        <v>7.6339199999999998</v>
      </c>
      <c r="FO21" s="21">
        <f>IF(FO$1&lt;INDEX('Valo FX'!$Q:$Q,MATCH($A21,'Valo FX'!$A:$A,0)),0,IF(FO$1&lt;INDEX('Valo FX'!$R:$R,MATCH($A21,'Valo FX'!$A:$A,0)),INDEX(Base!$U:$U,MATCH($A21,Base!$A:$A,0)),IF(FO$1=INDEX('Valo FX'!$R:$R,MATCH($A21,'Valo FX'!$A:$A,0)),INDEX(Base!$V:$V,MATCH($A21,Base!$A:$A,0)),0)))</f>
        <v>7.6339199999999998</v>
      </c>
      <c r="FP21" s="21">
        <f>IF(FP$1&lt;INDEX('Valo FX'!$Q:$Q,MATCH($A21,'Valo FX'!$A:$A,0)),0,IF(FP$1&lt;INDEX('Valo FX'!$R:$R,MATCH($A21,'Valo FX'!$A:$A,0)),INDEX(Base!$U:$U,MATCH($A21,Base!$A:$A,0)),IF(FP$1=INDEX('Valo FX'!$R:$R,MATCH($A21,'Valo FX'!$A:$A,0)),INDEX(Base!$V:$V,MATCH($A21,Base!$A:$A,0)),0)))</f>
        <v>7.6339199999999998</v>
      </c>
      <c r="FQ21" s="21">
        <f>IF(FQ$1&lt;INDEX('Valo FX'!$Q:$Q,MATCH($A21,'Valo FX'!$A:$A,0)),0,IF(FQ$1&lt;INDEX('Valo FX'!$R:$R,MATCH($A21,'Valo FX'!$A:$A,0)),INDEX(Base!$U:$U,MATCH($A21,Base!$A:$A,0)),IF(FQ$1=INDEX('Valo FX'!$R:$R,MATCH($A21,'Valo FX'!$A:$A,0)),INDEX(Base!$V:$V,MATCH($A21,Base!$A:$A,0)),0)))</f>
        <v>7.6339199999999998</v>
      </c>
      <c r="FR21" s="21">
        <f>IF(FR$1&lt;INDEX('Valo FX'!$Q:$Q,MATCH($A21,'Valo FX'!$A:$A,0)),0,IF(FR$1&lt;INDEX('Valo FX'!$R:$R,MATCH($A21,'Valo FX'!$A:$A,0)),INDEX(Base!$U:$U,MATCH($A21,Base!$A:$A,0)),IF(FR$1=INDEX('Valo FX'!$R:$R,MATCH($A21,'Valo FX'!$A:$A,0)),INDEX(Base!$V:$V,MATCH($A21,Base!$A:$A,0)),0)))</f>
        <v>7.6339199999999998</v>
      </c>
      <c r="FS21" s="21">
        <f>IF(FS$1&lt;INDEX('Valo FX'!$Q:$Q,MATCH($A21,'Valo FX'!$A:$A,0)),0,IF(FS$1&lt;INDEX('Valo FX'!$R:$R,MATCH($A21,'Valo FX'!$A:$A,0)),INDEX(Base!$U:$U,MATCH($A21,Base!$A:$A,0)),IF(FS$1=INDEX('Valo FX'!$R:$R,MATCH($A21,'Valo FX'!$A:$A,0)),INDEX(Base!$V:$V,MATCH($A21,Base!$A:$A,0)),0)))</f>
        <v>7.6339199999999998</v>
      </c>
      <c r="FT21" s="21">
        <f>IF(FT$1&lt;INDEX('Valo FX'!$Q:$Q,MATCH($A21,'Valo FX'!$A:$A,0)),0,IF(FT$1&lt;INDEX('Valo FX'!$R:$R,MATCH($A21,'Valo FX'!$A:$A,0)),INDEX(Base!$U:$U,MATCH($A21,Base!$A:$A,0)),IF(FT$1=INDEX('Valo FX'!$R:$R,MATCH($A21,'Valo FX'!$A:$A,0)),INDEX(Base!$V:$V,MATCH($A21,Base!$A:$A,0)),0)))</f>
        <v>7.6339199999999998</v>
      </c>
      <c r="FU21" s="21">
        <f>IF(FU$1&lt;INDEX('Valo FX'!$Q:$Q,MATCH($A21,'Valo FX'!$A:$A,0)),0,IF(FU$1&lt;INDEX('Valo FX'!$R:$R,MATCH($A21,'Valo FX'!$A:$A,0)),INDEX(Base!$U:$U,MATCH($A21,Base!$A:$A,0)),IF(FU$1=INDEX('Valo FX'!$R:$R,MATCH($A21,'Valo FX'!$A:$A,0)),INDEX(Base!$V:$V,MATCH($A21,Base!$A:$A,0)),0)))</f>
        <v>7.6339199999999998</v>
      </c>
      <c r="FV21" s="21">
        <f>IF(FV$1&lt;INDEX('Valo FX'!$Q:$Q,MATCH($A21,'Valo FX'!$A:$A,0)),0,IF(FV$1&lt;INDEX('Valo FX'!$R:$R,MATCH($A21,'Valo FX'!$A:$A,0)),INDEX(Base!$U:$U,MATCH($A21,Base!$A:$A,0)),IF(FV$1=INDEX('Valo FX'!$R:$R,MATCH($A21,'Valo FX'!$A:$A,0)),INDEX(Base!$V:$V,MATCH($A21,Base!$A:$A,0)),0)))</f>
        <v>7.6339199999999998</v>
      </c>
      <c r="FW21" s="21">
        <f>IF(FW$1&lt;INDEX('Valo FX'!$Q:$Q,MATCH($A21,'Valo FX'!$A:$A,0)),0,IF(FW$1&lt;INDEX('Valo FX'!$R:$R,MATCH($A21,'Valo FX'!$A:$A,0)),INDEX(Base!$U:$U,MATCH($A21,Base!$A:$A,0)),IF(FW$1=INDEX('Valo FX'!$R:$R,MATCH($A21,'Valo FX'!$A:$A,0)),INDEX(Base!$V:$V,MATCH($A21,Base!$A:$A,0)),0)))</f>
        <v>7.6339199999999998</v>
      </c>
      <c r="FX21" s="21">
        <f>IF(FX$1&lt;INDEX('Valo FX'!$Q:$Q,MATCH($A21,'Valo FX'!$A:$A,0)),0,IF(FX$1&lt;INDEX('Valo FX'!$R:$R,MATCH($A21,'Valo FX'!$A:$A,0)),INDEX(Base!$U:$U,MATCH($A21,Base!$A:$A,0)),IF(FX$1=INDEX('Valo FX'!$R:$R,MATCH($A21,'Valo FX'!$A:$A,0)),INDEX(Base!$V:$V,MATCH($A21,Base!$A:$A,0)),0)))</f>
        <v>7.6339199999999998</v>
      </c>
      <c r="FY21" s="21">
        <f>IF(FY$1&lt;INDEX('Valo FX'!$Q:$Q,MATCH($A21,'Valo FX'!$A:$A,0)),0,IF(FY$1&lt;INDEX('Valo FX'!$R:$R,MATCH($A21,'Valo FX'!$A:$A,0)),INDEX(Base!$U:$U,MATCH($A21,Base!$A:$A,0)),IF(FY$1=INDEX('Valo FX'!$R:$R,MATCH($A21,'Valo FX'!$A:$A,0)),INDEX(Base!$V:$V,MATCH($A21,Base!$A:$A,0)),0)))</f>
        <v>7.6339199999999998</v>
      </c>
      <c r="FZ21" s="21">
        <f>IF(FZ$1&lt;INDEX('Valo FX'!$Q:$Q,MATCH($A21,'Valo FX'!$A:$A,0)),0,IF(FZ$1&lt;INDEX('Valo FX'!$R:$R,MATCH($A21,'Valo FX'!$A:$A,0)),INDEX(Base!$U:$U,MATCH($A21,Base!$A:$A,0)),IF(FZ$1=INDEX('Valo FX'!$R:$R,MATCH($A21,'Valo FX'!$A:$A,0)),INDEX(Base!$V:$V,MATCH($A21,Base!$A:$A,0)),0)))</f>
        <v>7.6339199999999998</v>
      </c>
      <c r="GA21" s="21">
        <f>IF(GA$1&lt;INDEX('Valo FX'!$Q:$Q,MATCH($A21,'Valo FX'!$A:$A,0)),0,IF(GA$1&lt;INDEX('Valo FX'!$R:$R,MATCH($A21,'Valo FX'!$A:$A,0)),INDEX(Base!$U:$U,MATCH($A21,Base!$A:$A,0)),IF(GA$1=INDEX('Valo FX'!$R:$R,MATCH($A21,'Valo FX'!$A:$A,0)),INDEX(Base!$V:$V,MATCH($A21,Base!$A:$A,0)),0)))</f>
        <v>7.6339199999999998</v>
      </c>
      <c r="GB21" s="21">
        <f>IF(GB$1&lt;INDEX('Valo FX'!$Q:$Q,MATCH($A21,'Valo FX'!$A:$A,0)),0,IF(GB$1&lt;INDEX('Valo FX'!$R:$R,MATCH($A21,'Valo FX'!$A:$A,0)),INDEX(Base!$U:$U,MATCH($A21,Base!$A:$A,0)),IF(GB$1=INDEX('Valo FX'!$R:$R,MATCH($A21,'Valo FX'!$A:$A,0)),INDEX(Base!$V:$V,MATCH($A21,Base!$A:$A,0)),0)))</f>
        <v>7.6339199999999998</v>
      </c>
      <c r="GC21" s="21">
        <f>IF(GC$1&lt;INDEX('Valo FX'!$Q:$Q,MATCH($A21,'Valo FX'!$A:$A,0)),0,IF(GC$1&lt;INDEX('Valo FX'!$R:$R,MATCH($A21,'Valo FX'!$A:$A,0)),INDEX(Base!$U:$U,MATCH($A21,Base!$A:$A,0)),IF(GC$1=INDEX('Valo FX'!$R:$R,MATCH($A21,'Valo FX'!$A:$A,0)),INDEX(Base!$V:$V,MATCH($A21,Base!$A:$A,0)),0)))</f>
        <v>7.6339199999999998</v>
      </c>
      <c r="GD21" s="21">
        <f>IF(GD$1&lt;INDEX('Valo FX'!$Q:$Q,MATCH($A21,'Valo FX'!$A:$A,0)),0,IF(GD$1&lt;INDEX('Valo FX'!$R:$R,MATCH($A21,'Valo FX'!$A:$A,0)),INDEX(Base!$U:$U,MATCH($A21,Base!$A:$A,0)),IF(GD$1=INDEX('Valo FX'!$R:$R,MATCH($A21,'Valo FX'!$A:$A,0)),INDEX(Base!$V:$V,MATCH($A21,Base!$A:$A,0)),0)))</f>
        <v>7.6339199999999998</v>
      </c>
      <c r="GE21" s="21">
        <f>IF(GE$1&lt;INDEX('Valo FX'!$Q:$Q,MATCH($A21,'Valo FX'!$A:$A,0)),0,IF(GE$1&lt;INDEX('Valo FX'!$R:$R,MATCH($A21,'Valo FX'!$A:$A,0)),INDEX(Base!$U:$U,MATCH($A21,Base!$A:$A,0)),IF(GE$1=INDEX('Valo FX'!$R:$R,MATCH($A21,'Valo FX'!$A:$A,0)),INDEX(Base!$V:$V,MATCH($A21,Base!$A:$A,0)),0)))</f>
        <v>7.6339199999999998</v>
      </c>
      <c r="GF21" s="21">
        <f>IF(GF$1&lt;INDEX('Valo FX'!$Q:$Q,MATCH($A21,'Valo FX'!$A:$A,0)),0,IF(GF$1&lt;INDEX('Valo FX'!$R:$R,MATCH($A21,'Valo FX'!$A:$A,0)),INDEX(Base!$U:$U,MATCH($A21,Base!$A:$A,0)),IF(GF$1=INDEX('Valo FX'!$R:$R,MATCH($A21,'Valo FX'!$A:$A,0)),INDEX(Base!$V:$V,MATCH($A21,Base!$A:$A,0)),0)))</f>
        <v>7.6339199999999998</v>
      </c>
      <c r="GG21" s="21">
        <f>IF(GG$1&lt;INDEX('Valo FX'!$Q:$Q,MATCH($A21,'Valo FX'!$A:$A,0)),0,IF(GG$1&lt;INDEX('Valo FX'!$R:$R,MATCH($A21,'Valo FX'!$A:$A,0)),INDEX(Base!$U:$U,MATCH($A21,Base!$A:$A,0)),IF(GG$1=INDEX('Valo FX'!$R:$R,MATCH($A21,'Valo FX'!$A:$A,0)),INDEX(Base!$V:$V,MATCH($A21,Base!$A:$A,0)),0)))</f>
        <v>7.6339199999999998</v>
      </c>
      <c r="GH21" s="21">
        <f>IF(GH$1&lt;INDEX('Valo FX'!$Q:$Q,MATCH($A21,'Valo FX'!$A:$A,0)),0,IF(GH$1&lt;INDEX('Valo FX'!$R:$R,MATCH($A21,'Valo FX'!$A:$A,0)),INDEX(Base!$U:$U,MATCH($A21,Base!$A:$A,0)),IF(GH$1=INDEX('Valo FX'!$R:$R,MATCH($A21,'Valo FX'!$A:$A,0)),INDEX(Base!$V:$V,MATCH($A21,Base!$A:$A,0)),0)))</f>
        <v>7.6339199999999998</v>
      </c>
      <c r="GI21" s="21">
        <f>IF(GI$1&lt;INDEX('Valo FX'!$Q:$Q,MATCH($A21,'Valo FX'!$A:$A,0)),0,IF(GI$1&lt;INDEX('Valo FX'!$R:$R,MATCH($A21,'Valo FX'!$A:$A,0)),INDEX(Base!$U:$U,MATCH($A21,Base!$A:$A,0)),IF(GI$1=INDEX('Valo FX'!$R:$R,MATCH($A21,'Valo FX'!$A:$A,0)),INDEX(Base!$V:$V,MATCH($A21,Base!$A:$A,0)),0)))</f>
        <v>7.6339199999999998</v>
      </c>
      <c r="GJ21" s="21">
        <f>IF(GJ$1&lt;INDEX('Valo FX'!$Q:$Q,MATCH($A21,'Valo FX'!$A:$A,0)),0,IF(GJ$1&lt;INDEX('Valo FX'!$R:$R,MATCH($A21,'Valo FX'!$A:$A,0)),INDEX(Base!$U:$U,MATCH($A21,Base!$A:$A,0)),IF(GJ$1=INDEX('Valo FX'!$R:$R,MATCH($A21,'Valo FX'!$A:$A,0)),INDEX(Base!$V:$V,MATCH($A21,Base!$A:$A,0)),0)))</f>
        <v>7.6339199999999998</v>
      </c>
      <c r="GK21" s="21">
        <f>IF(GK$1&lt;INDEX('Valo FX'!$Q:$Q,MATCH($A21,'Valo FX'!$A:$A,0)),0,IF(GK$1&lt;INDEX('Valo FX'!$R:$R,MATCH($A21,'Valo FX'!$A:$A,0)),INDEX(Base!$U:$U,MATCH($A21,Base!$A:$A,0)),IF(GK$1=INDEX('Valo FX'!$R:$R,MATCH($A21,'Valo FX'!$A:$A,0)),INDEX(Base!$V:$V,MATCH($A21,Base!$A:$A,0)),0)))</f>
        <v>7.6339199999999998</v>
      </c>
      <c r="GL21" s="21">
        <f>IF(GL$1&lt;INDEX('Valo FX'!$Q:$Q,MATCH($A21,'Valo FX'!$A:$A,0)),0,IF(GL$1&lt;INDEX('Valo FX'!$R:$R,MATCH($A21,'Valo FX'!$A:$A,0)),INDEX(Base!$U:$U,MATCH($A21,Base!$A:$A,0)),IF(GL$1=INDEX('Valo FX'!$R:$R,MATCH($A21,'Valo FX'!$A:$A,0)),INDEX(Base!$V:$V,MATCH($A21,Base!$A:$A,0)),0)))</f>
        <v>7.6339199999999998</v>
      </c>
      <c r="GM21" s="21">
        <f>IF(GM$1&lt;INDEX('Valo FX'!$Q:$Q,MATCH($A21,'Valo FX'!$A:$A,0)),0,IF(GM$1&lt;INDEX('Valo FX'!$R:$R,MATCH($A21,'Valo FX'!$A:$A,0)),INDEX(Base!$U:$U,MATCH($A21,Base!$A:$A,0)),IF(GM$1=INDEX('Valo FX'!$R:$R,MATCH($A21,'Valo FX'!$A:$A,0)),INDEX(Base!$V:$V,MATCH($A21,Base!$A:$A,0)),0)))</f>
        <v>7.6339199999999998</v>
      </c>
      <c r="GN21" s="21">
        <f>IF(GN$1&lt;INDEX('Valo FX'!$Q:$Q,MATCH($A21,'Valo FX'!$A:$A,0)),0,IF(GN$1&lt;INDEX('Valo FX'!$R:$R,MATCH($A21,'Valo FX'!$A:$A,0)),INDEX(Base!$U:$U,MATCH($A21,Base!$A:$A,0)),IF(GN$1=INDEX('Valo FX'!$R:$R,MATCH($A21,'Valo FX'!$A:$A,0)),INDEX(Base!$V:$V,MATCH($A21,Base!$A:$A,0)),0)))</f>
        <v>7.6339199999999998</v>
      </c>
      <c r="GO21" s="21">
        <f>IF(GO$1&lt;INDEX('Valo FX'!$Q:$Q,MATCH($A21,'Valo FX'!$A:$A,0)),0,IF(GO$1&lt;INDEX('Valo FX'!$R:$R,MATCH($A21,'Valo FX'!$A:$A,0)),INDEX(Base!$U:$U,MATCH($A21,Base!$A:$A,0)),IF(GO$1=INDEX('Valo FX'!$R:$R,MATCH($A21,'Valo FX'!$A:$A,0)),INDEX(Base!$V:$V,MATCH($A21,Base!$A:$A,0)),0)))</f>
        <v>7.6339199999999998</v>
      </c>
      <c r="GP21" s="21">
        <f>IF(GP$1&lt;INDEX('Valo FX'!$Q:$Q,MATCH($A21,'Valo FX'!$A:$A,0)),0,IF(GP$1&lt;INDEX('Valo FX'!$R:$R,MATCH($A21,'Valo FX'!$A:$A,0)),INDEX(Base!$U:$U,MATCH($A21,Base!$A:$A,0)),IF(GP$1=INDEX('Valo FX'!$R:$R,MATCH($A21,'Valo FX'!$A:$A,0)),INDEX(Base!$V:$V,MATCH($A21,Base!$A:$A,0)),0)))</f>
        <v>7.6339199999999998</v>
      </c>
      <c r="GQ21" s="21">
        <f>IF(GQ$1&lt;INDEX('Valo FX'!$Q:$Q,MATCH($A21,'Valo FX'!$A:$A,0)),0,IF(GQ$1&lt;INDEX('Valo FX'!$R:$R,MATCH($A21,'Valo FX'!$A:$A,0)),INDEX(Base!$U:$U,MATCH($A21,Base!$A:$A,0)),IF(GQ$1=INDEX('Valo FX'!$R:$R,MATCH($A21,'Valo FX'!$A:$A,0)),INDEX(Base!$V:$V,MATCH($A21,Base!$A:$A,0)),0)))</f>
        <v>7.6339199999999998</v>
      </c>
      <c r="GR21" s="21">
        <f>IF(GR$1&lt;INDEX('Valo FX'!$Q:$Q,MATCH($A21,'Valo FX'!$A:$A,0)),0,IF(GR$1&lt;INDEX('Valo FX'!$R:$R,MATCH($A21,'Valo FX'!$A:$A,0)),INDEX(Base!$U:$U,MATCH($A21,Base!$A:$A,0)),IF(GR$1=INDEX('Valo FX'!$R:$R,MATCH($A21,'Valo FX'!$A:$A,0)),INDEX(Base!$V:$V,MATCH($A21,Base!$A:$A,0)),0)))</f>
        <v>7.6339199999999998</v>
      </c>
      <c r="GS21" s="21">
        <f>IF(GS$1&lt;INDEX('Valo FX'!$Q:$Q,MATCH($A21,'Valo FX'!$A:$A,0)),0,IF(GS$1&lt;INDEX('Valo FX'!$R:$R,MATCH($A21,'Valo FX'!$A:$A,0)),INDEX(Base!$U:$U,MATCH($A21,Base!$A:$A,0)),IF(GS$1=INDEX('Valo FX'!$R:$R,MATCH($A21,'Valo FX'!$A:$A,0)),INDEX(Base!$V:$V,MATCH($A21,Base!$A:$A,0)),0)))</f>
        <v>7.6339199999999998</v>
      </c>
      <c r="GT21" s="21">
        <f>IF(GT$1&lt;INDEX('Valo FX'!$Q:$Q,MATCH($A21,'Valo FX'!$A:$A,0)),0,IF(GT$1&lt;INDEX('Valo FX'!$R:$R,MATCH($A21,'Valo FX'!$A:$A,0)),INDEX(Base!$U:$U,MATCH($A21,Base!$A:$A,0)),IF(GT$1=INDEX('Valo FX'!$R:$R,MATCH($A21,'Valo FX'!$A:$A,0)),INDEX(Base!$V:$V,MATCH($A21,Base!$A:$A,0)),0)))</f>
        <v>7.6339199999999998</v>
      </c>
      <c r="GU21" s="21">
        <f>IF(GU$1&lt;INDEX('Valo FX'!$Q:$Q,MATCH($A21,'Valo FX'!$A:$A,0)),0,IF(GU$1&lt;INDEX('Valo FX'!$R:$R,MATCH($A21,'Valo FX'!$A:$A,0)),INDEX(Base!$U:$U,MATCH($A21,Base!$A:$A,0)),IF(GU$1=INDEX('Valo FX'!$R:$R,MATCH($A21,'Valo FX'!$A:$A,0)),INDEX(Base!$V:$V,MATCH($A21,Base!$A:$A,0)),0)))</f>
        <v>7.6339199999999998</v>
      </c>
      <c r="GV21" s="21">
        <f>IF(GV$1&lt;INDEX('Valo FX'!$Q:$Q,MATCH($A21,'Valo FX'!$A:$A,0)),0,IF(GV$1&lt;INDEX('Valo FX'!$R:$R,MATCH($A21,'Valo FX'!$A:$A,0)),INDEX(Base!$U:$U,MATCH($A21,Base!$A:$A,0)),IF(GV$1=INDEX('Valo FX'!$R:$R,MATCH($A21,'Valo FX'!$A:$A,0)),INDEX(Base!$V:$V,MATCH($A21,Base!$A:$A,0)),0)))</f>
        <v>7.6339199999999998</v>
      </c>
      <c r="GW21" s="21">
        <f>IF(GW$1&lt;INDEX('Valo FX'!$Q:$Q,MATCH($A21,'Valo FX'!$A:$A,0)),0,IF(GW$1&lt;INDEX('Valo FX'!$R:$R,MATCH($A21,'Valo FX'!$A:$A,0)),INDEX(Base!$U:$U,MATCH($A21,Base!$A:$A,0)),IF(GW$1=INDEX('Valo FX'!$R:$R,MATCH($A21,'Valo FX'!$A:$A,0)),INDEX(Base!$V:$V,MATCH($A21,Base!$A:$A,0)),0)))</f>
        <v>7.6339199999999998</v>
      </c>
      <c r="GX21" s="21">
        <f>IF(GX$1&lt;INDEX('Valo FX'!$Q:$Q,MATCH($A21,'Valo FX'!$A:$A,0)),0,IF(GX$1&lt;INDEX('Valo FX'!$R:$R,MATCH($A21,'Valo FX'!$A:$A,0)),INDEX(Base!$U:$U,MATCH($A21,Base!$A:$A,0)),IF(GX$1=INDEX('Valo FX'!$R:$R,MATCH($A21,'Valo FX'!$A:$A,0)),INDEX(Base!$V:$V,MATCH($A21,Base!$A:$A,0)),0)))</f>
        <v>7.6339199999999998</v>
      </c>
      <c r="GY21" s="21">
        <f>IF(GY$1&lt;INDEX('Valo FX'!$Q:$Q,MATCH($A21,'Valo FX'!$A:$A,0)),0,IF(GY$1&lt;INDEX('Valo FX'!$R:$R,MATCH($A21,'Valo FX'!$A:$A,0)),INDEX(Base!$U:$U,MATCH($A21,Base!$A:$A,0)),IF(GY$1=INDEX('Valo FX'!$R:$R,MATCH($A21,'Valo FX'!$A:$A,0)),INDEX(Base!$V:$V,MATCH($A21,Base!$A:$A,0)),0)))</f>
        <v>7.6339199999999998</v>
      </c>
      <c r="GZ21" s="21">
        <f>IF(GZ$1&lt;INDEX('Valo FX'!$Q:$Q,MATCH($A21,'Valo FX'!$A:$A,0)),0,IF(GZ$1&lt;INDEX('Valo FX'!$R:$R,MATCH($A21,'Valo FX'!$A:$A,0)),INDEX(Base!$U:$U,MATCH($A21,Base!$A:$A,0)),IF(GZ$1=INDEX('Valo FX'!$R:$R,MATCH($A21,'Valo FX'!$A:$A,0)),INDEX(Base!$V:$V,MATCH($A21,Base!$A:$A,0)),0)))</f>
        <v>7.6339199999999998</v>
      </c>
      <c r="HA21" s="21">
        <f>IF(HA$1&lt;INDEX('Valo FX'!$Q:$Q,MATCH($A21,'Valo FX'!$A:$A,0)),0,IF(HA$1&lt;INDEX('Valo FX'!$R:$R,MATCH($A21,'Valo FX'!$A:$A,0)),INDEX(Base!$U:$U,MATCH($A21,Base!$A:$A,0)),IF(HA$1=INDEX('Valo FX'!$R:$R,MATCH($A21,'Valo FX'!$A:$A,0)),INDEX(Base!$V:$V,MATCH($A21,Base!$A:$A,0)),0)))</f>
        <v>7.6339199999999998</v>
      </c>
      <c r="HB21" s="21">
        <f>IF(HB$1&lt;INDEX('Valo FX'!$Q:$Q,MATCH($A21,'Valo FX'!$A:$A,0)),0,IF(HB$1&lt;INDEX('Valo FX'!$R:$R,MATCH($A21,'Valo FX'!$A:$A,0)),INDEX(Base!$U:$U,MATCH($A21,Base!$A:$A,0)),IF(HB$1=INDEX('Valo FX'!$R:$R,MATCH($A21,'Valo FX'!$A:$A,0)),INDEX(Base!$V:$V,MATCH($A21,Base!$A:$A,0)),0)))</f>
        <v>7.6339199999999998</v>
      </c>
      <c r="HC21" s="21">
        <f>IF(HC$1&lt;INDEX('Valo FX'!$Q:$Q,MATCH($A21,'Valo FX'!$A:$A,0)),0,IF(HC$1&lt;INDEX('Valo FX'!$R:$R,MATCH($A21,'Valo FX'!$A:$A,0)),INDEX(Base!$U:$U,MATCH($A21,Base!$A:$A,0)),IF(HC$1=INDEX('Valo FX'!$R:$R,MATCH($A21,'Valo FX'!$A:$A,0)),INDEX(Base!$V:$V,MATCH($A21,Base!$A:$A,0)),0)))</f>
        <v>7.6339199999999998</v>
      </c>
      <c r="HD21" s="21">
        <f>IF(HD$1&lt;INDEX('Valo FX'!$Q:$Q,MATCH($A21,'Valo FX'!$A:$A,0)),0,IF(HD$1&lt;INDEX('Valo FX'!$R:$R,MATCH($A21,'Valo FX'!$A:$A,0)),INDEX(Base!$U:$U,MATCH($A21,Base!$A:$A,0)),IF(HD$1=INDEX('Valo FX'!$R:$R,MATCH($A21,'Valo FX'!$A:$A,0)),INDEX(Base!$V:$V,MATCH($A21,Base!$A:$A,0)),0)))</f>
        <v>7.6339199999999998</v>
      </c>
      <c r="HE21" s="21">
        <f>IF(HE$1&lt;INDEX('Valo FX'!$Q:$Q,MATCH($A21,'Valo FX'!$A:$A,0)),0,IF(HE$1&lt;INDEX('Valo FX'!$R:$R,MATCH($A21,'Valo FX'!$A:$A,0)),INDEX(Base!$U:$U,MATCH($A21,Base!$A:$A,0)),IF(HE$1=INDEX('Valo FX'!$R:$R,MATCH($A21,'Valo FX'!$A:$A,0)),INDEX(Base!$V:$V,MATCH($A21,Base!$A:$A,0)),0)))</f>
        <v>7.6339199999999998</v>
      </c>
      <c r="HF21" s="21">
        <f>IF(HF$1&lt;INDEX('Valo FX'!$Q:$Q,MATCH($A21,'Valo FX'!$A:$A,0)),0,IF(HF$1&lt;INDEX('Valo FX'!$R:$R,MATCH($A21,'Valo FX'!$A:$A,0)),INDEX(Base!$U:$U,MATCH($A21,Base!$A:$A,0)),IF(HF$1=INDEX('Valo FX'!$R:$R,MATCH($A21,'Valo FX'!$A:$A,0)),INDEX(Base!$V:$V,MATCH($A21,Base!$A:$A,0)),0)))</f>
        <v>7.6339199999999998</v>
      </c>
      <c r="HG21" s="21">
        <f>IF(HG$1&lt;INDEX('Valo FX'!$Q:$Q,MATCH($A21,'Valo FX'!$A:$A,0)),0,IF(HG$1&lt;INDEX('Valo FX'!$R:$R,MATCH($A21,'Valo FX'!$A:$A,0)),INDEX(Base!$U:$U,MATCH($A21,Base!$A:$A,0)),IF(HG$1=INDEX('Valo FX'!$R:$R,MATCH($A21,'Valo FX'!$A:$A,0)),INDEX(Base!$V:$V,MATCH($A21,Base!$A:$A,0)),0)))</f>
        <v>7.6339199999999998</v>
      </c>
      <c r="HH21" s="21">
        <f>IF(HH$1&lt;INDEX('Valo FX'!$Q:$Q,MATCH($A21,'Valo FX'!$A:$A,0)),0,IF(HH$1&lt;INDEX('Valo FX'!$R:$R,MATCH($A21,'Valo FX'!$A:$A,0)),INDEX(Base!$U:$U,MATCH($A21,Base!$A:$A,0)),IF(HH$1=INDEX('Valo FX'!$R:$R,MATCH($A21,'Valo FX'!$A:$A,0)),INDEX(Base!$V:$V,MATCH($A21,Base!$A:$A,0)),0)))</f>
        <v>7.6339199999999998</v>
      </c>
      <c r="HI21" s="21">
        <f>IF(HI$1&lt;INDEX('Valo FX'!$Q:$Q,MATCH($A21,'Valo FX'!$A:$A,0)),0,IF(HI$1&lt;INDEX('Valo FX'!$R:$R,MATCH($A21,'Valo FX'!$A:$A,0)),INDEX(Base!$U:$U,MATCH($A21,Base!$A:$A,0)),IF(HI$1=INDEX('Valo FX'!$R:$R,MATCH($A21,'Valo FX'!$A:$A,0)),INDEX(Base!$V:$V,MATCH($A21,Base!$A:$A,0)),0)))</f>
        <v>7.6339199999999998</v>
      </c>
      <c r="HJ21" s="21">
        <f>IF(HJ$1&lt;INDEX('Valo FX'!$Q:$Q,MATCH($A21,'Valo FX'!$A:$A,0)),0,IF(HJ$1&lt;INDEX('Valo FX'!$R:$R,MATCH($A21,'Valo FX'!$A:$A,0)),INDEX(Base!$U:$U,MATCH($A21,Base!$A:$A,0)),IF(HJ$1=INDEX('Valo FX'!$R:$R,MATCH($A21,'Valo FX'!$A:$A,0)),INDEX(Base!$V:$V,MATCH($A21,Base!$A:$A,0)),0)))</f>
        <v>7.6339199999999998</v>
      </c>
      <c r="HK21" s="21">
        <f>IF(HK$1&lt;INDEX('Valo FX'!$Q:$Q,MATCH($A21,'Valo FX'!$A:$A,0)),0,IF(HK$1&lt;INDEX('Valo FX'!$R:$R,MATCH($A21,'Valo FX'!$A:$A,0)),INDEX(Base!$U:$U,MATCH($A21,Base!$A:$A,0)),IF(HK$1=INDEX('Valo FX'!$R:$R,MATCH($A21,'Valo FX'!$A:$A,0)),INDEX(Base!$V:$V,MATCH($A21,Base!$A:$A,0)),0)))</f>
        <v>7.6339199999999998</v>
      </c>
      <c r="HL21" s="21">
        <f>IF(HL$1&lt;INDEX('Valo FX'!$Q:$Q,MATCH($A21,'Valo FX'!$A:$A,0)),0,IF(HL$1&lt;INDEX('Valo FX'!$R:$R,MATCH($A21,'Valo FX'!$A:$A,0)),INDEX(Base!$U:$U,MATCH($A21,Base!$A:$A,0)),IF(HL$1=INDEX('Valo FX'!$R:$R,MATCH($A21,'Valo FX'!$A:$A,0)),INDEX(Base!$V:$V,MATCH($A21,Base!$A:$A,0)),0)))</f>
        <v>7.6339199999999998</v>
      </c>
      <c r="HM21" s="21">
        <f>IF(HM$1&lt;INDEX('Valo FX'!$Q:$Q,MATCH($A21,'Valo FX'!$A:$A,0)),0,IF(HM$1&lt;INDEX('Valo FX'!$R:$R,MATCH($A21,'Valo FX'!$A:$A,0)),INDEX(Base!$U:$U,MATCH($A21,Base!$A:$A,0)),IF(HM$1=INDEX('Valo FX'!$R:$R,MATCH($A21,'Valo FX'!$A:$A,0)),INDEX(Base!$V:$V,MATCH($A21,Base!$A:$A,0)),0)))</f>
        <v>7.6339199999999998</v>
      </c>
      <c r="HN21" s="21">
        <f>IF(HN$1&lt;INDEX('Valo FX'!$Q:$Q,MATCH($A21,'Valo FX'!$A:$A,0)),0,IF(HN$1&lt;INDEX('Valo FX'!$R:$R,MATCH($A21,'Valo FX'!$A:$A,0)),INDEX(Base!$U:$U,MATCH($A21,Base!$A:$A,0)),IF(HN$1=INDEX('Valo FX'!$R:$R,MATCH($A21,'Valo FX'!$A:$A,0)),INDEX(Base!$V:$V,MATCH($A21,Base!$A:$A,0)),0)))</f>
        <v>7.6339199999999998</v>
      </c>
      <c r="HO21" s="21">
        <f>IF(HO$1&lt;INDEX('Valo FX'!$Q:$Q,MATCH($A21,'Valo FX'!$A:$A,0)),0,IF(HO$1&lt;INDEX('Valo FX'!$R:$R,MATCH($A21,'Valo FX'!$A:$A,0)),INDEX(Base!$U:$U,MATCH($A21,Base!$A:$A,0)),IF(HO$1=INDEX('Valo FX'!$R:$R,MATCH($A21,'Valo FX'!$A:$A,0)),INDEX(Base!$V:$V,MATCH($A21,Base!$A:$A,0)),0)))</f>
        <v>7.6339199999999998</v>
      </c>
      <c r="HP21" s="21">
        <f>IF(HP$1&lt;INDEX('Valo FX'!$Q:$Q,MATCH($A21,'Valo FX'!$A:$A,0)),0,IF(HP$1&lt;INDEX('Valo FX'!$R:$R,MATCH($A21,'Valo FX'!$A:$A,0)),INDEX(Base!$U:$U,MATCH($A21,Base!$A:$A,0)),IF(HP$1=INDEX('Valo FX'!$R:$R,MATCH($A21,'Valo FX'!$A:$A,0)),INDEX(Base!$V:$V,MATCH($A21,Base!$A:$A,0)),0)))</f>
        <v>7.6339199999999998</v>
      </c>
      <c r="HQ21" s="21">
        <f>IF(HQ$1&lt;INDEX('Valo FX'!$Q:$Q,MATCH($A21,'Valo FX'!$A:$A,0)),0,IF(HQ$1&lt;INDEX('Valo FX'!$R:$R,MATCH($A21,'Valo FX'!$A:$A,0)),INDEX(Base!$U:$U,MATCH($A21,Base!$A:$A,0)),IF(HQ$1=INDEX('Valo FX'!$R:$R,MATCH($A21,'Valo FX'!$A:$A,0)),INDEX(Base!$V:$V,MATCH($A21,Base!$A:$A,0)),0)))</f>
        <v>7.6339199999999998</v>
      </c>
      <c r="HR21" s="21">
        <f>IF(HR$1&lt;INDEX('Valo FX'!$Q:$Q,MATCH($A21,'Valo FX'!$A:$A,0)),0,IF(HR$1&lt;INDEX('Valo FX'!$R:$R,MATCH($A21,'Valo FX'!$A:$A,0)),INDEX(Base!$U:$U,MATCH($A21,Base!$A:$A,0)),IF(HR$1=INDEX('Valo FX'!$R:$R,MATCH($A21,'Valo FX'!$A:$A,0)),INDEX(Base!$V:$V,MATCH($A21,Base!$A:$A,0)),0)))</f>
        <v>7.6339199999999998</v>
      </c>
      <c r="HS21" s="21">
        <f>IF(HS$1&lt;INDEX('Valo FX'!$Q:$Q,MATCH($A21,'Valo FX'!$A:$A,0)),0,IF(HS$1&lt;INDEX('Valo FX'!$R:$R,MATCH($A21,'Valo FX'!$A:$A,0)),INDEX(Base!$U:$U,MATCH($A21,Base!$A:$A,0)),IF(HS$1=INDEX('Valo FX'!$R:$R,MATCH($A21,'Valo FX'!$A:$A,0)),INDEX(Base!$V:$V,MATCH($A21,Base!$A:$A,0)),0)))</f>
        <v>7.6339199999999998</v>
      </c>
      <c r="HT21" s="21">
        <f>IF(HT$1&lt;INDEX('Valo FX'!$Q:$Q,MATCH($A21,'Valo FX'!$A:$A,0)),0,IF(HT$1&lt;INDEX('Valo FX'!$R:$R,MATCH($A21,'Valo FX'!$A:$A,0)),INDEX(Base!$U:$U,MATCH($A21,Base!$A:$A,0)),IF(HT$1=INDEX('Valo FX'!$R:$R,MATCH($A21,'Valo FX'!$A:$A,0)),INDEX(Base!$V:$V,MATCH($A21,Base!$A:$A,0)),0)))</f>
        <v>7.6339199999999998</v>
      </c>
      <c r="HU21" s="21">
        <f>IF(HU$1&lt;INDEX('Valo FX'!$Q:$Q,MATCH($A21,'Valo FX'!$A:$A,0)),0,IF(HU$1&lt;INDEX('Valo FX'!$R:$R,MATCH($A21,'Valo FX'!$A:$A,0)),INDEX(Base!$U:$U,MATCH($A21,Base!$A:$A,0)),IF(HU$1=INDEX('Valo FX'!$R:$R,MATCH($A21,'Valo FX'!$A:$A,0)),INDEX(Base!$V:$V,MATCH($A21,Base!$A:$A,0)),0)))</f>
        <v>7.6339199999999998</v>
      </c>
      <c r="HV21" s="21">
        <f>IF(HV$1&lt;INDEX('Valo FX'!$Q:$Q,MATCH($A21,'Valo FX'!$A:$A,0)),0,IF(HV$1&lt;INDEX('Valo FX'!$R:$R,MATCH($A21,'Valo FX'!$A:$A,0)),INDEX(Base!$U:$U,MATCH($A21,Base!$A:$A,0)),IF(HV$1=INDEX('Valo FX'!$R:$R,MATCH($A21,'Valo FX'!$A:$A,0)),INDEX(Base!$V:$V,MATCH($A21,Base!$A:$A,0)),0)))</f>
        <v>7.6339199999999998</v>
      </c>
      <c r="HW21" s="21">
        <f>IF(HW$1&lt;INDEX('Valo FX'!$Q:$Q,MATCH($A21,'Valo FX'!$A:$A,0)),0,IF(HW$1&lt;INDEX('Valo FX'!$R:$R,MATCH($A21,'Valo FX'!$A:$A,0)),INDEX(Base!$U:$U,MATCH($A21,Base!$A:$A,0)),IF(HW$1=INDEX('Valo FX'!$R:$R,MATCH($A21,'Valo FX'!$A:$A,0)),INDEX(Base!$V:$V,MATCH($A21,Base!$A:$A,0)),0)))</f>
        <v>7.6339199999999998</v>
      </c>
      <c r="HX21" s="21">
        <f>IF(HX$1&lt;INDEX('Valo FX'!$Q:$Q,MATCH($A21,'Valo FX'!$A:$A,0)),0,IF(HX$1&lt;INDEX('Valo FX'!$R:$R,MATCH($A21,'Valo FX'!$A:$A,0)),INDEX(Base!$U:$U,MATCH($A21,Base!$A:$A,0)),IF(HX$1=INDEX('Valo FX'!$R:$R,MATCH($A21,'Valo FX'!$A:$A,0)),INDEX(Base!$V:$V,MATCH($A21,Base!$A:$A,0)),0)))</f>
        <v>7.6339199999999998</v>
      </c>
      <c r="HY21" s="21">
        <f>IF(HY$1&lt;INDEX('Valo FX'!$Q:$Q,MATCH($A21,'Valo FX'!$A:$A,0)),0,IF(HY$1&lt;INDEX('Valo FX'!$R:$R,MATCH($A21,'Valo FX'!$A:$A,0)),INDEX(Base!$U:$U,MATCH($A21,Base!$A:$A,0)),IF(HY$1=INDEX('Valo FX'!$R:$R,MATCH($A21,'Valo FX'!$A:$A,0)),INDEX(Base!$V:$V,MATCH($A21,Base!$A:$A,0)),0)))</f>
        <v>7.6339199999999998</v>
      </c>
      <c r="HZ21" s="21">
        <f>IF(HZ$1&lt;INDEX('Valo FX'!$Q:$Q,MATCH($A21,'Valo FX'!$A:$A,0)),0,IF(HZ$1&lt;INDEX('Valo FX'!$R:$R,MATCH($A21,'Valo FX'!$A:$A,0)),INDEX(Base!$U:$U,MATCH($A21,Base!$A:$A,0)),IF(HZ$1=INDEX('Valo FX'!$R:$R,MATCH($A21,'Valo FX'!$A:$A,0)),INDEX(Base!$V:$V,MATCH($A21,Base!$A:$A,0)),0)))</f>
        <v>7.6339199999999998</v>
      </c>
      <c r="IA21" s="21">
        <f>IF(IA$1&lt;INDEX('Valo FX'!$Q:$Q,MATCH($A21,'Valo FX'!$A:$A,0)),0,IF(IA$1&lt;INDEX('Valo FX'!$R:$R,MATCH($A21,'Valo FX'!$A:$A,0)),INDEX(Base!$U:$U,MATCH($A21,Base!$A:$A,0)),IF(IA$1=INDEX('Valo FX'!$R:$R,MATCH($A21,'Valo FX'!$A:$A,0)),INDEX(Base!$V:$V,MATCH($A21,Base!$A:$A,0)),0)))</f>
        <v>7.6339199999999998</v>
      </c>
      <c r="IB21" s="21">
        <f>IF(IB$1&lt;INDEX('Valo FX'!$Q:$Q,MATCH($A21,'Valo FX'!$A:$A,0)),0,IF(IB$1&lt;INDEX('Valo FX'!$R:$R,MATCH($A21,'Valo FX'!$A:$A,0)),INDEX(Base!$U:$U,MATCH($A21,Base!$A:$A,0)),IF(IB$1=INDEX('Valo FX'!$R:$R,MATCH($A21,'Valo FX'!$A:$A,0)),INDEX(Base!$V:$V,MATCH($A21,Base!$A:$A,0)),0)))</f>
        <v>7.6339199999999998</v>
      </c>
      <c r="IC21" s="21">
        <f>IF(IC$1&lt;INDEX('Valo FX'!$Q:$Q,MATCH($A21,'Valo FX'!$A:$A,0)),0,IF(IC$1&lt;INDEX('Valo FX'!$R:$R,MATCH($A21,'Valo FX'!$A:$A,0)),INDEX(Base!$U:$U,MATCH($A21,Base!$A:$A,0)),IF(IC$1=INDEX('Valo FX'!$R:$R,MATCH($A21,'Valo FX'!$A:$A,0)),INDEX(Base!$V:$V,MATCH($A21,Base!$A:$A,0)),0)))</f>
        <v>7.6339199999999998</v>
      </c>
      <c r="ID21" s="21">
        <f>IF(ID$1&lt;INDEX('Valo FX'!$Q:$Q,MATCH($A21,'Valo FX'!$A:$A,0)),0,IF(ID$1&lt;INDEX('Valo FX'!$R:$R,MATCH($A21,'Valo FX'!$A:$A,0)),INDEX(Base!$U:$U,MATCH($A21,Base!$A:$A,0)),IF(ID$1=INDEX('Valo FX'!$R:$R,MATCH($A21,'Valo FX'!$A:$A,0)),INDEX(Base!$V:$V,MATCH($A21,Base!$A:$A,0)),0)))</f>
        <v>7.6339199999999998</v>
      </c>
      <c r="IE21" s="21">
        <f>IF(IE$1&lt;INDEX('Valo FX'!$Q:$Q,MATCH($A21,'Valo FX'!$A:$A,0)),0,IF(IE$1&lt;INDEX('Valo FX'!$R:$R,MATCH($A21,'Valo FX'!$A:$A,0)),INDEX(Base!$U:$U,MATCH($A21,Base!$A:$A,0)),IF(IE$1=INDEX('Valo FX'!$R:$R,MATCH($A21,'Valo FX'!$A:$A,0)),INDEX(Base!$V:$V,MATCH($A21,Base!$A:$A,0)),0)))</f>
        <v>7.6339199999999998</v>
      </c>
      <c r="IF21" s="21">
        <f>IF(IF$1&lt;INDEX('Valo FX'!$Q:$Q,MATCH($A21,'Valo FX'!$A:$A,0)),0,IF(IF$1&lt;INDEX('Valo FX'!$R:$R,MATCH($A21,'Valo FX'!$A:$A,0)),INDEX(Base!$U:$U,MATCH($A21,Base!$A:$A,0)),IF(IF$1=INDEX('Valo FX'!$R:$R,MATCH($A21,'Valo FX'!$A:$A,0)),INDEX(Base!$V:$V,MATCH($A21,Base!$A:$A,0)),0)))</f>
        <v>7.6339199999999998</v>
      </c>
      <c r="IG21" s="21">
        <f>IF(IG$1&lt;INDEX('Valo FX'!$Q:$Q,MATCH($A21,'Valo FX'!$A:$A,0)),0,IF(IG$1&lt;INDEX('Valo FX'!$R:$R,MATCH($A21,'Valo FX'!$A:$A,0)),INDEX(Base!$U:$U,MATCH($A21,Base!$A:$A,0)),IF(IG$1=INDEX('Valo FX'!$R:$R,MATCH($A21,'Valo FX'!$A:$A,0)),INDEX(Base!$V:$V,MATCH($A21,Base!$A:$A,0)),0)))</f>
        <v>7.6339199999999998</v>
      </c>
      <c r="IH21" s="21">
        <f>IF(IH$1&lt;INDEX('Valo FX'!$Q:$Q,MATCH($A21,'Valo FX'!$A:$A,0)),0,IF(IH$1&lt;INDEX('Valo FX'!$R:$R,MATCH($A21,'Valo FX'!$A:$A,0)),INDEX(Base!$U:$U,MATCH($A21,Base!$A:$A,0)),IF(IH$1=INDEX('Valo FX'!$R:$R,MATCH($A21,'Valo FX'!$A:$A,0)),INDEX(Base!$V:$V,MATCH($A21,Base!$A:$A,0)),0)))</f>
        <v>7.6339199999999998</v>
      </c>
      <c r="II21" s="21">
        <f>IF(II$1&lt;INDEX('Valo FX'!$Q:$Q,MATCH($A21,'Valo FX'!$A:$A,0)),0,IF(II$1&lt;INDEX('Valo FX'!$R:$R,MATCH($A21,'Valo FX'!$A:$A,0)),INDEX(Base!$U:$U,MATCH($A21,Base!$A:$A,0)),IF(II$1=INDEX('Valo FX'!$R:$R,MATCH($A21,'Valo FX'!$A:$A,0)),INDEX(Base!$V:$V,MATCH($A21,Base!$A:$A,0)),0)))</f>
        <v>7.6339199999999998</v>
      </c>
      <c r="IJ21" s="21">
        <f>IF(IJ$1&lt;INDEX('Valo FX'!$Q:$Q,MATCH($A21,'Valo FX'!$A:$A,0)),0,IF(IJ$1&lt;INDEX('Valo FX'!$R:$R,MATCH($A21,'Valo FX'!$A:$A,0)),INDEX(Base!$U:$U,MATCH($A21,Base!$A:$A,0)),IF(IJ$1=INDEX('Valo FX'!$R:$R,MATCH($A21,'Valo FX'!$A:$A,0)),INDEX(Base!$V:$V,MATCH($A21,Base!$A:$A,0)),0)))</f>
        <v>7.6339199999999998</v>
      </c>
      <c r="IK21" s="21">
        <f>IF(IK$1&lt;INDEX('Valo FX'!$Q:$Q,MATCH($A21,'Valo FX'!$A:$A,0)),0,IF(IK$1&lt;INDEX('Valo FX'!$R:$R,MATCH($A21,'Valo FX'!$A:$A,0)),INDEX(Base!$U:$U,MATCH($A21,Base!$A:$A,0)),IF(IK$1=INDEX('Valo FX'!$R:$R,MATCH($A21,'Valo FX'!$A:$A,0)),INDEX(Base!$V:$V,MATCH($A21,Base!$A:$A,0)),0)))</f>
        <v>7.6339199999999998</v>
      </c>
      <c r="IL21" s="21">
        <f>IF(IL$1&lt;INDEX('Valo FX'!$Q:$Q,MATCH($A21,'Valo FX'!$A:$A,0)),0,IF(IL$1&lt;INDEX('Valo FX'!$R:$R,MATCH($A21,'Valo FX'!$A:$A,0)),INDEX(Base!$U:$U,MATCH($A21,Base!$A:$A,0)),IF(IL$1=INDEX('Valo FX'!$R:$R,MATCH($A21,'Valo FX'!$A:$A,0)),INDEX(Base!$V:$V,MATCH($A21,Base!$A:$A,0)),0)))</f>
        <v>7.6339199999999998</v>
      </c>
      <c r="IM21" s="21">
        <f>IF(IM$1&lt;INDEX('Valo FX'!$Q:$Q,MATCH($A21,'Valo FX'!$A:$A,0)),0,IF(IM$1&lt;INDEX('Valo FX'!$R:$R,MATCH($A21,'Valo FX'!$A:$A,0)),INDEX(Base!$U:$U,MATCH($A21,Base!$A:$A,0)),IF(IM$1=INDEX('Valo FX'!$R:$R,MATCH($A21,'Valo FX'!$A:$A,0)),INDEX(Base!$V:$V,MATCH($A21,Base!$A:$A,0)),0)))</f>
        <v>7.6339199999999998</v>
      </c>
      <c r="IN21" s="21">
        <f>IF(IN$1&lt;INDEX('Valo FX'!$Q:$Q,MATCH($A21,'Valo FX'!$A:$A,0)),0,IF(IN$1&lt;INDEX('Valo FX'!$R:$R,MATCH($A21,'Valo FX'!$A:$A,0)),INDEX(Base!$U:$U,MATCH($A21,Base!$A:$A,0)),IF(IN$1=INDEX('Valo FX'!$R:$R,MATCH($A21,'Valo FX'!$A:$A,0)),INDEX(Base!$V:$V,MATCH($A21,Base!$A:$A,0)),0)))</f>
        <v>7.6339199999999998</v>
      </c>
      <c r="IO21" s="21">
        <f>IF(IO$1&lt;INDEX('Valo FX'!$Q:$Q,MATCH($A21,'Valo FX'!$A:$A,0)),0,IF(IO$1&lt;INDEX('Valo FX'!$R:$R,MATCH($A21,'Valo FX'!$A:$A,0)),INDEX(Base!$U:$U,MATCH($A21,Base!$A:$A,0)),IF(IO$1=INDEX('Valo FX'!$R:$R,MATCH($A21,'Valo FX'!$A:$A,0)),INDEX(Base!$V:$V,MATCH($A21,Base!$A:$A,0)),0)))</f>
        <v>7.6339199999999998</v>
      </c>
      <c r="IP21" s="21">
        <f>IF(IP$1&lt;INDEX('Valo FX'!$Q:$Q,MATCH($A21,'Valo FX'!$A:$A,0)),0,IF(IP$1&lt;INDEX('Valo FX'!$R:$R,MATCH($A21,'Valo FX'!$A:$A,0)),INDEX(Base!$U:$U,MATCH($A21,Base!$A:$A,0)),IF(IP$1=INDEX('Valo FX'!$R:$R,MATCH($A21,'Valo FX'!$A:$A,0)),INDEX(Base!$V:$V,MATCH($A21,Base!$A:$A,0)),0)))</f>
        <v>7.6339199999999998</v>
      </c>
      <c r="IQ21" s="21">
        <f>IF(IQ$1&lt;INDEX('Valo FX'!$Q:$Q,MATCH($A21,'Valo FX'!$A:$A,0)),0,IF(IQ$1&lt;INDEX('Valo FX'!$R:$R,MATCH($A21,'Valo FX'!$A:$A,0)),INDEX(Base!$U:$U,MATCH($A21,Base!$A:$A,0)),IF(IQ$1=INDEX('Valo FX'!$R:$R,MATCH($A21,'Valo FX'!$A:$A,0)),INDEX(Base!$V:$V,MATCH($A21,Base!$A:$A,0)),0)))</f>
        <v>7.6339199999999998</v>
      </c>
      <c r="IR21" s="21">
        <f>IF(IR$1&lt;INDEX('Valo FX'!$Q:$Q,MATCH($A21,'Valo FX'!$A:$A,0)),0,IF(IR$1&lt;INDEX('Valo FX'!$R:$R,MATCH($A21,'Valo FX'!$A:$A,0)),INDEX(Base!$U:$U,MATCH($A21,Base!$A:$A,0)),IF(IR$1=INDEX('Valo FX'!$R:$R,MATCH($A21,'Valo FX'!$A:$A,0)),INDEX(Base!$V:$V,MATCH($A21,Base!$A:$A,0)),0)))</f>
        <v>7.6339199999999998</v>
      </c>
      <c r="IS21" s="21">
        <f>IF(IS$1&lt;INDEX('Valo FX'!$Q:$Q,MATCH($A21,'Valo FX'!$A:$A,0)),0,IF(IS$1&lt;INDEX('Valo FX'!$R:$R,MATCH($A21,'Valo FX'!$A:$A,0)),INDEX(Base!$U:$U,MATCH($A21,Base!$A:$A,0)),IF(IS$1=INDEX('Valo FX'!$R:$R,MATCH($A21,'Valo FX'!$A:$A,0)),INDEX(Base!$V:$V,MATCH($A21,Base!$A:$A,0)),0)))</f>
        <v>7.6339199999999998</v>
      </c>
      <c r="IT21" s="21">
        <f>IF(IT$1&lt;INDEX('Valo FX'!$Q:$Q,MATCH($A21,'Valo FX'!$A:$A,0)),0,IF(IT$1&lt;INDEX('Valo FX'!$R:$R,MATCH($A21,'Valo FX'!$A:$A,0)),INDEX(Base!$U:$U,MATCH($A21,Base!$A:$A,0)),IF(IT$1=INDEX('Valo FX'!$R:$R,MATCH($A21,'Valo FX'!$A:$A,0)),INDEX(Base!$V:$V,MATCH($A21,Base!$A:$A,0)),0)))</f>
        <v>7.6339199999999998</v>
      </c>
      <c r="IU21" s="21">
        <f>IF(IU$1&lt;INDEX('Valo FX'!$Q:$Q,MATCH($A21,'Valo FX'!$A:$A,0)),0,IF(IU$1&lt;INDEX('Valo FX'!$R:$R,MATCH($A21,'Valo FX'!$A:$A,0)),INDEX(Base!$U:$U,MATCH($A21,Base!$A:$A,0)),IF(IU$1=INDEX('Valo FX'!$R:$R,MATCH($A21,'Valo FX'!$A:$A,0)),INDEX(Base!$V:$V,MATCH($A21,Base!$A:$A,0)),0)))</f>
        <v>7.6339199999999998</v>
      </c>
      <c r="IV21" s="21">
        <f>IF(IV$1&lt;INDEX('Valo FX'!$Q:$Q,MATCH($A21,'Valo FX'!$A:$A,0)),0,IF(IV$1&lt;INDEX('Valo FX'!$R:$R,MATCH($A21,'Valo FX'!$A:$A,0)),INDEX(Base!$U:$U,MATCH($A21,Base!$A:$A,0)),IF(IV$1=INDEX('Valo FX'!$R:$R,MATCH($A21,'Valo FX'!$A:$A,0)),INDEX(Base!$V:$V,MATCH($A21,Base!$A:$A,0)),0)))</f>
        <v>7.6339199999999998</v>
      </c>
      <c r="IW21" s="21">
        <f>IF(IW$1&lt;INDEX('Valo FX'!$Q:$Q,MATCH($A21,'Valo FX'!$A:$A,0)),0,IF(IW$1&lt;INDEX('Valo FX'!$R:$R,MATCH($A21,'Valo FX'!$A:$A,0)),INDEX(Base!$U:$U,MATCH($A21,Base!$A:$A,0)),IF(IW$1=INDEX('Valo FX'!$R:$R,MATCH($A21,'Valo FX'!$A:$A,0)),INDEX(Base!$V:$V,MATCH($A21,Base!$A:$A,0)),0)))</f>
        <v>7.6339199999999998</v>
      </c>
      <c r="IX21" s="21">
        <f>IF(IX$1&lt;INDEX('Valo FX'!$Q:$Q,MATCH($A21,'Valo FX'!$A:$A,0)),0,IF(IX$1&lt;INDEX('Valo FX'!$R:$R,MATCH($A21,'Valo FX'!$A:$A,0)),INDEX(Base!$U:$U,MATCH($A21,Base!$A:$A,0)),IF(IX$1=INDEX('Valo FX'!$R:$R,MATCH($A21,'Valo FX'!$A:$A,0)),INDEX(Base!$V:$V,MATCH($A21,Base!$A:$A,0)),0)))</f>
        <v>7.6339199999999998</v>
      </c>
      <c r="IY21" s="21">
        <f>IF(IY$1&lt;INDEX('Valo FX'!$Q:$Q,MATCH($A21,'Valo FX'!$A:$A,0)),0,IF(IY$1&lt;INDEX('Valo FX'!$R:$R,MATCH($A21,'Valo FX'!$A:$A,0)),INDEX(Base!$U:$U,MATCH($A21,Base!$A:$A,0)),IF(IY$1=INDEX('Valo FX'!$R:$R,MATCH($A21,'Valo FX'!$A:$A,0)),INDEX(Base!$V:$V,MATCH($A21,Base!$A:$A,0)),0)))</f>
        <v>7.6339199999999998</v>
      </c>
      <c r="IZ21" s="21">
        <f>IF(IZ$1&lt;INDEX('Valo FX'!$Q:$Q,MATCH($A21,'Valo FX'!$A:$A,0)),0,IF(IZ$1&lt;INDEX('Valo FX'!$R:$R,MATCH($A21,'Valo FX'!$A:$A,0)),INDEX(Base!$U:$U,MATCH($A21,Base!$A:$A,0)),IF(IZ$1=INDEX('Valo FX'!$R:$R,MATCH($A21,'Valo FX'!$A:$A,0)),INDEX(Base!$V:$V,MATCH($A21,Base!$A:$A,0)),0)))</f>
        <v>7.6339199999999998</v>
      </c>
      <c r="JA21" s="21">
        <f>IF(JA$1&lt;INDEX('Valo FX'!$Q:$Q,MATCH($A21,'Valo FX'!$A:$A,0)),0,IF(JA$1&lt;INDEX('Valo FX'!$R:$R,MATCH($A21,'Valo FX'!$A:$A,0)),INDEX(Base!$U:$U,MATCH($A21,Base!$A:$A,0)),IF(JA$1=INDEX('Valo FX'!$R:$R,MATCH($A21,'Valo FX'!$A:$A,0)),INDEX(Base!$V:$V,MATCH($A21,Base!$A:$A,0)),0)))</f>
        <v>7.6339199999999998</v>
      </c>
      <c r="JB21" s="21">
        <f>IF(JB$1&lt;INDEX('Valo FX'!$Q:$Q,MATCH($A21,'Valo FX'!$A:$A,0)),0,IF(JB$1&lt;INDEX('Valo FX'!$R:$R,MATCH($A21,'Valo FX'!$A:$A,0)),INDEX(Base!$U:$U,MATCH($A21,Base!$A:$A,0)),IF(JB$1=INDEX('Valo FX'!$R:$R,MATCH($A21,'Valo FX'!$A:$A,0)),INDEX(Base!$V:$V,MATCH($A21,Base!$A:$A,0)),0)))</f>
        <v>7.6339199999999998</v>
      </c>
      <c r="JC21" s="21">
        <f>IF(JC$1&lt;INDEX('Valo FX'!$Q:$Q,MATCH($A21,'Valo FX'!$A:$A,0)),0,IF(JC$1&lt;INDEX('Valo FX'!$R:$R,MATCH($A21,'Valo FX'!$A:$A,0)),INDEX(Base!$U:$U,MATCH($A21,Base!$A:$A,0)),IF(JC$1=INDEX('Valo FX'!$R:$R,MATCH($A21,'Valo FX'!$A:$A,0)),INDEX(Base!$V:$V,MATCH($A21,Base!$A:$A,0)),0)))</f>
        <v>7.6339199999999998</v>
      </c>
      <c r="JD21" s="21">
        <f>IF(JD$1&lt;INDEX('Valo FX'!$Q:$Q,MATCH($A21,'Valo FX'!$A:$A,0)),0,IF(JD$1&lt;INDEX('Valo FX'!$R:$R,MATCH($A21,'Valo FX'!$A:$A,0)),INDEX(Base!$U:$U,MATCH($A21,Base!$A:$A,0)),IF(JD$1=INDEX('Valo FX'!$R:$R,MATCH($A21,'Valo FX'!$A:$A,0)),INDEX(Base!$V:$V,MATCH($A21,Base!$A:$A,0)),0)))</f>
        <v>7.6339199999999998</v>
      </c>
      <c r="JE21" s="21">
        <f>IF(JE$1&lt;INDEX('Valo FX'!$Q:$Q,MATCH($A21,'Valo FX'!$A:$A,0)),0,IF(JE$1&lt;INDEX('Valo FX'!$R:$R,MATCH($A21,'Valo FX'!$A:$A,0)),INDEX(Base!$U:$U,MATCH($A21,Base!$A:$A,0)),IF(JE$1=INDEX('Valo FX'!$R:$R,MATCH($A21,'Valo FX'!$A:$A,0)),INDEX(Base!$V:$V,MATCH($A21,Base!$A:$A,0)),0)))</f>
        <v>7.6339199999999998</v>
      </c>
      <c r="JF21" s="21">
        <f>IF(JF$1&lt;INDEX('Valo FX'!$Q:$Q,MATCH($A21,'Valo FX'!$A:$A,0)),0,IF(JF$1&lt;INDEX('Valo FX'!$R:$R,MATCH($A21,'Valo FX'!$A:$A,0)),INDEX(Base!$U:$U,MATCH($A21,Base!$A:$A,0)),IF(JF$1=INDEX('Valo FX'!$R:$R,MATCH($A21,'Valo FX'!$A:$A,0)),INDEX(Base!$V:$V,MATCH($A21,Base!$A:$A,0)),0)))</f>
        <v>7.6339199999999998</v>
      </c>
      <c r="JG21" s="21">
        <f>IF(JG$1&lt;INDEX('Valo FX'!$Q:$Q,MATCH($A21,'Valo FX'!$A:$A,0)),0,IF(JG$1&lt;INDEX('Valo FX'!$R:$R,MATCH($A21,'Valo FX'!$A:$A,0)),INDEX(Base!$U:$U,MATCH($A21,Base!$A:$A,0)),IF(JG$1=INDEX('Valo FX'!$R:$R,MATCH($A21,'Valo FX'!$A:$A,0)),INDEX(Base!$V:$V,MATCH($A21,Base!$A:$A,0)),0)))</f>
        <v>7.6339199999999998</v>
      </c>
      <c r="JH21" s="21">
        <f>IF(JH$1&lt;INDEX('Valo FX'!$Q:$Q,MATCH($A21,'Valo FX'!$A:$A,0)),0,IF(JH$1&lt;INDEX('Valo FX'!$R:$R,MATCH($A21,'Valo FX'!$A:$A,0)),INDEX(Base!$U:$U,MATCH($A21,Base!$A:$A,0)),IF(JH$1=INDEX('Valo FX'!$R:$R,MATCH($A21,'Valo FX'!$A:$A,0)),INDEX(Base!$V:$V,MATCH($A21,Base!$A:$A,0)),0)))</f>
        <v>7.6339199999999998</v>
      </c>
      <c r="JI21" s="21">
        <f>IF(JI$1&lt;INDEX('Valo FX'!$Q:$Q,MATCH($A21,'Valo FX'!$A:$A,0)),0,IF(JI$1&lt;INDEX('Valo FX'!$R:$R,MATCH($A21,'Valo FX'!$A:$A,0)),INDEX(Base!$U:$U,MATCH($A21,Base!$A:$A,0)),IF(JI$1=INDEX('Valo FX'!$R:$R,MATCH($A21,'Valo FX'!$A:$A,0)),INDEX(Base!$V:$V,MATCH($A21,Base!$A:$A,0)),0)))</f>
        <v>7.6339199999999998</v>
      </c>
      <c r="JJ21" s="21">
        <f>IF(JJ$1&lt;INDEX('Valo FX'!$Q:$Q,MATCH($A21,'Valo FX'!$A:$A,0)),0,IF(JJ$1&lt;INDEX('Valo FX'!$R:$R,MATCH($A21,'Valo FX'!$A:$A,0)),INDEX(Base!$U:$U,MATCH($A21,Base!$A:$A,0)),IF(JJ$1=INDEX('Valo FX'!$R:$R,MATCH($A21,'Valo FX'!$A:$A,0)),INDEX(Base!$V:$V,MATCH($A21,Base!$A:$A,0)),0)))</f>
        <v>7.6339199999999998</v>
      </c>
      <c r="JK21" s="21">
        <f>IF(JK$1&lt;INDEX('Valo FX'!$Q:$Q,MATCH($A21,'Valo FX'!$A:$A,0)),0,IF(JK$1&lt;INDEX('Valo FX'!$R:$R,MATCH($A21,'Valo FX'!$A:$A,0)),INDEX(Base!$U:$U,MATCH($A21,Base!$A:$A,0)),IF(JK$1=INDEX('Valo FX'!$R:$R,MATCH($A21,'Valo FX'!$A:$A,0)),INDEX(Base!$V:$V,MATCH($A21,Base!$A:$A,0)),0)))</f>
        <v>7.6339199999999998</v>
      </c>
      <c r="JL21" s="21">
        <f>IF(JL$1&lt;INDEX('Valo FX'!$Q:$Q,MATCH($A21,'Valo FX'!$A:$A,0)),0,IF(JL$1&lt;INDEX('Valo FX'!$R:$R,MATCH($A21,'Valo FX'!$A:$A,0)),INDEX(Base!$U:$U,MATCH($A21,Base!$A:$A,0)),IF(JL$1=INDEX('Valo FX'!$R:$R,MATCH($A21,'Valo FX'!$A:$A,0)),INDEX(Base!$V:$V,MATCH($A21,Base!$A:$A,0)),0)))</f>
        <v>7.6339199999999998</v>
      </c>
      <c r="JM21" s="21">
        <f>IF(JM$1&lt;INDEX('Valo FX'!$Q:$Q,MATCH($A21,'Valo FX'!$A:$A,0)),0,IF(JM$1&lt;INDEX('Valo FX'!$R:$R,MATCH($A21,'Valo FX'!$A:$A,0)),INDEX(Base!$U:$U,MATCH($A21,Base!$A:$A,0)),IF(JM$1=INDEX('Valo FX'!$R:$R,MATCH($A21,'Valo FX'!$A:$A,0)),INDEX(Base!$V:$V,MATCH($A21,Base!$A:$A,0)),0)))</f>
        <v>7.6339199999999998</v>
      </c>
      <c r="JN21" s="21">
        <f>IF(JN$1&lt;INDEX('Valo FX'!$Q:$Q,MATCH($A21,'Valo FX'!$A:$A,0)),0,IF(JN$1&lt;INDEX('Valo FX'!$R:$R,MATCH($A21,'Valo FX'!$A:$A,0)),INDEX(Base!$U:$U,MATCH($A21,Base!$A:$A,0)),IF(JN$1=INDEX('Valo FX'!$R:$R,MATCH($A21,'Valo FX'!$A:$A,0)),INDEX(Base!$V:$V,MATCH($A21,Base!$A:$A,0)),0)))</f>
        <v>7.6339199999999998</v>
      </c>
      <c r="JO21" s="21">
        <f>IF(JO$1&lt;INDEX('Valo FX'!$Q:$Q,MATCH($A21,'Valo FX'!$A:$A,0)),0,IF(JO$1&lt;INDEX('Valo FX'!$R:$R,MATCH($A21,'Valo FX'!$A:$A,0)),INDEX(Base!$U:$U,MATCH($A21,Base!$A:$A,0)),IF(JO$1=INDEX('Valo FX'!$R:$R,MATCH($A21,'Valo FX'!$A:$A,0)),INDEX(Base!$V:$V,MATCH($A21,Base!$A:$A,0)),0)))</f>
        <v>7.6339199999999998</v>
      </c>
      <c r="JP21" s="21">
        <f>IF(JP$1&lt;INDEX('Valo FX'!$Q:$Q,MATCH($A21,'Valo FX'!$A:$A,0)),0,IF(JP$1&lt;INDEX('Valo FX'!$R:$R,MATCH($A21,'Valo FX'!$A:$A,0)),INDEX(Base!$U:$U,MATCH($A21,Base!$A:$A,0)),IF(JP$1=INDEX('Valo FX'!$R:$R,MATCH($A21,'Valo FX'!$A:$A,0)),INDEX(Base!$V:$V,MATCH($A21,Base!$A:$A,0)),0)))</f>
        <v>7.6339199999999998</v>
      </c>
      <c r="JQ21" s="21">
        <f>IF(JQ$1&lt;INDEX('Valo FX'!$Q:$Q,MATCH($A21,'Valo FX'!$A:$A,0)),0,IF(JQ$1&lt;INDEX('Valo FX'!$R:$R,MATCH($A21,'Valo FX'!$A:$A,0)),INDEX(Base!$U:$U,MATCH($A21,Base!$A:$A,0)),IF(JQ$1=INDEX('Valo FX'!$R:$R,MATCH($A21,'Valo FX'!$A:$A,0)),INDEX(Base!$V:$V,MATCH($A21,Base!$A:$A,0)),0)))</f>
        <v>7.6339199999999998</v>
      </c>
      <c r="JR21" s="21">
        <f>IF(JR$1&lt;INDEX('Valo FX'!$Q:$Q,MATCH($A21,'Valo FX'!$A:$A,0)),0,IF(JR$1&lt;INDEX('Valo FX'!$R:$R,MATCH($A21,'Valo FX'!$A:$A,0)),INDEX(Base!$U:$U,MATCH($A21,Base!$A:$A,0)),IF(JR$1=INDEX('Valo FX'!$R:$R,MATCH($A21,'Valo FX'!$A:$A,0)),INDEX(Base!$V:$V,MATCH($A21,Base!$A:$A,0)),0)))</f>
        <v>7.6339199999999998</v>
      </c>
      <c r="JS21" s="21">
        <f>IF(JS$1&lt;INDEX('Valo FX'!$Q:$Q,MATCH($A21,'Valo FX'!$A:$A,0)),0,IF(JS$1&lt;INDEX('Valo FX'!$R:$R,MATCH($A21,'Valo FX'!$A:$A,0)),INDEX(Base!$U:$U,MATCH($A21,Base!$A:$A,0)),IF(JS$1=INDEX('Valo FX'!$R:$R,MATCH($A21,'Valo FX'!$A:$A,0)),INDEX(Base!$V:$V,MATCH($A21,Base!$A:$A,0)),0)))</f>
        <v>7.7913600000000001</v>
      </c>
      <c r="JT21" s="21">
        <f>IF(JT$1&lt;INDEX('Valo FX'!$Q:$Q,MATCH($A21,'Valo FX'!$A:$A,0)),0,IF(JT$1&lt;INDEX('Valo FX'!$R:$R,MATCH($A21,'Valo FX'!$A:$A,0)),INDEX(Base!$U:$U,MATCH($A21,Base!$A:$A,0)),IF(JT$1=INDEX('Valo FX'!$R:$R,MATCH($A21,'Valo FX'!$A:$A,0)),INDEX(Base!$V:$V,MATCH($A21,Base!$A:$A,0)),0)))</f>
        <v>0</v>
      </c>
      <c r="JU21" s="21">
        <f>IF(JU$1&lt;INDEX('Valo FX'!$Q:$Q,MATCH($A21,'Valo FX'!$A:$A,0)),0,IF(JU$1&lt;INDEX('Valo FX'!$R:$R,MATCH($A21,'Valo FX'!$A:$A,0)),INDEX(Base!$U:$U,MATCH($A21,Base!$A:$A,0)),IF(JU$1=INDEX('Valo FX'!$R:$R,MATCH($A21,'Valo FX'!$A:$A,0)),INDEX(Base!$V:$V,MATCH($A21,Base!$A:$A,0)),0)))</f>
        <v>0</v>
      </c>
      <c r="JV21" s="21">
        <f>IF(JV$1&lt;INDEX('Valo FX'!$Q:$Q,MATCH($A21,'Valo FX'!$A:$A,0)),0,IF(JV$1&lt;INDEX('Valo FX'!$R:$R,MATCH($A21,'Valo FX'!$A:$A,0)),INDEX(Base!$U:$U,MATCH($A21,Base!$A:$A,0)),IF(JV$1=INDEX('Valo FX'!$R:$R,MATCH($A21,'Valo FX'!$A:$A,0)),INDEX(Base!$V:$V,MATCH($A21,Base!$A:$A,0)),0)))</f>
        <v>0</v>
      </c>
      <c r="JW21" s="21">
        <f>IF(JW$1&lt;INDEX('Valo FX'!$Q:$Q,MATCH($A21,'Valo FX'!$A:$A,0)),0,IF(JW$1&lt;INDEX('Valo FX'!$R:$R,MATCH($A21,'Valo FX'!$A:$A,0)),INDEX(Base!$U:$U,MATCH($A21,Base!$A:$A,0)),IF(JW$1=INDEX('Valo FX'!$R:$R,MATCH($A21,'Valo FX'!$A:$A,0)),INDEX(Base!$V:$V,MATCH($A21,Base!$A:$A,0)),0)))</f>
        <v>0</v>
      </c>
      <c r="JX21" s="21">
        <f>IF(JX$1&lt;INDEX('Valo FX'!$Q:$Q,MATCH($A21,'Valo FX'!$A:$A,0)),0,IF(JX$1&lt;INDEX('Valo FX'!$R:$R,MATCH($A21,'Valo FX'!$A:$A,0)),INDEX(Base!$U:$U,MATCH($A21,Base!$A:$A,0)),IF(JX$1=INDEX('Valo FX'!$R:$R,MATCH($A21,'Valo FX'!$A:$A,0)),INDEX(Base!$V:$V,MATCH($A21,Base!$A:$A,0)),0)))</f>
        <v>0</v>
      </c>
      <c r="JY21" s="21">
        <f>IF(JY$1&lt;INDEX('Valo FX'!$Q:$Q,MATCH($A21,'Valo FX'!$A:$A,0)),0,IF(JY$1&lt;INDEX('Valo FX'!$R:$R,MATCH($A21,'Valo FX'!$A:$A,0)),INDEX(Base!$U:$U,MATCH($A21,Base!$A:$A,0)),IF(JY$1=INDEX('Valo FX'!$R:$R,MATCH($A21,'Valo FX'!$A:$A,0)),INDEX(Base!$V:$V,MATCH($A21,Base!$A:$A,0)),0)))</f>
        <v>0</v>
      </c>
      <c r="JZ21" s="21">
        <f>IF(JZ$1&lt;INDEX('Valo FX'!$Q:$Q,MATCH($A21,'Valo FX'!$A:$A,0)),0,IF(JZ$1&lt;INDEX('Valo FX'!$R:$R,MATCH($A21,'Valo FX'!$A:$A,0)),INDEX(Base!$U:$U,MATCH($A21,Base!$A:$A,0)),IF(JZ$1=INDEX('Valo FX'!$R:$R,MATCH($A21,'Valo FX'!$A:$A,0)),INDEX(Base!$V:$V,MATCH($A21,Base!$A:$A,0)),0)))</f>
        <v>0</v>
      </c>
      <c r="KA21" s="21">
        <f>IF(KA$1&lt;INDEX('Valo FX'!$Q:$Q,MATCH($A21,'Valo FX'!$A:$A,0)),0,IF(KA$1&lt;INDEX('Valo FX'!$R:$R,MATCH($A21,'Valo FX'!$A:$A,0)),INDEX(Base!$U:$U,MATCH($A21,Base!$A:$A,0)),IF(KA$1=INDEX('Valo FX'!$R:$R,MATCH($A21,'Valo FX'!$A:$A,0)),INDEX(Base!$V:$V,MATCH($A21,Base!$A:$A,0)),0)))</f>
        <v>0</v>
      </c>
      <c r="KB21" s="21">
        <f>IF(KB$1&lt;INDEX('Valo FX'!$Q:$Q,MATCH($A21,'Valo FX'!$A:$A,0)),0,IF(KB$1&lt;INDEX('Valo FX'!$R:$R,MATCH($A21,'Valo FX'!$A:$A,0)),INDEX(Base!$U:$U,MATCH($A21,Base!$A:$A,0)),IF(KB$1=INDEX('Valo FX'!$R:$R,MATCH($A21,'Valo FX'!$A:$A,0)),INDEX(Base!$V:$V,MATCH($A21,Base!$A:$A,0)),0)))</f>
        <v>0</v>
      </c>
      <c r="KC21" s="21">
        <f>IF(KC$1&lt;INDEX('Valo FX'!$Q:$Q,MATCH($A21,'Valo FX'!$A:$A,0)),0,IF(KC$1&lt;INDEX('Valo FX'!$R:$R,MATCH($A21,'Valo FX'!$A:$A,0)),INDEX(Base!$U:$U,MATCH($A21,Base!$A:$A,0)),IF(KC$1=INDEX('Valo FX'!$R:$R,MATCH($A21,'Valo FX'!$A:$A,0)),INDEX(Base!$V:$V,MATCH($A21,Base!$A:$A,0)),0)))</f>
        <v>0</v>
      </c>
      <c r="KD21" s="21">
        <f>IF(KD$1&lt;INDEX('Valo FX'!$Q:$Q,MATCH($A21,'Valo FX'!$A:$A,0)),0,IF(KD$1&lt;INDEX('Valo FX'!$R:$R,MATCH($A21,'Valo FX'!$A:$A,0)),INDEX(Base!$U:$U,MATCH($A21,Base!$A:$A,0)),IF(KD$1=INDEX('Valo FX'!$R:$R,MATCH($A21,'Valo FX'!$A:$A,0)),INDEX(Base!$V:$V,MATCH($A21,Base!$A:$A,0)),0)))</f>
        <v>0</v>
      </c>
      <c r="KE21" s="21">
        <f>IF(KE$1&lt;INDEX('Valo FX'!$Q:$Q,MATCH($A21,'Valo FX'!$A:$A,0)),0,IF(KE$1&lt;INDEX('Valo FX'!$R:$R,MATCH($A21,'Valo FX'!$A:$A,0)),INDEX(Base!$U:$U,MATCH($A21,Base!$A:$A,0)),IF(KE$1=INDEX('Valo FX'!$R:$R,MATCH($A21,'Valo FX'!$A:$A,0)),INDEX(Base!$V:$V,MATCH($A21,Base!$A:$A,0)),0)))</f>
        <v>0</v>
      </c>
      <c r="KF21" s="21">
        <f>IF(KF$1&lt;INDEX('Valo FX'!$Q:$Q,MATCH($A21,'Valo FX'!$A:$A,0)),0,IF(KF$1&lt;INDEX('Valo FX'!$R:$R,MATCH($A21,'Valo FX'!$A:$A,0)),INDEX(Base!$U:$U,MATCH($A21,Base!$A:$A,0)),IF(KF$1=INDEX('Valo FX'!$R:$R,MATCH($A21,'Valo FX'!$A:$A,0)),INDEX(Base!$V:$V,MATCH($A21,Base!$A:$A,0)),0)))</f>
        <v>0</v>
      </c>
      <c r="KG21" s="21">
        <f>IF(KG$1&lt;INDEX('Valo FX'!$Q:$Q,MATCH($A21,'Valo FX'!$A:$A,0)),0,IF(KG$1&lt;INDEX('Valo FX'!$R:$R,MATCH($A21,'Valo FX'!$A:$A,0)),INDEX(Base!$U:$U,MATCH($A21,Base!$A:$A,0)),IF(KG$1=INDEX('Valo FX'!$R:$R,MATCH($A21,'Valo FX'!$A:$A,0)),INDEX(Base!$V:$V,MATCH($A21,Base!$A:$A,0)),0)))</f>
        <v>0</v>
      </c>
      <c r="KH21" s="21">
        <f>IF(KH$1&lt;INDEX('Valo FX'!$Q:$Q,MATCH($A21,'Valo FX'!$A:$A,0)),0,IF(KH$1&lt;INDEX('Valo FX'!$R:$R,MATCH($A21,'Valo FX'!$A:$A,0)),INDEX(Base!$U:$U,MATCH($A21,Base!$A:$A,0)),IF(KH$1=INDEX('Valo FX'!$R:$R,MATCH($A21,'Valo FX'!$A:$A,0)),INDEX(Base!$V:$V,MATCH($A21,Base!$A:$A,0)),0)))</f>
        <v>0</v>
      </c>
      <c r="KI21" s="21">
        <f>IF(KI$1&lt;INDEX('Valo FX'!$Q:$Q,MATCH($A21,'Valo FX'!$A:$A,0)),0,IF(KI$1&lt;INDEX('Valo FX'!$R:$R,MATCH($A21,'Valo FX'!$A:$A,0)),INDEX(Base!$U:$U,MATCH($A21,Base!$A:$A,0)),IF(KI$1=INDEX('Valo FX'!$R:$R,MATCH($A21,'Valo FX'!$A:$A,0)),INDEX(Base!$V:$V,MATCH($A21,Base!$A:$A,0)),0)))</f>
        <v>0</v>
      </c>
      <c r="KJ21" s="21">
        <f>IF(KJ$1&lt;INDEX('Valo FX'!$Q:$Q,MATCH($A21,'Valo FX'!$A:$A,0)),0,IF(KJ$1&lt;INDEX('Valo FX'!$R:$R,MATCH($A21,'Valo FX'!$A:$A,0)),INDEX(Base!$U:$U,MATCH($A21,Base!$A:$A,0)),IF(KJ$1=INDEX('Valo FX'!$R:$R,MATCH($A21,'Valo FX'!$A:$A,0)),INDEX(Base!$V:$V,MATCH($A21,Base!$A:$A,0)),0)))</f>
        <v>0</v>
      </c>
      <c r="KK21" s="21">
        <f>IF(KK$1&lt;INDEX('Valo FX'!$Q:$Q,MATCH($A21,'Valo FX'!$A:$A,0)),0,IF(KK$1&lt;INDEX('Valo FX'!$R:$R,MATCH($A21,'Valo FX'!$A:$A,0)),INDEX(Base!$U:$U,MATCH($A21,Base!$A:$A,0)),IF(KK$1=INDEX('Valo FX'!$R:$R,MATCH($A21,'Valo FX'!$A:$A,0)),INDEX(Base!$V:$V,MATCH($A21,Base!$A:$A,0)),0)))</f>
        <v>0</v>
      </c>
      <c r="KL21" s="21">
        <f>IF(KL$1&lt;INDEX('Valo FX'!$Q:$Q,MATCH($A21,'Valo FX'!$A:$A,0)),0,IF(KL$1&lt;INDEX('Valo FX'!$R:$R,MATCH($A21,'Valo FX'!$A:$A,0)),INDEX(Base!$U:$U,MATCH($A21,Base!$A:$A,0)),IF(KL$1=INDEX('Valo FX'!$R:$R,MATCH($A21,'Valo FX'!$A:$A,0)),INDEX(Base!$V:$V,MATCH($A21,Base!$A:$A,0)),0)))</f>
        <v>0</v>
      </c>
      <c r="KM21" s="21">
        <f>IF(KM$1&lt;INDEX('Valo FX'!$Q:$Q,MATCH($A21,'Valo FX'!$A:$A,0)),0,IF(KM$1&lt;INDEX('Valo FX'!$R:$R,MATCH($A21,'Valo FX'!$A:$A,0)),INDEX(Base!$U:$U,MATCH($A21,Base!$A:$A,0)),IF(KM$1=INDEX('Valo FX'!$R:$R,MATCH($A21,'Valo FX'!$A:$A,0)),INDEX(Base!$V:$V,MATCH($A21,Base!$A:$A,0)),0)))</f>
        <v>0</v>
      </c>
      <c r="KN21" s="21">
        <f>IF(KN$1&lt;INDEX('Valo FX'!$Q:$Q,MATCH($A21,'Valo FX'!$A:$A,0)),0,IF(KN$1&lt;INDEX('Valo FX'!$R:$R,MATCH($A21,'Valo FX'!$A:$A,0)),INDEX(Base!$U:$U,MATCH($A21,Base!$A:$A,0)),IF(KN$1=INDEX('Valo FX'!$R:$R,MATCH($A21,'Valo FX'!$A:$A,0)),INDEX(Base!$V:$V,MATCH($A21,Base!$A:$A,0)),0)))</f>
        <v>0</v>
      </c>
      <c r="KO21" s="21">
        <f>IF(KO$1&lt;INDEX('Valo FX'!$Q:$Q,MATCH($A21,'Valo FX'!$A:$A,0)),0,IF(KO$1&lt;INDEX('Valo FX'!$R:$R,MATCH($A21,'Valo FX'!$A:$A,0)),INDEX(Base!$U:$U,MATCH($A21,Base!$A:$A,0)),IF(KO$1=INDEX('Valo FX'!$R:$R,MATCH($A21,'Valo FX'!$A:$A,0)),INDEX(Base!$V:$V,MATCH($A21,Base!$A:$A,0)),0)))</f>
        <v>0</v>
      </c>
      <c r="KP21" s="21">
        <f>IF(KP$1&lt;INDEX('Valo FX'!$Q:$Q,MATCH($A21,'Valo FX'!$A:$A,0)),0,IF(KP$1&lt;INDEX('Valo FX'!$R:$R,MATCH($A21,'Valo FX'!$A:$A,0)),INDEX(Base!$U:$U,MATCH($A21,Base!$A:$A,0)),IF(KP$1=INDEX('Valo FX'!$R:$R,MATCH($A21,'Valo FX'!$A:$A,0)),INDEX(Base!$V:$V,MATCH($A21,Base!$A:$A,0)),0)))</f>
        <v>0</v>
      </c>
      <c r="KQ21" s="21">
        <f>IF(KQ$1&lt;INDEX('Valo FX'!$Q:$Q,MATCH($A21,'Valo FX'!$A:$A,0)),0,IF(KQ$1&lt;INDEX('Valo FX'!$R:$R,MATCH($A21,'Valo FX'!$A:$A,0)),INDEX(Base!$U:$U,MATCH($A21,Base!$A:$A,0)),IF(KQ$1=INDEX('Valo FX'!$R:$R,MATCH($A21,'Valo FX'!$A:$A,0)),INDEX(Base!$V:$V,MATCH($A21,Base!$A:$A,0)),0)))</f>
        <v>0</v>
      </c>
      <c r="KR21" s="21">
        <f>IF(KR$1&lt;INDEX('Valo FX'!$Q:$Q,MATCH($A21,'Valo FX'!$A:$A,0)),0,IF(KR$1&lt;INDEX('Valo FX'!$R:$R,MATCH($A21,'Valo FX'!$A:$A,0)),INDEX(Base!$U:$U,MATCH($A21,Base!$A:$A,0)),IF(KR$1=INDEX('Valo FX'!$R:$R,MATCH($A21,'Valo FX'!$A:$A,0)),INDEX(Base!$V:$V,MATCH($A21,Base!$A:$A,0)),0)))</f>
        <v>0</v>
      </c>
      <c r="KS21" s="21">
        <f>IF(KS$1&lt;INDEX('Valo FX'!$Q:$Q,MATCH($A21,'Valo FX'!$A:$A,0)),0,IF(KS$1&lt;INDEX('Valo FX'!$R:$R,MATCH($A21,'Valo FX'!$A:$A,0)),INDEX(Base!$U:$U,MATCH($A21,Base!$A:$A,0)),IF(KS$1=INDEX('Valo FX'!$R:$R,MATCH($A21,'Valo FX'!$A:$A,0)),INDEX(Base!$V:$V,MATCH($A21,Base!$A:$A,0)),0)))</f>
        <v>0</v>
      </c>
      <c r="KT21" s="21">
        <f>IF(KT$1&lt;INDEX('Valo FX'!$Q:$Q,MATCH($A21,'Valo FX'!$A:$A,0)),0,IF(KT$1&lt;INDEX('Valo FX'!$R:$R,MATCH($A21,'Valo FX'!$A:$A,0)),INDEX(Base!$U:$U,MATCH($A21,Base!$A:$A,0)),IF(KT$1=INDEX('Valo FX'!$R:$R,MATCH($A21,'Valo FX'!$A:$A,0)),INDEX(Base!$V:$V,MATCH($A21,Base!$A:$A,0)),0)))</f>
        <v>0</v>
      </c>
      <c r="KU21" s="21">
        <f>IF(KU$1&lt;INDEX('Valo FX'!$Q:$Q,MATCH($A21,'Valo FX'!$A:$A,0)),0,IF(KU$1&lt;INDEX('Valo FX'!$R:$R,MATCH($A21,'Valo FX'!$A:$A,0)),INDEX(Base!$U:$U,MATCH($A21,Base!$A:$A,0)),IF(KU$1=INDEX('Valo FX'!$R:$R,MATCH($A21,'Valo FX'!$A:$A,0)),INDEX(Base!$V:$V,MATCH($A21,Base!$A:$A,0)),0)))</f>
        <v>0</v>
      </c>
      <c r="KV21" s="21">
        <f>IF(KV$1&lt;INDEX('Valo FX'!$Q:$Q,MATCH($A21,'Valo FX'!$A:$A,0)),0,IF(KV$1&lt;INDEX('Valo FX'!$R:$R,MATCH($A21,'Valo FX'!$A:$A,0)),INDEX(Base!$U:$U,MATCH($A21,Base!$A:$A,0)),IF(KV$1=INDEX('Valo FX'!$R:$R,MATCH($A21,'Valo FX'!$A:$A,0)),INDEX(Base!$V:$V,MATCH($A21,Base!$A:$A,0)),0)))</f>
        <v>0</v>
      </c>
      <c r="KW21" s="21">
        <f>IF(KW$1&lt;INDEX('Valo FX'!$Q:$Q,MATCH($A21,'Valo FX'!$A:$A,0)),0,IF(KW$1&lt;INDEX('Valo FX'!$R:$R,MATCH($A21,'Valo FX'!$A:$A,0)),INDEX(Base!$U:$U,MATCH($A21,Base!$A:$A,0)),IF(KW$1=INDEX('Valo FX'!$R:$R,MATCH($A21,'Valo FX'!$A:$A,0)),INDEX(Base!$V:$V,MATCH($A21,Base!$A:$A,0)),0)))</f>
        <v>0</v>
      </c>
      <c r="KX21" s="21">
        <f>IF(KX$1&lt;INDEX('Valo FX'!$Q:$Q,MATCH($A21,'Valo FX'!$A:$A,0)),0,IF(KX$1&lt;INDEX('Valo FX'!$R:$R,MATCH($A21,'Valo FX'!$A:$A,0)),INDEX(Base!$U:$U,MATCH($A21,Base!$A:$A,0)),IF(KX$1=INDEX('Valo FX'!$R:$R,MATCH($A21,'Valo FX'!$A:$A,0)),INDEX(Base!$V:$V,MATCH($A21,Base!$A:$A,0)),0)))</f>
        <v>0</v>
      </c>
      <c r="KY21" s="21">
        <f>IF(KY$1&lt;INDEX('Valo FX'!$Q:$Q,MATCH($A21,'Valo FX'!$A:$A,0)),0,IF(KY$1&lt;INDEX('Valo FX'!$R:$R,MATCH($A21,'Valo FX'!$A:$A,0)),INDEX(Base!$U:$U,MATCH($A21,Base!$A:$A,0)),IF(KY$1=INDEX('Valo FX'!$R:$R,MATCH($A21,'Valo FX'!$A:$A,0)),INDEX(Base!$V:$V,MATCH($A21,Base!$A:$A,0)),0)))</f>
        <v>0</v>
      </c>
      <c r="KZ21" s="21">
        <f>IF(KZ$1&lt;INDEX('Valo FX'!$Q:$Q,MATCH($A21,'Valo FX'!$A:$A,0)),0,IF(KZ$1&lt;INDEX('Valo FX'!$R:$R,MATCH($A21,'Valo FX'!$A:$A,0)),INDEX(Base!$U:$U,MATCH($A21,Base!$A:$A,0)),IF(KZ$1=INDEX('Valo FX'!$R:$R,MATCH($A21,'Valo FX'!$A:$A,0)),INDEX(Base!$V:$V,MATCH($A21,Base!$A:$A,0)),0)))</f>
        <v>0</v>
      </c>
      <c r="LA21" s="21">
        <f>IF(LA$1&lt;INDEX('Valo FX'!$Q:$Q,MATCH($A21,'Valo FX'!$A:$A,0)),0,IF(LA$1&lt;INDEX('Valo FX'!$R:$R,MATCH($A21,'Valo FX'!$A:$A,0)),INDEX(Base!$U:$U,MATCH($A21,Base!$A:$A,0)),IF(LA$1=INDEX('Valo FX'!$R:$R,MATCH($A21,'Valo FX'!$A:$A,0)),INDEX(Base!$V:$V,MATCH($A21,Base!$A:$A,0)),0)))</f>
        <v>0</v>
      </c>
      <c r="LB21" s="21">
        <f>IF(LB$1&lt;INDEX('Valo FX'!$Q:$Q,MATCH($A21,'Valo FX'!$A:$A,0)),0,IF(LB$1&lt;INDEX('Valo FX'!$R:$R,MATCH($A21,'Valo FX'!$A:$A,0)),INDEX(Base!$U:$U,MATCH($A21,Base!$A:$A,0)),IF(LB$1=INDEX('Valo FX'!$R:$R,MATCH($A21,'Valo FX'!$A:$A,0)),INDEX(Base!$V:$V,MATCH($A21,Base!$A:$A,0)),0)))</f>
        <v>0</v>
      </c>
      <c r="LC21" s="21">
        <f>IF(LC$1&lt;INDEX('Valo FX'!$Q:$Q,MATCH($A21,'Valo FX'!$A:$A,0)),0,IF(LC$1&lt;INDEX('Valo FX'!$R:$R,MATCH($A21,'Valo FX'!$A:$A,0)),INDEX(Base!$U:$U,MATCH($A21,Base!$A:$A,0)),IF(LC$1=INDEX('Valo FX'!$R:$R,MATCH($A21,'Valo FX'!$A:$A,0)),INDEX(Base!$V:$V,MATCH($A21,Base!$A:$A,0)),0)))</f>
        <v>0</v>
      </c>
      <c r="LD21" s="21">
        <f>IF(LD$1&lt;INDEX('Valo FX'!$Q:$Q,MATCH($A21,'Valo FX'!$A:$A,0)),0,IF(LD$1&lt;INDEX('Valo FX'!$R:$R,MATCH($A21,'Valo FX'!$A:$A,0)),INDEX(Base!$U:$U,MATCH($A21,Base!$A:$A,0)),IF(LD$1=INDEX('Valo FX'!$R:$R,MATCH($A21,'Valo FX'!$A:$A,0)),INDEX(Base!$V:$V,MATCH($A21,Base!$A:$A,0)),0)))</f>
        <v>0</v>
      </c>
      <c r="LE21" s="21">
        <f>IF(LE$1&lt;INDEX('Valo FX'!$Q:$Q,MATCH($A21,'Valo FX'!$A:$A,0)),0,IF(LE$1&lt;INDEX('Valo FX'!$R:$R,MATCH($A21,'Valo FX'!$A:$A,0)),INDEX(Base!$U:$U,MATCH($A21,Base!$A:$A,0)),IF(LE$1=INDEX('Valo FX'!$R:$R,MATCH($A21,'Valo FX'!$A:$A,0)),INDEX(Base!$V:$V,MATCH($A21,Base!$A:$A,0)),0)))</f>
        <v>0</v>
      </c>
      <c r="LF21" s="21">
        <f>IF(LF$1&lt;INDEX('Valo FX'!$Q:$Q,MATCH($A21,'Valo FX'!$A:$A,0)),0,IF(LF$1&lt;INDEX('Valo FX'!$R:$R,MATCH($A21,'Valo FX'!$A:$A,0)),INDEX(Base!$U:$U,MATCH($A21,Base!$A:$A,0)),IF(LF$1=INDEX('Valo FX'!$R:$R,MATCH($A21,'Valo FX'!$A:$A,0)),INDEX(Base!$V:$V,MATCH($A21,Base!$A:$A,0)),0)))</f>
        <v>0</v>
      </c>
      <c r="LG21" s="21">
        <f>IF(LG$1&lt;INDEX('Valo FX'!$Q:$Q,MATCH($A21,'Valo FX'!$A:$A,0)),0,IF(LG$1&lt;INDEX('Valo FX'!$R:$R,MATCH($A21,'Valo FX'!$A:$A,0)),INDEX(Base!$U:$U,MATCH($A21,Base!$A:$A,0)),IF(LG$1=INDEX('Valo FX'!$R:$R,MATCH($A21,'Valo FX'!$A:$A,0)),INDEX(Base!$V:$V,MATCH($A21,Base!$A:$A,0)),0)))</f>
        <v>0</v>
      </c>
      <c r="LH21" s="21">
        <f>IF(LH$1&lt;INDEX('Valo FX'!$Q:$Q,MATCH($A21,'Valo FX'!$A:$A,0)),0,IF(LH$1&lt;INDEX('Valo FX'!$R:$R,MATCH($A21,'Valo FX'!$A:$A,0)),INDEX(Base!$U:$U,MATCH($A21,Base!$A:$A,0)),IF(LH$1=INDEX('Valo FX'!$R:$R,MATCH($A21,'Valo FX'!$A:$A,0)),INDEX(Base!$V:$V,MATCH($A21,Base!$A:$A,0)),0)))</f>
        <v>0</v>
      </c>
      <c r="LI21" s="21">
        <f>IF(LI$1&lt;INDEX('Valo FX'!$Q:$Q,MATCH($A21,'Valo FX'!$A:$A,0)),0,IF(LI$1&lt;INDEX('Valo FX'!$R:$R,MATCH($A21,'Valo FX'!$A:$A,0)),INDEX(Base!$U:$U,MATCH($A21,Base!$A:$A,0)),IF(LI$1=INDEX('Valo FX'!$R:$R,MATCH($A21,'Valo FX'!$A:$A,0)),INDEX(Base!$V:$V,MATCH($A21,Base!$A:$A,0)),0)))</f>
        <v>0</v>
      </c>
      <c r="LJ21" s="21">
        <f>IF(LJ$1&lt;INDEX('Valo FX'!$Q:$Q,MATCH($A21,'Valo FX'!$A:$A,0)),0,IF(LJ$1&lt;INDEX('Valo FX'!$R:$R,MATCH($A21,'Valo FX'!$A:$A,0)),INDEX(Base!$U:$U,MATCH($A21,Base!$A:$A,0)),IF(LJ$1=INDEX('Valo FX'!$R:$R,MATCH($A21,'Valo FX'!$A:$A,0)),INDEX(Base!$V:$V,MATCH($A21,Base!$A:$A,0)),0)))</f>
        <v>0</v>
      </c>
      <c r="LK21" s="21">
        <f>IF(LK$1&lt;INDEX('Valo FX'!$Q:$Q,MATCH($A21,'Valo FX'!$A:$A,0)),0,IF(LK$1&lt;INDEX('Valo FX'!$R:$R,MATCH($A21,'Valo FX'!$A:$A,0)),INDEX(Base!$U:$U,MATCH($A21,Base!$A:$A,0)),IF(LK$1=INDEX('Valo FX'!$R:$R,MATCH($A21,'Valo FX'!$A:$A,0)),INDEX(Base!$V:$V,MATCH($A21,Base!$A:$A,0)),0)))</f>
        <v>0</v>
      </c>
      <c r="LL21" s="21">
        <f>IF(LL$1&lt;INDEX('Valo FX'!$Q:$Q,MATCH($A21,'Valo FX'!$A:$A,0)),0,IF(LL$1&lt;INDEX('Valo FX'!$R:$R,MATCH($A21,'Valo FX'!$A:$A,0)),INDEX(Base!$U:$U,MATCH($A21,Base!$A:$A,0)),IF(LL$1=INDEX('Valo FX'!$R:$R,MATCH($A21,'Valo FX'!$A:$A,0)),INDEX(Base!$V:$V,MATCH($A21,Base!$A:$A,0)),0)))</f>
        <v>0</v>
      </c>
      <c r="LM21" s="21">
        <f>IF(LM$1&lt;INDEX('Valo FX'!$Q:$Q,MATCH($A21,'Valo FX'!$A:$A,0)),0,IF(LM$1&lt;INDEX('Valo FX'!$R:$R,MATCH($A21,'Valo FX'!$A:$A,0)),INDEX(Base!$U:$U,MATCH($A21,Base!$A:$A,0)),IF(LM$1=INDEX('Valo FX'!$R:$R,MATCH($A21,'Valo FX'!$A:$A,0)),INDEX(Base!$V:$V,MATCH($A21,Base!$A:$A,0)),0)))</f>
        <v>0</v>
      </c>
      <c r="LN21" s="21">
        <f>IF(LN$1&lt;INDEX('Valo FX'!$Q:$Q,MATCH($A21,'Valo FX'!$A:$A,0)),0,IF(LN$1&lt;INDEX('Valo FX'!$R:$R,MATCH($A21,'Valo FX'!$A:$A,0)),INDEX(Base!$U:$U,MATCH($A21,Base!$A:$A,0)),IF(LN$1=INDEX('Valo FX'!$R:$R,MATCH($A21,'Valo FX'!$A:$A,0)),INDEX(Base!$V:$V,MATCH($A21,Base!$A:$A,0)),0)))</f>
        <v>0</v>
      </c>
      <c r="LO21" s="21">
        <f>IF(LO$1&lt;INDEX('Valo FX'!$Q:$Q,MATCH($A21,'Valo FX'!$A:$A,0)),0,IF(LO$1&lt;INDEX('Valo FX'!$R:$R,MATCH($A21,'Valo FX'!$A:$A,0)),INDEX(Base!$U:$U,MATCH($A21,Base!$A:$A,0)),IF(LO$1=INDEX('Valo FX'!$R:$R,MATCH($A21,'Valo FX'!$A:$A,0)),INDEX(Base!$V:$V,MATCH($A21,Base!$A:$A,0)),0)))</f>
        <v>0</v>
      </c>
      <c r="LP21" s="21">
        <f>IF(LP$1&lt;INDEX('Valo FX'!$Q:$Q,MATCH($A21,'Valo FX'!$A:$A,0)),0,IF(LP$1&lt;INDEX('Valo FX'!$R:$R,MATCH($A21,'Valo FX'!$A:$A,0)),INDEX(Base!$U:$U,MATCH($A21,Base!$A:$A,0)),IF(LP$1=INDEX('Valo FX'!$R:$R,MATCH($A21,'Valo FX'!$A:$A,0)),INDEX(Base!$V:$V,MATCH($A21,Base!$A:$A,0)),0)))</f>
        <v>0</v>
      </c>
      <c r="LQ21" s="21">
        <f>IF(LQ$1&lt;INDEX('Valo FX'!$Q:$Q,MATCH($A21,'Valo FX'!$A:$A,0)),0,IF(LQ$1&lt;INDEX('Valo FX'!$R:$R,MATCH($A21,'Valo FX'!$A:$A,0)),INDEX(Base!$U:$U,MATCH($A21,Base!$A:$A,0)),IF(LQ$1=INDEX('Valo FX'!$R:$R,MATCH($A21,'Valo FX'!$A:$A,0)),INDEX(Base!$V:$V,MATCH($A21,Base!$A:$A,0)),0)))</f>
        <v>0</v>
      </c>
      <c r="LR21" s="21">
        <f>IF(LR$1&lt;INDEX('Valo FX'!$Q:$Q,MATCH($A21,'Valo FX'!$A:$A,0)),0,IF(LR$1&lt;INDEX('Valo FX'!$R:$R,MATCH($A21,'Valo FX'!$A:$A,0)),INDEX(Base!$U:$U,MATCH($A21,Base!$A:$A,0)),IF(LR$1=INDEX('Valo FX'!$R:$R,MATCH($A21,'Valo FX'!$A:$A,0)),INDEX(Base!$V:$V,MATCH($A21,Base!$A:$A,0)),0)))</f>
        <v>0</v>
      </c>
      <c r="LS21" s="21">
        <f>IF(LS$1&lt;INDEX('Valo FX'!$Q:$Q,MATCH($A21,'Valo FX'!$A:$A,0)),0,IF(LS$1&lt;INDEX('Valo FX'!$R:$R,MATCH($A21,'Valo FX'!$A:$A,0)),INDEX(Base!$U:$U,MATCH($A21,Base!$A:$A,0)),IF(LS$1=INDEX('Valo FX'!$R:$R,MATCH($A21,'Valo FX'!$A:$A,0)),INDEX(Base!$V:$V,MATCH($A21,Base!$A:$A,0)),0)))</f>
        <v>0</v>
      </c>
      <c r="LT21" s="21">
        <f>IF(LT$1&lt;INDEX('Valo FX'!$Q:$Q,MATCH($A21,'Valo FX'!$A:$A,0)),0,IF(LT$1&lt;INDEX('Valo FX'!$R:$R,MATCH($A21,'Valo FX'!$A:$A,0)),INDEX(Base!$U:$U,MATCH($A21,Base!$A:$A,0)),IF(LT$1=INDEX('Valo FX'!$R:$R,MATCH($A21,'Valo FX'!$A:$A,0)),INDEX(Base!$V:$V,MATCH($A21,Base!$A:$A,0)),0)))</f>
        <v>0</v>
      </c>
      <c r="LU21" s="21">
        <f>IF(LU$1&lt;INDEX('Valo FX'!$Q:$Q,MATCH($A21,'Valo FX'!$A:$A,0)),0,IF(LU$1&lt;INDEX('Valo FX'!$R:$R,MATCH($A21,'Valo FX'!$A:$A,0)),INDEX(Base!$U:$U,MATCH($A21,Base!$A:$A,0)),IF(LU$1=INDEX('Valo FX'!$R:$R,MATCH($A21,'Valo FX'!$A:$A,0)),INDEX(Base!$V:$V,MATCH($A21,Base!$A:$A,0)),0)))</f>
        <v>0</v>
      </c>
      <c r="LV21" s="21">
        <f>IF(LV$1&lt;INDEX('Valo FX'!$Q:$Q,MATCH($A21,'Valo FX'!$A:$A,0)),0,IF(LV$1&lt;INDEX('Valo FX'!$R:$R,MATCH($A21,'Valo FX'!$A:$A,0)),INDEX(Base!$U:$U,MATCH($A21,Base!$A:$A,0)),IF(LV$1=INDEX('Valo FX'!$R:$R,MATCH($A21,'Valo FX'!$A:$A,0)),INDEX(Base!$V:$V,MATCH($A21,Base!$A:$A,0)),0)))</f>
        <v>0</v>
      </c>
      <c r="LW21" s="21">
        <f>IF(LW$1&lt;INDEX('Valo FX'!$Q:$Q,MATCH($A21,'Valo FX'!$A:$A,0)),0,IF(LW$1&lt;INDEX('Valo FX'!$R:$R,MATCH($A21,'Valo FX'!$A:$A,0)),INDEX(Base!$U:$U,MATCH($A21,Base!$A:$A,0)),IF(LW$1=INDEX('Valo FX'!$R:$R,MATCH($A21,'Valo FX'!$A:$A,0)),INDEX(Base!$V:$V,MATCH($A21,Base!$A:$A,0)),0)))</f>
        <v>0</v>
      </c>
      <c r="LX21" s="21">
        <f>IF(LX$1&lt;INDEX('Valo FX'!$Q:$Q,MATCH($A21,'Valo FX'!$A:$A,0)),0,IF(LX$1&lt;INDEX('Valo FX'!$R:$R,MATCH($A21,'Valo FX'!$A:$A,0)),INDEX(Base!$U:$U,MATCH($A21,Base!$A:$A,0)),IF(LX$1=INDEX('Valo FX'!$R:$R,MATCH($A21,'Valo FX'!$A:$A,0)),INDEX(Base!$V:$V,MATCH($A21,Base!$A:$A,0)),0)))</f>
        <v>0</v>
      </c>
      <c r="LY21" s="21">
        <f>IF(LY$1&lt;INDEX('Valo FX'!$Q:$Q,MATCH($A21,'Valo FX'!$A:$A,0)),0,IF(LY$1&lt;INDEX('Valo FX'!$R:$R,MATCH($A21,'Valo FX'!$A:$A,0)),INDEX(Base!$U:$U,MATCH($A21,Base!$A:$A,0)),IF(LY$1=INDEX('Valo FX'!$R:$R,MATCH($A21,'Valo FX'!$A:$A,0)),INDEX(Base!$V:$V,MATCH($A21,Base!$A:$A,0)),0)))</f>
        <v>0</v>
      </c>
      <c r="LZ21" s="21">
        <f>IF(LZ$1&lt;INDEX('Valo FX'!$Q:$Q,MATCH($A21,'Valo FX'!$A:$A,0)),0,IF(LZ$1&lt;INDEX('Valo FX'!$R:$R,MATCH($A21,'Valo FX'!$A:$A,0)),INDEX(Base!$U:$U,MATCH($A21,Base!$A:$A,0)),IF(LZ$1=INDEX('Valo FX'!$R:$R,MATCH($A21,'Valo FX'!$A:$A,0)),INDEX(Base!$V:$V,MATCH($A21,Base!$A:$A,0)),0)))</f>
        <v>0</v>
      </c>
      <c r="MA21" s="21">
        <f>IF(MA$1&lt;INDEX('Valo FX'!$Q:$Q,MATCH($A21,'Valo FX'!$A:$A,0)),0,IF(MA$1&lt;INDEX('Valo FX'!$R:$R,MATCH($A21,'Valo FX'!$A:$A,0)),INDEX(Base!$U:$U,MATCH($A21,Base!$A:$A,0)),IF(MA$1=INDEX('Valo FX'!$R:$R,MATCH($A21,'Valo FX'!$A:$A,0)),INDEX(Base!$V:$V,MATCH($A21,Base!$A:$A,0)),0)))</f>
        <v>0</v>
      </c>
      <c r="MB21" s="21">
        <f>IF(MB$1&lt;INDEX('Valo FX'!$Q:$Q,MATCH($A21,'Valo FX'!$A:$A,0)),0,IF(MB$1&lt;INDEX('Valo FX'!$R:$R,MATCH($A21,'Valo FX'!$A:$A,0)),INDEX(Base!$U:$U,MATCH($A21,Base!$A:$A,0)),IF(MB$1=INDEX('Valo FX'!$R:$R,MATCH($A21,'Valo FX'!$A:$A,0)),INDEX(Base!$V:$V,MATCH($A21,Base!$A:$A,0)),0)))</f>
        <v>0</v>
      </c>
      <c r="MC21" s="21">
        <f>IF(MC$1&lt;INDEX('Valo FX'!$Q:$Q,MATCH($A21,'Valo FX'!$A:$A,0)),0,IF(MC$1&lt;INDEX('Valo FX'!$R:$R,MATCH($A21,'Valo FX'!$A:$A,0)),INDEX(Base!$U:$U,MATCH($A21,Base!$A:$A,0)),IF(MC$1=INDEX('Valo FX'!$R:$R,MATCH($A21,'Valo FX'!$A:$A,0)),INDEX(Base!$V:$V,MATCH($A21,Base!$A:$A,0)),0)))</f>
        <v>0</v>
      </c>
      <c r="MD21" s="21">
        <f>IF(MD$1&lt;INDEX('Valo FX'!$Q:$Q,MATCH($A21,'Valo FX'!$A:$A,0)),0,IF(MD$1&lt;INDEX('Valo FX'!$R:$R,MATCH($A21,'Valo FX'!$A:$A,0)),INDEX(Base!$U:$U,MATCH($A21,Base!$A:$A,0)),IF(MD$1=INDEX('Valo FX'!$R:$R,MATCH($A21,'Valo FX'!$A:$A,0)),INDEX(Base!$V:$V,MATCH($A21,Base!$A:$A,0)),0)))</f>
        <v>0</v>
      </c>
      <c r="ME21" s="21">
        <f>IF(ME$1&lt;INDEX('Valo FX'!$Q:$Q,MATCH($A21,'Valo FX'!$A:$A,0)),0,IF(ME$1&lt;INDEX('Valo FX'!$R:$R,MATCH($A21,'Valo FX'!$A:$A,0)),INDEX(Base!$U:$U,MATCH($A21,Base!$A:$A,0)),IF(ME$1=INDEX('Valo FX'!$R:$R,MATCH($A21,'Valo FX'!$A:$A,0)),INDEX(Base!$V:$V,MATCH($A21,Base!$A:$A,0)),0)))</f>
        <v>0</v>
      </c>
      <c r="MF21" s="21">
        <f>IF(MF$1&lt;INDEX('Valo FX'!$Q:$Q,MATCH($A21,'Valo FX'!$A:$A,0)),0,IF(MF$1&lt;INDEX('Valo FX'!$R:$R,MATCH($A21,'Valo FX'!$A:$A,0)),INDEX(Base!$U:$U,MATCH($A21,Base!$A:$A,0)),IF(MF$1=INDEX('Valo FX'!$R:$R,MATCH($A21,'Valo FX'!$A:$A,0)),INDEX(Base!$V:$V,MATCH($A21,Base!$A:$A,0)),0)))</f>
        <v>0</v>
      </c>
      <c r="MG21" s="21">
        <f>IF(MG$1&lt;INDEX('Valo FX'!$Q:$Q,MATCH($A21,'Valo FX'!$A:$A,0)),0,IF(MG$1&lt;INDEX('Valo FX'!$R:$R,MATCH($A21,'Valo FX'!$A:$A,0)),INDEX(Base!$U:$U,MATCH($A21,Base!$A:$A,0)),IF(MG$1=INDEX('Valo FX'!$R:$R,MATCH($A21,'Valo FX'!$A:$A,0)),INDEX(Base!$V:$V,MATCH($A21,Base!$A:$A,0)),0)))</f>
        <v>0</v>
      </c>
      <c r="MH21" s="21">
        <f>IF(MH$1&lt;INDEX('Valo FX'!$Q:$Q,MATCH($A21,'Valo FX'!$A:$A,0)),0,IF(MH$1&lt;INDEX('Valo FX'!$R:$R,MATCH($A21,'Valo FX'!$A:$A,0)),INDEX(Base!$U:$U,MATCH($A21,Base!$A:$A,0)),IF(MH$1=INDEX('Valo FX'!$R:$R,MATCH($A21,'Valo FX'!$A:$A,0)),INDEX(Base!$V:$V,MATCH($A21,Base!$A:$A,0)),0)))</f>
        <v>0</v>
      </c>
      <c r="MI21" s="21">
        <f>IF(MI$1&lt;INDEX('Valo FX'!$Q:$Q,MATCH($A21,'Valo FX'!$A:$A,0)),0,IF(MI$1&lt;INDEX('Valo FX'!$R:$R,MATCH($A21,'Valo FX'!$A:$A,0)),INDEX(Base!$U:$U,MATCH($A21,Base!$A:$A,0)),IF(MI$1=INDEX('Valo FX'!$R:$R,MATCH($A21,'Valo FX'!$A:$A,0)),INDEX(Base!$V:$V,MATCH($A21,Base!$A:$A,0)),0)))</f>
        <v>0</v>
      </c>
      <c r="MJ21" s="21">
        <f>IF(MJ$1&lt;INDEX('Valo FX'!$Q:$Q,MATCH($A21,'Valo FX'!$A:$A,0)),0,IF(MJ$1&lt;INDEX('Valo FX'!$R:$R,MATCH($A21,'Valo FX'!$A:$A,0)),INDEX(Base!$U:$U,MATCH($A21,Base!$A:$A,0)),IF(MJ$1=INDEX('Valo FX'!$R:$R,MATCH($A21,'Valo FX'!$A:$A,0)),INDEX(Base!$V:$V,MATCH($A21,Base!$A:$A,0)),0)))</f>
        <v>0</v>
      </c>
      <c r="MK21" s="21">
        <f>IF(MK$1&lt;INDEX('Valo FX'!$Q:$Q,MATCH($A21,'Valo FX'!$A:$A,0)),0,IF(MK$1&lt;INDEX('Valo FX'!$R:$R,MATCH($A21,'Valo FX'!$A:$A,0)),INDEX(Base!$U:$U,MATCH($A21,Base!$A:$A,0)),IF(MK$1=INDEX('Valo FX'!$R:$R,MATCH($A21,'Valo FX'!$A:$A,0)),INDEX(Base!$V:$V,MATCH($A21,Base!$A:$A,0)),0)))</f>
        <v>0</v>
      </c>
      <c r="ML21" s="21">
        <f>IF(ML$1&lt;INDEX('Valo FX'!$Q:$Q,MATCH($A21,'Valo FX'!$A:$A,0)),0,IF(ML$1&lt;INDEX('Valo FX'!$R:$R,MATCH($A21,'Valo FX'!$A:$A,0)),INDEX(Base!$U:$U,MATCH($A21,Base!$A:$A,0)),IF(ML$1=INDEX('Valo FX'!$R:$R,MATCH($A21,'Valo FX'!$A:$A,0)),INDEX(Base!$V:$V,MATCH($A21,Base!$A:$A,0)),0)))</f>
        <v>0</v>
      </c>
      <c r="MM21" s="21">
        <f>IF(MM$1&lt;INDEX('Valo FX'!$Q:$Q,MATCH($A21,'Valo FX'!$A:$A,0)),0,IF(MM$1&lt;INDEX('Valo FX'!$R:$R,MATCH($A21,'Valo FX'!$A:$A,0)),INDEX(Base!$U:$U,MATCH($A21,Base!$A:$A,0)),IF(MM$1=INDEX('Valo FX'!$R:$R,MATCH($A21,'Valo FX'!$A:$A,0)),INDEX(Base!$V:$V,MATCH($A21,Base!$A:$A,0)),0)))</f>
        <v>0</v>
      </c>
      <c r="MN21" s="21">
        <f>IF(MN$1&lt;INDEX('Valo FX'!$Q:$Q,MATCH($A21,'Valo FX'!$A:$A,0)),0,IF(MN$1&lt;INDEX('Valo FX'!$R:$R,MATCH($A21,'Valo FX'!$A:$A,0)),INDEX(Base!$U:$U,MATCH($A21,Base!$A:$A,0)),IF(MN$1=INDEX('Valo FX'!$R:$R,MATCH($A21,'Valo FX'!$A:$A,0)),INDEX(Base!$V:$V,MATCH($A21,Base!$A:$A,0)),0)))</f>
        <v>0</v>
      </c>
      <c r="MO21" s="21">
        <f>IF(MO$1&lt;INDEX('Valo FX'!$Q:$Q,MATCH($A21,'Valo FX'!$A:$A,0)),0,IF(MO$1&lt;INDEX('Valo FX'!$R:$R,MATCH($A21,'Valo FX'!$A:$A,0)),INDEX(Base!$U:$U,MATCH($A21,Base!$A:$A,0)),IF(MO$1=INDEX('Valo FX'!$R:$R,MATCH($A21,'Valo FX'!$A:$A,0)),INDEX(Base!$V:$V,MATCH($A21,Base!$A:$A,0)),0)))</f>
        <v>0</v>
      </c>
      <c r="MP21" s="21">
        <f>IF(MP$1&lt;INDEX('Valo FX'!$Q:$Q,MATCH($A21,'Valo FX'!$A:$A,0)),0,IF(MP$1&lt;INDEX('Valo FX'!$R:$R,MATCH($A21,'Valo FX'!$A:$A,0)),INDEX(Base!$U:$U,MATCH($A21,Base!$A:$A,0)),IF(MP$1=INDEX('Valo FX'!$R:$R,MATCH($A21,'Valo FX'!$A:$A,0)),INDEX(Base!$V:$V,MATCH($A21,Base!$A:$A,0)),0)))</f>
        <v>0</v>
      </c>
      <c r="MQ21" s="21">
        <f>IF(MQ$1&lt;INDEX('Valo FX'!$Q:$Q,MATCH($A21,'Valo FX'!$A:$A,0)),0,IF(MQ$1&lt;INDEX('Valo FX'!$R:$R,MATCH($A21,'Valo FX'!$A:$A,0)),INDEX(Base!$U:$U,MATCH($A21,Base!$A:$A,0)),IF(MQ$1=INDEX('Valo FX'!$R:$R,MATCH($A21,'Valo FX'!$A:$A,0)),INDEX(Base!$V:$V,MATCH($A21,Base!$A:$A,0)),0)))</f>
        <v>0</v>
      </c>
      <c r="MR21" s="21">
        <f>IF(MR$1&lt;INDEX('Valo FX'!$Q:$Q,MATCH($A21,'Valo FX'!$A:$A,0)),0,IF(MR$1&lt;INDEX('Valo FX'!$R:$R,MATCH($A21,'Valo FX'!$A:$A,0)),INDEX(Base!$U:$U,MATCH($A21,Base!$A:$A,0)),IF(MR$1=INDEX('Valo FX'!$R:$R,MATCH($A21,'Valo FX'!$A:$A,0)),INDEX(Base!$V:$V,MATCH($A21,Base!$A:$A,0)),0)))</f>
        <v>0</v>
      </c>
      <c r="MS21" s="21">
        <f>IF(MS$1&lt;INDEX('Valo FX'!$Q:$Q,MATCH($A21,'Valo FX'!$A:$A,0)),0,IF(MS$1&lt;INDEX('Valo FX'!$R:$R,MATCH($A21,'Valo FX'!$A:$A,0)),INDEX(Base!$U:$U,MATCH($A21,Base!$A:$A,0)),IF(MS$1=INDEX('Valo FX'!$R:$R,MATCH($A21,'Valo FX'!$A:$A,0)),INDEX(Base!$V:$V,MATCH($A21,Base!$A:$A,0)),0)))</f>
        <v>0</v>
      </c>
      <c r="MT21" s="21">
        <f>IF(MT$1&lt;INDEX('Valo FX'!$Q:$Q,MATCH($A21,'Valo FX'!$A:$A,0)),0,IF(MT$1&lt;INDEX('Valo FX'!$R:$R,MATCH($A21,'Valo FX'!$A:$A,0)),INDEX(Base!$U:$U,MATCH($A21,Base!$A:$A,0)),IF(MT$1=INDEX('Valo FX'!$R:$R,MATCH($A21,'Valo FX'!$A:$A,0)),INDEX(Base!$V:$V,MATCH($A21,Base!$A:$A,0)),0)))</f>
        <v>0</v>
      </c>
      <c r="MU21" s="21">
        <f>IF(MU$1&lt;INDEX('Valo FX'!$Q:$Q,MATCH($A21,'Valo FX'!$A:$A,0)),0,IF(MU$1&lt;INDEX('Valo FX'!$R:$R,MATCH($A21,'Valo FX'!$A:$A,0)),INDEX(Base!$U:$U,MATCH($A21,Base!$A:$A,0)),IF(MU$1=INDEX('Valo FX'!$R:$R,MATCH($A21,'Valo FX'!$A:$A,0)),INDEX(Base!$V:$V,MATCH($A21,Base!$A:$A,0)),0)))</f>
        <v>0</v>
      </c>
      <c r="MV21" s="21">
        <f>IF(MV$1&lt;INDEX('Valo FX'!$Q:$Q,MATCH($A21,'Valo FX'!$A:$A,0)),0,IF(MV$1&lt;INDEX('Valo FX'!$R:$R,MATCH($A21,'Valo FX'!$A:$A,0)),INDEX(Base!$U:$U,MATCH($A21,Base!$A:$A,0)),IF(MV$1=INDEX('Valo FX'!$R:$R,MATCH($A21,'Valo FX'!$A:$A,0)),INDEX(Base!$V:$V,MATCH($A21,Base!$A:$A,0)),0)))</f>
        <v>0</v>
      </c>
      <c r="MW21" s="21">
        <f>IF(MW$1&lt;INDEX('Valo FX'!$Q:$Q,MATCH($A21,'Valo FX'!$A:$A,0)),0,IF(MW$1&lt;INDEX('Valo FX'!$R:$R,MATCH($A21,'Valo FX'!$A:$A,0)),INDEX(Base!$U:$U,MATCH($A21,Base!$A:$A,0)),IF(MW$1=INDEX('Valo FX'!$R:$R,MATCH($A21,'Valo FX'!$A:$A,0)),INDEX(Base!$V:$V,MATCH($A21,Base!$A:$A,0)),0)))</f>
        <v>0</v>
      </c>
      <c r="MX21" s="21">
        <f>IF(MX$1&lt;INDEX('Valo FX'!$Q:$Q,MATCH($A21,'Valo FX'!$A:$A,0)),0,IF(MX$1&lt;INDEX('Valo FX'!$R:$R,MATCH($A21,'Valo FX'!$A:$A,0)),INDEX(Base!$U:$U,MATCH($A21,Base!$A:$A,0)),IF(MX$1=INDEX('Valo FX'!$R:$R,MATCH($A21,'Valo FX'!$A:$A,0)),INDEX(Base!$V:$V,MATCH($A21,Base!$A:$A,0)),0)))</f>
        <v>0</v>
      </c>
      <c r="MY21" s="21">
        <f>IF(MY$1&lt;INDEX('Valo FX'!$Q:$Q,MATCH($A21,'Valo FX'!$A:$A,0)),0,IF(MY$1&lt;INDEX('Valo FX'!$R:$R,MATCH($A21,'Valo FX'!$A:$A,0)),INDEX(Base!$U:$U,MATCH($A21,Base!$A:$A,0)),IF(MY$1=INDEX('Valo FX'!$R:$R,MATCH($A21,'Valo FX'!$A:$A,0)),INDEX(Base!$V:$V,MATCH($A21,Base!$A:$A,0)),0)))</f>
        <v>0</v>
      </c>
    </row>
    <row r="22" spans="1:363" x14ac:dyDescent="0.25">
      <c r="A22" s="7">
        <f>+'Valo FX'!A23</f>
        <v>20</v>
      </c>
      <c r="B22" s="59">
        <f>-'Valo FX'!T23</f>
        <v>-1703.8191548935952</v>
      </c>
      <c r="C22" s="21">
        <f>IF(C$1&lt;INDEX('Valo FX'!$Q:$Q,MATCH($A22,'Valo FX'!$A:$A,0)),0,IF(C$1&lt;INDEX('Valo FX'!$R:$R,MATCH($A22,'Valo FX'!$A:$A,0)),INDEX(Base!$U:$U,MATCH($A22,Base!$A:$A,0)),IF(C$1=INDEX('Valo FX'!$R:$R,MATCH($A22,'Valo FX'!$A:$A,0)),INDEX(Base!$V:$V,MATCH($A22,Base!$A:$A,0)),0)))</f>
        <v>0</v>
      </c>
      <c r="D22" s="21">
        <f>IF(D$1&lt;INDEX('Valo FX'!$Q:$Q,MATCH($A22,'Valo FX'!$A:$A,0)),0,IF(D$1&lt;INDEX('Valo FX'!$R:$R,MATCH($A22,'Valo FX'!$A:$A,0)),INDEX(Base!$U:$U,MATCH($A22,Base!$A:$A,0)),IF(D$1=INDEX('Valo FX'!$R:$R,MATCH($A22,'Valo FX'!$A:$A,0)),INDEX(Base!$V:$V,MATCH($A22,Base!$A:$A,0)),0)))</f>
        <v>0</v>
      </c>
      <c r="E22" s="21">
        <f>IF(E$1&lt;INDEX('Valo FX'!$Q:$Q,MATCH($A22,'Valo FX'!$A:$A,0)),0,IF(E$1&lt;INDEX('Valo FX'!$R:$R,MATCH($A22,'Valo FX'!$A:$A,0)),INDEX(Base!$U:$U,MATCH($A22,Base!$A:$A,0)),IF(E$1=INDEX('Valo FX'!$R:$R,MATCH($A22,'Valo FX'!$A:$A,0)),INDEX(Base!$V:$V,MATCH($A22,Base!$A:$A,0)),0)))</f>
        <v>0</v>
      </c>
      <c r="F22" s="21">
        <f>IF(F$1&lt;INDEX('Valo FX'!$Q:$Q,MATCH($A22,'Valo FX'!$A:$A,0)),0,IF(F$1&lt;INDEX('Valo FX'!$R:$R,MATCH($A22,'Valo FX'!$A:$A,0)),INDEX(Base!$U:$U,MATCH($A22,Base!$A:$A,0)),IF(F$1=INDEX('Valo FX'!$R:$R,MATCH($A22,'Valo FX'!$A:$A,0)),INDEX(Base!$V:$V,MATCH($A22,Base!$A:$A,0)),0)))</f>
        <v>0</v>
      </c>
      <c r="G22" s="21">
        <f>IF(G$1&lt;INDEX('Valo FX'!$Q:$Q,MATCH($A22,'Valo FX'!$A:$A,0)),0,IF(G$1&lt;INDEX('Valo FX'!$R:$R,MATCH($A22,'Valo FX'!$A:$A,0)),INDEX(Base!$U:$U,MATCH($A22,Base!$A:$A,0)),IF(G$1=INDEX('Valo FX'!$R:$R,MATCH($A22,'Valo FX'!$A:$A,0)),INDEX(Base!$V:$V,MATCH($A22,Base!$A:$A,0)),0)))</f>
        <v>0</v>
      </c>
      <c r="H22" s="21">
        <f>IF(H$1&lt;INDEX('Valo FX'!$Q:$Q,MATCH($A22,'Valo FX'!$A:$A,0)),0,IF(H$1&lt;INDEX('Valo FX'!$R:$R,MATCH($A22,'Valo FX'!$A:$A,0)),INDEX(Base!$U:$U,MATCH($A22,Base!$A:$A,0)),IF(H$1=INDEX('Valo FX'!$R:$R,MATCH($A22,'Valo FX'!$A:$A,0)),INDEX(Base!$V:$V,MATCH($A22,Base!$A:$A,0)),0)))</f>
        <v>0</v>
      </c>
      <c r="I22" s="21">
        <f>IF(I$1&lt;INDEX('Valo FX'!$Q:$Q,MATCH($A22,'Valo FX'!$A:$A,0)),0,IF(I$1&lt;INDEX('Valo FX'!$R:$R,MATCH($A22,'Valo FX'!$A:$A,0)),INDEX(Base!$U:$U,MATCH($A22,Base!$A:$A,0)),IF(I$1=INDEX('Valo FX'!$R:$R,MATCH($A22,'Valo FX'!$A:$A,0)),INDEX(Base!$V:$V,MATCH($A22,Base!$A:$A,0)),0)))</f>
        <v>11.94904</v>
      </c>
      <c r="J22" s="21">
        <f>IF(J$1&lt;INDEX('Valo FX'!$Q:$Q,MATCH($A22,'Valo FX'!$A:$A,0)),0,IF(J$1&lt;INDEX('Valo FX'!$R:$R,MATCH($A22,'Valo FX'!$A:$A,0)),INDEX(Base!$U:$U,MATCH($A22,Base!$A:$A,0)),IF(J$1=INDEX('Valo FX'!$R:$R,MATCH($A22,'Valo FX'!$A:$A,0)),INDEX(Base!$V:$V,MATCH($A22,Base!$A:$A,0)),0)))</f>
        <v>11.94904</v>
      </c>
      <c r="K22" s="21">
        <f>IF(K$1&lt;INDEX('Valo FX'!$Q:$Q,MATCH($A22,'Valo FX'!$A:$A,0)),0,IF(K$1&lt;INDEX('Valo FX'!$R:$R,MATCH($A22,'Valo FX'!$A:$A,0)),INDEX(Base!$U:$U,MATCH($A22,Base!$A:$A,0)),IF(K$1=INDEX('Valo FX'!$R:$R,MATCH($A22,'Valo FX'!$A:$A,0)),INDEX(Base!$V:$V,MATCH($A22,Base!$A:$A,0)),0)))</f>
        <v>11.94904</v>
      </c>
      <c r="L22" s="21">
        <f>IF(L$1&lt;INDEX('Valo FX'!$Q:$Q,MATCH($A22,'Valo FX'!$A:$A,0)),0,IF(L$1&lt;INDEX('Valo FX'!$R:$R,MATCH($A22,'Valo FX'!$A:$A,0)),INDEX(Base!$U:$U,MATCH($A22,Base!$A:$A,0)),IF(L$1=INDEX('Valo FX'!$R:$R,MATCH($A22,'Valo FX'!$A:$A,0)),INDEX(Base!$V:$V,MATCH($A22,Base!$A:$A,0)),0)))</f>
        <v>11.94904</v>
      </c>
      <c r="M22" s="21">
        <f>IF(M$1&lt;INDEX('Valo FX'!$Q:$Q,MATCH($A22,'Valo FX'!$A:$A,0)),0,IF(M$1&lt;INDEX('Valo FX'!$R:$R,MATCH($A22,'Valo FX'!$A:$A,0)),INDEX(Base!$U:$U,MATCH($A22,Base!$A:$A,0)),IF(M$1=INDEX('Valo FX'!$R:$R,MATCH($A22,'Valo FX'!$A:$A,0)),INDEX(Base!$V:$V,MATCH($A22,Base!$A:$A,0)),0)))</f>
        <v>11.94904</v>
      </c>
      <c r="N22" s="21">
        <f>IF(N$1&lt;INDEX('Valo FX'!$Q:$Q,MATCH($A22,'Valo FX'!$A:$A,0)),0,IF(N$1&lt;INDEX('Valo FX'!$R:$R,MATCH($A22,'Valo FX'!$A:$A,0)),INDEX(Base!$U:$U,MATCH($A22,Base!$A:$A,0)),IF(N$1=INDEX('Valo FX'!$R:$R,MATCH($A22,'Valo FX'!$A:$A,0)),INDEX(Base!$V:$V,MATCH($A22,Base!$A:$A,0)),0)))</f>
        <v>11.94904</v>
      </c>
      <c r="O22" s="21">
        <f>IF(O$1&lt;INDEX('Valo FX'!$Q:$Q,MATCH($A22,'Valo FX'!$A:$A,0)),0,IF(O$1&lt;INDEX('Valo FX'!$R:$R,MATCH($A22,'Valo FX'!$A:$A,0)),INDEX(Base!$U:$U,MATCH($A22,Base!$A:$A,0)),IF(O$1=INDEX('Valo FX'!$R:$R,MATCH($A22,'Valo FX'!$A:$A,0)),INDEX(Base!$V:$V,MATCH($A22,Base!$A:$A,0)),0)))</f>
        <v>11.94904</v>
      </c>
      <c r="P22" s="21">
        <f>IF(P$1&lt;INDEX('Valo FX'!$Q:$Q,MATCH($A22,'Valo FX'!$A:$A,0)),0,IF(P$1&lt;INDEX('Valo FX'!$R:$R,MATCH($A22,'Valo FX'!$A:$A,0)),INDEX(Base!$U:$U,MATCH($A22,Base!$A:$A,0)),IF(P$1=INDEX('Valo FX'!$R:$R,MATCH($A22,'Valo FX'!$A:$A,0)),INDEX(Base!$V:$V,MATCH($A22,Base!$A:$A,0)),0)))</f>
        <v>11.94904</v>
      </c>
      <c r="Q22" s="21">
        <f>IF(Q$1&lt;INDEX('Valo FX'!$Q:$Q,MATCH($A22,'Valo FX'!$A:$A,0)),0,IF(Q$1&lt;INDEX('Valo FX'!$R:$R,MATCH($A22,'Valo FX'!$A:$A,0)),INDEX(Base!$U:$U,MATCH($A22,Base!$A:$A,0)),IF(Q$1=INDEX('Valo FX'!$R:$R,MATCH($A22,'Valo FX'!$A:$A,0)),INDEX(Base!$V:$V,MATCH($A22,Base!$A:$A,0)),0)))</f>
        <v>11.94904</v>
      </c>
      <c r="R22" s="21">
        <f>IF(R$1&lt;INDEX('Valo FX'!$Q:$Q,MATCH($A22,'Valo FX'!$A:$A,0)),0,IF(R$1&lt;INDEX('Valo FX'!$R:$R,MATCH($A22,'Valo FX'!$A:$A,0)),INDEX(Base!$U:$U,MATCH($A22,Base!$A:$A,0)),IF(R$1=INDEX('Valo FX'!$R:$R,MATCH($A22,'Valo FX'!$A:$A,0)),INDEX(Base!$V:$V,MATCH($A22,Base!$A:$A,0)),0)))</f>
        <v>11.94904</v>
      </c>
      <c r="S22" s="21">
        <f>IF(S$1&lt;INDEX('Valo FX'!$Q:$Q,MATCH($A22,'Valo FX'!$A:$A,0)),0,IF(S$1&lt;INDEX('Valo FX'!$R:$R,MATCH($A22,'Valo FX'!$A:$A,0)),INDEX(Base!$U:$U,MATCH($A22,Base!$A:$A,0)),IF(S$1=INDEX('Valo FX'!$R:$R,MATCH($A22,'Valo FX'!$A:$A,0)),INDEX(Base!$V:$V,MATCH($A22,Base!$A:$A,0)),0)))</f>
        <v>11.94904</v>
      </c>
      <c r="T22" s="21">
        <f>IF(T$1&lt;INDEX('Valo FX'!$Q:$Q,MATCH($A22,'Valo FX'!$A:$A,0)),0,IF(T$1&lt;INDEX('Valo FX'!$R:$R,MATCH($A22,'Valo FX'!$A:$A,0)),INDEX(Base!$U:$U,MATCH($A22,Base!$A:$A,0)),IF(T$1=INDEX('Valo FX'!$R:$R,MATCH($A22,'Valo FX'!$A:$A,0)),INDEX(Base!$V:$V,MATCH($A22,Base!$A:$A,0)),0)))</f>
        <v>11.94904</v>
      </c>
      <c r="U22" s="21">
        <f>IF(U$1&lt;INDEX('Valo FX'!$Q:$Q,MATCH($A22,'Valo FX'!$A:$A,0)),0,IF(U$1&lt;INDEX('Valo FX'!$R:$R,MATCH($A22,'Valo FX'!$A:$A,0)),INDEX(Base!$U:$U,MATCH($A22,Base!$A:$A,0)),IF(U$1=INDEX('Valo FX'!$R:$R,MATCH($A22,'Valo FX'!$A:$A,0)),INDEX(Base!$V:$V,MATCH($A22,Base!$A:$A,0)),0)))</f>
        <v>11.94904</v>
      </c>
      <c r="V22" s="21">
        <f>IF(V$1&lt;INDEX('Valo FX'!$Q:$Q,MATCH($A22,'Valo FX'!$A:$A,0)),0,IF(V$1&lt;INDEX('Valo FX'!$R:$R,MATCH($A22,'Valo FX'!$A:$A,0)),INDEX(Base!$U:$U,MATCH($A22,Base!$A:$A,0)),IF(V$1=INDEX('Valo FX'!$R:$R,MATCH($A22,'Valo FX'!$A:$A,0)),INDEX(Base!$V:$V,MATCH($A22,Base!$A:$A,0)),0)))</f>
        <v>11.94904</v>
      </c>
      <c r="W22" s="21">
        <f>IF(W$1&lt;INDEX('Valo FX'!$Q:$Q,MATCH($A22,'Valo FX'!$A:$A,0)),0,IF(W$1&lt;INDEX('Valo FX'!$R:$R,MATCH($A22,'Valo FX'!$A:$A,0)),INDEX(Base!$U:$U,MATCH($A22,Base!$A:$A,0)),IF(W$1=INDEX('Valo FX'!$R:$R,MATCH($A22,'Valo FX'!$A:$A,0)),INDEX(Base!$V:$V,MATCH($A22,Base!$A:$A,0)),0)))</f>
        <v>11.94904</v>
      </c>
      <c r="X22" s="21">
        <f>IF(X$1&lt;INDEX('Valo FX'!$Q:$Q,MATCH($A22,'Valo FX'!$A:$A,0)),0,IF(X$1&lt;INDEX('Valo FX'!$R:$R,MATCH($A22,'Valo FX'!$A:$A,0)),INDEX(Base!$U:$U,MATCH($A22,Base!$A:$A,0)),IF(X$1=INDEX('Valo FX'!$R:$R,MATCH($A22,'Valo FX'!$A:$A,0)),INDEX(Base!$V:$V,MATCH($A22,Base!$A:$A,0)),0)))</f>
        <v>11.94904</v>
      </c>
      <c r="Y22" s="21">
        <f>IF(Y$1&lt;INDEX('Valo FX'!$Q:$Q,MATCH($A22,'Valo FX'!$A:$A,0)),0,IF(Y$1&lt;INDEX('Valo FX'!$R:$R,MATCH($A22,'Valo FX'!$A:$A,0)),INDEX(Base!$U:$U,MATCH($A22,Base!$A:$A,0)),IF(Y$1=INDEX('Valo FX'!$R:$R,MATCH($A22,'Valo FX'!$A:$A,0)),INDEX(Base!$V:$V,MATCH($A22,Base!$A:$A,0)),0)))</f>
        <v>11.94904</v>
      </c>
      <c r="Z22" s="21">
        <f>IF(Z$1&lt;INDEX('Valo FX'!$Q:$Q,MATCH($A22,'Valo FX'!$A:$A,0)),0,IF(Z$1&lt;INDEX('Valo FX'!$R:$R,MATCH($A22,'Valo FX'!$A:$A,0)),INDEX(Base!$U:$U,MATCH($A22,Base!$A:$A,0)),IF(Z$1=INDEX('Valo FX'!$R:$R,MATCH($A22,'Valo FX'!$A:$A,0)),INDEX(Base!$V:$V,MATCH($A22,Base!$A:$A,0)),0)))</f>
        <v>11.94904</v>
      </c>
      <c r="AA22" s="21">
        <f>IF(AA$1&lt;INDEX('Valo FX'!$Q:$Q,MATCH($A22,'Valo FX'!$A:$A,0)),0,IF(AA$1&lt;INDEX('Valo FX'!$R:$R,MATCH($A22,'Valo FX'!$A:$A,0)),INDEX(Base!$U:$U,MATCH($A22,Base!$A:$A,0)),IF(AA$1=INDEX('Valo FX'!$R:$R,MATCH($A22,'Valo FX'!$A:$A,0)),INDEX(Base!$V:$V,MATCH($A22,Base!$A:$A,0)),0)))</f>
        <v>11.94904</v>
      </c>
      <c r="AB22" s="21">
        <f>IF(AB$1&lt;INDEX('Valo FX'!$Q:$Q,MATCH($A22,'Valo FX'!$A:$A,0)),0,IF(AB$1&lt;INDEX('Valo FX'!$R:$R,MATCH($A22,'Valo FX'!$A:$A,0)),INDEX(Base!$U:$U,MATCH($A22,Base!$A:$A,0)),IF(AB$1=INDEX('Valo FX'!$R:$R,MATCH($A22,'Valo FX'!$A:$A,0)),INDEX(Base!$V:$V,MATCH($A22,Base!$A:$A,0)),0)))</f>
        <v>11.94904</v>
      </c>
      <c r="AC22" s="21">
        <f>IF(AC$1&lt;INDEX('Valo FX'!$Q:$Q,MATCH($A22,'Valo FX'!$A:$A,0)),0,IF(AC$1&lt;INDEX('Valo FX'!$R:$R,MATCH($A22,'Valo FX'!$A:$A,0)),INDEX(Base!$U:$U,MATCH($A22,Base!$A:$A,0)),IF(AC$1=INDEX('Valo FX'!$R:$R,MATCH($A22,'Valo FX'!$A:$A,0)),INDEX(Base!$V:$V,MATCH($A22,Base!$A:$A,0)),0)))</f>
        <v>11.94904</v>
      </c>
      <c r="AD22" s="21">
        <f>IF(AD$1&lt;INDEX('Valo FX'!$Q:$Q,MATCH($A22,'Valo FX'!$A:$A,0)),0,IF(AD$1&lt;INDEX('Valo FX'!$R:$R,MATCH($A22,'Valo FX'!$A:$A,0)),INDEX(Base!$U:$U,MATCH($A22,Base!$A:$A,0)),IF(AD$1=INDEX('Valo FX'!$R:$R,MATCH($A22,'Valo FX'!$A:$A,0)),INDEX(Base!$V:$V,MATCH($A22,Base!$A:$A,0)),0)))</f>
        <v>11.94904</v>
      </c>
      <c r="AE22" s="21">
        <f>IF(AE$1&lt;INDEX('Valo FX'!$Q:$Q,MATCH($A22,'Valo FX'!$A:$A,0)),0,IF(AE$1&lt;INDEX('Valo FX'!$R:$R,MATCH($A22,'Valo FX'!$A:$A,0)),INDEX(Base!$U:$U,MATCH($A22,Base!$A:$A,0)),IF(AE$1=INDEX('Valo FX'!$R:$R,MATCH($A22,'Valo FX'!$A:$A,0)),INDEX(Base!$V:$V,MATCH($A22,Base!$A:$A,0)),0)))</f>
        <v>11.94904</v>
      </c>
      <c r="AF22" s="21">
        <f>IF(AF$1&lt;INDEX('Valo FX'!$Q:$Q,MATCH($A22,'Valo FX'!$A:$A,0)),0,IF(AF$1&lt;INDEX('Valo FX'!$R:$R,MATCH($A22,'Valo FX'!$A:$A,0)),INDEX(Base!$U:$U,MATCH($A22,Base!$A:$A,0)),IF(AF$1=INDEX('Valo FX'!$R:$R,MATCH($A22,'Valo FX'!$A:$A,0)),INDEX(Base!$V:$V,MATCH($A22,Base!$A:$A,0)),0)))</f>
        <v>11.94904</v>
      </c>
      <c r="AG22" s="21">
        <f>IF(AG$1&lt;INDEX('Valo FX'!$Q:$Q,MATCH($A22,'Valo FX'!$A:$A,0)),0,IF(AG$1&lt;INDEX('Valo FX'!$R:$R,MATCH($A22,'Valo FX'!$A:$A,0)),INDEX(Base!$U:$U,MATCH($A22,Base!$A:$A,0)),IF(AG$1=INDEX('Valo FX'!$R:$R,MATCH($A22,'Valo FX'!$A:$A,0)),INDEX(Base!$V:$V,MATCH($A22,Base!$A:$A,0)),0)))</f>
        <v>11.94904</v>
      </c>
      <c r="AH22" s="21">
        <f>IF(AH$1&lt;INDEX('Valo FX'!$Q:$Q,MATCH($A22,'Valo FX'!$A:$A,0)),0,IF(AH$1&lt;INDEX('Valo FX'!$R:$R,MATCH($A22,'Valo FX'!$A:$A,0)),INDEX(Base!$U:$U,MATCH($A22,Base!$A:$A,0)),IF(AH$1=INDEX('Valo FX'!$R:$R,MATCH($A22,'Valo FX'!$A:$A,0)),INDEX(Base!$V:$V,MATCH($A22,Base!$A:$A,0)),0)))</f>
        <v>11.94904</v>
      </c>
      <c r="AI22" s="21">
        <f>IF(AI$1&lt;INDEX('Valo FX'!$Q:$Q,MATCH($A22,'Valo FX'!$A:$A,0)),0,IF(AI$1&lt;INDEX('Valo FX'!$R:$R,MATCH($A22,'Valo FX'!$A:$A,0)),INDEX(Base!$U:$U,MATCH($A22,Base!$A:$A,0)),IF(AI$1=INDEX('Valo FX'!$R:$R,MATCH($A22,'Valo FX'!$A:$A,0)),INDEX(Base!$V:$V,MATCH($A22,Base!$A:$A,0)),0)))</f>
        <v>11.94904</v>
      </c>
      <c r="AJ22" s="21">
        <f>IF(AJ$1&lt;INDEX('Valo FX'!$Q:$Q,MATCH($A22,'Valo FX'!$A:$A,0)),0,IF(AJ$1&lt;INDEX('Valo FX'!$R:$R,MATCH($A22,'Valo FX'!$A:$A,0)),INDEX(Base!$U:$U,MATCH($A22,Base!$A:$A,0)),IF(AJ$1=INDEX('Valo FX'!$R:$R,MATCH($A22,'Valo FX'!$A:$A,0)),INDEX(Base!$V:$V,MATCH($A22,Base!$A:$A,0)),0)))</f>
        <v>11.94904</v>
      </c>
      <c r="AK22" s="21">
        <f>IF(AK$1&lt;INDEX('Valo FX'!$Q:$Q,MATCH($A22,'Valo FX'!$A:$A,0)),0,IF(AK$1&lt;INDEX('Valo FX'!$R:$R,MATCH($A22,'Valo FX'!$A:$A,0)),INDEX(Base!$U:$U,MATCH($A22,Base!$A:$A,0)),IF(AK$1=INDEX('Valo FX'!$R:$R,MATCH($A22,'Valo FX'!$A:$A,0)),INDEX(Base!$V:$V,MATCH($A22,Base!$A:$A,0)),0)))</f>
        <v>11.94904</v>
      </c>
      <c r="AL22" s="21">
        <f>IF(AL$1&lt;INDEX('Valo FX'!$Q:$Q,MATCH($A22,'Valo FX'!$A:$A,0)),0,IF(AL$1&lt;INDEX('Valo FX'!$R:$R,MATCH($A22,'Valo FX'!$A:$A,0)),INDEX(Base!$U:$U,MATCH($A22,Base!$A:$A,0)),IF(AL$1=INDEX('Valo FX'!$R:$R,MATCH($A22,'Valo FX'!$A:$A,0)),INDEX(Base!$V:$V,MATCH($A22,Base!$A:$A,0)),0)))</f>
        <v>11.94904</v>
      </c>
      <c r="AM22" s="21">
        <f>IF(AM$1&lt;INDEX('Valo FX'!$Q:$Q,MATCH($A22,'Valo FX'!$A:$A,0)),0,IF(AM$1&lt;INDEX('Valo FX'!$R:$R,MATCH($A22,'Valo FX'!$A:$A,0)),INDEX(Base!$U:$U,MATCH($A22,Base!$A:$A,0)),IF(AM$1=INDEX('Valo FX'!$R:$R,MATCH($A22,'Valo FX'!$A:$A,0)),INDEX(Base!$V:$V,MATCH($A22,Base!$A:$A,0)),0)))</f>
        <v>11.94904</v>
      </c>
      <c r="AN22" s="21">
        <f>IF(AN$1&lt;INDEX('Valo FX'!$Q:$Q,MATCH($A22,'Valo FX'!$A:$A,0)),0,IF(AN$1&lt;INDEX('Valo FX'!$R:$R,MATCH($A22,'Valo FX'!$A:$A,0)),INDEX(Base!$U:$U,MATCH($A22,Base!$A:$A,0)),IF(AN$1=INDEX('Valo FX'!$R:$R,MATCH($A22,'Valo FX'!$A:$A,0)),INDEX(Base!$V:$V,MATCH($A22,Base!$A:$A,0)),0)))</f>
        <v>11.94904</v>
      </c>
      <c r="AO22" s="21">
        <f>IF(AO$1&lt;INDEX('Valo FX'!$Q:$Q,MATCH($A22,'Valo FX'!$A:$A,0)),0,IF(AO$1&lt;INDEX('Valo FX'!$R:$R,MATCH($A22,'Valo FX'!$A:$A,0)),INDEX(Base!$U:$U,MATCH($A22,Base!$A:$A,0)),IF(AO$1=INDEX('Valo FX'!$R:$R,MATCH($A22,'Valo FX'!$A:$A,0)),INDEX(Base!$V:$V,MATCH($A22,Base!$A:$A,0)),0)))</f>
        <v>11.94904</v>
      </c>
      <c r="AP22" s="21">
        <f>IF(AP$1&lt;INDEX('Valo FX'!$Q:$Q,MATCH($A22,'Valo FX'!$A:$A,0)),0,IF(AP$1&lt;INDEX('Valo FX'!$R:$R,MATCH($A22,'Valo FX'!$A:$A,0)),INDEX(Base!$U:$U,MATCH($A22,Base!$A:$A,0)),IF(AP$1=INDEX('Valo FX'!$R:$R,MATCH($A22,'Valo FX'!$A:$A,0)),INDEX(Base!$V:$V,MATCH($A22,Base!$A:$A,0)),0)))</f>
        <v>11.94904</v>
      </c>
      <c r="AQ22" s="21">
        <f>IF(AQ$1&lt;INDEX('Valo FX'!$Q:$Q,MATCH($A22,'Valo FX'!$A:$A,0)),0,IF(AQ$1&lt;INDEX('Valo FX'!$R:$R,MATCH($A22,'Valo FX'!$A:$A,0)),INDEX(Base!$U:$U,MATCH($A22,Base!$A:$A,0)),IF(AQ$1=INDEX('Valo FX'!$R:$R,MATCH($A22,'Valo FX'!$A:$A,0)),INDEX(Base!$V:$V,MATCH($A22,Base!$A:$A,0)),0)))</f>
        <v>11.94904</v>
      </c>
      <c r="AR22" s="21">
        <f>IF(AR$1&lt;INDEX('Valo FX'!$Q:$Q,MATCH($A22,'Valo FX'!$A:$A,0)),0,IF(AR$1&lt;INDEX('Valo FX'!$R:$R,MATCH($A22,'Valo FX'!$A:$A,0)),INDEX(Base!$U:$U,MATCH($A22,Base!$A:$A,0)),IF(AR$1=INDEX('Valo FX'!$R:$R,MATCH($A22,'Valo FX'!$A:$A,0)),INDEX(Base!$V:$V,MATCH($A22,Base!$A:$A,0)),0)))</f>
        <v>11.94904</v>
      </c>
      <c r="AS22" s="21">
        <f>IF(AS$1&lt;INDEX('Valo FX'!$Q:$Q,MATCH($A22,'Valo FX'!$A:$A,0)),0,IF(AS$1&lt;INDEX('Valo FX'!$R:$R,MATCH($A22,'Valo FX'!$A:$A,0)),INDEX(Base!$U:$U,MATCH($A22,Base!$A:$A,0)),IF(AS$1=INDEX('Valo FX'!$R:$R,MATCH($A22,'Valo FX'!$A:$A,0)),INDEX(Base!$V:$V,MATCH($A22,Base!$A:$A,0)),0)))</f>
        <v>11.94904</v>
      </c>
      <c r="AT22" s="21">
        <f>IF(AT$1&lt;INDEX('Valo FX'!$Q:$Q,MATCH($A22,'Valo FX'!$A:$A,0)),0,IF(AT$1&lt;INDEX('Valo FX'!$R:$R,MATCH($A22,'Valo FX'!$A:$A,0)),INDEX(Base!$U:$U,MATCH($A22,Base!$A:$A,0)),IF(AT$1=INDEX('Valo FX'!$R:$R,MATCH($A22,'Valo FX'!$A:$A,0)),INDEX(Base!$V:$V,MATCH($A22,Base!$A:$A,0)),0)))</f>
        <v>11.94904</v>
      </c>
      <c r="AU22" s="21">
        <f>IF(AU$1&lt;INDEX('Valo FX'!$Q:$Q,MATCH($A22,'Valo FX'!$A:$A,0)),0,IF(AU$1&lt;INDEX('Valo FX'!$R:$R,MATCH($A22,'Valo FX'!$A:$A,0)),INDEX(Base!$U:$U,MATCH($A22,Base!$A:$A,0)),IF(AU$1=INDEX('Valo FX'!$R:$R,MATCH($A22,'Valo FX'!$A:$A,0)),INDEX(Base!$V:$V,MATCH($A22,Base!$A:$A,0)),0)))</f>
        <v>11.94904</v>
      </c>
      <c r="AV22" s="21">
        <f>IF(AV$1&lt;INDEX('Valo FX'!$Q:$Q,MATCH($A22,'Valo FX'!$A:$A,0)),0,IF(AV$1&lt;INDEX('Valo FX'!$R:$R,MATCH($A22,'Valo FX'!$A:$A,0)),INDEX(Base!$U:$U,MATCH($A22,Base!$A:$A,0)),IF(AV$1=INDEX('Valo FX'!$R:$R,MATCH($A22,'Valo FX'!$A:$A,0)),INDEX(Base!$V:$V,MATCH($A22,Base!$A:$A,0)),0)))</f>
        <v>11.94904</v>
      </c>
      <c r="AW22" s="21">
        <f>IF(AW$1&lt;INDEX('Valo FX'!$Q:$Q,MATCH($A22,'Valo FX'!$A:$A,0)),0,IF(AW$1&lt;INDEX('Valo FX'!$R:$R,MATCH($A22,'Valo FX'!$A:$A,0)),INDEX(Base!$U:$U,MATCH($A22,Base!$A:$A,0)),IF(AW$1=INDEX('Valo FX'!$R:$R,MATCH($A22,'Valo FX'!$A:$A,0)),INDEX(Base!$V:$V,MATCH($A22,Base!$A:$A,0)),0)))</f>
        <v>11.94904</v>
      </c>
      <c r="AX22" s="21">
        <f>IF(AX$1&lt;INDEX('Valo FX'!$Q:$Q,MATCH($A22,'Valo FX'!$A:$A,0)),0,IF(AX$1&lt;INDEX('Valo FX'!$R:$R,MATCH($A22,'Valo FX'!$A:$A,0)),INDEX(Base!$U:$U,MATCH($A22,Base!$A:$A,0)),IF(AX$1=INDEX('Valo FX'!$R:$R,MATCH($A22,'Valo FX'!$A:$A,0)),INDEX(Base!$V:$V,MATCH($A22,Base!$A:$A,0)),0)))</f>
        <v>11.94904</v>
      </c>
      <c r="AY22" s="21">
        <f>IF(AY$1&lt;INDEX('Valo FX'!$Q:$Q,MATCH($A22,'Valo FX'!$A:$A,0)),0,IF(AY$1&lt;INDEX('Valo FX'!$R:$R,MATCH($A22,'Valo FX'!$A:$A,0)),INDEX(Base!$U:$U,MATCH($A22,Base!$A:$A,0)),IF(AY$1=INDEX('Valo FX'!$R:$R,MATCH($A22,'Valo FX'!$A:$A,0)),INDEX(Base!$V:$V,MATCH($A22,Base!$A:$A,0)),0)))</f>
        <v>11.94904</v>
      </c>
      <c r="AZ22" s="21">
        <f>IF(AZ$1&lt;INDEX('Valo FX'!$Q:$Q,MATCH($A22,'Valo FX'!$A:$A,0)),0,IF(AZ$1&lt;INDEX('Valo FX'!$R:$R,MATCH($A22,'Valo FX'!$A:$A,0)),INDEX(Base!$U:$U,MATCH($A22,Base!$A:$A,0)),IF(AZ$1=INDEX('Valo FX'!$R:$R,MATCH($A22,'Valo FX'!$A:$A,0)),INDEX(Base!$V:$V,MATCH($A22,Base!$A:$A,0)),0)))</f>
        <v>11.94904</v>
      </c>
      <c r="BA22" s="21">
        <f>IF(BA$1&lt;INDEX('Valo FX'!$Q:$Q,MATCH($A22,'Valo FX'!$A:$A,0)),0,IF(BA$1&lt;INDEX('Valo FX'!$R:$R,MATCH($A22,'Valo FX'!$A:$A,0)),INDEX(Base!$U:$U,MATCH($A22,Base!$A:$A,0)),IF(BA$1=INDEX('Valo FX'!$R:$R,MATCH($A22,'Valo FX'!$A:$A,0)),INDEX(Base!$V:$V,MATCH($A22,Base!$A:$A,0)),0)))</f>
        <v>11.94904</v>
      </c>
      <c r="BB22" s="21">
        <f>IF(BB$1&lt;INDEX('Valo FX'!$Q:$Q,MATCH($A22,'Valo FX'!$A:$A,0)),0,IF(BB$1&lt;INDEX('Valo FX'!$R:$R,MATCH($A22,'Valo FX'!$A:$A,0)),INDEX(Base!$U:$U,MATCH($A22,Base!$A:$A,0)),IF(BB$1=INDEX('Valo FX'!$R:$R,MATCH($A22,'Valo FX'!$A:$A,0)),INDEX(Base!$V:$V,MATCH($A22,Base!$A:$A,0)),0)))</f>
        <v>11.94904</v>
      </c>
      <c r="BC22" s="21">
        <f>IF(BC$1&lt;INDEX('Valo FX'!$Q:$Q,MATCH($A22,'Valo FX'!$A:$A,0)),0,IF(BC$1&lt;INDEX('Valo FX'!$R:$R,MATCH($A22,'Valo FX'!$A:$A,0)),INDEX(Base!$U:$U,MATCH($A22,Base!$A:$A,0)),IF(BC$1=INDEX('Valo FX'!$R:$R,MATCH($A22,'Valo FX'!$A:$A,0)),INDEX(Base!$V:$V,MATCH($A22,Base!$A:$A,0)),0)))</f>
        <v>11.94904</v>
      </c>
      <c r="BD22" s="21">
        <f>IF(BD$1&lt;INDEX('Valo FX'!$Q:$Q,MATCH($A22,'Valo FX'!$A:$A,0)),0,IF(BD$1&lt;INDEX('Valo FX'!$R:$R,MATCH($A22,'Valo FX'!$A:$A,0)),INDEX(Base!$U:$U,MATCH($A22,Base!$A:$A,0)),IF(BD$1=INDEX('Valo FX'!$R:$R,MATCH($A22,'Valo FX'!$A:$A,0)),INDEX(Base!$V:$V,MATCH($A22,Base!$A:$A,0)),0)))</f>
        <v>11.94904</v>
      </c>
      <c r="BE22" s="21">
        <f>IF(BE$1&lt;INDEX('Valo FX'!$Q:$Q,MATCH($A22,'Valo FX'!$A:$A,0)),0,IF(BE$1&lt;INDEX('Valo FX'!$R:$R,MATCH($A22,'Valo FX'!$A:$A,0)),INDEX(Base!$U:$U,MATCH($A22,Base!$A:$A,0)),IF(BE$1=INDEX('Valo FX'!$R:$R,MATCH($A22,'Valo FX'!$A:$A,0)),INDEX(Base!$V:$V,MATCH($A22,Base!$A:$A,0)),0)))</f>
        <v>11.94904</v>
      </c>
      <c r="BF22" s="21">
        <f>IF(BF$1&lt;INDEX('Valo FX'!$Q:$Q,MATCH($A22,'Valo FX'!$A:$A,0)),0,IF(BF$1&lt;INDEX('Valo FX'!$R:$R,MATCH($A22,'Valo FX'!$A:$A,0)),INDEX(Base!$U:$U,MATCH($A22,Base!$A:$A,0)),IF(BF$1=INDEX('Valo FX'!$R:$R,MATCH($A22,'Valo FX'!$A:$A,0)),INDEX(Base!$V:$V,MATCH($A22,Base!$A:$A,0)),0)))</f>
        <v>11.94904</v>
      </c>
      <c r="BG22" s="21">
        <f>IF(BG$1&lt;INDEX('Valo FX'!$Q:$Q,MATCH($A22,'Valo FX'!$A:$A,0)),0,IF(BG$1&lt;INDEX('Valo FX'!$R:$R,MATCH($A22,'Valo FX'!$A:$A,0)),INDEX(Base!$U:$U,MATCH($A22,Base!$A:$A,0)),IF(BG$1=INDEX('Valo FX'!$R:$R,MATCH($A22,'Valo FX'!$A:$A,0)),INDEX(Base!$V:$V,MATCH($A22,Base!$A:$A,0)),0)))</f>
        <v>11.94904</v>
      </c>
      <c r="BH22" s="21">
        <f>IF(BH$1&lt;INDEX('Valo FX'!$Q:$Q,MATCH($A22,'Valo FX'!$A:$A,0)),0,IF(BH$1&lt;INDEX('Valo FX'!$R:$R,MATCH($A22,'Valo FX'!$A:$A,0)),INDEX(Base!$U:$U,MATCH($A22,Base!$A:$A,0)),IF(BH$1=INDEX('Valo FX'!$R:$R,MATCH($A22,'Valo FX'!$A:$A,0)),INDEX(Base!$V:$V,MATCH($A22,Base!$A:$A,0)),0)))</f>
        <v>11.94904</v>
      </c>
      <c r="BI22" s="21">
        <f>IF(BI$1&lt;INDEX('Valo FX'!$Q:$Q,MATCH($A22,'Valo FX'!$A:$A,0)),0,IF(BI$1&lt;INDEX('Valo FX'!$R:$R,MATCH($A22,'Valo FX'!$A:$A,0)),INDEX(Base!$U:$U,MATCH($A22,Base!$A:$A,0)),IF(BI$1=INDEX('Valo FX'!$R:$R,MATCH($A22,'Valo FX'!$A:$A,0)),INDEX(Base!$V:$V,MATCH($A22,Base!$A:$A,0)),0)))</f>
        <v>11.94904</v>
      </c>
      <c r="BJ22" s="21">
        <f>IF(BJ$1&lt;INDEX('Valo FX'!$Q:$Q,MATCH($A22,'Valo FX'!$A:$A,0)),0,IF(BJ$1&lt;INDEX('Valo FX'!$R:$R,MATCH($A22,'Valo FX'!$A:$A,0)),INDEX(Base!$U:$U,MATCH($A22,Base!$A:$A,0)),IF(BJ$1=INDEX('Valo FX'!$R:$R,MATCH($A22,'Valo FX'!$A:$A,0)),INDEX(Base!$V:$V,MATCH($A22,Base!$A:$A,0)),0)))</f>
        <v>11.94904</v>
      </c>
      <c r="BK22" s="21">
        <f>IF(BK$1&lt;INDEX('Valo FX'!$Q:$Q,MATCH($A22,'Valo FX'!$A:$A,0)),0,IF(BK$1&lt;INDEX('Valo FX'!$R:$R,MATCH($A22,'Valo FX'!$A:$A,0)),INDEX(Base!$U:$U,MATCH($A22,Base!$A:$A,0)),IF(BK$1=INDEX('Valo FX'!$R:$R,MATCH($A22,'Valo FX'!$A:$A,0)),INDEX(Base!$V:$V,MATCH($A22,Base!$A:$A,0)),0)))</f>
        <v>11.94904</v>
      </c>
      <c r="BL22" s="21">
        <f>IF(BL$1&lt;INDEX('Valo FX'!$Q:$Q,MATCH($A22,'Valo FX'!$A:$A,0)),0,IF(BL$1&lt;INDEX('Valo FX'!$R:$R,MATCH($A22,'Valo FX'!$A:$A,0)),INDEX(Base!$U:$U,MATCH($A22,Base!$A:$A,0)),IF(BL$1=INDEX('Valo FX'!$R:$R,MATCH($A22,'Valo FX'!$A:$A,0)),INDEX(Base!$V:$V,MATCH($A22,Base!$A:$A,0)),0)))</f>
        <v>11.94904</v>
      </c>
      <c r="BM22" s="21">
        <f>IF(BM$1&lt;INDEX('Valo FX'!$Q:$Q,MATCH($A22,'Valo FX'!$A:$A,0)),0,IF(BM$1&lt;INDEX('Valo FX'!$R:$R,MATCH($A22,'Valo FX'!$A:$A,0)),INDEX(Base!$U:$U,MATCH($A22,Base!$A:$A,0)),IF(BM$1=INDEX('Valo FX'!$R:$R,MATCH($A22,'Valo FX'!$A:$A,0)),INDEX(Base!$V:$V,MATCH($A22,Base!$A:$A,0)),0)))</f>
        <v>11.94904</v>
      </c>
      <c r="BN22" s="21">
        <f>IF(BN$1&lt;INDEX('Valo FX'!$Q:$Q,MATCH($A22,'Valo FX'!$A:$A,0)),0,IF(BN$1&lt;INDEX('Valo FX'!$R:$R,MATCH($A22,'Valo FX'!$A:$A,0)),INDEX(Base!$U:$U,MATCH($A22,Base!$A:$A,0)),IF(BN$1=INDEX('Valo FX'!$R:$R,MATCH($A22,'Valo FX'!$A:$A,0)),INDEX(Base!$V:$V,MATCH($A22,Base!$A:$A,0)),0)))</f>
        <v>11.94904</v>
      </c>
      <c r="BO22" s="21">
        <f>IF(BO$1&lt;INDEX('Valo FX'!$Q:$Q,MATCH($A22,'Valo FX'!$A:$A,0)),0,IF(BO$1&lt;INDEX('Valo FX'!$R:$R,MATCH($A22,'Valo FX'!$A:$A,0)),INDEX(Base!$U:$U,MATCH($A22,Base!$A:$A,0)),IF(BO$1=INDEX('Valo FX'!$R:$R,MATCH($A22,'Valo FX'!$A:$A,0)),INDEX(Base!$V:$V,MATCH($A22,Base!$A:$A,0)),0)))</f>
        <v>11.94904</v>
      </c>
      <c r="BP22" s="21">
        <f>IF(BP$1&lt;INDEX('Valo FX'!$Q:$Q,MATCH($A22,'Valo FX'!$A:$A,0)),0,IF(BP$1&lt;INDEX('Valo FX'!$R:$R,MATCH($A22,'Valo FX'!$A:$A,0)),INDEX(Base!$U:$U,MATCH($A22,Base!$A:$A,0)),IF(BP$1=INDEX('Valo FX'!$R:$R,MATCH($A22,'Valo FX'!$A:$A,0)),INDEX(Base!$V:$V,MATCH($A22,Base!$A:$A,0)),0)))</f>
        <v>11.94904</v>
      </c>
      <c r="BQ22" s="21">
        <f>IF(BQ$1&lt;INDEX('Valo FX'!$Q:$Q,MATCH($A22,'Valo FX'!$A:$A,0)),0,IF(BQ$1&lt;INDEX('Valo FX'!$R:$R,MATCH($A22,'Valo FX'!$A:$A,0)),INDEX(Base!$U:$U,MATCH($A22,Base!$A:$A,0)),IF(BQ$1=INDEX('Valo FX'!$R:$R,MATCH($A22,'Valo FX'!$A:$A,0)),INDEX(Base!$V:$V,MATCH($A22,Base!$A:$A,0)),0)))</f>
        <v>11.94904</v>
      </c>
      <c r="BR22" s="21">
        <f>IF(BR$1&lt;INDEX('Valo FX'!$Q:$Q,MATCH($A22,'Valo FX'!$A:$A,0)),0,IF(BR$1&lt;INDEX('Valo FX'!$R:$R,MATCH($A22,'Valo FX'!$A:$A,0)),INDEX(Base!$U:$U,MATCH($A22,Base!$A:$A,0)),IF(BR$1=INDEX('Valo FX'!$R:$R,MATCH($A22,'Valo FX'!$A:$A,0)),INDEX(Base!$V:$V,MATCH($A22,Base!$A:$A,0)),0)))</f>
        <v>11.94904</v>
      </c>
      <c r="BS22" s="21">
        <f>IF(BS$1&lt;INDEX('Valo FX'!$Q:$Q,MATCH($A22,'Valo FX'!$A:$A,0)),0,IF(BS$1&lt;INDEX('Valo FX'!$R:$R,MATCH($A22,'Valo FX'!$A:$A,0)),INDEX(Base!$U:$U,MATCH($A22,Base!$A:$A,0)),IF(BS$1=INDEX('Valo FX'!$R:$R,MATCH($A22,'Valo FX'!$A:$A,0)),INDEX(Base!$V:$V,MATCH($A22,Base!$A:$A,0)),0)))</f>
        <v>11.94904</v>
      </c>
      <c r="BT22" s="21">
        <f>IF(BT$1&lt;INDEX('Valo FX'!$Q:$Q,MATCH($A22,'Valo FX'!$A:$A,0)),0,IF(BT$1&lt;INDEX('Valo FX'!$R:$R,MATCH($A22,'Valo FX'!$A:$A,0)),INDEX(Base!$U:$U,MATCH($A22,Base!$A:$A,0)),IF(BT$1=INDEX('Valo FX'!$R:$R,MATCH($A22,'Valo FX'!$A:$A,0)),INDEX(Base!$V:$V,MATCH($A22,Base!$A:$A,0)),0)))</f>
        <v>11.94904</v>
      </c>
      <c r="BU22" s="21">
        <f>IF(BU$1&lt;INDEX('Valo FX'!$Q:$Q,MATCH($A22,'Valo FX'!$A:$A,0)),0,IF(BU$1&lt;INDEX('Valo FX'!$R:$R,MATCH($A22,'Valo FX'!$A:$A,0)),INDEX(Base!$U:$U,MATCH($A22,Base!$A:$A,0)),IF(BU$1=INDEX('Valo FX'!$R:$R,MATCH($A22,'Valo FX'!$A:$A,0)),INDEX(Base!$V:$V,MATCH($A22,Base!$A:$A,0)),0)))</f>
        <v>11.94904</v>
      </c>
      <c r="BV22" s="21">
        <f>IF(BV$1&lt;INDEX('Valo FX'!$Q:$Q,MATCH($A22,'Valo FX'!$A:$A,0)),0,IF(BV$1&lt;INDEX('Valo FX'!$R:$R,MATCH($A22,'Valo FX'!$A:$A,0)),INDEX(Base!$U:$U,MATCH($A22,Base!$A:$A,0)),IF(BV$1=INDEX('Valo FX'!$R:$R,MATCH($A22,'Valo FX'!$A:$A,0)),INDEX(Base!$V:$V,MATCH($A22,Base!$A:$A,0)),0)))</f>
        <v>11.94904</v>
      </c>
      <c r="BW22" s="21">
        <f>IF(BW$1&lt;INDEX('Valo FX'!$Q:$Q,MATCH($A22,'Valo FX'!$A:$A,0)),0,IF(BW$1&lt;INDEX('Valo FX'!$R:$R,MATCH($A22,'Valo FX'!$A:$A,0)),INDEX(Base!$U:$U,MATCH($A22,Base!$A:$A,0)),IF(BW$1=INDEX('Valo FX'!$R:$R,MATCH($A22,'Valo FX'!$A:$A,0)),INDEX(Base!$V:$V,MATCH($A22,Base!$A:$A,0)),0)))</f>
        <v>11.94904</v>
      </c>
      <c r="BX22" s="21">
        <f>IF(BX$1&lt;INDEX('Valo FX'!$Q:$Q,MATCH($A22,'Valo FX'!$A:$A,0)),0,IF(BX$1&lt;INDEX('Valo FX'!$R:$R,MATCH($A22,'Valo FX'!$A:$A,0)),INDEX(Base!$U:$U,MATCH($A22,Base!$A:$A,0)),IF(BX$1=INDEX('Valo FX'!$R:$R,MATCH($A22,'Valo FX'!$A:$A,0)),INDEX(Base!$V:$V,MATCH($A22,Base!$A:$A,0)),0)))</f>
        <v>11.94904</v>
      </c>
      <c r="BY22" s="21">
        <f>IF(BY$1&lt;INDEX('Valo FX'!$Q:$Q,MATCH($A22,'Valo FX'!$A:$A,0)),0,IF(BY$1&lt;INDEX('Valo FX'!$R:$R,MATCH($A22,'Valo FX'!$A:$A,0)),INDEX(Base!$U:$U,MATCH($A22,Base!$A:$A,0)),IF(BY$1=INDEX('Valo FX'!$R:$R,MATCH($A22,'Valo FX'!$A:$A,0)),INDEX(Base!$V:$V,MATCH($A22,Base!$A:$A,0)),0)))</f>
        <v>11.94904</v>
      </c>
      <c r="BZ22" s="21">
        <f>IF(BZ$1&lt;INDEX('Valo FX'!$Q:$Q,MATCH($A22,'Valo FX'!$A:$A,0)),0,IF(BZ$1&lt;INDEX('Valo FX'!$R:$R,MATCH($A22,'Valo FX'!$A:$A,0)),INDEX(Base!$U:$U,MATCH($A22,Base!$A:$A,0)),IF(BZ$1=INDEX('Valo FX'!$R:$R,MATCH($A22,'Valo FX'!$A:$A,0)),INDEX(Base!$V:$V,MATCH($A22,Base!$A:$A,0)),0)))</f>
        <v>11.94904</v>
      </c>
      <c r="CA22" s="21">
        <f>IF(CA$1&lt;INDEX('Valo FX'!$Q:$Q,MATCH($A22,'Valo FX'!$A:$A,0)),0,IF(CA$1&lt;INDEX('Valo FX'!$R:$R,MATCH($A22,'Valo FX'!$A:$A,0)),INDEX(Base!$U:$U,MATCH($A22,Base!$A:$A,0)),IF(CA$1=INDEX('Valo FX'!$R:$R,MATCH($A22,'Valo FX'!$A:$A,0)),INDEX(Base!$V:$V,MATCH($A22,Base!$A:$A,0)),0)))</f>
        <v>11.94904</v>
      </c>
      <c r="CB22" s="21">
        <f>IF(CB$1&lt;INDEX('Valo FX'!$Q:$Q,MATCH($A22,'Valo FX'!$A:$A,0)),0,IF(CB$1&lt;INDEX('Valo FX'!$R:$R,MATCH($A22,'Valo FX'!$A:$A,0)),INDEX(Base!$U:$U,MATCH($A22,Base!$A:$A,0)),IF(CB$1=INDEX('Valo FX'!$R:$R,MATCH($A22,'Valo FX'!$A:$A,0)),INDEX(Base!$V:$V,MATCH($A22,Base!$A:$A,0)),0)))</f>
        <v>11.94904</v>
      </c>
      <c r="CC22" s="21">
        <f>IF(CC$1&lt;INDEX('Valo FX'!$Q:$Q,MATCH($A22,'Valo FX'!$A:$A,0)),0,IF(CC$1&lt;INDEX('Valo FX'!$R:$R,MATCH($A22,'Valo FX'!$A:$A,0)),INDEX(Base!$U:$U,MATCH($A22,Base!$A:$A,0)),IF(CC$1=INDEX('Valo FX'!$R:$R,MATCH($A22,'Valo FX'!$A:$A,0)),INDEX(Base!$V:$V,MATCH($A22,Base!$A:$A,0)),0)))</f>
        <v>11.94904</v>
      </c>
      <c r="CD22" s="21">
        <f>IF(CD$1&lt;INDEX('Valo FX'!$Q:$Q,MATCH($A22,'Valo FX'!$A:$A,0)),0,IF(CD$1&lt;INDEX('Valo FX'!$R:$R,MATCH($A22,'Valo FX'!$A:$A,0)),INDEX(Base!$U:$U,MATCH($A22,Base!$A:$A,0)),IF(CD$1=INDEX('Valo FX'!$R:$R,MATCH($A22,'Valo FX'!$A:$A,0)),INDEX(Base!$V:$V,MATCH($A22,Base!$A:$A,0)),0)))</f>
        <v>11.94904</v>
      </c>
      <c r="CE22" s="21">
        <f>IF(CE$1&lt;INDEX('Valo FX'!$Q:$Q,MATCH($A22,'Valo FX'!$A:$A,0)),0,IF(CE$1&lt;INDEX('Valo FX'!$R:$R,MATCH($A22,'Valo FX'!$A:$A,0)),INDEX(Base!$U:$U,MATCH($A22,Base!$A:$A,0)),IF(CE$1=INDEX('Valo FX'!$R:$R,MATCH($A22,'Valo FX'!$A:$A,0)),INDEX(Base!$V:$V,MATCH($A22,Base!$A:$A,0)),0)))</f>
        <v>11.94904</v>
      </c>
      <c r="CF22" s="21">
        <f>IF(CF$1&lt;INDEX('Valo FX'!$Q:$Q,MATCH($A22,'Valo FX'!$A:$A,0)),0,IF(CF$1&lt;INDEX('Valo FX'!$R:$R,MATCH($A22,'Valo FX'!$A:$A,0)),INDEX(Base!$U:$U,MATCH($A22,Base!$A:$A,0)),IF(CF$1=INDEX('Valo FX'!$R:$R,MATCH($A22,'Valo FX'!$A:$A,0)),INDEX(Base!$V:$V,MATCH($A22,Base!$A:$A,0)),0)))</f>
        <v>11.94904</v>
      </c>
      <c r="CG22" s="21">
        <f>IF(CG$1&lt;INDEX('Valo FX'!$Q:$Q,MATCH($A22,'Valo FX'!$A:$A,0)),0,IF(CG$1&lt;INDEX('Valo FX'!$R:$R,MATCH($A22,'Valo FX'!$A:$A,0)),INDEX(Base!$U:$U,MATCH($A22,Base!$A:$A,0)),IF(CG$1=INDEX('Valo FX'!$R:$R,MATCH($A22,'Valo FX'!$A:$A,0)),INDEX(Base!$V:$V,MATCH($A22,Base!$A:$A,0)),0)))</f>
        <v>11.94904</v>
      </c>
      <c r="CH22" s="21">
        <f>IF(CH$1&lt;INDEX('Valo FX'!$Q:$Q,MATCH($A22,'Valo FX'!$A:$A,0)),0,IF(CH$1&lt;INDEX('Valo FX'!$R:$R,MATCH($A22,'Valo FX'!$A:$A,0)),INDEX(Base!$U:$U,MATCH($A22,Base!$A:$A,0)),IF(CH$1=INDEX('Valo FX'!$R:$R,MATCH($A22,'Valo FX'!$A:$A,0)),INDEX(Base!$V:$V,MATCH($A22,Base!$A:$A,0)),0)))</f>
        <v>11.94904</v>
      </c>
      <c r="CI22" s="21">
        <f>IF(CI$1&lt;INDEX('Valo FX'!$Q:$Q,MATCH($A22,'Valo FX'!$A:$A,0)),0,IF(CI$1&lt;INDEX('Valo FX'!$R:$R,MATCH($A22,'Valo FX'!$A:$A,0)),INDEX(Base!$U:$U,MATCH($A22,Base!$A:$A,0)),IF(CI$1=INDEX('Valo FX'!$R:$R,MATCH($A22,'Valo FX'!$A:$A,0)),INDEX(Base!$V:$V,MATCH($A22,Base!$A:$A,0)),0)))</f>
        <v>11.94904</v>
      </c>
      <c r="CJ22" s="21">
        <f>IF(CJ$1&lt;INDEX('Valo FX'!$Q:$Q,MATCH($A22,'Valo FX'!$A:$A,0)),0,IF(CJ$1&lt;INDEX('Valo FX'!$R:$R,MATCH($A22,'Valo FX'!$A:$A,0)),INDEX(Base!$U:$U,MATCH($A22,Base!$A:$A,0)),IF(CJ$1=INDEX('Valo FX'!$R:$R,MATCH($A22,'Valo FX'!$A:$A,0)),INDEX(Base!$V:$V,MATCH($A22,Base!$A:$A,0)),0)))</f>
        <v>11.94904</v>
      </c>
      <c r="CK22" s="21">
        <f>IF(CK$1&lt;INDEX('Valo FX'!$Q:$Q,MATCH($A22,'Valo FX'!$A:$A,0)),0,IF(CK$1&lt;INDEX('Valo FX'!$R:$R,MATCH($A22,'Valo FX'!$A:$A,0)),INDEX(Base!$U:$U,MATCH($A22,Base!$A:$A,0)),IF(CK$1=INDEX('Valo FX'!$R:$R,MATCH($A22,'Valo FX'!$A:$A,0)),INDEX(Base!$V:$V,MATCH($A22,Base!$A:$A,0)),0)))</f>
        <v>11.94904</v>
      </c>
      <c r="CL22" s="21">
        <f>IF(CL$1&lt;INDEX('Valo FX'!$Q:$Q,MATCH($A22,'Valo FX'!$A:$A,0)),0,IF(CL$1&lt;INDEX('Valo FX'!$R:$R,MATCH($A22,'Valo FX'!$A:$A,0)),INDEX(Base!$U:$U,MATCH($A22,Base!$A:$A,0)),IF(CL$1=INDEX('Valo FX'!$R:$R,MATCH($A22,'Valo FX'!$A:$A,0)),INDEX(Base!$V:$V,MATCH($A22,Base!$A:$A,0)),0)))</f>
        <v>11.94904</v>
      </c>
      <c r="CM22" s="21">
        <f>IF(CM$1&lt;INDEX('Valo FX'!$Q:$Q,MATCH($A22,'Valo FX'!$A:$A,0)),0,IF(CM$1&lt;INDEX('Valo FX'!$R:$R,MATCH($A22,'Valo FX'!$A:$A,0)),INDEX(Base!$U:$U,MATCH($A22,Base!$A:$A,0)),IF(CM$1=INDEX('Valo FX'!$R:$R,MATCH($A22,'Valo FX'!$A:$A,0)),INDEX(Base!$V:$V,MATCH($A22,Base!$A:$A,0)),0)))</f>
        <v>11.94904</v>
      </c>
      <c r="CN22" s="21">
        <f>IF(CN$1&lt;INDEX('Valo FX'!$Q:$Q,MATCH($A22,'Valo FX'!$A:$A,0)),0,IF(CN$1&lt;INDEX('Valo FX'!$R:$R,MATCH($A22,'Valo FX'!$A:$A,0)),INDEX(Base!$U:$U,MATCH($A22,Base!$A:$A,0)),IF(CN$1=INDEX('Valo FX'!$R:$R,MATCH($A22,'Valo FX'!$A:$A,0)),INDEX(Base!$V:$V,MATCH($A22,Base!$A:$A,0)),0)))</f>
        <v>11.94904</v>
      </c>
      <c r="CO22" s="21">
        <f>IF(CO$1&lt;INDEX('Valo FX'!$Q:$Q,MATCH($A22,'Valo FX'!$A:$A,0)),0,IF(CO$1&lt;INDEX('Valo FX'!$R:$R,MATCH($A22,'Valo FX'!$A:$A,0)),INDEX(Base!$U:$U,MATCH($A22,Base!$A:$A,0)),IF(CO$1=INDEX('Valo FX'!$R:$R,MATCH($A22,'Valo FX'!$A:$A,0)),INDEX(Base!$V:$V,MATCH($A22,Base!$A:$A,0)),0)))</f>
        <v>11.94904</v>
      </c>
      <c r="CP22" s="21">
        <f>IF(CP$1&lt;INDEX('Valo FX'!$Q:$Q,MATCH($A22,'Valo FX'!$A:$A,0)),0,IF(CP$1&lt;INDEX('Valo FX'!$R:$R,MATCH($A22,'Valo FX'!$A:$A,0)),INDEX(Base!$U:$U,MATCH($A22,Base!$A:$A,0)),IF(CP$1=INDEX('Valo FX'!$R:$R,MATCH($A22,'Valo FX'!$A:$A,0)),INDEX(Base!$V:$V,MATCH($A22,Base!$A:$A,0)),0)))</f>
        <v>11.94904</v>
      </c>
      <c r="CQ22" s="21">
        <f>IF(CQ$1&lt;INDEX('Valo FX'!$Q:$Q,MATCH($A22,'Valo FX'!$A:$A,0)),0,IF(CQ$1&lt;INDEX('Valo FX'!$R:$R,MATCH($A22,'Valo FX'!$A:$A,0)),INDEX(Base!$U:$U,MATCH($A22,Base!$A:$A,0)),IF(CQ$1=INDEX('Valo FX'!$R:$R,MATCH($A22,'Valo FX'!$A:$A,0)),INDEX(Base!$V:$V,MATCH($A22,Base!$A:$A,0)),0)))</f>
        <v>11.94904</v>
      </c>
      <c r="CR22" s="21">
        <f>IF(CR$1&lt;INDEX('Valo FX'!$Q:$Q,MATCH($A22,'Valo FX'!$A:$A,0)),0,IF(CR$1&lt;INDEX('Valo FX'!$R:$R,MATCH($A22,'Valo FX'!$A:$A,0)),INDEX(Base!$U:$U,MATCH($A22,Base!$A:$A,0)),IF(CR$1=INDEX('Valo FX'!$R:$R,MATCH($A22,'Valo FX'!$A:$A,0)),INDEX(Base!$V:$V,MATCH($A22,Base!$A:$A,0)),0)))</f>
        <v>11.94904</v>
      </c>
      <c r="CS22" s="21">
        <f>IF(CS$1&lt;INDEX('Valo FX'!$Q:$Q,MATCH($A22,'Valo FX'!$A:$A,0)),0,IF(CS$1&lt;INDEX('Valo FX'!$R:$R,MATCH($A22,'Valo FX'!$A:$A,0)),INDEX(Base!$U:$U,MATCH($A22,Base!$A:$A,0)),IF(CS$1=INDEX('Valo FX'!$R:$R,MATCH($A22,'Valo FX'!$A:$A,0)),INDEX(Base!$V:$V,MATCH($A22,Base!$A:$A,0)),0)))</f>
        <v>11.94904</v>
      </c>
      <c r="CT22" s="21">
        <f>IF(CT$1&lt;INDEX('Valo FX'!$Q:$Q,MATCH($A22,'Valo FX'!$A:$A,0)),0,IF(CT$1&lt;INDEX('Valo FX'!$R:$R,MATCH($A22,'Valo FX'!$A:$A,0)),INDEX(Base!$U:$U,MATCH($A22,Base!$A:$A,0)),IF(CT$1=INDEX('Valo FX'!$R:$R,MATCH($A22,'Valo FX'!$A:$A,0)),INDEX(Base!$V:$V,MATCH($A22,Base!$A:$A,0)),0)))</f>
        <v>11.94904</v>
      </c>
      <c r="CU22" s="21">
        <f>IF(CU$1&lt;INDEX('Valo FX'!$Q:$Q,MATCH($A22,'Valo FX'!$A:$A,0)),0,IF(CU$1&lt;INDEX('Valo FX'!$R:$R,MATCH($A22,'Valo FX'!$A:$A,0)),INDEX(Base!$U:$U,MATCH($A22,Base!$A:$A,0)),IF(CU$1=INDEX('Valo FX'!$R:$R,MATCH($A22,'Valo FX'!$A:$A,0)),INDEX(Base!$V:$V,MATCH($A22,Base!$A:$A,0)),0)))</f>
        <v>11.94904</v>
      </c>
      <c r="CV22" s="21">
        <f>IF(CV$1&lt;INDEX('Valo FX'!$Q:$Q,MATCH($A22,'Valo FX'!$A:$A,0)),0,IF(CV$1&lt;INDEX('Valo FX'!$R:$R,MATCH($A22,'Valo FX'!$A:$A,0)),INDEX(Base!$U:$U,MATCH($A22,Base!$A:$A,0)),IF(CV$1=INDEX('Valo FX'!$R:$R,MATCH($A22,'Valo FX'!$A:$A,0)),INDEX(Base!$V:$V,MATCH($A22,Base!$A:$A,0)),0)))</f>
        <v>11.94904</v>
      </c>
      <c r="CW22" s="21">
        <f>IF(CW$1&lt;INDEX('Valo FX'!$Q:$Q,MATCH($A22,'Valo FX'!$A:$A,0)),0,IF(CW$1&lt;INDEX('Valo FX'!$R:$R,MATCH($A22,'Valo FX'!$A:$A,0)),INDEX(Base!$U:$U,MATCH($A22,Base!$A:$A,0)),IF(CW$1=INDEX('Valo FX'!$R:$R,MATCH($A22,'Valo FX'!$A:$A,0)),INDEX(Base!$V:$V,MATCH($A22,Base!$A:$A,0)),0)))</f>
        <v>11.94904</v>
      </c>
      <c r="CX22" s="21">
        <f>IF(CX$1&lt;INDEX('Valo FX'!$Q:$Q,MATCH($A22,'Valo FX'!$A:$A,0)),0,IF(CX$1&lt;INDEX('Valo FX'!$R:$R,MATCH($A22,'Valo FX'!$A:$A,0)),INDEX(Base!$U:$U,MATCH($A22,Base!$A:$A,0)),IF(CX$1=INDEX('Valo FX'!$R:$R,MATCH($A22,'Valo FX'!$A:$A,0)),INDEX(Base!$V:$V,MATCH($A22,Base!$A:$A,0)),0)))</f>
        <v>11.94904</v>
      </c>
      <c r="CY22" s="21">
        <f>IF(CY$1&lt;INDEX('Valo FX'!$Q:$Q,MATCH($A22,'Valo FX'!$A:$A,0)),0,IF(CY$1&lt;INDEX('Valo FX'!$R:$R,MATCH($A22,'Valo FX'!$A:$A,0)),INDEX(Base!$U:$U,MATCH($A22,Base!$A:$A,0)),IF(CY$1=INDEX('Valo FX'!$R:$R,MATCH($A22,'Valo FX'!$A:$A,0)),INDEX(Base!$V:$V,MATCH($A22,Base!$A:$A,0)),0)))</f>
        <v>11.94904</v>
      </c>
      <c r="CZ22" s="21">
        <f>IF(CZ$1&lt;INDEX('Valo FX'!$Q:$Q,MATCH($A22,'Valo FX'!$A:$A,0)),0,IF(CZ$1&lt;INDEX('Valo FX'!$R:$R,MATCH($A22,'Valo FX'!$A:$A,0)),INDEX(Base!$U:$U,MATCH($A22,Base!$A:$A,0)),IF(CZ$1=INDEX('Valo FX'!$R:$R,MATCH($A22,'Valo FX'!$A:$A,0)),INDEX(Base!$V:$V,MATCH($A22,Base!$A:$A,0)),0)))</f>
        <v>11.94904</v>
      </c>
      <c r="DA22" s="21">
        <f>IF(DA$1&lt;INDEX('Valo FX'!$Q:$Q,MATCH($A22,'Valo FX'!$A:$A,0)),0,IF(DA$1&lt;INDEX('Valo FX'!$R:$R,MATCH($A22,'Valo FX'!$A:$A,0)),INDEX(Base!$U:$U,MATCH($A22,Base!$A:$A,0)),IF(DA$1=INDEX('Valo FX'!$R:$R,MATCH($A22,'Valo FX'!$A:$A,0)),INDEX(Base!$V:$V,MATCH($A22,Base!$A:$A,0)),0)))</f>
        <v>11.94904</v>
      </c>
      <c r="DB22" s="21">
        <f>IF(DB$1&lt;INDEX('Valo FX'!$Q:$Q,MATCH($A22,'Valo FX'!$A:$A,0)),0,IF(DB$1&lt;INDEX('Valo FX'!$R:$R,MATCH($A22,'Valo FX'!$A:$A,0)),INDEX(Base!$U:$U,MATCH($A22,Base!$A:$A,0)),IF(DB$1=INDEX('Valo FX'!$R:$R,MATCH($A22,'Valo FX'!$A:$A,0)),INDEX(Base!$V:$V,MATCH($A22,Base!$A:$A,0)),0)))</f>
        <v>11.94904</v>
      </c>
      <c r="DC22" s="21">
        <f>IF(DC$1&lt;INDEX('Valo FX'!$Q:$Q,MATCH($A22,'Valo FX'!$A:$A,0)),0,IF(DC$1&lt;INDEX('Valo FX'!$R:$R,MATCH($A22,'Valo FX'!$A:$A,0)),INDEX(Base!$U:$U,MATCH($A22,Base!$A:$A,0)),IF(DC$1=INDEX('Valo FX'!$R:$R,MATCH($A22,'Valo FX'!$A:$A,0)),INDEX(Base!$V:$V,MATCH($A22,Base!$A:$A,0)),0)))</f>
        <v>11.94904</v>
      </c>
      <c r="DD22" s="21">
        <f>IF(DD$1&lt;INDEX('Valo FX'!$Q:$Q,MATCH($A22,'Valo FX'!$A:$A,0)),0,IF(DD$1&lt;INDEX('Valo FX'!$R:$R,MATCH($A22,'Valo FX'!$A:$A,0)),INDEX(Base!$U:$U,MATCH($A22,Base!$A:$A,0)),IF(DD$1=INDEX('Valo FX'!$R:$R,MATCH($A22,'Valo FX'!$A:$A,0)),INDEX(Base!$V:$V,MATCH($A22,Base!$A:$A,0)),0)))</f>
        <v>11.94904</v>
      </c>
      <c r="DE22" s="21">
        <f>IF(DE$1&lt;INDEX('Valo FX'!$Q:$Q,MATCH($A22,'Valo FX'!$A:$A,0)),0,IF(DE$1&lt;INDEX('Valo FX'!$R:$R,MATCH($A22,'Valo FX'!$A:$A,0)),INDEX(Base!$U:$U,MATCH($A22,Base!$A:$A,0)),IF(DE$1=INDEX('Valo FX'!$R:$R,MATCH($A22,'Valo FX'!$A:$A,0)),INDEX(Base!$V:$V,MATCH($A22,Base!$A:$A,0)),0)))</f>
        <v>11.94904</v>
      </c>
      <c r="DF22" s="21">
        <f>IF(DF$1&lt;INDEX('Valo FX'!$Q:$Q,MATCH($A22,'Valo FX'!$A:$A,0)),0,IF(DF$1&lt;INDEX('Valo FX'!$R:$R,MATCH($A22,'Valo FX'!$A:$A,0)),INDEX(Base!$U:$U,MATCH($A22,Base!$A:$A,0)),IF(DF$1=INDEX('Valo FX'!$R:$R,MATCH($A22,'Valo FX'!$A:$A,0)),INDEX(Base!$V:$V,MATCH($A22,Base!$A:$A,0)),0)))</f>
        <v>11.94904</v>
      </c>
      <c r="DG22" s="21">
        <f>IF(DG$1&lt;INDEX('Valo FX'!$Q:$Q,MATCH($A22,'Valo FX'!$A:$A,0)),0,IF(DG$1&lt;INDEX('Valo FX'!$R:$R,MATCH($A22,'Valo FX'!$A:$A,0)),INDEX(Base!$U:$U,MATCH($A22,Base!$A:$A,0)),IF(DG$1=INDEX('Valo FX'!$R:$R,MATCH($A22,'Valo FX'!$A:$A,0)),INDEX(Base!$V:$V,MATCH($A22,Base!$A:$A,0)),0)))</f>
        <v>11.94904</v>
      </c>
      <c r="DH22" s="21">
        <f>IF(DH$1&lt;INDEX('Valo FX'!$Q:$Q,MATCH($A22,'Valo FX'!$A:$A,0)),0,IF(DH$1&lt;INDEX('Valo FX'!$R:$R,MATCH($A22,'Valo FX'!$A:$A,0)),INDEX(Base!$U:$U,MATCH($A22,Base!$A:$A,0)),IF(DH$1=INDEX('Valo FX'!$R:$R,MATCH($A22,'Valo FX'!$A:$A,0)),INDEX(Base!$V:$V,MATCH($A22,Base!$A:$A,0)),0)))</f>
        <v>11.94904</v>
      </c>
      <c r="DI22" s="21">
        <f>IF(DI$1&lt;INDEX('Valo FX'!$Q:$Q,MATCH($A22,'Valo FX'!$A:$A,0)),0,IF(DI$1&lt;INDEX('Valo FX'!$R:$R,MATCH($A22,'Valo FX'!$A:$A,0)),INDEX(Base!$U:$U,MATCH($A22,Base!$A:$A,0)),IF(DI$1=INDEX('Valo FX'!$R:$R,MATCH($A22,'Valo FX'!$A:$A,0)),INDEX(Base!$V:$V,MATCH($A22,Base!$A:$A,0)),0)))</f>
        <v>11.94904</v>
      </c>
      <c r="DJ22" s="21">
        <f>IF(DJ$1&lt;INDEX('Valo FX'!$Q:$Q,MATCH($A22,'Valo FX'!$A:$A,0)),0,IF(DJ$1&lt;INDEX('Valo FX'!$R:$R,MATCH($A22,'Valo FX'!$A:$A,0)),INDEX(Base!$U:$U,MATCH($A22,Base!$A:$A,0)),IF(DJ$1=INDEX('Valo FX'!$R:$R,MATCH($A22,'Valo FX'!$A:$A,0)),INDEX(Base!$V:$V,MATCH($A22,Base!$A:$A,0)),0)))</f>
        <v>11.94904</v>
      </c>
      <c r="DK22" s="21">
        <f>IF(DK$1&lt;INDEX('Valo FX'!$Q:$Q,MATCH($A22,'Valo FX'!$A:$A,0)),0,IF(DK$1&lt;INDEX('Valo FX'!$R:$R,MATCH($A22,'Valo FX'!$A:$A,0)),INDEX(Base!$U:$U,MATCH($A22,Base!$A:$A,0)),IF(DK$1=INDEX('Valo FX'!$R:$R,MATCH($A22,'Valo FX'!$A:$A,0)),INDEX(Base!$V:$V,MATCH($A22,Base!$A:$A,0)),0)))</f>
        <v>11.94904</v>
      </c>
      <c r="DL22" s="21">
        <f>IF(DL$1&lt;INDEX('Valo FX'!$Q:$Q,MATCH($A22,'Valo FX'!$A:$A,0)),0,IF(DL$1&lt;INDEX('Valo FX'!$R:$R,MATCH($A22,'Valo FX'!$A:$A,0)),INDEX(Base!$U:$U,MATCH($A22,Base!$A:$A,0)),IF(DL$1=INDEX('Valo FX'!$R:$R,MATCH($A22,'Valo FX'!$A:$A,0)),INDEX(Base!$V:$V,MATCH($A22,Base!$A:$A,0)),0)))</f>
        <v>11.94904</v>
      </c>
      <c r="DM22" s="21">
        <f>IF(DM$1&lt;INDEX('Valo FX'!$Q:$Q,MATCH($A22,'Valo FX'!$A:$A,0)),0,IF(DM$1&lt;INDEX('Valo FX'!$R:$R,MATCH($A22,'Valo FX'!$A:$A,0)),INDEX(Base!$U:$U,MATCH($A22,Base!$A:$A,0)),IF(DM$1=INDEX('Valo FX'!$R:$R,MATCH($A22,'Valo FX'!$A:$A,0)),INDEX(Base!$V:$V,MATCH($A22,Base!$A:$A,0)),0)))</f>
        <v>11.94904</v>
      </c>
      <c r="DN22" s="21">
        <f>IF(DN$1&lt;INDEX('Valo FX'!$Q:$Q,MATCH($A22,'Valo FX'!$A:$A,0)),0,IF(DN$1&lt;INDEX('Valo FX'!$R:$R,MATCH($A22,'Valo FX'!$A:$A,0)),INDEX(Base!$U:$U,MATCH($A22,Base!$A:$A,0)),IF(DN$1=INDEX('Valo FX'!$R:$R,MATCH($A22,'Valo FX'!$A:$A,0)),INDEX(Base!$V:$V,MATCH($A22,Base!$A:$A,0)),0)))</f>
        <v>11.94904</v>
      </c>
      <c r="DO22" s="21">
        <f>IF(DO$1&lt;INDEX('Valo FX'!$Q:$Q,MATCH($A22,'Valo FX'!$A:$A,0)),0,IF(DO$1&lt;INDEX('Valo FX'!$R:$R,MATCH($A22,'Valo FX'!$A:$A,0)),INDEX(Base!$U:$U,MATCH($A22,Base!$A:$A,0)),IF(DO$1=INDEX('Valo FX'!$R:$R,MATCH($A22,'Valo FX'!$A:$A,0)),INDEX(Base!$V:$V,MATCH($A22,Base!$A:$A,0)),0)))</f>
        <v>11.94904</v>
      </c>
      <c r="DP22" s="21">
        <f>IF(DP$1&lt;INDEX('Valo FX'!$Q:$Q,MATCH($A22,'Valo FX'!$A:$A,0)),0,IF(DP$1&lt;INDEX('Valo FX'!$R:$R,MATCH($A22,'Valo FX'!$A:$A,0)),INDEX(Base!$U:$U,MATCH($A22,Base!$A:$A,0)),IF(DP$1=INDEX('Valo FX'!$R:$R,MATCH($A22,'Valo FX'!$A:$A,0)),INDEX(Base!$V:$V,MATCH($A22,Base!$A:$A,0)),0)))</f>
        <v>11.94904</v>
      </c>
      <c r="DQ22" s="21">
        <f>IF(DQ$1&lt;INDEX('Valo FX'!$Q:$Q,MATCH($A22,'Valo FX'!$A:$A,0)),0,IF(DQ$1&lt;INDEX('Valo FX'!$R:$R,MATCH($A22,'Valo FX'!$A:$A,0)),INDEX(Base!$U:$U,MATCH($A22,Base!$A:$A,0)),IF(DQ$1=INDEX('Valo FX'!$R:$R,MATCH($A22,'Valo FX'!$A:$A,0)),INDEX(Base!$V:$V,MATCH($A22,Base!$A:$A,0)),0)))</f>
        <v>11.94904</v>
      </c>
      <c r="DR22" s="21">
        <f>IF(DR$1&lt;INDEX('Valo FX'!$Q:$Q,MATCH($A22,'Valo FX'!$A:$A,0)),0,IF(DR$1&lt;INDEX('Valo FX'!$R:$R,MATCH($A22,'Valo FX'!$A:$A,0)),INDEX(Base!$U:$U,MATCH($A22,Base!$A:$A,0)),IF(DR$1=INDEX('Valo FX'!$R:$R,MATCH($A22,'Valo FX'!$A:$A,0)),INDEX(Base!$V:$V,MATCH($A22,Base!$A:$A,0)),0)))</f>
        <v>11.94904</v>
      </c>
      <c r="DS22" s="21">
        <f>IF(DS$1&lt;INDEX('Valo FX'!$Q:$Q,MATCH($A22,'Valo FX'!$A:$A,0)),0,IF(DS$1&lt;INDEX('Valo FX'!$R:$R,MATCH($A22,'Valo FX'!$A:$A,0)),INDEX(Base!$U:$U,MATCH($A22,Base!$A:$A,0)),IF(DS$1=INDEX('Valo FX'!$R:$R,MATCH($A22,'Valo FX'!$A:$A,0)),INDEX(Base!$V:$V,MATCH($A22,Base!$A:$A,0)),0)))</f>
        <v>11.94904</v>
      </c>
      <c r="DT22" s="21">
        <f>IF(DT$1&lt;INDEX('Valo FX'!$Q:$Q,MATCH($A22,'Valo FX'!$A:$A,0)),0,IF(DT$1&lt;INDEX('Valo FX'!$R:$R,MATCH($A22,'Valo FX'!$A:$A,0)),INDEX(Base!$U:$U,MATCH($A22,Base!$A:$A,0)),IF(DT$1=INDEX('Valo FX'!$R:$R,MATCH($A22,'Valo FX'!$A:$A,0)),INDEX(Base!$V:$V,MATCH($A22,Base!$A:$A,0)),0)))</f>
        <v>11.94904</v>
      </c>
      <c r="DU22" s="21">
        <f>IF(DU$1&lt;INDEX('Valo FX'!$Q:$Q,MATCH($A22,'Valo FX'!$A:$A,0)),0,IF(DU$1&lt;INDEX('Valo FX'!$R:$R,MATCH($A22,'Valo FX'!$A:$A,0)),INDEX(Base!$U:$U,MATCH($A22,Base!$A:$A,0)),IF(DU$1=INDEX('Valo FX'!$R:$R,MATCH($A22,'Valo FX'!$A:$A,0)),INDEX(Base!$V:$V,MATCH($A22,Base!$A:$A,0)),0)))</f>
        <v>11.94904</v>
      </c>
      <c r="DV22" s="21">
        <f>IF(DV$1&lt;INDEX('Valo FX'!$Q:$Q,MATCH($A22,'Valo FX'!$A:$A,0)),0,IF(DV$1&lt;INDEX('Valo FX'!$R:$R,MATCH($A22,'Valo FX'!$A:$A,0)),INDEX(Base!$U:$U,MATCH($A22,Base!$A:$A,0)),IF(DV$1=INDEX('Valo FX'!$R:$R,MATCH($A22,'Valo FX'!$A:$A,0)),INDEX(Base!$V:$V,MATCH($A22,Base!$A:$A,0)),0)))</f>
        <v>11.94904</v>
      </c>
      <c r="DW22" s="21">
        <f>IF(DW$1&lt;INDEX('Valo FX'!$Q:$Q,MATCH($A22,'Valo FX'!$A:$A,0)),0,IF(DW$1&lt;INDEX('Valo FX'!$R:$R,MATCH($A22,'Valo FX'!$A:$A,0)),INDEX(Base!$U:$U,MATCH($A22,Base!$A:$A,0)),IF(DW$1=INDEX('Valo FX'!$R:$R,MATCH($A22,'Valo FX'!$A:$A,0)),INDEX(Base!$V:$V,MATCH($A22,Base!$A:$A,0)),0)))</f>
        <v>11.94904</v>
      </c>
      <c r="DX22" s="21">
        <f>IF(DX$1&lt;INDEX('Valo FX'!$Q:$Q,MATCH($A22,'Valo FX'!$A:$A,0)),0,IF(DX$1&lt;INDEX('Valo FX'!$R:$R,MATCH($A22,'Valo FX'!$A:$A,0)),INDEX(Base!$U:$U,MATCH($A22,Base!$A:$A,0)),IF(DX$1=INDEX('Valo FX'!$R:$R,MATCH($A22,'Valo FX'!$A:$A,0)),INDEX(Base!$V:$V,MATCH($A22,Base!$A:$A,0)),0)))</f>
        <v>11.94904</v>
      </c>
      <c r="DY22" s="21">
        <f>IF(DY$1&lt;INDEX('Valo FX'!$Q:$Q,MATCH($A22,'Valo FX'!$A:$A,0)),0,IF(DY$1&lt;INDEX('Valo FX'!$R:$R,MATCH($A22,'Valo FX'!$A:$A,0)),INDEX(Base!$U:$U,MATCH($A22,Base!$A:$A,0)),IF(DY$1=INDEX('Valo FX'!$R:$R,MATCH($A22,'Valo FX'!$A:$A,0)),INDEX(Base!$V:$V,MATCH($A22,Base!$A:$A,0)),0)))</f>
        <v>11.94904</v>
      </c>
      <c r="DZ22" s="21">
        <f>IF(DZ$1&lt;INDEX('Valo FX'!$Q:$Q,MATCH($A22,'Valo FX'!$A:$A,0)),0,IF(DZ$1&lt;INDEX('Valo FX'!$R:$R,MATCH($A22,'Valo FX'!$A:$A,0)),INDEX(Base!$U:$U,MATCH($A22,Base!$A:$A,0)),IF(DZ$1=INDEX('Valo FX'!$R:$R,MATCH($A22,'Valo FX'!$A:$A,0)),INDEX(Base!$V:$V,MATCH($A22,Base!$A:$A,0)),0)))</f>
        <v>11.94904</v>
      </c>
      <c r="EA22" s="21">
        <f>IF(EA$1&lt;INDEX('Valo FX'!$Q:$Q,MATCH($A22,'Valo FX'!$A:$A,0)),0,IF(EA$1&lt;INDEX('Valo FX'!$R:$R,MATCH($A22,'Valo FX'!$A:$A,0)),INDEX(Base!$U:$U,MATCH($A22,Base!$A:$A,0)),IF(EA$1=INDEX('Valo FX'!$R:$R,MATCH($A22,'Valo FX'!$A:$A,0)),INDEX(Base!$V:$V,MATCH($A22,Base!$A:$A,0)),0)))</f>
        <v>11.94904</v>
      </c>
      <c r="EB22" s="21">
        <f>IF(EB$1&lt;INDEX('Valo FX'!$Q:$Q,MATCH($A22,'Valo FX'!$A:$A,0)),0,IF(EB$1&lt;INDEX('Valo FX'!$R:$R,MATCH($A22,'Valo FX'!$A:$A,0)),INDEX(Base!$U:$U,MATCH($A22,Base!$A:$A,0)),IF(EB$1=INDEX('Valo FX'!$R:$R,MATCH($A22,'Valo FX'!$A:$A,0)),INDEX(Base!$V:$V,MATCH($A22,Base!$A:$A,0)),0)))</f>
        <v>11.94904</v>
      </c>
      <c r="EC22" s="21">
        <f>IF(EC$1&lt;INDEX('Valo FX'!$Q:$Q,MATCH($A22,'Valo FX'!$A:$A,0)),0,IF(EC$1&lt;INDEX('Valo FX'!$R:$R,MATCH($A22,'Valo FX'!$A:$A,0)),INDEX(Base!$U:$U,MATCH($A22,Base!$A:$A,0)),IF(EC$1=INDEX('Valo FX'!$R:$R,MATCH($A22,'Valo FX'!$A:$A,0)),INDEX(Base!$V:$V,MATCH($A22,Base!$A:$A,0)),0)))</f>
        <v>11.94904</v>
      </c>
      <c r="ED22" s="21">
        <f>IF(ED$1&lt;INDEX('Valo FX'!$Q:$Q,MATCH($A22,'Valo FX'!$A:$A,0)),0,IF(ED$1&lt;INDEX('Valo FX'!$R:$R,MATCH($A22,'Valo FX'!$A:$A,0)),INDEX(Base!$U:$U,MATCH($A22,Base!$A:$A,0)),IF(ED$1=INDEX('Valo FX'!$R:$R,MATCH($A22,'Valo FX'!$A:$A,0)),INDEX(Base!$V:$V,MATCH($A22,Base!$A:$A,0)),0)))</f>
        <v>11.94904</v>
      </c>
      <c r="EE22" s="21">
        <f>IF(EE$1&lt;INDEX('Valo FX'!$Q:$Q,MATCH($A22,'Valo FX'!$A:$A,0)),0,IF(EE$1&lt;INDEX('Valo FX'!$R:$R,MATCH($A22,'Valo FX'!$A:$A,0)),INDEX(Base!$U:$U,MATCH($A22,Base!$A:$A,0)),IF(EE$1=INDEX('Valo FX'!$R:$R,MATCH($A22,'Valo FX'!$A:$A,0)),INDEX(Base!$V:$V,MATCH($A22,Base!$A:$A,0)),0)))</f>
        <v>11.94904</v>
      </c>
      <c r="EF22" s="21">
        <f>IF(EF$1&lt;INDEX('Valo FX'!$Q:$Q,MATCH($A22,'Valo FX'!$A:$A,0)),0,IF(EF$1&lt;INDEX('Valo FX'!$R:$R,MATCH($A22,'Valo FX'!$A:$A,0)),INDEX(Base!$U:$U,MATCH($A22,Base!$A:$A,0)),IF(EF$1=INDEX('Valo FX'!$R:$R,MATCH($A22,'Valo FX'!$A:$A,0)),INDEX(Base!$V:$V,MATCH($A22,Base!$A:$A,0)),0)))</f>
        <v>11.94904</v>
      </c>
      <c r="EG22" s="21">
        <f>IF(EG$1&lt;INDEX('Valo FX'!$Q:$Q,MATCH($A22,'Valo FX'!$A:$A,0)),0,IF(EG$1&lt;INDEX('Valo FX'!$R:$R,MATCH($A22,'Valo FX'!$A:$A,0)),INDEX(Base!$U:$U,MATCH($A22,Base!$A:$A,0)),IF(EG$1=INDEX('Valo FX'!$R:$R,MATCH($A22,'Valo FX'!$A:$A,0)),INDEX(Base!$V:$V,MATCH($A22,Base!$A:$A,0)),0)))</f>
        <v>11.94904</v>
      </c>
      <c r="EH22" s="21">
        <f>IF(EH$1&lt;INDEX('Valo FX'!$Q:$Q,MATCH($A22,'Valo FX'!$A:$A,0)),0,IF(EH$1&lt;INDEX('Valo FX'!$R:$R,MATCH($A22,'Valo FX'!$A:$A,0)),INDEX(Base!$U:$U,MATCH($A22,Base!$A:$A,0)),IF(EH$1=INDEX('Valo FX'!$R:$R,MATCH($A22,'Valo FX'!$A:$A,0)),INDEX(Base!$V:$V,MATCH($A22,Base!$A:$A,0)),0)))</f>
        <v>11.94904</v>
      </c>
      <c r="EI22" s="21">
        <f>IF(EI$1&lt;INDEX('Valo FX'!$Q:$Q,MATCH($A22,'Valo FX'!$A:$A,0)),0,IF(EI$1&lt;INDEX('Valo FX'!$R:$R,MATCH($A22,'Valo FX'!$A:$A,0)),INDEX(Base!$U:$U,MATCH($A22,Base!$A:$A,0)),IF(EI$1=INDEX('Valo FX'!$R:$R,MATCH($A22,'Valo FX'!$A:$A,0)),INDEX(Base!$V:$V,MATCH($A22,Base!$A:$A,0)),0)))</f>
        <v>11.94904</v>
      </c>
      <c r="EJ22" s="21">
        <f>IF(EJ$1&lt;INDEX('Valo FX'!$Q:$Q,MATCH($A22,'Valo FX'!$A:$A,0)),0,IF(EJ$1&lt;INDEX('Valo FX'!$R:$R,MATCH($A22,'Valo FX'!$A:$A,0)),INDEX(Base!$U:$U,MATCH($A22,Base!$A:$A,0)),IF(EJ$1=INDEX('Valo FX'!$R:$R,MATCH($A22,'Valo FX'!$A:$A,0)),INDEX(Base!$V:$V,MATCH($A22,Base!$A:$A,0)),0)))</f>
        <v>11.94904</v>
      </c>
      <c r="EK22" s="21">
        <f>IF(EK$1&lt;INDEX('Valo FX'!$Q:$Q,MATCH($A22,'Valo FX'!$A:$A,0)),0,IF(EK$1&lt;INDEX('Valo FX'!$R:$R,MATCH($A22,'Valo FX'!$A:$A,0)),INDEX(Base!$U:$U,MATCH($A22,Base!$A:$A,0)),IF(EK$1=INDEX('Valo FX'!$R:$R,MATCH($A22,'Valo FX'!$A:$A,0)),INDEX(Base!$V:$V,MATCH($A22,Base!$A:$A,0)),0)))</f>
        <v>11.94904</v>
      </c>
      <c r="EL22" s="21">
        <f>IF(EL$1&lt;INDEX('Valo FX'!$Q:$Q,MATCH($A22,'Valo FX'!$A:$A,0)),0,IF(EL$1&lt;INDEX('Valo FX'!$R:$R,MATCH($A22,'Valo FX'!$A:$A,0)),INDEX(Base!$U:$U,MATCH($A22,Base!$A:$A,0)),IF(EL$1=INDEX('Valo FX'!$R:$R,MATCH($A22,'Valo FX'!$A:$A,0)),INDEX(Base!$V:$V,MATCH($A22,Base!$A:$A,0)),0)))</f>
        <v>11.94904</v>
      </c>
      <c r="EM22" s="21">
        <f>IF(EM$1&lt;INDEX('Valo FX'!$Q:$Q,MATCH($A22,'Valo FX'!$A:$A,0)),0,IF(EM$1&lt;INDEX('Valo FX'!$R:$R,MATCH($A22,'Valo FX'!$A:$A,0)),INDEX(Base!$U:$U,MATCH($A22,Base!$A:$A,0)),IF(EM$1=INDEX('Valo FX'!$R:$R,MATCH($A22,'Valo FX'!$A:$A,0)),INDEX(Base!$V:$V,MATCH($A22,Base!$A:$A,0)),0)))</f>
        <v>11.94904</v>
      </c>
      <c r="EN22" s="21">
        <f>IF(EN$1&lt;INDEX('Valo FX'!$Q:$Q,MATCH($A22,'Valo FX'!$A:$A,0)),0,IF(EN$1&lt;INDEX('Valo FX'!$R:$R,MATCH($A22,'Valo FX'!$A:$A,0)),INDEX(Base!$U:$U,MATCH($A22,Base!$A:$A,0)),IF(EN$1=INDEX('Valo FX'!$R:$R,MATCH($A22,'Valo FX'!$A:$A,0)),INDEX(Base!$V:$V,MATCH($A22,Base!$A:$A,0)),0)))</f>
        <v>11.94904</v>
      </c>
      <c r="EO22" s="21">
        <f>IF(EO$1&lt;INDEX('Valo FX'!$Q:$Q,MATCH($A22,'Valo FX'!$A:$A,0)),0,IF(EO$1&lt;INDEX('Valo FX'!$R:$R,MATCH($A22,'Valo FX'!$A:$A,0)),INDEX(Base!$U:$U,MATCH($A22,Base!$A:$A,0)),IF(EO$1=INDEX('Valo FX'!$R:$R,MATCH($A22,'Valo FX'!$A:$A,0)),INDEX(Base!$V:$V,MATCH($A22,Base!$A:$A,0)),0)))</f>
        <v>11.94904</v>
      </c>
      <c r="EP22" s="21">
        <f>IF(EP$1&lt;INDEX('Valo FX'!$Q:$Q,MATCH($A22,'Valo FX'!$A:$A,0)),0,IF(EP$1&lt;INDEX('Valo FX'!$R:$R,MATCH($A22,'Valo FX'!$A:$A,0)),INDEX(Base!$U:$U,MATCH($A22,Base!$A:$A,0)),IF(EP$1=INDEX('Valo FX'!$R:$R,MATCH($A22,'Valo FX'!$A:$A,0)),INDEX(Base!$V:$V,MATCH($A22,Base!$A:$A,0)),0)))</f>
        <v>11.94904</v>
      </c>
      <c r="EQ22" s="21">
        <f>IF(EQ$1&lt;INDEX('Valo FX'!$Q:$Q,MATCH($A22,'Valo FX'!$A:$A,0)),0,IF(EQ$1&lt;INDEX('Valo FX'!$R:$R,MATCH($A22,'Valo FX'!$A:$A,0)),INDEX(Base!$U:$U,MATCH($A22,Base!$A:$A,0)),IF(EQ$1=INDEX('Valo FX'!$R:$R,MATCH($A22,'Valo FX'!$A:$A,0)),INDEX(Base!$V:$V,MATCH($A22,Base!$A:$A,0)),0)))</f>
        <v>11.94904</v>
      </c>
      <c r="ER22" s="21">
        <f>IF(ER$1&lt;INDEX('Valo FX'!$Q:$Q,MATCH($A22,'Valo FX'!$A:$A,0)),0,IF(ER$1&lt;INDEX('Valo FX'!$R:$R,MATCH($A22,'Valo FX'!$A:$A,0)),INDEX(Base!$U:$U,MATCH($A22,Base!$A:$A,0)),IF(ER$1=INDEX('Valo FX'!$R:$R,MATCH($A22,'Valo FX'!$A:$A,0)),INDEX(Base!$V:$V,MATCH($A22,Base!$A:$A,0)),0)))</f>
        <v>11.94904</v>
      </c>
      <c r="ES22" s="21">
        <f>IF(ES$1&lt;INDEX('Valo FX'!$Q:$Q,MATCH($A22,'Valo FX'!$A:$A,0)),0,IF(ES$1&lt;INDEX('Valo FX'!$R:$R,MATCH($A22,'Valo FX'!$A:$A,0)),INDEX(Base!$U:$U,MATCH($A22,Base!$A:$A,0)),IF(ES$1=INDEX('Valo FX'!$R:$R,MATCH($A22,'Valo FX'!$A:$A,0)),INDEX(Base!$V:$V,MATCH($A22,Base!$A:$A,0)),0)))</f>
        <v>11.94904</v>
      </c>
      <c r="ET22" s="21">
        <f>IF(ET$1&lt;INDEX('Valo FX'!$Q:$Q,MATCH($A22,'Valo FX'!$A:$A,0)),0,IF(ET$1&lt;INDEX('Valo FX'!$R:$R,MATCH($A22,'Valo FX'!$A:$A,0)),INDEX(Base!$U:$U,MATCH($A22,Base!$A:$A,0)),IF(ET$1=INDEX('Valo FX'!$R:$R,MATCH($A22,'Valo FX'!$A:$A,0)),INDEX(Base!$V:$V,MATCH($A22,Base!$A:$A,0)),0)))</f>
        <v>11.94904</v>
      </c>
      <c r="EU22" s="21">
        <f>IF(EU$1&lt;INDEX('Valo FX'!$Q:$Q,MATCH($A22,'Valo FX'!$A:$A,0)),0,IF(EU$1&lt;INDEX('Valo FX'!$R:$R,MATCH($A22,'Valo FX'!$A:$A,0)),INDEX(Base!$U:$U,MATCH($A22,Base!$A:$A,0)),IF(EU$1=INDEX('Valo FX'!$R:$R,MATCH($A22,'Valo FX'!$A:$A,0)),INDEX(Base!$V:$V,MATCH($A22,Base!$A:$A,0)),0)))</f>
        <v>11.94904</v>
      </c>
      <c r="EV22" s="21">
        <f>IF(EV$1&lt;INDEX('Valo FX'!$Q:$Q,MATCH($A22,'Valo FX'!$A:$A,0)),0,IF(EV$1&lt;INDEX('Valo FX'!$R:$R,MATCH($A22,'Valo FX'!$A:$A,0)),INDEX(Base!$U:$U,MATCH($A22,Base!$A:$A,0)),IF(EV$1=INDEX('Valo FX'!$R:$R,MATCH($A22,'Valo FX'!$A:$A,0)),INDEX(Base!$V:$V,MATCH($A22,Base!$A:$A,0)),0)))</f>
        <v>11.94904</v>
      </c>
      <c r="EW22" s="21">
        <f>IF(EW$1&lt;INDEX('Valo FX'!$Q:$Q,MATCH($A22,'Valo FX'!$A:$A,0)),0,IF(EW$1&lt;INDEX('Valo FX'!$R:$R,MATCH($A22,'Valo FX'!$A:$A,0)),INDEX(Base!$U:$U,MATCH($A22,Base!$A:$A,0)),IF(EW$1=INDEX('Valo FX'!$R:$R,MATCH($A22,'Valo FX'!$A:$A,0)),INDEX(Base!$V:$V,MATCH($A22,Base!$A:$A,0)),0)))</f>
        <v>11.94904</v>
      </c>
      <c r="EX22" s="21">
        <f>IF(EX$1&lt;INDEX('Valo FX'!$Q:$Q,MATCH($A22,'Valo FX'!$A:$A,0)),0,IF(EX$1&lt;INDEX('Valo FX'!$R:$R,MATCH($A22,'Valo FX'!$A:$A,0)),INDEX(Base!$U:$U,MATCH($A22,Base!$A:$A,0)),IF(EX$1=INDEX('Valo FX'!$R:$R,MATCH($A22,'Valo FX'!$A:$A,0)),INDEX(Base!$V:$V,MATCH($A22,Base!$A:$A,0)),0)))</f>
        <v>11.94904</v>
      </c>
      <c r="EY22" s="21">
        <f>IF(EY$1&lt;INDEX('Valo FX'!$Q:$Q,MATCH($A22,'Valo FX'!$A:$A,0)),0,IF(EY$1&lt;INDEX('Valo FX'!$R:$R,MATCH($A22,'Valo FX'!$A:$A,0)),INDEX(Base!$U:$U,MATCH($A22,Base!$A:$A,0)),IF(EY$1=INDEX('Valo FX'!$R:$R,MATCH($A22,'Valo FX'!$A:$A,0)),INDEX(Base!$V:$V,MATCH($A22,Base!$A:$A,0)),0)))</f>
        <v>11.94904</v>
      </c>
      <c r="EZ22" s="21">
        <f>IF(EZ$1&lt;INDEX('Valo FX'!$Q:$Q,MATCH($A22,'Valo FX'!$A:$A,0)),0,IF(EZ$1&lt;INDEX('Valo FX'!$R:$R,MATCH($A22,'Valo FX'!$A:$A,0)),INDEX(Base!$U:$U,MATCH($A22,Base!$A:$A,0)),IF(EZ$1=INDEX('Valo FX'!$R:$R,MATCH($A22,'Valo FX'!$A:$A,0)),INDEX(Base!$V:$V,MATCH($A22,Base!$A:$A,0)),0)))</f>
        <v>11.94904</v>
      </c>
      <c r="FA22" s="21">
        <f>IF(FA$1&lt;INDEX('Valo FX'!$Q:$Q,MATCH($A22,'Valo FX'!$A:$A,0)),0,IF(FA$1&lt;INDEX('Valo FX'!$R:$R,MATCH($A22,'Valo FX'!$A:$A,0)),INDEX(Base!$U:$U,MATCH($A22,Base!$A:$A,0)),IF(FA$1=INDEX('Valo FX'!$R:$R,MATCH($A22,'Valo FX'!$A:$A,0)),INDEX(Base!$V:$V,MATCH($A22,Base!$A:$A,0)),0)))</f>
        <v>11.94904</v>
      </c>
      <c r="FB22" s="21">
        <f>IF(FB$1&lt;INDEX('Valo FX'!$Q:$Q,MATCH($A22,'Valo FX'!$A:$A,0)),0,IF(FB$1&lt;INDEX('Valo FX'!$R:$R,MATCH($A22,'Valo FX'!$A:$A,0)),INDEX(Base!$U:$U,MATCH($A22,Base!$A:$A,0)),IF(FB$1=INDEX('Valo FX'!$R:$R,MATCH($A22,'Valo FX'!$A:$A,0)),INDEX(Base!$V:$V,MATCH($A22,Base!$A:$A,0)),0)))</f>
        <v>11.94904</v>
      </c>
      <c r="FC22" s="21">
        <f>IF(FC$1&lt;INDEX('Valo FX'!$Q:$Q,MATCH($A22,'Valo FX'!$A:$A,0)),0,IF(FC$1&lt;INDEX('Valo FX'!$R:$R,MATCH($A22,'Valo FX'!$A:$A,0)),INDEX(Base!$U:$U,MATCH($A22,Base!$A:$A,0)),IF(FC$1=INDEX('Valo FX'!$R:$R,MATCH($A22,'Valo FX'!$A:$A,0)),INDEX(Base!$V:$V,MATCH($A22,Base!$A:$A,0)),0)))</f>
        <v>11.94904</v>
      </c>
      <c r="FD22" s="21">
        <f>IF(FD$1&lt;INDEX('Valo FX'!$Q:$Q,MATCH($A22,'Valo FX'!$A:$A,0)),0,IF(FD$1&lt;INDEX('Valo FX'!$R:$R,MATCH($A22,'Valo FX'!$A:$A,0)),INDEX(Base!$U:$U,MATCH($A22,Base!$A:$A,0)),IF(FD$1=INDEX('Valo FX'!$R:$R,MATCH($A22,'Valo FX'!$A:$A,0)),INDEX(Base!$V:$V,MATCH($A22,Base!$A:$A,0)),0)))</f>
        <v>11.94904</v>
      </c>
      <c r="FE22" s="21">
        <f>IF(FE$1&lt;INDEX('Valo FX'!$Q:$Q,MATCH($A22,'Valo FX'!$A:$A,0)),0,IF(FE$1&lt;INDEX('Valo FX'!$R:$R,MATCH($A22,'Valo FX'!$A:$A,0)),INDEX(Base!$U:$U,MATCH($A22,Base!$A:$A,0)),IF(FE$1=INDEX('Valo FX'!$R:$R,MATCH($A22,'Valo FX'!$A:$A,0)),INDEX(Base!$V:$V,MATCH($A22,Base!$A:$A,0)),0)))</f>
        <v>11.94904</v>
      </c>
      <c r="FF22" s="21">
        <f>IF(FF$1&lt;INDEX('Valo FX'!$Q:$Q,MATCH($A22,'Valo FX'!$A:$A,0)),0,IF(FF$1&lt;INDEX('Valo FX'!$R:$R,MATCH($A22,'Valo FX'!$A:$A,0)),INDEX(Base!$U:$U,MATCH($A22,Base!$A:$A,0)),IF(FF$1=INDEX('Valo FX'!$R:$R,MATCH($A22,'Valo FX'!$A:$A,0)),INDEX(Base!$V:$V,MATCH($A22,Base!$A:$A,0)),0)))</f>
        <v>11.94904</v>
      </c>
      <c r="FG22" s="21">
        <f>IF(FG$1&lt;INDEX('Valo FX'!$Q:$Q,MATCH($A22,'Valo FX'!$A:$A,0)),0,IF(FG$1&lt;INDEX('Valo FX'!$R:$R,MATCH($A22,'Valo FX'!$A:$A,0)),INDEX(Base!$U:$U,MATCH($A22,Base!$A:$A,0)),IF(FG$1=INDEX('Valo FX'!$R:$R,MATCH($A22,'Valo FX'!$A:$A,0)),INDEX(Base!$V:$V,MATCH($A22,Base!$A:$A,0)),0)))</f>
        <v>11.94904</v>
      </c>
      <c r="FH22" s="21">
        <f>IF(FH$1&lt;INDEX('Valo FX'!$Q:$Q,MATCH($A22,'Valo FX'!$A:$A,0)),0,IF(FH$1&lt;INDEX('Valo FX'!$R:$R,MATCH($A22,'Valo FX'!$A:$A,0)),INDEX(Base!$U:$U,MATCH($A22,Base!$A:$A,0)),IF(FH$1=INDEX('Valo FX'!$R:$R,MATCH($A22,'Valo FX'!$A:$A,0)),INDEX(Base!$V:$V,MATCH($A22,Base!$A:$A,0)),0)))</f>
        <v>11.94904</v>
      </c>
      <c r="FI22" s="21">
        <f>IF(FI$1&lt;INDEX('Valo FX'!$Q:$Q,MATCH($A22,'Valo FX'!$A:$A,0)),0,IF(FI$1&lt;INDEX('Valo FX'!$R:$R,MATCH($A22,'Valo FX'!$A:$A,0)),INDEX(Base!$U:$U,MATCH($A22,Base!$A:$A,0)),IF(FI$1=INDEX('Valo FX'!$R:$R,MATCH($A22,'Valo FX'!$A:$A,0)),INDEX(Base!$V:$V,MATCH($A22,Base!$A:$A,0)),0)))</f>
        <v>11.94904</v>
      </c>
      <c r="FJ22" s="21">
        <f>IF(FJ$1&lt;INDEX('Valo FX'!$Q:$Q,MATCH($A22,'Valo FX'!$A:$A,0)),0,IF(FJ$1&lt;INDEX('Valo FX'!$R:$R,MATCH($A22,'Valo FX'!$A:$A,0)),INDEX(Base!$U:$U,MATCH($A22,Base!$A:$A,0)),IF(FJ$1=INDEX('Valo FX'!$R:$R,MATCH($A22,'Valo FX'!$A:$A,0)),INDEX(Base!$V:$V,MATCH($A22,Base!$A:$A,0)),0)))</f>
        <v>11.94904</v>
      </c>
      <c r="FK22" s="21">
        <f>IF(FK$1&lt;INDEX('Valo FX'!$Q:$Q,MATCH($A22,'Valo FX'!$A:$A,0)),0,IF(FK$1&lt;INDEX('Valo FX'!$R:$R,MATCH($A22,'Valo FX'!$A:$A,0)),INDEX(Base!$U:$U,MATCH($A22,Base!$A:$A,0)),IF(FK$1=INDEX('Valo FX'!$R:$R,MATCH($A22,'Valo FX'!$A:$A,0)),INDEX(Base!$V:$V,MATCH($A22,Base!$A:$A,0)),0)))</f>
        <v>11.94904</v>
      </c>
      <c r="FL22" s="21">
        <f>IF(FL$1&lt;INDEX('Valo FX'!$Q:$Q,MATCH($A22,'Valo FX'!$A:$A,0)),0,IF(FL$1&lt;INDEX('Valo FX'!$R:$R,MATCH($A22,'Valo FX'!$A:$A,0)),INDEX(Base!$U:$U,MATCH($A22,Base!$A:$A,0)),IF(FL$1=INDEX('Valo FX'!$R:$R,MATCH($A22,'Valo FX'!$A:$A,0)),INDEX(Base!$V:$V,MATCH($A22,Base!$A:$A,0)),0)))</f>
        <v>11.94904</v>
      </c>
      <c r="FM22" s="21">
        <f>IF(FM$1&lt;INDEX('Valo FX'!$Q:$Q,MATCH($A22,'Valo FX'!$A:$A,0)),0,IF(FM$1&lt;INDEX('Valo FX'!$R:$R,MATCH($A22,'Valo FX'!$A:$A,0)),INDEX(Base!$U:$U,MATCH($A22,Base!$A:$A,0)),IF(FM$1=INDEX('Valo FX'!$R:$R,MATCH($A22,'Valo FX'!$A:$A,0)),INDEX(Base!$V:$V,MATCH($A22,Base!$A:$A,0)),0)))</f>
        <v>11.94904</v>
      </c>
      <c r="FN22" s="21">
        <f>IF(FN$1&lt;INDEX('Valo FX'!$Q:$Q,MATCH($A22,'Valo FX'!$A:$A,0)),0,IF(FN$1&lt;INDEX('Valo FX'!$R:$R,MATCH($A22,'Valo FX'!$A:$A,0)),INDEX(Base!$U:$U,MATCH($A22,Base!$A:$A,0)),IF(FN$1=INDEX('Valo FX'!$R:$R,MATCH($A22,'Valo FX'!$A:$A,0)),INDEX(Base!$V:$V,MATCH($A22,Base!$A:$A,0)),0)))</f>
        <v>11.94904</v>
      </c>
      <c r="FO22" s="21">
        <f>IF(FO$1&lt;INDEX('Valo FX'!$Q:$Q,MATCH($A22,'Valo FX'!$A:$A,0)),0,IF(FO$1&lt;INDEX('Valo FX'!$R:$R,MATCH($A22,'Valo FX'!$A:$A,0)),INDEX(Base!$U:$U,MATCH($A22,Base!$A:$A,0)),IF(FO$1=INDEX('Valo FX'!$R:$R,MATCH($A22,'Valo FX'!$A:$A,0)),INDEX(Base!$V:$V,MATCH($A22,Base!$A:$A,0)),0)))</f>
        <v>11.94904</v>
      </c>
      <c r="FP22" s="21">
        <f>IF(FP$1&lt;INDEX('Valo FX'!$Q:$Q,MATCH($A22,'Valo FX'!$A:$A,0)),0,IF(FP$1&lt;INDEX('Valo FX'!$R:$R,MATCH($A22,'Valo FX'!$A:$A,0)),INDEX(Base!$U:$U,MATCH($A22,Base!$A:$A,0)),IF(FP$1=INDEX('Valo FX'!$R:$R,MATCH($A22,'Valo FX'!$A:$A,0)),INDEX(Base!$V:$V,MATCH($A22,Base!$A:$A,0)),0)))</f>
        <v>11.94904</v>
      </c>
      <c r="FQ22" s="21">
        <f>IF(FQ$1&lt;INDEX('Valo FX'!$Q:$Q,MATCH($A22,'Valo FX'!$A:$A,0)),0,IF(FQ$1&lt;INDEX('Valo FX'!$R:$R,MATCH($A22,'Valo FX'!$A:$A,0)),INDEX(Base!$U:$U,MATCH($A22,Base!$A:$A,0)),IF(FQ$1=INDEX('Valo FX'!$R:$R,MATCH($A22,'Valo FX'!$A:$A,0)),INDEX(Base!$V:$V,MATCH($A22,Base!$A:$A,0)),0)))</f>
        <v>11.94904</v>
      </c>
      <c r="FR22" s="21">
        <f>IF(FR$1&lt;INDEX('Valo FX'!$Q:$Q,MATCH($A22,'Valo FX'!$A:$A,0)),0,IF(FR$1&lt;INDEX('Valo FX'!$R:$R,MATCH($A22,'Valo FX'!$A:$A,0)),INDEX(Base!$U:$U,MATCH($A22,Base!$A:$A,0)),IF(FR$1=INDEX('Valo FX'!$R:$R,MATCH($A22,'Valo FX'!$A:$A,0)),INDEX(Base!$V:$V,MATCH($A22,Base!$A:$A,0)),0)))</f>
        <v>11.94904</v>
      </c>
      <c r="FS22" s="21">
        <f>IF(FS$1&lt;INDEX('Valo FX'!$Q:$Q,MATCH($A22,'Valo FX'!$A:$A,0)),0,IF(FS$1&lt;INDEX('Valo FX'!$R:$R,MATCH($A22,'Valo FX'!$A:$A,0)),INDEX(Base!$U:$U,MATCH($A22,Base!$A:$A,0)),IF(FS$1=INDEX('Valo FX'!$R:$R,MATCH($A22,'Valo FX'!$A:$A,0)),INDEX(Base!$V:$V,MATCH($A22,Base!$A:$A,0)),0)))</f>
        <v>11.94904</v>
      </c>
      <c r="FT22" s="21">
        <f>IF(FT$1&lt;INDEX('Valo FX'!$Q:$Q,MATCH($A22,'Valo FX'!$A:$A,0)),0,IF(FT$1&lt;INDEX('Valo FX'!$R:$R,MATCH($A22,'Valo FX'!$A:$A,0)),INDEX(Base!$U:$U,MATCH($A22,Base!$A:$A,0)),IF(FT$1=INDEX('Valo FX'!$R:$R,MATCH($A22,'Valo FX'!$A:$A,0)),INDEX(Base!$V:$V,MATCH($A22,Base!$A:$A,0)),0)))</f>
        <v>11.94904</v>
      </c>
      <c r="FU22" s="21">
        <f>IF(FU$1&lt;INDEX('Valo FX'!$Q:$Q,MATCH($A22,'Valo FX'!$A:$A,0)),0,IF(FU$1&lt;INDEX('Valo FX'!$R:$R,MATCH($A22,'Valo FX'!$A:$A,0)),INDEX(Base!$U:$U,MATCH($A22,Base!$A:$A,0)),IF(FU$1=INDEX('Valo FX'!$R:$R,MATCH($A22,'Valo FX'!$A:$A,0)),INDEX(Base!$V:$V,MATCH($A22,Base!$A:$A,0)),0)))</f>
        <v>11.94904</v>
      </c>
      <c r="FV22" s="21">
        <f>IF(FV$1&lt;INDEX('Valo FX'!$Q:$Q,MATCH($A22,'Valo FX'!$A:$A,0)),0,IF(FV$1&lt;INDEX('Valo FX'!$R:$R,MATCH($A22,'Valo FX'!$A:$A,0)),INDEX(Base!$U:$U,MATCH($A22,Base!$A:$A,0)),IF(FV$1=INDEX('Valo FX'!$R:$R,MATCH($A22,'Valo FX'!$A:$A,0)),INDEX(Base!$V:$V,MATCH($A22,Base!$A:$A,0)),0)))</f>
        <v>11.94904</v>
      </c>
      <c r="FW22" s="21">
        <f>IF(FW$1&lt;INDEX('Valo FX'!$Q:$Q,MATCH($A22,'Valo FX'!$A:$A,0)),0,IF(FW$1&lt;INDEX('Valo FX'!$R:$R,MATCH($A22,'Valo FX'!$A:$A,0)),INDEX(Base!$U:$U,MATCH($A22,Base!$A:$A,0)),IF(FW$1=INDEX('Valo FX'!$R:$R,MATCH($A22,'Valo FX'!$A:$A,0)),INDEX(Base!$V:$V,MATCH($A22,Base!$A:$A,0)),0)))</f>
        <v>11.94904</v>
      </c>
      <c r="FX22" s="21">
        <f>IF(FX$1&lt;INDEX('Valo FX'!$Q:$Q,MATCH($A22,'Valo FX'!$A:$A,0)),0,IF(FX$1&lt;INDEX('Valo FX'!$R:$R,MATCH($A22,'Valo FX'!$A:$A,0)),INDEX(Base!$U:$U,MATCH($A22,Base!$A:$A,0)),IF(FX$1=INDEX('Valo FX'!$R:$R,MATCH($A22,'Valo FX'!$A:$A,0)),INDEX(Base!$V:$V,MATCH($A22,Base!$A:$A,0)),0)))</f>
        <v>11.94904</v>
      </c>
      <c r="FY22" s="21">
        <f>IF(FY$1&lt;INDEX('Valo FX'!$Q:$Q,MATCH($A22,'Valo FX'!$A:$A,0)),0,IF(FY$1&lt;INDEX('Valo FX'!$R:$R,MATCH($A22,'Valo FX'!$A:$A,0)),INDEX(Base!$U:$U,MATCH($A22,Base!$A:$A,0)),IF(FY$1=INDEX('Valo FX'!$R:$R,MATCH($A22,'Valo FX'!$A:$A,0)),INDEX(Base!$V:$V,MATCH($A22,Base!$A:$A,0)),0)))</f>
        <v>11.94904</v>
      </c>
      <c r="FZ22" s="21">
        <f>IF(FZ$1&lt;INDEX('Valo FX'!$Q:$Q,MATCH($A22,'Valo FX'!$A:$A,0)),0,IF(FZ$1&lt;INDEX('Valo FX'!$R:$R,MATCH($A22,'Valo FX'!$A:$A,0)),INDEX(Base!$U:$U,MATCH($A22,Base!$A:$A,0)),IF(FZ$1=INDEX('Valo FX'!$R:$R,MATCH($A22,'Valo FX'!$A:$A,0)),INDEX(Base!$V:$V,MATCH($A22,Base!$A:$A,0)),0)))</f>
        <v>11.94904</v>
      </c>
      <c r="GA22" s="21">
        <f>IF(GA$1&lt;INDEX('Valo FX'!$Q:$Q,MATCH($A22,'Valo FX'!$A:$A,0)),0,IF(GA$1&lt;INDEX('Valo FX'!$R:$R,MATCH($A22,'Valo FX'!$A:$A,0)),INDEX(Base!$U:$U,MATCH($A22,Base!$A:$A,0)),IF(GA$1=INDEX('Valo FX'!$R:$R,MATCH($A22,'Valo FX'!$A:$A,0)),INDEX(Base!$V:$V,MATCH($A22,Base!$A:$A,0)),0)))</f>
        <v>11.94904</v>
      </c>
      <c r="GB22" s="21">
        <f>IF(GB$1&lt;INDEX('Valo FX'!$Q:$Q,MATCH($A22,'Valo FX'!$A:$A,0)),0,IF(GB$1&lt;INDEX('Valo FX'!$R:$R,MATCH($A22,'Valo FX'!$A:$A,0)),INDEX(Base!$U:$U,MATCH($A22,Base!$A:$A,0)),IF(GB$1=INDEX('Valo FX'!$R:$R,MATCH($A22,'Valo FX'!$A:$A,0)),INDEX(Base!$V:$V,MATCH($A22,Base!$A:$A,0)),0)))</f>
        <v>11.94904</v>
      </c>
      <c r="GC22" s="21">
        <f>IF(GC$1&lt;INDEX('Valo FX'!$Q:$Q,MATCH($A22,'Valo FX'!$A:$A,0)),0,IF(GC$1&lt;INDEX('Valo FX'!$R:$R,MATCH($A22,'Valo FX'!$A:$A,0)),INDEX(Base!$U:$U,MATCH($A22,Base!$A:$A,0)),IF(GC$1=INDEX('Valo FX'!$R:$R,MATCH($A22,'Valo FX'!$A:$A,0)),INDEX(Base!$V:$V,MATCH($A22,Base!$A:$A,0)),0)))</f>
        <v>11.94904</v>
      </c>
      <c r="GD22" s="21">
        <f>IF(GD$1&lt;INDEX('Valo FX'!$Q:$Q,MATCH($A22,'Valo FX'!$A:$A,0)),0,IF(GD$1&lt;INDEX('Valo FX'!$R:$R,MATCH($A22,'Valo FX'!$A:$A,0)),INDEX(Base!$U:$U,MATCH($A22,Base!$A:$A,0)),IF(GD$1=INDEX('Valo FX'!$R:$R,MATCH($A22,'Valo FX'!$A:$A,0)),INDEX(Base!$V:$V,MATCH($A22,Base!$A:$A,0)),0)))</f>
        <v>11.94904</v>
      </c>
      <c r="GE22" s="21">
        <f>IF(GE$1&lt;INDEX('Valo FX'!$Q:$Q,MATCH($A22,'Valo FX'!$A:$A,0)),0,IF(GE$1&lt;INDEX('Valo FX'!$R:$R,MATCH($A22,'Valo FX'!$A:$A,0)),INDEX(Base!$U:$U,MATCH($A22,Base!$A:$A,0)),IF(GE$1=INDEX('Valo FX'!$R:$R,MATCH($A22,'Valo FX'!$A:$A,0)),INDEX(Base!$V:$V,MATCH($A22,Base!$A:$A,0)),0)))</f>
        <v>11.94904</v>
      </c>
      <c r="GF22" s="21">
        <f>IF(GF$1&lt;INDEX('Valo FX'!$Q:$Q,MATCH($A22,'Valo FX'!$A:$A,0)),0,IF(GF$1&lt;INDEX('Valo FX'!$R:$R,MATCH($A22,'Valo FX'!$A:$A,0)),INDEX(Base!$U:$U,MATCH($A22,Base!$A:$A,0)),IF(GF$1=INDEX('Valo FX'!$R:$R,MATCH($A22,'Valo FX'!$A:$A,0)),INDEX(Base!$V:$V,MATCH($A22,Base!$A:$A,0)),0)))</f>
        <v>11.94904</v>
      </c>
      <c r="GG22" s="21">
        <f>IF(GG$1&lt;INDEX('Valo FX'!$Q:$Q,MATCH($A22,'Valo FX'!$A:$A,0)),0,IF(GG$1&lt;INDEX('Valo FX'!$R:$R,MATCH($A22,'Valo FX'!$A:$A,0)),INDEX(Base!$U:$U,MATCH($A22,Base!$A:$A,0)),IF(GG$1=INDEX('Valo FX'!$R:$R,MATCH($A22,'Valo FX'!$A:$A,0)),INDEX(Base!$V:$V,MATCH($A22,Base!$A:$A,0)),0)))</f>
        <v>11.94904</v>
      </c>
      <c r="GH22" s="21">
        <f>IF(GH$1&lt;INDEX('Valo FX'!$Q:$Q,MATCH($A22,'Valo FX'!$A:$A,0)),0,IF(GH$1&lt;INDEX('Valo FX'!$R:$R,MATCH($A22,'Valo FX'!$A:$A,0)),INDEX(Base!$U:$U,MATCH($A22,Base!$A:$A,0)),IF(GH$1=INDEX('Valo FX'!$R:$R,MATCH($A22,'Valo FX'!$A:$A,0)),INDEX(Base!$V:$V,MATCH($A22,Base!$A:$A,0)),0)))</f>
        <v>11.94904</v>
      </c>
      <c r="GI22" s="21">
        <f>IF(GI$1&lt;INDEX('Valo FX'!$Q:$Q,MATCH($A22,'Valo FX'!$A:$A,0)),0,IF(GI$1&lt;INDEX('Valo FX'!$R:$R,MATCH($A22,'Valo FX'!$A:$A,0)),INDEX(Base!$U:$U,MATCH($A22,Base!$A:$A,0)),IF(GI$1=INDEX('Valo FX'!$R:$R,MATCH($A22,'Valo FX'!$A:$A,0)),INDEX(Base!$V:$V,MATCH($A22,Base!$A:$A,0)),0)))</f>
        <v>11.94904</v>
      </c>
      <c r="GJ22" s="21">
        <f>IF(GJ$1&lt;INDEX('Valo FX'!$Q:$Q,MATCH($A22,'Valo FX'!$A:$A,0)),0,IF(GJ$1&lt;INDEX('Valo FX'!$R:$R,MATCH($A22,'Valo FX'!$A:$A,0)),INDEX(Base!$U:$U,MATCH($A22,Base!$A:$A,0)),IF(GJ$1=INDEX('Valo FX'!$R:$R,MATCH($A22,'Valo FX'!$A:$A,0)),INDEX(Base!$V:$V,MATCH($A22,Base!$A:$A,0)),0)))</f>
        <v>11.94904</v>
      </c>
      <c r="GK22" s="21">
        <f>IF(GK$1&lt;INDEX('Valo FX'!$Q:$Q,MATCH($A22,'Valo FX'!$A:$A,0)),0,IF(GK$1&lt;INDEX('Valo FX'!$R:$R,MATCH($A22,'Valo FX'!$A:$A,0)),INDEX(Base!$U:$U,MATCH($A22,Base!$A:$A,0)),IF(GK$1=INDEX('Valo FX'!$R:$R,MATCH($A22,'Valo FX'!$A:$A,0)),INDEX(Base!$V:$V,MATCH($A22,Base!$A:$A,0)),0)))</f>
        <v>11.94904</v>
      </c>
      <c r="GL22" s="21">
        <f>IF(GL$1&lt;INDEX('Valo FX'!$Q:$Q,MATCH($A22,'Valo FX'!$A:$A,0)),0,IF(GL$1&lt;INDEX('Valo FX'!$R:$R,MATCH($A22,'Valo FX'!$A:$A,0)),INDEX(Base!$U:$U,MATCH($A22,Base!$A:$A,0)),IF(GL$1=INDEX('Valo FX'!$R:$R,MATCH($A22,'Valo FX'!$A:$A,0)),INDEX(Base!$V:$V,MATCH($A22,Base!$A:$A,0)),0)))</f>
        <v>11.94904</v>
      </c>
      <c r="GM22" s="21">
        <f>IF(GM$1&lt;INDEX('Valo FX'!$Q:$Q,MATCH($A22,'Valo FX'!$A:$A,0)),0,IF(GM$1&lt;INDEX('Valo FX'!$R:$R,MATCH($A22,'Valo FX'!$A:$A,0)),INDEX(Base!$U:$U,MATCH($A22,Base!$A:$A,0)),IF(GM$1=INDEX('Valo FX'!$R:$R,MATCH($A22,'Valo FX'!$A:$A,0)),INDEX(Base!$V:$V,MATCH($A22,Base!$A:$A,0)),0)))</f>
        <v>11.94904</v>
      </c>
      <c r="GN22" s="21">
        <f>IF(GN$1&lt;INDEX('Valo FX'!$Q:$Q,MATCH($A22,'Valo FX'!$A:$A,0)),0,IF(GN$1&lt;INDEX('Valo FX'!$R:$R,MATCH($A22,'Valo FX'!$A:$A,0)),INDEX(Base!$U:$U,MATCH($A22,Base!$A:$A,0)),IF(GN$1=INDEX('Valo FX'!$R:$R,MATCH($A22,'Valo FX'!$A:$A,0)),INDEX(Base!$V:$V,MATCH($A22,Base!$A:$A,0)),0)))</f>
        <v>11.94904</v>
      </c>
      <c r="GO22" s="21">
        <f>IF(GO$1&lt;INDEX('Valo FX'!$Q:$Q,MATCH($A22,'Valo FX'!$A:$A,0)),0,IF(GO$1&lt;INDEX('Valo FX'!$R:$R,MATCH($A22,'Valo FX'!$A:$A,0)),INDEX(Base!$U:$U,MATCH($A22,Base!$A:$A,0)),IF(GO$1=INDEX('Valo FX'!$R:$R,MATCH($A22,'Valo FX'!$A:$A,0)),INDEX(Base!$V:$V,MATCH($A22,Base!$A:$A,0)),0)))</f>
        <v>11.94904</v>
      </c>
      <c r="GP22" s="21">
        <f>IF(GP$1&lt;INDEX('Valo FX'!$Q:$Q,MATCH($A22,'Valo FX'!$A:$A,0)),0,IF(GP$1&lt;INDEX('Valo FX'!$R:$R,MATCH($A22,'Valo FX'!$A:$A,0)),INDEX(Base!$U:$U,MATCH($A22,Base!$A:$A,0)),IF(GP$1=INDEX('Valo FX'!$R:$R,MATCH($A22,'Valo FX'!$A:$A,0)),INDEX(Base!$V:$V,MATCH($A22,Base!$A:$A,0)),0)))</f>
        <v>11.94904</v>
      </c>
      <c r="GQ22" s="21">
        <f>IF(GQ$1&lt;INDEX('Valo FX'!$Q:$Q,MATCH($A22,'Valo FX'!$A:$A,0)),0,IF(GQ$1&lt;INDEX('Valo FX'!$R:$R,MATCH($A22,'Valo FX'!$A:$A,0)),INDEX(Base!$U:$U,MATCH($A22,Base!$A:$A,0)),IF(GQ$1=INDEX('Valo FX'!$R:$R,MATCH($A22,'Valo FX'!$A:$A,0)),INDEX(Base!$V:$V,MATCH($A22,Base!$A:$A,0)),0)))</f>
        <v>11.94904</v>
      </c>
      <c r="GR22" s="21">
        <f>IF(GR$1&lt;INDEX('Valo FX'!$Q:$Q,MATCH($A22,'Valo FX'!$A:$A,0)),0,IF(GR$1&lt;INDEX('Valo FX'!$R:$R,MATCH($A22,'Valo FX'!$A:$A,0)),INDEX(Base!$U:$U,MATCH($A22,Base!$A:$A,0)),IF(GR$1=INDEX('Valo FX'!$R:$R,MATCH($A22,'Valo FX'!$A:$A,0)),INDEX(Base!$V:$V,MATCH($A22,Base!$A:$A,0)),0)))</f>
        <v>11.94904</v>
      </c>
      <c r="GS22" s="21">
        <f>IF(GS$1&lt;INDEX('Valo FX'!$Q:$Q,MATCH($A22,'Valo FX'!$A:$A,0)),0,IF(GS$1&lt;INDEX('Valo FX'!$R:$R,MATCH($A22,'Valo FX'!$A:$A,0)),INDEX(Base!$U:$U,MATCH($A22,Base!$A:$A,0)),IF(GS$1=INDEX('Valo FX'!$R:$R,MATCH($A22,'Valo FX'!$A:$A,0)),INDEX(Base!$V:$V,MATCH($A22,Base!$A:$A,0)),0)))</f>
        <v>11.94904</v>
      </c>
      <c r="GT22" s="21">
        <f>IF(GT$1&lt;INDEX('Valo FX'!$Q:$Q,MATCH($A22,'Valo FX'!$A:$A,0)),0,IF(GT$1&lt;INDEX('Valo FX'!$R:$R,MATCH($A22,'Valo FX'!$A:$A,0)),INDEX(Base!$U:$U,MATCH($A22,Base!$A:$A,0)),IF(GT$1=INDEX('Valo FX'!$R:$R,MATCH($A22,'Valo FX'!$A:$A,0)),INDEX(Base!$V:$V,MATCH($A22,Base!$A:$A,0)),0)))</f>
        <v>11.94904</v>
      </c>
      <c r="GU22" s="21">
        <f>IF(GU$1&lt;INDEX('Valo FX'!$Q:$Q,MATCH($A22,'Valo FX'!$A:$A,0)),0,IF(GU$1&lt;INDEX('Valo FX'!$R:$R,MATCH($A22,'Valo FX'!$A:$A,0)),INDEX(Base!$U:$U,MATCH($A22,Base!$A:$A,0)),IF(GU$1=INDEX('Valo FX'!$R:$R,MATCH($A22,'Valo FX'!$A:$A,0)),INDEX(Base!$V:$V,MATCH($A22,Base!$A:$A,0)),0)))</f>
        <v>11.94904</v>
      </c>
      <c r="GV22" s="21">
        <f>IF(GV$1&lt;INDEX('Valo FX'!$Q:$Q,MATCH($A22,'Valo FX'!$A:$A,0)),0,IF(GV$1&lt;INDEX('Valo FX'!$R:$R,MATCH($A22,'Valo FX'!$A:$A,0)),INDEX(Base!$U:$U,MATCH($A22,Base!$A:$A,0)),IF(GV$1=INDEX('Valo FX'!$R:$R,MATCH($A22,'Valo FX'!$A:$A,0)),INDEX(Base!$V:$V,MATCH($A22,Base!$A:$A,0)),0)))</f>
        <v>11.94904</v>
      </c>
      <c r="GW22" s="21">
        <f>IF(GW$1&lt;INDEX('Valo FX'!$Q:$Q,MATCH($A22,'Valo FX'!$A:$A,0)),0,IF(GW$1&lt;INDEX('Valo FX'!$R:$R,MATCH($A22,'Valo FX'!$A:$A,0)),INDEX(Base!$U:$U,MATCH($A22,Base!$A:$A,0)),IF(GW$1=INDEX('Valo FX'!$R:$R,MATCH($A22,'Valo FX'!$A:$A,0)),INDEX(Base!$V:$V,MATCH($A22,Base!$A:$A,0)),0)))</f>
        <v>11.94904</v>
      </c>
      <c r="GX22" s="21">
        <f>IF(GX$1&lt;INDEX('Valo FX'!$Q:$Q,MATCH($A22,'Valo FX'!$A:$A,0)),0,IF(GX$1&lt;INDEX('Valo FX'!$R:$R,MATCH($A22,'Valo FX'!$A:$A,0)),INDEX(Base!$U:$U,MATCH($A22,Base!$A:$A,0)),IF(GX$1=INDEX('Valo FX'!$R:$R,MATCH($A22,'Valo FX'!$A:$A,0)),INDEX(Base!$V:$V,MATCH($A22,Base!$A:$A,0)),0)))</f>
        <v>11.94904</v>
      </c>
      <c r="GY22" s="21">
        <f>IF(GY$1&lt;INDEX('Valo FX'!$Q:$Q,MATCH($A22,'Valo FX'!$A:$A,0)),0,IF(GY$1&lt;INDEX('Valo FX'!$R:$R,MATCH($A22,'Valo FX'!$A:$A,0)),INDEX(Base!$U:$U,MATCH($A22,Base!$A:$A,0)),IF(GY$1=INDEX('Valo FX'!$R:$R,MATCH($A22,'Valo FX'!$A:$A,0)),INDEX(Base!$V:$V,MATCH($A22,Base!$A:$A,0)),0)))</f>
        <v>11.94904</v>
      </c>
      <c r="GZ22" s="21">
        <f>IF(GZ$1&lt;INDEX('Valo FX'!$Q:$Q,MATCH($A22,'Valo FX'!$A:$A,0)),0,IF(GZ$1&lt;INDEX('Valo FX'!$R:$R,MATCH($A22,'Valo FX'!$A:$A,0)),INDEX(Base!$U:$U,MATCH($A22,Base!$A:$A,0)),IF(GZ$1=INDEX('Valo FX'!$R:$R,MATCH($A22,'Valo FX'!$A:$A,0)),INDEX(Base!$V:$V,MATCH($A22,Base!$A:$A,0)),0)))</f>
        <v>11.94904</v>
      </c>
      <c r="HA22" s="21">
        <f>IF(HA$1&lt;INDEX('Valo FX'!$Q:$Q,MATCH($A22,'Valo FX'!$A:$A,0)),0,IF(HA$1&lt;INDEX('Valo FX'!$R:$R,MATCH($A22,'Valo FX'!$A:$A,0)),INDEX(Base!$U:$U,MATCH($A22,Base!$A:$A,0)),IF(HA$1=INDEX('Valo FX'!$R:$R,MATCH($A22,'Valo FX'!$A:$A,0)),INDEX(Base!$V:$V,MATCH($A22,Base!$A:$A,0)),0)))</f>
        <v>11.94904</v>
      </c>
      <c r="HB22" s="21">
        <f>IF(HB$1&lt;INDEX('Valo FX'!$Q:$Q,MATCH($A22,'Valo FX'!$A:$A,0)),0,IF(HB$1&lt;INDEX('Valo FX'!$R:$R,MATCH($A22,'Valo FX'!$A:$A,0)),INDEX(Base!$U:$U,MATCH($A22,Base!$A:$A,0)),IF(HB$1=INDEX('Valo FX'!$R:$R,MATCH($A22,'Valo FX'!$A:$A,0)),INDEX(Base!$V:$V,MATCH($A22,Base!$A:$A,0)),0)))</f>
        <v>11.94904</v>
      </c>
      <c r="HC22" s="21">
        <f>IF(HC$1&lt;INDEX('Valo FX'!$Q:$Q,MATCH($A22,'Valo FX'!$A:$A,0)),0,IF(HC$1&lt;INDEX('Valo FX'!$R:$R,MATCH($A22,'Valo FX'!$A:$A,0)),INDEX(Base!$U:$U,MATCH($A22,Base!$A:$A,0)),IF(HC$1=INDEX('Valo FX'!$R:$R,MATCH($A22,'Valo FX'!$A:$A,0)),INDEX(Base!$V:$V,MATCH($A22,Base!$A:$A,0)),0)))</f>
        <v>11.94904</v>
      </c>
      <c r="HD22" s="21">
        <f>IF(HD$1&lt;INDEX('Valo FX'!$Q:$Q,MATCH($A22,'Valo FX'!$A:$A,0)),0,IF(HD$1&lt;INDEX('Valo FX'!$R:$R,MATCH($A22,'Valo FX'!$A:$A,0)),INDEX(Base!$U:$U,MATCH($A22,Base!$A:$A,0)),IF(HD$1=INDEX('Valo FX'!$R:$R,MATCH($A22,'Valo FX'!$A:$A,0)),INDEX(Base!$V:$V,MATCH($A22,Base!$A:$A,0)),0)))</f>
        <v>11.94904</v>
      </c>
      <c r="HE22" s="21">
        <f>IF(HE$1&lt;INDEX('Valo FX'!$Q:$Q,MATCH($A22,'Valo FX'!$A:$A,0)),0,IF(HE$1&lt;INDEX('Valo FX'!$R:$R,MATCH($A22,'Valo FX'!$A:$A,0)),INDEX(Base!$U:$U,MATCH($A22,Base!$A:$A,0)),IF(HE$1=INDEX('Valo FX'!$R:$R,MATCH($A22,'Valo FX'!$A:$A,0)),INDEX(Base!$V:$V,MATCH($A22,Base!$A:$A,0)),0)))</f>
        <v>11.94904</v>
      </c>
      <c r="HF22" s="21">
        <f>IF(HF$1&lt;INDEX('Valo FX'!$Q:$Q,MATCH($A22,'Valo FX'!$A:$A,0)),0,IF(HF$1&lt;INDEX('Valo FX'!$R:$R,MATCH($A22,'Valo FX'!$A:$A,0)),INDEX(Base!$U:$U,MATCH($A22,Base!$A:$A,0)),IF(HF$1=INDEX('Valo FX'!$R:$R,MATCH($A22,'Valo FX'!$A:$A,0)),INDEX(Base!$V:$V,MATCH($A22,Base!$A:$A,0)),0)))</f>
        <v>11.94904</v>
      </c>
      <c r="HG22" s="21">
        <f>IF(HG$1&lt;INDEX('Valo FX'!$Q:$Q,MATCH($A22,'Valo FX'!$A:$A,0)),0,IF(HG$1&lt;INDEX('Valo FX'!$R:$R,MATCH($A22,'Valo FX'!$A:$A,0)),INDEX(Base!$U:$U,MATCH($A22,Base!$A:$A,0)),IF(HG$1=INDEX('Valo FX'!$R:$R,MATCH($A22,'Valo FX'!$A:$A,0)),INDEX(Base!$V:$V,MATCH($A22,Base!$A:$A,0)),0)))</f>
        <v>11.94904</v>
      </c>
      <c r="HH22" s="21">
        <f>IF(HH$1&lt;INDEX('Valo FX'!$Q:$Q,MATCH($A22,'Valo FX'!$A:$A,0)),0,IF(HH$1&lt;INDEX('Valo FX'!$R:$R,MATCH($A22,'Valo FX'!$A:$A,0)),INDEX(Base!$U:$U,MATCH($A22,Base!$A:$A,0)),IF(HH$1=INDEX('Valo FX'!$R:$R,MATCH($A22,'Valo FX'!$A:$A,0)),INDEX(Base!$V:$V,MATCH($A22,Base!$A:$A,0)),0)))</f>
        <v>11.94904</v>
      </c>
      <c r="HI22" s="21">
        <f>IF(HI$1&lt;INDEX('Valo FX'!$Q:$Q,MATCH($A22,'Valo FX'!$A:$A,0)),0,IF(HI$1&lt;INDEX('Valo FX'!$R:$R,MATCH($A22,'Valo FX'!$A:$A,0)),INDEX(Base!$U:$U,MATCH($A22,Base!$A:$A,0)),IF(HI$1=INDEX('Valo FX'!$R:$R,MATCH($A22,'Valo FX'!$A:$A,0)),INDEX(Base!$V:$V,MATCH($A22,Base!$A:$A,0)),0)))</f>
        <v>11.94904</v>
      </c>
      <c r="HJ22" s="21">
        <f>IF(HJ$1&lt;INDEX('Valo FX'!$Q:$Q,MATCH($A22,'Valo FX'!$A:$A,0)),0,IF(HJ$1&lt;INDEX('Valo FX'!$R:$R,MATCH($A22,'Valo FX'!$A:$A,0)),INDEX(Base!$U:$U,MATCH($A22,Base!$A:$A,0)),IF(HJ$1=INDEX('Valo FX'!$R:$R,MATCH($A22,'Valo FX'!$A:$A,0)),INDEX(Base!$V:$V,MATCH($A22,Base!$A:$A,0)),0)))</f>
        <v>11.94904</v>
      </c>
      <c r="HK22" s="21">
        <f>IF(HK$1&lt;INDEX('Valo FX'!$Q:$Q,MATCH($A22,'Valo FX'!$A:$A,0)),0,IF(HK$1&lt;INDEX('Valo FX'!$R:$R,MATCH($A22,'Valo FX'!$A:$A,0)),INDEX(Base!$U:$U,MATCH($A22,Base!$A:$A,0)),IF(HK$1=INDEX('Valo FX'!$R:$R,MATCH($A22,'Valo FX'!$A:$A,0)),INDEX(Base!$V:$V,MATCH($A22,Base!$A:$A,0)),0)))</f>
        <v>11.94904</v>
      </c>
      <c r="HL22" s="21">
        <f>IF(HL$1&lt;INDEX('Valo FX'!$Q:$Q,MATCH($A22,'Valo FX'!$A:$A,0)),0,IF(HL$1&lt;INDEX('Valo FX'!$R:$R,MATCH($A22,'Valo FX'!$A:$A,0)),INDEX(Base!$U:$U,MATCH($A22,Base!$A:$A,0)),IF(HL$1=INDEX('Valo FX'!$R:$R,MATCH($A22,'Valo FX'!$A:$A,0)),INDEX(Base!$V:$V,MATCH($A22,Base!$A:$A,0)),0)))</f>
        <v>11.94904</v>
      </c>
      <c r="HM22" s="21">
        <f>IF(HM$1&lt;INDEX('Valo FX'!$Q:$Q,MATCH($A22,'Valo FX'!$A:$A,0)),0,IF(HM$1&lt;INDEX('Valo FX'!$R:$R,MATCH($A22,'Valo FX'!$A:$A,0)),INDEX(Base!$U:$U,MATCH($A22,Base!$A:$A,0)),IF(HM$1=INDEX('Valo FX'!$R:$R,MATCH($A22,'Valo FX'!$A:$A,0)),INDEX(Base!$V:$V,MATCH($A22,Base!$A:$A,0)),0)))</f>
        <v>11.94904</v>
      </c>
      <c r="HN22" s="21">
        <f>IF(HN$1&lt;INDEX('Valo FX'!$Q:$Q,MATCH($A22,'Valo FX'!$A:$A,0)),0,IF(HN$1&lt;INDEX('Valo FX'!$R:$R,MATCH($A22,'Valo FX'!$A:$A,0)),INDEX(Base!$U:$U,MATCH($A22,Base!$A:$A,0)),IF(HN$1=INDEX('Valo FX'!$R:$R,MATCH($A22,'Valo FX'!$A:$A,0)),INDEX(Base!$V:$V,MATCH($A22,Base!$A:$A,0)),0)))</f>
        <v>11.94904</v>
      </c>
      <c r="HO22" s="21">
        <f>IF(HO$1&lt;INDEX('Valo FX'!$Q:$Q,MATCH($A22,'Valo FX'!$A:$A,0)),0,IF(HO$1&lt;INDEX('Valo FX'!$R:$R,MATCH($A22,'Valo FX'!$A:$A,0)),INDEX(Base!$U:$U,MATCH($A22,Base!$A:$A,0)),IF(HO$1=INDEX('Valo FX'!$R:$R,MATCH($A22,'Valo FX'!$A:$A,0)),INDEX(Base!$V:$V,MATCH($A22,Base!$A:$A,0)),0)))</f>
        <v>11.94904</v>
      </c>
      <c r="HP22" s="21">
        <f>IF(HP$1&lt;INDEX('Valo FX'!$Q:$Q,MATCH($A22,'Valo FX'!$A:$A,0)),0,IF(HP$1&lt;INDEX('Valo FX'!$R:$R,MATCH($A22,'Valo FX'!$A:$A,0)),INDEX(Base!$U:$U,MATCH($A22,Base!$A:$A,0)),IF(HP$1=INDEX('Valo FX'!$R:$R,MATCH($A22,'Valo FX'!$A:$A,0)),INDEX(Base!$V:$V,MATCH($A22,Base!$A:$A,0)),0)))</f>
        <v>11.94904</v>
      </c>
      <c r="HQ22" s="21">
        <f>IF(HQ$1&lt;INDEX('Valo FX'!$Q:$Q,MATCH($A22,'Valo FX'!$A:$A,0)),0,IF(HQ$1&lt;INDEX('Valo FX'!$R:$R,MATCH($A22,'Valo FX'!$A:$A,0)),INDEX(Base!$U:$U,MATCH($A22,Base!$A:$A,0)),IF(HQ$1=INDEX('Valo FX'!$R:$R,MATCH($A22,'Valo FX'!$A:$A,0)),INDEX(Base!$V:$V,MATCH($A22,Base!$A:$A,0)),0)))</f>
        <v>11.94904</v>
      </c>
      <c r="HR22" s="21">
        <f>IF(HR$1&lt;INDEX('Valo FX'!$Q:$Q,MATCH($A22,'Valo FX'!$A:$A,0)),0,IF(HR$1&lt;INDEX('Valo FX'!$R:$R,MATCH($A22,'Valo FX'!$A:$A,0)),INDEX(Base!$U:$U,MATCH($A22,Base!$A:$A,0)),IF(HR$1=INDEX('Valo FX'!$R:$R,MATCH($A22,'Valo FX'!$A:$A,0)),INDEX(Base!$V:$V,MATCH($A22,Base!$A:$A,0)),0)))</f>
        <v>11.94904</v>
      </c>
      <c r="HS22" s="21">
        <f>IF(HS$1&lt;INDEX('Valo FX'!$Q:$Q,MATCH($A22,'Valo FX'!$A:$A,0)),0,IF(HS$1&lt;INDEX('Valo FX'!$R:$R,MATCH($A22,'Valo FX'!$A:$A,0)),INDEX(Base!$U:$U,MATCH($A22,Base!$A:$A,0)),IF(HS$1=INDEX('Valo FX'!$R:$R,MATCH($A22,'Valo FX'!$A:$A,0)),INDEX(Base!$V:$V,MATCH($A22,Base!$A:$A,0)),0)))</f>
        <v>11.94904</v>
      </c>
      <c r="HT22" s="21">
        <f>IF(HT$1&lt;INDEX('Valo FX'!$Q:$Q,MATCH($A22,'Valo FX'!$A:$A,0)),0,IF(HT$1&lt;INDEX('Valo FX'!$R:$R,MATCH($A22,'Valo FX'!$A:$A,0)),INDEX(Base!$U:$U,MATCH($A22,Base!$A:$A,0)),IF(HT$1=INDEX('Valo FX'!$R:$R,MATCH($A22,'Valo FX'!$A:$A,0)),INDEX(Base!$V:$V,MATCH($A22,Base!$A:$A,0)),0)))</f>
        <v>11.94904</v>
      </c>
      <c r="HU22" s="21">
        <f>IF(HU$1&lt;INDEX('Valo FX'!$Q:$Q,MATCH($A22,'Valo FX'!$A:$A,0)),0,IF(HU$1&lt;INDEX('Valo FX'!$R:$R,MATCH($A22,'Valo FX'!$A:$A,0)),INDEX(Base!$U:$U,MATCH($A22,Base!$A:$A,0)),IF(HU$1=INDEX('Valo FX'!$R:$R,MATCH($A22,'Valo FX'!$A:$A,0)),INDEX(Base!$V:$V,MATCH($A22,Base!$A:$A,0)),0)))</f>
        <v>11.94904</v>
      </c>
      <c r="HV22" s="21">
        <f>IF(HV$1&lt;INDEX('Valo FX'!$Q:$Q,MATCH($A22,'Valo FX'!$A:$A,0)),0,IF(HV$1&lt;INDEX('Valo FX'!$R:$R,MATCH($A22,'Valo FX'!$A:$A,0)),INDEX(Base!$U:$U,MATCH($A22,Base!$A:$A,0)),IF(HV$1=INDEX('Valo FX'!$R:$R,MATCH($A22,'Valo FX'!$A:$A,0)),INDEX(Base!$V:$V,MATCH($A22,Base!$A:$A,0)),0)))</f>
        <v>11.94904</v>
      </c>
      <c r="HW22" s="21">
        <f>IF(HW$1&lt;INDEX('Valo FX'!$Q:$Q,MATCH($A22,'Valo FX'!$A:$A,0)),0,IF(HW$1&lt;INDEX('Valo FX'!$R:$R,MATCH($A22,'Valo FX'!$A:$A,0)),INDEX(Base!$U:$U,MATCH($A22,Base!$A:$A,0)),IF(HW$1=INDEX('Valo FX'!$R:$R,MATCH($A22,'Valo FX'!$A:$A,0)),INDEX(Base!$V:$V,MATCH($A22,Base!$A:$A,0)),0)))</f>
        <v>11.94904</v>
      </c>
      <c r="HX22" s="21">
        <f>IF(HX$1&lt;INDEX('Valo FX'!$Q:$Q,MATCH($A22,'Valo FX'!$A:$A,0)),0,IF(HX$1&lt;INDEX('Valo FX'!$R:$R,MATCH($A22,'Valo FX'!$A:$A,0)),INDEX(Base!$U:$U,MATCH($A22,Base!$A:$A,0)),IF(HX$1=INDEX('Valo FX'!$R:$R,MATCH($A22,'Valo FX'!$A:$A,0)),INDEX(Base!$V:$V,MATCH($A22,Base!$A:$A,0)),0)))</f>
        <v>11.94904</v>
      </c>
      <c r="HY22" s="21">
        <f>IF(HY$1&lt;INDEX('Valo FX'!$Q:$Q,MATCH($A22,'Valo FX'!$A:$A,0)),0,IF(HY$1&lt;INDEX('Valo FX'!$R:$R,MATCH($A22,'Valo FX'!$A:$A,0)),INDEX(Base!$U:$U,MATCH($A22,Base!$A:$A,0)),IF(HY$1=INDEX('Valo FX'!$R:$R,MATCH($A22,'Valo FX'!$A:$A,0)),INDEX(Base!$V:$V,MATCH($A22,Base!$A:$A,0)),0)))</f>
        <v>11.94904</v>
      </c>
      <c r="HZ22" s="21">
        <f>IF(HZ$1&lt;INDEX('Valo FX'!$Q:$Q,MATCH($A22,'Valo FX'!$A:$A,0)),0,IF(HZ$1&lt;INDEX('Valo FX'!$R:$R,MATCH($A22,'Valo FX'!$A:$A,0)),INDEX(Base!$U:$U,MATCH($A22,Base!$A:$A,0)),IF(HZ$1=INDEX('Valo FX'!$R:$R,MATCH($A22,'Valo FX'!$A:$A,0)),INDEX(Base!$V:$V,MATCH($A22,Base!$A:$A,0)),0)))</f>
        <v>11.94904</v>
      </c>
      <c r="IA22" s="21">
        <f>IF(IA$1&lt;INDEX('Valo FX'!$Q:$Q,MATCH($A22,'Valo FX'!$A:$A,0)),0,IF(IA$1&lt;INDEX('Valo FX'!$R:$R,MATCH($A22,'Valo FX'!$A:$A,0)),INDEX(Base!$U:$U,MATCH($A22,Base!$A:$A,0)),IF(IA$1=INDEX('Valo FX'!$R:$R,MATCH($A22,'Valo FX'!$A:$A,0)),INDEX(Base!$V:$V,MATCH($A22,Base!$A:$A,0)),0)))</f>
        <v>11.94904</v>
      </c>
      <c r="IB22" s="21">
        <f>IF(IB$1&lt;INDEX('Valo FX'!$Q:$Q,MATCH($A22,'Valo FX'!$A:$A,0)),0,IF(IB$1&lt;INDEX('Valo FX'!$R:$R,MATCH($A22,'Valo FX'!$A:$A,0)),INDEX(Base!$U:$U,MATCH($A22,Base!$A:$A,0)),IF(IB$1=INDEX('Valo FX'!$R:$R,MATCH($A22,'Valo FX'!$A:$A,0)),INDEX(Base!$V:$V,MATCH($A22,Base!$A:$A,0)),0)))</f>
        <v>11.94904</v>
      </c>
      <c r="IC22" s="21">
        <f>IF(IC$1&lt;INDEX('Valo FX'!$Q:$Q,MATCH($A22,'Valo FX'!$A:$A,0)),0,IF(IC$1&lt;INDEX('Valo FX'!$R:$R,MATCH($A22,'Valo FX'!$A:$A,0)),INDEX(Base!$U:$U,MATCH($A22,Base!$A:$A,0)),IF(IC$1=INDEX('Valo FX'!$R:$R,MATCH($A22,'Valo FX'!$A:$A,0)),INDEX(Base!$V:$V,MATCH($A22,Base!$A:$A,0)),0)))</f>
        <v>11.94904</v>
      </c>
      <c r="ID22" s="21">
        <f>IF(ID$1&lt;INDEX('Valo FX'!$Q:$Q,MATCH($A22,'Valo FX'!$A:$A,0)),0,IF(ID$1&lt;INDEX('Valo FX'!$R:$R,MATCH($A22,'Valo FX'!$A:$A,0)),INDEX(Base!$U:$U,MATCH($A22,Base!$A:$A,0)),IF(ID$1=INDEX('Valo FX'!$R:$R,MATCH($A22,'Valo FX'!$A:$A,0)),INDEX(Base!$V:$V,MATCH($A22,Base!$A:$A,0)),0)))</f>
        <v>11.94904</v>
      </c>
      <c r="IE22" s="21">
        <f>IF(IE$1&lt;INDEX('Valo FX'!$Q:$Q,MATCH($A22,'Valo FX'!$A:$A,0)),0,IF(IE$1&lt;INDEX('Valo FX'!$R:$R,MATCH($A22,'Valo FX'!$A:$A,0)),INDEX(Base!$U:$U,MATCH($A22,Base!$A:$A,0)),IF(IE$1=INDEX('Valo FX'!$R:$R,MATCH($A22,'Valo FX'!$A:$A,0)),INDEX(Base!$V:$V,MATCH($A22,Base!$A:$A,0)),0)))</f>
        <v>11.94904</v>
      </c>
      <c r="IF22" s="21">
        <f>IF(IF$1&lt;INDEX('Valo FX'!$Q:$Q,MATCH($A22,'Valo FX'!$A:$A,0)),0,IF(IF$1&lt;INDEX('Valo FX'!$R:$R,MATCH($A22,'Valo FX'!$A:$A,0)),INDEX(Base!$U:$U,MATCH($A22,Base!$A:$A,0)),IF(IF$1=INDEX('Valo FX'!$R:$R,MATCH($A22,'Valo FX'!$A:$A,0)),INDEX(Base!$V:$V,MATCH($A22,Base!$A:$A,0)),0)))</f>
        <v>11.94904</v>
      </c>
      <c r="IG22" s="21">
        <f>IF(IG$1&lt;INDEX('Valo FX'!$Q:$Q,MATCH($A22,'Valo FX'!$A:$A,0)),0,IF(IG$1&lt;INDEX('Valo FX'!$R:$R,MATCH($A22,'Valo FX'!$A:$A,0)),INDEX(Base!$U:$U,MATCH($A22,Base!$A:$A,0)),IF(IG$1=INDEX('Valo FX'!$R:$R,MATCH($A22,'Valo FX'!$A:$A,0)),INDEX(Base!$V:$V,MATCH($A22,Base!$A:$A,0)),0)))</f>
        <v>11.94904</v>
      </c>
      <c r="IH22" s="21">
        <f>IF(IH$1&lt;INDEX('Valo FX'!$Q:$Q,MATCH($A22,'Valo FX'!$A:$A,0)),0,IF(IH$1&lt;INDEX('Valo FX'!$R:$R,MATCH($A22,'Valo FX'!$A:$A,0)),INDEX(Base!$U:$U,MATCH($A22,Base!$A:$A,0)),IF(IH$1=INDEX('Valo FX'!$R:$R,MATCH($A22,'Valo FX'!$A:$A,0)),INDEX(Base!$V:$V,MATCH($A22,Base!$A:$A,0)),0)))</f>
        <v>11.94904</v>
      </c>
      <c r="II22" s="21">
        <f>IF(II$1&lt;INDEX('Valo FX'!$Q:$Q,MATCH($A22,'Valo FX'!$A:$A,0)),0,IF(II$1&lt;INDEX('Valo FX'!$R:$R,MATCH($A22,'Valo FX'!$A:$A,0)),INDEX(Base!$U:$U,MATCH($A22,Base!$A:$A,0)),IF(II$1=INDEX('Valo FX'!$R:$R,MATCH($A22,'Valo FX'!$A:$A,0)),INDEX(Base!$V:$V,MATCH($A22,Base!$A:$A,0)),0)))</f>
        <v>11.94904</v>
      </c>
      <c r="IJ22" s="21">
        <f>IF(IJ$1&lt;INDEX('Valo FX'!$Q:$Q,MATCH($A22,'Valo FX'!$A:$A,0)),0,IF(IJ$1&lt;INDEX('Valo FX'!$R:$R,MATCH($A22,'Valo FX'!$A:$A,0)),INDEX(Base!$U:$U,MATCH($A22,Base!$A:$A,0)),IF(IJ$1=INDEX('Valo FX'!$R:$R,MATCH($A22,'Valo FX'!$A:$A,0)),INDEX(Base!$V:$V,MATCH($A22,Base!$A:$A,0)),0)))</f>
        <v>11.94904</v>
      </c>
      <c r="IK22" s="21">
        <f>IF(IK$1&lt;INDEX('Valo FX'!$Q:$Q,MATCH($A22,'Valo FX'!$A:$A,0)),0,IF(IK$1&lt;INDEX('Valo FX'!$R:$R,MATCH($A22,'Valo FX'!$A:$A,0)),INDEX(Base!$U:$U,MATCH($A22,Base!$A:$A,0)),IF(IK$1=INDEX('Valo FX'!$R:$R,MATCH($A22,'Valo FX'!$A:$A,0)),INDEX(Base!$V:$V,MATCH($A22,Base!$A:$A,0)),0)))</f>
        <v>11.94904</v>
      </c>
      <c r="IL22" s="21">
        <f>IF(IL$1&lt;INDEX('Valo FX'!$Q:$Q,MATCH($A22,'Valo FX'!$A:$A,0)),0,IF(IL$1&lt;INDEX('Valo FX'!$R:$R,MATCH($A22,'Valo FX'!$A:$A,0)),INDEX(Base!$U:$U,MATCH($A22,Base!$A:$A,0)),IF(IL$1=INDEX('Valo FX'!$R:$R,MATCH($A22,'Valo FX'!$A:$A,0)),INDEX(Base!$V:$V,MATCH($A22,Base!$A:$A,0)),0)))</f>
        <v>11.94904</v>
      </c>
      <c r="IM22" s="21">
        <f>IF(IM$1&lt;INDEX('Valo FX'!$Q:$Q,MATCH($A22,'Valo FX'!$A:$A,0)),0,IF(IM$1&lt;INDEX('Valo FX'!$R:$R,MATCH($A22,'Valo FX'!$A:$A,0)),INDEX(Base!$U:$U,MATCH($A22,Base!$A:$A,0)),IF(IM$1=INDEX('Valo FX'!$R:$R,MATCH($A22,'Valo FX'!$A:$A,0)),INDEX(Base!$V:$V,MATCH($A22,Base!$A:$A,0)),0)))</f>
        <v>11.94904</v>
      </c>
      <c r="IN22" s="21">
        <f>IF(IN$1&lt;INDEX('Valo FX'!$Q:$Q,MATCH($A22,'Valo FX'!$A:$A,0)),0,IF(IN$1&lt;INDEX('Valo FX'!$R:$R,MATCH($A22,'Valo FX'!$A:$A,0)),INDEX(Base!$U:$U,MATCH($A22,Base!$A:$A,0)),IF(IN$1=INDEX('Valo FX'!$R:$R,MATCH($A22,'Valo FX'!$A:$A,0)),INDEX(Base!$V:$V,MATCH($A22,Base!$A:$A,0)),0)))</f>
        <v>11.94904</v>
      </c>
      <c r="IO22" s="21">
        <f>IF(IO$1&lt;INDEX('Valo FX'!$Q:$Q,MATCH($A22,'Valo FX'!$A:$A,0)),0,IF(IO$1&lt;INDEX('Valo FX'!$R:$R,MATCH($A22,'Valo FX'!$A:$A,0)),INDEX(Base!$U:$U,MATCH($A22,Base!$A:$A,0)),IF(IO$1=INDEX('Valo FX'!$R:$R,MATCH($A22,'Valo FX'!$A:$A,0)),INDEX(Base!$V:$V,MATCH($A22,Base!$A:$A,0)),0)))</f>
        <v>11.94904</v>
      </c>
      <c r="IP22" s="21">
        <f>IF(IP$1&lt;INDEX('Valo FX'!$Q:$Q,MATCH($A22,'Valo FX'!$A:$A,0)),0,IF(IP$1&lt;INDEX('Valo FX'!$R:$R,MATCH($A22,'Valo FX'!$A:$A,0)),INDEX(Base!$U:$U,MATCH($A22,Base!$A:$A,0)),IF(IP$1=INDEX('Valo FX'!$R:$R,MATCH($A22,'Valo FX'!$A:$A,0)),INDEX(Base!$V:$V,MATCH($A22,Base!$A:$A,0)),0)))</f>
        <v>11.94904</v>
      </c>
      <c r="IQ22" s="21">
        <f>IF(IQ$1&lt;INDEX('Valo FX'!$Q:$Q,MATCH($A22,'Valo FX'!$A:$A,0)),0,IF(IQ$1&lt;INDEX('Valo FX'!$R:$R,MATCH($A22,'Valo FX'!$A:$A,0)),INDEX(Base!$U:$U,MATCH($A22,Base!$A:$A,0)),IF(IQ$1=INDEX('Valo FX'!$R:$R,MATCH($A22,'Valo FX'!$A:$A,0)),INDEX(Base!$V:$V,MATCH($A22,Base!$A:$A,0)),0)))</f>
        <v>11.94904</v>
      </c>
      <c r="IR22" s="21">
        <f>IF(IR$1&lt;INDEX('Valo FX'!$Q:$Q,MATCH($A22,'Valo FX'!$A:$A,0)),0,IF(IR$1&lt;INDEX('Valo FX'!$R:$R,MATCH($A22,'Valo FX'!$A:$A,0)),INDEX(Base!$U:$U,MATCH($A22,Base!$A:$A,0)),IF(IR$1=INDEX('Valo FX'!$R:$R,MATCH($A22,'Valo FX'!$A:$A,0)),INDEX(Base!$V:$V,MATCH($A22,Base!$A:$A,0)),0)))</f>
        <v>11.94904</v>
      </c>
      <c r="IS22" s="21">
        <f>IF(IS$1&lt;INDEX('Valo FX'!$Q:$Q,MATCH($A22,'Valo FX'!$A:$A,0)),0,IF(IS$1&lt;INDEX('Valo FX'!$R:$R,MATCH($A22,'Valo FX'!$A:$A,0)),INDEX(Base!$U:$U,MATCH($A22,Base!$A:$A,0)),IF(IS$1=INDEX('Valo FX'!$R:$R,MATCH($A22,'Valo FX'!$A:$A,0)),INDEX(Base!$V:$V,MATCH($A22,Base!$A:$A,0)),0)))</f>
        <v>11.94904</v>
      </c>
      <c r="IT22" s="21">
        <f>IF(IT$1&lt;INDEX('Valo FX'!$Q:$Q,MATCH($A22,'Valo FX'!$A:$A,0)),0,IF(IT$1&lt;INDEX('Valo FX'!$R:$R,MATCH($A22,'Valo FX'!$A:$A,0)),INDEX(Base!$U:$U,MATCH($A22,Base!$A:$A,0)),IF(IT$1=INDEX('Valo FX'!$R:$R,MATCH($A22,'Valo FX'!$A:$A,0)),INDEX(Base!$V:$V,MATCH($A22,Base!$A:$A,0)),0)))</f>
        <v>11.94904</v>
      </c>
      <c r="IU22" s="21">
        <f>IF(IU$1&lt;INDEX('Valo FX'!$Q:$Q,MATCH($A22,'Valo FX'!$A:$A,0)),0,IF(IU$1&lt;INDEX('Valo FX'!$R:$R,MATCH($A22,'Valo FX'!$A:$A,0)),INDEX(Base!$U:$U,MATCH($A22,Base!$A:$A,0)),IF(IU$1=INDEX('Valo FX'!$R:$R,MATCH($A22,'Valo FX'!$A:$A,0)),INDEX(Base!$V:$V,MATCH($A22,Base!$A:$A,0)),0)))</f>
        <v>11.94904</v>
      </c>
      <c r="IV22" s="21">
        <f>IF(IV$1&lt;INDEX('Valo FX'!$Q:$Q,MATCH($A22,'Valo FX'!$A:$A,0)),0,IF(IV$1&lt;INDEX('Valo FX'!$R:$R,MATCH($A22,'Valo FX'!$A:$A,0)),INDEX(Base!$U:$U,MATCH($A22,Base!$A:$A,0)),IF(IV$1=INDEX('Valo FX'!$R:$R,MATCH($A22,'Valo FX'!$A:$A,0)),INDEX(Base!$V:$V,MATCH($A22,Base!$A:$A,0)),0)))</f>
        <v>11.94904</v>
      </c>
      <c r="IW22" s="21">
        <f>IF(IW$1&lt;INDEX('Valo FX'!$Q:$Q,MATCH($A22,'Valo FX'!$A:$A,0)),0,IF(IW$1&lt;INDEX('Valo FX'!$R:$R,MATCH($A22,'Valo FX'!$A:$A,0)),INDEX(Base!$U:$U,MATCH($A22,Base!$A:$A,0)),IF(IW$1=INDEX('Valo FX'!$R:$R,MATCH($A22,'Valo FX'!$A:$A,0)),INDEX(Base!$V:$V,MATCH($A22,Base!$A:$A,0)),0)))</f>
        <v>11.94904</v>
      </c>
      <c r="IX22" s="21">
        <f>IF(IX$1&lt;INDEX('Valo FX'!$Q:$Q,MATCH($A22,'Valo FX'!$A:$A,0)),0,IF(IX$1&lt;INDEX('Valo FX'!$R:$R,MATCH($A22,'Valo FX'!$A:$A,0)),INDEX(Base!$U:$U,MATCH($A22,Base!$A:$A,0)),IF(IX$1=INDEX('Valo FX'!$R:$R,MATCH($A22,'Valo FX'!$A:$A,0)),INDEX(Base!$V:$V,MATCH($A22,Base!$A:$A,0)),0)))</f>
        <v>11.94904</v>
      </c>
      <c r="IY22" s="21">
        <f>IF(IY$1&lt;INDEX('Valo FX'!$Q:$Q,MATCH($A22,'Valo FX'!$A:$A,0)),0,IF(IY$1&lt;INDEX('Valo FX'!$R:$R,MATCH($A22,'Valo FX'!$A:$A,0)),INDEX(Base!$U:$U,MATCH($A22,Base!$A:$A,0)),IF(IY$1=INDEX('Valo FX'!$R:$R,MATCH($A22,'Valo FX'!$A:$A,0)),INDEX(Base!$V:$V,MATCH($A22,Base!$A:$A,0)),0)))</f>
        <v>11.94904</v>
      </c>
      <c r="IZ22" s="21">
        <f>IF(IZ$1&lt;INDEX('Valo FX'!$Q:$Q,MATCH($A22,'Valo FX'!$A:$A,0)),0,IF(IZ$1&lt;INDEX('Valo FX'!$R:$R,MATCH($A22,'Valo FX'!$A:$A,0)),INDEX(Base!$U:$U,MATCH($A22,Base!$A:$A,0)),IF(IZ$1=INDEX('Valo FX'!$R:$R,MATCH($A22,'Valo FX'!$A:$A,0)),INDEX(Base!$V:$V,MATCH($A22,Base!$A:$A,0)),0)))</f>
        <v>11.94904</v>
      </c>
      <c r="JA22" s="21">
        <f>IF(JA$1&lt;INDEX('Valo FX'!$Q:$Q,MATCH($A22,'Valo FX'!$A:$A,0)),0,IF(JA$1&lt;INDEX('Valo FX'!$R:$R,MATCH($A22,'Valo FX'!$A:$A,0)),INDEX(Base!$U:$U,MATCH($A22,Base!$A:$A,0)),IF(JA$1=INDEX('Valo FX'!$R:$R,MATCH($A22,'Valo FX'!$A:$A,0)),INDEX(Base!$V:$V,MATCH($A22,Base!$A:$A,0)),0)))</f>
        <v>11.94904</v>
      </c>
      <c r="JB22" s="21">
        <f>IF(JB$1&lt;INDEX('Valo FX'!$Q:$Q,MATCH($A22,'Valo FX'!$A:$A,0)),0,IF(JB$1&lt;INDEX('Valo FX'!$R:$R,MATCH($A22,'Valo FX'!$A:$A,0)),INDEX(Base!$U:$U,MATCH($A22,Base!$A:$A,0)),IF(JB$1=INDEX('Valo FX'!$R:$R,MATCH($A22,'Valo FX'!$A:$A,0)),INDEX(Base!$V:$V,MATCH($A22,Base!$A:$A,0)),0)))</f>
        <v>11.94904</v>
      </c>
      <c r="JC22" s="21">
        <f>IF(JC$1&lt;INDEX('Valo FX'!$Q:$Q,MATCH($A22,'Valo FX'!$A:$A,0)),0,IF(JC$1&lt;INDEX('Valo FX'!$R:$R,MATCH($A22,'Valo FX'!$A:$A,0)),INDEX(Base!$U:$U,MATCH($A22,Base!$A:$A,0)),IF(JC$1=INDEX('Valo FX'!$R:$R,MATCH($A22,'Valo FX'!$A:$A,0)),INDEX(Base!$V:$V,MATCH($A22,Base!$A:$A,0)),0)))</f>
        <v>11.94904</v>
      </c>
      <c r="JD22" s="21">
        <f>IF(JD$1&lt;INDEX('Valo FX'!$Q:$Q,MATCH($A22,'Valo FX'!$A:$A,0)),0,IF(JD$1&lt;INDEX('Valo FX'!$R:$R,MATCH($A22,'Valo FX'!$A:$A,0)),INDEX(Base!$U:$U,MATCH($A22,Base!$A:$A,0)),IF(JD$1=INDEX('Valo FX'!$R:$R,MATCH($A22,'Valo FX'!$A:$A,0)),INDEX(Base!$V:$V,MATCH($A22,Base!$A:$A,0)),0)))</f>
        <v>11.94904</v>
      </c>
      <c r="JE22" s="21">
        <f>IF(JE$1&lt;INDEX('Valo FX'!$Q:$Q,MATCH($A22,'Valo FX'!$A:$A,0)),0,IF(JE$1&lt;INDEX('Valo FX'!$R:$R,MATCH($A22,'Valo FX'!$A:$A,0)),INDEX(Base!$U:$U,MATCH($A22,Base!$A:$A,0)),IF(JE$1=INDEX('Valo FX'!$R:$R,MATCH($A22,'Valo FX'!$A:$A,0)),INDEX(Base!$V:$V,MATCH($A22,Base!$A:$A,0)),0)))</f>
        <v>11.94904</v>
      </c>
      <c r="JF22" s="21">
        <f>IF(JF$1&lt;INDEX('Valo FX'!$Q:$Q,MATCH($A22,'Valo FX'!$A:$A,0)),0,IF(JF$1&lt;INDEX('Valo FX'!$R:$R,MATCH($A22,'Valo FX'!$A:$A,0)),INDEX(Base!$U:$U,MATCH($A22,Base!$A:$A,0)),IF(JF$1=INDEX('Valo FX'!$R:$R,MATCH($A22,'Valo FX'!$A:$A,0)),INDEX(Base!$V:$V,MATCH($A22,Base!$A:$A,0)),0)))</f>
        <v>11.94904</v>
      </c>
      <c r="JG22" s="21">
        <f>IF(JG$1&lt;INDEX('Valo FX'!$Q:$Q,MATCH($A22,'Valo FX'!$A:$A,0)),0,IF(JG$1&lt;INDEX('Valo FX'!$R:$R,MATCH($A22,'Valo FX'!$A:$A,0)),INDEX(Base!$U:$U,MATCH($A22,Base!$A:$A,0)),IF(JG$1=INDEX('Valo FX'!$R:$R,MATCH($A22,'Valo FX'!$A:$A,0)),INDEX(Base!$V:$V,MATCH($A22,Base!$A:$A,0)),0)))</f>
        <v>11.94904</v>
      </c>
      <c r="JH22" s="21">
        <f>IF(JH$1&lt;INDEX('Valo FX'!$Q:$Q,MATCH($A22,'Valo FX'!$A:$A,0)),0,IF(JH$1&lt;INDEX('Valo FX'!$R:$R,MATCH($A22,'Valo FX'!$A:$A,0)),INDEX(Base!$U:$U,MATCH($A22,Base!$A:$A,0)),IF(JH$1=INDEX('Valo FX'!$R:$R,MATCH($A22,'Valo FX'!$A:$A,0)),INDEX(Base!$V:$V,MATCH($A22,Base!$A:$A,0)),0)))</f>
        <v>11.94904</v>
      </c>
      <c r="JI22" s="21">
        <f>IF(JI$1&lt;INDEX('Valo FX'!$Q:$Q,MATCH($A22,'Valo FX'!$A:$A,0)),0,IF(JI$1&lt;INDEX('Valo FX'!$R:$R,MATCH($A22,'Valo FX'!$A:$A,0)),INDEX(Base!$U:$U,MATCH($A22,Base!$A:$A,0)),IF(JI$1=INDEX('Valo FX'!$R:$R,MATCH($A22,'Valo FX'!$A:$A,0)),INDEX(Base!$V:$V,MATCH($A22,Base!$A:$A,0)),0)))</f>
        <v>11.94904</v>
      </c>
      <c r="JJ22" s="21">
        <f>IF(JJ$1&lt;INDEX('Valo FX'!$Q:$Q,MATCH($A22,'Valo FX'!$A:$A,0)),0,IF(JJ$1&lt;INDEX('Valo FX'!$R:$R,MATCH($A22,'Valo FX'!$A:$A,0)),INDEX(Base!$U:$U,MATCH($A22,Base!$A:$A,0)),IF(JJ$1=INDEX('Valo FX'!$R:$R,MATCH($A22,'Valo FX'!$A:$A,0)),INDEX(Base!$V:$V,MATCH($A22,Base!$A:$A,0)),0)))</f>
        <v>11.94904</v>
      </c>
      <c r="JK22" s="21">
        <f>IF(JK$1&lt;INDEX('Valo FX'!$Q:$Q,MATCH($A22,'Valo FX'!$A:$A,0)),0,IF(JK$1&lt;INDEX('Valo FX'!$R:$R,MATCH($A22,'Valo FX'!$A:$A,0)),INDEX(Base!$U:$U,MATCH($A22,Base!$A:$A,0)),IF(JK$1=INDEX('Valo FX'!$R:$R,MATCH($A22,'Valo FX'!$A:$A,0)),INDEX(Base!$V:$V,MATCH($A22,Base!$A:$A,0)),0)))</f>
        <v>11.94904</v>
      </c>
      <c r="JL22" s="21">
        <f>IF(JL$1&lt;INDEX('Valo FX'!$Q:$Q,MATCH($A22,'Valo FX'!$A:$A,0)),0,IF(JL$1&lt;INDEX('Valo FX'!$R:$R,MATCH($A22,'Valo FX'!$A:$A,0)),INDEX(Base!$U:$U,MATCH($A22,Base!$A:$A,0)),IF(JL$1=INDEX('Valo FX'!$R:$R,MATCH($A22,'Valo FX'!$A:$A,0)),INDEX(Base!$V:$V,MATCH($A22,Base!$A:$A,0)),0)))</f>
        <v>11.94904</v>
      </c>
      <c r="JM22" s="21">
        <f>IF(JM$1&lt;INDEX('Valo FX'!$Q:$Q,MATCH($A22,'Valo FX'!$A:$A,0)),0,IF(JM$1&lt;INDEX('Valo FX'!$R:$R,MATCH($A22,'Valo FX'!$A:$A,0)),INDEX(Base!$U:$U,MATCH($A22,Base!$A:$A,0)),IF(JM$1=INDEX('Valo FX'!$R:$R,MATCH($A22,'Valo FX'!$A:$A,0)),INDEX(Base!$V:$V,MATCH($A22,Base!$A:$A,0)),0)))</f>
        <v>11.94904</v>
      </c>
      <c r="JN22" s="21">
        <f>IF(JN$1&lt;INDEX('Valo FX'!$Q:$Q,MATCH($A22,'Valo FX'!$A:$A,0)),0,IF(JN$1&lt;INDEX('Valo FX'!$R:$R,MATCH($A22,'Valo FX'!$A:$A,0)),INDEX(Base!$U:$U,MATCH($A22,Base!$A:$A,0)),IF(JN$1=INDEX('Valo FX'!$R:$R,MATCH($A22,'Valo FX'!$A:$A,0)),INDEX(Base!$V:$V,MATCH($A22,Base!$A:$A,0)),0)))</f>
        <v>11.94904</v>
      </c>
      <c r="JO22" s="21">
        <f>IF(JO$1&lt;INDEX('Valo FX'!$Q:$Q,MATCH($A22,'Valo FX'!$A:$A,0)),0,IF(JO$1&lt;INDEX('Valo FX'!$R:$R,MATCH($A22,'Valo FX'!$A:$A,0)),INDEX(Base!$U:$U,MATCH($A22,Base!$A:$A,0)),IF(JO$1=INDEX('Valo FX'!$R:$R,MATCH($A22,'Valo FX'!$A:$A,0)),INDEX(Base!$V:$V,MATCH($A22,Base!$A:$A,0)),0)))</f>
        <v>11.94904</v>
      </c>
      <c r="JP22" s="21">
        <f>IF(JP$1&lt;INDEX('Valo FX'!$Q:$Q,MATCH($A22,'Valo FX'!$A:$A,0)),0,IF(JP$1&lt;INDEX('Valo FX'!$R:$R,MATCH($A22,'Valo FX'!$A:$A,0)),INDEX(Base!$U:$U,MATCH($A22,Base!$A:$A,0)),IF(JP$1=INDEX('Valo FX'!$R:$R,MATCH($A22,'Valo FX'!$A:$A,0)),INDEX(Base!$V:$V,MATCH($A22,Base!$A:$A,0)),0)))</f>
        <v>11.94904</v>
      </c>
      <c r="JQ22" s="21">
        <f>IF(JQ$1&lt;INDEX('Valo FX'!$Q:$Q,MATCH($A22,'Valo FX'!$A:$A,0)),0,IF(JQ$1&lt;INDEX('Valo FX'!$R:$R,MATCH($A22,'Valo FX'!$A:$A,0)),INDEX(Base!$U:$U,MATCH($A22,Base!$A:$A,0)),IF(JQ$1=INDEX('Valo FX'!$R:$R,MATCH($A22,'Valo FX'!$A:$A,0)),INDEX(Base!$V:$V,MATCH($A22,Base!$A:$A,0)),0)))</f>
        <v>11.94904</v>
      </c>
      <c r="JR22" s="21">
        <f>IF(JR$1&lt;INDEX('Valo FX'!$Q:$Q,MATCH($A22,'Valo FX'!$A:$A,0)),0,IF(JR$1&lt;INDEX('Valo FX'!$R:$R,MATCH($A22,'Valo FX'!$A:$A,0)),INDEX(Base!$U:$U,MATCH($A22,Base!$A:$A,0)),IF(JR$1=INDEX('Valo FX'!$R:$R,MATCH($A22,'Valo FX'!$A:$A,0)),INDEX(Base!$V:$V,MATCH($A22,Base!$A:$A,0)),0)))</f>
        <v>11.94904</v>
      </c>
      <c r="JS22" s="21">
        <f>IF(JS$1&lt;INDEX('Valo FX'!$Q:$Q,MATCH($A22,'Valo FX'!$A:$A,0)),0,IF(JS$1&lt;INDEX('Valo FX'!$R:$R,MATCH($A22,'Valo FX'!$A:$A,0)),INDEX(Base!$U:$U,MATCH($A22,Base!$A:$A,0)),IF(JS$1=INDEX('Valo FX'!$R:$R,MATCH($A22,'Valo FX'!$A:$A,0)),INDEX(Base!$V:$V,MATCH($A22,Base!$A:$A,0)),0)))</f>
        <v>11.94904</v>
      </c>
      <c r="JT22" s="21">
        <f>IF(JT$1&lt;INDEX('Valo FX'!$Q:$Q,MATCH($A22,'Valo FX'!$A:$A,0)),0,IF(JT$1&lt;INDEX('Valo FX'!$R:$R,MATCH($A22,'Valo FX'!$A:$A,0)),INDEX(Base!$U:$U,MATCH($A22,Base!$A:$A,0)),IF(JT$1=INDEX('Valo FX'!$R:$R,MATCH($A22,'Valo FX'!$A:$A,0)),INDEX(Base!$V:$V,MATCH($A22,Base!$A:$A,0)),0)))</f>
        <v>11.94904</v>
      </c>
      <c r="JU22" s="21">
        <f>IF(JU$1&lt;INDEX('Valo FX'!$Q:$Q,MATCH($A22,'Valo FX'!$A:$A,0)),0,IF(JU$1&lt;INDEX('Valo FX'!$R:$R,MATCH($A22,'Valo FX'!$A:$A,0)),INDEX(Base!$U:$U,MATCH($A22,Base!$A:$A,0)),IF(JU$1=INDEX('Valo FX'!$R:$R,MATCH($A22,'Valo FX'!$A:$A,0)),INDEX(Base!$V:$V,MATCH($A22,Base!$A:$A,0)),0)))</f>
        <v>11.94904</v>
      </c>
      <c r="JV22" s="21">
        <f>IF(JV$1&lt;INDEX('Valo FX'!$Q:$Q,MATCH($A22,'Valo FX'!$A:$A,0)),0,IF(JV$1&lt;INDEX('Valo FX'!$R:$R,MATCH($A22,'Valo FX'!$A:$A,0)),INDEX(Base!$U:$U,MATCH($A22,Base!$A:$A,0)),IF(JV$1=INDEX('Valo FX'!$R:$R,MATCH($A22,'Valo FX'!$A:$A,0)),INDEX(Base!$V:$V,MATCH($A22,Base!$A:$A,0)),0)))</f>
        <v>11.94904</v>
      </c>
      <c r="JW22" s="21">
        <f>IF(JW$1&lt;INDEX('Valo FX'!$Q:$Q,MATCH($A22,'Valo FX'!$A:$A,0)),0,IF(JW$1&lt;INDEX('Valo FX'!$R:$R,MATCH($A22,'Valo FX'!$A:$A,0)),INDEX(Base!$U:$U,MATCH($A22,Base!$A:$A,0)),IF(JW$1=INDEX('Valo FX'!$R:$R,MATCH($A22,'Valo FX'!$A:$A,0)),INDEX(Base!$V:$V,MATCH($A22,Base!$A:$A,0)),0)))</f>
        <v>11.94904</v>
      </c>
      <c r="JX22" s="21">
        <f>IF(JX$1&lt;INDEX('Valo FX'!$Q:$Q,MATCH($A22,'Valo FX'!$A:$A,0)),0,IF(JX$1&lt;INDEX('Valo FX'!$R:$R,MATCH($A22,'Valo FX'!$A:$A,0)),INDEX(Base!$U:$U,MATCH($A22,Base!$A:$A,0)),IF(JX$1=INDEX('Valo FX'!$R:$R,MATCH($A22,'Valo FX'!$A:$A,0)),INDEX(Base!$V:$V,MATCH($A22,Base!$A:$A,0)),0)))</f>
        <v>11.94904</v>
      </c>
      <c r="JY22" s="21">
        <f>IF(JY$1&lt;INDEX('Valo FX'!$Q:$Q,MATCH($A22,'Valo FX'!$A:$A,0)),0,IF(JY$1&lt;INDEX('Valo FX'!$R:$R,MATCH($A22,'Valo FX'!$A:$A,0)),INDEX(Base!$U:$U,MATCH($A22,Base!$A:$A,0)),IF(JY$1=INDEX('Valo FX'!$R:$R,MATCH($A22,'Valo FX'!$A:$A,0)),INDEX(Base!$V:$V,MATCH($A22,Base!$A:$A,0)),0)))</f>
        <v>11.94904</v>
      </c>
      <c r="JZ22" s="21">
        <f>IF(JZ$1&lt;INDEX('Valo FX'!$Q:$Q,MATCH($A22,'Valo FX'!$A:$A,0)),0,IF(JZ$1&lt;INDEX('Valo FX'!$R:$R,MATCH($A22,'Valo FX'!$A:$A,0)),INDEX(Base!$U:$U,MATCH($A22,Base!$A:$A,0)),IF(JZ$1=INDEX('Valo FX'!$R:$R,MATCH($A22,'Valo FX'!$A:$A,0)),INDEX(Base!$V:$V,MATCH($A22,Base!$A:$A,0)),0)))</f>
        <v>11.94904</v>
      </c>
      <c r="KA22" s="21">
        <f>IF(KA$1&lt;INDEX('Valo FX'!$Q:$Q,MATCH($A22,'Valo FX'!$A:$A,0)),0,IF(KA$1&lt;INDEX('Valo FX'!$R:$R,MATCH($A22,'Valo FX'!$A:$A,0)),INDEX(Base!$U:$U,MATCH($A22,Base!$A:$A,0)),IF(KA$1=INDEX('Valo FX'!$R:$R,MATCH($A22,'Valo FX'!$A:$A,0)),INDEX(Base!$V:$V,MATCH($A22,Base!$A:$A,0)),0)))</f>
        <v>11.94904</v>
      </c>
      <c r="KB22" s="21">
        <f>IF(KB$1&lt;INDEX('Valo FX'!$Q:$Q,MATCH($A22,'Valo FX'!$A:$A,0)),0,IF(KB$1&lt;INDEX('Valo FX'!$R:$R,MATCH($A22,'Valo FX'!$A:$A,0)),INDEX(Base!$U:$U,MATCH($A22,Base!$A:$A,0)),IF(KB$1=INDEX('Valo FX'!$R:$R,MATCH($A22,'Valo FX'!$A:$A,0)),INDEX(Base!$V:$V,MATCH($A22,Base!$A:$A,0)),0)))</f>
        <v>11.94904</v>
      </c>
      <c r="KC22" s="21">
        <f>IF(KC$1&lt;INDEX('Valo FX'!$Q:$Q,MATCH($A22,'Valo FX'!$A:$A,0)),0,IF(KC$1&lt;INDEX('Valo FX'!$R:$R,MATCH($A22,'Valo FX'!$A:$A,0)),INDEX(Base!$U:$U,MATCH($A22,Base!$A:$A,0)),IF(KC$1=INDEX('Valo FX'!$R:$R,MATCH($A22,'Valo FX'!$A:$A,0)),INDEX(Base!$V:$V,MATCH($A22,Base!$A:$A,0)),0)))</f>
        <v>11.94904</v>
      </c>
      <c r="KD22" s="21">
        <f>IF(KD$1&lt;INDEX('Valo FX'!$Q:$Q,MATCH($A22,'Valo FX'!$A:$A,0)),0,IF(KD$1&lt;INDEX('Valo FX'!$R:$R,MATCH($A22,'Valo FX'!$A:$A,0)),INDEX(Base!$U:$U,MATCH($A22,Base!$A:$A,0)),IF(KD$1=INDEX('Valo FX'!$R:$R,MATCH($A22,'Valo FX'!$A:$A,0)),INDEX(Base!$V:$V,MATCH($A22,Base!$A:$A,0)),0)))</f>
        <v>11.94904</v>
      </c>
      <c r="KE22" s="21">
        <f>IF(KE$1&lt;INDEX('Valo FX'!$Q:$Q,MATCH($A22,'Valo FX'!$A:$A,0)),0,IF(KE$1&lt;INDEX('Valo FX'!$R:$R,MATCH($A22,'Valo FX'!$A:$A,0)),INDEX(Base!$U:$U,MATCH($A22,Base!$A:$A,0)),IF(KE$1=INDEX('Valo FX'!$R:$R,MATCH($A22,'Valo FX'!$A:$A,0)),INDEX(Base!$V:$V,MATCH($A22,Base!$A:$A,0)),0)))</f>
        <v>11.94904</v>
      </c>
      <c r="KF22" s="21">
        <f>IF(KF$1&lt;INDEX('Valo FX'!$Q:$Q,MATCH($A22,'Valo FX'!$A:$A,0)),0,IF(KF$1&lt;INDEX('Valo FX'!$R:$R,MATCH($A22,'Valo FX'!$A:$A,0)),INDEX(Base!$U:$U,MATCH($A22,Base!$A:$A,0)),IF(KF$1=INDEX('Valo FX'!$R:$R,MATCH($A22,'Valo FX'!$A:$A,0)),INDEX(Base!$V:$V,MATCH($A22,Base!$A:$A,0)),0)))</f>
        <v>11.94904</v>
      </c>
      <c r="KG22" s="21">
        <f>IF(KG$1&lt;INDEX('Valo FX'!$Q:$Q,MATCH($A22,'Valo FX'!$A:$A,0)),0,IF(KG$1&lt;INDEX('Valo FX'!$R:$R,MATCH($A22,'Valo FX'!$A:$A,0)),INDEX(Base!$U:$U,MATCH($A22,Base!$A:$A,0)),IF(KG$1=INDEX('Valo FX'!$R:$R,MATCH($A22,'Valo FX'!$A:$A,0)),INDEX(Base!$V:$V,MATCH($A22,Base!$A:$A,0)),0)))</f>
        <v>11.94904</v>
      </c>
      <c r="KH22" s="21">
        <f>IF(KH$1&lt;INDEX('Valo FX'!$Q:$Q,MATCH($A22,'Valo FX'!$A:$A,0)),0,IF(KH$1&lt;INDEX('Valo FX'!$R:$R,MATCH($A22,'Valo FX'!$A:$A,0)),INDEX(Base!$U:$U,MATCH($A22,Base!$A:$A,0)),IF(KH$1=INDEX('Valo FX'!$R:$R,MATCH($A22,'Valo FX'!$A:$A,0)),INDEX(Base!$V:$V,MATCH($A22,Base!$A:$A,0)),0)))</f>
        <v>11.94904</v>
      </c>
      <c r="KI22" s="21">
        <f>IF(KI$1&lt;INDEX('Valo FX'!$Q:$Q,MATCH($A22,'Valo FX'!$A:$A,0)),0,IF(KI$1&lt;INDEX('Valo FX'!$R:$R,MATCH($A22,'Valo FX'!$A:$A,0)),INDEX(Base!$U:$U,MATCH($A22,Base!$A:$A,0)),IF(KI$1=INDEX('Valo FX'!$R:$R,MATCH($A22,'Valo FX'!$A:$A,0)),INDEX(Base!$V:$V,MATCH($A22,Base!$A:$A,0)),0)))</f>
        <v>11.94904</v>
      </c>
      <c r="KJ22" s="21">
        <f>IF(KJ$1&lt;INDEX('Valo FX'!$Q:$Q,MATCH($A22,'Valo FX'!$A:$A,0)),0,IF(KJ$1&lt;INDEX('Valo FX'!$R:$R,MATCH($A22,'Valo FX'!$A:$A,0)),INDEX(Base!$U:$U,MATCH($A22,Base!$A:$A,0)),IF(KJ$1=INDEX('Valo FX'!$R:$R,MATCH($A22,'Valo FX'!$A:$A,0)),INDEX(Base!$V:$V,MATCH($A22,Base!$A:$A,0)),0)))</f>
        <v>11.94904</v>
      </c>
      <c r="KK22" s="21">
        <f>IF(KK$1&lt;INDEX('Valo FX'!$Q:$Q,MATCH($A22,'Valo FX'!$A:$A,0)),0,IF(KK$1&lt;INDEX('Valo FX'!$R:$R,MATCH($A22,'Valo FX'!$A:$A,0)),INDEX(Base!$U:$U,MATCH($A22,Base!$A:$A,0)),IF(KK$1=INDEX('Valo FX'!$R:$R,MATCH($A22,'Valo FX'!$A:$A,0)),INDEX(Base!$V:$V,MATCH($A22,Base!$A:$A,0)),0)))</f>
        <v>11.94904</v>
      </c>
      <c r="KL22" s="21">
        <f>IF(KL$1&lt;INDEX('Valo FX'!$Q:$Q,MATCH($A22,'Valo FX'!$A:$A,0)),0,IF(KL$1&lt;INDEX('Valo FX'!$R:$R,MATCH($A22,'Valo FX'!$A:$A,0)),INDEX(Base!$U:$U,MATCH($A22,Base!$A:$A,0)),IF(KL$1=INDEX('Valo FX'!$R:$R,MATCH($A22,'Valo FX'!$A:$A,0)),INDEX(Base!$V:$V,MATCH($A22,Base!$A:$A,0)),0)))</f>
        <v>11.94904</v>
      </c>
      <c r="KM22" s="21">
        <f>IF(KM$1&lt;INDEX('Valo FX'!$Q:$Q,MATCH($A22,'Valo FX'!$A:$A,0)),0,IF(KM$1&lt;INDEX('Valo FX'!$R:$R,MATCH($A22,'Valo FX'!$A:$A,0)),INDEX(Base!$U:$U,MATCH($A22,Base!$A:$A,0)),IF(KM$1=INDEX('Valo FX'!$R:$R,MATCH($A22,'Valo FX'!$A:$A,0)),INDEX(Base!$V:$V,MATCH($A22,Base!$A:$A,0)),0)))</f>
        <v>11.94904</v>
      </c>
      <c r="KN22" s="21">
        <f>IF(KN$1&lt;INDEX('Valo FX'!$Q:$Q,MATCH($A22,'Valo FX'!$A:$A,0)),0,IF(KN$1&lt;INDEX('Valo FX'!$R:$R,MATCH($A22,'Valo FX'!$A:$A,0)),INDEX(Base!$U:$U,MATCH($A22,Base!$A:$A,0)),IF(KN$1=INDEX('Valo FX'!$R:$R,MATCH($A22,'Valo FX'!$A:$A,0)),INDEX(Base!$V:$V,MATCH($A22,Base!$A:$A,0)),0)))</f>
        <v>11.94904</v>
      </c>
      <c r="KO22" s="21">
        <f>IF(KO$1&lt;INDEX('Valo FX'!$Q:$Q,MATCH($A22,'Valo FX'!$A:$A,0)),0,IF(KO$1&lt;INDEX('Valo FX'!$R:$R,MATCH($A22,'Valo FX'!$A:$A,0)),INDEX(Base!$U:$U,MATCH($A22,Base!$A:$A,0)),IF(KO$1=INDEX('Valo FX'!$R:$R,MATCH($A22,'Valo FX'!$A:$A,0)),INDEX(Base!$V:$V,MATCH($A22,Base!$A:$A,0)),0)))</f>
        <v>11.94904</v>
      </c>
      <c r="KP22" s="21">
        <f>IF(KP$1&lt;INDEX('Valo FX'!$Q:$Q,MATCH($A22,'Valo FX'!$A:$A,0)),0,IF(KP$1&lt;INDEX('Valo FX'!$R:$R,MATCH($A22,'Valo FX'!$A:$A,0)),INDEX(Base!$U:$U,MATCH($A22,Base!$A:$A,0)),IF(KP$1=INDEX('Valo FX'!$R:$R,MATCH($A22,'Valo FX'!$A:$A,0)),INDEX(Base!$V:$V,MATCH($A22,Base!$A:$A,0)),0)))</f>
        <v>11.94904</v>
      </c>
      <c r="KQ22" s="21">
        <f>IF(KQ$1&lt;INDEX('Valo FX'!$Q:$Q,MATCH($A22,'Valo FX'!$A:$A,0)),0,IF(KQ$1&lt;INDEX('Valo FX'!$R:$R,MATCH($A22,'Valo FX'!$A:$A,0)),INDEX(Base!$U:$U,MATCH($A22,Base!$A:$A,0)),IF(KQ$1=INDEX('Valo FX'!$R:$R,MATCH($A22,'Valo FX'!$A:$A,0)),INDEX(Base!$V:$V,MATCH($A22,Base!$A:$A,0)),0)))</f>
        <v>11.94904</v>
      </c>
      <c r="KR22" s="21">
        <f>IF(KR$1&lt;INDEX('Valo FX'!$Q:$Q,MATCH($A22,'Valo FX'!$A:$A,0)),0,IF(KR$1&lt;INDEX('Valo FX'!$R:$R,MATCH($A22,'Valo FX'!$A:$A,0)),INDEX(Base!$U:$U,MATCH($A22,Base!$A:$A,0)),IF(KR$1=INDEX('Valo FX'!$R:$R,MATCH($A22,'Valo FX'!$A:$A,0)),INDEX(Base!$V:$V,MATCH($A22,Base!$A:$A,0)),0)))</f>
        <v>11.94904</v>
      </c>
      <c r="KS22" s="21">
        <f>IF(KS$1&lt;INDEX('Valo FX'!$Q:$Q,MATCH($A22,'Valo FX'!$A:$A,0)),0,IF(KS$1&lt;INDEX('Valo FX'!$R:$R,MATCH($A22,'Valo FX'!$A:$A,0)),INDEX(Base!$U:$U,MATCH($A22,Base!$A:$A,0)),IF(KS$1=INDEX('Valo FX'!$R:$R,MATCH($A22,'Valo FX'!$A:$A,0)),INDEX(Base!$V:$V,MATCH($A22,Base!$A:$A,0)),0)))</f>
        <v>11.94904</v>
      </c>
      <c r="KT22" s="21">
        <f>IF(KT$1&lt;INDEX('Valo FX'!$Q:$Q,MATCH($A22,'Valo FX'!$A:$A,0)),0,IF(KT$1&lt;INDEX('Valo FX'!$R:$R,MATCH($A22,'Valo FX'!$A:$A,0)),INDEX(Base!$U:$U,MATCH($A22,Base!$A:$A,0)),IF(KT$1=INDEX('Valo FX'!$R:$R,MATCH($A22,'Valo FX'!$A:$A,0)),INDEX(Base!$V:$V,MATCH($A22,Base!$A:$A,0)),0)))</f>
        <v>11.94904</v>
      </c>
      <c r="KU22" s="21">
        <f>IF(KU$1&lt;INDEX('Valo FX'!$Q:$Q,MATCH($A22,'Valo FX'!$A:$A,0)),0,IF(KU$1&lt;INDEX('Valo FX'!$R:$R,MATCH($A22,'Valo FX'!$A:$A,0)),INDEX(Base!$U:$U,MATCH($A22,Base!$A:$A,0)),IF(KU$1=INDEX('Valo FX'!$R:$R,MATCH($A22,'Valo FX'!$A:$A,0)),INDEX(Base!$V:$V,MATCH($A22,Base!$A:$A,0)),0)))</f>
        <v>11.94904</v>
      </c>
      <c r="KV22" s="21">
        <f>IF(KV$1&lt;INDEX('Valo FX'!$Q:$Q,MATCH($A22,'Valo FX'!$A:$A,0)),0,IF(KV$1&lt;INDEX('Valo FX'!$R:$R,MATCH($A22,'Valo FX'!$A:$A,0)),INDEX(Base!$U:$U,MATCH($A22,Base!$A:$A,0)),IF(KV$1=INDEX('Valo FX'!$R:$R,MATCH($A22,'Valo FX'!$A:$A,0)),INDEX(Base!$V:$V,MATCH($A22,Base!$A:$A,0)),0)))</f>
        <v>11.94904</v>
      </c>
      <c r="KW22" s="21">
        <f>IF(KW$1&lt;INDEX('Valo FX'!$Q:$Q,MATCH($A22,'Valo FX'!$A:$A,0)),0,IF(KW$1&lt;INDEX('Valo FX'!$R:$R,MATCH($A22,'Valo FX'!$A:$A,0)),INDEX(Base!$U:$U,MATCH($A22,Base!$A:$A,0)),IF(KW$1=INDEX('Valo FX'!$R:$R,MATCH($A22,'Valo FX'!$A:$A,0)),INDEX(Base!$V:$V,MATCH($A22,Base!$A:$A,0)),0)))</f>
        <v>11.94904</v>
      </c>
      <c r="KX22" s="21">
        <f>IF(KX$1&lt;INDEX('Valo FX'!$Q:$Q,MATCH($A22,'Valo FX'!$A:$A,0)),0,IF(KX$1&lt;INDEX('Valo FX'!$R:$R,MATCH($A22,'Valo FX'!$A:$A,0)),INDEX(Base!$U:$U,MATCH($A22,Base!$A:$A,0)),IF(KX$1=INDEX('Valo FX'!$R:$R,MATCH($A22,'Valo FX'!$A:$A,0)),INDEX(Base!$V:$V,MATCH($A22,Base!$A:$A,0)),0)))</f>
        <v>11.94904</v>
      </c>
      <c r="KY22" s="21">
        <f>IF(KY$1&lt;INDEX('Valo FX'!$Q:$Q,MATCH($A22,'Valo FX'!$A:$A,0)),0,IF(KY$1&lt;INDEX('Valo FX'!$R:$R,MATCH($A22,'Valo FX'!$A:$A,0)),INDEX(Base!$U:$U,MATCH($A22,Base!$A:$A,0)),IF(KY$1=INDEX('Valo FX'!$R:$R,MATCH($A22,'Valo FX'!$A:$A,0)),INDEX(Base!$V:$V,MATCH($A22,Base!$A:$A,0)),0)))</f>
        <v>11.94904</v>
      </c>
      <c r="KZ22" s="21">
        <f>IF(KZ$1&lt;INDEX('Valo FX'!$Q:$Q,MATCH($A22,'Valo FX'!$A:$A,0)),0,IF(KZ$1&lt;INDEX('Valo FX'!$R:$R,MATCH($A22,'Valo FX'!$A:$A,0)),INDEX(Base!$U:$U,MATCH($A22,Base!$A:$A,0)),IF(KZ$1=INDEX('Valo FX'!$R:$R,MATCH($A22,'Valo FX'!$A:$A,0)),INDEX(Base!$V:$V,MATCH($A22,Base!$A:$A,0)),0)))</f>
        <v>11.94904</v>
      </c>
      <c r="LA22" s="21">
        <f>IF(LA$1&lt;INDEX('Valo FX'!$Q:$Q,MATCH($A22,'Valo FX'!$A:$A,0)),0,IF(LA$1&lt;INDEX('Valo FX'!$R:$R,MATCH($A22,'Valo FX'!$A:$A,0)),INDEX(Base!$U:$U,MATCH($A22,Base!$A:$A,0)),IF(LA$1=INDEX('Valo FX'!$R:$R,MATCH($A22,'Valo FX'!$A:$A,0)),INDEX(Base!$V:$V,MATCH($A22,Base!$A:$A,0)),0)))</f>
        <v>11.94904</v>
      </c>
      <c r="LB22" s="21">
        <f>IF(LB$1&lt;INDEX('Valo FX'!$Q:$Q,MATCH($A22,'Valo FX'!$A:$A,0)),0,IF(LB$1&lt;INDEX('Valo FX'!$R:$R,MATCH($A22,'Valo FX'!$A:$A,0)),INDEX(Base!$U:$U,MATCH($A22,Base!$A:$A,0)),IF(LB$1=INDEX('Valo FX'!$R:$R,MATCH($A22,'Valo FX'!$A:$A,0)),INDEX(Base!$V:$V,MATCH($A22,Base!$A:$A,0)),0)))</f>
        <v>11.94904</v>
      </c>
      <c r="LC22" s="21">
        <f>IF(LC$1&lt;INDEX('Valo FX'!$Q:$Q,MATCH($A22,'Valo FX'!$A:$A,0)),0,IF(LC$1&lt;INDEX('Valo FX'!$R:$R,MATCH($A22,'Valo FX'!$A:$A,0)),INDEX(Base!$U:$U,MATCH($A22,Base!$A:$A,0)),IF(LC$1=INDEX('Valo FX'!$R:$R,MATCH($A22,'Valo FX'!$A:$A,0)),INDEX(Base!$V:$V,MATCH($A22,Base!$A:$A,0)),0)))</f>
        <v>11.94904</v>
      </c>
      <c r="LD22" s="21">
        <f>IF(LD$1&lt;INDEX('Valo FX'!$Q:$Q,MATCH($A22,'Valo FX'!$A:$A,0)),0,IF(LD$1&lt;INDEX('Valo FX'!$R:$R,MATCH($A22,'Valo FX'!$A:$A,0)),INDEX(Base!$U:$U,MATCH($A22,Base!$A:$A,0)),IF(LD$1=INDEX('Valo FX'!$R:$R,MATCH($A22,'Valo FX'!$A:$A,0)),INDEX(Base!$V:$V,MATCH($A22,Base!$A:$A,0)),0)))</f>
        <v>11.94904</v>
      </c>
      <c r="LE22" s="21">
        <f>IF(LE$1&lt;INDEX('Valo FX'!$Q:$Q,MATCH($A22,'Valo FX'!$A:$A,0)),0,IF(LE$1&lt;INDEX('Valo FX'!$R:$R,MATCH($A22,'Valo FX'!$A:$A,0)),INDEX(Base!$U:$U,MATCH($A22,Base!$A:$A,0)),IF(LE$1=INDEX('Valo FX'!$R:$R,MATCH($A22,'Valo FX'!$A:$A,0)),INDEX(Base!$V:$V,MATCH($A22,Base!$A:$A,0)),0)))</f>
        <v>11.94904</v>
      </c>
      <c r="LF22" s="21">
        <f>IF(LF$1&lt;INDEX('Valo FX'!$Q:$Q,MATCH($A22,'Valo FX'!$A:$A,0)),0,IF(LF$1&lt;INDEX('Valo FX'!$R:$R,MATCH($A22,'Valo FX'!$A:$A,0)),INDEX(Base!$U:$U,MATCH($A22,Base!$A:$A,0)),IF(LF$1=INDEX('Valo FX'!$R:$R,MATCH($A22,'Valo FX'!$A:$A,0)),INDEX(Base!$V:$V,MATCH($A22,Base!$A:$A,0)),0)))</f>
        <v>11.94904</v>
      </c>
      <c r="LG22" s="21">
        <f>IF(LG$1&lt;INDEX('Valo FX'!$Q:$Q,MATCH($A22,'Valo FX'!$A:$A,0)),0,IF(LG$1&lt;INDEX('Valo FX'!$R:$R,MATCH($A22,'Valo FX'!$A:$A,0)),INDEX(Base!$U:$U,MATCH($A22,Base!$A:$A,0)),IF(LG$1=INDEX('Valo FX'!$R:$R,MATCH($A22,'Valo FX'!$A:$A,0)),INDEX(Base!$V:$V,MATCH($A22,Base!$A:$A,0)),0)))</f>
        <v>11.94904</v>
      </c>
      <c r="LH22" s="21">
        <f>IF(LH$1&lt;INDEX('Valo FX'!$Q:$Q,MATCH($A22,'Valo FX'!$A:$A,0)),0,IF(LH$1&lt;INDEX('Valo FX'!$R:$R,MATCH($A22,'Valo FX'!$A:$A,0)),INDEX(Base!$U:$U,MATCH($A22,Base!$A:$A,0)),IF(LH$1=INDEX('Valo FX'!$R:$R,MATCH($A22,'Valo FX'!$A:$A,0)),INDEX(Base!$V:$V,MATCH($A22,Base!$A:$A,0)),0)))</f>
        <v>11.94904</v>
      </c>
      <c r="LI22" s="21">
        <f>IF(LI$1&lt;INDEX('Valo FX'!$Q:$Q,MATCH($A22,'Valo FX'!$A:$A,0)),0,IF(LI$1&lt;INDEX('Valo FX'!$R:$R,MATCH($A22,'Valo FX'!$A:$A,0)),INDEX(Base!$U:$U,MATCH($A22,Base!$A:$A,0)),IF(LI$1=INDEX('Valo FX'!$R:$R,MATCH($A22,'Valo FX'!$A:$A,0)),INDEX(Base!$V:$V,MATCH($A22,Base!$A:$A,0)),0)))</f>
        <v>11.94904</v>
      </c>
      <c r="LJ22" s="21">
        <f>IF(LJ$1&lt;INDEX('Valo FX'!$Q:$Q,MATCH($A22,'Valo FX'!$A:$A,0)),0,IF(LJ$1&lt;INDEX('Valo FX'!$R:$R,MATCH($A22,'Valo FX'!$A:$A,0)),INDEX(Base!$U:$U,MATCH($A22,Base!$A:$A,0)),IF(LJ$1=INDEX('Valo FX'!$R:$R,MATCH($A22,'Valo FX'!$A:$A,0)),INDEX(Base!$V:$V,MATCH($A22,Base!$A:$A,0)),0)))</f>
        <v>11.94904</v>
      </c>
      <c r="LK22" s="21">
        <f>IF(LK$1&lt;INDEX('Valo FX'!$Q:$Q,MATCH($A22,'Valo FX'!$A:$A,0)),0,IF(LK$1&lt;INDEX('Valo FX'!$R:$R,MATCH($A22,'Valo FX'!$A:$A,0)),INDEX(Base!$U:$U,MATCH($A22,Base!$A:$A,0)),IF(LK$1=INDEX('Valo FX'!$R:$R,MATCH($A22,'Valo FX'!$A:$A,0)),INDEX(Base!$V:$V,MATCH($A22,Base!$A:$A,0)),0)))</f>
        <v>11.94904</v>
      </c>
      <c r="LL22" s="21">
        <f>IF(LL$1&lt;INDEX('Valo FX'!$Q:$Q,MATCH($A22,'Valo FX'!$A:$A,0)),0,IF(LL$1&lt;INDEX('Valo FX'!$R:$R,MATCH($A22,'Valo FX'!$A:$A,0)),INDEX(Base!$U:$U,MATCH($A22,Base!$A:$A,0)),IF(LL$1=INDEX('Valo FX'!$R:$R,MATCH($A22,'Valo FX'!$A:$A,0)),INDEX(Base!$V:$V,MATCH($A22,Base!$A:$A,0)),0)))</f>
        <v>11.94904</v>
      </c>
      <c r="LM22" s="21">
        <f>IF(LM$1&lt;INDEX('Valo FX'!$Q:$Q,MATCH($A22,'Valo FX'!$A:$A,0)),0,IF(LM$1&lt;INDEX('Valo FX'!$R:$R,MATCH($A22,'Valo FX'!$A:$A,0)),INDEX(Base!$U:$U,MATCH($A22,Base!$A:$A,0)),IF(LM$1=INDEX('Valo FX'!$R:$R,MATCH($A22,'Valo FX'!$A:$A,0)),INDEX(Base!$V:$V,MATCH($A22,Base!$A:$A,0)),0)))</f>
        <v>11.94904</v>
      </c>
      <c r="LN22" s="21">
        <f>IF(LN$1&lt;INDEX('Valo FX'!$Q:$Q,MATCH($A22,'Valo FX'!$A:$A,0)),0,IF(LN$1&lt;INDEX('Valo FX'!$R:$R,MATCH($A22,'Valo FX'!$A:$A,0)),INDEX(Base!$U:$U,MATCH($A22,Base!$A:$A,0)),IF(LN$1=INDEX('Valo FX'!$R:$R,MATCH($A22,'Valo FX'!$A:$A,0)),INDEX(Base!$V:$V,MATCH($A22,Base!$A:$A,0)),0)))</f>
        <v>11.94904</v>
      </c>
      <c r="LO22" s="21">
        <f>IF(LO$1&lt;INDEX('Valo FX'!$Q:$Q,MATCH($A22,'Valo FX'!$A:$A,0)),0,IF(LO$1&lt;INDEX('Valo FX'!$R:$R,MATCH($A22,'Valo FX'!$A:$A,0)),INDEX(Base!$U:$U,MATCH($A22,Base!$A:$A,0)),IF(LO$1=INDEX('Valo FX'!$R:$R,MATCH($A22,'Valo FX'!$A:$A,0)),INDEX(Base!$V:$V,MATCH($A22,Base!$A:$A,0)),0)))</f>
        <v>11.94904</v>
      </c>
      <c r="LP22" s="21">
        <f>IF(LP$1&lt;INDEX('Valo FX'!$Q:$Q,MATCH($A22,'Valo FX'!$A:$A,0)),0,IF(LP$1&lt;INDEX('Valo FX'!$R:$R,MATCH($A22,'Valo FX'!$A:$A,0)),INDEX(Base!$U:$U,MATCH($A22,Base!$A:$A,0)),IF(LP$1=INDEX('Valo FX'!$R:$R,MATCH($A22,'Valo FX'!$A:$A,0)),INDEX(Base!$V:$V,MATCH($A22,Base!$A:$A,0)),0)))</f>
        <v>11.94904</v>
      </c>
      <c r="LQ22" s="21">
        <f>IF(LQ$1&lt;INDEX('Valo FX'!$Q:$Q,MATCH($A22,'Valo FX'!$A:$A,0)),0,IF(LQ$1&lt;INDEX('Valo FX'!$R:$R,MATCH($A22,'Valo FX'!$A:$A,0)),INDEX(Base!$U:$U,MATCH($A22,Base!$A:$A,0)),IF(LQ$1=INDEX('Valo FX'!$R:$R,MATCH($A22,'Valo FX'!$A:$A,0)),INDEX(Base!$V:$V,MATCH($A22,Base!$A:$A,0)),0)))</f>
        <v>11.94904</v>
      </c>
      <c r="LR22" s="21">
        <f>IF(LR$1&lt;INDEX('Valo FX'!$Q:$Q,MATCH($A22,'Valo FX'!$A:$A,0)),0,IF(LR$1&lt;INDEX('Valo FX'!$R:$R,MATCH($A22,'Valo FX'!$A:$A,0)),INDEX(Base!$U:$U,MATCH($A22,Base!$A:$A,0)),IF(LR$1=INDEX('Valo FX'!$R:$R,MATCH($A22,'Valo FX'!$A:$A,0)),INDEX(Base!$V:$V,MATCH($A22,Base!$A:$A,0)),0)))</f>
        <v>11.94904</v>
      </c>
      <c r="LS22" s="21">
        <f>IF(LS$1&lt;INDEX('Valo FX'!$Q:$Q,MATCH($A22,'Valo FX'!$A:$A,0)),0,IF(LS$1&lt;INDEX('Valo FX'!$R:$R,MATCH($A22,'Valo FX'!$A:$A,0)),INDEX(Base!$U:$U,MATCH($A22,Base!$A:$A,0)),IF(LS$1=INDEX('Valo FX'!$R:$R,MATCH($A22,'Valo FX'!$A:$A,0)),INDEX(Base!$V:$V,MATCH($A22,Base!$A:$A,0)),0)))</f>
        <v>11.94904</v>
      </c>
      <c r="LT22" s="21">
        <f>IF(LT$1&lt;INDEX('Valo FX'!$Q:$Q,MATCH($A22,'Valo FX'!$A:$A,0)),0,IF(LT$1&lt;INDEX('Valo FX'!$R:$R,MATCH($A22,'Valo FX'!$A:$A,0)),INDEX(Base!$U:$U,MATCH($A22,Base!$A:$A,0)),IF(LT$1=INDEX('Valo FX'!$R:$R,MATCH($A22,'Valo FX'!$A:$A,0)),INDEX(Base!$V:$V,MATCH($A22,Base!$A:$A,0)),0)))</f>
        <v>11.94904</v>
      </c>
      <c r="LU22" s="21">
        <f>IF(LU$1&lt;INDEX('Valo FX'!$Q:$Q,MATCH($A22,'Valo FX'!$A:$A,0)),0,IF(LU$1&lt;INDEX('Valo FX'!$R:$R,MATCH($A22,'Valo FX'!$A:$A,0)),INDEX(Base!$U:$U,MATCH($A22,Base!$A:$A,0)),IF(LU$1=INDEX('Valo FX'!$R:$R,MATCH($A22,'Valo FX'!$A:$A,0)),INDEX(Base!$V:$V,MATCH($A22,Base!$A:$A,0)),0)))</f>
        <v>11.94904</v>
      </c>
      <c r="LV22" s="21">
        <f>IF(LV$1&lt;INDEX('Valo FX'!$Q:$Q,MATCH($A22,'Valo FX'!$A:$A,0)),0,IF(LV$1&lt;INDEX('Valo FX'!$R:$R,MATCH($A22,'Valo FX'!$A:$A,0)),INDEX(Base!$U:$U,MATCH($A22,Base!$A:$A,0)),IF(LV$1=INDEX('Valo FX'!$R:$R,MATCH($A22,'Valo FX'!$A:$A,0)),INDEX(Base!$V:$V,MATCH($A22,Base!$A:$A,0)),0)))</f>
        <v>11.94904</v>
      </c>
      <c r="LW22" s="21">
        <f>IF(LW$1&lt;INDEX('Valo FX'!$Q:$Q,MATCH($A22,'Valo FX'!$A:$A,0)),0,IF(LW$1&lt;INDEX('Valo FX'!$R:$R,MATCH($A22,'Valo FX'!$A:$A,0)),INDEX(Base!$U:$U,MATCH($A22,Base!$A:$A,0)),IF(LW$1=INDEX('Valo FX'!$R:$R,MATCH($A22,'Valo FX'!$A:$A,0)),INDEX(Base!$V:$V,MATCH($A22,Base!$A:$A,0)),0)))</f>
        <v>11.94904</v>
      </c>
      <c r="LX22" s="21">
        <f>IF(LX$1&lt;INDEX('Valo FX'!$Q:$Q,MATCH($A22,'Valo FX'!$A:$A,0)),0,IF(LX$1&lt;INDEX('Valo FX'!$R:$R,MATCH($A22,'Valo FX'!$A:$A,0)),INDEX(Base!$U:$U,MATCH($A22,Base!$A:$A,0)),IF(LX$1=INDEX('Valo FX'!$R:$R,MATCH($A22,'Valo FX'!$A:$A,0)),INDEX(Base!$V:$V,MATCH($A22,Base!$A:$A,0)),0)))</f>
        <v>11.94904</v>
      </c>
      <c r="LY22" s="21">
        <f>IF(LY$1&lt;INDEX('Valo FX'!$Q:$Q,MATCH($A22,'Valo FX'!$A:$A,0)),0,IF(LY$1&lt;INDEX('Valo FX'!$R:$R,MATCH($A22,'Valo FX'!$A:$A,0)),INDEX(Base!$U:$U,MATCH($A22,Base!$A:$A,0)),IF(LY$1=INDEX('Valo FX'!$R:$R,MATCH($A22,'Valo FX'!$A:$A,0)),INDEX(Base!$V:$V,MATCH($A22,Base!$A:$A,0)),0)))</f>
        <v>11.94904</v>
      </c>
      <c r="LZ22" s="21">
        <f>IF(LZ$1&lt;INDEX('Valo FX'!$Q:$Q,MATCH($A22,'Valo FX'!$A:$A,0)),0,IF(LZ$1&lt;INDEX('Valo FX'!$R:$R,MATCH($A22,'Valo FX'!$A:$A,0)),INDEX(Base!$U:$U,MATCH($A22,Base!$A:$A,0)),IF(LZ$1=INDEX('Valo FX'!$R:$R,MATCH($A22,'Valo FX'!$A:$A,0)),INDEX(Base!$V:$V,MATCH($A22,Base!$A:$A,0)),0)))</f>
        <v>11.94904</v>
      </c>
      <c r="MA22" s="21">
        <f>IF(MA$1&lt;INDEX('Valo FX'!$Q:$Q,MATCH($A22,'Valo FX'!$A:$A,0)),0,IF(MA$1&lt;INDEX('Valo FX'!$R:$R,MATCH($A22,'Valo FX'!$A:$A,0)),INDEX(Base!$U:$U,MATCH($A22,Base!$A:$A,0)),IF(MA$1=INDEX('Valo FX'!$R:$R,MATCH($A22,'Valo FX'!$A:$A,0)),INDEX(Base!$V:$V,MATCH($A22,Base!$A:$A,0)),0)))</f>
        <v>11.94904</v>
      </c>
      <c r="MB22" s="21">
        <f>IF(MB$1&lt;INDEX('Valo FX'!$Q:$Q,MATCH($A22,'Valo FX'!$A:$A,0)),0,IF(MB$1&lt;INDEX('Valo FX'!$R:$R,MATCH($A22,'Valo FX'!$A:$A,0)),INDEX(Base!$U:$U,MATCH($A22,Base!$A:$A,0)),IF(MB$1=INDEX('Valo FX'!$R:$R,MATCH($A22,'Valo FX'!$A:$A,0)),INDEX(Base!$V:$V,MATCH($A22,Base!$A:$A,0)),0)))</f>
        <v>11.94904</v>
      </c>
      <c r="MC22" s="21">
        <f>IF(MC$1&lt;INDEX('Valo FX'!$Q:$Q,MATCH($A22,'Valo FX'!$A:$A,0)),0,IF(MC$1&lt;INDEX('Valo FX'!$R:$R,MATCH($A22,'Valo FX'!$A:$A,0)),INDEX(Base!$U:$U,MATCH($A22,Base!$A:$A,0)),IF(MC$1=INDEX('Valo FX'!$R:$R,MATCH($A22,'Valo FX'!$A:$A,0)),INDEX(Base!$V:$V,MATCH($A22,Base!$A:$A,0)),0)))</f>
        <v>11.94904</v>
      </c>
      <c r="MD22" s="21">
        <f>IF(MD$1&lt;INDEX('Valo FX'!$Q:$Q,MATCH($A22,'Valo FX'!$A:$A,0)),0,IF(MD$1&lt;INDEX('Valo FX'!$R:$R,MATCH($A22,'Valo FX'!$A:$A,0)),INDEX(Base!$U:$U,MATCH($A22,Base!$A:$A,0)),IF(MD$1=INDEX('Valo FX'!$R:$R,MATCH($A22,'Valo FX'!$A:$A,0)),INDEX(Base!$V:$V,MATCH($A22,Base!$A:$A,0)),0)))</f>
        <v>11.94904</v>
      </c>
      <c r="ME22" s="21">
        <f>IF(ME$1&lt;INDEX('Valo FX'!$Q:$Q,MATCH($A22,'Valo FX'!$A:$A,0)),0,IF(ME$1&lt;INDEX('Valo FX'!$R:$R,MATCH($A22,'Valo FX'!$A:$A,0)),INDEX(Base!$U:$U,MATCH($A22,Base!$A:$A,0)),IF(ME$1=INDEX('Valo FX'!$R:$R,MATCH($A22,'Valo FX'!$A:$A,0)),INDEX(Base!$V:$V,MATCH($A22,Base!$A:$A,0)),0)))</f>
        <v>11.94904</v>
      </c>
      <c r="MF22" s="21">
        <f>IF(MF$1&lt;INDEX('Valo FX'!$Q:$Q,MATCH($A22,'Valo FX'!$A:$A,0)),0,IF(MF$1&lt;INDEX('Valo FX'!$R:$R,MATCH($A22,'Valo FX'!$A:$A,0)),INDEX(Base!$U:$U,MATCH($A22,Base!$A:$A,0)),IF(MF$1=INDEX('Valo FX'!$R:$R,MATCH($A22,'Valo FX'!$A:$A,0)),INDEX(Base!$V:$V,MATCH($A22,Base!$A:$A,0)),0)))</f>
        <v>11.94904</v>
      </c>
      <c r="MG22" s="21">
        <f>IF(MG$1&lt;INDEX('Valo FX'!$Q:$Q,MATCH($A22,'Valo FX'!$A:$A,0)),0,IF(MG$1&lt;INDEX('Valo FX'!$R:$R,MATCH($A22,'Valo FX'!$A:$A,0)),INDEX(Base!$U:$U,MATCH($A22,Base!$A:$A,0)),IF(MG$1=INDEX('Valo FX'!$R:$R,MATCH($A22,'Valo FX'!$A:$A,0)),INDEX(Base!$V:$V,MATCH($A22,Base!$A:$A,0)),0)))</f>
        <v>11.94904</v>
      </c>
      <c r="MH22" s="21">
        <f>IF(MH$1&lt;INDEX('Valo FX'!$Q:$Q,MATCH($A22,'Valo FX'!$A:$A,0)),0,IF(MH$1&lt;INDEX('Valo FX'!$R:$R,MATCH($A22,'Valo FX'!$A:$A,0)),INDEX(Base!$U:$U,MATCH($A22,Base!$A:$A,0)),IF(MH$1=INDEX('Valo FX'!$R:$R,MATCH($A22,'Valo FX'!$A:$A,0)),INDEX(Base!$V:$V,MATCH($A22,Base!$A:$A,0)),0)))</f>
        <v>11.94904</v>
      </c>
      <c r="MI22" s="21">
        <f>IF(MI$1&lt;INDEX('Valo FX'!$Q:$Q,MATCH($A22,'Valo FX'!$A:$A,0)),0,IF(MI$1&lt;INDEX('Valo FX'!$R:$R,MATCH($A22,'Valo FX'!$A:$A,0)),INDEX(Base!$U:$U,MATCH($A22,Base!$A:$A,0)),IF(MI$1=INDEX('Valo FX'!$R:$R,MATCH($A22,'Valo FX'!$A:$A,0)),INDEX(Base!$V:$V,MATCH($A22,Base!$A:$A,0)),0)))</f>
        <v>11.94904</v>
      </c>
      <c r="MJ22" s="21">
        <f>IF(MJ$1&lt;INDEX('Valo FX'!$Q:$Q,MATCH($A22,'Valo FX'!$A:$A,0)),0,IF(MJ$1&lt;INDEX('Valo FX'!$R:$R,MATCH($A22,'Valo FX'!$A:$A,0)),INDEX(Base!$U:$U,MATCH($A22,Base!$A:$A,0)),IF(MJ$1=INDEX('Valo FX'!$R:$R,MATCH($A22,'Valo FX'!$A:$A,0)),INDEX(Base!$V:$V,MATCH($A22,Base!$A:$A,0)),0)))</f>
        <v>11.94904</v>
      </c>
      <c r="MK22" s="21">
        <f>IF(MK$1&lt;INDEX('Valo FX'!$Q:$Q,MATCH($A22,'Valo FX'!$A:$A,0)),0,IF(MK$1&lt;INDEX('Valo FX'!$R:$R,MATCH($A22,'Valo FX'!$A:$A,0)),INDEX(Base!$U:$U,MATCH($A22,Base!$A:$A,0)),IF(MK$1=INDEX('Valo FX'!$R:$R,MATCH($A22,'Valo FX'!$A:$A,0)),INDEX(Base!$V:$V,MATCH($A22,Base!$A:$A,0)),0)))</f>
        <v>11.94904</v>
      </c>
      <c r="ML22" s="21">
        <f>IF(ML$1&lt;INDEX('Valo FX'!$Q:$Q,MATCH($A22,'Valo FX'!$A:$A,0)),0,IF(ML$1&lt;INDEX('Valo FX'!$R:$R,MATCH($A22,'Valo FX'!$A:$A,0)),INDEX(Base!$U:$U,MATCH($A22,Base!$A:$A,0)),IF(ML$1=INDEX('Valo FX'!$R:$R,MATCH($A22,'Valo FX'!$A:$A,0)),INDEX(Base!$V:$V,MATCH($A22,Base!$A:$A,0)),0)))</f>
        <v>11.94904</v>
      </c>
      <c r="MM22" s="21">
        <f>IF(MM$1&lt;INDEX('Valo FX'!$Q:$Q,MATCH($A22,'Valo FX'!$A:$A,0)),0,IF(MM$1&lt;INDEX('Valo FX'!$R:$R,MATCH($A22,'Valo FX'!$A:$A,0)),INDEX(Base!$U:$U,MATCH($A22,Base!$A:$A,0)),IF(MM$1=INDEX('Valo FX'!$R:$R,MATCH($A22,'Valo FX'!$A:$A,0)),INDEX(Base!$V:$V,MATCH($A22,Base!$A:$A,0)),0)))</f>
        <v>11.94904</v>
      </c>
      <c r="MN22" s="21">
        <f>IF(MN$1&lt;INDEX('Valo FX'!$Q:$Q,MATCH($A22,'Valo FX'!$A:$A,0)),0,IF(MN$1&lt;INDEX('Valo FX'!$R:$R,MATCH($A22,'Valo FX'!$A:$A,0)),INDEX(Base!$U:$U,MATCH($A22,Base!$A:$A,0)),IF(MN$1=INDEX('Valo FX'!$R:$R,MATCH($A22,'Valo FX'!$A:$A,0)),INDEX(Base!$V:$V,MATCH($A22,Base!$A:$A,0)),0)))</f>
        <v>11.94904</v>
      </c>
      <c r="MO22" s="21">
        <f>IF(MO$1&lt;INDEX('Valo FX'!$Q:$Q,MATCH($A22,'Valo FX'!$A:$A,0)),0,IF(MO$1&lt;INDEX('Valo FX'!$R:$R,MATCH($A22,'Valo FX'!$A:$A,0)),INDEX(Base!$U:$U,MATCH($A22,Base!$A:$A,0)),IF(MO$1=INDEX('Valo FX'!$R:$R,MATCH($A22,'Valo FX'!$A:$A,0)),INDEX(Base!$V:$V,MATCH($A22,Base!$A:$A,0)),0)))</f>
        <v>11.94904</v>
      </c>
      <c r="MP22" s="21">
        <f>IF(MP$1&lt;INDEX('Valo FX'!$Q:$Q,MATCH($A22,'Valo FX'!$A:$A,0)),0,IF(MP$1&lt;INDEX('Valo FX'!$R:$R,MATCH($A22,'Valo FX'!$A:$A,0)),INDEX(Base!$U:$U,MATCH($A22,Base!$A:$A,0)),IF(MP$1=INDEX('Valo FX'!$R:$R,MATCH($A22,'Valo FX'!$A:$A,0)),INDEX(Base!$V:$V,MATCH($A22,Base!$A:$A,0)),0)))</f>
        <v>11.94904</v>
      </c>
      <c r="MQ22" s="21">
        <f>IF(MQ$1&lt;INDEX('Valo FX'!$Q:$Q,MATCH($A22,'Valo FX'!$A:$A,0)),0,IF(MQ$1&lt;INDEX('Valo FX'!$R:$R,MATCH($A22,'Valo FX'!$A:$A,0)),INDEX(Base!$U:$U,MATCH($A22,Base!$A:$A,0)),IF(MQ$1=INDEX('Valo FX'!$R:$R,MATCH($A22,'Valo FX'!$A:$A,0)),INDEX(Base!$V:$V,MATCH($A22,Base!$A:$A,0)),0)))</f>
        <v>11.94904</v>
      </c>
      <c r="MR22" s="21">
        <f>IF(MR$1&lt;INDEX('Valo FX'!$Q:$Q,MATCH($A22,'Valo FX'!$A:$A,0)),0,IF(MR$1&lt;INDEX('Valo FX'!$R:$R,MATCH($A22,'Valo FX'!$A:$A,0)),INDEX(Base!$U:$U,MATCH($A22,Base!$A:$A,0)),IF(MR$1=INDEX('Valo FX'!$R:$R,MATCH($A22,'Valo FX'!$A:$A,0)),INDEX(Base!$V:$V,MATCH($A22,Base!$A:$A,0)),0)))</f>
        <v>11.94904</v>
      </c>
      <c r="MS22" s="21">
        <f>IF(MS$1&lt;INDEX('Valo FX'!$Q:$Q,MATCH($A22,'Valo FX'!$A:$A,0)),0,IF(MS$1&lt;INDEX('Valo FX'!$R:$R,MATCH($A22,'Valo FX'!$A:$A,0)),INDEX(Base!$U:$U,MATCH($A22,Base!$A:$A,0)),IF(MS$1=INDEX('Valo FX'!$R:$R,MATCH($A22,'Valo FX'!$A:$A,0)),INDEX(Base!$V:$V,MATCH($A22,Base!$A:$A,0)),0)))</f>
        <v>11.94904</v>
      </c>
      <c r="MT22" s="21">
        <f>IF(MT$1&lt;INDEX('Valo FX'!$Q:$Q,MATCH($A22,'Valo FX'!$A:$A,0)),0,IF(MT$1&lt;INDEX('Valo FX'!$R:$R,MATCH($A22,'Valo FX'!$A:$A,0)),INDEX(Base!$U:$U,MATCH($A22,Base!$A:$A,0)),IF(MT$1=INDEX('Valo FX'!$R:$R,MATCH($A22,'Valo FX'!$A:$A,0)),INDEX(Base!$V:$V,MATCH($A22,Base!$A:$A,0)),0)))</f>
        <v>11.94904</v>
      </c>
      <c r="MU22" s="21">
        <f>IF(MU$1&lt;INDEX('Valo FX'!$Q:$Q,MATCH($A22,'Valo FX'!$A:$A,0)),0,IF(MU$1&lt;INDEX('Valo FX'!$R:$R,MATCH($A22,'Valo FX'!$A:$A,0)),INDEX(Base!$U:$U,MATCH($A22,Base!$A:$A,0)),IF(MU$1=INDEX('Valo FX'!$R:$R,MATCH($A22,'Valo FX'!$A:$A,0)),INDEX(Base!$V:$V,MATCH($A22,Base!$A:$A,0)),0)))</f>
        <v>11.94904</v>
      </c>
      <c r="MV22" s="21">
        <f>IF(MV$1&lt;INDEX('Valo FX'!$Q:$Q,MATCH($A22,'Valo FX'!$A:$A,0)),0,IF(MV$1&lt;INDEX('Valo FX'!$R:$R,MATCH($A22,'Valo FX'!$A:$A,0)),INDEX(Base!$U:$U,MATCH($A22,Base!$A:$A,0)),IF(MV$1=INDEX('Valo FX'!$R:$R,MATCH($A22,'Valo FX'!$A:$A,0)),INDEX(Base!$V:$V,MATCH($A22,Base!$A:$A,0)),0)))</f>
        <v>11.94904</v>
      </c>
      <c r="MW22" s="21">
        <f>IF(MW$1&lt;INDEX('Valo FX'!$Q:$Q,MATCH($A22,'Valo FX'!$A:$A,0)),0,IF(MW$1&lt;INDEX('Valo FX'!$R:$R,MATCH($A22,'Valo FX'!$A:$A,0)),INDEX(Base!$U:$U,MATCH($A22,Base!$A:$A,0)),IF(MW$1=INDEX('Valo FX'!$R:$R,MATCH($A22,'Valo FX'!$A:$A,0)),INDEX(Base!$V:$V,MATCH($A22,Base!$A:$A,0)),0)))</f>
        <v>11.94904</v>
      </c>
      <c r="MX22" s="21">
        <f>IF(MX$1&lt;INDEX('Valo FX'!$Q:$Q,MATCH($A22,'Valo FX'!$A:$A,0)),0,IF(MX$1&lt;INDEX('Valo FX'!$R:$R,MATCH($A22,'Valo FX'!$A:$A,0)),INDEX(Base!$U:$U,MATCH($A22,Base!$A:$A,0)),IF(MX$1=INDEX('Valo FX'!$R:$R,MATCH($A22,'Valo FX'!$A:$A,0)),INDEX(Base!$V:$V,MATCH($A22,Base!$A:$A,0)),0)))</f>
        <v>11.94904</v>
      </c>
      <c r="MY22" s="21">
        <f>IF(MY$1&lt;INDEX('Valo FX'!$Q:$Q,MATCH($A22,'Valo FX'!$A:$A,0)),0,IF(MY$1&lt;INDEX('Valo FX'!$R:$R,MATCH($A22,'Valo FX'!$A:$A,0)),INDEX(Base!$U:$U,MATCH($A22,Base!$A:$A,0)),IF(MY$1=INDEX('Valo FX'!$R:$R,MATCH($A22,'Valo FX'!$A:$A,0)),INDEX(Base!$V:$V,MATCH($A22,Base!$A:$A,0)),0)))</f>
        <v>12.92484</v>
      </c>
    </row>
    <row r="23" spans="1:363" x14ac:dyDescent="0.25">
      <c r="A23" s="7">
        <f>+'Valo FX'!A24</f>
        <v>21</v>
      </c>
      <c r="B23" s="59">
        <f>-'Valo FX'!T24</f>
        <v>-1646.2705524820203</v>
      </c>
      <c r="C23" s="21">
        <f>IF(C$1&lt;INDEX('Valo FX'!$Q:$Q,MATCH($A23,'Valo FX'!$A:$A,0)),0,IF(C$1&lt;INDEX('Valo FX'!$R:$R,MATCH($A23,'Valo FX'!$A:$A,0)),INDEX(Base!$U:$U,MATCH($A23,Base!$A:$A,0)),IF(C$1=INDEX('Valo FX'!$R:$R,MATCH($A23,'Valo FX'!$A:$A,0)),INDEX(Base!$V:$V,MATCH($A23,Base!$A:$A,0)),0)))</f>
        <v>0</v>
      </c>
      <c r="D23" s="21">
        <f>IF(D$1&lt;INDEX('Valo FX'!$Q:$Q,MATCH($A23,'Valo FX'!$A:$A,0)),0,IF(D$1&lt;INDEX('Valo FX'!$R:$R,MATCH($A23,'Valo FX'!$A:$A,0)),INDEX(Base!$U:$U,MATCH($A23,Base!$A:$A,0)),IF(D$1=INDEX('Valo FX'!$R:$R,MATCH($A23,'Valo FX'!$A:$A,0)),INDEX(Base!$V:$V,MATCH($A23,Base!$A:$A,0)),0)))</f>
        <v>0</v>
      </c>
      <c r="E23" s="21">
        <f>IF(E$1&lt;INDEX('Valo FX'!$Q:$Q,MATCH($A23,'Valo FX'!$A:$A,0)),0,IF(E$1&lt;INDEX('Valo FX'!$R:$R,MATCH($A23,'Valo FX'!$A:$A,0)),INDEX(Base!$U:$U,MATCH($A23,Base!$A:$A,0)),IF(E$1=INDEX('Valo FX'!$R:$R,MATCH($A23,'Valo FX'!$A:$A,0)),INDEX(Base!$V:$V,MATCH($A23,Base!$A:$A,0)),0)))</f>
        <v>0</v>
      </c>
      <c r="F23" s="21">
        <f>IF(F$1&lt;INDEX('Valo FX'!$Q:$Q,MATCH($A23,'Valo FX'!$A:$A,0)),0,IF(F$1&lt;INDEX('Valo FX'!$R:$R,MATCH($A23,'Valo FX'!$A:$A,0)),INDEX(Base!$U:$U,MATCH($A23,Base!$A:$A,0)),IF(F$1=INDEX('Valo FX'!$R:$R,MATCH($A23,'Valo FX'!$A:$A,0)),INDEX(Base!$V:$V,MATCH($A23,Base!$A:$A,0)),0)))</f>
        <v>0</v>
      </c>
      <c r="G23" s="21">
        <f>IF(G$1&lt;INDEX('Valo FX'!$Q:$Q,MATCH($A23,'Valo FX'!$A:$A,0)),0,IF(G$1&lt;INDEX('Valo FX'!$R:$R,MATCH($A23,'Valo FX'!$A:$A,0)),INDEX(Base!$U:$U,MATCH($A23,Base!$A:$A,0)),IF(G$1=INDEX('Valo FX'!$R:$R,MATCH($A23,'Valo FX'!$A:$A,0)),INDEX(Base!$V:$V,MATCH($A23,Base!$A:$A,0)),0)))</f>
        <v>0</v>
      </c>
      <c r="H23" s="21">
        <f>IF(H$1&lt;INDEX('Valo FX'!$Q:$Q,MATCH($A23,'Valo FX'!$A:$A,0)),0,IF(H$1&lt;INDEX('Valo FX'!$R:$R,MATCH($A23,'Valo FX'!$A:$A,0)),INDEX(Base!$U:$U,MATCH($A23,Base!$A:$A,0)),IF(H$1=INDEX('Valo FX'!$R:$R,MATCH($A23,'Valo FX'!$A:$A,0)),INDEX(Base!$V:$V,MATCH($A23,Base!$A:$A,0)),0)))</f>
        <v>0</v>
      </c>
      <c r="I23" s="21">
        <f>IF(I$1&lt;INDEX('Valo FX'!$Q:$Q,MATCH($A23,'Valo FX'!$A:$A,0)),0,IF(I$1&lt;INDEX('Valo FX'!$R:$R,MATCH($A23,'Valo FX'!$A:$A,0)),INDEX(Base!$U:$U,MATCH($A23,Base!$A:$A,0)),IF(I$1=INDEX('Valo FX'!$R:$R,MATCH($A23,'Valo FX'!$A:$A,0)),INDEX(Base!$V:$V,MATCH($A23,Base!$A:$A,0)),0)))</f>
        <v>12.012828000000001</v>
      </c>
      <c r="J23" s="21">
        <f>IF(J$1&lt;INDEX('Valo FX'!$Q:$Q,MATCH($A23,'Valo FX'!$A:$A,0)),0,IF(J$1&lt;INDEX('Valo FX'!$R:$R,MATCH($A23,'Valo FX'!$A:$A,0)),INDEX(Base!$U:$U,MATCH($A23,Base!$A:$A,0)),IF(J$1=INDEX('Valo FX'!$R:$R,MATCH($A23,'Valo FX'!$A:$A,0)),INDEX(Base!$V:$V,MATCH($A23,Base!$A:$A,0)),0)))</f>
        <v>12.012828000000001</v>
      </c>
      <c r="K23" s="21">
        <f>IF(K$1&lt;INDEX('Valo FX'!$Q:$Q,MATCH($A23,'Valo FX'!$A:$A,0)),0,IF(K$1&lt;INDEX('Valo FX'!$R:$R,MATCH($A23,'Valo FX'!$A:$A,0)),INDEX(Base!$U:$U,MATCH($A23,Base!$A:$A,0)),IF(K$1=INDEX('Valo FX'!$R:$R,MATCH($A23,'Valo FX'!$A:$A,0)),INDEX(Base!$V:$V,MATCH($A23,Base!$A:$A,0)),0)))</f>
        <v>12.012828000000001</v>
      </c>
      <c r="L23" s="21">
        <f>IF(L$1&lt;INDEX('Valo FX'!$Q:$Q,MATCH($A23,'Valo FX'!$A:$A,0)),0,IF(L$1&lt;INDEX('Valo FX'!$R:$R,MATCH($A23,'Valo FX'!$A:$A,0)),INDEX(Base!$U:$U,MATCH($A23,Base!$A:$A,0)),IF(L$1=INDEX('Valo FX'!$R:$R,MATCH($A23,'Valo FX'!$A:$A,0)),INDEX(Base!$V:$V,MATCH($A23,Base!$A:$A,0)),0)))</f>
        <v>12.012828000000001</v>
      </c>
      <c r="M23" s="21">
        <f>IF(M$1&lt;INDEX('Valo FX'!$Q:$Q,MATCH($A23,'Valo FX'!$A:$A,0)),0,IF(M$1&lt;INDEX('Valo FX'!$R:$R,MATCH($A23,'Valo FX'!$A:$A,0)),INDEX(Base!$U:$U,MATCH($A23,Base!$A:$A,0)),IF(M$1=INDEX('Valo FX'!$R:$R,MATCH($A23,'Valo FX'!$A:$A,0)),INDEX(Base!$V:$V,MATCH($A23,Base!$A:$A,0)),0)))</f>
        <v>12.012828000000001</v>
      </c>
      <c r="N23" s="21">
        <f>IF(N$1&lt;INDEX('Valo FX'!$Q:$Q,MATCH($A23,'Valo FX'!$A:$A,0)),0,IF(N$1&lt;INDEX('Valo FX'!$R:$R,MATCH($A23,'Valo FX'!$A:$A,0)),INDEX(Base!$U:$U,MATCH($A23,Base!$A:$A,0)),IF(N$1=INDEX('Valo FX'!$R:$R,MATCH($A23,'Valo FX'!$A:$A,0)),INDEX(Base!$V:$V,MATCH($A23,Base!$A:$A,0)),0)))</f>
        <v>12.012828000000001</v>
      </c>
      <c r="O23" s="21">
        <f>IF(O$1&lt;INDEX('Valo FX'!$Q:$Q,MATCH($A23,'Valo FX'!$A:$A,0)),0,IF(O$1&lt;INDEX('Valo FX'!$R:$R,MATCH($A23,'Valo FX'!$A:$A,0)),INDEX(Base!$U:$U,MATCH($A23,Base!$A:$A,0)),IF(O$1=INDEX('Valo FX'!$R:$R,MATCH($A23,'Valo FX'!$A:$A,0)),INDEX(Base!$V:$V,MATCH($A23,Base!$A:$A,0)),0)))</f>
        <v>12.012828000000001</v>
      </c>
      <c r="P23" s="21">
        <f>IF(P$1&lt;INDEX('Valo FX'!$Q:$Q,MATCH($A23,'Valo FX'!$A:$A,0)),0,IF(P$1&lt;INDEX('Valo FX'!$R:$R,MATCH($A23,'Valo FX'!$A:$A,0)),INDEX(Base!$U:$U,MATCH($A23,Base!$A:$A,0)),IF(P$1=INDEX('Valo FX'!$R:$R,MATCH($A23,'Valo FX'!$A:$A,0)),INDEX(Base!$V:$V,MATCH($A23,Base!$A:$A,0)),0)))</f>
        <v>12.012828000000001</v>
      </c>
      <c r="Q23" s="21">
        <f>IF(Q$1&lt;INDEX('Valo FX'!$Q:$Q,MATCH($A23,'Valo FX'!$A:$A,0)),0,IF(Q$1&lt;INDEX('Valo FX'!$R:$R,MATCH($A23,'Valo FX'!$A:$A,0)),INDEX(Base!$U:$U,MATCH($A23,Base!$A:$A,0)),IF(Q$1=INDEX('Valo FX'!$R:$R,MATCH($A23,'Valo FX'!$A:$A,0)),INDEX(Base!$V:$V,MATCH($A23,Base!$A:$A,0)),0)))</f>
        <v>12.012828000000001</v>
      </c>
      <c r="R23" s="21">
        <f>IF(R$1&lt;INDEX('Valo FX'!$Q:$Q,MATCH($A23,'Valo FX'!$A:$A,0)),0,IF(R$1&lt;INDEX('Valo FX'!$R:$R,MATCH($A23,'Valo FX'!$A:$A,0)),INDEX(Base!$U:$U,MATCH($A23,Base!$A:$A,0)),IF(R$1=INDEX('Valo FX'!$R:$R,MATCH($A23,'Valo FX'!$A:$A,0)),INDEX(Base!$V:$V,MATCH($A23,Base!$A:$A,0)),0)))</f>
        <v>12.012828000000001</v>
      </c>
      <c r="S23" s="21">
        <f>IF(S$1&lt;INDEX('Valo FX'!$Q:$Q,MATCH($A23,'Valo FX'!$A:$A,0)),0,IF(S$1&lt;INDEX('Valo FX'!$R:$R,MATCH($A23,'Valo FX'!$A:$A,0)),INDEX(Base!$U:$U,MATCH($A23,Base!$A:$A,0)),IF(S$1=INDEX('Valo FX'!$R:$R,MATCH($A23,'Valo FX'!$A:$A,0)),INDEX(Base!$V:$V,MATCH($A23,Base!$A:$A,0)),0)))</f>
        <v>12.012828000000001</v>
      </c>
      <c r="T23" s="21">
        <f>IF(T$1&lt;INDEX('Valo FX'!$Q:$Q,MATCH($A23,'Valo FX'!$A:$A,0)),0,IF(T$1&lt;INDEX('Valo FX'!$R:$R,MATCH($A23,'Valo FX'!$A:$A,0)),INDEX(Base!$U:$U,MATCH($A23,Base!$A:$A,0)),IF(T$1=INDEX('Valo FX'!$R:$R,MATCH($A23,'Valo FX'!$A:$A,0)),INDEX(Base!$V:$V,MATCH($A23,Base!$A:$A,0)),0)))</f>
        <v>12.012828000000001</v>
      </c>
      <c r="U23" s="21">
        <f>IF(U$1&lt;INDEX('Valo FX'!$Q:$Q,MATCH($A23,'Valo FX'!$A:$A,0)),0,IF(U$1&lt;INDEX('Valo FX'!$R:$R,MATCH($A23,'Valo FX'!$A:$A,0)),INDEX(Base!$U:$U,MATCH($A23,Base!$A:$A,0)),IF(U$1=INDEX('Valo FX'!$R:$R,MATCH($A23,'Valo FX'!$A:$A,0)),INDEX(Base!$V:$V,MATCH($A23,Base!$A:$A,0)),0)))</f>
        <v>12.012828000000001</v>
      </c>
      <c r="V23" s="21">
        <f>IF(V$1&lt;INDEX('Valo FX'!$Q:$Q,MATCH($A23,'Valo FX'!$A:$A,0)),0,IF(V$1&lt;INDEX('Valo FX'!$R:$R,MATCH($A23,'Valo FX'!$A:$A,0)),INDEX(Base!$U:$U,MATCH($A23,Base!$A:$A,0)),IF(V$1=INDEX('Valo FX'!$R:$R,MATCH($A23,'Valo FX'!$A:$A,0)),INDEX(Base!$V:$V,MATCH($A23,Base!$A:$A,0)),0)))</f>
        <v>12.012828000000001</v>
      </c>
      <c r="W23" s="21">
        <f>IF(W$1&lt;INDEX('Valo FX'!$Q:$Q,MATCH($A23,'Valo FX'!$A:$A,0)),0,IF(W$1&lt;INDEX('Valo FX'!$R:$R,MATCH($A23,'Valo FX'!$A:$A,0)),INDEX(Base!$U:$U,MATCH($A23,Base!$A:$A,0)),IF(W$1=INDEX('Valo FX'!$R:$R,MATCH($A23,'Valo FX'!$A:$A,0)),INDEX(Base!$V:$V,MATCH($A23,Base!$A:$A,0)),0)))</f>
        <v>12.012828000000001</v>
      </c>
      <c r="X23" s="21">
        <f>IF(X$1&lt;INDEX('Valo FX'!$Q:$Q,MATCH($A23,'Valo FX'!$A:$A,0)),0,IF(X$1&lt;INDEX('Valo FX'!$R:$R,MATCH($A23,'Valo FX'!$A:$A,0)),INDEX(Base!$U:$U,MATCH($A23,Base!$A:$A,0)),IF(X$1=INDEX('Valo FX'!$R:$R,MATCH($A23,'Valo FX'!$A:$A,0)),INDEX(Base!$V:$V,MATCH($A23,Base!$A:$A,0)),0)))</f>
        <v>12.012828000000001</v>
      </c>
      <c r="Y23" s="21">
        <f>IF(Y$1&lt;INDEX('Valo FX'!$Q:$Q,MATCH($A23,'Valo FX'!$A:$A,0)),0,IF(Y$1&lt;INDEX('Valo FX'!$R:$R,MATCH($A23,'Valo FX'!$A:$A,0)),INDEX(Base!$U:$U,MATCH($A23,Base!$A:$A,0)),IF(Y$1=INDEX('Valo FX'!$R:$R,MATCH($A23,'Valo FX'!$A:$A,0)),INDEX(Base!$V:$V,MATCH($A23,Base!$A:$A,0)),0)))</f>
        <v>12.012828000000001</v>
      </c>
      <c r="Z23" s="21">
        <f>IF(Z$1&lt;INDEX('Valo FX'!$Q:$Q,MATCH($A23,'Valo FX'!$A:$A,0)),0,IF(Z$1&lt;INDEX('Valo FX'!$R:$R,MATCH($A23,'Valo FX'!$A:$A,0)),INDEX(Base!$U:$U,MATCH($A23,Base!$A:$A,0)),IF(Z$1=INDEX('Valo FX'!$R:$R,MATCH($A23,'Valo FX'!$A:$A,0)),INDEX(Base!$V:$V,MATCH($A23,Base!$A:$A,0)),0)))</f>
        <v>12.012828000000001</v>
      </c>
      <c r="AA23" s="21">
        <f>IF(AA$1&lt;INDEX('Valo FX'!$Q:$Q,MATCH($A23,'Valo FX'!$A:$A,0)),0,IF(AA$1&lt;INDEX('Valo FX'!$R:$R,MATCH($A23,'Valo FX'!$A:$A,0)),INDEX(Base!$U:$U,MATCH($A23,Base!$A:$A,0)),IF(AA$1=INDEX('Valo FX'!$R:$R,MATCH($A23,'Valo FX'!$A:$A,0)),INDEX(Base!$V:$V,MATCH($A23,Base!$A:$A,0)),0)))</f>
        <v>12.012828000000001</v>
      </c>
      <c r="AB23" s="21">
        <f>IF(AB$1&lt;INDEX('Valo FX'!$Q:$Q,MATCH($A23,'Valo FX'!$A:$A,0)),0,IF(AB$1&lt;INDEX('Valo FX'!$R:$R,MATCH($A23,'Valo FX'!$A:$A,0)),INDEX(Base!$U:$U,MATCH($A23,Base!$A:$A,0)),IF(AB$1=INDEX('Valo FX'!$R:$R,MATCH($A23,'Valo FX'!$A:$A,0)),INDEX(Base!$V:$V,MATCH($A23,Base!$A:$A,0)),0)))</f>
        <v>12.012828000000001</v>
      </c>
      <c r="AC23" s="21">
        <f>IF(AC$1&lt;INDEX('Valo FX'!$Q:$Q,MATCH($A23,'Valo FX'!$A:$A,0)),0,IF(AC$1&lt;INDEX('Valo FX'!$R:$R,MATCH($A23,'Valo FX'!$A:$A,0)),INDEX(Base!$U:$U,MATCH($A23,Base!$A:$A,0)),IF(AC$1=INDEX('Valo FX'!$R:$R,MATCH($A23,'Valo FX'!$A:$A,0)),INDEX(Base!$V:$V,MATCH($A23,Base!$A:$A,0)),0)))</f>
        <v>12.012828000000001</v>
      </c>
      <c r="AD23" s="21">
        <f>IF(AD$1&lt;INDEX('Valo FX'!$Q:$Q,MATCH($A23,'Valo FX'!$A:$A,0)),0,IF(AD$1&lt;INDEX('Valo FX'!$R:$R,MATCH($A23,'Valo FX'!$A:$A,0)),INDEX(Base!$U:$U,MATCH($A23,Base!$A:$A,0)),IF(AD$1=INDEX('Valo FX'!$R:$R,MATCH($A23,'Valo FX'!$A:$A,0)),INDEX(Base!$V:$V,MATCH($A23,Base!$A:$A,0)),0)))</f>
        <v>12.012828000000001</v>
      </c>
      <c r="AE23" s="21">
        <f>IF(AE$1&lt;INDEX('Valo FX'!$Q:$Q,MATCH($A23,'Valo FX'!$A:$A,0)),0,IF(AE$1&lt;INDEX('Valo FX'!$R:$R,MATCH($A23,'Valo FX'!$A:$A,0)),INDEX(Base!$U:$U,MATCH($A23,Base!$A:$A,0)),IF(AE$1=INDEX('Valo FX'!$R:$R,MATCH($A23,'Valo FX'!$A:$A,0)),INDEX(Base!$V:$V,MATCH($A23,Base!$A:$A,0)),0)))</f>
        <v>12.012828000000001</v>
      </c>
      <c r="AF23" s="21">
        <f>IF(AF$1&lt;INDEX('Valo FX'!$Q:$Q,MATCH($A23,'Valo FX'!$A:$A,0)),0,IF(AF$1&lt;INDEX('Valo FX'!$R:$R,MATCH($A23,'Valo FX'!$A:$A,0)),INDEX(Base!$U:$U,MATCH($A23,Base!$A:$A,0)),IF(AF$1=INDEX('Valo FX'!$R:$R,MATCH($A23,'Valo FX'!$A:$A,0)),INDEX(Base!$V:$V,MATCH($A23,Base!$A:$A,0)),0)))</f>
        <v>12.012828000000001</v>
      </c>
      <c r="AG23" s="21">
        <f>IF(AG$1&lt;INDEX('Valo FX'!$Q:$Q,MATCH($A23,'Valo FX'!$A:$A,0)),0,IF(AG$1&lt;INDEX('Valo FX'!$R:$R,MATCH($A23,'Valo FX'!$A:$A,0)),INDEX(Base!$U:$U,MATCH($A23,Base!$A:$A,0)),IF(AG$1=INDEX('Valo FX'!$R:$R,MATCH($A23,'Valo FX'!$A:$A,0)),INDEX(Base!$V:$V,MATCH($A23,Base!$A:$A,0)),0)))</f>
        <v>12.012828000000001</v>
      </c>
      <c r="AH23" s="21">
        <f>IF(AH$1&lt;INDEX('Valo FX'!$Q:$Q,MATCH($A23,'Valo FX'!$A:$A,0)),0,IF(AH$1&lt;INDEX('Valo FX'!$R:$R,MATCH($A23,'Valo FX'!$A:$A,0)),INDEX(Base!$U:$U,MATCH($A23,Base!$A:$A,0)),IF(AH$1=INDEX('Valo FX'!$R:$R,MATCH($A23,'Valo FX'!$A:$A,0)),INDEX(Base!$V:$V,MATCH($A23,Base!$A:$A,0)),0)))</f>
        <v>12.012828000000001</v>
      </c>
      <c r="AI23" s="21">
        <f>IF(AI$1&lt;INDEX('Valo FX'!$Q:$Q,MATCH($A23,'Valo FX'!$A:$A,0)),0,IF(AI$1&lt;INDEX('Valo FX'!$R:$R,MATCH($A23,'Valo FX'!$A:$A,0)),INDEX(Base!$U:$U,MATCH($A23,Base!$A:$A,0)),IF(AI$1=INDEX('Valo FX'!$R:$R,MATCH($A23,'Valo FX'!$A:$A,0)),INDEX(Base!$V:$V,MATCH($A23,Base!$A:$A,0)),0)))</f>
        <v>12.012828000000001</v>
      </c>
      <c r="AJ23" s="21">
        <f>IF(AJ$1&lt;INDEX('Valo FX'!$Q:$Q,MATCH($A23,'Valo FX'!$A:$A,0)),0,IF(AJ$1&lt;INDEX('Valo FX'!$R:$R,MATCH($A23,'Valo FX'!$A:$A,0)),INDEX(Base!$U:$U,MATCH($A23,Base!$A:$A,0)),IF(AJ$1=INDEX('Valo FX'!$R:$R,MATCH($A23,'Valo FX'!$A:$A,0)),INDEX(Base!$V:$V,MATCH($A23,Base!$A:$A,0)),0)))</f>
        <v>12.012828000000001</v>
      </c>
      <c r="AK23" s="21">
        <f>IF(AK$1&lt;INDEX('Valo FX'!$Q:$Q,MATCH($A23,'Valo FX'!$A:$A,0)),0,IF(AK$1&lt;INDEX('Valo FX'!$R:$R,MATCH($A23,'Valo FX'!$A:$A,0)),INDEX(Base!$U:$U,MATCH($A23,Base!$A:$A,0)),IF(AK$1=INDEX('Valo FX'!$R:$R,MATCH($A23,'Valo FX'!$A:$A,0)),INDEX(Base!$V:$V,MATCH($A23,Base!$A:$A,0)),0)))</f>
        <v>12.012828000000001</v>
      </c>
      <c r="AL23" s="21">
        <f>IF(AL$1&lt;INDEX('Valo FX'!$Q:$Q,MATCH($A23,'Valo FX'!$A:$A,0)),0,IF(AL$1&lt;INDEX('Valo FX'!$R:$R,MATCH($A23,'Valo FX'!$A:$A,0)),INDEX(Base!$U:$U,MATCH($A23,Base!$A:$A,0)),IF(AL$1=INDEX('Valo FX'!$R:$R,MATCH($A23,'Valo FX'!$A:$A,0)),INDEX(Base!$V:$V,MATCH($A23,Base!$A:$A,0)),0)))</f>
        <v>12.012828000000001</v>
      </c>
      <c r="AM23" s="21">
        <f>IF(AM$1&lt;INDEX('Valo FX'!$Q:$Q,MATCH($A23,'Valo FX'!$A:$A,0)),0,IF(AM$1&lt;INDEX('Valo FX'!$R:$R,MATCH($A23,'Valo FX'!$A:$A,0)),INDEX(Base!$U:$U,MATCH($A23,Base!$A:$A,0)),IF(AM$1=INDEX('Valo FX'!$R:$R,MATCH($A23,'Valo FX'!$A:$A,0)),INDEX(Base!$V:$V,MATCH($A23,Base!$A:$A,0)),0)))</f>
        <v>12.012828000000001</v>
      </c>
      <c r="AN23" s="21">
        <f>IF(AN$1&lt;INDEX('Valo FX'!$Q:$Q,MATCH($A23,'Valo FX'!$A:$A,0)),0,IF(AN$1&lt;INDEX('Valo FX'!$R:$R,MATCH($A23,'Valo FX'!$A:$A,0)),INDEX(Base!$U:$U,MATCH($A23,Base!$A:$A,0)),IF(AN$1=INDEX('Valo FX'!$R:$R,MATCH($A23,'Valo FX'!$A:$A,0)),INDEX(Base!$V:$V,MATCH($A23,Base!$A:$A,0)),0)))</f>
        <v>12.012828000000001</v>
      </c>
      <c r="AO23" s="21">
        <f>IF(AO$1&lt;INDEX('Valo FX'!$Q:$Q,MATCH($A23,'Valo FX'!$A:$A,0)),0,IF(AO$1&lt;INDEX('Valo FX'!$R:$R,MATCH($A23,'Valo FX'!$A:$A,0)),INDEX(Base!$U:$U,MATCH($A23,Base!$A:$A,0)),IF(AO$1=INDEX('Valo FX'!$R:$R,MATCH($A23,'Valo FX'!$A:$A,0)),INDEX(Base!$V:$V,MATCH($A23,Base!$A:$A,0)),0)))</f>
        <v>12.012828000000001</v>
      </c>
      <c r="AP23" s="21">
        <f>IF(AP$1&lt;INDEX('Valo FX'!$Q:$Q,MATCH($A23,'Valo FX'!$A:$A,0)),0,IF(AP$1&lt;INDEX('Valo FX'!$R:$R,MATCH($A23,'Valo FX'!$A:$A,0)),INDEX(Base!$U:$U,MATCH($A23,Base!$A:$A,0)),IF(AP$1=INDEX('Valo FX'!$R:$R,MATCH($A23,'Valo FX'!$A:$A,0)),INDEX(Base!$V:$V,MATCH($A23,Base!$A:$A,0)),0)))</f>
        <v>12.012828000000001</v>
      </c>
      <c r="AQ23" s="21">
        <f>IF(AQ$1&lt;INDEX('Valo FX'!$Q:$Q,MATCH($A23,'Valo FX'!$A:$A,0)),0,IF(AQ$1&lt;INDEX('Valo FX'!$R:$R,MATCH($A23,'Valo FX'!$A:$A,0)),INDEX(Base!$U:$U,MATCH($A23,Base!$A:$A,0)),IF(AQ$1=INDEX('Valo FX'!$R:$R,MATCH($A23,'Valo FX'!$A:$A,0)),INDEX(Base!$V:$V,MATCH($A23,Base!$A:$A,0)),0)))</f>
        <v>12.012828000000001</v>
      </c>
      <c r="AR23" s="21">
        <f>IF(AR$1&lt;INDEX('Valo FX'!$Q:$Q,MATCH($A23,'Valo FX'!$A:$A,0)),0,IF(AR$1&lt;INDEX('Valo FX'!$R:$R,MATCH($A23,'Valo FX'!$A:$A,0)),INDEX(Base!$U:$U,MATCH($A23,Base!$A:$A,0)),IF(AR$1=INDEX('Valo FX'!$R:$R,MATCH($A23,'Valo FX'!$A:$A,0)),INDEX(Base!$V:$V,MATCH($A23,Base!$A:$A,0)),0)))</f>
        <v>12.012828000000001</v>
      </c>
      <c r="AS23" s="21">
        <f>IF(AS$1&lt;INDEX('Valo FX'!$Q:$Q,MATCH($A23,'Valo FX'!$A:$A,0)),0,IF(AS$1&lt;INDEX('Valo FX'!$R:$R,MATCH($A23,'Valo FX'!$A:$A,0)),INDEX(Base!$U:$U,MATCH($A23,Base!$A:$A,0)),IF(AS$1=INDEX('Valo FX'!$R:$R,MATCH($A23,'Valo FX'!$A:$A,0)),INDEX(Base!$V:$V,MATCH($A23,Base!$A:$A,0)),0)))</f>
        <v>12.012828000000001</v>
      </c>
      <c r="AT23" s="21">
        <f>IF(AT$1&lt;INDEX('Valo FX'!$Q:$Q,MATCH($A23,'Valo FX'!$A:$A,0)),0,IF(AT$1&lt;INDEX('Valo FX'!$R:$R,MATCH($A23,'Valo FX'!$A:$A,0)),INDEX(Base!$U:$U,MATCH($A23,Base!$A:$A,0)),IF(AT$1=INDEX('Valo FX'!$R:$R,MATCH($A23,'Valo FX'!$A:$A,0)),INDEX(Base!$V:$V,MATCH($A23,Base!$A:$A,0)),0)))</f>
        <v>12.012828000000001</v>
      </c>
      <c r="AU23" s="21">
        <f>IF(AU$1&lt;INDEX('Valo FX'!$Q:$Q,MATCH($A23,'Valo FX'!$A:$A,0)),0,IF(AU$1&lt;INDEX('Valo FX'!$R:$R,MATCH($A23,'Valo FX'!$A:$A,0)),INDEX(Base!$U:$U,MATCH($A23,Base!$A:$A,0)),IF(AU$1=INDEX('Valo FX'!$R:$R,MATCH($A23,'Valo FX'!$A:$A,0)),INDEX(Base!$V:$V,MATCH($A23,Base!$A:$A,0)),0)))</f>
        <v>12.012828000000001</v>
      </c>
      <c r="AV23" s="21">
        <f>IF(AV$1&lt;INDEX('Valo FX'!$Q:$Q,MATCH($A23,'Valo FX'!$A:$A,0)),0,IF(AV$1&lt;INDEX('Valo FX'!$R:$R,MATCH($A23,'Valo FX'!$A:$A,0)),INDEX(Base!$U:$U,MATCH($A23,Base!$A:$A,0)),IF(AV$1=INDEX('Valo FX'!$R:$R,MATCH($A23,'Valo FX'!$A:$A,0)),INDEX(Base!$V:$V,MATCH($A23,Base!$A:$A,0)),0)))</f>
        <v>12.012828000000001</v>
      </c>
      <c r="AW23" s="21">
        <f>IF(AW$1&lt;INDEX('Valo FX'!$Q:$Q,MATCH($A23,'Valo FX'!$A:$A,0)),0,IF(AW$1&lt;INDEX('Valo FX'!$R:$R,MATCH($A23,'Valo FX'!$A:$A,0)),INDEX(Base!$U:$U,MATCH($A23,Base!$A:$A,0)),IF(AW$1=INDEX('Valo FX'!$R:$R,MATCH($A23,'Valo FX'!$A:$A,0)),INDEX(Base!$V:$V,MATCH($A23,Base!$A:$A,0)),0)))</f>
        <v>12.012828000000001</v>
      </c>
      <c r="AX23" s="21">
        <f>IF(AX$1&lt;INDEX('Valo FX'!$Q:$Q,MATCH($A23,'Valo FX'!$A:$A,0)),0,IF(AX$1&lt;INDEX('Valo FX'!$R:$R,MATCH($A23,'Valo FX'!$A:$A,0)),INDEX(Base!$U:$U,MATCH($A23,Base!$A:$A,0)),IF(AX$1=INDEX('Valo FX'!$R:$R,MATCH($A23,'Valo FX'!$A:$A,0)),INDEX(Base!$V:$V,MATCH($A23,Base!$A:$A,0)),0)))</f>
        <v>12.012828000000001</v>
      </c>
      <c r="AY23" s="21">
        <f>IF(AY$1&lt;INDEX('Valo FX'!$Q:$Q,MATCH($A23,'Valo FX'!$A:$A,0)),0,IF(AY$1&lt;INDEX('Valo FX'!$R:$R,MATCH($A23,'Valo FX'!$A:$A,0)),INDEX(Base!$U:$U,MATCH($A23,Base!$A:$A,0)),IF(AY$1=INDEX('Valo FX'!$R:$R,MATCH($A23,'Valo FX'!$A:$A,0)),INDEX(Base!$V:$V,MATCH($A23,Base!$A:$A,0)),0)))</f>
        <v>12.012828000000001</v>
      </c>
      <c r="AZ23" s="21">
        <f>IF(AZ$1&lt;INDEX('Valo FX'!$Q:$Q,MATCH($A23,'Valo FX'!$A:$A,0)),0,IF(AZ$1&lt;INDEX('Valo FX'!$R:$R,MATCH($A23,'Valo FX'!$A:$A,0)),INDEX(Base!$U:$U,MATCH($A23,Base!$A:$A,0)),IF(AZ$1=INDEX('Valo FX'!$R:$R,MATCH($A23,'Valo FX'!$A:$A,0)),INDEX(Base!$V:$V,MATCH($A23,Base!$A:$A,0)),0)))</f>
        <v>12.012828000000001</v>
      </c>
      <c r="BA23" s="21">
        <f>IF(BA$1&lt;INDEX('Valo FX'!$Q:$Q,MATCH($A23,'Valo FX'!$A:$A,0)),0,IF(BA$1&lt;INDEX('Valo FX'!$R:$R,MATCH($A23,'Valo FX'!$A:$A,0)),INDEX(Base!$U:$U,MATCH($A23,Base!$A:$A,0)),IF(BA$1=INDEX('Valo FX'!$R:$R,MATCH($A23,'Valo FX'!$A:$A,0)),INDEX(Base!$V:$V,MATCH($A23,Base!$A:$A,0)),0)))</f>
        <v>12.012828000000001</v>
      </c>
      <c r="BB23" s="21">
        <f>IF(BB$1&lt;INDEX('Valo FX'!$Q:$Q,MATCH($A23,'Valo FX'!$A:$A,0)),0,IF(BB$1&lt;INDEX('Valo FX'!$R:$R,MATCH($A23,'Valo FX'!$A:$A,0)),INDEX(Base!$U:$U,MATCH($A23,Base!$A:$A,0)),IF(BB$1=INDEX('Valo FX'!$R:$R,MATCH($A23,'Valo FX'!$A:$A,0)),INDEX(Base!$V:$V,MATCH($A23,Base!$A:$A,0)),0)))</f>
        <v>12.012828000000001</v>
      </c>
      <c r="BC23" s="21">
        <f>IF(BC$1&lt;INDEX('Valo FX'!$Q:$Q,MATCH($A23,'Valo FX'!$A:$A,0)),0,IF(BC$1&lt;INDEX('Valo FX'!$R:$R,MATCH($A23,'Valo FX'!$A:$A,0)),INDEX(Base!$U:$U,MATCH($A23,Base!$A:$A,0)),IF(BC$1=INDEX('Valo FX'!$R:$R,MATCH($A23,'Valo FX'!$A:$A,0)),INDEX(Base!$V:$V,MATCH($A23,Base!$A:$A,0)),0)))</f>
        <v>12.012828000000001</v>
      </c>
      <c r="BD23" s="21">
        <f>IF(BD$1&lt;INDEX('Valo FX'!$Q:$Q,MATCH($A23,'Valo FX'!$A:$A,0)),0,IF(BD$1&lt;INDEX('Valo FX'!$R:$R,MATCH($A23,'Valo FX'!$A:$A,0)),INDEX(Base!$U:$U,MATCH($A23,Base!$A:$A,0)),IF(BD$1=INDEX('Valo FX'!$R:$R,MATCH($A23,'Valo FX'!$A:$A,0)),INDEX(Base!$V:$V,MATCH($A23,Base!$A:$A,0)),0)))</f>
        <v>12.012828000000001</v>
      </c>
      <c r="BE23" s="21">
        <f>IF(BE$1&lt;INDEX('Valo FX'!$Q:$Q,MATCH($A23,'Valo FX'!$A:$A,0)),0,IF(BE$1&lt;INDEX('Valo FX'!$R:$R,MATCH($A23,'Valo FX'!$A:$A,0)),INDEX(Base!$U:$U,MATCH($A23,Base!$A:$A,0)),IF(BE$1=INDEX('Valo FX'!$R:$R,MATCH($A23,'Valo FX'!$A:$A,0)),INDEX(Base!$V:$V,MATCH($A23,Base!$A:$A,0)),0)))</f>
        <v>12.012828000000001</v>
      </c>
      <c r="BF23" s="21">
        <f>IF(BF$1&lt;INDEX('Valo FX'!$Q:$Q,MATCH($A23,'Valo FX'!$A:$A,0)),0,IF(BF$1&lt;INDEX('Valo FX'!$R:$R,MATCH($A23,'Valo FX'!$A:$A,0)),INDEX(Base!$U:$U,MATCH($A23,Base!$A:$A,0)),IF(BF$1=INDEX('Valo FX'!$R:$R,MATCH($A23,'Valo FX'!$A:$A,0)),INDEX(Base!$V:$V,MATCH($A23,Base!$A:$A,0)),0)))</f>
        <v>12.012828000000001</v>
      </c>
      <c r="BG23" s="21">
        <f>IF(BG$1&lt;INDEX('Valo FX'!$Q:$Q,MATCH($A23,'Valo FX'!$A:$A,0)),0,IF(BG$1&lt;INDEX('Valo FX'!$R:$R,MATCH($A23,'Valo FX'!$A:$A,0)),INDEX(Base!$U:$U,MATCH($A23,Base!$A:$A,0)),IF(BG$1=INDEX('Valo FX'!$R:$R,MATCH($A23,'Valo FX'!$A:$A,0)),INDEX(Base!$V:$V,MATCH($A23,Base!$A:$A,0)),0)))</f>
        <v>12.012828000000001</v>
      </c>
      <c r="BH23" s="21">
        <f>IF(BH$1&lt;INDEX('Valo FX'!$Q:$Q,MATCH($A23,'Valo FX'!$A:$A,0)),0,IF(BH$1&lt;INDEX('Valo FX'!$R:$R,MATCH($A23,'Valo FX'!$A:$A,0)),INDEX(Base!$U:$U,MATCH($A23,Base!$A:$A,0)),IF(BH$1=INDEX('Valo FX'!$R:$R,MATCH($A23,'Valo FX'!$A:$A,0)),INDEX(Base!$V:$V,MATCH($A23,Base!$A:$A,0)),0)))</f>
        <v>12.012828000000001</v>
      </c>
      <c r="BI23" s="21">
        <f>IF(BI$1&lt;INDEX('Valo FX'!$Q:$Q,MATCH($A23,'Valo FX'!$A:$A,0)),0,IF(BI$1&lt;INDEX('Valo FX'!$R:$R,MATCH($A23,'Valo FX'!$A:$A,0)),INDEX(Base!$U:$U,MATCH($A23,Base!$A:$A,0)),IF(BI$1=INDEX('Valo FX'!$R:$R,MATCH($A23,'Valo FX'!$A:$A,0)),INDEX(Base!$V:$V,MATCH($A23,Base!$A:$A,0)),0)))</f>
        <v>12.012828000000001</v>
      </c>
      <c r="BJ23" s="21">
        <f>IF(BJ$1&lt;INDEX('Valo FX'!$Q:$Q,MATCH($A23,'Valo FX'!$A:$A,0)),0,IF(BJ$1&lt;INDEX('Valo FX'!$R:$R,MATCH($A23,'Valo FX'!$A:$A,0)),INDEX(Base!$U:$U,MATCH($A23,Base!$A:$A,0)),IF(BJ$1=INDEX('Valo FX'!$R:$R,MATCH($A23,'Valo FX'!$A:$A,0)),INDEX(Base!$V:$V,MATCH($A23,Base!$A:$A,0)),0)))</f>
        <v>12.012828000000001</v>
      </c>
      <c r="BK23" s="21">
        <f>IF(BK$1&lt;INDEX('Valo FX'!$Q:$Q,MATCH($A23,'Valo FX'!$A:$A,0)),0,IF(BK$1&lt;INDEX('Valo FX'!$R:$R,MATCH($A23,'Valo FX'!$A:$A,0)),INDEX(Base!$U:$U,MATCH($A23,Base!$A:$A,0)),IF(BK$1=INDEX('Valo FX'!$R:$R,MATCH($A23,'Valo FX'!$A:$A,0)),INDEX(Base!$V:$V,MATCH($A23,Base!$A:$A,0)),0)))</f>
        <v>12.012828000000001</v>
      </c>
      <c r="BL23" s="21">
        <f>IF(BL$1&lt;INDEX('Valo FX'!$Q:$Q,MATCH($A23,'Valo FX'!$A:$A,0)),0,IF(BL$1&lt;INDEX('Valo FX'!$R:$R,MATCH($A23,'Valo FX'!$A:$A,0)),INDEX(Base!$U:$U,MATCH($A23,Base!$A:$A,0)),IF(BL$1=INDEX('Valo FX'!$R:$R,MATCH($A23,'Valo FX'!$A:$A,0)),INDEX(Base!$V:$V,MATCH($A23,Base!$A:$A,0)),0)))</f>
        <v>12.012828000000001</v>
      </c>
      <c r="BM23" s="21">
        <f>IF(BM$1&lt;INDEX('Valo FX'!$Q:$Q,MATCH($A23,'Valo FX'!$A:$A,0)),0,IF(BM$1&lt;INDEX('Valo FX'!$R:$R,MATCH($A23,'Valo FX'!$A:$A,0)),INDEX(Base!$U:$U,MATCH($A23,Base!$A:$A,0)),IF(BM$1=INDEX('Valo FX'!$R:$R,MATCH($A23,'Valo FX'!$A:$A,0)),INDEX(Base!$V:$V,MATCH($A23,Base!$A:$A,0)),0)))</f>
        <v>12.012828000000001</v>
      </c>
      <c r="BN23" s="21">
        <f>IF(BN$1&lt;INDEX('Valo FX'!$Q:$Q,MATCH($A23,'Valo FX'!$A:$A,0)),0,IF(BN$1&lt;INDEX('Valo FX'!$R:$R,MATCH($A23,'Valo FX'!$A:$A,0)),INDEX(Base!$U:$U,MATCH($A23,Base!$A:$A,0)),IF(BN$1=INDEX('Valo FX'!$R:$R,MATCH($A23,'Valo FX'!$A:$A,0)),INDEX(Base!$V:$V,MATCH($A23,Base!$A:$A,0)),0)))</f>
        <v>12.012828000000001</v>
      </c>
      <c r="BO23" s="21">
        <f>IF(BO$1&lt;INDEX('Valo FX'!$Q:$Q,MATCH($A23,'Valo FX'!$A:$A,0)),0,IF(BO$1&lt;INDEX('Valo FX'!$R:$R,MATCH($A23,'Valo FX'!$A:$A,0)),INDEX(Base!$U:$U,MATCH($A23,Base!$A:$A,0)),IF(BO$1=INDEX('Valo FX'!$R:$R,MATCH($A23,'Valo FX'!$A:$A,0)),INDEX(Base!$V:$V,MATCH($A23,Base!$A:$A,0)),0)))</f>
        <v>12.012828000000001</v>
      </c>
      <c r="BP23" s="21">
        <f>IF(BP$1&lt;INDEX('Valo FX'!$Q:$Q,MATCH($A23,'Valo FX'!$A:$A,0)),0,IF(BP$1&lt;INDEX('Valo FX'!$R:$R,MATCH($A23,'Valo FX'!$A:$A,0)),INDEX(Base!$U:$U,MATCH($A23,Base!$A:$A,0)),IF(BP$1=INDEX('Valo FX'!$R:$R,MATCH($A23,'Valo FX'!$A:$A,0)),INDEX(Base!$V:$V,MATCH($A23,Base!$A:$A,0)),0)))</f>
        <v>12.012828000000001</v>
      </c>
      <c r="BQ23" s="21">
        <f>IF(BQ$1&lt;INDEX('Valo FX'!$Q:$Q,MATCH($A23,'Valo FX'!$A:$A,0)),0,IF(BQ$1&lt;INDEX('Valo FX'!$R:$R,MATCH($A23,'Valo FX'!$A:$A,0)),INDEX(Base!$U:$U,MATCH($A23,Base!$A:$A,0)),IF(BQ$1=INDEX('Valo FX'!$R:$R,MATCH($A23,'Valo FX'!$A:$A,0)),INDEX(Base!$V:$V,MATCH($A23,Base!$A:$A,0)),0)))</f>
        <v>12.012828000000001</v>
      </c>
      <c r="BR23" s="21">
        <f>IF(BR$1&lt;INDEX('Valo FX'!$Q:$Q,MATCH($A23,'Valo FX'!$A:$A,0)),0,IF(BR$1&lt;INDEX('Valo FX'!$R:$R,MATCH($A23,'Valo FX'!$A:$A,0)),INDEX(Base!$U:$U,MATCH($A23,Base!$A:$A,0)),IF(BR$1=INDEX('Valo FX'!$R:$R,MATCH($A23,'Valo FX'!$A:$A,0)),INDEX(Base!$V:$V,MATCH($A23,Base!$A:$A,0)),0)))</f>
        <v>12.012828000000001</v>
      </c>
      <c r="BS23" s="21">
        <f>IF(BS$1&lt;INDEX('Valo FX'!$Q:$Q,MATCH($A23,'Valo FX'!$A:$A,0)),0,IF(BS$1&lt;INDEX('Valo FX'!$R:$R,MATCH($A23,'Valo FX'!$A:$A,0)),INDEX(Base!$U:$U,MATCH($A23,Base!$A:$A,0)),IF(BS$1=INDEX('Valo FX'!$R:$R,MATCH($A23,'Valo FX'!$A:$A,0)),INDEX(Base!$V:$V,MATCH($A23,Base!$A:$A,0)),0)))</f>
        <v>12.012828000000001</v>
      </c>
      <c r="BT23" s="21">
        <f>IF(BT$1&lt;INDEX('Valo FX'!$Q:$Q,MATCH($A23,'Valo FX'!$A:$A,0)),0,IF(BT$1&lt;INDEX('Valo FX'!$R:$R,MATCH($A23,'Valo FX'!$A:$A,0)),INDEX(Base!$U:$U,MATCH($A23,Base!$A:$A,0)),IF(BT$1=INDEX('Valo FX'!$R:$R,MATCH($A23,'Valo FX'!$A:$A,0)),INDEX(Base!$V:$V,MATCH($A23,Base!$A:$A,0)),0)))</f>
        <v>12.012828000000001</v>
      </c>
      <c r="BU23" s="21">
        <f>IF(BU$1&lt;INDEX('Valo FX'!$Q:$Q,MATCH($A23,'Valo FX'!$A:$A,0)),0,IF(BU$1&lt;INDEX('Valo FX'!$R:$R,MATCH($A23,'Valo FX'!$A:$A,0)),INDEX(Base!$U:$U,MATCH($A23,Base!$A:$A,0)),IF(BU$1=INDEX('Valo FX'!$R:$R,MATCH($A23,'Valo FX'!$A:$A,0)),INDEX(Base!$V:$V,MATCH($A23,Base!$A:$A,0)),0)))</f>
        <v>12.012828000000001</v>
      </c>
      <c r="BV23" s="21">
        <f>IF(BV$1&lt;INDEX('Valo FX'!$Q:$Q,MATCH($A23,'Valo FX'!$A:$A,0)),0,IF(BV$1&lt;INDEX('Valo FX'!$R:$R,MATCH($A23,'Valo FX'!$A:$A,0)),INDEX(Base!$U:$U,MATCH($A23,Base!$A:$A,0)),IF(BV$1=INDEX('Valo FX'!$R:$R,MATCH($A23,'Valo FX'!$A:$A,0)),INDEX(Base!$V:$V,MATCH($A23,Base!$A:$A,0)),0)))</f>
        <v>12.012828000000001</v>
      </c>
      <c r="BW23" s="21">
        <f>IF(BW$1&lt;INDEX('Valo FX'!$Q:$Q,MATCH($A23,'Valo FX'!$A:$A,0)),0,IF(BW$1&lt;INDEX('Valo FX'!$R:$R,MATCH($A23,'Valo FX'!$A:$A,0)),INDEX(Base!$U:$U,MATCH($A23,Base!$A:$A,0)),IF(BW$1=INDEX('Valo FX'!$R:$R,MATCH($A23,'Valo FX'!$A:$A,0)),INDEX(Base!$V:$V,MATCH($A23,Base!$A:$A,0)),0)))</f>
        <v>12.012828000000001</v>
      </c>
      <c r="BX23" s="21">
        <f>IF(BX$1&lt;INDEX('Valo FX'!$Q:$Q,MATCH($A23,'Valo FX'!$A:$A,0)),0,IF(BX$1&lt;INDEX('Valo FX'!$R:$R,MATCH($A23,'Valo FX'!$A:$A,0)),INDEX(Base!$U:$U,MATCH($A23,Base!$A:$A,0)),IF(BX$1=INDEX('Valo FX'!$R:$R,MATCH($A23,'Valo FX'!$A:$A,0)),INDEX(Base!$V:$V,MATCH($A23,Base!$A:$A,0)),0)))</f>
        <v>12.012828000000001</v>
      </c>
      <c r="BY23" s="21">
        <f>IF(BY$1&lt;INDEX('Valo FX'!$Q:$Q,MATCH($A23,'Valo FX'!$A:$A,0)),0,IF(BY$1&lt;INDEX('Valo FX'!$R:$R,MATCH($A23,'Valo FX'!$A:$A,0)),INDEX(Base!$U:$U,MATCH($A23,Base!$A:$A,0)),IF(BY$1=INDEX('Valo FX'!$R:$R,MATCH($A23,'Valo FX'!$A:$A,0)),INDEX(Base!$V:$V,MATCH($A23,Base!$A:$A,0)),0)))</f>
        <v>12.012828000000001</v>
      </c>
      <c r="BZ23" s="21">
        <f>IF(BZ$1&lt;INDEX('Valo FX'!$Q:$Q,MATCH($A23,'Valo FX'!$A:$A,0)),0,IF(BZ$1&lt;INDEX('Valo FX'!$R:$R,MATCH($A23,'Valo FX'!$A:$A,0)),INDEX(Base!$U:$U,MATCH($A23,Base!$A:$A,0)),IF(BZ$1=INDEX('Valo FX'!$R:$R,MATCH($A23,'Valo FX'!$A:$A,0)),INDEX(Base!$V:$V,MATCH($A23,Base!$A:$A,0)),0)))</f>
        <v>12.012828000000001</v>
      </c>
      <c r="CA23" s="21">
        <f>IF(CA$1&lt;INDEX('Valo FX'!$Q:$Q,MATCH($A23,'Valo FX'!$A:$A,0)),0,IF(CA$1&lt;INDEX('Valo FX'!$R:$R,MATCH($A23,'Valo FX'!$A:$A,0)),INDEX(Base!$U:$U,MATCH($A23,Base!$A:$A,0)),IF(CA$1=INDEX('Valo FX'!$R:$R,MATCH($A23,'Valo FX'!$A:$A,0)),INDEX(Base!$V:$V,MATCH($A23,Base!$A:$A,0)),0)))</f>
        <v>12.012828000000001</v>
      </c>
      <c r="CB23" s="21">
        <f>IF(CB$1&lt;INDEX('Valo FX'!$Q:$Q,MATCH($A23,'Valo FX'!$A:$A,0)),0,IF(CB$1&lt;INDEX('Valo FX'!$R:$R,MATCH($A23,'Valo FX'!$A:$A,0)),INDEX(Base!$U:$U,MATCH($A23,Base!$A:$A,0)),IF(CB$1=INDEX('Valo FX'!$R:$R,MATCH($A23,'Valo FX'!$A:$A,0)),INDEX(Base!$V:$V,MATCH($A23,Base!$A:$A,0)),0)))</f>
        <v>12.012828000000001</v>
      </c>
      <c r="CC23" s="21">
        <f>IF(CC$1&lt;INDEX('Valo FX'!$Q:$Q,MATCH($A23,'Valo FX'!$A:$A,0)),0,IF(CC$1&lt;INDEX('Valo FX'!$R:$R,MATCH($A23,'Valo FX'!$A:$A,0)),INDEX(Base!$U:$U,MATCH($A23,Base!$A:$A,0)),IF(CC$1=INDEX('Valo FX'!$R:$R,MATCH($A23,'Valo FX'!$A:$A,0)),INDEX(Base!$V:$V,MATCH($A23,Base!$A:$A,0)),0)))</f>
        <v>12.012828000000001</v>
      </c>
      <c r="CD23" s="21">
        <f>IF(CD$1&lt;INDEX('Valo FX'!$Q:$Q,MATCH($A23,'Valo FX'!$A:$A,0)),0,IF(CD$1&lt;INDEX('Valo FX'!$R:$R,MATCH($A23,'Valo FX'!$A:$A,0)),INDEX(Base!$U:$U,MATCH($A23,Base!$A:$A,0)),IF(CD$1=INDEX('Valo FX'!$R:$R,MATCH($A23,'Valo FX'!$A:$A,0)),INDEX(Base!$V:$V,MATCH($A23,Base!$A:$A,0)),0)))</f>
        <v>12.012828000000001</v>
      </c>
      <c r="CE23" s="21">
        <f>IF(CE$1&lt;INDEX('Valo FX'!$Q:$Q,MATCH($A23,'Valo FX'!$A:$A,0)),0,IF(CE$1&lt;INDEX('Valo FX'!$R:$R,MATCH($A23,'Valo FX'!$A:$A,0)),INDEX(Base!$U:$U,MATCH($A23,Base!$A:$A,0)),IF(CE$1=INDEX('Valo FX'!$R:$R,MATCH($A23,'Valo FX'!$A:$A,0)),INDEX(Base!$V:$V,MATCH($A23,Base!$A:$A,0)),0)))</f>
        <v>12.012828000000001</v>
      </c>
      <c r="CF23" s="21">
        <f>IF(CF$1&lt;INDEX('Valo FX'!$Q:$Q,MATCH($A23,'Valo FX'!$A:$A,0)),0,IF(CF$1&lt;INDEX('Valo FX'!$R:$R,MATCH($A23,'Valo FX'!$A:$A,0)),INDEX(Base!$U:$U,MATCH($A23,Base!$A:$A,0)),IF(CF$1=INDEX('Valo FX'!$R:$R,MATCH($A23,'Valo FX'!$A:$A,0)),INDEX(Base!$V:$V,MATCH($A23,Base!$A:$A,0)),0)))</f>
        <v>12.012828000000001</v>
      </c>
      <c r="CG23" s="21">
        <f>IF(CG$1&lt;INDEX('Valo FX'!$Q:$Q,MATCH($A23,'Valo FX'!$A:$A,0)),0,IF(CG$1&lt;INDEX('Valo FX'!$R:$R,MATCH($A23,'Valo FX'!$A:$A,0)),INDEX(Base!$U:$U,MATCH($A23,Base!$A:$A,0)),IF(CG$1=INDEX('Valo FX'!$R:$R,MATCH($A23,'Valo FX'!$A:$A,0)),INDEX(Base!$V:$V,MATCH($A23,Base!$A:$A,0)),0)))</f>
        <v>12.012828000000001</v>
      </c>
      <c r="CH23" s="21">
        <f>IF(CH$1&lt;INDEX('Valo FX'!$Q:$Q,MATCH($A23,'Valo FX'!$A:$A,0)),0,IF(CH$1&lt;INDEX('Valo FX'!$R:$R,MATCH($A23,'Valo FX'!$A:$A,0)),INDEX(Base!$U:$U,MATCH($A23,Base!$A:$A,0)),IF(CH$1=INDEX('Valo FX'!$R:$R,MATCH($A23,'Valo FX'!$A:$A,0)),INDEX(Base!$V:$V,MATCH($A23,Base!$A:$A,0)),0)))</f>
        <v>12.012828000000001</v>
      </c>
      <c r="CI23" s="21">
        <f>IF(CI$1&lt;INDEX('Valo FX'!$Q:$Q,MATCH($A23,'Valo FX'!$A:$A,0)),0,IF(CI$1&lt;INDEX('Valo FX'!$R:$R,MATCH($A23,'Valo FX'!$A:$A,0)),INDEX(Base!$U:$U,MATCH($A23,Base!$A:$A,0)),IF(CI$1=INDEX('Valo FX'!$R:$R,MATCH($A23,'Valo FX'!$A:$A,0)),INDEX(Base!$V:$V,MATCH($A23,Base!$A:$A,0)),0)))</f>
        <v>12.012828000000001</v>
      </c>
      <c r="CJ23" s="21">
        <f>IF(CJ$1&lt;INDEX('Valo FX'!$Q:$Q,MATCH($A23,'Valo FX'!$A:$A,0)),0,IF(CJ$1&lt;INDEX('Valo FX'!$R:$R,MATCH($A23,'Valo FX'!$A:$A,0)),INDEX(Base!$U:$U,MATCH($A23,Base!$A:$A,0)),IF(CJ$1=INDEX('Valo FX'!$R:$R,MATCH($A23,'Valo FX'!$A:$A,0)),INDEX(Base!$V:$V,MATCH($A23,Base!$A:$A,0)),0)))</f>
        <v>12.012828000000001</v>
      </c>
      <c r="CK23" s="21">
        <f>IF(CK$1&lt;INDEX('Valo FX'!$Q:$Q,MATCH($A23,'Valo FX'!$A:$A,0)),0,IF(CK$1&lt;INDEX('Valo FX'!$R:$R,MATCH($A23,'Valo FX'!$A:$A,0)),INDEX(Base!$U:$U,MATCH($A23,Base!$A:$A,0)),IF(CK$1=INDEX('Valo FX'!$R:$R,MATCH($A23,'Valo FX'!$A:$A,0)),INDEX(Base!$V:$V,MATCH($A23,Base!$A:$A,0)),0)))</f>
        <v>12.012828000000001</v>
      </c>
      <c r="CL23" s="21">
        <f>IF(CL$1&lt;INDEX('Valo FX'!$Q:$Q,MATCH($A23,'Valo FX'!$A:$A,0)),0,IF(CL$1&lt;INDEX('Valo FX'!$R:$R,MATCH($A23,'Valo FX'!$A:$A,0)),INDEX(Base!$U:$U,MATCH($A23,Base!$A:$A,0)),IF(CL$1=INDEX('Valo FX'!$R:$R,MATCH($A23,'Valo FX'!$A:$A,0)),INDEX(Base!$V:$V,MATCH($A23,Base!$A:$A,0)),0)))</f>
        <v>12.012828000000001</v>
      </c>
      <c r="CM23" s="21">
        <f>IF(CM$1&lt;INDEX('Valo FX'!$Q:$Q,MATCH($A23,'Valo FX'!$A:$A,0)),0,IF(CM$1&lt;INDEX('Valo FX'!$R:$R,MATCH($A23,'Valo FX'!$A:$A,0)),INDEX(Base!$U:$U,MATCH($A23,Base!$A:$A,0)),IF(CM$1=INDEX('Valo FX'!$R:$R,MATCH($A23,'Valo FX'!$A:$A,0)),INDEX(Base!$V:$V,MATCH($A23,Base!$A:$A,0)),0)))</f>
        <v>12.012828000000001</v>
      </c>
      <c r="CN23" s="21">
        <f>IF(CN$1&lt;INDEX('Valo FX'!$Q:$Q,MATCH($A23,'Valo FX'!$A:$A,0)),0,IF(CN$1&lt;INDEX('Valo FX'!$R:$R,MATCH($A23,'Valo FX'!$A:$A,0)),INDEX(Base!$U:$U,MATCH($A23,Base!$A:$A,0)),IF(CN$1=INDEX('Valo FX'!$R:$R,MATCH($A23,'Valo FX'!$A:$A,0)),INDEX(Base!$V:$V,MATCH($A23,Base!$A:$A,0)),0)))</f>
        <v>12.012828000000001</v>
      </c>
      <c r="CO23" s="21">
        <f>IF(CO$1&lt;INDEX('Valo FX'!$Q:$Q,MATCH($A23,'Valo FX'!$A:$A,0)),0,IF(CO$1&lt;INDEX('Valo FX'!$R:$R,MATCH($A23,'Valo FX'!$A:$A,0)),INDEX(Base!$U:$U,MATCH($A23,Base!$A:$A,0)),IF(CO$1=INDEX('Valo FX'!$R:$R,MATCH($A23,'Valo FX'!$A:$A,0)),INDEX(Base!$V:$V,MATCH($A23,Base!$A:$A,0)),0)))</f>
        <v>12.012828000000001</v>
      </c>
      <c r="CP23" s="21">
        <f>IF(CP$1&lt;INDEX('Valo FX'!$Q:$Q,MATCH($A23,'Valo FX'!$A:$A,0)),0,IF(CP$1&lt;INDEX('Valo FX'!$R:$R,MATCH($A23,'Valo FX'!$A:$A,0)),INDEX(Base!$U:$U,MATCH($A23,Base!$A:$A,0)),IF(CP$1=INDEX('Valo FX'!$R:$R,MATCH($A23,'Valo FX'!$A:$A,0)),INDEX(Base!$V:$V,MATCH($A23,Base!$A:$A,0)),0)))</f>
        <v>12.012828000000001</v>
      </c>
      <c r="CQ23" s="21">
        <f>IF(CQ$1&lt;INDEX('Valo FX'!$Q:$Q,MATCH($A23,'Valo FX'!$A:$A,0)),0,IF(CQ$1&lt;INDEX('Valo FX'!$R:$R,MATCH($A23,'Valo FX'!$A:$A,0)),INDEX(Base!$U:$U,MATCH($A23,Base!$A:$A,0)),IF(CQ$1=INDEX('Valo FX'!$R:$R,MATCH($A23,'Valo FX'!$A:$A,0)),INDEX(Base!$V:$V,MATCH($A23,Base!$A:$A,0)),0)))</f>
        <v>12.012828000000001</v>
      </c>
      <c r="CR23" s="21">
        <f>IF(CR$1&lt;INDEX('Valo FX'!$Q:$Q,MATCH($A23,'Valo FX'!$A:$A,0)),0,IF(CR$1&lt;INDEX('Valo FX'!$R:$R,MATCH($A23,'Valo FX'!$A:$A,0)),INDEX(Base!$U:$U,MATCH($A23,Base!$A:$A,0)),IF(CR$1=INDEX('Valo FX'!$R:$R,MATCH($A23,'Valo FX'!$A:$A,0)),INDEX(Base!$V:$V,MATCH($A23,Base!$A:$A,0)),0)))</f>
        <v>12.012828000000001</v>
      </c>
      <c r="CS23" s="21">
        <f>IF(CS$1&lt;INDEX('Valo FX'!$Q:$Q,MATCH($A23,'Valo FX'!$A:$A,0)),0,IF(CS$1&lt;INDEX('Valo FX'!$R:$R,MATCH($A23,'Valo FX'!$A:$A,0)),INDEX(Base!$U:$U,MATCH($A23,Base!$A:$A,0)),IF(CS$1=INDEX('Valo FX'!$R:$R,MATCH($A23,'Valo FX'!$A:$A,0)),INDEX(Base!$V:$V,MATCH($A23,Base!$A:$A,0)),0)))</f>
        <v>12.012828000000001</v>
      </c>
      <c r="CT23" s="21">
        <f>IF(CT$1&lt;INDEX('Valo FX'!$Q:$Q,MATCH($A23,'Valo FX'!$A:$A,0)),0,IF(CT$1&lt;INDEX('Valo FX'!$R:$R,MATCH($A23,'Valo FX'!$A:$A,0)),INDEX(Base!$U:$U,MATCH($A23,Base!$A:$A,0)),IF(CT$1=INDEX('Valo FX'!$R:$R,MATCH($A23,'Valo FX'!$A:$A,0)),INDEX(Base!$V:$V,MATCH($A23,Base!$A:$A,0)),0)))</f>
        <v>12.012828000000001</v>
      </c>
      <c r="CU23" s="21">
        <f>IF(CU$1&lt;INDEX('Valo FX'!$Q:$Q,MATCH($A23,'Valo FX'!$A:$A,0)),0,IF(CU$1&lt;INDEX('Valo FX'!$R:$R,MATCH($A23,'Valo FX'!$A:$A,0)),INDEX(Base!$U:$U,MATCH($A23,Base!$A:$A,0)),IF(CU$1=INDEX('Valo FX'!$R:$R,MATCH($A23,'Valo FX'!$A:$A,0)),INDEX(Base!$V:$V,MATCH($A23,Base!$A:$A,0)),0)))</f>
        <v>12.012828000000001</v>
      </c>
      <c r="CV23" s="21">
        <f>IF(CV$1&lt;INDEX('Valo FX'!$Q:$Q,MATCH($A23,'Valo FX'!$A:$A,0)),0,IF(CV$1&lt;INDEX('Valo FX'!$R:$R,MATCH($A23,'Valo FX'!$A:$A,0)),INDEX(Base!$U:$U,MATCH($A23,Base!$A:$A,0)),IF(CV$1=INDEX('Valo FX'!$R:$R,MATCH($A23,'Valo FX'!$A:$A,0)),INDEX(Base!$V:$V,MATCH($A23,Base!$A:$A,0)),0)))</f>
        <v>12.012828000000001</v>
      </c>
      <c r="CW23" s="21">
        <f>IF(CW$1&lt;INDEX('Valo FX'!$Q:$Q,MATCH($A23,'Valo FX'!$A:$A,0)),0,IF(CW$1&lt;INDEX('Valo FX'!$R:$R,MATCH($A23,'Valo FX'!$A:$A,0)),INDEX(Base!$U:$U,MATCH($A23,Base!$A:$A,0)),IF(CW$1=INDEX('Valo FX'!$R:$R,MATCH($A23,'Valo FX'!$A:$A,0)),INDEX(Base!$V:$V,MATCH($A23,Base!$A:$A,0)),0)))</f>
        <v>12.012828000000001</v>
      </c>
      <c r="CX23" s="21">
        <f>IF(CX$1&lt;INDEX('Valo FX'!$Q:$Q,MATCH($A23,'Valo FX'!$A:$A,0)),0,IF(CX$1&lt;INDEX('Valo FX'!$R:$R,MATCH($A23,'Valo FX'!$A:$A,0)),INDEX(Base!$U:$U,MATCH($A23,Base!$A:$A,0)),IF(CX$1=INDEX('Valo FX'!$R:$R,MATCH($A23,'Valo FX'!$A:$A,0)),INDEX(Base!$V:$V,MATCH($A23,Base!$A:$A,0)),0)))</f>
        <v>12.012828000000001</v>
      </c>
      <c r="CY23" s="21">
        <f>IF(CY$1&lt;INDEX('Valo FX'!$Q:$Q,MATCH($A23,'Valo FX'!$A:$A,0)),0,IF(CY$1&lt;INDEX('Valo FX'!$R:$R,MATCH($A23,'Valo FX'!$A:$A,0)),INDEX(Base!$U:$U,MATCH($A23,Base!$A:$A,0)),IF(CY$1=INDEX('Valo FX'!$R:$R,MATCH($A23,'Valo FX'!$A:$A,0)),INDEX(Base!$V:$V,MATCH($A23,Base!$A:$A,0)),0)))</f>
        <v>12.012828000000001</v>
      </c>
      <c r="CZ23" s="21">
        <f>IF(CZ$1&lt;INDEX('Valo FX'!$Q:$Q,MATCH($A23,'Valo FX'!$A:$A,0)),0,IF(CZ$1&lt;INDEX('Valo FX'!$R:$R,MATCH($A23,'Valo FX'!$A:$A,0)),INDEX(Base!$U:$U,MATCH($A23,Base!$A:$A,0)),IF(CZ$1=INDEX('Valo FX'!$R:$R,MATCH($A23,'Valo FX'!$A:$A,0)),INDEX(Base!$V:$V,MATCH($A23,Base!$A:$A,0)),0)))</f>
        <v>12.012828000000001</v>
      </c>
      <c r="DA23" s="21">
        <f>IF(DA$1&lt;INDEX('Valo FX'!$Q:$Q,MATCH($A23,'Valo FX'!$A:$A,0)),0,IF(DA$1&lt;INDEX('Valo FX'!$R:$R,MATCH($A23,'Valo FX'!$A:$A,0)),INDEX(Base!$U:$U,MATCH($A23,Base!$A:$A,0)),IF(DA$1=INDEX('Valo FX'!$R:$R,MATCH($A23,'Valo FX'!$A:$A,0)),INDEX(Base!$V:$V,MATCH($A23,Base!$A:$A,0)),0)))</f>
        <v>12.012828000000001</v>
      </c>
      <c r="DB23" s="21">
        <f>IF(DB$1&lt;INDEX('Valo FX'!$Q:$Q,MATCH($A23,'Valo FX'!$A:$A,0)),0,IF(DB$1&lt;INDEX('Valo FX'!$R:$R,MATCH($A23,'Valo FX'!$A:$A,0)),INDEX(Base!$U:$U,MATCH($A23,Base!$A:$A,0)),IF(DB$1=INDEX('Valo FX'!$R:$R,MATCH($A23,'Valo FX'!$A:$A,0)),INDEX(Base!$V:$V,MATCH($A23,Base!$A:$A,0)),0)))</f>
        <v>12.012828000000001</v>
      </c>
      <c r="DC23" s="21">
        <f>IF(DC$1&lt;INDEX('Valo FX'!$Q:$Q,MATCH($A23,'Valo FX'!$A:$A,0)),0,IF(DC$1&lt;INDEX('Valo FX'!$R:$R,MATCH($A23,'Valo FX'!$A:$A,0)),INDEX(Base!$U:$U,MATCH($A23,Base!$A:$A,0)),IF(DC$1=INDEX('Valo FX'!$R:$R,MATCH($A23,'Valo FX'!$A:$A,0)),INDEX(Base!$V:$V,MATCH($A23,Base!$A:$A,0)),0)))</f>
        <v>12.012828000000001</v>
      </c>
      <c r="DD23" s="21">
        <f>IF(DD$1&lt;INDEX('Valo FX'!$Q:$Q,MATCH($A23,'Valo FX'!$A:$A,0)),0,IF(DD$1&lt;INDEX('Valo FX'!$R:$R,MATCH($A23,'Valo FX'!$A:$A,0)),INDEX(Base!$U:$U,MATCH($A23,Base!$A:$A,0)),IF(DD$1=INDEX('Valo FX'!$R:$R,MATCH($A23,'Valo FX'!$A:$A,0)),INDEX(Base!$V:$V,MATCH($A23,Base!$A:$A,0)),0)))</f>
        <v>12.012828000000001</v>
      </c>
      <c r="DE23" s="21">
        <f>IF(DE$1&lt;INDEX('Valo FX'!$Q:$Q,MATCH($A23,'Valo FX'!$A:$A,0)),0,IF(DE$1&lt;INDEX('Valo FX'!$R:$R,MATCH($A23,'Valo FX'!$A:$A,0)),INDEX(Base!$U:$U,MATCH($A23,Base!$A:$A,0)),IF(DE$1=INDEX('Valo FX'!$R:$R,MATCH($A23,'Valo FX'!$A:$A,0)),INDEX(Base!$V:$V,MATCH($A23,Base!$A:$A,0)),0)))</f>
        <v>12.012828000000001</v>
      </c>
      <c r="DF23" s="21">
        <f>IF(DF$1&lt;INDEX('Valo FX'!$Q:$Q,MATCH($A23,'Valo FX'!$A:$A,0)),0,IF(DF$1&lt;INDEX('Valo FX'!$R:$R,MATCH($A23,'Valo FX'!$A:$A,0)),INDEX(Base!$U:$U,MATCH($A23,Base!$A:$A,0)),IF(DF$1=INDEX('Valo FX'!$R:$R,MATCH($A23,'Valo FX'!$A:$A,0)),INDEX(Base!$V:$V,MATCH($A23,Base!$A:$A,0)),0)))</f>
        <v>12.012828000000001</v>
      </c>
      <c r="DG23" s="21">
        <f>IF(DG$1&lt;INDEX('Valo FX'!$Q:$Q,MATCH($A23,'Valo FX'!$A:$A,0)),0,IF(DG$1&lt;INDEX('Valo FX'!$R:$R,MATCH($A23,'Valo FX'!$A:$A,0)),INDEX(Base!$U:$U,MATCH($A23,Base!$A:$A,0)),IF(DG$1=INDEX('Valo FX'!$R:$R,MATCH($A23,'Valo FX'!$A:$A,0)),INDEX(Base!$V:$V,MATCH($A23,Base!$A:$A,0)),0)))</f>
        <v>12.012828000000001</v>
      </c>
      <c r="DH23" s="21">
        <f>IF(DH$1&lt;INDEX('Valo FX'!$Q:$Q,MATCH($A23,'Valo FX'!$A:$A,0)),0,IF(DH$1&lt;INDEX('Valo FX'!$R:$R,MATCH($A23,'Valo FX'!$A:$A,0)),INDEX(Base!$U:$U,MATCH($A23,Base!$A:$A,0)),IF(DH$1=INDEX('Valo FX'!$R:$R,MATCH($A23,'Valo FX'!$A:$A,0)),INDEX(Base!$V:$V,MATCH($A23,Base!$A:$A,0)),0)))</f>
        <v>12.012828000000001</v>
      </c>
      <c r="DI23" s="21">
        <f>IF(DI$1&lt;INDEX('Valo FX'!$Q:$Q,MATCH($A23,'Valo FX'!$A:$A,0)),0,IF(DI$1&lt;INDEX('Valo FX'!$R:$R,MATCH($A23,'Valo FX'!$A:$A,0)),INDEX(Base!$U:$U,MATCH($A23,Base!$A:$A,0)),IF(DI$1=INDEX('Valo FX'!$R:$R,MATCH($A23,'Valo FX'!$A:$A,0)),INDEX(Base!$V:$V,MATCH($A23,Base!$A:$A,0)),0)))</f>
        <v>12.012828000000001</v>
      </c>
      <c r="DJ23" s="21">
        <f>IF(DJ$1&lt;INDEX('Valo FX'!$Q:$Q,MATCH($A23,'Valo FX'!$A:$A,0)),0,IF(DJ$1&lt;INDEX('Valo FX'!$R:$R,MATCH($A23,'Valo FX'!$A:$A,0)),INDEX(Base!$U:$U,MATCH($A23,Base!$A:$A,0)),IF(DJ$1=INDEX('Valo FX'!$R:$R,MATCH($A23,'Valo FX'!$A:$A,0)),INDEX(Base!$V:$V,MATCH($A23,Base!$A:$A,0)),0)))</f>
        <v>12.012828000000001</v>
      </c>
      <c r="DK23" s="21">
        <f>IF(DK$1&lt;INDEX('Valo FX'!$Q:$Q,MATCH($A23,'Valo FX'!$A:$A,0)),0,IF(DK$1&lt;INDEX('Valo FX'!$R:$R,MATCH($A23,'Valo FX'!$A:$A,0)),INDEX(Base!$U:$U,MATCH($A23,Base!$A:$A,0)),IF(DK$1=INDEX('Valo FX'!$R:$R,MATCH($A23,'Valo FX'!$A:$A,0)),INDEX(Base!$V:$V,MATCH($A23,Base!$A:$A,0)),0)))</f>
        <v>12.012828000000001</v>
      </c>
      <c r="DL23" s="21">
        <f>IF(DL$1&lt;INDEX('Valo FX'!$Q:$Q,MATCH($A23,'Valo FX'!$A:$A,0)),0,IF(DL$1&lt;INDEX('Valo FX'!$R:$R,MATCH($A23,'Valo FX'!$A:$A,0)),INDEX(Base!$U:$U,MATCH($A23,Base!$A:$A,0)),IF(DL$1=INDEX('Valo FX'!$R:$R,MATCH($A23,'Valo FX'!$A:$A,0)),INDEX(Base!$V:$V,MATCH($A23,Base!$A:$A,0)),0)))</f>
        <v>12.012828000000001</v>
      </c>
      <c r="DM23" s="21">
        <f>IF(DM$1&lt;INDEX('Valo FX'!$Q:$Q,MATCH($A23,'Valo FX'!$A:$A,0)),0,IF(DM$1&lt;INDEX('Valo FX'!$R:$R,MATCH($A23,'Valo FX'!$A:$A,0)),INDEX(Base!$U:$U,MATCH($A23,Base!$A:$A,0)),IF(DM$1=INDEX('Valo FX'!$R:$R,MATCH($A23,'Valo FX'!$A:$A,0)),INDEX(Base!$V:$V,MATCH($A23,Base!$A:$A,0)),0)))</f>
        <v>12.012828000000001</v>
      </c>
      <c r="DN23" s="21">
        <f>IF(DN$1&lt;INDEX('Valo FX'!$Q:$Q,MATCH($A23,'Valo FX'!$A:$A,0)),0,IF(DN$1&lt;INDEX('Valo FX'!$R:$R,MATCH($A23,'Valo FX'!$A:$A,0)),INDEX(Base!$U:$U,MATCH($A23,Base!$A:$A,0)),IF(DN$1=INDEX('Valo FX'!$R:$R,MATCH($A23,'Valo FX'!$A:$A,0)),INDEX(Base!$V:$V,MATCH($A23,Base!$A:$A,0)),0)))</f>
        <v>12.012828000000001</v>
      </c>
      <c r="DO23" s="21">
        <f>IF(DO$1&lt;INDEX('Valo FX'!$Q:$Q,MATCH($A23,'Valo FX'!$A:$A,0)),0,IF(DO$1&lt;INDEX('Valo FX'!$R:$R,MATCH($A23,'Valo FX'!$A:$A,0)),INDEX(Base!$U:$U,MATCH($A23,Base!$A:$A,0)),IF(DO$1=INDEX('Valo FX'!$R:$R,MATCH($A23,'Valo FX'!$A:$A,0)),INDEX(Base!$V:$V,MATCH($A23,Base!$A:$A,0)),0)))</f>
        <v>12.012828000000001</v>
      </c>
      <c r="DP23" s="21">
        <f>IF(DP$1&lt;INDEX('Valo FX'!$Q:$Q,MATCH($A23,'Valo FX'!$A:$A,0)),0,IF(DP$1&lt;INDEX('Valo FX'!$R:$R,MATCH($A23,'Valo FX'!$A:$A,0)),INDEX(Base!$U:$U,MATCH($A23,Base!$A:$A,0)),IF(DP$1=INDEX('Valo FX'!$R:$R,MATCH($A23,'Valo FX'!$A:$A,0)),INDEX(Base!$V:$V,MATCH($A23,Base!$A:$A,0)),0)))</f>
        <v>12.012828000000001</v>
      </c>
      <c r="DQ23" s="21">
        <f>IF(DQ$1&lt;INDEX('Valo FX'!$Q:$Q,MATCH($A23,'Valo FX'!$A:$A,0)),0,IF(DQ$1&lt;INDEX('Valo FX'!$R:$R,MATCH($A23,'Valo FX'!$A:$A,0)),INDEX(Base!$U:$U,MATCH($A23,Base!$A:$A,0)),IF(DQ$1=INDEX('Valo FX'!$R:$R,MATCH($A23,'Valo FX'!$A:$A,0)),INDEX(Base!$V:$V,MATCH($A23,Base!$A:$A,0)),0)))</f>
        <v>12.012828000000001</v>
      </c>
      <c r="DR23" s="21">
        <f>IF(DR$1&lt;INDEX('Valo FX'!$Q:$Q,MATCH($A23,'Valo FX'!$A:$A,0)),0,IF(DR$1&lt;INDEX('Valo FX'!$R:$R,MATCH($A23,'Valo FX'!$A:$A,0)),INDEX(Base!$U:$U,MATCH($A23,Base!$A:$A,0)),IF(DR$1=INDEX('Valo FX'!$R:$R,MATCH($A23,'Valo FX'!$A:$A,0)),INDEX(Base!$V:$V,MATCH($A23,Base!$A:$A,0)),0)))</f>
        <v>12.012828000000001</v>
      </c>
      <c r="DS23" s="21">
        <f>IF(DS$1&lt;INDEX('Valo FX'!$Q:$Q,MATCH($A23,'Valo FX'!$A:$A,0)),0,IF(DS$1&lt;INDEX('Valo FX'!$R:$R,MATCH($A23,'Valo FX'!$A:$A,0)),INDEX(Base!$U:$U,MATCH($A23,Base!$A:$A,0)),IF(DS$1=INDEX('Valo FX'!$R:$R,MATCH($A23,'Valo FX'!$A:$A,0)),INDEX(Base!$V:$V,MATCH($A23,Base!$A:$A,0)),0)))</f>
        <v>12.012828000000001</v>
      </c>
      <c r="DT23" s="21">
        <f>IF(DT$1&lt;INDEX('Valo FX'!$Q:$Q,MATCH($A23,'Valo FX'!$A:$A,0)),0,IF(DT$1&lt;INDEX('Valo FX'!$R:$R,MATCH($A23,'Valo FX'!$A:$A,0)),INDEX(Base!$U:$U,MATCH($A23,Base!$A:$A,0)),IF(DT$1=INDEX('Valo FX'!$R:$R,MATCH($A23,'Valo FX'!$A:$A,0)),INDEX(Base!$V:$V,MATCH($A23,Base!$A:$A,0)),0)))</f>
        <v>12.012828000000001</v>
      </c>
      <c r="DU23" s="21">
        <f>IF(DU$1&lt;INDEX('Valo FX'!$Q:$Q,MATCH($A23,'Valo FX'!$A:$A,0)),0,IF(DU$1&lt;INDEX('Valo FX'!$R:$R,MATCH($A23,'Valo FX'!$A:$A,0)),INDEX(Base!$U:$U,MATCH($A23,Base!$A:$A,0)),IF(DU$1=INDEX('Valo FX'!$R:$R,MATCH($A23,'Valo FX'!$A:$A,0)),INDEX(Base!$V:$V,MATCH($A23,Base!$A:$A,0)),0)))</f>
        <v>12.012828000000001</v>
      </c>
      <c r="DV23" s="21">
        <f>IF(DV$1&lt;INDEX('Valo FX'!$Q:$Q,MATCH($A23,'Valo FX'!$A:$A,0)),0,IF(DV$1&lt;INDEX('Valo FX'!$R:$R,MATCH($A23,'Valo FX'!$A:$A,0)),INDEX(Base!$U:$U,MATCH($A23,Base!$A:$A,0)),IF(DV$1=INDEX('Valo FX'!$R:$R,MATCH($A23,'Valo FX'!$A:$A,0)),INDEX(Base!$V:$V,MATCH($A23,Base!$A:$A,0)),0)))</f>
        <v>12.012828000000001</v>
      </c>
      <c r="DW23" s="21">
        <f>IF(DW$1&lt;INDEX('Valo FX'!$Q:$Q,MATCH($A23,'Valo FX'!$A:$A,0)),0,IF(DW$1&lt;INDEX('Valo FX'!$R:$R,MATCH($A23,'Valo FX'!$A:$A,0)),INDEX(Base!$U:$U,MATCH($A23,Base!$A:$A,0)),IF(DW$1=INDEX('Valo FX'!$R:$R,MATCH($A23,'Valo FX'!$A:$A,0)),INDEX(Base!$V:$V,MATCH($A23,Base!$A:$A,0)),0)))</f>
        <v>12.012828000000001</v>
      </c>
      <c r="DX23" s="21">
        <f>IF(DX$1&lt;INDEX('Valo FX'!$Q:$Q,MATCH($A23,'Valo FX'!$A:$A,0)),0,IF(DX$1&lt;INDEX('Valo FX'!$R:$R,MATCH($A23,'Valo FX'!$A:$A,0)),INDEX(Base!$U:$U,MATCH($A23,Base!$A:$A,0)),IF(DX$1=INDEX('Valo FX'!$R:$R,MATCH($A23,'Valo FX'!$A:$A,0)),INDEX(Base!$V:$V,MATCH($A23,Base!$A:$A,0)),0)))</f>
        <v>12.012828000000001</v>
      </c>
      <c r="DY23" s="21">
        <f>IF(DY$1&lt;INDEX('Valo FX'!$Q:$Q,MATCH($A23,'Valo FX'!$A:$A,0)),0,IF(DY$1&lt;INDEX('Valo FX'!$R:$R,MATCH($A23,'Valo FX'!$A:$A,0)),INDEX(Base!$U:$U,MATCH($A23,Base!$A:$A,0)),IF(DY$1=INDEX('Valo FX'!$R:$R,MATCH($A23,'Valo FX'!$A:$A,0)),INDEX(Base!$V:$V,MATCH($A23,Base!$A:$A,0)),0)))</f>
        <v>12.012828000000001</v>
      </c>
      <c r="DZ23" s="21">
        <f>IF(DZ$1&lt;INDEX('Valo FX'!$Q:$Q,MATCH($A23,'Valo FX'!$A:$A,0)),0,IF(DZ$1&lt;INDEX('Valo FX'!$R:$R,MATCH($A23,'Valo FX'!$A:$A,0)),INDEX(Base!$U:$U,MATCH($A23,Base!$A:$A,0)),IF(DZ$1=INDEX('Valo FX'!$R:$R,MATCH($A23,'Valo FX'!$A:$A,0)),INDEX(Base!$V:$V,MATCH($A23,Base!$A:$A,0)),0)))</f>
        <v>12.012828000000001</v>
      </c>
      <c r="EA23" s="21">
        <f>IF(EA$1&lt;INDEX('Valo FX'!$Q:$Q,MATCH($A23,'Valo FX'!$A:$A,0)),0,IF(EA$1&lt;INDEX('Valo FX'!$R:$R,MATCH($A23,'Valo FX'!$A:$A,0)),INDEX(Base!$U:$U,MATCH($A23,Base!$A:$A,0)),IF(EA$1=INDEX('Valo FX'!$R:$R,MATCH($A23,'Valo FX'!$A:$A,0)),INDEX(Base!$V:$V,MATCH($A23,Base!$A:$A,0)),0)))</f>
        <v>12.012828000000001</v>
      </c>
      <c r="EB23" s="21">
        <f>IF(EB$1&lt;INDEX('Valo FX'!$Q:$Q,MATCH($A23,'Valo FX'!$A:$A,0)),0,IF(EB$1&lt;INDEX('Valo FX'!$R:$R,MATCH($A23,'Valo FX'!$A:$A,0)),INDEX(Base!$U:$U,MATCH($A23,Base!$A:$A,0)),IF(EB$1=INDEX('Valo FX'!$R:$R,MATCH($A23,'Valo FX'!$A:$A,0)),INDEX(Base!$V:$V,MATCH($A23,Base!$A:$A,0)),0)))</f>
        <v>12.012828000000001</v>
      </c>
      <c r="EC23" s="21">
        <f>IF(EC$1&lt;INDEX('Valo FX'!$Q:$Q,MATCH($A23,'Valo FX'!$A:$A,0)),0,IF(EC$1&lt;INDEX('Valo FX'!$R:$R,MATCH($A23,'Valo FX'!$A:$A,0)),INDEX(Base!$U:$U,MATCH($A23,Base!$A:$A,0)),IF(EC$1=INDEX('Valo FX'!$R:$R,MATCH($A23,'Valo FX'!$A:$A,0)),INDEX(Base!$V:$V,MATCH($A23,Base!$A:$A,0)),0)))</f>
        <v>12.012828000000001</v>
      </c>
      <c r="ED23" s="21">
        <f>IF(ED$1&lt;INDEX('Valo FX'!$Q:$Q,MATCH($A23,'Valo FX'!$A:$A,0)),0,IF(ED$1&lt;INDEX('Valo FX'!$R:$R,MATCH($A23,'Valo FX'!$A:$A,0)),INDEX(Base!$U:$U,MATCH($A23,Base!$A:$A,0)),IF(ED$1=INDEX('Valo FX'!$R:$R,MATCH($A23,'Valo FX'!$A:$A,0)),INDEX(Base!$V:$V,MATCH($A23,Base!$A:$A,0)),0)))</f>
        <v>12.012828000000001</v>
      </c>
      <c r="EE23" s="21">
        <f>IF(EE$1&lt;INDEX('Valo FX'!$Q:$Q,MATCH($A23,'Valo FX'!$A:$A,0)),0,IF(EE$1&lt;INDEX('Valo FX'!$R:$R,MATCH($A23,'Valo FX'!$A:$A,0)),INDEX(Base!$U:$U,MATCH($A23,Base!$A:$A,0)),IF(EE$1=INDEX('Valo FX'!$R:$R,MATCH($A23,'Valo FX'!$A:$A,0)),INDEX(Base!$V:$V,MATCH($A23,Base!$A:$A,0)),0)))</f>
        <v>12.012828000000001</v>
      </c>
      <c r="EF23" s="21">
        <f>IF(EF$1&lt;INDEX('Valo FX'!$Q:$Q,MATCH($A23,'Valo FX'!$A:$A,0)),0,IF(EF$1&lt;INDEX('Valo FX'!$R:$R,MATCH($A23,'Valo FX'!$A:$A,0)),INDEX(Base!$U:$U,MATCH($A23,Base!$A:$A,0)),IF(EF$1=INDEX('Valo FX'!$R:$R,MATCH($A23,'Valo FX'!$A:$A,0)),INDEX(Base!$V:$V,MATCH($A23,Base!$A:$A,0)),0)))</f>
        <v>12.012828000000001</v>
      </c>
      <c r="EG23" s="21">
        <f>IF(EG$1&lt;INDEX('Valo FX'!$Q:$Q,MATCH($A23,'Valo FX'!$A:$A,0)),0,IF(EG$1&lt;INDEX('Valo FX'!$R:$R,MATCH($A23,'Valo FX'!$A:$A,0)),INDEX(Base!$U:$U,MATCH($A23,Base!$A:$A,0)),IF(EG$1=INDEX('Valo FX'!$R:$R,MATCH($A23,'Valo FX'!$A:$A,0)),INDEX(Base!$V:$V,MATCH($A23,Base!$A:$A,0)),0)))</f>
        <v>12.012828000000001</v>
      </c>
      <c r="EH23" s="21">
        <f>IF(EH$1&lt;INDEX('Valo FX'!$Q:$Q,MATCH($A23,'Valo FX'!$A:$A,0)),0,IF(EH$1&lt;INDEX('Valo FX'!$R:$R,MATCH($A23,'Valo FX'!$A:$A,0)),INDEX(Base!$U:$U,MATCH($A23,Base!$A:$A,0)),IF(EH$1=INDEX('Valo FX'!$R:$R,MATCH($A23,'Valo FX'!$A:$A,0)),INDEX(Base!$V:$V,MATCH($A23,Base!$A:$A,0)),0)))</f>
        <v>12.012828000000001</v>
      </c>
      <c r="EI23" s="21">
        <f>IF(EI$1&lt;INDEX('Valo FX'!$Q:$Q,MATCH($A23,'Valo FX'!$A:$A,0)),0,IF(EI$1&lt;INDEX('Valo FX'!$R:$R,MATCH($A23,'Valo FX'!$A:$A,0)),INDEX(Base!$U:$U,MATCH($A23,Base!$A:$A,0)),IF(EI$1=INDEX('Valo FX'!$R:$R,MATCH($A23,'Valo FX'!$A:$A,0)),INDEX(Base!$V:$V,MATCH($A23,Base!$A:$A,0)),0)))</f>
        <v>12.012828000000001</v>
      </c>
      <c r="EJ23" s="21">
        <f>IF(EJ$1&lt;INDEX('Valo FX'!$Q:$Q,MATCH($A23,'Valo FX'!$A:$A,0)),0,IF(EJ$1&lt;INDEX('Valo FX'!$R:$R,MATCH($A23,'Valo FX'!$A:$A,0)),INDEX(Base!$U:$U,MATCH($A23,Base!$A:$A,0)),IF(EJ$1=INDEX('Valo FX'!$R:$R,MATCH($A23,'Valo FX'!$A:$A,0)),INDEX(Base!$V:$V,MATCH($A23,Base!$A:$A,0)),0)))</f>
        <v>12.012828000000001</v>
      </c>
      <c r="EK23" s="21">
        <f>IF(EK$1&lt;INDEX('Valo FX'!$Q:$Q,MATCH($A23,'Valo FX'!$A:$A,0)),0,IF(EK$1&lt;INDEX('Valo FX'!$R:$R,MATCH($A23,'Valo FX'!$A:$A,0)),INDEX(Base!$U:$U,MATCH($A23,Base!$A:$A,0)),IF(EK$1=INDEX('Valo FX'!$R:$R,MATCH($A23,'Valo FX'!$A:$A,0)),INDEX(Base!$V:$V,MATCH($A23,Base!$A:$A,0)),0)))</f>
        <v>12.012828000000001</v>
      </c>
      <c r="EL23" s="21">
        <f>IF(EL$1&lt;INDEX('Valo FX'!$Q:$Q,MATCH($A23,'Valo FX'!$A:$A,0)),0,IF(EL$1&lt;INDEX('Valo FX'!$R:$R,MATCH($A23,'Valo FX'!$A:$A,0)),INDEX(Base!$U:$U,MATCH($A23,Base!$A:$A,0)),IF(EL$1=INDEX('Valo FX'!$R:$R,MATCH($A23,'Valo FX'!$A:$A,0)),INDEX(Base!$V:$V,MATCH($A23,Base!$A:$A,0)),0)))</f>
        <v>12.012828000000001</v>
      </c>
      <c r="EM23" s="21">
        <f>IF(EM$1&lt;INDEX('Valo FX'!$Q:$Q,MATCH($A23,'Valo FX'!$A:$A,0)),0,IF(EM$1&lt;INDEX('Valo FX'!$R:$R,MATCH($A23,'Valo FX'!$A:$A,0)),INDEX(Base!$U:$U,MATCH($A23,Base!$A:$A,0)),IF(EM$1=INDEX('Valo FX'!$R:$R,MATCH($A23,'Valo FX'!$A:$A,0)),INDEX(Base!$V:$V,MATCH($A23,Base!$A:$A,0)),0)))</f>
        <v>12.012828000000001</v>
      </c>
      <c r="EN23" s="21">
        <f>IF(EN$1&lt;INDEX('Valo FX'!$Q:$Q,MATCH($A23,'Valo FX'!$A:$A,0)),0,IF(EN$1&lt;INDEX('Valo FX'!$R:$R,MATCH($A23,'Valo FX'!$A:$A,0)),INDEX(Base!$U:$U,MATCH($A23,Base!$A:$A,0)),IF(EN$1=INDEX('Valo FX'!$R:$R,MATCH($A23,'Valo FX'!$A:$A,0)),INDEX(Base!$V:$V,MATCH($A23,Base!$A:$A,0)),0)))</f>
        <v>12.012828000000001</v>
      </c>
      <c r="EO23" s="21">
        <f>IF(EO$1&lt;INDEX('Valo FX'!$Q:$Q,MATCH($A23,'Valo FX'!$A:$A,0)),0,IF(EO$1&lt;INDEX('Valo FX'!$R:$R,MATCH($A23,'Valo FX'!$A:$A,0)),INDEX(Base!$U:$U,MATCH($A23,Base!$A:$A,0)),IF(EO$1=INDEX('Valo FX'!$R:$R,MATCH($A23,'Valo FX'!$A:$A,0)),INDEX(Base!$V:$V,MATCH($A23,Base!$A:$A,0)),0)))</f>
        <v>12.012828000000001</v>
      </c>
      <c r="EP23" s="21">
        <f>IF(EP$1&lt;INDEX('Valo FX'!$Q:$Q,MATCH($A23,'Valo FX'!$A:$A,0)),0,IF(EP$1&lt;INDEX('Valo FX'!$R:$R,MATCH($A23,'Valo FX'!$A:$A,0)),INDEX(Base!$U:$U,MATCH($A23,Base!$A:$A,0)),IF(EP$1=INDEX('Valo FX'!$R:$R,MATCH($A23,'Valo FX'!$A:$A,0)),INDEX(Base!$V:$V,MATCH($A23,Base!$A:$A,0)),0)))</f>
        <v>12.012828000000001</v>
      </c>
      <c r="EQ23" s="21">
        <f>IF(EQ$1&lt;INDEX('Valo FX'!$Q:$Q,MATCH($A23,'Valo FX'!$A:$A,0)),0,IF(EQ$1&lt;INDEX('Valo FX'!$R:$R,MATCH($A23,'Valo FX'!$A:$A,0)),INDEX(Base!$U:$U,MATCH($A23,Base!$A:$A,0)),IF(EQ$1=INDEX('Valo FX'!$R:$R,MATCH($A23,'Valo FX'!$A:$A,0)),INDEX(Base!$V:$V,MATCH($A23,Base!$A:$A,0)),0)))</f>
        <v>12.012828000000001</v>
      </c>
      <c r="ER23" s="21">
        <f>IF(ER$1&lt;INDEX('Valo FX'!$Q:$Q,MATCH($A23,'Valo FX'!$A:$A,0)),0,IF(ER$1&lt;INDEX('Valo FX'!$R:$R,MATCH($A23,'Valo FX'!$A:$A,0)),INDEX(Base!$U:$U,MATCH($A23,Base!$A:$A,0)),IF(ER$1=INDEX('Valo FX'!$R:$R,MATCH($A23,'Valo FX'!$A:$A,0)),INDEX(Base!$V:$V,MATCH($A23,Base!$A:$A,0)),0)))</f>
        <v>12.012828000000001</v>
      </c>
      <c r="ES23" s="21">
        <f>IF(ES$1&lt;INDEX('Valo FX'!$Q:$Q,MATCH($A23,'Valo FX'!$A:$A,0)),0,IF(ES$1&lt;INDEX('Valo FX'!$R:$R,MATCH($A23,'Valo FX'!$A:$A,0)),INDEX(Base!$U:$U,MATCH($A23,Base!$A:$A,0)),IF(ES$1=INDEX('Valo FX'!$R:$R,MATCH($A23,'Valo FX'!$A:$A,0)),INDEX(Base!$V:$V,MATCH($A23,Base!$A:$A,0)),0)))</f>
        <v>12.012828000000001</v>
      </c>
      <c r="ET23" s="21">
        <f>IF(ET$1&lt;INDEX('Valo FX'!$Q:$Q,MATCH($A23,'Valo FX'!$A:$A,0)),0,IF(ET$1&lt;INDEX('Valo FX'!$R:$R,MATCH($A23,'Valo FX'!$A:$A,0)),INDEX(Base!$U:$U,MATCH($A23,Base!$A:$A,0)),IF(ET$1=INDEX('Valo FX'!$R:$R,MATCH($A23,'Valo FX'!$A:$A,0)),INDEX(Base!$V:$V,MATCH($A23,Base!$A:$A,0)),0)))</f>
        <v>12.012828000000001</v>
      </c>
      <c r="EU23" s="21">
        <f>IF(EU$1&lt;INDEX('Valo FX'!$Q:$Q,MATCH($A23,'Valo FX'!$A:$A,0)),0,IF(EU$1&lt;INDEX('Valo FX'!$R:$R,MATCH($A23,'Valo FX'!$A:$A,0)),INDEX(Base!$U:$U,MATCH($A23,Base!$A:$A,0)),IF(EU$1=INDEX('Valo FX'!$R:$R,MATCH($A23,'Valo FX'!$A:$A,0)),INDEX(Base!$V:$V,MATCH($A23,Base!$A:$A,0)),0)))</f>
        <v>12.012828000000001</v>
      </c>
      <c r="EV23" s="21">
        <f>IF(EV$1&lt;INDEX('Valo FX'!$Q:$Q,MATCH($A23,'Valo FX'!$A:$A,0)),0,IF(EV$1&lt;INDEX('Valo FX'!$R:$R,MATCH($A23,'Valo FX'!$A:$A,0)),INDEX(Base!$U:$U,MATCH($A23,Base!$A:$A,0)),IF(EV$1=INDEX('Valo FX'!$R:$R,MATCH($A23,'Valo FX'!$A:$A,0)),INDEX(Base!$V:$V,MATCH($A23,Base!$A:$A,0)),0)))</f>
        <v>12.012828000000001</v>
      </c>
      <c r="EW23" s="21">
        <f>IF(EW$1&lt;INDEX('Valo FX'!$Q:$Q,MATCH($A23,'Valo FX'!$A:$A,0)),0,IF(EW$1&lt;INDEX('Valo FX'!$R:$R,MATCH($A23,'Valo FX'!$A:$A,0)),INDEX(Base!$U:$U,MATCH($A23,Base!$A:$A,0)),IF(EW$1=INDEX('Valo FX'!$R:$R,MATCH($A23,'Valo FX'!$A:$A,0)),INDEX(Base!$V:$V,MATCH($A23,Base!$A:$A,0)),0)))</f>
        <v>12.012828000000001</v>
      </c>
      <c r="EX23" s="21">
        <f>IF(EX$1&lt;INDEX('Valo FX'!$Q:$Q,MATCH($A23,'Valo FX'!$A:$A,0)),0,IF(EX$1&lt;INDEX('Valo FX'!$R:$R,MATCH($A23,'Valo FX'!$A:$A,0)),INDEX(Base!$U:$U,MATCH($A23,Base!$A:$A,0)),IF(EX$1=INDEX('Valo FX'!$R:$R,MATCH($A23,'Valo FX'!$A:$A,0)),INDEX(Base!$V:$V,MATCH($A23,Base!$A:$A,0)),0)))</f>
        <v>12.012828000000001</v>
      </c>
      <c r="EY23" s="21">
        <f>IF(EY$1&lt;INDEX('Valo FX'!$Q:$Q,MATCH($A23,'Valo FX'!$A:$A,0)),0,IF(EY$1&lt;INDEX('Valo FX'!$R:$R,MATCH($A23,'Valo FX'!$A:$A,0)),INDEX(Base!$U:$U,MATCH($A23,Base!$A:$A,0)),IF(EY$1=INDEX('Valo FX'!$R:$R,MATCH($A23,'Valo FX'!$A:$A,0)),INDEX(Base!$V:$V,MATCH($A23,Base!$A:$A,0)),0)))</f>
        <v>12.012828000000001</v>
      </c>
      <c r="EZ23" s="21">
        <f>IF(EZ$1&lt;INDEX('Valo FX'!$Q:$Q,MATCH($A23,'Valo FX'!$A:$A,0)),0,IF(EZ$1&lt;INDEX('Valo FX'!$R:$R,MATCH($A23,'Valo FX'!$A:$A,0)),INDEX(Base!$U:$U,MATCH($A23,Base!$A:$A,0)),IF(EZ$1=INDEX('Valo FX'!$R:$R,MATCH($A23,'Valo FX'!$A:$A,0)),INDEX(Base!$V:$V,MATCH($A23,Base!$A:$A,0)),0)))</f>
        <v>12.012828000000001</v>
      </c>
      <c r="FA23" s="21">
        <f>IF(FA$1&lt;INDEX('Valo FX'!$Q:$Q,MATCH($A23,'Valo FX'!$A:$A,0)),0,IF(FA$1&lt;INDEX('Valo FX'!$R:$R,MATCH($A23,'Valo FX'!$A:$A,0)),INDEX(Base!$U:$U,MATCH($A23,Base!$A:$A,0)),IF(FA$1=INDEX('Valo FX'!$R:$R,MATCH($A23,'Valo FX'!$A:$A,0)),INDEX(Base!$V:$V,MATCH($A23,Base!$A:$A,0)),0)))</f>
        <v>12.012828000000001</v>
      </c>
      <c r="FB23" s="21">
        <f>IF(FB$1&lt;INDEX('Valo FX'!$Q:$Q,MATCH($A23,'Valo FX'!$A:$A,0)),0,IF(FB$1&lt;INDEX('Valo FX'!$R:$R,MATCH($A23,'Valo FX'!$A:$A,0)),INDEX(Base!$U:$U,MATCH($A23,Base!$A:$A,0)),IF(FB$1=INDEX('Valo FX'!$R:$R,MATCH($A23,'Valo FX'!$A:$A,0)),INDEX(Base!$V:$V,MATCH($A23,Base!$A:$A,0)),0)))</f>
        <v>12.012828000000001</v>
      </c>
      <c r="FC23" s="21">
        <f>IF(FC$1&lt;INDEX('Valo FX'!$Q:$Q,MATCH($A23,'Valo FX'!$A:$A,0)),0,IF(FC$1&lt;INDEX('Valo FX'!$R:$R,MATCH($A23,'Valo FX'!$A:$A,0)),INDEX(Base!$U:$U,MATCH($A23,Base!$A:$A,0)),IF(FC$1=INDEX('Valo FX'!$R:$R,MATCH($A23,'Valo FX'!$A:$A,0)),INDEX(Base!$V:$V,MATCH($A23,Base!$A:$A,0)),0)))</f>
        <v>12.012828000000001</v>
      </c>
      <c r="FD23" s="21">
        <f>IF(FD$1&lt;INDEX('Valo FX'!$Q:$Q,MATCH($A23,'Valo FX'!$A:$A,0)),0,IF(FD$1&lt;INDEX('Valo FX'!$R:$R,MATCH($A23,'Valo FX'!$A:$A,0)),INDEX(Base!$U:$U,MATCH($A23,Base!$A:$A,0)),IF(FD$1=INDEX('Valo FX'!$R:$R,MATCH($A23,'Valo FX'!$A:$A,0)),INDEX(Base!$V:$V,MATCH($A23,Base!$A:$A,0)),0)))</f>
        <v>12.012828000000001</v>
      </c>
      <c r="FE23" s="21">
        <f>IF(FE$1&lt;INDEX('Valo FX'!$Q:$Q,MATCH($A23,'Valo FX'!$A:$A,0)),0,IF(FE$1&lt;INDEX('Valo FX'!$R:$R,MATCH($A23,'Valo FX'!$A:$A,0)),INDEX(Base!$U:$U,MATCH($A23,Base!$A:$A,0)),IF(FE$1=INDEX('Valo FX'!$R:$R,MATCH($A23,'Valo FX'!$A:$A,0)),INDEX(Base!$V:$V,MATCH($A23,Base!$A:$A,0)),0)))</f>
        <v>12.012828000000001</v>
      </c>
      <c r="FF23" s="21">
        <f>IF(FF$1&lt;INDEX('Valo FX'!$Q:$Q,MATCH($A23,'Valo FX'!$A:$A,0)),0,IF(FF$1&lt;INDEX('Valo FX'!$R:$R,MATCH($A23,'Valo FX'!$A:$A,0)),INDEX(Base!$U:$U,MATCH($A23,Base!$A:$A,0)),IF(FF$1=INDEX('Valo FX'!$R:$R,MATCH($A23,'Valo FX'!$A:$A,0)),INDEX(Base!$V:$V,MATCH($A23,Base!$A:$A,0)),0)))</f>
        <v>12.012828000000001</v>
      </c>
      <c r="FG23" s="21">
        <f>IF(FG$1&lt;INDEX('Valo FX'!$Q:$Q,MATCH($A23,'Valo FX'!$A:$A,0)),0,IF(FG$1&lt;INDEX('Valo FX'!$R:$R,MATCH($A23,'Valo FX'!$A:$A,0)),INDEX(Base!$U:$U,MATCH($A23,Base!$A:$A,0)),IF(FG$1=INDEX('Valo FX'!$R:$R,MATCH($A23,'Valo FX'!$A:$A,0)),INDEX(Base!$V:$V,MATCH($A23,Base!$A:$A,0)),0)))</f>
        <v>12.012828000000001</v>
      </c>
      <c r="FH23" s="21">
        <f>IF(FH$1&lt;INDEX('Valo FX'!$Q:$Q,MATCH($A23,'Valo FX'!$A:$A,0)),0,IF(FH$1&lt;INDEX('Valo FX'!$R:$R,MATCH($A23,'Valo FX'!$A:$A,0)),INDEX(Base!$U:$U,MATCH($A23,Base!$A:$A,0)),IF(FH$1=INDEX('Valo FX'!$R:$R,MATCH($A23,'Valo FX'!$A:$A,0)),INDEX(Base!$V:$V,MATCH($A23,Base!$A:$A,0)),0)))</f>
        <v>12.012828000000001</v>
      </c>
      <c r="FI23" s="21">
        <f>IF(FI$1&lt;INDEX('Valo FX'!$Q:$Q,MATCH($A23,'Valo FX'!$A:$A,0)),0,IF(FI$1&lt;INDEX('Valo FX'!$R:$R,MATCH($A23,'Valo FX'!$A:$A,0)),INDEX(Base!$U:$U,MATCH($A23,Base!$A:$A,0)),IF(FI$1=INDEX('Valo FX'!$R:$R,MATCH($A23,'Valo FX'!$A:$A,0)),INDEX(Base!$V:$V,MATCH($A23,Base!$A:$A,0)),0)))</f>
        <v>12.012828000000001</v>
      </c>
      <c r="FJ23" s="21">
        <f>IF(FJ$1&lt;INDEX('Valo FX'!$Q:$Q,MATCH($A23,'Valo FX'!$A:$A,0)),0,IF(FJ$1&lt;INDEX('Valo FX'!$R:$R,MATCH($A23,'Valo FX'!$A:$A,0)),INDEX(Base!$U:$U,MATCH($A23,Base!$A:$A,0)),IF(FJ$1=INDEX('Valo FX'!$R:$R,MATCH($A23,'Valo FX'!$A:$A,0)),INDEX(Base!$V:$V,MATCH($A23,Base!$A:$A,0)),0)))</f>
        <v>12.012828000000001</v>
      </c>
      <c r="FK23" s="21">
        <f>IF(FK$1&lt;INDEX('Valo FX'!$Q:$Q,MATCH($A23,'Valo FX'!$A:$A,0)),0,IF(FK$1&lt;INDEX('Valo FX'!$R:$R,MATCH($A23,'Valo FX'!$A:$A,0)),INDEX(Base!$U:$U,MATCH($A23,Base!$A:$A,0)),IF(FK$1=INDEX('Valo FX'!$R:$R,MATCH($A23,'Valo FX'!$A:$A,0)),INDEX(Base!$V:$V,MATCH($A23,Base!$A:$A,0)),0)))</f>
        <v>12.012828000000001</v>
      </c>
      <c r="FL23" s="21">
        <f>IF(FL$1&lt;INDEX('Valo FX'!$Q:$Q,MATCH($A23,'Valo FX'!$A:$A,0)),0,IF(FL$1&lt;INDEX('Valo FX'!$R:$R,MATCH($A23,'Valo FX'!$A:$A,0)),INDEX(Base!$U:$U,MATCH($A23,Base!$A:$A,0)),IF(FL$1=INDEX('Valo FX'!$R:$R,MATCH($A23,'Valo FX'!$A:$A,0)),INDEX(Base!$V:$V,MATCH($A23,Base!$A:$A,0)),0)))</f>
        <v>12.012828000000001</v>
      </c>
      <c r="FM23" s="21">
        <f>IF(FM$1&lt;INDEX('Valo FX'!$Q:$Q,MATCH($A23,'Valo FX'!$A:$A,0)),0,IF(FM$1&lt;INDEX('Valo FX'!$R:$R,MATCH($A23,'Valo FX'!$A:$A,0)),INDEX(Base!$U:$U,MATCH($A23,Base!$A:$A,0)),IF(FM$1=INDEX('Valo FX'!$R:$R,MATCH($A23,'Valo FX'!$A:$A,0)),INDEX(Base!$V:$V,MATCH($A23,Base!$A:$A,0)),0)))</f>
        <v>12.012828000000001</v>
      </c>
      <c r="FN23" s="21">
        <f>IF(FN$1&lt;INDEX('Valo FX'!$Q:$Q,MATCH($A23,'Valo FX'!$A:$A,0)),0,IF(FN$1&lt;INDEX('Valo FX'!$R:$R,MATCH($A23,'Valo FX'!$A:$A,0)),INDEX(Base!$U:$U,MATCH($A23,Base!$A:$A,0)),IF(FN$1=INDEX('Valo FX'!$R:$R,MATCH($A23,'Valo FX'!$A:$A,0)),INDEX(Base!$V:$V,MATCH($A23,Base!$A:$A,0)),0)))</f>
        <v>12.012828000000001</v>
      </c>
      <c r="FO23" s="21">
        <f>IF(FO$1&lt;INDEX('Valo FX'!$Q:$Q,MATCH($A23,'Valo FX'!$A:$A,0)),0,IF(FO$1&lt;INDEX('Valo FX'!$R:$R,MATCH($A23,'Valo FX'!$A:$A,0)),INDEX(Base!$U:$U,MATCH($A23,Base!$A:$A,0)),IF(FO$1=INDEX('Valo FX'!$R:$R,MATCH($A23,'Valo FX'!$A:$A,0)),INDEX(Base!$V:$V,MATCH($A23,Base!$A:$A,0)),0)))</f>
        <v>12.012828000000001</v>
      </c>
      <c r="FP23" s="21">
        <f>IF(FP$1&lt;INDEX('Valo FX'!$Q:$Q,MATCH($A23,'Valo FX'!$A:$A,0)),0,IF(FP$1&lt;INDEX('Valo FX'!$R:$R,MATCH($A23,'Valo FX'!$A:$A,0)),INDEX(Base!$U:$U,MATCH($A23,Base!$A:$A,0)),IF(FP$1=INDEX('Valo FX'!$R:$R,MATCH($A23,'Valo FX'!$A:$A,0)),INDEX(Base!$V:$V,MATCH($A23,Base!$A:$A,0)),0)))</f>
        <v>12.012828000000001</v>
      </c>
      <c r="FQ23" s="21">
        <f>IF(FQ$1&lt;INDEX('Valo FX'!$Q:$Q,MATCH($A23,'Valo FX'!$A:$A,0)),0,IF(FQ$1&lt;INDEX('Valo FX'!$R:$R,MATCH($A23,'Valo FX'!$A:$A,0)),INDEX(Base!$U:$U,MATCH($A23,Base!$A:$A,0)),IF(FQ$1=INDEX('Valo FX'!$R:$R,MATCH($A23,'Valo FX'!$A:$A,0)),INDEX(Base!$V:$V,MATCH($A23,Base!$A:$A,0)),0)))</f>
        <v>12.012828000000001</v>
      </c>
      <c r="FR23" s="21">
        <f>IF(FR$1&lt;INDEX('Valo FX'!$Q:$Q,MATCH($A23,'Valo FX'!$A:$A,0)),0,IF(FR$1&lt;INDEX('Valo FX'!$R:$R,MATCH($A23,'Valo FX'!$A:$A,0)),INDEX(Base!$U:$U,MATCH($A23,Base!$A:$A,0)),IF(FR$1=INDEX('Valo FX'!$R:$R,MATCH($A23,'Valo FX'!$A:$A,0)),INDEX(Base!$V:$V,MATCH($A23,Base!$A:$A,0)),0)))</f>
        <v>12.012828000000001</v>
      </c>
      <c r="FS23" s="21">
        <f>IF(FS$1&lt;INDEX('Valo FX'!$Q:$Q,MATCH($A23,'Valo FX'!$A:$A,0)),0,IF(FS$1&lt;INDEX('Valo FX'!$R:$R,MATCH($A23,'Valo FX'!$A:$A,0)),INDEX(Base!$U:$U,MATCH($A23,Base!$A:$A,0)),IF(FS$1=INDEX('Valo FX'!$R:$R,MATCH($A23,'Valo FX'!$A:$A,0)),INDEX(Base!$V:$V,MATCH($A23,Base!$A:$A,0)),0)))</f>
        <v>12.012828000000001</v>
      </c>
      <c r="FT23" s="21">
        <f>IF(FT$1&lt;INDEX('Valo FX'!$Q:$Q,MATCH($A23,'Valo FX'!$A:$A,0)),0,IF(FT$1&lt;INDEX('Valo FX'!$R:$R,MATCH($A23,'Valo FX'!$A:$A,0)),INDEX(Base!$U:$U,MATCH($A23,Base!$A:$A,0)),IF(FT$1=INDEX('Valo FX'!$R:$R,MATCH($A23,'Valo FX'!$A:$A,0)),INDEX(Base!$V:$V,MATCH($A23,Base!$A:$A,0)),0)))</f>
        <v>12.012828000000001</v>
      </c>
      <c r="FU23" s="21">
        <f>IF(FU$1&lt;INDEX('Valo FX'!$Q:$Q,MATCH($A23,'Valo FX'!$A:$A,0)),0,IF(FU$1&lt;INDEX('Valo FX'!$R:$R,MATCH($A23,'Valo FX'!$A:$A,0)),INDEX(Base!$U:$U,MATCH($A23,Base!$A:$A,0)),IF(FU$1=INDEX('Valo FX'!$R:$R,MATCH($A23,'Valo FX'!$A:$A,0)),INDEX(Base!$V:$V,MATCH($A23,Base!$A:$A,0)),0)))</f>
        <v>12.012828000000001</v>
      </c>
      <c r="FV23" s="21">
        <f>IF(FV$1&lt;INDEX('Valo FX'!$Q:$Q,MATCH($A23,'Valo FX'!$A:$A,0)),0,IF(FV$1&lt;INDEX('Valo FX'!$R:$R,MATCH($A23,'Valo FX'!$A:$A,0)),INDEX(Base!$U:$U,MATCH($A23,Base!$A:$A,0)),IF(FV$1=INDEX('Valo FX'!$R:$R,MATCH($A23,'Valo FX'!$A:$A,0)),INDEX(Base!$V:$V,MATCH($A23,Base!$A:$A,0)),0)))</f>
        <v>12.012828000000001</v>
      </c>
      <c r="FW23" s="21">
        <f>IF(FW$1&lt;INDEX('Valo FX'!$Q:$Q,MATCH($A23,'Valo FX'!$A:$A,0)),0,IF(FW$1&lt;INDEX('Valo FX'!$R:$R,MATCH($A23,'Valo FX'!$A:$A,0)),INDEX(Base!$U:$U,MATCH($A23,Base!$A:$A,0)),IF(FW$1=INDEX('Valo FX'!$R:$R,MATCH($A23,'Valo FX'!$A:$A,0)),INDEX(Base!$V:$V,MATCH($A23,Base!$A:$A,0)),0)))</f>
        <v>12.012828000000001</v>
      </c>
      <c r="FX23" s="21">
        <f>IF(FX$1&lt;INDEX('Valo FX'!$Q:$Q,MATCH($A23,'Valo FX'!$A:$A,0)),0,IF(FX$1&lt;INDEX('Valo FX'!$R:$R,MATCH($A23,'Valo FX'!$A:$A,0)),INDEX(Base!$U:$U,MATCH($A23,Base!$A:$A,0)),IF(FX$1=INDEX('Valo FX'!$R:$R,MATCH($A23,'Valo FX'!$A:$A,0)),INDEX(Base!$V:$V,MATCH($A23,Base!$A:$A,0)),0)))</f>
        <v>12.012828000000001</v>
      </c>
      <c r="FY23" s="21">
        <f>IF(FY$1&lt;INDEX('Valo FX'!$Q:$Q,MATCH($A23,'Valo FX'!$A:$A,0)),0,IF(FY$1&lt;INDEX('Valo FX'!$R:$R,MATCH($A23,'Valo FX'!$A:$A,0)),INDEX(Base!$U:$U,MATCH($A23,Base!$A:$A,0)),IF(FY$1=INDEX('Valo FX'!$R:$R,MATCH($A23,'Valo FX'!$A:$A,0)),INDEX(Base!$V:$V,MATCH($A23,Base!$A:$A,0)),0)))</f>
        <v>12.012828000000001</v>
      </c>
      <c r="FZ23" s="21">
        <f>IF(FZ$1&lt;INDEX('Valo FX'!$Q:$Q,MATCH($A23,'Valo FX'!$A:$A,0)),0,IF(FZ$1&lt;INDEX('Valo FX'!$R:$R,MATCH($A23,'Valo FX'!$A:$A,0)),INDEX(Base!$U:$U,MATCH($A23,Base!$A:$A,0)),IF(FZ$1=INDEX('Valo FX'!$R:$R,MATCH($A23,'Valo FX'!$A:$A,0)),INDEX(Base!$V:$V,MATCH($A23,Base!$A:$A,0)),0)))</f>
        <v>12.012828000000001</v>
      </c>
      <c r="GA23" s="21">
        <f>IF(GA$1&lt;INDEX('Valo FX'!$Q:$Q,MATCH($A23,'Valo FX'!$A:$A,0)),0,IF(GA$1&lt;INDEX('Valo FX'!$R:$R,MATCH($A23,'Valo FX'!$A:$A,0)),INDEX(Base!$U:$U,MATCH($A23,Base!$A:$A,0)),IF(GA$1=INDEX('Valo FX'!$R:$R,MATCH($A23,'Valo FX'!$A:$A,0)),INDEX(Base!$V:$V,MATCH($A23,Base!$A:$A,0)),0)))</f>
        <v>12.012828000000001</v>
      </c>
      <c r="GB23" s="21">
        <f>IF(GB$1&lt;INDEX('Valo FX'!$Q:$Q,MATCH($A23,'Valo FX'!$A:$A,0)),0,IF(GB$1&lt;INDEX('Valo FX'!$R:$R,MATCH($A23,'Valo FX'!$A:$A,0)),INDEX(Base!$U:$U,MATCH($A23,Base!$A:$A,0)),IF(GB$1=INDEX('Valo FX'!$R:$R,MATCH($A23,'Valo FX'!$A:$A,0)),INDEX(Base!$V:$V,MATCH($A23,Base!$A:$A,0)),0)))</f>
        <v>12.012828000000001</v>
      </c>
      <c r="GC23" s="21">
        <f>IF(GC$1&lt;INDEX('Valo FX'!$Q:$Q,MATCH($A23,'Valo FX'!$A:$A,0)),0,IF(GC$1&lt;INDEX('Valo FX'!$R:$R,MATCH($A23,'Valo FX'!$A:$A,0)),INDEX(Base!$U:$U,MATCH($A23,Base!$A:$A,0)),IF(GC$1=INDEX('Valo FX'!$R:$R,MATCH($A23,'Valo FX'!$A:$A,0)),INDEX(Base!$V:$V,MATCH($A23,Base!$A:$A,0)),0)))</f>
        <v>12.012828000000001</v>
      </c>
      <c r="GD23" s="21">
        <f>IF(GD$1&lt;INDEX('Valo FX'!$Q:$Q,MATCH($A23,'Valo FX'!$A:$A,0)),0,IF(GD$1&lt;INDEX('Valo FX'!$R:$R,MATCH($A23,'Valo FX'!$A:$A,0)),INDEX(Base!$U:$U,MATCH($A23,Base!$A:$A,0)),IF(GD$1=INDEX('Valo FX'!$R:$R,MATCH($A23,'Valo FX'!$A:$A,0)),INDEX(Base!$V:$V,MATCH($A23,Base!$A:$A,0)),0)))</f>
        <v>12.012828000000001</v>
      </c>
      <c r="GE23" s="21">
        <f>IF(GE$1&lt;INDEX('Valo FX'!$Q:$Q,MATCH($A23,'Valo FX'!$A:$A,0)),0,IF(GE$1&lt;INDEX('Valo FX'!$R:$R,MATCH($A23,'Valo FX'!$A:$A,0)),INDEX(Base!$U:$U,MATCH($A23,Base!$A:$A,0)),IF(GE$1=INDEX('Valo FX'!$R:$R,MATCH($A23,'Valo FX'!$A:$A,0)),INDEX(Base!$V:$V,MATCH($A23,Base!$A:$A,0)),0)))</f>
        <v>12.012828000000001</v>
      </c>
      <c r="GF23" s="21">
        <f>IF(GF$1&lt;INDEX('Valo FX'!$Q:$Q,MATCH($A23,'Valo FX'!$A:$A,0)),0,IF(GF$1&lt;INDEX('Valo FX'!$R:$R,MATCH($A23,'Valo FX'!$A:$A,0)),INDEX(Base!$U:$U,MATCH($A23,Base!$A:$A,0)),IF(GF$1=INDEX('Valo FX'!$R:$R,MATCH($A23,'Valo FX'!$A:$A,0)),INDEX(Base!$V:$V,MATCH($A23,Base!$A:$A,0)),0)))</f>
        <v>12.012828000000001</v>
      </c>
      <c r="GG23" s="21">
        <f>IF(GG$1&lt;INDEX('Valo FX'!$Q:$Q,MATCH($A23,'Valo FX'!$A:$A,0)),0,IF(GG$1&lt;INDEX('Valo FX'!$R:$R,MATCH($A23,'Valo FX'!$A:$A,0)),INDEX(Base!$U:$U,MATCH($A23,Base!$A:$A,0)),IF(GG$1=INDEX('Valo FX'!$R:$R,MATCH($A23,'Valo FX'!$A:$A,0)),INDEX(Base!$V:$V,MATCH($A23,Base!$A:$A,0)),0)))</f>
        <v>12.012828000000001</v>
      </c>
      <c r="GH23" s="21">
        <f>IF(GH$1&lt;INDEX('Valo FX'!$Q:$Q,MATCH($A23,'Valo FX'!$A:$A,0)),0,IF(GH$1&lt;INDEX('Valo FX'!$R:$R,MATCH($A23,'Valo FX'!$A:$A,0)),INDEX(Base!$U:$U,MATCH($A23,Base!$A:$A,0)),IF(GH$1=INDEX('Valo FX'!$R:$R,MATCH($A23,'Valo FX'!$A:$A,0)),INDEX(Base!$V:$V,MATCH($A23,Base!$A:$A,0)),0)))</f>
        <v>12.012828000000001</v>
      </c>
      <c r="GI23" s="21">
        <f>IF(GI$1&lt;INDEX('Valo FX'!$Q:$Q,MATCH($A23,'Valo FX'!$A:$A,0)),0,IF(GI$1&lt;INDEX('Valo FX'!$R:$R,MATCH($A23,'Valo FX'!$A:$A,0)),INDEX(Base!$U:$U,MATCH($A23,Base!$A:$A,0)),IF(GI$1=INDEX('Valo FX'!$R:$R,MATCH($A23,'Valo FX'!$A:$A,0)),INDEX(Base!$V:$V,MATCH($A23,Base!$A:$A,0)),0)))</f>
        <v>12.012828000000001</v>
      </c>
      <c r="GJ23" s="21">
        <f>IF(GJ$1&lt;INDEX('Valo FX'!$Q:$Q,MATCH($A23,'Valo FX'!$A:$A,0)),0,IF(GJ$1&lt;INDEX('Valo FX'!$R:$R,MATCH($A23,'Valo FX'!$A:$A,0)),INDEX(Base!$U:$U,MATCH($A23,Base!$A:$A,0)),IF(GJ$1=INDEX('Valo FX'!$R:$R,MATCH($A23,'Valo FX'!$A:$A,0)),INDEX(Base!$V:$V,MATCH($A23,Base!$A:$A,0)),0)))</f>
        <v>12.012828000000001</v>
      </c>
      <c r="GK23" s="21">
        <f>IF(GK$1&lt;INDEX('Valo FX'!$Q:$Q,MATCH($A23,'Valo FX'!$A:$A,0)),0,IF(GK$1&lt;INDEX('Valo FX'!$R:$R,MATCH($A23,'Valo FX'!$A:$A,0)),INDEX(Base!$U:$U,MATCH($A23,Base!$A:$A,0)),IF(GK$1=INDEX('Valo FX'!$R:$R,MATCH($A23,'Valo FX'!$A:$A,0)),INDEX(Base!$V:$V,MATCH($A23,Base!$A:$A,0)),0)))</f>
        <v>12.012828000000001</v>
      </c>
      <c r="GL23" s="21">
        <f>IF(GL$1&lt;INDEX('Valo FX'!$Q:$Q,MATCH($A23,'Valo FX'!$A:$A,0)),0,IF(GL$1&lt;INDEX('Valo FX'!$R:$R,MATCH($A23,'Valo FX'!$A:$A,0)),INDEX(Base!$U:$U,MATCH($A23,Base!$A:$A,0)),IF(GL$1=INDEX('Valo FX'!$R:$R,MATCH($A23,'Valo FX'!$A:$A,0)),INDEX(Base!$V:$V,MATCH($A23,Base!$A:$A,0)),0)))</f>
        <v>12.012828000000001</v>
      </c>
      <c r="GM23" s="21">
        <f>IF(GM$1&lt;INDEX('Valo FX'!$Q:$Q,MATCH($A23,'Valo FX'!$A:$A,0)),0,IF(GM$1&lt;INDEX('Valo FX'!$R:$R,MATCH($A23,'Valo FX'!$A:$A,0)),INDEX(Base!$U:$U,MATCH($A23,Base!$A:$A,0)),IF(GM$1=INDEX('Valo FX'!$R:$R,MATCH($A23,'Valo FX'!$A:$A,0)),INDEX(Base!$V:$V,MATCH($A23,Base!$A:$A,0)),0)))</f>
        <v>12.012828000000001</v>
      </c>
      <c r="GN23" s="21">
        <f>IF(GN$1&lt;INDEX('Valo FX'!$Q:$Q,MATCH($A23,'Valo FX'!$A:$A,0)),0,IF(GN$1&lt;INDEX('Valo FX'!$R:$R,MATCH($A23,'Valo FX'!$A:$A,0)),INDEX(Base!$U:$U,MATCH($A23,Base!$A:$A,0)),IF(GN$1=INDEX('Valo FX'!$R:$R,MATCH($A23,'Valo FX'!$A:$A,0)),INDEX(Base!$V:$V,MATCH($A23,Base!$A:$A,0)),0)))</f>
        <v>12.012828000000001</v>
      </c>
      <c r="GO23" s="21">
        <f>IF(GO$1&lt;INDEX('Valo FX'!$Q:$Q,MATCH($A23,'Valo FX'!$A:$A,0)),0,IF(GO$1&lt;INDEX('Valo FX'!$R:$R,MATCH($A23,'Valo FX'!$A:$A,0)),INDEX(Base!$U:$U,MATCH($A23,Base!$A:$A,0)),IF(GO$1=INDEX('Valo FX'!$R:$R,MATCH($A23,'Valo FX'!$A:$A,0)),INDEX(Base!$V:$V,MATCH($A23,Base!$A:$A,0)),0)))</f>
        <v>12.012828000000001</v>
      </c>
      <c r="GP23" s="21">
        <f>IF(GP$1&lt;INDEX('Valo FX'!$Q:$Q,MATCH($A23,'Valo FX'!$A:$A,0)),0,IF(GP$1&lt;INDEX('Valo FX'!$R:$R,MATCH($A23,'Valo FX'!$A:$A,0)),INDEX(Base!$U:$U,MATCH($A23,Base!$A:$A,0)),IF(GP$1=INDEX('Valo FX'!$R:$R,MATCH($A23,'Valo FX'!$A:$A,0)),INDEX(Base!$V:$V,MATCH($A23,Base!$A:$A,0)),0)))</f>
        <v>12.012828000000001</v>
      </c>
      <c r="GQ23" s="21">
        <f>IF(GQ$1&lt;INDEX('Valo FX'!$Q:$Q,MATCH($A23,'Valo FX'!$A:$A,0)),0,IF(GQ$1&lt;INDEX('Valo FX'!$R:$R,MATCH($A23,'Valo FX'!$A:$A,0)),INDEX(Base!$U:$U,MATCH($A23,Base!$A:$A,0)),IF(GQ$1=INDEX('Valo FX'!$R:$R,MATCH($A23,'Valo FX'!$A:$A,0)),INDEX(Base!$V:$V,MATCH($A23,Base!$A:$A,0)),0)))</f>
        <v>12.012828000000001</v>
      </c>
      <c r="GR23" s="21">
        <f>IF(GR$1&lt;INDEX('Valo FX'!$Q:$Q,MATCH($A23,'Valo FX'!$A:$A,0)),0,IF(GR$1&lt;INDEX('Valo FX'!$R:$R,MATCH($A23,'Valo FX'!$A:$A,0)),INDEX(Base!$U:$U,MATCH($A23,Base!$A:$A,0)),IF(GR$1=INDEX('Valo FX'!$R:$R,MATCH($A23,'Valo FX'!$A:$A,0)),INDEX(Base!$V:$V,MATCH($A23,Base!$A:$A,0)),0)))</f>
        <v>12.012828000000001</v>
      </c>
      <c r="GS23" s="21">
        <f>IF(GS$1&lt;INDEX('Valo FX'!$Q:$Q,MATCH($A23,'Valo FX'!$A:$A,0)),0,IF(GS$1&lt;INDEX('Valo FX'!$R:$R,MATCH($A23,'Valo FX'!$A:$A,0)),INDEX(Base!$U:$U,MATCH($A23,Base!$A:$A,0)),IF(GS$1=INDEX('Valo FX'!$R:$R,MATCH($A23,'Valo FX'!$A:$A,0)),INDEX(Base!$V:$V,MATCH($A23,Base!$A:$A,0)),0)))</f>
        <v>12.012828000000001</v>
      </c>
      <c r="GT23" s="21">
        <f>IF(GT$1&lt;INDEX('Valo FX'!$Q:$Q,MATCH($A23,'Valo FX'!$A:$A,0)),0,IF(GT$1&lt;INDEX('Valo FX'!$R:$R,MATCH($A23,'Valo FX'!$A:$A,0)),INDEX(Base!$U:$U,MATCH($A23,Base!$A:$A,0)),IF(GT$1=INDEX('Valo FX'!$R:$R,MATCH($A23,'Valo FX'!$A:$A,0)),INDEX(Base!$V:$V,MATCH($A23,Base!$A:$A,0)),0)))</f>
        <v>12.012828000000001</v>
      </c>
      <c r="GU23" s="21">
        <f>IF(GU$1&lt;INDEX('Valo FX'!$Q:$Q,MATCH($A23,'Valo FX'!$A:$A,0)),0,IF(GU$1&lt;INDEX('Valo FX'!$R:$R,MATCH($A23,'Valo FX'!$A:$A,0)),INDEX(Base!$U:$U,MATCH($A23,Base!$A:$A,0)),IF(GU$1=INDEX('Valo FX'!$R:$R,MATCH($A23,'Valo FX'!$A:$A,0)),INDEX(Base!$V:$V,MATCH($A23,Base!$A:$A,0)),0)))</f>
        <v>12.012828000000001</v>
      </c>
      <c r="GV23" s="21">
        <f>IF(GV$1&lt;INDEX('Valo FX'!$Q:$Q,MATCH($A23,'Valo FX'!$A:$A,0)),0,IF(GV$1&lt;INDEX('Valo FX'!$R:$R,MATCH($A23,'Valo FX'!$A:$A,0)),INDEX(Base!$U:$U,MATCH($A23,Base!$A:$A,0)),IF(GV$1=INDEX('Valo FX'!$R:$R,MATCH($A23,'Valo FX'!$A:$A,0)),INDEX(Base!$V:$V,MATCH($A23,Base!$A:$A,0)),0)))</f>
        <v>12.012828000000001</v>
      </c>
      <c r="GW23" s="21">
        <f>IF(GW$1&lt;INDEX('Valo FX'!$Q:$Q,MATCH($A23,'Valo FX'!$A:$A,0)),0,IF(GW$1&lt;INDEX('Valo FX'!$R:$R,MATCH($A23,'Valo FX'!$A:$A,0)),INDEX(Base!$U:$U,MATCH($A23,Base!$A:$A,0)),IF(GW$1=INDEX('Valo FX'!$R:$R,MATCH($A23,'Valo FX'!$A:$A,0)),INDEX(Base!$V:$V,MATCH($A23,Base!$A:$A,0)),0)))</f>
        <v>12.012828000000001</v>
      </c>
      <c r="GX23" s="21">
        <f>IF(GX$1&lt;INDEX('Valo FX'!$Q:$Q,MATCH($A23,'Valo FX'!$A:$A,0)),0,IF(GX$1&lt;INDEX('Valo FX'!$R:$R,MATCH($A23,'Valo FX'!$A:$A,0)),INDEX(Base!$U:$U,MATCH($A23,Base!$A:$A,0)),IF(GX$1=INDEX('Valo FX'!$R:$R,MATCH($A23,'Valo FX'!$A:$A,0)),INDEX(Base!$V:$V,MATCH($A23,Base!$A:$A,0)),0)))</f>
        <v>12.012828000000001</v>
      </c>
      <c r="GY23" s="21">
        <f>IF(GY$1&lt;INDEX('Valo FX'!$Q:$Q,MATCH($A23,'Valo FX'!$A:$A,0)),0,IF(GY$1&lt;INDEX('Valo FX'!$R:$R,MATCH($A23,'Valo FX'!$A:$A,0)),INDEX(Base!$U:$U,MATCH($A23,Base!$A:$A,0)),IF(GY$1=INDEX('Valo FX'!$R:$R,MATCH($A23,'Valo FX'!$A:$A,0)),INDEX(Base!$V:$V,MATCH($A23,Base!$A:$A,0)),0)))</f>
        <v>12.012828000000001</v>
      </c>
      <c r="GZ23" s="21">
        <f>IF(GZ$1&lt;INDEX('Valo FX'!$Q:$Q,MATCH($A23,'Valo FX'!$A:$A,0)),0,IF(GZ$1&lt;INDEX('Valo FX'!$R:$R,MATCH($A23,'Valo FX'!$A:$A,0)),INDEX(Base!$U:$U,MATCH($A23,Base!$A:$A,0)),IF(GZ$1=INDEX('Valo FX'!$R:$R,MATCH($A23,'Valo FX'!$A:$A,0)),INDEX(Base!$V:$V,MATCH($A23,Base!$A:$A,0)),0)))</f>
        <v>12.012828000000001</v>
      </c>
      <c r="HA23" s="21">
        <f>IF(HA$1&lt;INDEX('Valo FX'!$Q:$Q,MATCH($A23,'Valo FX'!$A:$A,0)),0,IF(HA$1&lt;INDEX('Valo FX'!$R:$R,MATCH($A23,'Valo FX'!$A:$A,0)),INDEX(Base!$U:$U,MATCH($A23,Base!$A:$A,0)),IF(HA$1=INDEX('Valo FX'!$R:$R,MATCH($A23,'Valo FX'!$A:$A,0)),INDEX(Base!$V:$V,MATCH($A23,Base!$A:$A,0)),0)))</f>
        <v>12.012828000000001</v>
      </c>
      <c r="HB23" s="21">
        <f>IF(HB$1&lt;INDEX('Valo FX'!$Q:$Q,MATCH($A23,'Valo FX'!$A:$A,0)),0,IF(HB$1&lt;INDEX('Valo FX'!$R:$R,MATCH($A23,'Valo FX'!$A:$A,0)),INDEX(Base!$U:$U,MATCH($A23,Base!$A:$A,0)),IF(HB$1=INDEX('Valo FX'!$R:$R,MATCH($A23,'Valo FX'!$A:$A,0)),INDEX(Base!$V:$V,MATCH($A23,Base!$A:$A,0)),0)))</f>
        <v>12.012828000000001</v>
      </c>
      <c r="HC23" s="21">
        <f>IF(HC$1&lt;INDEX('Valo FX'!$Q:$Q,MATCH($A23,'Valo FX'!$A:$A,0)),0,IF(HC$1&lt;INDEX('Valo FX'!$R:$R,MATCH($A23,'Valo FX'!$A:$A,0)),INDEX(Base!$U:$U,MATCH($A23,Base!$A:$A,0)),IF(HC$1=INDEX('Valo FX'!$R:$R,MATCH($A23,'Valo FX'!$A:$A,0)),INDEX(Base!$V:$V,MATCH($A23,Base!$A:$A,0)),0)))</f>
        <v>12.012828000000001</v>
      </c>
      <c r="HD23" s="21">
        <f>IF(HD$1&lt;INDEX('Valo FX'!$Q:$Q,MATCH($A23,'Valo FX'!$A:$A,0)),0,IF(HD$1&lt;INDEX('Valo FX'!$R:$R,MATCH($A23,'Valo FX'!$A:$A,0)),INDEX(Base!$U:$U,MATCH($A23,Base!$A:$A,0)),IF(HD$1=INDEX('Valo FX'!$R:$R,MATCH($A23,'Valo FX'!$A:$A,0)),INDEX(Base!$V:$V,MATCH($A23,Base!$A:$A,0)),0)))</f>
        <v>12.012828000000001</v>
      </c>
      <c r="HE23" s="21">
        <f>IF(HE$1&lt;INDEX('Valo FX'!$Q:$Q,MATCH($A23,'Valo FX'!$A:$A,0)),0,IF(HE$1&lt;INDEX('Valo FX'!$R:$R,MATCH($A23,'Valo FX'!$A:$A,0)),INDEX(Base!$U:$U,MATCH($A23,Base!$A:$A,0)),IF(HE$1=INDEX('Valo FX'!$R:$R,MATCH($A23,'Valo FX'!$A:$A,0)),INDEX(Base!$V:$V,MATCH($A23,Base!$A:$A,0)),0)))</f>
        <v>12.012828000000001</v>
      </c>
      <c r="HF23" s="21">
        <f>IF(HF$1&lt;INDEX('Valo FX'!$Q:$Q,MATCH($A23,'Valo FX'!$A:$A,0)),0,IF(HF$1&lt;INDEX('Valo FX'!$R:$R,MATCH($A23,'Valo FX'!$A:$A,0)),INDEX(Base!$U:$U,MATCH($A23,Base!$A:$A,0)),IF(HF$1=INDEX('Valo FX'!$R:$R,MATCH($A23,'Valo FX'!$A:$A,0)),INDEX(Base!$V:$V,MATCH($A23,Base!$A:$A,0)),0)))</f>
        <v>12.012828000000001</v>
      </c>
      <c r="HG23" s="21">
        <f>IF(HG$1&lt;INDEX('Valo FX'!$Q:$Q,MATCH($A23,'Valo FX'!$A:$A,0)),0,IF(HG$1&lt;INDEX('Valo FX'!$R:$R,MATCH($A23,'Valo FX'!$A:$A,0)),INDEX(Base!$U:$U,MATCH($A23,Base!$A:$A,0)),IF(HG$1=INDEX('Valo FX'!$R:$R,MATCH($A23,'Valo FX'!$A:$A,0)),INDEX(Base!$V:$V,MATCH($A23,Base!$A:$A,0)),0)))</f>
        <v>12.012828000000001</v>
      </c>
      <c r="HH23" s="21">
        <f>IF(HH$1&lt;INDEX('Valo FX'!$Q:$Q,MATCH($A23,'Valo FX'!$A:$A,0)),0,IF(HH$1&lt;INDEX('Valo FX'!$R:$R,MATCH($A23,'Valo FX'!$A:$A,0)),INDEX(Base!$U:$U,MATCH($A23,Base!$A:$A,0)),IF(HH$1=INDEX('Valo FX'!$R:$R,MATCH($A23,'Valo FX'!$A:$A,0)),INDEX(Base!$V:$V,MATCH($A23,Base!$A:$A,0)),0)))</f>
        <v>12.012828000000001</v>
      </c>
      <c r="HI23" s="21">
        <f>IF(HI$1&lt;INDEX('Valo FX'!$Q:$Q,MATCH($A23,'Valo FX'!$A:$A,0)),0,IF(HI$1&lt;INDEX('Valo FX'!$R:$R,MATCH($A23,'Valo FX'!$A:$A,0)),INDEX(Base!$U:$U,MATCH($A23,Base!$A:$A,0)),IF(HI$1=INDEX('Valo FX'!$R:$R,MATCH($A23,'Valo FX'!$A:$A,0)),INDEX(Base!$V:$V,MATCH($A23,Base!$A:$A,0)),0)))</f>
        <v>12.012828000000001</v>
      </c>
      <c r="HJ23" s="21">
        <f>IF(HJ$1&lt;INDEX('Valo FX'!$Q:$Q,MATCH($A23,'Valo FX'!$A:$A,0)),0,IF(HJ$1&lt;INDEX('Valo FX'!$R:$R,MATCH($A23,'Valo FX'!$A:$A,0)),INDEX(Base!$U:$U,MATCH($A23,Base!$A:$A,0)),IF(HJ$1=INDEX('Valo FX'!$R:$R,MATCH($A23,'Valo FX'!$A:$A,0)),INDEX(Base!$V:$V,MATCH($A23,Base!$A:$A,0)),0)))</f>
        <v>12.012828000000001</v>
      </c>
      <c r="HK23" s="21">
        <f>IF(HK$1&lt;INDEX('Valo FX'!$Q:$Q,MATCH($A23,'Valo FX'!$A:$A,0)),0,IF(HK$1&lt;INDEX('Valo FX'!$R:$R,MATCH($A23,'Valo FX'!$A:$A,0)),INDEX(Base!$U:$U,MATCH($A23,Base!$A:$A,0)),IF(HK$1=INDEX('Valo FX'!$R:$R,MATCH($A23,'Valo FX'!$A:$A,0)),INDEX(Base!$V:$V,MATCH($A23,Base!$A:$A,0)),0)))</f>
        <v>12.012828000000001</v>
      </c>
      <c r="HL23" s="21">
        <f>IF(HL$1&lt;INDEX('Valo FX'!$Q:$Q,MATCH($A23,'Valo FX'!$A:$A,0)),0,IF(HL$1&lt;INDEX('Valo FX'!$R:$R,MATCH($A23,'Valo FX'!$A:$A,0)),INDEX(Base!$U:$U,MATCH($A23,Base!$A:$A,0)),IF(HL$1=INDEX('Valo FX'!$R:$R,MATCH($A23,'Valo FX'!$A:$A,0)),INDEX(Base!$V:$V,MATCH($A23,Base!$A:$A,0)),0)))</f>
        <v>12.012828000000001</v>
      </c>
      <c r="HM23" s="21">
        <f>IF(HM$1&lt;INDEX('Valo FX'!$Q:$Q,MATCH($A23,'Valo FX'!$A:$A,0)),0,IF(HM$1&lt;INDEX('Valo FX'!$R:$R,MATCH($A23,'Valo FX'!$A:$A,0)),INDEX(Base!$U:$U,MATCH($A23,Base!$A:$A,0)),IF(HM$1=INDEX('Valo FX'!$R:$R,MATCH($A23,'Valo FX'!$A:$A,0)),INDEX(Base!$V:$V,MATCH($A23,Base!$A:$A,0)),0)))</f>
        <v>12.012828000000001</v>
      </c>
      <c r="HN23" s="21">
        <f>IF(HN$1&lt;INDEX('Valo FX'!$Q:$Q,MATCH($A23,'Valo FX'!$A:$A,0)),0,IF(HN$1&lt;INDEX('Valo FX'!$R:$R,MATCH($A23,'Valo FX'!$A:$A,0)),INDEX(Base!$U:$U,MATCH($A23,Base!$A:$A,0)),IF(HN$1=INDEX('Valo FX'!$R:$R,MATCH($A23,'Valo FX'!$A:$A,0)),INDEX(Base!$V:$V,MATCH($A23,Base!$A:$A,0)),0)))</f>
        <v>12.012828000000001</v>
      </c>
      <c r="HO23" s="21">
        <f>IF(HO$1&lt;INDEX('Valo FX'!$Q:$Q,MATCH($A23,'Valo FX'!$A:$A,0)),0,IF(HO$1&lt;INDEX('Valo FX'!$R:$R,MATCH($A23,'Valo FX'!$A:$A,0)),INDEX(Base!$U:$U,MATCH($A23,Base!$A:$A,0)),IF(HO$1=INDEX('Valo FX'!$R:$R,MATCH($A23,'Valo FX'!$A:$A,0)),INDEX(Base!$V:$V,MATCH($A23,Base!$A:$A,0)),0)))</f>
        <v>12.012828000000001</v>
      </c>
      <c r="HP23" s="21">
        <f>IF(HP$1&lt;INDEX('Valo FX'!$Q:$Q,MATCH($A23,'Valo FX'!$A:$A,0)),0,IF(HP$1&lt;INDEX('Valo FX'!$R:$R,MATCH($A23,'Valo FX'!$A:$A,0)),INDEX(Base!$U:$U,MATCH($A23,Base!$A:$A,0)),IF(HP$1=INDEX('Valo FX'!$R:$R,MATCH($A23,'Valo FX'!$A:$A,0)),INDEX(Base!$V:$V,MATCH($A23,Base!$A:$A,0)),0)))</f>
        <v>12.012828000000001</v>
      </c>
      <c r="HQ23" s="21">
        <f>IF(HQ$1&lt;INDEX('Valo FX'!$Q:$Q,MATCH($A23,'Valo FX'!$A:$A,0)),0,IF(HQ$1&lt;INDEX('Valo FX'!$R:$R,MATCH($A23,'Valo FX'!$A:$A,0)),INDEX(Base!$U:$U,MATCH($A23,Base!$A:$A,0)),IF(HQ$1=INDEX('Valo FX'!$R:$R,MATCH($A23,'Valo FX'!$A:$A,0)),INDEX(Base!$V:$V,MATCH($A23,Base!$A:$A,0)),0)))</f>
        <v>12.012828000000001</v>
      </c>
      <c r="HR23" s="21">
        <f>IF(HR$1&lt;INDEX('Valo FX'!$Q:$Q,MATCH($A23,'Valo FX'!$A:$A,0)),0,IF(HR$1&lt;INDEX('Valo FX'!$R:$R,MATCH($A23,'Valo FX'!$A:$A,0)),INDEX(Base!$U:$U,MATCH($A23,Base!$A:$A,0)),IF(HR$1=INDEX('Valo FX'!$R:$R,MATCH($A23,'Valo FX'!$A:$A,0)),INDEX(Base!$V:$V,MATCH($A23,Base!$A:$A,0)),0)))</f>
        <v>12.012828000000001</v>
      </c>
      <c r="HS23" s="21">
        <f>IF(HS$1&lt;INDEX('Valo FX'!$Q:$Q,MATCH($A23,'Valo FX'!$A:$A,0)),0,IF(HS$1&lt;INDEX('Valo FX'!$R:$R,MATCH($A23,'Valo FX'!$A:$A,0)),INDEX(Base!$U:$U,MATCH($A23,Base!$A:$A,0)),IF(HS$1=INDEX('Valo FX'!$R:$R,MATCH($A23,'Valo FX'!$A:$A,0)),INDEX(Base!$V:$V,MATCH($A23,Base!$A:$A,0)),0)))</f>
        <v>12.012828000000001</v>
      </c>
      <c r="HT23" s="21">
        <f>IF(HT$1&lt;INDEX('Valo FX'!$Q:$Q,MATCH($A23,'Valo FX'!$A:$A,0)),0,IF(HT$1&lt;INDEX('Valo FX'!$R:$R,MATCH($A23,'Valo FX'!$A:$A,0)),INDEX(Base!$U:$U,MATCH($A23,Base!$A:$A,0)),IF(HT$1=INDEX('Valo FX'!$R:$R,MATCH($A23,'Valo FX'!$A:$A,0)),INDEX(Base!$V:$V,MATCH($A23,Base!$A:$A,0)),0)))</f>
        <v>12.012828000000001</v>
      </c>
      <c r="HU23" s="21">
        <f>IF(HU$1&lt;INDEX('Valo FX'!$Q:$Q,MATCH($A23,'Valo FX'!$A:$A,0)),0,IF(HU$1&lt;INDEX('Valo FX'!$R:$R,MATCH($A23,'Valo FX'!$A:$A,0)),INDEX(Base!$U:$U,MATCH($A23,Base!$A:$A,0)),IF(HU$1=INDEX('Valo FX'!$R:$R,MATCH($A23,'Valo FX'!$A:$A,0)),INDEX(Base!$V:$V,MATCH($A23,Base!$A:$A,0)),0)))</f>
        <v>12.012828000000001</v>
      </c>
      <c r="HV23" s="21">
        <f>IF(HV$1&lt;INDEX('Valo FX'!$Q:$Q,MATCH($A23,'Valo FX'!$A:$A,0)),0,IF(HV$1&lt;INDEX('Valo FX'!$R:$R,MATCH($A23,'Valo FX'!$A:$A,0)),INDEX(Base!$U:$U,MATCH($A23,Base!$A:$A,0)),IF(HV$1=INDEX('Valo FX'!$R:$R,MATCH($A23,'Valo FX'!$A:$A,0)),INDEX(Base!$V:$V,MATCH($A23,Base!$A:$A,0)),0)))</f>
        <v>12.012828000000001</v>
      </c>
      <c r="HW23" s="21">
        <f>IF(HW$1&lt;INDEX('Valo FX'!$Q:$Q,MATCH($A23,'Valo FX'!$A:$A,0)),0,IF(HW$1&lt;INDEX('Valo FX'!$R:$R,MATCH($A23,'Valo FX'!$A:$A,0)),INDEX(Base!$U:$U,MATCH($A23,Base!$A:$A,0)),IF(HW$1=INDEX('Valo FX'!$R:$R,MATCH($A23,'Valo FX'!$A:$A,0)),INDEX(Base!$V:$V,MATCH($A23,Base!$A:$A,0)),0)))</f>
        <v>12.012828000000001</v>
      </c>
      <c r="HX23" s="21">
        <f>IF(HX$1&lt;INDEX('Valo FX'!$Q:$Q,MATCH($A23,'Valo FX'!$A:$A,0)),0,IF(HX$1&lt;INDEX('Valo FX'!$R:$R,MATCH($A23,'Valo FX'!$A:$A,0)),INDEX(Base!$U:$U,MATCH($A23,Base!$A:$A,0)),IF(HX$1=INDEX('Valo FX'!$R:$R,MATCH($A23,'Valo FX'!$A:$A,0)),INDEX(Base!$V:$V,MATCH($A23,Base!$A:$A,0)),0)))</f>
        <v>12.012828000000001</v>
      </c>
      <c r="HY23" s="21">
        <f>IF(HY$1&lt;INDEX('Valo FX'!$Q:$Q,MATCH($A23,'Valo FX'!$A:$A,0)),0,IF(HY$1&lt;INDEX('Valo FX'!$R:$R,MATCH($A23,'Valo FX'!$A:$A,0)),INDEX(Base!$U:$U,MATCH($A23,Base!$A:$A,0)),IF(HY$1=INDEX('Valo FX'!$R:$R,MATCH($A23,'Valo FX'!$A:$A,0)),INDEX(Base!$V:$V,MATCH($A23,Base!$A:$A,0)),0)))</f>
        <v>12.012828000000001</v>
      </c>
      <c r="HZ23" s="21">
        <f>IF(HZ$1&lt;INDEX('Valo FX'!$Q:$Q,MATCH($A23,'Valo FX'!$A:$A,0)),0,IF(HZ$1&lt;INDEX('Valo FX'!$R:$R,MATCH($A23,'Valo FX'!$A:$A,0)),INDEX(Base!$U:$U,MATCH($A23,Base!$A:$A,0)),IF(HZ$1=INDEX('Valo FX'!$R:$R,MATCH($A23,'Valo FX'!$A:$A,0)),INDEX(Base!$V:$V,MATCH($A23,Base!$A:$A,0)),0)))</f>
        <v>12.012828000000001</v>
      </c>
      <c r="IA23" s="21">
        <f>IF(IA$1&lt;INDEX('Valo FX'!$Q:$Q,MATCH($A23,'Valo FX'!$A:$A,0)),0,IF(IA$1&lt;INDEX('Valo FX'!$R:$R,MATCH($A23,'Valo FX'!$A:$A,0)),INDEX(Base!$U:$U,MATCH($A23,Base!$A:$A,0)),IF(IA$1=INDEX('Valo FX'!$R:$R,MATCH($A23,'Valo FX'!$A:$A,0)),INDEX(Base!$V:$V,MATCH($A23,Base!$A:$A,0)),0)))</f>
        <v>12.012828000000001</v>
      </c>
      <c r="IB23" s="21">
        <f>IF(IB$1&lt;INDEX('Valo FX'!$Q:$Q,MATCH($A23,'Valo FX'!$A:$A,0)),0,IF(IB$1&lt;INDEX('Valo FX'!$R:$R,MATCH($A23,'Valo FX'!$A:$A,0)),INDEX(Base!$U:$U,MATCH($A23,Base!$A:$A,0)),IF(IB$1=INDEX('Valo FX'!$R:$R,MATCH($A23,'Valo FX'!$A:$A,0)),INDEX(Base!$V:$V,MATCH($A23,Base!$A:$A,0)),0)))</f>
        <v>12.012828000000001</v>
      </c>
      <c r="IC23" s="21">
        <f>IF(IC$1&lt;INDEX('Valo FX'!$Q:$Q,MATCH($A23,'Valo FX'!$A:$A,0)),0,IF(IC$1&lt;INDEX('Valo FX'!$R:$R,MATCH($A23,'Valo FX'!$A:$A,0)),INDEX(Base!$U:$U,MATCH($A23,Base!$A:$A,0)),IF(IC$1=INDEX('Valo FX'!$R:$R,MATCH($A23,'Valo FX'!$A:$A,0)),INDEX(Base!$V:$V,MATCH($A23,Base!$A:$A,0)),0)))</f>
        <v>12.012828000000001</v>
      </c>
      <c r="ID23" s="21">
        <f>IF(ID$1&lt;INDEX('Valo FX'!$Q:$Q,MATCH($A23,'Valo FX'!$A:$A,0)),0,IF(ID$1&lt;INDEX('Valo FX'!$R:$R,MATCH($A23,'Valo FX'!$A:$A,0)),INDEX(Base!$U:$U,MATCH($A23,Base!$A:$A,0)),IF(ID$1=INDEX('Valo FX'!$R:$R,MATCH($A23,'Valo FX'!$A:$A,0)),INDEX(Base!$V:$V,MATCH($A23,Base!$A:$A,0)),0)))</f>
        <v>12.012828000000001</v>
      </c>
      <c r="IE23" s="21">
        <f>IF(IE$1&lt;INDEX('Valo FX'!$Q:$Q,MATCH($A23,'Valo FX'!$A:$A,0)),0,IF(IE$1&lt;INDEX('Valo FX'!$R:$R,MATCH($A23,'Valo FX'!$A:$A,0)),INDEX(Base!$U:$U,MATCH($A23,Base!$A:$A,0)),IF(IE$1=INDEX('Valo FX'!$R:$R,MATCH($A23,'Valo FX'!$A:$A,0)),INDEX(Base!$V:$V,MATCH($A23,Base!$A:$A,0)),0)))</f>
        <v>12.012828000000001</v>
      </c>
      <c r="IF23" s="21">
        <f>IF(IF$1&lt;INDEX('Valo FX'!$Q:$Q,MATCH($A23,'Valo FX'!$A:$A,0)),0,IF(IF$1&lt;INDEX('Valo FX'!$R:$R,MATCH($A23,'Valo FX'!$A:$A,0)),INDEX(Base!$U:$U,MATCH($A23,Base!$A:$A,0)),IF(IF$1=INDEX('Valo FX'!$R:$R,MATCH($A23,'Valo FX'!$A:$A,0)),INDEX(Base!$V:$V,MATCH($A23,Base!$A:$A,0)),0)))</f>
        <v>12.012828000000001</v>
      </c>
      <c r="IG23" s="21">
        <f>IF(IG$1&lt;INDEX('Valo FX'!$Q:$Q,MATCH($A23,'Valo FX'!$A:$A,0)),0,IF(IG$1&lt;INDEX('Valo FX'!$R:$R,MATCH($A23,'Valo FX'!$A:$A,0)),INDEX(Base!$U:$U,MATCH($A23,Base!$A:$A,0)),IF(IG$1=INDEX('Valo FX'!$R:$R,MATCH($A23,'Valo FX'!$A:$A,0)),INDEX(Base!$V:$V,MATCH($A23,Base!$A:$A,0)),0)))</f>
        <v>12.012828000000001</v>
      </c>
      <c r="IH23" s="21">
        <f>IF(IH$1&lt;INDEX('Valo FX'!$Q:$Q,MATCH($A23,'Valo FX'!$A:$A,0)),0,IF(IH$1&lt;INDEX('Valo FX'!$R:$R,MATCH($A23,'Valo FX'!$A:$A,0)),INDEX(Base!$U:$U,MATCH($A23,Base!$A:$A,0)),IF(IH$1=INDEX('Valo FX'!$R:$R,MATCH($A23,'Valo FX'!$A:$A,0)),INDEX(Base!$V:$V,MATCH($A23,Base!$A:$A,0)),0)))</f>
        <v>12.012828000000001</v>
      </c>
      <c r="II23" s="21">
        <f>IF(II$1&lt;INDEX('Valo FX'!$Q:$Q,MATCH($A23,'Valo FX'!$A:$A,0)),0,IF(II$1&lt;INDEX('Valo FX'!$R:$R,MATCH($A23,'Valo FX'!$A:$A,0)),INDEX(Base!$U:$U,MATCH($A23,Base!$A:$A,0)),IF(II$1=INDEX('Valo FX'!$R:$R,MATCH($A23,'Valo FX'!$A:$A,0)),INDEX(Base!$V:$V,MATCH($A23,Base!$A:$A,0)),0)))</f>
        <v>12.012828000000001</v>
      </c>
      <c r="IJ23" s="21">
        <f>IF(IJ$1&lt;INDEX('Valo FX'!$Q:$Q,MATCH($A23,'Valo FX'!$A:$A,0)),0,IF(IJ$1&lt;INDEX('Valo FX'!$R:$R,MATCH($A23,'Valo FX'!$A:$A,0)),INDEX(Base!$U:$U,MATCH($A23,Base!$A:$A,0)),IF(IJ$1=INDEX('Valo FX'!$R:$R,MATCH($A23,'Valo FX'!$A:$A,0)),INDEX(Base!$V:$V,MATCH($A23,Base!$A:$A,0)),0)))</f>
        <v>12.012828000000001</v>
      </c>
      <c r="IK23" s="21">
        <f>IF(IK$1&lt;INDEX('Valo FX'!$Q:$Q,MATCH($A23,'Valo FX'!$A:$A,0)),0,IF(IK$1&lt;INDEX('Valo FX'!$R:$R,MATCH($A23,'Valo FX'!$A:$A,0)),INDEX(Base!$U:$U,MATCH($A23,Base!$A:$A,0)),IF(IK$1=INDEX('Valo FX'!$R:$R,MATCH($A23,'Valo FX'!$A:$A,0)),INDEX(Base!$V:$V,MATCH($A23,Base!$A:$A,0)),0)))</f>
        <v>12.012828000000001</v>
      </c>
      <c r="IL23" s="21">
        <f>IF(IL$1&lt;INDEX('Valo FX'!$Q:$Q,MATCH($A23,'Valo FX'!$A:$A,0)),0,IF(IL$1&lt;INDEX('Valo FX'!$R:$R,MATCH($A23,'Valo FX'!$A:$A,0)),INDEX(Base!$U:$U,MATCH($A23,Base!$A:$A,0)),IF(IL$1=INDEX('Valo FX'!$R:$R,MATCH($A23,'Valo FX'!$A:$A,0)),INDEX(Base!$V:$V,MATCH($A23,Base!$A:$A,0)),0)))</f>
        <v>12.012828000000001</v>
      </c>
      <c r="IM23" s="21">
        <f>IF(IM$1&lt;INDEX('Valo FX'!$Q:$Q,MATCH($A23,'Valo FX'!$A:$A,0)),0,IF(IM$1&lt;INDEX('Valo FX'!$R:$R,MATCH($A23,'Valo FX'!$A:$A,0)),INDEX(Base!$U:$U,MATCH($A23,Base!$A:$A,0)),IF(IM$1=INDEX('Valo FX'!$R:$R,MATCH($A23,'Valo FX'!$A:$A,0)),INDEX(Base!$V:$V,MATCH($A23,Base!$A:$A,0)),0)))</f>
        <v>12.012828000000001</v>
      </c>
      <c r="IN23" s="21">
        <f>IF(IN$1&lt;INDEX('Valo FX'!$Q:$Q,MATCH($A23,'Valo FX'!$A:$A,0)),0,IF(IN$1&lt;INDEX('Valo FX'!$R:$R,MATCH($A23,'Valo FX'!$A:$A,0)),INDEX(Base!$U:$U,MATCH($A23,Base!$A:$A,0)),IF(IN$1=INDEX('Valo FX'!$R:$R,MATCH($A23,'Valo FX'!$A:$A,0)),INDEX(Base!$V:$V,MATCH($A23,Base!$A:$A,0)),0)))</f>
        <v>12.012828000000001</v>
      </c>
      <c r="IO23" s="21">
        <f>IF(IO$1&lt;INDEX('Valo FX'!$Q:$Q,MATCH($A23,'Valo FX'!$A:$A,0)),0,IF(IO$1&lt;INDEX('Valo FX'!$R:$R,MATCH($A23,'Valo FX'!$A:$A,0)),INDEX(Base!$U:$U,MATCH($A23,Base!$A:$A,0)),IF(IO$1=INDEX('Valo FX'!$R:$R,MATCH($A23,'Valo FX'!$A:$A,0)),INDEX(Base!$V:$V,MATCH($A23,Base!$A:$A,0)),0)))</f>
        <v>12.012828000000001</v>
      </c>
      <c r="IP23" s="21">
        <f>IF(IP$1&lt;INDEX('Valo FX'!$Q:$Q,MATCH($A23,'Valo FX'!$A:$A,0)),0,IF(IP$1&lt;INDEX('Valo FX'!$R:$R,MATCH($A23,'Valo FX'!$A:$A,0)),INDEX(Base!$U:$U,MATCH($A23,Base!$A:$A,0)),IF(IP$1=INDEX('Valo FX'!$R:$R,MATCH($A23,'Valo FX'!$A:$A,0)),INDEX(Base!$V:$V,MATCH($A23,Base!$A:$A,0)),0)))</f>
        <v>12.012828000000001</v>
      </c>
      <c r="IQ23" s="21">
        <f>IF(IQ$1&lt;INDEX('Valo FX'!$Q:$Q,MATCH($A23,'Valo FX'!$A:$A,0)),0,IF(IQ$1&lt;INDEX('Valo FX'!$R:$R,MATCH($A23,'Valo FX'!$A:$A,0)),INDEX(Base!$U:$U,MATCH($A23,Base!$A:$A,0)),IF(IQ$1=INDEX('Valo FX'!$R:$R,MATCH($A23,'Valo FX'!$A:$A,0)),INDEX(Base!$V:$V,MATCH($A23,Base!$A:$A,0)),0)))</f>
        <v>12.012828000000001</v>
      </c>
      <c r="IR23" s="21">
        <f>IF(IR$1&lt;INDEX('Valo FX'!$Q:$Q,MATCH($A23,'Valo FX'!$A:$A,0)),0,IF(IR$1&lt;INDEX('Valo FX'!$R:$R,MATCH($A23,'Valo FX'!$A:$A,0)),INDEX(Base!$U:$U,MATCH($A23,Base!$A:$A,0)),IF(IR$1=INDEX('Valo FX'!$R:$R,MATCH($A23,'Valo FX'!$A:$A,0)),INDEX(Base!$V:$V,MATCH($A23,Base!$A:$A,0)),0)))</f>
        <v>12.012828000000001</v>
      </c>
      <c r="IS23" s="21">
        <f>IF(IS$1&lt;INDEX('Valo FX'!$Q:$Q,MATCH($A23,'Valo FX'!$A:$A,0)),0,IF(IS$1&lt;INDEX('Valo FX'!$R:$R,MATCH($A23,'Valo FX'!$A:$A,0)),INDEX(Base!$U:$U,MATCH($A23,Base!$A:$A,0)),IF(IS$1=INDEX('Valo FX'!$R:$R,MATCH($A23,'Valo FX'!$A:$A,0)),INDEX(Base!$V:$V,MATCH($A23,Base!$A:$A,0)),0)))</f>
        <v>12.012828000000001</v>
      </c>
      <c r="IT23" s="21">
        <f>IF(IT$1&lt;INDEX('Valo FX'!$Q:$Q,MATCH($A23,'Valo FX'!$A:$A,0)),0,IF(IT$1&lt;INDEX('Valo FX'!$R:$R,MATCH($A23,'Valo FX'!$A:$A,0)),INDEX(Base!$U:$U,MATCH($A23,Base!$A:$A,0)),IF(IT$1=INDEX('Valo FX'!$R:$R,MATCH($A23,'Valo FX'!$A:$A,0)),INDEX(Base!$V:$V,MATCH($A23,Base!$A:$A,0)),0)))</f>
        <v>12.012828000000001</v>
      </c>
      <c r="IU23" s="21">
        <f>IF(IU$1&lt;INDEX('Valo FX'!$Q:$Q,MATCH($A23,'Valo FX'!$A:$A,0)),0,IF(IU$1&lt;INDEX('Valo FX'!$R:$R,MATCH($A23,'Valo FX'!$A:$A,0)),INDEX(Base!$U:$U,MATCH($A23,Base!$A:$A,0)),IF(IU$1=INDEX('Valo FX'!$R:$R,MATCH($A23,'Valo FX'!$A:$A,0)),INDEX(Base!$V:$V,MATCH($A23,Base!$A:$A,0)),0)))</f>
        <v>12.012828000000001</v>
      </c>
      <c r="IV23" s="21">
        <f>IF(IV$1&lt;INDEX('Valo FX'!$Q:$Q,MATCH($A23,'Valo FX'!$A:$A,0)),0,IF(IV$1&lt;INDEX('Valo FX'!$R:$R,MATCH($A23,'Valo FX'!$A:$A,0)),INDEX(Base!$U:$U,MATCH($A23,Base!$A:$A,0)),IF(IV$1=INDEX('Valo FX'!$R:$R,MATCH($A23,'Valo FX'!$A:$A,0)),INDEX(Base!$V:$V,MATCH($A23,Base!$A:$A,0)),0)))</f>
        <v>12.012828000000001</v>
      </c>
      <c r="IW23" s="21">
        <f>IF(IW$1&lt;INDEX('Valo FX'!$Q:$Q,MATCH($A23,'Valo FX'!$A:$A,0)),0,IF(IW$1&lt;INDEX('Valo FX'!$R:$R,MATCH($A23,'Valo FX'!$A:$A,0)),INDEX(Base!$U:$U,MATCH($A23,Base!$A:$A,0)),IF(IW$1=INDEX('Valo FX'!$R:$R,MATCH($A23,'Valo FX'!$A:$A,0)),INDEX(Base!$V:$V,MATCH($A23,Base!$A:$A,0)),0)))</f>
        <v>12.012828000000001</v>
      </c>
      <c r="IX23" s="21">
        <f>IF(IX$1&lt;INDEX('Valo FX'!$Q:$Q,MATCH($A23,'Valo FX'!$A:$A,0)),0,IF(IX$1&lt;INDEX('Valo FX'!$R:$R,MATCH($A23,'Valo FX'!$A:$A,0)),INDEX(Base!$U:$U,MATCH($A23,Base!$A:$A,0)),IF(IX$1=INDEX('Valo FX'!$R:$R,MATCH($A23,'Valo FX'!$A:$A,0)),INDEX(Base!$V:$V,MATCH($A23,Base!$A:$A,0)),0)))</f>
        <v>12.012828000000001</v>
      </c>
      <c r="IY23" s="21">
        <f>IF(IY$1&lt;INDEX('Valo FX'!$Q:$Q,MATCH($A23,'Valo FX'!$A:$A,0)),0,IF(IY$1&lt;INDEX('Valo FX'!$R:$R,MATCH($A23,'Valo FX'!$A:$A,0)),INDEX(Base!$U:$U,MATCH($A23,Base!$A:$A,0)),IF(IY$1=INDEX('Valo FX'!$R:$R,MATCH($A23,'Valo FX'!$A:$A,0)),INDEX(Base!$V:$V,MATCH($A23,Base!$A:$A,0)),0)))</f>
        <v>12.012828000000001</v>
      </c>
      <c r="IZ23" s="21">
        <f>IF(IZ$1&lt;INDEX('Valo FX'!$Q:$Q,MATCH($A23,'Valo FX'!$A:$A,0)),0,IF(IZ$1&lt;INDEX('Valo FX'!$R:$R,MATCH($A23,'Valo FX'!$A:$A,0)),INDEX(Base!$U:$U,MATCH($A23,Base!$A:$A,0)),IF(IZ$1=INDEX('Valo FX'!$R:$R,MATCH($A23,'Valo FX'!$A:$A,0)),INDEX(Base!$V:$V,MATCH($A23,Base!$A:$A,0)),0)))</f>
        <v>12.012828000000001</v>
      </c>
      <c r="JA23" s="21">
        <f>IF(JA$1&lt;INDEX('Valo FX'!$Q:$Q,MATCH($A23,'Valo FX'!$A:$A,0)),0,IF(JA$1&lt;INDEX('Valo FX'!$R:$R,MATCH($A23,'Valo FX'!$A:$A,0)),INDEX(Base!$U:$U,MATCH($A23,Base!$A:$A,0)),IF(JA$1=INDEX('Valo FX'!$R:$R,MATCH($A23,'Valo FX'!$A:$A,0)),INDEX(Base!$V:$V,MATCH($A23,Base!$A:$A,0)),0)))</f>
        <v>12.012828000000001</v>
      </c>
      <c r="JB23" s="21">
        <f>IF(JB$1&lt;INDEX('Valo FX'!$Q:$Q,MATCH($A23,'Valo FX'!$A:$A,0)),0,IF(JB$1&lt;INDEX('Valo FX'!$R:$R,MATCH($A23,'Valo FX'!$A:$A,0)),INDEX(Base!$U:$U,MATCH($A23,Base!$A:$A,0)),IF(JB$1=INDEX('Valo FX'!$R:$R,MATCH($A23,'Valo FX'!$A:$A,0)),INDEX(Base!$V:$V,MATCH($A23,Base!$A:$A,0)),0)))</f>
        <v>12.012828000000001</v>
      </c>
      <c r="JC23" s="21">
        <f>IF(JC$1&lt;INDEX('Valo FX'!$Q:$Q,MATCH($A23,'Valo FX'!$A:$A,0)),0,IF(JC$1&lt;INDEX('Valo FX'!$R:$R,MATCH($A23,'Valo FX'!$A:$A,0)),INDEX(Base!$U:$U,MATCH($A23,Base!$A:$A,0)),IF(JC$1=INDEX('Valo FX'!$R:$R,MATCH($A23,'Valo FX'!$A:$A,0)),INDEX(Base!$V:$V,MATCH($A23,Base!$A:$A,0)),0)))</f>
        <v>12.012828000000001</v>
      </c>
      <c r="JD23" s="21">
        <f>IF(JD$1&lt;INDEX('Valo FX'!$Q:$Q,MATCH($A23,'Valo FX'!$A:$A,0)),0,IF(JD$1&lt;INDEX('Valo FX'!$R:$R,MATCH($A23,'Valo FX'!$A:$A,0)),INDEX(Base!$U:$U,MATCH($A23,Base!$A:$A,0)),IF(JD$1=INDEX('Valo FX'!$R:$R,MATCH($A23,'Valo FX'!$A:$A,0)),INDEX(Base!$V:$V,MATCH($A23,Base!$A:$A,0)),0)))</f>
        <v>12.012828000000001</v>
      </c>
      <c r="JE23" s="21">
        <f>IF(JE$1&lt;INDEX('Valo FX'!$Q:$Q,MATCH($A23,'Valo FX'!$A:$A,0)),0,IF(JE$1&lt;INDEX('Valo FX'!$R:$R,MATCH($A23,'Valo FX'!$A:$A,0)),INDEX(Base!$U:$U,MATCH($A23,Base!$A:$A,0)),IF(JE$1=INDEX('Valo FX'!$R:$R,MATCH($A23,'Valo FX'!$A:$A,0)),INDEX(Base!$V:$V,MATCH($A23,Base!$A:$A,0)),0)))</f>
        <v>12.012828000000001</v>
      </c>
      <c r="JF23" s="21">
        <f>IF(JF$1&lt;INDEX('Valo FX'!$Q:$Q,MATCH($A23,'Valo FX'!$A:$A,0)),0,IF(JF$1&lt;INDEX('Valo FX'!$R:$R,MATCH($A23,'Valo FX'!$A:$A,0)),INDEX(Base!$U:$U,MATCH($A23,Base!$A:$A,0)),IF(JF$1=INDEX('Valo FX'!$R:$R,MATCH($A23,'Valo FX'!$A:$A,0)),INDEX(Base!$V:$V,MATCH($A23,Base!$A:$A,0)),0)))</f>
        <v>12.012828000000001</v>
      </c>
      <c r="JG23" s="21">
        <f>IF(JG$1&lt;INDEX('Valo FX'!$Q:$Q,MATCH($A23,'Valo FX'!$A:$A,0)),0,IF(JG$1&lt;INDEX('Valo FX'!$R:$R,MATCH($A23,'Valo FX'!$A:$A,0)),INDEX(Base!$U:$U,MATCH($A23,Base!$A:$A,0)),IF(JG$1=INDEX('Valo FX'!$R:$R,MATCH($A23,'Valo FX'!$A:$A,0)),INDEX(Base!$V:$V,MATCH($A23,Base!$A:$A,0)),0)))</f>
        <v>12.012828000000001</v>
      </c>
      <c r="JH23" s="21">
        <f>IF(JH$1&lt;INDEX('Valo FX'!$Q:$Q,MATCH($A23,'Valo FX'!$A:$A,0)),0,IF(JH$1&lt;INDEX('Valo FX'!$R:$R,MATCH($A23,'Valo FX'!$A:$A,0)),INDEX(Base!$U:$U,MATCH($A23,Base!$A:$A,0)),IF(JH$1=INDEX('Valo FX'!$R:$R,MATCH($A23,'Valo FX'!$A:$A,0)),INDEX(Base!$V:$V,MATCH($A23,Base!$A:$A,0)),0)))</f>
        <v>12.012828000000001</v>
      </c>
      <c r="JI23" s="21">
        <f>IF(JI$1&lt;INDEX('Valo FX'!$Q:$Q,MATCH($A23,'Valo FX'!$A:$A,0)),0,IF(JI$1&lt;INDEX('Valo FX'!$R:$R,MATCH($A23,'Valo FX'!$A:$A,0)),INDEX(Base!$U:$U,MATCH($A23,Base!$A:$A,0)),IF(JI$1=INDEX('Valo FX'!$R:$R,MATCH($A23,'Valo FX'!$A:$A,0)),INDEX(Base!$V:$V,MATCH($A23,Base!$A:$A,0)),0)))</f>
        <v>12.012828000000001</v>
      </c>
      <c r="JJ23" s="21">
        <f>IF(JJ$1&lt;INDEX('Valo FX'!$Q:$Q,MATCH($A23,'Valo FX'!$A:$A,0)),0,IF(JJ$1&lt;INDEX('Valo FX'!$R:$R,MATCH($A23,'Valo FX'!$A:$A,0)),INDEX(Base!$U:$U,MATCH($A23,Base!$A:$A,0)),IF(JJ$1=INDEX('Valo FX'!$R:$R,MATCH($A23,'Valo FX'!$A:$A,0)),INDEX(Base!$V:$V,MATCH($A23,Base!$A:$A,0)),0)))</f>
        <v>12.012828000000001</v>
      </c>
      <c r="JK23" s="21">
        <f>IF(JK$1&lt;INDEX('Valo FX'!$Q:$Q,MATCH($A23,'Valo FX'!$A:$A,0)),0,IF(JK$1&lt;INDEX('Valo FX'!$R:$R,MATCH($A23,'Valo FX'!$A:$A,0)),INDEX(Base!$U:$U,MATCH($A23,Base!$A:$A,0)),IF(JK$1=INDEX('Valo FX'!$R:$R,MATCH($A23,'Valo FX'!$A:$A,0)),INDEX(Base!$V:$V,MATCH($A23,Base!$A:$A,0)),0)))</f>
        <v>12.012828000000001</v>
      </c>
      <c r="JL23" s="21">
        <f>IF(JL$1&lt;INDEX('Valo FX'!$Q:$Q,MATCH($A23,'Valo FX'!$A:$A,0)),0,IF(JL$1&lt;INDEX('Valo FX'!$R:$R,MATCH($A23,'Valo FX'!$A:$A,0)),INDEX(Base!$U:$U,MATCH($A23,Base!$A:$A,0)),IF(JL$1=INDEX('Valo FX'!$R:$R,MATCH($A23,'Valo FX'!$A:$A,0)),INDEX(Base!$V:$V,MATCH($A23,Base!$A:$A,0)),0)))</f>
        <v>12.012828000000001</v>
      </c>
      <c r="JM23" s="21">
        <f>IF(JM$1&lt;INDEX('Valo FX'!$Q:$Q,MATCH($A23,'Valo FX'!$A:$A,0)),0,IF(JM$1&lt;INDEX('Valo FX'!$R:$R,MATCH($A23,'Valo FX'!$A:$A,0)),INDEX(Base!$U:$U,MATCH($A23,Base!$A:$A,0)),IF(JM$1=INDEX('Valo FX'!$R:$R,MATCH($A23,'Valo FX'!$A:$A,0)),INDEX(Base!$V:$V,MATCH($A23,Base!$A:$A,0)),0)))</f>
        <v>12.012828000000001</v>
      </c>
      <c r="JN23" s="21">
        <f>IF(JN$1&lt;INDEX('Valo FX'!$Q:$Q,MATCH($A23,'Valo FX'!$A:$A,0)),0,IF(JN$1&lt;INDEX('Valo FX'!$R:$R,MATCH($A23,'Valo FX'!$A:$A,0)),INDEX(Base!$U:$U,MATCH($A23,Base!$A:$A,0)),IF(JN$1=INDEX('Valo FX'!$R:$R,MATCH($A23,'Valo FX'!$A:$A,0)),INDEX(Base!$V:$V,MATCH($A23,Base!$A:$A,0)),0)))</f>
        <v>12.012828000000001</v>
      </c>
      <c r="JO23" s="21">
        <f>IF(JO$1&lt;INDEX('Valo FX'!$Q:$Q,MATCH($A23,'Valo FX'!$A:$A,0)),0,IF(JO$1&lt;INDEX('Valo FX'!$R:$R,MATCH($A23,'Valo FX'!$A:$A,0)),INDEX(Base!$U:$U,MATCH($A23,Base!$A:$A,0)),IF(JO$1=INDEX('Valo FX'!$R:$R,MATCH($A23,'Valo FX'!$A:$A,0)),INDEX(Base!$V:$V,MATCH($A23,Base!$A:$A,0)),0)))</f>
        <v>12.012828000000001</v>
      </c>
      <c r="JP23" s="21">
        <f>IF(JP$1&lt;INDEX('Valo FX'!$Q:$Q,MATCH($A23,'Valo FX'!$A:$A,0)),0,IF(JP$1&lt;INDEX('Valo FX'!$R:$R,MATCH($A23,'Valo FX'!$A:$A,0)),INDEX(Base!$U:$U,MATCH($A23,Base!$A:$A,0)),IF(JP$1=INDEX('Valo FX'!$R:$R,MATCH($A23,'Valo FX'!$A:$A,0)),INDEX(Base!$V:$V,MATCH($A23,Base!$A:$A,0)),0)))</f>
        <v>12.012828000000001</v>
      </c>
      <c r="JQ23" s="21">
        <f>IF(JQ$1&lt;INDEX('Valo FX'!$Q:$Q,MATCH($A23,'Valo FX'!$A:$A,0)),0,IF(JQ$1&lt;INDEX('Valo FX'!$R:$R,MATCH($A23,'Valo FX'!$A:$A,0)),INDEX(Base!$U:$U,MATCH($A23,Base!$A:$A,0)),IF(JQ$1=INDEX('Valo FX'!$R:$R,MATCH($A23,'Valo FX'!$A:$A,0)),INDEX(Base!$V:$V,MATCH($A23,Base!$A:$A,0)),0)))</f>
        <v>12.012828000000001</v>
      </c>
      <c r="JR23" s="21">
        <f>IF(JR$1&lt;INDEX('Valo FX'!$Q:$Q,MATCH($A23,'Valo FX'!$A:$A,0)),0,IF(JR$1&lt;INDEX('Valo FX'!$R:$R,MATCH($A23,'Valo FX'!$A:$A,0)),INDEX(Base!$U:$U,MATCH($A23,Base!$A:$A,0)),IF(JR$1=INDEX('Valo FX'!$R:$R,MATCH($A23,'Valo FX'!$A:$A,0)),INDEX(Base!$V:$V,MATCH($A23,Base!$A:$A,0)),0)))</f>
        <v>12.012828000000001</v>
      </c>
      <c r="JS23" s="21">
        <f>IF(JS$1&lt;INDEX('Valo FX'!$Q:$Q,MATCH($A23,'Valo FX'!$A:$A,0)),0,IF(JS$1&lt;INDEX('Valo FX'!$R:$R,MATCH($A23,'Valo FX'!$A:$A,0)),INDEX(Base!$U:$U,MATCH($A23,Base!$A:$A,0)),IF(JS$1=INDEX('Valo FX'!$R:$R,MATCH($A23,'Valo FX'!$A:$A,0)),INDEX(Base!$V:$V,MATCH($A23,Base!$A:$A,0)),0)))</f>
        <v>12.012828000000001</v>
      </c>
      <c r="JT23" s="21">
        <f>IF(JT$1&lt;INDEX('Valo FX'!$Q:$Q,MATCH($A23,'Valo FX'!$A:$A,0)),0,IF(JT$1&lt;INDEX('Valo FX'!$R:$R,MATCH($A23,'Valo FX'!$A:$A,0)),INDEX(Base!$U:$U,MATCH($A23,Base!$A:$A,0)),IF(JT$1=INDEX('Valo FX'!$R:$R,MATCH($A23,'Valo FX'!$A:$A,0)),INDEX(Base!$V:$V,MATCH($A23,Base!$A:$A,0)),0)))</f>
        <v>12.012828000000001</v>
      </c>
      <c r="JU23" s="21">
        <f>IF(JU$1&lt;INDEX('Valo FX'!$Q:$Q,MATCH($A23,'Valo FX'!$A:$A,0)),0,IF(JU$1&lt;INDEX('Valo FX'!$R:$R,MATCH($A23,'Valo FX'!$A:$A,0)),INDEX(Base!$U:$U,MATCH($A23,Base!$A:$A,0)),IF(JU$1=INDEX('Valo FX'!$R:$R,MATCH($A23,'Valo FX'!$A:$A,0)),INDEX(Base!$V:$V,MATCH($A23,Base!$A:$A,0)),0)))</f>
        <v>12.012828000000001</v>
      </c>
      <c r="JV23" s="21">
        <f>IF(JV$1&lt;INDEX('Valo FX'!$Q:$Q,MATCH($A23,'Valo FX'!$A:$A,0)),0,IF(JV$1&lt;INDEX('Valo FX'!$R:$R,MATCH($A23,'Valo FX'!$A:$A,0)),INDEX(Base!$U:$U,MATCH($A23,Base!$A:$A,0)),IF(JV$1=INDEX('Valo FX'!$R:$R,MATCH($A23,'Valo FX'!$A:$A,0)),INDEX(Base!$V:$V,MATCH($A23,Base!$A:$A,0)),0)))</f>
        <v>12.012828000000001</v>
      </c>
      <c r="JW23" s="21">
        <f>IF(JW$1&lt;INDEX('Valo FX'!$Q:$Q,MATCH($A23,'Valo FX'!$A:$A,0)),0,IF(JW$1&lt;INDEX('Valo FX'!$R:$R,MATCH($A23,'Valo FX'!$A:$A,0)),INDEX(Base!$U:$U,MATCH($A23,Base!$A:$A,0)),IF(JW$1=INDEX('Valo FX'!$R:$R,MATCH($A23,'Valo FX'!$A:$A,0)),INDEX(Base!$V:$V,MATCH($A23,Base!$A:$A,0)),0)))</f>
        <v>12.012828000000001</v>
      </c>
      <c r="JX23" s="21">
        <f>IF(JX$1&lt;INDEX('Valo FX'!$Q:$Q,MATCH($A23,'Valo FX'!$A:$A,0)),0,IF(JX$1&lt;INDEX('Valo FX'!$R:$R,MATCH($A23,'Valo FX'!$A:$A,0)),INDEX(Base!$U:$U,MATCH($A23,Base!$A:$A,0)),IF(JX$1=INDEX('Valo FX'!$R:$R,MATCH($A23,'Valo FX'!$A:$A,0)),INDEX(Base!$V:$V,MATCH($A23,Base!$A:$A,0)),0)))</f>
        <v>12.012828000000001</v>
      </c>
      <c r="JY23" s="21">
        <f>IF(JY$1&lt;INDEX('Valo FX'!$Q:$Q,MATCH($A23,'Valo FX'!$A:$A,0)),0,IF(JY$1&lt;INDEX('Valo FX'!$R:$R,MATCH($A23,'Valo FX'!$A:$A,0)),INDEX(Base!$U:$U,MATCH($A23,Base!$A:$A,0)),IF(JY$1=INDEX('Valo FX'!$R:$R,MATCH($A23,'Valo FX'!$A:$A,0)),INDEX(Base!$V:$V,MATCH($A23,Base!$A:$A,0)),0)))</f>
        <v>12.012828000000001</v>
      </c>
      <c r="JZ23" s="21">
        <f>IF(JZ$1&lt;INDEX('Valo FX'!$Q:$Q,MATCH($A23,'Valo FX'!$A:$A,0)),0,IF(JZ$1&lt;INDEX('Valo FX'!$R:$R,MATCH($A23,'Valo FX'!$A:$A,0)),INDEX(Base!$U:$U,MATCH($A23,Base!$A:$A,0)),IF(JZ$1=INDEX('Valo FX'!$R:$R,MATCH($A23,'Valo FX'!$A:$A,0)),INDEX(Base!$V:$V,MATCH($A23,Base!$A:$A,0)),0)))</f>
        <v>12.012828000000001</v>
      </c>
      <c r="KA23" s="21">
        <f>IF(KA$1&lt;INDEX('Valo FX'!$Q:$Q,MATCH($A23,'Valo FX'!$A:$A,0)),0,IF(KA$1&lt;INDEX('Valo FX'!$R:$R,MATCH($A23,'Valo FX'!$A:$A,0)),INDEX(Base!$U:$U,MATCH($A23,Base!$A:$A,0)),IF(KA$1=INDEX('Valo FX'!$R:$R,MATCH($A23,'Valo FX'!$A:$A,0)),INDEX(Base!$V:$V,MATCH($A23,Base!$A:$A,0)),0)))</f>
        <v>12.012828000000001</v>
      </c>
      <c r="KB23" s="21">
        <f>IF(KB$1&lt;INDEX('Valo FX'!$Q:$Q,MATCH($A23,'Valo FX'!$A:$A,0)),0,IF(KB$1&lt;INDEX('Valo FX'!$R:$R,MATCH($A23,'Valo FX'!$A:$A,0)),INDEX(Base!$U:$U,MATCH($A23,Base!$A:$A,0)),IF(KB$1=INDEX('Valo FX'!$R:$R,MATCH($A23,'Valo FX'!$A:$A,0)),INDEX(Base!$V:$V,MATCH($A23,Base!$A:$A,0)),0)))</f>
        <v>12.012828000000001</v>
      </c>
      <c r="KC23" s="21">
        <f>IF(KC$1&lt;INDEX('Valo FX'!$Q:$Q,MATCH($A23,'Valo FX'!$A:$A,0)),0,IF(KC$1&lt;INDEX('Valo FX'!$R:$R,MATCH($A23,'Valo FX'!$A:$A,0)),INDEX(Base!$U:$U,MATCH($A23,Base!$A:$A,0)),IF(KC$1=INDEX('Valo FX'!$R:$R,MATCH($A23,'Valo FX'!$A:$A,0)),INDEX(Base!$V:$V,MATCH($A23,Base!$A:$A,0)),0)))</f>
        <v>12.012828000000001</v>
      </c>
      <c r="KD23" s="21">
        <f>IF(KD$1&lt;INDEX('Valo FX'!$Q:$Q,MATCH($A23,'Valo FX'!$A:$A,0)),0,IF(KD$1&lt;INDEX('Valo FX'!$R:$R,MATCH($A23,'Valo FX'!$A:$A,0)),INDEX(Base!$U:$U,MATCH($A23,Base!$A:$A,0)),IF(KD$1=INDEX('Valo FX'!$R:$R,MATCH($A23,'Valo FX'!$A:$A,0)),INDEX(Base!$V:$V,MATCH($A23,Base!$A:$A,0)),0)))</f>
        <v>12.012828000000001</v>
      </c>
      <c r="KE23" s="21">
        <f>IF(KE$1&lt;INDEX('Valo FX'!$Q:$Q,MATCH($A23,'Valo FX'!$A:$A,0)),0,IF(KE$1&lt;INDEX('Valo FX'!$R:$R,MATCH($A23,'Valo FX'!$A:$A,0)),INDEX(Base!$U:$U,MATCH($A23,Base!$A:$A,0)),IF(KE$1=INDEX('Valo FX'!$R:$R,MATCH($A23,'Valo FX'!$A:$A,0)),INDEX(Base!$V:$V,MATCH($A23,Base!$A:$A,0)),0)))</f>
        <v>12.012828000000001</v>
      </c>
      <c r="KF23" s="21">
        <f>IF(KF$1&lt;INDEX('Valo FX'!$Q:$Q,MATCH($A23,'Valo FX'!$A:$A,0)),0,IF(KF$1&lt;INDEX('Valo FX'!$R:$R,MATCH($A23,'Valo FX'!$A:$A,0)),INDEX(Base!$U:$U,MATCH($A23,Base!$A:$A,0)),IF(KF$1=INDEX('Valo FX'!$R:$R,MATCH($A23,'Valo FX'!$A:$A,0)),INDEX(Base!$V:$V,MATCH($A23,Base!$A:$A,0)),0)))</f>
        <v>12.012828000000001</v>
      </c>
      <c r="KG23" s="21">
        <f>IF(KG$1&lt;INDEX('Valo FX'!$Q:$Q,MATCH($A23,'Valo FX'!$A:$A,0)),0,IF(KG$1&lt;INDEX('Valo FX'!$R:$R,MATCH($A23,'Valo FX'!$A:$A,0)),INDEX(Base!$U:$U,MATCH($A23,Base!$A:$A,0)),IF(KG$1=INDEX('Valo FX'!$R:$R,MATCH($A23,'Valo FX'!$A:$A,0)),INDEX(Base!$V:$V,MATCH($A23,Base!$A:$A,0)),0)))</f>
        <v>12.012828000000001</v>
      </c>
      <c r="KH23" s="21">
        <f>IF(KH$1&lt;INDEX('Valo FX'!$Q:$Q,MATCH($A23,'Valo FX'!$A:$A,0)),0,IF(KH$1&lt;INDEX('Valo FX'!$R:$R,MATCH($A23,'Valo FX'!$A:$A,0)),INDEX(Base!$U:$U,MATCH($A23,Base!$A:$A,0)),IF(KH$1=INDEX('Valo FX'!$R:$R,MATCH($A23,'Valo FX'!$A:$A,0)),INDEX(Base!$V:$V,MATCH($A23,Base!$A:$A,0)),0)))</f>
        <v>12.012828000000001</v>
      </c>
      <c r="KI23" s="21">
        <f>IF(KI$1&lt;INDEX('Valo FX'!$Q:$Q,MATCH($A23,'Valo FX'!$A:$A,0)),0,IF(KI$1&lt;INDEX('Valo FX'!$R:$R,MATCH($A23,'Valo FX'!$A:$A,0)),INDEX(Base!$U:$U,MATCH($A23,Base!$A:$A,0)),IF(KI$1=INDEX('Valo FX'!$R:$R,MATCH($A23,'Valo FX'!$A:$A,0)),INDEX(Base!$V:$V,MATCH($A23,Base!$A:$A,0)),0)))</f>
        <v>12.012828000000001</v>
      </c>
      <c r="KJ23" s="21">
        <f>IF(KJ$1&lt;INDEX('Valo FX'!$Q:$Q,MATCH($A23,'Valo FX'!$A:$A,0)),0,IF(KJ$1&lt;INDEX('Valo FX'!$R:$R,MATCH($A23,'Valo FX'!$A:$A,0)),INDEX(Base!$U:$U,MATCH($A23,Base!$A:$A,0)),IF(KJ$1=INDEX('Valo FX'!$R:$R,MATCH($A23,'Valo FX'!$A:$A,0)),INDEX(Base!$V:$V,MATCH($A23,Base!$A:$A,0)),0)))</f>
        <v>12.012828000000001</v>
      </c>
      <c r="KK23" s="21">
        <f>IF(KK$1&lt;INDEX('Valo FX'!$Q:$Q,MATCH($A23,'Valo FX'!$A:$A,0)),0,IF(KK$1&lt;INDEX('Valo FX'!$R:$R,MATCH($A23,'Valo FX'!$A:$A,0)),INDEX(Base!$U:$U,MATCH($A23,Base!$A:$A,0)),IF(KK$1=INDEX('Valo FX'!$R:$R,MATCH($A23,'Valo FX'!$A:$A,0)),INDEX(Base!$V:$V,MATCH($A23,Base!$A:$A,0)),0)))</f>
        <v>12.012828000000001</v>
      </c>
      <c r="KL23" s="21">
        <f>IF(KL$1&lt;INDEX('Valo FX'!$Q:$Q,MATCH($A23,'Valo FX'!$A:$A,0)),0,IF(KL$1&lt;INDEX('Valo FX'!$R:$R,MATCH($A23,'Valo FX'!$A:$A,0)),INDEX(Base!$U:$U,MATCH($A23,Base!$A:$A,0)),IF(KL$1=INDEX('Valo FX'!$R:$R,MATCH($A23,'Valo FX'!$A:$A,0)),INDEX(Base!$V:$V,MATCH($A23,Base!$A:$A,0)),0)))</f>
        <v>12.012828000000001</v>
      </c>
      <c r="KM23" s="21">
        <f>IF(KM$1&lt;INDEX('Valo FX'!$Q:$Q,MATCH($A23,'Valo FX'!$A:$A,0)),0,IF(KM$1&lt;INDEX('Valo FX'!$R:$R,MATCH($A23,'Valo FX'!$A:$A,0)),INDEX(Base!$U:$U,MATCH($A23,Base!$A:$A,0)),IF(KM$1=INDEX('Valo FX'!$R:$R,MATCH($A23,'Valo FX'!$A:$A,0)),INDEX(Base!$V:$V,MATCH($A23,Base!$A:$A,0)),0)))</f>
        <v>12.012828000000001</v>
      </c>
      <c r="KN23" s="21">
        <f>IF(KN$1&lt;INDEX('Valo FX'!$Q:$Q,MATCH($A23,'Valo FX'!$A:$A,0)),0,IF(KN$1&lt;INDEX('Valo FX'!$R:$R,MATCH($A23,'Valo FX'!$A:$A,0)),INDEX(Base!$U:$U,MATCH($A23,Base!$A:$A,0)),IF(KN$1=INDEX('Valo FX'!$R:$R,MATCH($A23,'Valo FX'!$A:$A,0)),INDEX(Base!$V:$V,MATCH($A23,Base!$A:$A,0)),0)))</f>
        <v>12.012828000000001</v>
      </c>
      <c r="KO23" s="21">
        <f>IF(KO$1&lt;INDEX('Valo FX'!$Q:$Q,MATCH($A23,'Valo FX'!$A:$A,0)),0,IF(KO$1&lt;INDEX('Valo FX'!$R:$R,MATCH($A23,'Valo FX'!$A:$A,0)),INDEX(Base!$U:$U,MATCH($A23,Base!$A:$A,0)),IF(KO$1=INDEX('Valo FX'!$R:$R,MATCH($A23,'Valo FX'!$A:$A,0)),INDEX(Base!$V:$V,MATCH($A23,Base!$A:$A,0)),0)))</f>
        <v>12.012828000000001</v>
      </c>
      <c r="KP23" s="21">
        <f>IF(KP$1&lt;INDEX('Valo FX'!$Q:$Q,MATCH($A23,'Valo FX'!$A:$A,0)),0,IF(KP$1&lt;INDEX('Valo FX'!$R:$R,MATCH($A23,'Valo FX'!$A:$A,0)),INDEX(Base!$U:$U,MATCH($A23,Base!$A:$A,0)),IF(KP$1=INDEX('Valo FX'!$R:$R,MATCH($A23,'Valo FX'!$A:$A,0)),INDEX(Base!$V:$V,MATCH($A23,Base!$A:$A,0)),0)))</f>
        <v>12.012828000000001</v>
      </c>
      <c r="KQ23" s="21">
        <f>IF(KQ$1&lt;INDEX('Valo FX'!$Q:$Q,MATCH($A23,'Valo FX'!$A:$A,0)),0,IF(KQ$1&lt;INDEX('Valo FX'!$R:$R,MATCH($A23,'Valo FX'!$A:$A,0)),INDEX(Base!$U:$U,MATCH($A23,Base!$A:$A,0)),IF(KQ$1=INDEX('Valo FX'!$R:$R,MATCH($A23,'Valo FX'!$A:$A,0)),INDEX(Base!$V:$V,MATCH($A23,Base!$A:$A,0)),0)))</f>
        <v>12.106641</v>
      </c>
      <c r="KR23" s="21">
        <f>IF(KR$1&lt;INDEX('Valo FX'!$Q:$Q,MATCH($A23,'Valo FX'!$A:$A,0)),0,IF(KR$1&lt;INDEX('Valo FX'!$R:$R,MATCH($A23,'Valo FX'!$A:$A,0)),INDEX(Base!$U:$U,MATCH($A23,Base!$A:$A,0)),IF(KR$1=INDEX('Valo FX'!$R:$R,MATCH($A23,'Valo FX'!$A:$A,0)),INDEX(Base!$V:$V,MATCH($A23,Base!$A:$A,0)),0)))</f>
        <v>0</v>
      </c>
      <c r="KS23" s="21">
        <f>IF(KS$1&lt;INDEX('Valo FX'!$Q:$Q,MATCH($A23,'Valo FX'!$A:$A,0)),0,IF(KS$1&lt;INDEX('Valo FX'!$R:$R,MATCH($A23,'Valo FX'!$A:$A,0)),INDEX(Base!$U:$U,MATCH($A23,Base!$A:$A,0)),IF(KS$1=INDEX('Valo FX'!$R:$R,MATCH($A23,'Valo FX'!$A:$A,0)),INDEX(Base!$V:$V,MATCH($A23,Base!$A:$A,0)),0)))</f>
        <v>0</v>
      </c>
      <c r="KT23" s="21">
        <f>IF(KT$1&lt;INDEX('Valo FX'!$Q:$Q,MATCH($A23,'Valo FX'!$A:$A,0)),0,IF(KT$1&lt;INDEX('Valo FX'!$R:$R,MATCH($A23,'Valo FX'!$A:$A,0)),INDEX(Base!$U:$U,MATCH($A23,Base!$A:$A,0)),IF(KT$1=INDEX('Valo FX'!$R:$R,MATCH($A23,'Valo FX'!$A:$A,0)),INDEX(Base!$V:$V,MATCH($A23,Base!$A:$A,0)),0)))</f>
        <v>0</v>
      </c>
      <c r="KU23" s="21">
        <f>IF(KU$1&lt;INDEX('Valo FX'!$Q:$Q,MATCH($A23,'Valo FX'!$A:$A,0)),0,IF(KU$1&lt;INDEX('Valo FX'!$R:$R,MATCH($A23,'Valo FX'!$A:$A,0)),INDEX(Base!$U:$U,MATCH($A23,Base!$A:$A,0)),IF(KU$1=INDEX('Valo FX'!$R:$R,MATCH($A23,'Valo FX'!$A:$A,0)),INDEX(Base!$V:$V,MATCH($A23,Base!$A:$A,0)),0)))</f>
        <v>0</v>
      </c>
      <c r="KV23" s="21">
        <f>IF(KV$1&lt;INDEX('Valo FX'!$Q:$Q,MATCH($A23,'Valo FX'!$A:$A,0)),0,IF(KV$1&lt;INDEX('Valo FX'!$R:$R,MATCH($A23,'Valo FX'!$A:$A,0)),INDEX(Base!$U:$U,MATCH($A23,Base!$A:$A,0)),IF(KV$1=INDEX('Valo FX'!$R:$R,MATCH($A23,'Valo FX'!$A:$A,0)),INDEX(Base!$V:$V,MATCH($A23,Base!$A:$A,0)),0)))</f>
        <v>0</v>
      </c>
      <c r="KW23" s="21">
        <f>IF(KW$1&lt;INDEX('Valo FX'!$Q:$Q,MATCH($A23,'Valo FX'!$A:$A,0)),0,IF(KW$1&lt;INDEX('Valo FX'!$R:$R,MATCH($A23,'Valo FX'!$A:$A,0)),INDEX(Base!$U:$U,MATCH($A23,Base!$A:$A,0)),IF(KW$1=INDEX('Valo FX'!$R:$R,MATCH($A23,'Valo FX'!$A:$A,0)),INDEX(Base!$V:$V,MATCH($A23,Base!$A:$A,0)),0)))</f>
        <v>0</v>
      </c>
      <c r="KX23" s="21">
        <f>IF(KX$1&lt;INDEX('Valo FX'!$Q:$Q,MATCH($A23,'Valo FX'!$A:$A,0)),0,IF(KX$1&lt;INDEX('Valo FX'!$R:$R,MATCH($A23,'Valo FX'!$A:$A,0)),INDEX(Base!$U:$U,MATCH($A23,Base!$A:$A,0)),IF(KX$1=INDEX('Valo FX'!$R:$R,MATCH($A23,'Valo FX'!$A:$A,0)),INDEX(Base!$V:$V,MATCH($A23,Base!$A:$A,0)),0)))</f>
        <v>0</v>
      </c>
      <c r="KY23" s="21">
        <f>IF(KY$1&lt;INDEX('Valo FX'!$Q:$Q,MATCH($A23,'Valo FX'!$A:$A,0)),0,IF(KY$1&lt;INDEX('Valo FX'!$R:$R,MATCH($A23,'Valo FX'!$A:$A,0)),INDEX(Base!$U:$U,MATCH($A23,Base!$A:$A,0)),IF(KY$1=INDEX('Valo FX'!$R:$R,MATCH($A23,'Valo FX'!$A:$A,0)),INDEX(Base!$V:$V,MATCH($A23,Base!$A:$A,0)),0)))</f>
        <v>0</v>
      </c>
      <c r="KZ23" s="21">
        <f>IF(KZ$1&lt;INDEX('Valo FX'!$Q:$Q,MATCH($A23,'Valo FX'!$A:$A,0)),0,IF(KZ$1&lt;INDEX('Valo FX'!$R:$R,MATCH($A23,'Valo FX'!$A:$A,0)),INDEX(Base!$U:$U,MATCH($A23,Base!$A:$A,0)),IF(KZ$1=INDEX('Valo FX'!$R:$R,MATCH($A23,'Valo FX'!$A:$A,0)),INDEX(Base!$V:$V,MATCH($A23,Base!$A:$A,0)),0)))</f>
        <v>0</v>
      </c>
      <c r="LA23" s="21">
        <f>IF(LA$1&lt;INDEX('Valo FX'!$Q:$Q,MATCH($A23,'Valo FX'!$A:$A,0)),0,IF(LA$1&lt;INDEX('Valo FX'!$R:$R,MATCH($A23,'Valo FX'!$A:$A,0)),INDEX(Base!$U:$U,MATCH($A23,Base!$A:$A,0)),IF(LA$1=INDEX('Valo FX'!$R:$R,MATCH($A23,'Valo FX'!$A:$A,0)),INDEX(Base!$V:$V,MATCH($A23,Base!$A:$A,0)),0)))</f>
        <v>0</v>
      </c>
      <c r="LB23" s="21">
        <f>IF(LB$1&lt;INDEX('Valo FX'!$Q:$Q,MATCH($A23,'Valo FX'!$A:$A,0)),0,IF(LB$1&lt;INDEX('Valo FX'!$R:$R,MATCH($A23,'Valo FX'!$A:$A,0)),INDEX(Base!$U:$U,MATCH($A23,Base!$A:$A,0)),IF(LB$1=INDEX('Valo FX'!$R:$R,MATCH($A23,'Valo FX'!$A:$A,0)),INDEX(Base!$V:$V,MATCH($A23,Base!$A:$A,0)),0)))</f>
        <v>0</v>
      </c>
      <c r="LC23" s="21">
        <f>IF(LC$1&lt;INDEX('Valo FX'!$Q:$Q,MATCH($A23,'Valo FX'!$A:$A,0)),0,IF(LC$1&lt;INDEX('Valo FX'!$R:$R,MATCH($A23,'Valo FX'!$A:$A,0)),INDEX(Base!$U:$U,MATCH($A23,Base!$A:$A,0)),IF(LC$1=INDEX('Valo FX'!$R:$R,MATCH($A23,'Valo FX'!$A:$A,0)),INDEX(Base!$V:$V,MATCH($A23,Base!$A:$A,0)),0)))</f>
        <v>0</v>
      </c>
      <c r="LD23" s="21">
        <f>IF(LD$1&lt;INDEX('Valo FX'!$Q:$Q,MATCH($A23,'Valo FX'!$A:$A,0)),0,IF(LD$1&lt;INDEX('Valo FX'!$R:$R,MATCH($A23,'Valo FX'!$A:$A,0)),INDEX(Base!$U:$U,MATCH($A23,Base!$A:$A,0)),IF(LD$1=INDEX('Valo FX'!$R:$R,MATCH($A23,'Valo FX'!$A:$A,0)),INDEX(Base!$V:$V,MATCH($A23,Base!$A:$A,0)),0)))</f>
        <v>0</v>
      </c>
      <c r="LE23" s="21">
        <f>IF(LE$1&lt;INDEX('Valo FX'!$Q:$Q,MATCH($A23,'Valo FX'!$A:$A,0)),0,IF(LE$1&lt;INDEX('Valo FX'!$R:$R,MATCH($A23,'Valo FX'!$A:$A,0)),INDEX(Base!$U:$U,MATCH($A23,Base!$A:$A,0)),IF(LE$1=INDEX('Valo FX'!$R:$R,MATCH($A23,'Valo FX'!$A:$A,0)),INDEX(Base!$V:$V,MATCH($A23,Base!$A:$A,0)),0)))</f>
        <v>0</v>
      </c>
      <c r="LF23" s="21">
        <f>IF(LF$1&lt;INDEX('Valo FX'!$Q:$Q,MATCH($A23,'Valo FX'!$A:$A,0)),0,IF(LF$1&lt;INDEX('Valo FX'!$R:$R,MATCH($A23,'Valo FX'!$A:$A,0)),INDEX(Base!$U:$U,MATCH($A23,Base!$A:$A,0)),IF(LF$1=INDEX('Valo FX'!$R:$R,MATCH($A23,'Valo FX'!$A:$A,0)),INDEX(Base!$V:$V,MATCH($A23,Base!$A:$A,0)),0)))</f>
        <v>0</v>
      </c>
      <c r="LG23" s="21">
        <f>IF(LG$1&lt;INDEX('Valo FX'!$Q:$Q,MATCH($A23,'Valo FX'!$A:$A,0)),0,IF(LG$1&lt;INDEX('Valo FX'!$R:$R,MATCH($A23,'Valo FX'!$A:$A,0)),INDEX(Base!$U:$U,MATCH($A23,Base!$A:$A,0)),IF(LG$1=INDEX('Valo FX'!$R:$R,MATCH($A23,'Valo FX'!$A:$A,0)),INDEX(Base!$V:$V,MATCH($A23,Base!$A:$A,0)),0)))</f>
        <v>0</v>
      </c>
      <c r="LH23" s="21">
        <f>IF(LH$1&lt;INDEX('Valo FX'!$Q:$Q,MATCH($A23,'Valo FX'!$A:$A,0)),0,IF(LH$1&lt;INDEX('Valo FX'!$R:$R,MATCH($A23,'Valo FX'!$A:$A,0)),INDEX(Base!$U:$U,MATCH($A23,Base!$A:$A,0)),IF(LH$1=INDEX('Valo FX'!$R:$R,MATCH($A23,'Valo FX'!$A:$A,0)),INDEX(Base!$V:$V,MATCH($A23,Base!$A:$A,0)),0)))</f>
        <v>0</v>
      </c>
      <c r="LI23" s="21">
        <f>IF(LI$1&lt;INDEX('Valo FX'!$Q:$Q,MATCH($A23,'Valo FX'!$A:$A,0)),0,IF(LI$1&lt;INDEX('Valo FX'!$R:$R,MATCH($A23,'Valo FX'!$A:$A,0)),INDEX(Base!$U:$U,MATCH($A23,Base!$A:$A,0)),IF(LI$1=INDEX('Valo FX'!$R:$R,MATCH($A23,'Valo FX'!$A:$A,0)),INDEX(Base!$V:$V,MATCH($A23,Base!$A:$A,0)),0)))</f>
        <v>0</v>
      </c>
      <c r="LJ23" s="21">
        <f>IF(LJ$1&lt;INDEX('Valo FX'!$Q:$Q,MATCH($A23,'Valo FX'!$A:$A,0)),0,IF(LJ$1&lt;INDEX('Valo FX'!$R:$R,MATCH($A23,'Valo FX'!$A:$A,0)),INDEX(Base!$U:$U,MATCH($A23,Base!$A:$A,0)),IF(LJ$1=INDEX('Valo FX'!$R:$R,MATCH($A23,'Valo FX'!$A:$A,0)),INDEX(Base!$V:$V,MATCH($A23,Base!$A:$A,0)),0)))</f>
        <v>0</v>
      </c>
      <c r="LK23" s="21">
        <f>IF(LK$1&lt;INDEX('Valo FX'!$Q:$Q,MATCH($A23,'Valo FX'!$A:$A,0)),0,IF(LK$1&lt;INDEX('Valo FX'!$R:$R,MATCH($A23,'Valo FX'!$A:$A,0)),INDEX(Base!$U:$U,MATCH($A23,Base!$A:$A,0)),IF(LK$1=INDEX('Valo FX'!$R:$R,MATCH($A23,'Valo FX'!$A:$A,0)),INDEX(Base!$V:$V,MATCH($A23,Base!$A:$A,0)),0)))</f>
        <v>0</v>
      </c>
      <c r="LL23" s="21">
        <f>IF(LL$1&lt;INDEX('Valo FX'!$Q:$Q,MATCH($A23,'Valo FX'!$A:$A,0)),0,IF(LL$1&lt;INDEX('Valo FX'!$R:$R,MATCH($A23,'Valo FX'!$A:$A,0)),INDEX(Base!$U:$U,MATCH($A23,Base!$A:$A,0)),IF(LL$1=INDEX('Valo FX'!$R:$R,MATCH($A23,'Valo FX'!$A:$A,0)),INDEX(Base!$V:$V,MATCH($A23,Base!$A:$A,0)),0)))</f>
        <v>0</v>
      </c>
      <c r="LM23" s="21">
        <f>IF(LM$1&lt;INDEX('Valo FX'!$Q:$Q,MATCH($A23,'Valo FX'!$A:$A,0)),0,IF(LM$1&lt;INDEX('Valo FX'!$R:$R,MATCH($A23,'Valo FX'!$A:$A,0)),INDEX(Base!$U:$U,MATCH($A23,Base!$A:$A,0)),IF(LM$1=INDEX('Valo FX'!$R:$R,MATCH($A23,'Valo FX'!$A:$A,0)),INDEX(Base!$V:$V,MATCH($A23,Base!$A:$A,0)),0)))</f>
        <v>0</v>
      </c>
      <c r="LN23" s="21">
        <f>IF(LN$1&lt;INDEX('Valo FX'!$Q:$Q,MATCH($A23,'Valo FX'!$A:$A,0)),0,IF(LN$1&lt;INDEX('Valo FX'!$R:$R,MATCH($A23,'Valo FX'!$A:$A,0)),INDEX(Base!$U:$U,MATCH($A23,Base!$A:$A,0)),IF(LN$1=INDEX('Valo FX'!$R:$R,MATCH($A23,'Valo FX'!$A:$A,0)),INDEX(Base!$V:$V,MATCH($A23,Base!$A:$A,0)),0)))</f>
        <v>0</v>
      </c>
      <c r="LO23" s="21">
        <f>IF(LO$1&lt;INDEX('Valo FX'!$Q:$Q,MATCH($A23,'Valo FX'!$A:$A,0)),0,IF(LO$1&lt;INDEX('Valo FX'!$R:$R,MATCH($A23,'Valo FX'!$A:$A,0)),INDEX(Base!$U:$U,MATCH($A23,Base!$A:$A,0)),IF(LO$1=INDEX('Valo FX'!$R:$R,MATCH($A23,'Valo FX'!$A:$A,0)),INDEX(Base!$V:$V,MATCH($A23,Base!$A:$A,0)),0)))</f>
        <v>0</v>
      </c>
      <c r="LP23" s="21">
        <f>IF(LP$1&lt;INDEX('Valo FX'!$Q:$Q,MATCH($A23,'Valo FX'!$A:$A,0)),0,IF(LP$1&lt;INDEX('Valo FX'!$R:$R,MATCH($A23,'Valo FX'!$A:$A,0)),INDEX(Base!$U:$U,MATCH($A23,Base!$A:$A,0)),IF(LP$1=INDEX('Valo FX'!$R:$R,MATCH($A23,'Valo FX'!$A:$A,0)),INDEX(Base!$V:$V,MATCH($A23,Base!$A:$A,0)),0)))</f>
        <v>0</v>
      </c>
      <c r="LQ23" s="21">
        <f>IF(LQ$1&lt;INDEX('Valo FX'!$Q:$Q,MATCH($A23,'Valo FX'!$A:$A,0)),0,IF(LQ$1&lt;INDEX('Valo FX'!$R:$R,MATCH($A23,'Valo FX'!$A:$A,0)),INDEX(Base!$U:$U,MATCH($A23,Base!$A:$A,0)),IF(LQ$1=INDEX('Valo FX'!$R:$R,MATCH($A23,'Valo FX'!$A:$A,0)),INDEX(Base!$V:$V,MATCH($A23,Base!$A:$A,0)),0)))</f>
        <v>0</v>
      </c>
      <c r="LR23" s="21">
        <f>IF(LR$1&lt;INDEX('Valo FX'!$Q:$Q,MATCH($A23,'Valo FX'!$A:$A,0)),0,IF(LR$1&lt;INDEX('Valo FX'!$R:$R,MATCH($A23,'Valo FX'!$A:$A,0)),INDEX(Base!$U:$U,MATCH($A23,Base!$A:$A,0)),IF(LR$1=INDEX('Valo FX'!$R:$R,MATCH($A23,'Valo FX'!$A:$A,0)),INDEX(Base!$V:$V,MATCH($A23,Base!$A:$A,0)),0)))</f>
        <v>0</v>
      </c>
      <c r="LS23" s="21">
        <f>IF(LS$1&lt;INDEX('Valo FX'!$Q:$Q,MATCH($A23,'Valo FX'!$A:$A,0)),0,IF(LS$1&lt;INDEX('Valo FX'!$R:$R,MATCH($A23,'Valo FX'!$A:$A,0)),INDEX(Base!$U:$U,MATCH($A23,Base!$A:$A,0)),IF(LS$1=INDEX('Valo FX'!$R:$R,MATCH($A23,'Valo FX'!$A:$A,0)),INDEX(Base!$V:$V,MATCH($A23,Base!$A:$A,0)),0)))</f>
        <v>0</v>
      </c>
      <c r="LT23" s="21">
        <f>IF(LT$1&lt;INDEX('Valo FX'!$Q:$Q,MATCH($A23,'Valo FX'!$A:$A,0)),0,IF(LT$1&lt;INDEX('Valo FX'!$R:$R,MATCH($A23,'Valo FX'!$A:$A,0)),INDEX(Base!$U:$U,MATCH($A23,Base!$A:$A,0)),IF(LT$1=INDEX('Valo FX'!$R:$R,MATCH($A23,'Valo FX'!$A:$A,0)),INDEX(Base!$V:$V,MATCH($A23,Base!$A:$A,0)),0)))</f>
        <v>0</v>
      </c>
      <c r="LU23" s="21">
        <f>IF(LU$1&lt;INDEX('Valo FX'!$Q:$Q,MATCH($A23,'Valo FX'!$A:$A,0)),0,IF(LU$1&lt;INDEX('Valo FX'!$R:$R,MATCH($A23,'Valo FX'!$A:$A,0)),INDEX(Base!$U:$U,MATCH($A23,Base!$A:$A,0)),IF(LU$1=INDEX('Valo FX'!$R:$R,MATCH($A23,'Valo FX'!$A:$A,0)),INDEX(Base!$V:$V,MATCH($A23,Base!$A:$A,0)),0)))</f>
        <v>0</v>
      </c>
      <c r="LV23" s="21">
        <f>IF(LV$1&lt;INDEX('Valo FX'!$Q:$Q,MATCH($A23,'Valo FX'!$A:$A,0)),0,IF(LV$1&lt;INDEX('Valo FX'!$R:$R,MATCH($A23,'Valo FX'!$A:$A,0)),INDEX(Base!$U:$U,MATCH($A23,Base!$A:$A,0)),IF(LV$1=INDEX('Valo FX'!$R:$R,MATCH($A23,'Valo FX'!$A:$A,0)),INDEX(Base!$V:$V,MATCH($A23,Base!$A:$A,0)),0)))</f>
        <v>0</v>
      </c>
      <c r="LW23" s="21">
        <f>IF(LW$1&lt;INDEX('Valo FX'!$Q:$Q,MATCH($A23,'Valo FX'!$A:$A,0)),0,IF(LW$1&lt;INDEX('Valo FX'!$R:$R,MATCH($A23,'Valo FX'!$A:$A,0)),INDEX(Base!$U:$U,MATCH($A23,Base!$A:$A,0)),IF(LW$1=INDEX('Valo FX'!$R:$R,MATCH($A23,'Valo FX'!$A:$A,0)),INDEX(Base!$V:$V,MATCH($A23,Base!$A:$A,0)),0)))</f>
        <v>0</v>
      </c>
      <c r="LX23" s="21">
        <f>IF(LX$1&lt;INDEX('Valo FX'!$Q:$Q,MATCH($A23,'Valo FX'!$A:$A,0)),0,IF(LX$1&lt;INDEX('Valo FX'!$R:$R,MATCH($A23,'Valo FX'!$A:$A,0)),INDEX(Base!$U:$U,MATCH($A23,Base!$A:$A,0)),IF(LX$1=INDEX('Valo FX'!$R:$R,MATCH($A23,'Valo FX'!$A:$A,0)),INDEX(Base!$V:$V,MATCH($A23,Base!$A:$A,0)),0)))</f>
        <v>0</v>
      </c>
      <c r="LY23" s="21">
        <f>IF(LY$1&lt;INDEX('Valo FX'!$Q:$Q,MATCH($A23,'Valo FX'!$A:$A,0)),0,IF(LY$1&lt;INDEX('Valo FX'!$R:$R,MATCH($A23,'Valo FX'!$A:$A,0)),INDEX(Base!$U:$U,MATCH($A23,Base!$A:$A,0)),IF(LY$1=INDEX('Valo FX'!$R:$R,MATCH($A23,'Valo FX'!$A:$A,0)),INDEX(Base!$V:$V,MATCH($A23,Base!$A:$A,0)),0)))</f>
        <v>0</v>
      </c>
      <c r="LZ23" s="21">
        <f>IF(LZ$1&lt;INDEX('Valo FX'!$Q:$Q,MATCH($A23,'Valo FX'!$A:$A,0)),0,IF(LZ$1&lt;INDEX('Valo FX'!$R:$R,MATCH($A23,'Valo FX'!$A:$A,0)),INDEX(Base!$U:$U,MATCH($A23,Base!$A:$A,0)),IF(LZ$1=INDEX('Valo FX'!$R:$R,MATCH($A23,'Valo FX'!$A:$A,0)),INDEX(Base!$V:$V,MATCH($A23,Base!$A:$A,0)),0)))</f>
        <v>0</v>
      </c>
      <c r="MA23" s="21">
        <f>IF(MA$1&lt;INDEX('Valo FX'!$Q:$Q,MATCH($A23,'Valo FX'!$A:$A,0)),0,IF(MA$1&lt;INDEX('Valo FX'!$R:$R,MATCH($A23,'Valo FX'!$A:$A,0)),INDEX(Base!$U:$U,MATCH($A23,Base!$A:$A,0)),IF(MA$1=INDEX('Valo FX'!$R:$R,MATCH($A23,'Valo FX'!$A:$A,0)),INDEX(Base!$V:$V,MATCH($A23,Base!$A:$A,0)),0)))</f>
        <v>0</v>
      </c>
      <c r="MB23" s="21">
        <f>IF(MB$1&lt;INDEX('Valo FX'!$Q:$Q,MATCH($A23,'Valo FX'!$A:$A,0)),0,IF(MB$1&lt;INDEX('Valo FX'!$R:$R,MATCH($A23,'Valo FX'!$A:$A,0)),INDEX(Base!$U:$U,MATCH($A23,Base!$A:$A,0)),IF(MB$1=INDEX('Valo FX'!$R:$R,MATCH($A23,'Valo FX'!$A:$A,0)),INDEX(Base!$V:$V,MATCH($A23,Base!$A:$A,0)),0)))</f>
        <v>0</v>
      </c>
      <c r="MC23" s="21">
        <f>IF(MC$1&lt;INDEX('Valo FX'!$Q:$Q,MATCH($A23,'Valo FX'!$A:$A,0)),0,IF(MC$1&lt;INDEX('Valo FX'!$R:$R,MATCH($A23,'Valo FX'!$A:$A,0)),INDEX(Base!$U:$U,MATCH($A23,Base!$A:$A,0)),IF(MC$1=INDEX('Valo FX'!$R:$R,MATCH($A23,'Valo FX'!$A:$A,0)),INDEX(Base!$V:$V,MATCH($A23,Base!$A:$A,0)),0)))</f>
        <v>0</v>
      </c>
      <c r="MD23" s="21">
        <f>IF(MD$1&lt;INDEX('Valo FX'!$Q:$Q,MATCH($A23,'Valo FX'!$A:$A,0)),0,IF(MD$1&lt;INDEX('Valo FX'!$R:$R,MATCH($A23,'Valo FX'!$A:$A,0)),INDEX(Base!$U:$U,MATCH($A23,Base!$A:$A,0)),IF(MD$1=INDEX('Valo FX'!$R:$R,MATCH($A23,'Valo FX'!$A:$A,0)),INDEX(Base!$V:$V,MATCH($A23,Base!$A:$A,0)),0)))</f>
        <v>0</v>
      </c>
      <c r="ME23" s="21">
        <f>IF(ME$1&lt;INDEX('Valo FX'!$Q:$Q,MATCH($A23,'Valo FX'!$A:$A,0)),0,IF(ME$1&lt;INDEX('Valo FX'!$R:$R,MATCH($A23,'Valo FX'!$A:$A,0)),INDEX(Base!$U:$U,MATCH($A23,Base!$A:$A,0)),IF(ME$1=INDEX('Valo FX'!$R:$R,MATCH($A23,'Valo FX'!$A:$A,0)),INDEX(Base!$V:$V,MATCH($A23,Base!$A:$A,0)),0)))</f>
        <v>0</v>
      </c>
      <c r="MF23" s="21">
        <f>IF(MF$1&lt;INDEX('Valo FX'!$Q:$Q,MATCH($A23,'Valo FX'!$A:$A,0)),0,IF(MF$1&lt;INDEX('Valo FX'!$R:$R,MATCH($A23,'Valo FX'!$A:$A,0)),INDEX(Base!$U:$U,MATCH($A23,Base!$A:$A,0)),IF(MF$1=INDEX('Valo FX'!$R:$R,MATCH($A23,'Valo FX'!$A:$A,0)),INDEX(Base!$V:$V,MATCH($A23,Base!$A:$A,0)),0)))</f>
        <v>0</v>
      </c>
      <c r="MG23" s="21">
        <f>IF(MG$1&lt;INDEX('Valo FX'!$Q:$Q,MATCH($A23,'Valo FX'!$A:$A,0)),0,IF(MG$1&lt;INDEX('Valo FX'!$R:$R,MATCH($A23,'Valo FX'!$A:$A,0)),INDEX(Base!$U:$U,MATCH($A23,Base!$A:$A,0)),IF(MG$1=INDEX('Valo FX'!$R:$R,MATCH($A23,'Valo FX'!$A:$A,0)),INDEX(Base!$V:$V,MATCH($A23,Base!$A:$A,0)),0)))</f>
        <v>0</v>
      </c>
      <c r="MH23" s="21">
        <f>IF(MH$1&lt;INDEX('Valo FX'!$Q:$Q,MATCH($A23,'Valo FX'!$A:$A,0)),0,IF(MH$1&lt;INDEX('Valo FX'!$R:$R,MATCH($A23,'Valo FX'!$A:$A,0)),INDEX(Base!$U:$U,MATCH($A23,Base!$A:$A,0)),IF(MH$1=INDEX('Valo FX'!$R:$R,MATCH($A23,'Valo FX'!$A:$A,0)),INDEX(Base!$V:$V,MATCH($A23,Base!$A:$A,0)),0)))</f>
        <v>0</v>
      </c>
      <c r="MI23" s="21">
        <f>IF(MI$1&lt;INDEX('Valo FX'!$Q:$Q,MATCH($A23,'Valo FX'!$A:$A,0)),0,IF(MI$1&lt;INDEX('Valo FX'!$R:$R,MATCH($A23,'Valo FX'!$A:$A,0)),INDEX(Base!$U:$U,MATCH($A23,Base!$A:$A,0)),IF(MI$1=INDEX('Valo FX'!$R:$R,MATCH($A23,'Valo FX'!$A:$A,0)),INDEX(Base!$V:$V,MATCH($A23,Base!$A:$A,0)),0)))</f>
        <v>0</v>
      </c>
      <c r="MJ23" s="21">
        <f>IF(MJ$1&lt;INDEX('Valo FX'!$Q:$Q,MATCH($A23,'Valo FX'!$A:$A,0)),0,IF(MJ$1&lt;INDEX('Valo FX'!$R:$R,MATCH($A23,'Valo FX'!$A:$A,0)),INDEX(Base!$U:$U,MATCH($A23,Base!$A:$A,0)),IF(MJ$1=INDEX('Valo FX'!$R:$R,MATCH($A23,'Valo FX'!$A:$A,0)),INDEX(Base!$V:$V,MATCH($A23,Base!$A:$A,0)),0)))</f>
        <v>0</v>
      </c>
      <c r="MK23" s="21">
        <f>IF(MK$1&lt;INDEX('Valo FX'!$Q:$Q,MATCH($A23,'Valo FX'!$A:$A,0)),0,IF(MK$1&lt;INDEX('Valo FX'!$R:$R,MATCH($A23,'Valo FX'!$A:$A,0)),INDEX(Base!$U:$U,MATCH($A23,Base!$A:$A,0)),IF(MK$1=INDEX('Valo FX'!$R:$R,MATCH($A23,'Valo FX'!$A:$A,0)),INDEX(Base!$V:$V,MATCH($A23,Base!$A:$A,0)),0)))</f>
        <v>0</v>
      </c>
      <c r="ML23" s="21">
        <f>IF(ML$1&lt;INDEX('Valo FX'!$Q:$Q,MATCH($A23,'Valo FX'!$A:$A,0)),0,IF(ML$1&lt;INDEX('Valo FX'!$R:$R,MATCH($A23,'Valo FX'!$A:$A,0)),INDEX(Base!$U:$U,MATCH($A23,Base!$A:$A,0)),IF(ML$1=INDEX('Valo FX'!$R:$R,MATCH($A23,'Valo FX'!$A:$A,0)),INDEX(Base!$V:$V,MATCH($A23,Base!$A:$A,0)),0)))</f>
        <v>0</v>
      </c>
      <c r="MM23" s="21">
        <f>IF(MM$1&lt;INDEX('Valo FX'!$Q:$Q,MATCH($A23,'Valo FX'!$A:$A,0)),0,IF(MM$1&lt;INDEX('Valo FX'!$R:$R,MATCH($A23,'Valo FX'!$A:$A,0)),INDEX(Base!$U:$U,MATCH($A23,Base!$A:$A,0)),IF(MM$1=INDEX('Valo FX'!$R:$R,MATCH($A23,'Valo FX'!$A:$A,0)),INDEX(Base!$V:$V,MATCH($A23,Base!$A:$A,0)),0)))</f>
        <v>0</v>
      </c>
      <c r="MN23" s="21">
        <f>IF(MN$1&lt;INDEX('Valo FX'!$Q:$Q,MATCH($A23,'Valo FX'!$A:$A,0)),0,IF(MN$1&lt;INDEX('Valo FX'!$R:$R,MATCH($A23,'Valo FX'!$A:$A,0)),INDEX(Base!$U:$U,MATCH($A23,Base!$A:$A,0)),IF(MN$1=INDEX('Valo FX'!$R:$R,MATCH($A23,'Valo FX'!$A:$A,0)),INDEX(Base!$V:$V,MATCH($A23,Base!$A:$A,0)),0)))</f>
        <v>0</v>
      </c>
      <c r="MO23" s="21">
        <f>IF(MO$1&lt;INDEX('Valo FX'!$Q:$Q,MATCH($A23,'Valo FX'!$A:$A,0)),0,IF(MO$1&lt;INDEX('Valo FX'!$R:$R,MATCH($A23,'Valo FX'!$A:$A,0)),INDEX(Base!$U:$U,MATCH($A23,Base!$A:$A,0)),IF(MO$1=INDEX('Valo FX'!$R:$R,MATCH($A23,'Valo FX'!$A:$A,0)),INDEX(Base!$V:$V,MATCH($A23,Base!$A:$A,0)),0)))</f>
        <v>0</v>
      </c>
      <c r="MP23" s="21">
        <f>IF(MP$1&lt;INDEX('Valo FX'!$Q:$Q,MATCH($A23,'Valo FX'!$A:$A,0)),0,IF(MP$1&lt;INDEX('Valo FX'!$R:$R,MATCH($A23,'Valo FX'!$A:$A,0)),INDEX(Base!$U:$U,MATCH($A23,Base!$A:$A,0)),IF(MP$1=INDEX('Valo FX'!$R:$R,MATCH($A23,'Valo FX'!$A:$A,0)),INDEX(Base!$V:$V,MATCH($A23,Base!$A:$A,0)),0)))</f>
        <v>0</v>
      </c>
      <c r="MQ23" s="21">
        <f>IF(MQ$1&lt;INDEX('Valo FX'!$Q:$Q,MATCH($A23,'Valo FX'!$A:$A,0)),0,IF(MQ$1&lt;INDEX('Valo FX'!$R:$R,MATCH($A23,'Valo FX'!$A:$A,0)),INDEX(Base!$U:$U,MATCH($A23,Base!$A:$A,0)),IF(MQ$1=INDEX('Valo FX'!$R:$R,MATCH($A23,'Valo FX'!$A:$A,0)),INDEX(Base!$V:$V,MATCH($A23,Base!$A:$A,0)),0)))</f>
        <v>0</v>
      </c>
      <c r="MR23" s="21">
        <f>IF(MR$1&lt;INDEX('Valo FX'!$Q:$Q,MATCH($A23,'Valo FX'!$A:$A,0)),0,IF(MR$1&lt;INDEX('Valo FX'!$R:$R,MATCH($A23,'Valo FX'!$A:$A,0)),INDEX(Base!$U:$U,MATCH($A23,Base!$A:$A,0)),IF(MR$1=INDEX('Valo FX'!$R:$R,MATCH($A23,'Valo FX'!$A:$A,0)),INDEX(Base!$V:$V,MATCH($A23,Base!$A:$A,0)),0)))</f>
        <v>0</v>
      </c>
      <c r="MS23" s="21">
        <f>IF(MS$1&lt;INDEX('Valo FX'!$Q:$Q,MATCH($A23,'Valo FX'!$A:$A,0)),0,IF(MS$1&lt;INDEX('Valo FX'!$R:$R,MATCH($A23,'Valo FX'!$A:$A,0)),INDEX(Base!$U:$U,MATCH($A23,Base!$A:$A,0)),IF(MS$1=INDEX('Valo FX'!$R:$R,MATCH($A23,'Valo FX'!$A:$A,0)),INDEX(Base!$V:$V,MATCH($A23,Base!$A:$A,0)),0)))</f>
        <v>0</v>
      </c>
      <c r="MT23" s="21">
        <f>IF(MT$1&lt;INDEX('Valo FX'!$Q:$Q,MATCH($A23,'Valo FX'!$A:$A,0)),0,IF(MT$1&lt;INDEX('Valo FX'!$R:$R,MATCH($A23,'Valo FX'!$A:$A,0)),INDEX(Base!$U:$U,MATCH($A23,Base!$A:$A,0)),IF(MT$1=INDEX('Valo FX'!$R:$R,MATCH($A23,'Valo FX'!$A:$A,0)),INDEX(Base!$V:$V,MATCH($A23,Base!$A:$A,0)),0)))</f>
        <v>0</v>
      </c>
      <c r="MU23" s="21">
        <f>IF(MU$1&lt;INDEX('Valo FX'!$Q:$Q,MATCH($A23,'Valo FX'!$A:$A,0)),0,IF(MU$1&lt;INDEX('Valo FX'!$R:$R,MATCH($A23,'Valo FX'!$A:$A,0)),INDEX(Base!$U:$U,MATCH($A23,Base!$A:$A,0)),IF(MU$1=INDEX('Valo FX'!$R:$R,MATCH($A23,'Valo FX'!$A:$A,0)),INDEX(Base!$V:$V,MATCH($A23,Base!$A:$A,0)),0)))</f>
        <v>0</v>
      </c>
      <c r="MV23" s="21">
        <f>IF(MV$1&lt;INDEX('Valo FX'!$Q:$Q,MATCH($A23,'Valo FX'!$A:$A,0)),0,IF(MV$1&lt;INDEX('Valo FX'!$R:$R,MATCH($A23,'Valo FX'!$A:$A,0)),INDEX(Base!$U:$U,MATCH($A23,Base!$A:$A,0)),IF(MV$1=INDEX('Valo FX'!$R:$R,MATCH($A23,'Valo FX'!$A:$A,0)),INDEX(Base!$V:$V,MATCH($A23,Base!$A:$A,0)),0)))</f>
        <v>0</v>
      </c>
      <c r="MW23" s="21">
        <f>IF(MW$1&lt;INDEX('Valo FX'!$Q:$Q,MATCH($A23,'Valo FX'!$A:$A,0)),0,IF(MW$1&lt;INDEX('Valo FX'!$R:$R,MATCH($A23,'Valo FX'!$A:$A,0)),INDEX(Base!$U:$U,MATCH($A23,Base!$A:$A,0)),IF(MW$1=INDEX('Valo FX'!$R:$R,MATCH($A23,'Valo FX'!$A:$A,0)),INDEX(Base!$V:$V,MATCH($A23,Base!$A:$A,0)),0)))</f>
        <v>0</v>
      </c>
      <c r="MX23" s="21">
        <f>IF(MX$1&lt;INDEX('Valo FX'!$Q:$Q,MATCH($A23,'Valo FX'!$A:$A,0)),0,IF(MX$1&lt;INDEX('Valo FX'!$R:$R,MATCH($A23,'Valo FX'!$A:$A,0)),INDEX(Base!$U:$U,MATCH($A23,Base!$A:$A,0)),IF(MX$1=INDEX('Valo FX'!$R:$R,MATCH($A23,'Valo FX'!$A:$A,0)),INDEX(Base!$V:$V,MATCH($A23,Base!$A:$A,0)),0)))</f>
        <v>0</v>
      </c>
      <c r="MY23" s="21">
        <f>IF(MY$1&lt;INDEX('Valo FX'!$Q:$Q,MATCH($A23,'Valo FX'!$A:$A,0)),0,IF(MY$1&lt;INDEX('Valo FX'!$R:$R,MATCH($A23,'Valo FX'!$A:$A,0)),INDEX(Base!$U:$U,MATCH($A23,Base!$A:$A,0)),IF(MY$1=INDEX('Valo FX'!$R:$R,MATCH($A23,'Valo FX'!$A:$A,0)),INDEX(Base!$V:$V,MATCH($A23,Base!$A:$A,0)),0)))</f>
        <v>0</v>
      </c>
    </row>
    <row r="24" spans="1:363" x14ac:dyDescent="0.25">
      <c r="A24" s="7">
        <f>+A23+1</f>
        <v>22</v>
      </c>
      <c r="B24" s="59">
        <f>-'Valo FX'!T25</f>
        <v>-1438.1085173198569</v>
      </c>
      <c r="C24" s="21">
        <f>IF(C$1&lt;INDEX('Valo FX'!$Q:$Q,MATCH($A24,'Valo FX'!$A:$A,0)),0,IF(C$1&lt;INDEX('Valo FX'!$R:$R,MATCH($A24,'Valo FX'!$A:$A,0)),INDEX(Base!$U:$U,MATCH($A24,Base!$A:$A,0)),IF(C$1=INDEX('Valo FX'!$R:$R,MATCH($A24,'Valo FX'!$A:$A,0)),INDEX(Base!$V:$V,MATCH($A24,Base!$A:$A,0)),0)))</f>
        <v>0</v>
      </c>
      <c r="D24" s="21">
        <f>IF(D$1&lt;INDEX('Valo FX'!$Q:$Q,MATCH($A24,'Valo FX'!$A:$A,0)),0,IF(D$1&lt;INDEX('Valo FX'!$R:$R,MATCH($A24,'Valo FX'!$A:$A,0)),INDEX(Base!$U:$U,MATCH($A24,Base!$A:$A,0)),IF(D$1=INDEX('Valo FX'!$R:$R,MATCH($A24,'Valo FX'!$A:$A,0)),INDEX(Base!$V:$V,MATCH($A24,Base!$A:$A,0)),0)))</f>
        <v>0</v>
      </c>
      <c r="E24" s="21">
        <f>IF(E$1&lt;INDEX('Valo FX'!$Q:$Q,MATCH($A24,'Valo FX'!$A:$A,0)),0,IF(E$1&lt;INDEX('Valo FX'!$R:$R,MATCH($A24,'Valo FX'!$A:$A,0)),INDEX(Base!$U:$U,MATCH($A24,Base!$A:$A,0)),IF(E$1=INDEX('Valo FX'!$R:$R,MATCH($A24,'Valo FX'!$A:$A,0)),INDEX(Base!$V:$V,MATCH($A24,Base!$A:$A,0)),0)))</f>
        <v>0</v>
      </c>
      <c r="F24" s="21">
        <f>IF(F$1&lt;INDEX('Valo FX'!$Q:$Q,MATCH($A24,'Valo FX'!$A:$A,0)),0,IF(F$1&lt;INDEX('Valo FX'!$R:$R,MATCH($A24,'Valo FX'!$A:$A,0)),INDEX(Base!$U:$U,MATCH($A24,Base!$A:$A,0)),IF(F$1=INDEX('Valo FX'!$R:$R,MATCH($A24,'Valo FX'!$A:$A,0)),INDEX(Base!$V:$V,MATCH($A24,Base!$A:$A,0)),0)))</f>
        <v>0</v>
      </c>
      <c r="G24" s="21">
        <f>IF(G$1&lt;INDEX('Valo FX'!$Q:$Q,MATCH($A24,'Valo FX'!$A:$A,0)),0,IF(G$1&lt;INDEX('Valo FX'!$R:$R,MATCH($A24,'Valo FX'!$A:$A,0)),INDEX(Base!$U:$U,MATCH($A24,Base!$A:$A,0)),IF(G$1=INDEX('Valo FX'!$R:$R,MATCH($A24,'Valo FX'!$A:$A,0)),INDEX(Base!$V:$V,MATCH($A24,Base!$A:$A,0)),0)))</f>
        <v>0</v>
      </c>
      <c r="H24" s="21">
        <f>IF(H$1&lt;INDEX('Valo FX'!$Q:$Q,MATCH($A24,'Valo FX'!$A:$A,0)),0,IF(H$1&lt;INDEX('Valo FX'!$R:$R,MATCH($A24,'Valo FX'!$A:$A,0)),INDEX(Base!$U:$U,MATCH($A24,Base!$A:$A,0)),IF(H$1=INDEX('Valo FX'!$R:$R,MATCH($A24,'Valo FX'!$A:$A,0)),INDEX(Base!$V:$V,MATCH($A24,Base!$A:$A,0)),0)))</f>
        <v>0</v>
      </c>
      <c r="I24" s="21">
        <f>IF(I$1&lt;INDEX('Valo FX'!$Q:$Q,MATCH($A24,'Valo FX'!$A:$A,0)),0,IF(I$1&lt;INDEX('Valo FX'!$R:$R,MATCH($A24,'Valo FX'!$A:$A,0)),INDEX(Base!$U:$U,MATCH($A24,Base!$A:$A,0)),IF(I$1=INDEX('Valo FX'!$R:$R,MATCH($A24,'Valo FX'!$A:$A,0)),INDEX(Base!$V:$V,MATCH($A24,Base!$A:$A,0)),0)))</f>
        <v>10.200271000000001</v>
      </c>
      <c r="J24" s="21">
        <f>IF(J$1&lt;INDEX('Valo FX'!$Q:$Q,MATCH($A24,'Valo FX'!$A:$A,0)),0,IF(J$1&lt;INDEX('Valo FX'!$R:$R,MATCH($A24,'Valo FX'!$A:$A,0)),INDEX(Base!$U:$U,MATCH($A24,Base!$A:$A,0)),IF(J$1=INDEX('Valo FX'!$R:$R,MATCH($A24,'Valo FX'!$A:$A,0)),INDEX(Base!$V:$V,MATCH($A24,Base!$A:$A,0)),0)))</f>
        <v>10.200271000000001</v>
      </c>
      <c r="K24" s="21">
        <f>IF(K$1&lt;INDEX('Valo FX'!$Q:$Q,MATCH($A24,'Valo FX'!$A:$A,0)),0,IF(K$1&lt;INDEX('Valo FX'!$R:$R,MATCH($A24,'Valo FX'!$A:$A,0)),INDEX(Base!$U:$U,MATCH($A24,Base!$A:$A,0)),IF(K$1=INDEX('Valo FX'!$R:$R,MATCH($A24,'Valo FX'!$A:$A,0)),INDEX(Base!$V:$V,MATCH($A24,Base!$A:$A,0)),0)))</f>
        <v>10.200271000000001</v>
      </c>
      <c r="L24" s="21">
        <f>IF(L$1&lt;INDEX('Valo FX'!$Q:$Q,MATCH($A24,'Valo FX'!$A:$A,0)),0,IF(L$1&lt;INDEX('Valo FX'!$R:$R,MATCH($A24,'Valo FX'!$A:$A,0)),INDEX(Base!$U:$U,MATCH($A24,Base!$A:$A,0)),IF(L$1=INDEX('Valo FX'!$R:$R,MATCH($A24,'Valo FX'!$A:$A,0)),INDEX(Base!$V:$V,MATCH($A24,Base!$A:$A,0)),0)))</f>
        <v>10.200271000000001</v>
      </c>
      <c r="M24" s="21">
        <f>IF(M$1&lt;INDEX('Valo FX'!$Q:$Q,MATCH($A24,'Valo FX'!$A:$A,0)),0,IF(M$1&lt;INDEX('Valo FX'!$R:$R,MATCH($A24,'Valo FX'!$A:$A,0)),INDEX(Base!$U:$U,MATCH($A24,Base!$A:$A,0)),IF(M$1=INDEX('Valo FX'!$R:$R,MATCH($A24,'Valo FX'!$A:$A,0)),INDEX(Base!$V:$V,MATCH($A24,Base!$A:$A,0)),0)))</f>
        <v>10.200271000000001</v>
      </c>
      <c r="N24" s="21">
        <f>IF(N$1&lt;INDEX('Valo FX'!$Q:$Q,MATCH($A24,'Valo FX'!$A:$A,0)),0,IF(N$1&lt;INDEX('Valo FX'!$R:$R,MATCH($A24,'Valo FX'!$A:$A,0)),INDEX(Base!$U:$U,MATCH($A24,Base!$A:$A,0)),IF(N$1=INDEX('Valo FX'!$R:$R,MATCH($A24,'Valo FX'!$A:$A,0)),INDEX(Base!$V:$V,MATCH($A24,Base!$A:$A,0)),0)))</f>
        <v>10.200271000000001</v>
      </c>
      <c r="O24" s="21">
        <f>IF(O$1&lt;INDEX('Valo FX'!$Q:$Q,MATCH($A24,'Valo FX'!$A:$A,0)),0,IF(O$1&lt;INDEX('Valo FX'!$R:$R,MATCH($A24,'Valo FX'!$A:$A,0)),INDEX(Base!$U:$U,MATCH($A24,Base!$A:$A,0)),IF(O$1=INDEX('Valo FX'!$R:$R,MATCH($A24,'Valo FX'!$A:$A,0)),INDEX(Base!$V:$V,MATCH($A24,Base!$A:$A,0)),0)))</f>
        <v>10.200271000000001</v>
      </c>
      <c r="P24" s="21">
        <f>IF(P$1&lt;INDEX('Valo FX'!$Q:$Q,MATCH($A24,'Valo FX'!$A:$A,0)),0,IF(P$1&lt;INDEX('Valo FX'!$R:$R,MATCH($A24,'Valo FX'!$A:$A,0)),INDEX(Base!$U:$U,MATCH($A24,Base!$A:$A,0)),IF(P$1=INDEX('Valo FX'!$R:$R,MATCH($A24,'Valo FX'!$A:$A,0)),INDEX(Base!$V:$V,MATCH($A24,Base!$A:$A,0)),0)))</f>
        <v>10.200271000000001</v>
      </c>
      <c r="Q24" s="21">
        <f>IF(Q$1&lt;INDEX('Valo FX'!$Q:$Q,MATCH($A24,'Valo FX'!$A:$A,0)),0,IF(Q$1&lt;INDEX('Valo FX'!$R:$R,MATCH($A24,'Valo FX'!$A:$A,0)),INDEX(Base!$U:$U,MATCH($A24,Base!$A:$A,0)),IF(Q$1=INDEX('Valo FX'!$R:$R,MATCH($A24,'Valo FX'!$A:$A,0)),INDEX(Base!$V:$V,MATCH($A24,Base!$A:$A,0)),0)))</f>
        <v>10.200271000000001</v>
      </c>
      <c r="R24" s="21">
        <f>IF(R$1&lt;INDEX('Valo FX'!$Q:$Q,MATCH($A24,'Valo FX'!$A:$A,0)),0,IF(R$1&lt;INDEX('Valo FX'!$R:$R,MATCH($A24,'Valo FX'!$A:$A,0)),INDEX(Base!$U:$U,MATCH($A24,Base!$A:$A,0)),IF(R$1=INDEX('Valo FX'!$R:$R,MATCH($A24,'Valo FX'!$A:$A,0)),INDEX(Base!$V:$V,MATCH($A24,Base!$A:$A,0)),0)))</f>
        <v>10.200271000000001</v>
      </c>
      <c r="S24" s="21">
        <f>IF(S$1&lt;INDEX('Valo FX'!$Q:$Q,MATCH($A24,'Valo FX'!$A:$A,0)),0,IF(S$1&lt;INDEX('Valo FX'!$R:$R,MATCH($A24,'Valo FX'!$A:$A,0)),INDEX(Base!$U:$U,MATCH($A24,Base!$A:$A,0)),IF(S$1=INDEX('Valo FX'!$R:$R,MATCH($A24,'Valo FX'!$A:$A,0)),INDEX(Base!$V:$V,MATCH($A24,Base!$A:$A,0)),0)))</f>
        <v>10.200271000000001</v>
      </c>
      <c r="T24" s="21">
        <f>IF(T$1&lt;INDEX('Valo FX'!$Q:$Q,MATCH($A24,'Valo FX'!$A:$A,0)),0,IF(T$1&lt;INDEX('Valo FX'!$R:$R,MATCH($A24,'Valo FX'!$A:$A,0)),INDEX(Base!$U:$U,MATCH($A24,Base!$A:$A,0)),IF(T$1=INDEX('Valo FX'!$R:$R,MATCH($A24,'Valo FX'!$A:$A,0)),INDEX(Base!$V:$V,MATCH($A24,Base!$A:$A,0)),0)))</f>
        <v>10.200271000000001</v>
      </c>
      <c r="U24" s="21">
        <f>IF(U$1&lt;INDEX('Valo FX'!$Q:$Q,MATCH($A24,'Valo FX'!$A:$A,0)),0,IF(U$1&lt;INDEX('Valo FX'!$R:$R,MATCH($A24,'Valo FX'!$A:$A,0)),INDEX(Base!$U:$U,MATCH($A24,Base!$A:$A,0)),IF(U$1=INDEX('Valo FX'!$R:$R,MATCH($A24,'Valo FX'!$A:$A,0)),INDEX(Base!$V:$V,MATCH($A24,Base!$A:$A,0)),0)))</f>
        <v>10.200271000000001</v>
      </c>
      <c r="V24" s="21">
        <f>IF(V$1&lt;INDEX('Valo FX'!$Q:$Q,MATCH($A24,'Valo FX'!$A:$A,0)),0,IF(V$1&lt;INDEX('Valo FX'!$R:$R,MATCH($A24,'Valo FX'!$A:$A,0)),INDEX(Base!$U:$U,MATCH($A24,Base!$A:$A,0)),IF(V$1=INDEX('Valo FX'!$R:$R,MATCH($A24,'Valo FX'!$A:$A,0)),INDEX(Base!$V:$V,MATCH($A24,Base!$A:$A,0)),0)))</f>
        <v>10.200271000000001</v>
      </c>
      <c r="W24" s="21">
        <f>IF(W$1&lt;INDEX('Valo FX'!$Q:$Q,MATCH($A24,'Valo FX'!$A:$A,0)),0,IF(W$1&lt;INDEX('Valo FX'!$R:$R,MATCH($A24,'Valo FX'!$A:$A,0)),INDEX(Base!$U:$U,MATCH($A24,Base!$A:$A,0)),IF(W$1=INDEX('Valo FX'!$R:$R,MATCH($A24,'Valo FX'!$A:$A,0)),INDEX(Base!$V:$V,MATCH($A24,Base!$A:$A,0)),0)))</f>
        <v>10.200271000000001</v>
      </c>
      <c r="X24" s="21">
        <f>IF(X$1&lt;INDEX('Valo FX'!$Q:$Q,MATCH($A24,'Valo FX'!$A:$A,0)),0,IF(X$1&lt;INDEX('Valo FX'!$R:$R,MATCH($A24,'Valo FX'!$A:$A,0)),INDEX(Base!$U:$U,MATCH($A24,Base!$A:$A,0)),IF(X$1=INDEX('Valo FX'!$R:$R,MATCH($A24,'Valo FX'!$A:$A,0)),INDEX(Base!$V:$V,MATCH($A24,Base!$A:$A,0)),0)))</f>
        <v>10.200271000000001</v>
      </c>
      <c r="Y24" s="21">
        <f>IF(Y$1&lt;INDEX('Valo FX'!$Q:$Q,MATCH($A24,'Valo FX'!$A:$A,0)),0,IF(Y$1&lt;INDEX('Valo FX'!$R:$R,MATCH($A24,'Valo FX'!$A:$A,0)),INDEX(Base!$U:$U,MATCH($A24,Base!$A:$A,0)),IF(Y$1=INDEX('Valo FX'!$R:$R,MATCH($A24,'Valo FX'!$A:$A,0)),INDEX(Base!$V:$V,MATCH($A24,Base!$A:$A,0)),0)))</f>
        <v>10.200271000000001</v>
      </c>
      <c r="Z24" s="21">
        <f>IF(Z$1&lt;INDEX('Valo FX'!$Q:$Q,MATCH($A24,'Valo FX'!$A:$A,0)),0,IF(Z$1&lt;INDEX('Valo FX'!$R:$R,MATCH($A24,'Valo FX'!$A:$A,0)),INDEX(Base!$U:$U,MATCH($A24,Base!$A:$A,0)),IF(Z$1=INDEX('Valo FX'!$R:$R,MATCH($A24,'Valo FX'!$A:$A,0)),INDEX(Base!$V:$V,MATCH($A24,Base!$A:$A,0)),0)))</f>
        <v>10.200271000000001</v>
      </c>
      <c r="AA24" s="21">
        <f>IF(AA$1&lt;INDEX('Valo FX'!$Q:$Q,MATCH($A24,'Valo FX'!$A:$A,0)),0,IF(AA$1&lt;INDEX('Valo FX'!$R:$R,MATCH($A24,'Valo FX'!$A:$A,0)),INDEX(Base!$U:$U,MATCH($A24,Base!$A:$A,0)),IF(AA$1=INDEX('Valo FX'!$R:$R,MATCH($A24,'Valo FX'!$A:$A,0)),INDEX(Base!$V:$V,MATCH($A24,Base!$A:$A,0)),0)))</f>
        <v>10.200271000000001</v>
      </c>
      <c r="AB24" s="21">
        <f>IF(AB$1&lt;INDEX('Valo FX'!$Q:$Q,MATCH($A24,'Valo FX'!$A:$A,0)),0,IF(AB$1&lt;INDEX('Valo FX'!$R:$R,MATCH($A24,'Valo FX'!$A:$A,0)),INDEX(Base!$U:$U,MATCH($A24,Base!$A:$A,0)),IF(AB$1=INDEX('Valo FX'!$R:$R,MATCH($A24,'Valo FX'!$A:$A,0)),INDEX(Base!$V:$V,MATCH($A24,Base!$A:$A,0)),0)))</f>
        <v>10.200271000000001</v>
      </c>
      <c r="AC24" s="21">
        <f>IF(AC$1&lt;INDEX('Valo FX'!$Q:$Q,MATCH($A24,'Valo FX'!$A:$A,0)),0,IF(AC$1&lt;INDEX('Valo FX'!$R:$R,MATCH($A24,'Valo FX'!$A:$A,0)),INDEX(Base!$U:$U,MATCH($A24,Base!$A:$A,0)),IF(AC$1=INDEX('Valo FX'!$R:$R,MATCH($A24,'Valo FX'!$A:$A,0)),INDEX(Base!$V:$V,MATCH($A24,Base!$A:$A,0)),0)))</f>
        <v>10.200271000000001</v>
      </c>
      <c r="AD24" s="21">
        <f>IF(AD$1&lt;INDEX('Valo FX'!$Q:$Q,MATCH($A24,'Valo FX'!$A:$A,0)),0,IF(AD$1&lt;INDEX('Valo FX'!$R:$R,MATCH($A24,'Valo FX'!$A:$A,0)),INDEX(Base!$U:$U,MATCH($A24,Base!$A:$A,0)),IF(AD$1=INDEX('Valo FX'!$R:$R,MATCH($A24,'Valo FX'!$A:$A,0)),INDEX(Base!$V:$V,MATCH($A24,Base!$A:$A,0)),0)))</f>
        <v>10.200271000000001</v>
      </c>
      <c r="AE24" s="21">
        <f>IF(AE$1&lt;INDEX('Valo FX'!$Q:$Q,MATCH($A24,'Valo FX'!$A:$A,0)),0,IF(AE$1&lt;INDEX('Valo FX'!$R:$R,MATCH($A24,'Valo FX'!$A:$A,0)),INDEX(Base!$U:$U,MATCH($A24,Base!$A:$A,0)),IF(AE$1=INDEX('Valo FX'!$R:$R,MATCH($A24,'Valo FX'!$A:$A,0)),INDEX(Base!$V:$V,MATCH($A24,Base!$A:$A,0)),0)))</f>
        <v>10.200271000000001</v>
      </c>
      <c r="AF24" s="21">
        <f>IF(AF$1&lt;INDEX('Valo FX'!$Q:$Q,MATCH($A24,'Valo FX'!$A:$A,0)),0,IF(AF$1&lt;INDEX('Valo FX'!$R:$R,MATCH($A24,'Valo FX'!$A:$A,0)),INDEX(Base!$U:$U,MATCH($A24,Base!$A:$A,0)),IF(AF$1=INDEX('Valo FX'!$R:$R,MATCH($A24,'Valo FX'!$A:$A,0)),INDEX(Base!$V:$V,MATCH($A24,Base!$A:$A,0)),0)))</f>
        <v>10.200271000000001</v>
      </c>
      <c r="AG24" s="21">
        <f>IF(AG$1&lt;INDEX('Valo FX'!$Q:$Q,MATCH($A24,'Valo FX'!$A:$A,0)),0,IF(AG$1&lt;INDEX('Valo FX'!$R:$R,MATCH($A24,'Valo FX'!$A:$A,0)),INDEX(Base!$U:$U,MATCH($A24,Base!$A:$A,0)),IF(AG$1=INDEX('Valo FX'!$R:$R,MATCH($A24,'Valo FX'!$A:$A,0)),INDEX(Base!$V:$V,MATCH($A24,Base!$A:$A,0)),0)))</f>
        <v>10.200271000000001</v>
      </c>
      <c r="AH24" s="21">
        <f>IF(AH$1&lt;INDEX('Valo FX'!$Q:$Q,MATCH($A24,'Valo FX'!$A:$A,0)),0,IF(AH$1&lt;INDEX('Valo FX'!$R:$R,MATCH($A24,'Valo FX'!$A:$A,0)),INDEX(Base!$U:$U,MATCH($A24,Base!$A:$A,0)),IF(AH$1=INDEX('Valo FX'!$R:$R,MATCH($A24,'Valo FX'!$A:$A,0)),INDEX(Base!$V:$V,MATCH($A24,Base!$A:$A,0)),0)))</f>
        <v>10.200271000000001</v>
      </c>
      <c r="AI24" s="21">
        <f>IF(AI$1&lt;INDEX('Valo FX'!$Q:$Q,MATCH($A24,'Valo FX'!$A:$A,0)),0,IF(AI$1&lt;INDEX('Valo FX'!$R:$R,MATCH($A24,'Valo FX'!$A:$A,0)),INDEX(Base!$U:$U,MATCH($A24,Base!$A:$A,0)),IF(AI$1=INDEX('Valo FX'!$R:$R,MATCH($A24,'Valo FX'!$A:$A,0)),INDEX(Base!$V:$V,MATCH($A24,Base!$A:$A,0)),0)))</f>
        <v>10.200271000000001</v>
      </c>
      <c r="AJ24" s="21">
        <f>IF(AJ$1&lt;INDEX('Valo FX'!$Q:$Q,MATCH($A24,'Valo FX'!$A:$A,0)),0,IF(AJ$1&lt;INDEX('Valo FX'!$R:$R,MATCH($A24,'Valo FX'!$A:$A,0)),INDEX(Base!$U:$U,MATCH($A24,Base!$A:$A,0)),IF(AJ$1=INDEX('Valo FX'!$R:$R,MATCH($A24,'Valo FX'!$A:$A,0)),INDEX(Base!$V:$V,MATCH($A24,Base!$A:$A,0)),0)))</f>
        <v>10.200271000000001</v>
      </c>
      <c r="AK24" s="21">
        <f>IF(AK$1&lt;INDEX('Valo FX'!$Q:$Q,MATCH($A24,'Valo FX'!$A:$A,0)),0,IF(AK$1&lt;INDEX('Valo FX'!$R:$R,MATCH($A24,'Valo FX'!$A:$A,0)),INDEX(Base!$U:$U,MATCH($A24,Base!$A:$A,0)),IF(AK$1=INDEX('Valo FX'!$R:$R,MATCH($A24,'Valo FX'!$A:$A,0)),INDEX(Base!$V:$V,MATCH($A24,Base!$A:$A,0)),0)))</f>
        <v>10.200271000000001</v>
      </c>
      <c r="AL24" s="21">
        <f>IF(AL$1&lt;INDEX('Valo FX'!$Q:$Q,MATCH($A24,'Valo FX'!$A:$A,0)),0,IF(AL$1&lt;INDEX('Valo FX'!$R:$R,MATCH($A24,'Valo FX'!$A:$A,0)),INDEX(Base!$U:$U,MATCH($A24,Base!$A:$A,0)),IF(AL$1=INDEX('Valo FX'!$R:$R,MATCH($A24,'Valo FX'!$A:$A,0)),INDEX(Base!$V:$V,MATCH($A24,Base!$A:$A,0)),0)))</f>
        <v>10.200271000000001</v>
      </c>
      <c r="AM24" s="21">
        <f>IF(AM$1&lt;INDEX('Valo FX'!$Q:$Q,MATCH($A24,'Valo FX'!$A:$A,0)),0,IF(AM$1&lt;INDEX('Valo FX'!$R:$R,MATCH($A24,'Valo FX'!$A:$A,0)),INDEX(Base!$U:$U,MATCH($A24,Base!$A:$A,0)),IF(AM$1=INDEX('Valo FX'!$R:$R,MATCH($A24,'Valo FX'!$A:$A,0)),INDEX(Base!$V:$V,MATCH($A24,Base!$A:$A,0)),0)))</f>
        <v>10.200271000000001</v>
      </c>
      <c r="AN24" s="21">
        <f>IF(AN$1&lt;INDEX('Valo FX'!$Q:$Q,MATCH($A24,'Valo FX'!$A:$A,0)),0,IF(AN$1&lt;INDEX('Valo FX'!$R:$R,MATCH($A24,'Valo FX'!$A:$A,0)),INDEX(Base!$U:$U,MATCH($A24,Base!$A:$A,0)),IF(AN$1=INDEX('Valo FX'!$R:$R,MATCH($A24,'Valo FX'!$A:$A,0)),INDEX(Base!$V:$V,MATCH($A24,Base!$A:$A,0)),0)))</f>
        <v>10.200271000000001</v>
      </c>
      <c r="AO24" s="21">
        <f>IF(AO$1&lt;INDEX('Valo FX'!$Q:$Q,MATCH($A24,'Valo FX'!$A:$A,0)),0,IF(AO$1&lt;INDEX('Valo FX'!$R:$R,MATCH($A24,'Valo FX'!$A:$A,0)),INDEX(Base!$U:$U,MATCH($A24,Base!$A:$A,0)),IF(AO$1=INDEX('Valo FX'!$R:$R,MATCH($A24,'Valo FX'!$A:$A,0)),INDEX(Base!$V:$V,MATCH($A24,Base!$A:$A,0)),0)))</f>
        <v>10.200271000000001</v>
      </c>
      <c r="AP24" s="21">
        <f>IF(AP$1&lt;INDEX('Valo FX'!$Q:$Q,MATCH($A24,'Valo FX'!$A:$A,0)),0,IF(AP$1&lt;INDEX('Valo FX'!$R:$R,MATCH($A24,'Valo FX'!$A:$A,0)),INDEX(Base!$U:$U,MATCH($A24,Base!$A:$A,0)),IF(AP$1=INDEX('Valo FX'!$R:$R,MATCH($A24,'Valo FX'!$A:$A,0)),INDEX(Base!$V:$V,MATCH($A24,Base!$A:$A,0)),0)))</f>
        <v>10.200271000000001</v>
      </c>
      <c r="AQ24" s="21">
        <f>IF(AQ$1&lt;INDEX('Valo FX'!$Q:$Q,MATCH($A24,'Valo FX'!$A:$A,0)),0,IF(AQ$1&lt;INDEX('Valo FX'!$R:$R,MATCH($A24,'Valo FX'!$A:$A,0)),INDEX(Base!$U:$U,MATCH($A24,Base!$A:$A,0)),IF(AQ$1=INDEX('Valo FX'!$R:$R,MATCH($A24,'Valo FX'!$A:$A,0)),INDEX(Base!$V:$V,MATCH($A24,Base!$A:$A,0)),0)))</f>
        <v>10.200271000000001</v>
      </c>
      <c r="AR24" s="21">
        <f>IF(AR$1&lt;INDEX('Valo FX'!$Q:$Q,MATCH($A24,'Valo FX'!$A:$A,0)),0,IF(AR$1&lt;INDEX('Valo FX'!$R:$R,MATCH($A24,'Valo FX'!$A:$A,0)),INDEX(Base!$U:$U,MATCH($A24,Base!$A:$A,0)),IF(AR$1=INDEX('Valo FX'!$R:$R,MATCH($A24,'Valo FX'!$A:$A,0)),INDEX(Base!$V:$V,MATCH($A24,Base!$A:$A,0)),0)))</f>
        <v>10.200271000000001</v>
      </c>
      <c r="AS24" s="21">
        <f>IF(AS$1&lt;INDEX('Valo FX'!$Q:$Q,MATCH($A24,'Valo FX'!$A:$A,0)),0,IF(AS$1&lt;INDEX('Valo FX'!$R:$R,MATCH($A24,'Valo FX'!$A:$A,0)),INDEX(Base!$U:$U,MATCH($A24,Base!$A:$A,0)),IF(AS$1=INDEX('Valo FX'!$R:$R,MATCH($A24,'Valo FX'!$A:$A,0)),INDEX(Base!$V:$V,MATCH($A24,Base!$A:$A,0)),0)))</f>
        <v>10.200271000000001</v>
      </c>
      <c r="AT24" s="21">
        <f>IF(AT$1&lt;INDEX('Valo FX'!$Q:$Q,MATCH($A24,'Valo FX'!$A:$A,0)),0,IF(AT$1&lt;INDEX('Valo FX'!$R:$R,MATCH($A24,'Valo FX'!$A:$A,0)),INDEX(Base!$U:$U,MATCH($A24,Base!$A:$A,0)),IF(AT$1=INDEX('Valo FX'!$R:$R,MATCH($A24,'Valo FX'!$A:$A,0)),INDEX(Base!$V:$V,MATCH($A24,Base!$A:$A,0)),0)))</f>
        <v>10.200271000000001</v>
      </c>
      <c r="AU24" s="21">
        <f>IF(AU$1&lt;INDEX('Valo FX'!$Q:$Q,MATCH($A24,'Valo FX'!$A:$A,0)),0,IF(AU$1&lt;INDEX('Valo FX'!$R:$R,MATCH($A24,'Valo FX'!$A:$A,0)),INDEX(Base!$U:$U,MATCH($A24,Base!$A:$A,0)),IF(AU$1=INDEX('Valo FX'!$R:$R,MATCH($A24,'Valo FX'!$A:$A,0)),INDEX(Base!$V:$V,MATCH($A24,Base!$A:$A,0)),0)))</f>
        <v>10.200271000000001</v>
      </c>
      <c r="AV24" s="21">
        <f>IF(AV$1&lt;INDEX('Valo FX'!$Q:$Q,MATCH($A24,'Valo FX'!$A:$A,0)),0,IF(AV$1&lt;INDEX('Valo FX'!$R:$R,MATCH($A24,'Valo FX'!$A:$A,0)),INDEX(Base!$U:$U,MATCH($A24,Base!$A:$A,0)),IF(AV$1=INDEX('Valo FX'!$R:$R,MATCH($A24,'Valo FX'!$A:$A,0)),INDEX(Base!$V:$V,MATCH($A24,Base!$A:$A,0)),0)))</f>
        <v>10.200271000000001</v>
      </c>
      <c r="AW24" s="21">
        <f>IF(AW$1&lt;INDEX('Valo FX'!$Q:$Q,MATCH($A24,'Valo FX'!$A:$A,0)),0,IF(AW$1&lt;INDEX('Valo FX'!$R:$R,MATCH($A24,'Valo FX'!$A:$A,0)),INDEX(Base!$U:$U,MATCH($A24,Base!$A:$A,0)),IF(AW$1=INDEX('Valo FX'!$R:$R,MATCH($A24,'Valo FX'!$A:$A,0)),INDEX(Base!$V:$V,MATCH($A24,Base!$A:$A,0)),0)))</f>
        <v>10.200271000000001</v>
      </c>
      <c r="AX24" s="21">
        <f>IF(AX$1&lt;INDEX('Valo FX'!$Q:$Q,MATCH($A24,'Valo FX'!$A:$A,0)),0,IF(AX$1&lt;INDEX('Valo FX'!$R:$R,MATCH($A24,'Valo FX'!$A:$A,0)),INDEX(Base!$U:$U,MATCH($A24,Base!$A:$A,0)),IF(AX$1=INDEX('Valo FX'!$R:$R,MATCH($A24,'Valo FX'!$A:$A,0)),INDEX(Base!$V:$V,MATCH($A24,Base!$A:$A,0)),0)))</f>
        <v>10.200271000000001</v>
      </c>
      <c r="AY24" s="21">
        <f>IF(AY$1&lt;INDEX('Valo FX'!$Q:$Q,MATCH($A24,'Valo FX'!$A:$A,0)),0,IF(AY$1&lt;INDEX('Valo FX'!$R:$R,MATCH($A24,'Valo FX'!$A:$A,0)),INDEX(Base!$U:$U,MATCH($A24,Base!$A:$A,0)),IF(AY$1=INDEX('Valo FX'!$R:$R,MATCH($A24,'Valo FX'!$A:$A,0)),INDEX(Base!$V:$V,MATCH($A24,Base!$A:$A,0)),0)))</f>
        <v>10.200271000000001</v>
      </c>
      <c r="AZ24" s="21">
        <f>IF(AZ$1&lt;INDEX('Valo FX'!$Q:$Q,MATCH($A24,'Valo FX'!$A:$A,0)),0,IF(AZ$1&lt;INDEX('Valo FX'!$R:$R,MATCH($A24,'Valo FX'!$A:$A,0)),INDEX(Base!$U:$U,MATCH($A24,Base!$A:$A,0)),IF(AZ$1=INDEX('Valo FX'!$R:$R,MATCH($A24,'Valo FX'!$A:$A,0)),INDEX(Base!$V:$V,MATCH($A24,Base!$A:$A,0)),0)))</f>
        <v>10.200271000000001</v>
      </c>
      <c r="BA24" s="21">
        <f>IF(BA$1&lt;INDEX('Valo FX'!$Q:$Q,MATCH($A24,'Valo FX'!$A:$A,0)),0,IF(BA$1&lt;INDEX('Valo FX'!$R:$R,MATCH($A24,'Valo FX'!$A:$A,0)),INDEX(Base!$U:$U,MATCH($A24,Base!$A:$A,0)),IF(BA$1=INDEX('Valo FX'!$R:$R,MATCH($A24,'Valo FX'!$A:$A,0)),INDEX(Base!$V:$V,MATCH($A24,Base!$A:$A,0)),0)))</f>
        <v>10.200271000000001</v>
      </c>
      <c r="BB24" s="21">
        <f>IF(BB$1&lt;INDEX('Valo FX'!$Q:$Q,MATCH($A24,'Valo FX'!$A:$A,0)),0,IF(BB$1&lt;INDEX('Valo FX'!$R:$R,MATCH($A24,'Valo FX'!$A:$A,0)),INDEX(Base!$U:$U,MATCH($A24,Base!$A:$A,0)),IF(BB$1=INDEX('Valo FX'!$R:$R,MATCH($A24,'Valo FX'!$A:$A,0)),INDEX(Base!$V:$V,MATCH($A24,Base!$A:$A,0)),0)))</f>
        <v>10.200271000000001</v>
      </c>
      <c r="BC24" s="21">
        <f>IF(BC$1&lt;INDEX('Valo FX'!$Q:$Q,MATCH($A24,'Valo FX'!$A:$A,0)),0,IF(BC$1&lt;INDEX('Valo FX'!$R:$R,MATCH($A24,'Valo FX'!$A:$A,0)),INDEX(Base!$U:$U,MATCH($A24,Base!$A:$A,0)),IF(BC$1=INDEX('Valo FX'!$R:$R,MATCH($A24,'Valo FX'!$A:$A,0)),INDEX(Base!$V:$V,MATCH($A24,Base!$A:$A,0)),0)))</f>
        <v>10.200271000000001</v>
      </c>
      <c r="BD24" s="21">
        <f>IF(BD$1&lt;INDEX('Valo FX'!$Q:$Q,MATCH($A24,'Valo FX'!$A:$A,0)),0,IF(BD$1&lt;INDEX('Valo FX'!$R:$R,MATCH($A24,'Valo FX'!$A:$A,0)),INDEX(Base!$U:$U,MATCH($A24,Base!$A:$A,0)),IF(BD$1=INDEX('Valo FX'!$R:$R,MATCH($A24,'Valo FX'!$A:$A,0)),INDEX(Base!$V:$V,MATCH($A24,Base!$A:$A,0)),0)))</f>
        <v>10.200271000000001</v>
      </c>
      <c r="BE24" s="21">
        <f>IF(BE$1&lt;INDEX('Valo FX'!$Q:$Q,MATCH($A24,'Valo FX'!$A:$A,0)),0,IF(BE$1&lt;INDEX('Valo FX'!$R:$R,MATCH($A24,'Valo FX'!$A:$A,0)),INDEX(Base!$U:$U,MATCH($A24,Base!$A:$A,0)),IF(BE$1=INDEX('Valo FX'!$R:$R,MATCH($A24,'Valo FX'!$A:$A,0)),INDEX(Base!$V:$V,MATCH($A24,Base!$A:$A,0)),0)))</f>
        <v>10.200271000000001</v>
      </c>
      <c r="BF24" s="21">
        <f>IF(BF$1&lt;INDEX('Valo FX'!$Q:$Q,MATCH($A24,'Valo FX'!$A:$A,0)),0,IF(BF$1&lt;INDEX('Valo FX'!$R:$R,MATCH($A24,'Valo FX'!$A:$A,0)),INDEX(Base!$U:$U,MATCH($A24,Base!$A:$A,0)),IF(BF$1=INDEX('Valo FX'!$R:$R,MATCH($A24,'Valo FX'!$A:$A,0)),INDEX(Base!$V:$V,MATCH($A24,Base!$A:$A,0)),0)))</f>
        <v>10.200271000000001</v>
      </c>
      <c r="BG24" s="21">
        <f>IF(BG$1&lt;INDEX('Valo FX'!$Q:$Q,MATCH($A24,'Valo FX'!$A:$A,0)),0,IF(BG$1&lt;INDEX('Valo FX'!$R:$R,MATCH($A24,'Valo FX'!$A:$A,0)),INDEX(Base!$U:$U,MATCH($A24,Base!$A:$A,0)),IF(BG$1=INDEX('Valo FX'!$R:$R,MATCH($A24,'Valo FX'!$A:$A,0)),INDEX(Base!$V:$V,MATCH($A24,Base!$A:$A,0)),0)))</f>
        <v>10.200271000000001</v>
      </c>
      <c r="BH24" s="21">
        <f>IF(BH$1&lt;INDEX('Valo FX'!$Q:$Q,MATCH($A24,'Valo FX'!$A:$A,0)),0,IF(BH$1&lt;INDEX('Valo FX'!$R:$R,MATCH($A24,'Valo FX'!$A:$A,0)),INDEX(Base!$U:$U,MATCH($A24,Base!$A:$A,0)),IF(BH$1=INDEX('Valo FX'!$R:$R,MATCH($A24,'Valo FX'!$A:$A,0)),INDEX(Base!$V:$V,MATCH($A24,Base!$A:$A,0)),0)))</f>
        <v>10.200271000000001</v>
      </c>
      <c r="BI24" s="21">
        <f>IF(BI$1&lt;INDEX('Valo FX'!$Q:$Q,MATCH($A24,'Valo FX'!$A:$A,0)),0,IF(BI$1&lt;INDEX('Valo FX'!$R:$R,MATCH($A24,'Valo FX'!$A:$A,0)),INDEX(Base!$U:$U,MATCH($A24,Base!$A:$A,0)),IF(BI$1=INDEX('Valo FX'!$R:$R,MATCH($A24,'Valo FX'!$A:$A,0)),INDEX(Base!$V:$V,MATCH($A24,Base!$A:$A,0)),0)))</f>
        <v>10.200271000000001</v>
      </c>
      <c r="BJ24" s="21">
        <f>IF(BJ$1&lt;INDEX('Valo FX'!$Q:$Q,MATCH($A24,'Valo FX'!$A:$A,0)),0,IF(BJ$1&lt;INDEX('Valo FX'!$R:$R,MATCH($A24,'Valo FX'!$A:$A,0)),INDEX(Base!$U:$U,MATCH($A24,Base!$A:$A,0)),IF(BJ$1=INDEX('Valo FX'!$R:$R,MATCH($A24,'Valo FX'!$A:$A,0)),INDEX(Base!$V:$V,MATCH($A24,Base!$A:$A,0)),0)))</f>
        <v>10.200271000000001</v>
      </c>
      <c r="BK24" s="21">
        <f>IF(BK$1&lt;INDEX('Valo FX'!$Q:$Q,MATCH($A24,'Valo FX'!$A:$A,0)),0,IF(BK$1&lt;INDEX('Valo FX'!$R:$R,MATCH($A24,'Valo FX'!$A:$A,0)),INDEX(Base!$U:$U,MATCH($A24,Base!$A:$A,0)),IF(BK$1=INDEX('Valo FX'!$R:$R,MATCH($A24,'Valo FX'!$A:$A,0)),INDEX(Base!$V:$V,MATCH($A24,Base!$A:$A,0)),0)))</f>
        <v>10.200271000000001</v>
      </c>
      <c r="BL24" s="21">
        <f>IF(BL$1&lt;INDEX('Valo FX'!$Q:$Q,MATCH($A24,'Valo FX'!$A:$A,0)),0,IF(BL$1&lt;INDEX('Valo FX'!$R:$R,MATCH($A24,'Valo FX'!$A:$A,0)),INDEX(Base!$U:$U,MATCH($A24,Base!$A:$A,0)),IF(BL$1=INDEX('Valo FX'!$R:$R,MATCH($A24,'Valo FX'!$A:$A,0)),INDEX(Base!$V:$V,MATCH($A24,Base!$A:$A,0)),0)))</f>
        <v>10.200271000000001</v>
      </c>
      <c r="BM24" s="21">
        <f>IF(BM$1&lt;INDEX('Valo FX'!$Q:$Q,MATCH($A24,'Valo FX'!$A:$A,0)),0,IF(BM$1&lt;INDEX('Valo FX'!$R:$R,MATCH($A24,'Valo FX'!$A:$A,0)),INDEX(Base!$U:$U,MATCH($A24,Base!$A:$A,0)),IF(BM$1=INDEX('Valo FX'!$R:$R,MATCH($A24,'Valo FX'!$A:$A,0)),INDEX(Base!$V:$V,MATCH($A24,Base!$A:$A,0)),0)))</f>
        <v>10.200271000000001</v>
      </c>
      <c r="BN24" s="21">
        <f>IF(BN$1&lt;INDEX('Valo FX'!$Q:$Q,MATCH($A24,'Valo FX'!$A:$A,0)),0,IF(BN$1&lt;INDEX('Valo FX'!$R:$R,MATCH($A24,'Valo FX'!$A:$A,0)),INDEX(Base!$U:$U,MATCH($A24,Base!$A:$A,0)),IF(BN$1=INDEX('Valo FX'!$R:$R,MATCH($A24,'Valo FX'!$A:$A,0)),INDEX(Base!$V:$V,MATCH($A24,Base!$A:$A,0)),0)))</f>
        <v>10.200271000000001</v>
      </c>
      <c r="BO24" s="21">
        <f>IF(BO$1&lt;INDEX('Valo FX'!$Q:$Q,MATCH($A24,'Valo FX'!$A:$A,0)),0,IF(BO$1&lt;INDEX('Valo FX'!$R:$R,MATCH($A24,'Valo FX'!$A:$A,0)),INDEX(Base!$U:$U,MATCH($A24,Base!$A:$A,0)),IF(BO$1=INDEX('Valo FX'!$R:$R,MATCH($A24,'Valo FX'!$A:$A,0)),INDEX(Base!$V:$V,MATCH($A24,Base!$A:$A,0)),0)))</f>
        <v>10.200271000000001</v>
      </c>
      <c r="BP24" s="21">
        <f>IF(BP$1&lt;INDEX('Valo FX'!$Q:$Q,MATCH($A24,'Valo FX'!$A:$A,0)),0,IF(BP$1&lt;INDEX('Valo FX'!$R:$R,MATCH($A24,'Valo FX'!$A:$A,0)),INDEX(Base!$U:$U,MATCH($A24,Base!$A:$A,0)),IF(BP$1=INDEX('Valo FX'!$R:$R,MATCH($A24,'Valo FX'!$A:$A,0)),INDEX(Base!$V:$V,MATCH($A24,Base!$A:$A,0)),0)))</f>
        <v>10.200271000000001</v>
      </c>
      <c r="BQ24" s="21">
        <f>IF(BQ$1&lt;INDEX('Valo FX'!$Q:$Q,MATCH($A24,'Valo FX'!$A:$A,0)),0,IF(BQ$1&lt;INDEX('Valo FX'!$R:$R,MATCH($A24,'Valo FX'!$A:$A,0)),INDEX(Base!$U:$U,MATCH($A24,Base!$A:$A,0)),IF(BQ$1=INDEX('Valo FX'!$R:$R,MATCH($A24,'Valo FX'!$A:$A,0)),INDEX(Base!$V:$V,MATCH($A24,Base!$A:$A,0)),0)))</f>
        <v>10.200271000000001</v>
      </c>
      <c r="BR24" s="21">
        <f>IF(BR$1&lt;INDEX('Valo FX'!$Q:$Q,MATCH($A24,'Valo FX'!$A:$A,0)),0,IF(BR$1&lt;INDEX('Valo FX'!$R:$R,MATCH($A24,'Valo FX'!$A:$A,0)),INDEX(Base!$U:$U,MATCH($A24,Base!$A:$A,0)),IF(BR$1=INDEX('Valo FX'!$R:$R,MATCH($A24,'Valo FX'!$A:$A,0)),INDEX(Base!$V:$V,MATCH($A24,Base!$A:$A,0)),0)))</f>
        <v>10.200271000000001</v>
      </c>
      <c r="BS24" s="21">
        <f>IF(BS$1&lt;INDEX('Valo FX'!$Q:$Q,MATCH($A24,'Valo FX'!$A:$A,0)),0,IF(BS$1&lt;INDEX('Valo FX'!$R:$R,MATCH($A24,'Valo FX'!$A:$A,0)),INDEX(Base!$U:$U,MATCH($A24,Base!$A:$A,0)),IF(BS$1=INDEX('Valo FX'!$R:$R,MATCH($A24,'Valo FX'!$A:$A,0)),INDEX(Base!$V:$V,MATCH($A24,Base!$A:$A,0)),0)))</f>
        <v>10.200271000000001</v>
      </c>
      <c r="BT24" s="21">
        <f>IF(BT$1&lt;INDEX('Valo FX'!$Q:$Q,MATCH($A24,'Valo FX'!$A:$A,0)),0,IF(BT$1&lt;INDEX('Valo FX'!$R:$R,MATCH($A24,'Valo FX'!$A:$A,0)),INDEX(Base!$U:$U,MATCH($A24,Base!$A:$A,0)),IF(BT$1=INDEX('Valo FX'!$R:$R,MATCH($A24,'Valo FX'!$A:$A,0)),INDEX(Base!$V:$V,MATCH($A24,Base!$A:$A,0)),0)))</f>
        <v>10.200271000000001</v>
      </c>
      <c r="BU24" s="21">
        <f>IF(BU$1&lt;INDEX('Valo FX'!$Q:$Q,MATCH($A24,'Valo FX'!$A:$A,0)),0,IF(BU$1&lt;INDEX('Valo FX'!$R:$R,MATCH($A24,'Valo FX'!$A:$A,0)),INDEX(Base!$U:$U,MATCH($A24,Base!$A:$A,0)),IF(BU$1=INDEX('Valo FX'!$R:$R,MATCH($A24,'Valo FX'!$A:$A,0)),INDEX(Base!$V:$V,MATCH($A24,Base!$A:$A,0)),0)))</f>
        <v>10.200271000000001</v>
      </c>
      <c r="BV24" s="21">
        <f>IF(BV$1&lt;INDEX('Valo FX'!$Q:$Q,MATCH($A24,'Valo FX'!$A:$A,0)),0,IF(BV$1&lt;INDEX('Valo FX'!$R:$R,MATCH($A24,'Valo FX'!$A:$A,0)),INDEX(Base!$U:$U,MATCH($A24,Base!$A:$A,0)),IF(BV$1=INDEX('Valo FX'!$R:$R,MATCH($A24,'Valo FX'!$A:$A,0)),INDEX(Base!$V:$V,MATCH($A24,Base!$A:$A,0)),0)))</f>
        <v>10.200271000000001</v>
      </c>
      <c r="BW24" s="21">
        <f>IF(BW$1&lt;INDEX('Valo FX'!$Q:$Q,MATCH($A24,'Valo FX'!$A:$A,0)),0,IF(BW$1&lt;INDEX('Valo FX'!$R:$R,MATCH($A24,'Valo FX'!$A:$A,0)),INDEX(Base!$U:$U,MATCH($A24,Base!$A:$A,0)),IF(BW$1=INDEX('Valo FX'!$R:$R,MATCH($A24,'Valo FX'!$A:$A,0)),INDEX(Base!$V:$V,MATCH($A24,Base!$A:$A,0)),0)))</f>
        <v>10.200271000000001</v>
      </c>
      <c r="BX24" s="21">
        <f>IF(BX$1&lt;INDEX('Valo FX'!$Q:$Q,MATCH($A24,'Valo FX'!$A:$A,0)),0,IF(BX$1&lt;INDEX('Valo FX'!$R:$R,MATCH($A24,'Valo FX'!$A:$A,0)),INDEX(Base!$U:$U,MATCH($A24,Base!$A:$A,0)),IF(BX$1=INDEX('Valo FX'!$R:$R,MATCH($A24,'Valo FX'!$A:$A,0)),INDEX(Base!$V:$V,MATCH($A24,Base!$A:$A,0)),0)))</f>
        <v>10.200271000000001</v>
      </c>
      <c r="BY24" s="21">
        <f>IF(BY$1&lt;INDEX('Valo FX'!$Q:$Q,MATCH($A24,'Valo FX'!$A:$A,0)),0,IF(BY$1&lt;INDEX('Valo FX'!$R:$R,MATCH($A24,'Valo FX'!$A:$A,0)),INDEX(Base!$U:$U,MATCH($A24,Base!$A:$A,0)),IF(BY$1=INDEX('Valo FX'!$R:$R,MATCH($A24,'Valo FX'!$A:$A,0)),INDEX(Base!$V:$V,MATCH($A24,Base!$A:$A,0)),0)))</f>
        <v>10.200271000000001</v>
      </c>
      <c r="BZ24" s="21">
        <f>IF(BZ$1&lt;INDEX('Valo FX'!$Q:$Q,MATCH($A24,'Valo FX'!$A:$A,0)),0,IF(BZ$1&lt;INDEX('Valo FX'!$R:$R,MATCH($A24,'Valo FX'!$A:$A,0)),INDEX(Base!$U:$U,MATCH($A24,Base!$A:$A,0)),IF(BZ$1=INDEX('Valo FX'!$R:$R,MATCH($A24,'Valo FX'!$A:$A,0)),INDEX(Base!$V:$V,MATCH($A24,Base!$A:$A,0)),0)))</f>
        <v>10.200271000000001</v>
      </c>
      <c r="CA24" s="21">
        <f>IF(CA$1&lt;INDEX('Valo FX'!$Q:$Q,MATCH($A24,'Valo FX'!$A:$A,0)),0,IF(CA$1&lt;INDEX('Valo FX'!$R:$R,MATCH($A24,'Valo FX'!$A:$A,0)),INDEX(Base!$U:$U,MATCH($A24,Base!$A:$A,0)),IF(CA$1=INDEX('Valo FX'!$R:$R,MATCH($A24,'Valo FX'!$A:$A,0)),INDEX(Base!$V:$V,MATCH($A24,Base!$A:$A,0)),0)))</f>
        <v>10.200271000000001</v>
      </c>
      <c r="CB24" s="21">
        <f>IF(CB$1&lt;INDEX('Valo FX'!$Q:$Q,MATCH($A24,'Valo FX'!$A:$A,0)),0,IF(CB$1&lt;INDEX('Valo FX'!$R:$R,MATCH($A24,'Valo FX'!$A:$A,0)),INDEX(Base!$U:$U,MATCH($A24,Base!$A:$A,0)),IF(CB$1=INDEX('Valo FX'!$R:$R,MATCH($A24,'Valo FX'!$A:$A,0)),INDEX(Base!$V:$V,MATCH($A24,Base!$A:$A,0)),0)))</f>
        <v>10.200271000000001</v>
      </c>
      <c r="CC24" s="21">
        <f>IF(CC$1&lt;INDEX('Valo FX'!$Q:$Q,MATCH($A24,'Valo FX'!$A:$A,0)),0,IF(CC$1&lt;INDEX('Valo FX'!$R:$R,MATCH($A24,'Valo FX'!$A:$A,0)),INDEX(Base!$U:$U,MATCH($A24,Base!$A:$A,0)),IF(CC$1=INDEX('Valo FX'!$R:$R,MATCH($A24,'Valo FX'!$A:$A,0)),INDEX(Base!$V:$V,MATCH($A24,Base!$A:$A,0)),0)))</f>
        <v>10.200271000000001</v>
      </c>
      <c r="CD24" s="21">
        <f>IF(CD$1&lt;INDEX('Valo FX'!$Q:$Q,MATCH($A24,'Valo FX'!$A:$A,0)),0,IF(CD$1&lt;INDEX('Valo FX'!$R:$R,MATCH($A24,'Valo FX'!$A:$A,0)),INDEX(Base!$U:$U,MATCH($A24,Base!$A:$A,0)),IF(CD$1=INDEX('Valo FX'!$R:$R,MATCH($A24,'Valo FX'!$A:$A,0)),INDEX(Base!$V:$V,MATCH($A24,Base!$A:$A,0)),0)))</f>
        <v>10.200271000000001</v>
      </c>
      <c r="CE24" s="21">
        <f>IF(CE$1&lt;INDEX('Valo FX'!$Q:$Q,MATCH($A24,'Valo FX'!$A:$A,0)),0,IF(CE$1&lt;INDEX('Valo FX'!$R:$R,MATCH($A24,'Valo FX'!$A:$A,0)),INDEX(Base!$U:$U,MATCH($A24,Base!$A:$A,0)),IF(CE$1=INDEX('Valo FX'!$R:$R,MATCH($A24,'Valo FX'!$A:$A,0)),INDEX(Base!$V:$V,MATCH($A24,Base!$A:$A,0)),0)))</f>
        <v>10.200271000000001</v>
      </c>
      <c r="CF24" s="21">
        <f>IF(CF$1&lt;INDEX('Valo FX'!$Q:$Q,MATCH($A24,'Valo FX'!$A:$A,0)),0,IF(CF$1&lt;INDEX('Valo FX'!$R:$R,MATCH($A24,'Valo FX'!$A:$A,0)),INDEX(Base!$U:$U,MATCH($A24,Base!$A:$A,0)),IF(CF$1=INDEX('Valo FX'!$R:$R,MATCH($A24,'Valo FX'!$A:$A,0)),INDEX(Base!$V:$V,MATCH($A24,Base!$A:$A,0)),0)))</f>
        <v>10.200271000000001</v>
      </c>
      <c r="CG24" s="21">
        <f>IF(CG$1&lt;INDEX('Valo FX'!$Q:$Q,MATCH($A24,'Valo FX'!$A:$A,0)),0,IF(CG$1&lt;INDEX('Valo FX'!$R:$R,MATCH($A24,'Valo FX'!$A:$A,0)),INDEX(Base!$U:$U,MATCH($A24,Base!$A:$A,0)),IF(CG$1=INDEX('Valo FX'!$R:$R,MATCH($A24,'Valo FX'!$A:$A,0)),INDEX(Base!$V:$V,MATCH($A24,Base!$A:$A,0)),0)))</f>
        <v>10.200271000000001</v>
      </c>
      <c r="CH24" s="21">
        <f>IF(CH$1&lt;INDEX('Valo FX'!$Q:$Q,MATCH($A24,'Valo FX'!$A:$A,0)),0,IF(CH$1&lt;INDEX('Valo FX'!$R:$R,MATCH($A24,'Valo FX'!$A:$A,0)),INDEX(Base!$U:$U,MATCH($A24,Base!$A:$A,0)),IF(CH$1=INDEX('Valo FX'!$R:$R,MATCH($A24,'Valo FX'!$A:$A,0)),INDEX(Base!$V:$V,MATCH($A24,Base!$A:$A,0)),0)))</f>
        <v>10.200271000000001</v>
      </c>
      <c r="CI24" s="21">
        <f>IF(CI$1&lt;INDEX('Valo FX'!$Q:$Q,MATCH($A24,'Valo FX'!$A:$A,0)),0,IF(CI$1&lt;INDEX('Valo FX'!$R:$R,MATCH($A24,'Valo FX'!$A:$A,0)),INDEX(Base!$U:$U,MATCH($A24,Base!$A:$A,0)),IF(CI$1=INDEX('Valo FX'!$R:$R,MATCH($A24,'Valo FX'!$A:$A,0)),INDEX(Base!$V:$V,MATCH($A24,Base!$A:$A,0)),0)))</f>
        <v>10.200271000000001</v>
      </c>
      <c r="CJ24" s="21">
        <f>IF(CJ$1&lt;INDEX('Valo FX'!$Q:$Q,MATCH($A24,'Valo FX'!$A:$A,0)),0,IF(CJ$1&lt;INDEX('Valo FX'!$R:$R,MATCH($A24,'Valo FX'!$A:$A,0)),INDEX(Base!$U:$U,MATCH($A24,Base!$A:$A,0)),IF(CJ$1=INDEX('Valo FX'!$R:$R,MATCH($A24,'Valo FX'!$A:$A,0)),INDEX(Base!$V:$V,MATCH($A24,Base!$A:$A,0)),0)))</f>
        <v>10.200271000000001</v>
      </c>
      <c r="CK24" s="21">
        <f>IF(CK$1&lt;INDEX('Valo FX'!$Q:$Q,MATCH($A24,'Valo FX'!$A:$A,0)),0,IF(CK$1&lt;INDEX('Valo FX'!$R:$R,MATCH($A24,'Valo FX'!$A:$A,0)),INDEX(Base!$U:$U,MATCH($A24,Base!$A:$A,0)),IF(CK$1=INDEX('Valo FX'!$R:$R,MATCH($A24,'Valo FX'!$A:$A,0)),INDEX(Base!$V:$V,MATCH($A24,Base!$A:$A,0)),0)))</f>
        <v>10.200271000000001</v>
      </c>
      <c r="CL24" s="21">
        <f>IF(CL$1&lt;INDEX('Valo FX'!$Q:$Q,MATCH($A24,'Valo FX'!$A:$A,0)),0,IF(CL$1&lt;INDEX('Valo FX'!$R:$R,MATCH($A24,'Valo FX'!$A:$A,0)),INDEX(Base!$U:$U,MATCH($A24,Base!$A:$A,0)),IF(CL$1=INDEX('Valo FX'!$R:$R,MATCH($A24,'Valo FX'!$A:$A,0)),INDEX(Base!$V:$V,MATCH($A24,Base!$A:$A,0)),0)))</f>
        <v>10.200271000000001</v>
      </c>
      <c r="CM24" s="21">
        <f>IF(CM$1&lt;INDEX('Valo FX'!$Q:$Q,MATCH($A24,'Valo FX'!$A:$A,0)),0,IF(CM$1&lt;INDEX('Valo FX'!$R:$R,MATCH($A24,'Valo FX'!$A:$A,0)),INDEX(Base!$U:$U,MATCH($A24,Base!$A:$A,0)),IF(CM$1=INDEX('Valo FX'!$R:$R,MATCH($A24,'Valo FX'!$A:$A,0)),INDEX(Base!$V:$V,MATCH($A24,Base!$A:$A,0)),0)))</f>
        <v>10.200271000000001</v>
      </c>
      <c r="CN24" s="21">
        <f>IF(CN$1&lt;INDEX('Valo FX'!$Q:$Q,MATCH($A24,'Valo FX'!$A:$A,0)),0,IF(CN$1&lt;INDEX('Valo FX'!$R:$R,MATCH($A24,'Valo FX'!$A:$A,0)),INDEX(Base!$U:$U,MATCH($A24,Base!$A:$A,0)),IF(CN$1=INDEX('Valo FX'!$R:$R,MATCH($A24,'Valo FX'!$A:$A,0)),INDEX(Base!$V:$V,MATCH($A24,Base!$A:$A,0)),0)))</f>
        <v>10.200271000000001</v>
      </c>
      <c r="CO24" s="21">
        <f>IF(CO$1&lt;INDEX('Valo FX'!$Q:$Q,MATCH($A24,'Valo FX'!$A:$A,0)),0,IF(CO$1&lt;INDEX('Valo FX'!$R:$R,MATCH($A24,'Valo FX'!$A:$A,0)),INDEX(Base!$U:$U,MATCH($A24,Base!$A:$A,0)),IF(CO$1=INDEX('Valo FX'!$R:$R,MATCH($A24,'Valo FX'!$A:$A,0)),INDEX(Base!$V:$V,MATCH($A24,Base!$A:$A,0)),0)))</f>
        <v>10.200271000000001</v>
      </c>
      <c r="CP24" s="21">
        <f>IF(CP$1&lt;INDEX('Valo FX'!$Q:$Q,MATCH($A24,'Valo FX'!$A:$A,0)),0,IF(CP$1&lt;INDEX('Valo FX'!$R:$R,MATCH($A24,'Valo FX'!$A:$A,0)),INDEX(Base!$U:$U,MATCH($A24,Base!$A:$A,0)),IF(CP$1=INDEX('Valo FX'!$R:$R,MATCH($A24,'Valo FX'!$A:$A,0)),INDEX(Base!$V:$V,MATCH($A24,Base!$A:$A,0)),0)))</f>
        <v>10.200271000000001</v>
      </c>
      <c r="CQ24" s="21">
        <f>IF(CQ$1&lt;INDEX('Valo FX'!$Q:$Q,MATCH($A24,'Valo FX'!$A:$A,0)),0,IF(CQ$1&lt;INDEX('Valo FX'!$R:$R,MATCH($A24,'Valo FX'!$A:$A,0)),INDEX(Base!$U:$U,MATCH($A24,Base!$A:$A,0)),IF(CQ$1=INDEX('Valo FX'!$R:$R,MATCH($A24,'Valo FX'!$A:$A,0)),INDEX(Base!$V:$V,MATCH($A24,Base!$A:$A,0)),0)))</f>
        <v>10.200271000000001</v>
      </c>
      <c r="CR24" s="21">
        <f>IF(CR$1&lt;INDEX('Valo FX'!$Q:$Q,MATCH($A24,'Valo FX'!$A:$A,0)),0,IF(CR$1&lt;INDEX('Valo FX'!$R:$R,MATCH($A24,'Valo FX'!$A:$A,0)),INDEX(Base!$U:$U,MATCH($A24,Base!$A:$A,0)),IF(CR$1=INDEX('Valo FX'!$R:$R,MATCH($A24,'Valo FX'!$A:$A,0)),INDEX(Base!$V:$V,MATCH($A24,Base!$A:$A,0)),0)))</f>
        <v>10.200271000000001</v>
      </c>
      <c r="CS24" s="21">
        <f>IF(CS$1&lt;INDEX('Valo FX'!$Q:$Q,MATCH($A24,'Valo FX'!$A:$A,0)),0,IF(CS$1&lt;INDEX('Valo FX'!$R:$R,MATCH($A24,'Valo FX'!$A:$A,0)),INDEX(Base!$U:$U,MATCH($A24,Base!$A:$A,0)),IF(CS$1=INDEX('Valo FX'!$R:$R,MATCH($A24,'Valo FX'!$A:$A,0)),INDEX(Base!$V:$V,MATCH($A24,Base!$A:$A,0)),0)))</f>
        <v>10.200271000000001</v>
      </c>
      <c r="CT24" s="21">
        <f>IF(CT$1&lt;INDEX('Valo FX'!$Q:$Q,MATCH($A24,'Valo FX'!$A:$A,0)),0,IF(CT$1&lt;INDEX('Valo FX'!$R:$R,MATCH($A24,'Valo FX'!$A:$A,0)),INDEX(Base!$U:$U,MATCH($A24,Base!$A:$A,0)),IF(CT$1=INDEX('Valo FX'!$R:$R,MATCH($A24,'Valo FX'!$A:$A,0)),INDEX(Base!$V:$V,MATCH($A24,Base!$A:$A,0)),0)))</f>
        <v>10.200271000000001</v>
      </c>
      <c r="CU24" s="21">
        <f>IF(CU$1&lt;INDEX('Valo FX'!$Q:$Q,MATCH($A24,'Valo FX'!$A:$A,0)),0,IF(CU$1&lt;INDEX('Valo FX'!$R:$R,MATCH($A24,'Valo FX'!$A:$A,0)),INDEX(Base!$U:$U,MATCH($A24,Base!$A:$A,0)),IF(CU$1=INDEX('Valo FX'!$R:$R,MATCH($A24,'Valo FX'!$A:$A,0)),INDEX(Base!$V:$V,MATCH($A24,Base!$A:$A,0)),0)))</f>
        <v>10.200271000000001</v>
      </c>
      <c r="CV24" s="21">
        <f>IF(CV$1&lt;INDEX('Valo FX'!$Q:$Q,MATCH($A24,'Valo FX'!$A:$A,0)),0,IF(CV$1&lt;INDEX('Valo FX'!$R:$R,MATCH($A24,'Valo FX'!$A:$A,0)),INDEX(Base!$U:$U,MATCH($A24,Base!$A:$A,0)),IF(CV$1=INDEX('Valo FX'!$R:$R,MATCH($A24,'Valo FX'!$A:$A,0)),INDEX(Base!$V:$V,MATCH($A24,Base!$A:$A,0)),0)))</f>
        <v>10.200271000000001</v>
      </c>
      <c r="CW24" s="21">
        <f>IF(CW$1&lt;INDEX('Valo FX'!$Q:$Q,MATCH($A24,'Valo FX'!$A:$A,0)),0,IF(CW$1&lt;INDEX('Valo FX'!$R:$R,MATCH($A24,'Valo FX'!$A:$A,0)),INDEX(Base!$U:$U,MATCH($A24,Base!$A:$A,0)),IF(CW$1=INDEX('Valo FX'!$R:$R,MATCH($A24,'Valo FX'!$A:$A,0)),INDEX(Base!$V:$V,MATCH($A24,Base!$A:$A,0)),0)))</f>
        <v>10.200271000000001</v>
      </c>
      <c r="CX24" s="21">
        <f>IF(CX$1&lt;INDEX('Valo FX'!$Q:$Q,MATCH($A24,'Valo FX'!$A:$A,0)),0,IF(CX$1&lt;INDEX('Valo FX'!$R:$R,MATCH($A24,'Valo FX'!$A:$A,0)),INDEX(Base!$U:$U,MATCH($A24,Base!$A:$A,0)),IF(CX$1=INDEX('Valo FX'!$R:$R,MATCH($A24,'Valo FX'!$A:$A,0)),INDEX(Base!$V:$V,MATCH($A24,Base!$A:$A,0)),0)))</f>
        <v>10.200271000000001</v>
      </c>
      <c r="CY24" s="21">
        <f>IF(CY$1&lt;INDEX('Valo FX'!$Q:$Q,MATCH($A24,'Valo FX'!$A:$A,0)),0,IF(CY$1&lt;INDEX('Valo FX'!$R:$R,MATCH($A24,'Valo FX'!$A:$A,0)),INDEX(Base!$U:$U,MATCH($A24,Base!$A:$A,0)),IF(CY$1=INDEX('Valo FX'!$R:$R,MATCH($A24,'Valo FX'!$A:$A,0)),INDEX(Base!$V:$V,MATCH($A24,Base!$A:$A,0)),0)))</f>
        <v>10.200271000000001</v>
      </c>
      <c r="CZ24" s="21">
        <f>IF(CZ$1&lt;INDEX('Valo FX'!$Q:$Q,MATCH($A24,'Valo FX'!$A:$A,0)),0,IF(CZ$1&lt;INDEX('Valo FX'!$R:$R,MATCH($A24,'Valo FX'!$A:$A,0)),INDEX(Base!$U:$U,MATCH($A24,Base!$A:$A,0)),IF(CZ$1=INDEX('Valo FX'!$R:$R,MATCH($A24,'Valo FX'!$A:$A,0)),INDEX(Base!$V:$V,MATCH($A24,Base!$A:$A,0)),0)))</f>
        <v>10.200271000000001</v>
      </c>
      <c r="DA24" s="21">
        <f>IF(DA$1&lt;INDEX('Valo FX'!$Q:$Q,MATCH($A24,'Valo FX'!$A:$A,0)),0,IF(DA$1&lt;INDEX('Valo FX'!$R:$R,MATCH($A24,'Valo FX'!$A:$A,0)),INDEX(Base!$U:$U,MATCH($A24,Base!$A:$A,0)),IF(DA$1=INDEX('Valo FX'!$R:$R,MATCH($A24,'Valo FX'!$A:$A,0)),INDEX(Base!$V:$V,MATCH($A24,Base!$A:$A,0)),0)))</f>
        <v>10.200271000000001</v>
      </c>
      <c r="DB24" s="21">
        <f>IF(DB$1&lt;INDEX('Valo FX'!$Q:$Q,MATCH($A24,'Valo FX'!$A:$A,0)),0,IF(DB$1&lt;INDEX('Valo FX'!$R:$R,MATCH($A24,'Valo FX'!$A:$A,0)),INDEX(Base!$U:$U,MATCH($A24,Base!$A:$A,0)),IF(DB$1=INDEX('Valo FX'!$R:$R,MATCH($A24,'Valo FX'!$A:$A,0)),INDEX(Base!$V:$V,MATCH($A24,Base!$A:$A,0)),0)))</f>
        <v>10.200271000000001</v>
      </c>
      <c r="DC24" s="21">
        <f>IF(DC$1&lt;INDEX('Valo FX'!$Q:$Q,MATCH($A24,'Valo FX'!$A:$A,0)),0,IF(DC$1&lt;INDEX('Valo FX'!$R:$R,MATCH($A24,'Valo FX'!$A:$A,0)),INDEX(Base!$U:$U,MATCH($A24,Base!$A:$A,0)),IF(DC$1=INDEX('Valo FX'!$R:$R,MATCH($A24,'Valo FX'!$A:$A,0)),INDEX(Base!$V:$V,MATCH($A24,Base!$A:$A,0)),0)))</f>
        <v>10.200271000000001</v>
      </c>
      <c r="DD24" s="21">
        <f>IF(DD$1&lt;INDEX('Valo FX'!$Q:$Q,MATCH($A24,'Valo FX'!$A:$A,0)),0,IF(DD$1&lt;INDEX('Valo FX'!$R:$R,MATCH($A24,'Valo FX'!$A:$A,0)),INDEX(Base!$U:$U,MATCH($A24,Base!$A:$A,0)),IF(DD$1=INDEX('Valo FX'!$R:$R,MATCH($A24,'Valo FX'!$A:$A,0)),INDEX(Base!$V:$V,MATCH($A24,Base!$A:$A,0)),0)))</f>
        <v>10.200271000000001</v>
      </c>
      <c r="DE24" s="21">
        <f>IF(DE$1&lt;INDEX('Valo FX'!$Q:$Q,MATCH($A24,'Valo FX'!$A:$A,0)),0,IF(DE$1&lt;INDEX('Valo FX'!$R:$R,MATCH($A24,'Valo FX'!$A:$A,0)),INDEX(Base!$U:$U,MATCH($A24,Base!$A:$A,0)),IF(DE$1=INDEX('Valo FX'!$R:$R,MATCH($A24,'Valo FX'!$A:$A,0)),INDEX(Base!$V:$V,MATCH($A24,Base!$A:$A,0)),0)))</f>
        <v>10.200271000000001</v>
      </c>
      <c r="DF24" s="21">
        <f>IF(DF$1&lt;INDEX('Valo FX'!$Q:$Q,MATCH($A24,'Valo FX'!$A:$A,0)),0,IF(DF$1&lt;INDEX('Valo FX'!$R:$R,MATCH($A24,'Valo FX'!$A:$A,0)),INDEX(Base!$U:$U,MATCH($A24,Base!$A:$A,0)),IF(DF$1=INDEX('Valo FX'!$R:$R,MATCH($A24,'Valo FX'!$A:$A,0)),INDEX(Base!$V:$V,MATCH($A24,Base!$A:$A,0)),0)))</f>
        <v>10.200271000000001</v>
      </c>
      <c r="DG24" s="21">
        <f>IF(DG$1&lt;INDEX('Valo FX'!$Q:$Q,MATCH($A24,'Valo FX'!$A:$A,0)),0,IF(DG$1&lt;INDEX('Valo FX'!$R:$R,MATCH($A24,'Valo FX'!$A:$A,0)),INDEX(Base!$U:$U,MATCH($A24,Base!$A:$A,0)),IF(DG$1=INDEX('Valo FX'!$R:$R,MATCH($A24,'Valo FX'!$A:$A,0)),INDEX(Base!$V:$V,MATCH($A24,Base!$A:$A,0)),0)))</f>
        <v>10.200271000000001</v>
      </c>
      <c r="DH24" s="21">
        <f>IF(DH$1&lt;INDEX('Valo FX'!$Q:$Q,MATCH($A24,'Valo FX'!$A:$A,0)),0,IF(DH$1&lt;INDEX('Valo FX'!$R:$R,MATCH($A24,'Valo FX'!$A:$A,0)),INDEX(Base!$U:$U,MATCH($A24,Base!$A:$A,0)),IF(DH$1=INDEX('Valo FX'!$R:$R,MATCH($A24,'Valo FX'!$A:$A,0)),INDEX(Base!$V:$V,MATCH($A24,Base!$A:$A,0)),0)))</f>
        <v>10.200271000000001</v>
      </c>
      <c r="DI24" s="21">
        <f>IF(DI$1&lt;INDEX('Valo FX'!$Q:$Q,MATCH($A24,'Valo FX'!$A:$A,0)),0,IF(DI$1&lt;INDEX('Valo FX'!$R:$R,MATCH($A24,'Valo FX'!$A:$A,0)),INDEX(Base!$U:$U,MATCH($A24,Base!$A:$A,0)),IF(DI$1=INDEX('Valo FX'!$R:$R,MATCH($A24,'Valo FX'!$A:$A,0)),INDEX(Base!$V:$V,MATCH($A24,Base!$A:$A,0)),0)))</f>
        <v>10.200271000000001</v>
      </c>
      <c r="DJ24" s="21">
        <f>IF(DJ$1&lt;INDEX('Valo FX'!$Q:$Q,MATCH($A24,'Valo FX'!$A:$A,0)),0,IF(DJ$1&lt;INDEX('Valo FX'!$R:$R,MATCH($A24,'Valo FX'!$A:$A,0)),INDEX(Base!$U:$U,MATCH($A24,Base!$A:$A,0)),IF(DJ$1=INDEX('Valo FX'!$R:$R,MATCH($A24,'Valo FX'!$A:$A,0)),INDEX(Base!$V:$V,MATCH($A24,Base!$A:$A,0)),0)))</f>
        <v>10.200271000000001</v>
      </c>
      <c r="DK24" s="21">
        <f>IF(DK$1&lt;INDEX('Valo FX'!$Q:$Q,MATCH($A24,'Valo FX'!$A:$A,0)),0,IF(DK$1&lt;INDEX('Valo FX'!$R:$R,MATCH($A24,'Valo FX'!$A:$A,0)),INDEX(Base!$U:$U,MATCH($A24,Base!$A:$A,0)),IF(DK$1=INDEX('Valo FX'!$R:$R,MATCH($A24,'Valo FX'!$A:$A,0)),INDEX(Base!$V:$V,MATCH($A24,Base!$A:$A,0)),0)))</f>
        <v>10.200271000000001</v>
      </c>
      <c r="DL24" s="21">
        <f>IF(DL$1&lt;INDEX('Valo FX'!$Q:$Q,MATCH($A24,'Valo FX'!$A:$A,0)),0,IF(DL$1&lt;INDEX('Valo FX'!$R:$R,MATCH($A24,'Valo FX'!$A:$A,0)),INDEX(Base!$U:$U,MATCH($A24,Base!$A:$A,0)),IF(DL$1=INDEX('Valo FX'!$R:$R,MATCH($A24,'Valo FX'!$A:$A,0)),INDEX(Base!$V:$V,MATCH($A24,Base!$A:$A,0)),0)))</f>
        <v>10.200271000000001</v>
      </c>
      <c r="DM24" s="21">
        <f>IF(DM$1&lt;INDEX('Valo FX'!$Q:$Q,MATCH($A24,'Valo FX'!$A:$A,0)),0,IF(DM$1&lt;INDEX('Valo FX'!$R:$R,MATCH($A24,'Valo FX'!$A:$A,0)),INDEX(Base!$U:$U,MATCH($A24,Base!$A:$A,0)),IF(DM$1=INDEX('Valo FX'!$R:$R,MATCH($A24,'Valo FX'!$A:$A,0)),INDEX(Base!$V:$V,MATCH($A24,Base!$A:$A,0)),0)))</f>
        <v>10.200271000000001</v>
      </c>
      <c r="DN24" s="21">
        <f>IF(DN$1&lt;INDEX('Valo FX'!$Q:$Q,MATCH($A24,'Valo FX'!$A:$A,0)),0,IF(DN$1&lt;INDEX('Valo FX'!$R:$R,MATCH($A24,'Valo FX'!$A:$A,0)),INDEX(Base!$U:$U,MATCH($A24,Base!$A:$A,0)),IF(DN$1=INDEX('Valo FX'!$R:$R,MATCH($A24,'Valo FX'!$A:$A,0)),INDEX(Base!$V:$V,MATCH($A24,Base!$A:$A,0)),0)))</f>
        <v>10.200271000000001</v>
      </c>
      <c r="DO24" s="21">
        <f>IF(DO$1&lt;INDEX('Valo FX'!$Q:$Q,MATCH($A24,'Valo FX'!$A:$A,0)),0,IF(DO$1&lt;INDEX('Valo FX'!$R:$R,MATCH($A24,'Valo FX'!$A:$A,0)),INDEX(Base!$U:$U,MATCH($A24,Base!$A:$A,0)),IF(DO$1=INDEX('Valo FX'!$R:$R,MATCH($A24,'Valo FX'!$A:$A,0)),INDEX(Base!$V:$V,MATCH($A24,Base!$A:$A,0)),0)))</f>
        <v>10.200271000000001</v>
      </c>
      <c r="DP24" s="21">
        <f>IF(DP$1&lt;INDEX('Valo FX'!$Q:$Q,MATCH($A24,'Valo FX'!$A:$A,0)),0,IF(DP$1&lt;INDEX('Valo FX'!$R:$R,MATCH($A24,'Valo FX'!$A:$A,0)),INDEX(Base!$U:$U,MATCH($A24,Base!$A:$A,0)),IF(DP$1=INDEX('Valo FX'!$R:$R,MATCH($A24,'Valo FX'!$A:$A,0)),INDEX(Base!$V:$V,MATCH($A24,Base!$A:$A,0)),0)))</f>
        <v>10.200271000000001</v>
      </c>
      <c r="DQ24" s="21">
        <f>IF(DQ$1&lt;INDEX('Valo FX'!$Q:$Q,MATCH($A24,'Valo FX'!$A:$A,0)),0,IF(DQ$1&lt;INDEX('Valo FX'!$R:$R,MATCH($A24,'Valo FX'!$A:$A,0)),INDEX(Base!$U:$U,MATCH($A24,Base!$A:$A,0)),IF(DQ$1=INDEX('Valo FX'!$R:$R,MATCH($A24,'Valo FX'!$A:$A,0)),INDEX(Base!$V:$V,MATCH($A24,Base!$A:$A,0)),0)))</f>
        <v>10.200271000000001</v>
      </c>
      <c r="DR24" s="21">
        <f>IF(DR$1&lt;INDEX('Valo FX'!$Q:$Q,MATCH($A24,'Valo FX'!$A:$A,0)),0,IF(DR$1&lt;INDEX('Valo FX'!$R:$R,MATCH($A24,'Valo FX'!$A:$A,0)),INDEX(Base!$U:$U,MATCH($A24,Base!$A:$A,0)),IF(DR$1=INDEX('Valo FX'!$R:$R,MATCH($A24,'Valo FX'!$A:$A,0)),INDEX(Base!$V:$V,MATCH($A24,Base!$A:$A,0)),0)))</f>
        <v>10.200271000000001</v>
      </c>
      <c r="DS24" s="21">
        <f>IF(DS$1&lt;INDEX('Valo FX'!$Q:$Q,MATCH($A24,'Valo FX'!$A:$A,0)),0,IF(DS$1&lt;INDEX('Valo FX'!$R:$R,MATCH($A24,'Valo FX'!$A:$A,0)),INDEX(Base!$U:$U,MATCH($A24,Base!$A:$A,0)),IF(DS$1=INDEX('Valo FX'!$R:$R,MATCH($A24,'Valo FX'!$A:$A,0)),INDEX(Base!$V:$V,MATCH($A24,Base!$A:$A,0)),0)))</f>
        <v>10.200271000000001</v>
      </c>
      <c r="DT24" s="21">
        <f>IF(DT$1&lt;INDEX('Valo FX'!$Q:$Q,MATCH($A24,'Valo FX'!$A:$A,0)),0,IF(DT$1&lt;INDEX('Valo FX'!$R:$R,MATCH($A24,'Valo FX'!$A:$A,0)),INDEX(Base!$U:$U,MATCH($A24,Base!$A:$A,0)),IF(DT$1=INDEX('Valo FX'!$R:$R,MATCH($A24,'Valo FX'!$A:$A,0)),INDEX(Base!$V:$V,MATCH($A24,Base!$A:$A,0)),0)))</f>
        <v>10.200271000000001</v>
      </c>
      <c r="DU24" s="21">
        <f>IF(DU$1&lt;INDEX('Valo FX'!$Q:$Q,MATCH($A24,'Valo FX'!$A:$A,0)),0,IF(DU$1&lt;INDEX('Valo FX'!$R:$R,MATCH($A24,'Valo FX'!$A:$A,0)),INDEX(Base!$U:$U,MATCH($A24,Base!$A:$A,0)),IF(DU$1=INDEX('Valo FX'!$R:$R,MATCH($A24,'Valo FX'!$A:$A,0)),INDEX(Base!$V:$V,MATCH($A24,Base!$A:$A,0)),0)))</f>
        <v>10.200271000000001</v>
      </c>
      <c r="DV24" s="21">
        <f>IF(DV$1&lt;INDEX('Valo FX'!$Q:$Q,MATCH($A24,'Valo FX'!$A:$A,0)),0,IF(DV$1&lt;INDEX('Valo FX'!$R:$R,MATCH($A24,'Valo FX'!$A:$A,0)),INDEX(Base!$U:$U,MATCH($A24,Base!$A:$A,0)),IF(DV$1=INDEX('Valo FX'!$R:$R,MATCH($A24,'Valo FX'!$A:$A,0)),INDEX(Base!$V:$V,MATCH($A24,Base!$A:$A,0)),0)))</f>
        <v>10.200271000000001</v>
      </c>
      <c r="DW24" s="21">
        <f>IF(DW$1&lt;INDEX('Valo FX'!$Q:$Q,MATCH($A24,'Valo FX'!$A:$A,0)),0,IF(DW$1&lt;INDEX('Valo FX'!$R:$R,MATCH($A24,'Valo FX'!$A:$A,0)),INDEX(Base!$U:$U,MATCH($A24,Base!$A:$A,0)),IF(DW$1=INDEX('Valo FX'!$R:$R,MATCH($A24,'Valo FX'!$A:$A,0)),INDEX(Base!$V:$V,MATCH($A24,Base!$A:$A,0)),0)))</f>
        <v>10.200271000000001</v>
      </c>
      <c r="DX24" s="21">
        <f>IF(DX$1&lt;INDEX('Valo FX'!$Q:$Q,MATCH($A24,'Valo FX'!$A:$A,0)),0,IF(DX$1&lt;INDEX('Valo FX'!$R:$R,MATCH($A24,'Valo FX'!$A:$A,0)),INDEX(Base!$U:$U,MATCH($A24,Base!$A:$A,0)),IF(DX$1=INDEX('Valo FX'!$R:$R,MATCH($A24,'Valo FX'!$A:$A,0)),INDEX(Base!$V:$V,MATCH($A24,Base!$A:$A,0)),0)))</f>
        <v>10.200271000000001</v>
      </c>
      <c r="DY24" s="21">
        <f>IF(DY$1&lt;INDEX('Valo FX'!$Q:$Q,MATCH($A24,'Valo FX'!$A:$A,0)),0,IF(DY$1&lt;INDEX('Valo FX'!$R:$R,MATCH($A24,'Valo FX'!$A:$A,0)),INDEX(Base!$U:$U,MATCH($A24,Base!$A:$A,0)),IF(DY$1=INDEX('Valo FX'!$R:$R,MATCH($A24,'Valo FX'!$A:$A,0)),INDEX(Base!$V:$V,MATCH($A24,Base!$A:$A,0)),0)))</f>
        <v>10.200271000000001</v>
      </c>
      <c r="DZ24" s="21">
        <f>IF(DZ$1&lt;INDEX('Valo FX'!$Q:$Q,MATCH($A24,'Valo FX'!$A:$A,0)),0,IF(DZ$1&lt;INDEX('Valo FX'!$R:$R,MATCH($A24,'Valo FX'!$A:$A,0)),INDEX(Base!$U:$U,MATCH($A24,Base!$A:$A,0)),IF(DZ$1=INDEX('Valo FX'!$R:$R,MATCH($A24,'Valo FX'!$A:$A,0)),INDEX(Base!$V:$V,MATCH($A24,Base!$A:$A,0)),0)))</f>
        <v>10.200271000000001</v>
      </c>
      <c r="EA24" s="21">
        <f>IF(EA$1&lt;INDEX('Valo FX'!$Q:$Q,MATCH($A24,'Valo FX'!$A:$A,0)),0,IF(EA$1&lt;INDEX('Valo FX'!$R:$R,MATCH($A24,'Valo FX'!$A:$A,0)),INDEX(Base!$U:$U,MATCH($A24,Base!$A:$A,0)),IF(EA$1=INDEX('Valo FX'!$R:$R,MATCH($A24,'Valo FX'!$A:$A,0)),INDEX(Base!$V:$V,MATCH($A24,Base!$A:$A,0)),0)))</f>
        <v>10.200271000000001</v>
      </c>
      <c r="EB24" s="21">
        <f>IF(EB$1&lt;INDEX('Valo FX'!$Q:$Q,MATCH($A24,'Valo FX'!$A:$A,0)),0,IF(EB$1&lt;INDEX('Valo FX'!$R:$R,MATCH($A24,'Valo FX'!$A:$A,0)),INDEX(Base!$U:$U,MATCH($A24,Base!$A:$A,0)),IF(EB$1=INDEX('Valo FX'!$R:$R,MATCH($A24,'Valo FX'!$A:$A,0)),INDEX(Base!$V:$V,MATCH($A24,Base!$A:$A,0)),0)))</f>
        <v>10.200271000000001</v>
      </c>
      <c r="EC24" s="21">
        <f>IF(EC$1&lt;INDEX('Valo FX'!$Q:$Q,MATCH($A24,'Valo FX'!$A:$A,0)),0,IF(EC$1&lt;INDEX('Valo FX'!$R:$R,MATCH($A24,'Valo FX'!$A:$A,0)),INDEX(Base!$U:$U,MATCH($A24,Base!$A:$A,0)),IF(EC$1=INDEX('Valo FX'!$R:$R,MATCH($A24,'Valo FX'!$A:$A,0)),INDEX(Base!$V:$V,MATCH($A24,Base!$A:$A,0)),0)))</f>
        <v>10.200271000000001</v>
      </c>
      <c r="ED24" s="21">
        <f>IF(ED$1&lt;INDEX('Valo FX'!$Q:$Q,MATCH($A24,'Valo FX'!$A:$A,0)),0,IF(ED$1&lt;INDEX('Valo FX'!$R:$R,MATCH($A24,'Valo FX'!$A:$A,0)),INDEX(Base!$U:$U,MATCH($A24,Base!$A:$A,0)),IF(ED$1=INDEX('Valo FX'!$R:$R,MATCH($A24,'Valo FX'!$A:$A,0)),INDEX(Base!$V:$V,MATCH($A24,Base!$A:$A,0)),0)))</f>
        <v>10.200271000000001</v>
      </c>
      <c r="EE24" s="21">
        <f>IF(EE$1&lt;INDEX('Valo FX'!$Q:$Q,MATCH($A24,'Valo FX'!$A:$A,0)),0,IF(EE$1&lt;INDEX('Valo FX'!$R:$R,MATCH($A24,'Valo FX'!$A:$A,0)),INDEX(Base!$U:$U,MATCH($A24,Base!$A:$A,0)),IF(EE$1=INDEX('Valo FX'!$R:$R,MATCH($A24,'Valo FX'!$A:$A,0)),INDEX(Base!$V:$V,MATCH($A24,Base!$A:$A,0)),0)))</f>
        <v>10.200271000000001</v>
      </c>
      <c r="EF24" s="21">
        <f>IF(EF$1&lt;INDEX('Valo FX'!$Q:$Q,MATCH($A24,'Valo FX'!$A:$A,0)),0,IF(EF$1&lt;INDEX('Valo FX'!$R:$R,MATCH($A24,'Valo FX'!$A:$A,0)),INDEX(Base!$U:$U,MATCH($A24,Base!$A:$A,0)),IF(EF$1=INDEX('Valo FX'!$R:$R,MATCH($A24,'Valo FX'!$A:$A,0)),INDEX(Base!$V:$V,MATCH($A24,Base!$A:$A,0)),0)))</f>
        <v>10.200271000000001</v>
      </c>
      <c r="EG24" s="21">
        <f>IF(EG$1&lt;INDEX('Valo FX'!$Q:$Q,MATCH($A24,'Valo FX'!$A:$A,0)),0,IF(EG$1&lt;INDEX('Valo FX'!$R:$R,MATCH($A24,'Valo FX'!$A:$A,0)),INDEX(Base!$U:$U,MATCH($A24,Base!$A:$A,0)),IF(EG$1=INDEX('Valo FX'!$R:$R,MATCH($A24,'Valo FX'!$A:$A,0)),INDEX(Base!$V:$V,MATCH($A24,Base!$A:$A,0)),0)))</f>
        <v>10.200271000000001</v>
      </c>
      <c r="EH24" s="21">
        <f>IF(EH$1&lt;INDEX('Valo FX'!$Q:$Q,MATCH($A24,'Valo FX'!$A:$A,0)),0,IF(EH$1&lt;INDEX('Valo FX'!$R:$R,MATCH($A24,'Valo FX'!$A:$A,0)),INDEX(Base!$U:$U,MATCH($A24,Base!$A:$A,0)),IF(EH$1=INDEX('Valo FX'!$R:$R,MATCH($A24,'Valo FX'!$A:$A,0)),INDEX(Base!$V:$V,MATCH($A24,Base!$A:$A,0)),0)))</f>
        <v>10.200271000000001</v>
      </c>
      <c r="EI24" s="21">
        <f>IF(EI$1&lt;INDEX('Valo FX'!$Q:$Q,MATCH($A24,'Valo FX'!$A:$A,0)),0,IF(EI$1&lt;INDEX('Valo FX'!$R:$R,MATCH($A24,'Valo FX'!$A:$A,0)),INDEX(Base!$U:$U,MATCH($A24,Base!$A:$A,0)),IF(EI$1=INDEX('Valo FX'!$R:$R,MATCH($A24,'Valo FX'!$A:$A,0)),INDEX(Base!$V:$V,MATCH($A24,Base!$A:$A,0)),0)))</f>
        <v>10.200271000000001</v>
      </c>
      <c r="EJ24" s="21">
        <f>IF(EJ$1&lt;INDEX('Valo FX'!$Q:$Q,MATCH($A24,'Valo FX'!$A:$A,0)),0,IF(EJ$1&lt;INDEX('Valo FX'!$R:$R,MATCH($A24,'Valo FX'!$A:$A,0)),INDEX(Base!$U:$U,MATCH($A24,Base!$A:$A,0)),IF(EJ$1=INDEX('Valo FX'!$R:$R,MATCH($A24,'Valo FX'!$A:$A,0)),INDEX(Base!$V:$V,MATCH($A24,Base!$A:$A,0)),0)))</f>
        <v>10.200271000000001</v>
      </c>
      <c r="EK24" s="21">
        <f>IF(EK$1&lt;INDEX('Valo FX'!$Q:$Q,MATCH($A24,'Valo FX'!$A:$A,0)),0,IF(EK$1&lt;INDEX('Valo FX'!$R:$R,MATCH($A24,'Valo FX'!$A:$A,0)),INDEX(Base!$U:$U,MATCH($A24,Base!$A:$A,0)),IF(EK$1=INDEX('Valo FX'!$R:$R,MATCH($A24,'Valo FX'!$A:$A,0)),INDEX(Base!$V:$V,MATCH($A24,Base!$A:$A,0)),0)))</f>
        <v>10.200271000000001</v>
      </c>
      <c r="EL24" s="21">
        <f>IF(EL$1&lt;INDEX('Valo FX'!$Q:$Q,MATCH($A24,'Valo FX'!$A:$A,0)),0,IF(EL$1&lt;INDEX('Valo FX'!$R:$R,MATCH($A24,'Valo FX'!$A:$A,0)),INDEX(Base!$U:$U,MATCH($A24,Base!$A:$A,0)),IF(EL$1=INDEX('Valo FX'!$R:$R,MATCH($A24,'Valo FX'!$A:$A,0)),INDEX(Base!$V:$V,MATCH($A24,Base!$A:$A,0)),0)))</f>
        <v>10.200271000000001</v>
      </c>
      <c r="EM24" s="21">
        <f>IF(EM$1&lt;INDEX('Valo FX'!$Q:$Q,MATCH($A24,'Valo FX'!$A:$A,0)),0,IF(EM$1&lt;INDEX('Valo FX'!$R:$R,MATCH($A24,'Valo FX'!$A:$A,0)),INDEX(Base!$U:$U,MATCH($A24,Base!$A:$A,0)),IF(EM$1=INDEX('Valo FX'!$R:$R,MATCH($A24,'Valo FX'!$A:$A,0)),INDEX(Base!$V:$V,MATCH($A24,Base!$A:$A,0)),0)))</f>
        <v>10.200271000000001</v>
      </c>
      <c r="EN24" s="21">
        <f>IF(EN$1&lt;INDEX('Valo FX'!$Q:$Q,MATCH($A24,'Valo FX'!$A:$A,0)),0,IF(EN$1&lt;INDEX('Valo FX'!$R:$R,MATCH($A24,'Valo FX'!$A:$A,0)),INDEX(Base!$U:$U,MATCH($A24,Base!$A:$A,0)),IF(EN$1=INDEX('Valo FX'!$R:$R,MATCH($A24,'Valo FX'!$A:$A,0)),INDEX(Base!$V:$V,MATCH($A24,Base!$A:$A,0)),0)))</f>
        <v>10.200271000000001</v>
      </c>
      <c r="EO24" s="21">
        <f>IF(EO$1&lt;INDEX('Valo FX'!$Q:$Q,MATCH($A24,'Valo FX'!$A:$A,0)),0,IF(EO$1&lt;INDEX('Valo FX'!$R:$R,MATCH($A24,'Valo FX'!$A:$A,0)),INDEX(Base!$U:$U,MATCH($A24,Base!$A:$A,0)),IF(EO$1=INDEX('Valo FX'!$R:$R,MATCH($A24,'Valo FX'!$A:$A,0)),INDEX(Base!$V:$V,MATCH($A24,Base!$A:$A,0)),0)))</f>
        <v>10.200271000000001</v>
      </c>
      <c r="EP24" s="21">
        <f>IF(EP$1&lt;INDEX('Valo FX'!$Q:$Q,MATCH($A24,'Valo FX'!$A:$A,0)),0,IF(EP$1&lt;INDEX('Valo FX'!$R:$R,MATCH($A24,'Valo FX'!$A:$A,0)),INDEX(Base!$U:$U,MATCH($A24,Base!$A:$A,0)),IF(EP$1=INDEX('Valo FX'!$R:$R,MATCH($A24,'Valo FX'!$A:$A,0)),INDEX(Base!$V:$V,MATCH($A24,Base!$A:$A,0)),0)))</f>
        <v>10.200271000000001</v>
      </c>
      <c r="EQ24" s="21">
        <f>IF(EQ$1&lt;INDEX('Valo FX'!$Q:$Q,MATCH($A24,'Valo FX'!$A:$A,0)),0,IF(EQ$1&lt;INDEX('Valo FX'!$R:$R,MATCH($A24,'Valo FX'!$A:$A,0)),INDEX(Base!$U:$U,MATCH($A24,Base!$A:$A,0)),IF(EQ$1=INDEX('Valo FX'!$R:$R,MATCH($A24,'Valo FX'!$A:$A,0)),INDEX(Base!$V:$V,MATCH($A24,Base!$A:$A,0)),0)))</f>
        <v>10.200271000000001</v>
      </c>
      <c r="ER24" s="21">
        <f>IF(ER$1&lt;INDEX('Valo FX'!$Q:$Q,MATCH($A24,'Valo FX'!$A:$A,0)),0,IF(ER$1&lt;INDEX('Valo FX'!$R:$R,MATCH($A24,'Valo FX'!$A:$A,0)),INDEX(Base!$U:$U,MATCH($A24,Base!$A:$A,0)),IF(ER$1=INDEX('Valo FX'!$R:$R,MATCH($A24,'Valo FX'!$A:$A,0)),INDEX(Base!$V:$V,MATCH($A24,Base!$A:$A,0)),0)))</f>
        <v>10.200271000000001</v>
      </c>
      <c r="ES24" s="21">
        <f>IF(ES$1&lt;INDEX('Valo FX'!$Q:$Q,MATCH($A24,'Valo FX'!$A:$A,0)),0,IF(ES$1&lt;INDEX('Valo FX'!$R:$R,MATCH($A24,'Valo FX'!$A:$A,0)),INDEX(Base!$U:$U,MATCH($A24,Base!$A:$A,0)),IF(ES$1=INDEX('Valo FX'!$R:$R,MATCH($A24,'Valo FX'!$A:$A,0)),INDEX(Base!$V:$V,MATCH($A24,Base!$A:$A,0)),0)))</f>
        <v>10.200271000000001</v>
      </c>
      <c r="ET24" s="21">
        <f>IF(ET$1&lt;INDEX('Valo FX'!$Q:$Q,MATCH($A24,'Valo FX'!$A:$A,0)),0,IF(ET$1&lt;INDEX('Valo FX'!$R:$R,MATCH($A24,'Valo FX'!$A:$A,0)),INDEX(Base!$U:$U,MATCH($A24,Base!$A:$A,0)),IF(ET$1=INDEX('Valo FX'!$R:$R,MATCH($A24,'Valo FX'!$A:$A,0)),INDEX(Base!$V:$V,MATCH($A24,Base!$A:$A,0)),0)))</f>
        <v>10.200271000000001</v>
      </c>
      <c r="EU24" s="21">
        <f>IF(EU$1&lt;INDEX('Valo FX'!$Q:$Q,MATCH($A24,'Valo FX'!$A:$A,0)),0,IF(EU$1&lt;INDEX('Valo FX'!$R:$R,MATCH($A24,'Valo FX'!$A:$A,0)),INDEX(Base!$U:$U,MATCH($A24,Base!$A:$A,0)),IF(EU$1=INDEX('Valo FX'!$R:$R,MATCH($A24,'Valo FX'!$A:$A,0)),INDEX(Base!$V:$V,MATCH($A24,Base!$A:$A,0)),0)))</f>
        <v>10.200271000000001</v>
      </c>
      <c r="EV24" s="21">
        <f>IF(EV$1&lt;INDEX('Valo FX'!$Q:$Q,MATCH($A24,'Valo FX'!$A:$A,0)),0,IF(EV$1&lt;INDEX('Valo FX'!$R:$R,MATCH($A24,'Valo FX'!$A:$A,0)),INDEX(Base!$U:$U,MATCH($A24,Base!$A:$A,0)),IF(EV$1=INDEX('Valo FX'!$R:$R,MATCH($A24,'Valo FX'!$A:$A,0)),INDEX(Base!$V:$V,MATCH($A24,Base!$A:$A,0)),0)))</f>
        <v>10.200271000000001</v>
      </c>
      <c r="EW24" s="21">
        <f>IF(EW$1&lt;INDEX('Valo FX'!$Q:$Q,MATCH($A24,'Valo FX'!$A:$A,0)),0,IF(EW$1&lt;INDEX('Valo FX'!$R:$R,MATCH($A24,'Valo FX'!$A:$A,0)),INDEX(Base!$U:$U,MATCH($A24,Base!$A:$A,0)),IF(EW$1=INDEX('Valo FX'!$R:$R,MATCH($A24,'Valo FX'!$A:$A,0)),INDEX(Base!$V:$V,MATCH($A24,Base!$A:$A,0)),0)))</f>
        <v>10.200271000000001</v>
      </c>
      <c r="EX24" s="21">
        <f>IF(EX$1&lt;INDEX('Valo FX'!$Q:$Q,MATCH($A24,'Valo FX'!$A:$A,0)),0,IF(EX$1&lt;INDEX('Valo FX'!$R:$R,MATCH($A24,'Valo FX'!$A:$A,0)),INDEX(Base!$U:$U,MATCH($A24,Base!$A:$A,0)),IF(EX$1=INDEX('Valo FX'!$R:$R,MATCH($A24,'Valo FX'!$A:$A,0)),INDEX(Base!$V:$V,MATCH($A24,Base!$A:$A,0)),0)))</f>
        <v>10.200271000000001</v>
      </c>
      <c r="EY24" s="21">
        <f>IF(EY$1&lt;INDEX('Valo FX'!$Q:$Q,MATCH($A24,'Valo FX'!$A:$A,0)),0,IF(EY$1&lt;INDEX('Valo FX'!$R:$R,MATCH($A24,'Valo FX'!$A:$A,0)),INDEX(Base!$U:$U,MATCH($A24,Base!$A:$A,0)),IF(EY$1=INDEX('Valo FX'!$R:$R,MATCH($A24,'Valo FX'!$A:$A,0)),INDEX(Base!$V:$V,MATCH($A24,Base!$A:$A,0)),0)))</f>
        <v>10.200271000000001</v>
      </c>
      <c r="EZ24" s="21">
        <f>IF(EZ$1&lt;INDEX('Valo FX'!$Q:$Q,MATCH($A24,'Valo FX'!$A:$A,0)),0,IF(EZ$1&lt;INDEX('Valo FX'!$R:$R,MATCH($A24,'Valo FX'!$A:$A,0)),INDEX(Base!$U:$U,MATCH($A24,Base!$A:$A,0)),IF(EZ$1=INDEX('Valo FX'!$R:$R,MATCH($A24,'Valo FX'!$A:$A,0)),INDEX(Base!$V:$V,MATCH($A24,Base!$A:$A,0)),0)))</f>
        <v>10.200271000000001</v>
      </c>
      <c r="FA24" s="21">
        <f>IF(FA$1&lt;INDEX('Valo FX'!$Q:$Q,MATCH($A24,'Valo FX'!$A:$A,0)),0,IF(FA$1&lt;INDEX('Valo FX'!$R:$R,MATCH($A24,'Valo FX'!$A:$A,0)),INDEX(Base!$U:$U,MATCH($A24,Base!$A:$A,0)),IF(FA$1=INDEX('Valo FX'!$R:$R,MATCH($A24,'Valo FX'!$A:$A,0)),INDEX(Base!$V:$V,MATCH($A24,Base!$A:$A,0)),0)))</f>
        <v>10.200271000000001</v>
      </c>
      <c r="FB24" s="21">
        <f>IF(FB$1&lt;INDEX('Valo FX'!$Q:$Q,MATCH($A24,'Valo FX'!$A:$A,0)),0,IF(FB$1&lt;INDEX('Valo FX'!$R:$R,MATCH($A24,'Valo FX'!$A:$A,0)),INDEX(Base!$U:$U,MATCH($A24,Base!$A:$A,0)),IF(FB$1=INDEX('Valo FX'!$R:$R,MATCH($A24,'Valo FX'!$A:$A,0)),INDEX(Base!$V:$V,MATCH($A24,Base!$A:$A,0)),0)))</f>
        <v>10.200271000000001</v>
      </c>
      <c r="FC24" s="21">
        <f>IF(FC$1&lt;INDEX('Valo FX'!$Q:$Q,MATCH($A24,'Valo FX'!$A:$A,0)),0,IF(FC$1&lt;INDEX('Valo FX'!$R:$R,MATCH($A24,'Valo FX'!$A:$A,0)),INDEX(Base!$U:$U,MATCH($A24,Base!$A:$A,0)),IF(FC$1=INDEX('Valo FX'!$R:$R,MATCH($A24,'Valo FX'!$A:$A,0)),INDEX(Base!$V:$V,MATCH($A24,Base!$A:$A,0)),0)))</f>
        <v>10.200271000000001</v>
      </c>
      <c r="FD24" s="21">
        <f>IF(FD$1&lt;INDEX('Valo FX'!$Q:$Q,MATCH($A24,'Valo FX'!$A:$A,0)),0,IF(FD$1&lt;INDEX('Valo FX'!$R:$R,MATCH($A24,'Valo FX'!$A:$A,0)),INDEX(Base!$U:$U,MATCH($A24,Base!$A:$A,0)),IF(FD$1=INDEX('Valo FX'!$R:$R,MATCH($A24,'Valo FX'!$A:$A,0)),INDEX(Base!$V:$V,MATCH($A24,Base!$A:$A,0)),0)))</f>
        <v>10.200271000000001</v>
      </c>
      <c r="FE24" s="21">
        <f>IF(FE$1&lt;INDEX('Valo FX'!$Q:$Q,MATCH($A24,'Valo FX'!$A:$A,0)),0,IF(FE$1&lt;INDEX('Valo FX'!$R:$R,MATCH($A24,'Valo FX'!$A:$A,0)),INDEX(Base!$U:$U,MATCH($A24,Base!$A:$A,0)),IF(FE$1=INDEX('Valo FX'!$R:$R,MATCH($A24,'Valo FX'!$A:$A,0)),INDEX(Base!$V:$V,MATCH($A24,Base!$A:$A,0)),0)))</f>
        <v>10.200271000000001</v>
      </c>
      <c r="FF24" s="21">
        <f>IF(FF$1&lt;INDEX('Valo FX'!$Q:$Q,MATCH($A24,'Valo FX'!$A:$A,0)),0,IF(FF$1&lt;INDEX('Valo FX'!$R:$R,MATCH($A24,'Valo FX'!$A:$A,0)),INDEX(Base!$U:$U,MATCH($A24,Base!$A:$A,0)),IF(FF$1=INDEX('Valo FX'!$R:$R,MATCH($A24,'Valo FX'!$A:$A,0)),INDEX(Base!$V:$V,MATCH($A24,Base!$A:$A,0)),0)))</f>
        <v>10.200271000000001</v>
      </c>
      <c r="FG24" s="21">
        <f>IF(FG$1&lt;INDEX('Valo FX'!$Q:$Q,MATCH($A24,'Valo FX'!$A:$A,0)),0,IF(FG$1&lt;INDEX('Valo FX'!$R:$R,MATCH($A24,'Valo FX'!$A:$A,0)),INDEX(Base!$U:$U,MATCH($A24,Base!$A:$A,0)),IF(FG$1=INDEX('Valo FX'!$R:$R,MATCH($A24,'Valo FX'!$A:$A,0)),INDEX(Base!$V:$V,MATCH($A24,Base!$A:$A,0)),0)))</f>
        <v>10.200271000000001</v>
      </c>
      <c r="FH24" s="21">
        <f>IF(FH$1&lt;INDEX('Valo FX'!$Q:$Q,MATCH($A24,'Valo FX'!$A:$A,0)),0,IF(FH$1&lt;INDEX('Valo FX'!$R:$R,MATCH($A24,'Valo FX'!$A:$A,0)),INDEX(Base!$U:$U,MATCH($A24,Base!$A:$A,0)),IF(FH$1=INDEX('Valo FX'!$R:$R,MATCH($A24,'Valo FX'!$A:$A,0)),INDEX(Base!$V:$V,MATCH($A24,Base!$A:$A,0)),0)))</f>
        <v>10.200271000000001</v>
      </c>
      <c r="FI24" s="21">
        <f>IF(FI$1&lt;INDEX('Valo FX'!$Q:$Q,MATCH($A24,'Valo FX'!$A:$A,0)),0,IF(FI$1&lt;INDEX('Valo FX'!$R:$R,MATCH($A24,'Valo FX'!$A:$A,0)),INDEX(Base!$U:$U,MATCH($A24,Base!$A:$A,0)),IF(FI$1=INDEX('Valo FX'!$R:$R,MATCH($A24,'Valo FX'!$A:$A,0)),INDEX(Base!$V:$V,MATCH($A24,Base!$A:$A,0)),0)))</f>
        <v>10.200271000000001</v>
      </c>
      <c r="FJ24" s="21">
        <f>IF(FJ$1&lt;INDEX('Valo FX'!$Q:$Q,MATCH($A24,'Valo FX'!$A:$A,0)),0,IF(FJ$1&lt;INDEX('Valo FX'!$R:$R,MATCH($A24,'Valo FX'!$A:$A,0)),INDEX(Base!$U:$U,MATCH($A24,Base!$A:$A,0)),IF(FJ$1=INDEX('Valo FX'!$R:$R,MATCH($A24,'Valo FX'!$A:$A,0)),INDEX(Base!$V:$V,MATCH($A24,Base!$A:$A,0)),0)))</f>
        <v>10.200271000000001</v>
      </c>
      <c r="FK24" s="21">
        <f>IF(FK$1&lt;INDEX('Valo FX'!$Q:$Q,MATCH($A24,'Valo FX'!$A:$A,0)),0,IF(FK$1&lt;INDEX('Valo FX'!$R:$R,MATCH($A24,'Valo FX'!$A:$A,0)),INDEX(Base!$U:$U,MATCH($A24,Base!$A:$A,0)),IF(FK$1=INDEX('Valo FX'!$R:$R,MATCH($A24,'Valo FX'!$A:$A,0)),INDEX(Base!$V:$V,MATCH($A24,Base!$A:$A,0)),0)))</f>
        <v>10.200271000000001</v>
      </c>
      <c r="FL24" s="21">
        <f>IF(FL$1&lt;INDEX('Valo FX'!$Q:$Q,MATCH($A24,'Valo FX'!$A:$A,0)),0,IF(FL$1&lt;INDEX('Valo FX'!$R:$R,MATCH($A24,'Valo FX'!$A:$A,0)),INDEX(Base!$U:$U,MATCH($A24,Base!$A:$A,0)),IF(FL$1=INDEX('Valo FX'!$R:$R,MATCH($A24,'Valo FX'!$A:$A,0)),INDEX(Base!$V:$V,MATCH($A24,Base!$A:$A,0)),0)))</f>
        <v>10.200271000000001</v>
      </c>
      <c r="FM24" s="21">
        <f>IF(FM$1&lt;INDEX('Valo FX'!$Q:$Q,MATCH($A24,'Valo FX'!$A:$A,0)),0,IF(FM$1&lt;INDEX('Valo FX'!$R:$R,MATCH($A24,'Valo FX'!$A:$A,0)),INDEX(Base!$U:$U,MATCH($A24,Base!$A:$A,0)),IF(FM$1=INDEX('Valo FX'!$R:$R,MATCH($A24,'Valo FX'!$A:$A,0)),INDEX(Base!$V:$V,MATCH($A24,Base!$A:$A,0)),0)))</f>
        <v>10.200271000000001</v>
      </c>
      <c r="FN24" s="21">
        <f>IF(FN$1&lt;INDEX('Valo FX'!$Q:$Q,MATCH($A24,'Valo FX'!$A:$A,0)),0,IF(FN$1&lt;INDEX('Valo FX'!$R:$R,MATCH($A24,'Valo FX'!$A:$A,0)),INDEX(Base!$U:$U,MATCH($A24,Base!$A:$A,0)),IF(FN$1=INDEX('Valo FX'!$R:$R,MATCH($A24,'Valo FX'!$A:$A,0)),INDEX(Base!$V:$V,MATCH($A24,Base!$A:$A,0)),0)))</f>
        <v>10.200271000000001</v>
      </c>
      <c r="FO24" s="21">
        <f>IF(FO$1&lt;INDEX('Valo FX'!$Q:$Q,MATCH($A24,'Valo FX'!$A:$A,0)),0,IF(FO$1&lt;INDEX('Valo FX'!$R:$R,MATCH($A24,'Valo FX'!$A:$A,0)),INDEX(Base!$U:$U,MATCH($A24,Base!$A:$A,0)),IF(FO$1=INDEX('Valo FX'!$R:$R,MATCH($A24,'Valo FX'!$A:$A,0)),INDEX(Base!$V:$V,MATCH($A24,Base!$A:$A,0)),0)))</f>
        <v>10.200271000000001</v>
      </c>
      <c r="FP24" s="21">
        <f>IF(FP$1&lt;INDEX('Valo FX'!$Q:$Q,MATCH($A24,'Valo FX'!$A:$A,0)),0,IF(FP$1&lt;INDEX('Valo FX'!$R:$R,MATCH($A24,'Valo FX'!$A:$A,0)),INDEX(Base!$U:$U,MATCH($A24,Base!$A:$A,0)),IF(FP$1=INDEX('Valo FX'!$R:$R,MATCH($A24,'Valo FX'!$A:$A,0)),INDEX(Base!$V:$V,MATCH($A24,Base!$A:$A,0)),0)))</f>
        <v>10.200271000000001</v>
      </c>
      <c r="FQ24" s="21">
        <f>IF(FQ$1&lt;INDEX('Valo FX'!$Q:$Q,MATCH($A24,'Valo FX'!$A:$A,0)),0,IF(FQ$1&lt;INDEX('Valo FX'!$R:$R,MATCH($A24,'Valo FX'!$A:$A,0)),INDEX(Base!$U:$U,MATCH($A24,Base!$A:$A,0)),IF(FQ$1=INDEX('Valo FX'!$R:$R,MATCH($A24,'Valo FX'!$A:$A,0)),INDEX(Base!$V:$V,MATCH($A24,Base!$A:$A,0)),0)))</f>
        <v>10.200271000000001</v>
      </c>
      <c r="FR24" s="21">
        <f>IF(FR$1&lt;INDEX('Valo FX'!$Q:$Q,MATCH($A24,'Valo FX'!$A:$A,0)),0,IF(FR$1&lt;INDEX('Valo FX'!$R:$R,MATCH($A24,'Valo FX'!$A:$A,0)),INDEX(Base!$U:$U,MATCH($A24,Base!$A:$A,0)),IF(FR$1=INDEX('Valo FX'!$R:$R,MATCH($A24,'Valo FX'!$A:$A,0)),INDEX(Base!$V:$V,MATCH($A24,Base!$A:$A,0)),0)))</f>
        <v>10.200271000000001</v>
      </c>
      <c r="FS24" s="21">
        <f>IF(FS$1&lt;INDEX('Valo FX'!$Q:$Q,MATCH($A24,'Valo FX'!$A:$A,0)),0,IF(FS$1&lt;INDEX('Valo FX'!$R:$R,MATCH($A24,'Valo FX'!$A:$A,0)),INDEX(Base!$U:$U,MATCH($A24,Base!$A:$A,0)),IF(FS$1=INDEX('Valo FX'!$R:$R,MATCH($A24,'Valo FX'!$A:$A,0)),INDEX(Base!$V:$V,MATCH($A24,Base!$A:$A,0)),0)))</f>
        <v>10.200271000000001</v>
      </c>
      <c r="FT24" s="21">
        <f>IF(FT$1&lt;INDEX('Valo FX'!$Q:$Q,MATCH($A24,'Valo FX'!$A:$A,0)),0,IF(FT$1&lt;INDEX('Valo FX'!$R:$R,MATCH($A24,'Valo FX'!$A:$A,0)),INDEX(Base!$U:$U,MATCH($A24,Base!$A:$A,0)),IF(FT$1=INDEX('Valo FX'!$R:$R,MATCH($A24,'Valo FX'!$A:$A,0)),INDEX(Base!$V:$V,MATCH($A24,Base!$A:$A,0)),0)))</f>
        <v>10.200271000000001</v>
      </c>
      <c r="FU24" s="21">
        <f>IF(FU$1&lt;INDEX('Valo FX'!$Q:$Q,MATCH($A24,'Valo FX'!$A:$A,0)),0,IF(FU$1&lt;INDEX('Valo FX'!$R:$R,MATCH($A24,'Valo FX'!$A:$A,0)),INDEX(Base!$U:$U,MATCH($A24,Base!$A:$A,0)),IF(FU$1=INDEX('Valo FX'!$R:$R,MATCH($A24,'Valo FX'!$A:$A,0)),INDEX(Base!$V:$V,MATCH($A24,Base!$A:$A,0)),0)))</f>
        <v>10.200271000000001</v>
      </c>
      <c r="FV24" s="21">
        <f>IF(FV$1&lt;INDEX('Valo FX'!$Q:$Q,MATCH($A24,'Valo FX'!$A:$A,0)),0,IF(FV$1&lt;INDEX('Valo FX'!$R:$R,MATCH($A24,'Valo FX'!$A:$A,0)),INDEX(Base!$U:$U,MATCH($A24,Base!$A:$A,0)),IF(FV$1=INDEX('Valo FX'!$R:$R,MATCH($A24,'Valo FX'!$A:$A,0)),INDEX(Base!$V:$V,MATCH($A24,Base!$A:$A,0)),0)))</f>
        <v>10.200271000000001</v>
      </c>
      <c r="FW24" s="21">
        <f>IF(FW$1&lt;INDEX('Valo FX'!$Q:$Q,MATCH($A24,'Valo FX'!$A:$A,0)),0,IF(FW$1&lt;INDEX('Valo FX'!$R:$R,MATCH($A24,'Valo FX'!$A:$A,0)),INDEX(Base!$U:$U,MATCH($A24,Base!$A:$A,0)),IF(FW$1=INDEX('Valo FX'!$R:$R,MATCH($A24,'Valo FX'!$A:$A,0)),INDEX(Base!$V:$V,MATCH($A24,Base!$A:$A,0)),0)))</f>
        <v>10.200271000000001</v>
      </c>
      <c r="FX24" s="21">
        <f>IF(FX$1&lt;INDEX('Valo FX'!$Q:$Q,MATCH($A24,'Valo FX'!$A:$A,0)),0,IF(FX$1&lt;INDEX('Valo FX'!$R:$R,MATCH($A24,'Valo FX'!$A:$A,0)),INDEX(Base!$U:$U,MATCH($A24,Base!$A:$A,0)),IF(FX$1=INDEX('Valo FX'!$R:$R,MATCH($A24,'Valo FX'!$A:$A,0)),INDEX(Base!$V:$V,MATCH($A24,Base!$A:$A,0)),0)))</f>
        <v>10.200271000000001</v>
      </c>
      <c r="FY24" s="21">
        <f>IF(FY$1&lt;INDEX('Valo FX'!$Q:$Q,MATCH($A24,'Valo FX'!$A:$A,0)),0,IF(FY$1&lt;INDEX('Valo FX'!$R:$R,MATCH($A24,'Valo FX'!$A:$A,0)),INDEX(Base!$U:$U,MATCH($A24,Base!$A:$A,0)),IF(FY$1=INDEX('Valo FX'!$R:$R,MATCH($A24,'Valo FX'!$A:$A,0)),INDEX(Base!$V:$V,MATCH($A24,Base!$A:$A,0)),0)))</f>
        <v>10.200271000000001</v>
      </c>
      <c r="FZ24" s="21">
        <f>IF(FZ$1&lt;INDEX('Valo FX'!$Q:$Q,MATCH($A24,'Valo FX'!$A:$A,0)),0,IF(FZ$1&lt;INDEX('Valo FX'!$R:$R,MATCH($A24,'Valo FX'!$A:$A,0)),INDEX(Base!$U:$U,MATCH($A24,Base!$A:$A,0)),IF(FZ$1=INDEX('Valo FX'!$R:$R,MATCH($A24,'Valo FX'!$A:$A,0)),INDEX(Base!$V:$V,MATCH($A24,Base!$A:$A,0)),0)))</f>
        <v>10.200271000000001</v>
      </c>
      <c r="GA24" s="21">
        <f>IF(GA$1&lt;INDEX('Valo FX'!$Q:$Q,MATCH($A24,'Valo FX'!$A:$A,0)),0,IF(GA$1&lt;INDEX('Valo FX'!$R:$R,MATCH($A24,'Valo FX'!$A:$A,0)),INDEX(Base!$U:$U,MATCH($A24,Base!$A:$A,0)),IF(GA$1=INDEX('Valo FX'!$R:$R,MATCH($A24,'Valo FX'!$A:$A,0)),INDEX(Base!$V:$V,MATCH($A24,Base!$A:$A,0)),0)))</f>
        <v>10.200271000000001</v>
      </c>
      <c r="GB24" s="21">
        <f>IF(GB$1&lt;INDEX('Valo FX'!$Q:$Q,MATCH($A24,'Valo FX'!$A:$A,0)),0,IF(GB$1&lt;INDEX('Valo FX'!$R:$R,MATCH($A24,'Valo FX'!$A:$A,0)),INDEX(Base!$U:$U,MATCH($A24,Base!$A:$A,0)),IF(GB$1=INDEX('Valo FX'!$R:$R,MATCH($A24,'Valo FX'!$A:$A,0)),INDEX(Base!$V:$V,MATCH($A24,Base!$A:$A,0)),0)))</f>
        <v>10.200271000000001</v>
      </c>
      <c r="GC24" s="21">
        <f>IF(GC$1&lt;INDEX('Valo FX'!$Q:$Q,MATCH($A24,'Valo FX'!$A:$A,0)),0,IF(GC$1&lt;INDEX('Valo FX'!$R:$R,MATCH($A24,'Valo FX'!$A:$A,0)),INDEX(Base!$U:$U,MATCH($A24,Base!$A:$A,0)),IF(GC$1=INDEX('Valo FX'!$R:$R,MATCH($A24,'Valo FX'!$A:$A,0)),INDEX(Base!$V:$V,MATCH($A24,Base!$A:$A,0)),0)))</f>
        <v>10.200271000000001</v>
      </c>
      <c r="GD24" s="21">
        <f>IF(GD$1&lt;INDEX('Valo FX'!$Q:$Q,MATCH($A24,'Valo FX'!$A:$A,0)),0,IF(GD$1&lt;INDEX('Valo FX'!$R:$R,MATCH($A24,'Valo FX'!$A:$A,0)),INDEX(Base!$U:$U,MATCH($A24,Base!$A:$A,0)),IF(GD$1=INDEX('Valo FX'!$R:$R,MATCH($A24,'Valo FX'!$A:$A,0)),INDEX(Base!$V:$V,MATCH($A24,Base!$A:$A,0)),0)))</f>
        <v>10.200271000000001</v>
      </c>
      <c r="GE24" s="21">
        <f>IF(GE$1&lt;INDEX('Valo FX'!$Q:$Q,MATCH($A24,'Valo FX'!$A:$A,0)),0,IF(GE$1&lt;INDEX('Valo FX'!$R:$R,MATCH($A24,'Valo FX'!$A:$A,0)),INDEX(Base!$U:$U,MATCH($A24,Base!$A:$A,0)),IF(GE$1=INDEX('Valo FX'!$R:$R,MATCH($A24,'Valo FX'!$A:$A,0)),INDEX(Base!$V:$V,MATCH($A24,Base!$A:$A,0)),0)))</f>
        <v>10.200271000000001</v>
      </c>
      <c r="GF24" s="21">
        <f>IF(GF$1&lt;INDEX('Valo FX'!$Q:$Q,MATCH($A24,'Valo FX'!$A:$A,0)),0,IF(GF$1&lt;INDEX('Valo FX'!$R:$R,MATCH($A24,'Valo FX'!$A:$A,0)),INDEX(Base!$U:$U,MATCH($A24,Base!$A:$A,0)),IF(GF$1=INDEX('Valo FX'!$R:$R,MATCH($A24,'Valo FX'!$A:$A,0)),INDEX(Base!$V:$V,MATCH($A24,Base!$A:$A,0)),0)))</f>
        <v>10.200271000000001</v>
      </c>
      <c r="GG24" s="21">
        <f>IF(GG$1&lt;INDEX('Valo FX'!$Q:$Q,MATCH($A24,'Valo FX'!$A:$A,0)),0,IF(GG$1&lt;INDEX('Valo FX'!$R:$R,MATCH($A24,'Valo FX'!$A:$A,0)),INDEX(Base!$U:$U,MATCH($A24,Base!$A:$A,0)),IF(GG$1=INDEX('Valo FX'!$R:$R,MATCH($A24,'Valo FX'!$A:$A,0)),INDEX(Base!$V:$V,MATCH($A24,Base!$A:$A,0)),0)))</f>
        <v>10.200271000000001</v>
      </c>
      <c r="GH24" s="21">
        <f>IF(GH$1&lt;INDEX('Valo FX'!$Q:$Q,MATCH($A24,'Valo FX'!$A:$A,0)),0,IF(GH$1&lt;INDEX('Valo FX'!$R:$R,MATCH($A24,'Valo FX'!$A:$A,0)),INDEX(Base!$U:$U,MATCH($A24,Base!$A:$A,0)),IF(GH$1=INDEX('Valo FX'!$R:$R,MATCH($A24,'Valo FX'!$A:$A,0)),INDEX(Base!$V:$V,MATCH($A24,Base!$A:$A,0)),0)))</f>
        <v>10.200271000000001</v>
      </c>
      <c r="GI24" s="21">
        <f>IF(GI$1&lt;INDEX('Valo FX'!$Q:$Q,MATCH($A24,'Valo FX'!$A:$A,0)),0,IF(GI$1&lt;INDEX('Valo FX'!$R:$R,MATCH($A24,'Valo FX'!$A:$A,0)),INDEX(Base!$U:$U,MATCH($A24,Base!$A:$A,0)),IF(GI$1=INDEX('Valo FX'!$R:$R,MATCH($A24,'Valo FX'!$A:$A,0)),INDEX(Base!$V:$V,MATCH($A24,Base!$A:$A,0)),0)))</f>
        <v>10.200271000000001</v>
      </c>
      <c r="GJ24" s="21">
        <f>IF(GJ$1&lt;INDEX('Valo FX'!$Q:$Q,MATCH($A24,'Valo FX'!$A:$A,0)),0,IF(GJ$1&lt;INDEX('Valo FX'!$R:$R,MATCH($A24,'Valo FX'!$A:$A,0)),INDEX(Base!$U:$U,MATCH($A24,Base!$A:$A,0)),IF(GJ$1=INDEX('Valo FX'!$R:$R,MATCH($A24,'Valo FX'!$A:$A,0)),INDEX(Base!$V:$V,MATCH($A24,Base!$A:$A,0)),0)))</f>
        <v>10.200271000000001</v>
      </c>
      <c r="GK24" s="21">
        <f>IF(GK$1&lt;INDEX('Valo FX'!$Q:$Q,MATCH($A24,'Valo FX'!$A:$A,0)),0,IF(GK$1&lt;INDEX('Valo FX'!$R:$R,MATCH($A24,'Valo FX'!$A:$A,0)),INDEX(Base!$U:$U,MATCH($A24,Base!$A:$A,0)),IF(GK$1=INDEX('Valo FX'!$R:$R,MATCH($A24,'Valo FX'!$A:$A,0)),INDEX(Base!$V:$V,MATCH($A24,Base!$A:$A,0)),0)))</f>
        <v>10.200271000000001</v>
      </c>
      <c r="GL24" s="21">
        <f>IF(GL$1&lt;INDEX('Valo FX'!$Q:$Q,MATCH($A24,'Valo FX'!$A:$A,0)),0,IF(GL$1&lt;INDEX('Valo FX'!$R:$R,MATCH($A24,'Valo FX'!$A:$A,0)),INDEX(Base!$U:$U,MATCH($A24,Base!$A:$A,0)),IF(GL$1=INDEX('Valo FX'!$R:$R,MATCH($A24,'Valo FX'!$A:$A,0)),INDEX(Base!$V:$V,MATCH($A24,Base!$A:$A,0)),0)))</f>
        <v>10.200271000000001</v>
      </c>
      <c r="GM24" s="21">
        <f>IF(GM$1&lt;INDEX('Valo FX'!$Q:$Q,MATCH($A24,'Valo FX'!$A:$A,0)),0,IF(GM$1&lt;INDEX('Valo FX'!$R:$R,MATCH($A24,'Valo FX'!$A:$A,0)),INDEX(Base!$U:$U,MATCH($A24,Base!$A:$A,0)),IF(GM$1=INDEX('Valo FX'!$R:$R,MATCH($A24,'Valo FX'!$A:$A,0)),INDEX(Base!$V:$V,MATCH($A24,Base!$A:$A,0)),0)))</f>
        <v>10.200271000000001</v>
      </c>
      <c r="GN24" s="21">
        <f>IF(GN$1&lt;INDEX('Valo FX'!$Q:$Q,MATCH($A24,'Valo FX'!$A:$A,0)),0,IF(GN$1&lt;INDEX('Valo FX'!$R:$R,MATCH($A24,'Valo FX'!$A:$A,0)),INDEX(Base!$U:$U,MATCH($A24,Base!$A:$A,0)),IF(GN$1=INDEX('Valo FX'!$R:$R,MATCH($A24,'Valo FX'!$A:$A,0)),INDEX(Base!$V:$V,MATCH($A24,Base!$A:$A,0)),0)))</f>
        <v>10.200271000000001</v>
      </c>
      <c r="GO24" s="21">
        <f>IF(GO$1&lt;INDEX('Valo FX'!$Q:$Q,MATCH($A24,'Valo FX'!$A:$A,0)),0,IF(GO$1&lt;INDEX('Valo FX'!$R:$R,MATCH($A24,'Valo FX'!$A:$A,0)),INDEX(Base!$U:$U,MATCH($A24,Base!$A:$A,0)),IF(GO$1=INDEX('Valo FX'!$R:$R,MATCH($A24,'Valo FX'!$A:$A,0)),INDEX(Base!$V:$V,MATCH($A24,Base!$A:$A,0)),0)))</f>
        <v>10.200271000000001</v>
      </c>
      <c r="GP24" s="21">
        <f>IF(GP$1&lt;INDEX('Valo FX'!$Q:$Q,MATCH($A24,'Valo FX'!$A:$A,0)),0,IF(GP$1&lt;INDEX('Valo FX'!$R:$R,MATCH($A24,'Valo FX'!$A:$A,0)),INDEX(Base!$U:$U,MATCH($A24,Base!$A:$A,0)),IF(GP$1=INDEX('Valo FX'!$R:$R,MATCH($A24,'Valo FX'!$A:$A,0)),INDEX(Base!$V:$V,MATCH($A24,Base!$A:$A,0)),0)))</f>
        <v>10.200271000000001</v>
      </c>
      <c r="GQ24" s="21">
        <f>IF(GQ$1&lt;INDEX('Valo FX'!$Q:$Q,MATCH($A24,'Valo FX'!$A:$A,0)),0,IF(GQ$1&lt;INDEX('Valo FX'!$R:$R,MATCH($A24,'Valo FX'!$A:$A,0)),INDEX(Base!$U:$U,MATCH($A24,Base!$A:$A,0)),IF(GQ$1=INDEX('Valo FX'!$R:$R,MATCH($A24,'Valo FX'!$A:$A,0)),INDEX(Base!$V:$V,MATCH($A24,Base!$A:$A,0)),0)))</f>
        <v>10.200271000000001</v>
      </c>
      <c r="GR24" s="21">
        <f>IF(GR$1&lt;INDEX('Valo FX'!$Q:$Q,MATCH($A24,'Valo FX'!$A:$A,0)),0,IF(GR$1&lt;INDEX('Valo FX'!$R:$R,MATCH($A24,'Valo FX'!$A:$A,0)),INDEX(Base!$U:$U,MATCH($A24,Base!$A:$A,0)),IF(GR$1=INDEX('Valo FX'!$R:$R,MATCH($A24,'Valo FX'!$A:$A,0)),INDEX(Base!$V:$V,MATCH($A24,Base!$A:$A,0)),0)))</f>
        <v>10.200271000000001</v>
      </c>
      <c r="GS24" s="21">
        <f>IF(GS$1&lt;INDEX('Valo FX'!$Q:$Q,MATCH($A24,'Valo FX'!$A:$A,0)),0,IF(GS$1&lt;INDEX('Valo FX'!$R:$R,MATCH($A24,'Valo FX'!$A:$A,0)),INDEX(Base!$U:$U,MATCH($A24,Base!$A:$A,0)),IF(GS$1=INDEX('Valo FX'!$R:$R,MATCH($A24,'Valo FX'!$A:$A,0)),INDEX(Base!$V:$V,MATCH($A24,Base!$A:$A,0)),0)))</f>
        <v>10.200271000000001</v>
      </c>
      <c r="GT24" s="21">
        <f>IF(GT$1&lt;INDEX('Valo FX'!$Q:$Q,MATCH($A24,'Valo FX'!$A:$A,0)),0,IF(GT$1&lt;INDEX('Valo FX'!$R:$R,MATCH($A24,'Valo FX'!$A:$A,0)),INDEX(Base!$U:$U,MATCH($A24,Base!$A:$A,0)),IF(GT$1=INDEX('Valo FX'!$R:$R,MATCH($A24,'Valo FX'!$A:$A,0)),INDEX(Base!$V:$V,MATCH($A24,Base!$A:$A,0)),0)))</f>
        <v>10.200271000000001</v>
      </c>
      <c r="GU24" s="21">
        <f>IF(GU$1&lt;INDEX('Valo FX'!$Q:$Q,MATCH($A24,'Valo FX'!$A:$A,0)),0,IF(GU$1&lt;INDEX('Valo FX'!$R:$R,MATCH($A24,'Valo FX'!$A:$A,0)),INDEX(Base!$U:$U,MATCH($A24,Base!$A:$A,0)),IF(GU$1=INDEX('Valo FX'!$R:$R,MATCH($A24,'Valo FX'!$A:$A,0)),INDEX(Base!$V:$V,MATCH($A24,Base!$A:$A,0)),0)))</f>
        <v>10.200271000000001</v>
      </c>
      <c r="GV24" s="21">
        <f>IF(GV$1&lt;INDEX('Valo FX'!$Q:$Q,MATCH($A24,'Valo FX'!$A:$A,0)),0,IF(GV$1&lt;INDEX('Valo FX'!$R:$R,MATCH($A24,'Valo FX'!$A:$A,0)),INDEX(Base!$U:$U,MATCH($A24,Base!$A:$A,0)),IF(GV$1=INDEX('Valo FX'!$R:$R,MATCH($A24,'Valo FX'!$A:$A,0)),INDEX(Base!$V:$V,MATCH($A24,Base!$A:$A,0)),0)))</f>
        <v>10.200271000000001</v>
      </c>
      <c r="GW24" s="21">
        <f>IF(GW$1&lt;INDEX('Valo FX'!$Q:$Q,MATCH($A24,'Valo FX'!$A:$A,0)),0,IF(GW$1&lt;INDEX('Valo FX'!$R:$R,MATCH($A24,'Valo FX'!$A:$A,0)),INDEX(Base!$U:$U,MATCH($A24,Base!$A:$A,0)),IF(GW$1=INDEX('Valo FX'!$R:$R,MATCH($A24,'Valo FX'!$A:$A,0)),INDEX(Base!$V:$V,MATCH($A24,Base!$A:$A,0)),0)))</f>
        <v>10.200271000000001</v>
      </c>
      <c r="GX24" s="21">
        <f>IF(GX$1&lt;INDEX('Valo FX'!$Q:$Q,MATCH($A24,'Valo FX'!$A:$A,0)),0,IF(GX$1&lt;INDEX('Valo FX'!$R:$R,MATCH($A24,'Valo FX'!$A:$A,0)),INDEX(Base!$U:$U,MATCH($A24,Base!$A:$A,0)),IF(GX$1=INDEX('Valo FX'!$R:$R,MATCH($A24,'Valo FX'!$A:$A,0)),INDEX(Base!$V:$V,MATCH($A24,Base!$A:$A,0)),0)))</f>
        <v>10.200271000000001</v>
      </c>
      <c r="GY24" s="21">
        <f>IF(GY$1&lt;INDEX('Valo FX'!$Q:$Q,MATCH($A24,'Valo FX'!$A:$A,0)),0,IF(GY$1&lt;INDEX('Valo FX'!$R:$R,MATCH($A24,'Valo FX'!$A:$A,0)),INDEX(Base!$U:$U,MATCH($A24,Base!$A:$A,0)),IF(GY$1=INDEX('Valo FX'!$R:$R,MATCH($A24,'Valo FX'!$A:$A,0)),INDEX(Base!$V:$V,MATCH($A24,Base!$A:$A,0)),0)))</f>
        <v>10.200271000000001</v>
      </c>
      <c r="GZ24" s="21">
        <f>IF(GZ$1&lt;INDEX('Valo FX'!$Q:$Q,MATCH($A24,'Valo FX'!$A:$A,0)),0,IF(GZ$1&lt;INDEX('Valo FX'!$R:$R,MATCH($A24,'Valo FX'!$A:$A,0)),INDEX(Base!$U:$U,MATCH($A24,Base!$A:$A,0)),IF(GZ$1=INDEX('Valo FX'!$R:$R,MATCH($A24,'Valo FX'!$A:$A,0)),INDEX(Base!$V:$V,MATCH($A24,Base!$A:$A,0)),0)))</f>
        <v>10.200271000000001</v>
      </c>
      <c r="HA24" s="21">
        <f>IF(HA$1&lt;INDEX('Valo FX'!$Q:$Q,MATCH($A24,'Valo FX'!$A:$A,0)),0,IF(HA$1&lt;INDEX('Valo FX'!$R:$R,MATCH($A24,'Valo FX'!$A:$A,0)),INDEX(Base!$U:$U,MATCH($A24,Base!$A:$A,0)),IF(HA$1=INDEX('Valo FX'!$R:$R,MATCH($A24,'Valo FX'!$A:$A,0)),INDEX(Base!$V:$V,MATCH($A24,Base!$A:$A,0)),0)))</f>
        <v>10.200271000000001</v>
      </c>
      <c r="HB24" s="21">
        <f>IF(HB$1&lt;INDEX('Valo FX'!$Q:$Q,MATCH($A24,'Valo FX'!$A:$A,0)),0,IF(HB$1&lt;INDEX('Valo FX'!$R:$R,MATCH($A24,'Valo FX'!$A:$A,0)),INDEX(Base!$U:$U,MATCH($A24,Base!$A:$A,0)),IF(HB$1=INDEX('Valo FX'!$R:$R,MATCH($A24,'Valo FX'!$A:$A,0)),INDEX(Base!$V:$V,MATCH($A24,Base!$A:$A,0)),0)))</f>
        <v>10.200271000000001</v>
      </c>
      <c r="HC24" s="21">
        <f>IF(HC$1&lt;INDEX('Valo FX'!$Q:$Q,MATCH($A24,'Valo FX'!$A:$A,0)),0,IF(HC$1&lt;INDEX('Valo FX'!$R:$R,MATCH($A24,'Valo FX'!$A:$A,0)),INDEX(Base!$U:$U,MATCH($A24,Base!$A:$A,0)),IF(HC$1=INDEX('Valo FX'!$R:$R,MATCH($A24,'Valo FX'!$A:$A,0)),INDEX(Base!$V:$V,MATCH($A24,Base!$A:$A,0)),0)))</f>
        <v>10.200271000000001</v>
      </c>
      <c r="HD24" s="21">
        <f>IF(HD$1&lt;INDEX('Valo FX'!$Q:$Q,MATCH($A24,'Valo FX'!$A:$A,0)),0,IF(HD$1&lt;INDEX('Valo FX'!$R:$R,MATCH($A24,'Valo FX'!$A:$A,0)),INDEX(Base!$U:$U,MATCH($A24,Base!$A:$A,0)),IF(HD$1=INDEX('Valo FX'!$R:$R,MATCH($A24,'Valo FX'!$A:$A,0)),INDEX(Base!$V:$V,MATCH($A24,Base!$A:$A,0)),0)))</f>
        <v>10.200271000000001</v>
      </c>
      <c r="HE24" s="21">
        <f>IF(HE$1&lt;INDEX('Valo FX'!$Q:$Q,MATCH($A24,'Valo FX'!$A:$A,0)),0,IF(HE$1&lt;INDEX('Valo FX'!$R:$R,MATCH($A24,'Valo FX'!$A:$A,0)),INDEX(Base!$U:$U,MATCH($A24,Base!$A:$A,0)),IF(HE$1=INDEX('Valo FX'!$R:$R,MATCH($A24,'Valo FX'!$A:$A,0)),INDEX(Base!$V:$V,MATCH($A24,Base!$A:$A,0)),0)))</f>
        <v>10.200271000000001</v>
      </c>
      <c r="HF24" s="21">
        <f>IF(HF$1&lt;INDEX('Valo FX'!$Q:$Q,MATCH($A24,'Valo FX'!$A:$A,0)),0,IF(HF$1&lt;INDEX('Valo FX'!$R:$R,MATCH($A24,'Valo FX'!$A:$A,0)),INDEX(Base!$U:$U,MATCH($A24,Base!$A:$A,0)),IF(HF$1=INDEX('Valo FX'!$R:$R,MATCH($A24,'Valo FX'!$A:$A,0)),INDEX(Base!$V:$V,MATCH($A24,Base!$A:$A,0)),0)))</f>
        <v>10.200271000000001</v>
      </c>
      <c r="HG24" s="21">
        <f>IF(HG$1&lt;INDEX('Valo FX'!$Q:$Q,MATCH($A24,'Valo FX'!$A:$A,0)),0,IF(HG$1&lt;INDEX('Valo FX'!$R:$R,MATCH($A24,'Valo FX'!$A:$A,0)),INDEX(Base!$U:$U,MATCH($A24,Base!$A:$A,0)),IF(HG$1=INDEX('Valo FX'!$R:$R,MATCH($A24,'Valo FX'!$A:$A,0)),INDEX(Base!$V:$V,MATCH($A24,Base!$A:$A,0)),0)))</f>
        <v>10.200271000000001</v>
      </c>
      <c r="HH24" s="21">
        <f>IF(HH$1&lt;INDEX('Valo FX'!$Q:$Q,MATCH($A24,'Valo FX'!$A:$A,0)),0,IF(HH$1&lt;INDEX('Valo FX'!$R:$R,MATCH($A24,'Valo FX'!$A:$A,0)),INDEX(Base!$U:$U,MATCH($A24,Base!$A:$A,0)),IF(HH$1=INDEX('Valo FX'!$R:$R,MATCH($A24,'Valo FX'!$A:$A,0)),INDEX(Base!$V:$V,MATCH($A24,Base!$A:$A,0)),0)))</f>
        <v>10.200271000000001</v>
      </c>
      <c r="HI24" s="21">
        <f>IF(HI$1&lt;INDEX('Valo FX'!$Q:$Q,MATCH($A24,'Valo FX'!$A:$A,0)),0,IF(HI$1&lt;INDEX('Valo FX'!$R:$R,MATCH($A24,'Valo FX'!$A:$A,0)),INDEX(Base!$U:$U,MATCH($A24,Base!$A:$A,0)),IF(HI$1=INDEX('Valo FX'!$R:$R,MATCH($A24,'Valo FX'!$A:$A,0)),INDEX(Base!$V:$V,MATCH($A24,Base!$A:$A,0)),0)))</f>
        <v>10.200271000000001</v>
      </c>
      <c r="HJ24" s="21">
        <f>IF(HJ$1&lt;INDEX('Valo FX'!$Q:$Q,MATCH($A24,'Valo FX'!$A:$A,0)),0,IF(HJ$1&lt;INDEX('Valo FX'!$R:$R,MATCH($A24,'Valo FX'!$A:$A,0)),INDEX(Base!$U:$U,MATCH($A24,Base!$A:$A,0)),IF(HJ$1=INDEX('Valo FX'!$R:$R,MATCH($A24,'Valo FX'!$A:$A,0)),INDEX(Base!$V:$V,MATCH($A24,Base!$A:$A,0)),0)))</f>
        <v>10.200271000000001</v>
      </c>
      <c r="HK24" s="21">
        <f>IF(HK$1&lt;INDEX('Valo FX'!$Q:$Q,MATCH($A24,'Valo FX'!$A:$A,0)),0,IF(HK$1&lt;INDEX('Valo FX'!$R:$R,MATCH($A24,'Valo FX'!$A:$A,0)),INDEX(Base!$U:$U,MATCH($A24,Base!$A:$A,0)),IF(HK$1=INDEX('Valo FX'!$R:$R,MATCH($A24,'Valo FX'!$A:$A,0)),INDEX(Base!$V:$V,MATCH($A24,Base!$A:$A,0)),0)))</f>
        <v>10.200271000000001</v>
      </c>
      <c r="HL24" s="21">
        <f>IF(HL$1&lt;INDEX('Valo FX'!$Q:$Q,MATCH($A24,'Valo FX'!$A:$A,0)),0,IF(HL$1&lt;INDEX('Valo FX'!$R:$R,MATCH($A24,'Valo FX'!$A:$A,0)),INDEX(Base!$U:$U,MATCH($A24,Base!$A:$A,0)),IF(HL$1=INDEX('Valo FX'!$R:$R,MATCH($A24,'Valo FX'!$A:$A,0)),INDEX(Base!$V:$V,MATCH($A24,Base!$A:$A,0)),0)))</f>
        <v>10.200271000000001</v>
      </c>
      <c r="HM24" s="21">
        <f>IF(HM$1&lt;INDEX('Valo FX'!$Q:$Q,MATCH($A24,'Valo FX'!$A:$A,0)),0,IF(HM$1&lt;INDEX('Valo FX'!$R:$R,MATCH($A24,'Valo FX'!$A:$A,0)),INDEX(Base!$U:$U,MATCH($A24,Base!$A:$A,0)),IF(HM$1=INDEX('Valo FX'!$R:$R,MATCH($A24,'Valo FX'!$A:$A,0)),INDEX(Base!$V:$V,MATCH($A24,Base!$A:$A,0)),0)))</f>
        <v>10.200271000000001</v>
      </c>
      <c r="HN24" s="21">
        <f>IF(HN$1&lt;INDEX('Valo FX'!$Q:$Q,MATCH($A24,'Valo FX'!$A:$A,0)),0,IF(HN$1&lt;INDEX('Valo FX'!$R:$R,MATCH($A24,'Valo FX'!$A:$A,0)),INDEX(Base!$U:$U,MATCH($A24,Base!$A:$A,0)),IF(HN$1=INDEX('Valo FX'!$R:$R,MATCH($A24,'Valo FX'!$A:$A,0)),INDEX(Base!$V:$V,MATCH($A24,Base!$A:$A,0)),0)))</f>
        <v>10.200271000000001</v>
      </c>
      <c r="HO24" s="21">
        <f>IF(HO$1&lt;INDEX('Valo FX'!$Q:$Q,MATCH($A24,'Valo FX'!$A:$A,0)),0,IF(HO$1&lt;INDEX('Valo FX'!$R:$R,MATCH($A24,'Valo FX'!$A:$A,0)),INDEX(Base!$U:$U,MATCH($A24,Base!$A:$A,0)),IF(HO$1=INDEX('Valo FX'!$R:$R,MATCH($A24,'Valo FX'!$A:$A,0)),INDEX(Base!$V:$V,MATCH($A24,Base!$A:$A,0)),0)))</f>
        <v>10.200271000000001</v>
      </c>
      <c r="HP24" s="21">
        <f>IF(HP$1&lt;INDEX('Valo FX'!$Q:$Q,MATCH($A24,'Valo FX'!$A:$A,0)),0,IF(HP$1&lt;INDEX('Valo FX'!$R:$R,MATCH($A24,'Valo FX'!$A:$A,0)),INDEX(Base!$U:$U,MATCH($A24,Base!$A:$A,0)),IF(HP$1=INDEX('Valo FX'!$R:$R,MATCH($A24,'Valo FX'!$A:$A,0)),INDEX(Base!$V:$V,MATCH($A24,Base!$A:$A,0)),0)))</f>
        <v>10.200271000000001</v>
      </c>
      <c r="HQ24" s="21">
        <f>IF(HQ$1&lt;INDEX('Valo FX'!$Q:$Q,MATCH($A24,'Valo FX'!$A:$A,0)),0,IF(HQ$1&lt;INDEX('Valo FX'!$R:$R,MATCH($A24,'Valo FX'!$A:$A,0)),INDEX(Base!$U:$U,MATCH($A24,Base!$A:$A,0)),IF(HQ$1=INDEX('Valo FX'!$R:$R,MATCH($A24,'Valo FX'!$A:$A,0)),INDEX(Base!$V:$V,MATCH($A24,Base!$A:$A,0)),0)))</f>
        <v>10.200271000000001</v>
      </c>
      <c r="HR24" s="21">
        <f>IF(HR$1&lt;INDEX('Valo FX'!$Q:$Q,MATCH($A24,'Valo FX'!$A:$A,0)),0,IF(HR$1&lt;INDEX('Valo FX'!$R:$R,MATCH($A24,'Valo FX'!$A:$A,0)),INDEX(Base!$U:$U,MATCH($A24,Base!$A:$A,0)),IF(HR$1=INDEX('Valo FX'!$R:$R,MATCH($A24,'Valo FX'!$A:$A,0)),INDEX(Base!$V:$V,MATCH($A24,Base!$A:$A,0)),0)))</f>
        <v>10.200271000000001</v>
      </c>
      <c r="HS24" s="21">
        <f>IF(HS$1&lt;INDEX('Valo FX'!$Q:$Q,MATCH($A24,'Valo FX'!$A:$A,0)),0,IF(HS$1&lt;INDEX('Valo FX'!$R:$R,MATCH($A24,'Valo FX'!$A:$A,0)),INDEX(Base!$U:$U,MATCH($A24,Base!$A:$A,0)),IF(HS$1=INDEX('Valo FX'!$R:$R,MATCH($A24,'Valo FX'!$A:$A,0)),INDEX(Base!$V:$V,MATCH($A24,Base!$A:$A,0)),0)))</f>
        <v>10.200271000000001</v>
      </c>
      <c r="HT24" s="21">
        <f>IF(HT$1&lt;INDEX('Valo FX'!$Q:$Q,MATCH($A24,'Valo FX'!$A:$A,0)),0,IF(HT$1&lt;INDEX('Valo FX'!$R:$R,MATCH($A24,'Valo FX'!$A:$A,0)),INDEX(Base!$U:$U,MATCH($A24,Base!$A:$A,0)),IF(HT$1=INDEX('Valo FX'!$R:$R,MATCH($A24,'Valo FX'!$A:$A,0)),INDEX(Base!$V:$V,MATCH($A24,Base!$A:$A,0)),0)))</f>
        <v>10.200271000000001</v>
      </c>
      <c r="HU24" s="21">
        <f>IF(HU$1&lt;INDEX('Valo FX'!$Q:$Q,MATCH($A24,'Valo FX'!$A:$A,0)),0,IF(HU$1&lt;INDEX('Valo FX'!$R:$R,MATCH($A24,'Valo FX'!$A:$A,0)),INDEX(Base!$U:$U,MATCH($A24,Base!$A:$A,0)),IF(HU$1=INDEX('Valo FX'!$R:$R,MATCH($A24,'Valo FX'!$A:$A,0)),INDEX(Base!$V:$V,MATCH($A24,Base!$A:$A,0)),0)))</f>
        <v>10.200271000000001</v>
      </c>
      <c r="HV24" s="21">
        <f>IF(HV$1&lt;INDEX('Valo FX'!$Q:$Q,MATCH($A24,'Valo FX'!$A:$A,0)),0,IF(HV$1&lt;INDEX('Valo FX'!$R:$R,MATCH($A24,'Valo FX'!$A:$A,0)),INDEX(Base!$U:$U,MATCH($A24,Base!$A:$A,0)),IF(HV$1=INDEX('Valo FX'!$R:$R,MATCH($A24,'Valo FX'!$A:$A,0)),INDEX(Base!$V:$V,MATCH($A24,Base!$A:$A,0)),0)))</f>
        <v>10.200271000000001</v>
      </c>
      <c r="HW24" s="21">
        <f>IF(HW$1&lt;INDEX('Valo FX'!$Q:$Q,MATCH($A24,'Valo FX'!$A:$A,0)),0,IF(HW$1&lt;INDEX('Valo FX'!$R:$R,MATCH($A24,'Valo FX'!$A:$A,0)),INDEX(Base!$U:$U,MATCH($A24,Base!$A:$A,0)),IF(HW$1=INDEX('Valo FX'!$R:$R,MATCH($A24,'Valo FX'!$A:$A,0)),INDEX(Base!$V:$V,MATCH($A24,Base!$A:$A,0)),0)))</f>
        <v>10.200271000000001</v>
      </c>
      <c r="HX24" s="21">
        <f>IF(HX$1&lt;INDEX('Valo FX'!$Q:$Q,MATCH($A24,'Valo FX'!$A:$A,0)),0,IF(HX$1&lt;INDEX('Valo FX'!$R:$R,MATCH($A24,'Valo FX'!$A:$A,0)),INDEX(Base!$U:$U,MATCH($A24,Base!$A:$A,0)),IF(HX$1=INDEX('Valo FX'!$R:$R,MATCH($A24,'Valo FX'!$A:$A,0)),INDEX(Base!$V:$V,MATCH($A24,Base!$A:$A,0)),0)))</f>
        <v>10.200271000000001</v>
      </c>
      <c r="HY24" s="21">
        <f>IF(HY$1&lt;INDEX('Valo FX'!$Q:$Q,MATCH($A24,'Valo FX'!$A:$A,0)),0,IF(HY$1&lt;INDEX('Valo FX'!$R:$R,MATCH($A24,'Valo FX'!$A:$A,0)),INDEX(Base!$U:$U,MATCH($A24,Base!$A:$A,0)),IF(HY$1=INDEX('Valo FX'!$R:$R,MATCH($A24,'Valo FX'!$A:$A,0)),INDEX(Base!$V:$V,MATCH($A24,Base!$A:$A,0)),0)))</f>
        <v>10.200271000000001</v>
      </c>
      <c r="HZ24" s="21">
        <f>IF(HZ$1&lt;INDEX('Valo FX'!$Q:$Q,MATCH($A24,'Valo FX'!$A:$A,0)),0,IF(HZ$1&lt;INDEX('Valo FX'!$R:$R,MATCH($A24,'Valo FX'!$A:$A,0)),INDEX(Base!$U:$U,MATCH($A24,Base!$A:$A,0)),IF(HZ$1=INDEX('Valo FX'!$R:$R,MATCH($A24,'Valo FX'!$A:$A,0)),INDEX(Base!$V:$V,MATCH($A24,Base!$A:$A,0)),0)))</f>
        <v>10.200271000000001</v>
      </c>
      <c r="IA24" s="21">
        <f>IF(IA$1&lt;INDEX('Valo FX'!$Q:$Q,MATCH($A24,'Valo FX'!$A:$A,0)),0,IF(IA$1&lt;INDEX('Valo FX'!$R:$R,MATCH($A24,'Valo FX'!$A:$A,0)),INDEX(Base!$U:$U,MATCH($A24,Base!$A:$A,0)),IF(IA$1=INDEX('Valo FX'!$R:$R,MATCH($A24,'Valo FX'!$A:$A,0)),INDEX(Base!$V:$V,MATCH($A24,Base!$A:$A,0)),0)))</f>
        <v>10.200271000000001</v>
      </c>
      <c r="IB24" s="21">
        <f>IF(IB$1&lt;INDEX('Valo FX'!$Q:$Q,MATCH($A24,'Valo FX'!$A:$A,0)),0,IF(IB$1&lt;INDEX('Valo FX'!$R:$R,MATCH($A24,'Valo FX'!$A:$A,0)),INDEX(Base!$U:$U,MATCH($A24,Base!$A:$A,0)),IF(IB$1=INDEX('Valo FX'!$R:$R,MATCH($A24,'Valo FX'!$A:$A,0)),INDEX(Base!$V:$V,MATCH($A24,Base!$A:$A,0)),0)))</f>
        <v>10.200271000000001</v>
      </c>
      <c r="IC24" s="21">
        <f>IF(IC$1&lt;INDEX('Valo FX'!$Q:$Q,MATCH($A24,'Valo FX'!$A:$A,0)),0,IF(IC$1&lt;INDEX('Valo FX'!$R:$R,MATCH($A24,'Valo FX'!$A:$A,0)),INDEX(Base!$U:$U,MATCH($A24,Base!$A:$A,0)),IF(IC$1=INDEX('Valo FX'!$R:$R,MATCH($A24,'Valo FX'!$A:$A,0)),INDEX(Base!$V:$V,MATCH($A24,Base!$A:$A,0)),0)))</f>
        <v>10.200271000000001</v>
      </c>
      <c r="ID24" s="21">
        <f>IF(ID$1&lt;INDEX('Valo FX'!$Q:$Q,MATCH($A24,'Valo FX'!$A:$A,0)),0,IF(ID$1&lt;INDEX('Valo FX'!$R:$R,MATCH($A24,'Valo FX'!$A:$A,0)),INDEX(Base!$U:$U,MATCH($A24,Base!$A:$A,0)),IF(ID$1=INDEX('Valo FX'!$R:$R,MATCH($A24,'Valo FX'!$A:$A,0)),INDEX(Base!$V:$V,MATCH($A24,Base!$A:$A,0)),0)))</f>
        <v>10.200271000000001</v>
      </c>
      <c r="IE24" s="21">
        <f>IF(IE$1&lt;INDEX('Valo FX'!$Q:$Q,MATCH($A24,'Valo FX'!$A:$A,0)),0,IF(IE$1&lt;INDEX('Valo FX'!$R:$R,MATCH($A24,'Valo FX'!$A:$A,0)),INDEX(Base!$U:$U,MATCH($A24,Base!$A:$A,0)),IF(IE$1=INDEX('Valo FX'!$R:$R,MATCH($A24,'Valo FX'!$A:$A,0)),INDEX(Base!$V:$V,MATCH($A24,Base!$A:$A,0)),0)))</f>
        <v>10.200271000000001</v>
      </c>
      <c r="IF24" s="21">
        <f>IF(IF$1&lt;INDEX('Valo FX'!$Q:$Q,MATCH($A24,'Valo FX'!$A:$A,0)),0,IF(IF$1&lt;INDEX('Valo FX'!$R:$R,MATCH($A24,'Valo FX'!$A:$A,0)),INDEX(Base!$U:$U,MATCH($A24,Base!$A:$A,0)),IF(IF$1=INDEX('Valo FX'!$R:$R,MATCH($A24,'Valo FX'!$A:$A,0)),INDEX(Base!$V:$V,MATCH($A24,Base!$A:$A,0)),0)))</f>
        <v>10.200271000000001</v>
      </c>
      <c r="IG24" s="21">
        <f>IF(IG$1&lt;INDEX('Valo FX'!$Q:$Q,MATCH($A24,'Valo FX'!$A:$A,0)),0,IF(IG$1&lt;INDEX('Valo FX'!$R:$R,MATCH($A24,'Valo FX'!$A:$A,0)),INDEX(Base!$U:$U,MATCH($A24,Base!$A:$A,0)),IF(IG$1=INDEX('Valo FX'!$R:$R,MATCH($A24,'Valo FX'!$A:$A,0)),INDEX(Base!$V:$V,MATCH($A24,Base!$A:$A,0)),0)))</f>
        <v>10.200271000000001</v>
      </c>
      <c r="IH24" s="21">
        <f>IF(IH$1&lt;INDEX('Valo FX'!$Q:$Q,MATCH($A24,'Valo FX'!$A:$A,0)),0,IF(IH$1&lt;INDEX('Valo FX'!$R:$R,MATCH($A24,'Valo FX'!$A:$A,0)),INDEX(Base!$U:$U,MATCH($A24,Base!$A:$A,0)),IF(IH$1=INDEX('Valo FX'!$R:$R,MATCH($A24,'Valo FX'!$A:$A,0)),INDEX(Base!$V:$V,MATCH($A24,Base!$A:$A,0)),0)))</f>
        <v>10.200271000000001</v>
      </c>
      <c r="II24" s="21">
        <f>IF(II$1&lt;INDEX('Valo FX'!$Q:$Q,MATCH($A24,'Valo FX'!$A:$A,0)),0,IF(II$1&lt;INDEX('Valo FX'!$R:$R,MATCH($A24,'Valo FX'!$A:$A,0)),INDEX(Base!$U:$U,MATCH($A24,Base!$A:$A,0)),IF(II$1=INDEX('Valo FX'!$R:$R,MATCH($A24,'Valo FX'!$A:$A,0)),INDEX(Base!$V:$V,MATCH($A24,Base!$A:$A,0)),0)))</f>
        <v>10.200271000000001</v>
      </c>
      <c r="IJ24" s="21">
        <f>IF(IJ$1&lt;INDEX('Valo FX'!$Q:$Q,MATCH($A24,'Valo FX'!$A:$A,0)),0,IF(IJ$1&lt;INDEX('Valo FX'!$R:$R,MATCH($A24,'Valo FX'!$A:$A,0)),INDEX(Base!$U:$U,MATCH($A24,Base!$A:$A,0)),IF(IJ$1=INDEX('Valo FX'!$R:$R,MATCH($A24,'Valo FX'!$A:$A,0)),INDEX(Base!$V:$V,MATCH($A24,Base!$A:$A,0)),0)))</f>
        <v>10.200271000000001</v>
      </c>
      <c r="IK24" s="21">
        <f>IF(IK$1&lt;INDEX('Valo FX'!$Q:$Q,MATCH($A24,'Valo FX'!$A:$A,0)),0,IF(IK$1&lt;INDEX('Valo FX'!$R:$R,MATCH($A24,'Valo FX'!$A:$A,0)),INDEX(Base!$U:$U,MATCH($A24,Base!$A:$A,0)),IF(IK$1=INDEX('Valo FX'!$R:$R,MATCH($A24,'Valo FX'!$A:$A,0)),INDEX(Base!$V:$V,MATCH($A24,Base!$A:$A,0)),0)))</f>
        <v>10.200271000000001</v>
      </c>
      <c r="IL24" s="21">
        <f>IF(IL$1&lt;INDEX('Valo FX'!$Q:$Q,MATCH($A24,'Valo FX'!$A:$A,0)),0,IF(IL$1&lt;INDEX('Valo FX'!$R:$R,MATCH($A24,'Valo FX'!$A:$A,0)),INDEX(Base!$U:$U,MATCH($A24,Base!$A:$A,0)),IF(IL$1=INDEX('Valo FX'!$R:$R,MATCH($A24,'Valo FX'!$A:$A,0)),INDEX(Base!$V:$V,MATCH($A24,Base!$A:$A,0)),0)))</f>
        <v>10.200271000000001</v>
      </c>
      <c r="IM24" s="21">
        <f>IF(IM$1&lt;INDEX('Valo FX'!$Q:$Q,MATCH($A24,'Valo FX'!$A:$A,0)),0,IF(IM$1&lt;INDEX('Valo FX'!$R:$R,MATCH($A24,'Valo FX'!$A:$A,0)),INDEX(Base!$U:$U,MATCH($A24,Base!$A:$A,0)),IF(IM$1=INDEX('Valo FX'!$R:$R,MATCH($A24,'Valo FX'!$A:$A,0)),INDEX(Base!$V:$V,MATCH($A24,Base!$A:$A,0)),0)))</f>
        <v>10.200271000000001</v>
      </c>
      <c r="IN24" s="21">
        <f>IF(IN$1&lt;INDEX('Valo FX'!$Q:$Q,MATCH($A24,'Valo FX'!$A:$A,0)),0,IF(IN$1&lt;INDEX('Valo FX'!$R:$R,MATCH($A24,'Valo FX'!$A:$A,0)),INDEX(Base!$U:$U,MATCH($A24,Base!$A:$A,0)),IF(IN$1=INDEX('Valo FX'!$R:$R,MATCH($A24,'Valo FX'!$A:$A,0)),INDEX(Base!$V:$V,MATCH($A24,Base!$A:$A,0)),0)))</f>
        <v>10.200271000000001</v>
      </c>
      <c r="IO24" s="21">
        <f>IF(IO$1&lt;INDEX('Valo FX'!$Q:$Q,MATCH($A24,'Valo FX'!$A:$A,0)),0,IF(IO$1&lt;INDEX('Valo FX'!$R:$R,MATCH($A24,'Valo FX'!$A:$A,0)),INDEX(Base!$U:$U,MATCH($A24,Base!$A:$A,0)),IF(IO$1=INDEX('Valo FX'!$R:$R,MATCH($A24,'Valo FX'!$A:$A,0)),INDEX(Base!$V:$V,MATCH($A24,Base!$A:$A,0)),0)))</f>
        <v>10.200271000000001</v>
      </c>
      <c r="IP24" s="21">
        <f>IF(IP$1&lt;INDEX('Valo FX'!$Q:$Q,MATCH($A24,'Valo FX'!$A:$A,0)),0,IF(IP$1&lt;INDEX('Valo FX'!$R:$R,MATCH($A24,'Valo FX'!$A:$A,0)),INDEX(Base!$U:$U,MATCH($A24,Base!$A:$A,0)),IF(IP$1=INDEX('Valo FX'!$R:$R,MATCH($A24,'Valo FX'!$A:$A,0)),INDEX(Base!$V:$V,MATCH($A24,Base!$A:$A,0)),0)))</f>
        <v>10.200271000000001</v>
      </c>
      <c r="IQ24" s="21">
        <f>IF(IQ$1&lt;INDEX('Valo FX'!$Q:$Q,MATCH($A24,'Valo FX'!$A:$A,0)),0,IF(IQ$1&lt;INDEX('Valo FX'!$R:$R,MATCH($A24,'Valo FX'!$A:$A,0)),INDEX(Base!$U:$U,MATCH($A24,Base!$A:$A,0)),IF(IQ$1=INDEX('Valo FX'!$R:$R,MATCH($A24,'Valo FX'!$A:$A,0)),INDEX(Base!$V:$V,MATCH($A24,Base!$A:$A,0)),0)))</f>
        <v>10.200271000000001</v>
      </c>
      <c r="IR24" s="21">
        <f>IF(IR$1&lt;INDEX('Valo FX'!$Q:$Q,MATCH($A24,'Valo FX'!$A:$A,0)),0,IF(IR$1&lt;INDEX('Valo FX'!$R:$R,MATCH($A24,'Valo FX'!$A:$A,0)),INDEX(Base!$U:$U,MATCH($A24,Base!$A:$A,0)),IF(IR$1=INDEX('Valo FX'!$R:$R,MATCH($A24,'Valo FX'!$A:$A,0)),INDEX(Base!$V:$V,MATCH($A24,Base!$A:$A,0)),0)))</f>
        <v>10.200271000000001</v>
      </c>
      <c r="IS24" s="21">
        <f>IF(IS$1&lt;INDEX('Valo FX'!$Q:$Q,MATCH($A24,'Valo FX'!$A:$A,0)),0,IF(IS$1&lt;INDEX('Valo FX'!$R:$R,MATCH($A24,'Valo FX'!$A:$A,0)),INDEX(Base!$U:$U,MATCH($A24,Base!$A:$A,0)),IF(IS$1=INDEX('Valo FX'!$R:$R,MATCH($A24,'Valo FX'!$A:$A,0)),INDEX(Base!$V:$V,MATCH($A24,Base!$A:$A,0)),0)))</f>
        <v>10.200271000000001</v>
      </c>
      <c r="IT24" s="21">
        <f>IF(IT$1&lt;INDEX('Valo FX'!$Q:$Q,MATCH($A24,'Valo FX'!$A:$A,0)),0,IF(IT$1&lt;INDEX('Valo FX'!$R:$R,MATCH($A24,'Valo FX'!$A:$A,0)),INDEX(Base!$U:$U,MATCH($A24,Base!$A:$A,0)),IF(IT$1=INDEX('Valo FX'!$R:$R,MATCH($A24,'Valo FX'!$A:$A,0)),INDEX(Base!$V:$V,MATCH($A24,Base!$A:$A,0)),0)))</f>
        <v>10.200271000000001</v>
      </c>
      <c r="IU24" s="21">
        <f>IF(IU$1&lt;INDEX('Valo FX'!$Q:$Q,MATCH($A24,'Valo FX'!$A:$A,0)),0,IF(IU$1&lt;INDEX('Valo FX'!$R:$R,MATCH($A24,'Valo FX'!$A:$A,0)),INDEX(Base!$U:$U,MATCH($A24,Base!$A:$A,0)),IF(IU$1=INDEX('Valo FX'!$R:$R,MATCH($A24,'Valo FX'!$A:$A,0)),INDEX(Base!$V:$V,MATCH($A24,Base!$A:$A,0)),0)))</f>
        <v>10.200271000000001</v>
      </c>
      <c r="IV24" s="21">
        <f>IF(IV$1&lt;INDEX('Valo FX'!$Q:$Q,MATCH($A24,'Valo FX'!$A:$A,0)),0,IF(IV$1&lt;INDEX('Valo FX'!$R:$R,MATCH($A24,'Valo FX'!$A:$A,0)),INDEX(Base!$U:$U,MATCH($A24,Base!$A:$A,0)),IF(IV$1=INDEX('Valo FX'!$R:$R,MATCH($A24,'Valo FX'!$A:$A,0)),INDEX(Base!$V:$V,MATCH($A24,Base!$A:$A,0)),0)))</f>
        <v>10.200271000000001</v>
      </c>
      <c r="IW24" s="21">
        <f>IF(IW$1&lt;INDEX('Valo FX'!$Q:$Q,MATCH($A24,'Valo FX'!$A:$A,0)),0,IF(IW$1&lt;INDEX('Valo FX'!$R:$R,MATCH($A24,'Valo FX'!$A:$A,0)),INDEX(Base!$U:$U,MATCH($A24,Base!$A:$A,0)),IF(IW$1=INDEX('Valo FX'!$R:$R,MATCH($A24,'Valo FX'!$A:$A,0)),INDEX(Base!$V:$V,MATCH($A24,Base!$A:$A,0)),0)))</f>
        <v>10.200271000000001</v>
      </c>
      <c r="IX24" s="21">
        <f>IF(IX$1&lt;INDEX('Valo FX'!$Q:$Q,MATCH($A24,'Valo FX'!$A:$A,0)),0,IF(IX$1&lt;INDEX('Valo FX'!$R:$R,MATCH($A24,'Valo FX'!$A:$A,0)),INDEX(Base!$U:$U,MATCH($A24,Base!$A:$A,0)),IF(IX$1=INDEX('Valo FX'!$R:$R,MATCH($A24,'Valo FX'!$A:$A,0)),INDEX(Base!$V:$V,MATCH($A24,Base!$A:$A,0)),0)))</f>
        <v>10.200271000000001</v>
      </c>
      <c r="IY24" s="21">
        <f>IF(IY$1&lt;INDEX('Valo FX'!$Q:$Q,MATCH($A24,'Valo FX'!$A:$A,0)),0,IF(IY$1&lt;INDEX('Valo FX'!$R:$R,MATCH($A24,'Valo FX'!$A:$A,0)),INDEX(Base!$U:$U,MATCH($A24,Base!$A:$A,0)),IF(IY$1=INDEX('Valo FX'!$R:$R,MATCH($A24,'Valo FX'!$A:$A,0)),INDEX(Base!$V:$V,MATCH($A24,Base!$A:$A,0)),0)))</f>
        <v>10.200271000000001</v>
      </c>
      <c r="IZ24" s="21">
        <f>IF(IZ$1&lt;INDEX('Valo FX'!$Q:$Q,MATCH($A24,'Valo FX'!$A:$A,0)),0,IF(IZ$1&lt;INDEX('Valo FX'!$R:$R,MATCH($A24,'Valo FX'!$A:$A,0)),INDEX(Base!$U:$U,MATCH($A24,Base!$A:$A,0)),IF(IZ$1=INDEX('Valo FX'!$R:$R,MATCH($A24,'Valo FX'!$A:$A,0)),INDEX(Base!$V:$V,MATCH($A24,Base!$A:$A,0)),0)))</f>
        <v>10.200271000000001</v>
      </c>
      <c r="JA24" s="21">
        <f>IF(JA$1&lt;INDEX('Valo FX'!$Q:$Q,MATCH($A24,'Valo FX'!$A:$A,0)),0,IF(JA$1&lt;INDEX('Valo FX'!$R:$R,MATCH($A24,'Valo FX'!$A:$A,0)),INDEX(Base!$U:$U,MATCH($A24,Base!$A:$A,0)),IF(JA$1=INDEX('Valo FX'!$R:$R,MATCH($A24,'Valo FX'!$A:$A,0)),INDEX(Base!$V:$V,MATCH($A24,Base!$A:$A,0)),0)))</f>
        <v>10.200271000000001</v>
      </c>
      <c r="JB24" s="21">
        <f>IF(JB$1&lt;INDEX('Valo FX'!$Q:$Q,MATCH($A24,'Valo FX'!$A:$A,0)),0,IF(JB$1&lt;INDEX('Valo FX'!$R:$R,MATCH($A24,'Valo FX'!$A:$A,0)),INDEX(Base!$U:$U,MATCH($A24,Base!$A:$A,0)),IF(JB$1=INDEX('Valo FX'!$R:$R,MATCH($A24,'Valo FX'!$A:$A,0)),INDEX(Base!$V:$V,MATCH($A24,Base!$A:$A,0)),0)))</f>
        <v>10.200271000000001</v>
      </c>
      <c r="JC24" s="21">
        <f>IF(JC$1&lt;INDEX('Valo FX'!$Q:$Q,MATCH($A24,'Valo FX'!$A:$A,0)),0,IF(JC$1&lt;INDEX('Valo FX'!$R:$R,MATCH($A24,'Valo FX'!$A:$A,0)),INDEX(Base!$U:$U,MATCH($A24,Base!$A:$A,0)),IF(JC$1=INDEX('Valo FX'!$R:$R,MATCH($A24,'Valo FX'!$A:$A,0)),INDEX(Base!$V:$V,MATCH($A24,Base!$A:$A,0)),0)))</f>
        <v>10.200271000000001</v>
      </c>
      <c r="JD24" s="21">
        <f>IF(JD$1&lt;INDEX('Valo FX'!$Q:$Q,MATCH($A24,'Valo FX'!$A:$A,0)),0,IF(JD$1&lt;INDEX('Valo FX'!$R:$R,MATCH($A24,'Valo FX'!$A:$A,0)),INDEX(Base!$U:$U,MATCH($A24,Base!$A:$A,0)),IF(JD$1=INDEX('Valo FX'!$R:$R,MATCH($A24,'Valo FX'!$A:$A,0)),INDEX(Base!$V:$V,MATCH($A24,Base!$A:$A,0)),0)))</f>
        <v>10.200271000000001</v>
      </c>
      <c r="JE24" s="21">
        <f>IF(JE$1&lt;INDEX('Valo FX'!$Q:$Q,MATCH($A24,'Valo FX'!$A:$A,0)),0,IF(JE$1&lt;INDEX('Valo FX'!$R:$R,MATCH($A24,'Valo FX'!$A:$A,0)),INDEX(Base!$U:$U,MATCH($A24,Base!$A:$A,0)),IF(JE$1=INDEX('Valo FX'!$R:$R,MATCH($A24,'Valo FX'!$A:$A,0)),INDEX(Base!$V:$V,MATCH($A24,Base!$A:$A,0)),0)))</f>
        <v>10.200271000000001</v>
      </c>
      <c r="JF24" s="21">
        <f>IF(JF$1&lt;INDEX('Valo FX'!$Q:$Q,MATCH($A24,'Valo FX'!$A:$A,0)),0,IF(JF$1&lt;INDEX('Valo FX'!$R:$R,MATCH($A24,'Valo FX'!$A:$A,0)),INDEX(Base!$U:$U,MATCH($A24,Base!$A:$A,0)),IF(JF$1=INDEX('Valo FX'!$R:$R,MATCH($A24,'Valo FX'!$A:$A,0)),INDEX(Base!$V:$V,MATCH($A24,Base!$A:$A,0)),0)))</f>
        <v>10.200271000000001</v>
      </c>
      <c r="JG24" s="21">
        <f>IF(JG$1&lt;INDEX('Valo FX'!$Q:$Q,MATCH($A24,'Valo FX'!$A:$A,0)),0,IF(JG$1&lt;INDEX('Valo FX'!$R:$R,MATCH($A24,'Valo FX'!$A:$A,0)),INDEX(Base!$U:$U,MATCH($A24,Base!$A:$A,0)),IF(JG$1=INDEX('Valo FX'!$R:$R,MATCH($A24,'Valo FX'!$A:$A,0)),INDEX(Base!$V:$V,MATCH($A24,Base!$A:$A,0)),0)))</f>
        <v>10.200271000000001</v>
      </c>
      <c r="JH24" s="21">
        <f>IF(JH$1&lt;INDEX('Valo FX'!$Q:$Q,MATCH($A24,'Valo FX'!$A:$A,0)),0,IF(JH$1&lt;INDEX('Valo FX'!$R:$R,MATCH($A24,'Valo FX'!$A:$A,0)),INDEX(Base!$U:$U,MATCH($A24,Base!$A:$A,0)),IF(JH$1=INDEX('Valo FX'!$R:$R,MATCH($A24,'Valo FX'!$A:$A,0)),INDEX(Base!$V:$V,MATCH($A24,Base!$A:$A,0)),0)))</f>
        <v>10.200271000000001</v>
      </c>
      <c r="JI24" s="21">
        <f>IF(JI$1&lt;INDEX('Valo FX'!$Q:$Q,MATCH($A24,'Valo FX'!$A:$A,0)),0,IF(JI$1&lt;INDEX('Valo FX'!$R:$R,MATCH($A24,'Valo FX'!$A:$A,0)),INDEX(Base!$U:$U,MATCH($A24,Base!$A:$A,0)),IF(JI$1=INDEX('Valo FX'!$R:$R,MATCH($A24,'Valo FX'!$A:$A,0)),INDEX(Base!$V:$V,MATCH($A24,Base!$A:$A,0)),0)))</f>
        <v>10.200271000000001</v>
      </c>
      <c r="JJ24" s="21">
        <f>IF(JJ$1&lt;INDEX('Valo FX'!$Q:$Q,MATCH($A24,'Valo FX'!$A:$A,0)),0,IF(JJ$1&lt;INDEX('Valo FX'!$R:$R,MATCH($A24,'Valo FX'!$A:$A,0)),INDEX(Base!$U:$U,MATCH($A24,Base!$A:$A,0)),IF(JJ$1=INDEX('Valo FX'!$R:$R,MATCH($A24,'Valo FX'!$A:$A,0)),INDEX(Base!$V:$V,MATCH($A24,Base!$A:$A,0)),0)))</f>
        <v>10.200271000000001</v>
      </c>
      <c r="JK24" s="21">
        <f>IF(JK$1&lt;INDEX('Valo FX'!$Q:$Q,MATCH($A24,'Valo FX'!$A:$A,0)),0,IF(JK$1&lt;INDEX('Valo FX'!$R:$R,MATCH($A24,'Valo FX'!$A:$A,0)),INDEX(Base!$U:$U,MATCH($A24,Base!$A:$A,0)),IF(JK$1=INDEX('Valo FX'!$R:$R,MATCH($A24,'Valo FX'!$A:$A,0)),INDEX(Base!$V:$V,MATCH($A24,Base!$A:$A,0)),0)))</f>
        <v>10.200271000000001</v>
      </c>
      <c r="JL24" s="21">
        <f>IF(JL$1&lt;INDEX('Valo FX'!$Q:$Q,MATCH($A24,'Valo FX'!$A:$A,0)),0,IF(JL$1&lt;INDEX('Valo FX'!$R:$R,MATCH($A24,'Valo FX'!$A:$A,0)),INDEX(Base!$U:$U,MATCH($A24,Base!$A:$A,0)),IF(JL$1=INDEX('Valo FX'!$R:$R,MATCH($A24,'Valo FX'!$A:$A,0)),INDEX(Base!$V:$V,MATCH($A24,Base!$A:$A,0)),0)))</f>
        <v>10.200271000000001</v>
      </c>
      <c r="JM24" s="21">
        <f>IF(JM$1&lt;INDEX('Valo FX'!$Q:$Q,MATCH($A24,'Valo FX'!$A:$A,0)),0,IF(JM$1&lt;INDEX('Valo FX'!$R:$R,MATCH($A24,'Valo FX'!$A:$A,0)),INDEX(Base!$U:$U,MATCH($A24,Base!$A:$A,0)),IF(JM$1=INDEX('Valo FX'!$R:$R,MATCH($A24,'Valo FX'!$A:$A,0)),INDEX(Base!$V:$V,MATCH($A24,Base!$A:$A,0)),0)))</f>
        <v>10.200271000000001</v>
      </c>
      <c r="JN24" s="21">
        <f>IF(JN$1&lt;INDEX('Valo FX'!$Q:$Q,MATCH($A24,'Valo FX'!$A:$A,0)),0,IF(JN$1&lt;INDEX('Valo FX'!$R:$R,MATCH($A24,'Valo FX'!$A:$A,0)),INDEX(Base!$U:$U,MATCH($A24,Base!$A:$A,0)),IF(JN$1=INDEX('Valo FX'!$R:$R,MATCH($A24,'Valo FX'!$A:$A,0)),INDEX(Base!$V:$V,MATCH($A24,Base!$A:$A,0)),0)))</f>
        <v>10.200271000000001</v>
      </c>
      <c r="JO24" s="21">
        <f>IF(JO$1&lt;INDEX('Valo FX'!$Q:$Q,MATCH($A24,'Valo FX'!$A:$A,0)),0,IF(JO$1&lt;INDEX('Valo FX'!$R:$R,MATCH($A24,'Valo FX'!$A:$A,0)),INDEX(Base!$U:$U,MATCH($A24,Base!$A:$A,0)),IF(JO$1=INDEX('Valo FX'!$R:$R,MATCH($A24,'Valo FX'!$A:$A,0)),INDEX(Base!$V:$V,MATCH($A24,Base!$A:$A,0)),0)))</f>
        <v>10.200271000000001</v>
      </c>
      <c r="JP24" s="21">
        <f>IF(JP$1&lt;INDEX('Valo FX'!$Q:$Q,MATCH($A24,'Valo FX'!$A:$A,0)),0,IF(JP$1&lt;INDEX('Valo FX'!$R:$R,MATCH($A24,'Valo FX'!$A:$A,0)),INDEX(Base!$U:$U,MATCH($A24,Base!$A:$A,0)),IF(JP$1=INDEX('Valo FX'!$R:$R,MATCH($A24,'Valo FX'!$A:$A,0)),INDEX(Base!$V:$V,MATCH($A24,Base!$A:$A,0)),0)))</f>
        <v>10.200271000000001</v>
      </c>
      <c r="JQ24" s="21">
        <f>IF(JQ$1&lt;INDEX('Valo FX'!$Q:$Q,MATCH($A24,'Valo FX'!$A:$A,0)),0,IF(JQ$1&lt;INDEX('Valo FX'!$R:$R,MATCH($A24,'Valo FX'!$A:$A,0)),INDEX(Base!$U:$U,MATCH($A24,Base!$A:$A,0)),IF(JQ$1=INDEX('Valo FX'!$R:$R,MATCH($A24,'Valo FX'!$A:$A,0)),INDEX(Base!$V:$V,MATCH($A24,Base!$A:$A,0)),0)))</f>
        <v>10.200271000000001</v>
      </c>
      <c r="JR24" s="21">
        <f>IF(JR$1&lt;INDEX('Valo FX'!$Q:$Q,MATCH($A24,'Valo FX'!$A:$A,0)),0,IF(JR$1&lt;INDEX('Valo FX'!$R:$R,MATCH($A24,'Valo FX'!$A:$A,0)),INDEX(Base!$U:$U,MATCH($A24,Base!$A:$A,0)),IF(JR$1=INDEX('Valo FX'!$R:$R,MATCH($A24,'Valo FX'!$A:$A,0)),INDEX(Base!$V:$V,MATCH($A24,Base!$A:$A,0)),0)))</f>
        <v>10.200271000000001</v>
      </c>
      <c r="JS24" s="21">
        <f>IF(JS$1&lt;INDEX('Valo FX'!$Q:$Q,MATCH($A24,'Valo FX'!$A:$A,0)),0,IF(JS$1&lt;INDEX('Valo FX'!$R:$R,MATCH($A24,'Valo FX'!$A:$A,0)),INDEX(Base!$U:$U,MATCH($A24,Base!$A:$A,0)),IF(JS$1=INDEX('Valo FX'!$R:$R,MATCH($A24,'Valo FX'!$A:$A,0)),INDEX(Base!$V:$V,MATCH($A24,Base!$A:$A,0)),0)))</f>
        <v>10.200271000000001</v>
      </c>
      <c r="JT24" s="21">
        <f>IF(JT$1&lt;INDEX('Valo FX'!$Q:$Q,MATCH($A24,'Valo FX'!$A:$A,0)),0,IF(JT$1&lt;INDEX('Valo FX'!$R:$R,MATCH($A24,'Valo FX'!$A:$A,0)),INDEX(Base!$U:$U,MATCH($A24,Base!$A:$A,0)),IF(JT$1=INDEX('Valo FX'!$R:$R,MATCH($A24,'Valo FX'!$A:$A,0)),INDEX(Base!$V:$V,MATCH($A24,Base!$A:$A,0)),0)))</f>
        <v>10.200271000000001</v>
      </c>
      <c r="JU24" s="21">
        <f>IF(JU$1&lt;INDEX('Valo FX'!$Q:$Q,MATCH($A24,'Valo FX'!$A:$A,0)),0,IF(JU$1&lt;INDEX('Valo FX'!$R:$R,MATCH($A24,'Valo FX'!$A:$A,0)),INDEX(Base!$U:$U,MATCH($A24,Base!$A:$A,0)),IF(JU$1=INDEX('Valo FX'!$R:$R,MATCH($A24,'Valo FX'!$A:$A,0)),INDEX(Base!$V:$V,MATCH($A24,Base!$A:$A,0)),0)))</f>
        <v>10.200271000000001</v>
      </c>
      <c r="JV24" s="21">
        <f>IF(JV$1&lt;INDEX('Valo FX'!$Q:$Q,MATCH($A24,'Valo FX'!$A:$A,0)),0,IF(JV$1&lt;INDEX('Valo FX'!$R:$R,MATCH($A24,'Valo FX'!$A:$A,0)),INDEX(Base!$U:$U,MATCH($A24,Base!$A:$A,0)),IF(JV$1=INDEX('Valo FX'!$R:$R,MATCH($A24,'Valo FX'!$A:$A,0)),INDEX(Base!$V:$V,MATCH($A24,Base!$A:$A,0)),0)))</f>
        <v>10.200271000000001</v>
      </c>
      <c r="JW24" s="21">
        <f>IF(JW$1&lt;INDEX('Valo FX'!$Q:$Q,MATCH($A24,'Valo FX'!$A:$A,0)),0,IF(JW$1&lt;INDEX('Valo FX'!$R:$R,MATCH($A24,'Valo FX'!$A:$A,0)),INDEX(Base!$U:$U,MATCH($A24,Base!$A:$A,0)),IF(JW$1=INDEX('Valo FX'!$R:$R,MATCH($A24,'Valo FX'!$A:$A,0)),INDEX(Base!$V:$V,MATCH($A24,Base!$A:$A,0)),0)))</f>
        <v>10.200271000000001</v>
      </c>
      <c r="JX24" s="21">
        <f>IF(JX$1&lt;INDEX('Valo FX'!$Q:$Q,MATCH($A24,'Valo FX'!$A:$A,0)),0,IF(JX$1&lt;INDEX('Valo FX'!$R:$R,MATCH($A24,'Valo FX'!$A:$A,0)),INDEX(Base!$U:$U,MATCH($A24,Base!$A:$A,0)),IF(JX$1=INDEX('Valo FX'!$R:$R,MATCH($A24,'Valo FX'!$A:$A,0)),INDEX(Base!$V:$V,MATCH($A24,Base!$A:$A,0)),0)))</f>
        <v>10.200271000000001</v>
      </c>
      <c r="JY24" s="21">
        <f>IF(JY$1&lt;INDEX('Valo FX'!$Q:$Q,MATCH($A24,'Valo FX'!$A:$A,0)),0,IF(JY$1&lt;INDEX('Valo FX'!$R:$R,MATCH($A24,'Valo FX'!$A:$A,0)),INDEX(Base!$U:$U,MATCH($A24,Base!$A:$A,0)),IF(JY$1=INDEX('Valo FX'!$R:$R,MATCH($A24,'Valo FX'!$A:$A,0)),INDEX(Base!$V:$V,MATCH($A24,Base!$A:$A,0)),0)))</f>
        <v>10.200271000000001</v>
      </c>
      <c r="JZ24" s="21">
        <f>IF(JZ$1&lt;INDEX('Valo FX'!$Q:$Q,MATCH($A24,'Valo FX'!$A:$A,0)),0,IF(JZ$1&lt;INDEX('Valo FX'!$R:$R,MATCH($A24,'Valo FX'!$A:$A,0)),INDEX(Base!$U:$U,MATCH($A24,Base!$A:$A,0)),IF(JZ$1=INDEX('Valo FX'!$R:$R,MATCH($A24,'Valo FX'!$A:$A,0)),INDEX(Base!$V:$V,MATCH($A24,Base!$A:$A,0)),0)))</f>
        <v>10.200271000000001</v>
      </c>
      <c r="KA24" s="21">
        <f>IF(KA$1&lt;INDEX('Valo FX'!$Q:$Q,MATCH($A24,'Valo FX'!$A:$A,0)),0,IF(KA$1&lt;INDEX('Valo FX'!$R:$R,MATCH($A24,'Valo FX'!$A:$A,0)),INDEX(Base!$U:$U,MATCH($A24,Base!$A:$A,0)),IF(KA$1=INDEX('Valo FX'!$R:$R,MATCH($A24,'Valo FX'!$A:$A,0)),INDEX(Base!$V:$V,MATCH($A24,Base!$A:$A,0)),0)))</f>
        <v>10.200271000000001</v>
      </c>
      <c r="KB24" s="21">
        <f>IF(KB$1&lt;INDEX('Valo FX'!$Q:$Q,MATCH($A24,'Valo FX'!$A:$A,0)),0,IF(KB$1&lt;INDEX('Valo FX'!$R:$R,MATCH($A24,'Valo FX'!$A:$A,0)),INDEX(Base!$U:$U,MATCH($A24,Base!$A:$A,0)),IF(KB$1=INDEX('Valo FX'!$R:$R,MATCH($A24,'Valo FX'!$A:$A,0)),INDEX(Base!$V:$V,MATCH($A24,Base!$A:$A,0)),0)))</f>
        <v>10.200271000000001</v>
      </c>
      <c r="KC24" s="21">
        <f>IF(KC$1&lt;INDEX('Valo FX'!$Q:$Q,MATCH($A24,'Valo FX'!$A:$A,0)),0,IF(KC$1&lt;INDEX('Valo FX'!$R:$R,MATCH($A24,'Valo FX'!$A:$A,0)),INDEX(Base!$U:$U,MATCH($A24,Base!$A:$A,0)),IF(KC$1=INDEX('Valo FX'!$R:$R,MATCH($A24,'Valo FX'!$A:$A,0)),INDEX(Base!$V:$V,MATCH($A24,Base!$A:$A,0)),0)))</f>
        <v>10.200271000000001</v>
      </c>
      <c r="KD24" s="21">
        <f>IF(KD$1&lt;INDEX('Valo FX'!$Q:$Q,MATCH($A24,'Valo FX'!$A:$A,0)),0,IF(KD$1&lt;INDEX('Valo FX'!$R:$R,MATCH($A24,'Valo FX'!$A:$A,0)),INDEX(Base!$U:$U,MATCH($A24,Base!$A:$A,0)),IF(KD$1=INDEX('Valo FX'!$R:$R,MATCH($A24,'Valo FX'!$A:$A,0)),INDEX(Base!$V:$V,MATCH($A24,Base!$A:$A,0)),0)))</f>
        <v>10.200271000000001</v>
      </c>
      <c r="KE24" s="21">
        <f>IF(KE$1&lt;INDEX('Valo FX'!$Q:$Q,MATCH($A24,'Valo FX'!$A:$A,0)),0,IF(KE$1&lt;INDEX('Valo FX'!$R:$R,MATCH($A24,'Valo FX'!$A:$A,0)),INDEX(Base!$U:$U,MATCH($A24,Base!$A:$A,0)),IF(KE$1=INDEX('Valo FX'!$R:$R,MATCH($A24,'Valo FX'!$A:$A,0)),INDEX(Base!$V:$V,MATCH($A24,Base!$A:$A,0)),0)))</f>
        <v>10.200271000000001</v>
      </c>
      <c r="KF24" s="21">
        <f>IF(KF$1&lt;INDEX('Valo FX'!$Q:$Q,MATCH($A24,'Valo FX'!$A:$A,0)),0,IF(KF$1&lt;INDEX('Valo FX'!$R:$R,MATCH($A24,'Valo FX'!$A:$A,0)),INDEX(Base!$U:$U,MATCH($A24,Base!$A:$A,0)),IF(KF$1=INDEX('Valo FX'!$R:$R,MATCH($A24,'Valo FX'!$A:$A,0)),INDEX(Base!$V:$V,MATCH($A24,Base!$A:$A,0)),0)))</f>
        <v>10.200271000000001</v>
      </c>
      <c r="KG24" s="21">
        <f>IF(KG$1&lt;INDEX('Valo FX'!$Q:$Q,MATCH($A24,'Valo FX'!$A:$A,0)),0,IF(KG$1&lt;INDEX('Valo FX'!$R:$R,MATCH($A24,'Valo FX'!$A:$A,0)),INDEX(Base!$U:$U,MATCH($A24,Base!$A:$A,0)),IF(KG$1=INDEX('Valo FX'!$R:$R,MATCH($A24,'Valo FX'!$A:$A,0)),INDEX(Base!$V:$V,MATCH($A24,Base!$A:$A,0)),0)))</f>
        <v>10.200271000000001</v>
      </c>
      <c r="KH24" s="21">
        <f>IF(KH$1&lt;INDEX('Valo FX'!$Q:$Q,MATCH($A24,'Valo FX'!$A:$A,0)),0,IF(KH$1&lt;INDEX('Valo FX'!$R:$R,MATCH($A24,'Valo FX'!$A:$A,0)),INDEX(Base!$U:$U,MATCH($A24,Base!$A:$A,0)),IF(KH$1=INDEX('Valo FX'!$R:$R,MATCH($A24,'Valo FX'!$A:$A,0)),INDEX(Base!$V:$V,MATCH($A24,Base!$A:$A,0)),0)))</f>
        <v>10.200271000000001</v>
      </c>
      <c r="KI24" s="21">
        <f>IF(KI$1&lt;INDEX('Valo FX'!$Q:$Q,MATCH($A24,'Valo FX'!$A:$A,0)),0,IF(KI$1&lt;INDEX('Valo FX'!$R:$R,MATCH($A24,'Valo FX'!$A:$A,0)),INDEX(Base!$U:$U,MATCH($A24,Base!$A:$A,0)),IF(KI$1=INDEX('Valo FX'!$R:$R,MATCH($A24,'Valo FX'!$A:$A,0)),INDEX(Base!$V:$V,MATCH($A24,Base!$A:$A,0)),0)))</f>
        <v>10.200271000000001</v>
      </c>
      <c r="KJ24" s="21">
        <f>IF(KJ$1&lt;INDEX('Valo FX'!$Q:$Q,MATCH($A24,'Valo FX'!$A:$A,0)),0,IF(KJ$1&lt;INDEX('Valo FX'!$R:$R,MATCH($A24,'Valo FX'!$A:$A,0)),INDEX(Base!$U:$U,MATCH($A24,Base!$A:$A,0)),IF(KJ$1=INDEX('Valo FX'!$R:$R,MATCH($A24,'Valo FX'!$A:$A,0)),INDEX(Base!$V:$V,MATCH($A24,Base!$A:$A,0)),0)))</f>
        <v>10.200271000000001</v>
      </c>
      <c r="KK24" s="21">
        <f>IF(KK$1&lt;INDEX('Valo FX'!$Q:$Q,MATCH($A24,'Valo FX'!$A:$A,0)),0,IF(KK$1&lt;INDEX('Valo FX'!$R:$R,MATCH($A24,'Valo FX'!$A:$A,0)),INDEX(Base!$U:$U,MATCH($A24,Base!$A:$A,0)),IF(KK$1=INDEX('Valo FX'!$R:$R,MATCH($A24,'Valo FX'!$A:$A,0)),INDEX(Base!$V:$V,MATCH($A24,Base!$A:$A,0)),0)))</f>
        <v>10.200271000000001</v>
      </c>
      <c r="KL24" s="21">
        <f>IF(KL$1&lt;INDEX('Valo FX'!$Q:$Q,MATCH($A24,'Valo FX'!$A:$A,0)),0,IF(KL$1&lt;INDEX('Valo FX'!$R:$R,MATCH($A24,'Valo FX'!$A:$A,0)),INDEX(Base!$U:$U,MATCH($A24,Base!$A:$A,0)),IF(KL$1=INDEX('Valo FX'!$R:$R,MATCH($A24,'Valo FX'!$A:$A,0)),INDEX(Base!$V:$V,MATCH($A24,Base!$A:$A,0)),0)))</f>
        <v>10.200271000000001</v>
      </c>
      <c r="KM24" s="21">
        <f>IF(KM$1&lt;INDEX('Valo FX'!$Q:$Q,MATCH($A24,'Valo FX'!$A:$A,0)),0,IF(KM$1&lt;INDEX('Valo FX'!$R:$R,MATCH($A24,'Valo FX'!$A:$A,0)),INDEX(Base!$U:$U,MATCH($A24,Base!$A:$A,0)),IF(KM$1=INDEX('Valo FX'!$R:$R,MATCH($A24,'Valo FX'!$A:$A,0)),INDEX(Base!$V:$V,MATCH($A24,Base!$A:$A,0)),0)))</f>
        <v>10.200271000000001</v>
      </c>
      <c r="KN24" s="21">
        <f>IF(KN$1&lt;INDEX('Valo FX'!$Q:$Q,MATCH($A24,'Valo FX'!$A:$A,0)),0,IF(KN$1&lt;INDEX('Valo FX'!$R:$R,MATCH($A24,'Valo FX'!$A:$A,0)),INDEX(Base!$U:$U,MATCH($A24,Base!$A:$A,0)),IF(KN$1=INDEX('Valo FX'!$R:$R,MATCH($A24,'Valo FX'!$A:$A,0)),INDEX(Base!$V:$V,MATCH($A24,Base!$A:$A,0)),0)))</f>
        <v>10.200271000000001</v>
      </c>
      <c r="KO24" s="21">
        <f>IF(KO$1&lt;INDEX('Valo FX'!$Q:$Q,MATCH($A24,'Valo FX'!$A:$A,0)),0,IF(KO$1&lt;INDEX('Valo FX'!$R:$R,MATCH($A24,'Valo FX'!$A:$A,0)),INDEX(Base!$U:$U,MATCH($A24,Base!$A:$A,0)),IF(KO$1=INDEX('Valo FX'!$R:$R,MATCH($A24,'Valo FX'!$A:$A,0)),INDEX(Base!$V:$V,MATCH($A24,Base!$A:$A,0)),0)))</f>
        <v>10.200271000000001</v>
      </c>
      <c r="KP24" s="21">
        <f>IF(KP$1&lt;INDEX('Valo FX'!$Q:$Q,MATCH($A24,'Valo FX'!$A:$A,0)),0,IF(KP$1&lt;INDEX('Valo FX'!$R:$R,MATCH($A24,'Valo FX'!$A:$A,0)),INDEX(Base!$U:$U,MATCH($A24,Base!$A:$A,0)),IF(KP$1=INDEX('Valo FX'!$R:$R,MATCH($A24,'Valo FX'!$A:$A,0)),INDEX(Base!$V:$V,MATCH($A24,Base!$A:$A,0)),0)))</f>
        <v>10.200271000000001</v>
      </c>
      <c r="KQ24" s="21">
        <f>IF(KQ$1&lt;INDEX('Valo FX'!$Q:$Q,MATCH($A24,'Valo FX'!$A:$A,0)),0,IF(KQ$1&lt;INDEX('Valo FX'!$R:$R,MATCH($A24,'Valo FX'!$A:$A,0)),INDEX(Base!$U:$U,MATCH($A24,Base!$A:$A,0)),IF(KQ$1=INDEX('Valo FX'!$R:$R,MATCH($A24,'Valo FX'!$A:$A,0)),INDEX(Base!$V:$V,MATCH($A24,Base!$A:$A,0)),0)))</f>
        <v>10.200271000000001</v>
      </c>
      <c r="KR24" s="21">
        <f>IF(KR$1&lt;INDEX('Valo FX'!$Q:$Q,MATCH($A24,'Valo FX'!$A:$A,0)),0,IF(KR$1&lt;INDEX('Valo FX'!$R:$R,MATCH($A24,'Valo FX'!$A:$A,0)),INDEX(Base!$U:$U,MATCH($A24,Base!$A:$A,0)),IF(KR$1=INDEX('Valo FX'!$R:$R,MATCH($A24,'Valo FX'!$A:$A,0)),INDEX(Base!$V:$V,MATCH($A24,Base!$A:$A,0)),0)))</f>
        <v>10.200271000000001</v>
      </c>
      <c r="KS24" s="21">
        <f>IF(KS$1&lt;INDEX('Valo FX'!$Q:$Q,MATCH($A24,'Valo FX'!$A:$A,0)),0,IF(KS$1&lt;INDEX('Valo FX'!$R:$R,MATCH($A24,'Valo FX'!$A:$A,0)),INDEX(Base!$U:$U,MATCH($A24,Base!$A:$A,0)),IF(KS$1=INDEX('Valo FX'!$R:$R,MATCH($A24,'Valo FX'!$A:$A,0)),INDEX(Base!$V:$V,MATCH($A24,Base!$A:$A,0)),0)))</f>
        <v>10.200271000000001</v>
      </c>
      <c r="KT24" s="21">
        <f>IF(KT$1&lt;INDEX('Valo FX'!$Q:$Q,MATCH($A24,'Valo FX'!$A:$A,0)),0,IF(KT$1&lt;INDEX('Valo FX'!$R:$R,MATCH($A24,'Valo FX'!$A:$A,0)),INDEX(Base!$U:$U,MATCH($A24,Base!$A:$A,0)),IF(KT$1=INDEX('Valo FX'!$R:$R,MATCH($A24,'Valo FX'!$A:$A,0)),INDEX(Base!$V:$V,MATCH($A24,Base!$A:$A,0)),0)))</f>
        <v>10.200271000000001</v>
      </c>
      <c r="KU24" s="21">
        <f>IF(KU$1&lt;INDEX('Valo FX'!$Q:$Q,MATCH($A24,'Valo FX'!$A:$A,0)),0,IF(KU$1&lt;INDEX('Valo FX'!$R:$R,MATCH($A24,'Valo FX'!$A:$A,0)),INDEX(Base!$U:$U,MATCH($A24,Base!$A:$A,0)),IF(KU$1=INDEX('Valo FX'!$R:$R,MATCH($A24,'Valo FX'!$A:$A,0)),INDEX(Base!$V:$V,MATCH($A24,Base!$A:$A,0)),0)))</f>
        <v>10.200271000000001</v>
      </c>
      <c r="KV24" s="21">
        <f>IF(KV$1&lt;INDEX('Valo FX'!$Q:$Q,MATCH($A24,'Valo FX'!$A:$A,0)),0,IF(KV$1&lt;INDEX('Valo FX'!$R:$R,MATCH($A24,'Valo FX'!$A:$A,0)),INDEX(Base!$U:$U,MATCH($A24,Base!$A:$A,0)),IF(KV$1=INDEX('Valo FX'!$R:$R,MATCH($A24,'Valo FX'!$A:$A,0)),INDEX(Base!$V:$V,MATCH($A24,Base!$A:$A,0)),0)))</f>
        <v>10.200271000000001</v>
      </c>
      <c r="KW24" s="21">
        <f>IF(KW$1&lt;INDEX('Valo FX'!$Q:$Q,MATCH($A24,'Valo FX'!$A:$A,0)),0,IF(KW$1&lt;INDEX('Valo FX'!$R:$R,MATCH($A24,'Valo FX'!$A:$A,0)),INDEX(Base!$U:$U,MATCH($A24,Base!$A:$A,0)),IF(KW$1=INDEX('Valo FX'!$R:$R,MATCH($A24,'Valo FX'!$A:$A,0)),INDEX(Base!$V:$V,MATCH($A24,Base!$A:$A,0)),0)))</f>
        <v>10.200271000000001</v>
      </c>
      <c r="KX24" s="21">
        <f>IF(KX$1&lt;INDEX('Valo FX'!$Q:$Q,MATCH($A24,'Valo FX'!$A:$A,0)),0,IF(KX$1&lt;INDEX('Valo FX'!$R:$R,MATCH($A24,'Valo FX'!$A:$A,0)),INDEX(Base!$U:$U,MATCH($A24,Base!$A:$A,0)),IF(KX$1=INDEX('Valo FX'!$R:$R,MATCH($A24,'Valo FX'!$A:$A,0)),INDEX(Base!$V:$V,MATCH($A24,Base!$A:$A,0)),0)))</f>
        <v>10.200271000000001</v>
      </c>
      <c r="KY24" s="21">
        <f>IF(KY$1&lt;INDEX('Valo FX'!$Q:$Q,MATCH($A24,'Valo FX'!$A:$A,0)),0,IF(KY$1&lt;INDEX('Valo FX'!$R:$R,MATCH($A24,'Valo FX'!$A:$A,0)),INDEX(Base!$U:$U,MATCH($A24,Base!$A:$A,0)),IF(KY$1=INDEX('Valo FX'!$R:$R,MATCH($A24,'Valo FX'!$A:$A,0)),INDEX(Base!$V:$V,MATCH($A24,Base!$A:$A,0)),0)))</f>
        <v>10.200271000000001</v>
      </c>
      <c r="KZ24" s="21">
        <f>IF(KZ$1&lt;INDEX('Valo FX'!$Q:$Q,MATCH($A24,'Valo FX'!$A:$A,0)),0,IF(KZ$1&lt;INDEX('Valo FX'!$R:$R,MATCH($A24,'Valo FX'!$A:$A,0)),INDEX(Base!$U:$U,MATCH($A24,Base!$A:$A,0)),IF(KZ$1=INDEX('Valo FX'!$R:$R,MATCH($A24,'Valo FX'!$A:$A,0)),INDEX(Base!$V:$V,MATCH($A24,Base!$A:$A,0)),0)))</f>
        <v>10.200271000000001</v>
      </c>
      <c r="LA24" s="21">
        <f>IF(LA$1&lt;INDEX('Valo FX'!$Q:$Q,MATCH($A24,'Valo FX'!$A:$A,0)),0,IF(LA$1&lt;INDEX('Valo FX'!$R:$R,MATCH($A24,'Valo FX'!$A:$A,0)),INDEX(Base!$U:$U,MATCH($A24,Base!$A:$A,0)),IF(LA$1=INDEX('Valo FX'!$R:$R,MATCH($A24,'Valo FX'!$A:$A,0)),INDEX(Base!$V:$V,MATCH($A24,Base!$A:$A,0)),0)))</f>
        <v>10.200271000000001</v>
      </c>
      <c r="LB24" s="21">
        <f>IF(LB$1&lt;INDEX('Valo FX'!$Q:$Q,MATCH($A24,'Valo FX'!$A:$A,0)),0,IF(LB$1&lt;INDEX('Valo FX'!$R:$R,MATCH($A24,'Valo FX'!$A:$A,0)),INDEX(Base!$U:$U,MATCH($A24,Base!$A:$A,0)),IF(LB$1=INDEX('Valo FX'!$R:$R,MATCH($A24,'Valo FX'!$A:$A,0)),INDEX(Base!$V:$V,MATCH($A24,Base!$A:$A,0)),0)))</f>
        <v>10.200271000000001</v>
      </c>
      <c r="LC24" s="21">
        <f>IF(LC$1&lt;INDEX('Valo FX'!$Q:$Q,MATCH($A24,'Valo FX'!$A:$A,0)),0,IF(LC$1&lt;INDEX('Valo FX'!$R:$R,MATCH($A24,'Valo FX'!$A:$A,0)),INDEX(Base!$U:$U,MATCH($A24,Base!$A:$A,0)),IF(LC$1=INDEX('Valo FX'!$R:$R,MATCH($A24,'Valo FX'!$A:$A,0)),INDEX(Base!$V:$V,MATCH($A24,Base!$A:$A,0)),0)))</f>
        <v>10.200271000000001</v>
      </c>
      <c r="LD24" s="21">
        <f>IF(LD$1&lt;INDEX('Valo FX'!$Q:$Q,MATCH($A24,'Valo FX'!$A:$A,0)),0,IF(LD$1&lt;INDEX('Valo FX'!$R:$R,MATCH($A24,'Valo FX'!$A:$A,0)),INDEX(Base!$U:$U,MATCH($A24,Base!$A:$A,0)),IF(LD$1=INDEX('Valo FX'!$R:$R,MATCH($A24,'Valo FX'!$A:$A,0)),INDEX(Base!$V:$V,MATCH($A24,Base!$A:$A,0)),0)))</f>
        <v>10.200271000000001</v>
      </c>
      <c r="LE24" s="21">
        <f>IF(LE$1&lt;INDEX('Valo FX'!$Q:$Q,MATCH($A24,'Valo FX'!$A:$A,0)),0,IF(LE$1&lt;INDEX('Valo FX'!$R:$R,MATCH($A24,'Valo FX'!$A:$A,0)),INDEX(Base!$U:$U,MATCH($A24,Base!$A:$A,0)),IF(LE$1=INDEX('Valo FX'!$R:$R,MATCH($A24,'Valo FX'!$A:$A,0)),INDEX(Base!$V:$V,MATCH($A24,Base!$A:$A,0)),0)))</f>
        <v>10.200271000000001</v>
      </c>
      <c r="LF24" s="21">
        <f>IF(LF$1&lt;INDEX('Valo FX'!$Q:$Q,MATCH($A24,'Valo FX'!$A:$A,0)),0,IF(LF$1&lt;INDEX('Valo FX'!$R:$R,MATCH($A24,'Valo FX'!$A:$A,0)),INDEX(Base!$U:$U,MATCH($A24,Base!$A:$A,0)),IF(LF$1=INDEX('Valo FX'!$R:$R,MATCH($A24,'Valo FX'!$A:$A,0)),INDEX(Base!$V:$V,MATCH($A24,Base!$A:$A,0)),0)))</f>
        <v>10.200271000000001</v>
      </c>
      <c r="LG24" s="21">
        <f>IF(LG$1&lt;INDEX('Valo FX'!$Q:$Q,MATCH($A24,'Valo FX'!$A:$A,0)),0,IF(LG$1&lt;INDEX('Valo FX'!$R:$R,MATCH($A24,'Valo FX'!$A:$A,0)),INDEX(Base!$U:$U,MATCH($A24,Base!$A:$A,0)),IF(LG$1=INDEX('Valo FX'!$R:$R,MATCH($A24,'Valo FX'!$A:$A,0)),INDEX(Base!$V:$V,MATCH($A24,Base!$A:$A,0)),0)))</f>
        <v>10.200271000000001</v>
      </c>
      <c r="LH24" s="21">
        <f>IF(LH$1&lt;INDEX('Valo FX'!$Q:$Q,MATCH($A24,'Valo FX'!$A:$A,0)),0,IF(LH$1&lt;INDEX('Valo FX'!$R:$R,MATCH($A24,'Valo FX'!$A:$A,0)),INDEX(Base!$U:$U,MATCH($A24,Base!$A:$A,0)),IF(LH$1=INDEX('Valo FX'!$R:$R,MATCH($A24,'Valo FX'!$A:$A,0)),INDEX(Base!$V:$V,MATCH($A24,Base!$A:$A,0)),0)))</f>
        <v>10.200271000000001</v>
      </c>
      <c r="LI24" s="21">
        <f>IF(LI$1&lt;INDEX('Valo FX'!$Q:$Q,MATCH($A24,'Valo FX'!$A:$A,0)),0,IF(LI$1&lt;INDEX('Valo FX'!$R:$R,MATCH($A24,'Valo FX'!$A:$A,0)),INDEX(Base!$U:$U,MATCH($A24,Base!$A:$A,0)),IF(LI$1=INDEX('Valo FX'!$R:$R,MATCH($A24,'Valo FX'!$A:$A,0)),INDEX(Base!$V:$V,MATCH($A24,Base!$A:$A,0)),0)))</f>
        <v>10.200271000000001</v>
      </c>
      <c r="LJ24" s="21">
        <f>IF(LJ$1&lt;INDEX('Valo FX'!$Q:$Q,MATCH($A24,'Valo FX'!$A:$A,0)),0,IF(LJ$1&lt;INDEX('Valo FX'!$R:$R,MATCH($A24,'Valo FX'!$A:$A,0)),INDEX(Base!$U:$U,MATCH($A24,Base!$A:$A,0)),IF(LJ$1=INDEX('Valo FX'!$R:$R,MATCH($A24,'Valo FX'!$A:$A,0)),INDEX(Base!$V:$V,MATCH($A24,Base!$A:$A,0)),0)))</f>
        <v>10.200271000000001</v>
      </c>
      <c r="LK24" s="21">
        <f>IF(LK$1&lt;INDEX('Valo FX'!$Q:$Q,MATCH($A24,'Valo FX'!$A:$A,0)),0,IF(LK$1&lt;INDEX('Valo FX'!$R:$R,MATCH($A24,'Valo FX'!$A:$A,0)),INDEX(Base!$U:$U,MATCH($A24,Base!$A:$A,0)),IF(LK$1=INDEX('Valo FX'!$R:$R,MATCH($A24,'Valo FX'!$A:$A,0)),INDEX(Base!$V:$V,MATCH($A24,Base!$A:$A,0)),0)))</f>
        <v>10.200271000000001</v>
      </c>
      <c r="LL24" s="21">
        <f>IF(LL$1&lt;INDEX('Valo FX'!$Q:$Q,MATCH($A24,'Valo FX'!$A:$A,0)),0,IF(LL$1&lt;INDEX('Valo FX'!$R:$R,MATCH($A24,'Valo FX'!$A:$A,0)),INDEX(Base!$U:$U,MATCH($A24,Base!$A:$A,0)),IF(LL$1=INDEX('Valo FX'!$R:$R,MATCH($A24,'Valo FX'!$A:$A,0)),INDEX(Base!$V:$V,MATCH($A24,Base!$A:$A,0)),0)))</f>
        <v>10.200271000000001</v>
      </c>
      <c r="LM24" s="21">
        <f>IF(LM$1&lt;INDEX('Valo FX'!$Q:$Q,MATCH($A24,'Valo FX'!$A:$A,0)),0,IF(LM$1&lt;INDEX('Valo FX'!$R:$R,MATCH($A24,'Valo FX'!$A:$A,0)),INDEX(Base!$U:$U,MATCH($A24,Base!$A:$A,0)),IF(LM$1=INDEX('Valo FX'!$R:$R,MATCH($A24,'Valo FX'!$A:$A,0)),INDEX(Base!$V:$V,MATCH($A24,Base!$A:$A,0)),0)))</f>
        <v>10.200271000000001</v>
      </c>
      <c r="LN24" s="21">
        <f>IF(LN$1&lt;INDEX('Valo FX'!$Q:$Q,MATCH($A24,'Valo FX'!$A:$A,0)),0,IF(LN$1&lt;INDEX('Valo FX'!$R:$R,MATCH($A24,'Valo FX'!$A:$A,0)),INDEX(Base!$U:$U,MATCH($A24,Base!$A:$A,0)),IF(LN$1=INDEX('Valo FX'!$R:$R,MATCH($A24,'Valo FX'!$A:$A,0)),INDEX(Base!$V:$V,MATCH($A24,Base!$A:$A,0)),0)))</f>
        <v>10.200271000000001</v>
      </c>
      <c r="LO24" s="21">
        <f>IF(LO$1&lt;INDEX('Valo FX'!$Q:$Q,MATCH($A24,'Valo FX'!$A:$A,0)),0,IF(LO$1&lt;INDEX('Valo FX'!$R:$R,MATCH($A24,'Valo FX'!$A:$A,0)),INDEX(Base!$U:$U,MATCH($A24,Base!$A:$A,0)),IF(LO$1=INDEX('Valo FX'!$R:$R,MATCH($A24,'Valo FX'!$A:$A,0)),INDEX(Base!$V:$V,MATCH($A24,Base!$A:$A,0)),0)))</f>
        <v>10.718882000000001</v>
      </c>
      <c r="LP24" s="21">
        <f>IF(LP$1&lt;INDEX('Valo FX'!$Q:$Q,MATCH($A24,'Valo FX'!$A:$A,0)),0,IF(LP$1&lt;INDEX('Valo FX'!$R:$R,MATCH($A24,'Valo FX'!$A:$A,0)),INDEX(Base!$U:$U,MATCH($A24,Base!$A:$A,0)),IF(LP$1=INDEX('Valo FX'!$R:$R,MATCH($A24,'Valo FX'!$A:$A,0)),INDEX(Base!$V:$V,MATCH($A24,Base!$A:$A,0)),0)))</f>
        <v>0</v>
      </c>
      <c r="LQ24" s="21">
        <f>IF(LQ$1&lt;INDEX('Valo FX'!$Q:$Q,MATCH($A24,'Valo FX'!$A:$A,0)),0,IF(LQ$1&lt;INDEX('Valo FX'!$R:$R,MATCH($A24,'Valo FX'!$A:$A,0)),INDEX(Base!$U:$U,MATCH($A24,Base!$A:$A,0)),IF(LQ$1=INDEX('Valo FX'!$R:$R,MATCH($A24,'Valo FX'!$A:$A,0)),INDEX(Base!$V:$V,MATCH($A24,Base!$A:$A,0)),0)))</f>
        <v>0</v>
      </c>
      <c r="LR24" s="21">
        <f>IF(LR$1&lt;INDEX('Valo FX'!$Q:$Q,MATCH($A24,'Valo FX'!$A:$A,0)),0,IF(LR$1&lt;INDEX('Valo FX'!$R:$R,MATCH($A24,'Valo FX'!$A:$A,0)),INDEX(Base!$U:$U,MATCH($A24,Base!$A:$A,0)),IF(LR$1=INDEX('Valo FX'!$R:$R,MATCH($A24,'Valo FX'!$A:$A,0)),INDEX(Base!$V:$V,MATCH($A24,Base!$A:$A,0)),0)))</f>
        <v>0</v>
      </c>
      <c r="LS24" s="21">
        <f>IF(LS$1&lt;INDEX('Valo FX'!$Q:$Q,MATCH($A24,'Valo FX'!$A:$A,0)),0,IF(LS$1&lt;INDEX('Valo FX'!$R:$R,MATCH($A24,'Valo FX'!$A:$A,0)),INDEX(Base!$U:$U,MATCH($A24,Base!$A:$A,0)),IF(LS$1=INDEX('Valo FX'!$R:$R,MATCH($A24,'Valo FX'!$A:$A,0)),INDEX(Base!$V:$V,MATCH($A24,Base!$A:$A,0)),0)))</f>
        <v>0</v>
      </c>
      <c r="LT24" s="21">
        <f>IF(LT$1&lt;INDEX('Valo FX'!$Q:$Q,MATCH($A24,'Valo FX'!$A:$A,0)),0,IF(LT$1&lt;INDEX('Valo FX'!$R:$R,MATCH($A24,'Valo FX'!$A:$A,0)),INDEX(Base!$U:$U,MATCH($A24,Base!$A:$A,0)),IF(LT$1=INDEX('Valo FX'!$R:$R,MATCH($A24,'Valo FX'!$A:$A,0)),INDEX(Base!$V:$V,MATCH($A24,Base!$A:$A,0)),0)))</f>
        <v>0</v>
      </c>
      <c r="LU24" s="21">
        <f>IF(LU$1&lt;INDEX('Valo FX'!$Q:$Q,MATCH($A24,'Valo FX'!$A:$A,0)),0,IF(LU$1&lt;INDEX('Valo FX'!$R:$R,MATCH($A24,'Valo FX'!$A:$A,0)),INDEX(Base!$U:$U,MATCH($A24,Base!$A:$A,0)),IF(LU$1=INDEX('Valo FX'!$R:$R,MATCH($A24,'Valo FX'!$A:$A,0)),INDEX(Base!$V:$V,MATCH($A24,Base!$A:$A,0)),0)))</f>
        <v>0</v>
      </c>
      <c r="LV24" s="21">
        <f>IF(LV$1&lt;INDEX('Valo FX'!$Q:$Q,MATCH($A24,'Valo FX'!$A:$A,0)),0,IF(LV$1&lt;INDEX('Valo FX'!$R:$R,MATCH($A24,'Valo FX'!$A:$A,0)),INDEX(Base!$U:$U,MATCH($A24,Base!$A:$A,0)),IF(LV$1=INDEX('Valo FX'!$R:$R,MATCH($A24,'Valo FX'!$A:$A,0)),INDEX(Base!$V:$V,MATCH($A24,Base!$A:$A,0)),0)))</f>
        <v>0</v>
      </c>
      <c r="LW24" s="21">
        <f>IF(LW$1&lt;INDEX('Valo FX'!$Q:$Q,MATCH($A24,'Valo FX'!$A:$A,0)),0,IF(LW$1&lt;INDEX('Valo FX'!$R:$R,MATCH($A24,'Valo FX'!$A:$A,0)),INDEX(Base!$U:$U,MATCH($A24,Base!$A:$A,0)),IF(LW$1=INDEX('Valo FX'!$R:$R,MATCH($A24,'Valo FX'!$A:$A,0)),INDEX(Base!$V:$V,MATCH($A24,Base!$A:$A,0)),0)))</f>
        <v>0</v>
      </c>
      <c r="LX24" s="21">
        <f>IF(LX$1&lt;INDEX('Valo FX'!$Q:$Q,MATCH($A24,'Valo FX'!$A:$A,0)),0,IF(LX$1&lt;INDEX('Valo FX'!$R:$R,MATCH($A24,'Valo FX'!$A:$A,0)),INDEX(Base!$U:$U,MATCH($A24,Base!$A:$A,0)),IF(LX$1=INDEX('Valo FX'!$R:$R,MATCH($A24,'Valo FX'!$A:$A,0)),INDEX(Base!$V:$V,MATCH($A24,Base!$A:$A,0)),0)))</f>
        <v>0</v>
      </c>
      <c r="LY24" s="21">
        <f>IF(LY$1&lt;INDEX('Valo FX'!$Q:$Q,MATCH($A24,'Valo FX'!$A:$A,0)),0,IF(LY$1&lt;INDEX('Valo FX'!$R:$R,MATCH($A24,'Valo FX'!$A:$A,0)),INDEX(Base!$U:$U,MATCH($A24,Base!$A:$A,0)),IF(LY$1=INDEX('Valo FX'!$R:$R,MATCH($A24,'Valo FX'!$A:$A,0)),INDEX(Base!$V:$V,MATCH($A24,Base!$A:$A,0)),0)))</f>
        <v>0</v>
      </c>
      <c r="LZ24" s="21">
        <f>IF(LZ$1&lt;INDEX('Valo FX'!$Q:$Q,MATCH($A24,'Valo FX'!$A:$A,0)),0,IF(LZ$1&lt;INDEX('Valo FX'!$R:$R,MATCH($A24,'Valo FX'!$A:$A,0)),INDEX(Base!$U:$U,MATCH($A24,Base!$A:$A,0)),IF(LZ$1=INDEX('Valo FX'!$R:$R,MATCH($A24,'Valo FX'!$A:$A,0)),INDEX(Base!$V:$V,MATCH($A24,Base!$A:$A,0)),0)))</f>
        <v>0</v>
      </c>
      <c r="MA24" s="21">
        <f>IF(MA$1&lt;INDEX('Valo FX'!$Q:$Q,MATCH($A24,'Valo FX'!$A:$A,0)),0,IF(MA$1&lt;INDEX('Valo FX'!$R:$R,MATCH($A24,'Valo FX'!$A:$A,0)),INDEX(Base!$U:$U,MATCH($A24,Base!$A:$A,0)),IF(MA$1=INDEX('Valo FX'!$R:$R,MATCH($A24,'Valo FX'!$A:$A,0)),INDEX(Base!$V:$V,MATCH($A24,Base!$A:$A,0)),0)))</f>
        <v>0</v>
      </c>
      <c r="MB24" s="21">
        <f>IF(MB$1&lt;INDEX('Valo FX'!$Q:$Q,MATCH($A24,'Valo FX'!$A:$A,0)),0,IF(MB$1&lt;INDEX('Valo FX'!$R:$R,MATCH($A24,'Valo FX'!$A:$A,0)),INDEX(Base!$U:$U,MATCH($A24,Base!$A:$A,0)),IF(MB$1=INDEX('Valo FX'!$R:$R,MATCH($A24,'Valo FX'!$A:$A,0)),INDEX(Base!$V:$V,MATCH($A24,Base!$A:$A,0)),0)))</f>
        <v>0</v>
      </c>
      <c r="MC24" s="21">
        <f>IF(MC$1&lt;INDEX('Valo FX'!$Q:$Q,MATCH($A24,'Valo FX'!$A:$A,0)),0,IF(MC$1&lt;INDEX('Valo FX'!$R:$R,MATCH($A24,'Valo FX'!$A:$A,0)),INDEX(Base!$U:$U,MATCH($A24,Base!$A:$A,0)),IF(MC$1=INDEX('Valo FX'!$R:$R,MATCH($A24,'Valo FX'!$A:$A,0)),INDEX(Base!$V:$V,MATCH($A24,Base!$A:$A,0)),0)))</f>
        <v>0</v>
      </c>
      <c r="MD24" s="21">
        <f>IF(MD$1&lt;INDEX('Valo FX'!$Q:$Q,MATCH($A24,'Valo FX'!$A:$A,0)),0,IF(MD$1&lt;INDEX('Valo FX'!$R:$R,MATCH($A24,'Valo FX'!$A:$A,0)),INDEX(Base!$U:$U,MATCH($A24,Base!$A:$A,0)),IF(MD$1=INDEX('Valo FX'!$R:$R,MATCH($A24,'Valo FX'!$A:$A,0)),INDEX(Base!$V:$V,MATCH($A24,Base!$A:$A,0)),0)))</f>
        <v>0</v>
      </c>
      <c r="ME24" s="21">
        <f>IF(ME$1&lt;INDEX('Valo FX'!$Q:$Q,MATCH($A24,'Valo FX'!$A:$A,0)),0,IF(ME$1&lt;INDEX('Valo FX'!$R:$R,MATCH($A24,'Valo FX'!$A:$A,0)),INDEX(Base!$U:$U,MATCH($A24,Base!$A:$A,0)),IF(ME$1=INDEX('Valo FX'!$R:$R,MATCH($A24,'Valo FX'!$A:$A,0)),INDEX(Base!$V:$V,MATCH($A24,Base!$A:$A,0)),0)))</f>
        <v>0</v>
      </c>
      <c r="MF24" s="21">
        <f>IF(MF$1&lt;INDEX('Valo FX'!$Q:$Q,MATCH($A24,'Valo FX'!$A:$A,0)),0,IF(MF$1&lt;INDEX('Valo FX'!$R:$R,MATCH($A24,'Valo FX'!$A:$A,0)),INDEX(Base!$U:$U,MATCH($A24,Base!$A:$A,0)),IF(MF$1=INDEX('Valo FX'!$R:$R,MATCH($A24,'Valo FX'!$A:$A,0)),INDEX(Base!$V:$V,MATCH($A24,Base!$A:$A,0)),0)))</f>
        <v>0</v>
      </c>
      <c r="MG24" s="21">
        <f>IF(MG$1&lt;INDEX('Valo FX'!$Q:$Q,MATCH($A24,'Valo FX'!$A:$A,0)),0,IF(MG$1&lt;INDEX('Valo FX'!$R:$R,MATCH($A24,'Valo FX'!$A:$A,0)),INDEX(Base!$U:$U,MATCH($A24,Base!$A:$A,0)),IF(MG$1=INDEX('Valo FX'!$R:$R,MATCH($A24,'Valo FX'!$A:$A,0)),INDEX(Base!$V:$V,MATCH($A24,Base!$A:$A,0)),0)))</f>
        <v>0</v>
      </c>
      <c r="MH24" s="21">
        <f>IF(MH$1&lt;INDEX('Valo FX'!$Q:$Q,MATCH($A24,'Valo FX'!$A:$A,0)),0,IF(MH$1&lt;INDEX('Valo FX'!$R:$R,MATCH($A24,'Valo FX'!$A:$A,0)),INDEX(Base!$U:$U,MATCH($A24,Base!$A:$A,0)),IF(MH$1=INDEX('Valo FX'!$R:$R,MATCH($A24,'Valo FX'!$A:$A,0)),INDEX(Base!$V:$V,MATCH($A24,Base!$A:$A,0)),0)))</f>
        <v>0</v>
      </c>
      <c r="MI24" s="21">
        <f>IF(MI$1&lt;INDEX('Valo FX'!$Q:$Q,MATCH($A24,'Valo FX'!$A:$A,0)),0,IF(MI$1&lt;INDEX('Valo FX'!$R:$R,MATCH($A24,'Valo FX'!$A:$A,0)),INDEX(Base!$U:$U,MATCH($A24,Base!$A:$A,0)),IF(MI$1=INDEX('Valo FX'!$R:$R,MATCH($A24,'Valo FX'!$A:$A,0)),INDEX(Base!$V:$V,MATCH($A24,Base!$A:$A,0)),0)))</f>
        <v>0</v>
      </c>
      <c r="MJ24" s="21">
        <f>IF(MJ$1&lt;INDEX('Valo FX'!$Q:$Q,MATCH($A24,'Valo FX'!$A:$A,0)),0,IF(MJ$1&lt;INDEX('Valo FX'!$R:$R,MATCH($A24,'Valo FX'!$A:$A,0)),INDEX(Base!$U:$U,MATCH($A24,Base!$A:$A,0)),IF(MJ$1=INDEX('Valo FX'!$R:$R,MATCH($A24,'Valo FX'!$A:$A,0)),INDEX(Base!$V:$V,MATCH($A24,Base!$A:$A,0)),0)))</f>
        <v>0</v>
      </c>
      <c r="MK24" s="21">
        <f>IF(MK$1&lt;INDEX('Valo FX'!$Q:$Q,MATCH($A24,'Valo FX'!$A:$A,0)),0,IF(MK$1&lt;INDEX('Valo FX'!$R:$R,MATCH($A24,'Valo FX'!$A:$A,0)),INDEX(Base!$U:$U,MATCH($A24,Base!$A:$A,0)),IF(MK$1=INDEX('Valo FX'!$R:$R,MATCH($A24,'Valo FX'!$A:$A,0)),INDEX(Base!$V:$V,MATCH($A24,Base!$A:$A,0)),0)))</f>
        <v>0</v>
      </c>
      <c r="ML24" s="21">
        <f>IF(ML$1&lt;INDEX('Valo FX'!$Q:$Q,MATCH($A24,'Valo FX'!$A:$A,0)),0,IF(ML$1&lt;INDEX('Valo FX'!$R:$R,MATCH($A24,'Valo FX'!$A:$A,0)),INDEX(Base!$U:$U,MATCH($A24,Base!$A:$A,0)),IF(ML$1=INDEX('Valo FX'!$R:$R,MATCH($A24,'Valo FX'!$A:$A,0)),INDEX(Base!$V:$V,MATCH($A24,Base!$A:$A,0)),0)))</f>
        <v>0</v>
      </c>
      <c r="MM24" s="21">
        <f>IF(MM$1&lt;INDEX('Valo FX'!$Q:$Q,MATCH($A24,'Valo FX'!$A:$A,0)),0,IF(MM$1&lt;INDEX('Valo FX'!$R:$R,MATCH($A24,'Valo FX'!$A:$A,0)),INDEX(Base!$U:$U,MATCH($A24,Base!$A:$A,0)),IF(MM$1=INDEX('Valo FX'!$R:$R,MATCH($A24,'Valo FX'!$A:$A,0)),INDEX(Base!$V:$V,MATCH($A24,Base!$A:$A,0)),0)))</f>
        <v>0</v>
      </c>
      <c r="MN24" s="21">
        <f>IF(MN$1&lt;INDEX('Valo FX'!$Q:$Q,MATCH($A24,'Valo FX'!$A:$A,0)),0,IF(MN$1&lt;INDEX('Valo FX'!$R:$R,MATCH($A24,'Valo FX'!$A:$A,0)),INDEX(Base!$U:$U,MATCH($A24,Base!$A:$A,0)),IF(MN$1=INDEX('Valo FX'!$R:$R,MATCH($A24,'Valo FX'!$A:$A,0)),INDEX(Base!$V:$V,MATCH($A24,Base!$A:$A,0)),0)))</f>
        <v>0</v>
      </c>
      <c r="MO24" s="21">
        <f>IF(MO$1&lt;INDEX('Valo FX'!$Q:$Q,MATCH($A24,'Valo FX'!$A:$A,0)),0,IF(MO$1&lt;INDEX('Valo FX'!$R:$R,MATCH($A24,'Valo FX'!$A:$A,0)),INDEX(Base!$U:$U,MATCH($A24,Base!$A:$A,0)),IF(MO$1=INDEX('Valo FX'!$R:$R,MATCH($A24,'Valo FX'!$A:$A,0)),INDEX(Base!$V:$V,MATCH($A24,Base!$A:$A,0)),0)))</f>
        <v>0</v>
      </c>
      <c r="MP24" s="21">
        <f>IF(MP$1&lt;INDEX('Valo FX'!$Q:$Q,MATCH($A24,'Valo FX'!$A:$A,0)),0,IF(MP$1&lt;INDEX('Valo FX'!$R:$R,MATCH($A24,'Valo FX'!$A:$A,0)),INDEX(Base!$U:$U,MATCH($A24,Base!$A:$A,0)),IF(MP$1=INDEX('Valo FX'!$R:$R,MATCH($A24,'Valo FX'!$A:$A,0)),INDEX(Base!$V:$V,MATCH($A24,Base!$A:$A,0)),0)))</f>
        <v>0</v>
      </c>
      <c r="MQ24" s="21">
        <f>IF(MQ$1&lt;INDEX('Valo FX'!$Q:$Q,MATCH($A24,'Valo FX'!$A:$A,0)),0,IF(MQ$1&lt;INDEX('Valo FX'!$R:$R,MATCH($A24,'Valo FX'!$A:$A,0)),INDEX(Base!$U:$U,MATCH($A24,Base!$A:$A,0)),IF(MQ$1=INDEX('Valo FX'!$R:$R,MATCH($A24,'Valo FX'!$A:$A,0)),INDEX(Base!$V:$V,MATCH($A24,Base!$A:$A,0)),0)))</f>
        <v>0</v>
      </c>
      <c r="MR24" s="21">
        <f>IF(MR$1&lt;INDEX('Valo FX'!$Q:$Q,MATCH($A24,'Valo FX'!$A:$A,0)),0,IF(MR$1&lt;INDEX('Valo FX'!$R:$R,MATCH($A24,'Valo FX'!$A:$A,0)),INDEX(Base!$U:$U,MATCH($A24,Base!$A:$A,0)),IF(MR$1=INDEX('Valo FX'!$R:$R,MATCH($A24,'Valo FX'!$A:$A,0)),INDEX(Base!$V:$V,MATCH($A24,Base!$A:$A,0)),0)))</f>
        <v>0</v>
      </c>
      <c r="MS24" s="21">
        <f>IF(MS$1&lt;INDEX('Valo FX'!$Q:$Q,MATCH($A24,'Valo FX'!$A:$A,0)),0,IF(MS$1&lt;INDEX('Valo FX'!$R:$R,MATCH($A24,'Valo FX'!$A:$A,0)),INDEX(Base!$U:$U,MATCH($A24,Base!$A:$A,0)),IF(MS$1=INDEX('Valo FX'!$R:$R,MATCH($A24,'Valo FX'!$A:$A,0)),INDEX(Base!$V:$V,MATCH($A24,Base!$A:$A,0)),0)))</f>
        <v>0</v>
      </c>
      <c r="MT24" s="21">
        <f>IF(MT$1&lt;INDEX('Valo FX'!$Q:$Q,MATCH($A24,'Valo FX'!$A:$A,0)),0,IF(MT$1&lt;INDEX('Valo FX'!$R:$R,MATCH($A24,'Valo FX'!$A:$A,0)),INDEX(Base!$U:$U,MATCH($A24,Base!$A:$A,0)),IF(MT$1=INDEX('Valo FX'!$R:$R,MATCH($A24,'Valo FX'!$A:$A,0)),INDEX(Base!$V:$V,MATCH($A24,Base!$A:$A,0)),0)))</f>
        <v>0</v>
      </c>
      <c r="MU24" s="21">
        <f>IF(MU$1&lt;INDEX('Valo FX'!$Q:$Q,MATCH($A24,'Valo FX'!$A:$A,0)),0,IF(MU$1&lt;INDEX('Valo FX'!$R:$R,MATCH($A24,'Valo FX'!$A:$A,0)),INDEX(Base!$U:$U,MATCH($A24,Base!$A:$A,0)),IF(MU$1=INDEX('Valo FX'!$R:$R,MATCH($A24,'Valo FX'!$A:$A,0)),INDEX(Base!$V:$V,MATCH($A24,Base!$A:$A,0)),0)))</f>
        <v>0</v>
      </c>
      <c r="MV24" s="21">
        <f>IF(MV$1&lt;INDEX('Valo FX'!$Q:$Q,MATCH($A24,'Valo FX'!$A:$A,0)),0,IF(MV$1&lt;INDEX('Valo FX'!$R:$R,MATCH($A24,'Valo FX'!$A:$A,0)),INDEX(Base!$U:$U,MATCH($A24,Base!$A:$A,0)),IF(MV$1=INDEX('Valo FX'!$R:$R,MATCH($A24,'Valo FX'!$A:$A,0)),INDEX(Base!$V:$V,MATCH($A24,Base!$A:$A,0)),0)))</f>
        <v>0</v>
      </c>
      <c r="MW24" s="21">
        <f>IF(MW$1&lt;INDEX('Valo FX'!$Q:$Q,MATCH($A24,'Valo FX'!$A:$A,0)),0,IF(MW$1&lt;INDEX('Valo FX'!$R:$R,MATCH($A24,'Valo FX'!$A:$A,0)),INDEX(Base!$U:$U,MATCH($A24,Base!$A:$A,0)),IF(MW$1=INDEX('Valo FX'!$R:$R,MATCH($A24,'Valo FX'!$A:$A,0)),INDEX(Base!$V:$V,MATCH($A24,Base!$A:$A,0)),0)))</f>
        <v>0</v>
      </c>
      <c r="MX24" s="21">
        <f>IF(MX$1&lt;INDEX('Valo FX'!$Q:$Q,MATCH($A24,'Valo FX'!$A:$A,0)),0,IF(MX$1&lt;INDEX('Valo FX'!$R:$R,MATCH($A24,'Valo FX'!$A:$A,0)),INDEX(Base!$U:$U,MATCH($A24,Base!$A:$A,0)),IF(MX$1=INDEX('Valo FX'!$R:$R,MATCH($A24,'Valo FX'!$A:$A,0)),INDEX(Base!$V:$V,MATCH($A24,Base!$A:$A,0)),0)))</f>
        <v>0</v>
      </c>
      <c r="MY24" s="21">
        <f>IF(MY$1&lt;INDEX('Valo FX'!$Q:$Q,MATCH($A24,'Valo FX'!$A:$A,0)),0,IF(MY$1&lt;INDEX('Valo FX'!$R:$R,MATCH($A24,'Valo FX'!$A:$A,0)),INDEX(Base!$U:$U,MATCH($A24,Base!$A:$A,0)),IF(MY$1=INDEX('Valo FX'!$R:$R,MATCH($A24,'Valo FX'!$A:$A,0)),INDEX(Base!$V:$V,MATCH($A24,Base!$A:$A,0)),0)))</f>
        <v>0</v>
      </c>
    </row>
    <row r="25" spans="1:363" x14ac:dyDescent="0.25">
      <c r="A25" s="7">
        <f t="shared" ref="A25:A44" si="12">+A24+1</f>
        <v>23</v>
      </c>
      <c r="B25" s="59">
        <f>-'Valo FX'!T26</f>
        <v>-1628.2508785860505</v>
      </c>
      <c r="C25" s="21">
        <f>IF(C$1&lt;INDEX('Valo FX'!$Q:$Q,MATCH($A25,'Valo FX'!$A:$A,0)),0,IF(C$1&lt;INDEX('Valo FX'!$R:$R,MATCH($A25,'Valo FX'!$A:$A,0)),INDEX(Base!$U:$U,MATCH($A25,Base!$A:$A,0)),IF(C$1=INDEX('Valo FX'!$R:$R,MATCH($A25,'Valo FX'!$A:$A,0)),INDEX(Base!$V:$V,MATCH($A25,Base!$A:$A,0)),0)))</f>
        <v>0</v>
      </c>
      <c r="D25" s="21">
        <f>IF(D$1&lt;INDEX('Valo FX'!$Q:$Q,MATCH($A25,'Valo FX'!$A:$A,0)),0,IF(D$1&lt;INDEX('Valo FX'!$R:$R,MATCH($A25,'Valo FX'!$A:$A,0)),INDEX(Base!$U:$U,MATCH($A25,Base!$A:$A,0)),IF(D$1=INDEX('Valo FX'!$R:$R,MATCH($A25,'Valo FX'!$A:$A,0)),INDEX(Base!$V:$V,MATCH($A25,Base!$A:$A,0)),0)))</f>
        <v>0</v>
      </c>
      <c r="E25" s="21">
        <f>IF(E$1&lt;INDEX('Valo FX'!$Q:$Q,MATCH($A25,'Valo FX'!$A:$A,0)),0,IF(E$1&lt;INDEX('Valo FX'!$R:$R,MATCH($A25,'Valo FX'!$A:$A,0)),INDEX(Base!$U:$U,MATCH($A25,Base!$A:$A,0)),IF(E$1=INDEX('Valo FX'!$R:$R,MATCH($A25,'Valo FX'!$A:$A,0)),INDEX(Base!$V:$V,MATCH($A25,Base!$A:$A,0)),0)))</f>
        <v>0</v>
      </c>
      <c r="F25" s="21">
        <f>IF(F$1&lt;INDEX('Valo FX'!$Q:$Q,MATCH($A25,'Valo FX'!$A:$A,0)),0,IF(F$1&lt;INDEX('Valo FX'!$R:$R,MATCH($A25,'Valo FX'!$A:$A,0)),INDEX(Base!$U:$U,MATCH($A25,Base!$A:$A,0)),IF(F$1=INDEX('Valo FX'!$R:$R,MATCH($A25,'Valo FX'!$A:$A,0)),INDEX(Base!$V:$V,MATCH($A25,Base!$A:$A,0)),0)))</f>
        <v>0</v>
      </c>
      <c r="G25" s="21">
        <f>IF(G$1&lt;INDEX('Valo FX'!$Q:$Q,MATCH($A25,'Valo FX'!$A:$A,0)),0,IF(G$1&lt;INDEX('Valo FX'!$R:$R,MATCH($A25,'Valo FX'!$A:$A,0)),INDEX(Base!$U:$U,MATCH($A25,Base!$A:$A,0)),IF(G$1=INDEX('Valo FX'!$R:$R,MATCH($A25,'Valo FX'!$A:$A,0)),INDEX(Base!$V:$V,MATCH($A25,Base!$A:$A,0)),0)))</f>
        <v>0</v>
      </c>
      <c r="H25" s="21">
        <f>IF(H$1&lt;INDEX('Valo FX'!$Q:$Q,MATCH($A25,'Valo FX'!$A:$A,0)),0,IF(H$1&lt;INDEX('Valo FX'!$R:$R,MATCH($A25,'Valo FX'!$A:$A,0)),INDEX(Base!$U:$U,MATCH($A25,Base!$A:$A,0)),IF(H$1=INDEX('Valo FX'!$R:$R,MATCH($A25,'Valo FX'!$A:$A,0)),INDEX(Base!$V:$V,MATCH($A25,Base!$A:$A,0)),0)))</f>
        <v>0</v>
      </c>
      <c r="I25" s="21">
        <f>IF(I$1&lt;INDEX('Valo FX'!$Q:$Q,MATCH($A25,'Valo FX'!$A:$A,0)),0,IF(I$1&lt;INDEX('Valo FX'!$R:$R,MATCH($A25,'Valo FX'!$A:$A,0)),INDEX(Base!$U:$U,MATCH($A25,Base!$A:$A,0)),IF(I$1=INDEX('Valo FX'!$R:$R,MATCH($A25,'Valo FX'!$A:$A,0)),INDEX(Base!$V:$V,MATCH($A25,Base!$A:$A,0)),0)))</f>
        <v>11.548920000000001</v>
      </c>
      <c r="J25" s="21">
        <f>IF(J$1&lt;INDEX('Valo FX'!$Q:$Q,MATCH($A25,'Valo FX'!$A:$A,0)),0,IF(J$1&lt;INDEX('Valo FX'!$R:$R,MATCH($A25,'Valo FX'!$A:$A,0)),INDEX(Base!$U:$U,MATCH($A25,Base!$A:$A,0)),IF(J$1=INDEX('Valo FX'!$R:$R,MATCH($A25,'Valo FX'!$A:$A,0)),INDEX(Base!$V:$V,MATCH($A25,Base!$A:$A,0)),0)))</f>
        <v>11.548920000000001</v>
      </c>
      <c r="K25" s="21">
        <f>IF(K$1&lt;INDEX('Valo FX'!$Q:$Q,MATCH($A25,'Valo FX'!$A:$A,0)),0,IF(K$1&lt;INDEX('Valo FX'!$R:$R,MATCH($A25,'Valo FX'!$A:$A,0)),INDEX(Base!$U:$U,MATCH($A25,Base!$A:$A,0)),IF(K$1=INDEX('Valo FX'!$R:$R,MATCH($A25,'Valo FX'!$A:$A,0)),INDEX(Base!$V:$V,MATCH($A25,Base!$A:$A,0)),0)))</f>
        <v>11.548920000000001</v>
      </c>
      <c r="L25" s="21">
        <f>IF(L$1&lt;INDEX('Valo FX'!$Q:$Q,MATCH($A25,'Valo FX'!$A:$A,0)),0,IF(L$1&lt;INDEX('Valo FX'!$R:$R,MATCH($A25,'Valo FX'!$A:$A,0)),INDEX(Base!$U:$U,MATCH($A25,Base!$A:$A,0)),IF(L$1=INDEX('Valo FX'!$R:$R,MATCH($A25,'Valo FX'!$A:$A,0)),INDEX(Base!$V:$V,MATCH($A25,Base!$A:$A,0)),0)))</f>
        <v>11.548920000000001</v>
      </c>
      <c r="M25" s="21">
        <f>IF(M$1&lt;INDEX('Valo FX'!$Q:$Q,MATCH($A25,'Valo FX'!$A:$A,0)),0,IF(M$1&lt;INDEX('Valo FX'!$R:$R,MATCH($A25,'Valo FX'!$A:$A,0)),INDEX(Base!$U:$U,MATCH($A25,Base!$A:$A,0)),IF(M$1=INDEX('Valo FX'!$R:$R,MATCH($A25,'Valo FX'!$A:$A,0)),INDEX(Base!$V:$V,MATCH($A25,Base!$A:$A,0)),0)))</f>
        <v>11.548920000000001</v>
      </c>
      <c r="N25" s="21">
        <f>IF(N$1&lt;INDEX('Valo FX'!$Q:$Q,MATCH($A25,'Valo FX'!$A:$A,0)),0,IF(N$1&lt;INDEX('Valo FX'!$R:$R,MATCH($A25,'Valo FX'!$A:$A,0)),INDEX(Base!$U:$U,MATCH($A25,Base!$A:$A,0)),IF(N$1=INDEX('Valo FX'!$R:$R,MATCH($A25,'Valo FX'!$A:$A,0)),INDEX(Base!$V:$V,MATCH($A25,Base!$A:$A,0)),0)))</f>
        <v>11.548920000000001</v>
      </c>
      <c r="O25" s="21">
        <f>IF(O$1&lt;INDEX('Valo FX'!$Q:$Q,MATCH($A25,'Valo FX'!$A:$A,0)),0,IF(O$1&lt;INDEX('Valo FX'!$R:$R,MATCH($A25,'Valo FX'!$A:$A,0)),INDEX(Base!$U:$U,MATCH($A25,Base!$A:$A,0)),IF(O$1=INDEX('Valo FX'!$R:$R,MATCH($A25,'Valo FX'!$A:$A,0)),INDEX(Base!$V:$V,MATCH($A25,Base!$A:$A,0)),0)))</f>
        <v>11.548920000000001</v>
      </c>
      <c r="P25" s="21">
        <f>IF(P$1&lt;INDEX('Valo FX'!$Q:$Q,MATCH($A25,'Valo FX'!$A:$A,0)),0,IF(P$1&lt;INDEX('Valo FX'!$R:$R,MATCH($A25,'Valo FX'!$A:$A,0)),INDEX(Base!$U:$U,MATCH($A25,Base!$A:$A,0)),IF(P$1=INDEX('Valo FX'!$R:$R,MATCH($A25,'Valo FX'!$A:$A,0)),INDEX(Base!$V:$V,MATCH($A25,Base!$A:$A,0)),0)))</f>
        <v>11.548920000000001</v>
      </c>
      <c r="Q25" s="21">
        <f>IF(Q$1&lt;INDEX('Valo FX'!$Q:$Q,MATCH($A25,'Valo FX'!$A:$A,0)),0,IF(Q$1&lt;INDEX('Valo FX'!$R:$R,MATCH($A25,'Valo FX'!$A:$A,0)),INDEX(Base!$U:$U,MATCH($A25,Base!$A:$A,0)),IF(Q$1=INDEX('Valo FX'!$R:$R,MATCH($A25,'Valo FX'!$A:$A,0)),INDEX(Base!$V:$V,MATCH($A25,Base!$A:$A,0)),0)))</f>
        <v>11.548920000000001</v>
      </c>
      <c r="R25" s="21">
        <f>IF(R$1&lt;INDEX('Valo FX'!$Q:$Q,MATCH($A25,'Valo FX'!$A:$A,0)),0,IF(R$1&lt;INDEX('Valo FX'!$R:$R,MATCH($A25,'Valo FX'!$A:$A,0)),INDEX(Base!$U:$U,MATCH($A25,Base!$A:$A,0)),IF(R$1=INDEX('Valo FX'!$R:$R,MATCH($A25,'Valo FX'!$A:$A,0)),INDEX(Base!$V:$V,MATCH($A25,Base!$A:$A,0)),0)))</f>
        <v>11.548920000000001</v>
      </c>
      <c r="S25" s="21">
        <f>IF(S$1&lt;INDEX('Valo FX'!$Q:$Q,MATCH($A25,'Valo FX'!$A:$A,0)),0,IF(S$1&lt;INDEX('Valo FX'!$R:$R,MATCH($A25,'Valo FX'!$A:$A,0)),INDEX(Base!$U:$U,MATCH($A25,Base!$A:$A,0)),IF(S$1=INDEX('Valo FX'!$R:$R,MATCH($A25,'Valo FX'!$A:$A,0)),INDEX(Base!$V:$V,MATCH($A25,Base!$A:$A,0)),0)))</f>
        <v>11.548920000000001</v>
      </c>
      <c r="T25" s="21">
        <f>IF(T$1&lt;INDEX('Valo FX'!$Q:$Q,MATCH($A25,'Valo FX'!$A:$A,0)),0,IF(T$1&lt;INDEX('Valo FX'!$R:$R,MATCH($A25,'Valo FX'!$A:$A,0)),INDEX(Base!$U:$U,MATCH($A25,Base!$A:$A,0)),IF(T$1=INDEX('Valo FX'!$R:$R,MATCH($A25,'Valo FX'!$A:$A,0)),INDEX(Base!$V:$V,MATCH($A25,Base!$A:$A,0)),0)))</f>
        <v>11.548920000000001</v>
      </c>
      <c r="U25" s="21">
        <f>IF(U$1&lt;INDEX('Valo FX'!$Q:$Q,MATCH($A25,'Valo FX'!$A:$A,0)),0,IF(U$1&lt;INDEX('Valo FX'!$R:$R,MATCH($A25,'Valo FX'!$A:$A,0)),INDEX(Base!$U:$U,MATCH($A25,Base!$A:$A,0)),IF(U$1=INDEX('Valo FX'!$R:$R,MATCH($A25,'Valo FX'!$A:$A,0)),INDEX(Base!$V:$V,MATCH($A25,Base!$A:$A,0)),0)))</f>
        <v>11.548920000000001</v>
      </c>
      <c r="V25" s="21">
        <f>IF(V$1&lt;INDEX('Valo FX'!$Q:$Q,MATCH($A25,'Valo FX'!$A:$A,0)),0,IF(V$1&lt;INDEX('Valo FX'!$R:$R,MATCH($A25,'Valo FX'!$A:$A,0)),INDEX(Base!$U:$U,MATCH($A25,Base!$A:$A,0)),IF(V$1=INDEX('Valo FX'!$R:$R,MATCH($A25,'Valo FX'!$A:$A,0)),INDEX(Base!$V:$V,MATCH($A25,Base!$A:$A,0)),0)))</f>
        <v>11.548920000000001</v>
      </c>
      <c r="W25" s="21">
        <f>IF(W$1&lt;INDEX('Valo FX'!$Q:$Q,MATCH($A25,'Valo FX'!$A:$A,0)),0,IF(W$1&lt;INDEX('Valo FX'!$R:$R,MATCH($A25,'Valo FX'!$A:$A,0)),INDEX(Base!$U:$U,MATCH($A25,Base!$A:$A,0)),IF(W$1=INDEX('Valo FX'!$R:$R,MATCH($A25,'Valo FX'!$A:$A,0)),INDEX(Base!$V:$V,MATCH($A25,Base!$A:$A,0)),0)))</f>
        <v>11.548920000000001</v>
      </c>
      <c r="X25" s="21">
        <f>IF(X$1&lt;INDEX('Valo FX'!$Q:$Q,MATCH($A25,'Valo FX'!$A:$A,0)),0,IF(X$1&lt;INDEX('Valo FX'!$R:$R,MATCH($A25,'Valo FX'!$A:$A,0)),INDEX(Base!$U:$U,MATCH($A25,Base!$A:$A,0)),IF(X$1=INDEX('Valo FX'!$R:$R,MATCH($A25,'Valo FX'!$A:$A,0)),INDEX(Base!$V:$V,MATCH($A25,Base!$A:$A,0)),0)))</f>
        <v>11.548920000000001</v>
      </c>
      <c r="Y25" s="21">
        <f>IF(Y$1&lt;INDEX('Valo FX'!$Q:$Q,MATCH($A25,'Valo FX'!$A:$A,0)),0,IF(Y$1&lt;INDEX('Valo FX'!$R:$R,MATCH($A25,'Valo FX'!$A:$A,0)),INDEX(Base!$U:$U,MATCH($A25,Base!$A:$A,0)),IF(Y$1=INDEX('Valo FX'!$R:$R,MATCH($A25,'Valo FX'!$A:$A,0)),INDEX(Base!$V:$V,MATCH($A25,Base!$A:$A,0)),0)))</f>
        <v>11.548920000000001</v>
      </c>
      <c r="Z25" s="21">
        <f>IF(Z$1&lt;INDEX('Valo FX'!$Q:$Q,MATCH($A25,'Valo FX'!$A:$A,0)),0,IF(Z$1&lt;INDEX('Valo FX'!$R:$R,MATCH($A25,'Valo FX'!$A:$A,0)),INDEX(Base!$U:$U,MATCH($A25,Base!$A:$A,0)),IF(Z$1=INDEX('Valo FX'!$R:$R,MATCH($A25,'Valo FX'!$A:$A,0)),INDEX(Base!$V:$V,MATCH($A25,Base!$A:$A,0)),0)))</f>
        <v>11.548920000000001</v>
      </c>
      <c r="AA25" s="21">
        <f>IF(AA$1&lt;INDEX('Valo FX'!$Q:$Q,MATCH($A25,'Valo FX'!$A:$A,0)),0,IF(AA$1&lt;INDEX('Valo FX'!$R:$R,MATCH($A25,'Valo FX'!$A:$A,0)),INDEX(Base!$U:$U,MATCH($A25,Base!$A:$A,0)),IF(AA$1=INDEX('Valo FX'!$R:$R,MATCH($A25,'Valo FX'!$A:$A,0)),INDEX(Base!$V:$V,MATCH($A25,Base!$A:$A,0)),0)))</f>
        <v>11.548920000000001</v>
      </c>
      <c r="AB25" s="21">
        <f>IF(AB$1&lt;INDEX('Valo FX'!$Q:$Q,MATCH($A25,'Valo FX'!$A:$A,0)),0,IF(AB$1&lt;INDEX('Valo FX'!$R:$R,MATCH($A25,'Valo FX'!$A:$A,0)),INDEX(Base!$U:$U,MATCH($A25,Base!$A:$A,0)),IF(AB$1=INDEX('Valo FX'!$R:$R,MATCH($A25,'Valo FX'!$A:$A,0)),INDEX(Base!$V:$V,MATCH($A25,Base!$A:$A,0)),0)))</f>
        <v>11.548920000000001</v>
      </c>
      <c r="AC25" s="21">
        <f>IF(AC$1&lt;INDEX('Valo FX'!$Q:$Q,MATCH($A25,'Valo FX'!$A:$A,0)),0,IF(AC$1&lt;INDEX('Valo FX'!$R:$R,MATCH($A25,'Valo FX'!$A:$A,0)),INDEX(Base!$U:$U,MATCH($A25,Base!$A:$A,0)),IF(AC$1=INDEX('Valo FX'!$R:$R,MATCH($A25,'Valo FX'!$A:$A,0)),INDEX(Base!$V:$V,MATCH($A25,Base!$A:$A,0)),0)))</f>
        <v>11.548920000000001</v>
      </c>
      <c r="AD25" s="21">
        <f>IF(AD$1&lt;INDEX('Valo FX'!$Q:$Q,MATCH($A25,'Valo FX'!$A:$A,0)),0,IF(AD$1&lt;INDEX('Valo FX'!$R:$R,MATCH($A25,'Valo FX'!$A:$A,0)),INDEX(Base!$U:$U,MATCH($A25,Base!$A:$A,0)),IF(AD$1=INDEX('Valo FX'!$R:$R,MATCH($A25,'Valo FX'!$A:$A,0)),INDEX(Base!$V:$V,MATCH($A25,Base!$A:$A,0)),0)))</f>
        <v>11.548920000000001</v>
      </c>
      <c r="AE25" s="21">
        <f>IF(AE$1&lt;INDEX('Valo FX'!$Q:$Q,MATCH($A25,'Valo FX'!$A:$A,0)),0,IF(AE$1&lt;INDEX('Valo FX'!$R:$R,MATCH($A25,'Valo FX'!$A:$A,0)),INDEX(Base!$U:$U,MATCH($A25,Base!$A:$A,0)),IF(AE$1=INDEX('Valo FX'!$R:$R,MATCH($A25,'Valo FX'!$A:$A,0)),INDEX(Base!$V:$V,MATCH($A25,Base!$A:$A,0)),0)))</f>
        <v>11.548920000000001</v>
      </c>
      <c r="AF25" s="21">
        <f>IF(AF$1&lt;INDEX('Valo FX'!$Q:$Q,MATCH($A25,'Valo FX'!$A:$A,0)),0,IF(AF$1&lt;INDEX('Valo FX'!$R:$R,MATCH($A25,'Valo FX'!$A:$A,0)),INDEX(Base!$U:$U,MATCH($A25,Base!$A:$A,0)),IF(AF$1=INDEX('Valo FX'!$R:$R,MATCH($A25,'Valo FX'!$A:$A,0)),INDEX(Base!$V:$V,MATCH($A25,Base!$A:$A,0)),0)))</f>
        <v>11.548920000000001</v>
      </c>
      <c r="AG25" s="21">
        <f>IF(AG$1&lt;INDEX('Valo FX'!$Q:$Q,MATCH($A25,'Valo FX'!$A:$A,0)),0,IF(AG$1&lt;INDEX('Valo FX'!$R:$R,MATCH($A25,'Valo FX'!$A:$A,0)),INDEX(Base!$U:$U,MATCH($A25,Base!$A:$A,0)),IF(AG$1=INDEX('Valo FX'!$R:$R,MATCH($A25,'Valo FX'!$A:$A,0)),INDEX(Base!$V:$V,MATCH($A25,Base!$A:$A,0)),0)))</f>
        <v>11.548920000000001</v>
      </c>
      <c r="AH25" s="21">
        <f>IF(AH$1&lt;INDEX('Valo FX'!$Q:$Q,MATCH($A25,'Valo FX'!$A:$A,0)),0,IF(AH$1&lt;INDEX('Valo FX'!$R:$R,MATCH($A25,'Valo FX'!$A:$A,0)),INDEX(Base!$U:$U,MATCH($A25,Base!$A:$A,0)),IF(AH$1=INDEX('Valo FX'!$R:$R,MATCH($A25,'Valo FX'!$A:$A,0)),INDEX(Base!$V:$V,MATCH($A25,Base!$A:$A,0)),0)))</f>
        <v>11.548920000000001</v>
      </c>
      <c r="AI25" s="21">
        <f>IF(AI$1&lt;INDEX('Valo FX'!$Q:$Q,MATCH($A25,'Valo FX'!$A:$A,0)),0,IF(AI$1&lt;INDEX('Valo FX'!$R:$R,MATCH($A25,'Valo FX'!$A:$A,0)),INDEX(Base!$U:$U,MATCH($A25,Base!$A:$A,0)),IF(AI$1=INDEX('Valo FX'!$R:$R,MATCH($A25,'Valo FX'!$A:$A,0)),INDEX(Base!$V:$V,MATCH($A25,Base!$A:$A,0)),0)))</f>
        <v>11.548920000000001</v>
      </c>
      <c r="AJ25" s="21">
        <f>IF(AJ$1&lt;INDEX('Valo FX'!$Q:$Q,MATCH($A25,'Valo FX'!$A:$A,0)),0,IF(AJ$1&lt;INDEX('Valo FX'!$R:$R,MATCH($A25,'Valo FX'!$A:$A,0)),INDEX(Base!$U:$U,MATCH($A25,Base!$A:$A,0)),IF(AJ$1=INDEX('Valo FX'!$R:$R,MATCH($A25,'Valo FX'!$A:$A,0)),INDEX(Base!$V:$V,MATCH($A25,Base!$A:$A,0)),0)))</f>
        <v>11.548920000000001</v>
      </c>
      <c r="AK25" s="21">
        <f>IF(AK$1&lt;INDEX('Valo FX'!$Q:$Q,MATCH($A25,'Valo FX'!$A:$A,0)),0,IF(AK$1&lt;INDEX('Valo FX'!$R:$R,MATCH($A25,'Valo FX'!$A:$A,0)),INDEX(Base!$U:$U,MATCH($A25,Base!$A:$A,0)),IF(AK$1=INDEX('Valo FX'!$R:$R,MATCH($A25,'Valo FX'!$A:$A,0)),INDEX(Base!$V:$V,MATCH($A25,Base!$A:$A,0)),0)))</f>
        <v>11.548920000000001</v>
      </c>
      <c r="AL25" s="21">
        <f>IF(AL$1&lt;INDEX('Valo FX'!$Q:$Q,MATCH($A25,'Valo FX'!$A:$A,0)),0,IF(AL$1&lt;INDEX('Valo FX'!$R:$R,MATCH($A25,'Valo FX'!$A:$A,0)),INDEX(Base!$U:$U,MATCH($A25,Base!$A:$A,0)),IF(AL$1=INDEX('Valo FX'!$R:$R,MATCH($A25,'Valo FX'!$A:$A,0)),INDEX(Base!$V:$V,MATCH($A25,Base!$A:$A,0)),0)))</f>
        <v>11.548920000000001</v>
      </c>
      <c r="AM25" s="21">
        <f>IF(AM$1&lt;INDEX('Valo FX'!$Q:$Q,MATCH($A25,'Valo FX'!$A:$A,0)),0,IF(AM$1&lt;INDEX('Valo FX'!$R:$R,MATCH($A25,'Valo FX'!$A:$A,0)),INDEX(Base!$U:$U,MATCH($A25,Base!$A:$A,0)),IF(AM$1=INDEX('Valo FX'!$R:$R,MATCH($A25,'Valo FX'!$A:$A,0)),INDEX(Base!$V:$V,MATCH($A25,Base!$A:$A,0)),0)))</f>
        <v>11.548920000000001</v>
      </c>
      <c r="AN25" s="21">
        <f>IF(AN$1&lt;INDEX('Valo FX'!$Q:$Q,MATCH($A25,'Valo FX'!$A:$A,0)),0,IF(AN$1&lt;INDEX('Valo FX'!$R:$R,MATCH($A25,'Valo FX'!$A:$A,0)),INDEX(Base!$U:$U,MATCH($A25,Base!$A:$A,0)),IF(AN$1=INDEX('Valo FX'!$R:$R,MATCH($A25,'Valo FX'!$A:$A,0)),INDEX(Base!$V:$V,MATCH($A25,Base!$A:$A,0)),0)))</f>
        <v>11.548920000000001</v>
      </c>
      <c r="AO25" s="21">
        <f>IF(AO$1&lt;INDEX('Valo FX'!$Q:$Q,MATCH($A25,'Valo FX'!$A:$A,0)),0,IF(AO$1&lt;INDEX('Valo FX'!$R:$R,MATCH($A25,'Valo FX'!$A:$A,0)),INDEX(Base!$U:$U,MATCH($A25,Base!$A:$A,0)),IF(AO$1=INDEX('Valo FX'!$R:$R,MATCH($A25,'Valo FX'!$A:$A,0)),INDEX(Base!$V:$V,MATCH($A25,Base!$A:$A,0)),0)))</f>
        <v>11.548920000000001</v>
      </c>
      <c r="AP25" s="21">
        <f>IF(AP$1&lt;INDEX('Valo FX'!$Q:$Q,MATCH($A25,'Valo FX'!$A:$A,0)),0,IF(AP$1&lt;INDEX('Valo FX'!$R:$R,MATCH($A25,'Valo FX'!$A:$A,0)),INDEX(Base!$U:$U,MATCH($A25,Base!$A:$A,0)),IF(AP$1=INDEX('Valo FX'!$R:$R,MATCH($A25,'Valo FX'!$A:$A,0)),INDEX(Base!$V:$V,MATCH($A25,Base!$A:$A,0)),0)))</f>
        <v>11.548920000000001</v>
      </c>
      <c r="AQ25" s="21">
        <f>IF(AQ$1&lt;INDEX('Valo FX'!$Q:$Q,MATCH($A25,'Valo FX'!$A:$A,0)),0,IF(AQ$1&lt;INDEX('Valo FX'!$R:$R,MATCH($A25,'Valo FX'!$A:$A,0)),INDEX(Base!$U:$U,MATCH($A25,Base!$A:$A,0)),IF(AQ$1=INDEX('Valo FX'!$R:$R,MATCH($A25,'Valo FX'!$A:$A,0)),INDEX(Base!$V:$V,MATCH($A25,Base!$A:$A,0)),0)))</f>
        <v>11.548920000000001</v>
      </c>
      <c r="AR25" s="21">
        <f>IF(AR$1&lt;INDEX('Valo FX'!$Q:$Q,MATCH($A25,'Valo FX'!$A:$A,0)),0,IF(AR$1&lt;INDEX('Valo FX'!$R:$R,MATCH($A25,'Valo FX'!$A:$A,0)),INDEX(Base!$U:$U,MATCH($A25,Base!$A:$A,0)),IF(AR$1=INDEX('Valo FX'!$R:$R,MATCH($A25,'Valo FX'!$A:$A,0)),INDEX(Base!$V:$V,MATCH($A25,Base!$A:$A,0)),0)))</f>
        <v>11.548920000000001</v>
      </c>
      <c r="AS25" s="21">
        <f>IF(AS$1&lt;INDEX('Valo FX'!$Q:$Q,MATCH($A25,'Valo FX'!$A:$A,0)),0,IF(AS$1&lt;INDEX('Valo FX'!$R:$R,MATCH($A25,'Valo FX'!$A:$A,0)),INDEX(Base!$U:$U,MATCH($A25,Base!$A:$A,0)),IF(AS$1=INDEX('Valo FX'!$R:$R,MATCH($A25,'Valo FX'!$A:$A,0)),INDEX(Base!$V:$V,MATCH($A25,Base!$A:$A,0)),0)))</f>
        <v>11.548920000000001</v>
      </c>
      <c r="AT25" s="21">
        <f>IF(AT$1&lt;INDEX('Valo FX'!$Q:$Q,MATCH($A25,'Valo FX'!$A:$A,0)),0,IF(AT$1&lt;INDEX('Valo FX'!$R:$R,MATCH($A25,'Valo FX'!$A:$A,0)),INDEX(Base!$U:$U,MATCH($A25,Base!$A:$A,0)),IF(AT$1=INDEX('Valo FX'!$R:$R,MATCH($A25,'Valo FX'!$A:$A,0)),INDEX(Base!$V:$V,MATCH($A25,Base!$A:$A,0)),0)))</f>
        <v>11.548920000000001</v>
      </c>
      <c r="AU25" s="21">
        <f>IF(AU$1&lt;INDEX('Valo FX'!$Q:$Q,MATCH($A25,'Valo FX'!$A:$A,0)),0,IF(AU$1&lt;INDEX('Valo FX'!$R:$R,MATCH($A25,'Valo FX'!$A:$A,0)),INDEX(Base!$U:$U,MATCH($A25,Base!$A:$A,0)),IF(AU$1=INDEX('Valo FX'!$R:$R,MATCH($A25,'Valo FX'!$A:$A,0)),INDEX(Base!$V:$V,MATCH($A25,Base!$A:$A,0)),0)))</f>
        <v>11.548920000000001</v>
      </c>
      <c r="AV25" s="21">
        <f>IF(AV$1&lt;INDEX('Valo FX'!$Q:$Q,MATCH($A25,'Valo FX'!$A:$A,0)),0,IF(AV$1&lt;INDEX('Valo FX'!$R:$R,MATCH($A25,'Valo FX'!$A:$A,0)),INDEX(Base!$U:$U,MATCH($A25,Base!$A:$A,0)),IF(AV$1=INDEX('Valo FX'!$R:$R,MATCH($A25,'Valo FX'!$A:$A,0)),INDEX(Base!$V:$V,MATCH($A25,Base!$A:$A,0)),0)))</f>
        <v>11.548920000000001</v>
      </c>
      <c r="AW25" s="21">
        <f>IF(AW$1&lt;INDEX('Valo FX'!$Q:$Q,MATCH($A25,'Valo FX'!$A:$A,0)),0,IF(AW$1&lt;INDEX('Valo FX'!$R:$R,MATCH($A25,'Valo FX'!$A:$A,0)),INDEX(Base!$U:$U,MATCH($A25,Base!$A:$A,0)),IF(AW$1=INDEX('Valo FX'!$R:$R,MATCH($A25,'Valo FX'!$A:$A,0)),INDEX(Base!$V:$V,MATCH($A25,Base!$A:$A,0)),0)))</f>
        <v>11.548920000000001</v>
      </c>
      <c r="AX25" s="21">
        <f>IF(AX$1&lt;INDEX('Valo FX'!$Q:$Q,MATCH($A25,'Valo FX'!$A:$A,0)),0,IF(AX$1&lt;INDEX('Valo FX'!$R:$R,MATCH($A25,'Valo FX'!$A:$A,0)),INDEX(Base!$U:$U,MATCH($A25,Base!$A:$A,0)),IF(AX$1=INDEX('Valo FX'!$R:$R,MATCH($A25,'Valo FX'!$A:$A,0)),INDEX(Base!$V:$V,MATCH($A25,Base!$A:$A,0)),0)))</f>
        <v>11.548920000000001</v>
      </c>
      <c r="AY25" s="21">
        <f>IF(AY$1&lt;INDEX('Valo FX'!$Q:$Q,MATCH($A25,'Valo FX'!$A:$A,0)),0,IF(AY$1&lt;INDEX('Valo FX'!$R:$R,MATCH($A25,'Valo FX'!$A:$A,0)),INDEX(Base!$U:$U,MATCH($A25,Base!$A:$A,0)),IF(AY$1=INDEX('Valo FX'!$R:$R,MATCH($A25,'Valo FX'!$A:$A,0)),INDEX(Base!$V:$V,MATCH($A25,Base!$A:$A,0)),0)))</f>
        <v>11.548920000000001</v>
      </c>
      <c r="AZ25" s="21">
        <f>IF(AZ$1&lt;INDEX('Valo FX'!$Q:$Q,MATCH($A25,'Valo FX'!$A:$A,0)),0,IF(AZ$1&lt;INDEX('Valo FX'!$R:$R,MATCH($A25,'Valo FX'!$A:$A,0)),INDEX(Base!$U:$U,MATCH($A25,Base!$A:$A,0)),IF(AZ$1=INDEX('Valo FX'!$R:$R,MATCH($A25,'Valo FX'!$A:$A,0)),INDEX(Base!$V:$V,MATCH($A25,Base!$A:$A,0)),0)))</f>
        <v>11.548920000000001</v>
      </c>
      <c r="BA25" s="21">
        <f>IF(BA$1&lt;INDEX('Valo FX'!$Q:$Q,MATCH($A25,'Valo FX'!$A:$A,0)),0,IF(BA$1&lt;INDEX('Valo FX'!$R:$R,MATCH($A25,'Valo FX'!$A:$A,0)),INDEX(Base!$U:$U,MATCH($A25,Base!$A:$A,0)),IF(BA$1=INDEX('Valo FX'!$R:$R,MATCH($A25,'Valo FX'!$A:$A,0)),INDEX(Base!$V:$V,MATCH($A25,Base!$A:$A,0)),0)))</f>
        <v>11.548920000000001</v>
      </c>
      <c r="BB25" s="21">
        <f>IF(BB$1&lt;INDEX('Valo FX'!$Q:$Q,MATCH($A25,'Valo FX'!$A:$A,0)),0,IF(BB$1&lt;INDEX('Valo FX'!$R:$R,MATCH($A25,'Valo FX'!$A:$A,0)),INDEX(Base!$U:$U,MATCH($A25,Base!$A:$A,0)),IF(BB$1=INDEX('Valo FX'!$R:$R,MATCH($A25,'Valo FX'!$A:$A,0)),INDEX(Base!$V:$V,MATCH($A25,Base!$A:$A,0)),0)))</f>
        <v>11.548920000000001</v>
      </c>
      <c r="BC25" s="21">
        <f>IF(BC$1&lt;INDEX('Valo FX'!$Q:$Q,MATCH($A25,'Valo FX'!$A:$A,0)),0,IF(BC$1&lt;INDEX('Valo FX'!$R:$R,MATCH($A25,'Valo FX'!$A:$A,0)),INDEX(Base!$U:$U,MATCH($A25,Base!$A:$A,0)),IF(BC$1=INDEX('Valo FX'!$R:$R,MATCH($A25,'Valo FX'!$A:$A,0)),INDEX(Base!$V:$V,MATCH($A25,Base!$A:$A,0)),0)))</f>
        <v>11.548920000000001</v>
      </c>
      <c r="BD25" s="21">
        <f>IF(BD$1&lt;INDEX('Valo FX'!$Q:$Q,MATCH($A25,'Valo FX'!$A:$A,0)),0,IF(BD$1&lt;INDEX('Valo FX'!$R:$R,MATCH($A25,'Valo FX'!$A:$A,0)),INDEX(Base!$U:$U,MATCH($A25,Base!$A:$A,0)),IF(BD$1=INDEX('Valo FX'!$R:$R,MATCH($A25,'Valo FX'!$A:$A,0)),INDEX(Base!$V:$V,MATCH($A25,Base!$A:$A,0)),0)))</f>
        <v>11.548920000000001</v>
      </c>
      <c r="BE25" s="21">
        <f>IF(BE$1&lt;INDEX('Valo FX'!$Q:$Q,MATCH($A25,'Valo FX'!$A:$A,0)),0,IF(BE$1&lt;INDEX('Valo FX'!$R:$R,MATCH($A25,'Valo FX'!$A:$A,0)),INDEX(Base!$U:$U,MATCH($A25,Base!$A:$A,0)),IF(BE$1=INDEX('Valo FX'!$R:$R,MATCH($A25,'Valo FX'!$A:$A,0)),INDEX(Base!$V:$V,MATCH($A25,Base!$A:$A,0)),0)))</f>
        <v>11.548920000000001</v>
      </c>
      <c r="BF25" s="21">
        <f>IF(BF$1&lt;INDEX('Valo FX'!$Q:$Q,MATCH($A25,'Valo FX'!$A:$A,0)),0,IF(BF$1&lt;INDEX('Valo FX'!$R:$R,MATCH($A25,'Valo FX'!$A:$A,0)),INDEX(Base!$U:$U,MATCH($A25,Base!$A:$A,0)),IF(BF$1=INDEX('Valo FX'!$R:$R,MATCH($A25,'Valo FX'!$A:$A,0)),INDEX(Base!$V:$V,MATCH($A25,Base!$A:$A,0)),0)))</f>
        <v>11.548920000000001</v>
      </c>
      <c r="BG25" s="21">
        <f>IF(BG$1&lt;INDEX('Valo FX'!$Q:$Q,MATCH($A25,'Valo FX'!$A:$A,0)),0,IF(BG$1&lt;INDEX('Valo FX'!$R:$R,MATCH($A25,'Valo FX'!$A:$A,0)),INDEX(Base!$U:$U,MATCH($A25,Base!$A:$A,0)),IF(BG$1=INDEX('Valo FX'!$R:$R,MATCH($A25,'Valo FX'!$A:$A,0)),INDEX(Base!$V:$V,MATCH($A25,Base!$A:$A,0)),0)))</f>
        <v>11.548920000000001</v>
      </c>
      <c r="BH25" s="21">
        <f>IF(BH$1&lt;INDEX('Valo FX'!$Q:$Q,MATCH($A25,'Valo FX'!$A:$A,0)),0,IF(BH$1&lt;INDEX('Valo FX'!$R:$R,MATCH($A25,'Valo FX'!$A:$A,0)),INDEX(Base!$U:$U,MATCH($A25,Base!$A:$A,0)),IF(BH$1=INDEX('Valo FX'!$R:$R,MATCH($A25,'Valo FX'!$A:$A,0)),INDEX(Base!$V:$V,MATCH($A25,Base!$A:$A,0)),0)))</f>
        <v>11.548920000000001</v>
      </c>
      <c r="BI25" s="21">
        <f>IF(BI$1&lt;INDEX('Valo FX'!$Q:$Q,MATCH($A25,'Valo FX'!$A:$A,0)),0,IF(BI$1&lt;INDEX('Valo FX'!$R:$R,MATCH($A25,'Valo FX'!$A:$A,0)),INDEX(Base!$U:$U,MATCH($A25,Base!$A:$A,0)),IF(BI$1=INDEX('Valo FX'!$R:$R,MATCH($A25,'Valo FX'!$A:$A,0)),INDEX(Base!$V:$V,MATCH($A25,Base!$A:$A,0)),0)))</f>
        <v>11.548920000000001</v>
      </c>
      <c r="BJ25" s="21">
        <f>IF(BJ$1&lt;INDEX('Valo FX'!$Q:$Q,MATCH($A25,'Valo FX'!$A:$A,0)),0,IF(BJ$1&lt;INDEX('Valo FX'!$R:$R,MATCH($A25,'Valo FX'!$A:$A,0)),INDEX(Base!$U:$U,MATCH($A25,Base!$A:$A,0)),IF(BJ$1=INDEX('Valo FX'!$R:$R,MATCH($A25,'Valo FX'!$A:$A,0)),INDEX(Base!$V:$V,MATCH($A25,Base!$A:$A,0)),0)))</f>
        <v>11.548920000000001</v>
      </c>
      <c r="BK25" s="21">
        <f>IF(BK$1&lt;INDEX('Valo FX'!$Q:$Q,MATCH($A25,'Valo FX'!$A:$A,0)),0,IF(BK$1&lt;INDEX('Valo FX'!$R:$R,MATCH($A25,'Valo FX'!$A:$A,0)),INDEX(Base!$U:$U,MATCH($A25,Base!$A:$A,0)),IF(BK$1=INDEX('Valo FX'!$R:$R,MATCH($A25,'Valo FX'!$A:$A,0)),INDEX(Base!$V:$V,MATCH($A25,Base!$A:$A,0)),0)))</f>
        <v>11.548920000000001</v>
      </c>
      <c r="BL25" s="21">
        <f>IF(BL$1&lt;INDEX('Valo FX'!$Q:$Q,MATCH($A25,'Valo FX'!$A:$A,0)),0,IF(BL$1&lt;INDEX('Valo FX'!$R:$R,MATCH($A25,'Valo FX'!$A:$A,0)),INDEX(Base!$U:$U,MATCH($A25,Base!$A:$A,0)),IF(BL$1=INDEX('Valo FX'!$R:$R,MATCH($A25,'Valo FX'!$A:$A,0)),INDEX(Base!$V:$V,MATCH($A25,Base!$A:$A,0)),0)))</f>
        <v>11.548920000000001</v>
      </c>
      <c r="BM25" s="21">
        <f>IF(BM$1&lt;INDEX('Valo FX'!$Q:$Q,MATCH($A25,'Valo FX'!$A:$A,0)),0,IF(BM$1&lt;INDEX('Valo FX'!$R:$R,MATCH($A25,'Valo FX'!$A:$A,0)),INDEX(Base!$U:$U,MATCH($A25,Base!$A:$A,0)),IF(BM$1=INDEX('Valo FX'!$R:$R,MATCH($A25,'Valo FX'!$A:$A,0)),INDEX(Base!$V:$V,MATCH($A25,Base!$A:$A,0)),0)))</f>
        <v>11.548920000000001</v>
      </c>
      <c r="BN25" s="21">
        <f>IF(BN$1&lt;INDEX('Valo FX'!$Q:$Q,MATCH($A25,'Valo FX'!$A:$A,0)),0,IF(BN$1&lt;INDEX('Valo FX'!$R:$R,MATCH($A25,'Valo FX'!$A:$A,0)),INDEX(Base!$U:$U,MATCH($A25,Base!$A:$A,0)),IF(BN$1=INDEX('Valo FX'!$R:$R,MATCH($A25,'Valo FX'!$A:$A,0)),INDEX(Base!$V:$V,MATCH($A25,Base!$A:$A,0)),0)))</f>
        <v>11.548920000000001</v>
      </c>
      <c r="BO25" s="21">
        <f>IF(BO$1&lt;INDEX('Valo FX'!$Q:$Q,MATCH($A25,'Valo FX'!$A:$A,0)),0,IF(BO$1&lt;INDEX('Valo FX'!$R:$R,MATCH($A25,'Valo FX'!$A:$A,0)),INDEX(Base!$U:$U,MATCH($A25,Base!$A:$A,0)),IF(BO$1=INDEX('Valo FX'!$R:$R,MATCH($A25,'Valo FX'!$A:$A,0)),INDEX(Base!$V:$V,MATCH($A25,Base!$A:$A,0)),0)))</f>
        <v>11.548920000000001</v>
      </c>
      <c r="BP25" s="21">
        <f>IF(BP$1&lt;INDEX('Valo FX'!$Q:$Q,MATCH($A25,'Valo FX'!$A:$A,0)),0,IF(BP$1&lt;INDEX('Valo FX'!$R:$R,MATCH($A25,'Valo FX'!$A:$A,0)),INDEX(Base!$U:$U,MATCH($A25,Base!$A:$A,0)),IF(BP$1=INDEX('Valo FX'!$R:$R,MATCH($A25,'Valo FX'!$A:$A,0)),INDEX(Base!$V:$V,MATCH($A25,Base!$A:$A,0)),0)))</f>
        <v>11.548920000000001</v>
      </c>
      <c r="BQ25" s="21">
        <f>IF(BQ$1&lt;INDEX('Valo FX'!$Q:$Q,MATCH($A25,'Valo FX'!$A:$A,0)),0,IF(BQ$1&lt;INDEX('Valo FX'!$R:$R,MATCH($A25,'Valo FX'!$A:$A,0)),INDEX(Base!$U:$U,MATCH($A25,Base!$A:$A,0)),IF(BQ$1=INDEX('Valo FX'!$R:$R,MATCH($A25,'Valo FX'!$A:$A,0)),INDEX(Base!$V:$V,MATCH($A25,Base!$A:$A,0)),0)))</f>
        <v>11.548920000000001</v>
      </c>
      <c r="BR25" s="21">
        <f>IF(BR$1&lt;INDEX('Valo FX'!$Q:$Q,MATCH($A25,'Valo FX'!$A:$A,0)),0,IF(BR$1&lt;INDEX('Valo FX'!$R:$R,MATCH($A25,'Valo FX'!$A:$A,0)),INDEX(Base!$U:$U,MATCH($A25,Base!$A:$A,0)),IF(BR$1=INDEX('Valo FX'!$R:$R,MATCH($A25,'Valo FX'!$A:$A,0)),INDEX(Base!$V:$V,MATCH($A25,Base!$A:$A,0)),0)))</f>
        <v>11.548920000000001</v>
      </c>
      <c r="BS25" s="21">
        <f>IF(BS$1&lt;INDEX('Valo FX'!$Q:$Q,MATCH($A25,'Valo FX'!$A:$A,0)),0,IF(BS$1&lt;INDEX('Valo FX'!$R:$R,MATCH($A25,'Valo FX'!$A:$A,0)),INDEX(Base!$U:$U,MATCH($A25,Base!$A:$A,0)),IF(BS$1=INDEX('Valo FX'!$R:$R,MATCH($A25,'Valo FX'!$A:$A,0)),INDEX(Base!$V:$V,MATCH($A25,Base!$A:$A,0)),0)))</f>
        <v>11.548920000000001</v>
      </c>
      <c r="BT25" s="21">
        <f>IF(BT$1&lt;INDEX('Valo FX'!$Q:$Q,MATCH($A25,'Valo FX'!$A:$A,0)),0,IF(BT$1&lt;INDEX('Valo FX'!$R:$R,MATCH($A25,'Valo FX'!$A:$A,0)),INDEX(Base!$U:$U,MATCH($A25,Base!$A:$A,0)),IF(BT$1=INDEX('Valo FX'!$R:$R,MATCH($A25,'Valo FX'!$A:$A,0)),INDEX(Base!$V:$V,MATCH($A25,Base!$A:$A,0)),0)))</f>
        <v>11.548920000000001</v>
      </c>
      <c r="BU25" s="21">
        <f>IF(BU$1&lt;INDEX('Valo FX'!$Q:$Q,MATCH($A25,'Valo FX'!$A:$A,0)),0,IF(BU$1&lt;INDEX('Valo FX'!$R:$R,MATCH($A25,'Valo FX'!$A:$A,0)),INDEX(Base!$U:$U,MATCH($A25,Base!$A:$A,0)),IF(BU$1=INDEX('Valo FX'!$R:$R,MATCH($A25,'Valo FX'!$A:$A,0)),INDEX(Base!$V:$V,MATCH($A25,Base!$A:$A,0)),0)))</f>
        <v>11.548920000000001</v>
      </c>
      <c r="BV25" s="21">
        <f>IF(BV$1&lt;INDEX('Valo FX'!$Q:$Q,MATCH($A25,'Valo FX'!$A:$A,0)),0,IF(BV$1&lt;INDEX('Valo FX'!$R:$R,MATCH($A25,'Valo FX'!$A:$A,0)),INDEX(Base!$U:$U,MATCH($A25,Base!$A:$A,0)),IF(BV$1=INDEX('Valo FX'!$R:$R,MATCH($A25,'Valo FX'!$A:$A,0)),INDEX(Base!$V:$V,MATCH($A25,Base!$A:$A,0)),0)))</f>
        <v>11.548920000000001</v>
      </c>
      <c r="BW25" s="21">
        <f>IF(BW$1&lt;INDEX('Valo FX'!$Q:$Q,MATCH($A25,'Valo FX'!$A:$A,0)),0,IF(BW$1&lt;INDEX('Valo FX'!$R:$R,MATCH($A25,'Valo FX'!$A:$A,0)),INDEX(Base!$U:$U,MATCH($A25,Base!$A:$A,0)),IF(BW$1=INDEX('Valo FX'!$R:$R,MATCH($A25,'Valo FX'!$A:$A,0)),INDEX(Base!$V:$V,MATCH($A25,Base!$A:$A,0)),0)))</f>
        <v>11.548920000000001</v>
      </c>
      <c r="BX25" s="21">
        <f>IF(BX$1&lt;INDEX('Valo FX'!$Q:$Q,MATCH($A25,'Valo FX'!$A:$A,0)),0,IF(BX$1&lt;INDEX('Valo FX'!$R:$R,MATCH($A25,'Valo FX'!$A:$A,0)),INDEX(Base!$U:$U,MATCH($A25,Base!$A:$A,0)),IF(BX$1=INDEX('Valo FX'!$R:$R,MATCH($A25,'Valo FX'!$A:$A,0)),INDEX(Base!$V:$V,MATCH($A25,Base!$A:$A,0)),0)))</f>
        <v>11.548920000000001</v>
      </c>
      <c r="BY25" s="21">
        <f>IF(BY$1&lt;INDEX('Valo FX'!$Q:$Q,MATCH($A25,'Valo FX'!$A:$A,0)),0,IF(BY$1&lt;INDEX('Valo FX'!$R:$R,MATCH($A25,'Valo FX'!$A:$A,0)),INDEX(Base!$U:$U,MATCH($A25,Base!$A:$A,0)),IF(BY$1=INDEX('Valo FX'!$R:$R,MATCH($A25,'Valo FX'!$A:$A,0)),INDEX(Base!$V:$V,MATCH($A25,Base!$A:$A,0)),0)))</f>
        <v>11.548920000000001</v>
      </c>
      <c r="BZ25" s="21">
        <f>IF(BZ$1&lt;INDEX('Valo FX'!$Q:$Q,MATCH($A25,'Valo FX'!$A:$A,0)),0,IF(BZ$1&lt;INDEX('Valo FX'!$R:$R,MATCH($A25,'Valo FX'!$A:$A,0)),INDEX(Base!$U:$U,MATCH($A25,Base!$A:$A,0)),IF(BZ$1=INDEX('Valo FX'!$R:$R,MATCH($A25,'Valo FX'!$A:$A,0)),INDEX(Base!$V:$V,MATCH($A25,Base!$A:$A,0)),0)))</f>
        <v>11.548920000000001</v>
      </c>
      <c r="CA25" s="21">
        <f>IF(CA$1&lt;INDEX('Valo FX'!$Q:$Q,MATCH($A25,'Valo FX'!$A:$A,0)),0,IF(CA$1&lt;INDEX('Valo FX'!$R:$R,MATCH($A25,'Valo FX'!$A:$A,0)),INDEX(Base!$U:$U,MATCH($A25,Base!$A:$A,0)),IF(CA$1=INDEX('Valo FX'!$R:$R,MATCH($A25,'Valo FX'!$A:$A,0)),INDEX(Base!$V:$V,MATCH($A25,Base!$A:$A,0)),0)))</f>
        <v>11.548920000000001</v>
      </c>
      <c r="CB25" s="21">
        <f>IF(CB$1&lt;INDEX('Valo FX'!$Q:$Q,MATCH($A25,'Valo FX'!$A:$A,0)),0,IF(CB$1&lt;INDEX('Valo FX'!$R:$R,MATCH($A25,'Valo FX'!$A:$A,0)),INDEX(Base!$U:$U,MATCH($A25,Base!$A:$A,0)),IF(CB$1=INDEX('Valo FX'!$R:$R,MATCH($A25,'Valo FX'!$A:$A,0)),INDEX(Base!$V:$V,MATCH($A25,Base!$A:$A,0)),0)))</f>
        <v>11.548920000000001</v>
      </c>
      <c r="CC25" s="21">
        <f>IF(CC$1&lt;INDEX('Valo FX'!$Q:$Q,MATCH($A25,'Valo FX'!$A:$A,0)),0,IF(CC$1&lt;INDEX('Valo FX'!$R:$R,MATCH($A25,'Valo FX'!$A:$A,0)),INDEX(Base!$U:$U,MATCH($A25,Base!$A:$A,0)),IF(CC$1=INDEX('Valo FX'!$R:$R,MATCH($A25,'Valo FX'!$A:$A,0)),INDEX(Base!$V:$V,MATCH($A25,Base!$A:$A,0)),0)))</f>
        <v>11.548920000000001</v>
      </c>
      <c r="CD25" s="21">
        <f>IF(CD$1&lt;INDEX('Valo FX'!$Q:$Q,MATCH($A25,'Valo FX'!$A:$A,0)),0,IF(CD$1&lt;INDEX('Valo FX'!$R:$R,MATCH($A25,'Valo FX'!$A:$A,0)),INDEX(Base!$U:$U,MATCH($A25,Base!$A:$A,0)),IF(CD$1=INDEX('Valo FX'!$R:$R,MATCH($A25,'Valo FX'!$A:$A,0)),INDEX(Base!$V:$V,MATCH($A25,Base!$A:$A,0)),0)))</f>
        <v>11.548920000000001</v>
      </c>
      <c r="CE25" s="21">
        <f>IF(CE$1&lt;INDEX('Valo FX'!$Q:$Q,MATCH($A25,'Valo FX'!$A:$A,0)),0,IF(CE$1&lt;INDEX('Valo FX'!$R:$R,MATCH($A25,'Valo FX'!$A:$A,0)),INDEX(Base!$U:$U,MATCH($A25,Base!$A:$A,0)),IF(CE$1=INDEX('Valo FX'!$R:$R,MATCH($A25,'Valo FX'!$A:$A,0)),INDEX(Base!$V:$V,MATCH($A25,Base!$A:$A,0)),0)))</f>
        <v>11.548920000000001</v>
      </c>
      <c r="CF25" s="21">
        <f>IF(CF$1&lt;INDEX('Valo FX'!$Q:$Q,MATCH($A25,'Valo FX'!$A:$A,0)),0,IF(CF$1&lt;INDEX('Valo FX'!$R:$R,MATCH($A25,'Valo FX'!$A:$A,0)),INDEX(Base!$U:$U,MATCH($A25,Base!$A:$A,0)),IF(CF$1=INDEX('Valo FX'!$R:$R,MATCH($A25,'Valo FX'!$A:$A,0)),INDEX(Base!$V:$V,MATCH($A25,Base!$A:$A,0)),0)))</f>
        <v>11.548920000000001</v>
      </c>
      <c r="CG25" s="21">
        <f>IF(CG$1&lt;INDEX('Valo FX'!$Q:$Q,MATCH($A25,'Valo FX'!$A:$A,0)),0,IF(CG$1&lt;INDEX('Valo FX'!$R:$R,MATCH($A25,'Valo FX'!$A:$A,0)),INDEX(Base!$U:$U,MATCH($A25,Base!$A:$A,0)),IF(CG$1=INDEX('Valo FX'!$R:$R,MATCH($A25,'Valo FX'!$A:$A,0)),INDEX(Base!$V:$V,MATCH($A25,Base!$A:$A,0)),0)))</f>
        <v>11.548920000000001</v>
      </c>
      <c r="CH25" s="21">
        <f>IF(CH$1&lt;INDEX('Valo FX'!$Q:$Q,MATCH($A25,'Valo FX'!$A:$A,0)),0,IF(CH$1&lt;INDEX('Valo FX'!$R:$R,MATCH($A25,'Valo FX'!$A:$A,0)),INDEX(Base!$U:$U,MATCH($A25,Base!$A:$A,0)),IF(CH$1=INDEX('Valo FX'!$R:$R,MATCH($A25,'Valo FX'!$A:$A,0)),INDEX(Base!$V:$V,MATCH($A25,Base!$A:$A,0)),0)))</f>
        <v>11.548920000000001</v>
      </c>
      <c r="CI25" s="21">
        <f>IF(CI$1&lt;INDEX('Valo FX'!$Q:$Q,MATCH($A25,'Valo FX'!$A:$A,0)),0,IF(CI$1&lt;INDEX('Valo FX'!$R:$R,MATCH($A25,'Valo FX'!$A:$A,0)),INDEX(Base!$U:$U,MATCH($A25,Base!$A:$A,0)),IF(CI$1=INDEX('Valo FX'!$R:$R,MATCH($A25,'Valo FX'!$A:$A,0)),INDEX(Base!$V:$V,MATCH($A25,Base!$A:$A,0)),0)))</f>
        <v>11.548920000000001</v>
      </c>
      <c r="CJ25" s="21">
        <f>IF(CJ$1&lt;INDEX('Valo FX'!$Q:$Q,MATCH($A25,'Valo FX'!$A:$A,0)),0,IF(CJ$1&lt;INDEX('Valo FX'!$R:$R,MATCH($A25,'Valo FX'!$A:$A,0)),INDEX(Base!$U:$U,MATCH($A25,Base!$A:$A,0)),IF(CJ$1=INDEX('Valo FX'!$R:$R,MATCH($A25,'Valo FX'!$A:$A,0)),INDEX(Base!$V:$V,MATCH($A25,Base!$A:$A,0)),0)))</f>
        <v>11.548920000000001</v>
      </c>
      <c r="CK25" s="21">
        <f>IF(CK$1&lt;INDEX('Valo FX'!$Q:$Q,MATCH($A25,'Valo FX'!$A:$A,0)),0,IF(CK$1&lt;INDEX('Valo FX'!$R:$R,MATCH($A25,'Valo FX'!$A:$A,0)),INDEX(Base!$U:$U,MATCH($A25,Base!$A:$A,0)),IF(CK$1=INDEX('Valo FX'!$R:$R,MATCH($A25,'Valo FX'!$A:$A,0)),INDEX(Base!$V:$V,MATCH($A25,Base!$A:$A,0)),0)))</f>
        <v>11.548920000000001</v>
      </c>
      <c r="CL25" s="21">
        <f>IF(CL$1&lt;INDEX('Valo FX'!$Q:$Q,MATCH($A25,'Valo FX'!$A:$A,0)),0,IF(CL$1&lt;INDEX('Valo FX'!$R:$R,MATCH($A25,'Valo FX'!$A:$A,0)),INDEX(Base!$U:$U,MATCH($A25,Base!$A:$A,0)),IF(CL$1=INDEX('Valo FX'!$R:$R,MATCH($A25,'Valo FX'!$A:$A,0)),INDEX(Base!$V:$V,MATCH($A25,Base!$A:$A,0)),0)))</f>
        <v>11.548920000000001</v>
      </c>
      <c r="CM25" s="21">
        <f>IF(CM$1&lt;INDEX('Valo FX'!$Q:$Q,MATCH($A25,'Valo FX'!$A:$A,0)),0,IF(CM$1&lt;INDEX('Valo FX'!$R:$R,MATCH($A25,'Valo FX'!$A:$A,0)),INDEX(Base!$U:$U,MATCH($A25,Base!$A:$A,0)),IF(CM$1=INDEX('Valo FX'!$R:$R,MATCH($A25,'Valo FX'!$A:$A,0)),INDEX(Base!$V:$V,MATCH($A25,Base!$A:$A,0)),0)))</f>
        <v>11.548920000000001</v>
      </c>
      <c r="CN25" s="21">
        <f>IF(CN$1&lt;INDEX('Valo FX'!$Q:$Q,MATCH($A25,'Valo FX'!$A:$A,0)),0,IF(CN$1&lt;INDEX('Valo FX'!$R:$R,MATCH($A25,'Valo FX'!$A:$A,0)),INDEX(Base!$U:$U,MATCH($A25,Base!$A:$A,0)),IF(CN$1=INDEX('Valo FX'!$R:$R,MATCH($A25,'Valo FX'!$A:$A,0)),INDEX(Base!$V:$V,MATCH($A25,Base!$A:$A,0)),0)))</f>
        <v>11.548920000000001</v>
      </c>
      <c r="CO25" s="21">
        <f>IF(CO$1&lt;INDEX('Valo FX'!$Q:$Q,MATCH($A25,'Valo FX'!$A:$A,0)),0,IF(CO$1&lt;INDEX('Valo FX'!$R:$R,MATCH($A25,'Valo FX'!$A:$A,0)),INDEX(Base!$U:$U,MATCH($A25,Base!$A:$A,0)),IF(CO$1=INDEX('Valo FX'!$R:$R,MATCH($A25,'Valo FX'!$A:$A,0)),INDEX(Base!$V:$V,MATCH($A25,Base!$A:$A,0)),0)))</f>
        <v>11.548920000000001</v>
      </c>
      <c r="CP25" s="21">
        <f>IF(CP$1&lt;INDEX('Valo FX'!$Q:$Q,MATCH($A25,'Valo FX'!$A:$A,0)),0,IF(CP$1&lt;INDEX('Valo FX'!$R:$R,MATCH($A25,'Valo FX'!$A:$A,0)),INDEX(Base!$U:$U,MATCH($A25,Base!$A:$A,0)),IF(CP$1=INDEX('Valo FX'!$R:$R,MATCH($A25,'Valo FX'!$A:$A,0)),INDEX(Base!$V:$V,MATCH($A25,Base!$A:$A,0)),0)))</f>
        <v>11.548920000000001</v>
      </c>
      <c r="CQ25" s="21">
        <f>IF(CQ$1&lt;INDEX('Valo FX'!$Q:$Q,MATCH($A25,'Valo FX'!$A:$A,0)),0,IF(CQ$1&lt;INDEX('Valo FX'!$R:$R,MATCH($A25,'Valo FX'!$A:$A,0)),INDEX(Base!$U:$U,MATCH($A25,Base!$A:$A,0)),IF(CQ$1=INDEX('Valo FX'!$R:$R,MATCH($A25,'Valo FX'!$A:$A,0)),INDEX(Base!$V:$V,MATCH($A25,Base!$A:$A,0)),0)))</f>
        <v>11.548920000000001</v>
      </c>
      <c r="CR25" s="21">
        <f>IF(CR$1&lt;INDEX('Valo FX'!$Q:$Q,MATCH($A25,'Valo FX'!$A:$A,0)),0,IF(CR$1&lt;INDEX('Valo FX'!$R:$R,MATCH($A25,'Valo FX'!$A:$A,0)),INDEX(Base!$U:$U,MATCH($A25,Base!$A:$A,0)),IF(CR$1=INDEX('Valo FX'!$R:$R,MATCH($A25,'Valo FX'!$A:$A,0)),INDEX(Base!$V:$V,MATCH($A25,Base!$A:$A,0)),0)))</f>
        <v>11.548920000000001</v>
      </c>
      <c r="CS25" s="21">
        <f>IF(CS$1&lt;INDEX('Valo FX'!$Q:$Q,MATCH($A25,'Valo FX'!$A:$A,0)),0,IF(CS$1&lt;INDEX('Valo FX'!$R:$R,MATCH($A25,'Valo FX'!$A:$A,0)),INDEX(Base!$U:$U,MATCH($A25,Base!$A:$A,0)),IF(CS$1=INDEX('Valo FX'!$R:$R,MATCH($A25,'Valo FX'!$A:$A,0)),INDEX(Base!$V:$V,MATCH($A25,Base!$A:$A,0)),0)))</f>
        <v>11.548920000000001</v>
      </c>
      <c r="CT25" s="21">
        <f>IF(CT$1&lt;INDEX('Valo FX'!$Q:$Q,MATCH($A25,'Valo FX'!$A:$A,0)),0,IF(CT$1&lt;INDEX('Valo FX'!$R:$R,MATCH($A25,'Valo FX'!$A:$A,0)),INDEX(Base!$U:$U,MATCH($A25,Base!$A:$A,0)),IF(CT$1=INDEX('Valo FX'!$R:$R,MATCH($A25,'Valo FX'!$A:$A,0)),INDEX(Base!$V:$V,MATCH($A25,Base!$A:$A,0)),0)))</f>
        <v>11.548920000000001</v>
      </c>
      <c r="CU25" s="21">
        <f>IF(CU$1&lt;INDEX('Valo FX'!$Q:$Q,MATCH($A25,'Valo FX'!$A:$A,0)),0,IF(CU$1&lt;INDEX('Valo FX'!$R:$R,MATCH($A25,'Valo FX'!$A:$A,0)),INDEX(Base!$U:$U,MATCH($A25,Base!$A:$A,0)),IF(CU$1=INDEX('Valo FX'!$R:$R,MATCH($A25,'Valo FX'!$A:$A,0)),INDEX(Base!$V:$V,MATCH($A25,Base!$A:$A,0)),0)))</f>
        <v>11.548920000000001</v>
      </c>
      <c r="CV25" s="21">
        <f>IF(CV$1&lt;INDEX('Valo FX'!$Q:$Q,MATCH($A25,'Valo FX'!$A:$A,0)),0,IF(CV$1&lt;INDEX('Valo FX'!$R:$R,MATCH($A25,'Valo FX'!$A:$A,0)),INDEX(Base!$U:$U,MATCH($A25,Base!$A:$A,0)),IF(CV$1=INDEX('Valo FX'!$R:$R,MATCH($A25,'Valo FX'!$A:$A,0)),INDEX(Base!$V:$V,MATCH($A25,Base!$A:$A,0)),0)))</f>
        <v>11.548920000000001</v>
      </c>
      <c r="CW25" s="21">
        <f>IF(CW$1&lt;INDEX('Valo FX'!$Q:$Q,MATCH($A25,'Valo FX'!$A:$A,0)),0,IF(CW$1&lt;INDEX('Valo FX'!$R:$R,MATCH($A25,'Valo FX'!$A:$A,0)),INDEX(Base!$U:$U,MATCH($A25,Base!$A:$A,0)),IF(CW$1=INDEX('Valo FX'!$R:$R,MATCH($A25,'Valo FX'!$A:$A,0)),INDEX(Base!$V:$V,MATCH($A25,Base!$A:$A,0)),0)))</f>
        <v>11.548920000000001</v>
      </c>
      <c r="CX25" s="21">
        <f>IF(CX$1&lt;INDEX('Valo FX'!$Q:$Q,MATCH($A25,'Valo FX'!$A:$A,0)),0,IF(CX$1&lt;INDEX('Valo FX'!$R:$R,MATCH($A25,'Valo FX'!$A:$A,0)),INDEX(Base!$U:$U,MATCH($A25,Base!$A:$A,0)),IF(CX$1=INDEX('Valo FX'!$R:$R,MATCH($A25,'Valo FX'!$A:$A,0)),INDEX(Base!$V:$V,MATCH($A25,Base!$A:$A,0)),0)))</f>
        <v>11.548920000000001</v>
      </c>
      <c r="CY25" s="21">
        <f>IF(CY$1&lt;INDEX('Valo FX'!$Q:$Q,MATCH($A25,'Valo FX'!$A:$A,0)),0,IF(CY$1&lt;INDEX('Valo FX'!$R:$R,MATCH($A25,'Valo FX'!$A:$A,0)),INDEX(Base!$U:$U,MATCH($A25,Base!$A:$A,0)),IF(CY$1=INDEX('Valo FX'!$R:$R,MATCH($A25,'Valo FX'!$A:$A,0)),INDEX(Base!$V:$V,MATCH($A25,Base!$A:$A,0)),0)))</f>
        <v>11.548920000000001</v>
      </c>
      <c r="CZ25" s="21">
        <f>IF(CZ$1&lt;INDEX('Valo FX'!$Q:$Q,MATCH($A25,'Valo FX'!$A:$A,0)),0,IF(CZ$1&lt;INDEX('Valo FX'!$R:$R,MATCH($A25,'Valo FX'!$A:$A,0)),INDEX(Base!$U:$U,MATCH($A25,Base!$A:$A,0)),IF(CZ$1=INDEX('Valo FX'!$R:$R,MATCH($A25,'Valo FX'!$A:$A,0)),INDEX(Base!$V:$V,MATCH($A25,Base!$A:$A,0)),0)))</f>
        <v>11.548920000000001</v>
      </c>
      <c r="DA25" s="21">
        <f>IF(DA$1&lt;INDEX('Valo FX'!$Q:$Q,MATCH($A25,'Valo FX'!$A:$A,0)),0,IF(DA$1&lt;INDEX('Valo FX'!$R:$R,MATCH($A25,'Valo FX'!$A:$A,0)),INDEX(Base!$U:$U,MATCH($A25,Base!$A:$A,0)),IF(DA$1=INDEX('Valo FX'!$R:$R,MATCH($A25,'Valo FX'!$A:$A,0)),INDEX(Base!$V:$V,MATCH($A25,Base!$A:$A,0)),0)))</f>
        <v>11.548920000000001</v>
      </c>
      <c r="DB25" s="21">
        <f>IF(DB$1&lt;INDEX('Valo FX'!$Q:$Q,MATCH($A25,'Valo FX'!$A:$A,0)),0,IF(DB$1&lt;INDEX('Valo FX'!$R:$R,MATCH($A25,'Valo FX'!$A:$A,0)),INDEX(Base!$U:$U,MATCH($A25,Base!$A:$A,0)),IF(DB$1=INDEX('Valo FX'!$R:$R,MATCH($A25,'Valo FX'!$A:$A,0)),INDEX(Base!$V:$V,MATCH($A25,Base!$A:$A,0)),0)))</f>
        <v>11.548920000000001</v>
      </c>
      <c r="DC25" s="21">
        <f>IF(DC$1&lt;INDEX('Valo FX'!$Q:$Q,MATCH($A25,'Valo FX'!$A:$A,0)),0,IF(DC$1&lt;INDEX('Valo FX'!$R:$R,MATCH($A25,'Valo FX'!$A:$A,0)),INDEX(Base!$U:$U,MATCH($A25,Base!$A:$A,0)),IF(DC$1=INDEX('Valo FX'!$R:$R,MATCH($A25,'Valo FX'!$A:$A,0)),INDEX(Base!$V:$V,MATCH($A25,Base!$A:$A,0)),0)))</f>
        <v>11.548920000000001</v>
      </c>
      <c r="DD25" s="21">
        <f>IF(DD$1&lt;INDEX('Valo FX'!$Q:$Q,MATCH($A25,'Valo FX'!$A:$A,0)),0,IF(DD$1&lt;INDEX('Valo FX'!$R:$R,MATCH($A25,'Valo FX'!$A:$A,0)),INDEX(Base!$U:$U,MATCH($A25,Base!$A:$A,0)),IF(DD$1=INDEX('Valo FX'!$R:$R,MATCH($A25,'Valo FX'!$A:$A,0)),INDEX(Base!$V:$V,MATCH($A25,Base!$A:$A,0)),0)))</f>
        <v>11.548920000000001</v>
      </c>
      <c r="DE25" s="21">
        <f>IF(DE$1&lt;INDEX('Valo FX'!$Q:$Q,MATCH($A25,'Valo FX'!$A:$A,0)),0,IF(DE$1&lt;INDEX('Valo FX'!$R:$R,MATCH($A25,'Valo FX'!$A:$A,0)),INDEX(Base!$U:$U,MATCH($A25,Base!$A:$A,0)),IF(DE$1=INDEX('Valo FX'!$R:$R,MATCH($A25,'Valo FX'!$A:$A,0)),INDEX(Base!$V:$V,MATCH($A25,Base!$A:$A,0)),0)))</f>
        <v>11.548920000000001</v>
      </c>
      <c r="DF25" s="21">
        <f>IF(DF$1&lt;INDEX('Valo FX'!$Q:$Q,MATCH($A25,'Valo FX'!$A:$A,0)),0,IF(DF$1&lt;INDEX('Valo FX'!$R:$R,MATCH($A25,'Valo FX'!$A:$A,0)),INDEX(Base!$U:$U,MATCH($A25,Base!$A:$A,0)),IF(DF$1=INDEX('Valo FX'!$R:$R,MATCH($A25,'Valo FX'!$A:$A,0)),INDEX(Base!$V:$V,MATCH($A25,Base!$A:$A,0)),0)))</f>
        <v>11.548920000000001</v>
      </c>
      <c r="DG25" s="21">
        <f>IF(DG$1&lt;INDEX('Valo FX'!$Q:$Q,MATCH($A25,'Valo FX'!$A:$A,0)),0,IF(DG$1&lt;INDEX('Valo FX'!$R:$R,MATCH($A25,'Valo FX'!$A:$A,0)),INDEX(Base!$U:$U,MATCH($A25,Base!$A:$A,0)),IF(DG$1=INDEX('Valo FX'!$R:$R,MATCH($A25,'Valo FX'!$A:$A,0)),INDEX(Base!$V:$V,MATCH($A25,Base!$A:$A,0)),0)))</f>
        <v>11.548920000000001</v>
      </c>
      <c r="DH25" s="21">
        <f>IF(DH$1&lt;INDEX('Valo FX'!$Q:$Q,MATCH($A25,'Valo FX'!$A:$A,0)),0,IF(DH$1&lt;INDEX('Valo FX'!$R:$R,MATCH($A25,'Valo FX'!$A:$A,0)),INDEX(Base!$U:$U,MATCH($A25,Base!$A:$A,0)),IF(DH$1=INDEX('Valo FX'!$R:$R,MATCH($A25,'Valo FX'!$A:$A,0)),INDEX(Base!$V:$V,MATCH($A25,Base!$A:$A,0)),0)))</f>
        <v>11.548920000000001</v>
      </c>
      <c r="DI25" s="21">
        <f>IF(DI$1&lt;INDEX('Valo FX'!$Q:$Q,MATCH($A25,'Valo FX'!$A:$A,0)),0,IF(DI$1&lt;INDEX('Valo FX'!$R:$R,MATCH($A25,'Valo FX'!$A:$A,0)),INDEX(Base!$U:$U,MATCH($A25,Base!$A:$A,0)),IF(DI$1=INDEX('Valo FX'!$R:$R,MATCH($A25,'Valo FX'!$A:$A,0)),INDEX(Base!$V:$V,MATCH($A25,Base!$A:$A,0)),0)))</f>
        <v>11.548920000000001</v>
      </c>
      <c r="DJ25" s="21">
        <f>IF(DJ$1&lt;INDEX('Valo FX'!$Q:$Q,MATCH($A25,'Valo FX'!$A:$A,0)),0,IF(DJ$1&lt;INDEX('Valo FX'!$R:$R,MATCH($A25,'Valo FX'!$A:$A,0)),INDEX(Base!$U:$U,MATCH($A25,Base!$A:$A,0)),IF(DJ$1=INDEX('Valo FX'!$R:$R,MATCH($A25,'Valo FX'!$A:$A,0)),INDEX(Base!$V:$V,MATCH($A25,Base!$A:$A,0)),0)))</f>
        <v>11.548920000000001</v>
      </c>
      <c r="DK25" s="21">
        <f>IF(DK$1&lt;INDEX('Valo FX'!$Q:$Q,MATCH($A25,'Valo FX'!$A:$A,0)),0,IF(DK$1&lt;INDEX('Valo FX'!$R:$R,MATCH($A25,'Valo FX'!$A:$A,0)),INDEX(Base!$U:$U,MATCH($A25,Base!$A:$A,0)),IF(DK$1=INDEX('Valo FX'!$R:$R,MATCH($A25,'Valo FX'!$A:$A,0)),INDEX(Base!$V:$V,MATCH($A25,Base!$A:$A,0)),0)))</f>
        <v>11.548920000000001</v>
      </c>
      <c r="DL25" s="21">
        <f>IF(DL$1&lt;INDEX('Valo FX'!$Q:$Q,MATCH($A25,'Valo FX'!$A:$A,0)),0,IF(DL$1&lt;INDEX('Valo FX'!$R:$R,MATCH($A25,'Valo FX'!$A:$A,0)),INDEX(Base!$U:$U,MATCH($A25,Base!$A:$A,0)),IF(DL$1=INDEX('Valo FX'!$R:$R,MATCH($A25,'Valo FX'!$A:$A,0)),INDEX(Base!$V:$V,MATCH($A25,Base!$A:$A,0)),0)))</f>
        <v>11.548920000000001</v>
      </c>
      <c r="DM25" s="21">
        <f>IF(DM$1&lt;INDEX('Valo FX'!$Q:$Q,MATCH($A25,'Valo FX'!$A:$A,0)),0,IF(DM$1&lt;INDEX('Valo FX'!$R:$R,MATCH($A25,'Valo FX'!$A:$A,0)),INDEX(Base!$U:$U,MATCH($A25,Base!$A:$A,0)),IF(DM$1=INDEX('Valo FX'!$R:$R,MATCH($A25,'Valo FX'!$A:$A,0)),INDEX(Base!$V:$V,MATCH($A25,Base!$A:$A,0)),0)))</f>
        <v>11.548920000000001</v>
      </c>
      <c r="DN25" s="21">
        <f>IF(DN$1&lt;INDEX('Valo FX'!$Q:$Q,MATCH($A25,'Valo FX'!$A:$A,0)),0,IF(DN$1&lt;INDEX('Valo FX'!$R:$R,MATCH($A25,'Valo FX'!$A:$A,0)),INDEX(Base!$U:$U,MATCH($A25,Base!$A:$A,0)),IF(DN$1=INDEX('Valo FX'!$R:$R,MATCH($A25,'Valo FX'!$A:$A,0)),INDEX(Base!$V:$V,MATCH($A25,Base!$A:$A,0)),0)))</f>
        <v>11.548920000000001</v>
      </c>
      <c r="DO25" s="21">
        <f>IF(DO$1&lt;INDEX('Valo FX'!$Q:$Q,MATCH($A25,'Valo FX'!$A:$A,0)),0,IF(DO$1&lt;INDEX('Valo FX'!$R:$R,MATCH($A25,'Valo FX'!$A:$A,0)),INDEX(Base!$U:$U,MATCH($A25,Base!$A:$A,0)),IF(DO$1=INDEX('Valo FX'!$R:$R,MATCH($A25,'Valo FX'!$A:$A,0)),INDEX(Base!$V:$V,MATCH($A25,Base!$A:$A,0)),0)))</f>
        <v>11.548920000000001</v>
      </c>
      <c r="DP25" s="21">
        <f>IF(DP$1&lt;INDEX('Valo FX'!$Q:$Q,MATCH($A25,'Valo FX'!$A:$A,0)),0,IF(DP$1&lt;INDEX('Valo FX'!$R:$R,MATCH($A25,'Valo FX'!$A:$A,0)),INDEX(Base!$U:$U,MATCH($A25,Base!$A:$A,0)),IF(DP$1=INDEX('Valo FX'!$R:$R,MATCH($A25,'Valo FX'!$A:$A,0)),INDEX(Base!$V:$V,MATCH($A25,Base!$A:$A,0)),0)))</f>
        <v>11.548920000000001</v>
      </c>
      <c r="DQ25" s="21">
        <f>IF(DQ$1&lt;INDEX('Valo FX'!$Q:$Q,MATCH($A25,'Valo FX'!$A:$A,0)),0,IF(DQ$1&lt;INDEX('Valo FX'!$R:$R,MATCH($A25,'Valo FX'!$A:$A,0)),INDEX(Base!$U:$U,MATCH($A25,Base!$A:$A,0)),IF(DQ$1=INDEX('Valo FX'!$R:$R,MATCH($A25,'Valo FX'!$A:$A,0)),INDEX(Base!$V:$V,MATCH($A25,Base!$A:$A,0)),0)))</f>
        <v>11.548920000000001</v>
      </c>
      <c r="DR25" s="21">
        <f>IF(DR$1&lt;INDEX('Valo FX'!$Q:$Q,MATCH($A25,'Valo FX'!$A:$A,0)),0,IF(DR$1&lt;INDEX('Valo FX'!$R:$R,MATCH($A25,'Valo FX'!$A:$A,0)),INDEX(Base!$U:$U,MATCH($A25,Base!$A:$A,0)),IF(DR$1=INDEX('Valo FX'!$R:$R,MATCH($A25,'Valo FX'!$A:$A,0)),INDEX(Base!$V:$V,MATCH($A25,Base!$A:$A,0)),0)))</f>
        <v>11.548920000000001</v>
      </c>
      <c r="DS25" s="21">
        <f>IF(DS$1&lt;INDEX('Valo FX'!$Q:$Q,MATCH($A25,'Valo FX'!$A:$A,0)),0,IF(DS$1&lt;INDEX('Valo FX'!$R:$R,MATCH($A25,'Valo FX'!$A:$A,0)),INDEX(Base!$U:$U,MATCH($A25,Base!$A:$A,0)),IF(DS$1=INDEX('Valo FX'!$R:$R,MATCH($A25,'Valo FX'!$A:$A,0)),INDEX(Base!$V:$V,MATCH($A25,Base!$A:$A,0)),0)))</f>
        <v>11.548920000000001</v>
      </c>
      <c r="DT25" s="21">
        <f>IF(DT$1&lt;INDEX('Valo FX'!$Q:$Q,MATCH($A25,'Valo FX'!$A:$A,0)),0,IF(DT$1&lt;INDEX('Valo FX'!$R:$R,MATCH($A25,'Valo FX'!$A:$A,0)),INDEX(Base!$U:$U,MATCH($A25,Base!$A:$A,0)),IF(DT$1=INDEX('Valo FX'!$R:$R,MATCH($A25,'Valo FX'!$A:$A,0)),INDEX(Base!$V:$V,MATCH($A25,Base!$A:$A,0)),0)))</f>
        <v>11.548920000000001</v>
      </c>
      <c r="DU25" s="21">
        <f>IF(DU$1&lt;INDEX('Valo FX'!$Q:$Q,MATCH($A25,'Valo FX'!$A:$A,0)),0,IF(DU$1&lt;INDEX('Valo FX'!$R:$R,MATCH($A25,'Valo FX'!$A:$A,0)),INDEX(Base!$U:$U,MATCH($A25,Base!$A:$A,0)),IF(DU$1=INDEX('Valo FX'!$R:$R,MATCH($A25,'Valo FX'!$A:$A,0)),INDEX(Base!$V:$V,MATCH($A25,Base!$A:$A,0)),0)))</f>
        <v>11.548920000000001</v>
      </c>
      <c r="DV25" s="21">
        <f>IF(DV$1&lt;INDEX('Valo FX'!$Q:$Q,MATCH($A25,'Valo FX'!$A:$A,0)),0,IF(DV$1&lt;INDEX('Valo FX'!$R:$R,MATCH($A25,'Valo FX'!$A:$A,0)),INDEX(Base!$U:$U,MATCH($A25,Base!$A:$A,0)),IF(DV$1=INDEX('Valo FX'!$R:$R,MATCH($A25,'Valo FX'!$A:$A,0)),INDEX(Base!$V:$V,MATCH($A25,Base!$A:$A,0)),0)))</f>
        <v>11.548920000000001</v>
      </c>
      <c r="DW25" s="21">
        <f>IF(DW$1&lt;INDEX('Valo FX'!$Q:$Q,MATCH($A25,'Valo FX'!$A:$A,0)),0,IF(DW$1&lt;INDEX('Valo FX'!$R:$R,MATCH($A25,'Valo FX'!$A:$A,0)),INDEX(Base!$U:$U,MATCH($A25,Base!$A:$A,0)),IF(DW$1=INDEX('Valo FX'!$R:$R,MATCH($A25,'Valo FX'!$A:$A,0)),INDEX(Base!$V:$V,MATCH($A25,Base!$A:$A,0)),0)))</f>
        <v>11.548920000000001</v>
      </c>
      <c r="DX25" s="21">
        <f>IF(DX$1&lt;INDEX('Valo FX'!$Q:$Q,MATCH($A25,'Valo FX'!$A:$A,0)),0,IF(DX$1&lt;INDEX('Valo FX'!$R:$R,MATCH($A25,'Valo FX'!$A:$A,0)),INDEX(Base!$U:$U,MATCH($A25,Base!$A:$A,0)),IF(DX$1=INDEX('Valo FX'!$R:$R,MATCH($A25,'Valo FX'!$A:$A,0)),INDEX(Base!$V:$V,MATCH($A25,Base!$A:$A,0)),0)))</f>
        <v>11.548920000000001</v>
      </c>
      <c r="DY25" s="21">
        <f>IF(DY$1&lt;INDEX('Valo FX'!$Q:$Q,MATCH($A25,'Valo FX'!$A:$A,0)),0,IF(DY$1&lt;INDEX('Valo FX'!$R:$R,MATCH($A25,'Valo FX'!$A:$A,0)),INDEX(Base!$U:$U,MATCH($A25,Base!$A:$A,0)),IF(DY$1=INDEX('Valo FX'!$R:$R,MATCH($A25,'Valo FX'!$A:$A,0)),INDEX(Base!$V:$V,MATCH($A25,Base!$A:$A,0)),0)))</f>
        <v>11.548920000000001</v>
      </c>
      <c r="DZ25" s="21">
        <f>IF(DZ$1&lt;INDEX('Valo FX'!$Q:$Q,MATCH($A25,'Valo FX'!$A:$A,0)),0,IF(DZ$1&lt;INDEX('Valo FX'!$R:$R,MATCH($A25,'Valo FX'!$A:$A,0)),INDEX(Base!$U:$U,MATCH($A25,Base!$A:$A,0)),IF(DZ$1=INDEX('Valo FX'!$R:$R,MATCH($A25,'Valo FX'!$A:$A,0)),INDEX(Base!$V:$V,MATCH($A25,Base!$A:$A,0)),0)))</f>
        <v>11.548920000000001</v>
      </c>
      <c r="EA25" s="21">
        <f>IF(EA$1&lt;INDEX('Valo FX'!$Q:$Q,MATCH($A25,'Valo FX'!$A:$A,0)),0,IF(EA$1&lt;INDEX('Valo FX'!$R:$R,MATCH($A25,'Valo FX'!$A:$A,0)),INDEX(Base!$U:$U,MATCH($A25,Base!$A:$A,0)),IF(EA$1=INDEX('Valo FX'!$R:$R,MATCH($A25,'Valo FX'!$A:$A,0)),INDEX(Base!$V:$V,MATCH($A25,Base!$A:$A,0)),0)))</f>
        <v>11.548920000000001</v>
      </c>
      <c r="EB25" s="21">
        <f>IF(EB$1&lt;INDEX('Valo FX'!$Q:$Q,MATCH($A25,'Valo FX'!$A:$A,0)),0,IF(EB$1&lt;INDEX('Valo FX'!$R:$R,MATCH($A25,'Valo FX'!$A:$A,0)),INDEX(Base!$U:$U,MATCH($A25,Base!$A:$A,0)),IF(EB$1=INDEX('Valo FX'!$R:$R,MATCH($A25,'Valo FX'!$A:$A,0)),INDEX(Base!$V:$V,MATCH($A25,Base!$A:$A,0)),0)))</f>
        <v>11.548920000000001</v>
      </c>
      <c r="EC25" s="21">
        <f>IF(EC$1&lt;INDEX('Valo FX'!$Q:$Q,MATCH($A25,'Valo FX'!$A:$A,0)),0,IF(EC$1&lt;INDEX('Valo FX'!$R:$R,MATCH($A25,'Valo FX'!$A:$A,0)),INDEX(Base!$U:$U,MATCH($A25,Base!$A:$A,0)),IF(EC$1=INDEX('Valo FX'!$R:$R,MATCH($A25,'Valo FX'!$A:$A,0)),INDEX(Base!$V:$V,MATCH($A25,Base!$A:$A,0)),0)))</f>
        <v>11.548920000000001</v>
      </c>
      <c r="ED25" s="21">
        <f>IF(ED$1&lt;INDEX('Valo FX'!$Q:$Q,MATCH($A25,'Valo FX'!$A:$A,0)),0,IF(ED$1&lt;INDEX('Valo FX'!$R:$R,MATCH($A25,'Valo FX'!$A:$A,0)),INDEX(Base!$U:$U,MATCH($A25,Base!$A:$A,0)),IF(ED$1=INDEX('Valo FX'!$R:$R,MATCH($A25,'Valo FX'!$A:$A,0)),INDEX(Base!$V:$V,MATCH($A25,Base!$A:$A,0)),0)))</f>
        <v>11.548920000000001</v>
      </c>
      <c r="EE25" s="21">
        <f>IF(EE$1&lt;INDEX('Valo FX'!$Q:$Q,MATCH($A25,'Valo FX'!$A:$A,0)),0,IF(EE$1&lt;INDEX('Valo FX'!$R:$R,MATCH($A25,'Valo FX'!$A:$A,0)),INDEX(Base!$U:$U,MATCH($A25,Base!$A:$A,0)),IF(EE$1=INDEX('Valo FX'!$R:$R,MATCH($A25,'Valo FX'!$A:$A,0)),INDEX(Base!$V:$V,MATCH($A25,Base!$A:$A,0)),0)))</f>
        <v>11.548920000000001</v>
      </c>
      <c r="EF25" s="21">
        <f>IF(EF$1&lt;INDEX('Valo FX'!$Q:$Q,MATCH($A25,'Valo FX'!$A:$A,0)),0,IF(EF$1&lt;INDEX('Valo FX'!$R:$R,MATCH($A25,'Valo FX'!$A:$A,0)),INDEX(Base!$U:$U,MATCH($A25,Base!$A:$A,0)),IF(EF$1=INDEX('Valo FX'!$R:$R,MATCH($A25,'Valo FX'!$A:$A,0)),INDEX(Base!$V:$V,MATCH($A25,Base!$A:$A,0)),0)))</f>
        <v>11.548920000000001</v>
      </c>
      <c r="EG25" s="21">
        <f>IF(EG$1&lt;INDEX('Valo FX'!$Q:$Q,MATCH($A25,'Valo FX'!$A:$A,0)),0,IF(EG$1&lt;INDEX('Valo FX'!$R:$R,MATCH($A25,'Valo FX'!$A:$A,0)),INDEX(Base!$U:$U,MATCH($A25,Base!$A:$A,0)),IF(EG$1=INDEX('Valo FX'!$R:$R,MATCH($A25,'Valo FX'!$A:$A,0)),INDEX(Base!$V:$V,MATCH($A25,Base!$A:$A,0)),0)))</f>
        <v>11.548920000000001</v>
      </c>
      <c r="EH25" s="21">
        <f>IF(EH$1&lt;INDEX('Valo FX'!$Q:$Q,MATCH($A25,'Valo FX'!$A:$A,0)),0,IF(EH$1&lt;INDEX('Valo FX'!$R:$R,MATCH($A25,'Valo FX'!$A:$A,0)),INDEX(Base!$U:$U,MATCH($A25,Base!$A:$A,0)),IF(EH$1=INDEX('Valo FX'!$R:$R,MATCH($A25,'Valo FX'!$A:$A,0)),INDEX(Base!$V:$V,MATCH($A25,Base!$A:$A,0)),0)))</f>
        <v>11.548920000000001</v>
      </c>
      <c r="EI25" s="21">
        <f>IF(EI$1&lt;INDEX('Valo FX'!$Q:$Q,MATCH($A25,'Valo FX'!$A:$A,0)),0,IF(EI$1&lt;INDEX('Valo FX'!$R:$R,MATCH($A25,'Valo FX'!$A:$A,0)),INDEX(Base!$U:$U,MATCH($A25,Base!$A:$A,0)),IF(EI$1=INDEX('Valo FX'!$R:$R,MATCH($A25,'Valo FX'!$A:$A,0)),INDEX(Base!$V:$V,MATCH($A25,Base!$A:$A,0)),0)))</f>
        <v>11.548920000000001</v>
      </c>
      <c r="EJ25" s="21">
        <f>IF(EJ$1&lt;INDEX('Valo FX'!$Q:$Q,MATCH($A25,'Valo FX'!$A:$A,0)),0,IF(EJ$1&lt;INDEX('Valo FX'!$R:$R,MATCH($A25,'Valo FX'!$A:$A,0)),INDEX(Base!$U:$U,MATCH($A25,Base!$A:$A,0)),IF(EJ$1=INDEX('Valo FX'!$R:$R,MATCH($A25,'Valo FX'!$A:$A,0)),INDEX(Base!$V:$V,MATCH($A25,Base!$A:$A,0)),0)))</f>
        <v>11.548920000000001</v>
      </c>
      <c r="EK25" s="21">
        <f>IF(EK$1&lt;INDEX('Valo FX'!$Q:$Q,MATCH($A25,'Valo FX'!$A:$A,0)),0,IF(EK$1&lt;INDEX('Valo FX'!$R:$R,MATCH($A25,'Valo FX'!$A:$A,0)),INDEX(Base!$U:$U,MATCH($A25,Base!$A:$A,0)),IF(EK$1=INDEX('Valo FX'!$R:$R,MATCH($A25,'Valo FX'!$A:$A,0)),INDEX(Base!$V:$V,MATCH($A25,Base!$A:$A,0)),0)))</f>
        <v>11.548920000000001</v>
      </c>
      <c r="EL25" s="21">
        <f>IF(EL$1&lt;INDEX('Valo FX'!$Q:$Q,MATCH($A25,'Valo FX'!$A:$A,0)),0,IF(EL$1&lt;INDEX('Valo FX'!$R:$R,MATCH($A25,'Valo FX'!$A:$A,0)),INDEX(Base!$U:$U,MATCH($A25,Base!$A:$A,0)),IF(EL$1=INDEX('Valo FX'!$R:$R,MATCH($A25,'Valo FX'!$A:$A,0)),INDEX(Base!$V:$V,MATCH($A25,Base!$A:$A,0)),0)))</f>
        <v>11.548920000000001</v>
      </c>
      <c r="EM25" s="21">
        <f>IF(EM$1&lt;INDEX('Valo FX'!$Q:$Q,MATCH($A25,'Valo FX'!$A:$A,0)),0,IF(EM$1&lt;INDEX('Valo FX'!$R:$R,MATCH($A25,'Valo FX'!$A:$A,0)),INDEX(Base!$U:$U,MATCH($A25,Base!$A:$A,0)),IF(EM$1=INDEX('Valo FX'!$R:$R,MATCH($A25,'Valo FX'!$A:$A,0)),INDEX(Base!$V:$V,MATCH($A25,Base!$A:$A,0)),0)))</f>
        <v>11.548920000000001</v>
      </c>
      <c r="EN25" s="21">
        <f>IF(EN$1&lt;INDEX('Valo FX'!$Q:$Q,MATCH($A25,'Valo FX'!$A:$A,0)),0,IF(EN$1&lt;INDEX('Valo FX'!$R:$R,MATCH($A25,'Valo FX'!$A:$A,0)),INDEX(Base!$U:$U,MATCH($A25,Base!$A:$A,0)),IF(EN$1=INDEX('Valo FX'!$R:$R,MATCH($A25,'Valo FX'!$A:$A,0)),INDEX(Base!$V:$V,MATCH($A25,Base!$A:$A,0)),0)))</f>
        <v>11.548920000000001</v>
      </c>
      <c r="EO25" s="21">
        <f>IF(EO$1&lt;INDEX('Valo FX'!$Q:$Q,MATCH($A25,'Valo FX'!$A:$A,0)),0,IF(EO$1&lt;INDEX('Valo FX'!$R:$R,MATCH($A25,'Valo FX'!$A:$A,0)),INDEX(Base!$U:$U,MATCH($A25,Base!$A:$A,0)),IF(EO$1=INDEX('Valo FX'!$R:$R,MATCH($A25,'Valo FX'!$A:$A,0)),INDEX(Base!$V:$V,MATCH($A25,Base!$A:$A,0)),0)))</f>
        <v>11.548920000000001</v>
      </c>
      <c r="EP25" s="21">
        <f>IF(EP$1&lt;INDEX('Valo FX'!$Q:$Q,MATCH($A25,'Valo FX'!$A:$A,0)),0,IF(EP$1&lt;INDEX('Valo FX'!$R:$R,MATCH($A25,'Valo FX'!$A:$A,0)),INDEX(Base!$U:$U,MATCH($A25,Base!$A:$A,0)),IF(EP$1=INDEX('Valo FX'!$R:$R,MATCH($A25,'Valo FX'!$A:$A,0)),INDEX(Base!$V:$V,MATCH($A25,Base!$A:$A,0)),0)))</f>
        <v>11.548920000000001</v>
      </c>
      <c r="EQ25" s="21">
        <f>IF(EQ$1&lt;INDEX('Valo FX'!$Q:$Q,MATCH($A25,'Valo FX'!$A:$A,0)),0,IF(EQ$1&lt;INDEX('Valo FX'!$R:$R,MATCH($A25,'Valo FX'!$A:$A,0)),INDEX(Base!$U:$U,MATCH($A25,Base!$A:$A,0)),IF(EQ$1=INDEX('Valo FX'!$R:$R,MATCH($A25,'Valo FX'!$A:$A,0)),INDEX(Base!$V:$V,MATCH($A25,Base!$A:$A,0)),0)))</f>
        <v>11.548920000000001</v>
      </c>
      <c r="ER25" s="21">
        <f>IF(ER$1&lt;INDEX('Valo FX'!$Q:$Q,MATCH($A25,'Valo FX'!$A:$A,0)),0,IF(ER$1&lt;INDEX('Valo FX'!$R:$R,MATCH($A25,'Valo FX'!$A:$A,0)),INDEX(Base!$U:$U,MATCH($A25,Base!$A:$A,0)),IF(ER$1=INDEX('Valo FX'!$R:$R,MATCH($A25,'Valo FX'!$A:$A,0)),INDEX(Base!$V:$V,MATCH($A25,Base!$A:$A,0)),0)))</f>
        <v>11.548920000000001</v>
      </c>
      <c r="ES25" s="21">
        <f>IF(ES$1&lt;INDEX('Valo FX'!$Q:$Q,MATCH($A25,'Valo FX'!$A:$A,0)),0,IF(ES$1&lt;INDEX('Valo FX'!$R:$R,MATCH($A25,'Valo FX'!$A:$A,0)),INDEX(Base!$U:$U,MATCH($A25,Base!$A:$A,0)),IF(ES$1=INDEX('Valo FX'!$R:$R,MATCH($A25,'Valo FX'!$A:$A,0)),INDEX(Base!$V:$V,MATCH($A25,Base!$A:$A,0)),0)))</f>
        <v>11.548920000000001</v>
      </c>
      <c r="ET25" s="21">
        <f>IF(ET$1&lt;INDEX('Valo FX'!$Q:$Q,MATCH($A25,'Valo FX'!$A:$A,0)),0,IF(ET$1&lt;INDEX('Valo FX'!$R:$R,MATCH($A25,'Valo FX'!$A:$A,0)),INDEX(Base!$U:$U,MATCH($A25,Base!$A:$A,0)),IF(ET$1=INDEX('Valo FX'!$R:$R,MATCH($A25,'Valo FX'!$A:$A,0)),INDEX(Base!$V:$V,MATCH($A25,Base!$A:$A,0)),0)))</f>
        <v>11.548920000000001</v>
      </c>
      <c r="EU25" s="21">
        <f>IF(EU$1&lt;INDEX('Valo FX'!$Q:$Q,MATCH($A25,'Valo FX'!$A:$A,0)),0,IF(EU$1&lt;INDEX('Valo FX'!$R:$R,MATCH($A25,'Valo FX'!$A:$A,0)),INDEX(Base!$U:$U,MATCH($A25,Base!$A:$A,0)),IF(EU$1=INDEX('Valo FX'!$R:$R,MATCH($A25,'Valo FX'!$A:$A,0)),INDEX(Base!$V:$V,MATCH($A25,Base!$A:$A,0)),0)))</f>
        <v>11.548920000000001</v>
      </c>
      <c r="EV25" s="21">
        <f>IF(EV$1&lt;INDEX('Valo FX'!$Q:$Q,MATCH($A25,'Valo FX'!$A:$A,0)),0,IF(EV$1&lt;INDEX('Valo FX'!$R:$R,MATCH($A25,'Valo FX'!$A:$A,0)),INDEX(Base!$U:$U,MATCH($A25,Base!$A:$A,0)),IF(EV$1=INDEX('Valo FX'!$R:$R,MATCH($A25,'Valo FX'!$A:$A,0)),INDEX(Base!$V:$V,MATCH($A25,Base!$A:$A,0)),0)))</f>
        <v>11.548920000000001</v>
      </c>
      <c r="EW25" s="21">
        <f>IF(EW$1&lt;INDEX('Valo FX'!$Q:$Q,MATCH($A25,'Valo FX'!$A:$A,0)),0,IF(EW$1&lt;INDEX('Valo FX'!$R:$R,MATCH($A25,'Valo FX'!$A:$A,0)),INDEX(Base!$U:$U,MATCH($A25,Base!$A:$A,0)),IF(EW$1=INDEX('Valo FX'!$R:$R,MATCH($A25,'Valo FX'!$A:$A,0)),INDEX(Base!$V:$V,MATCH($A25,Base!$A:$A,0)),0)))</f>
        <v>11.548920000000001</v>
      </c>
      <c r="EX25" s="21">
        <f>IF(EX$1&lt;INDEX('Valo FX'!$Q:$Q,MATCH($A25,'Valo FX'!$A:$A,0)),0,IF(EX$1&lt;INDEX('Valo FX'!$R:$R,MATCH($A25,'Valo FX'!$A:$A,0)),INDEX(Base!$U:$U,MATCH($A25,Base!$A:$A,0)),IF(EX$1=INDEX('Valo FX'!$R:$R,MATCH($A25,'Valo FX'!$A:$A,0)),INDEX(Base!$V:$V,MATCH($A25,Base!$A:$A,0)),0)))</f>
        <v>11.548920000000001</v>
      </c>
      <c r="EY25" s="21">
        <f>IF(EY$1&lt;INDEX('Valo FX'!$Q:$Q,MATCH($A25,'Valo FX'!$A:$A,0)),0,IF(EY$1&lt;INDEX('Valo FX'!$R:$R,MATCH($A25,'Valo FX'!$A:$A,0)),INDEX(Base!$U:$U,MATCH($A25,Base!$A:$A,0)),IF(EY$1=INDEX('Valo FX'!$R:$R,MATCH($A25,'Valo FX'!$A:$A,0)),INDEX(Base!$V:$V,MATCH($A25,Base!$A:$A,0)),0)))</f>
        <v>11.548920000000001</v>
      </c>
      <c r="EZ25" s="21">
        <f>IF(EZ$1&lt;INDEX('Valo FX'!$Q:$Q,MATCH($A25,'Valo FX'!$A:$A,0)),0,IF(EZ$1&lt;INDEX('Valo FX'!$R:$R,MATCH($A25,'Valo FX'!$A:$A,0)),INDEX(Base!$U:$U,MATCH($A25,Base!$A:$A,0)),IF(EZ$1=INDEX('Valo FX'!$R:$R,MATCH($A25,'Valo FX'!$A:$A,0)),INDEX(Base!$V:$V,MATCH($A25,Base!$A:$A,0)),0)))</f>
        <v>11.548920000000001</v>
      </c>
      <c r="FA25" s="21">
        <f>IF(FA$1&lt;INDEX('Valo FX'!$Q:$Q,MATCH($A25,'Valo FX'!$A:$A,0)),0,IF(FA$1&lt;INDEX('Valo FX'!$R:$R,MATCH($A25,'Valo FX'!$A:$A,0)),INDEX(Base!$U:$U,MATCH($A25,Base!$A:$A,0)),IF(FA$1=INDEX('Valo FX'!$R:$R,MATCH($A25,'Valo FX'!$A:$A,0)),INDEX(Base!$V:$V,MATCH($A25,Base!$A:$A,0)),0)))</f>
        <v>11.548920000000001</v>
      </c>
      <c r="FB25" s="21">
        <f>IF(FB$1&lt;INDEX('Valo FX'!$Q:$Q,MATCH($A25,'Valo FX'!$A:$A,0)),0,IF(FB$1&lt;INDEX('Valo FX'!$R:$R,MATCH($A25,'Valo FX'!$A:$A,0)),INDEX(Base!$U:$U,MATCH($A25,Base!$A:$A,0)),IF(FB$1=INDEX('Valo FX'!$R:$R,MATCH($A25,'Valo FX'!$A:$A,0)),INDEX(Base!$V:$V,MATCH($A25,Base!$A:$A,0)),0)))</f>
        <v>11.548920000000001</v>
      </c>
      <c r="FC25" s="21">
        <f>IF(FC$1&lt;INDEX('Valo FX'!$Q:$Q,MATCH($A25,'Valo FX'!$A:$A,0)),0,IF(FC$1&lt;INDEX('Valo FX'!$R:$R,MATCH($A25,'Valo FX'!$A:$A,0)),INDEX(Base!$U:$U,MATCH($A25,Base!$A:$A,0)),IF(FC$1=INDEX('Valo FX'!$R:$R,MATCH($A25,'Valo FX'!$A:$A,0)),INDEX(Base!$V:$V,MATCH($A25,Base!$A:$A,0)),0)))</f>
        <v>11.548920000000001</v>
      </c>
      <c r="FD25" s="21">
        <f>IF(FD$1&lt;INDEX('Valo FX'!$Q:$Q,MATCH($A25,'Valo FX'!$A:$A,0)),0,IF(FD$1&lt;INDEX('Valo FX'!$R:$R,MATCH($A25,'Valo FX'!$A:$A,0)),INDEX(Base!$U:$U,MATCH($A25,Base!$A:$A,0)),IF(FD$1=INDEX('Valo FX'!$R:$R,MATCH($A25,'Valo FX'!$A:$A,0)),INDEX(Base!$V:$V,MATCH($A25,Base!$A:$A,0)),0)))</f>
        <v>11.548920000000001</v>
      </c>
      <c r="FE25" s="21">
        <f>IF(FE$1&lt;INDEX('Valo FX'!$Q:$Q,MATCH($A25,'Valo FX'!$A:$A,0)),0,IF(FE$1&lt;INDEX('Valo FX'!$R:$R,MATCH($A25,'Valo FX'!$A:$A,0)),INDEX(Base!$U:$U,MATCH($A25,Base!$A:$A,0)),IF(FE$1=INDEX('Valo FX'!$R:$R,MATCH($A25,'Valo FX'!$A:$A,0)),INDEX(Base!$V:$V,MATCH($A25,Base!$A:$A,0)),0)))</f>
        <v>11.548920000000001</v>
      </c>
      <c r="FF25" s="21">
        <f>IF(FF$1&lt;INDEX('Valo FX'!$Q:$Q,MATCH($A25,'Valo FX'!$A:$A,0)),0,IF(FF$1&lt;INDEX('Valo FX'!$R:$R,MATCH($A25,'Valo FX'!$A:$A,0)),INDEX(Base!$U:$U,MATCH($A25,Base!$A:$A,0)),IF(FF$1=INDEX('Valo FX'!$R:$R,MATCH($A25,'Valo FX'!$A:$A,0)),INDEX(Base!$V:$V,MATCH($A25,Base!$A:$A,0)),0)))</f>
        <v>11.548920000000001</v>
      </c>
      <c r="FG25" s="21">
        <f>IF(FG$1&lt;INDEX('Valo FX'!$Q:$Q,MATCH($A25,'Valo FX'!$A:$A,0)),0,IF(FG$1&lt;INDEX('Valo FX'!$R:$R,MATCH($A25,'Valo FX'!$A:$A,0)),INDEX(Base!$U:$U,MATCH($A25,Base!$A:$A,0)),IF(FG$1=INDEX('Valo FX'!$R:$R,MATCH($A25,'Valo FX'!$A:$A,0)),INDEX(Base!$V:$V,MATCH($A25,Base!$A:$A,0)),0)))</f>
        <v>11.548920000000001</v>
      </c>
      <c r="FH25" s="21">
        <f>IF(FH$1&lt;INDEX('Valo FX'!$Q:$Q,MATCH($A25,'Valo FX'!$A:$A,0)),0,IF(FH$1&lt;INDEX('Valo FX'!$R:$R,MATCH($A25,'Valo FX'!$A:$A,0)),INDEX(Base!$U:$U,MATCH($A25,Base!$A:$A,0)),IF(FH$1=INDEX('Valo FX'!$R:$R,MATCH($A25,'Valo FX'!$A:$A,0)),INDEX(Base!$V:$V,MATCH($A25,Base!$A:$A,0)),0)))</f>
        <v>11.548920000000001</v>
      </c>
      <c r="FI25" s="21">
        <f>IF(FI$1&lt;INDEX('Valo FX'!$Q:$Q,MATCH($A25,'Valo FX'!$A:$A,0)),0,IF(FI$1&lt;INDEX('Valo FX'!$R:$R,MATCH($A25,'Valo FX'!$A:$A,0)),INDEX(Base!$U:$U,MATCH($A25,Base!$A:$A,0)),IF(FI$1=INDEX('Valo FX'!$R:$R,MATCH($A25,'Valo FX'!$A:$A,0)),INDEX(Base!$V:$V,MATCH($A25,Base!$A:$A,0)),0)))</f>
        <v>11.548920000000001</v>
      </c>
      <c r="FJ25" s="21">
        <f>IF(FJ$1&lt;INDEX('Valo FX'!$Q:$Q,MATCH($A25,'Valo FX'!$A:$A,0)),0,IF(FJ$1&lt;INDEX('Valo FX'!$R:$R,MATCH($A25,'Valo FX'!$A:$A,0)),INDEX(Base!$U:$U,MATCH($A25,Base!$A:$A,0)),IF(FJ$1=INDEX('Valo FX'!$R:$R,MATCH($A25,'Valo FX'!$A:$A,0)),INDEX(Base!$V:$V,MATCH($A25,Base!$A:$A,0)),0)))</f>
        <v>11.548920000000001</v>
      </c>
      <c r="FK25" s="21">
        <f>IF(FK$1&lt;INDEX('Valo FX'!$Q:$Q,MATCH($A25,'Valo FX'!$A:$A,0)),0,IF(FK$1&lt;INDEX('Valo FX'!$R:$R,MATCH($A25,'Valo FX'!$A:$A,0)),INDEX(Base!$U:$U,MATCH($A25,Base!$A:$A,0)),IF(FK$1=INDEX('Valo FX'!$R:$R,MATCH($A25,'Valo FX'!$A:$A,0)),INDEX(Base!$V:$V,MATCH($A25,Base!$A:$A,0)),0)))</f>
        <v>11.548920000000001</v>
      </c>
      <c r="FL25" s="21">
        <f>IF(FL$1&lt;INDEX('Valo FX'!$Q:$Q,MATCH($A25,'Valo FX'!$A:$A,0)),0,IF(FL$1&lt;INDEX('Valo FX'!$R:$R,MATCH($A25,'Valo FX'!$A:$A,0)),INDEX(Base!$U:$U,MATCH($A25,Base!$A:$A,0)),IF(FL$1=INDEX('Valo FX'!$R:$R,MATCH($A25,'Valo FX'!$A:$A,0)),INDEX(Base!$V:$V,MATCH($A25,Base!$A:$A,0)),0)))</f>
        <v>11.548920000000001</v>
      </c>
      <c r="FM25" s="21">
        <f>IF(FM$1&lt;INDEX('Valo FX'!$Q:$Q,MATCH($A25,'Valo FX'!$A:$A,0)),0,IF(FM$1&lt;INDEX('Valo FX'!$R:$R,MATCH($A25,'Valo FX'!$A:$A,0)),INDEX(Base!$U:$U,MATCH($A25,Base!$A:$A,0)),IF(FM$1=INDEX('Valo FX'!$R:$R,MATCH($A25,'Valo FX'!$A:$A,0)),INDEX(Base!$V:$V,MATCH($A25,Base!$A:$A,0)),0)))</f>
        <v>11.548920000000001</v>
      </c>
      <c r="FN25" s="21">
        <f>IF(FN$1&lt;INDEX('Valo FX'!$Q:$Q,MATCH($A25,'Valo FX'!$A:$A,0)),0,IF(FN$1&lt;INDEX('Valo FX'!$R:$R,MATCH($A25,'Valo FX'!$A:$A,0)),INDEX(Base!$U:$U,MATCH($A25,Base!$A:$A,0)),IF(FN$1=INDEX('Valo FX'!$R:$R,MATCH($A25,'Valo FX'!$A:$A,0)),INDEX(Base!$V:$V,MATCH($A25,Base!$A:$A,0)),0)))</f>
        <v>11.548920000000001</v>
      </c>
      <c r="FO25" s="21">
        <f>IF(FO$1&lt;INDEX('Valo FX'!$Q:$Q,MATCH($A25,'Valo FX'!$A:$A,0)),0,IF(FO$1&lt;INDEX('Valo FX'!$R:$R,MATCH($A25,'Valo FX'!$A:$A,0)),INDEX(Base!$U:$U,MATCH($A25,Base!$A:$A,0)),IF(FO$1=INDEX('Valo FX'!$R:$R,MATCH($A25,'Valo FX'!$A:$A,0)),INDEX(Base!$V:$V,MATCH($A25,Base!$A:$A,0)),0)))</f>
        <v>11.548920000000001</v>
      </c>
      <c r="FP25" s="21">
        <f>IF(FP$1&lt;INDEX('Valo FX'!$Q:$Q,MATCH($A25,'Valo FX'!$A:$A,0)),0,IF(FP$1&lt;INDEX('Valo FX'!$R:$R,MATCH($A25,'Valo FX'!$A:$A,0)),INDEX(Base!$U:$U,MATCH($A25,Base!$A:$A,0)),IF(FP$1=INDEX('Valo FX'!$R:$R,MATCH($A25,'Valo FX'!$A:$A,0)),INDEX(Base!$V:$V,MATCH($A25,Base!$A:$A,0)),0)))</f>
        <v>11.548920000000001</v>
      </c>
      <c r="FQ25" s="21">
        <f>IF(FQ$1&lt;INDEX('Valo FX'!$Q:$Q,MATCH($A25,'Valo FX'!$A:$A,0)),0,IF(FQ$1&lt;INDEX('Valo FX'!$R:$R,MATCH($A25,'Valo FX'!$A:$A,0)),INDEX(Base!$U:$U,MATCH($A25,Base!$A:$A,0)),IF(FQ$1=INDEX('Valo FX'!$R:$R,MATCH($A25,'Valo FX'!$A:$A,0)),INDEX(Base!$V:$V,MATCH($A25,Base!$A:$A,0)),0)))</f>
        <v>11.548920000000001</v>
      </c>
      <c r="FR25" s="21">
        <f>IF(FR$1&lt;INDEX('Valo FX'!$Q:$Q,MATCH($A25,'Valo FX'!$A:$A,0)),0,IF(FR$1&lt;INDEX('Valo FX'!$R:$R,MATCH($A25,'Valo FX'!$A:$A,0)),INDEX(Base!$U:$U,MATCH($A25,Base!$A:$A,0)),IF(FR$1=INDEX('Valo FX'!$R:$R,MATCH($A25,'Valo FX'!$A:$A,0)),INDEX(Base!$V:$V,MATCH($A25,Base!$A:$A,0)),0)))</f>
        <v>11.548920000000001</v>
      </c>
      <c r="FS25" s="21">
        <f>IF(FS$1&lt;INDEX('Valo FX'!$Q:$Q,MATCH($A25,'Valo FX'!$A:$A,0)),0,IF(FS$1&lt;INDEX('Valo FX'!$R:$R,MATCH($A25,'Valo FX'!$A:$A,0)),INDEX(Base!$U:$U,MATCH($A25,Base!$A:$A,0)),IF(FS$1=INDEX('Valo FX'!$R:$R,MATCH($A25,'Valo FX'!$A:$A,0)),INDEX(Base!$V:$V,MATCH($A25,Base!$A:$A,0)),0)))</f>
        <v>11.548920000000001</v>
      </c>
      <c r="FT25" s="21">
        <f>IF(FT$1&lt;INDEX('Valo FX'!$Q:$Q,MATCH($A25,'Valo FX'!$A:$A,0)),0,IF(FT$1&lt;INDEX('Valo FX'!$R:$R,MATCH($A25,'Valo FX'!$A:$A,0)),INDEX(Base!$U:$U,MATCH($A25,Base!$A:$A,0)),IF(FT$1=INDEX('Valo FX'!$R:$R,MATCH($A25,'Valo FX'!$A:$A,0)),INDEX(Base!$V:$V,MATCH($A25,Base!$A:$A,0)),0)))</f>
        <v>11.548920000000001</v>
      </c>
      <c r="FU25" s="21">
        <f>IF(FU$1&lt;INDEX('Valo FX'!$Q:$Q,MATCH($A25,'Valo FX'!$A:$A,0)),0,IF(FU$1&lt;INDEX('Valo FX'!$R:$R,MATCH($A25,'Valo FX'!$A:$A,0)),INDEX(Base!$U:$U,MATCH($A25,Base!$A:$A,0)),IF(FU$1=INDEX('Valo FX'!$R:$R,MATCH($A25,'Valo FX'!$A:$A,0)),INDEX(Base!$V:$V,MATCH($A25,Base!$A:$A,0)),0)))</f>
        <v>11.548920000000001</v>
      </c>
      <c r="FV25" s="21">
        <f>IF(FV$1&lt;INDEX('Valo FX'!$Q:$Q,MATCH($A25,'Valo FX'!$A:$A,0)),0,IF(FV$1&lt;INDEX('Valo FX'!$R:$R,MATCH($A25,'Valo FX'!$A:$A,0)),INDEX(Base!$U:$U,MATCH($A25,Base!$A:$A,0)),IF(FV$1=INDEX('Valo FX'!$R:$R,MATCH($A25,'Valo FX'!$A:$A,0)),INDEX(Base!$V:$V,MATCH($A25,Base!$A:$A,0)),0)))</f>
        <v>11.548920000000001</v>
      </c>
      <c r="FW25" s="21">
        <f>IF(FW$1&lt;INDEX('Valo FX'!$Q:$Q,MATCH($A25,'Valo FX'!$A:$A,0)),0,IF(FW$1&lt;INDEX('Valo FX'!$R:$R,MATCH($A25,'Valo FX'!$A:$A,0)),INDEX(Base!$U:$U,MATCH($A25,Base!$A:$A,0)),IF(FW$1=INDEX('Valo FX'!$R:$R,MATCH($A25,'Valo FX'!$A:$A,0)),INDEX(Base!$V:$V,MATCH($A25,Base!$A:$A,0)),0)))</f>
        <v>11.548920000000001</v>
      </c>
      <c r="FX25" s="21">
        <f>IF(FX$1&lt;INDEX('Valo FX'!$Q:$Q,MATCH($A25,'Valo FX'!$A:$A,0)),0,IF(FX$1&lt;INDEX('Valo FX'!$R:$R,MATCH($A25,'Valo FX'!$A:$A,0)),INDEX(Base!$U:$U,MATCH($A25,Base!$A:$A,0)),IF(FX$1=INDEX('Valo FX'!$R:$R,MATCH($A25,'Valo FX'!$A:$A,0)),INDEX(Base!$V:$V,MATCH($A25,Base!$A:$A,0)),0)))</f>
        <v>11.548920000000001</v>
      </c>
      <c r="FY25" s="21">
        <f>IF(FY$1&lt;INDEX('Valo FX'!$Q:$Q,MATCH($A25,'Valo FX'!$A:$A,0)),0,IF(FY$1&lt;INDEX('Valo FX'!$R:$R,MATCH($A25,'Valo FX'!$A:$A,0)),INDEX(Base!$U:$U,MATCH($A25,Base!$A:$A,0)),IF(FY$1=INDEX('Valo FX'!$R:$R,MATCH($A25,'Valo FX'!$A:$A,0)),INDEX(Base!$V:$V,MATCH($A25,Base!$A:$A,0)),0)))</f>
        <v>11.548920000000001</v>
      </c>
      <c r="FZ25" s="21">
        <f>IF(FZ$1&lt;INDEX('Valo FX'!$Q:$Q,MATCH($A25,'Valo FX'!$A:$A,0)),0,IF(FZ$1&lt;INDEX('Valo FX'!$R:$R,MATCH($A25,'Valo FX'!$A:$A,0)),INDEX(Base!$U:$U,MATCH($A25,Base!$A:$A,0)),IF(FZ$1=INDEX('Valo FX'!$R:$R,MATCH($A25,'Valo FX'!$A:$A,0)),INDEX(Base!$V:$V,MATCH($A25,Base!$A:$A,0)),0)))</f>
        <v>11.548920000000001</v>
      </c>
      <c r="GA25" s="21">
        <f>IF(GA$1&lt;INDEX('Valo FX'!$Q:$Q,MATCH($A25,'Valo FX'!$A:$A,0)),0,IF(GA$1&lt;INDEX('Valo FX'!$R:$R,MATCH($A25,'Valo FX'!$A:$A,0)),INDEX(Base!$U:$U,MATCH($A25,Base!$A:$A,0)),IF(GA$1=INDEX('Valo FX'!$R:$R,MATCH($A25,'Valo FX'!$A:$A,0)),INDEX(Base!$V:$V,MATCH($A25,Base!$A:$A,0)),0)))</f>
        <v>11.548920000000001</v>
      </c>
      <c r="GB25" s="21">
        <f>IF(GB$1&lt;INDEX('Valo FX'!$Q:$Q,MATCH($A25,'Valo FX'!$A:$A,0)),0,IF(GB$1&lt;INDEX('Valo FX'!$R:$R,MATCH($A25,'Valo FX'!$A:$A,0)),INDEX(Base!$U:$U,MATCH($A25,Base!$A:$A,0)),IF(GB$1=INDEX('Valo FX'!$R:$R,MATCH($A25,'Valo FX'!$A:$A,0)),INDEX(Base!$V:$V,MATCH($A25,Base!$A:$A,0)),0)))</f>
        <v>11.548920000000001</v>
      </c>
      <c r="GC25" s="21">
        <f>IF(GC$1&lt;INDEX('Valo FX'!$Q:$Q,MATCH($A25,'Valo FX'!$A:$A,0)),0,IF(GC$1&lt;INDEX('Valo FX'!$R:$R,MATCH($A25,'Valo FX'!$A:$A,0)),INDEX(Base!$U:$U,MATCH($A25,Base!$A:$A,0)),IF(GC$1=INDEX('Valo FX'!$R:$R,MATCH($A25,'Valo FX'!$A:$A,0)),INDEX(Base!$V:$V,MATCH($A25,Base!$A:$A,0)),0)))</f>
        <v>11.548920000000001</v>
      </c>
      <c r="GD25" s="21">
        <f>IF(GD$1&lt;INDEX('Valo FX'!$Q:$Q,MATCH($A25,'Valo FX'!$A:$A,0)),0,IF(GD$1&lt;INDEX('Valo FX'!$R:$R,MATCH($A25,'Valo FX'!$A:$A,0)),INDEX(Base!$U:$U,MATCH($A25,Base!$A:$A,0)),IF(GD$1=INDEX('Valo FX'!$R:$R,MATCH($A25,'Valo FX'!$A:$A,0)),INDEX(Base!$V:$V,MATCH($A25,Base!$A:$A,0)),0)))</f>
        <v>11.548920000000001</v>
      </c>
      <c r="GE25" s="21">
        <f>IF(GE$1&lt;INDEX('Valo FX'!$Q:$Q,MATCH($A25,'Valo FX'!$A:$A,0)),0,IF(GE$1&lt;INDEX('Valo FX'!$R:$R,MATCH($A25,'Valo FX'!$A:$A,0)),INDEX(Base!$U:$U,MATCH($A25,Base!$A:$A,0)),IF(GE$1=INDEX('Valo FX'!$R:$R,MATCH($A25,'Valo FX'!$A:$A,0)),INDEX(Base!$V:$V,MATCH($A25,Base!$A:$A,0)),0)))</f>
        <v>11.548920000000001</v>
      </c>
      <c r="GF25" s="21">
        <f>IF(GF$1&lt;INDEX('Valo FX'!$Q:$Q,MATCH($A25,'Valo FX'!$A:$A,0)),0,IF(GF$1&lt;INDEX('Valo FX'!$R:$R,MATCH($A25,'Valo FX'!$A:$A,0)),INDEX(Base!$U:$U,MATCH($A25,Base!$A:$A,0)),IF(GF$1=INDEX('Valo FX'!$R:$R,MATCH($A25,'Valo FX'!$A:$A,0)),INDEX(Base!$V:$V,MATCH($A25,Base!$A:$A,0)),0)))</f>
        <v>11.548920000000001</v>
      </c>
      <c r="GG25" s="21">
        <f>IF(GG$1&lt;INDEX('Valo FX'!$Q:$Q,MATCH($A25,'Valo FX'!$A:$A,0)),0,IF(GG$1&lt;INDEX('Valo FX'!$R:$R,MATCH($A25,'Valo FX'!$A:$A,0)),INDEX(Base!$U:$U,MATCH($A25,Base!$A:$A,0)),IF(GG$1=INDEX('Valo FX'!$R:$R,MATCH($A25,'Valo FX'!$A:$A,0)),INDEX(Base!$V:$V,MATCH($A25,Base!$A:$A,0)),0)))</f>
        <v>11.548920000000001</v>
      </c>
      <c r="GH25" s="21">
        <f>IF(GH$1&lt;INDEX('Valo FX'!$Q:$Q,MATCH($A25,'Valo FX'!$A:$A,0)),0,IF(GH$1&lt;INDEX('Valo FX'!$R:$R,MATCH($A25,'Valo FX'!$A:$A,0)),INDEX(Base!$U:$U,MATCH($A25,Base!$A:$A,0)),IF(GH$1=INDEX('Valo FX'!$R:$R,MATCH($A25,'Valo FX'!$A:$A,0)),INDEX(Base!$V:$V,MATCH($A25,Base!$A:$A,0)),0)))</f>
        <v>11.548920000000001</v>
      </c>
      <c r="GI25" s="21">
        <f>IF(GI$1&lt;INDEX('Valo FX'!$Q:$Q,MATCH($A25,'Valo FX'!$A:$A,0)),0,IF(GI$1&lt;INDEX('Valo FX'!$R:$R,MATCH($A25,'Valo FX'!$A:$A,0)),INDEX(Base!$U:$U,MATCH($A25,Base!$A:$A,0)),IF(GI$1=INDEX('Valo FX'!$R:$R,MATCH($A25,'Valo FX'!$A:$A,0)),INDEX(Base!$V:$V,MATCH($A25,Base!$A:$A,0)),0)))</f>
        <v>11.548920000000001</v>
      </c>
      <c r="GJ25" s="21">
        <f>IF(GJ$1&lt;INDEX('Valo FX'!$Q:$Q,MATCH($A25,'Valo FX'!$A:$A,0)),0,IF(GJ$1&lt;INDEX('Valo FX'!$R:$R,MATCH($A25,'Valo FX'!$A:$A,0)),INDEX(Base!$U:$U,MATCH($A25,Base!$A:$A,0)),IF(GJ$1=INDEX('Valo FX'!$R:$R,MATCH($A25,'Valo FX'!$A:$A,0)),INDEX(Base!$V:$V,MATCH($A25,Base!$A:$A,0)),0)))</f>
        <v>11.548920000000001</v>
      </c>
      <c r="GK25" s="21">
        <f>IF(GK$1&lt;INDEX('Valo FX'!$Q:$Q,MATCH($A25,'Valo FX'!$A:$A,0)),0,IF(GK$1&lt;INDEX('Valo FX'!$R:$R,MATCH($A25,'Valo FX'!$A:$A,0)),INDEX(Base!$U:$U,MATCH($A25,Base!$A:$A,0)),IF(GK$1=INDEX('Valo FX'!$R:$R,MATCH($A25,'Valo FX'!$A:$A,0)),INDEX(Base!$V:$V,MATCH($A25,Base!$A:$A,0)),0)))</f>
        <v>11.548920000000001</v>
      </c>
      <c r="GL25" s="21">
        <f>IF(GL$1&lt;INDEX('Valo FX'!$Q:$Q,MATCH($A25,'Valo FX'!$A:$A,0)),0,IF(GL$1&lt;INDEX('Valo FX'!$R:$R,MATCH($A25,'Valo FX'!$A:$A,0)),INDEX(Base!$U:$U,MATCH($A25,Base!$A:$A,0)),IF(GL$1=INDEX('Valo FX'!$R:$R,MATCH($A25,'Valo FX'!$A:$A,0)),INDEX(Base!$V:$V,MATCH($A25,Base!$A:$A,0)),0)))</f>
        <v>11.548920000000001</v>
      </c>
      <c r="GM25" s="21">
        <f>IF(GM$1&lt;INDEX('Valo FX'!$Q:$Q,MATCH($A25,'Valo FX'!$A:$A,0)),0,IF(GM$1&lt;INDEX('Valo FX'!$R:$R,MATCH($A25,'Valo FX'!$A:$A,0)),INDEX(Base!$U:$U,MATCH($A25,Base!$A:$A,0)),IF(GM$1=INDEX('Valo FX'!$R:$R,MATCH($A25,'Valo FX'!$A:$A,0)),INDEX(Base!$V:$V,MATCH($A25,Base!$A:$A,0)),0)))</f>
        <v>11.548920000000001</v>
      </c>
      <c r="GN25" s="21">
        <f>IF(GN$1&lt;INDEX('Valo FX'!$Q:$Q,MATCH($A25,'Valo FX'!$A:$A,0)),0,IF(GN$1&lt;INDEX('Valo FX'!$R:$R,MATCH($A25,'Valo FX'!$A:$A,0)),INDEX(Base!$U:$U,MATCH($A25,Base!$A:$A,0)),IF(GN$1=INDEX('Valo FX'!$R:$R,MATCH($A25,'Valo FX'!$A:$A,0)),INDEX(Base!$V:$V,MATCH($A25,Base!$A:$A,0)),0)))</f>
        <v>11.548920000000001</v>
      </c>
      <c r="GO25" s="21">
        <f>IF(GO$1&lt;INDEX('Valo FX'!$Q:$Q,MATCH($A25,'Valo FX'!$A:$A,0)),0,IF(GO$1&lt;INDEX('Valo FX'!$R:$R,MATCH($A25,'Valo FX'!$A:$A,0)),INDEX(Base!$U:$U,MATCH($A25,Base!$A:$A,0)),IF(GO$1=INDEX('Valo FX'!$R:$R,MATCH($A25,'Valo FX'!$A:$A,0)),INDEX(Base!$V:$V,MATCH($A25,Base!$A:$A,0)),0)))</f>
        <v>11.548920000000001</v>
      </c>
      <c r="GP25" s="21">
        <f>IF(GP$1&lt;INDEX('Valo FX'!$Q:$Q,MATCH($A25,'Valo FX'!$A:$A,0)),0,IF(GP$1&lt;INDEX('Valo FX'!$R:$R,MATCH($A25,'Valo FX'!$A:$A,0)),INDEX(Base!$U:$U,MATCH($A25,Base!$A:$A,0)),IF(GP$1=INDEX('Valo FX'!$R:$R,MATCH($A25,'Valo FX'!$A:$A,0)),INDEX(Base!$V:$V,MATCH($A25,Base!$A:$A,0)),0)))</f>
        <v>11.548920000000001</v>
      </c>
      <c r="GQ25" s="21">
        <f>IF(GQ$1&lt;INDEX('Valo FX'!$Q:$Q,MATCH($A25,'Valo FX'!$A:$A,0)),0,IF(GQ$1&lt;INDEX('Valo FX'!$R:$R,MATCH($A25,'Valo FX'!$A:$A,0)),INDEX(Base!$U:$U,MATCH($A25,Base!$A:$A,0)),IF(GQ$1=INDEX('Valo FX'!$R:$R,MATCH($A25,'Valo FX'!$A:$A,0)),INDEX(Base!$V:$V,MATCH($A25,Base!$A:$A,0)),0)))</f>
        <v>11.548920000000001</v>
      </c>
      <c r="GR25" s="21">
        <f>IF(GR$1&lt;INDEX('Valo FX'!$Q:$Q,MATCH($A25,'Valo FX'!$A:$A,0)),0,IF(GR$1&lt;INDEX('Valo FX'!$R:$R,MATCH($A25,'Valo FX'!$A:$A,0)),INDEX(Base!$U:$U,MATCH($A25,Base!$A:$A,0)),IF(GR$1=INDEX('Valo FX'!$R:$R,MATCH($A25,'Valo FX'!$A:$A,0)),INDEX(Base!$V:$V,MATCH($A25,Base!$A:$A,0)),0)))</f>
        <v>11.548920000000001</v>
      </c>
      <c r="GS25" s="21">
        <f>IF(GS$1&lt;INDEX('Valo FX'!$Q:$Q,MATCH($A25,'Valo FX'!$A:$A,0)),0,IF(GS$1&lt;INDEX('Valo FX'!$R:$R,MATCH($A25,'Valo FX'!$A:$A,0)),INDEX(Base!$U:$U,MATCH($A25,Base!$A:$A,0)),IF(GS$1=INDEX('Valo FX'!$R:$R,MATCH($A25,'Valo FX'!$A:$A,0)),INDEX(Base!$V:$V,MATCH($A25,Base!$A:$A,0)),0)))</f>
        <v>11.548920000000001</v>
      </c>
      <c r="GT25" s="21">
        <f>IF(GT$1&lt;INDEX('Valo FX'!$Q:$Q,MATCH($A25,'Valo FX'!$A:$A,0)),0,IF(GT$1&lt;INDEX('Valo FX'!$R:$R,MATCH($A25,'Valo FX'!$A:$A,0)),INDEX(Base!$U:$U,MATCH($A25,Base!$A:$A,0)),IF(GT$1=INDEX('Valo FX'!$R:$R,MATCH($A25,'Valo FX'!$A:$A,0)),INDEX(Base!$V:$V,MATCH($A25,Base!$A:$A,0)),0)))</f>
        <v>11.548920000000001</v>
      </c>
      <c r="GU25" s="21">
        <f>IF(GU$1&lt;INDEX('Valo FX'!$Q:$Q,MATCH($A25,'Valo FX'!$A:$A,0)),0,IF(GU$1&lt;INDEX('Valo FX'!$R:$R,MATCH($A25,'Valo FX'!$A:$A,0)),INDEX(Base!$U:$U,MATCH($A25,Base!$A:$A,0)),IF(GU$1=INDEX('Valo FX'!$R:$R,MATCH($A25,'Valo FX'!$A:$A,0)),INDEX(Base!$V:$V,MATCH($A25,Base!$A:$A,0)),0)))</f>
        <v>11.548920000000001</v>
      </c>
      <c r="GV25" s="21">
        <f>IF(GV$1&lt;INDEX('Valo FX'!$Q:$Q,MATCH($A25,'Valo FX'!$A:$A,0)),0,IF(GV$1&lt;INDEX('Valo FX'!$R:$R,MATCH($A25,'Valo FX'!$A:$A,0)),INDEX(Base!$U:$U,MATCH($A25,Base!$A:$A,0)),IF(GV$1=INDEX('Valo FX'!$R:$R,MATCH($A25,'Valo FX'!$A:$A,0)),INDEX(Base!$V:$V,MATCH($A25,Base!$A:$A,0)),0)))</f>
        <v>11.548920000000001</v>
      </c>
      <c r="GW25" s="21">
        <f>IF(GW$1&lt;INDEX('Valo FX'!$Q:$Q,MATCH($A25,'Valo FX'!$A:$A,0)),0,IF(GW$1&lt;INDEX('Valo FX'!$R:$R,MATCH($A25,'Valo FX'!$A:$A,0)),INDEX(Base!$U:$U,MATCH($A25,Base!$A:$A,0)),IF(GW$1=INDEX('Valo FX'!$R:$R,MATCH($A25,'Valo FX'!$A:$A,0)),INDEX(Base!$V:$V,MATCH($A25,Base!$A:$A,0)),0)))</f>
        <v>11.548920000000001</v>
      </c>
      <c r="GX25" s="21">
        <f>IF(GX$1&lt;INDEX('Valo FX'!$Q:$Q,MATCH($A25,'Valo FX'!$A:$A,0)),0,IF(GX$1&lt;INDEX('Valo FX'!$R:$R,MATCH($A25,'Valo FX'!$A:$A,0)),INDEX(Base!$U:$U,MATCH($A25,Base!$A:$A,0)),IF(GX$1=INDEX('Valo FX'!$R:$R,MATCH($A25,'Valo FX'!$A:$A,0)),INDEX(Base!$V:$V,MATCH($A25,Base!$A:$A,0)),0)))</f>
        <v>11.548920000000001</v>
      </c>
      <c r="GY25" s="21">
        <f>IF(GY$1&lt;INDEX('Valo FX'!$Q:$Q,MATCH($A25,'Valo FX'!$A:$A,0)),0,IF(GY$1&lt;INDEX('Valo FX'!$R:$R,MATCH($A25,'Valo FX'!$A:$A,0)),INDEX(Base!$U:$U,MATCH($A25,Base!$A:$A,0)),IF(GY$1=INDEX('Valo FX'!$R:$R,MATCH($A25,'Valo FX'!$A:$A,0)),INDEX(Base!$V:$V,MATCH($A25,Base!$A:$A,0)),0)))</f>
        <v>11.548920000000001</v>
      </c>
      <c r="GZ25" s="21">
        <f>IF(GZ$1&lt;INDEX('Valo FX'!$Q:$Q,MATCH($A25,'Valo FX'!$A:$A,0)),0,IF(GZ$1&lt;INDEX('Valo FX'!$R:$R,MATCH($A25,'Valo FX'!$A:$A,0)),INDEX(Base!$U:$U,MATCH($A25,Base!$A:$A,0)),IF(GZ$1=INDEX('Valo FX'!$R:$R,MATCH($A25,'Valo FX'!$A:$A,0)),INDEX(Base!$V:$V,MATCH($A25,Base!$A:$A,0)),0)))</f>
        <v>11.548920000000001</v>
      </c>
      <c r="HA25" s="21">
        <f>IF(HA$1&lt;INDEX('Valo FX'!$Q:$Q,MATCH($A25,'Valo FX'!$A:$A,0)),0,IF(HA$1&lt;INDEX('Valo FX'!$R:$R,MATCH($A25,'Valo FX'!$A:$A,0)),INDEX(Base!$U:$U,MATCH($A25,Base!$A:$A,0)),IF(HA$1=INDEX('Valo FX'!$R:$R,MATCH($A25,'Valo FX'!$A:$A,0)),INDEX(Base!$V:$V,MATCH($A25,Base!$A:$A,0)),0)))</f>
        <v>11.548920000000001</v>
      </c>
      <c r="HB25" s="21">
        <f>IF(HB$1&lt;INDEX('Valo FX'!$Q:$Q,MATCH($A25,'Valo FX'!$A:$A,0)),0,IF(HB$1&lt;INDEX('Valo FX'!$R:$R,MATCH($A25,'Valo FX'!$A:$A,0)),INDEX(Base!$U:$U,MATCH($A25,Base!$A:$A,0)),IF(HB$1=INDEX('Valo FX'!$R:$R,MATCH($A25,'Valo FX'!$A:$A,0)),INDEX(Base!$V:$V,MATCH($A25,Base!$A:$A,0)),0)))</f>
        <v>11.548920000000001</v>
      </c>
      <c r="HC25" s="21">
        <f>IF(HC$1&lt;INDEX('Valo FX'!$Q:$Q,MATCH($A25,'Valo FX'!$A:$A,0)),0,IF(HC$1&lt;INDEX('Valo FX'!$R:$R,MATCH($A25,'Valo FX'!$A:$A,0)),INDEX(Base!$U:$U,MATCH($A25,Base!$A:$A,0)),IF(HC$1=INDEX('Valo FX'!$R:$R,MATCH($A25,'Valo FX'!$A:$A,0)),INDEX(Base!$V:$V,MATCH($A25,Base!$A:$A,0)),0)))</f>
        <v>11.548920000000001</v>
      </c>
      <c r="HD25" s="21">
        <f>IF(HD$1&lt;INDEX('Valo FX'!$Q:$Q,MATCH($A25,'Valo FX'!$A:$A,0)),0,IF(HD$1&lt;INDEX('Valo FX'!$R:$R,MATCH($A25,'Valo FX'!$A:$A,0)),INDEX(Base!$U:$U,MATCH($A25,Base!$A:$A,0)),IF(HD$1=INDEX('Valo FX'!$R:$R,MATCH($A25,'Valo FX'!$A:$A,0)),INDEX(Base!$V:$V,MATCH($A25,Base!$A:$A,0)),0)))</f>
        <v>11.548920000000001</v>
      </c>
      <c r="HE25" s="21">
        <f>IF(HE$1&lt;INDEX('Valo FX'!$Q:$Q,MATCH($A25,'Valo FX'!$A:$A,0)),0,IF(HE$1&lt;INDEX('Valo FX'!$R:$R,MATCH($A25,'Valo FX'!$A:$A,0)),INDEX(Base!$U:$U,MATCH($A25,Base!$A:$A,0)),IF(HE$1=INDEX('Valo FX'!$R:$R,MATCH($A25,'Valo FX'!$A:$A,0)),INDEX(Base!$V:$V,MATCH($A25,Base!$A:$A,0)),0)))</f>
        <v>11.548920000000001</v>
      </c>
      <c r="HF25" s="21">
        <f>IF(HF$1&lt;INDEX('Valo FX'!$Q:$Q,MATCH($A25,'Valo FX'!$A:$A,0)),0,IF(HF$1&lt;INDEX('Valo FX'!$R:$R,MATCH($A25,'Valo FX'!$A:$A,0)),INDEX(Base!$U:$U,MATCH($A25,Base!$A:$A,0)),IF(HF$1=INDEX('Valo FX'!$R:$R,MATCH($A25,'Valo FX'!$A:$A,0)),INDEX(Base!$V:$V,MATCH($A25,Base!$A:$A,0)),0)))</f>
        <v>11.548920000000001</v>
      </c>
      <c r="HG25" s="21">
        <f>IF(HG$1&lt;INDEX('Valo FX'!$Q:$Q,MATCH($A25,'Valo FX'!$A:$A,0)),0,IF(HG$1&lt;INDEX('Valo FX'!$R:$R,MATCH($A25,'Valo FX'!$A:$A,0)),INDEX(Base!$U:$U,MATCH($A25,Base!$A:$A,0)),IF(HG$1=INDEX('Valo FX'!$R:$R,MATCH($A25,'Valo FX'!$A:$A,0)),INDEX(Base!$V:$V,MATCH($A25,Base!$A:$A,0)),0)))</f>
        <v>11.548920000000001</v>
      </c>
      <c r="HH25" s="21">
        <f>IF(HH$1&lt;INDEX('Valo FX'!$Q:$Q,MATCH($A25,'Valo FX'!$A:$A,0)),0,IF(HH$1&lt;INDEX('Valo FX'!$R:$R,MATCH($A25,'Valo FX'!$A:$A,0)),INDEX(Base!$U:$U,MATCH($A25,Base!$A:$A,0)),IF(HH$1=INDEX('Valo FX'!$R:$R,MATCH($A25,'Valo FX'!$A:$A,0)),INDEX(Base!$V:$V,MATCH($A25,Base!$A:$A,0)),0)))</f>
        <v>11.548920000000001</v>
      </c>
      <c r="HI25" s="21">
        <f>IF(HI$1&lt;INDEX('Valo FX'!$Q:$Q,MATCH($A25,'Valo FX'!$A:$A,0)),0,IF(HI$1&lt;INDEX('Valo FX'!$R:$R,MATCH($A25,'Valo FX'!$A:$A,0)),INDEX(Base!$U:$U,MATCH($A25,Base!$A:$A,0)),IF(HI$1=INDEX('Valo FX'!$R:$R,MATCH($A25,'Valo FX'!$A:$A,0)),INDEX(Base!$V:$V,MATCH($A25,Base!$A:$A,0)),0)))</f>
        <v>11.548920000000001</v>
      </c>
      <c r="HJ25" s="21">
        <f>IF(HJ$1&lt;INDEX('Valo FX'!$Q:$Q,MATCH($A25,'Valo FX'!$A:$A,0)),0,IF(HJ$1&lt;INDEX('Valo FX'!$R:$R,MATCH($A25,'Valo FX'!$A:$A,0)),INDEX(Base!$U:$U,MATCH($A25,Base!$A:$A,0)),IF(HJ$1=INDEX('Valo FX'!$R:$R,MATCH($A25,'Valo FX'!$A:$A,0)),INDEX(Base!$V:$V,MATCH($A25,Base!$A:$A,0)),0)))</f>
        <v>11.548920000000001</v>
      </c>
      <c r="HK25" s="21">
        <f>IF(HK$1&lt;INDEX('Valo FX'!$Q:$Q,MATCH($A25,'Valo FX'!$A:$A,0)),0,IF(HK$1&lt;INDEX('Valo FX'!$R:$R,MATCH($A25,'Valo FX'!$A:$A,0)),INDEX(Base!$U:$U,MATCH($A25,Base!$A:$A,0)),IF(HK$1=INDEX('Valo FX'!$R:$R,MATCH($A25,'Valo FX'!$A:$A,0)),INDEX(Base!$V:$V,MATCH($A25,Base!$A:$A,0)),0)))</f>
        <v>11.548920000000001</v>
      </c>
      <c r="HL25" s="21">
        <f>IF(HL$1&lt;INDEX('Valo FX'!$Q:$Q,MATCH($A25,'Valo FX'!$A:$A,0)),0,IF(HL$1&lt;INDEX('Valo FX'!$R:$R,MATCH($A25,'Valo FX'!$A:$A,0)),INDEX(Base!$U:$U,MATCH($A25,Base!$A:$A,0)),IF(HL$1=INDEX('Valo FX'!$R:$R,MATCH($A25,'Valo FX'!$A:$A,0)),INDEX(Base!$V:$V,MATCH($A25,Base!$A:$A,0)),0)))</f>
        <v>11.548920000000001</v>
      </c>
      <c r="HM25" s="21">
        <f>IF(HM$1&lt;INDEX('Valo FX'!$Q:$Q,MATCH($A25,'Valo FX'!$A:$A,0)),0,IF(HM$1&lt;INDEX('Valo FX'!$R:$R,MATCH($A25,'Valo FX'!$A:$A,0)),INDEX(Base!$U:$U,MATCH($A25,Base!$A:$A,0)),IF(HM$1=INDEX('Valo FX'!$R:$R,MATCH($A25,'Valo FX'!$A:$A,0)),INDEX(Base!$V:$V,MATCH($A25,Base!$A:$A,0)),0)))</f>
        <v>11.548920000000001</v>
      </c>
      <c r="HN25" s="21">
        <f>IF(HN$1&lt;INDEX('Valo FX'!$Q:$Q,MATCH($A25,'Valo FX'!$A:$A,0)),0,IF(HN$1&lt;INDEX('Valo FX'!$R:$R,MATCH($A25,'Valo FX'!$A:$A,0)),INDEX(Base!$U:$U,MATCH($A25,Base!$A:$A,0)),IF(HN$1=INDEX('Valo FX'!$R:$R,MATCH($A25,'Valo FX'!$A:$A,0)),INDEX(Base!$V:$V,MATCH($A25,Base!$A:$A,0)),0)))</f>
        <v>11.548920000000001</v>
      </c>
      <c r="HO25" s="21">
        <f>IF(HO$1&lt;INDEX('Valo FX'!$Q:$Q,MATCH($A25,'Valo FX'!$A:$A,0)),0,IF(HO$1&lt;INDEX('Valo FX'!$R:$R,MATCH($A25,'Valo FX'!$A:$A,0)),INDEX(Base!$U:$U,MATCH($A25,Base!$A:$A,0)),IF(HO$1=INDEX('Valo FX'!$R:$R,MATCH($A25,'Valo FX'!$A:$A,0)),INDEX(Base!$V:$V,MATCH($A25,Base!$A:$A,0)),0)))</f>
        <v>11.548920000000001</v>
      </c>
      <c r="HP25" s="21">
        <f>IF(HP$1&lt;INDEX('Valo FX'!$Q:$Q,MATCH($A25,'Valo FX'!$A:$A,0)),0,IF(HP$1&lt;INDEX('Valo FX'!$R:$R,MATCH($A25,'Valo FX'!$A:$A,0)),INDEX(Base!$U:$U,MATCH($A25,Base!$A:$A,0)),IF(HP$1=INDEX('Valo FX'!$R:$R,MATCH($A25,'Valo FX'!$A:$A,0)),INDEX(Base!$V:$V,MATCH($A25,Base!$A:$A,0)),0)))</f>
        <v>11.548920000000001</v>
      </c>
      <c r="HQ25" s="21">
        <f>IF(HQ$1&lt;INDEX('Valo FX'!$Q:$Q,MATCH($A25,'Valo FX'!$A:$A,0)),0,IF(HQ$1&lt;INDEX('Valo FX'!$R:$R,MATCH($A25,'Valo FX'!$A:$A,0)),INDEX(Base!$U:$U,MATCH($A25,Base!$A:$A,0)),IF(HQ$1=INDEX('Valo FX'!$R:$R,MATCH($A25,'Valo FX'!$A:$A,0)),INDEX(Base!$V:$V,MATCH($A25,Base!$A:$A,0)),0)))</f>
        <v>11.548920000000001</v>
      </c>
      <c r="HR25" s="21">
        <f>IF(HR$1&lt;INDEX('Valo FX'!$Q:$Q,MATCH($A25,'Valo FX'!$A:$A,0)),0,IF(HR$1&lt;INDEX('Valo FX'!$R:$R,MATCH($A25,'Valo FX'!$A:$A,0)),INDEX(Base!$U:$U,MATCH($A25,Base!$A:$A,0)),IF(HR$1=INDEX('Valo FX'!$R:$R,MATCH($A25,'Valo FX'!$A:$A,0)),INDEX(Base!$V:$V,MATCH($A25,Base!$A:$A,0)),0)))</f>
        <v>11.548920000000001</v>
      </c>
      <c r="HS25" s="21">
        <f>IF(HS$1&lt;INDEX('Valo FX'!$Q:$Q,MATCH($A25,'Valo FX'!$A:$A,0)),0,IF(HS$1&lt;INDEX('Valo FX'!$R:$R,MATCH($A25,'Valo FX'!$A:$A,0)),INDEX(Base!$U:$U,MATCH($A25,Base!$A:$A,0)),IF(HS$1=INDEX('Valo FX'!$R:$R,MATCH($A25,'Valo FX'!$A:$A,0)),INDEX(Base!$V:$V,MATCH($A25,Base!$A:$A,0)),0)))</f>
        <v>11.548920000000001</v>
      </c>
      <c r="HT25" s="21">
        <f>IF(HT$1&lt;INDEX('Valo FX'!$Q:$Q,MATCH($A25,'Valo FX'!$A:$A,0)),0,IF(HT$1&lt;INDEX('Valo FX'!$R:$R,MATCH($A25,'Valo FX'!$A:$A,0)),INDEX(Base!$U:$U,MATCH($A25,Base!$A:$A,0)),IF(HT$1=INDEX('Valo FX'!$R:$R,MATCH($A25,'Valo FX'!$A:$A,0)),INDEX(Base!$V:$V,MATCH($A25,Base!$A:$A,0)),0)))</f>
        <v>11.548920000000001</v>
      </c>
      <c r="HU25" s="21">
        <f>IF(HU$1&lt;INDEX('Valo FX'!$Q:$Q,MATCH($A25,'Valo FX'!$A:$A,0)),0,IF(HU$1&lt;INDEX('Valo FX'!$R:$R,MATCH($A25,'Valo FX'!$A:$A,0)),INDEX(Base!$U:$U,MATCH($A25,Base!$A:$A,0)),IF(HU$1=INDEX('Valo FX'!$R:$R,MATCH($A25,'Valo FX'!$A:$A,0)),INDEX(Base!$V:$V,MATCH($A25,Base!$A:$A,0)),0)))</f>
        <v>11.548920000000001</v>
      </c>
      <c r="HV25" s="21">
        <f>IF(HV$1&lt;INDEX('Valo FX'!$Q:$Q,MATCH($A25,'Valo FX'!$A:$A,0)),0,IF(HV$1&lt;INDEX('Valo FX'!$R:$R,MATCH($A25,'Valo FX'!$A:$A,0)),INDEX(Base!$U:$U,MATCH($A25,Base!$A:$A,0)),IF(HV$1=INDEX('Valo FX'!$R:$R,MATCH($A25,'Valo FX'!$A:$A,0)),INDEX(Base!$V:$V,MATCH($A25,Base!$A:$A,0)),0)))</f>
        <v>11.548920000000001</v>
      </c>
      <c r="HW25" s="21">
        <f>IF(HW$1&lt;INDEX('Valo FX'!$Q:$Q,MATCH($A25,'Valo FX'!$A:$A,0)),0,IF(HW$1&lt;INDEX('Valo FX'!$R:$R,MATCH($A25,'Valo FX'!$A:$A,0)),INDEX(Base!$U:$U,MATCH($A25,Base!$A:$A,0)),IF(HW$1=INDEX('Valo FX'!$R:$R,MATCH($A25,'Valo FX'!$A:$A,0)),INDEX(Base!$V:$V,MATCH($A25,Base!$A:$A,0)),0)))</f>
        <v>11.548920000000001</v>
      </c>
      <c r="HX25" s="21">
        <f>IF(HX$1&lt;INDEX('Valo FX'!$Q:$Q,MATCH($A25,'Valo FX'!$A:$A,0)),0,IF(HX$1&lt;INDEX('Valo FX'!$R:$R,MATCH($A25,'Valo FX'!$A:$A,0)),INDEX(Base!$U:$U,MATCH($A25,Base!$A:$A,0)),IF(HX$1=INDEX('Valo FX'!$R:$R,MATCH($A25,'Valo FX'!$A:$A,0)),INDEX(Base!$V:$V,MATCH($A25,Base!$A:$A,0)),0)))</f>
        <v>11.548920000000001</v>
      </c>
      <c r="HY25" s="21">
        <f>IF(HY$1&lt;INDEX('Valo FX'!$Q:$Q,MATCH($A25,'Valo FX'!$A:$A,0)),0,IF(HY$1&lt;INDEX('Valo FX'!$R:$R,MATCH($A25,'Valo FX'!$A:$A,0)),INDEX(Base!$U:$U,MATCH($A25,Base!$A:$A,0)),IF(HY$1=INDEX('Valo FX'!$R:$R,MATCH($A25,'Valo FX'!$A:$A,0)),INDEX(Base!$V:$V,MATCH($A25,Base!$A:$A,0)),0)))</f>
        <v>11.548920000000001</v>
      </c>
      <c r="HZ25" s="21">
        <f>IF(HZ$1&lt;INDEX('Valo FX'!$Q:$Q,MATCH($A25,'Valo FX'!$A:$A,0)),0,IF(HZ$1&lt;INDEX('Valo FX'!$R:$R,MATCH($A25,'Valo FX'!$A:$A,0)),INDEX(Base!$U:$U,MATCH($A25,Base!$A:$A,0)),IF(HZ$1=INDEX('Valo FX'!$R:$R,MATCH($A25,'Valo FX'!$A:$A,0)),INDEX(Base!$V:$V,MATCH($A25,Base!$A:$A,0)),0)))</f>
        <v>11.548920000000001</v>
      </c>
      <c r="IA25" s="21">
        <f>IF(IA$1&lt;INDEX('Valo FX'!$Q:$Q,MATCH($A25,'Valo FX'!$A:$A,0)),0,IF(IA$1&lt;INDEX('Valo FX'!$R:$R,MATCH($A25,'Valo FX'!$A:$A,0)),INDEX(Base!$U:$U,MATCH($A25,Base!$A:$A,0)),IF(IA$1=INDEX('Valo FX'!$R:$R,MATCH($A25,'Valo FX'!$A:$A,0)),INDEX(Base!$V:$V,MATCH($A25,Base!$A:$A,0)),0)))</f>
        <v>11.548920000000001</v>
      </c>
      <c r="IB25" s="21">
        <f>IF(IB$1&lt;INDEX('Valo FX'!$Q:$Q,MATCH($A25,'Valo FX'!$A:$A,0)),0,IF(IB$1&lt;INDEX('Valo FX'!$R:$R,MATCH($A25,'Valo FX'!$A:$A,0)),INDEX(Base!$U:$U,MATCH($A25,Base!$A:$A,0)),IF(IB$1=INDEX('Valo FX'!$R:$R,MATCH($A25,'Valo FX'!$A:$A,0)),INDEX(Base!$V:$V,MATCH($A25,Base!$A:$A,0)),0)))</f>
        <v>11.548920000000001</v>
      </c>
      <c r="IC25" s="21">
        <f>IF(IC$1&lt;INDEX('Valo FX'!$Q:$Q,MATCH($A25,'Valo FX'!$A:$A,0)),0,IF(IC$1&lt;INDEX('Valo FX'!$R:$R,MATCH($A25,'Valo FX'!$A:$A,0)),INDEX(Base!$U:$U,MATCH($A25,Base!$A:$A,0)),IF(IC$1=INDEX('Valo FX'!$R:$R,MATCH($A25,'Valo FX'!$A:$A,0)),INDEX(Base!$V:$V,MATCH($A25,Base!$A:$A,0)),0)))</f>
        <v>11.548920000000001</v>
      </c>
      <c r="ID25" s="21">
        <f>IF(ID$1&lt;INDEX('Valo FX'!$Q:$Q,MATCH($A25,'Valo FX'!$A:$A,0)),0,IF(ID$1&lt;INDEX('Valo FX'!$R:$R,MATCH($A25,'Valo FX'!$A:$A,0)),INDEX(Base!$U:$U,MATCH($A25,Base!$A:$A,0)),IF(ID$1=INDEX('Valo FX'!$R:$R,MATCH($A25,'Valo FX'!$A:$A,0)),INDEX(Base!$V:$V,MATCH($A25,Base!$A:$A,0)),0)))</f>
        <v>11.548920000000001</v>
      </c>
      <c r="IE25" s="21">
        <f>IF(IE$1&lt;INDEX('Valo FX'!$Q:$Q,MATCH($A25,'Valo FX'!$A:$A,0)),0,IF(IE$1&lt;INDEX('Valo FX'!$R:$R,MATCH($A25,'Valo FX'!$A:$A,0)),INDEX(Base!$U:$U,MATCH($A25,Base!$A:$A,0)),IF(IE$1=INDEX('Valo FX'!$R:$R,MATCH($A25,'Valo FX'!$A:$A,0)),INDEX(Base!$V:$V,MATCH($A25,Base!$A:$A,0)),0)))</f>
        <v>11.548920000000001</v>
      </c>
      <c r="IF25" s="21">
        <f>IF(IF$1&lt;INDEX('Valo FX'!$Q:$Q,MATCH($A25,'Valo FX'!$A:$A,0)),0,IF(IF$1&lt;INDEX('Valo FX'!$R:$R,MATCH($A25,'Valo FX'!$A:$A,0)),INDEX(Base!$U:$U,MATCH($A25,Base!$A:$A,0)),IF(IF$1=INDEX('Valo FX'!$R:$R,MATCH($A25,'Valo FX'!$A:$A,0)),INDEX(Base!$V:$V,MATCH($A25,Base!$A:$A,0)),0)))</f>
        <v>11.548920000000001</v>
      </c>
      <c r="IG25" s="21">
        <f>IF(IG$1&lt;INDEX('Valo FX'!$Q:$Q,MATCH($A25,'Valo FX'!$A:$A,0)),0,IF(IG$1&lt;INDEX('Valo FX'!$R:$R,MATCH($A25,'Valo FX'!$A:$A,0)),INDEX(Base!$U:$U,MATCH($A25,Base!$A:$A,0)),IF(IG$1=INDEX('Valo FX'!$R:$R,MATCH($A25,'Valo FX'!$A:$A,0)),INDEX(Base!$V:$V,MATCH($A25,Base!$A:$A,0)),0)))</f>
        <v>11.548920000000001</v>
      </c>
      <c r="IH25" s="21">
        <f>IF(IH$1&lt;INDEX('Valo FX'!$Q:$Q,MATCH($A25,'Valo FX'!$A:$A,0)),0,IF(IH$1&lt;INDEX('Valo FX'!$R:$R,MATCH($A25,'Valo FX'!$A:$A,0)),INDEX(Base!$U:$U,MATCH($A25,Base!$A:$A,0)),IF(IH$1=INDEX('Valo FX'!$R:$R,MATCH($A25,'Valo FX'!$A:$A,0)),INDEX(Base!$V:$V,MATCH($A25,Base!$A:$A,0)),0)))</f>
        <v>11.548920000000001</v>
      </c>
      <c r="II25" s="21">
        <f>IF(II$1&lt;INDEX('Valo FX'!$Q:$Q,MATCH($A25,'Valo FX'!$A:$A,0)),0,IF(II$1&lt;INDEX('Valo FX'!$R:$R,MATCH($A25,'Valo FX'!$A:$A,0)),INDEX(Base!$U:$U,MATCH($A25,Base!$A:$A,0)),IF(II$1=INDEX('Valo FX'!$R:$R,MATCH($A25,'Valo FX'!$A:$A,0)),INDEX(Base!$V:$V,MATCH($A25,Base!$A:$A,0)),0)))</f>
        <v>11.548920000000001</v>
      </c>
      <c r="IJ25" s="21">
        <f>IF(IJ$1&lt;INDEX('Valo FX'!$Q:$Q,MATCH($A25,'Valo FX'!$A:$A,0)),0,IF(IJ$1&lt;INDEX('Valo FX'!$R:$R,MATCH($A25,'Valo FX'!$A:$A,0)),INDEX(Base!$U:$U,MATCH($A25,Base!$A:$A,0)),IF(IJ$1=INDEX('Valo FX'!$R:$R,MATCH($A25,'Valo FX'!$A:$A,0)),INDEX(Base!$V:$V,MATCH($A25,Base!$A:$A,0)),0)))</f>
        <v>11.548920000000001</v>
      </c>
      <c r="IK25" s="21">
        <f>IF(IK$1&lt;INDEX('Valo FX'!$Q:$Q,MATCH($A25,'Valo FX'!$A:$A,0)),0,IF(IK$1&lt;INDEX('Valo FX'!$R:$R,MATCH($A25,'Valo FX'!$A:$A,0)),INDEX(Base!$U:$U,MATCH($A25,Base!$A:$A,0)),IF(IK$1=INDEX('Valo FX'!$R:$R,MATCH($A25,'Valo FX'!$A:$A,0)),INDEX(Base!$V:$V,MATCH($A25,Base!$A:$A,0)),0)))</f>
        <v>11.548920000000001</v>
      </c>
      <c r="IL25" s="21">
        <f>IF(IL$1&lt;INDEX('Valo FX'!$Q:$Q,MATCH($A25,'Valo FX'!$A:$A,0)),0,IF(IL$1&lt;INDEX('Valo FX'!$R:$R,MATCH($A25,'Valo FX'!$A:$A,0)),INDEX(Base!$U:$U,MATCH($A25,Base!$A:$A,0)),IF(IL$1=INDEX('Valo FX'!$R:$R,MATCH($A25,'Valo FX'!$A:$A,0)),INDEX(Base!$V:$V,MATCH($A25,Base!$A:$A,0)),0)))</f>
        <v>11.548920000000001</v>
      </c>
      <c r="IM25" s="21">
        <f>IF(IM$1&lt;INDEX('Valo FX'!$Q:$Q,MATCH($A25,'Valo FX'!$A:$A,0)),0,IF(IM$1&lt;INDEX('Valo FX'!$R:$R,MATCH($A25,'Valo FX'!$A:$A,0)),INDEX(Base!$U:$U,MATCH($A25,Base!$A:$A,0)),IF(IM$1=INDEX('Valo FX'!$R:$R,MATCH($A25,'Valo FX'!$A:$A,0)),INDEX(Base!$V:$V,MATCH($A25,Base!$A:$A,0)),0)))</f>
        <v>11.548920000000001</v>
      </c>
      <c r="IN25" s="21">
        <f>IF(IN$1&lt;INDEX('Valo FX'!$Q:$Q,MATCH($A25,'Valo FX'!$A:$A,0)),0,IF(IN$1&lt;INDEX('Valo FX'!$R:$R,MATCH($A25,'Valo FX'!$A:$A,0)),INDEX(Base!$U:$U,MATCH($A25,Base!$A:$A,0)),IF(IN$1=INDEX('Valo FX'!$R:$R,MATCH($A25,'Valo FX'!$A:$A,0)),INDEX(Base!$V:$V,MATCH($A25,Base!$A:$A,0)),0)))</f>
        <v>11.548920000000001</v>
      </c>
      <c r="IO25" s="21">
        <f>IF(IO$1&lt;INDEX('Valo FX'!$Q:$Q,MATCH($A25,'Valo FX'!$A:$A,0)),0,IF(IO$1&lt;INDEX('Valo FX'!$R:$R,MATCH($A25,'Valo FX'!$A:$A,0)),INDEX(Base!$U:$U,MATCH($A25,Base!$A:$A,0)),IF(IO$1=INDEX('Valo FX'!$R:$R,MATCH($A25,'Valo FX'!$A:$A,0)),INDEX(Base!$V:$V,MATCH($A25,Base!$A:$A,0)),0)))</f>
        <v>11.548920000000001</v>
      </c>
      <c r="IP25" s="21">
        <f>IF(IP$1&lt;INDEX('Valo FX'!$Q:$Q,MATCH($A25,'Valo FX'!$A:$A,0)),0,IF(IP$1&lt;INDEX('Valo FX'!$R:$R,MATCH($A25,'Valo FX'!$A:$A,0)),INDEX(Base!$U:$U,MATCH($A25,Base!$A:$A,0)),IF(IP$1=INDEX('Valo FX'!$R:$R,MATCH($A25,'Valo FX'!$A:$A,0)),INDEX(Base!$V:$V,MATCH($A25,Base!$A:$A,0)),0)))</f>
        <v>11.548920000000001</v>
      </c>
      <c r="IQ25" s="21">
        <f>IF(IQ$1&lt;INDEX('Valo FX'!$Q:$Q,MATCH($A25,'Valo FX'!$A:$A,0)),0,IF(IQ$1&lt;INDEX('Valo FX'!$R:$R,MATCH($A25,'Valo FX'!$A:$A,0)),INDEX(Base!$U:$U,MATCH($A25,Base!$A:$A,0)),IF(IQ$1=INDEX('Valo FX'!$R:$R,MATCH($A25,'Valo FX'!$A:$A,0)),INDEX(Base!$V:$V,MATCH($A25,Base!$A:$A,0)),0)))</f>
        <v>11.548920000000001</v>
      </c>
      <c r="IR25" s="21">
        <f>IF(IR$1&lt;INDEX('Valo FX'!$Q:$Q,MATCH($A25,'Valo FX'!$A:$A,0)),0,IF(IR$1&lt;INDEX('Valo FX'!$R:$R,MATCH($A25,'Valo FX'!$A:$A,0)),INDEX(Base!$U:$U,MATCH($A25,Base!$A:$A,0)),IF(IR$1=INDEX('Valo FX'!$R:$R,MATCH($A25,'Valo FX'!$A:$A,0)),INDEX(Base!$V:$V,MATCH($A25,Base!$A:$A,0)),0)))</f>
        <v>11.548920000000001</v>
      </c>
      <c r="IS25" s="21">
        <f>IF(IS$1&lt;INDEX('Valo FX'!$Q:$Q,MATCH($A25,'Valo FX'!$A:$A,0)),0,IF(IS$1&lt;INDEX('Valo FX'!$R:$R,MATCH($A25,'Valo FX'!$A:$A,0)),INDEX(Base!$U:$U,MATCH($A25,Base!$A:$A,0)),IF(IS$1=INDEX('Valo FX'!$R:$R,MATCH($A25,'Valo FX'!$A:$A,0)),INDEX(Base!$V:$V,MATCH($A25,Base!$A:$A,0)),0)))</f>
        <v>11.548920000000001</v>
      </c>
      <c r="IT25" s="21">
        <f>IF(IT$1&lt;INDEX('Valo FX'!$Q:$Q,MATCH($A25,'Valo FX'!$A:$A,0)),0,IF(IT$1&lt;INDEX('Valo FX'!$R:$R,MATCH($A25,'Valo FX'!$A:$A,0)),INDEX(Base!$U:$U,MATCH($A25,Base!$A:$A,0)),IF(IT$1=INDEX('Valo FX'!$R:$R,MATCH($A25,'Valo FX'!$A:$A,0)),INDEX(Base!$V:$V,MATCH($A25,Base!$A:$A,0)),0)))</f>
        <v>11.548920000000001</v>
      </c>
      <c r="IU25" s="21">
        <f>IF(IU$1&lt;INDEX('Valo FX'!$Q:$Q,MATCH($A25,'Valo FX'!$A:$A,0)),0,IF(IU$1&lt;INDEX('Valo FX'!$R:$R,MATCH($A25,'Valo FX'!$A:$A,0)),INDEX(Base!$U:$U,MATCH($A25,Base!$A:$A,0)),IF(IU$1=INDEX('Valo FX'!$R:$R,MATCH($A25,'Valo FX'!$A:$A,0)),INDEX(Base!$V:$V,MATCH($A25,Base!$A:$A,0)),0)))</f>
        <v>11.548920000000001</v>
      </c>
      <c r="IV25" s="21">
        <f>IF(IV$1&lt;INDEX('Valo FX'!$Q:$Q,MATCH($A25,'Valo FX'!$A:$A,0)),0,IF(IV$1&lt;INDEX('Valo FX'!$R:$R,MATCH($A25,'Valo FX'!$A:$A,0)),INDEX(Base!$U:$U,MATCH($A25,Base!$A:$A,0)),IF(IV$1=INDEX('Valo FX'!$R:$R,MATCH($A25,'Valo FX'!$A:$A,0)),INDEX(Base!$V:$V,MATCH($A25,Base!$A:$A,0)),0)))</f>
        <v>11.548920000000001</v>
      </c>
      <c r="IW25" s="21">
        <f>IF(IW$1&lt;INDEX('Valo FX'!$Q:$Q,MATCH($A25,'Valo FX'!$A:$A,0)),0,IF(IW$1&lt;INDEX('Valo FX'!$R:$R,MATCH($A25,'Valo FX'!$A:$A,0)),INDEX(Base!$U:$U,MATCH($A25,Base!$A:$A,0)),IF(IW$1=INDEX('Valo FX'!$R:$R,MATCH($A25,'Valo FX'!$A:$A,0)),INDEX(Base!$V:$V,MATCH($A25,Base!$A:$A,0)),0)))</f>
        <v>11.548920000000001</v>
      </c>
      <c r="IX25" s="21">
        <f>IF(IX$1&lt;INDEX('Valo FX'!$Q:$Q,MATCH($A25,'Valo FX'!$A:$A,0)),0,IF(IX$1&lt;INDEX('Valo FX'!$R:$R,MATCH($A25,'Valo FX'!$A:$A,0)),INDEX(Base!$U:$U,MATCH($A25,Base!$A:$A,0)),IF(IX$1=INDEX('Valo FX'!$R:$R,MATCH($A25,'Valo FX'!$A:$A,0)),INDEX(Base!$V:$V,MATCH($A25,Base!$A:$A,0)),0)))</f>
        <v>11.548920000000001</v>
      </c>
      <c r="IY25" s="21">
        <f>IF(IY$1&lt;INDEX('Valo FX'!$Q:$Q,MATCH($A25,'Valo FX'!$A:$A,0)),0,IF(IY$1&lt;INDEX('Valo FX'!$R:$R,MATCH($A25,'Valo FX'!$A:$A,0)),INDEX(Base!$U:$U,MATCH($A25,Base!$A:$A,0)),IF(IY$1=INDEX('Valo FX'!$R:$R,MATCH($A25,'Valo FX'!$A:$A,0)),INDEX(Base!$V:$V,MATCH($A25,Base!$A:$A,0)),0)))</f>
        <v>11.548920000000001</v>
      </c>
      <c r="IZ25" s="21">
        <f>IF(IZ$1&lt;INDEX('Valo FX'!$Q:$Q,MATCH($A25,'Valo FX'!$A:$A,0)),0,IF(IZ$1&lt;INDEX('Valo FX'!$R:$R,MATCH($A25,'Valo FX'!$A:$A,0)),INDEX(Base!$U:$U,MATCH($A25,Base!$A:$A,0)),IF(IZ$1=INDEX('Valo FX'!$R:$R,MATCH($A25,'Valo FX'!$A:$A,0)),INDEX(Base!$V:$V,MATCH($A25,Base!$A:$A,0)),0)))</f>
        <v>11.548920000000001</v>
      </c>
      <c r="JA25" s="21">
        <f>IF(JA$1&lt;INDEX('Valo FX'!$Q:$Q,MATCH($A25,'Valo FX'!$A:$A,0)),0,IF(JA$1&lt;INDEX('Valo FX'!$R:$R,MATCH($A25,'Valo FX'!$A:$A,0)),INDEX(Base!$U:$U,MATCH($A25,Base!$A:$A,0)),IF(JA$1=INDEX('Valo FX'!$R:$R,MATCH($A25,'Valo FX'!$A:$A,0)),INDEX(Base!$V:$V,MATCH($A25,Base!$A:$A,0)),0)))</f>
        <v>11.548920000000001</v>
      </c>
      <c r="JB25" s="21">
        <f>IF(JB$1&lt;INDEX('Valo FX'!$Q:$Q,MATCH($A25,'Valo FX'!$A:$A,0)),0,IF(JB$1&lt;INDEX('Valo FX'!$R:$R,MATCH($A25,'Valo FX'!$A:$A,0)),INDEX(Base!$U:$U,MATCH($A25,Base!$A:$A,0)),IF(JB$1=INDEX('Valo FX'!$R:$R,MATCH($A25,'Valo FX'!$A:$A,0)),INDEX(Base!$V:$V,MATCH($A25,Base!$A:$A,0)),0)))</f>
        <v>11.548920000000001</v>
      </c>
      <c r="JC25" s="21">
        <f>IF(JC$1&lt;INDEX('Valo FX'!$Q:$Q,MATCH($A25,'Valo FX'!$A:$A,0)),0,IF(JC$1&lt;INDEX('Valo FX'!$R:$R,MATCH($A25,'Valo FX'!$A:$A,0)),INDEX(Base!$U:$U,MATCH($A25,Base!$A:$A,0)),IF(JC$1=INDEX('Valo FX'!$R:$R,MATCH($A25,'Valo FX'!$A:$A,0)),INDEX(Base!$V:$V,MATCH($A25,Base!$A:$A,0)),0)))</f>
        <v>11.548920000000001</v>
      </c>
      <c r="JD25" s="21">
        <f>IF(JD$1&lt;INDEX('Valo FX'!$Q:$Q,MATCH($A25,'Valo FX'!$A:$A,0)),0,IF(JD$1&lt;INDEX('Valo FX'!$R:$R,MATCH($A25,'Valo FX'!$A:$A,0)),INDEX(Base!$U:$U,MATCH($A25,Base!$A:$A,0)),IF(JD$1=INDEX('Valo FX'!$R:$R,MATCH($A25,'Valo FX'!$A:$A,0)),INDEX(Base!$V:$V,MATCH($A25,Base!$A:$A,0)),0)))</f>
        <v>11.548920000000001</v>
      </c>
      <c r="JE25" s="21">
        <f>IF(JE$1&lt;INDEX('Valo FX'!$Q:$Q,MATCH($A25,'Valo FX'!$A:$A,0)),0,IF(JE$1&lt;INDEX('Valo FX'!$R:$R,MATCH($A25,'Valo FX'!$A:$A,0)),INDEX(Base!$U:$U,MATCH($A25,Base!$A:$A,0)),IF(JE$1=INDEX('Valo FX'!$R:$R,MATCH($A25,'Valo FX'!$A:$A,0)),INDEX(Base!$V:$V,MATCH($A25,Base!$A:$A,0)),0)))</f>
        <v>11.548920000000001</v>
      </c>
      <c r="JF25" s="21">
        <f>IF(JF$1&lt;INDEX('Valo FX'!$Q:$Q,MATCH($A25,'Valo FX'!$A:$A,0)),0,IF(JF$1&lt;INDEX('Valo FX'!$R:$R,MATCH($A25,'Valo FX'!$A:$A,0)),INDEX(Base!$U:$U,MATCH($A25,Base!$A:$A,0)),IF(JF$1=INDEX('Valo FX'!$R:$R,MATCH($A25,'Valo FX'!$A:$A,0)),INDEX(Base!$V:$V,MATCH($A25,Base!$A:$A,0)),0)))</f>
        <v>11.548920000000001</v>
      </c>
      <c r="JG25" s="21">
        <f>IF(JG$1&lt;INDEX('Valo FX'!$Q:$Q,MATCH($A25,'Valo FX'!$A:$A,0)),0,IF(JG$1&lt;INDEX('Valo FX'!$R:$R,MATCH($A25,'Valo FX'!$A:$A,0)),INDEX(Base!$U:$U,MATCH($A25,Base!$A:$A,0)),IF(JG$1=INDEX('Valo FX'!$R:$R,MATCH($A25,'Valo FX'!$A:$A,0)),INDEX(Base!$V:$V,MATCH($A25,Base!$A:$A,0)),0)))</f>
        <v>11.548920000000001</v>
      </c>
      <c r="JH25" s="21">
        <f>IF(JH$1&lt;INDEX('Valo FX'!$Q:$Q,MATCH($A25,'Valo FX'!$A:$A,0)),0,IF(JH$1&lt;INDEX('Valo FX'!$R:$R,MATCH($A25,'Valo FX'!$A:$A,0)),INDEX(Base!$U:$U,MATCH($A25,Base!$A:$A,0)),IF(JH$1=INDEX('Valo FX'!$R:$R,MATCH($A25,'Valo FX'!$A:$A,0)),INDEX(Base!$V:$V,MATCH($A25,Base!$A:$A,0)),0)))</f>
        <v>11.548920000000001</v>
      </c>
      <c r="JI25" s="21">
        <f>IF(JI$1&lt;INDEX('Valo FX'!$Q:$Q,MATCH($A25,'Valo FX'!$A:$A,0)),0,IF(JI$1&lt;INDEX('Valo FX'!$R:$R,MATCH($A25,'Valo FX'!$A:$A,0)),INDEX(Base!$U:$U,MATCH($A25,Base!$A:$A,0)),IF(JI$1=INDEX('Valo FX'!$R:$R,MATCH($A25,'Valo FX'!$A:$A,0)),INDEX(Base!$V:$V,MATCH($A25,Base!$A:$A,0)),0)))</f>
        <v>11.548920000000001</v>
      </c>
      <c r="JJ25" s="21">
        <f>IF(JJ$1&lt;INDEX('Valo FX'!$Q:$Q,MATCH($A25,'Valo FX'!$A:$A,0)),0,IF(JJ$1&lt;INDEX('Valo FX'!$R:$R,MATCH($A25,'Valo FX'!$A:$A,0)),INDEX(Base!$U:$U,MATCH($A25,Base!$A:$A,0)),IF(JJ$1=INDEX('Valo FX'!$R:$R,MATCH($A25,'Valo FX'!$A:$A,0)),INDEX(Base!$V:$V,MATCH($A25,Base!$A:$A,0)),0)))</f>
        <v>11.548920000000001</v>
      </c>
      <c r="JK25" s="21">
        <f>IF(JK$1&lt;INDEX('Valo FX'!$Q:$Q,MATCH($A25,'Valo FX'!$A:$A,0)),0,IF(JK$1&lt;INDEX('Valo FX'!$R:$R,MATCH($A25,'Valo FX'!$A:$A,0)),INDEX(Base!$U:$U,MATCH($A25,Base!$A:$A,0)),IF(JK$1=INDEX('Valo FX'!$R:$R,MATCH($A25,'Valo FX'!$A:$A,0)),INDEX(Base!$V:$V,MATCH($A25,Base!$A:$A,0)),0)))</f>
        <v>11.548920000000001</v>
      </c>
      <c r="JL25" s="21">
        <f>IF(JL$1&lt;INDEX('Valo FX'!$Q:$Q,MATCH($A25,'Valo FX'!$A:$A,0)),0,IF(JL$1&lt;INDEX('Valo FX'!$R:$R,MATCH($A25,'Valo FX'!$A:$A,0)),INDEX(Base!$U:$U,MATCH($A25,Base!$A:$A,0)),IF(JL$1=INDEX('Valo FX'!$R:$R,MATCH($A25,'Valo FX'!$A:$A,0)),INDEX(Base!$V:$V,MATCH($A25,Base!$A:$A,0)),0)))</f>
        <v>11.548920000000001</v>
      </c>
      <c r="JM25" s="21">
        <f>IF(JM$1&lt;INDEX('Valo FX'!$Q:$Q,MATCH($A25,'Valo FX'!$A:$A,0)),0,IF(JM$1&lt;INDEX('Valo FX'!$R:$R,MATCH($A25,'Valo FX'!$A:$A,0)),INDEX(Base!$U:$U,MATCH($A25,Base!$A:$A,0)),IF(JM$1=INDEX('Valo FX'!$R:$R,MATCH($A25,'Valo FX'!$A:$A,0)),INDEX(Base!$V:$V,MATCH($A25,Base!$A:$A,0)),0)))</f>
        <v>11.548920000000001</v>
      </c>
      <c r="JN25" s="21">
        <f>IF(JN$1&lt;INDEX('Valo FX'!$Q:$Q,MATCH($A25,'Valo FX'!$A:$A,0)),0,IF(JN$1&lt;INDEX('Valo FX'!$R:$R,MATCH($A25,'Valo FX'!$A:$A,0)),INDEX(Base!$U:$U,MATCH($A25,Base!$A:$A,0)),IF(JN$1=INDEX('Valo FX'!$R:$R,MATCH($A25,'Valo FX'!$A:$A,0)),INDEX(Base!$V:$V,MATCH($A25,Base!$A:$A,0)),0)))</f>
        <v>11.548920000000001</v>
      </c>
      <c r="JO25" s="21">
        <f>IF(JO$1&lt;INDEX('Valo FX'!$Q:$Q,MATCH($A25,'Valo FX'!$A:$A,0)),0,IF(JO$1&lt;INDEX('Valo FX'!$R:$R,MATCH($A25,'Valo FX'!$A:$A,0)),INDEX(Base!$U:$U,MATCH($A25,Base!$A:$A,0)),IF(JO$1=INDEX('Valo FX'!$R:$R,MATCH($A25,'Valo FX'!$A:$A,0)),INDEX(Base!$V:$V,MATCH($A25,Base!$A:$A,0)),0)))</f>
        <v>11.548920000000001</v>
      </c>
      <c r="JP25" s="21">
        <f>IF(JP$1&lt;INDEX('Valo FX'!$Q:$Q,MATCH($A25,'Valo FX'!$A:$A,0)),0,IF(JP$1&lt;INDEX('Valo FX'!$R:$R,MATCH($A25,'Valo FX'!$A:$A,0)),INDEX(Base!$U:$U,MATCH($A25,Base!$A:$A,0)),IF(JP$1=INDEX('Valo FX'!$R:$R,MATCH($A25,'Valo FX'!$A:$A,0)),INDEX(Base!$V:$V,MATCH($A25,Base!$A:$A,0)),0)))</f>
        <v>11.548920000000001</v>
      </c>
      <c r="JQ25" s="21">
        <f>IF(JQ$1&lt;INDEX('Valo FX'!$Q:$Q,MATCH($A25,'Valo FX'!$A:$A,0)),0,IF(JQ$1&lt;INDEX('Valo FX'!$R:$R,MATCH($A25,'Valo FX'!$A:$A,0)),INDEX(Base!$U:$U,MATCH($A25,Base!$A:$A,0)),IF(JQ$1=INDEX('Valo FX'!$R:$R,MATCH($A25,'Valo FX'!$A:$A,0)),INDEX(Base!$V:$V,MATCH($A25,Base!$A:$A,0)),0)))</f>
        <v>11.548920000000001</v>
      </c>
      <c r="JR25" s="21">
        <f>IF(JR$1&lt;INDEX('Valo FX'!$Q:$Q,MATCH($A25,'Valo FX'!$A:$A,0)),0,IF(JR$1&lt;INDEX('Valo FX'!$R:$R,MATCH($A25,'Valo FX'!$A:$A,0)),INDEX(Base!$U:$U,MATCH($A25,Base!$A:$A,0)),IF(JR$1=INDEX('Valo FX'!$R:$R,MATCH($A25,'Valo FX'!$A:$A,0)),INDEX(Base!$V:$V,MATCH($A25,Base!$A:$A,0)),0)))</f>
        <v>11.548920000000001</v>
      </c>
      <c r="JS25" s="21">
        <f>IF(JS$1&lt;INDEX('Valo FX'!$Q:$Q,MATCH($A25,'Valo FX'!$A:$A,0)),0,IF(JS$1&lt;INDEX('Valo FX'!$R:$R,MATCH($A25,'Valo FX'!$A:$A,0)),INDEX(Base!$U:$U,MATCH($A25,Base!$A:$A,0)),IF(JS$1=INDEX('Valo FX'!$R:$R,MATCH($A25,'Valo FX'!$A:$A,0)),INDEX(Base!$V:$V,MATCH($A25,Base!$A:$A,0)),0)))</f>
        <v>11.548920000000001</v>
      </c>
      <c r="JT25" s="21">
        <f>IF(JT$1&lt;INDEX('Valo FX'!$Q:$Q,MATCH($A25,'Valo FX'!$A:$A,0)),0,IF(JT$1&lt;INDEX('Valo FX'!$R:$R,MATCH($A25,'Valo FX'!$A:$A,0)),INDEX(Base!$U:$U,MATCH($A25,Base!$A:$A,0)),IF(JT$1=INDEX('Valo FX'!$R:$R,MATCH($A25,'Valo FX'!$A:$A,0)),INDEX(Base!$V:$V,MATCH($A25,Base!$A:$A,0)),0)))</f>
        <v>11.548920000000001</v>
      </c>
      <c r="JU25" s="21">
        <f>IF(JU$1&lt;INDEX('Valo FX'!$Q:$Q,MATCH($A25,'Valo FX'!$A:$A,0)),0,IF(JU$1&lt;INDEX('Valo FX'!$R:$R,MATCH($A25,'Valo FX'!$A:$A,0)),INDEX(Base!$U:$U,MATCH($A25,Base!$A:$A,0)),IF(JU$1=INDEX('Valo FX'!$R:$R,MATCH($A25,'Valo FX'!$A:$A,0)),INDEX(Base!$V:$V,MATCH($A25,Base!$A:$A,0)),0)))</f>
        <v>11.548920000000001</v>
      </c>
      <c r="JV25" s="21">
        <f>IF(JV$1&lt;INDEX('Valo FX'!$Q:$Q,MATCH($A25,'Valo FX'!$A:$A,0)),0,IF(JV$1&lt;INDEX('Valo FX'!$R:$R,MATCH($A25,'Valo FX'!$A:$A,0)),INDEX(Base!$U:$U,MATCH($A25,Base!$A:$A,0)),IF(JV$1=INDEX('Valo FX'!$R:$R,MATCH($A25,'Valo FX'!$A:$A,0)),INDEX(Base!$V:$V,MATCH($A25,Base!$A:$A,0)),0)))</f>
        <v>11.548920000000001</v>
      </c>
      <c r="JW25" s="21">
        <f>IF(JW$1&lt;INDEX('Valo FX'!$Q:$Q,MATCH($A25,'Valo FX'!$A:$A,0)),0,IF(JW$1&lt;INDEX('Valo FX'!$R:$R,MATCH($A25,'Valo FX'!$A:$A,0)),INDEX(Base!$U:$U,MATCH($A25,Base!$A:$A,0)),IF(JW$1=INDEX('Valo FX'!$R:$R,MATCH($A25,'Valo FX'!$A:$A,0)),INDEX(Base!$V:$V,MATCH($A25,Base!$A:$A,0)),0)))</f>
        <v>11.548920000000001</v>
      </c>
      <c r="JX25" s="21">
        <f>IF(JX$1&lt;INDEX('Valo FX'!$Q:$Q,MATCH($A25,'Valo FX'!$A:$A,0)),0,IF(JX$1&lt;INDEX('Valo FX'!$R:$R,MATCH($A25,'Valo FX'!$A:$A,0)),INDEX(Base!$U:$U,MATCH($A25,Base!$A:$A,0)),IF(JX$1=INDEX('Valo FX'!$R:$R,MATCH($A25,'Valo FX'!$A:$A,0)),INDEX(Base!$V:$V,MATCH($A25,Base!$A:$A,0)),0)))</f>
        <v>11.548920000000001</v>
      </c>
      <c r="JY25" s="21">
        <f>IF(JY$1&lt;INDEX('Valo FX'!$Q:$Q,MATCH($A25,'Valo FX'!$A:$A,0)),0,IF(JY$1&lt;INDEX('Valo FX'!$R:$R,MATCH($A25,'Valo FX'!$A:$A,0)),INDEX(Base!$U:$U,MATCH($A25,Base!$A:$A,0)),IF(JY$1=INDEX('Valo FX'!$R:$R,MATCH($A25,'Valo FX'!$A:$A,0)),INDEX(Base!$V:$V,MATCH($A25,Base!$A:$A,0)),0)))</f>
        <v>11.548920000000001</v>
      </c>
      <c r="JZ25" s="21">
        <f>IF(JZ$1&lt;INDEX('Valo FX'!$Q:$Q,MATCH($A25,'Valo FX'!$A:$A,0)),0,IF(JZ$1&lt;INDEX('Valo FX'!$R:$R,MATCH($A25,'Valo FX'!$A:$A,0)),INDEX(Base!$U:$U,MATCH($A25,Base!$A:$A,0)),IF(JZ$1=INDEX('Valo FX'!$R:$R,MATCH($A25,'Valo FX'!$A:$A,0)),INDEX(Base!$V:$V,MATCH($A25,Base!$A:$A,0)),0)))</f>
        <v>11.548920000000001</v>
      </c>
      <c r="KA25" s="21">
        <f>IF(KA$1&lt;INDEX('Valo FX'!$Q:$Q,MATCH($A25,'Valo FX'!$A:$A,0)),0,IF(KA$1&lt;INDEX('Valo FX'!$R:$R,MATCH($A25,'Valo FX'!$A:$A,0)),INDEX(Base!$U:$U,MATCH($A25,Base!$A:$A,0)),IF(KA$1=INDEX('Valo FX'!$R:$R,MATCH($A25,'Valo FX'!$A:$A,0)),INDEX(Base!$V:$V,MATCH($A25,Base!$A:$A,0)),0)))</f>
        <v>11.548920000000001</v>
      </c>
      <c r="KB25" s="21">
        <f>IF(KB$1&lt;INDEX('Valo FX'!$Q:$Q,MATCH($A25,'Valo FX'!$A:$A,0)),0,IF(KB$1&lt;INDEX('Valo FX'!$R:$R,MATCH($A25,'Valo FX'!$A:$A,0)),INDEX(Base!$U:$U,MATCH($A25,Base!$A:$A,0)),IF(KB$1=INDEX('Valo FX'!$R:$R,MATCH($A25,'Valo FX'!$A:$A,0)),INDEX(Base!$V:$V,MATCH($A25,Base!$A:$A,0)),0)))</f>
        <v>11.548920000000001</v>
      </c>
      <c r="KC25" s="21">
        <f>IF(KC$1&lt;INDEX('Valo FX'!$Q:$Q,MATCH($A25,'Valo FX'!$A:$A,0)),0,IF(KC$1&lt;INDEX('Valo FX'!$R:$R,MATCH($A25,'Valo FX'!$A:$A,0)),INDEX(Base!$U:$U,MATCH($A25,Base!$A:$A,0)),IF(KC$1=INDEX('Valo FX'!$R:$R,MATCH($A25,'Valo FX'!$A:$A,0)),INDEX(Base!$V:$V,MATCH($A25,Base!$A:$A,0)),0)))</f>
        <v>11.548920000000001</v>
      </c>
      <c r="KD25" s="21">
        <f>IF(KD$1&lt;INDEX('Valo FX'!$Q:$Q,MATCH($A25,'Valo FX'!$A:$A,0)),0,IF(KD$1&lt;INDEX('Valo FX'!$R:$R,MATCH($A25,'Valo FX'!$A:$A,0)),INDEX(Base!$U:$U,MATCH($A25,Base!$A:$A,0)),IF(KD$1=INDEX('Valo FX'!$R:$R,MATCH($A25,'Valo FX'!$A:$A,0)),INDEX(Base!$V:$V,MATCH($A25,Base!$A:$A,0)),0)))</f>
        <v>11.548920000000001</v>
      </c>
      <c r="KE25" s="21">
        <f>IF(KE$1&lt;INDEX('Valo FX'!$Q:$Q,MATCH($A25,'Valo FX'!$A:$A,0)),0,IF(KE$1&lt;INDEX('Valo FX'!$R:$R,MATCH($A25,'Valo FX'!$A:$A,0)),INDEX(Base!$U:$U,MATCH($A25,Base!$A:$A,0)),IF(KE$1=INDEX('Valo FX'!$R:$R,MATCH($A25,'Valo FX'!$A:$A,0)),INDEX(Base!$V:$V,MATCH($A25,Base!$A:$A,0)),0)))</f>
        <v>11.548920000000001</v>
      </c>
      <c r="KF25" s="21">
        <f>IF(KF$1&lt;INDEX('Valo FX'!$Q:$Q,MATCH($A25,'Valo FX'!$A:$A,0)),0,IF(KF$1&lt;INDEX('Valo FX'!$R:$R,MATCH($A25,'Valo FX'!$A:$A,0)),INDEX(Base!$U:$U,MATCH($A25,Base!$A:$A,0)),IF(KF$1=INDEX('Valo FX'!$R:$R,MATCH($A25,'Valo FX'!$A:$A,0)),INDEX(Base!$V:$V,MATCH($A25,Base!$A:$A,0)),0)))</f>
        <v>11.548920000000001</v>
      </c>
      <c r="KG25" s="21">
        <f>IF(KG$1&lt;INDEX('Valo FX'!$Q:$Q,MATCH($A25,'Valo FX'!$A:$A,0)),0,IF(KG$1&lt;INDEX('Valo FX'!$R:$R,MATCH($A25,'Valo FX'!$A:$A,0)),INDEX(Base!$U:$U,MATCH($A25,Base!$A:$A,0)),IF(KG$1=INDEX('Valo FX'!$R:$R,MATCH($A25,'Valo FX'!$A:$A,0)),INDEX(Base!$V:$V,MATCH($A25,Base!$A:$A,0)),0)))</f>
        <v>11.548920000000001</v>
      </c>
      <c r="KH25" s="21">
        <f>IF(KH$1&lt;INDEX('Valo FX'!$Q:$Q,MATCH($A25,'Valo FX'!$A:$A,0)),0,IF(KH$1&lt;INDEX('Valo FX'!$R:$R,MATCH($A25,'Valo FX'!$A:$A,0)),INDEX(Base!$U:$U,MATCH($A25,Base!$A:$A,0)),IF(KH$1=INDEX('Valo FX'!$R:$R,MATCH($A25,'Valo FX'!$A:$A,0)),INDEX(Base!$V:$V,MATCH($A25,Base!$A:$A,0)),0)))</f>
        <v>11.548920000000001</v>
      </c>
      <c r="KI25" s="21">
        <f>IF(KI$1&lt;INDEX('Valo FX'!$Q:$Q,MATCH($A25,'Valo FX'!$A:$A,0)),0,IF(KI$1&lt;INDEX('Valo FX'!$R:$R,MATCH($A25,'Valo FX'!$A:$A,0)),INDEX(Base!$U:$U,MATCH($A25,Base!$A:$A,0)),IF(KI$1=INDEX('Valo FX'!$R:$R,MATCH($A25,'Valo FX'!$A:$A,0)),INDEX(Base!$V:$V,MATCH($A25,Base!$A:$A,0)),0)))</f>
        <v>11.548920000000001</v>
      </c>
      <c r="KJ25" s="21">
        <f>IF(KJ$1&lt;INDEX('Valo FX'!$Q:$Q,MATCH($A25,'Valo FX'!$A:$A,0)),0,IF(KJ$1&lt;INDEX('Valo FX'!$R:$R,MATCH($A25,'Valo FX'!$A:$A,0)),INDEX(Base!$U:$U,MATCH($A25,Base!$A:$A,0)),IF(KJ$1=INDEX('Valo FX'!$R:$R,MATCH($A25,'Valo FX'!$A:$A,0)),INDEX(Base!$V:$V,MATCH($A25,Base!$A:$A,0)),0)))</f>
        <v>11.548920000000001</v>
      </c>
      <c r="KK25" s="21">
        <f>IF(KK$1&lt;INDEX('Valo FX'!$Q:$Q,MATCH($A25,'Valo FX'!$A:$A,0)),0,IF(KK$1&lt;INDEX('Valo FX'!$R:$R,MATCH($A25,'Valo FX'!$A:$A,0)),INDEX(Base!$U:$U,MATCH($A25,Base!$A:$A,0)),IF(KK$1=INDEX('Valo FX'!$R:$R,MATCH($A25,'Valo FX'!$A:$A,0)),INDEX(Base!$V:$V,MATCH($A25,Base!$A:$A,0)),0)))</f>
        <v>11.548920000000001</v>
      </c>
      <c r="KL25" s="21">
        <f>IF(KL$1&lt;INDEX('Valo FX'!$Q:$Q,MATCH($A25,'Valo FX'!$A:$A,0)),0,IF(KL$1&lt;INDEX('Valo FX'!$R:$R,MATCH($A25,'Valo FX'!$A:$A,0)),INDEX(Base!$U:$U,MATCH($A25,Base!$A:$A,0)),IF(KL$1=INDEX('Valo FX'!$R:$R,MATCH($A25,'Valo FX'!$A:$A,0)),INDEX(Base!$V:$V,MATCH($A25,Base!$A:$A,0)),0)))</f>
        <v>11.548920000000001</v>
      </c>
      <c r="KM25" s="21">
        <f>IF(KM$1&lt;INDEX('Valo FX'!$Q:$Q,MATCH($A25,'Valo FX'!$A:$A,0)),0,IF(KM$1&lt;INDEX('Valo FX'!$R:$R,MATCH($A25,'Valo FX'!$A:$A,0)),INDEX(Base!$U:$U,MATCH($A25,Base!$A:$A,0)),IF(KM$1=INDEX('Valo FX'!$R:$R,MATCH($A25,'Valo FX'!$A:$A,0)),INDEX(Base!$V:$V,MATCH($A25,Base!$A:$A,0)),0)))</f>
        <v>11.548920000000001</v>
      </c>
      <c r="KN25" s="21">
        <f>IF(KN$1&lt;INDEX('Valo FX'!$Q:$Q,MATCH($A25,'Valo FX'!$A:$A,0)),0,IF(KN$1&lt;INDEX('Valo FX'!$R:$R,MATCH($A25,'Valo FX'!$A:$A,0)),INDEX(Base!$U:$U,MATCH($A25,Base!$A:$A,0)),IF(KN$1=INDEX('Valo FX'!$R:$R,MATCH($A25,'Valo FX'!$A:$A,0)),INDEX(Base!$V:$V,MATCH($A25,Base!$A:$A,0)),0)))</f>
        <v>11.548920000000001</v>
      </c>
      <c r="KO25" s="21">
        <f>IF(KO$1&lt;INDEX('Valo FX'!$Q:$Q,MATCH($A25,'Valo FX'!$A:$A,0)),0,IF(KO$1&lt;INDEX('Valo FX'!$R:$R,MATCH($A25,'Valo FX'!$A:$A,0)),INDEX(Base!$U:$U,MATCH($A25,Base!$A:$A,0)),IF(KO$1=INDEX('Valo FX'!$R:$R,MATCH($A25,'Valo FX'!$A:$A,0)),INDEX(Base!$V:$V,MATCH($A25,Base!$A:$A,0)),0)))</f>
        <v>11.548920000000001</v>
      </c>
      <c r="KP25" s="21">
        <f>IF(KP$1&lt;INDEX('Valo FX'!$Q:$Q,MATCH($A25,'Valo FX'!$A:$A,0)),0,IF(KP$1&lt;INDEX('Valo FX'!$R:$R,MATCH($A25,'Valo FX'!$A:$A,0)),INDEX(Base!$U:$U,MATCH($A25,Base!$A:$A,0)),IF(KP$1=INDEX('Valo FX'!$R:$R,MATCH($A25,'Valo FX'!$A:$A,0)),INDEX(Base!$V:$V,MATCH($A25,Base!$A:$A,0)),0)))</f>
        <v>11.548920000000001</v>
      </c>
      <c r="KQ25" s="21">
        <f>IF(KQ$1&lt;INDEX('Valo FX'!$Q:$Q,MATCH($A25,'Valo FX'!$A:$A,0)),0,IF(KQ$1&lt;INDEX('Valo FX'!$R:$R,MATCH($A25,'Valo FX'!$A:$A,0)),INDEX(Base!$U:$U,MATCH($A25,Base!$A:$A,0)),IF(KQ$1=INDEX('Valo FX'!$R:$R,MATCH($A25,'Valo FX'!$A:$A,0)),INDEX(Base!$V:$V,MATCH($A25,Base!$A:$A,0)),0)))</f>
        <v>11.548920000000001</v>
      </c>
      <c r="KR25" s="21">
        <f>IF(KR$1&lt;INDEX('Valo FX'!$Q:$Q,MATCH($A25,'Valo FX'!$A:$A,0)),0,IF(KR$1&lt;INDEX('Valo FX'!$R:$R,MATCH($A25,'Valo FX'!$A:$A,0)),INDEX(Base!$U:$U,MATCH($A25,Base!$A:$A,0)),IF(KR$1=INDEX('Valo FX'!$R:$R,MATCH($A25,'Valo FX'!$A:$A,0)),INDEX(Base!$V:$V,MATCH($A25,Base!$A:$A,0)),0)))</f>
        <v>11.548920000000001</v>
      </c>
      <c r="KS25" s="21">
        <f>IF(KS$1&lt;INDEX('Valo FX'!$Q:$Q,MATCH($A25,'Valo FX'!$A:$A,0)),0,IF(KS$1&lt;INDEX('Valo FX'!$R:$R,MATCH($A25,'Valo FX'!$A:$A,0)),INDEX(Base!$U:$U,MATCH($A25,Base!$A:$A,0)),IF(KS$1=INDEX('Valo FX'!$R:$R,MATCH($A25,'Valo FX'!$A:$A,0)),INDEX(Base!$V:$V,MATCH($A25,Base!$A:$A,0)),0)))</f>
        <v>11.548920000000001</v>
      </c>
      <c r="KT25" s="21">
        <f>IF(KT$1&lt;INDEX('Valo FX'!$Q:$Q,MATCH($A25,'Valo FX'!$A:$A,0)),0,IF(KT$1&lt;INDEX('Valo FX'!$R:$R,MATCH($A25,'Valo FX'!$A:$A,0)),INDEX(Base!$U:$U,MATCH($A25,Base!$A:$A,0)),IF(KT$1=INDEX('Valo FX'!$R:$R,MATCH($A25,'Valo FX'!$A:$A,0)),INDEX(Base!$V:$V,MATCH($A25,Base!$A:$A,0)),0)))</f>
        <v>11.548920000000001</v>
      </c>
      <c r="KU25" s="21">
        <f>IF(KU$1&lt;INDEX('Valo FX'!$Q:$Q,MATCH($A25,'Valo FX'!$A:$A,0)),0,IF(KU$1&lt;INDEX('Valo FX'!$R:$R,MATCH($A25,'Valo FX'!$A:$A,0)),INDEX(Base!$U:$U,MATCH($A25,Base!$A:$A,0)),IF(KU$1=INDEX('Valo FX'!$R:$R,MATCH($A25,'Valo FX'!$A:$A,0)),INDEX(Base!$V:$V,MATCH($A25,Base!$A:$A,0)),0)))</f>
        <v>11.548920000000001</v>
      </c>
      <c r="KV25" s="21">
        <f>IF(KV$1&lt;INDEX('Valo FX'!$Q:$Q,MATCH($A25,'Valo FX'!$A:$A,0)),0,IF(KV$1&lt;INDEX('Valo FX'!$R:$R,MATCH($A25,'Valo FX'!$A:$A,0)),INDEX(Base!$U:$U,MATCH($A25,Base!$A:$A,0)),IF(KV$1=INDEX('Valo FX'!$R:$R,MATCH($A25,'Valo FX'!$A:$A,0)),INDEX(Base!$V:$V,MATCH($A25,Base!$A:$A,0)),0)))</f>
        <v>11.548920000000001</v>
      </c>
      <c r="KW25" s="21">
        <f>IF(KW$1&lt;INDEX('Valo FX'!$Q:$Q,MATCH($A25,'Valo FX'!$A:$A,0)),0,IF(KW$1&lt;INDEX('Valo FX'!$R:$R,MATCH($A25,'Valo FX'!$A:$A,0)),INDEX(Base!$U:$U,MATCH($A25,Base!$A:$A,0)),IF(KW$1=INDEX('Valo FX'!$R:$R,MATCH($A25,'Valo FX'!$A:$A,0)),INDEX(Base!$V:$V,MATCH($A25,Base!$A:$A,0)),0)))</f>
        <v>11.548920000000001</v>
      </c>
      <c r="KX25" s="21">
        <f>IF(KX$1&lt;INDEX('Valo FX'!$Q:$Q,MATCH($A25,'Valo FX'!$A:$A,0)),0,IF(KX$1&lt;INDEX('Valo FX'!$R:$R,MATCH($A25,'Valo FX'!$A:$A,0)),INDEX(Base!$U:$U,MATCH($A25,Base!$A:$A,0)),IF(KX$1=INDEX('Valo FX'!$R:$R,MATCH($A25,'Valo FX'!$A:$A,0)),INDEX(Base!$V:$V,MATCH($A25,Base!$A:$A,0)),0)))</f>
        <v>11.548920000000001</v>
      </c>
      <c r="KY25" s="21">
        <f>IF(KY$1&lt;INDEX('Valo FX'!$Q:$Q,MATCH($A25,'Valo FX'!$A:$A,0)),0,IF(KY$1&lt;INDEX('Valo FX'!$R:$R,MATCH($A25,'Valo FX'!$A:$A,0)),INDEX(Base!$U:$U,MATCH($A25,Base!$A:$A,0)),IF(KY$1=INDEX('Valo FX'!$R:$R,MATCH($A25,'Valo FX'!$A:$A,0)),INDEX(Base!$V:$V,MATCH($A25,Base!$A:$A,0)),0)))</f>
        <v>11.548920000000001</v>
      </c>
      <c r="KZ25" s="21">
        <f>IF(KZ$1&lt;INDEX('Valo FX'!$Q:$Q,MATCH($A25,'Valo FX'!$A:$A,0)),0,IF(KZ$1&lt;INDEX('Valo FX'!$R:$R,MATCH($A25,'Valo FX'!$A:$A,0)),INDEX(Base!$U:$U,MATCH($A25,Base!$A:$A,0)),IF(KZ$1=INDEX('Valo FX'!$R:$R,MATCH($A25,'Valo FX'!$A:$A,0)),INDEX(Base!$V:$V,MATCH($A25,Base!$A:$A,0)),0)))</f>
        <v>11.548920000000001</v>
      </c>
      <c r="LA25" s="21">
        <f>IF(LA$1&lt;INDEX('Valo FX'!$Q:$Q,MATCH($A25,'Valo FX'!$A:$A,0)),0,IF(LA$1&lt;INDEX('Valo FX'!$R:$R,MATCH($A25,'Valo FX'!$A:$A,0)),INDEX(Base!$U:$U,MATCH($A25,Base!$A:$A,0)),IF(LA$1=INDEX('Valo FX'!$R:$R,MATCH($A25,'Valo FX'!$A:$A,0)),INDEX(Base!$V:$V,MATCH($A25,Base!$A:$A,0)),0)))</f>
        <v>11.548920000000001</v>
      </c>
      <c r="LB25" s="21">
        <f>IF(LB$1&lt;INDEX('Valo FX'!$Q:$Q,MATCH($A25,'Valo FX'!$A:$A,0)),0,IF(LB$1&lt;INDEX('Valo FX'!$R:$R,MATCH($A25,'Valo FX'!$A:$A,0)),INDEX(Base!$U:$U,MATCH($A25,Base!$A:$A,0)),IF(LB$1=INDEX('Valo FX'!$R:$R,MATCH($A25,'Valo FX'!$A:$A,0)),INDEX(Base!$V:$V,MATCH($A25,Base!$A:$A,0)),0)))</f>
        <v>11.548920000000001</v>
      </c>
      <c r="LC25" s="21">
        <f>IF(LC$1&lt;INDEX('Valo FX'!$Q:$Q,MATCH($A25,'Valo FX'!$A:$A,0)),0,IF(LC$1&lt;INDEX('Valo FX'!$R:$R,MATCH($A25,'Valo FX'!$A:$A,0)),INDEX(Base!$U:$U,MATCH($A25,Base!$A:$A,0)),IF(LC$1=INDEX('Valo FX'!$R:$R,MATCH($A25,'Valo FX'!$A:$A,0)),INDEX(Base!$V:$V,MATCH($A25,Base!$A:$A,0)),0)))</f>
        <v>11.548920000000001</v>
      </c>
      <c r="LD25" s="21">
        <f>IF(LD$1&lt;INDEX('Valo FX'!$Q:$Q,MATCH($A25,'Valo FX'!$A:$A,0)),0,IF(LD$1&lt;INDEX('Valo FX'!$R:$R,MATCH($A25,'Valo FX'!$A:$A,0)),INDEX(Base!$U:$U,MATCH($A25,Base!$A:$A,0)),IF(LD$1=INDEX('Valo FX'!$R:$R,MATCH($A25,'Valo FX'!$A:$A,0)),INDEX(Base!$V:$V,MATCH($A25,Base!$A:$A,0)),0)))</f>
        <v>11.548920000000001</v>
      </c>
      <c r="LE25" s="21">
        <f>IF(LE$1&lt;INDEX('Valo FX'!$Q:$Q,MATCH($A25,'Valo FX'!$A:$A,0)),0,IF(LE$1&lt;INDEX('Valo FX'!$R:$R,MATCH($A25,'Valo FX'!$A:$A,0)),INDEX(Base!$U:$U,MATCH($A25,Base!$A:$A,0)),IF(LE$1=INDEX('Valo FX'!$R:$R,MATCH($A25,'Valo FX'!$A:$A,0)),INDEX(Base!$V:$V,MATCH($A25,Base!$A:$A,0)),0)))</f>
        <v>11.548920000000001</v>
      </c>
      <c r="LF25" s="21">
        <f>IF(LF$1&lt;INDEX('Valo FX'!$Q:$Q,MATCH($A25,'Valo FX'!$A:$A,0)),0,IF(LF$1&lt;INDEX('Valo FX'!$R:$R,MATCH($A25,'Valo FX'!$A:$A,0)),INDEX(Base!$U:$U,MATCH($A25,Base!$A:$A,0)),IF(LF$1=INDEX('Valo FX'!$R:$R,MATCH($A25,'Valo FX'!$A:$A,0)),INDEX(Base!$V:$V,MATCH($A25,Base!$A:$A,0)),0)))</f>
        <v>11.548920000000001</v>
      </c>
      <c r="LG25" s="21">
        <f>IF(LG$1&lt;INDEX('Valo FX'!$Q:$Q,MATCH($A25,'Valo FX'!$A:$A,0)),0,IF(LG$1&lt;INDEX('Valo FX'!$R:$R,MATCH($A25,'Valo FX'!$A:$A,0)),INDEX(Base!$U:$U,MATCH($A25,Base!$A:$A,0)),IF(LG$1=INDEX('Valo FX'!$R:$R,MATCH($A25,'Valo FX'!$A:$A,0)),INDEX(Base!$V:$V,MATCH($A25,Base!$A:$A,0)),0)))</f>
        <v>11.548920000000001</v>
      </c>
      <c r="LH25" s="21">
        <f>IF(LH$1&lt;INDEX('Valo FX'!$Q:$Q,MATCH($A25,'Valo FX'!$A:$A,0)),0,IF(LH$1&lt;INDEX('Valo FX'!$R:$R,MATCH($A25,'Valo FX'!$A:$A,0)),INDEX(Base!$U:$U,MATCH($A25,Base!$A:$A,0)),IF(LH$1=INDEX('Valo FX'!$R:$R,MATCH($A25,'Valo FX'!$A:$A,0)),INDEX(Base!$V:$V,MATCH($A25,Base!$A:$A,0)),0)))</f>
        <v>11.548920000000001</v>
      </c>
      <c r="LI25" s="21">
        <f>IF(LI$1&lt;INDEX('Valo FX'!$Q:$Q,MATCH($A25,'Valo FX'!$A:$A,0)),0,IF(LI$1&lt;INDEX('Valo FX'!$R:$R,MATCH($A25,'Valo FX'!$A:$A,0)),INDEX(Base!$U:$U,MATCH($A25,Base!$A:$A,0)),IF(LI$1=INDEX('Valo FX'!$R:$R,MATCH($A25,'Valo FX'!$A:$A,0)),INDEX(Base!$V:$V,MATCH($A25,Base!$A:$A,0)),0)))</f>
        <v>11.548920000000001</v>
      </c>
      <c r="LJ25" s="21">
        <f>IF(LJ$1&lt;INDEX('Valo FX'!$Q:$Q,MATCH($A25,'Valo FX'!$A:$A,0)),0,IF(LJ$1&lt;INDEX('Valo FX'!$R:$R,MATCH($A25,'Valo FX'!$A:$A,0)),INDEX(Base!$U:$U,MATCH($A25,Base!$A:$A,0)),IF(LJ$1=INDEX('Valo FX'!$R:$R,MATCH($A25,'Valo FX'!$A:$A,0)),INDEX(Base!$V:$V,MATCH($A25,Base!$A:$A,0)),0)))</f>
        <v>11.548920000000001</v>
      </c>
      <c r="LK25" s="21">
        <f>IF(LK$1&lt;INDEX('Valo FX'!$Q:$Q,MATCH($A25,'Valo FX'!$A:$A,0)),0,IF(LK$1&lt;INDEX('Valo FX'!$R:$R,MATCH($A25,'Valo FX'!$A:$A,0)),INDEX(Base!$U:$U,MATCH($A25,Base!$A:$A,0)),IF(LK$1=INDEX('Valo FX'!$R:$R,MATCH($A25,'Valo FX'!$A:$A,0)),INDEX(Base!$V:$V,MATCH($A25,Base!$A:$A,0)),0)))</f>
        <v>11.548920000000001</v>
      </c>
      <c r="LL25" s="21">
        <f>IF(LL$1&lt;INDEX('Valo FX'!$Q:$Q,MATCH($A25,'Valo FX'!$A:$A,0)),0,IF(LL$1&lt;INDEX('Valo FX'!$R:$R,MATCH($A25,'Valo FX'!$A:$A,0)),INDEX(Base!$U:$U,MATCH($A25,Base!$A:$A,0)),IF(LL$1=INDEX('Valo FX'!$R:$R,MATCH($A25,'Valo FX'!$A:$A,0)),INDEX(Base!$V:$V,MATCH($A25,Base!$A:$A,0)),0)))</f>
        <v>11.548920000000001</v>
      </c>
      <c r="LM25" s="21">
        <f>IF(LM$1&lt;INDEX('Valo FX'!$Q:$Q,MATCH($A25,'Valo FX'!$A:$A,0)),0,IF(LM$1&lt;INDEX('Valo FX'!$R:$R,MATCH($A25,'Valo FX'!$A:$A,0)),INDEX(Base!$U:$U,MATCH($A25,Base!$A:$A,0)),IF(LM$1=INDEX('Valo FX'!$R:$R,MATCH($A25,'Valo FX'!$A:$A,0)),INDEX(Base!$V:$V,MATCH($A25,Base!$A:$A,0)),0)))</f>
        <v>11.548920000000001</v>
      </c>
      <c r="LN25" s="21">
        <f>IF(LN$1&lt;INDEX('Valo FX'!$Q:$Q,MATCH($A25,'Valo FX'!$A:$A,0)),0,IF(LN$1&lt;INDEX('Valo FX'!$R:$R,MATCH($A25,'Valo FX'!$A:$A,0)),INDEX(Base!$U:$U,MATCH($A25,Base!$A:$A,0)),IF(LN$1=INDEX('Valo FX'!$R:$R,MATCH($A25,'Valo FX'!$A:$A,0)),INDEX(Base!$V:$V,MATCH($A25,Base!$A:$A,0)),0)))</f>
        <v>11.548920000000001</v>
      </c>
      <c r="LO25" s="21">
        <f>IF(LO$1&lt;INDEX('Valo FX'!$Q:$Q,MATCH($A25,'Valo FX'!$A:$A,0)),0,IF(LO$1&lt;INDEX('Valo FX'!$R:$R,MATCH($A25,'Valo FX'!$A:$A,0)),INDEX(Base!$U:$U,MATCH($A25,Base!$A:$A,0)),IF(LO$1=INDEX('Valo FX'!$R:$R,MATCH($A25,'Valo FX'!$A:$A,0)),INDEX(Base!$V:$V,MATCH($A25,Base!$A:$A,0)),0)))</f>
        <v>12.136100000000001</v>
      </c>
      <c r="LP25" s="21">
        <f>IF(LP$1&lt;INDEX('Valo FX'!$Q:$Q,MATCH($A25,'Valo FX'!$A:$A,0)),0,IF(LP$1&lt;INDEX('Valo FX'!$R:$R,MATCH($A25,'Valo FX'!$A:$A,0)),INDEX(Base!$U:$U,MATCH($A25,Base!$A:$A,0)),IF(LP$1=INDEX('Valo FX'!$R:$R,MATCH($A25,'Valo FX'!$A:$A,0)),INDEX(Base!$V:$V,MATCH($A25,Base!$A:$A,0)),0)))</f>
        <v>0</v>
      </c>
      <c r="LQ25" s="21">
        <f>IF(LQ$1&lt;INDEX('Valo FX'!$Q:$Q,MATCH($A25,'Valo FX'!$A:$A,0)),0,IF(LQ$1&lt;INDEX('Valo FX'!$R:$R,MATCH($A25,'Valo FX'!$A:$A,0)),INDEX(Base!$U:$U,MATCH($A25,Base!$A:$A,0)),IF(LQ$1=INDEX('Valo FX'!$R:$R,MATCH($A25,'Valo FX'!$A:$A,0)),INDEX(Base!$V:$V,MATCH($A25,Base!$A:$A,0)),0)))</f>
        <v>0</v>
      </c>
      <c r="LR25" s="21">
        <f>IF(LR$1&lt;INDEX('Valo FX'!$Q:$Q,MATCH($A25,'Valo FX'!$A:$A,0)),0,IF(LR$1&lt;INDEX('Valo FX'!$R:$R,MATCH($A25,'Valo FX'!$A:$A,0)),INDEX(Base!$U:$U,MATCH($A25,Base!$A:$A,0)),IF(LR$1=INDEX('Valo FX'!$R:$R,MATCH($A25,'Valo FX'!$A:$A,0)),INDEX(Base!$V:$V,MATCH($A25,Base!$A:$A,0)),0)))</f>
        <v>0</v>
      </c>
      <c r="LS25" s="21">
        <f>IF(LS$1&lt;INDEX('Valo FX'!$Q:$Q,MATCH($A25,'Valo FX'!$A:$A,0)),0,IF(LS$1&lt;INDEX('Valo FX'!$R:$R,MATCH($A25,'Valo FX'!$A:$A,0)),INDEX(Base!$U:$U,MATCH($A25,Base!$A:$A,0)),IF(LS$1=INDEX('Valo FX'!$R:$R,MATCH($A25,'Valo FX'!$A:$A,0)),INDEX(Base!$V:$V,MATCH($A25,Base!$A:$A,0)),0)))</f>
        <v>0</v>
      </c>
      <c r="LT25" s="21">
        <f>IF(LT$1&lt;INDEX('Valo FX'!$Q:$Q,MATCH($A25,'Valo FX'!$A:$A,0)),0,IF(LT$1&lt;INDEX('Valo FX'!$R:$R,MATCH($A25,'Valo FX'!$A:$A,0)),INDEX(Base!$U:$U,MATCH($A25,Base!$A:$A,0)),IF(LT$1=INDEX('Valo FX'!$R:$R,MATCH($A25,'Valo FX'!$A:$A,0)),INDEX(Base!$V:$V,MATCH($A25,Base!$A:$A,0)),0)))</f>
        <v>0</v>
      </c>
      <c r="LU25" s="21">
        <f>IF(LU$1&lt;INDEX('Valo FX'!$Q:$Q,MATCH($A25,'Valo FX'!$A:$A,0)),0,IF(LU$1&lt;INDEX('Valo FX'!$R:$R,MATCH($A25,'Valo FX'!$A:$A,0)),INDEX(Base!$U:$U,MATCH($A25,Base!$A:$A,0)),IF(LU$1=INDEX('Valo FX'!$R:$R,MATCH($A25,'Valo FX'!$A:$A,0)),INDEX(Base!$V:$V,MATCH($A25,Base!$A:$A,0)),0)))</f>
        <v>0</v>
      </c>
      <c r="LV25" s="21">
        <f>IF(LV$1&lt;INDEX('Valo FX'!$Q:$Q,MATCH($A25,'Valo FX'!$A:$A,0)),0,IF(LV$1&lt;INDEX('Valo FX'!$R:$R,MATCH($A25,'Valo FX'!$A:$A,0)),INDEX(Base!$U:$U,MATCH($A25,Base!$A:$A,0)),IF(LV$1=INDEX('Valo FX'!$R:$R,MATCH($A25,'Valo FX'!$A:$A,0)),INDEX(Base!$V:$V,MATCH($A25,Base!$A:$A,0)),0)))</f>
        <v>0</v>
      </c>
      <c r="LW25" s="21">
        <f>IF(LW$1&lt;INDEX('Valo FX'!$Q:$Q,MATCH($A25,'Valo FX'!$A:$A,0)),0,IF(LW$1&lt;INDEX('Valo FX'!$R:$R,MATCH($A25,'Valo FX'!$A:$A,0)),INDEX(Base!$U:$U,MATCH($A25,Base!$A:$A,0)),IF(LW$1=INDEX('Valo FX'!$R:$R,MATCH($A25,'Valo FX'!$A:$A,0)),INDEX(Base!$V:$V,MATCH($A25,Base!$A:$A,0)),0)))</f>
        <v>0</v>
      </c>
      <c r="LX25" s="21">
        <f>IF(LX$1&lt;INDEX('Valo FX'!$Q:$Q,MATCH($A25,'Valo FX'!$A:$A,0)),0,IF(LX$1&lt;INDEX('Valo FX'!$R:$R,MATCH($A25,'Valo FX'!$A:$A,0)),INDEX(Base!$U:$U,MATCH($A25,Base!$A:$A,0)),IF(LX$1=INDEX('Valo FX'!$R:$R,MATCH($A25,'Valo FX'!$A:$A,0)),INDEX(Base!$V:$V,MATCH($A25,Base!$A:$A,0)),0)))</f>
        <v>0</v>
      </c>
      <c r="LY25" s="21">
        <f>IF(LY$1&lt;INDEX('Valo FX'!$Q:$Q,MATCH($A25,'Valo FX'!$A:$A,0)),0,IF(LY$1&lt;INDEX('Valo FX'!$R:$R,MATCH($A25,'Valo FX'!$A:$A,0)),INDEX(Base!$U:$U,MATCH($A25,Base!$A:$A,0)),IF(LY$1=INDEX('Valo FX'!$R:$R,MATCH($A25,'Valo FX'!$A:$A,0)),INDEX(Base!$V:$V,MATCH($A25,Base!$A:$A,0)),0)))</f>
        <v>0</v>
      </c>
      <c r="LZ25" s="21">
        <f>IF(LZ$1&lt;INDEX('Valo FX'!$Q:$Q,MATCH($A25,'Valo FX'!$A:$A,0)),0,IF(LZ$1&lt;INDEX('Valo FX'!$R:$R,MATCH($A25,'Valo FX'!$A:$A,0)),INDEX(Base!$U:$U,MATCH($A25,Base!$A:$A,0)),IF(LZ$1=INDEX('Valo FX'!$R:$R,MATCH($A25,'Valo FX'!$A:$A,0)),INDEX(Base!$V:$V,MATCH($A25,Base!$A:$A,0)),0)))</f>
        <v>0</v>
      </c>
      <c r="MA25" s="21">
        <f>IF(MA$1&lt;INDEX('Valo FX'!$Q:$Q,MATCH($A25,'Valo FX'!$A:$A,0)),0,IF(MA$1&lt;INDEX('Valo FX'!$R:$R,MATCH($A25,'Valo FX'!$A:$A,0)),INDEX(Base!$U:$U,MATCH($A25,Base!$A:$A,0)),IF(MA$1=INDEX('Valo FX'!$R:$R,MATCH($A25,'Valo FX'!$A:$A,0)),INDEX(Base!$V:$V,MATCH($A25,Base!$A:$A,0)),0)))</f>
        <v>0</v>
      </c>
      <c r="MB25" s="21">
        <f>IF(MB$1&lt;INDEX('Valo FX'!$Q:$Q,MATCH($A25,'Valo FX'!$A:$A,0)),0,IF(MB$1&lt;INDEX('Valo FX'!$R:$R,MATCH($A25,'Valo FX'!$A:$A,0)),INDEX(Base!$U:$U,MATCH($A25,Base!$A:$A,0)),IF(MB$1=INDEX('Valo FX'!$R:$R,MATCH($A25,'Valo FX'!$A:$A,0)),INDEX(Base!$V:$V,MATCH($A25,Base!$A:$A,0)),0)))</f>
        <v>0</v>
      </c>
      <c r="MC25" s="21">
        <f>IF(MC$1&lt;INDEX('Valo FX'!$Q:$Q,MATCH($A25,'Valo FX'!$A:$A,0)),0,IF(MC$1&lt;INDEX('Valo FX'!$R:$R,MATCH($A25,'Valo FX'!$A:$A,0)),INDEX(Base!$U:$U,MATCH($A25,Base!$A:$A,0)),IF(MC$1=INDEX('Valo FX'!$R:$R,MATCH($A25,'Valo FX'!$A:$A,0)),INDEX(Base!$V:$V,MATCH($A25,Base!$A:$A,0)),0)))</f>
        <v>0</v>
      </c>
      <c r="MD25" s="21">
        <f>IF(MD$1&lt;INDEX('Valo FX'!$Q:$Q,MATCH($A25,'Valo FX'!$A:$A,0)),0,IF(MD$1&lt;INDEX('Valo FX'!$R:$R,MATCH($A25,'Valo FX'!$A:$A,0)),INDEX(Base!$U:$U,MATCH($A25,Base!$A:$A,0)),IF(MD$1=INDEX('Valo FX'!$R:$R,MATCH($A25,'Valo FX'!$A:$A,0)),INDEX(Base!$V:$V,MATCH($A25,Base!$A:$A,0)),0)))</f>
        <v>0</v>
      </c>
      <c r="ME25" s="21">
        <f>IF(ME$1&lt;INDEX('Valo FX'!$Q:$Q,MATCH($A25,'Valo FX'!$A:$A,0)),0,IF(ME$1&lt;INDEX('Valo FX'!$R:$R,MATCH($A25,'Valo FX'!$A:$A,0)),INDEX(Base!$U:$U,MATCH($A25,Base!$A:$A,0)),IF(ME$1=INDEX('Valo FX'!$R:$R,MATCH($A25,'Valo FX'!$A:$A,0)),INDEX(Base!$V:$V,MATCH($A25,Base!$A:$A,0)),0)))</f>
        <v>0</v>
      </c>
      <c r="MF25" s="21">
        <f>IF(MF$1&lt;INDEX('Valo FX'!$Q:$Q,MATCH($A25,'Valo FX'!$A:$A,0)),0,IF(MF$1&lt;INDEX('Valo FX'!$R:$R,MATCH($A25,'Valo FX'!$A:$A,0)),INDEX(Base!$U:$U,MATCH($A25,Base!$A:$A,0)),IF(MF$1=INDEX('Valo FX'!$R:$R,MATCH($A25,'Valo FX'!$A:$A,0)),INDEX(Base!$V:$V,MATCH($A25,Base!$A:$A,0)),0)))</f>
        <v>0</v>
      </c>
      <c r="MG25" s="21">
        <f>IF(MG$1&lt;INDEX('Valo FX'!$Q:$Q,MATCH($A25,'Valo FX'!$A:$A,0)),0,IF(MG$1&lt;INDEX('Valo FX'!$R:$R,MATCH($A25,'Valo FX'!$A:$A,0)),INDEX(Base!$U:$U,MATCH($A25,Base!$A:$A,0)),IF(MG$1=INDEX('Valo FX'!$R:$R,MATCH($A25,'Valo FX'!$A:$A,0)),INDEX(Base!$V:$V,MATCH($A25,Base!$A:$A,0)),0)))</f>
        <v>0</v>
      </c>
      <c r="MH25" s="21">
        <f>IF(MH$1&lt;INDEX('Valo FX'!$Q:$Q,MATCH($A25,'Valo FX'!$A:$A,0)),0,IF(MH$1&lt;INDEX('Valo FX'!$R:$R,MATCH($A25,'Valo FX'!$A:$A,0)),INDEX(Base!$U:$U,MATCH($A25,Base!$A:$A,0)),IF(MH$1=INDEX('Valo FX'!$R:$R,MATCH($A25,'Valo FX'!$A:$A,0)),INDEX(Base!$V:$V,MATCH($A25,Base!$A:$A,0)),0)))</f>
        <v>0</v>
      </c>
      <c r="MI25" s="21">
        <f>IF(MI$1&lt;INDEX('Valo FX'!$Q:$Q,MATCH($A25,'Valo FX'!$A:$A,0)),0,IF(MI$1&lt;INDEX('Valo FX'!$R:$R,MATCH($A25,'Valo FX'!$A:$A,0)),INDEX(Base!$U:$U,MATCH($A25,Base!$A:$A,0)),IF(MI$1=INDEX('Valo FX'!$R:$R,MATCH($A25,'Valo FX'!$A:$A,0)),INDEX(Base!$V:$V,MATCH($A25,Base!$A:$A,0)),0)))</f>
        <v>0</v>
      </c>
      <c r="MJ25" s="21">
        <f>IF(MJ$1&lt;INDEX('Valo FX'!$Q:$Q,MATCH($A25,'Valo FX'!$A:$A,0)),0,IF(MJ$1&lt;INDEX('Valo FX'!$R:$R,MATCH($A25,'Valo FX'!$A:$A,0)),INDEX(Base!$U:$U,MATCH($A25,Base!$A:$A,0)),IF(MJ$1=INDEX('Valo FX'!$R:$R,MATCH($A25,'Valo FX'!$A:$A,0)),INDEX(Base!$V:$V,MATCH($A25,Base!$A:$A,0)),0)))</f>
        <v>0</v>
      </c>
      <c r="MK25" s="21">
        <f>IF(MK$1&lt;INDEX('Valo FX'!$Q:$Q,MATCH($A25,'Valo FX'!$A:$A,0)),0,IF(MK$1&lt;INDEX('Valo FX'!$R:$R,MATCH($A25,'Valo FX'!$A:$A,0)),INDEX(Base!$U:$U,MATCH($A25,Base!$A:$A,0)),IF(MK$1=INDEX('Valo FX'!$R:$R,MATCH($A25,'Valo FX'!$A:$A,0)),INDEX(Base!$V:$V,MATCH($A25,Base!$A:$A,0)),0)))</f>
        <v>0</v>
      </c>
      <c r="ML25" s="21">
        <f>IF(ML$1&lt;INDEX('Valo FX'!$Q:$Q,MATCH($A25,'Valo FX'!$A:$A,0)),0,IF(ML$1&lt;INDEX('Valo FX'!$R:$R,MATCH($A25,'Valo FX'!$A:$A,0)),INDEX(Base!$U:$U,MATCH($A25,Base!$A:$A,0)),IF(ML$1=INDEX('Valo FX'!$R:$R,MATCH($A25,'Valo FX'!$A:$A,0)),INDEX(Base!$V:$V,MATCH($A25,Base!$A:$A,0)),0)))</f>
        <v>0</v>
      </c>
      <c r="MM25" s="21">
        <f>IF(MM$1&lt;INDEX('Valo FX'!$Q:$Q,MATCH($A25,'Valo FX'!$A:$A,0)),0,IF(MM$1&lt;INDEX('Valo FX'!$R:$R,MATCH($A25,'Valo FX'!$A:$A,0)),INDEX(Base!$U:$U,MATCH($A25,Base!$A:$A,0)),IF(MM$1=INDEX('Valo FX'!$R:$R,MATCH($A25,'Valo FX'!$A:$A,0)),INDEX(Base!$V:$V,MATCH($A25,Base!$A:$A,0)),0)))</f>
        <v>0</v>
      </c>
      <c r="MN25" s="21">
        <f>IF(MN$1&lt;INDEX('Valo FX'!$Q:$Q,MATCH($A25,'Valo FX'!$A:$A,0)),0,IF(MN$1&lt;INDEX('Valo FX'!$R:$R,MATCH($A25,'Valo FX'!$A:$A,0)),INDEX(Base!$U:$U,MATCH($A25,Base!$A:$A,0)),IF(MN$1=INDEX('Valo FX'!$R:$R,MATCH($A25,'Valo FX'!$A:$A,0)),INDEX(Base!$V:$V,MATCH($A25,Base!$A:$A,0)),0)))</f>
        <v>0</v>
      </c>
      <c r="MO25" s="21">
        <f>IF(MO$1&lt;INDEX('Valo FX'!$Q:$Q,MATCH($A25,'Valo FX'!$A:$A,0)),0,IF(MO$1&lt;INDEX('Valo FX'!$R:$R,MATCH($A25,'Valo FX'!$A:$A,0)),INDEX(Base!$U:$U,MATCH($A25,Base!$A:$A,0)),IF(MO$1=INDEX('Valo FX'!$R:$R,MATCH($A25,'Valo FX'!$A:$A,0)),INDEX(Base!$V:$V,MATCH($A25,Base!$A:$A,0)),0)))</f>
        <v>0</v>
      </c>
      <c r="MP25" s="21">
        <f>IF(MP$1&lt;INDEX('Valo FX'!$Q:$Q,MATCH($A25,'Valo FX'!$A:$A,0)),0,IF(MP$1&lt;INDEX('Valo FX'!$R:$R,MATCH($A25,'Valo FX'!$A:$A,0)),INDEX(Base!$U:$U,MATCH($A25,Base!$A:$A,0)),IF(MP$1=INDEX('Valo FX'!$R:$R,MATCH($A25,'Valo FX'!$A:$A,0)),INDEX(Base!$V:$V,MATCH($A25,Base!$A:$A,0)),0)))</f>
        <v>0</v>
      </c>
      <c r="MQ25" s="21">
        <f>IF(MQ$1&lt;INDEX('Valo FX'!$Q:$Q,MATCH($A25,'Valo FX'!$A:$A,0)),0,IF(MQ$1&lt;INDEX('Valo FX'!$R:$R,MATCH($A25,'Valo FX'!$A:$A,0)),INDEX(Base!$U:$U,MATCH($A25,Base!$A:$A,0)),IF(MQ$1=INDEX('Valo FX'!$R:$R,MATCH($A25,'Valo FX'!$A:$A,0)),INDEX(Base!$V:$V,MATCH($A25,Base!$A:$A,0)),0)))</f>
        <v>0</v>
      </c>
      <c r="MR25" s="21">
        <f>IF(MR$1&lt;INDEX('Valo FX'!$Q:$Q,MATCH($A25,'Valo FX'!$A:$A,0)),0,IF(MR$1&lt;INDEX('Valo FX'!$R:$R,MATCH($A25,'Valo FX'!$A:$A,0)),INDEX(Base!$U:$U,MATCH($A25,Base!$A:$A,0)),IF(MR$1=INDEX('Valo FX'!$R:$R,MATCH($A25,'Valo FX'!$A:$A,0)),INDEX(Base!$V:$V,MATCH($A25,Base!$A:$A,0)),0)))</f>
        <v>0</v>
      </c>
      <c r="MS25" s="21">
        <f>IF(MS$1&lt;INDEX('Valo FX'!$Q:$Q,MATCH($A25,'Valo FX'!$A:$A,0)),0,IF(MS$1&lt;INDEX('Valo FX'!$R:$R,MATCH($A25,'Valo FX'!$A:$A,0)),INDEX(Base!$U:$U,MATCH($A25,Base!$A:$A,0)),IF(MS$1=INDEX('Valo FX'!$R:$R,MATCH($A25,'Valo FX'!$A:$A,0)),INDEX(Base!$V:$V,MATCH($A25,Base!$A:$A,0)),0)))</f>
        <v>0</v>
      </c>
      <c r="MT25" s="21">
        <f>IF(MT$1&lt;INDEX('Valo FX'!$Q:$Q,MATCH($A25,'Valo FX'!$A:$A,0)),0,IF(MT$1&lt;INDEX('Valo FX'!$R:$R,MATCH($A25,'Valo FX'!$A:$A,0)),INDEX(Base!$U:$U,MATCH($A25,Base!$A:$A,0)),IF(MT$1=INDEX('Valo FX'!$R:$R,MATCH($A25,'Valo FX'!$A:$A,0)),INDEX(Base!$V:$V,MATCH($A25,Base!$A:$A,0)),0)))</f>
        <v>0</v>
      </c>
      <c r="MU25" s="21">
        <f>IF(MU$1&lt;INDEX('Valo FX'!$Q:$Q,MATCH($A25,'Valo FX'!$A:$A,0)),0,IF(MU$1&lt;INDEX('Valo FX'!$R:$R,MATCH($A25,'Valo FX'!$A:$A,0)),INDEX(Base!$U:$U,MATCH($A25,Base!$A:$A,0)),IF(MU$1=INDEX('Valo FX'!$R:$R,MATCH($A25,'Valo FX'!$A:$A,0)),INDEX(Base!$V:$V,MATCH($A25,Base!$A:$A,0)),0)))</f>
        <v>0</v>
      </c>
      <c r="MV25" s="21">
        <f>IF(MV$1&lt;INDEX('Valo FX'!$Q:$Q,MATCH($A25,'Valo FX'!$A:$A,0)),0,IF(MV$1&lt;INDEX('Valo FX'!$R:$R,MATCH($A25,'Valo FX'!$A:$A,0)),INDEX(Base!$U:$U,MATCH($A25,Base!$A:$A,0)),IF(MV$1=INDEX('Valo FX'!$R:$R,MATCH($A25,'Valo FX'!$A:$A,0)),INDEX(Base!$V:$V,MATCH($A25,Base!$A:$A,0)),0)))</f>
        <v>0</v>
      </c>
      <c r="MW25" s="21">
        <f>IF(MW$1&lt;INDEX('Valo FX'!$Q:$Q,MATCH($A25,'Valo FX'!$A:$A,0)),0,IF(MW$1&lt;INDEX('Valo FX'!$R:$R,MATCH($A25,'Valo FX'!$A:$A,0)),INDEX(Base!$U:$U,MATCH($A25,Base!$A:$A,0)),IF(MW$1=INDEX('Valo FX'!$R:$R,MATCH($A25,'Valo FX'!$A:$A,0)),INDEX(Base!$V:$V,MATCH($A25,Base!$A:$A,0)),0)))</f>
        <v>0</v>
      </c>
      <c r="MX25" s="21">
        <f>IF(MX$1&lt;INDEX('Valo FX'!$Q:$Q,MATCH($A25,'Valo FX'!$A:$A,0)),0,IF(MX$1&lt;INDEX('Valo FX'!$R:$R,MATCH($A25,'Valo FX'!$A:$A,0)),INDEX(Base!$U:$U,MATCH($A25,Base!$A:$A,0)),IF(MX$1=INDEX('Valo FX'!$R:$R,MATCH($A25,'Valo FX'!$A:$A,0)),INDEX(Base!$V:$V,MATCH($A25,Base!$A:$A,0)),0)))</f>
        <v>0</v>
      </c>
      <c r="MY25" s="21">
        <f>IF(MY$1&lt;INDEX('Valo FX'!$Q:$Q,MATCH($A25,'Valo FX'!$A:$A,0)),0,IF(MY$1&lt;INDEX('Valo FX'!$R:$R,MATCH($A25,'Valo FX'!$A:$A,0)),INDEX(Base!$U:$U,MATCH($A25,Base!$A:$A,0)),IF(MY$1=INDEX('Valo FX'!$R:$R,MATCH($A25,'Valo FX'!$A:$A,0)),INDEX(Base!$V:$V,MATCH($A25,Base!$A:$A,0)),0)))</f>
        <v>0</v>
      </c>
    </row>
    <row r="26" spans="1:363" x14ac:dyDescent="0.25">
      <c r="A26" s="7">
        <f t="shared" si="12"/>
        <v>24</v>
      </c>
      <c r="B26" s="59">
        <f>-'Valo FX'!T27</f>
        <v>-1787.9164492292628</v>
      </c>
      <c r="C26" s="21">
        <f>IF(C$1&lt;INDEX('Valo FX'!$Q:$Q,MATCH($A26,'Valo FX'!$A:$A,0)),0,IF(C$1&lt;INDEX('Valo FX'!$R:$R,MATCH($A26,'Valo FX'!$A:$A,0)),INDEX(Base!$U:$U,MATCH($A26,Base!$A:$A,0)),IF(C$1=INDEX('Valo FX'!$R:$R,MATCH($A26,'Valo FX'!$A:$A,0)),INDEX(Base!$V:$V,MATCH($A26,Base!$A:$A,0)),0)))</f>
        <v>0</v>
      </c>
      <c r="D26" s="21">
        <f>IF(D$1&lt;INDEX('Valo FX'!$Q:$Q,MATCH($A26,'Valo FX'!$A:$A,0)),0,IF(D$1&lt;INDEX('Valo FX'!$R:$R,MATCH($A26,'Valo FX'!$A:$A,0)),INDEX(Base!$U:$U,MATCH($A26,Base!$A:$A,0)),IF(D$1=INDEX('Valo FX'!$R:$R,MATCH($A26,'Valo FX'!$A:$A,0)),INDEX(Base!$V:$V,MATCH($A26,Base!$A:$A,0)),0)))</f>
        <v>0</v>
      </c>
      <c r="E26" s="21">
        <f>IF(E$1&lt;INDEX('Valo FX'!$Q:$Q,MATCH($A26,'Valo FX'!$A:$A,0)),0,IF(E$1&lt;INDEX('Valo FX'!$R:$R,MATCH($A26,'Valo FX'!$A:$A,0)),INDEX(Base!$U:$U,MATCH($A26,Base!$A:$A,0)),IF(E$1=INDEX('Valo FX'!$R:$R,MATCH($A26,'Valo FX'!$A:$A,0)),INDEX(Base!$V:$V,MATCH($A26,Base!$A:$A,0)),0)))</f>
        <v>0</v>
      </c>
      <c r="F26" s="21">
        <f>IF(F$1&lt;INDEX('Valo FX'!$Q:$Q,MATCH($A26,'Valo FX'!$A:$A,0)),0,IF(F$1&lt;INDEX('Valo FX'!$R:$R,MATCH($A26,'Valo FX'!$A:$A,0)),INDEX(Base!$U:$U,MATCH($A26,Base!$A:$A,0)),IF(F$1=INDEX('Valo FX'!$R:$R,MATCH($A26,'Valo FX'!$A:$A,0)),INDEX(Base!$V:$V,MATCH($A26,Base!$A:$A,0)),0)))</f>
        <v>0</v>
      </c>
      <c r="G26" s="21">
        <f>IF(G$1&lt;INDEX('Valo FX'!$Q:$Q,MATCH($A26,'Valo FX'!$A:$A,0)),0,IF(G$1&lt;INDEX('Valo FX'!$R:$R,MATCH($A26,'Valo FX'!$A:$A,0)),INDEX(Base!$U:$U,MATCH($A26,Base!$A:$A,0)),IF(G$1=INDEX('Valo FX'!$R:$R,MATCH($A26,'Valo FX'!$A:$A,0)),INDEX(Base!$V:$V,MATCH($A26,Base!$A:$A,0)),0)))</f>
        <v>0</v>
      </c>
      <c r="H26" s="21">
        <f>IF(H$1&lt;INDEX('Valo FX'!$Q:$Q,MATCH($A26,'Valo FX'!$A:$A,0)),0,IF(H$1&lt;INDEX('Valo FX'!$R:$R,MATCH($A26,'Valo FX'!$A:$A,0)),INDEX(Base!$U:$U,MATCH($A26,Base!$A:$A,0)),IF(H$1=INDEX('Valo FX'!$R:$R,MATCH($A26,'Valo FX'!$A:$A,0)),INDEX(Base!$V:$V,MATCH($A26,Base!$A:$A,0)),0)))</f>
        <v>0</v>
      </c>
      <c r="I26" s="21">
        <f>IF(I$1&lt;INDEX('Valo FX'!$Q:$Q,MATCH($A26,'Valo FX'!$A:$A,0)),0,IF(I$1&lt;INDEX('Valo FX'!$R:$R,MATCH($A26,'Valo FX'!$A:$A,0)),INDEX(Base!$U:$U,MATCH($A26,Base!$A:$A,0)),IF(I$1=INDEX('Valo FX'!$R:$R,MATCH($A26,'Valo FX'!$A:$A,0)),INDEX(Base!$V:$V,MATCH($A26,Base!$A:$A,0)),0)))</f>
        <v>12.249840000000001</v>
      </c>
      <c r="J26" s="21">
        <f>IF(J$1&lt;INDEX('Valo FX'!$Q:$Q,MATCH($A26,'Valo FX'!$A:$A,0)),0,IF(J$1&lt;INDEX('Valo FX'!$R:$R,MATCH($A26,'Valo FX'!$A:$A,0)),INDEX(Base!$U:$U,MATCH($A26,Base!$A:$A,0)),IF(J$1=INDEX('Valo FX'!$R:$R,MATCH($A26,'Valo FX'!$A:$A,0)),INDEX(Base!$V:$V,MATCH($A26,Base!$A:$A,0)),0)))</f>
        <v>12.249840000000001</v>
      </c>
      <c r="K26" s="21">
        <f>IF(K$1&lt;INDEX('Valo FX'!$Q:$Q,MATCH($A26,'Valo FX'!$A:$A,0)),0,IF(K$1&lt;INDEX('Valo FX'!$R:$R,MATCH($A26,'Valo FX'!$A:$A,0)),INDEX(Base!$U:$U,MATCH($A26,Base!$A:$A,0)),IF(K$1=INDEX('Valo FX'!$R:$R,MATCH($A26,'Valo FX'!$A:$A,0)),INDEX(Base!$V:$V,MATCH($A26,Base!$A:$A,0)),0)))</f>
        <v>12.249840000000001</v>
      </c>
      <c r="L26" s="21">
        <f>IF(L$1&lt;INDEX('Valo FX'!$Q:$Q,MATCH($A26,'Valo FX'!$A:$A,0)),0,IF(L$1&lt;INDEX('Valo FX'!$R:$R,MATCH($A26,'Valo FX'!$A:$A,0)),INDEX(Base!$U:$U,MATCH($A26,Base!$A:$A,0)),IF(L$1=INDEX('Valo FX'!$R:$R,MATCH($A26,'Valo FX'!$A:$A,0)),INDEX(Base!$V:$V,MATCH($A26,Base!$A:$A,0)),0)))</f>
        <v>12.249840000000001</v>
      </c>
      <c r="M26" s="21">
        <f>IF(M$1&lt;INDEX('Valo FX'!$Q:$Q,MATCH($A26,'Valo FX'!$A:$A,0)),0,IF(M$1&lt;INDEX('Valo FX'!$R:$R,MATCH($A26,'Valo FX'!$A:$A,0)),INDEX(Base!$U:$U,MATCH($A26,Base!$A:$A,0)),IF(M$1=INDEX('Valo FX'!$R:$R,MATCH($A26,'Valo FX'!$A:$A,0)),INDEX(Base!$V:$V,MATCH($A26,Base!$A:$A,0)),0)))</f>
        <v>12.249840000000001</v>
      </c>
      <c r="N26" s="21">
        <f>IF(N$1&lt;INDEX('Valo FX'!$Q:$Q,MATCH($A26,'Valo FX'!$A:$A,0)),0,IF(N$1&lt;INDEX('Valo FX'!$R:$R,MATCH($A26,'Valo FX'!$A:$A,0)),INDEX(Base!$U:$U,MATCH($A26,Base!$A:$A,0)),IF(N$1=INDEX('Valo FX'!$R:$R,MATCH($A26,'Valo FX'!$A:$A,0)),INDEX(Base!$V:$V,MATCH($A26,Base!$A:$A,0)),0)))</f>
        <v>12.249840000000001</v>
      </c>
      <c r="O26" s="21">
        <f>IF(O$1&lt;INDEX('Valo FX'!$Q:$Q,MATCH($A26,'Valo FX'!$A:$A,0)),0,IF(O$1&lt;INDEX('Valo FX'!$R:$R,MATCH($A26,'Valo FX'!$A:$A,0)),INDEX(Base!$U:$U,MATCH($A26,Base!$A:$A,0)),IF(O$1=INDEX('Valo FX'!$R:$R,MATCH($A26,'Valo FX'!$A:$A,0)),INDEX(Base!$V:$V,MATCH($A26,Base!$A:$A,0)),0)))</f>
        <v>12.249840000000001</v>
      </c>
      <c r="P26" s="21">
        <f>IF(P$1&lt;INDEX('Valo FX'!$Q:$Q,MATCH($A26,'Valo FX'!$A:$A,0)),0,IF(P$1&lt;INDEX('Valo FX'!$R:$R,MATCH($A26,'Valo FX'!$A:$A,0)),INDEX(Base!$U:$U,MATCH($A26,Base!$A:$A,0)),IF(P$1=INDEX('Valo FX'!$R:$R,MATCH($A26,'Valo FX'!$A:$A,0)),INDEX(Base!$V:$V,MATCH($A26,Base!$A:$A,0)),0)))</f>
        <v>12.249840000000001</v>
      </c>
      <c r="Q26" s="21">
        <f>IF(Q$1&lt;INDEX('Valo FX'!$Q:$Q,MATCH($A26,'Valo FX'!$A:$A,0)),0,IF(Q$1&lt;INDEX('Valo FX'!$R:$R,MATCH($A26,'Valo FX'!$A:$A,0)),INDEX(Base!$U:$U,MATCH($A26,Base!$A:$A,0)),IF(Q$1=INDEX('Valo FX'!$R:$R,MATCH($A26,'Valo FX'!$A:$A,0)),INDEX(Base!$V:$V,MATCH($A26,Base!$A:$A,0)),0)))</f>
        <v>12.249840000000001</v>
      </c>
      <c r="R26" s="21">
        <f>IF(R$1&lt;INDEX('Valo FX'!$Q:$Q,MATCH($A26,'Valo FX'!$A:$A,0)),0,IF(R$1&lt;INDEX('Valo FX'!$R:$R,MATCH($A26,'Valo FX'!$A:$A,0)),INDEX(Base!$U:$U,MATCH($A26,Base!$A:$A,0)),IF(R$1=INDEX('Valo FX'!$R:$R,MATCH($A26,'Valo FX'!$A:$A,0)),INDEX(Base!$V:$V,MATCH($A26,Base!$A:$A,0)),0)))</f>
        <v>12.249840000000001</v>
      </c>
      <c r="S26" s="21">
        <f>IF(S$1&lt;INDEX('Valo FX'!$Q:$Q,MATCH($A26,'Valo FX'!$A:$A,0)),0,IF(S$1&lt;INDEX('Valo FX'!$R:$R,MATCH($A26,'Valo FX'!$A:$A,0)),INDEX(Base!$U:$U,MATCH($A26,Base!$A:$A,0)),IF(S$1=INDEX('Valo FX'!$R:$R,MATCH($A26,'Valo FX'!$A:$A,0)),INDEX(Base!$V:$V,MATCH($A26,Base!$A:$A,0)),0)))</f>
        <v>12.249840000000001</v>
      </c>
      <c r="T26" s="21">
        <f>IF(T$1&lt;INDEX('Valo FX'!$Q:$Q,MATCH($A26,'Valo FX'!$A:$A,0)),0,IF(T$1&lt;INDEX('Valo FX'!$R:$R,MATCH($A26,'Valo FX'!$A:$A,0)),INDEX(Base!$U:$U,MATCH($A26,Base!$A:$A,0)),IF(T$1=INDEX('Valo FX'!$R:$R,MATCH($A26,'Valo FX'!$A:$A,0)),INDEX(Base!$V:$V,MATCH($A26,Base!$A:$A,0)),0)))</f>
        <v>12.249840000000001</v>
      </c>
      <c r="U26" s="21">
        <f>IF(U$1&lt;INDEX('Valo FX'!$Q:$Q,MATCH($A26,'Valo FX'!$A:$A,0)),0,IF(U$1&lt;INDEX('Valo FX'!$R:$R,MATCH($A26,'Valo FX'!$A:$A,0)),INDEX(Base!$U:$U,MATCH($A26,Base!$A:$A,0)),IF(U$1=INDEX('Valo FX'!$R:$R,MATCH($A26,'Valo FX'!$A:$A,0)),INDEX(Base!$V:$V,MATCH($A26,Base!$A:$A,0)),0)))</f>
        <v>12.249840000000001</v>
      </c>
      <c r="V26" s="21">
        <f>IF(V$1&lt;INDEX('Valo FX'!$Q:$Q,MATCH($A26,'Valo FX'!$A:$A,0)),0,IF(V$1&lt;INDEX('Valo FX'!$R:$R,MATCH($A26,'Valo FX'!$A:$A,0)),INDEX(Base!$U:$U,MATCH($A26,Base!$A:$A,0)),IF(V$1=INDEX('Valo FX'!$R:$R,MATCH($A26,'Valo FX'!$A:$A,0)),INDEX(Base!$V:$V,MATCH($A26,Base!$A:$A,0)),0)))</f>
        <v>12.249840000000001</v>
      </c>
      <c r="W26" s="21">
        <f>IF(W$1&lt;INDEX('Valo FX'!$Q:$Q,MATCH($A26,'Valo FX'!$A:$A,0)),0,IF(W$1&lt;INDEX('Valo FX'!$R:$R,MATCH($A26,'Valo FX'!$A:$A,0)),INDEX(Base!$U:$U,MATCH($A26,Base!$A:$A,0)),IF(W$1=INDEX('Valo FX'!$R:$R,MATCH($A26,'Valo FX'!$A:$A,0)),INDEX(Base!$V:$V,MATCH($A26,Base!$A:$A,0)),0)))</f>
        <v>12.249840000000001</v>
      </c>
      <c r="X26" s="21">
        <f>IF(X$1&lt;INDEX('Valo FX'!$Q:$Q,MATCH($A26,'Valo FX'!$A:$A,0)),0,IF(X$1&lt;INDEX('Valo FX'!$R:$R,MATCH($A26,'Valo FX'!$A:$A,0)),INDEX(Base!$U:$U,MATCH($A26,Base!$A:$A,0)),IF(X$1=INDEX('Valo FX'!$R:$R,MATCH($A26,'Valo FX'!$A:$A,0)),INDEX(Base!$V:$V,MATCH($A26,Base!$A:$A,0)),0)))</f>
        <v>12.249840000000001</v>
      </c>
      <c r="Y26" s="21">
        <f>IF(Y$1&lt;INDEX('Valo FX'!$Q:$Q,MATCH($A26,'Valo FX'!$A:$A,0)),0,IF(Y$1&lt;INDEX('Valo FX'!$R:$R,MATCH($A26,'Valo FX'!$A:$A,0)),INDEX(Base!$U:$U,MATCH($A26,Base!$A:$A,0)),IF(Y$1=INDEX('Valo FX'!$R:$R,MATCH($A26,'Valo FX'!$A:$A,0)),INDEX(Base!$V:$V,MATCH($A26,Base!$A:$A,0)),0)))</f>
        <v>12.249840000000001</v>
      </c>
      <c r="Z26" s="21">
        <f>IF(Z$1&lt;INDEX('Valo FX'!$Q:$Q,MATCH($A26,'Valo FX'!$A:$A,0)),0,IF(Z$1&lt;INDEX('Valo FX'!$R:$R,MATCH($A26,'Valo FX'!$A:$A,0)),INDEX(Base!$U:$U,MATCH($A26,Base!$A:$A,0)),IF(Z$1=INDEX('Valo FX'!$R:$R,MATCH($A26,'Valo FX'!$A:$A,0)),INDEX(Base!$V:$V,MATCH($A26,Base!$A:$A,0)),0)))</f>
        <v>12.249840000000001</v>
      </c>
      <c r="AA26" s="21">
        <f>IF(AA$1&lt;INDEX('Valo FX'!$Q:$Q,MATCH($A26,'Valo FX'!$A:$A,0)),0,IF(AA$1&lt;INDEX('Valo FX'!$R:$R,MATCH($A26,'Valo FX'!$A:$A,0)),INDEX(Base!$U:$U,MATCH($A26,Base!$A:$A,0)),IF(AA$1=INDEX('Valo FX'!$R:$R,MATCH($A26,'Valo FX'!$A:$A,0)),INDEX(Base!$V:$V,MATCH($A26,Base!$A:$A,0)),0)))</f>
        <v>12.249840000000001</v>
      </c>
      <c r="AB26" s="21">
        <f>IF(AB$1&lt;INDEX('Valo FX'!$Q:$Q,MATCH($A26,'Valo FX'!$A:$A,0)),0,IF(AB$1&lt;INDEX('Valo FX'!$R:$R,MATCH($A26,'Valo FX'!$A:$A,0)),INDEX(Base!$U:$U,MATCH($A26,Base!$A:$A,0)),IF(AB$1=INDEX('Valo FX'!$R:$R,MATCH($A26,'Valo FX'!$A:$A,0)),INDEX(Base!$V:$V,MATCH($A26,Base!$A:$A,0)),0)))</f>
        <v>12.249840000000001</v>
      </c>
      <c r="AC26" s="21">
        <f>IF(AC$1&lt;INDEX('Valo FX'!$Q:$Q,MATCH($A26,'Valo FX'!$A:$A,0)),0,IF(AC$1&lt;INDEX('Valo FX'!$R:$R,MATCH($A26,'Valo FX'!$A:$A,0)),INDEX(Base!$U:$U,MATCH($A26,Base!$A:$A,0)),IF(AC$1=INDEX('Valo FX'!$R:$R,MATCH($A26,'Valo FX'!$A:$A,0)),INDEX(Base!$V:$V,MATCH($A26,Base!$A:$A,0)),0)))</f>
        <v>12.249840000000001</v>
      </c>
      <c r="AD26" s="21">
        <f>IF(AD$1&lt;INDEX('Valo FX'!$Q:$Q,MATCH($A26,'Valo FX'!$A:$A,0)),0,IF(AD$1&lt;INDEX('Valo FX'!$R:$R,MATCH($A26,'Valo FX'!$A:$A,0)),INDEX(Base!$U:$U,MATCH($A26,Base!$A:$A,0)),IF(AD$1=INDEX('Valo FX'!$R:$R,MATCH($A26,'Valo FX'!$A:$A,0)),INDEX(Base!$V:$V,MATCH($A26,Base!$A:$A,0)),0)))</f>
        <v>12.249840000000001</v>
      </c>
      <c r="AE26" s="21">
        <f>IF(AE$1&lt;INDEX('Valo FX'!$Q:$Q,MATCH($A26,'Valo FX'!$A:$A,0)),0,IF(AE$1&lt;INDEX('Valo FX'!$R:$R,MATCH($A26,'Valo FX'!$A:$A,0)),INDEX(Base!$U:$U,MATCH($A26,Base!$A:$A,0)),IF(AE$1=INDEX('Valo FX'!$R:$R,MATCH($A26,'Valo FX'!$A:$A,0)),INDEX(Base!$V:$V,MATCH($A26,Base!$A:$A,0)),0)))</f>
        <v>12.249840000000001</v>
      </c>
      <c r="AF26" s="21">
        <f>IF(AF$1&lt;INDEX('Valo FX'!$Q:$Q,MATCH($A26,'Valo FX'!$A:$A,0)),0,IF(AF$1&lt;INDEX('Valo FX'!$R:$R,MATCH($A26,'Valo FX'!$A:$A,0)),INDEX(Base!$U:$U,MATCH($A26,Base!$A:$A,0)),IF(AF$1=INDEX('Valo FX'!$R:$R,MATCH($A26,'Valo FX'!$A:$A,0)),INDEX(Base!$V:$V,MATCH($A26,Base!$A:$A,0)),0)))</f>
        <v>12.249840000000001</v>
      </c>
      <c r="AG26" s="21">
        <f>IF(AG$1&lt;INDEX('Valo FX'!$Q:$Q,MATCH($A26,'Valo FX'!$A:$A,0)),0,IF(AG$1&lt;INDEX('Valo FX'!$R:$R,MATCH($A26,'Valo FX'!$A:$A,0)),INDEX(Base!$U:$U,MATCH($A26,Base!$A:$A,0)),IF(AG$1=INDEX('Valo FX'!$R:$R,MATCH($A26,'Valo FX'!$A:$A,0)),INDEX(Base!$V:$V,MATCH($A26,Base!$A:$A,0)),0)))</f>
        <v>12.249840000000001</v>
      </c>
      <c r="AH26" s="21">
        <f>IF(AH$1&lt;INDEX('Valo FX'!$Q:$Q,MATCH($A26,'Valo FX'!$A:$A,0)),0,IF(AH$1&lt;INDEX('Valo FX'!$R:$R,MATCH($A26,'Valo FX'!$A:$A,0)),INDEX(Base!$U:$U,MATCH($A26,Base!$A:$A,0)),IF(AH$1=INDEX('Valo FX'!$R:$R,MATCH($A26,'Valo FX'!$A:$A,0)),INDEX(Base!$V:$V,MATCH($A26,Base!$A:$A,0)),0)))</f>
        <v>12.249840000000001</v>
      </c>
      <c r="AI26" s="21">
        <f>IF(AI$1&lt;INDEX('Valo FX'!$Q:$Q,MATCH($A26,'Valo FX'!$A:$A,0)),0,IF(AI$1&lt;INDEX('Valo FX'!$R:$R,MATCH($A26,'Valo FX'!$A:$A,0)),INDEX(Base!$U:$U,MATCH($A26,Base!$A:$A,0)),IF(AI$1=INDEX('Valo FX'!$R:$R,MATCH($A26,'Valo FX'!$A:$A,0)),INDEX(Base!$V:$V,MATCH($A26,Base!$A:$A,0)),0)))</f>
        <v>12.249840000000001</v>
      </c>
      <c r="AJ26" s="21">
        <f>IF(AJ$1&lt;INDEX('Valo FX'!$Q:$Q,MATCH($A26,'Valo FX'!$A:$A,0)),0,IF(AJ$1&lt;INDEX('Valo FX'!$R:$R,MATCH($A26,'Valo FX'!$A:$A,0)),INDEX(Base!$U:$U,MATCH($A26,Base!$A:$A,0)),IF(AJ$1=INDEX('Valo FX'!$R:$R,MATCH($A26,'Valo FX'!$A:$A,0)),INDEX(Base!$V:$V,MATCH($A26,Base!$A:$A,0)),0)))</f>
        <v>12.249840000000001</v>
      </c>
      <c r="AK26" s="21">
        <f>IF(AK$1&lt;INDEX('Valo FX'!$Q:$Q,MATCH($A26,'Valo FX'!$A:$A,0)),0,IF(AK$1&lt;INDEX('Valo FX'!$R:$R,MATCH($A26,'Valo FX'!$A:$A,0)),INDEX(Base!$U:$U,MATCH($A26,Base!$A:$A,0)),IF(AK$1=INDEX('Valo FX'!$R:$R,MATCH($A26,'Valo FX'!$A:$A,0)),INDEX(Base!$V:$V,MATCH($A26,Base!$A:$A,0)),0)))</f>
        <v>12.249840000000001</v>
      </c>
      <c r="AL26" s="21">
        <f>IF(AL$1&lt;INDEX('Valo FX'!$Q:$Q,MATCH($A26,'Valo FX'!$A:$A,0)),0,IF(AL$1&lt;INDEX('Valo FX'!$R:$R,MATCH($A26,'Valo FX'!$A:$A,0)),INDEX(Base!$U:$U,MATCH($A26,Base!$A:$A,0)),IF(AL$1=INDEX('Valo FX'!$R:$R,MATCH($A26,'Valo FX'!$A:$A,0)),INDEX(Base!$V:$V,MATCH($A26,Base!$A:$A,0)),0)))</f>
        <v>12.249840000000001</v>
      </c>
      <c r="AM26" s="21">
        <f>IF(AM$1&lt;INDEX('Valo FX'!$Q:$Q,MATCH($A26,'Valo FX'!$A:$A,0)),0,IF(AM$1&lt;INDEX('Valo FX'!$R:$R,MATCH($A26,'Valo FX'!$A:$A,0)),INDEX(Base!$U:$U,MATCH($A26,Base!$A:$A,0)),IF(AM$1=INDEX('Valo FX'!$R:$R,MATCH($A26,'Valo FX'!$A:$A,0)),INDEX(Base!$V:$V,MATCH($A26,Base!$A:$A,0)),0)))</f>
        <v>12.249840000000001</v>
      </c>
      <c r="AN26" s="21">
        <f>IF(AN$1&lt;INDEX('Valo FX'!$Q:$Q,MATCH($A26,'Valo FX'!$A:$A,0)),0,IF(AN$1&lt;INDEX('Valo FX'!$R:$R,MATCH($A26,'Valo FX'!$A:$A,0)),INDEX(Base!$U:$U,MATCH($A26,Base!$A:$A,0)),IF(AN$1=INDEX('Valo FX'!$R:$R,MATCH($A26,'Valo FX'!$A:$A,0)),INDEX(Base!$V:$V,MATCH($A26,Base!$A:$A,0)),0)))</f>
        <v>12.249840000000001</v>
      </c>
      <c r="AO26" s="21">
        <f>IF(AO$1&lt;INDEX('Valo FX'!$Q:$Q,MATCH($A26,'Valo FX'!$A:$A,0)),0,IF(AO$1&lt;INDEX('Valo FX'!$R:$R,MATCH($A26,'Valo FX'!$A:$A,0)),INDEX(Base!$U:$U,MATCH($A26,Base!$A:$A,0)),IF(AO$1=INDEX('Valo FX'!$R:$R,MATCH($A26,'Valo FX'!$A:$A,0)),INDEX(Base!$V:$V,MATCH($A26,Base!$A:$A,0)),0)))</f>
        <v>12.249840000000001</v>
      </c>
      <c r="AP26" s="21">
        <f>IF(AP$1&lt;INDEX('Valo FX'!$Q:$Q,MATCH($A26,'Valo FX'!$A:$A,0)),0,IF(AP$1&lt;INDEX('Valo FX'!$R:$R,MATCH($A26,'Valo FX'!$A:$A,0)),INDEX(Base!$U:$U,MATCH($A26,Base!$A:$A,0)),IF(AP$1=INDEX('Valo FX'!$R:$R,MATCH($A26,'Valo FX'!$A:$A,0)),INDEX(Base!$V:$V,MATCH($A26,Base!$A:$A,0)),0)))</f>
        <v>12.249840000000001</v>
      </c>
      <c r="AQ26" s="21">
        <f>IF(AQ$1&lt;INDEX('Valo FX'!$Q:$Q,MATCH($A26,'Valo FX'!$A:$A,0)),0,IF(AQ$1&lt;INDEX('Valo FX'!$R:$R,MATCH($A26,'Valo FX'!$A:$A,0)),INDEX(Base!$U:$U,MATCH($A26,Base!$A:$A,0)),IF(AQ$1=INDEX('Valo FX'!$R:$R,MATCH($A26,'Valo FX'!$A:$A,0)),INDEX(Base!$V:$V,MATCH($A26,Base!$A:$A,0)),0)))</f>
        <v>12.249840000000001</v>
      </c>
      <c r="AR26" s="21">
        <f>IF(AR$1&lt;INDEX('Valo FX'!$Q:$Q,MATCH($A26,'Valo FX'!$A:$A,0)),0,IF(AR$1&lt;INDEX('Valo FX'!$R:$R,MATCH($A26,'Valo FX'!$A:$A,0)),INDEX(Base!$U:$U,MATCH($A26,Base!$A:$A,0)),IF(AR$1=INDEX('Valo FX'!$R:$R,MATCH($A26,'Valo FX'!$A:$A,0)),INDEX(Base!$V:$V,MATCH($A26,Base!$A:$A,0)),0)))</f>
        <v>12.249840000000001</v>
      </c>
      <c r="AS26" s="21">
        <f>IF(AS$1&lt;INDEX('Valo FX'!$Q:$Q,MATCH($A26,'Valo FX'!$A:$A,0)),0,IF(AS$1&lt;INDEX('Valo FX'!$R:$R,MATCH($A26,'Valo FX'!$A:$A,0)),INDEX(Base!$U:$U,MATCH($A26,Base!$A:$A,0)),IF(AS$1=INDEX('Valo FX'!$R:$R,MATCH($A26,'Valo FX'!$A:$A,0)),INDEX(Base!$V:$V,MATCH($A26,Base!$A:$A,0)),0)))</f>
        <v>12.249840000000001</v>
      </c>
      <c r="AT26" s="21">
        <f>IF(AT$1&lt;INDEX('Valo FX'!$Q:$Q,MATCH($A26,'Valo FX'!$A:$A,0)),0,IF(AT$1&lt;INDEX('Valo FX'!$R:$R,MATCH($A26,'Valo FX'!$A:$A,0)),INDEX(Base!$U:$U,MATCH($A26,Base!$A:$A,0)),IF(AT$1=INDEX('Valo FX'!$R:$R,MATCH($A26,'Valo FX'!$A:$A,0)),INDEX(Base!$V:$V,MATCH($A26,Base!$A:$A,0)),0)))</f>
        <v>12.249840000000001</v>
      </c>
      <c r="AU26" s="21">
        <f>IF(AU$1&lt;INDEX('Valo FX'!$Q:$Q,MATCH($A26,'Valo FX'!$A:$A,0)),0,IF(AU$1&lt;INDEX('Valo FX'!$R:$R,MATCH($A26,'Valo FX'!$A:$A,0)),INDEX(Base!$U:$U,MATCH($A26,Base!$A:$A,0)),IF(AU$1=INDEX('Valo FX'!$R:$R,MATCH($A26,'Valo FX'!$A:$A,0)),INDEX(Base!$V:$V,MATCH($A26,Base!$A:$A,0)),0)))</f>
        <v>12.249840000000001</v>
      </c>
      <c r="AV26" s="21">
        <f>IF(AV$1&lt;INDEX('Valo FX'!$Q:$Q,MATCH($A26,'Valo FX'!$A:$A,0)),0,IF(AV$1&lt;INDEX('Valo FX'!$R:$R,MATCH($A26,'Valo FX'!$A:$A,0)),INDEX(Base!$U:$U,MATCH($A26,Base!$A:$A,0)),IF(AV$1=INDEX('Valo FX'!$R:$R,MATCH($A26,'Valo FX'!$A:$A,0)),INDEX(Base!$V:$V,MATCH($A26,Base!$A:$A,0)),0)))</f>
        <v>12.249840000000001</v>
      </c>
      <c r="AW26" s="21">
        <f>IF(AW$1&lt;INDEX('Valo FX'!$Q:$Q,MATCH($A26,'Valo FX'!$A:$A,0)),0,IF(AW$1&lt;INDEX('Valo FX'!$R:$R,MATCH($A26,'Valo FX'!$A:$A,0)),INDEX(Base!$U:$U,MATCH($A26,Base!$A:$A,0)),IF(AW$1=INDEX('Valo FX'!$R:$R,MATCH($A26,'Valo FX'!$A:$A,0)),INDEX(Base!$V:$V,MATCH($A26,Base!$A:$A,0)),0)))</f>
        <v>12.249840000000001</v>
      </c>
      <c r="AX26" s="21">
        <f>IF(AX$1&lt;INDEX('Valo FX'!$Q:$Q,MATCH($A26,'Valo FX'!$A:$A,0)),0,IF(AX$1&lt;INDEX('Valo FX'!$R:$R,MATCH($A26,'Valo FX'!$A:$A,0)),INDEX(Base!$U:$U,MATCH($A26,Base!$A:$A,0)),IF(AX$1=INDEX('Valo FX'!$R:$R,MATCH($A26,'Valo FX'!$A:$A,0)),INDEX(Base!$V:$V,MATCH($A26,Base!$A:$A,0)),0)))</f>
        <v>12.249840000000001</v>
      </c>
      <c r="AY26" s="21">
        <f>IF(AY$1&lt;INDEX('Valo FX'!$Q:$Q,MATCH($A26,'Valo FX'!$A:$A,0)),0,IF(AY$1&lt;INDEX('Valo FX'!$R:$R,MATCH($A26,'Valo FX'!$A:$A,0)),INDEX(Base!$U:$U,MATCH($A26,Base!$A:$A,0)),IF(AY$1=INDEX('Valo FX'!$R:$R,MATCH($A26,'Valo FX'!$A:$A,0)),INDEX(Base!$V:$V,MATCH($A26,Base!$A:$A,0)),0)))</f>
        <v>12.249840000000001</v>
      </c>
      <c r="AZ26" s="21">
        <f>IF(AZ$1&lt;INDEX('Valo FX'!$Q:$Q,MATCH($A26,'Valo FX'!$A:$A,0)),0,IF(AZ$1&lt;INDEX('Valo FX'!$R:$R,MATCH($A26,'Valo FX'!$A:$A,0)),INDEX(Base!$U:$U,MATCH($A26,Base!$A:$A,0)),IF(AZ$1=INDEX('Valo FX'!$R:$R,MATCH($A26,'Valo FX'!$A:$A,0)),INDEX(Base!$V:$V,MATCH($A26,Base!$A:$A,0)),0)))</f>
        <v>12.249840000000001</v>
      </c>
      <c r="BA26" s="21">
        <f>IF(BA$1&lt;INDEX('Valo FX'!$Q:$Q,MATCH($A26,'Valo FX'!$A:$A,0)),0,IF(BA$1&lt;INDEX('Valo FX'!$R:$R,MATCH($A26,'Valo FX'!$A:$A,0)),INDEX(Base!$U:$U,MATCH($A26,Base!$A:$A,0)),IF(BA$1=INDEX('Valo FX'!$R:$R,MATCH($A26,'Valo FX'!$A:$A,0)),INDEX(Base!$V:$V,MATCH($A26,Base!$A:$A,0)),0)))</f>
        <v>12.249840000000001</v>
      </c>
      <c r="BB26" s="21">
        <f>IF(BB$1&lt;INDEX('Valo FX'!$Q:$Q,MATCH($A26,'Valo FX'!$A:$A,0)),0,IF(BB$1&lt;INDEX('Valo FX'!$R:$R,MATCH($A26,'Valo FX'!$A:$A,0)),INDEX(Base!$U:$U,MATCH($A26,Base!$A:$A,0)),IF(BB$1=INDEX('Valo FX'!$R:$R,MATCH($A26,'Valo FX'!$A:$A,0)),INDEX(Base!$V:$V,MATCH($A26,Base!$A:$A,0)),0)))</f>
        <v>12.249840000000001</v>
      </c>
      <c r="BC26" s="21">
        <f>IF(BC$1&lt;INDEX('Valo FX'!$Q:$Q,MATCH($A26,'Valo FX'!$A:$A,0)),0,IF(BC$1&lt;INDEX('Valo FX'!$R:$R,MATCH($A26,'Valo FX'!$A:$A,0)),INDEX(Base!$U:$U,MATCH($A26,Base!$A:$A,0)),IF(BC$1=INDEX('Valo FX'!$R:$R,MATCH($A26,'Valo FX'!$A:$A,0)),INDEX(Base!$V:$V,MATCH($A26,Base!$A:$A,0)),0)))</f>
        <v>12.249840000000001</v>
      </c>
      <c r="BD26" s="21">
        <f>IF(BD$1&lt;INDEX('Valo FX'!$Q:$Q,MATCH($A26,'Valo FX'!$A:$A,0)),0,IF(BD$1&lt;INDEX('Valo FX'!$R:$R,MATCH($A26,'Valo FX'!$A:$A,0)),INDEX(Base!$U:$U,MATCH($A26,Base!$A:$A,0)),IF(BD$1=INDEX('Valo FX'!$R:$R,MATCH($A26,'Valo FX'!$A:$A,0)),INDEX(Base!$V:$V,MATCH($A26,Base!$A:$A,0)),0)))</f>
        <v>12.249840000000001</v>
      </c>
      <c r="BE26" s="21">
        <f>IF(BE$1&lt;INDEX('Valo FX'!$Q:$Q,MATCH($A26,'Valo FX'!$A:$A,0)),0,IF(BE$1&lt;INDEX('Valo FX'!$R:$R,MATCH($A26,'Valo FX'!$A:$A,0)),INDEX(Base!$U:$U,MATCH($A26,Base!$A:$A,0)),IF(BE$1=INDEX('Valo FX'!$R:$R,MATCH($A26,'Valo FX'!$A:$A,0)),INDEX(Base!$V:$V,MATCH($A26,Base!$A:$A,0)),0)))</f>
        <v>12.249840000000001</v>
      </c>
      <c r="BF26" s="21">
        <f>IF(BF$1&lt;INDEX('Valo FX'!$Q:$Q,MATCH($A26,'Valo FX'!$A:$A,0)),0,IF(BF$1&lt;INDEX('Valo FX'!$R:$R,MATCH($A26,'Valo FX'!$A:$A,0)),INDEX(Base!$U:$U,MATCH($A26,Base!$A:$A,0)),IF(BF$1=INDEX('Valo FX'!$R:$R,MATCH($A26,'Valo FX'!$A:$A,0)),INDEX(Base!$V:$V,MATCH($A26,Base!$A:$A,0)),0)))</f>
        <v>12.249840000000001</v>
      </c>
      <c r="BG26" s="21">
        <f>IF(BG$1&lt;INDEX('Valo FX'!$Q:$Q,MATCH($A26,'Valo FX'!$A:$A,0)),0,IF(BG$1&lt;INDEX('Valo FX'!$R:$R,MATCH($A26,'Valo FX'!$A:$A,0)),INDEX(Base!$U:$U,MATCH($A26,Base!$A:$A,0)),IF(BG$1=INDEX('Valo FX'!$R:$R,MATCH($A26,'Valo FX'!$A:$A,0)),INDEX(Base!$V:$V,MATCH($A26,Base!$A:$A,0)),0)))</f>
        <v>12.249840000000001</v>
      </c>
      <c r="BH26" s="21">
        <f>IF(BH$1&lt;INDEX('Valo FX'!$Q:$Q,MATCH($A26,'Valo FX'!$A:$A,0)),0,IF(BH$1&lt;INDEX('Valo FX'!$R:$R,MATCH($A26,'Valo FX'!$A:$A,0)),INDEX(Base!$U:$U,MATCH($A26,Base!$A:$A,0)),IF(BH$1=INDEX('Valo FX'!$R:$R,MATCH($A26,'Valo FX'!$A:$A,0)),INDEX(Base!$V:$V,MATCH($A26,Base!$A:$A,0)),0)))</f>
        <v>12.249840000000001</v>
      </c>
      <c r="BI26" s="21">
        <f>IF(BI$1&lt;INDEX('Valo FX'!$Q:$Q,MATCH($A26,'Valo FX'!$A:$A,0)),0,IF(BI$1&lt;INDEX('Valo FX'!$R:$R,MATCH($A26,'Valo FX'!$A:$A,0)),INDEX(Base!$U:$U,MATCH($A26,Base!$A:$A,0)),IF(BI$1=INDEX('Valo FX'!$R:$R,MATCH($A26,'Valo FX'!$A:$A,0)),INDEX(Base!$V:$V,MATCH($A26,Base!$A:$A,0)),0)))</f>
        <v>12.249840000000001</v>
      </c>
      <c r="BJ26" s="21">
        <f>IF(BJ$1&lt;INDEX('Valo FX'!$Q:$Q,MATCH($A26,'Valo FX'!$A:$A,0)),0,IF(BJ$1&lt;INDEX('Valo FX'!$R:$R,MATCH($A26,'Valo FX'!$A:$A,0)),INDEX(Base!$U:$U,MATCH($A26,Base!$A:$A,0)),IF(BJ$1=INDEX('Valo FX'!$R:$R,MATCH($A26,'Valo FX'!$A:$A,0)),INDEX(Base!$V:$V,MATCH($A26,Base!$A:$A,0)),0)))</f>
        <v>12.249840000000001</v>
      </c>
      <c r="BK26" s="21">
        <f>IF(BK$1&lt;INDEX('Valo FX'!$Q:$Q,MATCH($A26,'Valo FX'!$A:$A,0)),0,IF(BK$1&lt;INDEX('Valo FX'!$R:$R,MATCH($A26,'Valo FX'!$A:$A,0)),INDEX(Base!$U:$U,MATCH($A26,Base!$A:$A,0)),IF(BK$1=INDEX('Valo FX'!$R:$R,MATCH($A26,'Valo FX'!$A:$A,0)),INDEX(Base!$V:$V,MATCH($A26,Base!$A:$A,0)),0)))</f>
        <v>12.249840000000001</v>
      </c>
      <c r="BL26" s="21">
        <f>IF(BL$1&lt;INDEX('Valo FX'!$Q:$Q,MATCH($A26,'Valo FX'!$A:$A,0)),0,IF(BL$1&lt;INDEX('Valo FX'!$R:$R,MATCH($A26,'Valo FX'!$A:$A,0)),INDEX(Base!$U:$U,MATCH($A26,Base!$A:$A,0)),IF(BL$1=INDEX('Valo FX'!$R:$R,MATCH($A26,'Valo FX'!$A:$A,0)),INDEX(Base!$V:$V,MATCH($A26,Base!$A:$A,0)),0)))</f>
        <v>12.249840000000001</v>
      </c>
      <c r="BM26" s="21">
        <f>IF(BM$1&lt;INDEX('Valo FX'!$Q:$Q,MATCH($A26,'Valo FX'!$A:$A,0)),0,IF(BM$1&lt;INDEX('Valo FX'!$R:$R,MATCH($A26,'Valo FX'!$A:$A,0)),INDEX(Base!$U:$U,MATCH($A26,Base!$A:$A,0)),IF(BM$1=INDEX('Valo FX'!$R:$R,MATCH($A26,'Valo FX'!$A:$A,0)),INDEX(Base!$V:$V,MATCH($A26,Base!$A:$A,0)),0)))</f>
        <v>12.249840000000001</v>
      </c>
      <c r="BN26" s="21">
        <f>IF(BN$1&lt;INDEX('Valo FX'!$Q:$Q,MATCH($A26,'Valo FX'!$A:$A,0)),0,IF(BN$1&lt;INDEX('Valo FX'!$R:$R,MATCH($A26,'Valo FX'!$A:$A,0)),INDEX(Base!$U:$U,MATCH($A26,Base!$A:$A,0)),IF(BN$1=INDEX('Valo FX'!$R:$R,MATCH($A26,'Valo FX'!$A:$A,0)),INDEX(Base!$V:$V,MATCH($A26,Base!$A:$A,0)),0)))</f>
        <v>12.249840000000001</v>
      </c>
      <c r="BO26" s="21">
        <f>IF(BO$1&lt;INDEX('Valo FX'!$Q:$Q,MATCH($A26,'Valo FX'!$A:$A,0)),0,IF(BO$1&lt;INDEX('Valo FX'!$R:$R,MATCH($A26,'Valo FX'!$A:$A,0)),INDEX(Base!$U:$U,MATCH($A26,Base!$A:$A,0)),IF(BO$1=INDEX('Valo FX'!$R:$R,MATCH($A26,'Valo FX'!$A:$A,0)),INDEX(Base!$V:$V,MATCH($A26,Base!$A:$A,0)),0)))</f>
        <v>12.249840000000001</v>
      </c>
      <c r="BP26" s="21">
        <f>IF(BP$1&lt;INDEX('Valo FX'!$Q:$Q,MATCH($A26,'Valo FX'!$A:$A,0)),0,IF(BP$1&lt;INDEX('Valo FX'!$R:$R,MATCH($A26,'Valo FX'!$A:$A,0)),INDEX(Base!$U:$U,MATCH($A26,Base!$A:$A,0)),IF(BP$1=INDEX('Valo FX'!$R:$R,MATCH($A26,'Valo FX'!$A:$A,0)),INDEX(Base!$V:$V,MATCH($A26,Base!$A:$A,0)),0)))</f>
        <v>12.249840000000001</v>
      </c>
      <c r="BQ26" s="21">
        <f>IF(BQ$1&lt;INDEX('Valo FX'!$Q:$Q,MATCH($A26,'Valo FX'!$A:$A,0)),0,IF(BQ$1&lt;INDEX('Valo FX'!$R:$R,MATCH($A26,'Valo FX'!$A:$A,0)),INDEX(Base!$U:$U,MATCH($A26,Base!$A:$A,0)),IF(BQ$1=INDEX('Valo FX'!$R:$R,MATCH($A26,'Valo FX'!$A:$A,0)),INDEX(Base!$V:$V,MATCH($A26,Base!$A:$A,0)),0)))</f>
        <v>12.249840000000001</v>
      </c>
      <c r="BR26" s="21">
        <f>IF(BR$1&lt;INDEX('Valo FX'!$Q:$Q,MATCH($A26,'Valo FX'!$A:$A,0)),0,IF(BR$1&lt;INDEX('Valo FX'!$R:$R,MATCH($A26,'Valo FX'!$A:$A,0)),INDEX(Base!$U:$U,MATCH($A26,Base!$A:$A,0)),IF(BR$1=INDEX('Valo FX'!$R:$R,MATCH($A26,'Valo FX'!$A:$A,0)),INDEX(Base!$V:$V,MATCH($A26,Base!$A:$A,0)),0)))</f>
        <v>12.249840000000001</v>
      </c>
      <c r="BS26" s="21">
        <f>IF(BS$1&lt;INDEX('Valo FX'!$Q:$Q,MATCH($A26,'Valo FX'!$A:$A,0)),0,IF(BS$1&lt;INDEX('Valo FX'!$R:$R,MATCH($A26,'Valo FX'!$A:$A,0)),INDEX(Base!$U:$U,MATCH($A26,Base!$A:$A,0)),IF(BS$1=INDEX('Valo FX'!$R:$R,MATCH($A26,'Valo FX'!$A:$A,0)),INDEX(Base!$V:$V,MATCH($A26,Base!$A:$A,0)),0)))</f>
        <v>12.249840000000001</v>
      </c>
      <c r="BT26" s="21">
        <f>IF(BT$1&lt;INDEX('Valo FX'!$Q:$Q,MATCH($A26,'Valo FX'!$A:$A,0)),0,IF(BT$1&lt;INDEX('Valo FX'!$R:$R,MATCH($A26,'Valo FX'!$A:$A,0)),INDEX(Base!$U:$U,MATCH($A26,Base!$A:$A,0)),IF(BT$1=INDEX('Valo FX'!$R:$R,MATCH($A26,'Valo FX'!$A:$A,0)),INDEX(Base!$V:$V,MATCH($A26,Base!$A:$A,0)),0)))</f>
        <v>12.249840000000001</v>
      </c>
      <c r="BU26" s="21">
        <f>IF(BU$1&lt;INDEX('Valo FX'!$Q:$Q,MATCH($A26,'Valo FX'!$A:$A,0)),0,IF(BU$1&lt;INDEX('Valo FX'!$R:$R,MATCH($A26,'Valo FX'!$A:$A,0)),INDEX(Base!$U:$U,MATCH($A26,Base!$A:$A,0)),IF(BU$1=INDEX('Valo FX'!$R:$R,MATCH($A26,'Valo FX'!$A:$A,0)),INDEX(Base!$V:$V,MATCH($A26,Base!$A:$A,0)),0)))</f>
        <v>12.249840000000001</v>
      </c>
      <c r="BV26" s="21">
        <f>IF(BV$1&lt;INDEX('Valo FX'!$Q:$Q,MATCH($A26,'Valo FX'!$A:$A,0)),0,IF(BV$1&lt;INDEX('Valo FX'!$R:$R,MATCH($A26,'Valo FX'!$A:$A,0)),INDEX(Base!$U:$U,MATCH($A26,Base!$A:$A,0)),IF(BV$1=INDEX('Valo FX'!$R:$R,MATCH($A26,'Valo FX'!$A:$A,0)),INDEX(Base!$V:$V,MATCH($A26,Base!$A:$A,0)),0)))</f>
        <v>12.249840000000001</v>
      </c>
      <c r="BW26" s="21">
        <f>IF(BW$1&lt;INDEX('Valo FX'!$Q:$Q,MATCH($A26,'Valo FX'!$A:$A,0)),0,IF(BW$1&lt;INDEX('Valo FX'!$R:$R,MATCH($A26,'Valo FX'!$A:$A,0)),INDEX(Base!$U:$U,MATCH($A26,Base!$A:$A,0)),IF(BW$1=INDEX('Valo FX'!$R:$R,MATCH($A26,'Valo FX'!$A:$A,0)),INDEX(Base!$V:$V,MATCH($A26,Base!$A:$A,0)),0)))</f>
        <v>12.249840000000001</v>
      </c>
      <c r="BX26" s="21">
        <f>IF(BX$1&lt;INDEX('Valo FX'!$Q:$Q,MATCH($A26,'Valo FX'!$A:$A,0)),0,IF(BX$1&lt;INDEX('Valo FX'!$R:$R,MATCH($A26,'Valo FX'!$A:$A,0)),INDEX(Base!$U:$U,MATCH($A26,Base!$A:$A,0)),IF(BX$1=INDEX('Valo FX'!$R:$R,MATCH($A26,'Valo FX'!$A:$A,0)),INDEX(Base!$V:$V,MATCH($A26,Base!$A:$A,0)),0)))</f>
        <v>12.249840000000001</v>
      </c>
      <c r="BY26" s="21">
        <f>IF(BY$1&lt;INDEX('Valo FX'!$Q:$Q,MATCH($A26,'Valo FX'!$A:$A,0)),0,IF(BY$1&lt;INDEX('Valo FX'!$R:$R,MATCH($A26,'Valo FX'!$A:$A,0)),INDEX(Base!$U:$U,MATCH($A26,Base!$A:$A,0)),IF(BY$1=INDEX('Valo FX'!$R:$R,MATCH($A26,'Valo FX'!$A:$A,0)),INDEX(Base!$V:$V,MATCH($A26,Base!$A:$A,0)),0)))</f>
        <v>12.249840000000001</v>
      </c>
      <c r="BZ26" s="21">
        <f>IF(BZ$1&lt;INDEX('Valo FX'!$Q:$Q,MATCH($A26,'Valo FX'!$A:$A,0)),0,IF(BZ$1&lt;INDEX('Valo FX'!$R:$R,MATCH($A26,'Valo FX'!$A:$A,0)),INDEX(Base!$U:$U,MATCH($A26,Base!$A:$A,0)),IF(BZ$1=INDEX('Valo FX'!$R:$R,MATCH($A26,'Valo FX'!$A:$A,0)),INDEX(Base!$V:$V,MATCH($A26,Base!$A:$A,0)),0)))</f>
        <v>12.249840000000001</v>
      </c>
      <c r="CA26" s="21">
        <f>IF(CA$1&lt;INDEX('Valo FX'!$Q:$Q,MATCH($A26,'Valo FX'!$A:$A,0)),0,IF(CA$1&lt;INDEX('Valo FX'!$R:$R,MATCH($A26,'Valo FX'!$A:$A,0)),INDEX(Base!$U:$U,MATCH($A26,Base!$A:$A,0)),IF(CA$1=INDEX('Valo FX'!$R:$R,MATCH($A26,'Valo FX'!$A:$A,0)),INDEX(Base!$V:$V,MATCH($A26,Base!$A:$A,0)),0)))</f>
        <v>12.249840000000001</v>
      </c>
      <c r="CB26" s="21">
        <f>IF(CB$1&lt;INDEX('Valo FX'!$Q:$Q,MATCH($A26,'Valo FX'!$A:$A,0)),0,IF(CB$1&lt;INDEX('Valo FX'!$R:$R,MATCH($A26,'Valo FX'!$A:$A,0)),INDEX(Base!$U:$U,MATCH($A26,Base!$A:$A,0)),IF(CB$1=INDEX('Valo FX'!$R:$R,MATCH($A26,'Valo FX'!$A:$A,0)),INDEX(Base!$V:$V,MATCH($A26,Base!$A:$A,0)),0)))</f>
        <v>12.249840000000001</v>
      </c>
      <c r="CC26" s="21">
        <f>IF(CC$1&lt;INDEX('Valo FX'!$Q:$Q,MATCH($A26,'Valo FX'!$A:$A,0)),0,IF(CC$1&lt;INDEX('Valo FX'!$R:$R,MATCH($A26,'Valo FX'!$A:$A,0)),INDEX(Base!$U:$U,MATCH($A26,Base!$A:$A,0)),IF(CC$1=INDEX('Valo FX'!$R:$R,MATCH($A26,'Valo FX'!$A:$A,0)),INDEX(Base!$V:$V,MATCH($A26,Base!$A:$A,0)),0)))</f>
        <v>12.249840000000001</v>
      </c>
      <c r="CD26" s="21">
        <f>IF(CD$1&lt;INDEX('Valo FX'!$Q:$Q,MATCH($A26,'Valo FX'!$A:$A,0)),0,IF(CD$1&lt;INDEX('Valo FX'!$R:$R,MATCH($A26,'Valo FX'!$A:$A,0)),INDEX(Base!$U:$U,MATCH($A26,Base!$A:$A,0)),IF(CD$1=INDEX('Valo FX'!$R:$R,MATCH($A26,'Valo FX'!$A:$A,0)),INDEX(Base!$V:$V,MATCH($A26,Base!$A:$A,0)),0)))</f>
        <v>12.249840000000001</v>
      </c>
      <c r="CE26" s="21">
        <f>IF(CE$1&lt;INDEX('Valo FX'!$Q:$Q,MATCH($A26,'Valo FX'!$A:$A,0)),0,IF(CE$1&lt;INDEX('Valo FX'!$R:$R,MATCH($A26,'Valo FX'!$A:$A,0)),INDEX(Base!$U:$U,MATCH($A26,Base!$A:$A,0)),IF(CE$1=INDEX('Valo FX'!$R:$R,MATCH($A26,'Valo FX'!$A:$A,0)),INDEX(Base!$V:$V,MATCH($A26,Base!$A:$A,0)),0)))</f>
        <v>12.249840000000001</v>
      </c>
      <c r="CF26" s="21">
        <f>IF(CF$1&lt;INDEX('Valo FX'!$Q:$Q,MATCH($A26,'Valo FX'!$A:$A,0)),0,IF(CF$1&lt;INDEX('Valo FX'!$R:$R,MATCH($A26,'Valo FX'!$A:$A,0)),INDEX(Base!$U:$U,MATCH($A26,Base!$A:$A,0)),IF(CF$1=INDEX('Valo FX'!$R:$R,MATCH($A26,'Valo FX'!$A:$A,0)),INDEX(Base!$V:$V,MATCH($A26,Base!$A:$A,0)),0)))</f>
        <v>12.249840000000001</v>
      </c>
      <c r="CG26" s="21">
        <f>IF(CG$1&lt;INDEX('Valo FX'!$Q:$Q,MATCH($A26,'Valo FX'!$A:$A,0)),0,IF(CG$1&lt;INDEX('Valo FX'!$R:$R,MATCH($A26,'Valo FX'!$A:$A,0)),INDEX(Base!$U:$U,MATCH($A26,Base!$A:$A,0)),IF(CG$1=INDEX('Valo FX'!$R:$R,MATCH($A26,'Valo FX'!$A:$A,0)),INDEX(Base!$V:$V,MATCH($A26,Base!$A:$A,0)),0)))</f>
        <v>12.249840000000001</v>
      </c>
      <c r="CH26" s="21">
        <f>IF(CH$1&lt;INDEX('Valo FX'!$Q:$Q,MATCH($A26,'Valo FX'!$A:$A,0)),0,IF(CH$1&lt;INDEX('Valo FX'!$R:$R,MATCH($A26,'Valo FX'!$A:$A,0)),INDEX(Base!$U:$U,MATCH($A26,Base!$A:$A,0)),IF(CH$1=INDEX('Valo FX'!$R:$R,MATCH($A26,'Valo FX'!$A:$A,0)),INDEX(Base!$V:$V,MATCH($A26,Base!$A:$A,0)),0)))</f>
        <v>12.249840000000001</v>
      </c>
      <c r="CI26" s="21">
        <f>IF(CI$1&lt;INDEX('Valo FX'!$Q:$Q,MATCH($A26,'Valo FX'!$A:$A,0)),0,IF(CI$1&lt;INDEX('Valo FX'!$R:$R,MATCH($A26,'Valo FX'!$A:$A,0)),INDEX(Base!$U:$U,MATCH($A26,Base!$A:$A,0)),IF(CI$1=INDEX('Valo FX'!$R:$R,MATCH($A26,'Valo FX'!$A:$A,0)),INDEX(Base!$V:$V,MATCH($A26,Base!$A:$A,0)),0)))</f>
        <v>12.249840000000001</v>
      </c>
      <c r="CJ26" s="21">
        <f>IF(CJ$1&lt;INDEX('Valo FX'!$Q:$Q,MATCH($A26,'Valo FX'!$A:$A,0)),0,IF(CJ$1&lt;INDEX('Valo FX'!$R:$R,MATCH($A26,'Valo FX'!$A:$A,0)),INDEX(Base!$U:$U,MATCH($A26,Base!$A:$A,0)),IF(CJ$1=INDEX('Valo FX'!$R:$R,MATCH($A26,'Valo FX'!$A:$A,0)),INDEX(Base!$V:$V,MATCH($A26,Base!$A:$A,0)),0)))</f>
        <v>12.249840000000001</v>
      </c>
      <c r="CK26" s="21">
        <f>IF(CK$1&lt;INDEX('Valo FX'!$Q:$Q,MATCH($A26,'Valo FX'!$A:$A,0)),0,IF(CK$1&lt;INDEX('Valo FX'!$R:$R,MATCH($A26,'Valo FX'!$A:$A,0)),INDEX(Base!$U:$U,MATCH($A26,Base!$A:$A,0)),IF(CK$1=INDEX('Valo FX'!$R:$R,MATCH($A26,'Valo FX'!$A:$A,0)),INDEX(Base!$V:$V,MATCH($A26,Base!$A:$A,0)),0)))</f>
        <v>12.249840000000001</v>
      </c>
      <c r="CL26" s="21">
        <f>IF(CL$1&lt;INDEX('Valo FX'!$Q:$Q,MATCH($A26,'Valo FX'!$A:$A,0)),0,IF(CL$1&lt;INDEX('Valo FX'!$R:$R,MATCH($A26,'Valo FX'!$A:$A,0)),INDEX(Base!$U:$U,MATCH($A26,Base!$A:$A,0)),IF(CL$1=INDEX('Valo FX'!$R:$R,MATCH($A26,'Valo FX'!$A:$A,0)),INDEX(Base!$V:$V,MATCH($A26,Base!$A:$A,0)),0)))</f>
        <v>12.249840000000001</v>
      </c>
      <c r="CM26" s="21">
        <f>IF(CM$1&lt;INDEX('Valo FX'!$Q:$Q,MATCH($A26,'Valo FX'!$A:$A,0)),0,IF(CM$1&lt;INDEX('Valo FX'!$R:$R,MATCH($A26,'Valo FX'!$A:$A,0)),INDEX(Base!$U:$U,MATCH($A26,Base!$A:$A,0)),IF(CM$1=INDEX('Valo FX'!$R:$R,MATCH($A26,'Valo FX'!$A:$A,0)),INDEX(Base!$V:$V,MATCH($A26,Base!$A:$A,0)),0)))</f>
        <v>12.249840000000001</v>
      </c>
      <c r="CN26" s="21">
        <f>IF(CN$1&lt;INDEX('Valo FX'!$Q:$Q,MATCH($A26,'Valo FX'!$A:$A,0)),0,IF(CN$1&lt;INDEX('Valo FX'!$R:$R,MATCH($A26,'Valo FX'!$A:$A,0)),INDEX(Base!$U:$U,MATCH($A26,Base!$A:$A,0)),IF(CN$1=INDEX('Valo FX'!$R:$R,MATCH($A26,'Valo FX'!$A:$A,0)),INDEX(Base!$V:$V,MATCH($A26,Base!$A:$A,0)),0)))</f>
        <v>12.249840000000001</v>
      </c>
      <c r="CO26" s="21">
        <f>IF(CO$1&lt;INDEX('Valo FX'!$Q:$Q,MATCH($A26,'Valo FX'!$A:$A,0)),0,IF(CO$1&lt;INDEX('Valo FX'!$R:$R,MATCH($A26,'Valo FX'!$A:$A,0)),INDEX(Base!$U:$U,MATCH($A26,Base!$A:$A,0)),IF(CO$1=INDEX('Valo FX'!$R:$R,MATCH($A26,'Valo FX'!$A:$A,0)),INDEX(Base!$V:$V,MATCH($A26,Base!$A:$A,0)),0)))</f>
        <v>12.249840000000001</v>
      </c>
      <c r="CP26" s="21">
        <f>IF(CP$1&lt;INDEX('Valo FX'!$Q:$Q,MATCH($A26,'Valo FX'!$A:$A,0)),0,IF(CP$1&lt;INDEX('Valo FX'!$R:$R,MATCH($A26,'Valo FX'!$A:$A,0)),INDEX(Base!$U:$U,MATCH($A26,Base!$A:$A,0)),IF(CP$1=INDEX('Valo FX'!$R:$R,MATCH($A26,'Valo FX'!$A:$A,0)),INDEX(Base!$V:$V,MATCH($A26,Base!$A:$A,0)),0)))</f>
        <v>12.249840000000001</v>
      </c>
      <c r="CQ26" s="21">
        <f>IF(CQ$1&lt;INDEX('Valo FX'!$Q:$Q,MATCH($A26,'Valo FX'!$A:$A,0)),0,IF(CQ$1&lt;INDEX('Valo FX'!$R:$R,MATCH($A26,'Valo FX'!$A:$A,0)),INDEX(Base!$U:$U,MATCH($A26,Base!$A:$A,0)),IF(CQ$1=INDEX('Valo FX'!$R:$R,MATCH($A26,'Valo FX'!$A:$A,0)),INDEX(Base!$V:$V,MATCH($A26,Base!$A:$A,0)),0)))</f>
        <v>12.249840000000001</v>
      </c>
      <c r="CR26" s="21">
        <f>IF(CR$1&lt;INDEX('Valo FX'!$Q:$Q,MATCH($A26,'Valo FX'!$A:$A,0)),0,IF(CR$1&lt;INDEX('Valo FX'!$R:$R,MATCH($A26,'Valo FX'!$A:$A,0)),INDEX(Base!$U:$U,MATCH($A26,Base!$A:$A,0)),IF(CR$1=INDEX('Valo FX'!$R:$R,MATCH($A26,'Valo FX'!$A:$A,0)),INDEX(Base!$V:$V,MATCH($A26,Base!$A:$A,0)),0)))</f>
        <v>12.249840000000001</v>
      </c>
      <c r="CS26" s="21">
        <f>IF(CS$1&lt;INDEX('Valo FX'!$Q:$Q,MATCH($A26,'Valo FX'!$A:$A,0)),0,IF(CS$1&lt;INDEX('Valo FX'!$R:$R,MATCH($A26,'Valo FX'!$A:$A,0)),INDEX(Base!$U:$U,MATCH($A26,Base!$A:$A,0)),IF(CS$1=INDEX('Valo FX'!$R:$R,MATCH($A26,'Valo FX'!$A:$A,0)),INDEX(Base!$V:$V,MATCH($A26,Base!$A:$A,0)),0)))</f>
        <v>12.249840000000001</v>
      </c>
      <c r="CT26" s="21">
        <f>IF(CT$1&lt;INDEX('Valo FX'!$Q:$Q,MATCH($A26,'Valo FX'!$A:$A,0)),0,IF(CT$1&lt;INDEX('Valo FX'!$R:$R,MATCH($A26,'Valo FX'!$A:$A,0)),INDEX(Base!$U:$U,MATCH($A26,Base!$A:$A,0)),IF(CT$1=INDEX('Valo FX'!$R:$R,MATCH($A26,'Valo FX'!$A:$A,0)),INDEX(Base!$V:$V,MATCH($A26,Base!$A:$A,0)),0)))</f>
        <v>12.249840000000001</v>
      </c>
      <c r="CU26" s="21">
        <f>IF(CU$1&lt;INDEX('Valo FX'!$Q:$Q,MATCH($A26,'Valo FX'!$A:$A,0)),0,IF(CU$1&lt;INDEX('Valo FX'!$R:$R,MATCH($A26,'Valo FX'!$A:$A,0)),INDEX(Base!$U:$U,MATCH($A26,Base!$A:$A,0)),IF(CU$1=INDEX('Valo FX'!$R:$R,MATCH($A26,'Valo FX'!$A:$A,0)),INDEX(Base!$V:$V,MATCH($A26,Base!$A:$A,0)),0)))</f>
        <v>12.249840000000001</v>
      </c>
      <c r="CV26" s="21">
        <f>IF(CV$1&lt;INDEX('Valo FX'!$Q:$Q,MATCH($A26,'Valo FX'!$A:$A,0)),0,IF(CV$1&lt;INDEX('Valo FX'!$R:$R,MATCH($A26,'Valo FX'!$A:$A,0)),INDEX(Base!$U:$U,MATCH($A26,Base!$A:$A,0)),IF(CV$1=INDEX('Valo FX'!$R:$R,MATCH($A26,'Valo FX'!$A:$A,0)),INDEX(Base!$V:$V,MATCH($A26,Base!$A:$A,0)),0)))</f>
        <v>12.249840000000001</v>
      </c>
      <c r="CW26" s="21">
        <f>IF(CW$1&lt;INDEX('Valo FX'!$Q:$Q,MATCH($A26,'Valo FX'!$A:$A,0)),0,IF(CW$1&lt;INDEX('Valo FX'!$R:$R,MATCH($A26,'Valo FX'!$A:$A,0)),INDEX(Base!$U:$U,MATCH($A26,Base!$A:$A,0)),IF(CW$1=INDEX('Valo FX'!$R:$R,MATCH($A26,'Valo FX'!$A:$A,0)),INDEX(Base!$V:$V,MATCH($A26,Base!$A:$A,0)),0)))</f>
        <v>12.249840000000001</v>
      </c>
      <c r="CX26" s="21">
        <f>IF(CX$1&lt;INDEX('Valo FX'!$Q:$Q,MATCH($A26,'Valo FX'!$A:$A,0)),0,IF(CX$1&lt;INDEX('Valo FX'!$R:$R,MATCH($A26,'Valo FX'!$A:$A,0)),INDEX(Base!$U:$U,MATCH($A26,Base!$A:$A,0)),IF(CX$1=INDEX('Valo FX'!$R:$R,MATCH($A26,'Valo FX'!$A:$A,0)),INDEX(Base!$V:$V,MATCH($A26,Base!$A:$A,0)),0)))</f>
        <v>12.249840000000001</v>
      </c>
      <c r="CY26" s="21">
        <f>IF(CY$1&lt;INDEX('Valo FX'!$Q:$Q,MATCH($A26,'Valo FX'!$A:$A,0)),0,IF(CY$1&lt;INDEX('Valo FX'!$R:$R,MATCH($A26,'Valo FX'!$A:$A,0)),INDEX(Base!$U:$U,MATCH($A26,Base!$A:$A,0)),IF(CY$1=INDEX('Valo FX'!$R:$R,MATCH($A26,'Valo FX'!$A:$A,0)),INDEX(Base!$V:$V,MATCH($A26,Base!$A:$A,0)),0)))</f>
        <v>12.249840000000001</v>
      </c>
      <c r="CZ26" s="21">
        <f>IF(CZ$1&lt;INDEX('Valo FX'!$Q:$Q,MATCH($A26,'Valo FX'!$A:$A,0)),0,IF(CZ$1&lt;INDEX('Valo FX'!$R:$R,MATCH($A26,'Valo FX'!$A:$A,0)),INDEX(Base!$U:$U,MATCH($A26,Base!$A:$A,0)),IF(CZ$1=INDEX('Valo FX'!$R:$R,MATCH($A26,'Valo FX'!$A:$A,0)),INDEX(Base!$V:$V,MATCH($A26,Base!$A:$A,0)),0)))</f>
        <v>12.249840000000001</v>
      </c>
      <c r="DA26" s="21">
        <f>IF(DA$1&lt;INDEX('Valo FX'!$Q:$Q,MATCH($A26,'Valo FX'!$A:$A,0)),0,IF(DA$1&lt;INDEX('Valo FX'!$R:$R,MATCH($A26,'Valo FX'!$A:$A,0)),INDEX(Base!$U:$U,MATCH($A26,Base!$A:$A,0)),IF(DA$1=INDEX('Valo FX'!$R:$R,MATCH($A26,'Valo FX'!$A:$A,0)),INDEX(Base!$V:$V,MATCH($A26,Base!$A:$A,0)),0)))</f>
        <v>12.249840000000001</v>
      </c>
      <c r="DB26" s="21">
        <f>IF(DB$1&lt;INDEX('Valo FX'!$Q:$Q,MATCH($A26,'Valo FX'!$A:$A,0)),0,IF(DB$1&lt;INDEX('Valo FX'!$R:$R,MATCH($A26,'Valo FX'!$A:$A,0)),INDEX(Base!$U:$U,MATCH($A26,Base!$A:$A,0)),IF(DB$1=INDEX('Valo FX'!$R:$R,MATCH($A26,'Valo FX'!$A:$A,0)),INDEX(Base!$V:$V,MATCH($A26,Base!$A:$A,0)),0)))</f>
        <v>12.249840000000001</v>
      </c>
      <c r="DC26" s="21">
        <f>IF(DC$1&lt;INDEX('Valo FX'!$Q:$Q,MATCH($A26,'Valo FX'!$A:$A,0)),0,IF(DC$1&lt;INDEX('Valo FX'!$R:$R,MATCH($A26,'Valo FX'!$A:$A,0)),INDEX(Base!$U:$U,MATCH($A26,Base!$A:$A,0)),IF(DC$1=INDEX('Valo FX'!$R:$R,MATCH($A26,'Valo FX'!$A:$A,0)),INDEX(Base!$V:$V,MATCH($A26,Base!$A:$A,0)),0)))</f>
        <v>12.249840000000001</v>
      </c>
      <c r="DD26" s="21">
        <f>IF(DD$1&lt;INDEX('Valo FX'!$Q:$Q,MATCH($A26,'Valo FX'!$A:$A,0)),0,IF(DD$1&lt;INDEX('Valo FX'!$R:$R,MATCH($A26,'Valo FX'!$A:$A,0)),INDEX(Base!$U:$U,MATCH($A26,Base!$A:$A,0)),IF(DD$1=INDEX('Valo FX'!$R:$R,MATCH($A26,'Valo FX'!$A:$A,0)),INDEX(Base!$V:$V,MATCH($A26,Base!$A:$A,0)),0)))</f>
        <v>12.249840000000001</v>
      </c>
      <c r="DE26" s="21">
        <f>IF(DE$1&lt;INDEX('Valo FX'!$Q:$Q,MATCH($A26,'Valo FX'!$A:$A,0)),0,IF(DE$1&lt;INDEX('Valo FX'!$R:$R,MATCH($A26,'Valo FX'!$A:$A,0)),INDEX(Base!$U:$U,MATCH($A26,Base!$A:$A,0)),IF(DE$1=INDEX('Valo FX'!$R:$R,MATCH($A26,'Valo FX'!$A:$A,0)),INDEX(Base!$V:$V,MATCH($A26,Base!$A:$A,0)),0)))</f>
        <v>12.249840000000001</v>
      </c>
      <c r="DF26" s="21">
        <f>IF(DF$1&lt;INDEX('Valo FX'!$Q:$Q,MATCH($A26,'Valo FX'!$A:$A,0)),0,IF(DF$1&lt;INDEX('Valo FX'!$R:$R,MATCH($A26,'Valo FX'!$A:$A,0)),INDEX(Base!$U:$U,MATCH($A26,Base!$A:$A,0)),IF(DF$1=INDEX('Valo FX'!$R:$R,MATCH($A26,'Valo FX'!$A:$A,0)),INDEX(Base!$V:$V,MATCH($A26,Base!$A:$A,0)),0)))</f>
        <v>12.249840000000001</v>
      </c>
      <c r="DG26" s="21">
        <f>IF(DG$1&lt;INDEX('Valo FX'!$Q:$Q,MATCH($A26,'Valo FX'!$A:$A,0)),0,IF(DG$1&lt;INDEX('Valo FX'!$R:$R,MATCH($A26,'Valo FX'!$A:$A,0)),INDEX(Base!$U:$U,MATCH($A26,Base!$A:$A,0)),IF(DG$1=INDEX('Valo FX'!$R:$R,MATCH($A26,'Valo FX'!$A:$A,0)),INDEX(Base!$V:$V,MATCH($A26,Base!$A:$A,0)),0)))</f>
        <v>12.249840000000001</v>
      </c>
      <c r="DH26" s="21">
        <f>IF(DH$1&lt;INDEX('Valo FX'!$Q:$Q,MATCH($A26,'Valo FX'!$A:$A,0)),0,IF(DH$1&lt;INDEX('Valo FX'!$R:$R,MATCH($A26,'Valo FX'!$A:$A,0)),INDEX(Base!$U:$U,MATCH($A26,Base!$A:$A,0)),IF(DH$1=INDEX('Valo FX'!$R:$R,MATCH($A26,'Valo FX'!$A:$A,0)),INDEX(Base!$V:$V,MATCH($A26,Base!$A:$A,0)),0)))</f>
        <v>12.249840000000001</v>
      </c>
      <c r="DI26" s="21">
        <f>IF(DI$1&lt;INDEX('Valo FX'!$Q:$Q,MATCH($A26,'Valo FX'!$A:$A,0)),0,IF(DI$1&lt;INDEX('Valo FX'!$R:$R,MATCH($A26,'Valo FX'!$A:$A,0)),INDEX(Base!$U:$U,MATCH($A26,Base!$A:$A,0)),IF(DI$1=INDEX('Valo FX'!$R:$R,MATCH($A26,'Valo FX'!$A:$A,0)),INDEX(Base!$V:$V,MATCH($A26,Base!$A:$A,0)),0)))</f>
        <v>12.249840000000001</v>
      </c>
      <c r="DJ26" s="21">
        <f>IF(DJ$1&lt;INDEX('Valo FX'!$Q:$Q,MATCH($A26,'Valo FX'!$A:$A,0)),0,IF(DJ$1&lt;INDEX('Valo FX'!$R:$R,MATCH($A26,'Valo FX'!$A:$A,0)),INDEX(Base!$U:$U,MATCH($A26,Base!$A:$A,0)),IF(DJ$1=INDEX('Valo FX'!$R:$R,MATCH($A26,'Valo FX'!$A:$A,0)),INDEX(Base!$V:$V,MATCH($A26,Base!$A:$A,0)),0)))</f>
        <v>12.249840000000001</v>
      </c>
      <c r="DK26" s="21">
        <f>IF(DK$1&lt;INDEX('Valo FX'!$Q:$Q,MATCH($A26,'Valo FX'!$A:$A,0)),0,IF(DK$1&lt;INDEX('Valo FX'!$R:$R,MATCH($A26,'Valo FX'!$A:$A,0)),INDEX(Base!$U:$U,MATCH($A26,Base!$A:$A,0)),IF(DK$1=INDEX('Valo FX'!$R:$R,MATCH($A26,'Valo FX'!$A:$A,0)),INDEX(Base!$V:$V,MATCH($A26,Base!$A:$A,0)),0)))</f>
        <v>12.249840000000001</v>
      </c>
      <c r="DL26" s="21">
        <f>IF(DL$1&lt;INDEX('Valo FX'!$Q:$Q,MATCH($A26,'Valo FX'!$A:$A,0)),0,IF(DL$1&lt;INDEX('Valo FX'!$R:$R,MATCH($A26,'Valo FX'!$A:$A,0)),INDEX(Base!$U:$U,MATCH($A26,Base!$A:$A,0)),IF(DL$1=INDEX('Valo FX'!$R:$R,MATCH($A26,'Valo FX'!$A:$A,0)),INDEX(Base!$V:$V,MATCH($A26,Base!$A:$A,0)),0)))</f>
        <v>12.249840000000001</v>
      </c>
      <c r="DM26" s="21">
        <f>IF(DM$1&lt;INDEX('Valo FX'!$Q:$Q,MATCH($A26,'Valo FX'!$A:$A,0)),0,IF(DM$1&lt;INDEX('Valo FX'!$R:$R,MATCH($A26,'Valo FX'!$A:$A,0)),INDEX(Base!$U:$U,MATCH($A26,Base!$A:$A,0)),IF(DM$1=INDEX('Valo FX'!$R:$R,MATCH($A26,'Valo FX'!$A:$A,0)),INDEX(Base!$V:$V,MATCH($A26,Base!$A:$A,0)),0)))</f>
        <v>12.249840000000001</v>
      </c>
      <c r="DN26" s="21">
        <f>IF(DN$1&lt;INDEX('Valo FX'!$Q:$Q,MATCH($A26,'Valo FX'!$A:$A,0)),0,IF(DN$1&lt;INDEX('Valo FX'!$R:$R,MATCH($A26,'Valo FX'!$A:$A,0)),INDEX(Base!$U:$U,MATCH($A26,Base!$A:$A,0)),IF(DN$1=INDEX('Valo FX'!$R:$R,MATCH($A26,'Valo FX'!$A:$A,0)),INDEX(Base!$V:$V,MATCH($A26,Base!$A:$A,0)),0)))</f>
        <v>12.249840000000001</v>
      </c>
      <c r="DO26" s="21">
        <f>IF(DO$1&lt;INDEX('Valo FX'!$Q:$Q,MATCH($A26,'Valo FX'!$A:$A,0)),0,IF(DO$1&lt;INDEX('Valo FX'!$R:$R,MATCH($A26,'Valo FX'!$A:$A,0)),INDEX(Base!$U:$U,MATCH($A26,Base!$A:$A,0)),IF(DO$1=INDEX('Valo FX'!$R:$R,MATCH($A26,'Valo FX'!$A:$A,0)),INDEX(Base!$V:$V,MATCH($A26,Base!$A:$A,0)),0)))</f>
        <v>12.249840000000001</v>
      </c>
      <c r="DP26" s="21">
        <f>IF(DP$1&lt;INDEX('Valo FX'!$Q:$Q,MATCH($A26,'Valo FX'!$A:$A,0)),0,IF(DP$1&lt;INDEX('Valo FX'!$R:$R,MATCH($A26,'Valo FX'!$A:$A,0)),INDEX(Base!$U:$U,MATCH($A26,Base!$A:$A,0)),IF(DP$1=INDEX('Valo FX'!$R:$R,MATCH($A26,'Valo FX'!$A:$A,0)),INDEX(Base!$V:$V,MATCH($A26,Base!$A:$A,0)),0)))</f>
        <v>12.249840000000001</v>
      </c>
      <c r="DQ26" s="21">
        <f>IF(DQ$1&lt;INDEX('Valo FX'!$Q:$Q,MATCH($A26,'Valo FX'!$A:$A,0)),0,IF(DQ$1&lt;INDEX('Valo FX'!$R:$R,MATCH($A26,'Valo FX'!$A:$A,0)),INDEX(Base!$U:$U,MATCH($A26,Base!$A:$A,0)),IF(DQ$1=INDEX('Valo FX'!$R:$R,MATCH($A26,'Valo FX'!$A:$A,0)),INDEX(Base!$V:$V,MATCH($A26,Base!$A:$A,0)),0)))</f>
        <v>12.249840000000001</v>
      </c>
      <c r="DR26" s="21">
        <f>IF(DR$1&lt;INDEX('Valo FX'!$Q:$Q,MATCH($A26,'Valo FX'!$A:$A,0)),0,IF(DR$1&lt;INDEX('Valo FX'!$R:$R,MATCH($A26,'Valo FX'!$A:$A,0)),INDEX(Base!$U:$U,MATCH($A26,Base!$A:$A,0)),IF(DR$1=INDEX('Valo FX'!$R:$R,MATCH($A26,'Valo FX'!$A:$A,0)),INDEX(Base!$V:$V,MATCH($A26,Base!$A:$A,0)),0)))</f>
        <v>12.249840000000001</v>
      </c>
      <c r="DS26" s="21">
        <f>IF(DS$1&lt;INDEX('Valo FX'!$Q:$Q,MATCH($A26,'Valo FX'!$A:$A,0)),0,IF(DS$1&lt;INDEX('Valo FX'!$R:$R,MATCH($A26,'Valo FX'!$A:$A,0)),INDEX(Base!$U:$U,MATCH($A26,Base!$A:$A,0)),IF(DS$1=INDEX('Valo FX'!$R:$R,MATCH($A26,'Valo FX'!$A:$A,0)),INDEX(Base!$V:$V,MATCH($A26,Base!$A:$A,0)),0)))</f>
        <v>12.249840000000001</v>
      </c>
      <c r="DT26" s="21">
        <f>IF(DT$1&lt;INDEX('Valo FX'!$Q:$Q,MATCH($A26,'Valo FX'!$A:$A,0)),0,IF(DT$1&lt;INDEX('Valo FX'!$R:$R,MATCH($A26,'Valo FX'!$A:$A,0)),INDEX(Base!$U:$U,MATCH($A26,Base!$A:$A,0)),IF(DT$1=INDEX('Valo FX'!$R:$R,MATCH($A26,'Valo FX'!$A:$A,0)),INDEX(Base!$V:$V,MATCH($A26,Base!$A:$A,0)),0)))</f>
        <v>12.249840000000001</v>
      </c>
      <c r="DU26" s="21">
        <f>IF(DU$1&lt;INDEX('Valo FX'!$Q:$Q,MATCH($A26,'Valo FX'!$A:$A,0)),0,IF(DU$1&lt;INDEX('Valo FX'!$R:$R,MATCH($A26,'Valo FX'!$A:$A,0)),INDEX(Base!$U:$U,MATCH($A26,Base!$A:$A,0)),IF(DU$1=INDEX('Valo FX'!$R:$R,MATCH($A26,'Valo FX'!$A:$A,0)),INDEX(Base!$V:$V,MATCH($A26,Base!$A:$A,0)),0)))</f>
        <v>12.249840000000001</v>
      </c>
      <c r="DV26" s="21">
        <f>IF(DV$1&lt;INDEX('Valo FX'!$Q:$Q,MATCH($A26,'Valo FX'!$A:$A,0)),0,IF(DV$1&lt;INDEX('Valo FX'!$R:$R,MATCH($A26,'Valo FX'!$A:$A,0)),INDEX(Base!$U:$U,MATCH($A26,Base!$A:$A,0)),IF(DV$1=INDEX('Valo FX'!$R:$R,MATCH($A26,'Valo FX'!$A:$A,0)),INDEX(Base!$V:$V,MATCH($A26,Base!$A:$A,0)),0)))</f>
        <v>12.249840000000001</v>
      </c>
      <c r="DW26" s="21">
        <f>IF(DW$1&lt;INDEX('Valo FX'!$Q:$Q,MATCH($A26,'Valo FX'!$A:$A,0)),0,IF(DW$1&lt;INDEX('Valo FX'!$R:$R,MATCH($A26,'Valo FX'!$A:$A,0)),INDEX(Base!$U:$U,MATCH($A26,Base!$A:$A,0)),IF(DW$1=INDEX('Valo FX'!$R:$R,MATCH($A26,'Valo FX'!$A:$A,0)),INDEX(Base!$V:$V,MATCH($A26,Base!$A:$A,0)),0)))</f>
        <v>12.249840000000001</v>
      </c>
      <c r="DX26" s="21">
        <f>IF(DX$1&lt;INDEX('Valo FX'!$Q:$Q,MATCH($A26,'Valo FX'!$A:$A,0)),0,IF(DX$1&lt;INDEX('Valo FX'!$R:$R,MATCH($A26,'Valo FX'!$A:$A,0)),INDEX(Base!$U:$U,MATCH($A26,Base!$A:$A,0)),IF(DX$1=INDEX('Valo FX'!$R:$R,MATCH($A26,'Valo FX'!$A:$A,0)),INDEX(Base!$V:$V,MATCH($A26,Base!$A:$A,0)),0)))</f>
        <v>12.249840000000001</v>
      </c>
      <c r="DY26" s="21">
        <f>IF(DY$1&lt;INDEX('Valo FX'!$Q:$Q,MATCH($A26,'Valo FX'!$A:$A,0)),0,IF(DY$1&lt;INDEX('Valo FX'!$R:$R,MATCH($A26,'Valo FX'!$A:$A,0)),INDEX(Base!$U:$U,MATCH($A26,Base!$A:$A,0)),IF(DY$1=INDEX('Valo FX'!$R:$R,MATCH($A26,'Valo FX'!$A:$A,0)),INDEX(Base!$V:$V,MATCH($A26,Base!$A:$A,0)),0)))</f>
        <v>12.249840000000001</v>
      </c>
      <c r="DZ26" s="21">
        <f>IF(DZ$1&lt;INDEX('Valo FX'!$Q:$Q,MATCH($A26,'Valo FX'!$A:$A,0)),0,IF(DZ$1&lt;INDEX('Valo FX'!$R:$R,MATCH($A26,'Valo FX'!$A:$A,0)),INDEX(Base!$U:$U,MATCH($A26,Base!$A:$A,0)),IF(DZ$1=INDEX('Valo FX'!$R:$R,MATCH($A26,'Valo FX'!$A:$A,0)),INDEX(Base!$V:$V,MATCH($A26,Base!$A:$A,0)),0)))</f>
        <v>12.249840000000001</v>
      </c>
      <c r="EA26" s="21">
        <f>IF(EA$1&lt;INDEX('Valo FX'!$Q:$Q,MATCH($A26,'Valo FX'!$A:$A,0)),0,IF(EA$1&lt;INDEX('Valo FX'!$R:$R,MATCH($A26,'Valo FX'!$A:$A,0)),INDEX(Base!$U:$U,MATCH($A26,Base!$A:$A,0)),IF(EA$1=INDEX('Valo FX'!$R:$R,MATCH($A26,'Valo FX'!$A:$A,0)),INDEX(Base!$V:$V,MATCH($A26,Base!$A:$A,0)),0)))</f>
        <v>12.249840000000001</v>
      </c>
      <c r="EB26" s="21">
        <f>IF(EB$1&lt;INDEX('Valo FX'!$Q:$Q,MATCH($A26,'Valo FX'!$A:$A,0)),0,IF(EB$1&lt;INDEX('Valo FX'!$R:$R,MATCH($A26,'Valo FX'!$A:$A,0)),INDEX(Base!$U:$U,MATCH($A26,Base!$A:$A,0)),IF(EB$1=INDEX('Valo FX'!$R:$R,MATCH($A26,'Valo FX'!$A:$A,0)),INDEX(Base!$V:$V,MATCH($A26,Base!$A:$A,0)),0)))</f>
        <v>12.249840000000001</v>
      </c>
      <c r="EC26" s="21">
        <f>IF(EC$1&lt;INDEX('Valo FX'!$Q:$Q,MATCH($A26,'Valo FX'!$A:$A,0)),0,IF(EC$1&lt;INDEX('Valo FX'!$R:$R,MATCH($A26,'Valo FX'!$A:$A,0)),INDEX(Base!$U:$U,MATCH($A26,Base!$A:$A,0)),IF(EC$1=INDEX('Valo FX'!$R:$R,MATCH($A26,'Valo FX'!$A:$A,0)),INDEX(Base!$V:$V,MATCH($A26,Base!$A:$A,0)),0)))</f>
        <v>12.249840000000001</v>
      </c>
      <c r="ED26" s="21">
        <f>IF(ED$1&lt;INDEX('Valo FX'!$Q:$Q,MATCH($A26,'Valo FX'!$A:$A,0)),0,IF(ED$1&lt;INDEX('Valo FX'!$R:$R,MATCH($A26,'Valo FX'!$A:$A,0)),INDEX(Base!$U:$U,MATCH($A26,Base!$A:$A,0)),IF(ED$1=INDEX('Valo FX'!$R:$R,MATCH($A26,'Valo FX'!$A:$A,0)),INDEX(Base!$V:$V,MATCH($A26,Base!$A:$A,0)),0)))</f>
        <v>12.249840000000001</v>
      </c>
      <c r="EE26" s="21">
        <f>IF(EE$1&lt;INDEX('Valo FX'!$Q:$Q,MATCH($A26,'Valo FX'!$A:$A,0)),0,IF(EE$1&lt;INDEX('Valo FX'!$R:$R,MATCH($A26,'Valo FX'!$A:$A,0)),INDEX(Base!$U:$U,MATCH($A26,Base!$A:$A,0)),IF(EE$1=INDEX('Valo FX'!$R:$R,MATCH($A26,'Valo FX'!$A:$A,0)),INDEX(Base!$V:$V,MATCH($A26,Base!$A:$A,0)),0)))</f>
        <v>12.249840000000001</v>
      </c>
      <c r="EF26" s="21">
        <f>IF(EF$1&lt;INDEX('Valo FX'!$Q:$Q,MATCH($A26,'Valo FX'!$A:$A,0)),0,IF(EF$1&lt;INDEX('Valo FX'!$R:$R,MATCH($A26,'Valo FX'!$A:$A,0)),INDEX(Base!$U:$U,MATCH($A26,Base!$A:$A,0)),IF(EF$1=INDEX('Valo FX'!$R:$R,MATCH($A26,'Valo FX'!$A:$A,0)),INDEX(Base!$V:$V,MATCH($A26,Base!$A:$A,0)),0)))</f>
        <v>12.249840000000001</v>
      </c>
      <c r="EG26" s="21">
        <f>IF(EG$1&lt;INDEX('Valo FX'!$Q:$Q,MATCH($A26,'Valo FX'!$A:$A,0)),0,IF(EG$1&lt;INDEX('Valo FX'!$R:$R,MATCH($A26,'Valo FX'!$A:$A,0)),INDEX(Base!$U:$U,MATCH($A26,Base!$A:$A,0)),IF(EG$1=INDEX('Valo FX'!$R:$R,MATCH($A26,'Valo FX'!$A:$A,0)),INDEX(Base!$V:$V,MATCH($A26,Base!$A:$A,0)),0)))</f>
        <v>12.249840000000001</v>
      </c>
      <c r="EH26" s="21">
        <f>IF(EH$1&lt;INDEX('Valo FX'!$Q:$Q,MATCH($A26,'Valo FX'!$A:$A,0)),0,IF(EH$1&lt;INDEX('Valo FX'!$R:$R,MATCH($A26,'Valo FX'!$A:$A,0)),INDEX(Base!$U:$U,MATCH($A26,Base!$A:$A,0)),IF(EH$1=INDEX('Valo FX'!$R:$R,MATCH($A26,'Valo FX'!$A:$A,0)),INDEX(Base!$V:$V,MATCH($A26,Base!$A:$A,0)),0)))</f>
        <v>12.249840000000001</v>
      </c>
      <c r="EI26" s="21">
        <f>IF(EI$1&lt;INDEX('Valo FX'!$Q:$Q,MATCH($A26,'Valo FX'!$A:$A,0)),0,IF(EI$1&lt;INDEX('Valo FX'!$R:$R,MATCH($A26,'Valo FX'!$A:$A,0)),INDEX(Base!$U:$U,MATCH($A26,Base!$A:$A,0)),IF(EI$1=INDEX('Valo FX'!$R:$R,MATCH($A26,'Valo FX'!$A:$A,0)),INDEX(Base!$V:$V,MATCH($A26,Base!$A:$A,0)),0)))</f>
        <v>12.249840000000001</v>
      </c>
      <c r="EJ26" s="21">
        <f>IF(EJ$1&lt;INDEX('Valo FX'!$Q:$Q,MATCH($A26,'Valo FX'!$A:$A,0)),0,IF(EJ$1&lt;INDEX('Valo FX'!$R:$R,MATCH($A26,'Valo FX'!$A:$A,0)),INDEX(Base!$U:$U,MATCH($A26,Base!$A:$A,0)),IF(EJ$1=INDEX('Valo FX'!$R:$R,MATCH($A26,'Valo FX'!$A:$A,0)),INDEX(Base!$V:$V,MATCH($A26,Base!$A:$A,0)),0)))</f>
        <v>12.249840000000001</v>
      </c>
      <c r="EK26" s="21">
        <f>IF(EK$1&lt;INDEX('Valo FX'!$Q:$Q,MATCH($A26,'Valo FX'!$A:$A,0)),0,IF(EK$1&lt;INDEX('Valo FX'!$R:$R,MATCH($A26,'Valo FX'!$A:$A,0)),INDEX(Base!$U:$U,MATCH($A26,Base!$A:$A,0)),IF(EK$1=INDEX('Valo FX'!$R:$R,MATCH($A26,'Valo FX'!$A:$A,0)),INDEX(Base!$V:$V,MATCH($A26,Base!$A:$A,0)),0)))</f>
        <v>12.249840000000001</v>
      </c>
      <c r="EL26" s="21">
        <f>IF(EL$1&lt;INDEX('Valo FX'!$Q:$Q,MATCH($A26,'Valo FX'!$A:$A,0)),0,IF(EL$1&lt;INDEX('Valo FX'!$R:$R,MATCH($A26,'Valo FX'!$A:$A,0)),INDEX(Base!$U:$U,MATCH($A26,Base!$A:$A,0)),IF(EL$1=INDEX('Valo FX'!$R:$R,MATCH($A26,'Valo FX'!$A:$A,0)),INDEX(Base!$V:$V,MATCH($A26,Base!$A:$A,0)),0)))</f>
        <v>12.249840000000001</v>
      </c>
      <c r="EM26" s="21">
        <f>IF(EM$1&lt;INDEX('Valo FX'!$Q:$Q,MATCH($A26,'Valo FX'!$A:$A,0)),0,IF(EM$1&lt;INDEX('Valo FX'!$R:$R,MATCH($A26,'Valo FX'!$A:$A,0)),INDEX(Base!$U:$U,MATCH($A26,Base!$A:$A,0)),IF(EM$1=INDEX('Valo FX'!$R:$R,MATCH($A26,'Valo FX'!$A:$A,0)),INDEX(Base!$V:$V,MATCH($A26,Base!$A:$A,0)),0)))</f>
        <v>12.249840000000001</v>
      </c>
      <c r="EN26" s="21">
        <f>IF(EN$1&lt;INDEX('Valo FX'!$Q:$Q,MATCH($A26,'Valo FX'!$A:$A,0)),0,IF(EN$1&lt;INDEX('Valo FX'!$R:$R,MATCH($A26,'Valo FX'!$A:$A,0)),INDEX(Base!$U:$U,MATCH($A26,Base!$A:$A,0)),IF(EN$1=INDEX('Valo FX'!$R:$R,MATCH($A26,'Valo FX'!$A:$A,0)),INDEX(Base!$V:$V,MATCH($A26,Base!$A:$A,0)),0)))</f>
        <v>12.249840000000001</v>
      </c>
      <c r="EO26" s="21">
        <f>IF(EO$1&lt;INDEX('Valo FX'!$Q:$Q,MATCH($A26,'Valo FX'!$A:$A,0)),0,IF(EO$1&lt;INDEX('Valo FX'!$R:$R,MATCH($A26,'Valo FX'!$A:$A,0)),INDEX(Base!$U:$U,MATCH($A26,Base!$A:$A,0)),IF(EO$1=INDEX('Valo FX'!$R:$R,MATCH($A26,'Valo FX'!$A:$A,0)),INDEX(Base!$V:$V,MATCH($A26,Base!$A:$A,0)),0)))</f>
        <v>12.249840000000001</v>
      </c>
      <c r="EP26" s="21">
        <f>IF(EP$1&lt;INDEX('Valo FX'!$Q:$Q,MATCH($A26,'Valo FX'!$A:$A,0)),0,IF(EP$1&lt;INDEX('Valo FX'!$R:$R,MATCH($A26,'Valo FX'!$A:$A,0)),INDEX(Base!$U:$U,MATCH($A26,Base!$A:$A,0)),IF(EP$1=INDEX('Valo FX'!$R:$R,MATCH($A26,'Valo FX'!$A:$A,0)),INDEX(Base!$V:$V,MATCH($A26,Base!$A:$A,0)),0)))</f>
        <v>12.249840000000001</v>
      </c>
      <c r="EQ26" s="21">
        <f>IF(EQ$1&lt;INDEX('Valo FX'!$Q:$Q,MATCH($A26,'Valo FX'!$A:$A,0)),0,IF(EQ$1&lt;INDEX('Valo FX'!$R:$R,MATCH($A26,'Valo FX'!$A:$A,0)),INDEX(Base!$U:$U,MATCH($A26,Base!$A:$A,0)),IF(EQ$1=INDEX('Valo FX'!$R:$R,MATCH($A26,'Valo FX'!$A:$A,0)),INDEX(Base!$V:$V,MATCH($A26,Base!$A:$A,0)),0)))</f>
        <v>12.249840000000001</v>
      </c>
      <c r="ER26" s="21">
        <f>IF(ER$1&lt;INDEX('Valo FX'!$Q:$Q,MATCH($A26,'Valo FX'!$A:$A,0)),0,IF(ER$1&lt;INDEX('Valo FX'!$R:$R,MATCH($A26,'Valo FX'!$A:$A,0)),INDEX(Base!$U:$U,MATCH($A26,Base!$A:$A,0)),IF(ER$1=INDEX('Valo FX'!$R:$R,MATCH($A26,'Valo FX'!$A:$A,0)),INDEX(Base!$V:$V,MATCH($A26,Base!$A:$A,0)),0)))</f>
        <v>12.249840000000001</v>
      </c>
      <c r="ES26" s="21">
        <f>IF(ES$1&lt;INDEX('Valo FX'!$Q:$Q,MATCH($A26,'Valo FX'!$A:$A,0)),0,IF(ES$1&lt;INDEX('Valo FX'!$R:$R,MATCH($A26,'Valo FX'!$A:$A,0)),INDEX(Base!$U:$U,MATCH($A26,Base!$A:$A,0)),IF(ES$1=INDEX('Valo FX'!$R:$R,MATCH($A26,'Valo FX'!$A:$A,0)),INDEX(Base!$V:$V,MATCH($A26,Base!$A:$A,0)),0)))</f>
        <v>12.249840000000001</v>
      </c>
      <c r="ET26" s="21">
        <f>IF(ET$1&lt;INDEX('Valo FX'!$Q:$Q,MATCH($A26,'Valo FX'!$A:$A,0)),0,IF(ET$1&lt;INDEX('Valo FX'!$R:$R,MATCH($A26,'Valo FX'!$A:$A,0)),INDEX(Base!$U:$U,MATCH($A26,Base!$A:$A,0)),IF(ET$1=INDEX('Valo FX'!$R:$R,MATCH($A26,'Valo FX'!$A:$A,0)),INDEX(Base!$V:$V,MATCH($A26,Base!$A:$A,0)),0)))</f>
        <v>12.249840000000001</v>
      </c>
      <c r="EU26" s="21">
        <f>IF(EU$1&lt;INDEX('Valo FX'!$Q:$Q,MATCH($A26,'Valo FX'!$A:$A,0)),0,IF(EU$1&lt;INDEX('Valo FX'!$R:$R,MATCH($A26,'Valo FX'!$A:$A,0)),INDEX(Base!$U:$U,MATCH($A26,Base!$A:$A,0)),IF(EU$1=INDEX('Valo FX'!$R:$R,MATCH($A26,'Valo FX'!$A:$A,0)),INDEX(Base!$V:$V,MATCH($A26,Base!$A:$A,0)),0)))</f>
        <v>12.249840000000001</v>
      </c>
      <c r="EV26" s="21">
        <f>IF(EV$1&lt;INDEX('Valo FX'!$Q:$Q,MATCH($A26,'Valo FX'!$A:$A,0)),0,IF(EV$1&lt;INDEX('Valo FX'!$R:$R,MATCH($A26,'Valo FX'!$A:$A,0)),INDEX(Base!$U:$U,MATCH($A26,Base!$A:$A,0)),IF(EV$1=INDEX('Valo FX'!$R:$R,MATCH($A26,'Valo FX'!$A:$A,0)),INDEX(Base!$V:$V,MATCH($A26,Base!$A:$A,0)),0)))</f>
        <v>12.249840000000001</v>
      </c>
      <c r="EW26" s="21">
        <f>IF(EW$1&lt;INDEX('Valo FX'!$Q:$Q,MATCH($A26,'Valo FX'!$A:$A,0)),0,IF(EW$1&lt;INDEX('Valo FX'!$R:$R,MATCH($A26,'Valo FX'!$A:$A,0)),INDEX(Base!$U:$U,MATCH($A26,Base!$A:$A,0)),IF(EW$1=INDEX('Valo FX'!$R:$R,MATCH($A26,'Valo FX'!$A:$A,0)),INDEX(Base!$V:$V,MATCH($A26,Base!$A:$A,0)),0)))</f>
        <v>12.249840000000001</v>
      </c>
      <c r="EX26" s="21">
        <f>IF(EX$1&lt;INDEX('Valo FX'!$Q:$Q,MATCH($A26,'Valo FX'!$A:$A,0)),0,IF(EX$1&lt;INDEX('Valo FX'!$R:$R,MATCH($A26,'Valo FX'!$A:$A,0)),INDEX(Base!$U:$U,MATCH($A26,Base!$A:$A,0)),IF(EX$1=INDEX('Valo FX'!$R:$R,MATCH($A26,'Valo FX'!$A:$A,0)),INDEX(Base!$V:$V,MATCH($A26,Base!$A:$A,0)),0)))</f>
        <v>12.249840000000001</v>
      </c>
      <c r="EY26" s="21">
        <f>IF(EY$1&lt;INDEX('Valo FX'!$Q:$Q,MATCH($A26,'Valo FX'!$A:$A,0)),0,IF(EY$1&lt;INDEX('Valo FX'!$R:$R,MATCH($A26,'Valo FX'!$A:$A,0)),INDEX(Base!$U:$U,MATCH($A26,Base!$A:$A,0)),IF(EY$1=INDEX('Valo FX'!$R:$R,MATCH($A26,'Valo FX'!$A:$A,0)),INDEX(Base!$V:$V,MATCH($A26,Base!$A:$A,0)),0)))</f>
        <v>12.249840000000001</v>
      </c>
      <c r="EZ26" s="21">
        <f>IF(EZ$1&lt;INDEX('Valo FX'!$Q:$Q,MATCH($A26,'Valo FX'!$A:$A,0)),0,IF(EZ$1&lt;INDEX('Valo FX'!$R:$R,MATCH($A26,'Valo FX'!$A:$A,0)),INDEX(Base!$U:$U,MATCH($A26,Base!$A:$A,0)),IF(EZ$1=INDEX('Valo FX'!$R:$R,MATCH($A26,'Valo FX'!$A:$A,0)),INDEX(Base!$V:$V,MATCH($A26,Base!$A:$A,0)),0)))</f>
        <v>12.249840000000001</v>
      </c>
      <c r="FA26" s="21">
        <f>IF(FA$1&lt;INDEX('Valo FX'!$Q:$Q,MATCH($A26,'Valo FX'!$A:$A,0)),0,IF(FA$1&lt;INDEX('Valo FX'!$R:$R,MATCH($A26,'Valo FX'!$A:$A,0)),INDEX(Base!$U:$U,MATCH($A26,Base!$A:$A,0)),IF(FA$1=INDEX('Valo FX'!$R:$R,MATCH($A26,'Valo FX'!$A:$A,0)),INDEX(Base!$V:$V,MATCH($A26,Base!$A:$A,0)),0)))</f>
        <v>12.249840000000001</v>
      </c>
      <c r="FB26" s="21">
        <f>IF(FB$1&lt;INDEX('Valo FX'!$Q:$Q,MATCH($A26,'Valo FX'!$A:$A,0)),0,IF(FB$1&lt;INDEX('Valo FX'!$R:$R,MATCH($A26,'Valo FX'!$A:$A,0)),INDEX(Base!$U:$U,MATCH($A26,Base!$A:$A,0)),IF(FB$1=INDEX('Valo FX'!$R:$R,MATCH($A26,'Valo FX'!$A:$A,0)),INDEX(Base!$V:$V,MATCH($A26,Base!$A:$A,0)),0)))</f>
        <v>12.249840000000001</v>
      </c>
      <c r="FC26" s="21">
        <f>IF(FC$1&lt;INDEX('Valo FX'!$Q:$Q,MATCH($A26,'Valo FX'!$A:$A,0)),0,IF(FC$1&lt;INDEX('Valo FX'!$R:$R,MATCH($A26,'Valo FX'!$A:$A,0)),INDEX(Base!$U:$U,MATCH($A26,Base!$A:$A,0)),IF(FC$1=INDEX('Valo FX'!$R:$R,MATCH($A26,'Valo FX'!$A:$A,0)),INDEX(Base!$V:$V,MATCH($A26,Base!$A:$A,0)),0)))</f>
        <v>12.249840000000001</v>
      </c>
      <c r="FD26" s="21">
        <f>IF(FD$1&lt;INDEX('Valo FX'!$Q:$Q,MATCH($A26,'Valo FX'!$A:$A,0)),0,IF(FD$1&lt;INDEX('Valo FX'!$R:$R,MATCH($A26,'Valo FX'!$A:$A,0)),INDEX(Base!$U:$U,MATCH($A26,Base!$A:$A,0)),IF(FD$1=INDEX('Valo FX'!$R:$R,MATCH($A26,'Valo FX'!$A:$A,0)),INDEX(Base!$V:$V,MATCH($A26,Base!$A:$A,0)),0)))</f>
        <v>12.249840000000001</v>
      </c>
      <c r="FE26" s="21">
        <f>IF(FE$1&lt;INDEX('Valo FX'!$Q:$Q,MATCH($A26,'Valo FX'!$A:$A,0)),0,IF(FE$1&lt;INDEX('Valo FX'!$R:$R,MATCH($A26,'Valo FX'!$A:$A,0)),INDEX(Base!$U:$U,MATCH($A26,Base!$A:$A,0)),IF(FE$1=INDEX('Valo FX'!$R:$R,MATCH($A26,'Valo FX'!$A:$A,0)),INDEX(Base!$V:$V,MATCH($A26,Base!$A:$A,0)),0)))</f>
        <v>12.249840000000001</v>
      </c>
      <c r="FF26" s="21">
        <f>IF(FF$1&lt;INDEX('Valo FX'!$Q:$Q,MATCH($A26,'Valo FX'!$A:$A,0)),0,IF(FF$1&lt;INDEX('Valo FX'!$R:$R,MATCH($A26,'Valo FX'!$A:$A,0)),INDEX(Base!$U:$U,MATCH($A26,Base!$A:$A,0)),IF(FF$1=INDEX('Valo FX'!$R:$R,MATCH($A26,'Valo FX'!$A:$A,0)),INDEX(Base!$V:$V,MATCH($A26,Base!$A:$A,0)),0)))</f>
        <v>12.249840000000001</v>
      </c>
      <c r="FG26" s="21">
        <f>IF(FG$1&lt;INDEX('Valo FX'!$Q:$Q,MATCH($A26,'Valo FX'!$A:$A,0)),0,IF(FG$1&lt;INDEX('Valo FX'!$R:$R,MATCH($A26,'Valo FX'!$A:$A,0)),INDEX(Base!$U:$U,MATCH($A26,Base!$A:$A,0)),IF(FG$1=INDEX('Valo FX'!$R:$R,MATCH($A26,'Valo FX'!$A:$A,0)),INDEX(Base!$V:$V,MATCH($A26,Base!$A:$A,0)),0)))</f>
        <v>12.249840000000001</v>
      </c>
      <c r="FH26" s="21">
        <f>IF(FH$1&lt;INDEX('Valo FX'!$Q:$Q,MATCH($A26,'Valo FX'!$A:$A,0)),0,IF(FH$1&lt;INDEX('Valo FX'!$R:$R,MATCH($A26,'Valo FX'!$A:$A,0)),INDEX(Base!$U:$U,MATCH($A26,Base!$A:$A,0)),IF(FH$1=INDEX('Valo FX'!$R:$R,MATCH($A26,'Valo FX'!$A:$A,0)),INDEX(Base!$V:$V,MATCH($A26,Base!$A:$A,0)),0)))</f>
        <v>12.249840000000001</v>
      </c>
      <c r="FI26" s="21">
        <f>IF(FI$1&lt;INDEX('Valo FX'!$Q:$Q,MATCH($A26,'Valo FX'!$A:$A,0)),0,IF(FI$1&lt;INDEX('Valo FX'!$R:$R,MATCH($A26,'Valo FX'!$A:$A,0)),INDEX(Base!$U:$U,MATCH($A26,Base!$A:$A,0)),IF(FI$1=INDEX('Valo FX'!$R:$R,MATCH($A26,'Valo FX'!$A:$A,0)),INDEX(Base!$V:$V,MATCH($A26,Base!$A:$A,0)),0)))</f>
        <v>12.249840000000001</v>
      </c>
      <c r="FJ26" s="21">
        <f>IF(FJ$1&lt;INDEX('Valo FX'!$Q:$Q,MATCH($A26,'Valo FX'!$A:$A,0)),0,IF(FJ$1&lt;INDEX('Valo FX'!$R:$R,MATCH($A26,'Valo FX'!$A:$A,0)),INDEX(Base!$U:$U,MATCH($A26,Base!$A:$A,0)),IF(FJ$1=INDEX('Valo FX'!$R:$R,MATCH($A26,'Valo FX'!$A:$A,0)),INDEX(Base!$V:$V,MATCH($A26,Base!$A:$A,0)),0)))</f>
        <v>12.249840000000001</v>
      </c>
      <c r="FK26" s="21">
        <f>IF(FK$1&lt;INDEX('Valo FX'!$Q:$Q,MATCH($A26,'Valo FX'!$A:$A,0)),0,IF(FK$1&lt;INDEX('Valo FX'!$R:$R,MATCH($A26,'Valo FX'!$A:$A,0)),INDEX(Base!$U:$U,MATCH($A26,Base!$A:$A,0)),IF(FK$1=INDEX('Valo FX'!$R:$R,MATCH($A26,'Valo FX'!$A:$A,0)),INDEX(Base!$V:$V,MATCH($A26,Base!$A:$A,0)),0)))</f>
        <v>12.249840000000001</v>
      </c>
      <c r="FL26" s="21">
        <f>IF(FL$1&lt;INDEX('Valo FX'!$Q:$Q,MATCH($A26,'Valo FX'!$A:$A,0)),0,IF(FL$1&lt;INDEX('Valo FX'!$R:$R,MATCH($A26,'Valo FX'!$A:$A,0)),INDEX(Base!$U:$U,MATCH($A26,Base!$A:$A,0)),IF(FL$1=INDEX('Valo FX'!$R:$R,MATCH($A26,'Valo FX'!$A:$A,0)),INDEX(Base!$V:$V,MATCH($A26,Base!$A:$A,0)),0)))</f>
        <v>12.249840000000001</v>
      </c>
      <c r="FM26" s="21">
        <f>IF(FM$1&lt;INDEX('Valo FX'!$Q:$Q,MATCH($A26,'Valo FX'!$A:$A,0)),0,IF(FM$1&lt;INDEX('Valo FX'!$R:$R,MATCH($A26,'Valo FX'!$A:$A,0)),INDEX(Base!$U:$U,MATCH($A26,Base!$A:$A,0)),IF(FM$1=INDEX('Valo FX'!$R:$R,MATCH($A26,'Valo FX'!$A:$A,0)),INDEX(Base!$V:$V,MATCH($A26,Base!$A:$A,0)),0)))</f>
        <v>12.249840000000001</v>
      </c>
      <c r="FN26" s="21">
        <f>IF(FN$1&lt;INDEX('Valo FX'!$Q:$Q,MATCH($A26,'Valo FX'!$A:$A,0)),0,IF(FN$1&lt;INDEX('Valo FX'!$R:$R,MATCH($A26,'Valo FX'!$A:$A,0)),INDEX(Base!$U:$U,MATCH($A26,Base!$A:$A,0)),IF(FN$1=INDEX('Valo FX'!$R:$R,MATCH($A26,'Valo FX'!$A:$A,0)),INDEX(Base!$V:$V,MATCH($A26,Base!$A:$A,0)),0)))</f>
        <v>12.249840000000001</v>
      </c>
      <c r="FO26" s="21">
        <f>IF(FO$1&lt;INDEX('Valo FX'!$Q:$Q,MATCH($A26,'Valo FX'!$A:$A,0)),0,IF(FO$1&lt;INDEX('Valo FX'!$R:$R,MATCH($A26,'Valo FX'!$A:$A,0)),INDEX(Base!$U:$U,MATCH($A26,Base!$A:$A,0)),IF(FO$1=INDEX('Valo FX'!$R:$R,MATCH($A26,'Valo FX'!$A:$A,0)),INDEX(Base!$V:$V,MATCH($A26,Base!$A:$A,0)),0)))</f>
        <v>12.249840000000001</v>
      </c>
      <c r="FP26" s="21">
        <f>IF(FP$1&lt;INDEX('Valo FX'!$Q:$Q,MATCH($A26,'Valo FX'!$A:$A,0)),0,IF(FP$1&lt;INDEX('Valo FX'!$R:$R,MATCH($A26,'Valo FX'!$A:$A,0)),INDEX(Base!$U:$U,MATCH($A26,Base!$A:$A,0)),IF(FP$1=INDEX('Valo FX'!$R:$R,MATCH($A26,'Valo FX'!$A:$A,0)),INDEX(Base!$V:$V,MATCH($A26,Base!$A:$A,0)),0)))</f>
        <v>12.249840000000001</v>
      </c>
      <c r="FQ26" s="21">
        <f>IF(FQ$1&lt;INDEX('Valo FX'!$Q:$Q,MATCH($A26,'Valo FX'!$A:$A,0)),0,IF(FQ$1&lt;INDEX('Valo FX'!$R:$R,MATCH($A26,'Valo FX'!$A:$A,0)),INDEX(Base!$U:$U,MATCH($A26,Base!$A:$A,0)),IF(FQ$1=INDEX('Valo FX'!$R:$R,MATCH($A26,'Valo FX'!$A:$A,0)),INDEX(Base!$V:$V,MATCH($A26,Base!$A:$A,0)),0)))</f>
        <v>12.249840000000001</v>
      </c>
      <c r="FR26" s="21">
        <f>IF(FR$1&lt;INDEX('Valo FX'!$Q:$Q,MATCH($A26,'Valo FX'!$A:$A,0)),0,IF(FR$1&lt;INDEX('Valo FX'!$R:$R,MATCH($A26,'Valo FX'!$A:$A,0)),INDEX(Base!$U:$U,MATCH($A26,Base!$A:$A,0)),IF(FR$1=INDEX('Valo FX'!$R:$R,MATCH($A26,'Valo FX'!$A:$A,0)),INDEX(Base!$V:$V,MATCH($A26,Base!$A:$A,0)),0)))</f>
        <v>12.249840000000001</v>
      </c>
      <c r="FS26" s="21">
        <f>IF(FS$1&lt;INDEX('Valo FX'!$Q:$Q,MATCH($A26,'Valo FX'!$A:$A,0)),0,IF(FS$1&lt;INDEX('Valo FX'!$R:$R,MATCH($A26,'Valo FX'!$A:$A,0)),INDEX(Base!$U:$U,MATCH($A26,Base!$A:$A,0)),IF(FS$1=INDEX('Valo FX'!$R:$R,MATCH($A26,'Valo FX'!$A:$A,0)),INDEX(Base!$V:$V,MATCH($A26,Base!$A:$A,0)),0)))</f>
        <v>12.249840000000001</v>
      </c>
      <c r="FT26" s="21">
        <f>IF(FT$1&lt;INDEX('Valo FX'!$Q:$Q,MATCH($A26,'Valo FX'!$A:$A,0)),0,IF(FT$1&lt;INDEX('Valo FX'!$R:$R,MATCH($A26,'Valo FX'!$A:$A,0)),INDEX(Base!$U:$U,MATCH($A26,Base!$A:$A,0)),IF(FT$1=INDEX('Valo FX'!$R:$R,MATCH($A26,'Valo FX'!$A:$A,0)),INDEX(Base!$V:$V,MATCH($A26,Base!$A:$A,0)),0)))</f>
        <v>12.249840000000001</v>
      </c>
      <c r="FU26" s="21">
        <f>IF(FU$1&lt;INDEX('Valo FX'!$Q:$Q,MATCH($A26,'Valo FX'!$A:$A,0)),0,IF(FU$1&lt;INDEX('Valo FX'!$R:$R,MATCH($A26,'Valo FX'!$A:$A,0)),INDEX(Base!$U:$U,MATCH($A26,Base!$A:$A,0)),IF(FU$1=INDEX('Valo FX'!$R:$R,MATCH($A26,'Valo FX'!$A:$A,0)),INDEX(Base!$V:$V,MATCH($A26,Base!$A:$A,0)),0)))</f>
        <v>12.249840000000001</v>
      </c>
      <c r="FV26" s="21">
        <f>IF(FV$1&lt;INDEX('Valo FX'!$Q:$Q,MATCH($A26,'Valo FX'!$A:$A,0)),0,IF(FV$1&lt;INDEX('Valo FX'!$R:$R,MATCH($A26,'Valo FX'!$A:$A,0)),INDEX(Base!$U:$U,MATCH($A26,Base!$A:$A,0)),IF(FV$1=INDEX('Valo FX'!$R:$R,MATCH($A26,'Valo FX'!$A:$A,0)),INDEX(Base!$V:$V,MATCH($A26,Base!$A:$A,0)),0)))</f>
        <v>12.249840000000001</v>
      </c>
      <c r="FW26" s="21">
        <f>IF(FW$1&lt;INDEX('Valo FX'!$Q:$Q,MATCH($A26,'Valo FX'!$A:$A,0)),0,IF(FW$1&lt;INDEX('Valo FX'!$R:$R,MATCH($A26,'Valo FX'!$A:$A,0)),INDEX(Base!$U:$U,MATCH($A26,Base!$A:$A,0)),IF(FW$1=INDEX('Valo FX'!$R:$R,MATCH($A26,'Valo FX'!$A:$A,0)),INDEX(Base!$V:$V,MATCH($A26,Base!$A:$A,0)),0)))</f>
        <v>12.249840000000001</v>
      </c>
      <c r="FX26" s="21">
        <f>IF(FX$1&lt;INDEX('Valo FX'!$Q:$Q,MATCH($A26,'Valo FX'!$A:$A,0)),0,IF(FX$1&lt;INDEX('Valo FX'!$R:$R,MATCH($A26,'Valo FX'!$A:$A,0)),INDEX(Base!$U:$U,MATCH($A26,Base!$A:$A,0)),IF(FX$1=INDEX('Valo FX'!$R:$R,MATCH($A26,'Valo FX'!$A:$A,0)),INDEX(Base!$V:$V,MATCH($A26,Base!$A:$A,0)),0)))</f>
        <v>12.249840000000001</v>
      </c>
      <c r="FY26" s="21">
        <f>IF(FY$1&lt;INDEX('Valo FX'!$Q:$Q,MATCH($A26,'Valo FX'!$A:$A,0)),0,IF(FY$1&lt;INDEX('Valo FX'!$R:$R,MATCH($A26,'Valo FX'!$A:$A,0)),INDEX(Base!$U:$U,MATCH($A26,Base!$A:$A,0)),IF(FY$1=INDEX('Valo FX'!$R:$R,MATCH($A26,'Valo FX'!$A:$A,0)),INDEX(Base!$V:$V,MATCH($A26,Base!$A:$A,0)),0)))</f>
        <v>12.249840000000001</v>
      </c>
      <c r="FZ26" s="21">
        <f>IF(FZ$1&lt;INDEX('Valo FX'!$Q:$Q,MATCH($A26,'Valo FX'!$A:$A,0)),0,IF(FZ$1&lt;INDEX('Valo FX'!$R:$R,MATCH($A26,'Valo FX'!$A:$A,0)),INDEX(Base!$U:$U,MATCH($A26,Base!$A:$A,0)),IF(FZ$1=INDEX('Valo FX'!$R:$R,MATCH($A26,'Valo FX'!$A:$A,0)),INDEX(Base!$V:$V,MATCH($A26,Base!$A:$A,0)),0)))</f>
        <v>12.249840000000001</v>
      </c>
      <c r="GA26" s="21">
        <f>IF(GA$1&lt;INDEX('Valo FX'!$Q:$Q,MATCH($A26,'Valo FX'!$A:$A,0)),0,IF(GA$1&lt;INDEX('Valo FX'!$R:$R,MATCH($A26,'Valo FX'!$A:$A,0)),INDEX(Base!$U:$U,MATCH($A26,Base!$A:$A,0)),IF(GA$1=INDEX('Valo FX'!$R:$R,MATCH($A26,'Valo FX'!$A:$A,0)),INDEX(Base!$V:$V,MATCH($A26,Base!$A:$A,0)),0)))</f>
        <v>12.249840000000001</v>
      </c>
      <c r="GB26" s="21">
        <f>IF(GB$1&lt;INDEX('Valo FX'!$Q:$Q,MATCH($A26,'Valo FX'!$A:$A,0)),0,IF(GB$1&lt;INDEX('Valo FX'!$R:$R,MATCH($A26,'Valo FX'!$A:$A,0)),INDEX(Base!$U:$U,MATCH($A26,Base!$A:$A,0)),IF(GB$1=INDEX('Valo FX'!$R:$R,MATCH($A26,'Valo FX'!$A:$A,0)),INDEX(Base!$V:$V,MATCH($A26,Base!$A:$A,0)),0)))</f>
        <v>12.249840000000001</v>
      </c>
      <c r="GC26" s="21">
        <f>IF(GC$1&lt;INDEX('Valo FX'!$Q:$Q,MATCH($A26,'Valo FX'!$A:$A,0)),0,IF(GC$1&lt;INDEX('Valo FX'!$R:$R,MATCH($A26,'Valo FX'!$A:$A,0)),INDEX(Base!$U:$U,MATCH($A26,Base!$A:$A,0)),IF(GC$1=INDEX('Valo FX'!$R:$R,MATCH($A26,'Valo FX'!$A:$A,0)),INDEX(Base!$V:$V,MATCH($A26,Base!$A:$A,0)),0)))</f>
        <v>12.249840000000001</v>
      </c>
      <c r="GD26" s="21">
        <f>IF(GD$1&lt;INDEX('Valo FX'!$Q:$Q,MATCH($A26,'Valo FX'!$A:$A,0)),0,IF(GD$1&lt;INDEX('Valo FX'!$R:$R,MATCH($A26,'Valo FX'!$A:$A,0)),INDEX(Base!$U:$U,MATCH($A26,Base!$A:$A,0)),IF(GD$1=INDEX('Valo FX'!$R:$R,MATCH($A26,'Valo FX'!$A:$A,0)),INDEX(Base!$V:$V,MATCH($A26,Base!$A:$A,0)),0)))</f>
        <v>12.249840000000001</v>
      </c>
      <c r="GE26" s="21">
        <f>IF(GE$1&lt;INDEX('Valo FX'!$Q:$Q,MATCH($A26,'Valo FX'!$A:$A,0)),0,IF(GE$1&lt;INDEX('Valo FX'!$R:$R,MATCH($A26,'Valo FX'!$A:$A,0)),INDEX(Base!$U:$U,MATCH($A26,Base!$A:$A,0)),IF(GE$1=INDEX('Valo FX'!$R:$R,MATCH($A26,'Valo FX'!$A:$A,0)),INDEX(Base!$V:$V,MATCH($A26,Base!$A:$A,0)),0)))</f>
        <v>12.249840000000001</v>
      </c>
      <c r="GF26" s="21">
        <f>IF(GF$1&lt;INDEX('Valo FX'!$Q:$Q,MATCH($A26,'Valo FX'!$A:$A,0)),0,IF(GF$1&lt;INDEX('Valo FX'!$R:$R,MATCH($A26,'Valo FX'!$A:$A,0)),INDEX(Base!$U:$U,MATCH($A26,Base!$A:$A,0)),IF(GF$1=INDEX('Valo FX'!$R:$R,MATCH($A26,'Valo FX'!$A:$A,0)),INDEX(Base!$V:$V,MATCH($A26,Base!$A:$A,0)),0)))</f>
        <v>12.249840000000001</v>
      </c>
      <c r="GG26" s="21">
        <f>IF(GG$1&lt;INDEX('Valo FX'!$Q:$Q,MATCH($A26,'Valo FX'!$A:$A,0)),0,IF(GG$1&lt;INDEX('Valo FX'!$R:$R,MATCH($A26,'Valo FX'!$A:$A,0)),INDEX(Base!$U:$U,MATCH($A26,Base!$A:$A,0)),IF(GG$1=INDEX('Valo FX'!$R:$R,MATCH($A26,'Valo FX'!$A:$A,0)),INDEX(Base!$V:$V,MATCH($A26,Base!$A:$A,0)),0)))</f>
        <v>12.249840000000001</v>
      </c>
      <c r="GH26" s="21">
        <f>IF(GH$1&lt;INDEX('Valo FX'!$Q:$Q,MATCH($A26,'Valo FX'!$A:$A,0)),0,IF(GH$1&lt;INDEX('Valo FX'!$R:$R,MATCH($A26,'Valo FX'!$A:$A,0)),INDEX(Base!$U:$U,MATCH($A26,Base!$A:$A,0)),IF(GH$1=INDEX('Valo FX'!$R:$R,MATCH($A26,'Valo FX'!$A:$A,0)),INDEX(Base!$V:$V,MATCH($A26,Base!$A:$A,0)),0)))</f>
        <v>12.249840000000001</v>
      </c>
      <c r="GI26" s="21">
        <f>IF(GI$1&lt;INDEX('Valo FX'!$Q:$Q,MATCH($A26,'Valo FX'!$A:$A,0)),0,IF(GI$1&lt;INDEX('Valo FX'!$R:$R,MATCH($A26,'Valo FX'!$A:$A,0)),INDEX(Base!$U:$U,MATCH($A26,Base!$A:$A,0)),IF(GI$1=INDEX('Valo FX'!$R:$R,MATCH($A26,'Valo FX'!$A:$A,0)),INDEX(Base!$V:$V,MATCH($A26,Base!$A:$A,0)),0)))</f>
        <v>12.249840000000001</v>
      </c>
      <c r="GJ26" s="21">
        <f>IF(GJ$1&lt;INDEX('Valo FX'!$Q:$Q,MATCH($A26,'Valo FX'!$A:$A,0)),0,IF(GJ$1&lt;INDEX('Valo FX'!$R:$R,MATCH($A26,'Valo FX'!$A:$A,0)),INDEX(Base!$U:$U,MATCH($A26,Base!$A:$A,0)),IF(GJ$1=INDEX('Valo FX'!$R:$R,MATCH($A26,'Valo FX'!$A:$A,0)),INDEX(Base!$V:$V,MATCH($A26,Base!$A:$A,0)),0)))</f>
        <v>12.249840000000001</v>
      </c>
      <c r="GK26" s="21">
        <f>IF(GK$1&lt;INDEX('Valo FX'!$Q:$Q,MATCH($A26,'Valo FX'!$A:$A,0)),0,IF(GK$1&lt;INDEX('Valo FX'!$R:$R,MATCH($A26,'Valo FX'!$A:$A,0)),INDEX(Base!$U:$U,MATCH($A26,Base!$A:$A,0)),IF(GK$1=INDEX('Valo FX'!$R:$R,MATCH($A26,'Valo FX'!$A:$A,0)),INDEX(Base!$V:$V,MATCH($A26,Base!$A:$A,0)),0)))</f>
        <v>12.249840000000001</v>
      </c>
      <c r="GL26" s="21">
        <f>IF(GL$1&lt;INDEX('Valo FX'!$Q:$Q,MATCH($A26,'Valo FX'!$A:$A,0)),0,IF(GL$1&lt;INDEX('Valo FX'!$R:$R,MATCH($A26,'Valo FX'!$A:$A,0)),INDEX(Base!$U:$U,MATCH($A26,Base!$A:$A,0)),IF(GL$1=INDEX('Valo FX'!$R:$R,MATCH($A26,'Valo FX'!$A:$A,0)),INDEX(Base!$V:$V,MATCH($A26,Base!$A:$A,0)),0)))</f>
        <v>12.249840000000001</v>
      </c>
      <c r="GM26" s="21">
        <f>IF(GM$1&lt;INDEX('Valo FX'!$Q:$Q,MATCH($A26,'Valo FX'!$A:$A,0)),0,IF(GM$1&lt;INDEX('Valo FX'!$R:$R,MATCH($A26,'Valo FX'!$A:$A,0)),INDEX(Base!$U:$U,MATCH($A26,Base!$A:$A,0)),IF(GM$1=INDEX('Valo FX'!$R:$R,MATCH($A26,'Valo FX'!$A:$A,0)),INDEX(Base!$V:$V,MATCH($A26,Base!$A:$A,0)),0)))</f>
        <v>12.249840000000001</v>
      </c>
      <c r="GN26" s="21">
        <f>IF(GN$1&lt;INDEX('Valo FX'!$Q:$Q,MATCH($A26,'Valo FX'!$A:$A,0)),0,IF(GN$1&lt;INDEX('Valo FX'!$R:$R,MATCH($A26,'Valo FX'!$A:$A,0)),INDEX(Base!$U:$U,MATCH($A26,Base!$A:$A,0)),IF(GN$1=INDEX('Valo FX'!$R:$R,MATCH($A26,'Valo FX'!$A:$A,0)),INDEX(Base!$V:$V,MATCH($A26,Base!$A:$A,0)),0)))</f>
        <v>12.249840000000001</v>
      </c>
      <c r="GO26" s="21">
        <f>IF(GO$1&lt;INDEX('Valo FX'!$Q:$Q,MATCH($A26,'Valo FX'!$A:$A,0)),0,IF(GO$1&lt;INDEX('Valo FX'!$R:$R,MATCH($A26,'Valo FX'!$A:$A,0)),INDEX(Base!$U:$U,MATCH($A26,Base!$A:$A,0)),IF(GO$1=INDEX('Valo FX'!$R:$R,MATCH($A26,'Valo FX'!$A:$A,0)),INDEX(Base!$V:$V,MATCH($A26,Base!$A:$A,0)),0)))</f>
        <v>12.249840000000001</v>
      </c>
      <c r="GP26" s="21">
        <f>IF(GP$1&lt;INDEX('Valo FX'!$Q:$Q,MATCH($A26,'Valo FX'!$A:$A,0)),0,IF(GP$1&lt;INDEX('Valo FX'!$R:$R,MATCH($A26,'Valo FX'!$A:$A,0)),INDEX(Base!$U:$U,MATCH($A26,Base!$A:$A,0)),IF(GP$1=INDEX('Valo FX'!$R:$R,MATCH($A26,'Valo FX'!$A:$A,0)),INDEX(Base!$V:$V,MATCH($A26,Base!$A:$A,0)),0)))</f>
        <v>12.249840000000001</v>
      </c>
      <c r="GQ26" s="21">
        <f>IF(GQ$1&lt;INDEX('Valo FX'!$Q:$Q,MATCH($A26,'Valo FX'!$A:$A,0)),0,IF(GQ$1&lt;INDEX('Valo FX'!$R:$R,MATCH($A26,'Valo FX'!$A:$A,0)),INDEX(Base!$U:$U,MATCH($A26,Base!$A:$A,0)),IF(GQ$1=INDEX('Valo FX'!$R:$R,MATCH($A26,'Valo FX'!$A:$A,0)),INDEX(Base!$V:$V,MATCH($A26,Base!$A:$A,0)),0)))</f>
        <v>12.249840000000001</v>
      </c>
      <c r="GR26" s="21">
        <f>IF(GR$1&lt;INDEX('Valo FX'!$Q:$Q,MATCH($A26,'Valo FX'!$A:$A,0)),0,IF(GR$1&lt;INDEX('Valo FX'!$R:$R,MATCH($A26,'Valo FX'!$A:$A,0)),INDEX(Base!$U:$U,MATCH($A26,Base!$A:$A,0)),IF(GR$1=INDEX('Valo FX'!$R:$R,MATCH($A26,'Valo FX'!$A:$A,0)),INDEX(Base!$V:$V,MATCH($A26,Base!$A:$A,0)),0)))</f>
        <v>12.249840000000001</v>
      </c>
      <c r="GS26" s="21">
        <f>IF(GS$1&lt;INDEX('Valo FX'!$Q:$Q,MATCH($A26,'Valo FX'!$A:$A,0)),0,IF(GS$1&lt;INDEX('Valo FX'!$R:$R,MATCH($A26,'Valo FX'!$A:$A,0)),INDEX(Base!$U:$U,MATCH($A26,Base!$A:$A,0)),IF(GS$1=INDEX('Valo FX'!$R:$R,MATCH($A26,'Valo FX'!$A:$A,0)),INDEX(Base!$V:$V,MATCH($A26,Base!$A:$A,0)),0)))</f>
        <v>12.249840000000001</v>
      </c>
      <c r="GT26" s="21">
        <f>IF(GT$1&lt;INDEX('Valo FX'!$Q:$Q,MATCH($A26,'Valo FX'!$A:$A,0)),0,IF(GT$1&lt;INDEX('Valo FX'!$R:$R,MATCH($A26,'Valo FX'!$A:$A,0)),INDEX(Base!$U:$U,MATCH($A26,Base!$A:$A,0)),IF(GT$1=INDEX('Valo FX'!$R:$R,MATCH($A26,'Valo FX'!$A:$A,0)),INDEX(Base!$V:$V,MATCH($A26,Base!$A:$A,0)),0)))</f>
        <v>12.249840000000001</v>
      </c>
      <c r="GU26" s="21">
        <f>IF(GU$1&lt;INDEX('Valo FX'!$Q:$Q,MATCH($A26,'Valo FX'!$A:$A,0)),0,IF(GU$1&lt;INDEX('Valo FX'!$R:$R,MATCH($A26,'Valo FX'!$A:$A,0)),INDEX(Base!$U:$U,MATCH($A26,Base!$A:$A,0)),IF(GU$1=INDEX('Valo FX'!$R:$R,MATCH($A26,'Valo FX'!$A:$A,0)),INDEX(Base!$V:$V,MATCH($A26,Base!$A:$A,0)),0)))</f>
        <v>12.249840000000001</v>
      </c>
      <c r="GV26" s="21">
        <f>IF(GV$1&lt;INDEX('Valo FX'!$Q:$Q,MATCH($A26,'Valo FX'!$A:$A,0)),0,IF(GV$1&lt;INDEX('Valo FX'!$R:$R,MATCH($A26,'Valo FX'!$A:$A,0)),INDEX(Base!$U:$U,MATCH($A26,Base!$A:$A,0)),IF(GV$1=INDEX('Valo FX'!$R:$R,MATCH($A26,'Valo FX'!$A:$A,0)),INDEX(Base!$V:$V,MATCH($A26,Base!$A:$A,0)),0)))</f>
        <v>12.249840000000001</v>
      </c>
      <c r="GW26" s="21">
        <f>IF(GW$1&lt;INDEX('Valo FX'!$Q:$Q,MATCH($A26,'Valo FX'!$A:$A,0)),0,IF(GW$1&lt;INDEX('Valo FX'!$R:$R,MATCH($A26,'Valo FX'!$A:$A,0)),INDEX(Base!$U:$U,MATCH($A26,Base!$A:$A,0)),IF(GW$1=INDEX('Valo FX'!$R:$R,MATCH($A26,'Valo FX'!$A:$A,0)),INDEX(Base!$V:$V,MATCH($A26,Base!$A:$A,0)),0)))</f>
        <v>12.249840000000001</v>
      </c>
      <c r="GX26" s="21">
        <f>IF(GX$1&lt;INDEX('Valo FX'!$Q:$Q,MATCH($A26,'Valo FX'!$A:$A,0)),0,IF(GX$1&lt;INDEX('Valo FX'!$R:$R,MATCH($A26,'Valo FX'!$A:$A,0)),INDEX(Base!$U:$U,MATCH($A26,Base!$A:$A,0)),IF(GX$1=INDEX('Valo FX'!$R:$R,MATCH($A26,'Valo FX'!$A:$A,0)),INDEX(Base!$V:$V,MATCH($A26,Base!$A:$A,0)),0)))</f>
        <v>12.249840000000001</v>
      </c>
      <c r="GY26" s="21">
        <f>IF(GY$1&lt;INDEX('Valo FX'!$Q:$Q,MATCH($A26,'Valo FX'!$A:$A,0)),0,IF(GY$1&lt;INDEX('Valo FX'!$R:$R,MATCH($A26,'Valo FX'!$A:$A,0)),INDEX(Base!$U:$U,MATCH($A26,Base!$A:$A,0)),IF(GY$1=INDEX('Valo FX'!$R:$R,MATCH($A26,'Valo FX'!$A:$A,0)),INDEX(Base!$V:$V,MATCH($A26,Base!$A:$A,0)),0)))</f>
        <v>12.249840000000001</v>
      </c>
      <c r="GZ26" s="21">
        <f>IF(GZ$1&lt;INDEX('Valo FX'!$Q:$Q,MATCH($A26,'Valo FX'!$A:$A,0)),0,IF(GZ$1&lt;INDEX('Valo FX'!$R:$R,MATCH($A26,'Valo FX'!$A:$A,0)),INDEX(Base!$U:$U,MATCH($A26,Base!$A:$A,0)),IF(GZ$1=INDEX('Valo FX'!$R:$R,MATCH($A26,'Valo FX'!$A:$A,0)),INDEX(Base!$V:$V,MATCH($A26,Base!$A:$A,0)),0)))</f>
        <v>12.249840000000001</v>
      </c>
      <c r="HA26" s="21">
        <f>IF(HA$1&lt;INDEX('Valo FX'!$Q:$Q,MATCH($A26,'Valo FX'!$A:$A,0)),0,IF(HA$1&lt;INDEX('Valo FX'!$R:$R,MATCH($A26,'Valo FX'!$A:$A,0)),INDEX(Base!$U:$U,MATCH($A26,Base!$A:$A,0)),IF(HA$1=INDEX('Valo FX'!$R:$R,MATCH($A26,'Valo FX'!$A:$A,0)),INDEX(Base!$V:$V,MATCH($A26,Base!$A:$A,0)),0)))</f>
        <v>12.249840000000001</v>
      </c>
      <c r="HB26" s="21">
        <f>IF(HB$1&lt;INDEX('Valo FX'!$Q:$Q,MATCH($A26,'Valo FX'!$A:$A,0)),0,IF(HB$1&lt;INDEX('Valo FX'!$R:$R,MATCH($A26,'Valo FX'!$A:$A,0)),INDEX(Base!$U:$U,MATCH($A26,Base!$A:$A,0)),IF(HB$1=INDEX('Valo FX'!$R:$R,MATCH($A26,'Valo FX'!$A:$A,0)),INDEX(Base!$V:$V,MATCH($A26,Base!$A:$A,0)),0)))</f>
        <v>12.249840000000001</v>
      </c>
      <c r="HC26" s="21">
        <f>IF(HC$1&lt;INDEX('Valo FX'!$Q:$Q,MATCH($A26,'Valo FX'!$A:$A,0)),0,IF(HC$1&lt;INDEX('Valo FX'!$R:$R,MATCH($A26,'Valo FX'!$A:$A,0)),INDEX(Base!$U:$U,MATCH($A26,Base!$A:$A,0)),IF(HC$1=INDEX('Valo FX'!$R:$R,MATCH($A26,'Valo FX'!$A:$A,0)),INDEX(Base!$V:$V,MATCH($A26,Base!$A:$A,0)),0)))</f>
        <v>12.249840000000001</v>
      </c>
      <c r="HD26" s="21">
        <f>IF(HD$1&lt;INDEX('Valo FX'!$Q:$Q,MATCH($A26,'Valo FX'!$A:$A,0)),0,IF(HD$1&lt;INDEX('Valo FX'!$R:$R,MATCH($A26,'Valo FX'!$A:$A,0)),INDEX(Base!$U:$U,MATCH($A26,Base!$A:$A,0)),IF(HD$1=INDEX('Valo FX'!$R:$R,MATCH($A26,'Valo FX'!$A:$A,0)),INDEX(Base!$V:$V,MATCH($A26,Base!$A:$A,0)),0)))</f>
        <v>12.249840000000001</v>
      </c>
      <c r="HE26" s="21">
        <f>IF(HE$1&lt;INDEX('Valo FX'!$Q:$Q,MATCH($A26,'Valo FX'!$A:$A,0)),0,IF(HE$1&lt;INDEX('Valo FX'!$R:$R,MATCH($A26,'Valo FX'!$A:$A,0)),INDEX(Base!$U:$U,MATCH($A26,Base!$A:$A,0)),IF(HE$1=INDEX('Valo FX'!$R:$R,MATCH($A26,'Valo FX'!$A:$A,0)),INDEX(Base!$V:$V,MATCH($A26,Base!$A:$A,0)),0)))</f>
        <v>12.249840000000001</v>
      </c>
      <c r="HF26" s="21">
        <f>IF(HF$1&lt;INDEX('Valo FX'!$Q:$Q,MATCH($A26,'Valo FX'!$A:$A,0)),0,IF(HF$1&lt;INDEX('Valo FX'!$R:$R,MATCH($A26,'Valo FX'!$A:$A,0)),INDEX(Base!$U:$U,MATCH($A26,Base!$A:$A,0)),IF(HF$1=INDEX('Valo FX'!$R:$R,MATCH($A26,'Valo FX'!$A:$A,0)),INDEX(Base!$V:$V,MATCH($A26,Base!$A:$A,0)),0)))</f>
        <v>12.249840000000001</v>
      </c>
      <c r="HG26" s="21">
        <f>IF(HG$1&lt;INDEX('Valo FX'!$Q:$Q,MATCH($A26,'Valo FX'!$A:$A,0)),0,IF(HG$1&lt;INDEX('Valo FX'!$R:$R,MATCH($A26,'Valo FX'!$A:$A,0)),INDEX(Base!$U:$U,MATCH($A26,Base!$A:$A,0)),IF(HG$1=INDEX('Valo FX'!$R:$R,MATCH($A26,'Valo FX'!$A:$A,0)),INDEX(Base!$V:$V,MATCH($A26,Base!$A:$A,0)),0)))</f>
        <v>12.249840000000001</v>
      </c>
      <c r="HH26" s="21">
        <f>IF(HH$1&lt;INDEX('Valo FX'!$Q:$Q,MATCH($A26,'Valo FX'!$A:$A,0)),0,IF(HH$1&lt;INDEX('Valo FX'!$R:$R,MATCH($A26,'Valo FX'!$A:$A,0)),INDEX(Base!$U:$U,MATCH($A26,Base!$A:$A,0)),IF(HH$1=INDEX('Valo FX'!$R:$R,MATCH($A26,'Valo FX'!$A:$A,0)),INDEX(Base!$V:$V,MATCH($A26,Base!$A:$A,0)),0)))</f>
        <v>12.249840000000001</v>
      </c>
      <c r="HI26" s="21">
        <f>IF(HI$1&lt;INDEX('Valo FX'!$Q:$Q,MATCH($A26,'Valo FX'!$A:$A,0)),0,IF(HI$1&lt;INDEX('Valo FX'!$R:$R,MATCH($A26,'Valo FX'!$A:$A,0)),INDEX(Base!$U:$U,MATCH($A26,Base!$A:$A,0)),IF(HI$1=INDEX('Valo FX'!$R:$R,MATCH($A26,'Valo FX'!$A:$A,0)),INDEX(Base!$V:$V,MATCH($A26,Base!$A:$A,0)),0)))</f>
        <v>12.249840000000001</v>
      </c>
      <c r="HJ26" s="21">
        <f>IF(HJ$1&lt;INDEX('Valo FX'!$Q:$Q,MATCH($A26,'Valo FX'!$A:$A,0)),0,IF(HJ$1&lt;INDEX('Valo FX'!$R:$R,MATCH($A26,'Valo FX'!$A:$A,0)),INDEX(Base!$U:$U,MATCH($A26,Base!$A:$A,0)),IF(HJ$1=INDEX('Valo FX'!$R:$R,MATCH($A26,'Valo FX'!$A:$A,0)),INDEX(Base!$V:$V,MATCH($A26,Base!$A:$A,0)),0)))</f>
        <v>12.249840000000001</v>
      </c>
      <c r="HK26" s="21">
        <f>IF(HK$1&lt;INDEX('Valo FX'!$Q:$Q,MATCH($A26,'Valo FX'!$A:$A,0)),0,IF(HK$1&lt;INDEX('Valo FX'!$R:$R,MATCH($A26,'Valo FX'!$A:$A,0)),INDEX(Base!$U:$U,MATCH($A26,Base!$A:$A,0)),IF(HK$1=INDEX('Valo FX'!$R:$R,MATCH($A26,'Valo FX'!$A:$A,0)),INDEX(Base!$V:$V,MATCH($A26,Base!$A:$A,0)),0)))</f>
        <v>12.249840000000001</v>
      </c>
      <c r="HL26" s="21">
        <f>IF(HL$1&lt;INDEX('Valo FX'!$Q:$Q,MATCH($A26,'Valo FX'!$A:$A,0)),0,IF(HL$1&lt;INDEX('Valo FX'!$R:$R,MATCH($A26,'Valo FX'!$A:$A,0)),INDEX(Base!$U:$U,MATCH($A26,Base!$A:$A,0)),IF(HL$1=INDEX('Valo FX'!$R:$R,MATCH($A26,'Valo FX'!$A:$A,0)),INDEX(Base!$V:$V,MATCH($A26,Base!$A:$A,0)),0)))</f>
        <v>12.249840000000001</v>
      </c>
      <c r="HM26" s="21">
        <f>IF(HM$1&lt;INDEX('Valo FX'!$Q:$Q,MATCH($A26,'Valo FX'!$A:$A,0)),0,IF(HM$1&lt;INDEX('Valo FX'!$R:$R,MATCH($A26,'Valo FX'!$A:$A,0)),INDEX(Base!$U:$U,MATCH($A26,Base!$A:$A,0)),IF(HM$1=INDEX('Valo FX'!$R:$R,MATCH($A26,'Valo FX'!$A:$A,0)),INDEX(Base!$V:$V,MATCH($A26,Base!$A:$A,0)),0)))</f>
        <v>12.249840000000001</v>
      </c>
      <c r="HN26" s="21">
        <f>IF(HN$1&lt;INDEX('Valo FX'!$Q:$Q,MATCH($A26,'Valo FX'!$A:$A,0)),0,IF(HN$1&lt;INDEX('Valo FX'!$R:$R,MATCH($A26,'Valo FX'!$A:$A,0)),INDEX(Base!$U:$U,MATCH($A26,Base!$A:$A,0)),IF(HN$1=INDEX('Valo FX'!$R:$R,MATCH($A26,'Valo FX'!$A:$A,0)),INDEX(Base!$V:$V,MATCH($A26,Base!$A:$A,0)),0)))</f>
        <v>12.249840000000001</v>
      </c>
      <c r="HO26" s="21">
        <f>IF(HO$1&lt;INDEX('Valo FX'!$Q:$Q,MATCH($A26,'Valo FX'!$A:$A,0)),0,IF(HO$1&lt;INDEX('Valo FX'!$R:$R,MATCH($A26,'Valo FX'!$A:$A,0)),INDEX(Base!$U:$U,MATCH($A26,Base!$A:$A,0)),IF(HO$1=INDEX('Valo FX'!$R:$R,MATCH($A26,'Valo FX'!$A:$A,0)),INDEX(Base!$V:$V,MATCH($A26,Base!$A:$A,0)),0)))</f>
        <v>12.249840000000001</v>
      </c>
      <c r="HP26" s="21">
        <f>IF(HP$1&lt;INDEX('Valo FX'!$Q:$Q,MATCH($A26,'Valo FX'!$A:$A,0)),0,IF(HP$1&lt;INDEX('Valo FX'!$R:$R,MATCH($A26,'Valo FX'!$A:$A,0)),INDEX(Base!$U:$U,MATCH($A26,Base!$A:$A,0)),IF(HP$1=INDEX('Valo FX'!$R:$R,MATCH($A26,'Valo FX'!$A:$A,0)),INDEX(Base!$V:$V,MATCH($A26,Base!$A:$A,0)),0)))</f>
        <v>12.249840000000001</v>
      </c>
      <c r="HQ26" s="21">
        <f>IF(HQ$1&lt;INDEX('Valo FX'!$Q:$Q,MATCH($A26,'Valo FX'!$A:$A,0)),0,IF(HQ$1&lt;INDEX('Valo FX'!$R:$R,MATCH($A26,'Valo FX'!$A:$A,0)),INDEX(Base!$U:$U,MATCH($A26,Base!$A:$A,0)),IF(HQ$1=INDEX('Valo FX'!$R:$R,MATCH($A26,'Valo FX'!$A:$A,0)),INDEX(Base!$V:$V,MATCH($A26,Base!$A:$A,0)),0)))</f>
        <v>12.249840000000001</v>
      </c>
      <c r="HR26" s="21">
        <f>IF(HR$1&lt;INDEX('Valo FX'!$Q:$Q,MATCH($A26,'Valo FX'!$A:$A,0)),0,IF(HR$1&lt;INDEX('Valo FX'!$R:$R,MATCH($A26,'Valo FX'!$A:$A,0)),INDEX(Base!$U:$U,MATCH($A26,Base!$A:$A,0)),IF(HR$1=INDEX('Valo FX'!$R:$R,MATCH($A26,'Valo FX'!$A:$A,0)),INDEX(Base!$V:$V,MATCH($A26,Base!$A:$A,0)),0)))</f>
        <v>12.249840000000001</v>
      </c>
      <c r="HS26" s="21">
        <f>IF(HS$1&lt;INDEX('Valo FX'!$Q:$Q,MATCH($A26,'Valo FX'!$A:$A,0)),0,IF(HS$1&lt;INDEX('Valo FX'!$R:$R,MATCH($A26,'Valo FX'!$A:$A,0)),INDEX(Base!$U:$U,MATCH($A26,Base!$A:$A,0)),IF(HS$1=INDEX('Valo FX'!$R:$R,MATCH($A26,'Valo FX'!$A:$A,0)),INDEX(Base!$V:$V,MATCH($A26,Base!$A:$A,0)),0)))</f>
        <v>12.249840000000001</v>
      </c>
      <c r="HT26" s="21">
        <f>IF(HT$1&lt;INDEX('Valo FX'!$Q:$Q,MATCH($A26,'Valo FX'!$A:$A,0)),0,IF(HT$1&lt;INDEX('Valo FX'!$R:$R,MATCH($A26,'Valo FX'!$A:$A,0)),INDEX(Base!$U:$U,MATCH($A26,Base!$A:$A,0)),IF(HT$1=INDEX('Valo FX'!$R:$R,MATCH($A26,'Valo FX'!$A:$A,0)),INDEX(Base!$V:$V,MATCH($A26,Base!$A:$A,0)),0)))</f>
        <v>12.249840000000001</v>
      </c>
      <c r="HU26" s="21">
        <f>IF(HU$1&lt;INDEX('Valo FX'!$Q:$Q,MATCH($A26,'Valo FX'!$A:$A,0)),0,IF(HU$1&lt;INDEX('Valo FX'!$R:$R,MATCH($A26,'Valo FX'!$A:$A,0)),INDEX(Base!$U:$U,MATCH($A26,Base!$A:$A,0)),IF(HU$1=INDEX('Valo FX'!$R:$R,MATCH($A26,'Valo FX'!$A:$A,0)),INDEX(Base!$V:$V,MATCH($A26,Base!$A:$A,0)),0)))</f>
        <v>12.249840000000001</v>
      </c>
      <c r="HV26" s="21">
        <f>IF(HV$1&lt;INDEX('Valo FX'!$Q:$Q,MATCH($A26,'Valo FX'!$A:$A,0)),0,IF(HV$1&lt;INDEX('Valo FX'!$R:$R,MATCH($A26,'Valo FX'!$A:$A,0)),INDEX(Base!$U:$U,MATCH($A26,Base!$A:$A,0)),IF(HV$1=INDEX('Valo FX'!$R:$R,MATCH($A26,'Valo FX'!$A:$A,0)),INDEX(Base!$V:$V,MATCH($A26,Base!$A:$A,0)),0)))</f>
        <v>12.249840000000001</v>
      </c>
      <c r="HW26" s="21">
        <f>IF(HW$1&lt;INDEX('Valo FX'!$Q:$Q,MATCH($A26,'Valo FX'!$A:$A,0)),0,IF(HW$1&lt;INDEX('Valo FX'!$R:$R,MATCH($A26,'Valo FX'!$A:$A,0)),INDEX(Base!$U:$U,MATCH($A26,Base!$A:$A,0)),IF(HW$1=INDEX('Valo FX'!$R:$R,MATCH($A26,'Valo FX'!$A:$A,0)),INDEX(Base!$V:$V,MATCH($A26,Base!$A:$A,0)),0)))</f>
        <v>12.249840000000001</v>
      </c>
      <c r="HX26" s="21">
        <f>IF(HX$1&lt;INDEX('Valo FX'!$Q:$Q,MATCH($A26,'Valo FX'!$A:$A,0)),0,IF(HX$1&lt;INDEX('Valo FX'!$R:$R,MATCH($A26,'Valo FX'!$A:$A,0)),INDEX(Base!$U:$U,MATCH($A26,Base!$A:$A,0)),IF(HX$1=INDEX('Valo FX'!$R:$R,MATCH($A26,'Valo FX'!$A:$A,0)),INDEX(Base!$V:$V,MATCH($A26,Base!$A:$A,0)),0)))</f>
        <v>12.249840000000001</v>
      </c>
      <c r="HY26" s="21">
        <f>IF(HY$1&lt;INDEX('Valo FX'!$Q:$Q,MATCH($A26,'Valo FX'!$A:$A,0)),0,IF(HY$1&lt;INDEX('Valo FX'!$R:$R,MATCH($A26,'Valo FX'!$A:$A,0)),INDEX(Base!$U:$U,MATCH($A26,Base!$A:$A,0)),IF(HY$1=INDEX('Valo FX'!$R:$R,MATCH($A26,'Valo FX'!$A:$A,0)),INDEX(Base!$V:$V,MATCH($A26,Base!$A:$A,0)),0)))</f>
        <v>12.249840000000001</v>
      </c>
      <c r="HZ26" s="21">
        <f>IF(HZ$1&lt;INDEX('Valo FX'!$Q:$Q,MATCH($A26,'Valo FX'!$A:$A,0)),0,IF(HZ$1&lt;INDEX('Valo FX'!$R:$R,MATCH($A26,'Valo FX'!$A:$A,0)),INDEX(Base!$U:$U,MATCH($A26,Base!$A:$A,0)),IF(HZ$1=INDEX('Valo FX'!$R:$R,MATCH($A26,'Valo FX'!$A:$A,0)),INDEX(Base!$V:$V,MATCH($A26,Base!$A:$A,0)),0)))</f>
        <v>12.249840000000001</v>
      </c>
      <c r="IA26" s="21">
        <f>IF(IA$1&lt;INDEX('Valo FX'!$Q:$Q,MATCH($A26,'Valo FX'!$A:$A,0)),0,IF(IA$1&lt;INDEX('Valo FX'!$R:$R,MATCH($A26,'Valo FX'!$A:$A,0)),INDEX(Base!$U:$U,MATCH($A26,Base!$A:$A,0)),IF(IA$1=INDEX('Valo FX'!$R:$R,MATCH($A26,'Valo FX'!$A:$A,0)),INDEX(Base!$V:$V,MATCH($A26,Base!$A:$A,0)),0)))</f>
        <v>12.249840000000001</v>
      </c>
      <c r="IB26" s="21">
        <f>IF(IB$1&lt;INDEX('Valo FX'!$Q:$Q,MATCH($A26,'Valo FX'!$A:$A,0)),0,IF(IB$1&lt;INDEX('Valo FX'!$R:$R,MATCH($A26,'Valo FX'!$A:$A,0)),INDEX(Base!$U:$U,MATCH($A26,Base!$A:$A,0)),IF(IB$1=INDEX('Valo FX'!$R:$R,MATCH($A26,'Valo FX'!$A:$A,0)),INDEX(Base!$V:$V,MATCH($A26,Base!$A:$A,0)),0)))</f>
        <v>12.249840000000001</v>
      </c>
      <c r="IC26" s="21">
        <f>IF(IC$1&lt;INDEX('Valo FX'!$Q:$Q,MATCH($A26,'Valo FX'!$A:$A,0)),0,IF(IC$1&lt;INDEX('Valo FX'!$R:$R,MATCH($A26,'Valo FX'!$A:$A,0)),INDEX(Base!$U:$U,MATCH($A26,Base!$A:$A,0)),IF(IC$1=INDEX('Valo FX'!$R:$R,MATCH($A26,'Valo FX'!$A:$A,0)),INDEX(Base!$V:$V,MATCH($A26,Base!$A:$A,0)),0)))</f>
        <v>12.249840000000001</v>
      </c>
      <c r="ID26" s="21">
        <f>IF(ID$1&lt;INDEX('Valo FX'!$Q:$Q,MATCH($A26,'Valo FX'!$A:$A,0)),0,IF(ID$1&lt;INDEX('Valo FX'!$R:$R,MATCH($A26,'Valo FX'!$A:$A,0)),INDEX(Base!$U:$U,MATCH($A26,Base!$A:$A,0)),IF(ID$1=INDEX('Valo FX'!$R:$R,MATCH($A26,'Valo FX'!$A:$A,0)),INDEX(Base!$V:$V,MATCH($A26,Base!$A:$A,0)),0)))</f>
        <v>12.249840000000001</v>
      </c>
      <c r="IE26" s="21">
        <f>IF(IE$1&lt;INDEX('Valo FX'!$Q:$Q,MATCH($A26,'Valo FX'!$A:$A,0)),0,IF(IE$1&lt;INDEX('Valo FX'!$R:$R,MATCH($A26,'Valo FX'!$A:$A,0)),INDEX(Base!$U:$U,MATCH($A26,Base!$A:$A,0)),IF(IE$1=INDEX('Valo FX'!$R:$R,MATCH($A26,'Valo FX'!$A:$A,0)),INDEX(Base!$V:$V,MATCH($A26,Base!$A:$A,0)),0)))</f>
        <v>12.249840000000001</v>
      </c>
      <c r="IF26" s="21">
        <f>IF(IF$1&lt;INDEX('Valo FX'!$Q:$Q,MATCH($A26,'Valo FX'!$A:$A,0)),0,IF(IF$1&lt;INDEX('Valo FX'!$R:$R,MATCH($A26,'Valo FX'!$A:$A,0)),INDEX(Base!$U:$U,MATCH($A26,Base!$A:$A,0)),IF(IF$1=INDEX('Valo FX'!$R:$R,MATCH($A26,'Valo FX'!$A:$A,0)),INDEX(Base!$V:$V,MATCH($A26,Base!$A:$A,0)),0)))</f>
        <v>12.249840000000001</v>
      </c>
      <c r="IG26" s="21">
        <f>IF(IG$1&lt;INDEX('Valo FX'!$Q:$Q,MATCH($A26,'Valo FX'!$A:$A,0)),0,IF(IG$1&lt;INDEX('Valo FX'!$R:$R,MATCH($A26,'Valo FX'!$A:$A,0)),INDEX(Base!$U:$U,MATCH($A26,Base!$A:$A,0)),IF(IG$1=INDEX('Valo FX'!$R:$R,MATCH($A26,'Valo FX'!$A:$A,0)),INDEX(Base!$V:$V,MATCH($A26,Base!$A:$A,0)),0)))</f>
        <v>12.249840000000001</v>
      </c>
      <c r="IH26" s="21">
        <f>IF(IH$1&lt;INDEX('Valo FX'!$Q:$Q,MATCH($A26,'Valo FX'!$A:$A,0)),0,IF(IH$1&lt;INDEX('Valo FX'!$R:$R,MATCH($A26,'Valo FX'!$A:$A,0)),INDEX(Base!$U:$U,MATCH($A26,Base!$A:$A,0)),IF(IH$1=INDEX('Valo FX'!$R:$R,MATCH($A26,'Valo FX'!$A:$A,0)),INDEX(Base!$V:$V,MATCH($A26,Base!$A:$A,0)),0)))</f>
        <v>12.249840000000001</v>
      </c>
      <c r="II26" s="21">
        <f>IF(II$1&lt;INDEX('Valo FX'!$Q:$Q,MATCH($A26,'Valo FX'!$A:$A,0)),0,IF(II$1&lt;INDEX('Valo FX'!$R:$R,MATCH($A26,'Valo FX'!$A:$A,0)),INDEX(Base!$U:$U,MATCH($A26,Base!$A:$A,0)),IF(II$1=INDEX('Valo FX'!$R:$R,MATCH($A26,'Valo FX'!$A:$A,0)),INDEX(Base!$V:$V,MATCH($A26,Base!$A:$A,0)),0)))</f>
        <v>12.249840000000001</v>
      </c>
      <c r="IJ26" s="21">
        <f>IF(IJ$1&lt;INDEX('Valo FX'!$Q:$Q,MATCH($A26,'Valo FX'!$A:$A,0)),0,IF(IJ$1&lt;INDEX('Valo FX'!$R:$R,MATCH($A26,'Valo FX'!$A:$A,0)),INDEX(Base!$U:$U,MATCH($A26,Base!$A:$A,0)),IF(IJ$1=INDEX('Valo FX'!$R:$R,MATCH($A26,'Valo FX'!$A:$A,0)),INDEX(Base!$V:$V,MATCH($A26,Base!$A:$A,0)),0)))</f>
        <v>12.249840000000001</v>
      </c>
      <c r="IK26" s="21">
        <f>IF(IK$1&lt;INDEX('Valo FX'!$Q:$Q,MATCH($A26,'Valo FX'!$A:$A,0)),0,IF(IK$1&lt;INDEX('Valo FX'!$R:$R,MATCH($A26,'Valo FX'!$A:$A,0)),INDEX(Base!$U:$U,MATCH($A26,Base!$A:$A,0)),IF(IK$1=INDEX('Valo FX'!$R:$R,MATCH($A26,'Valo FX'!$A:$A,0)),INDEX(Base!$V:$V,MATCH($A26,Base!$A:$A,0)),0)))</f>
        <v>12.249840000000001</v>
      </c>
      <c r="IL26" s="21">
        <f>IF(IL$1&lt;INDEX('Valo FX'!$Q:$Q,MATCH($A26,'Valo FX'!$A:$A,0)),0,IF(IL$1&lt;INDEX('Valo FX'!$R:$R,MATCH($A26,'Valo FX'!$A:$A,0)),INDEX(Base!$U:$U,MATCH($A26,Base!$A:$A,0)),IF(IL$1=INDEX('Valo FX'!$R:$R,MATCH($A26,'Valo FX'!$A:$A,0)),INDEX(Base!$V:$V,MATCH($A26,Base!$A:$A,0)),0)))</f>
        <v>12.249840000000001</v>
      </c>
      <c r="IM26" s="21">
        <f>IF(IM$1&lt;INDEX('Valo FX'!$Q:$Q,MATCH($A26,'Valo FX'!$A:$A,0)),0,IF(IM$1&lt;INDEX('Valo FX'!$R:$R,MATCH($A26,'Valo FX'!$A:$A,0)),INDEX(Base!$U:$U,MATCH($A26,Base!$A:$A,0)),IF(IM$1=INDEX('Valo FX'!$R:$R,MATCH($A26,'Valo FX'!$A:$A,0)),INDEX(Base!$V:$V,MATCH($A26,Base!$A:$A,0)),0)))</f>
        <v>12.249840000000001</v>
      </c>
      <c r="IN26" s="21">
        <f>IF(IN$1&lt;INDEX('Valo FX'!$Q:$Q,MATCH($A26,'Valo FX'!$A:$A,0)),0,IF(IN$1&lt;INDEX('Valo FX'!$R:$R,MATCH($A26,'Valo FX'!$A:$A,0)),INDEX(Base!$U:$U,MATCH($A26,Base!$A:$A,0)),IF(IN$1=INDEX('Valo FX'!$R:$R,MATCH($A26,'Valo FX'!$A:$A,0)),INDEX(Base!$V:$V,MATCH($A26,Base!$A:$A,0)),0)))</f>
        <v>12.249840000000001</v>
      </c>
      <c r="IO26" s="21">
        <f>IF(IO$1&lt;INDEX('Valo FX'!$Q:$Q,MATCH($A26,'Valo FX'!$A:$A,0)),0,IF(IO$1&lt;INDEX('Valo FX'!$R:$R,MATCH($A26,'Valo FX'!$A:$A,0)),INDEX(Base!$U:$U,MATCH($A26,Base!$A:$A,0)),IF(IO$1=INDEX('Valo FX'!$R:$R,MATCH($A26,'Valo FX'!$A:$A,0)),INDEX(Base!$V:$V,MATCH($A26,Base!$A:$A,0)),0)))</f>
        <v>12.249840000000001</v>
      </c>
      <c r="IP26" s="21">
        <f>IF(IP$1&lt;INDEX('Valo FX'!$Q:$Q,MATCH($A26,'Valo FX'!$A:$A,0)),0,IF(IP$1&lt;INDEX('Valo FX'!$R:$R,MATCH($A26,'Valo FX'!$A:$A,0)),INDEX(Base!$U:$U,MATCH($A26,Base!$A:$A,0)),IF(IP$1=INDEX('Valo FX'!$R:$R,MATCH($A26,'Valo FX'!$A:$A,0)),INDEX(Base!$V:$V,MATCH($A26,Base!$A:$A,0)),0)))</f>
        <v>12.249840000000001</v>
      </c>
      <c r="IQ26" s="21">
        <f>IF(IQ$1&lt;INDEX('Valo FX'!$Q:$Q,MATCH($A26,'Valo FX'!$A:$A,0)),0,IF(IQ$1&lt;INDEX('Valo FX'!$R:$R,MATCH($A26,'Valo FX'!$A:$A,0)),INDEX(Base!$U:$U,MATCH($A26,Base!$A:$A,0)),IF(IQ$1=INDEX('Valo FX'!$R:$R,MATCH($A26,'Valo FX'!$A:$A,0)),INDEX(Base!$V:$V,MATCH($A26,Base!$A:$A,0)),0)))</f>
        <v>12.249840000000001</v>
      </c>
      <c r="IR26" s="21">
        <f>IF(IR$1&lt;INDEX('Valo FX'!$Q:$Q,MATCH($A26,'Valo FX'!$A:$A,0)),0,IF(IR$1&lt;INDEX('Valo FX'!$R:$R,MATCH($A26,'Valo FX'!$A:$A,0)),INDEX(Base!$U:$U,MATCH($A26,Base!$A:$A,0)),IF(IR$1=INDEX('Valo FX'!$R:$R,MATCH($A26,'Valo FX'!$A:$A,0)),INDEX(Base!$V:$V,MATCH($A26,Base!$A:$A,0)),0)))</f>
        <v>12.249840000000001</v>
      </c>
      <c r="IS26" s="21">
        <f>IF(IS$1&lt;INDEX('Valo FX'!$Q:$Q,MATCH($A26,'Valo FX'!$A:$A,0)),0,IF(IS$1&lt;INDEX('Valo FX'!$R:$R,MATCH($A26,'Valo FX'!$A:$A,0)),INDEX(Base!$U:$U,MATCH($A26,Base!$A:$A,0)),IF(IS$1=INDEX('Valo FX'!$R:$R,MATCH($A26,'Valo FX'!$A:$A,0)),INDEX(Base!$V:$V,MATCH($A26,Base!$A:$A,0)),0)))</f>
        <v>12.249840000000001</v>
      </c>
      <c r="IT26" s="21">
        <f>IF(IT$1&lt;INDEX('Valo FX'!$Q:$Q,MATCH($A26,'Valo FX'!$A:$A,0)),0,IF(IT$1&lt;INDEX('Valo FX'!$R:$R,MATCH($A26,'Valo FX'!$A:$A,0)),INDEX(Base!$U:$U,MATCH($A26,Base!$A:$A,0)),IF(IT$1=INDEX('Valo FX'!$R:$R,MATCH($A26,'Valo FX'!$A:$A,0)),INDEX(Base!$V:$V,MATCH($A26,Base!$A:$A,0)),0)))</f>
        <v>12.249840000000001</v>
      </c>
      <c r="IU26" s="21">
        <f>IF(IU$1&lt;INDEX('Valo FX'!$Q:$Q,MATCH($A26,'Valo FX'!$A:$A,0)),0,IF(IU$1&lt;INDEX('Valo FX'!$R:$R,MATCH($A26,'Valo FX'!$A:$A,0)),INDEX(Base!$U:$U,MATCH($A26,Base!$A:$A,0)),IF(IU$1=INDEX('Valo FX'!$R:$R,MATCH($A26,'Valo FX'!$A:$A,0)),INDEX(Base!$V:$V,MATCH($A26,Base!$A:$A,0)),0)))</f>
        <v>12.249840000000001</v>
      </c>
      <c r="IV26" s="21">
        <f>IF(IV$1&lt;INDEX('Valo FX'!$Q:$Q,MATCH($A26,'Valo FX'!$A:$A,0)),0,IF(IV$1&lt;INDEX('Valo FX'!$R:$R,MATCH($A26,'Valo FX'!$A:$A,0)),INDEX(Base!$U:$U,MATCH($A26,Base!$A:$A,0)),IF(IV$1=INDEX('Valo FX'!$R:$R,MATCH($A26,'Valo FX'!$A:$A,0)),INDEX(Base!$V:$V,MATCH($A26,Base!$A:$A,0)),0)))</f>
        <v>12.249840000000001</v>
      </c>
      <c r="IW26" s="21">
        <f>IF(IW$1&lt;INDEX('Valo FX'!$Q:$Q,MATCH($A26,'Valo FX'!$A:$A,0)),0,IF(IW$1&lt;INDEX('Valo FX'!$R:$R,MATCH($A26,'Valo FX'!$A:$A,0)),INDEX(Base!$U:$U,MATCH($A26,Base!$A:$A,0)),IF(IW$1=INDEX('Valo FX'!$R:$R,MATCH($A26,'Valo FX'!$A:$A,0)),INDEX(Base!$V:$V,MATCH($A26,Base!$A:$A,0)),0)))</f>
        <v>12.249840000000001</v>
      </c>
      <c r="IX26" s="21">
        <f>IF(IX$1&lt;INDEX('Valo FX'!$Q:$Q,MATCH($A26,'Valo FX'!$A:$A,0)),0,IF(IX$1&lt;INDEX('Valo FX'!$R:$R,MATCH($A26,'Valo FX'!$A:$A,0)),INDEX(Base!$U:$U,MATCH($A26,Base!$A:$A,0)),IF(IX$1=INDEX('Valo FX'!$R:$R,MATCH($A26,'Valo FX'!$A:$A,0)),INDEX(Base!$V:$V,MATCH($A26,Base!$A:$A,0)),0)))</f>
        <v>12.249840000000001</v>
      </c>
      <c r="IY26" s="21">
        <f>IF(IY$1&lt;INDEX('Valo FX'!$Q:$Q,MATCH($A26,'Valo FX'!$A:$A,0)),0,IF(IY$1&lt;INDEX('Valo FX'!$R:$R,MATCH($A26,'Valo FX'!$A:$A,0)),INDEX(Base!$U:$U,MATCH($A26,Base!$A:$A,0)),IF(IY$1=INDEX('Valo FX'!$R:$R,MATCH($A26,'Valo FX'!$A:$A,0)),INDEX(Base!$V:$V,MATCH($A26,Base!$A:$A,0)),0)))</f>
        <v>12.249840000000001</v>
      </c>
      <c r="IZ26" s="21">
        <f>IF(IZ$1&lt;INDEX('Valo FX'!$Q:$Q,MATCH($A26,'Valo FX'!$A:$A,0)),0,IF(IZ$1&lt;INDEX('Valo FX'!$R:$R,MATCH($A26,'Valo FX'!$A:$A,0)),INDEX(Base!$U:$U,MATCH($A26,Base!$A:$A,0)),IF(IZ$1=INDEX('Valo FX'!$R:$R,MATCH($A26,'Valo FX'!$A:$A,0)),INDEX(Base!$V:$V,MATCH($A26,Base!$A:$A,0)),0)))</f>
        <v>12.249840000000001</v>
      </c>
      <c r="JA26" s="21">
        <f>IF(JA$1&lt;INDEX('Valo FX'!$Q:$Q,MATCH($A26,'Valo FX'!$A:$A,0)),0,IF(JA$1&lt;INDEX('Valo FX'!$R:$R,MATCH($A26,'Valo FX'!$A:$A,0)),INDEX(Base!$U:$U,MATCH($A26,Base!$A:$A,0)),IF(JA$1=INDEX('Valo FX'!$R:$R,MATCH($A26,'Valo FX'!$A:$A,0)),INDEX(Base!$V:$V,MATCH($A26,Base!$A:$A,0)),0)))</f>
        <v>12.249840000000001</v>
      </c>
      <c r="JB26" s="21">
        <f>IF(JB$1&lt;INDEX('Valo FX'!$Q:$Q,MATCH($A26,'Valo FX'!$A:$A,0)),0,IF(JB$1&lt;INDEX('Valo FX'!$R:$R,MATCH($A26,'Valo FX'!$A:$A,0)),INDEX(Base!$U:$U,MATCH($A26,Base!$A:$A,0)),IF(JB$1=INDEX('Valo FX'!$R:$R,MATCH($A26,'Valo FX'!$A:$A,0)),INDEX(Base!$V:$V,MATCH($A26,Base!$A:$A,0)),0)))</f>
        <v>12.249840000000001</v>
      </c>
      <c r="JC26" s="21">
        <f>IF(JC$1&lt;INDEX('Valo FX'!$Q:$Q,MATCH($A26,'Valo FX'!$A:$A,0)),0,IF(JC$1&lt;INDEX('Valo FX'!$R:$R,MATCH($A26,'Valo FX'!$A:$A,0)),INDEX(Base!$U:$U,MATCH($A26,Base!$A:$A,0)),IF(JC$1=INDEX('Valo FX'!$R:$R,MATCH($A26,'Valo FX'!$A:$A,0)),INDEX(Base!$V:$V,MATCH($A26,Base!$A:$A,0)),0)))</f>
        <v>12.249840000000001</v>
      </c>
      <c r="JD26" s="21">
        <f>IF(JD$1&lt;INDEX('Valo FX'!$Q:$Q,MATCH($A26,'Valo FX'!$A:$A,0)),0,IF(JD$1&lt;INDEX('Valo FX'!$R:$R,MATCH($A26,'Valo FX'!$A:$A,0)),INDEX(Base!$U:$U,MATCH($A26,Base!$A:$A,0)),IF(JD$1=INDEX('Valo FX'!$R:$R,MATCH($A26,'Valo FX'!$A:$A,0)),INDEX(Base!$V:$V,MATCH($A26,Base!$A:$A,0)),0)))</f>
        <v>12.249840000000001</v>
      </c>
      <c r="JE26" s="21">
        <f>IF(JE$1&lt;INDEX('Valo FX'!$Q:$Q,MATCH($A26,'Valo FX'!$A:$A,0)),0,IF(JE$1&lt;INDEX('Valo FX'!$R:$R,MATCH($A26,'Valo FX'!$A:$A,0)),INDEX(Base!$U:$U,MATCH($A26,Base!$A:$A,0)),IF(JE$1=INDEX('Valo FX'!$R:$R,MATCH($A26,'Valo FX'!$A:$A,0)),INDEX(Base!$V:$V,MATCH($A26,Base!$A:$A,0)),0)))</f>
        <v>12.249840000000001</v>
      </c>
      <c r="JF26" s="21">
        <f>IF(JF$1&lt;INDEX('Valo FX'!$Q:$Q,MATCH($A26,'Valo FX'!$A:$A,0)),0,IF(JF$1&lt;INDEX('Valo FX'!$R:$R,MATCH($A26,'Valo FX'!$A:$A,0)),INDEX(Base!$U:$U,MATCH($A26,Base!$A:$A,0)),IF(JF$1=INDEX('Valo FX'!$R:$R,MATCH($A26,'Valo FX'!$A:$A,0)),INDEX(Base!$V:$V,MATCH($A26,Base!$A:$A,0)),0)))</f>
        <v>12.249840000000001</v>
      </c>
      <c r="JG26" s="21">
        <f>IF(JG$1&lt;INDEX('Valo FX'!$Q:$Q,MATCH($A26,'Valo FX'!$A:$A,0)),0,IF(JG$1&lt;INDEX('Valo FX'!$R:$R,MATCH($A26,'Valo FX'!$A:$A,0)),INDEX(Base!$U:$U,MATCH($A26,Base!$A:$A,0)),IF(JG$1=INDEX('Valo FX'!$R:$R,MATCH($A26,'Valo FX'!$A:$A,0)),INDEX(Base!$V:$V,MATCH($A26,Base!$A:$A,0)),0)))</f>
        <v>12.249840000000001</v>
      </c>
      <c r="JH26" s="21">
        <f>IF(JH$1&lt;INDEX('Valo FX'!$Q:$Q,MATCH($A26,'Valo FX'!$A:$A,0)),0,IF(JH$1&lt;INDEX('Valo FX'!$R:$R,MATCH($A26,'Valo FX'!$A:$A,0)),INDEX(Base!$U:$U,MATCH($A26,Base!$A:$A,0)),IF(JH$1=INDEX('Valo FX'!$R:$R,MATCH($A26,'Valo FX'!$A:$A,0)),INDEX(Base!$V:$V,MATCH($A26,Base!$A:$A,0)),0)))</f>
        <v>12.249840000000001</v>
      </c>
      <c r="JI26" s="21">
        <f>IF(JI$1&lt;INDEX('Valo FX'!$Q:$Q,MATCH($A26,'Valo FX'!$A:$A,0)),0,IF(JI$1&lt;INDEX('Valo FX'!$R:$R,MATCH($A26,'Valo FX'!$A:$A,0)),INDEX(Base!$U:$U,MATCH($A26,Base!$A:$A,0)),IF(JI$1=INDEX('Valo FX'!$R:$R,MATCH($A26,'Valo FX'!$A:$A,0)),INDEX(Base!$V:$V,MATCH($A26,Base!$A:$A,0)),0)))</f>
        <v>12.249840000000001</v>
      </c>
      <c r="JJ26" s="21">
        <f>IF(JJ$1&lt;INDEX('Valo FX'!$Q:$Q,MATCH($A26,'Valo FX'!$A:$A,0)),0,IF(JJ$1&lt;INDEX('Valo FX'!$R:$R,MATCH($A26,'Valo FX'!$A:$A,0)),INDEX(Base!$U:$U,MATCH($A26,Base!$A:$A,0)),IF(JJ$1=INDEX('Valo FX'!$R:$R,MATCH($A26,'Valo FX'!$A:$A,0)),INDEX(Base!$V:$V,MATCH($A26,Base!$A:$A,0)),0)))</f>
        <v>12.249840000000001</v>
      </c>
      <c r="JK26" s="21">
        <f>IF(JK$1&lt;INDEX('Valo FX'!$Q:$Q,MATCH($A26,'Valo FX'!$A:$A,0)),0,IF(JK$1&lt;INDEX('Valo FX'!$R:$R,MATCH($A26,'Valo FX'!$A:$A,0)),INDEX(Base!$U:$U,MATCH($A26,Base!$A:$A,0)),IF(JK$1=INDEX('Valo FX'!$R:$R,MATCH($A26,'Valo FX'!$A:$A,0)),INDEX(Base!$V:$V,MATCH($A26,Base!$A:$A,0)),0)))</f>
        <v>12.249840000000001</v>
      </c>
      <c r="JL26" s="21">
        <f>IF(JL$1&lt;INDEX('Valo FX'!$Q:$Q,MATCH($A26,'Valo FX'!$A:$A,0)),0,IF(JL$1&lt;INDEX('Valo FX'!$R:$R,MATCH($A26,'Valo FX'!$A:$A,0)),INDEX(Base!$U:$U,MATCH($A26,Base!$A:$A,0)),IF(JL$1=INDEX('Valo FX'!$R:$R,MATCH($A26,'Valo FX'!$A:$A,0)),INDEX(Base!$V:$V,MATCH($A26,Base!$A:$A,0)),0)))</f>
        <v>12.249840000000001</v>
      </c>
      <c r="JM26" s="21">
        <f>IF(JM$1&lt;INDEX('Valo FX'!$Q:$Q,MATCH($A26,'Valo FX'!$A:$A,0)),0,IF(JM$1&lt;INDEX('Valo FX'!$R:$R,MATCH($A26,'Valo FX'!$A:$A,0)),INDEX(Base!$U:$U,MATCH($A26,Base!$A:$A,0)),IF(JM$1=INDEX('Valo FX'!$R:$R,MATCH($A26,'Valo FX'!$A:$A,0)),INDEX(Base!$V:$V,MATCH($A26,Base!$A:$A,0)),0)))</f>
        <v>12.249840000000001</v>
      </c>
      <c r="JN26" s="21">
        <f>IF(JN$1&lt;INDEX('Valo FX'!$Q:$Q,MATCH($A26,'Valo FX'!$A:$A,0)),0,IF(JN$1&lt;INDEX('Valo FX'!$R:$R,MATCH($A26,'Valo FX'!$A:$A,0)),INDEX(Base!$U:$U,MATCH($A26,Base!$A:$A,0)),IF(JN$1=INDEX('Valo FX'!$R:$R,MATCH($A26,'Valo FX'!$A:$A,0)),INDEX(Base!$V:$V,MATCH($A26,Base!$A:$A,0)),0)))</f>
        <v>12.249840000000001</v>
      </c>
      <c r="JO26" s="21">
        <f>IF(JO$1&lt;INDEX('Valo FX'!$Q:$Q,MATCH($A26,'Valo FX'!$A:$A,0)),0,IF(JO$1&lt;INDEX('Valo FX'!$R:$R,MATCH($A26,'Valo FX'!$A:$A,0)),INDEX(Base!$U:$U,MATCH($A26,Base!$A:$A,0)),IF(JO$1=INDEX('Valo FX'!$R:$R,MATCH($A26,'Valo FX'!$A:$A,0)),INDEX(Base!$V:$V,MATCH($A26,Base!$A:$A,0)),0)))</f>
        <v>12.249840000000001</v>
      </c>
      <c r="JP26" s="21">
        <f>IF(JP$1&lt;INDEX('Valo FX'!$Q:$Q,MATCH($A26,'Valo FX'!$A:$A,0)),0,IF(JP$1&lt;INDEX('Valo FX'!$R:$R,MATCH($A26,'Valo FX'!$A:$A,0)),INDEX(Base!$U:$U,MATCH($A26,Base!$A:$A,0)),IF(JP$1=INDEX('Valo FX'!$R:$R,MATCH($A26,'Valo FX'!$A:$A,0)),INDEX(Base!$V:$V,MATCH($A26,Base!$A:$A,0)),0)))</f>
        <v>12.249840000000001</v>
      </c>
      <c r="JQ26" s="21">
        <f>IF(JQ$1&lt;INDEX('Valo FX'!$Q:$Q,MATCH($A26,'Valo FX'!$A:$A,0)),0,IF(JQ$1&lt;INDEX('Valo FX'!$R:$R,MATCH($A26,'Valo FX'!$A:$A,0)),INDEX(Base!$U:$U,MATCH($A26,Base!$A:$A,0)),IF(JQ$1=INDEX('Valo FX'!$R:$R,MATCH($A26,'Valo FX'!$A:$A,0)),INDEX(Base!$V:$V,MATCH($A26,Base!$A:$A,0)),0)))</f>
        <v>12.249840000000001</v>
      </c>
      <c r="JR26" s="21">
        <f>IF(JR$1&lt;INDEX('Valo FX'!$Q:$Q,MATCH($A26,'Valo FX'!$A:$A,0)),0,IF(JR$1&lt;INDEX('Valo FX'!$R:$R,MATCH($A26,'Valo FX'!$A:$A,0)),INDEX(Base!$U:$U,MATCH($A26,Base!$A:$A,0)),IF(JR$1=INDEX('Valo FX'!$R:$R,MATCH($A26,'Valo FX'!$A:$A,0)),INDEX(Base!$V:$V,MATCH($A26,Base!$A:$A,0)),0)))</f>
        <v>12.249840000000001</v>
      </c>
      <c r="JS26" s="21">
        <f>IF(JS$1&lt;INDEX('Valo FX'!$Q:$Q,MATCH($A26,'Valo FX'!$A:$A,0)),0,IF(JS$1&lt;INDEX('Valo FX'!$R:$R,MATCH($A26,'Valo FX'!$A:$A,0)),INDEX(Base!$U:$U,MATCH($A26,Base!$A:$A,0)),IF(JS$1=INDEX('Valo FX'!$R:$R,MATCH($A26,'Valo FX'!$A:$A,0)),INDEX(Base!$V:$V,MATCH($A26,Base!$A:$A,0)),0)))</f>
        <v>12.249840000000001</v>
      </c>
      <c r="JT26" s="21">
        <f>IF(JT$1&lt;INDEX('Valo FX'!$Q:$Q,MATCH($A26,'Valo FX'!$A:$A,0)),0,IF(JT$1&lt;INDEX('Valo FX'!$R:$R,MATCH($A26,'Valo FX'!$A:$A,0)),INDEX(Base!$U:$U,MATCH($A26,Base!$A:$A,0)),IF(JT$1=INDEX('Valo FX'!$R:$R,MATCH($A26,'Valo FX'!$A:$A,0)),INDEX(Base!$V:$V,MATCH($A26,Base!$A:$A,0)),0)))</f>
        <v>12.249840000000001</v>
      </c>
      <c r="JU26" s="21">
        <f>IF(JU$1&lt;INDEX('Valo FX'!$Q:$Q,MATCH($A26,'Valo FX'!$A:$A,0)),0,IF(JU$1&lt;INDEX('Valo FX'!$R:$R,MATCH($A26,'Valo FX'!$A:$A,0)),INDEX(Base!$U:$U,MATCH($A26,Base!$A:$A,0)),IF(JU$1=INDEX('Valo FX'!$R:$R,MATCH($A26,'Valo FX'!$A:$A,0)),INDEX(Base!$V:$V,MATCH($A26,Base!$A:$A,0)),0)))</f>
        <v>12.249840000000001</v>
      </c>
      <c r="JV26" s="21">
        <f>IF(JV$1&lt;INDEX('Valo FX'!$Q:$Q,MATCH($A26,'Valo FX'!$A:$A,0)),0,IF(JV$1&lt;INDEX('Valo FX'!$R:$R,MATCH($A26,'Valo FX'!$A:$A,0)),INDEX(Base!$U:$U,MATCH($A26,Base!$A:$A,0)),IF(JV$1=INDEX('Valo FX'!$R:$R,MATCH($A26,'Valo FX'!$A:$A,0)),INDEX(Base!$V:$V,MATCH($A26,Base!$A:$A,0)),0)))</f>
        <v>12.249840000000001</v>
      </c>
      <c r="JW26" s="21">
        <f>IF(JW$1&lt;INDEX('Valo FX'!$Q:$Q,MATCH($A26,'Valo FX'!$A:$A,0)),0,IF(JW$1&lt;INDEX('Valo FX'!$R:$R,MATCH($A26,'Valo FX'!$A:$A,0)),INDEX(Base!$U:$U,MATCH($A26,Base!$A:$A,0)),IF(JW$1=INDEX('Valo FX'!$R:$R,MATCH($A26,'Valo FX'!$A:$A,0)),INDEX(Base!$V:$V,MATCH($A26,Base!$A:$A,0)),0)))</f>
        <v>12.249840000000001</v>
      </c>
      <c r="JX26" s="21">
        <f>IF(JX$1&lt;INDEX('Valo FX'!$Q:$Q,MATCH($A26,'Valo FX'!$A:$A,0)),0,IF(JX$1&lt;INDEX('Valo FX'!$R:$R,MATCH($A26,'Valo FX'!$A:$A,0)),INDEX(Base!$U:$U,MATCH($A26,Base!$A:$A,0)),IF(JX$1=INDEX('Valo FX'!$R:$R,MATCH($A26,'Valo FX'!$A:$A,0)),INDEX(Base!$V:$V,MATCH($A26,Base!$A:$A,0)),0)))</f>
        <v>12.249840000000001</v>
      </c>
      <c r="JY26" s="21">
        <f>IF(JY$1&lt;INDEX('Valo FX'!$Q:$Q,MATCH($A26,'Valo FX'!$A:$A,0)),0,IF(JY$1&lt;INDEX('Valo FX'!$R:$R,MATCH($A26,'Valo FX'!$A:$A,0)),INDEX(Base!$U:$U,MATCH($A26,Base!$A:$A,0)),IF(JY$1=INDEX('Valo FX'!$R:$R,MATCH($A26,'Valo FX'!$A:$A,0)),INDEX(Base!$V:$V,MATCH($A26,Base!$A:$A,0)),0)))</f>
        <v>12.249840000000001</v>
      </c>
      <c r="JZ26" s="21">
        <f>IF(JZ$1&lt;INDEX('Valo FX'!$Q:$Q,MATCH($A26,'Valo FX'!$A:$A,0)),0,IF(JZ$1&lt;INDEX('Valo FX'!$R:$R,MATCH($A26,'Valo FX'!$A:$A,0)),INDEX(Base!$U:$U,MATCH($A26,Base!$A:$A,0)),IF(JZ$1=INDEX('Valo FX'!$R:$R,MATCH($A26,'Valo FX'!$A:$A,0)),INDEX(Base!$V:$V,MATCH($A26,Base!$A:$A,0)),0)))</f>
        <v>12.249840000000001</v>
      </c>
      <c r="KA26" s="21">
        <f>IF(KA$1&lt;INDEX('Valo FX'!$Q:$Q,MATCH($A26,'Valo FX'!$A:$A,0)),0,IF(KA$1&lt;INDEX('Valo FX'!$R:$R,MATCH($A26,'Valo FX'!$A:$A,0)),INDEX(Base!$U:$U,MATCH($A26,Base!$A:$A,0)),IF(KA$1=INDEX('Valo FX'!$R:$R,MATCH($A26,'Valo FX'!$A:$A,0)),INDEX(Base!$V:$V,MATCH($A26,Base!$A:$A,0)),0)))</f>
        <v>12.249840000000001</v>
      </c>
      <c r="KB26" s="21">
        <f>IF(KB$1&lt;INDEX('Valo FX'!$Q:$Q,MATCH($A26,'Valo FX'!$A:$A,0)),0,IF(KB$1&lt;INDEX('Valo FX'!$R:$R,MATCH($A26,'Valo FX'!$A:$A,0)),INDEX(Base!$U:$U,MATCH($A26,Base!$A:$A,0)),IF(KB$1=INDEX('Valo FX'!$R:$R,MATCH($A26,'Valo FX'!$A:$A,0)),INDEX(Base!$V:$V,MATCH($A26,Base!$A:$A,0)),0)))</f>
        <v>12.249840000000001</v>
      </c>
      <c r="KC26" s="21">
        <f>IF(KC$1&lt;INDEX('Valo FX'!$Q:$Q,MATCH($A26,'Valo FX'!$A:$A,0)),0,IF(KC$1&lt;INDEX('Valo FX'!$R:$R,MATCH($A26,'Valo FX'!$A:$A,0)),INDEX(Base!$U:$U,MATCH($A26,Base!$A:$A,0)),IF(KC$1=INDEX('Valo FX'!$R:$R,MATCH($A26,'Valo FX'!$A:$A,0)),INDEX(Base!$V:$V,MATCH($A26,Base!$A:$A,0)),0)))</f>
        <v>12.249840000000001</v>
      </c>
      <c r="KD26" s="21">
        <f>IF(KD$1&lt;INDEX('Valo FX'!$Q:$Q,MATCH($A26,'Valo FX'!$A:$A,0)),0,IF(KD$1&lt;INDEX('Valo FX'!$R:$R,MATCH($A26,'Valo FX'!$A:$A,0)),INDEX(Base!$U:$U,MATCH($A26,Base!$A:$A,0)),IF(KD$1=INDEX('Valo FX'!$R:$R,MATCH($A26,'Valo FX'!$A:$A,0)),INDEX(Base!$V:$V,MATCH($A26,Base!$A:$A,0)),0)))</f>
        <v>12.249840000000001</v>
      </c>
      <c r="KE26" s="21">
        <f>IF(KE$1&lt;INDEX('Valo FX'!$Q:$Q,MATCH($A26,'Valo FX'!$A:$A,0)),0,IF(KE$1&lt;INDEX('Valo FX'!$R:$R,MATCH($A26,'Valo FX'!$A:$A,0)),INDEX(Base!$U:$U,MATCH($A26,Base!$A:$A,0)),IF(KE$1=INDEX('Valo FX'!$R:$R,MATCH($A26,'Valo FX'!$A:$A,0)),INDEX(Base!$V:$V,MATCH($A26,Base!$A:$A,0)),0)))</f>
        <v>12.249840000000001</v>
      </c>
      <c r="KF26" s="21">
        <f>IF(KF$1&lt;INDEX('Valo FX'!$Q:$Q,MATCH($A26,'Valo FX'!$A:$A,0)),0,IF(KF$1&lt;INDEX('Valo FX'!$R:$R,MATCH($A26,'Valo FX'!$A:$A,0)),INDEX(Base!$U:$U,MATCH($A26,Base!$A:$A,0)),IF(KF$1=INDEX('Valo FX'!$R:$R,MATCH($A26,'Valo FX'!$A:$A,0)),INDEX(Base!$V:$V,MATCH($A26,Base!$A:$A,0)),0)))</f>
        <v>12.249840000000001</v>
      </c>
      <c r="KG26" s="21">
        <f>IF(KG$1&lt;INDEX('Valo FX'!$Q:$Q,MATCH($A26,'Valo FX'!$A:$A,0)),0,IF(KG$1&lt;INDEX('Valo FX'!$R:$R,MATCH($A26,'Valo FX'!$A:$A,0)),INDEX(Base!$U:$U,MATCH($A26,Base!$A:$A,0)),IF(KG$1=INDEX('Valo FX'!$R:$R,MATCH($A26,'Valo FX'!$A:$A,0)),INDEX(Base!$V:$V,MATCH($A26,Base!$A:$A,0)),0)))</f>
        <v>12.249840000000001</v>
      </c>
      <c r="KH26" s="21">
        <f>IF(KH$1&lt;INDEX('Valo FX'!$Q:$Q,MATCH($A26,'Valo FX'!$A:$A,0)),0,IF(KH$1&lt;INDEX('Valo FX'!$R:$R,MATCH($A26,'Valo FX'!$A:$A,0)),INDEX(Base!$U:$U,MATCH($A26,Base!$A:$A,0)),IF(KH$1=INDEX('Valo FX'!$R:$R,MATCH($A26,'Valo FX'!$A:$A,0)),INDEX(Base!$V:$V,MATCH($A26,Base!$A:$A,0)),0)))</f>
        <v>12.249840000000001</v>
      </c>
      <c r="KI26" s="21">
        <f>IF(KI$1&lt;INDEX('Valo FX'!$Q:$Q,MATCH($A26,'Valo FX'!$A:$A,0)),0,IF(KI$1&lt;INDEX('Valo FX'!$R:$R,MATCH($A26,'Valo FX'!$A:$A,0)),INDEX(Base!$U:$U,MATCH($A26,Base!$A:$A,0)),IF(KI$1=INDEX('Valo FX'!$R:$R,MATCH($A26,'Valo FX'!$A:$A,0)),INDEX(Base!$V:$V,MATCH($A26,Base!$A:$A,0)),0)))</f>
        <v>12.249840000000001</v>
      </c>
      <c r="KJ26" s="21">
        <f>IF(KJ$1&lt;INDEX('Valo FX'!$Q:$Q,MATCH($A26,'Valo FX'!$A:$A,0)),0,IF(KJ$1&lt;INDEX('Valo FX'!$R:$R,MATCH($A26,'Valo FX'!$A:$A,0)),INDEX(Base!$U:$U,MATCH($A26,Base!$A:$A,0)),IF(KJ$1=INDEX('Valo FX'!$R:$R,MATCH($A26,'Valo FX'!$A:$A,0)),INDEX(Base!$V:$V,MATCH($A26,Base!$A:$A,0)),0)))</f>
        <v>12.249840000000001</v>
      </c>
      <c r="KK26" s="21">
        <f>IF(KK$1&lt;INDEX('Valo FX'!$Q:$Q,MATCH($A26,'Valo FX'!$A:$A,0)),0,IF(KK$1&lt;INDEX('Valo FX'!$R:$R,MATCH($A26,'Valo FX'!$A:$A,0)),INDEX(Base!$U:$U,MATCH($A26,Base!$A:$A,0)),IF(KK$1=INDEX('Valo FX'!$R:$R,MATCH($A26,'Valo FX'!$A:$A,0)),INDEX(Base!$V:$V,MATCH($A26,Base!$A:$A,0)),0)))</f>
        <v>12.249840000000001</v>
      </c>
      <c r="KL26" s="21">
        <f>IF(KL$1&lt;INDEX('Valo FX'!$Q:$Q,MATCH($A26,'Valo FX'!$A:$A,0)),0,IF(KL$1&lt;INDEX('Valo FX'!$R:$R,MATCH($A26,'Valo FX'!$A:$A,0)),INDEX(Base!$U:$U,MATCH($A26,Base!$A:$A,0)),IF(KL$1=INDEX('Valo FX'!$R:$R,MATCH($A26,'Valo FX'!$A:$A,0)),INDEX(Base!$V:$V,MATCH($A26,Base!$A:$A,0)),0)))</f>
        <v>12.249840000000001</v>
      </c>
      <c r="KM26" s="21">
        <f>IF(KM$1&lt;INDEX('Valo FX'!$Q:$Q,MATCH($A26,'Valo FX'!$A:$A,0)),0,IF(KM$1&lt;INDEX('Valo FX'!$R:$R,MATCH($A26,'Valo FX'!$A:$A,0)),INDEX(Base!$U:$U,MATCH($A26,Base!$A:$A,0)),IF(KM$1=INDEX('Valo FX'!$R:$R,MATCH($A26,'Valo FX'!$A:$A,0)),INDEX(Base!$V:$V,MATCH($A26,Base!$A:$A,0)),0)))</f>
        <v>12.249840000000001</v>
      </c>
      <c r="KN26" s="21">
        <f>IF(KN$1&lt;INDEX('Valo FX'!$Q:$Q,MATCH($A26,'Valo FX'!$A:$A,0)),0,IF(KN$1&lt;INDEX('Valo FX'!$R:$R,MATCH($A26,'Valo FX'!$A:$A,0)),INDEX(Base!$U:$U,MATCH($A26,Base!$A:$A,0)),IF(KN$1=INDEX('Valo FX'!$R:$R,MATCH($A26,'Valo FX'!$A:$A,0)),INDEX(Base!$V:$V,MATCH($A26,Base!$A:$A,0)),0)))</f>
        <v>12.249840000000001</v>
      </c>
      <c r="KO26" s="21">
        <f>IF(KO$1&lt;INDEX('Valo FX'!$Q:$Q,MATCH($A26,'Valo FX'!$A:$A,0)),0,IF(KO$1&lt;INDEX('Valo FX'!$R:$R,MATCH($A26,'Valo FX'!$A:$A,0)),INDEX(Base!$U:$U,MATCH($A26,Base!$A:$A,0)),IF(KO$1=INDEX('Valo FX'!$R:$R,MATCH($A26,'Valo FX'!$A:$A,0)),INDEX(Base!$V:$V,MATCH($A26,Base!$A:$A,0)),0)))</f>
        <v>12.249840000000001</v>
      </c>
      <c r="KP26" s="21">
        <f>IF(KP$1&lt;INDEX('Valo FX'!$Q:$Q,MATCH($A26,'Valo FX'!$A:$A,0)),0,IF(KP$1&lt;INDEX('Valo FX'!$R:$R,MATCH($A26,'Valo FX'!$A:$A,0)),INDEX(Base!$U:$U,MATCH($A26,Base!$A:$A,0)),IF(KP$1=INDEX('Valo FX'!$R:$R,MATCH($A26,'Valo FX'!$A:$A,0)),INDEX(Base!$V:$V,MATCH($A26,Base!$A:$A,0)),0)))</f>
        <v>12.249840000000001</v>
      </c>
      <c r="KQ26" s="21">
        <f>IF(KQ$1&lt;INDEX('Valo FX'!$Q:$Q,MATCH($A26,'Valo FX'!$A:$A,0)),0,IF(KQ$1&lt;INDEX('Valo FX'!$R:$R,MATCH($A26,'Valo FX'!$A:$A,0)),INDEX(Base!$U:$U,MATCH($A26,Base!$A:$A,0)),IF(KQ$1=INDEX('Valo FX'!$R:$R,MATCH($A26,'Valo FX'!$A:$A,0)),INDEX(Base!$V:$V,MATCH($A26,Base!$A:$A,0)),0)))</f>
        <v>12.249840000000001</v>
      </c>
      <c r="KR26" s="21">
        <f>IF(KR$1&lt;INDEX('Valo FX'!$Q:$Q,MATCH($A26,'Valo FX'!$A:$A,0)),0,IF(KR$1&lt;INDEX('Valo FX'!$R:$R,MATCH($A26,'Valo FX'!$A:$A,0)),INDEX(Base!$U:$U,MATCH($A26,Base!$A:$A,0)),IF(KR$1=INDEX('Valo FX'!$R:$R,MATCH($A26,'Valo FX'!$A:$A,0)),INDEX(Base!$V:$V,MATCH($A26,Base!$A:$A,0)),0)))</f>
        <v>12.249840000000001</v>
      </c>
      <c r="KS26" s="21">
        <f>IF(KS$1&lt;INDEX('Valo FX'!$Q:$Q,MATCH($A26,'Valo FX'!$A:$A,0)),0,IF(KS$1&lt;INDEX('Valo FX'!$R:$R,MATCH($A26,'Valo FX'!$A:$A,0)),INDEX(Base!$U:$U,MATCH($A26,Base!$A:$A,0)),IF(KS$1=INDEX('Valo FX'!$R:$R,MATCH($A26,'Valo FX'!$A:$A,0)),INDEX(Base!$V:$V,MATCH($A26,Base!$A:$A,0)),0)))</f>
        <v>12.249840000000001</v>
      </c>
      <c r="KT26" s="21">
        <f>IF(KT$1&lt;INDEX('Valo FX'!$Q:$Q,MATCH($A26,'Valo FX'!$A:$A,0)),0,IF(KT$1&lt;INDEX('Valo FX'!$R:$R,MATCH($A26,'Valo FX'!$A:$A,0)),INDEX(Base!$U:$U,MATCH($A26,Base!$A:$A,0)),IF(KT$1=INDEX('Valo FX'!$R:$R,MATCH($A26,'Valo FX'!$A:$A,0)),INDEX(Base!$V:$V,MATCH($A26,Base!$A:$A,0)),0)))</f>
        <v>12.249840000000001</v>
      </c>
      <c r="KU26" s="21">
        <f>IF(KU$1&lt;INDEX('Valo FX'!$Q:$Q,MATCH($A26,'Valo FX'!$A:$A,0)),0,IF(KU$1&lt;INDEX('Valo FX'!$R:$R,MATCH($A26,'Valo FX'!$A:$A,0)),INDEX(Base!$U:$U,MATCH($A26,Base!$A:$A,0)),IF(KU$1=INDEX('Valo FX'!$R:$R,MATCH($A26,'Valo FX'!$A:$A,0)),INDEX(Base!$V:$V,MATCH($A26,Base!$A:$A,0)),0)))</f>
        <v>12.249840000000001</v>
      </c>
      <c r="KV26" s="21">
        <f>IF(KV$1&lt;INDEX('Valo FX'!$Q:$Q,MATCH($A26,'Valo FX'!$A:$A,0)),0,IF(KV$1&lt;INDEX('Valo FX'!$R:$R,MATCH($A26,'Valo FX'!$A:$A,0)),INDEX(Base!$U:$U,MATCH($A26,Base!$A:$A,0)),IF(KV$1=INDEX('Valo FX'!$R:$R,MATCH($A26,'Valo FX'!$A:$A,0)),INDEX(Base!$V:$V,MATCH($A26,Base!$A:$A,0)),0)))</f>
        <v>12.249840000000001</v>
      </c>
      <c r="KW26" s="21">
        <f>IF(KW$1&lt;INDEX('Valo FX'!$Q:$Q,MATCH($A26,'Valo FX'!$A:$A,0)),0,IF(KW$1&lt;INDEX('Valo FX'!$R:$R,MATCH($A26,'Valo FX'!$A:$A,0)),INDEX(Base!$U:$U,MATCH($A26,Base!$A:$A,0)),IF(KW$1=INDEX('Valo FX'!$R:$R,MATCH($A26,'Valo FX'!$A:$A,0)),INDEX(Base!$V:$V,MATCH($A26,Base!$A:$A,0)),0)))</f>
        <v>12.249840000000001</v>
      </c>
      <c r="KX26" s="21">
        <f>IF(KX$1&lt;INDEX('Valo FX'!$Q:$Q,MATCH($A26,'Valo FX'!$A:$A,0)),0,IF(KX$1&lt;INDEX('Valo FX'!$R:$R,MATCH($A26,'Valo FX'!$A:$A,0)),INDEX(Base!$U:$U,MATCH($A26,Base!$A:$A,0)),IF(KX$1=INDEX('Valo FX'!$R:$R,MATCH($A26,'Valo FX'!$A:$A,0)),INDEX(Base!$V:$V,MATCH($A26,Base!$A:$A,0)),0)))</f>
        <v>12.249840000000001</v>
      </c>
      <c r="KY26" s="21">
        <f>IF(KY$1&lt;INDEX('Valo FX'!$Q:$Q,MATCH($A26,'Valo FX'!$A:$A,0)),0,IF(KY$1&lt;INDEX('Valo FX'!$R:$R,MATCH($A26,'Valo FX'!$A:$A,0)),INDEX(Base!$U:$U,MATCH($A26,Base!$A:$A,0)),IF(KY$1=INDEX('Valo FX'!$R:$R,MATCH($A26,'Valo FX'!$A:$A,0)),INDEX(Base!$V:$V,MATCH($A26,Base!$A:$A,0)),0)))</f>
        <v>12.249840000000001</v>
      </c>
      <c r="KZ26" s="21">
        <f>IF(KZ$1&lt;INDEX('Valo FX'!$Q:$Q,MATCH($A26,'Valo FX'!$A:$A,0)),0,IF(KZ$1&lt;INDEX('Valo FX'!$R:$R,MATCH($A26,'Valo FX'!$A:$A,0)),INDEX(Base!$U:$U,MATCH($A26,Base!$A:$A,0)),IF(KZ$1=INDEX('Valo FX'!$R:$R,MATCH($A26,'Valo FX'!$A:$A,0)),INDEX(Base!$V:$V,MATCH($A26,Base!$A:$A,0)),0)))</f>
        <v>12.249840000000001</v>
      </c>
      <c r="LA26" s="21">
        <f>IF(LA$1&lt;INDEX('Valo FX'!$Q:$Q,MATCH($A26,'Valo FX'!$A:$A,0)),0,IF(LA$1&lt;INDEX('Valo FX'!$R:$R,MATCH($A26,'Valo FX'!$A:$A,0)),INDEX(Base!$U:$U,MATCH($A26,Base!$A:$A,0)),IF(LA$1=INDEX('Valo FX'!$R:$R,MATCH($A26,'Valo FX'!$A:$A,0)),INDEX(Base!$V:$V,MATCH($A26,Base!$A:$A,0)),0)))</f>
        <v>12.249840000000001</v>
      </c>
      <c r="LB26" s="21">
        <f>IF(LB$1&lt;INDEX('Valo FX'!$Q:$Q,MATCH($A26,'Valo FX'!$A:$A,0)),0,IF(LB$1&lt;INDEX('Valo FX'!$R:$R,MATCH($A26,'Valo FX'!$A:$A,0)),INDEX(Base!$U:$U,MATCH($A26,Base!$A:$A,0)),IF(LB$1=INDEX('Valo FX'!$R:$R,MATCH($A26,'Valo FX'!$A:$A,0)),INDEX(Base!$V:$V,MATCH($A26,Base!$A:$A,0)),0)))</f>
        <v>12.249840000000001</v>
      </c>
      <c r="LC26" s="21">
        <f>IF(LC$1&lt;INDEX('Valo FX'!$Q:$Q,MATCH($A26,'Valo FX'!$A:$A,0)),0,IF(LC$1&lt;INDEX('Valo FX'!$R:$R,MATCH($A26,'Valo FX'!$A:$A,0)),INDEX(Base!$U:$U,MATCH($A26,Base!$A:$A,0)),IF(LC$1=INDEX('Valo FX'!$R:$R,MATCH($A26,'Valo FX'!$A:$A,0)),INDEX(Base!$V:$V,MATCH($A26,Base!$A:$A,0)),0)))</f>
        <v>12.249840000000001</v>
      </c>
      <c r="LD26" s="21">
        <f>IF(LD$1&lt;INDEX('Valo FX'!$Q:$Q,MATCH($A26,'Valo FX'!$A:$A,0)),0,IF(LD$1&lt;INDEX('Valo FX'!$R:$R,MATCH($A26,'Valo FX'!$A:$A,0)),INDEX(Base!$U:$U,MATCH($A26,Base!$A:$A,0)),IF(LD$1=INDEX('Valo FX'!$R:$R,MATCH($A26,'Valo FX'!$A:$A,0)),INDEX(Base!$V:$V,MATCH($A26,Base!$A:$A,0)),0)))</f>
        <v>12.249840000000001</v>
      </c>
      <c r="LE26" s="21">
        <f>IF(LE$1&lt;INDEX('Valo FX'!$Q:$Q,MATCH($A26,'Valo FX'!$A:$A,0)),0,IF(LE$1&lt;INDEX('Valo FX'!$R:$R,MATCH($A26,'Valo FX'!$A:$A,0)),INDEX(Base!$U:$U,MATCH($A26,Base!$A:$A,0)),IF(LE$1=INDEX('Valo FX'!$R:$R,MATCH($A26,'Valo FX'!$A:$A,0)),INDEX(Base!$V:$V,MATCH($A26,Base!$A:$A,0)),0)))</f>
        <v>12.249840000000001</v>
      </c>
      <c r="LF26" s="21">
        <f>IF(LF$1&lt;INDEX('Valo FX'!$Q:$Q,MATCH($A26,'Valo FX'!$A:$A,0)),0,IF(LF$1&lt;INDEX('Valo FX'!$R:$R,MATCH($A26,'Valo FX'!$A:$A,0)),INDEX(Base!$U:$U,MATCH($A26,Base!$A:$A,0)),IF(LF$1=INDEX('Valo FX'!$R:$R,MATCH($A26,'Valo FX'!$A:$A,0)),INDEX(Base!$V:$V,MATCH($A26,Base!$A:$A,0)),0)))</f>
        <v>12.249840000000001</v>
      </c>
      <c r="LG26" s="21">
        <f>IF(LG$1&lt;INDEX('Valo FX'!$Q:$Q,MATCH($A26,'Valo FX'!$A:$A,0)),0,IF(LG$1&lt;INDEX('Valo FX'!$R:$R,MATCH($A26,'Valo FX'!$A:$A,0)),INDEX(Base!$U:$U,MATCH($A26,Base!$A:$A,0)),IF(LG$1=INDEX('Valo FX'!$R:$R,MATCH($A26,'Valo FX'!$A:$A,0)),INDEX(Base!$V:$V,MATCH($A26,Base!$A:$A,0)),0)))</f>
        <v>12.249840000000001</v>
      </c>
      <c r="LH26" s="21">
        <f>IF(LH$1&lt;INDEX('Valo FX'!$Q:$Q,MATCH($A26,'Valo FX'!$A:$A,0)),0,IF(LH$1&lt;INDEX('Valo FX'!$R:$R,MATCH($A26,'Valo FX'!$A:$A,0)),INDEX(Base!$U:$U,MATCH($A26,Base!$A:$A,0)),IF(LH$1=INDEX('Valo FX'!$R:$R,MATCH($A26,'Valo FX'!$A:$A,0)),INDEX(Base!$V:$V,MATCH($A26,Base!$A:$A,0)),0)))</f>
        <v>12.249840000000001</v>
      </c>
      <c r="LI26" s="21">
        <f>IF(LI$1&lt;INDEX('Valo FX'!$Q:$Q,MATCH($A26,'Valo FX'!$A:$A,0)),0,IF(LI$1&lt;INDEX('Valo FX'!$R:$R,MATCH($A26,'Valo FX'!$A:$A,0)),INDEX(Base!$U:$U,MATCH($A26,Base!$A:$A,0)),IF(LI$1=INDEX('Valo FX'!$R:$R,MATCH($A26,'Valo FX'!$A:$A,0)),INDEX(Base!$V:$V,MATCH($A26,Base!$A:$A,0)),0)))</f>
        <v>12.249840000000001</v>
      </c>
      <c r="LJ26" s="21">
        <f>IF(LJ$1&lt;INDEX('Valo FX'!$Q:$Q,MATCH($A26,'Valo FX'!$A:$A,0)),0,IF(LJ$1&lt;INDEX('Valo FX'!$R:$R,MATCH($A26,'Valo FX'!$A:$A,0)),INDEX(Base!$U:$U,MATCH($A26,Base!$A:$A,0)),IF(LJ$1=INDEX('Valo FX'!$R:$R,MATCH($A26,'Valo FX'!$A:$A,0)),INDEX(Base!$V:$V,MATCH($A26,Base!$A:$A,0)),0)))</f>
        <v>12.249840000000001</v>
      </c>
      <c r="LK26" s="21">
        <f>IF(LK$1&lt;INDEX('Valo FX'!$Q:$Q,MATCH($A26,'Valo FX'!$A:$A,0)),0,IF(LK$1&lt;INDEX('Valo FX'!$R:$R,MATCH($A26,'Valo FX'!$A:$A,0)),INDEX(Base!$U:$U,MATCH($A26,Base!$A:$A,0)),IF(LK$1=INDEX('Valo FX'!$R:$R,MATCH($A26,'Valo FX'!$A:$A,0)),INDEX(Base!$V:$V,MATCH($A26,Base!$A:$A,0)),0)))</f>
        <v>12.249840000000001</v>
      </c>
      <c r="LL26" s="21">
        <f>IF(LL$1&lt;INDEX('Valo FX'!$Q:$Q,MATCH($A26,'Valo FX'!$A:$A,0)),0,IF(LL$1&lt;INDEX('Valo FX'!$R:$R,MATCH($A26,'Valo FX'!$A:$A,0)),INDEX(Base!$U:$U,MATCH($A26,Base!$A:$A,0)),IF(LL$1=INDEX('Valo FX'!$R:$R,MATCH($A26,'Valo FX'!$A:$A,0)),INDEX(Base!$V:$V,MATCH($A26,Base!$A:$A,0)),0)))</f>
        <v>12.249840000000001</v>
      </c>
      <c r="LM26" s="21">
        <f>IF(LM$1&lt;INDEX('Valo FX'!$Q:$Q,MATCH($A26,'Valo FX'!$A:$A,0)),0,IF(LM$1&lt;INDEX('Valo FX'!$R:$R,MATCH($A26,'Valo FX'!$A:$A,0)),INDEX(Base!$U:$U,MATCH($A26,Base!$A:$A,0)),IF(LM$1=INDEX('Valo FX'!$R:$R,MATCH($A26,'Valo FX'!$A:$A,0)),INDEX(Base!$V:$V,MATCH($A26,Base!$A:$A,0)),0)))</f>
        <v>12.249840000000001</v>
      </c>
      <c r="LN26" s="21">
        <f>IF(LN$1&lt;INDEX('Valo FX'!$Q:$Q,MATCH($A26,'Valo FX'!$A:$A,0)),0,IF(LN$1&lt;INDEX('Valo FX'!$R:$R,MATCH($A26,'Valo FX'!$A:$A,0)),INDEX(Base!$U:$U,MATCH($A26,Base!$A:$A,0)),IF(LN$1=INDEX('Valo FX'!$R:$R,MATCH($A26,'Valo FX'!$A:$A,0)),INDEX(Base!$V:$V,MATCH($A26,Base!$A:$A,0)),0)))</f>
        <v>12.249840000000001</v>
      </c>
      <c r="LO26" s="21">
        <f>IF(LO$1&lt;INDEX('Valo FX'!$Q:$Q,MATCH($A26,'Valo FX'!$A:$A,0)),0,IF(LO$1&lt;INDEX('Valo FX'!$R:$R,MATCH($A26,'Valo FX'!$A:$A,0)),INDEX(Base!$U:$U,MATCH($A26,Base!$A:$A,0)),IF(LO$1=INDEX('Valo FX'!$R:$R,MATCH($A26,'Valo FX'!$A:$A,0)),INDEX(Base!$V:$V,MATCH($A26,Base!$A:$A,0)),0)))</f>
        <v>12.249840000000001</v>
      </c>
      <c r="LP26" s="21">
        <f>IF(LP$1&lt;INDEX('Valo FX'!$Q:$Q,MATCH($A26,'Valo FX'!$A:$A,0)),0,IF(LP$1&lt;INDEX('Valo FX'!$R:$R,MATCH($A26,'Valo FX'!$A:$A,0)),INDEX(Base!$U:$U,MATCH($A26,Base!$A:$A,0)),IF(LP$1=INDEX('Valo FX'!$R:$R,MATCH($A26,'Valo FX'!$A:$A,0)),INDEX(Base!$V:$V,MATCH($A26,Base!$A:$A,0)),0)))</f>
        <v>12.249840000000001</v>
      </c>
      <c r="LQ26" s="21">
        <f>IF(LQ$1&lt;INDEX('Valo FX'!$Q:$Q,MATCH($A26,'Valo FX'!$A:$A,0)),0,IF(LQ$1&lt;INDEX('Valo FX'!$R:$R,MATCH($A26,'Valo FX'!$A:$A,0)),INDEX(Base!$U:$U,MATCH($A26,Base!$A:$A,0)),IF(LQ$1=INDEX('Valo FX'!$R:$R,MATCH($A26,'Valo FX'!$A:$A,0)),INDEX(Base!$V:$V,MATCH($A26,Base!$A:$A,0)),0)))</f>
        <v>12.249840000000001</v>
      </c>
      <c r="LR26" s="21">
        <f>IF(LR$1&lt;INDEX('Valo FX'!$Q:$Q,MATCH($A26,'Valo FX'!$A:$A,0)),0,IF(LR$1&lt;INDEX('Valo FX'!$R:$R,MATCH($A26,'Valo FX'!$A:$A,0)),INDEX(Base!$U:$U,MATCH($A26,Base!$A:$A,0)),IF(LR$1=INDEX('Valo FX'!$R:$R,MATCH($A26,'Valo FX'!$A:$A,0)),INDEX(Base!$V:$V,MATCH($A26,Base!$A:$A,0)),0)))</f>
        <v>12.249840000000001</v>
      </c>
      <c r="LS26" s="21">
        <f>IF(LS$1&lt;INDEX('Valo FX'!$Q:$Q,MATCH($A26,'Valo FX'!$A:$A,0)),0,IF(LS$1&lt;INDEX('Valo FX'!$R:$R,MATCH($A26,'Valo FX'!$A:$A,0)),INDEX(Base!$U:$U,MATCH($A26,Base!$A:$A,0)),IF(LS$1=INDEX('Valo FX'!$R:$R,MATCH($A26,'Valo FX'!$A:$A,0)),INDEX(Base!$V:$V,MATCH($A26,Base!$A:$A,0)),0)))</f>
        <v>12.249840000000001</v>
      </c>
      <c r="LT26" s="21">
        <f>IF(LT$1&lt;INDEX('Valo FX'!$Q:$Q,MATCH($A26,'Valo FX'!$A:$A,0)),0,IF(LT$1&lt;INDEX('Valo FX'!$R:$R,MATCH($A26,'Valo FX'!$A:$A,0)),INDEX(Base!$U:$U,MATCH($A26,Base!$A:$A,0)),IF(LT$1=INDEX('Valo FX'!$R:$R,MATCH($A26,'Valo FX'!$A:$A,0)),INDEX(Base!$V:$V,MATCH($A26,Base!$A:$A,0)),0)))</f>
        <v>12.249840000000001</v>
      </c>
      <c r="LU26" s="21">
        <f>IF(LU$1&lt;INDEX('Valo FX'!$Q:$Q,MATCH($A26,'Valo FX'!$A:$A,0)),0,IF(LU$1&lt;INDEX('Valo FX'!$R:$R,MATCH($A26,'Valo FX'!$A:$A,0)),INDEX(Base!$U:$U,MATCH($A26,Base!$A:$A,0)),IF(LU$1=INDEX('Valo FX'!$R:$R,MATCH($A26,'Valo FX'!$A:$A,0)),INDEX(Base!$V:$V,MATCH($A26,Base!$A:$A,0)),0)))</f>
        <v>12.249840000000001</v>
      </c>
      <c r="LV26" s="21">
        <f>IF(LV$1&lt;INDEX('Valo FX'!$Q:$Q,MATCH($A26,'Valo FX'!$A:$A,0)),0,IF(LV$1&lt;INDEX('Valo FX'!$R:$R,MATCH($A26,'Valo FX'!$A:$A,0)),INDEX(Base!$U:$U,MATCH($A26,Base!$A:$A,0)),IF(LV$1=INDEX('Valo FX'!$R:$R,MATCH($A26,'Valo FX'!$A:$A,0)),INDEX(Base!$V:$V,MATCH($A26,Base!$A:$A,0)),0)))</f>
        <v>12.249840000000001</v>
      </c>
      <c r="LW26" s="21">
        <f>IF(LW$1&lt;INDEX('Valo FX'!$Q:$Q,MATCH($A26,'Valo FX'!$A:$A,0)),0,IF(LW$1&lt;INDEX('Valo FX'!$R:$R,MATCH($A26,'Valo FX'!$A:$A,0)),INDEX(Base!$U:$U,MATCH($A26,Base!$A:$A,0)),IF(LW$1=INDEX('Valo FX'!$R:$R,MATCH($A26,'Valo FX'!$A:$A,0)),INDEX(Base!$V:$V,MATCH($A26,Base!$A:$A,0)),0)))</f>
        <v>12.249840000000001</v>
      </c>
      <c r="LX26" s="21">
        <f>IF(LX$1&lt;INDEX('Valo FX'!$Q:$Q,MATCH($A26,'Valo FX'!$A:$A,0)),0,IF(LX$1&lt;INDEX('Valo FX'!$R:$R,MATCH($A26,'Valo FX'!$A:$A,0)),INDEX(Base!$U:$U,MATCH($A26,Base!$A:$A,0)),IF(LX$1=INDEX('Valo FX'!$R:$R,MATCH($A26,'Valo FX'!$A:$A,0)),INDEX(Base!$V:$V,MATCH($A26,Base!$A:$A,0)),0)))</f>
        <v>12.249840000000001</v>
      </c>
      <c r="LY26" s="21">
        <f>IF(LY$1&lt;INDEX('Valo FX'!$Q:$Q,MATCH($A26,'Valo FX'!$A:$A,0)),0,IF(LY$1&lt;INDEX('Valo FX'!$R:$R,MATCH($A26,'Valo FX'!$A:$A,0)),INDEX(Base!$U:$U,MATCH($A26,Base!$A:$A,0)),IF(LY$1=INDEX('Valo FX'!$R:$R,MATCH($A26,'Valo FX'!$A:$A,0)),INDEX(Base!$V:$V,MATCH($A26,Base!$A:$A,0)),0)))</f>
        <v>12.249840000000001</v>
      </c>
      <c r="LZ26" s="21">
        <f>IF(LZ$1&lt;INDEX('Valo FX'!$Q:$Q,MATCH($A26,'Valo FX'!$A:$A,0)),0,IF(LZ$1&lt;INDEX('Valo FX'!$R:$R,MATCH($A26,'Valo FX'!$A:$A,0)),INDEX(Base!$U:$U,MATCH($A26,Base!$A:$A,0)),IF(LZ$1=INDEX('Valo FX'!$R:$R,MATCH($A26,'Valo FX'!$A:$A,0)),INDEX(Base!$V:$V,MATCH($A26,Base!$A:$A,0)),0)))</f>
        <v>12.249840000000001</v>
      </c>
      <c r="MA26" s="21">
        <f>IF(MA$1&lt;INDEX('Valo FX'!$Q:$Q,MATCH($A26,'Valo FX'!$A:$A,0)),0,IF(MA$1&lt;INDEX('Valo FX'!$R:$R,MATCH($A26,'Valo FX'!$A:$A,0)),INDEX(Base!$U:$U,MATCH($A26,Base!$A:$A,0)),IF(MA$1=INDEX('Valo FX'!$R:$R,MATCH($A26,'Valo FX'!$A:$A,0)),INDEX(Base!$V:$V,MATCH($A26,Base!$A:$A,0)),0)))</f>
        <v>12.249840000000001</v>
      </c>
      <c r="MB26" s="21">
        <f>IF(MB$1&lt;INDEX('Valo FX'!$Q:$Q,MATCH($A26,'Valo FX'!$A:$A,0)),0,IF(MB$1&lt;INDEX('Valo FX'!$R:$R,MATCH($A26,'Valo FX'!$A:$A,0)),INDEX(Base!$U:$U,MATCH($A26,Base!$A:$A,0)),IF(MB$1=INDEX('Valo FX'!$R:$R,MATCH($A26,'Valo FX'!$A:$A,0)),INDEX(Base!$V:$V,MATCH($A26,Base!$A:$A,0)),0)))</f>
        <v>12.249840000000001</v>
      </c>
      <c r="MC26" s="21">
        <f>IF(MC$1&lt;INDEX('Valo FX'!$Q:$Q,MATCH($A26,'Valo FX'!$A:$A,0)),0,IF(MC$1&lt;INDEX('Valo FX'!$R:$R,MATCH($A26,'Valo FX'!$A:$A,0)),INDEX(Base!$U:$U,MATCH($A26,Base!$A:$A,0)),IF(MC$1=INDEX('Valo FX'!$R:$R,MATCH($A26,'Valo FX'!$A:$A,0)),INDEX(Base!$V:$V,MATCH($A26,Base!$A:$A,0)),0)))</f>
        <v>12.249840000000001</v>
      </c>
      <c r="MD26" s="21">
        <f>IF(MD$1&lt;INDEX('Valo FX'!$Q:$Q,MATCH($A26,'Valo FX'!$A:$A,0)),0,IF(MD$1&lt;INDEX('Valo FX'!$R:$R,MATCH($A26,'Valo FX'!$A:$A,0)),INDEX(Base!$U:$U,MATCH($A26,Base!$A:$A,0)),IF(MD$1=INDEX('Valo FX'!$R:$R,MATCH($A26,'Valo FX'!$A:$A,0)),INDEX(Base!$V:$V,MATCH($A26,Base!$A:$A,0)),0)))</f>
        <v>12.249840000000001</v>
      </c>
      <c r="ME26" s="21">
        <f>IF(ME$1&lt;INDEX('Valo FX'!$Q:$Q,MATCH($A26,'Valo FX'!$A:$A,0)),0,IF(ME$1&lt;INDEX('Valo FX'!$R:$R,MATCH($A26,'Valo FX'!$A:$A,0)),INDEX(Base!$U:$U,MATCH($A26,Base!$A:$A,0)),IF(ME$1=INDEX('Valo FX'!$R:$R,MATCH($A26,'Valo FX'!$A:$A,0)),INDEX(Base!$V:$V,MATCH($A26,Base!$A:$A,0)),0)))</f>
        <v>12.249840000000001</v>
      </c>
      <c r="MF26" s="21">
        <f>IF(MF$1&lt;INDEX('Valo FX'!$Q:$Q,MATCH($A26,'Valo FX'!$A:$A,0)),0,IF(MF$1&lt;INDEX('Valo FX'!$R:$R,MATCH($A26,'Valo FX'!$A:$A,0)),INDEX(Base!$U:$U,MATCH($A26,Base!$A:$A,0)),IF(MF$1=INDEX('Valo FX'!$R:$R,MATCH($A26,'Valo FX'!$A:$A,0)),INDEX(Base!$V:$V,MATCH($A26,Base!$A:$A,0)),0)))</f>
        <v>12.249840000000001</v>
      </c>
      <c r="MG26" s="21">
        <f>IF(MG$1&lt;INDEX('Valo FX'!$Q:$Q,MATCH($A26,'Valo FX'!$A:$A,0)),0,IF(MG$1&lt;INDEX('Valo FX'!$R:$R,MATCH($A26,'Valo FX'!$A:$A,0)),INDEX(Base!$U:$U,MATCH($A26,Base!$A:$A,0)),IF(MG$1=INDEX('Valo FX'!$R:$R,MATCH($A26,'Valo FX'!$A:$A,0)),INDEX(Base!$V:$V,MATCH($A26,Base!$A:$A,0)),0)))</f>
        <v>12.249840000000001</v>
      </c>
      <c r="MH26" s="21">
        <f>IF(MH$1&lt;INDEX('Valo FX'!$Q:$Q,MATCH($A26,'Valo FX'!$A:$A,0)),0,IF(MH$1&lt;INDEX('Valo FX'!$R:$R,MATCH($A26,'Valo FX'!$A:$A,0)),INDEX(Base!$U:$U,MATCH($A26,Base!$A:$A,0)),IF(MH$1=INDEX('Valo FX'!$R:$R,MATCH($A26,'Valo FX'!$A:$A,0)),INDEX(Base!$V:$V,MATCH($A26,Base!$A:$A,0)),0)))</f>
        <v>12.249840000000001</v>
      </c>
      <c r="MI26" s="21">
        <f>IF(MI$1&lt;INDEX('Valo FX'!$Q:$Q,MATCH($A26,'Valo FX'!$A:$A,0)),0,IF(MI$1&lt;INDEX('Valo FX'!$R:$R,MATCH($A26,'Valo FX'!$A:$A,0)),INDEX(Base!$U:$U,MATCH($A26,Base!$A:$A,0)),IF(MI$1=INDEX('Valo FX'!$R:$R,MATCH($A26,'Valo FX'!$A:$A,0)),INDEX(Base!$V:$V,MATCH($A26,Base!$A:$A,0)),0)))</f>
        <v>12.249840000000001</v>
      </c>
      <c r="MJ26" s="21">
        <f>IF(MJ$1&lt;INDEX('Valo FX'!$Q:$Q,MATCH($A26,'Valo FX'!$A:$A,0)),0,IF(MJ$1&lt;INDEX('Valo FX'!$R:$R,MATCH($A26,'Valo FX'!$A:$A,0)),INDEX(Base!$U:$U,MATCH($A26,Base!$A:$A,0)),IF(MJ$1=INDEX('Valo FX'!$R:$R,MATCH($A26,'Valo FX'!$A:$A,0)),INDEX(Base!$V:$V,MATCH($A26,Base!$A:$A,0)),0)))</f>
        <v>12.249840000000001</v>
      </c>
      <c r="MK26" s="21">
        <f>IF(MK$1&lt;INDEX('Valo FX'!$Q:$Q,MATCH($A26,'Valo FX'!$A:$A,0)),0,IF(MK$1&lt;INDEX('Valo FX'!$R:$R,MATCH($A26,'Valo FX'!$A:$A,0)),INDEX(Base!$U:$U,MATCH($A26,Base!$A:$A,0)),IF(MK$1=INDEX('Valo FX'!$R:$R,MATCH($A26,'Valo FX'!$A:$A,0)),INDEX(Base!$V:$V,MATCH($A26,Base!$A:$A,0)),0)))</f>
        <v>12.249840000000001</v>
      </c>
      <c r="ML26" s="21">
        <f>IF(ML$1&lt;INDEX('Valo FX'!$Q:$Q,MATCH($A26,'Valo FX'!$A:$A,0)),0,IF(ML$1&lt;INDEX('Valo FX'!$R:$R,MATCH($A26,'Valo FX'!$A:$A,0)),INDEX(Base!$U:$U,MATCH($A26,Base!$A:$A,0)),IF(ML$1=INDEX('Valo FX'!$R:$R,MATCH($A26,'Valo FX'!$A:$A,0)),INDEX(Base!$V:$V,MATCH($A26,Base!$A:$A,0)),0)))</f>
        <v>12.249840000000001</v>
      </c>
      <c r="MM26" s="21">
        <f>IF(MM$1&lt;INDEX('Valo FX'!$Q:$Q,MATCH($A26,'Valo FX'!$A:$A,0)),0,IF(MM$1&lt;INDEX('Valo FX'!$R:$R,MATCH($A26,'Valo FX'!$A:$A,0)),INDEX(Base!$U:$U,MATCH($A26,Base!$A:$A,0)),IF(MM$1=INDEX('Valo FX'!$R:$R,MATCH($A26,'Valo FX'!$A:$A,0)),INDEX(Base!$V:$V,MATCH($A26,Base!$A:$A,0)),0)))</f>
        <v>12.249840000000001</v>
      </c>
      <c r="MN26" s="21">
        <f>IF(MN$1&lt;INDEX('Valo FX'!$Q:$Q,MATCH($A26,'Valo FX'!$A:$A,0)),0,IF(MN$1&lt;INDEX('Valo FX'!$R:$R,MATCH($A26,'Valo FX'!$A:$A,0)),INDEX(Base!$U:$U,MATCH($A26,Base!$A:$A,0)),IF(MN$1=INDEX('Valo FX'!$R:$R,MATCH($A26,'Valo FX'!$A:$A,0)),INDEX(Base!$V:$V,MATCH($A26,Base!$A:$A,0)),0)))</f>
        <v>12.249840000000001</v>
      </c>
      <c r="MO26" s="21">
        <f>IF(MO$1&lt;INDEX('Valo FX'!$Q:$Q,MATCH($A26,'Valo FX'!$A:$A,0)),0,IF(MO$1&lt;INDEX('Valo FX'!$R:$R,MATCH($A26,'Valo FX'!$A:$A,0)),INDEX(Base!$U:$U,MATCH($A26,Base!$A:$A,0)),IF(MO$1=INDEX('Valo FX'!$R:$R,MATCH($A26,'Valo FX'!$A:$A,0)),INDEX(Base!$V:$V,MATCH($A26,Base!$A:$A,0)),0)))</f>
        <v>12.249840000000001</v>
      </c>
      <c r="MP26" s="21">
        <f>IF(MP$1&lt;INDEX('Valo FX'!$Q:$Q,MATCH($A26,'Valo FX'!$A:$A,0)),0,IF(MP$1&lt;INDEX('Valo FX'!$R:$R,MATCH($A26,'Valo FX'!$A:$A,0)),INDEX(Base!$U:$U,MATCH($A26,Base!$A:$A,0)),IF(MP$1=INDEX('Valo FX'!$R:$R,MATCH($A26,'Valo FX'!$A:$A,0)),INDEX(Base!$V:$V,MATCH($A26,Base!$A:$A,0)),0)))</f>
        <v>12.249840000000001</v>
      </c>
      <c r="MQ26" s="21">
        <f>IF(MQ$1&lt;INDEX('Valo FX'!$Q:$Q,MATCH($A26,'Valo FX'!$A:$A,0)),0,IF(MQ$1&lt;INDEX('Valo FX'!$R:$R,MATCH($A26,'Valo FX'!$A:$A,0)),INDEX(Base!$U:$U,MATCH($A26,Base!$A:$A,0)),IF(MQ$1=INDEX('Valo FX'!$R:$R,MATCH($A26,'Valo FX'!$A:$A,0)),INDEX(Base!$V:$V,MATCH($A26,Base!$A:$A,0)),0)))</f>
        <v>12.249840000000001</v>
      </c>
      <c r="MR26" s="21">
        <f>IF(MR$1&lt;INDEX('Valo FX'!$Q:$Q,MATCH($A26,'Valo FX'!$A:$A,0)),0,IF(MR$1&lt;INDEX('Valo FX'!$R:$R,MATCH($A26,'Valo FX'!$A:$A,0)),INDEX(Base!$U:$U,MATCH($A26,Base!$A:$A,0)),IF(MR$1=INDEX('Valo FX'!$R:$R,MATCH($A26,'Valo FX'!$A:$A,0)),INDEX(Base!$V:$V,MATCH($A26,Base!$A:$A,0)),0)))</f>
        <v>12.249840000000001</v>
      </c>
      <c r="MS26" s="21">
        <f>IF(MS$1&lt;INDEX('Valo FX'!$Q:$Q,MATCH($A26,'Valo FX'!$A:$A,0)),0,IF(MS$1&lt;INDEX('Valo FX'!$R:$R,MATCH($A26,'Valo FX'!$A:$A,0)),INDEX(Base!$U:$U,MATCH($A26,Base!$A:$A,0)),IF(MS$1=INDEX('Valo FX'!$R:$R,MATCH($A26,'Valo FX'!$A:$A,0)),INDEX(Base!$V:$V,MATCH($A26,Base!$A:$A,0)),0)))</f>
        <v>12.249840000000001</v>
      </c>
      <c r="MT26" s="21">
        <f>IF(MT$1&lt;INDEX('Valo FX'!$Q:$Q,MATCH($A26,'Valo FX'!$A:$A,0)),0,IF(MT$1&lt;INDEX('Valo FX'!$R:$R,MATCH($A26,'Valo FX'!$A:$A,0)),INDEX(Base!$U:$U,MATCH($A26,Base!$A:$A,0)),IF(MT$1=INDEX('Valo FX'!$R:$R,MATCH($A26,'Valo FX'!$A:$A,0)),INDEX(Base!$V:$V,MATCH($A26,Base!$A:$A,0)),0)))</f>
        <v>12.249840000000001</v>
      </c>
      <c r="MU26" s="21">
        <f>IF(MU$1&lt;INDEX('Valo FX'!$Q:$Q,MATCH($A26,'Valo FX'!$A:$A,0)),0,IF(MU$1&lt;INDEX('Valo FX'!$R:$R,MATCH($A26,'Valo FX'!$A:$A,0)),INDEX(Base!$U:$U,MATCH($A26,Base!$A:$A,0)),IF(MU$1=INDEX('Valo FX'!$R:$R,MATCH($A26,'Valo FX'!$A:$A,0)),INDEX(Base!$V:$V,MATCH($A26,Base!$A:$A,0)),0)))</f>
        <v>12.249840000000001</v>
      </c>
      <c r="MV26" s="21">
        <f>IF(MV$1&lt;INDEX('Valo FX'!$Q:$Q,MATCH($A26,'Valo FX'!$A:$A,0)),0,IF(MV$1&lt;INDEX('Valo FX'!$R:$R,MATCH($A26,'Valo FX'!$A:$A,0)),INDEX(Base!$U:$U,MATCH($A26,Base!$A:$A,0)),IF(MV$1=INDEX('Valo FX'!$R:$R,MATCH($A26,'Valo FX'!$A:$A,0)),INDEX(Base!$V:$V,MATCH($A26,Base!$A:$A,0)),0)))</f>
        <v>12.249840000000001</v>
      </c>
      <c r="MW26" s="21">
        <f>IF(MW$1&lt;INDEX('Valo FX'!$Q:$Q,MATCH($A26,'Valo FX'!$A:$A,0)),0,IF(MW$1&lt;INDEX('Valo FX'!$R:$R,MATCH($A26,'Valo FX'!$A:$A,0)),INDEX(Base!$U:$U,MATCH($A26,Base!$A:$A,0)),IF(MW$1=INDEX('Valo FX'!$R:$R,MATCH($A26,'Valo FX'!$A:$A,0)),INDEX(Base!$V:$V,MATCH($A26,Base!$A:$A,0)),0)))</f>
        <v>12.249840000000001</v>
      </c>
      <c r="MX26" s="21">
        <f>IF(MX$1&lt;INDEX('Valo FX'!$Q:$Q,MATCH($A26,'Valo FX'!$A:$A,0)),0,IF(MX$1&lt;INDEX('Valo FX'!$R:$R,MATCH($A26,'Valo FX'!$A:$A,0)),INDEX(Base!$U:$U,MATCH($A26,Base!$A:$A,0)),IF(MX$1=INDEX('Valo FX'!$R:$R,MATCH($A26,'Valo FX'!$A:$A,0)),INDEX(Base!$V:$V,MATCH($A26,Base!$A:$A,0)),0)))</f>
        <v>12.249840000000001</v>
      </c>
      <c r="MY26" s="21">
        <f>IF(MY$1&lt;INDEX('Valo FX'!$Q:$Q,MATCH($A26,'Valo FX'!$A:$A,0)),0,IF(MY$1&lt;INDEX('Valo FX'!$R:$R,MATCH($A26,'Valo FX'!$A:$A,0)),INDEX(Base!$U:$U,MATCH($A26,Base!$A:$A,0)),IF(MY$1=INDEX('Valo FX'!$R:$R,MATCH($A26,'Valo FX'!$A:$A,0)),INDEX(Base!$V:$V,MATCH($A26,Base!$A:$A,0)),0)))</f>
        <v>12.6334</v>
      </c>
    </row>
    <row r="27" spans="1:363" x14ac:dyDescent="0.25">
      <c r="A27" s="7">
        <f t="shared" si="12"/>
        <v>25</v>
      </c>
      <c r="B27" s="59">
        <f>-'Valo FX'!T28</f>
        <v>-1758.8108326139043</v>
      </c>
      <c r="C27" s="21">
        <f>IF(C$1&lt;INDEX('Valo FX'!$Q:$Q,MATCH($A27,'Valo FX'!$A:$A,0)),0,IF(C$1&lt;INDEX('Valo FX'!$R:$R,MATCH($A27,'Valo FX'!$A:$A,0)),INDEX(Base!$U:$U,MATCH($A27,Base!$A:$A,0)),IF(C$1=INDEX('Valo FX'!$R:$R,MATCH($A27,'Valo FX'!$A:$A,0)),INDEX(Base!$V:$V,MATCH($A27,Base!$A:$A,0)),0)))</f>
        <v>0</v>
      </c>
      <c r="D27" s="21">
        <f>IF(D$1&lt;INDEX('Valo FX'!$Q:$Q,MATCH($A27,'Valo FX'!$A:$A,0)),0,IF(D$1&lt;INDEX('Valo FX'!$R:$R,MATCH($A27,'Valo FX'!$A:$A,0)),INDEX(Base!$U:$U,MATCH($A27,Base!$A:$A,0)),IF(D$1=INDEX('Valo FX'!$R:$R,MATCH($A27,'Valo FX'!$A:$A,0)),INDEX(Base!$V:$V,MATCH($A27,Base!$A:$A,0)),0)))</f>
        <v>0</v>
      </c>
      <c r="E27" s="21">
        <f>IF(E$1&lt;INDEX('Valo FX'!$Q:$Q,MATCH($A27,'Valo FX'!$A:$A,0)),0,IF(E$1&lt;INDEX('Valo FX'!$R:$R,MATCH($A27,'Valo FX'!$A:$A,0)),INDEX(Base!$U:$U,MATCH($A27,Base!$A:$A,0)),IF(E$1=INDEX('Valo FX'!$R:$R,MATCH($A27,'Valo FX'!$A:$A,0)),INDEX(Base!$V:$V,MATCH($A27,Base!$A:$A,0)),0)))</f>
        <v>0</v>
      </c>
      <c r="F27" s="21">
        <f>IF(F$1&lt;INDEX('Valo FX'!$Q:$Q,MATCH($A27,'Valo FX'!$A:$A,0)),0,IF(F$1&lt;INDEX('Valo FX'!$R:$R,MATCH($A27,'Valo FX'!$A:$A,0)),INDEX(Base!$U:$U,MATCH($A27,Base!$A:$A,0)),IF(F$1=INDEX('Valo FX'!$R:$R,MATCH($A27,'Valo FX'!$A:$A,0)),INDEX(Base!$V:$V,MATCH($A27,Base!$A:$A,0)),0)))</f>
        <v>0</v>
      </c>
      <c r="G27" s="21">
        <f>IF(G$1&lt;INDEX('Valo FX'!$Q:$Q,MATCH($A27,'Valo FX'!$A:$A,0)),0,IF(G$1&lt;INDEX('Valo FX'!$R:$R,MATCH($A27,'Valo FX'!$A:$A,0)),INDEX(Base!$U:$U,MATCH($A27,Base!$A:$A,0)),IF(G$1=INDEX('Valo FX'!$R:$R,MATCH($A27,'Valo FX'!$A:$A,0)),INDEX(Base!$V:$V,MATCH($A27,Base!$A:$A,0)),0)))</f>
        <v>0</v>
      </c>
      <c r="H27" s="21">
        <f>IF(H$1&lt;INDEX('Valo FX'!$Q:$Q,MATCH($A27,'Valo FX'!$A:$A,0)),0,IF(H$1&lt;INDEX('Valo FX'!$R:$R,MATCH($A27,'Valo FX'!$A:$A,0)),INDEX(Base!$U:$U,MATCH($A27,Base!$A:$A,0)),IF(H$1=INDEX('Valo FX'!$R:$R,MATCH($A27,'Valo FX'!$A:$A,0)),INDEX(Base!$V:$V,MATCH($A27,Base!$A:$A,0)),0)))</f>
        <v>0</v>
      </c>
      <c r="I27" s="21">
        <f>IF(I$1&lt;INDEX('Valo FX'!$Q:$Q,MATCH($A27,'Valo FX'!$A:$A,0)),0,IF(I$1&lt;INDEX('Valo FX'!$R:$R,MATCH($A27,'Valo FX'!$A:$A,0)),INDEX(Base!$U:$U,MATCH($A27,Base!$A:$A,0)),IF(I$1=INDEX('Valo FX'!$R:$R,MATCH($A27,'Valo FX'!$A:$A,0)),INDEX(Base!$V:$V,MATCH($A27,Base!$A:$A,0)),0)))</f>
        <v>12.050424</v>
      </c>
      <c r="J27" s="21">
        <f>IF(J$1&lt;INDEX('Valo FX'!$Q:$Q,MATCH($A27,'Valo FX'!$A:$A,0)),0,IF(J$1&lt;INDEX('Valo FX'!$R:$R,MATCH($A27,'Valo FX'!$A:$A,0)),INDEX(Base!$U:$U,MATCH($A27,Base!$A:$A,0)),IF(J$1=INDEX('Valo FX'!$R:$R,MATCH($A27,'Valo FX'!$A:$A,0)),INDEX(Base!$V:$V,MATCH($A27,Base!$A:$A,0)),0)))</f>
        <v>12.050424</v>
      </c>
      <c r="K27" s="21">
        <f>IF(K$1&lt;INDEX('Valo FX'!$Q:$Q,MATCH($A27,'Valo FX'!$A:$A,0)),0,IF(K$1&lt;INDEX('Valo FX'!$R:$R,MATCH($A27,'Valo FX'!$A:$A,0)),INDEX(Base!$U:$U,MATCH($A27,Base!$A:$A,0)),IF(K$1=INDEX('Valo FX'!$R:$R,MATCH($A27,'Valo FX'!$A:$A,0)),INDEX(Base!$V:$V,MATCH($A27,Base!$A:$A,0)),0)))</f>
        <v>12.050424</v>
      </c>
      <c r="L27" s="21">
        <f>IF(L$1&lt;INDEX('Valo FX'!$Q:$Q,MATCH($A27,'Valo FX'!$A:$A,0)),0,IF(L$1&lt;INDEX('Valo FX'!$R:$R,MATCH($A27,'Valo FX'!$A:$A,0)),INDEX(Base!$U:$U,MATCH($A27,Base!$A:$A,0)),IF(L$1=INDEX('Valo FX'!$R:$R,MATCH($A27,'Valo FX'!$A:$A,0)),INDEX(Base!$V:$V,MATCH($A27,Base!$A:$A,0)),0)))</f>
        <v>12.050424</v>
      </c>
      <c r="M27" s="21">
        <f>IF(M$1&lt;INDEX('Valo FX'!$Q:$Q,MATCH($A27,'Valo FX'!$A:$A,0)),0,IF(M$1&lt;INDEX('Valo FX'!$R:$R,MATCH($A27,'Valo FX'!$A:$A,0)),INDEX(Base!$U:$U,MATCH($A27,Base!$A:$A,0)),IF(M$1=INDEX('Valo FX'!$R:$R,MATCH($A27,'Valo FX'!$A:$A,0)),INDEX(Base!$V:$V,MATCH($A27,Base!$A:$A,0)),0)))</f>
        <v>12.050424</v>
      </c>
      <c r="N27" s="21">
        <f>IF(N$1&lt;INDEX('Valo FX'!$Q:$Q,MATCH($A27,'Valo FX'!$A:$A,0)),0,IF(N$1&lt;INDEX('Valo FX'!$R:$R,MATCH($A27,'Valo FX'!$A:$A,0)),INDEX(Base!$U:$U,MATCH($A27,Base!$A:$A,0)),IF(N$1=INDEX('Valo FX'!$R:$R,MATCH($A27,'Valo FX'!$A:$A,0)),INDEX(Base!$V:$V,MATCH($A27,Base!$A:$A,0)),0)))</f>
        <v>12.050424</v>
      </c>
      <c r="O27" s="21">
        <f>IF(O$1&lt;INDEX('Valo FX'!$Q:$Q,MATCH($A27,'Valo FX'!$A:$A,0)),0,IF(O$1&lt;INDEX('Valo FX'!$R:$R,MATCH($A27,'Valo FX'!$A:$A,0)),INDEX(Base!$U:$U,MATCH($A27,Base!$A:$A,0)),IF(O$1=INDEX('Valo FX'!$R:$R,MATCH($A27,'Valo FX'!$A:$A,0)),INDEX(Base!$V:$V,MATCH($A27,Base!$A:$A,0)),0)))</f>
        <v>12.050424</v>
      </c>
      <c r="P27" s="21">
        <f>IF(P$1&lt;INDEX('Valo FX'!$Q:$Q,MATCH($A27,'Valo FX'!$A:$A,0)),0,IF(P$1&lt;INDEX('Valo FX'!$R:$R,MATCH($A27,'Valo FX'!$A:$A,0)),INDEX(Base!$U:$U,MATCH($A27,Base!$A:$A,0)),IF(P$1=INDEX('Valo FX'!$R:$R,MATCH($A27,'Valo FX'!$A:$A,0)),INDEX(Base!$V:$V,MATCH($A27,Base!$A:$A,0)),0)))</f>
        <v>12.050424</v>
      </c>
      <c r="Q27" s="21">
        <f>IF(Q$1&lt;INDEX('Valo FX'!$Q:$Q,MATCH($A27,'Valo FX'!$A:$A,0)),0,IF(Q$1&lt;INDEX('Valo FX'!$R:$R,MATCH($A27,'Valo FX'!$A:$A,0)),INDEX(Base!$U:$U,MATCH($A27,Base!$A:$A,0)),IF(Q$1=INDEX('Valo FX'!$R:$R,MATCH($A27,'Valo FX'!$A:$A,0)),INDEX(Base!$V:$V,MATCH($A27,Base!$A:$A,0)),0)))</f>
        <v>12.050424</v>
      </c>
      <c r="R27" s="21">
        <f>IF(R$1&lt;INDEX('Valo FX'!$Q:$Q,MATCH($A27,'Valo FX'!$A:$A,0)),0,IF(R$1&lt;INDEX('Valo FX'!$R:$R,MATCH($A27,'Valo FX'!$A:$A,0)),INDEX(Base!$U:$U,MATCH($A27,Base!$A:$A,0)),IF(R$1=INDEX('Valo FX'!$R:$R,MATCH($A27,'Valo FX'!$A:$A,0)),INDEX(Base!$V:$V,MATCH($A27,Base!$A:$A,0)),0)))</f>
        <v>12.050424</v>
      </c>
      <c r="S27" s="21">
        <f>IF(S$1&lt;INDEX('Valo FX'!$Q:$Q,MATCH($A27,'Valo FX'!$A:$A,0)),0,IF(S$1&lt;INDEX('Valo FX'!$R:$R,MATCH($A27,'Valo FX'!$A:$A,0)),INDEX(Base!$U:$U,MATCH($A27,Base!$A:$A,0)),IF(S$1=INDEX('Valo FX'!$R:$R,MATCH($A27,'Valo FX'!$A:$A,0)),INDEX(Base!$V:$V,MATCH($A27,Base!$A:$A,0)),0)))</f>
        <v>12.050424</v>
      </c>
      <c r="T27" s="21">
        <f>IF(T$1&lt;INDEX('Valo FX'!$Q:$Q,MATCH($A27,'Valo FX'!$A:$A,0)),0,IF(T$1&lt;INDEX('Valo FX'!$R:$R,MATCH($A27,'Valo FX'!$A:$A,0)),INDEX(Base!$U:$U,MATCH($A27,Base!$A:$A,0)),IF(T$1=INDEX('Valo FX'!$R:$R,MATCH($A27,'Valo FX'!$A:$A,0)),INDEX(Base!$V:$V,MATCH($A27,Base!$A:$A,0)),0)))</f>
        <v>12.050424</v>
      </c>
      <c r="U27" s="21">
        <f>IF(U$1&lt;INDEX('Valo FX'!$Q:$Q,MATCH($A27,'Valo FX'!$A:$A,0)),0,IF(U$1&lt;INDEX('Valo FX'!$R:$R,MATCH($A27,'Valo FX'!$A:$A,0)),INDEX(Base!$U:$U,MATCH($A27,Base!$A:$A,0)),IF(U$1=INDEX('Valo FX'!$R:$R,MATCH($A27,'Valo FX'!$A:$A,0)),INDEX(Base!$V:$V,MATCH($A27,Base!$A:$A,0)),0)))</f>
        <v>12.050424</v>
      </c>
      <c r="V27" s="21">
        <f>IF(V$1&lt;INDEX('Valo FX'!$Q:$Q,MATCH($A27,'Valo FX'!$A:$A,0)),0,IF(V$1&lt;INDEX('Valo FX'!$R:$R,MATCH($A27,'Valo FX'!$A:$A,0)),INDEX(Base!$U:$U,MATCH($A27,Base!$A:$A,0)),IF(V$1=INDEX('Valo FX'!$R:$R,MATCH($A27,'Valo FX'!$A:$A,0)),INDEX(Base!$V:$V,MATCH($A27,Base!$A:$A,0)),0)))</f>
        <v>12.050424</v>
      </c>
      <c r="W27" s="21">
        <f>IF(W$1&lt;INDEX('Valo FX'!$Q:$Q,MATCH($A27,'Valo FX'!$A:$A,0)),0,IF(W$1&lt;INDEX('Valo FX'!$R:$R,MATCH($A27,'Valo FX'!$A:$A,0)),INDEX(Base!$U:$U,MATCH($A27,Base!$A:$A,0)),IF(W$1=INDEX('Valo FX'!$R:$R,MATCH($A27,'Valo FX'!$A:$A,0)),INDEX(Base!$V:$V,MATCH($A27,Base!$A:$A,0)),0)))</f>
        <v>12.050424</v>
      </c>
      <c r="X27" s="21">
        <f>IF(X$1&lt;INDEX('Valo FX'!$Q:$Q,MATCH($A27,'Valo FX'!$A:$A,0)),0,IF(X$1&lt;INDEX('Valo FX'!$R:$R,MATCH($A27,'Valo FX'!$A:$A,0)),INDEX(Base!$U:$U,MATCH($A27,Base!$A:$A,0)),IF(X$1=INDEX('Valo FX'!$R:$R,MATCH($A27,'Valo FX'!$A:$A,0)),INDEX(Base!$V:$V,MATCH($A27,Base!$A:$A,0)),0)))</f>
        <v>12.050424</v>
      </c>
      <c r="Y27" s="21">
        <f>IF(Y$1&lt;INDEX('Valo FX'!$Q:$Q,MATCH($A27,'Valo FX'!$A:$A,0)),0,IF(Y$1&lt;INDEX('Valo FX'!$R:$R,MATCH($A27,'Valo FX'!$A:$A,0)),INDEX(Base!$U:$U,MATCH($A27,Base!$A:$A,0)),IF(Y$1=INDEX('Valo FX'!$R:$R,MATCH($A27,'Valo FX'!$A:$A,0)),INDEX(Base!$V:$V,MATCH($A27,Base!$A:$A,0)),0)))</f>
        <v>12.050424</v>
      </c>
      <c r="Z27" s="21">
        <f>IF(Z$1&lt;INDEX('Valo FX'!$Q:$Q,MATCH($A27,'Valo FX'!$A:$A,0)),0,IF(Z$1&lt;INDEX('Valo FX'!$R:$R,MATCH($A27,'Valo FX'!$A:$A,0)),INDEX(Base!$U:$U,MATCH($A27,Base!$A:$A,0)),IF(Z$1=INDEX('Valo FX'!$R:$R,MATCH($A27,'Valo FX'!$A:$A,0)),INDEX(Base!$V:$V,MATCH($A27,Base!$A:$A,0)),0)))</f>
        <v>12.050424</v>
      </c>
      <c r="AA27" s="21">
        <f>IF(AA$1&lt;INDEX('Valo FX'!$Q:$Q,MATCH($A27,'Valo FX'!$A:$A,0)),0,IF(AA$1&lt;INDEX('Valo FX'!$R:$R,MATCH($A27,'Valo FX'!$A:$A,0)),INDEX(Base!$U:$U,MATCH($A27,Base!$A:$A,0)),IF(AA$1=INDEX('Valo FX'!$R:$R,MATCH($A27,'Valo FX'!$A:$A,0)),INDEX(Base!$V:$V,MATCH($A27,Base!$A:$A,0)),0)))</f>
        <v>12.050424</v>
      </c>
      <c r="AB27" s="21">
        <f>IF(AB$1&lt;INDEX('Valo FX'!$Q:$Q,MATCH($A27,'Valo FX'!$A:$A,0)),0,IF(AB$1&lt;INDEX('Valo FX'!$R:$R,MATCH($A27,'Valo FX'!$A:$A,0)),INDEX(Base!$U:$U,MATCH($A27,Base!$A:$A,0)),IF(AB$1=INDEX('Valo FX'!$R:$R,MATCH($A27,'Valo FX'!$A:$A,0)),INDEX(Base!$V:$V,MATCH($A27,Base!$A:$A,0)),0)))</f>
        <v>12.050424</v>
      </c>
      <c r="AC27" s="21">
        <f>IF(AC$1&lt;INDEX('Valo FX'!$Q:$Q,MATCH($A27,'Valo FX'!$A:$A,0)),0,IF(AC$1&lt;INDEX('Valo FX'!$R:$R,MATCH($A27,'Valo FX'!$A:$A,0)),INDEX(Base!$U:$U,MATCH($A27,Base!$A:$A,0)),IF(AC$1=INDEX('Valo FX'!$R:$R,MATCH($A27,'Valo FX'!$A:$A,0)),INDEX(Base!$V:$V,MATCH($A27,Base!$A:$A,0)),0)))</f>
        <v>12.050424</v>
      </c>
      <c r="AD27" s="21">
        <f>IF(AD$1&lt;INDEX('Valo FX'!$Q:$Q,MATCH($A27,'Valo FX'!$A:$A,0)),0,IF(AD$1&lt;INDEX('Valo FX'!$R:$R,MATCH($A27,'Valo FX'!$A:$A,0)),INDEX(Base!$U:$U,MATCH($A27,Base!$A:$A,0)),IF(AD$1=INDEX('Valo FX'!$R:$R,MATCH($A27,'Valo FX'!$A:$A,0)),INDEX(Base!$V:$V,MATCH($A27,Base!$A:$A,0)),0)))</f>
        <v>12.050424</v>
      </c>
      <c r="AE27" s="21">
        <f>IF(AE$1&lt;INDEX('Valo FX'!$Q:$Q,MATCH($A27,'Valo FX'!$A:$A,0)),0,IF(AE$1&lt;INDEX('Valo FX'!$R:$R,MATCH($A27,'Valo FX'!$A:$A,0)),INDEX(Base!$U:$U,MATCH($A27,Base!$A:$A,0)),IF(AE$1=INDEX('Valo FX'!$R:$R,MATCH($A27,'Valo FX'!$A:$A,0)),INDEX(Base!$V:$V,MATCH($A27,Base!$A:$A,0)),0)))</f>
        <v>12.050424</v>
      </c>
      <c r="AF27" s="21">
        <f>IF(AF$1&lt;INDEX('Valo FX'!$Q:$Q,MATCH($A27,'Valo FX'!$A:$A,0)),0,IF(AF$1&lt;INDEX('Valo FX'!$R:$R,MATCH($A27,'Valo FX'!$A:$A,0)),INDEX(Base!$U:$U,MATCH($A27,Base!$A:$A,0)),IF(AF$1=INDEX('Valo FX'!$R:$R,MATCH($A27,'Valo FX'!$A:$A,0)),INDEX(Base!$V:$V,MATCH($A27,Base!$A:$A,0)),0)))</f>
        <v>12.050424</v>
      </c>
      <c r="AG27" s="21">
        <f>IF(AG$1&lt;INDEX('Valo FX'!$Q:$Q,MATCH($A27,'Valo FX'!$A:$A,0)),0,IF(AG$1&lt;INDEX('Valo FX'!$R:$R,MATCH($A27,'Valo FX'!$A:$A,0)),INDEX(Base!$U:$U,MATCH($A27,Base!$A:$A,0)),IF(AG$1=INDEX('Valo FX'!$R:$R,MATCH($A27,'Valo FX'!$A:$A,0)),INDEX(Base!$V:$V,MATCH($A27,Base!$A:$A,0)),0)))</f>
        <v>12.050424</v>
      </c>
      <c r="AH27" s="21">
        <f>IF(AH$1&lt;INDEX('Valo FX'!$Q:$Q,MATCH($A27,'Valo FX'!$A:$A,0)),0,IF(AH$1&lt;INDEX('Valo FX'!$R:$R,MATCH($A27,'Valo FX'!$A:$A,0)),INDEX(Base!$U:$U,MATCH($A27,Base!$A:$A,0)),IF(AH$1=INDEX('Valo FX'!$R:$R,MATCH($A27,'Valo FX'!$A:$A,0)),INDEX(Base!$V:$V,MATCH($A27,Base!$A:$A,0)),0)))</f>
        <v>12.050424</v>
      </c>
      <c r="AI27" s="21">
        <f>IF(AI$1&lt;INDEX('Valo FX'!$Q:$Q,MATCH($A27,'Valo FX'!$A:$A,0)),0,IF(AI$1&lt;INDEX('Valo FX'!$R:$R,MATCH($A27,'Valo FX'!$A:$A,0)),INDEX(Base!$U:$U,MATCH($A27,Base!$A:$A,0)),IF(AI$1=INDEX('Valo FX'!$R:$R,MATCH($A27,'Valo FX'!$A:$A,0)),INDEX(Base!$V:$V,MATCH($A27,Base!$A:$A,0)),0)))</f>
        <v>12.050424</v>
      </c>
      <c r="AJ27" s="21">
        <f>IF(AJ$1&lt;INDEX('Valo FX'!$Q:$Q,MATCH($A27,'Valo FX'!$A:$A,0)),0,IF(AJ$1&lt;INDEX('Valo FX'!$R:$R,MATCH($A27,'Valo FX'!$A:$A,0)),INDEX(Base!$U:$U,MATCH($A27,Base!$A:$A,0)),IF(AJ$1=INDEX('Valo FX'!$R:$R,MATCH($A27,'Valo FX'!$A:$A,0)),INDEX(Base!$V:$V,MATCH($A27,Base!$A:$A,0)),0)))</f>
        <v>12.050424</v>
      </c>
      <c r="AK27" s="21">
        <f>IF(AK$1&lt;INDEX('Valo FX'!$Q:$Q,MATCH($A27,'Valo FX'!$A:$A,0)),0,IF(AK$1&lt;INDEX('Valo FX'!$R:$R,MATCH($A27,'Valo FX'!$A:$A,0)),INDEX(Base!$U:$U,MATCH($A27,Base!$A:$A,0)),IF(AK$1=INDEX('Valo FX'!$R:$R,MATCH($A27,'Valo FX'!$A:$A,0)),INDEX(Base!$V:$V,MATCH($A27,Base!$A:$A,0)),0)))</f>
        <v>12.050424</v>
      </c>
      <c r="AL27" s="21">
        <f>IF(AL$1&lt;INDEX('Valo FX'!$Q:$Q,MATCH($A27,'Valo FX'!$A:$A,0)),0,IF(AL$1&lt;INDEX('Valo FX'!$R:$R,MATCH($A27,'Valo FX'!$A:$A,0)),INDEX(Base!$U:$U,MATCH($A27,Base!$A:$A,0)),IF(AL$1=INDEX('Valo FX'!$R:$R,MATCH($A27,'Valo FX'!$A:$A,0)),INDEX(Base!$V:$V,MATCH($A27,Base!$A:$A,0)),0)))</f>
        <v>12.050424</v>
      </c>
      <c r="AM27" s="21">
        <f>IF(AM$1&lt;INDEX('Valo FX'!$Q:$Q,MATCH($A27,'Valo FX'!$A:$A,0)),0,IF(AM$1&lt;INDEX('Valo FX'!$R:$R,MATCH($A27,'Valo FX'!$A:$A,0)),INDEX(Base!$U:$U,MATCH($A27,Base!$A:$A,0)),IF(AM$1=INDEX('Valo FX'!$R:$R,MATCH($A27,'Valo FX'!$A:$A,0)),INDEX(Base!$V:$V,MATCH($A27,Base!$A:$A,0)),0)))</f>
        <v>12.050424</v>
      </c>
      <c r="AN27" s="21">
        <f>IF(AN$1&lt;INDEX('Valo FX'!$Q:$Q,MATCH($A27,'Valo FX'!$A:$A,0)),0,IF(AN$1&lt;INDEX('Valo FX'!$R:$R,MATCH($A27,'Valo FX'!$A:$A,0)),INDEX(Base!$U:$U,MATCH($A27,Base!$A:$A,0)),IF(AN$1=INDEX('Valo FX'!$R:$R,MATCH($A27,'Valo FX'!$A:$A,0)),INDEX(Base!$V:$V,MATCH($A27,Base!$A:$A,0)),0)))</f>
        <v>12.050424</v>
      </c>
      <c r="AO27" s="21">
        <f>IF(AO$1&lt;INDEX('Valo FX'!$Q:$Q,MATCH($A27,'Valo FX'!$A:$A,0)),0,IF(AO$1&lt;INDEX('Valo FX'!$R:$R,MATCH($A27,'Valo FX'!$A:$A,0)),INDEX(Base!$U:$U,MATCH($A27,Base!$A:$A,0)),IF(AO$1=INDEX('Valo FX'!$R:$R,MATCH($A27,'Valo FX'!$A:$A,0)),INDEX(Base!$V:$V,MATCH($A27,Base!$A:$A,0)),0)))</f>
        <v>12.050424</v>
      </c>
      <c r="AP27" s="21">
        <f>IF(AP$1&lt;INDEX('Valo FX'!$Q:$Q,MATCH($A27,'Valo FX'!$A:$A,0)),0,IF(AP$1&lt;INDEX('Valo FX'!$R:$R,MATCH($A27,'Valo FX'!$A:$A,0)),INDEX(Base!$U:$U,MATCH($A27,Base!$A:$A,0)),IF(AP$1=INDEX('Valo FX'!$R:$R,MATCH($A27,'Valo FX'!$A:$A,0)),INDEX(Base!$V:$V,MATCH($A27,Base!$A:$A,0)),0)))</f>
        <v>12.050424</v>
      </c>
      <c r="AQ27" s="21">
        <f>IF(AQ$1&lt;INDEX('Valo FX'!$Q:$Q,MATCH($A27,'Valo FX'!$A:$A,0)),0,IF(AQ$1&lt;INDEX('Valo FX'!$R:$R,MATCH($A27,'Valo FX'!$A:$A,0)),INDEX(Base!$U:$U,MATCH($A27,Base!$A:$A,0)),IF(AQ$1=INDEX('Valo FX'!$R:$R,MATCH($A27,'Valo FX'!$A:$A,0)),INDEX(Base!$V:$V,MATCH($A27,Base!$A:$A,0)),0)))</f>
        <v>12.050424</v>
      </c>
      <c r="AR27" s="21">
        <f>IF(AR$1&lt;INDEX('Valo FX'!$Q:$Q,MATCH($A27,'Valo FX'!$A:$A,0)),0,IF(AR$1&lt;INDEX('Valo FX'!$R:$R,MATCH($A27,'Valo FX'!$A:$A,0)),INDEX(Base!$U:$U,MATCH($A27,Base!$A:$A,0)),IF(AR$1=INDEX('Valo FX'!$R:$R,MATCH($A27,'Valo FX'!$A:$A,0)),INDEX(Base!$V:$V,MATCH($A27,Base!$A:$A,0)),0)))</f>
        <v>12.050424</v>
      </c>
      <c r="AS27" s="21">
        <f>IF(AS$1&lt;INDEX('Valo FX'!$Q:$Q,MATCH($A27,'Valo FX'!$A:$A,0)),0,IF(AS$1&lt;INDEX('Valo FX'!$R:$R,MATCH($A27,'Valo FX'!$A:$A,0)),INDEX(Base!$U:$U,MATCH($A27,Base!$A:$A,0)),IF(AS$1=INDEX('Valo FX'!$R:$R,MATCH($A27,'Valo FX'!$A:$A,0)),INDEX(Base!$V:$V,MATCH($A27,Base!$A:$A,0)),0)))</f>
        <v>12.050424</v>
      </c>
      <c r="AT27" s="21">
        <f>IF(AT$1&lt;INDEX('Valo FX'!$Q:$Q,MATCH($A27,'Valo FX'!$A:$A,0)),0,IF(AT$1&lt;INDEX('Valo FX'!$R:$R,MATCH($A27,'Valo FX'!$A:$A,0)),INDEX(Base!$U:$U,MATCH($A27,Base!$A:$A,0)),IF(AT$1=INDEX('Valo FX'!$R:$R,MATCH($A27,'Valo FX'!$A:$A,0)),INDEX(Base!$V:$V,MATCH($A27,Base!$A:$A,0)),0)))</f>
        <v>12.050424</v>
      </c>
      <c r="AU27" s="21">
        <f>IF(AU$1&lt;INDEX('Valo FX'!$Q:$Q,MATCH($A27,'Valo FX'!$A:$A,0)),0,IF(AU$1&lt;INDEX('Valo FX'!$R:$R,MATCH($A27,'Valo FX'!$A:$A,0)),INDEX(Base!$U:$U,MATCH($A27,Base!$A:$A,0)),IF(AU$1=INDEX('Valo FX'!$R:$R,MATCH($A27,'Valo FX'!$A:$A,0)),INDEX(Base!$V:$V,MATCH($A27,Base!$A:$A,0)),0)))</f>
        <v>12.050424</v>
      </c>
      <c r="AV27" s="21">
        <f>IF(AV$1&lt;INDEX('Valo FX'!$Q:$Q,MATCH($A27,'Valo FX'!$A:$A,0)),0,IF(AV$1&lt;INDEX('Valo FX'!$R:$R,MATCH($A27,'Valo FX'!$A:$A,0)),INDEX(Base!$U:$U,MATCH($A27,Base!$A:$A,0)),IF(AV$1=INDEX('Valo FX'!$R:$R,MATCH($A27,'Valo FX'!$A:$A,0)),INDEX(Base!$V:$V,MATCH($A27,Base!$A:$A,0)),0)))</f>
        <v>12.050424</v>
      </c>
      <c r="AW27" s="21">
        <f>IF(AW$1&lt;INDEX('Valo FX'!$Q:$Q,MATCH($A27,'Valo FX'!$A:$A,0)),0,IF(AW$1&lt;INDEX('Valo FX'!$R:$R,MATCH($A27,'Valo FX'!$A:$A,0)),INDEX(Base!$U:$U,MATCH($A27,Base!$A:$A,0)),IF(AW$1=INDEX('Valo FX'!$R:$R,MATCH($A27,'Valo FX'!$A:$A,0)),INDEX(Base!$V:$V,MATCH($A27,Base!$A:$A,0)),0)))</f>
        <v>12.050424</v>
      </c>
      <c r="AX27" s="21">
        <f>IF(AX$1&lt;INDEX('Valo FX'!$Q:$Q,MATCH($A27,'Valo FX'!$A:$A,0)),0,IF(AX$1&lt;INDEX('Valo FX'!$R:$R,MATCH($A27,'Valo FX'!$A:$A,0)),INDEX(Base!$U:$U,MATCH($A27,Base!$A:$A,0)),IF(AX$1=INDEX('Valo FX'!$R:$R,MATCH($A27,'Valo FX'!$A:$A,0)),INDEX(Base!$V:$V,MATCH($A27,Base!$A:$A,0)),0)))</f>
        <v>12.050424</v>
      </c>
      <c r="AY27" s="21">
        <f>IF(AY$1&lt;INDEX('Valo FX'!$Q:$Q,MATCH($A27,'Valo FX'!$A:$A,0)),0,IF(AY$1&lt;INDEX('Valo FX'!$R:$R,MATCH($A27,'Valo FX'!$A:$A,0)),INDEX(Base!$U:$U,MATCH($A27,Base!$A:$A,0)),IF(AY$1=INDEX('Valo FX'!$R:$R,MATCH($A27,'Valo FX'!$A:$A,0)),INDEX(Base!$V:$V,MATCH($A27,Base!$A:$A,0)),0)))</f>
        <v>12.050424</v>
      </c>
      <c r="AZ27" s="21">
        <f>IF(AZ$1&lt;INDEX('Valo FX'!$Q:$Q,MATCH($A27,'Valo FX'!$A:$A,0)),0,IF(AZ$1&lt;INDEX('Valo FX'!$R:$R,MATCH($A27,'Valo FX'!$A:$A,0)),INDEX(Base!$U:$U,MATCH($A27,Base!$A:$A,0)),IF(AZ$1=INDEX('Valo FX'!$R:$R,MATCH($A27,'Valo FX'!$A:$A,0)),INDEX(Base!$V:$V,MATCH($A27,Base!$A:$A,0)),0)))</f>
        <v>12.050424</v>
      </c>
      <c r="BA27" s="21">
        <f>IF(BA$1&lt;INDEX('Valo FX'!$Q:$Q,MATCH($A27,'Valo FX'!$A:$A,0)),0,IF(BA$1&lt;INDEX('Valo FX'!$R:$R,MATCH($A27,'Valo FX'!$A:$A,0)),INDEX(Base!$U:$U,MATCH($A27,Base!$A:$A,0)),IF(BA$1=INDEX('Valo FX'!$R:$R,MATCH($A27,'Valo FX'!$A:$A,0)),INDEX(Base!$V:$V,MATCH($A27,Base!$A:$A,0)),0)))</f>
        <v>12.050424</v>
      </c>
      <c r="BB27" s="21">
        <f>IF(BB$1&lt;INDEX('Valo FX'!$Q:$Q,MATCH($A27,'Valo FX'!$A:$A,0)),0,IF(BB$1&lt;INDEX('Valo FX'!$R:$R,MATCH($A27,'Valo FX'!$A:$A,0)),INDEX(Base!$U:$U,MATCH($A27,Base!$A:$A,0)),IF(BB$1=INDEX('Valo FX'!$R:$R,MATCH($A27,'Valo FX'!$A:$A,0)),INDEX(Base!$V:$V,MATCH($A27,Base!$A:$A,0)),0)))</f>
        <v>12.050424</v>
      </c>
      <c r="BC27" s="21">
        <f>IF(BC$1&lt;INDEX('Valo FX'!$Q:$Q,MATCH($A27,'Valo FX'!$A:$A,0)),0,IF(BC$1&lt;INDEX('Valo FX'!$R:$R,MATCH($A27,'Valo FX'!$A:$A,0)),INDEX(Base!$U:$U,MATCH($A27,Base!$A:$A,0)),IF(BC$1=INDEX('Valo FX'!$R:$R,MATCH($A27,'Valo FX'!$A:$A,0)),INDEX(Base!$V:$V,MATCH($A27,Base!$A:$A,0)),0)))</f>
        <v>12.050424</v>
      </c>
      <c r="BD27" s="21">
        <f>IF(BD$1&lt;INDEX('Valo FX'!$Q:$Q,MATCH($A27,'Valo FX'!$A:$A,0)),0,IF(BD$1&lt;INDEX('Valo FX'!$R:$R,MATCH($A27,'Valo FX'!$A:$A,0)),INDEX(Base!$U:$U,MATCH($A27,Base!$A:$A,0)),IF(BD$1=INDEX('Valo FX'!$R:$R,MATCH($A27,'Valo FX'!$A:$A,0)),INDEX(Base!$V:$V,MATCH($A27,Base!$A:$A,0)),0)))</f>
        <v>12.050424</v>
      </c>
      <c r="BE27" s="21">
        <f>IF(BE$1&lt;INDEX('Valo FX'!$Q:$Q,MATCH($A27,'Valo FX'!$A:$A,0)),0,IF(BE$1&lt;INDEX('Valo FX'!$R:$R,MATCH($A27,'Valo FX'!$A:$A,0)),INDEX(Base!$U:$U,MATCH($A27,Base!$A:$A,0)),IF(BE$1=INDEX('Valo FX'!$R:$R,MATCH($A27,'Valo FX'!$A:$A,0)),INDEX(Base!$V:$V,MATCH($A27,Base!$A:$A,0)),0)))</f>
        <v>12.050424</v>
      </c>
      <c r="BF27" s="21">
        <f>IF(BF$1&lt;INDEX('Valo FX'!$Q:$Q,MATCH($A27,'Valo FX'!$A:$A,0)),0,IF(BF$1&lt;INDEX('Valo FX'!$R:$R,MATCH($A27,'Valo FX'!$A:$A,0)),INDEX(Base!$U:$U,MATCH($A27,Base!$A:$A,0)),IF(BF$1=INDEX('Valo FX'!$R:$R,MATCH($A27,'Valo FX'!$A:$A,0)),INDEX(Base!$V:$V,MATCH($A27,Base!$A:$A,0)),0)))</f>
        <v>12.050424</v>
      </c>
      <c r="BG27" s="21">
        <f>IF(BG$1&lt;INDEX('Valo FX'!$Q:$Q,MATCH($A27,'Valo FX'!$A:$A,0)),0,IF(BG$1&lt;INDEX('Valo FX'!$R:$R,MATCH($A27,'Valo FX'!$A:$A,0)),INDEX(Base!$U:$U,MATCH($A27,Base!$A:$A,0)),IF(BG$1=INDEX('Valo FX'!$R:$R,MATCH($A27,'Valo FX'!$A:$A,0)),INDEX(Base!$V:$V,MATCH($A27,Base!$A:$A,0)),0)))</f>
        <v>12.050424</v>
      </c>
      <c r="BH27" s="21">
        <f>IF(BH$1&lt;INDEX('Valo FX'!$Q:$Q,MATCH($A27,'Valo FX'!$A:$A,0)),0,IF(BH$1&lt;INDEX('Valo FX'!$R:$R,MATCH($A27,'Valo FX'!$A:$A,0)),INDEX(Base!$U:$U,MATCH($A27,Base!$A:$A,0)),IF(BH$1=INDEX('Valo FX'!$R:$R,MATCH($A27,'Valo FX'!$A:$A,0)),INDEX(Base!$V:$V,MATCH($A27,Base!$A:$A,0)),0)))</f>
        <v>12.050424</v>
      </c>
      <c r="BI27" s="21">
        <f>IF(BI$1&lt;INDEX('Valo FX'!$Q:$Q,MATCH($A27,'Valo FX'!$A:$A,0)),0,IF(BI$1&lt;INDEX('Valo FX'!$R:$R,MATCH($A27,'Valo FX'!$A:$A,0)),INDEX(Base!$U:$U,MATCH($A27,Base!$A:$A,0)),IF(BI$1=INDEX('Valo FX'!$R:$R,MATCH($A27,'Valo FX'!$A:$A,0)),INDEX(Base!$V:$V,MATCH($A27,Base!$A:$A,0)),0)))</f>
        <v>12.050424</v>
      </c>
      <c r="BJ27" s="21">
        <f>IF(BJ$1&lt;INDEX('Valo FX'!$Q:$Q,MATCH($A27,'Valo FX'!$A:$A,0)),0,IF(BJ$1&lt;INDEX('Valo FX'!$R:$R,MATCH($A27,'Valo FX'!$A:$A,0)),INDEX(Base!$U:$U,MATCH($A27,Base!$A:$A,0)),IF(BJ$1=INDEX('Valo FX'!$R:$R,MATCH($A27,'Valo FX'!$A:$A,0)),INDEX(Base!$V:$V,MATCH($A27,Base!$A:$A,0)),0)))</f>
        <v>12.050424</v>
      </c>
      <c r="BK27" s="21">
        <f>IF(BK$1&lt;INDEX('Valo FX'!$Q:$Q,MATCH($A27,'Valo FX'!$A:$A,0)),0,IF(BK$1&lt;INDEX('Valo FX'!$R:$R,MATCH($A27,'Valo FX'!$A:$A,0)),INDEX(Base!$U:$U,MATCH($A27,Base!$A:$A,0)),IF(BK$1=INDEX('Valo FX'!$R:$R,MATCH($A27,'Valo FX'!$A:$A,0)),INDEX(Base!$V:$V,MATCH($A27,Base!$A:$A,0)),0)))</f>
        <v>12.050424</v>
      </c>
      <c r="BL27" s="21">
        <f>IF(BL$1&lt;INDEX('Valo FX'!$Q:$Q,MATCH($A27,'Valo FX'!$A:$A,0)),0,IF(BL$1&lt;INDEX('Valo FX'!$R:$R,MATCH($A27,'Valo FX'!$A:$A,0)),INDEX(Base!$U:$U,MATCH($A27,Base!$A:$A,0)),IF(BL$1=INDEX('Valo FX'!$R:$R,MATCH($A27,'Valo FX'!$A:$A,0)),INDEX(Base!$V:$V,MATCH($A27,Base!$A:$A,0)),0)))</f>
        <v>12.050424</v>
      </c>
      <c r="BM27" s="21">
        <f>IF(BM$1&lt;INDEX('Valo FX'!$Q:$Q,MATCH($A27,'Valo FX'!$A:$A,0)),0,IF(BM$1&lt;INDEX('Valo FX'!$R:$R,MATCH($A27,'Valo FX'!$A:$A,0)),INDEX(Base!$U:$U,MATCH($A27,Base!$A:$A,0)),IF(BM$1=INDEX('Valo FX'!$R:$R,MATCH($A27,'Valo FX'!$A:$A,0)),INDEX(Base!$V:$V,MATCH($A27,Base!$A:$A,0)),0)))</f>
        <v>12.050424</v>
      </c>
      <c r="BN27" s="21">
        <f>IF(BN$1&lt;INDEX('Valo FX'!$Q:$Q,MATCH($A27,'Valo FX'!$A:$A,0)),0,IF(BN$1&lt;INDEX('Valo FX'!$R:$R,MATCH($A27,'Valo FX'!$A:$A,0)),INDEX(Base!$U:$U,MATCH($A27,Base!$A:$A,0)),IF(BN$1=INDEX('Valo FX'!$R:$R,MATCH($A27,'Valo FX'!$A:$A,0)),INDEX(Base!$V:$V,MATCH($A27,Base!$A:$A,0)),0)))</f>
        <v>12.050424</v>
      </c>
      <c r="BO27" s="21">
        <f>IF(BO$1&lt;INDEX('Valo FX'!$Q:$Q,MATCH($A27,'Valo FX'!$A:$A,0)),0,IF(BO$1&lt;INDEX('Valo FX'!$R:$R,MATCH($A27,'Valo FX'!$A:$A,0)),INDEX(Base!$U:$U,MATCH($A27,Base!$A:$A,0)),IF(BO$1=INDEX('Valo FX'!$R:$R,MATCH($A27,'Valo FX'!$A:$A,0)),INDEX(Base!$V:$V,MATCH($A27,Base!$A:$A,0)),0)))</f>
        <v>12.050424</v>
      </c>
      <c r="BP27" s="21">
        <f>IF(BP$1&lt;INDEX('Valo FX'!$Q:$Q,MATCH($A27,'Valo FX'!$A:$A,0)),0,IF(BP$1&lt;INDEX('Valo FX'!$R:$R,MATCH($A27,'Valo FX'!$A:$A,0)),INDEX(Base!$U:$U,MATCH($A27,Base!$A:$A,0)),IF(BP$1=INDEX('Valo FX'!$R:$R,MATCH($A27,'Valo FX'!$A:$A,0)),INDEX(Base!$V:$V,MATCH($A27,Base!$A:$A,0)),0)))</f>
        <v>12.050424</v>
      </c>
      <c r="BQ27" s="21">
        <f>IF(BQ$1&lt;INDEX('Valo FX'!$Q:$Q,MATCH($A27,'Valo FX'!$A:$A,0)),0,IF(BQ$1&lt;INDEX('Valo FX'!$R:$R,MATCH($A27,'Valo FX'!$A:$A,0)),INDEX(Base!$U:$U,MATCH($A27,Base!$A:$A,0)),IF(BQ$1=INDEX('Valo FX'!$R:$R,MATCH($A27,'Valo FX'!$A:$A,0)),INDEX(Base!$V:$V,MATCH($A27,Base!$A:$A,0)),0)))</f>
        <v>12.050424</v>
      </c>
      <c r="BR27" s="21">
        <f>IF(BR$1&lt;INDEX('Valo FX'!$Q:$Q,MATCH($A27,'Valo FX'!$A:$A,0)),0,IF(BR$1&lt;INDEX('Valo FX'!$R:$R,MATCH($A27,'Valo FX'!$A:$A,0)),INDEX(Base!$U:$U,MATCH($A27,Base!$A:$A,0)),IF(BR$1=INDEX('Valo FX'!$R:$R,MATCH($A27,'Valo FX'!$A:$A,0)),INDEX(Base!$V:$V,MATCH($A27,Base!$A:$A,0)),0)))</f>
        <v>12.050424</v>
      </c>
      <c r="BS27" s="21">
        <f>IF(BS$1&lt;INDEX('Valo FX'!$Q:$Q,MATCH($A27,'Valo FX'!$A:$A,0)),0,IF(BS$1&lt;INDEX('Valo FX'!$R:$R,MATCH($A27,'Valo FX'!$A:$A,0)),INDEX(Base!$U:$U,MATCH($A27,Base!$A:$A,0)),IF(BS$1=INDEX('Valo FX'!$R:$R,MATCH($A27,'Valo FX'!$A:$A,0)),INDEX(Base!$V:$V,MATCH($A27,Base!$A:$A,0)),0)))</f>
        <v>12.050424</v>
      </c>
      <c r="BT27" s="21">
        <f>IF(BT$1&lt;INDEX('Valo FX'!$Q:$Q,MATCH($A27,'Valo FX'!$A:$A,0)),0,IF(BT$1&lt;INDEX('Valo FX'!$R:$R,MATCH($A27,'Valo FX'!$A:$A,0)),INDEX(Base!$U:$U,MATCH($A27,Base!$A:$A,0)),IF(BT$1=INDEX('Valo FX'!$R:$R,MATCH($A27,'Valo FX'!$A:$A,0)),INDEX(Base!$V:$V,MATCH($A27,Base!$A:$A,0)),0)))</f>
        <v>12.050424</v>
      </c>
      <c r="BU27" s="21">
        <f>IF(BU$1&lt;INDEX('Valo FX'!$Q:$Q,MATCH($A27,'Valo FX'!$A:$A,0)),0,IF(BU$1&lt;INDEX('Valo FX'!$R:$R,MATCH($A27,'Valo FX'!$A:$A,0)),INDEX(Base!$U:$U,MATCH($A27,Base!$A:$A,0)),IF(BU$1=INDEX('Valo FX'!$R:$R,MATCH($A27,'Valo FX'!$A:$A,0)),INDEX(Base!$V:$V,MATCH($A27,Base!$A:$A,0)),0)))</f>
        <v>12.050424</v>
      </c>
      <c r="BV27" s="21">
        <f>IF(BV$1&lt;INDEX('Valo FX'!$Q:$Q,MATCH($A27,'Valo FX'!$A:$A,0)),0,IF(BV$1&lt;INDEX('Valo FX'!$R:$R,MATCH($A27,'Valo FX'!$A:$A,0)),INDEX(Base!$U:$U,MATCH($A27,Base!$A:$A,0)),IF(BV$1=INDEX('Valo FX'!$R:$R,MATCH($A27,'Valo FX'!$A:$A,0)),INDEX(Base!$V:$V,MATCH($A27,Base!$A:$A,0)),0)))</f>
        <v>12.050424</v>
      </c>
      <c r="BW27" s="21">
        <f>IF(BW$1&lt;INDEX('Valo FX'!$Q:$Q,MATCH($A27,'Valo FX'!$A:$A,0)),0,IF(BW$1&lt;INDEX('Valo FX'!$R:$R,MATCH($A27,'Valo FX'!$A:$A,0)),INDEX(Base!$U:$U,MATCH($A27,Base!$A:$A,0)),IF(BW$1=INDEX('Valo FX'!$R:$R,MATCH($A27,'Valo FX'!$A:$A,0)),INDEX(Base!$V:$V,MATCH($A27,Base!$A:$A,0)),0)))</f>
        <v>12.050424</v>
      </c>
      <c r="BX27" s="21">
        <f>IF(BX$1&lt;INDEX('Valo FX'!$Q:$Q,MATCH($A27,'Valo FX'!$A:$A,0)),0,IF(BX$1&lt;INDEX('Valo FX'!$R:$R,MATCH($A27,'Valo FX'!$A:$A,0)),INDEX(Base!$U:$U,MATCH($A27,Base!$A:$A,0)),IF(BX$1=INDEX('Valo FX'!$R:$R,MATCH($A27,'Valo FX'!$A:$A,0)),INDEX(Base!$V:$V,MATCH($A27,Base!$A:$A,0)),0)))</f>
        <v>12.050424</v>
      </c>
      <c r="BY27" s="21">
        <f>IF(BY$1&lt;INDEX('Valo FX'!$Q:$Q,MATCH($A27,'Valo FX'!$A:$A,0)),0,IF(BY$1&lt;INDEX('Valo FX'!$R:$R,MATCH($A27,'Valo FX'!$A:$A,0)),INDEX(Base!$U:$U,MATCH($A27,Base!$A:$A,0)),IF(BY$1=INDEX('Valo FX'!$R:$R,MATCH($A27,'Valo FX'!$A:$A,0)),INDEX(Base!$V:$V,MATCH($A27,Base!$A:$A,0)),0)))</f>
        <v>12.050424</v>
      </c>
      <c r="BZ27" s="21">
        <f>IF(BZ$1&lt;INDEX('Valo FX'!$Q:$Q,MATCH($A27,'Valo FX'!$A:$A,0)),0,IF(BZ$1&lt;INDEX('Valo FX'!$R:$R,MATCH($A27,'Valo FX'!$A:$A,0)),INDEX(Base!$U:$U,MATCH($A27,Base!$A:$A,0)),IF(BZ$1=INDEX('Valo FX'!$R:$R,MATCH($A27,'Valo FX'!$A:$A,0)),INDEX(Base!$V:$V,MATCH($A27,Base!$A:$A,0)),0)))</f>
        <v>12.050424</v>
      </c>
      <c r="CA27" s="21">
        <f>IF(CA$1&lt;INDEX('Valo FX'!$Q:$Q,MATCH($A27,'Valo FX'!$A:$A,0)),0,IF(CA$1&lt;INDEX('Valo FX'!$R:$R,MATCH($A27,'Valo FX'!$A:$A,0)),INDEX(Base!$U:$U,MATCH($A27,Base!$A:$A,0)),IF(CA$1=INDEX('Valo FX'!$R:$R,MATCH($A27,'Valo FX'!$A:$A,0)),INDEX(Base!$V:$V,MATCH($A27,Base!$A:$A,0)),0)))</f>
        <v>12.050424</v>
      </c>
      <c r="CB27" s="21">
        <f>IF(CB$1&lt;INDEX('Valo FX'!$Q:$Q,MATCH($A27,'Valo FX'!$A:$A,0)),0,IF(CB$1&lt;INDEX('Valo FX'!$R:$R,MATCH($A27,'Valo FX'!$A:$A,0)),INDEX(Base!$U:$U,MATCH($A27,Base!$A:$A,0)),IF(CB$1=INDEX('Valo FX'!$R:$R,MATCH($A27,'Valo FX'!$A:$A,0)),INDEX(Base!$V:$V,MATCH($A27,Base!$A:$A,0)),0)))</f>
        <v>12.050424</v>
      </c>
      <c r="CC27" s="21">
        <f>IF(CC$1&lt;INDEX('Valo FX'!$Q:$Q,MATCH($A27,'Valo FX'!$A:$A,0)),0,IF(CC$1&lt;INDEX('Valo FX'!$R:$R,MATCH($A27,'Valo FX'!$A:$A,0)),INDEX(Base!$U:$U,MATCH($A27,Base!$A:$A,0)),IF(CC$1=INDEX('Valo FX'!$R:$R,MATCH($A27,'Valo FX'!$A:$A,0)),INDEX(Base!$V:$V,MATCH($A27,Base!$A:$A,0)),0)))</f>
        <v>12.050424</v>
      </c>
      <c r="CD27" s="21">
        <f>IF(CD$1&lt;INDEX('Valo FX'!$Q:$Q,MATCH($A27,'Valo FX'!$A:$A,0)),0,IF(CD$1&lt;INDEX('Valo FX'!$R:$R,MATCH($A27,'Valo FX'!$A:$A,0)),INDEX(Base!$U:$U,MATCH($A27,Base!$A:$A,0)),IF(CD$1=INDEX('Valo FX'!$R:$R,MATCH($A27,'Valo FX'!$A:$A,0)),INDEX(Base!$V:$V,MATCH($A27,Base!$A:$A,0)),0)))</f>
        <v>12.050424</v>
      </c>
      <c r="CE27" s="21">
        <f>IF(CE$1&lt;INDEX('Valo FX'!$Q:$Q,MATCH($A27,'Valo FX'!$A:$A,0)),0,IF(CE$1&lt;INDEX('Valo FX'!$R:$R,MATCH($A27,'Valo FX'!$A:$A,0)),INDEX(Base!$U:$U,MATCH($A27,Base!$A:$A,0)),IF(CE$1=INDEX('Valo FX'!$R:$R,MATCH($A27,'Valo FX'!$A:$A,0)),INDEX(Base!$V:$V,MATCH($A27,Base!$A:$A,0)),0)))</f>
        <v>12.050424</v>
      </c>
      <c r="CF27" s="21">
        <f>IF(CF$1&lt;INDEX('Valo FX'!$Q:$Q,MATCH($A27,'Valo FX'!$A:$A,0)),0,IF(CF$1&lt;INDEX('Valo FX'!$R:$R,MATCH($A27,'Valo FX'!$A:$A,0)),INDEX(Base!$U:$U,MATCH($A27,Base!$A:$A,0)),IF(CF$1=INDEX('Valo FX'!$R:$R,MATCH($A27,'Valo FX'!$A:$A,0)),INDEX(Base!$V:$V,MATCH($A27,Base!$A:$A,0)),0)))</f>
        <v>12.050424</v>
      </c>
      <c r="CG27" s="21">
        <f>IF(CG$1&lt;INDEX('Valo FX'!$Q:$Q,MATCH($A27,'Valo FX'!$A:$A,0)),0,IF(CG$1&lt;INDEX('Valo FX'!$R:$R,MATCH($A27,'Valo FX'!$A:$A,0)),INDEX(Base!$U:$U,MATCH($A27,Base!$A:$A,0)),IF(CG$1=INDEX('Valo FX'!$R:$R,MATCH($A27,'Valo FX'!$A:$A,0)),INDEX(Base!$V:$V,MATCH($A27,Base!$A:$A,0)),0)))</f>
        <v>12.050424</v>
      </c>
      <c r="CH27" s="21">
        <f>IF(CH$1&lt;INDEX('Valo FX'!$Q:$Q,MATCH($A27,'Valo FX'!$A:$A,0)),0,IF(CH$1&lt;INDEX('Valo FX'!$R:$R,MATCH($A27,'Valo FX'!$A:$A,0)),INDEX(Base!$U:$U,MATCH($A27,Base!$A:$A,0)),IF(CH$1=INDEX('Valo FX'!$R:$R,MATCH($A27,'Valo FX'!$A:$A,0)),INDEX(Base!$V:$V,MATCH($A27,Base!$A:$A,0)),0)))</f>
        <v>12.050424</v>
      </c>
      <c r="CI27" s="21">
        <f>IF(CI$1&lt;INDEX('Valo FX'!$Q:$Q,MATCH($A27,'Valo FX'!$A:$A,0)),0,IF(CI$1&lt;INDEX('Valo FX'!$R:$R,MATCH($A27,'Valo FX'!$A:$A,0)),INDEX(Base!$U:$U,MATCH($A27,Base!$A:$A,0)),IF(CI$1=INDEX('Valo FX'!$R:$R,MATCH($A27,'Valo FX'!$A:$A,0)),INDEX(Base!$V:$V,MATCH($A27,Base!$A:$A,0)),0)))</f>
        <v>12.050424</v>
      </c>
      <c r="CJ27" s="21">
        <f>IF(CJ$1&lt;INDEX('Valo FX'!$Q:$Q,MATCH($A27,'Valo FX'!$A:$A,0)),0,IF(CJ$1&lt;INDEX('Valo FX'!$R:$R,MATCH($A27,'Valo FX'!$A:$A,0)),INDEX(Base!$U:$U,MATCH($A27,Base!$A:$A,0)),IF(CJ$1=INDEX('Valo FX'!$R:$R,MATCH($A27,'Valo FX'!$A:$A,0)),INDEX(Base!$V:$V,MATCH($A27,Base!$A:$A,0)),0)))</f>
        <v>12.050424</v>
      </c>
      <c r="CK27" s="21">
        <f>IF(CK$1&lt;INDEX('Valo FX'!$Q:$Q,MATCH($A27,'Valo FX'!$A:$A,0)),0,IF(CK$1&lt;INDEX('Valo FX'!$R:$R,MATCH($A27,'Valo FX'!$A:$A,0)),INDEX(Base!$U:$U,MATCH($A27,Base!$A:$A,0)),IF(CK$1=INDEX('Valo FX'!$R:$R,MATCH($A27,'Valo FX'!$A:$A,0)),INDEX(Base!$V:$V,MATCH($A27,Base!$A:$A,0)),0)))</f>
        <v>12.050424</v>
      </c>
      <c r="CL27" s="21">
        <f>IF(CL$1&lt;INDEX('Valo FX'!$Q:$Q,MATCH($A27,'Valo FX'!$A:$A,0)),0,IF(CL$1&lt;INDEX('Valo FX'!$R:$R,MATCH($A27,'Valo FX'!$A:$A,0)),INDEX(Base!$U:$U,MATCH($A27,Base!$A:$A,0)),IF(CL$1=INDEX('Valo FX'!$R:$R,MATCH($A27,'Valo FX'!$A:$A,0)),INDEX(Base!$V:$V,MATCH($A27,Base!$A:$A,0)),0)))</f>
        <v>12.050424</v>
      </c>
      <c r="CM27" s="21">
        <f>IF(CM$1&lt;INDEX('Valo FX'!$Q:$Q,MATCH($A27,'Valo FX'!$A:$A,0)),0,IF(CM$1&lt;INDEX('Valo FX'!$R:$R,MATCH($A27,'Valo FX'!$A:$A,0)),INDEX(Base!$U:$U,MATCH($A27,Base!$A:$A,0)),IF(CM$1=INDEX('Valo FX'!$R:$R,MATCH($A27,'Valo FX'!$A:$A,0)),INDEX(Base!$V:$V,MATCH($A27,Base!$A:$A,0)),0)))</f>
        <v>12.050424</v>
      </c>
      <c r="CN27" s="21">
        <f>IF(CN$1&lt;INDEX('Valo FX'!$Q:$Q,MATCH($A27,'Valo FX'!$A:$A,0)),0,IF(CN$1&lt;INDEX('Valo FX'!$R:$R,MATCH($A27,'Valo FX'!$A:$A,0)),INDEX(Base!$U:$U,MATCH($A27,Base!$A:$A,0)),IF(CN$1=INDEX('Valo FX'!$R:$R,MATCH($A27,'Valo FX'!$A:$A,0)),INDEX(Base!$V:$V,MATCH($A27,Base!$A:$A,0)),0)))</f>
        <v>12.050424</v>
      </c>
      <c r="CO27" s="21">
        <f>IF(CO$1&lt;INDEX('Valo FX'!$Q:$Q,MATCH($A27,'Valo FX'!$A:$A,0)),0,IF(CO$1&lt;INDEX('Valo FX'!$R:$R,MATCH($A27,'Valo FX'!$A:$A,0)),INDEX(Base!$U:$U,MATCH($A27,Base!$A:$A,0)),IF(CO$1=INDEX('Valo FX'!$R:$R,MATCH($A27,'Valo FX'!$A:$A,0)),INDEX(Base!$V:$V,MATCH($A27,Base!$A:$A,0)),0)))</f>
        <v>12.050424</v>
      </c>
      <c r="CP27" s="21">
        <f>IF(CP$1&lt;INDEX('Valo FX'!$Q:$Q,MATCH($A27,'Valo FX'!$A:$A,0)),0,IF(CP$1&lt;INDEX('Valo FX'!$R:$R,MATCH($A27,'Valo FX'!$A:$A,0)),INDEX(Base!$U:$U,MATCH($A27,Base!$A:$A,0)),IF(CP$1=INDEX('Valo FX'!$R:$R,MATCH($A27,'Valo FX'!$A:$A,0)),INDEX(Base!$V:$V,MATCH($A27,Base!$A:$A,0)),0)))</f>
        <v>12.050424</v>
      </c>
      <c r="CQ27" s="21">
        <f>IF(CQ$1&lt;INDEX('Valo FX'!$Q:$Q,MATCH($A27,'Valo FX'!$A:$A,0)),0,IF(CQ$1&lt;INDEX('Valo FX'!$R:$R,MATCH($A27,'Valo FX'!$A:$A,0)),INDEX(Base!$U:$U,MATCH($A27,Base!$A:$A,0)),IF(CQ$1=INDEX('Valo FX'!$R:$R,MATCH($A27,'Valo FX'!$A:$A,0)),INDEX(Base!$V:$V,MATCH($A27,Base!$A:$A,0)),0)))</f>
        <v>12.050424</v>
      </c>
      <c r="CR27" s="21">
        <f>IF(CR$1&lt;INDEX('Valo FX'!$Q:$Q,MATCH($A27,'Valo FX'!$A:$A,0)),0,IF(CR$1&lt;INDEX('Valo FX'!$R:$R,MATCH($A27,'Valo FX'!$A:$A,0)),INDEX(Base!$U:$U,MATCH($A27,Base!$A:$A,0)),IF(CR$1=INDEX('Valo FX'!$R:$R,MATCH($A27,'Valo FX'!$A:$A,0)),INDEX(Base!$V:$V,MATCH($A27,Base!$A:$A,0)),0)))</f>
        <v>12.050424</v>
      </c>
      <c r="CS27" s="21">
        <f>IF(CS$1&lt;INDEX('Valo FX'!$Q:$Q,MATCH($A27,'Valo FX'!$A:$A,0)),0,IF(CS$1&lt;INDEX('Valo FX'!$R:$R,MATCH($A27,'Valo FX'!$A:$A,0)),INDEX(Base!$U:$U,MATCH($A27,Base!$A:$A,0)),IF(CS$1=INDEX('Valo FX'!$R:$R,MATCH($A27,'Valo FX'!$A:$A,0)),INDEX(Base!$V:$V,MATCH($A27,Base!$A:$A,0)),0)))</f>
        <v>12.050424</v>
      </c>
      <c r="CT27" s="21">
        <f>IF(CT$1&lt;INDEX('Valo FX'!$Q:$Q,MATCH($A27,'Valo FX'!$A:$A,0)),0,IF(CT$1&lt;INDEX('Valo FX'!$R:$R,MATCH($A27,'Valo FX'!$A:$A,0)),INDEX(Base!$U:$U,MATCH($A27,Base!$A:$A,0)),IF(CT$1=INDEX('Valo FX'!$R:$R,MATCH($A27,'Valo FX'!$A:$A,0)),INDEX(Base!$V:$V,MATCH($A27,Base!$A:$A,0)),0)))</f>
        <v>12.050424</v>
      </c>
      <c r="CU27" s="21">
        <f>IF(CU$1&lt;INDEX('Valo FX'!$Q:$Q,MATCH($A27,'Valo FX'!$A:$A,0)),0,IF(CU$1&lt;INDEX('Valo FX'!$R:$R,MATCH($A27,'Valo FX'!$A:$A,0)),INDEX(Base!$U:$U,MATCH($A27,Base!$A:$A,0)),IF(CU$1=INDEX('Valo FX'!$R:$R,MATCH($A27,'Valo FX'!$A:$A,0)),INDEX(Base!$V:$V,MATCH($A27,Base!$A:$A,0)),0)))</f>
        <v>12.050424</v>
      </c>
      <c r="CV27" s="21">
        <f>IF(CV$1&lt;INDEX('Valo FX'!$Q:$Q,MATCH($A27,'Valo FX'!$A:$A,0)),0,IF(CV$1&lt;INDEX('Valo FX'!$R:$R,MATCH($A27,'Valo FX'!$A:$A,0)),INDEX(Base!$U:$U,MATCH($A27,Base!$A:$A,0)),IF(CV$1=INDEX('Valo FX'!$R:$R,MATCH($A27,'Valo FX'!$A:$A,0)),INDEX(Base!$V:$V,MATCH($A27,Base!$A:$A,0)),0)))</f>
        <v>12.050424</v>
      </c>
      <c r="CW27" s="21">
        <f>IF(CW$1&lt;INDEX('Valo FX'!$Q:$Q,MATCH($A27,'Valo FX'!$A:$A,0)),0,IF(CW$1&lt;INDEX('Valo FX'!$R:$R,MATCH($A27,'Valo FX'!$A:$A,0)),INDEX(Base!$U:$U,MATCH($A27,Base!$A:$A,0)),IF(CW$1=INDEX('Valo FX'!$R:$R,MATCH($A27,'Valo FX'!$A:$A,0)),INDEX(Base!$V:$V,MATCH($A27,Base!$A:$A,0)),0)))</f>
        <v>12.050424</v>
      </c>
      <c r="CX27" s="21">
        <f>IF(CX$1&lt;INDEX('Valo FX'!$Q:$Q,MATCH($A27,'Valo FX'!$A:$A,0)),0,IF(CX$1&lt;INDEX('Valo FX'!$R:$R,MATCH($A27,'Valo FX'!$A:$A,0)),INDEX(Base!$U:$U,MATCH($A27,Base!$A:$A,0)),IF(CX$1=INDEX('Valo FX'!$R:$R,MATCH($A27,'Valo FX'!$A:$A,0)),INDEX(Base!$V:$V,MATCH($A27,Base!$A:$A,0)),0)))</f>
        <v>12.050424</v>
      </c>
      <c r="CY27" s="21">
        <f>IF(CY$1&lt;INDEX('Valo FX'!$Q:$Q,MATCH($A27,'Valo FX'!$A:$A,0)),0,IF(CY$1&lt;INDEX('Valo FX'!$R:$R,MATCH($A27,'Valo FX'!$A:$A,0)),INDEX(Base!$U:$U,MATCH($A27,Base!$A:$A,0)),IF(CY$1=INDEX('Valo FX'!$R:$R,MATCH($A27,'Valo FX'!$A:$A,0)),INDEX(Base!$V:$V,MATCH($A27,Base!$A:$A,0)),0)))</f>
        <v>12.050424</v>
      </c>
      <c r="CZ27" s="21">
        <f>IF(CZ$1&lt;INDEX('Valo FX'!$Q:$Q,MATCH($A27,'Valo FX'!$A:$A,0)),0,IF(CZ$1&lt;INDEX('Valo FX'!$R:$R,MATCH($A27,'Valo FX'!$A:$A,0)),INDEX(Base!$U:$U,MATCH($A27,Base!$A:$A,0)),IF(CZ$1=INDEX('Valo FX'!$R:$R,MATCH($A27,'Valo FX'!$A:$A,0)),INDEX(Base!$V:$V,MATCH($A27,Base!$A:$A,0)),0)))</f>
        <v>12.050424</v>
      </c>
      <c r="DA27" s="21">
        <f>IF(DA$1&lt;INDEX('Valo FX'!$Q:$Q,MATCH($A27,'Valo FX'!$A:$A,0)),0,IF(DA$1&lt;INDEX('Valo FX'!$R:$R,MATCH($A27,'Valo FX'!$A:$A,0)),INDEX(Base!$U:$U,MATCH($A27,Base!$A:$A,0)),IF(DA$1=INDEX('Valo FX'!$R:$R,MATCH($A27,'Valo FX'!$A:$A,0)),INDEX(Base!$V:$V,MATCH($A27,Base!$A:$A,0)),0)))</f>
        <v>12.050424</v>
      </c>
      <c r="DB27" s="21">
        <f>IF(DB$1&lt;INDEX('Valo FX'!$Q:$Q,MATCH($A27,'Valo FX'!$A:$A,0)),0,IF(DB$1&lt;INDEX('Valo FX'!$R:$R,MATCH($A27,'Valo FX'!$A:$A,0)),INDEX(Base!$U:$U,MATCH($A27,Base!$A:$A,0)),IF(DB$1=INDEX('Valo FX'!$R:$R,MATCH($A27,'Valo FX'!$A:$A,0)),INDEX(Base!$V:$V,MATCH($A27,Base!$A:$A,0)),0)))</f>
        <v>12.050424</v>
      </c>
      <c r="DC27" s="21">
        <f>IF(DC$1&lt;INDEX('Valo FX'!$Q:$Q,MATCH($A27,'Valo FX'!$A:$A,0)),0,IF(DC$1&lt;INDEX('Valo FX'!$R:$R,MATCH($A27,'Valo FX'!$A:$A,0)),INDEX(Base!$U:$U,MATCH($A27,Base!$A:$A,0)),IF(DC$1=INDEX('Valo FX'!$R:$R,MATCH($A27,'Valo FX'!$A:$A,0)),INDEX(Base!$V:$V,MATCH($A27,Base!$A:$A,0)),0)))</f>
        <v>12.050424</v>
      </c>
      <c r="DD27" s="21">
        <f>IF(DD$1&lt;INDEX('Valo FX'!$Q:$Q,MATCH($A27,'Valo FX'!$A:$A,0)),0,IF(DD$1&lt;INDEX('Valo FX'!$R:$R,MATCH($A27,'Valo FX'!$A:$A,0)),INDEX(Base!$U:$U,MATCH($A27,Base!$A:$A,0)),IF(DD$1=INDEX('Valo FX'!$R:$R,MATCH($A27,'Valo FX'!$A:$A,0)),INDEX(Base!$V:$V,MATCH($A27,Base!$A:$A,0)),0)))</f>
        <v>12.050424</v>
      </c>
      <c r="DE27" s="21">
        <f>IF(DE$1&lt;INDEX('Valo FX'!$Q:$Q,MATCH($A27,'Valo FX'!$A:$A,0)),0,IF(DE$1&lt;INDEX('Valo FX'!$R:$R,MATCH($A27,'Valo FX'!$A:$A,0)),INDEX(Base!$U:$U,MATCH($A27,Base!$A:$A,0)),IF(DE$1=INDEX('Valo FX'!$R:$R,MATCH($A27,'Valo FX'!$A:$A,0)),INDEX(Base!$V:$V,MATCH($A27,Base!$A:$A,0)),0)))</f>
        <v>12.050424</v>
      </c>
      <c r="DF27" s="21">
        <f>IF(DF$1&lt;INDEX('Valo FX'!$Q:$Q,MATCH($A27,'Valo FX'!$A:$A,0)),0,IF(DF$1&lt;INDEX('Valo FX'!$R:$R,MATCH($A27,'Valo FX'!$A:$A,0)),INDEX(Base!$U:$U,MATCH($A27,Base!$A:$A,0)),IF(DF$1=INDEX('Valo FX'!$R:$R,MATCH($A27,'Valo FX'!$A:$A,0)),INDEX(Base!$V:$V,MATCH($A27,Base!$A:$A,0)),0)))</f>
        <v>12.050424</v>
      </c>
      <c r="DG27" s="21">
        <f>IF(DG$1&lt;INDEX('Valo FX'!$Q:$Q,MATCH($A27,'Valo FX'!$A:$A,0)),0,IF(DG$1&lt;INDEX('Valo FX'!$R:$R,MATCH($A27,'Valo FX'!$A:$A,0)),INDEX(Base!$U:$U,MATCH($A27,Base!$A:$A,0)),IF(DG$1=INDEX('Valo FX'!$R:$R,MATCH($A27,'Valo FX'!$A:$A,0)),INDEX(Base!$V:$V,MATCH($A27,Base!$A:$A,0)),0)))</f>
        <v>12.050424</v>
      </c>
      <c r="DH27" s="21">
        <f>IF(DH$1&lt;INDEX('Valo FX'!$Q:$Q,MATCH($A27,'Valo FX'!$A:$A,0)),0,IF(DH$1&lt;INDEX('Valo FX'!$R:$R,MATCH($A27,'Valo FX'!$A:$A,0)),INDEX(Base!$U:$U,MATCH($A27,Base!$A:$A,0)),IF(DH$1=INDEX('Valo FX'!$R:$R,MATCH($A27,'Valo FX'!$A:$A,0)),INDEX(Base!$V:$V,MATCH($A27,Base!$A:$A,0)),0)))</f>
        <v>12.050424</v>
      </c>
      <c r="DI27" s="21">
        <f>IF(DI$1&lt;INDEX('Valo FX'!$Q:$Q,MATCH($A27,'Valo FX'!$A:$A,0)),0,IF(DI$1&lt;INDEX('Valo FX'!$R:$R,MATCH($A27,'Valo FX'!$A:$A,0)),INDEX(Base!$U:$U,MATCH($A27,Base!$A:$A,0)),IF(DI$1=INDEX('Valo FX'!$R:$R,MATCH($A27,'Valo FX'!$A:$A,0)),INDEX(Base!$V:$V,MATCH($A27,Base!$A:$A,0)),0)))</f>
        <v>12.050424</v>
      </c>
      <c r="DJ27" s="21">
        <f>IF(DJ$1&lt;INDEX('Valo FX'!$Q:$Q,MATCH($A27,'Valo FX'!$A:$A,0)),0,IF(DJ$1&lt;INDEX('Valo FX'!$R:$R,MATCH($A27,'Valo FX'!$A:$A,0)),INDEX(Base!$U:$U,MATCH($A27,Base!$A:$A,0)),IF(DJ$1=INDEX('Valo FX'!$R:$R,MATCH($A27,'Valo FX'!$A:$A,0)),INDEX(Base!$V:$V,MATCH($A27,Base!$A:$A,0)),0)))</f>
        <v>12.050424</v>
      </c>
      <c r="DK27" s="21">
        <f>IF(DK$1&lt;INDEX('Valo FX'!$Q:$Q,MATCH($A27,'Valo FX'!$A:$A,0)),0,IF(DK$1&lt;INDEX('Valo FX'!$R:$R,MATCH($A27,'Valo FX'!$A:$A,0)),INDEX(Base!$U:$U,MATCH($A27,Base!$A:$A,0)),IF(DK$1=INDEX('Valo FX'!$R:$R,MATCH($A27,'Valo FX'!$A:$A,0)),INDEX(Base!$V:$V,MATCH($A27,Base!$A:$A,0)),0)))</f>
        <v>12.050424</v>
      </c>
      <c r="DL27" s="21">
        <f>IF(DL$1&lt;INDEX('Valo FX'!$Q:$Q,MATCH($A27,'Valo FX'!$A:$A,0)),0,IF(DL$1&lt;INDEX('Valo FX'!$R:$R,MATCH($A27,'Valo FX'!$A:$A,0)),INDEX(Base!$U:$U,MATCH($A27,Base!$A:$A,0)),IF(DL$1=INDEX('Valo FX'!$R:$R,MATCH($A27,'Valo FX'!$A:$A,0)),INDEX(Base!$V:$V,MATCH($A27,Base!$A:$A,0)),0)))</f>
        <v>12.050424</v>
      </c>
      <c r="DM27" s="21">
        <f>IF(DM$1&lt;INDEX('Valo FX'!$Q:$Q,MATCH($A27,'Valo FX'!$A:$A,0)),0,IF(DM$1&lt;INDEX('Valo FX'!$R:$R,MATCH($A27,'Valo FX'!$A:$A,0)),INDEX(Base!$U:$U,MATCH($A27,Base!$A:$A,0)),IF(DM$1=INDEX('Valo FX'!$R:$R,MATCH($A27,'Valo FX'!$A:$A,0)),INDEX(Base!$V:$V,MATCH($A27,Base!$A:$A,0)),0)))</f>
        <v>12.050424</v>
      </c>
      <c r="DN27" s="21">
        <f>IF(DN$1&lt;INDEX('Valo FX'!$Q:$Q,MATCH($A27,'Valo FX'!$A:$A,0)),0,IF(DN$1&lt;INDEX('Valo FX'!$R:$R,MATCH($A27,'Valo FX'!$A:$A,0)),INDEX(Base!$U:$U,MATCH($A27,Base!$A:$A,0)),IF(DN$1=INDEX('Valo FX'!$R:$R,MATCH($A27,'Valo FX'!$A:$A,0)),INDEX(Base!$V:$V,MATCH($A27,Base!$A:$A,0)),0)))</f>
        <v>12.050424</v>
      </c>
      <c r="DO27" s="21">
        <f>IF(DO$1&lt;INDEX('Valo FX'!$Q:$Q,MATCH($A27,'Valo FX'!$A:$A,0)),0,IF(DO$1&lt;INDEX('Valo FX'!$R:$R,MATCH($A27,'Valo FX'!$A:$A,0)),INDEX(Base!$U:$U,MATCH($A27,Base!$A:$A,0)),IF(DO$1=INDEX('Valo FX'!$R:$R,MATCH($A27,'Valo FX'!$A:$A,0)),INDEX(Base!$V:$V,MATCH($A27,Base!$A:$A,0)),0)))</f>
        <v>12.050424</v>
      </c>
      <c r="DP27" s="21">
        <f>IF(DP$1&lt;INDEX('Valo FX'!$Q:$Q,MATCH($A27,'Valo FX'!$A:$A,0)),0,IF(DP$1&lt;INDEX('Valo FX'!$R:$R,MATCH($A27,'Valo FX'!$A:$A,0)),INDEX(Base!$U:$U,MATCH($A27,Base!$A:$A,0)),IF(DP$1=INDEX('Valo FX'!$R:$R,MATCH($A27,'Valo FX'!$A:$A,0)),INDEX(Base!$V:$V,MATCH($A27,Base!$A:$A,0)),0)))</f>
        <v>12.050424</v>
      </c>
      <c r="DQ27" s="21">
        <f>IF(DQ$1&lt;INDEX('Valo FX'!$Q:$Q,MATCH($A27,'Valo FX'!$A:$A,0)),0,IF(DQ$1&lt;INDEX('Valo FX'!$R:$R,MATCH($A27,'Valo FX'!$A:$A,0)),INDEX(Base!$U:$U,MATCH($A27,Base!$A:$A,0)),IF(DQ$1=INDEX('Valo FX'!$R:$R,MATCH($A27,'Valo FX'!$A:$A,0)),INDEX(Base!$V:$V,MATCH($A27,Base!$A:$A,0)),0)))</f>
        <v>12.050424</v>
      </c>
      <c r="DR27" s="21">
        <f>IF(DR$1&lt;INDEX('Valo FX'!$Q:$Q,MATCH($A27,'Valo FX'!$A:$A,0)),0,IF(DR$1&lt;INDEX('Valo FX'!$R:$R,MATCH($A27,'Valo FX'!$A:$A,0)),INDEX(Base!$U:$U,MATCH($A27,Base!$A:$A,0)),IF(DR$1=INDEX('Valo FX'!$R:$R,MATCH($A27,'Valo FX'!$A:$A,0)),INDEX(Base!$V:$V,MATCH($A27,Base!$A:$A,0)),0)))</f>
        <v>12.050424</v>
      </c>
      <c r="DS27" s="21">
        <f>IF(DS$1&lt;INDEX('Valo FX'!$Q:$Q,MATCH($A27,'Valo FX'!$A:$A,0)),0,IF(DS$1&lt;INDEX('Valo FX'!$R:$R,MATCH($A27,'Valo FX'!$A:$A,0)),INDEX(Base!$U:$U,MATCH($A27,Base!$A:$A,0)),IF(DS$1=INDEX('Valo FX'!$R:$R,MATCH($A27,'Valo FX'!$A:$A,0)),INDEX(Base!$V:$V,MATCH($A27,Base!$A:$A,0)),0)))</f>
        <v>12.050424</v>
      </c>
      <c r="DT27" s="21">
        <f>IF(DT$1&lt;INDEX('Valo FX'!$Q:$Q,MATCH($A27,'Valo FX'!$A:$A,0)),0,IF(DT$1&lt;INDEX('Valo FX'!$R:$R,MATCH($A27,'Valo FX'!$A:$A,0)),INDEX(Base!$U:$U,MATCH($A27,Base!$A:$A,0)),IF(DT$1=INDEX('Valo FX'!$R:$R,MATCH($A27,'Valo FX'!$A:$A,0)),INDEX(Base!$V:$V,MATCH($A27,Base!$A:$A,0)),0)))</f>
        <v>12.050424</v>
      </c>
      <c r="DU27" s="21">
        <f>IF(DU$1&lt;INDEX('Valo FX'!$Q:$Q,MATCH($A27,'Valo FX'!$A:$A,0)),0,IF(DU$1&lt;INDEX('Valo FX'!$R:$R,MATCH($A27,'Valo FX'!$A:$A,0)),INDEX(Base!$U:$U,MATCH($A27,Base!$A:$A,0)),IF(DU$1=INDEX('Valo FX'!$R:$R,MATCH($A27,'Valo FX'!$A:$A,0)),INDEX(Base!$V:$V,MATCH($A27,Base!$A:$A,0)),0)))</f>
        <v>12.050424</v>
      </c>
      <c r="DV27" s="21">
        <f>IF(DV$1&lt;INDEX('Valo FX'!$Q:$Q,MATCH($A27,'Valo FX'!$A:$A,0)),0,IF(DV$1&lt;INDEX('Valo FX'!$R:$R,MATCH($A27,'Valo FX'!$A:$A,0)),INDEX(Base!$U:$U,MATCH($A27,Base!$A:$A,0)),IF(DV$1=INDEX('Valo FX'!$R:$R,MATCH($A27,'Valo FX'!$A:$A,0)),INDEX(Base!$V:$V,MATCH($A27,Base!$A:$A,0)),0)))</f>
        <v>12.050424</v>
      </c>
      <c r="DW27" s="21">
        <f>IF(DW$1&lt;INDEX('Valo FX'!$Q:$Q,MATCH($A27,'Valo FX'!$A:$A,0)),0,IF(DW$1&lt;INDEX('Valo FX'!$R:$R,MATCH($A27,'Valo FX'!$A:$A,0)),INDEX(Base!$U:$U,MATCH($A27,Base!$A:$A,0)),IF(DW$1=INDEX('Valo FX'!$R:$R,MATCH($A27,'Valo FX'!$A:$A,0)),INDEX(Base!$V:$V,MATCH($A27,Base!$A:$A,0)),0)))</f>
        <v>12.050424</v>
      </c>
      <c r="DX27" s="21">
        <f>IF(DX$1&lt;INDEX('Valo FX'!$Q:$Q,MATCH($A27,'Valo FX'!$A:$A,0)),0,IF(DX$1&lt;INDEX('Valo FX'!$R:$R,MATCH($A27,'Valo FX'!$A:$A,0)),INDEX(Base!$U:$U,MATCH($A27,Base!$A:$A,0)),IF(DX$1=INDEX('Valo FX'!$R:$R,MATCH($A27,'Valo FX'!$A:$A,0)),INDEX(Base!$V:$V,MATCH($A27,Base!$A:$A,0)),0)))</f>
        <v>12.050424</v>
      </c>
      <c r="DY27" s="21">
        <f>IF(DY$1&lt;INDEX('Valo FX'!$Q:$Q,MATCH($A27,'Valo FX'!$A:$A,0)),0,IF(DY$1&lt;INDEX('Valo FX'!$R:$R,MATCH($A27,'Valo FX'!$A:$A,0)),INDEX(Base!$U:$U,MATCH($A27,Base!$A:$A,0)),IF(DY$1=INDEX('Valo FX'!$R:$R,MATCH($A27,'Valo FX'!$A:$A,0)),INDEX(Base!$V:$V,MATCH($A27,Base!$A:$A,0)),0)))</f>
        <v>12.050424</v>
      </c>
      <c r="DZ27" s="21">
        <f>IF(DZ$1&lt;INDEX('Valo FX'!$Q:$Q,MATCH($A27,'Valo FX'!$A:$A,0)),0,IF(DZ$1&lt;INDEX('Valo FX'!$R:$R,MATCH($A27,'Valo FX'!$A:$A,0)),INDEX(Base!$U:$U,MATCH($A27,Base!$A:$A,0)),IF(DZ$1=INDEX('Valo FX'!$R:$R,MATCH($A27,'Valo FX'!$A:$A,0)),INDEX(Base!$V:$V,MATCH($A27,Base!$A:$A,0)),0)))</f>
        <v>12.050424</v>
      </c>
      <c r="EA27" s="21">
        <f>IF(EA$1&lt;INDEX('Valo FX'!$Q:$Q,MATCH($A27,'Valo FX'!$A:$A,0)),0,IF(EA$1&lt;INDEX('Valo FX'!$R:$R,MATCH($A27,'Valo FX'!$A:$A,0)),INDEX(Base!$U:$U,MATCH($A27,Base!$A:$A,0)),IF(EA$1=INDEX('Valo FX'!$R:$R,MATCH($A27,'Valo FX'!$A:$A,0)),INDEX(Base!$V:$V,MATCH($A27,Base!$A:$A,0)),0)))</f>
        <v>12.050424</v>
      </c>
      <c r="EB27" s="21">
        <f>IF(EB$1&lt;INDEX('Valo FX'!$Q:$Q,MATCH($A27,'Valo FX'!$A:$A,0)),0,IF(EB$1&lt;INDEX('Valo FX'!$R:$R,MATCH($A27,'Valo FX'!$A:$A,0)),INDEX(Base!$U:$U,MATCH($A27,Base!$A:$A,0)),IF(EB$1=INDEX('Valo FX'!$R:$R,MATCH($A27,'Valo FX'!$A:$A,0)),INDEX(Base!$V:$V,MATCH($A27,Base!$A:$A,0)),0)))</f>
        <v>12.050424</v>
      </c>
      <c r="EC27" s="21">
        <f>IF(EC$1&lt;INDEX('Valo FX'!$Q:$Q,MATCH($A27,'Valo FX'!$A:$A,0)),0,IF(EC$1&lt;INDEX('Valo FX'!$R:$R,MATCH($A27,'Valo FX'!$A:$A,0)),INDEX(Base!$U:$U,MATCH($A27,Base!$A:$A,0)),IF(EC$1=INDEX('Valo FX'!$R:$R,MATCH($A27,'Valo FX'!$A:$A,0)),INDEX(Base!$V:$V,MATCH($A27,Base!$A:$A,0)),0)))</f>
        <v>12.050424</v>
      </c>
      <c r="ED27" s="21">
        <f>IF(ED$1&lt;INDEX('Valo FX'!$Q:$Q,MATCH($A27,'Valo FX'!$A:$A,0)),0,IF(ED$1&lt;INDEX('Valo FX'!$R:$R,MATCH($A27,'Valo FX'!$A:$A,0)),INDEX(Base!$U:$U,MATCH($A27,Base!$A:$A,0)),IF(ED$1=INDEX('Valo FX'!$R:$R,MATCH($A27,'Valo FX'!$A:$A,0)),INDEX(Base!$V:$V,MATCH($A27,Base!$A:$A,0)),0)))</f>
        <v>12.050424</v>
      </c>
      <c r="EE27" s="21">
        <f>IF(EE$1&lt;INDEX('Valo FX'!$Q:$Q,MATCH($A27,'Valo FX'!$A:$A,0)),0,IF(EE$1&lt;INDEX('Valo FX'!$R:$R,MATCH($A27,'Valo FX'!$A:$A,0)),INDEX(Base!$U:$U,MATCH($A27,Base!$A:$A,0)),IF(EE$1=INDEX('Valo FX'!$R:$R,MATCH($A27,'Valo FX'!$A:$A,0)),INDEX(Base!$V:$V,MATCH($A27,Base!$A:$A,0)),0)))</f>
        <v>12.050424</v>
      </c>
      <c r="EF27" s="21">
        <f>IF(EF$1&lt;INDEX('Valo FX'!$Q:$Q,MATCH($A27,'Valo FX'!$A:$A,0)),0,IF(EF$1&lt;INDEX('Valo FX'!$R:$R,MATCH($A27,'Valo FX'!$A:$A,0)),INDEX(Base!$U:$U,MATCH($A27,Base!$A:$A,0)),IF(EF$1=INDEX('Valo FX'!$R:$R,MATCH($A27,'Valo FX'!$A:$A,0)),INDEX(Base!$V:$V,MATCH($A27,Base!$A:$A,0)),0)))</f>
        <v>12.050424</v>
      </c>
      <c r="EG27" s="21">
        <f>IF(EG$1&lt;INDEX('Valo FX'!$Q:$Q,MATCH($A27,'Valo FX'!$A:$A,0)),0,IF(EG$1&lt;INDEX('Valo FX'!$R:$R,MATCH($A27,'Valo FX'!$A:$A,0)),INDEX(Base!$U:$U,MATCH($A27,Base!$A:$A,0)),IF(EG$1=INDEX('Valo FX'!$R:$R,MATCH($A27,'Valo FX'!$A:$A,0)),INDEX(Base!$V:$V,MATCH($A27,Base!$A:$A,0)),0)))</f>
        <v>12.050424</v>
      </c>
      <c r="EH27" s="21">
        <f>IF(EH$1&lt;INDEX('Valo FX'!$Q:$Q,MATCH($A27,'Valo FX'!$A:$A,0)),0,IF(EH$1&lt;INDEX('Valo FX'!$R:$R,MATCH($A27,'Valo FX'!$A:$A,0)),INDEX(Base!$U:$U,MATCH($A27,Base!$A:$A,0)),IF(EH$1=INDEX('Valo FX'!$R:$R,MATCH($A27,'Valo FX'!$A:$A,0)),INDEX(Base!$V:$V,MATCH($A27,Base!$A:$A,0)),0)))</f>
        <v>12.050424</v>
      </c>
      <c r="EI27" s="21">
        <f>IF(EI$1&lt;INDEX('Valo FX'!$Q:$Q,MATCH($A27,'Valo FX'!$A:$A,0)),0,IF(EI$1&lt;INDEX('Valo FX'!$R:$R,MATCH($A27,'Valo FX'!$A:$A,0)),INDEX(Base!$U:$U,MATCH($A27,Base!$A:$A,0)),IF(EI$1=INDEX('Valo FX'!$R:$R,MATCH($A27,'Valo FX'!$A:$A,0)),INDEX(Base!$V:$V,MATCH($A27,Base!$A:$A,0)),0)))</f>
        <v>12.050424</v>
      </c>
      <c r="EJ27" s="21">
        <f>IF(EJ$1&lt;INDEX('Valo FX'!$Q:$Q,MATCH($A27,'Valo FX'!$A:$A,0)),0,IF(EJ$1&lt;INDEX('Valo FX'!$R:$R,MATCH($A27,'Valo FX'!$A:$A,0)),INDEX(Base!$U:$U,MATCH($A27,Base!$A:$A,0)),IF(EJ$1=INDEX('Valo FX'!$R:$R,MATCH($A27,'Valo FX'!$A:$A,0)),INDEX(Base!$V:$V,MATCH($A27,Base!$A:$A,0)),0)))</f>
        <v>12.050424</v>
      </c>
      <c r="EK27" s="21">
        <f>IF(EK$1&lt;INDEX('Valo FX'!$Q:$Q,MATCH($A27,'Valo FX'!$A:$A,0)),0,IF(EK$1&lt;INDEX('Valo FX'!$R:$R,MATCH($A27,'Valo FX'!$A:$A,0)),INDEX(Base!$U:$U,MATCH($A27,Base!$A:$A,0)),IF(EK$1=INDEX('Valo FX'!$R:$R,MATCH($A27,'Valo FX'!$A:$A,0)),INDEX(Base!$V:$V,MATCH($A27,Base!$A:$A,0)),0)))</f>
        <v>12.050424</v>
      </c>
      <c r="EL27" s="21">
        <f>IF(EL$1&lt;INDEX('Valo FX'!$Q:$Q,MATCH($A27,'Valo FX'!$A:$A,0)),0,IF(EL$1&lt;INDEX('Valo FX'!$R:$R,MATCH($A27,'Valo FX'!$A:$A,0)),INDEX(Base!$U:$U,MATCH($A27,Base!$A:$A,0)),IF(EL$1=INDEX('Valo FX'!$R:$R,MATCH($A27,'Valo FX'!$A:$A,0)),INDEX(Base!$V:$V,MATCH($A27,Base!$A:$A,0)),0)))</f>
        <v>12.050424</v>
      </c>
      <c r="EM27" s="21">
        <f>IF(EM$1&lt;INDEX('Valo FX'!$Q:$Q,MATCH($A27,'Valo FX'!$A:$A,0)),0,IF(EM$1&lt;INDEX('Valo FX'!$R:$R,MATCH($A27,'Valo FX'!$A:$A,0)),INDEX(Base!$U:$U,MATCH($A27,Base!$A:$A,0)),IF(EM$1=INDEX('Valo FX'!$R:$R,MATCH($A27,'Valo FX'!$A:$A,0)),INDEX(Base!$V:$V,MATCH($A27,Base!$A:$A,0)),0)))</f>
        <v>12.050424</v>
      </c>
      <c r="EN27" s="21">
        <f>IF(EN$1&lt;INDEX('Valo FX'!$Q:$Q,MATCH($A27,'Valo FX'!$A:$A,0)),0,IF(EN$1&lt;INDEX('Valo FX'!$R:$R,MATCH($A27,'Valo FX'!$A:$A,0)),INDEX(Base!$U:$U,MATCH($A27,Base!$A:$A,0)),IF(EN$1=INDEX('Valo FX'!$R:$R,MATCH($A27,'Valo FX'!$A:$A,0)),INDEX(Base!$V:$V,MATCH($A27,Base!$A:$A,0)),0)))</f>
        <v>12.050424</v>
      </c>
      <c r="EO27" s="21">
        <f>IF(EO$1&lt;INDEX('Valo FX'!$Q:$Q,MATCH($A27,'Valo FX'!$A:$A,0)),0,IF(EO$1&lt;INDEX('Valo FX'!$R:$R,MATCH($A27,'Valo FX'!$A:$A,0)),INDEX(Base!$U:$U,MATCH($A27,Base!$A:$A,0)),IF(EO$1=INDEX('Valo FX'!$R:$R,MATCH($A27,'Valo FX'!$A:$A,0)),INDEX(Base!$V:$V,MATCH($A27,Base!$A:$A,0)),0)))</f>
        <v>12.050424</v>
      </c>
      <c r="EP27" s="21">
        <f>IF(EP$1&lt;INDEX('Valo FX'!$Q:$Q,MATCH($A27,'Valo FX'!$A:$A,0)),0,IF(EP$1&lt;INDEX('Valo FX'!$R:$R,MATCH($A27,'Valo FX'!$A:$A,0)),INDEX(Base!$U:$U,MATCH($A27,Base!$A:$A,0)),IF(EP$1=INDEX('Valo FX'!$R:$R,MATCH($A27,'Valo FX'!$A:$A,0)),INDEX(Base!$V:$V,MATCH($A27,Base!$A:$A,0)),0)))</f>
        <v>12.050424</v>
      </c>
      <c r="EQ27" s="21">
        <f>IF(EQ$1&lt;INDEX('Valo FX'!$Q:$Q,MATCH($A27,'Valo FX'!$A:$A,0)),0,IF(EQ$1&lt;INDEX('Valo FX'!$R:$R,MATCH($A27,'Valo FX'!$A:$A,0)),INDEX(Base!$U:$U,MATCH($A27,Base!$A:$A,0)),IF(EQ$1=INDEX('Valo FX'!$R:$R,MATCH($A27,'Valo FX'!$A:$A,0)),INDEX(Base!$V:$V,MATCH($A27,Base!$A:$A,0)),0)))</f>
        <v>12.050424</v>
      </c>
      <c r="ER27" s="21">
        <f>IF(ER$1&lt;INDEX('Valo FX'!$Q:$Q,MATCH($A27,'Valo FX'!$A:$A,0)),0,IF(ER$1&lt;INDEX('Valo FX'!$R:$R,MATCH($A27,'Valo FX'!$A:$A,0)),INDEX(Base!$U:$U,MATCH($A27,Base!$A:$A,0)),IF(ER$1=INDEX('Valo FX'!$R:$R,MATCH($A27,'Valo FX'!$A:$A,0)),INDEX(Base!$V:$V,MATCH($A27,Base!$A:$A,0)),0)))</f>
        <v>12.050424</v>
      </c>
      <c r="ES27" s="21">
        <f>IF(ES$1&lt;INDEX('Valo FX'!$Q:$Q,MATCH($A27,'Valo FX'!$A:$A,0)),0,IF(ES$1&lt;INDEX('Valo FX'!$R:$R,MATCH($A27,'Valo FX'!$A:$A,0)),INDEX(Base!$U:$U,MATCH($A27,Base!$A:$A,0)),IF(ES$1=INDEX('Valo FX'!$R:$R,MATCH($A27,'Valo FX'!$A:$A,0)),INDEX(Base!$V:$V,MATCH($A27,Base!$A:$A,0)),0)))</f>
        <v>12.050424</v>
      </c>
      <c r="ET27" s="21">
        <f>IF(ET$1&lt;INDEX('Valo FX'!$Q:$Q,MATCH($A27,'Valo FX'!$A:$A,0)),0,IF(ET$1&lt;INDEX('Valo FX'!$R:$R,MATCH($A27,'Valo FX'!$A:$A,0)),INDEX(Base!$U:$U,MATCH($A27,Base!$A:$A,0)),IF(ET$1=INDEX('Valo FX'!$R:$R,MATCH($A27,'Valo FX'!$A:$A,0)),INDEX(Base!$V:$V,MATCH($A27,Base!$A:$A,0)),0)))</f>
        <v>12.050424</v>
      </c>
      <c r="EU27" s="21">
        <f>IF(EU$1&lt;INDEX('Valo FX'!$Q:$Q,MATCH($A27,'Valo FX'!$A:$A,0)),0,IF(EU$1&lt;INDEX('Valo FX'!$R:$R,MATCH($A27,'Valo FX'!$A:$A,0)),INDEX(Base!$U:$U,MATCH($A27,Base!$A:$A,0)),IF(EU$1=INDEX('Valo FX'!$R:$R,MATCH($A27,'Valo FX'!$A:$A,0)),INDEX(Base!$V:$V,MATCH($A27,Base!$A:$A,0)),0)))</f>
        <v>12.050424</v>
      </c>
      <c r="EV27" s="21">
        <f>IF(EV$1&lt;INDEX('Valo FX'!$Q:$Q,MATCH($A27,'Valo FX'!$A:$A,0)),0,IF(EV$1&lt;INDEX('Valo FX'!$R:$R,MATCH($A27,'Valo FX'!$A:$A,0)),INDEX(Base!$U:$U,MATCH($A27,Base!$A:$A,0)),IF(EV$1=INDEX('Valo FX'!$R:$R,MATCH($A27,'Valo FX'!$A:$A,0)),INDEX(Base!$V:$V,MATCH($A27,Base!$A:$A,0)),0)))</f>
        <v>12.050424</v>
      </c>
      <c r="EW27" s="21">
        <f>IF(EW$1&lt;INDEX('Valo FX'!$Q:$Q,MATCH($A27,'Valo FX'!$A:$A,0)),0,IF(EW$1&lt;INDEX('Valo FX'!$R:$R,MATCH($A27,'Valo FX'!$A:$A,0)),INDEX(Base!$U:$U,MATCH($A27,Base!$A:$A,0)),IF(EW$1=INDEX('Valo FX'!$R:$R,MATCH($A27,'Valo FX'!$A:$A,0)),INDEX(Base!$V:$V,MATCH($A27,Base!$A:$A,0)),0)))</f>
        <v>12.050424</v>
      </c>
      <c r="EX27" s="21">
        <f>IF(EX$1&lt;INDEX('Valo FX'!$Q:$Q,MATCH($A27,'Valo FX'!$A:$A,0)),0,IF(EX$1&lt;INDEX('Valo FX'!$R:$R,MATCH($A27,'Valo FX'!$A:$A,0)),INDEX(Base!$U:$U,MATCH($A27,Base!$A:$A,0)),IF(EX$1=INDEX('Valo FX'!$R:$R,MATCH($A27,'Valo FX'!$A:$A,0)),INDEX(Base!$V:$V,MATCH($A27,Base!$A:$A,0)),0)))</f>
        <v>12.050424</v>
      </c>
      <c r="EY27" s="21">
        <f>IF(EY$1&lt;INDEX('Valo FX'!$Q:$Q,MATCH($A27,'Valo FX'!$A:$A,0)),0,IF(EY$1&lt;INDEX('Valo FX'!$R:$R,MATCH($A27,'Valo FX'!$A:$A,0)),INDEX(Base!$U:$U,MATCH($A27,Base!$A:$A,0)),IF(EY$1=INDEX('Valo FX'!$R:$R,MATCH($A27,'Valo FX'!$A:$A,0)),INDEX(Base!$V:$V,MATCH($A27,Base!$A:$A,0)),0)))</f>
        <v>12.050424</v>
      </c>
      <c r="EZ27" s="21">
        <f>IF(EZ$1&lt;INDEX('Valo FX'!$Q:$Q,MATCH($A27,'Valo FX'!$A:$A,0)),0,IF(EZ$1&lt;INDEX('Valo FX'!$R:$R,MATCH($A27,'Valo FX'!$A:$A,0)),INDEX(Base!$U:$U,MATCH($A27,Base!$A:$A,0)),IF(EZ$1=INDEX('Valo FX'!$R:$R,MATCH($A27,'Valo FX'!$A:$A,0)),INDEX(Base!$V:$V,MATCH($A27,Base!$A:$A,0)),0)))</f>
        <v>12.050424</v>
      </c>
      <c r="FA27" s="21">
        <f>IF(FA$1&lt;INDEX('Valo FX'!$Q:$Q,MATCH($A27,'Valo FX'!$A:$A,0)),0,IF(FA$1&lt;INDEX('Valo FX'!$R:$R,MATCH($A27,'Valo FX'!$A:$A,0)),INDEX(Base!$U:$U,MATCH($A27,Base!$A:$A,0)),IF(FA$1=INDEX('Valo FX'!$R:$R,MATCH($A27,'Valo FX'!$A:$A,0)),INDEX(Base!$V:$V,MATCH($A27,Base!$A:$A,0)),0)))</f>
        <v>12.050424</v>
      </c>
      <c r="FB27" s="21">
        <f>IF(FB$1&lt;INDEX('Valo FX'!$Q:$Q,MATCH($A27,'Valo FX'!$A:$A,0)),0,IF(FB$1&lt;INDEX('Valo FX'!$R:$R,MATCH($A27,'Valo FX'!$A:$A,0)),INDEX(Base!$U:$U,MATCH($A27,Base!$A:$A,0)),IF(FB$1=INDEX('Valo FX'!$R:$R,MATCH($A27,'Valo FX'!$A:$A,0)),INDEX(Base!$V:$V,MATCH($A27,Base!$A:$A,0)),0)))</f>
        <v>12.050424</v>
      </c>
      <c r="FC27" s="21">
        <f>IF(FC$1&lt;INDEX('Valo FX'!$Q:$Q,MATCH($A27,'Valo FX'!$A:$A,0)),0,IF(FC$1&lt;INDEX('Valo FX'!$R:$R,MATCH($A27,'Valo FX'!$A:$A,0)),INDEX(Base!$U:$U,MATCH($A27,Base!$A:$A,0)),IF(FC$1=INDEX('Valo FX'!$R:$R,MATCH($A27,'Valo FX'!$A:$A,0)),INDEX(Base!$V:$V,MATCH($A27,Base!$A:$A,0)),0)))</f>
        <v>12.050424</v>
      </c>
      <c r="FD27" s="21">
        <f>IF(FD$1&lt;INDEX('Valo FX'!$Q:$Q,MATCH($A27,'Valo FX'!$A:$A,0)),0,IF(FD$1&lt;INDEX('Valo FX'!$R:$R,MATCH($A27,'Valo FX'!$A:$A,0)),INDEX(Base!$U:$U,MATCH($A27,Base!$A:$A,0)),IF(FD$1=INDEX('Valo FX'!$R:$R,MATCH($A27,'Valo FX'!$A:$A,0)),INDEX(Base!$V:$V,MATCH($A27,Base!$A:$A,0)),0)))</f>
        <v>12.050424</v>
      </c>
      <c r="FE27" s="21">
        <f>IF(FE$1&lt;INDEX('Valo FX'!$Q:$Q,MATCH($A27,'Valo FX'!$A:$A,0)),0,IF(FE$1&lt;INDEX('Valo FX'!$R:$R,MATCH($A27,'Valo FX'!$A:$A,0)),INDEX(Base!$U:$U,MATCH($A27,Base!$A:$A,0)),IF(FE$1=INDEX('Valo FX'!$R:$R,MATCH($A27,'Valo FX'!$A:$A,0)),INDEX(Base!$V:$V,MATCH($A27,Base!$A:$A,0)),0)))</f>
        <v>12.050424</v>
      </c>
      <c r="FF27" s="21">
        <f>IF(FF$1&lt;INDEX('Valo FX'!$Q:$Q,MATCH($A27,'Valo FX'!$A:$A,0)),0,IF(FF$1&lt;INDEX('Valo FX'!$R:$R,MATCH($A27,'Valo FX'!$A:$A,0)),INDEX(Base!$U:$U,MATCH($A27,Base!$A:$A,0)),IF(FF$1=INDEX('Valo FX'!$R:$R,MATCH($A27,'Valo FX'!$A:$A,0)),INDEX(Base!$V:$V,MATCH($A27,Base!$A:$A,0)),0)))</f>
        <v>12.050424</v>
      </c>
      <c r="FG27" s="21">
        <f>IF(FG$1&lt;INDEX('Valo FX'!$Q:$Q,MATCH($A27,'Valo FX'!$A:$A,0)),0,IF(FG$1&lt;INDEX('Valo FX'!$R:$R,MATCH($A27,'Valo FX'!$A:$A,0)),INDEX(Base!$U:$U,MATCH($A27,Base!$A:$A,0)),IF(FG$1=INDEX('Valo FX'!$R:$R,MATCH($A27,'Valo FX'!$A:$A,0)),INDEX(Base!$V:$V,MATCH($A27,Base!$A:$A,0)),0)))</f>
        <v>12.050424</v>
      </c>
      <c r="FH27" s="21">
        <f>IF(FH$1&lt;INDEX('Valo FX'!$Q:$Q,MATCH($A27,'Valo FX'!$A:$A,0)),0,IF(FH$1&lt;INDEX('Valo FX'!$R:$R,MATCH($A27,'Valo FX'!$A:$A,0)),INDEX(Base!$U:$U,MATCH($A27,Base!$A:$A,0)),IF(FH$1=INDEX('Valo FX'!$R:$R,MATCH($A27,'Valo FX'!$A:$A,0)),INDEX(Base!$V:$V,MATCH($A27,Base!$A:$A,0)),0)))</f>
        <v>12.050424</v>
      </c>
      <c r="FI27" s="21">
        <f>IF(FI$1&lt;INDEX('Valo FX'!$Q:$Q,MATCH($A27,'Valo FX'!$A:$A,0)),0,IF(FI$1&lt;INDEX('Valo FX'!$R:$R,MATCH($A27,'Valo FX'!$A:$A,0)),INDEX(Base!$U:$U,MATCH($A27,Base!$A:$A,0)),IF(FI$1=INDEX('Valo FX'!$R:$R,MATCH($A27,'Valo FX'!$A:$A,0)),INDEX(Base!$V:$V,MATCH($A27,Base!$A:$A,0)),0)))</f>
        <v>12.050424</v>
      </c>
      <c r="FJ27" s="21">
        <f>IF(FJ$1&lt;INDEX('Valo FX'!$Q:$Q,MATCH($A27,'Valo FX'!$A:$A,0)),0,IF(FJ$1&lt;INDEX('Valo FX'!$R:$R,MATCH($A27,'Valo FX'!$A:$A,0)),INDEX(Base!$U:$U,MATCH($A27,Base!$A:$A,0)),IF(FJ$1=INDEX('Valo FX'!$R:$R,MATCH($A27,'Valo FX'!$A:$A,0)),INDEX(Base!$V:$V,MATCH($A27,Base!$A:$A,0)),0)))</f>
        <v>12.050424</v>
      </c>
      <c r="FK27" s="21">
        <f>IF(FK$1&lt;INDEX('Valo FX'!$Q:$Q,MATCH($A27,'Valo FX'!$A:$A,0)),0,IF(FK$1&lt;INDEX('Valo FX'!$R:$R,MATCH($A27,'Valo FX'!$A:$A,0)),INDEX(Base!$U:$U,MATCH($A27,Base!$A:$A,0)),IF(FK$1=INDEX('Valo FX'!$R:$R,MATCH($A27,'Valo FX'!$A:$A,0)),INDEX(Base!$V:$V,MATCH($A27,Base!$A:$A,0)),0)))</f>
        <v>12.050424</v>
      </c>
      <c r="FL27" s="21">
        <f>IF(FL$1&lt;INDEX('Valo FX'!$Q:$Q,MATCH($A27,'Valo FX'!$A:$A,0)),0,IF(FL$1&lt;INDEX('Valo FX'!$R:$R,MATCH($A27,'Valo FX'!$A:$A,0)),INDEX(Base!$U:$U,MATCH($A27,Base!$A:$A,0)),IF(FL$1=INDEX('Valo FX'!$R:$R,MATCH($A27,'Valo FX'!$A:$A,0)),INDEX(Base!$V:$V,MATCH($A27,Base!$A:$A,0)),0)))</f>
        <v>12.050424</v>
      </c>
      <c r="FM27" s="21">
        <f>IF(FM$1&lt;INDEX('Valo FX'!$Q:$Q,MATCH($A27,'Valo FX'!$A:$A,0)),0,IF(FM$1&lt;INDEX('Valo FX'!$R:$R,MATCH($A27,'Valo FX'!$A:$A,0)),INDEX(Base!$U:$U,MATCH($A27,Base!$A:$A,0)),IF(FM$1=INDEX('Valo FX'!$R:$R,MATCH($A27,'Valo FX'!$A:$A,0)),INDEX(Base!$V:$V,MATCH($A27,Base!$A:$A,0)),0)))</f>
        <v>12.050424</v>
      </c>
      <c r="FN27" s="21">
        <f>IF(FN$1&lt;INDEX('Valo FX'!$Q:$Q,MATCH($A27,'Valo FX'!$A:$A,0)),0,IF(FN$1&lt;INDEX('Valo FX'!$R:$R,MATCH($A27,'Valo FX'!$A:$A,0)),INDEX(Base!$U:$U,MATCH($A27,Base!$A:$A,0)),IF(FN$1=INDEX('Valo FX'!$R:$R,MATCH($A27,'Valo FX'!$A:$A,0)),INDEX(Base!$V:$V,MATCH($A27,Base!$A:$A,0)),0)))</f>
        <v>12.050424</v>
      </c>
      <c r="FO27" s="21">
        <f>IF(FO$1&lt;INDEX('Valo FX'!$Q:$Q,MATCH($A27,'Valo FX'!$A:$A,0)),0,IF(FO$1&lt;INDEX('Valo FX'!$R:$R,MATCH($A27,'Valo FX'!$A:$A,0)),INDEX(Base!$U:$U,MATCH($A27,Base!$A:$A,0)),IF(FO$1=INDEX('Valo FX'!$R:$R,MATCH($A27,'Valo FX'!$A:$A,0)),INDEX(Base!$V:$V,MATCH($A27,Base!$A:$A,0)),0)))</f>
        <v>12.050424</v>
      </c>
      <c r="FP27" s="21">
        <f>IF(FP$1&lt;INDEX('Valo FX'!$Q:$Q,MATCH($A27,'Valo FX'!$A:$A,0)),0,IF(FP$1&lt;INDEX('Valo FX'!$R:$R,MATCH($A27,'Valo FX'!$A:$A,0)),INDEX(Base!$U:$U,MATCH($A27,Base!$A:$A,0)),IF(FP$1=INDEX('Valo FX'!$R:$R,MATCH($A27,'Valo FX'!$A:$A,0)),INDEX(Base!$V:$V,MATCH($A27,Base!$A:$A,0)),0)))</f>
        <v>12.050424</v>
      </c>
      <c r="FQ27" s="21">
        <f>IF(FQ$1&lt;INDEX('Valo FX'!$Q:$Q,MATCH($A27,'Valo FX'!$A:$A,0)),0,IF(FQ$1&lt;INDEX('Valo FX'!$R:$R,MATCH($A27,'Valo FX'!$A:$A,0)),INDEX(Base!$U:$U,MATCH($A27,Base!$A:$A,0)),IF(FQ$1=INDEX('Valo FX'!$R:$R,MATCH($A27,'Valo FX'!$A:$A,0)),INDEX(Base!$V:$V,MATCH($A27,Base!$A:$A,0)),0)))</f>
        <v>12.050424</v>
      </c>
      <c r="FR27" s="21">
        <f>IF(FR$1&lt;INDEX('Valo FX'!$Q:$Q,MATCH($A27,'Valo FX'!$A:$A,0)),0,IF(FR$1&lt;INDEX('Valo FX'!$R:$R,MATCH($A27,'Valo FX'!$A:$A,0)),INDEX(Base!$U:$U,MATCH($A27,Base!$A:$A,0)),IF(FR$1=INDEX('Valo FX'!$R:$R,MATCH($A27,'Valo FX'!$A:$A,0)),INDEX(Base!$V:$V,MATCH($A27,Base!$A:$A,0)),0)))</f>
        <v>12.050424</v>
      </c>
      <c r="FS27" s="21">
        <f>IF(FS$1&lt;INDEX('Valo FX'!$Q:$Q,MATCH($A27,'Valo FX'!$A:$A,0)),0,IF(FS$1&lt;INDEX('Valo FX'!$R:$R,MATCH($A27,'Valo FX'!$A:$A,0)),INDEX(Base!$U:$U,MATCH($A27,Base!$A:$A,0)),IF(FS$1=INDEX('Valo FX'!$R:$R,MATCH($A27,'Valo FX'!$A:$A,0)),INDEX(Base!$V:$V,MATCH($A27,Base!$A:$A,0)),0)))</f>
        <v>12.050424</v>
      </c>
      <c r="FT27" s="21">
        <f>IF(FT$1&lt;INDEX('Valo FX'!$Q:$Q,MATCH($A27,'Valo FX'!$A:$A,0)),0,IF(FT$1&lt;INDEX('Valo FX'!$R:$R,MATCH($A27,'Valo FX'!$A:$A,0)),INDEX(Base!$U:$U,MATCH($A27,Base!$A:$A,0)),IF(FT$1=INDEX('Valo FX'!$R:$R,MATCH($A27,'Valo FX'!$A:$A,0)),INDEX(Base!$V:$V,MATCH($A27,Base!$A:$A,0)),0)))</f>
        <v>12.050424</v>
      </c>
      <c r="FU27" s="21">
        <f>IF(FU$1&lt;INDEX('Valo FX'!$Q:$Q,MATCH($A27,'Valo FX'!$A:$A,0)),0,IF(FU$1&lt;INDEX('Valo FX'!$R:$R,MATCH($A27,'Valo FX'!$A:$A,0)),INDEX(Base!$U:$U,MATCH($A27,Base!$A:$A,0)),IF(FU$1=INDEX('Valo FX'!$R:$R,MATCH($A27,'Valo FX'!$A:$A,0)),INDEX(Base!$V:$V,MATCH($A27,Base!$A:$A,0)),0)))</f>
        <v>12.050424</v>
      </c>
      <c r="FV27" s="21">
        <f>IF(FV$1&lt;INDEX('Valo FX'!$Q:$Q,MATCH($A27,'Valo FX'!$A:$A,0)),0,IF(FV$1&lt;INDEX('Valo FX'!$R:$R,MATCH($A27,'Valo FX'!$A:$A,0)),INDEX(Base!$U:$U,MATCH($A27,Base!$A:$A,0)),IF(FV$1=INDEX('Valo FX'!$R:$R,MATCH($A27,'Valo FX'!$A:$A,0)),INDEX(Base!$V:$V,MATCH($A27,Base!$A:$A,0)),0)))</f>
        <v>12.050424</v>
      </c>
      <c r="FW27" s="21">
        <f>IF(FW$1&lt;INDEX('Valo FX'!$Q:$Q,MATCH($A27,'Valo FX'!$A:$A,0)),0,IF(FW$1&lt;INDEX('Valo FX'!$R:$R,MATCH($A27,'Valo FX'!$A:$A,0)),INDEX(Base!$U:$U,MATCH($A27,Base!$A:$A,0)),IF(FW$1=INDEX('Valo FX'!$R:$R,MATCH($A27,'Valo FX'!$A:$A,0)),INDEX(Base!$V:$V,MATCH($A27,Base!$A:$A,0)),0)))</f>
        <v>12.050424</v>
      </c>
      <c r="FX27" s="21">
        <f>IF(FX$1&lt;INDEX('Valo FX'!$Q:$Q,MATCH($A27,'Valo FX'!$A:$A,0)),0,IF(FX$1&lt;INDEX('Valo FX'!$R:$R,MATCH($A27,'Valo FX'!$A:$A,0)),INDEX(Base!$U:$U,MATCH($A27,Base!$A:$A,0)),IF(FX$1=INDEX('Valo FX'!$R:$R,MATCH($A27,'Valo FX'!$A:$A,0)),INDEX(Base!$V:$V,MATCH($A27,Base!$A:$A,0)),0)))</f>
        <v>12.050424</v>
      </c>
      <c r="FY27" s="21">
        <f>IF(FY$1&lt;INDEX('Valo FX'!$Q:$Q,MATCH($A27,'Valo FX'!$A:$A,0)),0,IF(FY$1&lt;INDEX('Valo FX'!$R:$R,MATCH($A27,'Valo FX'!$A:$A,0)),INDEX(Base!$U:$U,MATCH($A27,Base!$A:$A,0)),IF(FY$1=INDEX('Valo FX'!$R:$R,MATCH($A27,'Valo FX'!$A:$A,0)),INDEX(Base!$V:$V,MATCH($A27,Base!$A:$A,0)),0)))</f>
        <v>12.050424</v>
      </c>
      <c r="FZ27" s="21">
        <f>IF(FZ$1&lt;INDEX('Valo FX'!$Q:$Q,MATCH($A27,'Valo FX'!$A:$A,0)),0,IF(FZ$1&lt;INDEX('Valo FX'!$R:$R,MATCH($A27,'Valo FX'!$A:$A,0)),INDEX(Base!$U:$U,MATCH($A27,Base!$A:$A,0)),IF(FZ$1=INDEX('Valo FX'!$R:$R,MATCH($A27,'Valo FX'!$A:$A,0)),INDEX(Base!$V:$V,MATCH($A27,Base!$A:$A,0)),0)))</f>
        <v>12.050424</v>
      </c>
      <c r="GA27" s="21">
        <f>IF(GA$1&lt;INDEX('Valo FX'!$Q:$Q,MATCH($A27,'Valo FX'!$A:$A,0)),0,IF(GA$1&lt;INDEX('Valo FX'!$R:$R,MATCH($A27,'Valo FX'!$A:$A,0)),INDEX(Base!$U:$U,MATCH($A27,Base!$A:$A,0)),IF(GA$1=INDEX('Valo FX'!$R:$R,MATCH($A27,'Valo FX'!$A:$A,0)),INDEX(Base!$V:$V,MATCH($A27,Base!$A:$A,0)),0)))</f>
        <v>12.050424</v>
      </c>
      <c r="GB27" s="21">
        <f>IF(GB$1&lt;INDEX('Valo FX'!$Q:$Q,MATCH($A27,'Valo FX'!$A:$A,0)),0,IF(GB$1&lt;INDEX('Valo FX'!$R:$R,MATCH($A27,'Valo FX'!$A:$A,0)),INDEX(Base!$U:$U,MATCH($A27,Base!$A:$A,0)),IF(GB$1=INDEX('Valo FX'!$R:$R,MATCH($A27,'Valo FX'!$A:$A,0)),INDEX(Base!$V:$V,MATCH($A27,Base!$A:$A,0)),0)))</f>
        <v>12.050424</v>
      </c>
      <c r="GC27" s="21">
        <f>IF(GC$1&lt;INDEX('Valo FX'!$Q:$Q,MATCH($A27,'Valo FX'!$A:$A,0)),0,IF(GC$1&lt;INDEX('Valo FX'!$R:$R,MATCH($A27,'Valo FX'!$A:$A,0)),INDEX(Base!$U:$U,MATCH($A27,Base!$A:$A,0)),IF(GC$1=INDEX('Valo FX'!$R:$R,MATCH($A27,'Valo FX'!$A:$A,0)),INDEX(Base!$V:$V,MATCH($A27,Base!$A:$A,0)),0)))</f>
        <v>12.050424</v>
      </c>
      <c r="GD27" s="21">
        <f>IF(GD$1&lt;INDEX('Valo FX'!$Q:$Q,MATCH($A27,'Valo FX'!$A:$A,0)),0,IF(GD$1&lt;INDEX('Valo FX'!$R:$R,MATCH($A27,'Valo FX'!$A:$A,0)),INDEX(Base!$U:$U,MATCH($A27,Base!$A:$A,0)),IF(GD$1=INDEX('Valo FX'!$R:$R,MATCH($A27,'Valo FX'!$A:$A,0)),INDEX(Base!$V:$V,MATCH($A27,Base!$A:$A,0)),0)))</f>
        <v>12.050424</v>
      </c>
      <c r="GE27" s="21">
        <f>IF(GE$1&lt;INDEX('Valo FX'!$Q:$Q,MATCH($A27,'Valo FX'!$A:$A,0)),0,IF(GE$1&lt;INDEX('Valo FX'!$R:$R,MATCH($A27,'Valo FX'!$A:$A,0)),INDEX(Base!$U:$U,MATCH($A27,Base!$A:$A,0)),IF(GE$1=INDEX('Valo FX'!$R:$R,MATCH($A27,'Valo FX'!$A:$A,0)),INDEX(Base!$V:$V,MATCH($A27,Base!$A:$A,0)),0)))</f>
        <v>12.050424</v>
      </c>
      <c r="GF27" s="21">
        <f>IF(GF$1&lt;INDEX('Valo FX'!$Q:$Q,MATCH($A27,'Valo FX'!$A:$A,0)),0,IF(GF$1&lt;INDEX('Valo FX'!$R:$R,MATCH($A27,'Valo FX'!$A:$A,0)),INDEX(Base!$U:$U,MATCH($A27,Base!$A:$A,0)),IF(GF$1=INDEX('Valo FX'!$R:$R,MATCH($A27,'Valo FX'!$A:$A,0)),INDEX(Base!$V:$V,MATCH($A27,Base!$A:$A,0)),0)))</f>
        <v>12.050424</v>
      </c>
      <c r="GG27" s="21">
        <f>IF(GG$1&lt;INDEX('Valo FX'!$Q:$Q,MATCH($A27,'Valo FX'!$A:$A,0)),0,IF(GG$1&lt;INDEX('Valo FX'!$R:$R,MATCH($A27,'Valo FX'!$A:$A,0)),INDEX(Base!$U:$U,MATCH($A27,Base!$A:$A,0)),IF(GG$1=INDEX('Valo FX'!$R:$R,MATCH($A27,'Valo FX'!$A:$A,0)),INDEX(Base!$V:$V,MATCH($A27,Base!$A:$A,0)),0)))</f>
        <v>12.050424</v>
      </c>
      <c r="GH27" s="21">
        <f>IF(GH$1&lt;INDEX('Valo FX'!$Q:$Q,MATCH($A27,'Valo FX'!$A:$A,0)),0,IF(GH$1&lt;INDEX('Valo FX'!$R:$R,MATCH($A27,'Valo FX'!$A:$A,0)),INDEX(Base!$U:$U,MATCH($A27,Base!$A:$A,0)),IF(GH$1=INDEX('Valo FX'!$R:$R,MATCH($A27,'Valo FX'!$A:$A,0)),INDEX(Base!$V:$V,MATCH($A27,Base!$A:$A,0)),0)))</f>
        <v>12.050424</v>
      </c>
      <c r="GI27" s="21">
        <f>IF(GI$1&lt;INDEX('Valo FX'!$Q:$Q,MATCH($A27,'Valo FX'!$A:$A,0)),0,IF(GI$1&lt;INDEX('Valo FX'!$R:$R,MATCH($A27,'Valo FX'!$A:$A,0)),INDEX(Base!$U:$U,MATCH($A27,Base!$A:$A,0)),IF(GI$1=INDEX('Valo FX'!$R:$R,MATCH($A27,'Valo FX'!$A:$A,0)),INDEX(Base!$V:$V,MATCH($A27,Base!$A:$A,0)),0)))</f>
        <v>12.050424</v>
      </c>
      <c r="GJ27" s="21">
        <f>IF(GJ$1&lt;INDEX('Valo FX'!$Q:$Q,MATCH($A27,'Valo FX'!$A:$A,0)),0,IF(GJ$1&lt;INDEX('Valo FX'!$R:$R,MATCH($A27,'Valo FX'!$A:$A,0)),INDEX(Base!$U:$U,MATCH($A27,Base!$A:$A,0)),IF(GJ$1=INDEX('Valo FX'!$R:$R,MATCH($A27,'Valo FX'!$A:$A,0)),INDEX(Base!$V:$V,MATCH($A27,Base!$A:$A,0)),0)))</f>
        <v>12.050424</v>
      </c>
      <c r="GK27" s="21">
        <f>IF(GK$1&lt;INDEX('Valo FX'!$Q:$Q,MATCH($A27,'Valo FX'!$A:$A,0)),0,IF(GK$1&lt;INDEX('Valo FX'!$R:$R,MATCH($A27,'Valo FX'!$A:$A,0)),INDEX(Base!$U:$U,MATCH($A27,Base!$A:$A,0)),IF(GK$1=INDEX('Valo FX'!$R:$R,MATCH($A27,'Valo FX'!$A:$A,0)),INDEX(Base!$V:$V,MATCH($A27,Base!$A:$A,0)),0)))</f>
        <v>12.050424</v>
      </c>
      <c r="GL27" s="21">
        <f>IF(GL$1&lt;INDEX('Valo FX'!$Q:$Q,MATCH($A27,'Valo FX'!$A:$A,0)),0,IF(GL$1&lt;INDEX('Valo FX'!$R:$R,MATCH($A27,'Valo FX'!$A:$A,0)),INDEX(Base!$U:$U,MATCH($A27,Base!$A:$A,0)),IF(GL$1=INDEX('Valo FX'!$R:$R,MATCH($A27,'Valo FX'!$A:$A,0)),INDEX(Base!$V:$V,MATCH($A27,Base!$A:$A,0)),0)))</f>
        <v>12.050424</v>
      </c>
      <c r="GM27" s="21">
        <f>IF(GM$1&lt;INDEX('Valo FX'!$Q:$Q,MATCH($A27,'Valo FX'!$A:$A,0)),0,IF(GM$1&lt;INDEX('Valo FX'!$R:$R,MATCH($A27,'Valo FX'!$A:$A,0)),INDEX(Base!$U:$U,MATCH($A27,Base!$A:$A,0)),IF(GM$1=INDEX('Valo FX'!$R:$R,MATCH($A27,'Valo FX'!$A:$A,0)),INDEX(Base!$V:$V,MATCH($A27,Base!$A:$A,0)),0)))</f>
        <v>12.050424</v>
      </c>
      <c r="GN27" s="21">
        <f>IF(GN$1&lt;INDEX('Valo FX'!$Q:$Q,MATCH($A27,'Valo FX'!$A:$A,0)),0,IF(GN$1&lt;INDEX('Valo FX'!$R:$R,MATCH($A27,'Valo FX'!$A:$A,0)),INDEX(Base!$U:$U,MATCH($A27,Base!$A:$A,0)),IF(GN$1=INDEX('Valo FX'!$R:$R,MATCH($A27,'Valo FX'!$A:$A,0)),INDEX(Base!$V:$V,MATCH($A27,Base!$A:$A,0)),0)))</f>
        <v>12.050424</v>
      </c>
      <c r="GO27" s="21">
        <f>IF(GO$1&lt;INDEX('Valo FX'!$Q:$Q,MATCH($A27,'Valo FX'!$A:$A,0)),0,IF(GO$1&lt;INDEX('Valo FX'!$R:$R,MATCH($A27,'Valo FX'!$A:$A,0)),INDEX(Base!$U:$U,MATCH($A27,Base!$A:$A,0)),IF(GO$1=INDEX('Valo FX'!$R:$R,MATCH($A27,'Valo FX'!$A:$A,0)),INDEX(Base!$V:$V,MATCH($A27,Base!$A:$A,0)),0)))</f>
        <v>12.050424</v>
      </c>
      <c r="GP27" s="21">
        <f>IF(GP$1&lt;INDEX('Valo FX'!$Q:$Q,MATCH($A27,'Valo FX'!$A:$A,0)),0,IF(GP$1&lt;INDEX('Valo FX'!$R:$R,MATCH($A27,'Valo FX'!$A:$A,0)),INDEX(Base!$U:$U,MATCH($A27,Base!$A:$A,0)),IF(GP$1=INDEX('Valo FX'!$R:$R,MATCH($A27,'Valo FX'!$A:$A,0)),INDEX(Base!$V:$V,MATCH($A27,Base!$A:$A,0)),0)))</f>
        <v>12.050424</v>
      </c>
      <c r="GQ27" s="21">
        <f>IF(GQ$1&lt;INDEX('Valo FX'!$Q:$Q,MATCH($A27,'Valo FX'!$A:$A,0)),0,IF(GQ$1&lt;INDEX('Valo FX'!$R:$R,MATCH($A27,'Valo FX'!$A:$A,0)),INDEX(Base!$U:$U,MATCH($A27,Base!$A:$A,0)),IF(GQ$1=INDEX('Valo FX'!$R:$R,MATCH($A27,'Valo FX'!$A:$A,0)),INDEX(Base!$V:$V,MATCH($A27,Base!$A:$A,0)),0)))</f>
        <v>12.050424</v>
      </c>
      <c r="GR27" s="21">
        <f>IF(GR$1&lt;INDEX('Valo FX'!$Q:$Q,MATCH($A27,'Valo FX'!$A:$A,0)),0,IF(GR$1&lt;INDEX('Valo FX'!$R:$R,MATCH($A27,'Valo FX'!$A:$A,0)),INDEX(Base!$U:$U,MATCH($A27,Base!$A:$A,0)),IF(GR$1=INDEX('Valo FX'!$R:$R,MATCH($A27,'Valo FX'!$A:$A,0)),INDEX(Base!$V:$V,MATCH($A27,Base!$A:$A,0)),0)))</f>
        <v>12.050424</v>
      </c>
      <c r="GS27" s="21">
        <f>IF(GS$1&lt;INDEX('Valo FX'!$Q:$Q,MATCH($A27,'Valo FX'!$A:$A,0)),0,IF(GS$1&lt;INDEX('Valo FX'!$R:$R,MATCH($A27,'Valo FX'!$A:$A,0)),INDEX(Base!$U:$U,MATCH($A27,Base!$A:$A,0)),IF(GS$1=INDEX('Valo FX'!$R:$R,MATCH($A27,'Valo FX'!$A:$A,0)),INDEX(Base!$V:$V,MATCH($A27,Base!$A:$A,0)),0)))</f>
        <v>12.050424</v>
      </c>
      <c r="GT27" s="21">
        <f>IF(GT$1&lt;INDEX('Valo FX'!$Q:$Q,MATCH($A27,'Valo FX'!$A:$A,0)),0,IF(GT$1&lt;INDEX('Valo FX'!$R:$R,MATCH($A27,'Valo FX'!$A:$A,0)),INDEX(Base!$U:$U,MATCH($A27,Base!$A:$A,0)),IF(GT$1=INDEX('Valo FX'!$R:$R,MATCH($A27,'Valo FX'!$A:$A,0)),INDEX(Base!$V:$V,MATCH($A27,Base!$A:$A,0)),0)))</f>
        <v>12.050424</v>
      </c>
      <c r="GU27" s="21">
        <f>IF(GU$1&lt;INDEX('Valo FX'!$Q:$Q,MATCH($A27,'Valo FX'!$A:$A,0)),0,IF(GU$1&lt;INDEX('Valo FX'!$R:$R,MATCH($A27,'Valo FX'!$A:$A,0)),INDEX(Base!$U:$U,MATCH($A27,Base!$A:$A,0)),IF(GU$1=INDEX('Valo FX'!$R:$R,MATCH($A27,'Valo FX'!$A:$A,0)),INDEX(Base!$V:$V,MATCH($A27,Base!$A:$A,0)),0)))</f>
        <v>12.050424</v>
      </c>
      <c r="GV27" s="21">
        <f>IF(GV$1&lt;INDEX('Valo FX'!$Q:$Q,MATCH($A27,'Valo FX'!$A:$A,0)),0,IF(GV$1&lt;INDEX('Valo FX'!$R:$R,MATCH($A27,'Valo FX'!$A:$A,0)),INDEX(Base!$U:$U,MATCH($A27,Base!$A:$A,0)),IF(GV$1=INDEX('Valo FX'!$R:$R,MATCH($A27,'Valo FX'!$A:$A,0)),INDEX(Base!$V:$V,MATCH($A27,Base!$A:$A,0)),0)))</f>
        <v>12.050424</v>
      </c>
      <c r="GW27" s="21">
        <f>IF(GW$1&lt;INDEX('Valo FX'!$Q:$Q,MATCH($A27,'Valo FX'!$A:$A,0)),0,IF(GW$1&lt;INDEX('Valo FX'!$R:$R,MATCH($A27,'Valo FX'!$A:$A,0)),INDEX(Base!$U:$U,MATCH($A27,Base!$A:$A,0)),IF(GW$1=INDEX('Valo FX'!$R:$R,MATCH($A27,'Valo FX'!$A:$A,0)),INDEX(Base!$V:$V,MATCH($A27,Base!$A:$A,0)),0)))</f>
        <v>12.050424</v>
      </c>
      <c r="GX27" s="21">
        <f>IF(GX$1&lt;INDEX('Valo FX'!$Q:$Q,MATCH($A27,'Valo FX'!$A:$A,0)),0,IF(GX$1&lt;INDEX('Valo FX'!$R:$R,MATCH($A27,'Valo FX'!$A:$A,0)),INDEX(Base!$U:$U,MATCH($A27,Base!$A:$A,0)),IF(GX$1=INDEX('Valo FX'!$R:$R,MATCH($A27,'Valo FX'!$A:$A,0)),INDEX(Base!$V:$V,MATCH($A27,Base!$A:$A,0)),0)))</f>
        <v>12.050424</v>
      </c>
      <c r="GY27" s="21">
        <f>IF(GY$1&lt;INDEX('Valo FX'!$Q:$Q,MATCH($A27,'Valo FX'!$A:$A,0)),0,IF(GY$1&lt;INDEX('Valo FX'!$R:$R,MATCH($A27,'Valo FX'!$A:$A,0)),INDEX(Base!$U:$U,MATCH($A27,Base!$A:$A,0)),IF(GY$1=INDEX('Valo FX'!$R:$R,MATCH($A27,'Valo FX'!$A:$A,0)),INDEX(Base!$V:$V,MATCH($A27,Base!$A:$A,0)),0)))</f>
        <v>12.050424</v>
      </c>
      <c r="GZ27" s="21">
        <f>IF(GZ$1&lt;INDEX('Valo FX'!$Q:$Q,MATCH($A27,'Valo FX'!$A:$A,0)),0,IF(GZ$1&lt;INDEX('Valo FX'!$R:$R,MATCH($A27,'Valo FX'!$A:$A,0)),INDEX(Base!$U:$U,MATCH($A27,Base!$A:$A,0)),IF(GZ$1=INDEX('Valo FX'!$R:$R,MATCH($A27,'Valo FX'!$A:$A,0)),INDEX(Base!$V:$V,MATCH($A27,Base!$A:$A,0)),0)))</f>
        <v>12.050424</v>
      </c>
      <c r="HA27" s="21">
        <f>IF(HA$1&lt;INDEX('Valo FX'!$Q:$Q,MATCH($A27,'Valo FX'!$A:$A,0)),0,IF(HA$1&lt;INDEX('Valo FX'!$R:$R,MATCH($A27,'Valo FX'!$A:$A,0)),INDEX(Base!$U:$U,MATCH($A27,Base!$A:$A,0)),IF(HA$1=INDEX('Valo FX'!$R:$R,MATCH($A27,'Valo FX'!$A:$A,0)),INDEX(Base!$V:$V,MATCH($A27,Base!$A:$A,0)),0)))</f>
        <v>12.050424</v>
      </c>
      <c r="HB27" s="21">
        <f>IF(HB$1&lt;INDEX('Valo FX'!$Q:$Q,MATCH($A27,'Valo FX'!$A:$A,0)),0,IF(HB$1&lt;INDEX('Valo FX'!$R:$R,MATCH($A27,'Valo FX'!$A:$A,0)),INDEX(Base!$U:$U,MATCH($A27,Base!$A:$A,0)),IF(HB$1=INDEX('Valo FX'!$R:$R,MATCH($A27,'Valo FX'!$A:$A,0)),INDEX(Base!$V:$V,MATCH($A27,Base!$A:$A,0)),0)))</f>
        <v>12.050424</v>
      </c>
      <c r="HC27" s="21">
        <f>IF(HC$1&lt;INDEX('Valo FX'!$Q:$Q,MATCH($A27,'Valo FX'!$A:$A,0)),0,IF(HC$1&lt;INDEX('Valo FX'!$R:$R,MATCH($A27,'Valo FX'!$A:$A,0)),INDEX(Base!$U:$U,MATCH($A27,Base!$A:$A,0)),IF(HC$1=INDEX('Valo FX'!$R:$R,MATCH($A27,'Valo FX'!$A:$A,0)),INDEX(Base!$V:$V,MATCH($A27,Base!$A:$A,0)),0)))</f>
        <v>12.050424</v>
      </c>
      <c r="HD27" s="21">
        <f>IF(HD$1&lt;INDEX('Valo FX'!$Q:$Q,MATCH($A27,'Valo FX'!$A:$A,0)),0,IF(HD$1&lt;INDEX('Valo FX'!$R:$R,MATCH($A27,'Valo FX'!$A:$A,0)),INDEX(Base!$U:$U,MATCH($A27,Base!$A:$A,0)),IF(HD$1=INDEX('Valo FX'!$R:$R,MATCH($A27,'Valo FX'!$A:$A,0)),INDEX(Base!$V:$V,MATCH($A27,Base!$A:$A,0)),0)))</f>
        <v>12.050424</v>
      </c>
      <c r="HE27" s="21">
        <f>IF(HE$1&lt;INDEX('Valo FX'!$Q:$Q,MATCH($A27,'Valo FX'!$A:$A,0)),0,IF(HE$1&lt;INDEX('Valo FX'!$R:$R,MATCH($A27,'Valo FX'!$A:$A,0)),INDEX(Base!$U:$U,MATCH($A27,Base!$A:$A,0)),IF(HE$1=INDEX('Valo FX'!$R:$R,MATCH($A27,'Valo FX'!$A:$A,0)),INDEX(Base!$V:$V,MATCH($A27,Base!$A:$A,0)),0)))</f>
        <v>12.050424</v>
      </c>
      <c r="HF27" s="21">
        <f>IF(HF$1&lt;INDEX('Valo FX'!$Q:$Q,MATCH($A27,'Valo FX'!$A:$A,0)),0,IF(HF$1&lt;INDEX('Valo FX'!$R:$R,MATCH($A27,'Valo FX'!$A:$A,0)),INDEX(Base!$U:$U,MATCH($A27,Base!$A:$A,0)),IF(HF$1=INDEX('Valo FX'!$R:$R,MATCH($A27,'Valo FX'!$A:$A,0)),INDEX(Base!$V:$V,MATCH($A27,Base!$A:$A,0)),0)))</f>
        <v>12.050424</v>
      </c>
      <c r="HG27" s="21">
        <f>IF(HG$1&lt;INDEX('Valo FX'!$Q:$Q,MATCH($A27,'Valo FX'!$A:$A,0)),0,IF(HG$1&lt;INDEX('Valo FX'!$R:$R,MATCH($A27,'Valo FX'!$A:$A,0)),INDEX(Base!$U:$U,MATCH($A27,Base!$A:$A,0)),IF(HG$1=INDEX('Valo FX'!$R:$R,MATCH($A27,'Valo FX'!$A:$A,0)),INDEX(Base!$V:$V,MATCH($A27,Base!$A:$A,0)),0)))</f>
        <v>12.050424</v>
      </c>
      <c r="HH27" s="21">
        <f>IF(HH$1&lt;INDEX('Valo FX'!$Q:$Q,MATCH($A27,'Valo FX'!$A:$A,0)),0,IF(HH$1&lt;INDEX('Valo FX'!$R:$R,MATCH($A27,'Valo FX'!$A:$A,0)),INDEX(Base!$U:$U,MATCH($A27,Base!$A:$A,0)),IF(HH$1=INDEX('Valo FX'!$R:$R,MATCH($A27,'Valo FX'!$A:$A,0)),INDEX(Base!$V:$V,MATCH($A27,Base!$A:$A,0)),0)))</f>
        <v>12.050424</v>
      </c>
      <c r="HI27" s="21">
        <f>IF(HI$1&lt;INDEX('Valo FX'!$Q:$Q,MATCH($A27,'Valo FX'!$A:$A,0)),0,IF(HI$1&lt;INDEX('Valo FX'!$R:$R,MATCH($A27,'Valo FX'!$A:$A,0)),INDEX(Base!$U:$U,MATCH($A27,Base!$A:$A,0)),IF(HI$1=INDEX('Valo FX'!$R:$R,MATCH($A27,'Valo FX'!$A:$A,0)),INDEX(Base!$V:$V,MATCH($A27,Base!$A:$A,0)),0)))</f>
        <v>12.050424</v>
      </c>
      <c r="HJ27" s="21">
        <f>IF(HJ$1&lt;INDEX('Valo FX'!$Q:$Q,MATCH($A27,'Valo FX'!$A:$A,0)),0,IF(HJ$1&lt;INDEX('Valo FX'!$R:$R,MATCH($A27,'Valo FX'!$A:$A,0)),INDEX(Base!$U:$U,MATCH($A27,Base!$A:$A,0)),IF(HJ$1=INDEX('Valo FX'!$R:$R,MATCH($A27,'Valo FX'!$A:$A,0)),INDEX(Base!$V:$V,MATCH($A27,Base!$A:$A,0)),0)))</f>
        <v>12.050424</v>
      </c>
      <c r="HK27" s="21">
        <f>IF(HK$1&lt;INDEX('Valo FX'!$Q:$Q,MATCH($A27,'Valo FX'!$A:$A,0)),0,IF(HK$1&lt;INDEX('Valo FX'!$R:$R,MATCH($A27,'Valo FX'!$A:$A,0)),INDEX(Base!$U:$U,MATCH($A27,Base!$A:$A,0)),IF(HK$1=INDEX('Valo FX'!$R:$R,MATCH($A27,'Valo FX'!$A:$A,0)),INDEX(Base!$V:$V,MATCH($A27,Base!$A:$A,0)),0)))</f>
        <v>12.050424</v>
      </c>
      <c r="HL27" s="21">
        <f>IF(HL$1&lt;INDEX('Valo FX'!$Q:$Q,MATCH($A27,'Valo FX'!$A:$A,0)),0,IF(HL$1&lt;INDEX('Valo FX'!$R:$R,MATCH($A27,'Valo FX'!$A:$A,0)),INDEX(Base!$U:$U,MATCH($A27,Base!$A:$A,0)),IF(HL$1=INDEX('Valo FX'!$R:$R,MATCH($A27,'Valo FX'!$A:$A,0)),INDEX(Base!$V:$V,MATCH($A27,Base!$A:$A,0)),0)))</f>
        <v>12.050424</v>
      </c>
      <c r="HM27" s="21">
        <f>IF(HM$1&lt;INDEX('Valo FX'!$Q:$Q,MATCH($A27,'Valo FX'!$A:$A,0)),0,IF(HM$1&lt;INDEX('Valo FX'!$R:$R,MATCH($A27,'Valo FX'!$A:$A,0)),INDEX(Base!$U:$U,MATCH($A27,Base!$A:$A,0)),IF(HM$1=INDEX('Valo FX'!$R:$R,MATCH($A27,'Valo FX'!$A:$A,0)),INDEX(Base!$V:$V,MATCH($A27,Base!$A:$A,0)),0)))</f>
        <v>12.050424</v>
      </c>
      <c r="HN27" s="21">
        <f>IF(HN$1&lt;INDEX('Valo FX'!$Q:$Q,MATCH($A27,'Valo FX'!$A:$A,0)),0,IF(HN$1&lt;INDEX('Valo FX'!$R:$R,MATCH($A27,'Valo FX'!$A:$A,0)),INDEX(Base!$U:$U,MATCH($A27,Base!$A:$A,0)),IF(HN$1=INDEX('Valo FX'!$R:$R,MATCH($A27,'Valo FX'!$A:$A,0)),INDEX(Base!$V:$V,MATCH($A27,Base!$A:$A,0)),0)))</f>
        <v>12.050424</v>
      </c>
      <c r="HO27" s="21">
        <f>IF(HO$1&lt;INDEX('Valo FX'!$Q:$Q,MATCH($A27,'Valo FX'!$A:$A,0)),0,IF(HO$1&lt;INDEX('Valo FX'!$R:$R,MATCH($A27,'Valo FX'!$A:$A,0)),INDEX(Base!$U:$U,MATCH($A27,Base!$A:$A,0)),IF(HO$1=INDEX('Valo FX'!$R:$R,MATCH($A27,'Valo FX'!$A:$A,0)),INDEX(Base!$V:$V,MATCH($A27,Base!$A:$A,0)),0)))</f>
        <v>12.050424</v>
      </c>
      <c r="HP27" s="21">
        <f>IF(HP$1&lt;INDEX('Valo FX'!$Q:$Q,MATCH($A27,'Valo FX'!$A:$A,0)),0,IF(HP$1&lt;INDEX('Valo FX'!$R:$R,MATCH($A27,'Valo FX'!$A:$A,0)),INDEX(Base!$U:$U,MATCH($A27,Base!$A:$A,0)),IF(HP$1=INDEX('Valo FX'!$R:$R,MATCH($A27,'Valo FX'!$A:$A,0)),INDEX(Base!$V:$V,MATCH($A27,Base!$A:$A,0)),0)))</f>
        <v>12.050424</v>
      </c>
      <c r="HQ27" s="21">
        <f>IF(HQ$1&lt;INDEX('Valo FX'!$Q:$Q,MATCH($A27,'Valo FX'!$A:$A,0)),0,IF(HQ$1&lt;INDEX('Valo FX'!$R:$R,MATCH($A27,'Valo FX'!$A:$A,0)),INDEX(Base!$U:$U,MATCH($A27,Base!$A:$A,0)),IF(HQ$1=INDEX('Valo FX'!$R:$R,MATCH($A27,'Valo FX'!$A:$A,0)),INDEX(Base!$V:$V,MATCH($A27,Base!$A:$A,0)),0)))</f>
        <v>12.050424</v>
      </c>
      <c r="HR27" s="21">
        <f>IF(HR$1&lt;INDEX('Valo FX'!$Q:$Q,MATCH($A27,'Valo FX'!$A:$A,0)),0,IF(HR$1&lt;INDEX('Valo FX'!$R:$R,MATCH($A27,'Valo FX'!$A:$A,0)),INDEX(Base!$U:$U,MATCH($A27,Base!$A:$A,0)),IF(HR$1=INDEX('Valo FX'!$R:$R,MATCH($A27,'Valo FX'!$A:$A,0)),INDEX(Base!$V:$V,MATCH($A27,Base!$A:$A,0)),0)))</f>
        <v>12.050424</v>
      </c>
      <c r="HS27" s="21">
        <f>IF(HS$1&lt;INDEX('Valo FX'!$Q:$Q,MATCH($A27,'Valo FX'!$A:$A,0)),0,IF(HS$1&lt;INDEX('Valo FX'!$R:$R,MATCH($A27,'Valo FX'!$A:$A,0)),INDEX(Base!$U:$U,MATCH($A27,Base!$A:$A,0)),IF(HS$1=INDEX('Valo FX'!$R:$R,MATCH($A27,'Valo FX'!$A:$A,0)),INDEX(Base!$V:$V,MATCH($A27,Base!$A:$A,0)),0)))</f>
        <v>12.050424</v>
      </c>
      <c r="HT27" s="21">
        <f>IF(HT$1&lt;INDEX('Valo FX'!$Q:$Q,MATCH($A27,'Valo FX'!$A:$A,0)),0,IF(HT$1&lt;INDEX('Valo FX'!$R:$R,MATCH($A27,'Valo FX'!$A:$A,0)),INDEX(Base!$U:$U,MATCH($A27,Base!$A:$A,0)),IF(HT$1=INDEX('Valo FX'!$R:$R,MATCH($A27,'Valo FX'!$A:$A,0)),INDEX(Base!$V:$V,MATCH($A27,Base!$A:$A,0)),0)))</f>
        <v>12.050424</v>
      </c>
      <c r="HU27" s="21">
        <f>IF(HU$1&lt;INDEX('Valo FX'!$Q:$Q,MATCH($A27,'Valo FX'!$A:$A,0)),0,IF(HU$1&lt;INDEX('Valo FX'!$R:$R,MATCH($A27,'Valo FX'!$A:$A,0)),INDEX(Base!$U:$U,MATCH($A27,Base!$A:$A,0)),IF(HU$1=INDEX('Valo FX'!$R:$R,MATCH($A27,'Valo FX'!$A:$A,0)),INDEX(Base!$V:$V,MATCH($A27,Base!$A:$A,0)),0)))</f>
        <v>12.050424</v>
      </c>
      <c r="HV27" s="21">
        <f>IF(HV$1&lt;INDEX('Valo FX'!$Q:$Q,MATCH($A27,'Valo FX'!$A:$A,0)),0,IF(HV$1&lt;INDEX('Valo FX'!$R:$R,MATCH($A27,'Valo FX'!$A:$A,0)),INDEX(Base!$U:$U,MATCH($A27,Base!$A:$A,0)),IF(HV$1=INDEX('Valo FX'!$R:$R,MATCH($A27,'Valo FX'!$A:$A,0)),INDEX(Base!$V:$V,MATCH($A27,Base!$A:$A,0)),0)))</f>
        <v>12.050424</v>
      </c>
      <c r="HW27" s="21">
        <f>IF(HW$1&lt;INDEX('Valo FX'!$Q:$Q,MATCH($A27,'Valo FX'!$A:$A,0)),0,IF(HW$1&lt;INDEX('Valo FX'!$R:$R,MATCH($A27,'Valo FX'!$A:$A,0)),INDEX(Base!$U:$U,MATCH($A27,Base!$A:$A,0)),IF(HW$1=INDEX('Valo FX'!$R:$R,MATCH($A27,'Valo FX'!$A:$A,0)),INDEX(Base!$V:$V,MATCH($A27,Base!$A:$A,0)),0)))</f>
        <v>12.050424</v>
      </c>
      <c r="HX27" s="21">
        <f>IF(HX$1&lt;INDEX('Valo FX'!$Q:$Q,MATCH($A27,'Valo FX'!$A:$A,0)),0,IF(HX$1&lt;INDEX('Valo FX'!$R:$R,MATCH($A27,'Valo FX'!$A:$A,0)),INDEX(Base!$U:$U,MATCH($A27,Base!$A:$A,0)),IF(HX$1=INDEX('Valo FX'!$R:$R,MATCH($A27,'Valo FX'!$A:$A,0)),INDEX(Base!$V:$V,MATCH($A27,Base!$A:$A,0)),0)))</f>
        <v>12.050424</v>
      </c>
      <c r="HY27" s="21">
        <f>IF(HY$1&lt;INDEX('Valo FX'!$Q:$Q,MATCH($A27,'Valo FX'!$A:$A,0)),0,IF(HY$1&lt;INDEX('Valo FX'!$R:$R,MATCH($A27,'Valo FX'!$A:$A,0)),INDEX(Base!$U:$U,MATCH($A27,Base!$A:$A,0)),IF(HY$1=INDEX('Valo FX'!$R:$R,MATCH($A27,'Valo FX'!$A:$A,0)),INDEX(Base!$V:$V,MATCH($A27,Base!$A:$A,0)),0)))</f>
        <v>12.050424</v>
      </c>
      <c r="HZ27" s="21">
        <f>IF(HZ$1&lt;INDEX('Valo FX'!$Q:$Q,MATCH($A27,'Valo FX'!$A:$A,0)),0,IF(HZ$1&lt;INDEX('Valo FX'!$R:$R,MATCH($A27,'Valo FX'!$A:$A,0)),INDEX(Base!$U:$U,MATCH($A27,Base!$A:$A,0)),IF(HZ$1=INDEX('Valo FX'!$R:$R,MATCH($A27,'Valo FX'!$A:$A,0)),INDEX(Base!$V:$V,MATCH($A27,Base!$A:$A,0)),0)))</f>
        <v>12.050424</v>
      </c>
      <c r="IA27" s="21">
        <f>IF(IA$1&lt;INDEX('Valo FX'!$Q:$Q,MATCH($A27,'Valo FX'!$A:$A,0)),0,IF(IA$1&lt;INDEX('Valo FX'!$R:$R,MATCH($A27,'Valo FX'!$A:$A,0)),INDEX(Base!$U:$U,MATCH($A27,Base!$A:$A,0)),IF(IA$1=INDEX('Valo FX'!$R:$R,MATCH($A27,'Valo FX'!$A:$A,0)),INDEX(Base!$V:$V,MATCH($A27,Base!$A:$A,0)),0)))</f>
        <v>12.050424</v>
      </c>
      <c r="IB27" s="21">
        <f>IF(IB$1&lt;INDEX('Valo FX'!$Q:$Q,MATCH($A27,'Valo FX'!$A:$A,0)),0,IF(IB$1&lt;INDEX('Valo FX'!$R:$R,MATCH($A27,'Valo FX'!$A:$A,0)),INDEX(Base!$U:$U,MATCH($A27,Base!$A:$A,0)),IF(IB$1=INDEX('Valo FX'!$R:$R,MATCH($A27,'Valo FX'!$A:$A,0)),INDEX(Base!$V:$V,MATCH($A27,Base!$A:$A,0)),0)))</f>
        <v>12.050424</v>
      </c>
      <c r="IC27" s="21">
        <f>IF(IC$1&lt;INDEX('Valo FX'!$Q:$Q,MATCH($A27,'Valo FX'!$A:$A,0)),0,IF(IC$1&lt;INDEX('Valo FX'!$R:$R,MATCH($A27,'Valo FX'!$A:$A,0)),INDEX(Base!$U:$U,MATCH($A27,Base!$A:$A,0)),IF(IC$1=INDEX('Valo FX'!$R:$R,MATCH($A27,'Valo FX'!$A:$A,0)),INDEX(Base!$V:$V,MATCH($A27,Base!$A:$A,0)),0)))</f>
        <v>12.050424</v>
      </c>
      <c r="ID27" s="21">
        <f>IF(ID$1&lt;INDEX('Valo FX'!$Q:$Q,MATCH($A27,'Valo FX'!$A:$A,0)),0,IF(ID$1&lt;INDEX('Valo FX'!$R:$R,MATCH($A27,'Valo FX'!$A:$A,0)),INDEX(Base!$U:$U,MATCH($A27,Base!$A:$A,0)),IF(ID$1=INDEX('Valo FX'!$R:$R,MATCH($A27,'Valo FX'!$A:$A,0)),INDEX(Base!$V:$V,MATCH($A27,Base!$A:$A,0)),0)))</f>
        <v>12.050424</v>
      </c>
      <c r="IE27" s="21">
        <f>IF(IE$1&lt;INDEX('Valo FX'!$Q:$Q,MATCH($A27,'Valo FX'!$A:$A,0)),0,IF(IE$1&lt;INDEX('Valo FX'!$R:$R,MATCH($A27,'Valo FX'!$A:$A,0)),INDEX(Base!$U:$U,MATCH($A27,Base!$A:$A,0)),IF(IE$1=INDEX('Valo FX'!$R:$R,MATCH($A27,'Valo FX'!$A:$A,0)),INDEX(Base!$V:$V,MATCH($A27,Base!$A:$A,0)),0)))</f>
        <v>12.050424</v>
      </c>
      <c r="IF27" s="21">
        <f>IF(IF$1&lt;INDEX('Valo FX'!$Q:$Q,MATCH($A27,'Valo FX'!$A:$A,0)),0,IF(IF$1&lt;INDEX('Valo FX'!$R:$R,MATCH($A27,'Valo FX'!$A:$A,0)),INDEX(Base!$U:$U,MATCH($A27,Base!$A:$A,0)),IF(IF$1=INDEX('Valo FX'!$R:$R,MATCH($A27,'Valo FX'!$A:$A,0)),INDEX(Base!$V:$V,MATCH($A27,Base!$A:$A,0)),0)))</f>
        <v>12.050424</v>
      </c>
      <c r="IG27" s="21">
        <f>IF(IG$1&lt;INDEX('Valo FX'!$Q:$Q,MATCH($A27,'Valo FX'!$A:$A,0)),0,IF(IG$1&lt;INDEX('Valo FX'!$R:$R,MATCH($A27,'Valo FX'!$A:$A,0)),INDEX(Base!$U:$U,MATCH($A27,Base!$A:$A,0)),IF(IG$1=INDEX('Valo FX'!$R:$R,MATCH($A27,'Valo FX'!$A:$A,0)),INDEX(Base!$V:$V,MATCH($A27,Base!$A:$A,0)),0)))</f>
        <v>12.050424</v>
      </c>
      <c r="IH27" s="21">
        <f>IF(IH$1&lt;INDEX('Valo FX'!$Q:$Q,MATCH($A27,'Valo FX'!$A:$A,0)),0,IF(IH$1&lt;INDEX('Valo FX'!$R:$R,MATCH($A27,'Valo FX'!$A:$A,0)),INDEX(Base!$U:$U,MATCH($A27,Base!$A:$A,0)),IF(IH$1=INDEX('Valo FX'!$R:$R,MATCH($A27,'Valo FX'!$A:$A,0)),INDEX(Base!$V:$V,MATCH($A27,Base!$A:$A,0)),0)))</f>
        <v>12.050424</v>
      </c>
      <c r="II27" s="21">
        <f>IF(II$1&lt;INDEX('Valo FX'!$Q:$Q,MATCH($A27,'Valo FX'!$A:$A,0)),0,IF(II$1&lt;INDEX('Valo FX'!$R:$R,MATCH($A27,'Valo FX'!$A:$A,0)),INDEX(Base!$U:$U,MATCH($A27,Base!$A:$A,0)),IF(II$1=INDEX('Valo FX'!$R:$R,MATCH($A27,'Valo FX'!$A:$A,0)),INDEX(Base!$V:$V,MATCH($A27,Base!$A:$A,0)),0)))</f>
        <v>12.050424</v>
      </c>
      <c r="IJ27" s="21">
        <f>IF(IJ$1&lt;INDEX('Valo FX'!$Q:$Q,MATCH($A27,'Valo FX'!$A:$A,0)),0,IF(IJ$1&lt;INDEX('Valo FX'!$R:$R,MATCH($A27,'Valo FX'!$A:$A,0)),INDEX(Base!$U:$U,MATCH($A27,Base!$A:$A,0)),IF(IJ$1=INDEX('Valo FX'!$R:$R,MATCH($A27,'Valo FX'!$A:$A,0)),INDEX(Base!$V:$V,MATCH($A27,Base!$A:$A,0)),0)))</f>
        <v>12.050424</v>
      </c>
      <c r="IK27" s="21">
        <f>IF(IK$1&lt;INDEX('Valo FX'!$Q:$Q,MATCH($A27,'Valo FX'!$A:$A,0)),0,IF(IK$1&lt;INDEX('Valo FX'!$R:$R,MATCH($A27,'Valo FX'!$A:$A,0)),INDEX(Base!$U:$U,MATCH($A27,Base!$A:$A,0)),IF(IK$1=INDEX('Valo FX'!$R:$R,MATCH($A27,'Valo FX'!$A:$A,0)),INDEX(Base!$V:$V,MATCH($A27,Base!$A:$A,0)),0)))</f>
        <v>12.050424</v>
      </c>
      <c r="IL27" s="21">
        <f>IF(IL$1&lt;INDEX('Valo FX'!$Q:$Q,MATCH($A27,'Valo FX'!$A:$A,0)),0,IF(IL$1&lt;INDEX('Valo FX'!$R:$R,MATCH($A27,'Valo FX'!$A:$A,0)),INDEX(Base!$U:$U,MATCH($A27,Base!$A:$A,0)),IF(IL$1=INDEX('Valo FX'!$R:$R,MATCH($A27,'Valo FX'!$A:$A,0)),INDEX(Base!$V:$V,MATCH($A27,Base!$A:$A,0)),0)))</f>
        <v>12.050424</v>
      </c>
      <c r="IM27" s="21">
        <f>IF(IM$1&lt;INDEX('Valo FX'!$Q:$Q,MATCH($A27,'Valo FX'!$A:$A,0)),0,IF(IM$1&lt;INDEX('Valo FX'!$R:$R,MATCH($A27,'Valo FX'!$A:$A,0)),INDEX(Base!$U:$U,MATCH($A27,Base!$A:$A,0)),IF(IM$1=INDEX('Valo FX'!$R:$R,MATCH($A27,'Valo FX'!$A:$A,0)),INDEX(Base!$V:$V,MATCH($A27,Base!$A:$A,0)),0)))</f>
        <v>12.050424</v>
      </c>
      <c r="IN27" s="21">
        <f>IF(IN$1&lt;INDEX('Valo FX'!$Q:$Q,MATCH($A27,'Valo FX'!$A:$A,0)),0,IF(IN$1&lt;INDEX('Valo FX'!$R:$R,MATCH($A27,'Valo FX'!$A:$A,0)),INDEX(Base!$U:$U,MATCH($A27,Base!$A:$A,0)),IF(IN$1=INDEX('Valo FX'!$R:$R,MATCH($A27,'Valo FX'!$A:$A,0)),INDEX(Base!$V:$V,MATCH($A27,Base!$A:$A,0)),0)))</f>
        <v>12.050424</v>
      </c>
      <c r="IO27" s="21">
        <f>IF(IO$1&lt;INDEX('Valo FX'!$Q:$Q,MATCH($A27,'Valo FX'!$A:$A,0)),0,IF(IO$1&lt;INDEX('Valo FX'!$R:$R,MATCH($A27,'Valo FX'!$A:$A,0)),INDEX(Base!$U:$U,MATCH($A27,Base!$A:$A,0)),IF(IO$1=INDEX('Valo FX'!$R:$R,MATCH($A27,'Valo FX'!$A:$A,0)),INDEX(Base!$V:$V,MATCH($A27,Base!$A:$A,0)),0)))</f>
        <v>12.050424</v>
      </c>
      <c r="IP27" s="21">
        <f>IF(IP$1&lt;INDEX('Valo FX'!$Q:$Q,MATCH($A27,'Valo FX'!$A:$A,0)),0,IF(IP$1&lt;INDEX('Valo FX'!$R:$R,MATCH($A27,'Valo FX'!$A:$A,0)),INDEX(Base!$U:$U,MATCH($A27,Base!$A:$A,0)),IF(IP$1=INDEX('Valo FX'!$R:$R,MATCH($A27,'Valo FX'!$A:$A,0)),INDEX(Base!$V:$V,MATCH($A27,Base!$A:$A,0)),0)))</f>
        <v>12.050424</v>
      </c>
      <c r="IQ27" s="21">
        <f>IF(IQ$1&lt;INDEX('Valo FX'!$Q:$Q,MATCH($A27,'Valo FX'!$A:$A,0)),0,IF(IQ$1&lt;INDEX('Valo FX'!$R:$R,MATCH($A27,'Valo FX'!$A:$A,0)),INDEX(Base!$U:$U,MATCH($A27,Base!$A:$A,0)),IF(IQ$1=INDEX('Valo FX'!$R:$R,MATCH($A27,'Valo FX'!$A:$A,0)),INDEX(Base!$V:$V,MATCH($A27,Base!$A:$A,0)),0)))</f>
        <v>12.050424</v>
      </c>
      <c r="IR27" s="21">
        <f>IF(IR$1&lt;INDEX('Valo FX'!$Q:$Q,MATCH($A27,'Valo FX'!$A:$A,0)),0,IF(IR$1&lt;INDEX('Valo FX'!$R:$R,MATCH($A27,'Valo FX'!$A:$A,0)),INDEX(Base!$U:$U,MATCH($A27,Base!$A:$A,0)),IF(IR$1=INDEX('Valo FX'!$R:$R,MATCH($A27,'Valo FX'!$A:$A,0)),INDEX(Base!$V:$V,MATCH($A27,Base!$A:$A,0)),0)))</f>
        <v>12.050424</v>
      </c>
      <c r="IS27" s="21">
        <f>IF(IS$1&lt;INDEX('Valo FX'!$Q:$Q,MATCH($A27,'Valo FX'!$A:$A,0)),0,IF(IS$1&lt;INDEX('Valo FX'!$R:$R,MATCH($A27,'Valo FX'!$A:$A,0)),INDEX(Base!$U:$U,MATCH($A27,Base!$A:$A,0)),IF(IS$1=INDEX('Valo FX'!$R:$R,MATCH($A27,'Valo FX'!$A:$A,0)),INDEX(Base!$V:$V,MATCH($A27,Base!$A:$A,0)),0)))</f>
        <v>12.050424</v>
      </c>
      <c r="IT27" s="21">
        <f>IF(IT$1&lt;INDEX('Valo FX'!$Q:$Q,MATCH($A27,'Valo FX'!$A:$A,0)),0,IF(IT$1&lt;INDEX('Valo FX'!$R:$R,MATCH($A27,'Valo FX'!$A:$A,0)),INDEX(Base!$U:$U,MATCH($A27,Base!$A:$A,0)),IF(IT$1=INDEX('Valo FX'!$R:$R,MATCH($A27,'Valo FX'!$A:$A,0)),INDEX(Base!$V:$V,MATCH($A27,Base!$A:$A,0)),0)))</f>
        <v>12.050424</v>
      </c>
      <c r="IU27" s="21">
        <f>IF(IU$1&lt;INDEX('Valo FX'!$Q:$Q,MATCH($A27,'Valo FX'!$A:$A,0)),0,IF(IU$1&lt;INDEX('Valo FX'!$R:$R,MATCH($A27,'Valo FX'!$A:$A,0)),INDEX(Base!$U:$U,MATCH($A27,Base!$A:$A,0)),IF(IU$1=INDEX('Valo FX'!$R:$R,MATCH($A27,'Valo FX'!$A:$A,0)),INDEX(Base!$V:$V,MATCH($A27,Base!$A:$A,0)),0)))</f>
        <v>12.050424</v>
      </c>
      <c r="IV27" s="21">
        <f>IF(IV$1&lt;INDEX('Valo FX'!$Q:$Q,MATCH($A27,'Valo FX'!$A:$A,0)),0,IF(IV$1&lt;INDEX('Valo FX'!$R:$R,MATCH($A27,'Valo FX'!$A:$A,0)),INDEX(Base!$U:$U,MATCH($A27,Base!$A:$A,0)),IF(IV$1=INDEX('Valo FX'!$R:$R,MATCH($A27,'Valo FX'!$A:$A,0)),INDEX(Base!$V:$V,MATCH($A27,Base!$A:$A,0)),0)))</f>
        <v>12.050424</v>
      </c>
      <c r="IW27" s="21">
        <f>IF(IW$1&lt;INDEX('Valo FX'!$Q:$Q,MATCH($A27,'Valo FX'!$A:$A,0)),0,IF(IW$1&lt;INDEX('Valo FX'!$R:$R,MATCH($A27,'Valo FX'!$A:$A,0)),INDEX(Base!$U:$U,MATCH($A27,Base!$A:$A,0)),IF(IW$1=INDEX('Valo FX'!$R:$R,MATCH($A27,'Valo FX'!$A:$A,0)),INDEX(Base!$V:$V,MATCH($A27,Base!$A:$A,0)),0)))</f>
        <v>12.050424</v>
      </c>
      <c r="IX27" s="21">
        <f>IF(IX$1&lt;INDEX('Valo FX'!$Q:$Q,MATCH($A27,'Valo FX'!$A:$A,0)),0,IF(IX$1&lt;INDEX('Valo FX'!$R:$R,MATCH($A27,'Valo FX'!$A:$A,0)),INDEX(Base!$U:$U,MATCH($A27,Base!$A:$A,0)),IF(IX$1=INDEX('Valo FX'!$R:$R,MATCH($A27,'Valo FX'!$A:$A,0)),INDEX(Base!$V:$V,MATCH($A27,Base!$A:$A,0)),0)))</f>
        <v>12.050424</v>
      </c>
      <c r="IY27" s="21">
        <f>IF(IY$1&lt;INDEX('Valo FX'!$Q:$Q,MATCH($A27,'Valo FX'!$A:$A,0)),0,IF(IY$1&lt;INDEX('Valo FX'!$R:$R,MATCH($A27,'Valo FX'!$A:$A,0)),INDEX(Base!$U:$U,MATCH($A27,Base!$A:$A,0)),IF(IY$1=INDEX('Valo FX'!$R:$R,MATCH($A27,'Valo FX'!$A:$A,0)),INDEX(Base!$V:$V,MATCH($A27,Base!$A:$A,0)),0)))</f>
        <v>12.050424</v>
      </c>
      <c r="IZ27" s="21">
        <f>IF(IZ$1&lt;INDEX('Valo FX'!$Q:$Q,MATCH($A27,'Valo FX'!$A:$A,0)),0,IF(IZ$1&lt;INDEX('Valo FX'!$R:$R,MATCH($A27,'Valo FX'!$A:$A,0)),INDEX(Base!$U:$U,MATCH($A27,Base!$A:$A,0)),IF(IZ$1=INDEX('Valo FX'!$R:$R,MATCH($A27,'Valo FX'!$A:$A,0)),INDEX(Base!$V:$V,MATCH($A27,Base!$A:$A,0)),0)))</f>
        <v>12.050424</v>
      </c>
      <c r="JA27" s="21">
        <f>IF(JA$1&lt;INDEX('Valo FX'!$Q:$Q,MATCH($A27,'Valo FX'!$A:$A,0)),0,IF(JA$1&lt;INDEX('Valo FX'!$R:$R,MATCH($A27,'Valo FX'!$A:$A,0)),INDEX(Base!$U:$U,MATCH($A27,Base!$A:$A,0)),IF(JA$1=INDEX('Valo FX'!$R:$R,MATCH($A27,'Valo FX'!$A:$A,0)),INDEX(Base!$V:$V,MATCH($A27,Base!$A:$A,0)),0)))</f>
        <v>12.050424</v>
      </c>
      <c r="JB27" s="21">
        <f>IF(JB$1&lt;INDEX('Valo FX'!$Q:$Q,MATCH($A27,'Valo FX'!$A:$A,0)),0,IF(JB$1&lt;INDEX('Valo FX'!$R:$R,MATCH($A27,'Valo FX'!$A:$A,0)),INDEX(Base!$U:$U,MATCH($A27,Base!$A:$A,0)),IF(JB$1=INDEX('Valo FX'!$R:$R,MATCH($A27,'Valo FX'!$A:$A,0)),INDEX(Base!$V:$V,MATCH($A27,Base!$A:$A,0)),0)))</f>
        <v>12.050424</v>
      </c>
      <c r="JC27" s="21">
        <f>IF(JC$1&lt;INDEX('Valo FX'!$Q:$Q,MATCH($A27,'Valo FX'!$A:$A,0)),0,IF(JC$1&lt;INDEX('Valo FX'!$R:$R,MATCH($A27,'Valo FX'!$A:$A,0)),INDEX(Base!$U:$U,MATCH($A27,Base!$A:$A,0)),IF(JC$1=INDEX('Valo FX'!$R:$R,MATCH($A27,'Valo FX'!$A:$A,0)),INDEX(Base!$V:$V,MATCH($A27,Base!$A:$A,0)),0)))</f>
        <v>12.050424</v>
      </c>
      <c r="JD27" s="21">
        <f>IF(JD$1&lt;INDEX('Valo FX'!$Q:$Q,MATCH($A27,'Valo FX'!$A:$A,0)),0,IF(JD$1&lt;INDEX('Valo FX'!$R:$R,MATCH($A27,'Valo FX'!$A:$A,0)),INDEX(Base!$U:$U,MATCH($A27,Base!$A:$A,0)),IF(JD$1=INDEX('Valo FX'!$R:$R,MATCH($A27,'Valo FX'!$A:$A,0)),INDEX(Base!$V:$V,MATCH($A27,Base!$A:$A,0)),0)))</f>
        <v>12.050424</v>
      </c>
      <c r="JE27" s="21">
        <f>IF(JE$1&lt;INDEX('Valo FX'!$Q:$Q,MATCH($A27,'Valo FX'!$A:$A,0)),0,IF(JE$1&lt;INDEX('Valo FX'!$R:$R,MATCH($A27,'Valo FX'!$A:$A,0)),INDEX(Base!$U:$U,MATCH($A27,Base!$A:$A,0)),IF(JE$1=INDEX('Valo FX'!$R:$R,MATCH($A27,'Valo FX'!$A:$A,0)),INDEX(Base!$V:$V,MATCH($A27,Base!$A:$A,0)),0)))</f>
        <v>12.050424</v>
      </c>
      <c r="JF27" s="21">
        <f>IF(JF$1&lt;INDEX('Valo FX'!$Q:$Q,MATCH($A27,'Valo FX'!$A:$A,0)),0,IF(JF$1&lt;INDEX('Valo FX'!$R:$R,MATCH($A27,'Valo FX'!$A:$A,0)),INDEX(Base!$U:$U,MATCH($A27,Base!$A:$A,0)),IF(JF$1=INDEX('Valo FX'!$R:$R,MATCH($A27,'Valo FX'!$A:$A,0)),INDEX(Base!$V:$V,MATCH($A27,Base!$A:$A,0)),0)))</f>
        <v>12.050424</v>
      </c>
      <c r="JG27" s="21">
        <f>IF(JG$1&lt;INDEX('Valo FX'!$Q:$Q,MATCH($A27,'Valo FX'!$A:$A,0)),0,IF(JG$1&lt;INDEX('Valo FX'!$R:$R,MATCH($A27,'Valo FX'!$A:$A,0)),INDEX(Base!$U:$U,MATCH($A27,Base!$A:$A,0)),IF(JG$1=INDEX('Valo FX'!$R:$R,MATCH($A27,'Valo FX'!$A:$A,0)),INDEX(Base!$V:$V,MATCH($A27,Base!$A:$A,0)),0)))</f>
        <v>12.050424</v>
      </c>
      <c r="JH27" s="21">
        <f>IF(JH$1&lt;INDEX('Valo FX'!$Q:$Q,MATCH($A27,'Valo FX'!$A:$A,0)),0,IF(JH$1&lt;INDEX('Valo FX'!$R:$R,MATCH($A27,'Valo FX'!$A:$A,0)),INDEX(Base!$U:$U,MATCH($A27,Base!$A:$A,0)),IF(JH$1=INDEX('Valo FX'!$R:$R,MATCH($A27,'Valo FX'!$A:$A,0)),INDEX(Base!$V:$V,MATCH($A27,Base!$A:$A,0)),0)))</f>
        <v>12.050424</v>
      </c>
      <c r="JI27" s="21">
        <f>IF(JI$1&lt;INDEX('Valo FX'!$Q:$Q,MATCH($A27,'Valo FX'!$A:$A,0)),0,IF(JI$1&lt;INDEX('Valo FX'!$R:$R,MATCH($A27,'Valo FX'!$A:$A,0)),INDEX(Base!$U:$U,MATCH($A27,Base!$A:$A,0)),IF(JI$1=INDEX('Valo FX'!$R:$R,MATCH($A27,'Valo FX'!$A:$A,0)),INDEX(Base!$V:$V,MATCH($A27,Base!$A:$A,0)),0)))</f>
        <v>12.050424</v>
      </c>
      <c r="JJ27" s="21">
        <f>IF(JJ$1&lt;INDEX('Valo FX'!$Q:$Q,MATCH($A27,'Valo FX'!$A:$A,0)),0,IF(JJ$1&lt;INDEX('Valo FX'!$R:$R,MATCH($A27,'Valo FX'!$A:$A,0)),INDEX(Base!$U:$U,MATCH($A27,Base!$A:$A,0)),IF(JJ$1=INDEX('Valo FX'!$R:$R,MATCH($A27,'Valo FX'!$A:$A,0)),INDEX(Base!$V:$V,MATCH($A27,Base!$A:$A,0)),0)))</f>
        <v>12.050424</v>
      </c>
      <c r="JK27" s="21">
        <f>IF(JK$1&lt;INDEX('Valo FX'!$Q:$Q,MATCH($A27,'Valo FX'!$A:$A,0)),0,IF(JK$1&lt;INDEX('Valo FX'!$R:$R,MATCH($A27,'Valo FX'!$A:$A,0)),INDEX(Base!$U:$U,MATCH($A27,Base!$A:$A,0)),IF(JK$1=INDEX('Valo FX'!$R:$R,MATCH($A27,'Valo FX'!$A:$A,0)),INDEX(Base!$V:$V,MATCH($A27,Base!$A:$A,0)),0)))</f>
        <v>12.050424</v>
      </c>
      <c r="JL27" s="21">
        <f>IF(JL$1&lt;INDEX('Valo FX'!$Q:$Q,MATCH($A27,'Valo FX'!$A:$A,0)),0,IF(JL$1&lt;INDEX('Valo FX'!$R:$R,MATCH($A27,'Valo FX'!$A:$A,0)),INDEX(Base!$U:$U,MATCH($A27,Base!$A:$A,0)),IF(JL$1=INDEX('Valo FX'!$R:$R,MATCH($A27,'Valo FX'!$A:$A,0)),INDEX(Base!$V:$V,MATCH($A27,Base!$A:$A,0)),0)))</f>
        <v>12.050424</v>
      </c>
      <c r="JM27" s="21">
        <f>IF(JM$1&lt;INDEX('Valo FX'!$Q:$Q,MATCH($A27,'Valo FX'!$A:$A,0)),0,IF(JM$1&lt;INDEX('Valo FX'!$R:$R,MATCH($A27,'Valo FX'!$A:$A,0)),INDEX(Base!$U:$U,MATCH($A27,Base!$A:$A,0)),IF(JM$1=INDEX('Valo FX'!$R:$R,MATCH($A27,'Valo FX'!$A:$A,0)),INDEX(Base!$V:$V,MATCH($A27,Base!$A:$A,0)),0)))</f>
        <v>12.050424</v>
      </c>
      <c r="JN27" s="21">
        <f>IF(JN$1&lt;INDEX('Valo FX'!$Q:$Q,MATCH($A27,'Valo FX'!$A:$A,0)),0,IF(JN$1&lt;INDEX('Valo FX'!$R:$R,MATCH($A27,'Valo FX'!$A:$A,0)),INDEX(Base!$U:$U,MATCH($A27,Base!$A:$A,0)),IF(JN$1=INDEX('Valo FX'!$R:$R,MATCH($A27,'Valo FX'!$A:$A,0)),INDEX(Base!$V:$V,MATCH($A27,Base!$A:$A,0)),0)))</f>
        <v>12.050424</v>
      </c>
      <c r="JO27" s="21">
        <f>IF(JO$1&lt;INDEX('Valo FX'!$Q:$Q,MATCH($A27,'Valo FX'!$A:$A,0)),0,IF(JO$1&lt;INDEX('Valo FX'!$R:$R,MATCH($A27,'Valo FX'!$A:$A,0)),INDEX(Base!$U:$U,MATCH($A27,Base!$A:$A,0)),IF(JO$1=INDEX('Valo FX'!$R:$R,MATCH($A27,'Valo FX'!$A:$A,0)),INDEX(Base!$V:$V,MATCH($A27,Base!$A:$A,0)),0)))</f>
        <v>12.050424</v>
      </c>
      <c r="JP27" s="21">
        <f>IF(JP$1&lt;INDEX('Valo FX'!$Q:$Q,MATCH($A27,'Valo FX'!$A:$A,0)),0,IF(JP$1&lt;INDEX('Valo FX'!$R:$R,MATCH($A27,'Valo FX'!$A:$A,0)),INDEX(Base!$U:$U,MATCH($A27,Base!$A:$A,0)),IF(JP$1=INDEX('Valo FX'!$R:$R,MATCH($A27,'Valo FX'!$A:$A,0)),INDEX(Base!$V:$V,MATCH($A27,Base!$A:$A,0)),0)))</f>
        <v>12.050424</v>
      </c>
      <c r="JQ27" s="21">
        <f>IF(JQ$1&lt;INDEX('Valo FX'!$Q:$Q,MATCH($A27,'Valo FX'!$A:$A,0)),0,IF(JQ$1&lt;INDEX('Valo FX'!$R:$R,MATCH($A27,'Valo FX'!$A:$A,0)),INDEX(Base!$U:$U,MATCH($A27,Base!$A:$A,0)),IF(JQ$1=INDEX('Valo FX'!$R:$R,MATCH($A27,'Valo FX'!$A:$A,0)),INDEX(Base!$V:$V,MATCH($A27,Base!$A:$A,0)),0)))</f>
        <v>12.050424</v>
      </c>
      <c r="JR27" s="21">
        <f>IF(JR$1&lt;INDEX('Valo FX'!$Q:$Q,MATCH($A27,'Valo FX'!$A:$A,0)),0,IF(JR$1&lt;INDEX('Valo FX'!$R:$R,MATCH($A27,'Valo FX'!$A:$A,0)),INDEX(Base!$U:$U,MATCH($A27,Base!$A:$A,0)),IF(JR$1=INDEX('Valo FX'!$R:$R,MATCH($A27,'Valo FX'!$A:$A,0)),INDEX(Base!$V:$V,MATCH($A27,Base!$A:$A,0)),0)))</f>
        <v>12.050424</v>
      </c>
      <c r="JS27" s="21">
        <f>IF(JS$1&lt;INDEX('Valo FX'!$Q:$Q,MATCH($A27,'Valo FX'!$A:$A,0)),0,IF(JS$1&lt;INDEX('Valo FX'!$R:$R,MATCH($A27,'Valo FX'!$A:$A,0)),INDEX(Base!$U:$U,MATCH($A27,Base!$A:$A,0)),IF(JS$1=INDEX('Valo FX'!$R:$R,MATCH($A27,'Valo FX'!$A:$A,0)),INDEX(Base!$V:$V,MATCH($A27,Base!$A:$A,0)),0)))</f>
        <v>12.050424</v>
      </c>
      <c r="JT27" s="21">
        <f>IF(JT$1&lt;INDEX('Valo FX'!$Q:$Q,MATCH($A27,'Valo FX'!$A:$A,0)),0,IF(JT$1&lt;INDEX('Valo FX'!$R:$R,MATCH($A27,'Valo FX'!$A:$A,0)),INDEX(Base!$U:$U,MATCH($A27,Base!$A:$A,0)),IF(JT$1=INDEX('Valo FX'!$R:$R,MATCH($A27,'Valo FX'!$A:$A,0)),INDEX(Base!$V:$V,MATCH($A27,Base!$A:$A,0)),0)))</f>
        <v>12.050424</v>
      </c>
      <c r="JU27" s="21">
        <f>IF(JU$1&lt;INDEX('Valo FX'!$Q:$Q,MATCH($A27,'Valo FX'!$A:$A,0)),0,IF(JU$1&lt;INDEX('Valo FX'!$R:$R,MATCH($A27,'Valo FX'!$A:$A,0)),INDEX(Base!$U:$U,MATCH($A27,Base!$A:$A,0)),IF(JU$1=INDEX('Valo FX'!$R:$R,MATCH($A27,'Valo FX'!$A:$A,0)),INDEX(Base!$V:$V,MATCH($A27,Base!$A:$A,0)),0)))</f>
        <v>12.050424</v>
      </c>
      <c r="JV27" s="21">
        <f>IF(JV$1&lt;INDEX('Valo FX'!$Q:$Q,MATCH($A27,'Valo FX'!$A:$A,0)),0,IF(JV$1&lt;INDEX('Valo FX'!$R:$R,MATCH($A27,'Valo FX'!$A:$A,0)),INDEX(Base!$U:$U,MATCH($A27,Base!$A:$A,0)),IF(JV$1=INDEX('Valo FX'!$R:$R,MATCH($A27,'Valo FX'!$A:$A,0)),INDEX(Base!$V:$V,MATCH($A27,Base!$A:$A,0)),0)))</f>
        <v>12.050424</v>
      </c>
      <c r="JW27" s="21">
        <f>IF(JW$1&lt;INDEX('Valo FX'!$Q:$Q,MATCH($A27,'Valo FX'!$A:$A,0)),0,IF(JW$1&lt;INDEX('Valo FX'!$R:$R,MATCH($A27,'Valo FX'!$A:$A,0)),INDEX(Base!$U:$U,MATCH($A27,Base!$A:$A,0)),IF(JW$1=INDEX('Valo FX'!$R:$R,MATCH($A27,'Valo FX'!$A:$A,0)),INDEX(Base!$V:$V,MATCH($A27,Base!$A:$A,0)),0)))</f>
        <v>12.050424</v>
      </c>
      <c r="JX27" s="21">
        <f>IF(JX$1&lt;INDEX('Valo FX'!$Q:$Q,MATCH($A27,'Valo FX'!$A:$A,0)),0,IF(JX$1&lt;INDEX('Valo FX'!$R:$R,MATCH($A27,'Valo FX'!$A:$A,0)),INDEX(Base!$U:$U,MATCH($A27,Base!$A:$A,0)),IF(JX$1=INDEX('Valo FX'!$R:$R,MATCH($A27,'Valo FX'!$A:$A,0)),INDEX(Base!$V:$V,MATCH($A27,Base!$A:$A,0)),0)))</f>
        <v>12.050424</v>
      </c>
      <c r="JY27" s="21">
        <f>IF(JY$1&lt;INDEX('Valo FX'!$Q:$Q,MATCH($A27,'Valo FX'!$A:$A,0)),0,IF(JY$1&lt;INDEX('Valo FX'!$R:$R,MATCH($A27,'Valo FX'!$A:$A,0)),INDEX(Base!$U:$U,MATCH($A27,Base!$A:$A,0)),IF(JY$1=INDEX('Valo FX'!$R:$R,MATCH($A27,'Valo FX'!$A:$A,0)),INDEX(Base!$V:$V,MATCH($A27,Base!$A:$A,0)),0)))</f>
        <v>12.050424</v>
      </c>
      <c r="JZ27" s="21">
        <f>IF(JZ$1&lt;INDEX('Valo FX'!$Q:$Q,MATCH($A27,'Valo FX'!$A:$A,0)),0,IF(JZ$1&lt;INDEX('Valo FX'!$R:$R,MATCH($A27,'Valo FX'!$A:$A,0)),INDEX(Base!$U:$U,MATCH($A27,Base!$A:$A,0)),IF(JZ$1=INDEX('Valo FX'!$R:$R,MATCH($A27,'Valo FX'!$A:$A,0)),INDEX(Base!$V:$V,MATCH($A27,Base!$A:$A,0)),0)))</f>
        <v>12.050424</v>
      </c>
      <c r="KA27" s="21">
        <f>IF(KA$1&lt;INDEX('Valo FX'!$Q:$Q,MATCH($A27,'Valo FX'!$A:$A,0)),0,IF(KA$1&lt;INDEX('Valo FX'!$R:$R,MATCH($A27,'Valo FX'!$A:$A,0)),INDEX(Base!$U:$U,MATCH($A27,Base!$A:$A,0)),IF(KA$1=INDEX('Valo FX'!$R:$R,MATCH($A27,'Valo FX'!$A:$A,0)),INDEX(Base!$V:$V,MATCH($A27,Base!$A:$A,0)),0)))</f>
        <v>12.050424</v>
      </c>
      <c r="KB27" s="21">
        <f>IF(KB$1&lt;INDEX('Valo FX'!$Q:$Q,MATCH($A27,'Valo FX'!$A:$A,0)),0,IF(KB$1&lt;INDEX('Valo FX'!$R:$R,MATCH($A27,'Valo FX'!$A:$A,0)),INDEX(Base!$U:$U,MATCH($A27,Base!$A:$A,0)),IF(KB$1=INDEX('Valo FX'!$R:$R,MATCH($A27,'Valo FX'!$A:$A,0)),INDEX(Base!$V:$V,MATCH($A27,Base!$A:$A,0)),0)))</f>
        <v>12.050424</v>
      </c>
      <c r="KC27" s="21">
        <f>IF(KC$1&lt;INDEX('Valo FX'!$Q:$Q,MATCH($A27,'Valo FX'!$A:$A,0)),0,IF(KC$1&lt;INDEX('Valo FX'!$R:$R,MATCH($A27,'Valo FX'!$A:$A,0)),INDEX(Base!$U:$U,MATCH($A27,Base!$A:$A,0)),IF(KC$1=INDEX('Valo FX'!$R:$R,MATCH($A27,'Valo FX'!$A:$A,0)),INDEX(Base!$V:$V,MATCH($A27,Base!$A:$A,0)),0)))</f>
        <v>12.050424</v>
      </c>
      <c r="KD27" s="21">
        <f>IF(KD$1&lt;INDEX('Valo FX'!$Q:$Q,MATCH($A27,'Valo FX'!$A:$A,0)),0,IF(KD$1&lt;INDEX('Valo FX'!$R:$R,MATCH($A27,'Valo FX'!$A:$A,0)),INDEX(Base!$U:$U,MATCH($A27,Base!$A:$A,0)),IF(KD$1=INDEX('Valo FX'!$R:$R,MATCH($A27,'Valo FX'!$A:$A,0)),INDEX(Base!$V:$V,MATCH($A27,Base!$A:$A,0)),0)))</f>
        <v>12.050424</v>
      </c>
      <c r="KE27" s="21">
        <f>IF(KE$1&lt;INDEX('Valo FX'!$Q:$Q,MATCH($A27,'Valo FX'!$A:$A,0)),0,IF(KE$1&lt;INDEX('Valo FX'!$R:$R,MATCH($A27,'Valo FX'!$A:$A,0)),INDEX(Base!$U:$U,MATCH($A27,Base!$A:$A,0)),IF(KE$1=INDEX('Valo FX'!$R:$R,MATCH($A27,'Valo FX'!$A:$A,0)),INDEX(Base!$V:$V,MATCH($A27,Base!$A:$A,0)),0)))</f>
        <v>12.050424</v>
      </c>
      <c r="KF27" s="21">
        <f>IF(KF$1&lt;INDEX('Valo FX'!$Q:$Q,MATCH($A27,'Valo FX'!$A:$A,0)),0,IF(KF$1&lt;INDEX('Valo FX'!$R:$R,MATCH($A27,'Valo FX'!$A:$A,0)),INDEX(Base!$U:$U,MATCH($A27,Base!$A:$A,0)),IF(KF$1=INDEX('Valo FX'!$R:$R,MATCH($A27,'Valo FX'!$A:$A,0)),INDEX(Base!$V:$V,MATCH($A27,Base!$A:$A,0)),0)))</f>
        <v>12.050424</v>
      </c>
      <c r="KG27" s="21">
        <f>IF(KG$1&lt;INDEX('Valo FX'!$Q:$Q,MATCH($A27,'Valo FX'!$A:$A,0)),0,IF(KG$1&lt;INDEX('Valo FX'!$R:$R,MATCH($A27,'Valo FX'!$A:$A,0)),INDEX(Base!$U:$U,MATCH($A27,Base!$A:$A,0)),IF(KG$1=INDEX('Valo FX'!$R:$R,MATCH($A27,'Valo FX'!$A:$A,0)),INDEX(Base!$V:$V,MATCH($A27,Base!$A:$A,0)),0)))</f>
        <v>12.050424</v>
      </c>
      <c r="KH27" s="21">
        <f>IF(KH$1&lt;INDEX('Valo FX'!$Q:$Q,MATCH($A27,'Valo FX'!$A:$A,0)),0,IF(KH$1&lt;INDEX('Valo FX'!$R:$R,MATCH($A27,'Valo FX'!$A:$A,0)),INDEX(Base!$U:$U,MATCH($A27,Base!$A:$A,0)),IF(KH$1=INDEX('Valo FX'!$R:$R,MATCH($A27,'Valo FX'!$A:$A,0)),INDEX(Base!$V:$V,MATCH($A27,Base!$A:$A,0)),0)))</f>
        <v>12.050424</v>
      </c>
      <c r="KI27" s="21">
        <f>IF(KI$1&lt;INDEX('Valo FX'!$Q:$Q,MATCH($A27,'Valo FX'!$A:$A,0)),0,IF(KI$1&lt;INDEX('Valo FX'!$R:$R,MATCH($A27,'Valo FX'!$A:$A,0)),INDEX(Base!$U:$U,MATCH($A27,Base!$A:$A,0)),IF(KI$1=INDEX('Valo FX'!$R:$R,MATCH($A27,'Valo FX'!$A:$A,0)),INDEX(Base!$V:$V,MATCH($A27,Base!$A:$A,0)),0)))</f>
        <v>12.050424</v>
      </c>
      <c r="KJ27" s="21">
        <f>IF(KJ$1&lt;INDEX('Valo FX'!$Q:$Q,MATCH($A27,'Valo FX'!$A:$A,0)),0,IF(KJ$1&lt;INDEX('Valo FX'!$R:$R,MATCH($A27,'Valo FX'!$A:$A,0)),INDEX(Base!$U:$U,MATCH($A27,Base!$A:$A,0)),IF(KJ$1=INDEX('Valo FX'!$R:$R,MATCH($A27,'Valo FX'!$A:$A,0)),INDEX(Base!$V:$V,MATCH($A27,Base!$A:$A,0)),0)))</f>
        <v>12.050424</v>
      </c>
      <c r="KK27" s="21">
        <f>IF(KK$1&lt;INDEX('Valo FX'!$Q:$Q,MATCH($A27,'Valo FX'!$A:$A,0)),0,IF(KK$1&lt;INDEX('Valo FX'!$R:$R,MATCH($A27,'Valo FX'!$A:$A,0)),INDEX(Base!$U:$U,MATCH($A27,Base!$A:$A,0)),IF(KK$1=INDEX('Valo FX'!$R:$R,MATCH($A27,'Valo FX'!$A:$A,0)),INDEX(Base!$V:$V,MATCH($A27,Base!$A:$A,0)),0)))</f>
        <v>12.050424</v>
      </c>
      <c r="KL27" s="21">
        <f>IF(KL$1&lt;INDEX('Valo FX'!$Q:$Q,MATCH($A27,'Valo FX'!$A:$A,0)),0,IF(KL$1&lt;INDEX('Valo FX'!$R:$R,MATCH($A27,'Valo FX'!$A:$A,0)),INDEX(Base!$U:$U,MATCH($A27,Base!$A:$A,0)),IF(KL$1=INDEX('Valo FX'!$R:$R,MATCH($A27,'Valo FX'!$A:$A,0)),INDEX(Base!$V:$V,MATCH($A27,Base!$A:$A,0)),0)))</f>
        <v>12.050424</v>
      </c>
      <c r="KM27" s="21">
        <f>IF(KM$1&lt;INDEX('Valo FX'!$Q:$Q,MATCH($A27,'Valo FX'!$A:$A,0)),0,IF(KM$1&lt;INDEX('Valo FX'!$R:$R,MATCH($A27,'Valo FX'!$A:$A,0)),INDEX(Base!$U:$U,MATCH($A27,Base!$A:$A,0)),IF(KM$1=INDEX('Valo FX'!$R:$R,MATCH($A27,'Valo FX'!$A:$A,0)),INDEX(Base!$V:$V,MATCH($A27,Base!$A:$A,0)),0)))</f>
        <v>12.050424</v>
      </c>
      <c r="KN27" s="21">
        <f>IF(KN$1&lt;INDEX('Valo FX'!$Q:$Q,MATCH($A27,'Valo FX'!$A:$A,0)),0,IF(KN$1&lt;INDEX('Valo FX'!$R:$R,MATCH($A27,'Valo FX'!$A:$A,0)),INDEX(Base!$U:$U,MATCH($A27,Base!$A:$A,0)),IF(KN$1=INDEX('Valo FX'!$R:$R,MATCH($A27,'Valo FX'!$A:$A,0)),INDEX(Base!$V:$V,MATCH($A27,Base!$A:$A,0)),0)))</f>
        <v>12.050424</v>
      </c>
      <c r="KO27" s="21">
        <f>IF(KO$1&lt;INDEX('Valo FX'!$Q:$Q,MATCH($A27,'Valo FX'!$A:$A,0)),0,IF(KO$1&lt;INDEX('Valo FX'!$R:$R,MATCH($A27,'Valo FX'!$A:$A,0)),INDEX(Base!$U:$U,MATCH($A27,Base!$A:$A,0)),IF(KO$1=INDEX('Valo FX'!$R:$R,MATCH($A27,'Valo FX'!$A:$A,0)),INDEX(Base!$V:$V,MATCH($A27,Base!$A:$A,0)),0)))</f>
        <v>12.050424</v>
      </c>
      <c r="KP27" s="21">
        <f>IF(KP$1&lt;INDEX('Valo FX'!$Q:$Q,MATCH($A27,'Valo FX'!$A:$A,0)),0,IF(KP$1&lt;INDEX('Valo FX'!$R:$R,MATCH($A27,'Valo FX'!$A:$A,0)),INDEX(Base!$U:$U,MATCH($A27,Base!$A:$A,0)),IF(KP$1=INDEX('Valo FX'!$R:$R,MATCH($A27,'Valo FX'!$A:$A,0)),INDEX(Base!$V:$V,MATCH($A27,Base!$A:$A,0)),0)))</f>
        <v>12.050424</v>
      </c>
      <c r="KQ27" s="21">
        <f>IF(KQ$1&lt;INDEX('Valo FX'!$Q:$Q,MATCH($A27,'Valo FX'!$A:$A,0)),0,IF(KQ$1&lt;INDEX('Valo FX'!$R:$R,MATCH($A27,'Valo FX'!$A:$A,0)),INDEX(Base!$U:$U,MATCH($A27,Base!$A:$A,0)),IF(KQ$1=INDEX('Valo FX'!$R:$R,MATCH($A27,'Valo FX'!$A:$A,0)),INDEX(Base!$V:$V,MATCH($A27,Base!$A:$A,0)),0)))</f>
        <v>12.050424</v>
      </c>
      <c r="KR27" s="21">
        <f>IF(KR$1&lt;INDEX('Valo FX'!$Q:$Q,MATCH($A27,'Valo FX'!$A:$A,0)),0,IF(KR$1&lt;INDEX('Valo FX'!$R:$R,MATCH($A27,'Valo FX'!$A:$A,0)),INDEX(Base!$U:$U,MATCH($A27,Base!$A:$A,0)),IF(KR$1=INDEX('Valo FX'!$R:$R,MATCH($A27,'Valo FX'!$A:$A,0)),INDEX(Base!$V:$V,MATCH($A27,Base!$A:$A,0)),0)))</f>
        <v>12.050424</v>
      </c>
      <c r="KS27" s="21">
        <f>IF(KS$1&lt;INDEX('Valo FX'!$Q:$Q,MATCH($A27,'Valo FX'!$A:$A,0)),0,IF(KS$1&lt;INDEX('Valo FX'!$R:$R,MATCH($A27,'Valo FX'!$A:$A,0)),INDEX(Base!$U:$U,MATCH($A27,Base!$A:$A,0)),IF(KS$1=INDEX('Valo FX'!$R:$R,MATCH($A27,'Valo FX'!$A:$A,0)),INDEX(Base!$V:$V,MATCH($A27,Base!$A:$A,0)),0)))</f>
        <v>12.050424</v>
      </c>
      <c r="KT27" s="21">
        <f>IF(KT$1&lt;INDEX('Valo FX'!$Q:$Q,MATCH($A27,'Valo FX'!$A:$A,0)),0,IF(KT$1&lt;INDEX('Valo FX'!$R:$R,MATCH($A27,'Valo FX'!$A:$A,0)),INDEX(Base!$U:$U,MATCH($A27,Base!$A:$A,0)),IF(KT$1=INDEX('Valo FX'!$R:$R,MATCH($A27,'Valo FX'!$A:$A,0)),INDEX(Base!$V:$V,MATCH($A27,Base!$A:$A,0)),0)))</f>
        <v>12.050424</v>
      </c>
      <c r="KU27" s="21">
        <f>IF(KU$1&lt;INDEX('Valo FX'!$Q:$Q,MATCH($A27,'Valo FX'!$A:$A,0)),0,IF(KU$1&lt;INDEX('Valo FX'!$R:$R,MATCH($A27,'Valo FX'!$A:$A,0)),INDEX(Base!$U:$U,MATCH($A27,Base!$A:$A,0)),IF(KU$1=INDEX('Valo FX'!$R:$R,MATCH($A27,'Valo FX'!$A:$A,0)),INDEX(Base!$V:$V,MATCH($A27,Base!$A:$A,0)),0)))</f>
        <v>12.050424</v>
      </c>
      <c r="KV27" s="21">
        <f>IF(KV$1&lt;INDEX('Valo FX'!$Q:$Q,MATCH($A27,'Valo FX'!$A:$A,0)),0,IF(KV$1&lt;INDEX('Valo FX'!$R:$R,MATCH($A27,'Valo FX'!$A:$A,0)),INDEX(Base!$U:$U,MATCH($A27,Base!$A:$A,0)),IF(KV$1=INDEX('Valo FX'!$R:$R,MATCH($A27,'Valo FX'!$A:$A,0)),INDEX(Base!$V:$V,MATCH($A27,Base!$A:$A,0)),0)))</f>
        <v>12.050424</v>
      </c>
      <c r="KW27" s="21">
        <f>IF(KW$1&lt;INDEX('Valo FX'!$Q:$Q,MATCH($A27,'Valo FX'!$A:$A,0)),0,IF(KW$1&lt;INDEX('Valo FX'!$R:$R,MATCH($A27,'Valo FX'!$A:$A,0)),INDEX(Base!$U:$U,MATCH($A27,Base!$A:$A,0)),IF(KW$1=INDEX('Valo FX'!$R:$R,MATCH($A27,'Valo FX'!$A:$A,0)),INDEX(Base!$V:$V,MATCH($A27,Base!$A:$A,0)),0)))</f>
        <v>12.050424</v>
      </c>
      <c r="KX27" s="21">
        <f>IF(KX$1&lt;INDEX('Valo FX'!$Q:$Q,MATCH($A27,'Valo FX'!$A:$A,0)),0,IF(KX$1&lt;INDEX('Valo FX'!$R:$R,MATCH($A27,'Valo FX'!$A:$A,0)),INDEX(Base!$U:$U,MATCH($A27,Base!$A:$A,0)),IF(KX$1=INDEX('Valo FX'!$R:$R,MATCH($A27,'Valo FX'!$A:$A,0)),INDEX(Base!$V:$V,MATCH($A27,Base!$A:$A,0)),0)))</f>
        <v>12.050424</v>
      </c>
      <c r="KY27" s="21">
        <f>IF(KY$1&lt;INDEX('Valo FX'!$Q:$Q,MATCH($A27,'Valo FX'!$A:$A,0)),0,IF(KY$1&lt;INDEX('Valo FX'!$R:$R,MATCH($A27,'Valo FX'!$A:$A,0)),INDEX(Base!$U:$U,MATCH($A27,Base!$A:$A,0)),IF(KY$1=INDEX('Valo FX'!$R:$R,MATCH($A27,'Valo FX'!$A:$A,0)),INDEX(Base!$V:$V,MATCH($A27,Base!$A:$A,0)),0)))</f>
        <v>12.050424</v>
      </c>
      <c r="KZ27" s="21">
        <f>IF(KZ$1&lt;INDEX('Valo FX'!$Q:$Q,MATCH($A27,'Valo FX'!$A:$A,0)),0,IF(KZ$1&lt;INDEX('Valo FX'!$R:$R,MATCH($A27,'Valo FX'!$A:$A,0)),INDEX(Base!$U:$U,MATCH($A27,Base!$A:$A,0)),IF(KZ$1=INDEX('Valo FX'!$R:$R,MATCH($A27,'Valo FX'!$A:$A,0)),INDEX(Base!$V:$V,MATCH($A27,Base!$A:$A,0)),0)))</f>
        <v>12.050424</v>
      </c>
      <c r="LA27" s="21">
        <f>IF(LA$1&lt;INDEX('Valo FX'!$Q:$Q,MATCH($A27,'Valo FX'!$A:$A,0)),0,IF(LA$1&lt;INDEX('Valo FX'!$R:$R,MATCH($A27,'Valo FX'!$A:$A,0)),INDEX(Base!$U:$U,MATCH($A27,Base!$A:$A,0)),IF(LA$1=INDEX('Valo FX'!$R:$R,MATCH($A27,'Valo FX'!$A:$A,0)),INDEX(Base!$V:$V,MATCH($A27,Base!$A:$A,0)),0)))</f>
        <v>12.050424</v>
      </c>
      <c r="LB27" s="21">
        <f>IF(LB$1&lt;INDEX('Valo FX'!$Q:$Q,MATCH($A27,'Valo FX'!$A:$A,0)),0,IF(LB$1&lt;INDEX('Valo FX'!$R:$R,MATCH($A27,'Valo FX'!$A:$A,0)),INDEX(Base!$U:$U,MATCH($A27,Base!$A:$A,0)),IF(LB$1=INDEX('Valo FX'!$R:$R,MATCH($A27,'Valo FX'!$A:$A,0)),INDEX(Base!$V:$V,MATCH($A27,Base!$A:$A,0)),0)))</f>
        <v>12.050424</v>
      </c>
      <c r="LC27" s="21">
        <f>IF(LC$1&lt;INDEX('Valo FX'!$Q:$Q,MATCH($A27,'Valo FX'!$A:$A,0)),0,IF(LC$1&lt;INDEX('Valo FX'!$R:$R,MATCH($A27,'Valo FX'!$A:$A,0)),INDEX(Base!$U:$U,MATCH($A27,Base!$A:$A,0)),IF(LC$1=INDEX('Valo FX'!$R:$R,MATCH($A27,'Valo FX'!$A:$A,0)),INDEX(Base!$V:$V,MATCH($A27,Base!$A:$A,0)),0)))</f>
        <v>12.050424</v>
      </c>
      <c r="LD27" s="21">
        <f>IF(LD$1&lt;INDEX('Valo FX'!$Q:$Q,MATCH($A27,'Valo FX'!$A:$A,0)),0,IF(LD$1&lt;INDEX('Valo FX'!$R:$R,MATCH($A27,'Valo FX'!$A:$A,0)),INDEX(Base!$U:$U,MATCH($A27,Base!$A:$A,0)),IF(LD$1=INDEX('Valo FX'!$R:$R,MATCH($A27,'Valo FX'!$A:$A,0)),INDEX(Base!$V:$V,MATCH($A27,Base!$A:$A,0)),0)))</f>
        <v>12.050424</v>
      </c>
      <c r="LE27" s="21">
        <f>IF(LE$1&lt;INDEX('Valo FX'!$Q:$Q,MATCH($A27,'Valo FX'!$A:$A,0)),0,IF(LE$1&lt;INDEX('Valo FX'!$R:$R,MATCH($A27,'Valo FX'!$A:$A,0)),INDEX(Base!$U:$U,MATCH($A27,Base!$A:$A,0)),IF(LE$1=INDEX('Valo FX'!$R:$R,MATCH($A27,'Valo FX'!$A:$A,0)),INDEX(Base!$V:$V,MATCH($A27,Base!$A:$A,0)),0)))</f>
        <v>12.050424</v>
      </c>
      <c r="LF27" s="21">
        <f>IF(LF$1&lt;INDEX('Valo FX'!$Q:$Q,MATCH($A27,'Valo FX'!$A:$A,0)),0,IF(LF$1&lt;INDEX('Valo FX'!$R:$R,MATCH($A27,'Valo FX'!$A:$A,0)),INDEX(Base!$U:$U,MATCH($A27,Base!$A:$A,0)),IF(LF$1=INDEX('Valo FX'!$R:$R,MATCH($A27,'Valo FX'!$A:$A,0)),INDEX(Base!$V:$V,MATCH($A27,Base!$A:$A,0)),0)))</f>
        <v>12.050424</v>
      </c>
      <c r="LG27" s="21">
        <f>IF(LG$1&lt;INDEX('Valo FX'!$Q:$Q,MATCH($A27,'Valo FX'!$A:$A,0)),0,IF(LG$1&lt;INDEX('Valo FX'!$R:$R,MATCH($A27,'Valo FX'!$A:$A,0)),INDEX(Base!$U:$U,MATCH($A27,Base!$A:$A,0)),IF(LG$1=INDEX('Valo FX'!$R:$R,MATCH($A27,'Valo FX'!$A:$A,0)),INDEX(Base!$V:$V,MATCH($A27,Base!$A:$A,0)),0)))</f>
        <v>12.050424</v>
      </c>
      <c r="LH27" s="21">
        <f>IF(LH$1&lt;INDEX('Valo FX'!$Q:$Q,MATCH($A27,'Valo FX'!$A:$A,0)),0,IF(LH$1&lt;INDEX('Valo FX'!$R:$R,MATCH($A27,'Valo FX'!$A:$A,0)),INDEX(Base!$U:$U,MATCH($A27,Base!$A:$A,0)),IF(LH$1=INDEX('Valo FX'!$R:$R,MATCH($A27,'Valo FX'!$A:$A,0)),INDEX(Base!$V:$V,MATCH($A27,Base!$A:$A,0)),0)))</f>
        <v>12.050424</v>
      </c>
      <c r="LI27" s="21">
        <f>IF(LI$1&lt;INDEX('Valo FX'!$Q:$Q,MATCH($A27,'Valo FX'!$A:$A,0)),0,IF(LI$1&lt;INDEX('Valo FX'!$R:$R,MATCH($A27,'Valo FX'!$A:$A,0)),INDEX(Base!$U:$U,MATCH($A27,Base!$A:$A,0)),IF(LI$1=INDEX('Valo FX'!$R:$R,MATCH($A27,'Valo FX'!$A:$A,0)),INDEX(Base!$V:$V,MATCH($A27,Base!$A:$A,0)),0)))</f>
        <v>12.050424</v>
      </c>
      <c r="LJ27" s="21">
        <f>IF(LJ$1&lt;INDEX('Valo FX'!$Q:$Q,MATCH($A27,'Valo FX'!$A:$A,0)),0,IF(LJ$1&lt;INDEX('Valo FX'!$R:$R,MATCH($A27,'Valo FX'!$A:$A,0)),INDEX(Base!$U:$U,MATCH($A27,Base!$A:$A,0)),IF(LJ$1=INDEX('Valo FX'!$R:$R,MATCH($A27,'Valo FX'!$A:$A,0)),INDEX(Base!$V:$V,MATCH($A27,Base!$A:$A,0)),0)))</f>
        <v>12.050424</v>
      </c>
      <c r="LK27" s="21">
        <f>IF(LK$1&lt;INDEX('Valo FX'!$Q:$Q,MATCH($A27,'Valo FX'!$A:$A,0)),0,IF(LK$1&lt;INDEX('Valo FX'!$R:$R,MATCH($A27,'Valo FX'!$A:$A,0)),INDEX(Base!$U:$U,MATCH($A27,Base!$A:$A,0)),IF(LK$1=INDEX('Valo FX'!$R:$R,MATCH($A27,'Valo FX'!$A:$A,0)),INDEX(Base!$V:$V,MATCH($A27,Base!$A:$A,0)),0)))</f>
        <v>12.050424</v>
      </c>
      <c r="LL27" s="21">
        <f>IF(LL$1&lt;INDEX('Valo FX'!$Q:$Q,MATCH($A27,'Valo FX'!$A:$A,0)),0,IF(LL$1&lt;INDEX('Valo FX'!$R:$R,MATCH($A27,'Valo FX'!$A:$A,0)),INDEX(Base!$U:$U,MATCH($A27,Base!$A:$A,0)),IF(LL$1=INDEX('Valo FX'!$R:$R,MATCH($A27,'Valo FX'!$A:$A,0)),INDEX(Base!$V:$V,MATCH($A27,Base!$A:$A,0)),0)))</f>
        <v>12.050424</v>
      </c>
      <c r="LM27" s="21">
        <f>IF(LM$1&lt;INDEX('Valo FX'!$Q:$Q,MATCH($A27,'Valo FX'!$A:$A,0)),0,IF(LM$1&lt;INDEX('Valo FX'!$R:$R,MATCH($A27,'Valo FX'!$A:$A,0)),INDEX(Base!$U:$U,MATCH($A27,Base!$A:$A,0)),IF(LM$1=INDEX('Valo FX'!$R:$R,MATCH($A27,'Valo FX'!$A:$A,0)),INDEX(Base!$V:$V,MATCH($A27,Base!$A:$A,0)),0)))</f>
        <v>12.050424</v>
      </c>
      <c r="LN27" s="21">
        <f>IF(LN$1&lt;INDEX('Valo FX'!$Q:$Q,MATCH($A27,'Valo FX'!$A:$A,0)),0,IF(LN$1&lt;INDEX('Valo FX'!$R:$R,MATCH($A27,'Valo FX'!$A:$A,0)),INDEX(Base!$U:$U,MATCH($A27,Base!$A:$A,0)),IF(LN$1=INDEX('Valo FX'!$R:$R,MATCH($A27,'Valo FX'!$A:$A,0)),INDEX(Base!$V:$V,MATCH($A27,Base!$A:$A,0)),0)))</f>
        <v>12.050424</v>
      </c>
      <c r="LO27" s="21">
        <f>IF(LO$1&lt;INDEX('Valo FX'!$Q:$Q,MATCH($A27,'Valo FX'!$A:$A,0)),0,IF(LO$1&lt;INDEX('Valo FX'!$R:$R,MATCH($A27,'Valo FX'!$A:$A,0)),INDEX(Base!$U:$U,MATCH($A27,Base!$A:$A,0)),IF(LO$1=INDEX('Valo FX'!$R:$R,MATCH($A27,'Valo FX'!$A:$A,0)),INDEX(Base!$V:$V,MATCH($A27,Base!$A:$A,0)),0)))</f>
        <v>12.050424</v>
      </c>
      <c r="LP27" s="21">
        <f>IF(LP$1&lt;INDEX('Valo FX'!$Q:$Q,MATCH($A27,'Valo FX'!$A:$A,0)),0,IF(LP$1&lt;INDEX('Valo FX'!$R:$R,MATCH($A27,'Valo FX'!$A:$A,0)),INDEX(Base!$U:$U,MATCH($A27,Base!$A:$A,0)),IF(LP$1=INDEX('Valo FX'!$R:$R,MATCH($A27,'Valo FX'!$A:$A,0)),INDEX(Base!$V:$V,MATCH($A27,Base!$A:$A,0)),0)))</f>
        <v>12.050424</v>
      </c>
      <c r="LQ27" s="21">
        <f>IF(LQ$1&lt;INDEX('Valo FX'!$Q:$Q,MATCH($A27,'Valo FX'!$A:$A,0)),0,IF(LQ$1&lt;INDEX('Valo FX'!$R:$R,MATCH($A27,'Valo FX'!$A:$A,0)),INDEX(Base!$U:$U,MATCH($A27,Base!$A:$A,0)),IF(LQ$1=INDEX('Valo FX'!$R:$R,MATCH($A27,'Valo FX'!$A:$A,0)),INDEX(Base!$V:$V,MATCH($A27,Base!$A:$A,0)),0)))</f>
        <v>12.050424</v>
      </c>
      <c r="LR27" s="21">
        <f>IF(LR$1&lt;INDEX('Valo FX'!$Q:$Q,MATCH($A27,'Valo FX'!$A:$A,0)),0,IF(LR$1&lt;INDEX('Valo FX'!$R:$R,MATCH($A27,'Valo FX'!$A:$A,0)),INDEX(Base!$U:$U,MATCH($A27,Base!$A:$A,0)),IF(LR$1=INDEX('Valo FX'!$R:$R,MATCH($A27,'Valo FX'!$A:$A,0)),INDEX(Base!$V:$V,MATCH($A27,Base!$A:$A,0)),0)))</f>
        <v>12.050424</v>
      </c>
      <c r="LS27" s="21">
        <f>IF(LS$1&lt;INDEX('Valo FX'!$Q:$Q,MATCH($A27,'Valo FX'!$A:$A,0)),0,IF(LS$1&lt;INDEX('Valo FX'!$R:$R,MATCH($A27,'Valo FX'!$A:$A,0)),INDEX(Base!$U:$U,MATCH($A27,Base!$A:$A,0)),IF(LS$1=INDEX('Valo FX'!$R:$R,MATCH($A27,'Valo FX'!$A:$A,0)),INDEX(Base!$V:$V,MATCH($A27,Base!$A:$A,0)),0)))</f>
        <v>12.050424</v>
      </c>
      <c r="LT27" s="21">
        <f>IF(LT$1&lt;INDEX('Valo FX'!$Q:$Q,MATCH($A27,'Valo FX'!$A:$A,0)),0,IF(LT$1&lt;INDEX('Valo FX'!$R:$R,MATCH($A27,'Valo FX'!$A:$A,0)),INDEX(Base!$U:$U,MATCH($A27,Base!$A:$A,0)),IF(LT$1=INDEX('Valo FX'!$R:$R,MATCH($A27,'Valo FX'!$A:$A,0)),INDEX(Base!$V:$V,MATCH($A27,Base!$A:$A,0)),0)))</f>
        <v>12.050424</v>
      </c>
      <c r="LU27" s="21">
        <f>IF(LU$1&lt;INDEX('Valo FX'!$Q:$Q,MATCH($A27,'Valo FX'!$A:$A,0)),0,IF(LU$1&lt;INDEX('Valo FX'!$R:$R,MATCH($A27,'Valo FX'!$A:$A,0)),INDEX(Base!$U:$U,MATCH($A27,Base!$A:$A,0)),IF(LU$1=INDEX('Valo FX'!$R:$R,MATCH($A27,'Valo FX'!$A:$A,0)),INDEX(Base!$V:$V,MATCH($A27,Base!$A:$A,0)),0)))</f>
        <v>12.050424</v>
      </c>
      <c r="LV27" s="21">
        <f>IF(LV$1&lt;INDEX('Valo FX'!$Q:$Q,MATCH($A27,'Valo FX'!$A:$A,0)),0,IF(LV$1&lt;INDEX('Valo FX'!$R:$R,MATCH($A27,'Valo FX'!$A:$A,0)),INDEX(Base!$U:$U,MATCH($A27,Base!$A:$A,0)),IF(LV$1=INDEX('Valo FX'!$R:$R,MATCH($A27,'Valo FX'!$A:$A,0)),INDEX(Base!$V:$V,MATCH($A27,Base!$A:$A,0)),0)))</f>
        <v>12.050424</v>
      </c>
      <c r="LW27" s="21">
        <f>IF(LW$1&lt;INDEX('Valo FX'!$Q:$Q,MATCH($A27,'Valo FX'!$A:$A,0)),0,IF(LW$1&lt;INDEX('Valo FX'!$R:$R,MATCH($A27,'Valo FX'!$A:$A,0)),INDEX(Base!$U:$U,MATCH($A27,Base!$A:$A,0)),IF(LW$1=INDEX('Valo FX'!$R:$R,MATCH($A27,'Valo FX'!$A:$A,0)),INDEX(Base!$V:$V,MATCH($A27,Base!$A:$A,0)),0)))</f>
        <v>12.050424</v>
      </c>
      <c r="LX27" s="21">
        <f>IF(LX$1&lt;INDEX('Valo FX'!$Q:$Q,MATCH($A27,'Valo FX'!$A:$A,0)),0,IF(LX$1&lt;INDEX('Valo FX'!$R:$R,MATCH($A27,'Valo FX'!$A:$A,0)),INDEX(Base!$U:$U,MATCH($A27,Base!$A:$A,0)),IF(LX$1=INDEX('Valo FX'!$R:$R,MATCH($A27,'Valo FX'!$A:$A,0)),INDEX(Base!$V:$V,MATCH($A27,Base!$A:$A,0)),0)))</f>
        <v>12.050424</v>
      </c>
      <c r="LY27" s="21">
        <f>IF(LY$1&lt;INDEX('Valo FX'!$Q:$Q,MATCH($A27,'Valo FX'!$A:$A,0)),0,IF(LY$1&lt;INDEX('Valo FX'!$R:$R,MATCH($A27,'Valo FX'!$A:$A,0)),INDEX(Base!$U:$U,MATCH($A27,Base!$A:$A,0)),IF(LY$1=INDEX('Valo FX'!$R:$R,MATCH($A27,'Valo FX'!$A:$A,0)),INDEX(Base!$V:$V,MATCH($A27,Base!$A:$A,0)),0)))</f>
        <v>12.050424</v>
      </c>
      <c r="LZ27" s="21">
        <f>IF(LZ$1&lt;INDEX('Valo FX'!$Q:$Q,MATCH($A27,'Valo FX'!$A:$A,0)),0,IF(LZ$1&lt;INDEX('Valo FX'!$R:$R,MATCH($A27,'Valo FX'!$A:$A,0)),INDEX(Base!$U:$U,MATCH($A27,Base!$A:$A,0)),IF(LZ$1=INDEX('Valo FX'!$R:$R,MATCH($A27,'Valo FX'!$A:$A,0)),INDEX(Base!$V:$V,MATCH($A27,Base!$A:$A,0)),0)))</f>
        <v>12.050424</v>
      </c>
      <c r="MA27" s="21">
        <f>IF(MA$1&lt;INDEX('Valo FX'!$Q:$Q,MATCH($A27,'Valo FX'!$A:$A,0)),0,IF(MA$1&lt;INDEX('Valo FX'!$R:$R,MATCH($A27,'Valo FX'!$A:$A,0)),INDEX(Base!$U:$U,MATCH($A27,Base!$A:$A,0)),IF(MA$1=INDEX('Valo FX'!$R:$R,MATCH($A27,'Valo FX'!$A:$A,0)),INDEX(Base!$V:$V,MATCH($A27,Base!$A:$A,0)),0)))</f>
        <v>12.050424</v>
      </c>
      <c r="MB27" s="21">
        <f>IF(MB$1&lt;INDEX('Valo FX'!$Q:$Q,MATCH($A27,'Valo FX'!$A:$A,0)),0,IF(MB$1&lt;INDEX('Valo FX'!$R:$R,MATCH($A27,'Valo FX'!$A:$A,0)),INDEX(Base!$U:$U,MATCH($A27,Base!$A:$A,0)),IF(MB$1=INDEX('Valo FX'!$R:$R,MATCH($A27,'Valo FX'!$A:$A,0)),INDEX(Base!$V:$V,MATCH($A27,Base!$A:$A,0)),0)))</f>
        <v>12.050424</v>
      </c>
      <c r="MC27" s="21">
        <f>IF(MC$1&lt;INDEX('Valo FX'!$Q:$Q,MATCH($A27,'Valo FX'!$A:$A,0)),0,IF(MC$1&lt;INDEX('Valo FX'!$R:$R,MATCH($A27,'Valo FX'!$A:$A,0)),INDEX(Base!$U:$U,MATCH($A27,Base!$A:$A,0)),IF(MC$1=INDEX('Valo FX'!$R:$R,MATCH($A27,'Valo FX'!$A:$A,0)),INDEX(Base!$V:$V,MATCH($A27,Base!$A:$A,0)),0)))</f>
        <v>12.050424</v>
      </c>
      <c r="MD27" s="21">
        <f>IF(MD$1&lt;INDEX('Valo FX'!$Q:$Q,MATCH($A27,'Valo FX'!$A:$A,0)),0,IF(MD$1&lt;INDEX('Valo FX'!$R:$R,MATCH($A27,'Valo FX'!$A:$A,0)),INDEX(Base!$U:$U,MATCH($A27,Base!$A:$A,0)),IF(MD$1=INDEX('Valo FX'!$R:$R,MATCH($A27,'Valo FX'!$A:$A,0)),INDEX(Base!$V:$V,MATCH($A27,Base!$A:$A,0)),0)))</f>
        <v>12.050424</v>
      </c>
      <c r="ME27" s="21">
        <f>IF(ME$1&lt;INDEX('Valo FX'!$Q:$Q,MATCH($A27,'Valo FX'!$A:$A,0)),0,IF(ME$1&lt;INDEX('Valo FX'!$R:$R,MATCH($A27,'Valo FX'!$A:$A,0)),INDEX(Base!$U:$U,MATCH($A27,Base!$A:$A,0)),IF(ME$1=INDEX('Valo FX'!$R:$R,MATCH($A27,'Valo FX'!$A:$A,0)),INDEX(Base!$V:$V,MATCH($A27,Base!$A:$A,0)),0)))</f>
        <v>12.050424</v>
      </c>
      <c r="MF27" s="21">
        <f>IF(MF$1&lt;INDEX('Valo FX'!$Q:$Q,MATCH($A27,'Valo FX'!$A:$A,0)),0,IF(MF$1&lt;INDEX('Valo FX'!$R:$R,MATCH($A27,'Valo FX'!$A:$A,0)),INDEX(Base!$U:$U,MATCH($A27,Base!$A:$A,0)),IF(MF$1=INDEX('Valo FX'!$R:$R,MATCH($A27,'Valo FX'!$A:$A,0)),INDEX(Base!$V:$V,MATCH($A27,Base!$A:$A,0)),0)))</f>
        <v>12.050424</v>
      </c>
      <c r="MG27" s="21">
        <f>IF(MG$1&lt;INDEX('Valo FX'!$Q:$Q,MATCH($A27,'Valo FX'!$A:$A,0)),0,IF(MG$1&lt;INDEX('Valo FX'!$R:$R,MATCH($A27,'Valo FX'!$A:$A,0)),INDEX(Base!$U:$U,MATCH($A27,Base!$A:$A,0)),IF(MG$1=INDEX('Valo FX'!$R:$R,MATCH($A27,'Valo FX'!$A:$A,0)),INDEX(Base!$V:$V,MATCH($A27,Base!$A:$A,0)),0)))</f>
        <v>12.050424</v>
      </c>
      <c r="MH27" s="21">
        <f>IF(MH$1&lt;INDEX('Valo FX'!$Q:$Q,MATCH($A27,'Valo FX'!$A:$A,0)),0,IF(MH$1&lt;INDEX('Valo FX'!$R:$R,MATCH($A27,'Valo FX'!$A:$A,0)),INDEX(Base!$U:$U,MATCH($A27,Base!$A:$A,0)),IF(MH$1=INDEX('Valo FX'!$R:$R,MATCH($A27,'Valo FX'!$A:$A,0)),INDEX(Base!$V:$V,MATCH($A27,Base!$A:$A,0)),0)))</f>
        <v>12.050424</v>
      </c>
      <c r="MI27" s="21">
        <f>IF(MI$1&lt;INDEX('Valo FX'!$Q:$Q,MATCH($A27,'Valo FX'!$A:$A,0)),0,IF(MI$1&lt;INDEX('Valo FX'!$R:$R,MATCH($A27,'Valo FX'!$A:$A,0)),INDEX(Base!$U:$U,MATCH($A27,Base!$A:$A,0)),IF(MI$1=INDEX('Valo FX'!$R:$R,MATCH($A27,'Valo FX'!$A:$A,0)),INDEX(Base!$V:$V,MATCH($A27,Base!$A:$A,0)),0)))</f>
        <v>12.050424</v>
      </c>
      <c r="MJ27" s="21">
        <f>IF(MJ$1&lt;INDEX('Valo FX'!$Q:$Q,MATCH($A27,'Valo FX'!$A:$A,0)),0,IF(MJ$1&lt;INDEX('Valo FX'!$R:$R,MATCH($A27,'Valo FX'!$A:$A,0)),INDEX(Base!$U:$U,MATCH($A27,Base!$A:$A,0)),IF(MJ$1=INDEX('Valo FX'!$R:$R,MATCH($A27,'Valo FX'!$A:$A,0)),INDEX(Base!$V:$V,MATCH($A27,Base!$A:$A,0)),0)))</f>
        <v>12.050424</v>
      </c>
      <c r="MK27" s="21">
        <f>IF(MK$1&lt;INDEX('Valo FX'!$Q:$Q,MATCH($A27,'Valo FX'!$A:$A,0)),0,IF(MK$1&lt;INDEX('Valo FX'!$R:$R,MATCH($A27,'Valo FX'!$A:$A,0)),INDEX(Base!$U:$U,MATCH($A27,Base!$A:$A,0)),IF(MK$1=INDEX('Valo FX'!$R:$R,MATCH($A27,'Valo FX'!$A:$A,0)),INDEX(Base!$V:$V,MATCH($A27,Base!$A:$A,0)),0)))</f>
        <v>12.050424</v>
      </c>
      <c r="ML27" s="21">
        <f>IF(ML$1&lt;INDEX('Valo FX'!$Q:$Q,MATCH($A27,'Valo FX'!$A:$A,0)),0,IF(ML$1&lt;INDEX('Valo FX'!$R:$R,MATCH($A27,'Valo FX'!$A:$A,0)),INDEX(Base!$U:$U,MATCH($A27,Base!$A:$A,0)),IF(ML$1=INDEX('Valo FX'!$R:$R,MATCH($A27,'Valo FX'!$A:$A,0)),INDEX(Base!$V:$V,MATCH($A27,Base!$A:$A,0)),0)))</f>
        <v>12.050424</v>
      </c>
      <c r="MM27" s="21">
        <f>IF(MM$1&lt;INDEX('Valo FX'!$Q:$Q,MATCH($A27,'Valo FX'!$A:$A,0)),0,IF(MM$1&lt;INDEX('Valo FX'!$R:$R,MATCH($A27,'Valo FX'!$A:$A,0)),INDEX(Base!$U:$U,MATCH($A27,Base!$A:$A,0)),IF(MM$1=INDEX('Valo FX'!$R:$R,MATCH($A27,'Valo FX'!$A:$A,0)),INDEX(Base!$V:$V,MATCH($A27,Base!$A:$A,0)),0)))</f>
        <v>12.050424</v>
      </c>
      <c r="MN27" s="21">
        <f>IF(MN$1&lt;INDEX('Valo FX'!$Q:$Q,MATCH($A27,'Valo FX'!$A:$A,0)),0,IF(MN$1&lt;INDEX('Valo FX'!$R:$R,MATCH($A27,'Valo FX'!$A:$A,0)),INDEX(Base!$U:$U,MATCH($A27,Base!$A:$A,0)),IF(MN$1=INDEX('Valo FX'!$R:$R,MATCH($A27,'Valo FX'!$A:$A,0)),INDEX(Base!$V:$V,MATCH($A27,Base!$A:$A,0)),0)))</f>
        <v>12.050424</v>
      </c>
      <c r="MO27" s="21">
        <f>IF(MO$1&lt;INDEX('Valo FX'!$Q:$Q,MATCH($A27,'Valo FX'!$A:$A,0)),0,IF(MO$1&lt;INDEX('Valo FX'!$R:$R,MATCH($A27,'Valo FX'!$A:$A,0)),INDEX(Base!$U:$U,MATCH($A27,Base!$A:$A,0)),IF(MO$1=INDEX('Valo FX'!$R:$R,MATCH($A27,'Valo FX'!$A:$A,0)),INDEX(Base!$V:$V,MATCH($A27,Base!$A:$A,0)),0)))</f>
        <v>12.050424</v>
      </c>
      <c r="MP27" s="21">
        <f>IF(MP$1&lt;INDEX('Valo FX'!$Q:$Q,MATCH($A27,'Valo FX'!$A:$A,0)),0,IF(MP$1&lt;INDEX('Valo FX'!$R:$R,MATCH($A27,'Valo FX'!$A:$A,0)),INDEX(Base!$U:$U,MATCH($A27,Base!$A:$A,0)),IF(MP$1=INDEX('Valo FX'!$R:$R,MATCH($A27,'Valo FX'!$A:$A,0)),INDEX(Base!$V:$V,MATCH($A27,Base!$A:$A,0)),0)))</f>
        <v>12.050424</v>
      </c>
      <c r="MQ27" s="21">
        <f>IF(MQ$1&lt;INDEX('Valo FX'!$Q:$Q,MATCH($A27,'Valo FX'!$A:$A,0)),0,IF(MQ$1&lt;INDEX('Valo FX'!$R:$R,MATCH($A27,'Valo FX'!$A:$A,0)),INDEX(Base!$U:$U,MATCH($A27,Base!$A:$A,0)),IF(MQ$1=INDEX('Valo FX'!$R:$R,MATCH($A27,'Valo FX'!$A:$A,0)),INDEX(Base!$V:$V,MATCH($A27,Base!$A:$A,0)),0)))</f>
        <v>12.050424</v>
      </c>
      <c r="MR27" s="21">
        <f>IF(MR$1&lt;INDEX('Valo FX'!$Q:$Q,MATCH($A27,'Valo FX'!$A:$A,0)),0,IF(MR$1&lt;INDEX('Valo FX'!$R:$R,MATCH($A27,'Valo FX'!$A:$A,0)),INDEX(Base!$U:$U,MATCH($A27,Base!$A:$A,0)),IF(MR$1=INDEX('Valo FX'!$R:$R,MATCH($A27,'Valo FX'!$A:$A,0)),INDEX(Base!$V:$V,MATCH($A27,Base!$A:$A,0)),0)))</f>
        <v>12.050424</v>
      </c>
      <c r="MS27" s="21">
        <f>IF(MS$1&lt;INDEX('Valo FX'!$Q:$Q,MATCH($A27,'Valo FX'!$A:$A,0)),0,IF(MS$1&lt;INDEX('Valo FX'!$R:$R,MATCH($A27,'Valo FX'!$A:$A,0)),INDEX(Base!$U:$U,MATCH($A27,Base!$A:$A,0)),IF(MS$1=INDEX('Valo FX'!$R:$R,MATCH($A27,'Valo FX'!$A:$A,0)),INDEX(Base!$V:$V,MATCH($A27,Base!$A:$A,0)),0)))</f>
        <v>12.050424</v>
      </c>
      <c r="MT27" s="21">
        <f>IF(MT$1&lt;INDEX('Valo FX'!$Q:$Q,MATCH($A27,'Valo FX'!$A:$A,0)),0,IF(MT$1&lt;INDEX('Valo FX'!$R:$R,MATCH($A27,'Valo FX'!$A:$A,0)),INDEX(Base!$U:$U,MATCH($A27,Base!$A:$A,0)),IF(MT$1=INDEX('Valo FX'!$R:$R,MATCH($A27,'Valo FX'!$A:$A,0)),INDEX(Base!$V:$V,MATCH($A27,Base!$A:$A,0)),0)))</f>
        <v>12.050424</v>
      </c>
      <c r="MU27" s="21">
        <f>IF(MU$1&lt;INDEX('Valo FX'!$Q:$Q,MATCH($A27,'Valo FX'!$A:$A,0)),0,IF(MU$1&lt;INDEX('Valo FX'!$R:$R,MATCH($A27,'Valo FX'!$A:$A,0)),INDEX(Base!$U:$U,MATCH($A27,Base!$A:$A,0)),IF(MU$1=INDEX('Valo FX'!$R:$R,MATCH($A27,'Valo FX'!$A:$A,0)),INDEX(Base!$V:$V,MATCH($A27,Base!$A:$A,0)),0)))</f>
        <v>12.050424</v>
      </c>
      <c r="MV27" s="21">
        <f>IF(MV$1&lt;INDEX('Valo FX'!$Q:$Q,MATCH($A27,'Valo FX'!$A:$A,0)),0,IF(MV$1&lt;INDEX('Valo FX'!$R:$R,MATCH($A27,'Valo FX'!$A:$A,0)),INDEX(Base!$U:$U,MATCH($A27,Base!$A:$A,0)),IF(MV$1=INDEX('Valo FX'!$R:$R,MATCH($A27,'Valo FX'!$A:$A,0)),INDEX(Base!$V:$V,MATCH($A27,Base!$A:$A,0)),0)))</f>
        <v>12.050424</v>
      </c>
      <c r="MW27" s="21">
        <f>IF(MW$1&lt;INDEX('Valo FX'!$Q:$Q,MATCH($A27,'Valo FX'!$A:$A,0)),0,IF(MW$1&lt;INDEX('Valo FX'!$R:$R,MATCH($A27,'Valo FX'!$A:$A,0)),INDEX(Base!$U:$U,MATCH($A27,Base!$A:$A,0)),IF(MW$1=INDEX('Valo FX'!$R:$R,MATCH($A27,'Valo FX'!$A:$A,0)),INDEX(Base!$V:$V,MATCH($A27,Base!$A:$A,0)),0)))</f>
        <v>12.050424</v>
      </c>
      <c r="MX27" s="21">
        <f>IF(MX$1&lt;INDEX('Valo FX'!$Q:$Q,MATCH($A27,'Valo FX'!$A:$A,0)),0,IF(MX$1&lt;INDEX('Valo FX'!$R:$R,MATCH($A27,'Valo FX'!$A:$A,0)),INDEX(Base!$U:$U,MATCH($A27,Base!$A:$A,0)),IF(MX$1=INDEX('Valo FX'!$R:$R,MATCH($A27,'Valo FX'!$A:$A,0)),INDEX(Base!$V:$V,MATCH($A27,Base!$A:$A,0)),0)))</f>
        <v>12.050424</v>
      </c>
      <c r="MY27" s="21">
        <f>IF(MY$1&lt;INDEX('Valo FX'!$Q:$Q,MATCH($A27,'Valo FX'!$A:$A,0)),0,IF(MY$1&lt;INDEX('Valo FX'!$R:$R,MATCH($A27,'Valo FX'!$A:$A,0)),INDEX(Base!$U:$U,MATCH($A27,Base!$A:$A,0)),IF(MY$1=INDEX('Valo FX'!$R:$R,MATCH($A27,'Valo FX'!$A:$A,0)),INDEX(Base!$V:$V,MATCH($A27,Base!$A:$A,0)),0)))</f>
        <v>12.42774</v>
      </c>
    </row>
    <row r="28" spans="1:363" x14ac:dyDescent="0.25">
      <c r="A28" s="7">
        <f t="shared" si="12"/>
        <v>26</v>
      </c>
      <c r="B28" s="59">
        <f>-'Valo FX'!T29</f>
        <v>-1787.9164492292628</v>
      </c>
      <c r="C28" s="21">
        <f>IF(C$1&lt;INDEX('Valo FX'!$Q:$Q,MATCH($A28,'Valo FX'!$A:$A,0)),0,IF(C$1&lt;INDEX('Valo FX'!$R:$R,MATCH($A28,'Valo FX'!$A:$A,0)),INDEX(Base!$U:$U,MATCH($A28,Base!$A:$A,0)),IF(C$1=INDEX('Valo FX'!$R:$R,MATCH($A28,'Valo FX'!$A:$A,0)),INDEX(Base!$V:$V,MATCH($A28,Base!$A:$A,0)),0)))</f>
        <v>0</v>
      </c>
      <c r="D28" s="21">
        <f>IF(D$1&lt;INDEX('Valo FX'!$Q:$Q,MATCH($A28,'Valo FX'!$A:$A,0)),0,IF(D$1&lt;INDEX('Valo FX'!$R:$R,MATCH($A28,'Valo FX'!$A:$A,0)),INDEX(Base!$U:$U,MATCH($A28,Base!$A:$A,0)),IF(D$1=INDEX('Valo FX'!$R:$R,MATCH($A28,'Valo FX'!$A:$A,0)),INDEX(Base!$V:$V,MATCH($A28,Base!$A:$A,0)),0)))</f>
        <v>0</v>
      </c>
      <c r="E28" s="21">
        <f>IF(E$1&lt;INDEX('Valo FX'!$Q:$Q,MATCH($A28,'Valo FX'!$A:$A,0)),0,IF(E$1&lt;INDEX('Valo FX'!$R:$R,MATCH($A28,'Valo FX'!$A:$A,0)),INDEX(Base!$U:$U,MATCH($A28,Base!$A:$A,0)),IF(E$1=INDEX('Valo FX'!$R:$R,MATCH($A28,'Valo FX'!$A:$A,0)),INDEX(Base!$V:$V,MATCH($A28,Base!$A:$A,0)),0)))</f>
        <v>0</v>
      </c>
      <c r="F28" s="21">
        <f>IF(F$1&lt;INDEX('Valo FX'!$Q:$Q,MATCH($A28,'Valo FX'!$A:$A,0)),0,IF(F$1&lt;INDEX('Valo FX'!$R:$R,MATCH($A28,'Valo FX'!$A:$A,0)),INDEX(Base!$U:$U,MATCH($A28,Base!$A:$A,0)),IF(F$1=INDEX('Valo FX'!$R:$R,MATCH($A28,'Valo FX'!$A:$A,0)),INDEX(Base!$V:$V,MATCH($A28,Base!$A:$A,0)),0)))</f>
        <v>0</v>
      </c>
      <c r="G28" s="21">
        <f>IF(G$1&lt;INDEX('Valo FX'!$Q:$Q,MATCH($A28,'Valo FX'!$A:$A,0)),0,IF(G$1&lt;INDEX('Valo FX'!$R:$R,MATCH($A28,'Valo FX'!$A:$A,0)),INDEX(Base!$U:$U,MATCH($A28,Base!$A:$A,0)),IF(G$1=INDEX('Valo FX'!$R:$R,MATCH($A28,'Valo FX'!$A:$A,0)),INDEX(Base!$V:$V,MATCH($A28,Base!$A:$A,0)),0)))</f>
        <v>0</v>
      </c>
      <c r="H28" s="21">
        <f>IF(H$1&lt;INDEX('Valo FX'!$Q:$Q,MATCH($A28,'Valo FX'!$A:$A,0)),0,IF(H$1&lt;INDEX('Valo FX'!$R:$R,MATCH($A28,'Valo FX'!$A:$A,0)),INDEX(Base!$U:$U,MATCH($A28,Base!$A:$A,0)),IF(H$1=INDEX('Valo FX'!$R:$R,MATCH($A28,'Valo FX'!$A:$A,0)),INDEX(Base!$V:$V,MATCH($A28,Base!$A:$A,0)),0)))</f>
        <v>0</v>
      </c>
      <c r="I28" s="21">
        <f>IF(I$1&lt;INDEX('Valo FX'!$Q:$Q,MATCH($A28,'Valo FX'!$A:$A,0)),0,IF(I$1&lt;INDEX('Valo FX'!$R:$R,MATCH($A28,'Valo FX'!$A:$A,0)),INDEX(Base!$U:$U,MATCH($A28,Base!$A:$A,0)),IF(I$1=INDEX('Valo FX'!$R:$R,MATCH($A28,'Valo FX'!$A:$A,0)),INDEX(Base!$V:$V,MATCH($A28,Base!$A:$A,0)),0)))</f>
        <v>12.249840000000001</v>
      </c>
      <c r="J28" s="21">
        <f>IF(J$1&lt;INDEX('Valo FX'!$Q:$Q,MATCH($A28,'Valo FX'!$A:$A,0)),0,IF(J$1&lt;INDEX('Valo FX'!$R:$R,MATCH($A28,'Valo FX'!$A:$A,0)),INDEX(Base!$U:$U,MATCH($A28,Base!$A:$A,0)),IF(J$1=INDEX('Valo FX'!$R:$R,MATCH($A28,'Valo FX'!$A:$A,0)),INDEX(Base!$V:$V,MATCH($A28,Base!$A:$A,0)),0)))</f>
        <v>12.249840000000001</v>
      </c>
      <c r="K28" s="21">
        <f>IF(K$1&lt;INDEX('Valo FX'!$Q:$Q,MATCH($A28,'Valo FX'!$A:$A,0)),0,IF(K$1&lt;INDEX('Valo FX'!$R:$R,MATCH($A28,'Valo FX'!$A:$A,0)),INDEX(Base!$U:$U,MATCH($A28,Base!$A:$A,0)),IF(K$1=INDEX('Valo FX'!$R:$R,MATCH($A28,'Valo FX'!$A:$A,0)),INDEX(Base!$V:$V,MATCH($A28,Base!$A:$A,0)),0)))</f>
        <v>12.249840000000001</v>
      </c>
      <c r="L28" s="21">
        <f>IF(L$1&lt;INDEX('Valo FX'!$Q:$Q,MATCH($A28,'Valo FX'!$A:$A,0)),0,IF(L$1&lt;INDEX('Valo FX'!$R:$R,MATCH($A28,'Valo FX'!$A:$A,0)),INDEX(Base!$U:$U,MATCH($A28,Base!$A:$A,0)),IF(L$1=INDEX('Valo FX'!$R:$R,MATCH($A28,'Valo FX'!$A:$A,0)),INDEX(Base!$V:$V,MATCH($A28,Base!$A:$A,0)),0)))</f>
        <v>12.249840000000001</v>
      </c>
      <c r="M28" s="21">
        <f>IF(M$1&lt;INDEX('Valo FX'!$Q:$Q,MATCH($A28,'Valo FX'!$A:$A,0)),0,IF(M$1&lt;INDEX('Valo FX'!$R:$R,MATCH($A28,'Valo FX'!$A:$A,0)),INDEX(Base!$U:$U,MATCH($A28,Base!$A:$A,0)),IF(M$1=INDEX('Valo FX'!$R:$R,MATCH($A28,'Valo FX'!$A:$A,0)),INDEX(Base!$V:$V,MATCH($A28,Base!$A:$A,0)),0)))</f>
        <v>12.249840000000001</v>
      </c>
      <c r="N28" s="21">
        <f>IF(N$1&lt;INDEX('Valo FX'!$Q:$Q,MATCH($A28,'Valo FX'!$A:$A,0)),0,IF(N$1&lt;INDEX('Valo FX'!$R:$R,MATCH($A28,'Valo FX'!$A:$A,0)),INDEX(Base!$U:$U,MATCH($A28,Base!$A:$A,0)),IF(N$1=INDEX('Valo FX'!$R:$R,MATCH($A28,'Valo FX'!$A:$A,0)),INDEX(Base!$V:$V,MATCH($A28,Base!$A:$A,0)),0)))</f>
        <v>12.249840000000001</v>
      </c>
      <c r="O28" s="21">
        <f>IF(O$1&lt;INDEX('Valo FX'!$Q:$Q,MATCH($A28,'Valo FX'!$A:$A,0)),0,IF(O$1&lt;INDEX('Valo FX'!$R:$R,MATCH($A28,'Valo FX'!$A:$A,0)),INDEX(Base!$U:$U,MATCH($A28,Base!$A:$A,0)),IF(O$1=INDEX('Valo FX'!$R:$R,MATCH($A28,'Valo FX'!$A:$A,0)),INDEX(Base!$V:$V,MATCH($A28,Base!$A:$A,0)),0)))</f>
        <v>12.249840000000001</v>
      </c>
      <c r="P28" s="21">
        <f>IF(P$1&lt;INDEX('Valo FX'!$Q:$Q,MATCH($A28,'Valo FX'!$A:$A,0)),0,IF(P$1&lt;INDEX('Valo FX'!$R:$R,MATCH($A28,'Valo FX'!$A:$A,0)),INDEX(Base!$U:$U,MATCH($A28,Base!$A:$A,0)),IF(P$1=INDEX('Valo FX'!$R:$R,MATCH($A28,'Valo FX'!$A:$A,0)),INDEX(Base!$V:$V,MATCH($A28,Base!$A:$A,0)),0)))</f>
        <v>12.249840000000001</v>
      </c>
      <c r="Q28" s="21">
        <f>IF(Q$1&lt;INDEX('Valo FX'!$Q:$Q,MATCH($A28,'Valo FX'!$A:$A,0)),0,IF(Q$1&lt;INDEX('Valo FX'!$R:$R,MATCH($A28,'Valo FX'!$A:$A,0)),INDEX(Base!$U:$U,MATCH($A28,Base!$A:$A,0)),IF(Q$1=INDEX('Valo FX'!$R:$R,MATCH($A28,'Valo FX'!$A:$A,0)),INDEX(Base!$V:$V,MATCH($A28,Base!$A:$A,0)),0)))</f>
        <v>12.249840000000001</v>
      </c>
      <c r="R28" s="21">
        <f>IF(R$1&lt;INDEX('Valo FX'!$Q:$Q,MATCH($A28,'Valo FX'!$A:$A,0)),0,IF(R$1&lt;INDEX('Valo FX'!$R:$R,MATCH($A28,'Valo FX'!$A:$A,0)),INDEX(Base!$U:$U,MATCH($A28,Base!$A:$A,0)),IF(R$1=INDEX('Valo FX'!$R:$R,MATCH($A28,'Valo FX'!$A:$A,0)),INDEX(Base!$V:$V,MATCH($A28,Base!$A:$A,0)),0)))</f>
        <v>12.249840000000001</v>
      </c>
      <c r="S28" s="21">
        <f>IF(S$1&lt;INDEX('Valo FX'!$Q:$Q,MATCH($A28,'Valo FX'!$A:$A,0)),0,IF(S$1&lt;INDEX('Valo FX'!$R:$R,MATCH($A28,'Valo FX'!$A:$A,0)),INDEX(Base!$U:$U,MATCH($A28,Base!$A:$A,0)),IF(S$1=INDEX('Valo FX'!$R:$R,MATCH($A28,'Valo FX'!$A:$A,0)),INDEX(Base!$V:$V,MATCH($A28,Base!$A:$A,0)),0)))</f>
        <v>12.249840000000001</v>
      </c>
      <c r="T28" s="21">
        <f>IF(T$1&lt;INDEX('Valo FX'!$Q:$Q,MATCH($A28,'Valo FX'!$A:$A,0)),0,IF(T$1&lt;INDEX('Valo FX'!$R:$R,MATCH($A28,'Valo FX'!$A:$A,0)),INDEX(Base!$U:$U,MATCH($A28,Base!$A:$A,0)),IF(T$1=INDEX('Valo FX'!$R:$R,MATCH($A28,'Valo FX'!$A:$A,0)),INDEX(Base!$V:$V,MATCH($A28,Base!$A:$A,0)),0)))</f>
        <v>12.249840000000001</v>
      </c>
      <c r="U28" s="21">
        <f>IF(U$1&lt;INDEX('Valo FX'!$Q:$Q,MATCH($A28,'Valo FX'!$A:$A,0)),0,IF(U$1&lt;INDEX('Valo FX'!$R:$R,MATCH($A28,'Valo FX'!$A:$A,0)),INDEX(Base!$U:$U,MATCH($A28,Base!$A:$A,0)),IF(U$1=INDEX('Valo FX'!$R:$R,MATCH($A28,'Valo FX'!$A:$A,0)),INDEX(Base!$V:$V,MATCH($A28,Base!$A:$A,0)),0)))</f>
        <v>12.249840000000001</v>
      </c>
      <c r="V28" s="21">
        <f>IF(V$1&lt;INDEX('Valo FX'!$Q:$Q,MATCH($A28,'Valo FX'!$A:$A,0)),0,IF(V$1&lt;INDEX('Valo FX'!$R:$R,MATCH($A28,'Valo FX'!$A:$A,0)),INDEX(Base!$U:$U,MATCH($A28,Base!$A:$A,0)),IF(V$1=INDEX('Valo FX'!$R:$R,MATCH($A28,'Valo FX'!$A:$A,0)),INDEX(Base!$V:$V,MATCH($A28,Base!$A:$A,0)),0)))</f>
        <v>12.249840000000001</v>
      </c>
      <c r="W28" s="21">
        <f>IF(W$1&lt;INDEX('Valo FX'!$Q:$Q,MATCH($A28,'Valo FX'!$A:$A,0)),0,IF(W$1&lt;INDEX('Valo FX'!$R:$R,MATCH($A28,'Valo FX'!$A:$A,0)),INDEX(Base!$U:$U,MATCH($A28,Base!$A:$A,0)),IF(W$1=INDEX('Valo FX'!$R:$R,MATCH($A28,'Valo FX'!$A:$A,0)),INDEX(Base!$V:$V,MATCH($A28,Base!$A:$A,0)),0)))</f>
        <v>12.249840000000001</v>
      </c>
      <c r="X28" s="21">
        <f>IF(X$1&lt;INDEX('Valo FX'!$Q:$Q,MATCH($A28,'Valo FX'!$A:$A,0)),0,IF(X$1&lt;INDEX('Valo FX'!$R:$R,MATCH($A28,'Valo FX'!$A:$A,0)),INDEX(Base!$U:$U,MATCH($A28,Base!$A:$A,0)),IF(X$1=INDEX('Valo FX'!$R:$R,MATCH($A28,'Valo FX'!$A:$A,0)),INDEX(Base!$V:$V,MATCH($A28,Base!$A:$A,0)),0)))</f>
        <v>12.249840000000001</v>
      </c>
      <c r="Y28" s="21">
        <f>IF(Y$1&lt;INDEX('Valo FX'!$Q:$Q,MATCH($A28,'Valo FX'!$A:$A,0)),0,IF(Y$1&lt;INDEX('Valo FX'!$R:$R,MATCH($A28,'Valo FX'!$A:$A,0)),INDEX(Base!$U:$U,MATCH($A28,Base!$A:$A,0)),IF(Y$1=INDEX('Valo FX'!$R:$R,MATCH($A28,'Valo FX'!$A:$A,0)),INDEX(Base!$V:$V,MATCH($A28,Base!$A:$A,0)),0)))</f>
        <v>12.249840000000001</v>
      </c>
      <c r="Z28" s="21">
        <f>IF(Z$1&lt;INDEX('Valo FX'!$Q:$Q,MATCH($A28,'Valo FX'!$A:$A,0)),0,IF(Z$1&lt;INDEX('Valo FX'!$R:$R,MATCH($A28,'Valo FX'!$A:$A,0)),INDEX(Base!$U:$U,MATCH($A28,Base!$A:$A,0)),IF(Z$1=INDEX('Valo FX'!$R:$R,MATCH($A28,'Valo FX'!$A:$A,0)),INDEX(Base!$V:$V,MATCH($A28,Base!$A:$A,0)),0)))</f>
        <v>12.249840000000001</v>
      </c>
      <c r="AA28" s="21">
        <f>IF(AA$1&lt;INDEX('Valo FX'!$Q:$Q,MATCH($A28,'Valo FX'!$A:$A,0)),0,IF(AA$1&lt;INDEX('Valo FX'!$R:$R,MATCH($A28,'Valo FX'!$A:$A,0)),INDEX(Base!$U:$U,MATCH($A28,Base!$A:$A,0)),IF(AA$1=INDEX('Valo FX'!$R:$R,MATCH($A28,'Valo FX'!$A:$A,0)),INDEX(Base!$V:$V,MATCH($A28,Base!$A:$A,0)),0)))</f>
        <v>12.249840000000001</v>
      </c>
      <c r="AB28" s="21">
        <f>IF(AB$1&lt;INDEX('Valo FX'!$Q:$Q,MATCH($A28,'Valo FX'!$A:$A,0)),0,IF(AB$1&lt;INDEX('Valo FX'!$R:$R,MATCH($A28,'Valo FX'!$A:$A,0)),INDEX(Base!$U:$U,MATCH($A28,Base!$A:$A,0)),IF(AB$1=INDEX('Valo FX'!$R:$R,MATCH($A28,'Valo FX'!$A:$A,0)),INDEX(Base!$V:$V,MATCH($A28,Base!$A:$A,0)),0)))</f>
        <v>12.249840000000001</v>
      </c>
      <c r="AC28" s="21">
        <f>IF(AC$1&lt;INDEX('Valo FX'!$Q:$Q,MATCH($A28,'Valo FX'!$A:$A,0)),0,IF(AC$1&lt;INDEX('Valo FX'!$R:$R,MATCH($A28,'Valo FX'!$A:$A,0)),INDEX(Base!$U:$U,MATCH($A28,Base!$A:$A,0)),IF(AC$1=INDEX('Valo FX'!$R:$R,MATCH($A28,'Valo FX'!$A:$A,0)),INDEX(Base!$V:$V,MATCH($A28,Base!$A:$A,0)),0)))</f>
        <v>12.249840000000001</v>
      </c>
      <c r="AD28" s="21">
        <f>IF(AD$1&lt;INDEX('Valo FX'!$Q:$Q,MATCH($A28,'Valo FX'!$A:$A,0)),0,IF(AD$1&lt;INDEX('Valo FX'!$R:$R,MATCH($A28,'Valo FX'!$A:$A,0)),INDEX(Base!$U:$U,MATCH($A28,Base!$A:$A,0)),IF(AD$1=INDEX('Valo FX'!$R:$R,MATCH($A28,'Valo FX'!$A:$A,0)),INDEX(Base!$V:$V,MATCH($A28,Base!$A:$A,0)),0)))</f>
        <v>12.249840000000001</v>
      </c>
      <c r="AE28" s="21">
        <f>IF(AE$1&lt;INDEX('Valo FX'!$Q:$Q,MATCH($A28,'Valo FX'!$A:$A,0)),0,IF(AE$1&lt;INDEX('Valo FX'!$R:$R,MATCH($A28,'Valo FX'!$A:$A,0)),INDEX(Base!$U:$U,MATCH($A28,Base!$A:$A,0)),IF(AE$1=INDEX('Valo FX'!$R:$R,MATCH($A28,'Valo FX'!$A:$A,0)),INDEX(Base!$V:$V,MATCH($A28,Base!$A:$A,0)),0)))</f>
        <v>12.249840000000001</v>
      </c>
      <c r="AF28" s="21">
        <f>IF(AF$1&lt;INDEX('Valo FX'!$Q:$Q,MATCH($A28,'Valo FX'!$A:$A,0)),0,IF(AF$1&lt;INDEX('Valo FX'!$R:$R,MATCH($A28,'Valo FX'!$A:$A,0)),INDEX(Base!$U:$U,MATCH($A28,Base!$A:$A,0)),IF(AF$1=INDEX('Valo FX'!$R:$R,MATCH($A28,'Valo FX'!$A:$A,0)),INDEX(Base!$V:$V,MATCH($A28,Base!$A:$A,0)),0)))</f>
        <v>12.249840000000001</v>
      </c>
      <c r="AG28" s="21">
        <f>IF(AG$1&lt;INDEX('Valo FX'!$Q:$Q,MATCH($A28,'Valo FX'!$A:$A,0)),0,IF(AG$1&lt;INDEX('Valo FX'!$R:$R,MATCH($A28,'Valo FX'!$A:$A,0)),INDEX(Base!$U:$U,MATCH($A28,Base!$A:$A,0)),IF(AG$1=INDEX('Valo FX'!$R:$R,MATCH($A28,'Valo FX'!$A:$A,0)),INDEX(Base!$V:$V,MATCH($A28,Base!$A:$A,0)),0)))</f>
        <v>12.249840000000001</v>
      </c>
      <c r="AH28" s="21">
        <f>IF(AH$1&lt;INDEX('Valo FX'!$Q:$Q,MATCH($A28,'Valo FX'!$A:$A,0)),0,IF(AH$1&lt;INDEX('Valo FX'!$R:$R,MATCH($A28,'Valo FX'!$A:$A,0)),INDEX(Base!$U:$U,MATCH($A28,Base!$A:$A,0)),IF(AH$1=INDEX('Valo FX'!$R:$R,MATCH($A28,'Valo FX'!$A:$A,0)),INDEX(Base!$V:$V,MATCH($A28,Base!$A:$A,0)),0)))</f>
        <v>12.249840000000001</v>
      </c>
      <c r="AI28" s="21">
        <f>IF(AI$1&lt;INDEX('Valo FX'!$Q:$Q,MATCH($A28,'Valo FX'!$A:$A,0)),0,IF(AI$1&lt;INDEX('Valo FX'!$R:$R,MATCH($A28,'Valo FX'!$A:$A,0)),INDEX(Base!$U:$U,MATCH($A28,Base!$A:$A,0)),IF(AI$1=INDEX('Valo FX'!$R:$R,MATCH($A28,'Valo FX'!$A:$A,0)),INDEX(Base!$V:$V,MATCH($A28,Base!$A:$A,0)),0)))</f>
        <v>12.249840000000001</v>
      </c>
      <c r="AJ28" s="21">
        <f>IF(AJ$1&lt;INDEX('Valo FX'!$Q:$Q,MATCH($A28,'Valo FX'!$A:$A,0)),0,IF(AJ$1&lt;INDEX('Valo FX'!$R:$R,MATCH($A28,'Valo FX'!$A:$A,0)),INDEX(Base!$U:$U,MATCH($A28,Base!$A:$A,0)),IF(AJ$1=INDEX('Valo FX'!$R:$R,MATCH($A28,'Valo FX'!$A:$A,0)),INDEX(Base!$V:$V,MATCH($A28,Base!$A:$A,0)),0)))</f>
        <v>12.249840000000001</v>
      </c>
      <c r="AK28" s="21">
        <f>IF(AK$1&lt;INDEX('Valo FX'!$Q:$Q,MATCH($A28,'Valo FX'!$A:$A,0)),0,IF(AK$1&lt;INDEX('Valo FX'!$R:$R,MATCH($A28,'Valo FX'!$A:$A,0)),INDEX(Base!$U:$U,MATCH($A28,Base!$A:$A,0)),IF(AK$1=INDEX('Valo FX'!$R:$R,MATCH($A28,'Valo FX'!$A:$A,0)),INDEX(Base!$V:$V,MATCH($A28,Base!$A:$A,0)),0)))</f>
        <v>12.249840000000001</v>
      </c>
      <c r="AL28" s="21">
        <f>IF(AL$1&lt;INDEX('Valo FX'!$Q:$Q,MATCH($A28,'Valo FX'!$A:$A,0)),0,IF(AL$1&lt;INDEX('Valo FX'!$R:$R,MATCH($A28,'Valo FX'!$A:$A,0)),INDEX(Base!$U:$U,MATCH($A28,Base!$A:$A,0)),IF(AL$1=INDEX('Valo FX'!$R:$R,MATCH($A28,'Valo FX'!$A:$A,0)),INDEX(Base!$V:$V,MATCH($A28,Base!$A:$A,0)),0)))</f>
        <v>12.249840000000001</v>
      </c>
      <c r="AM28" s="21">
        <f>IF(AM$1&lt;INDEX('Valo FX'!$Q:$Q,MATCH($A28,'Valo FX'!$A:$A,0)),0,IF(AM$1&lt;INDEX('Valo FX'!$R:$R,MATCH($A28,'Valo FX'!$A:$A,0)),INDEX(Base!$U:$U,MATCH($A28,Base!$A:$A,0)),IF(AM$1=INDEX('Valo FX'!$R:$R,MATCH($A28,'Valo FX'!$A:$A,0)),INDEX(Base!$V:$V,MATCH($A28,Base!$A:$A,0)),0)))</f>
        <v>12.249840000000001</v>
      </c>
      <c r="AN28" s="21">
        <f>IF(AN$1&lt;INDEX('Valo FX'!$Q:$Q,MATCH($A28,'Valo FX'!$A:$A,0)),0,IF(AN$1&lt;INDEX('Valo FX'!$R:$R,MATCH($A28,'Valo FX'!$A:$A,0)),INDEX(Base!$U:$U,MATCH($A28,Base!$A:$A,0)),IF(AN$1=INDEX('Valo FX'!$R:$R,MATCH($A28,'Valo FX'!$A:$A,0)),INDEX(Base!$V:$V,MATCH($A28,Base!$A:$A,0)),0)))</f>
        <v>12.249840000000001</v>
      </c>
      <c r="AO28" s="21">
        <f>IF(AO$1&lt;INDEX('Valo FX'!$Q:$Q,MATCH($A28,'Valo FX'!$A:$A,0)),0,IF(AO$1&lt;INDEX('Valo FX'!$R:$R,MATCH($A28,'Valo FX'!$A:$A,0)),INDEX(Base!$U:$U,MATCH($A28,Base!$A:$A,0)),IF(AO$1=INDEX('Valo FX'!$R:$R,MATCH($A28,'Valo FX'!$A:$A,0)),INDEX(Base!$V:$V,MATCH($A28,Base!$A:$A,0)),0)))</f>
        <v>12.249840000000001</v>
      </c>
      <c r="AP28" s="21">
        <f>IF(AP$1&lt;INDEX('Valo FX'!$Q:$Q,MATCH($A28,'Valo FX'!$A:$A,0)),0,IF(AP$1&lt;INDEX('Valo FX'!$R:$R,MATCH($A28,'Valo FX'!$A:$A,0)),INDEX(Base!$U:$U,MATCH($A28,Base!$A:$A,0)),IF(AP$1=INDEX('Valo FX'!$R:$R,MATCH($A28,'Valo FX'!$A:$A,0)),INDEX(Base!$V:$V,MATCH($A28,Base!$A:$A,0)),0)))</f>
        <v>12.249840000000001</v>
      </c>
      <c r="AQ28" s="21">
        <f>IF(AQ$1&lt;INDEX('Valo FX'!$Q:$Q,MATCH($A28,'Valo FX'!$A:$A,0)),0,IF(AQ$1&lt;INDEX('Valo FX'!$R:$R,MATCH($A28,'Valo FX'!$A:$A,0)),INDEX(Base!$U:$U,MATCH($A28,Base!$A:$A,0)),IF(AQ$1=INDEX('Valo FX'!$R:$R,MATCH($A28,'Valo FX'!$A:$A,0)),INDEX(Base!$V:$V,MATCH($A28,Base!$A:$A,0)),0)))</f>
        <v>12.249840000000001</v>
      </c>
      <c r="AR28" s="21">
        <f>IF(AR$1&lt;INDEX('Valo FX'!$Q:$Q,MATCH($A28,'Valo FX'!$A:$A,0)),0,IF(AR$1&lt;INDEX('Valo FX'!$R:$R,MATCH($A28,'Valo FX'!$A:$A,0)),INDEX(Base!$U:$U,MATCH($A28,Base!$A:$A,0)),IF(AR$1=INDEX('Valo FX'!$R:$R,MATCH($A28,'Valo FX'!$A:$A,0)),INDEX(Base!$V:$V,MATCH($A28,Base!$A:$A,0)),0)))</f>
        <v>12.249840000000001</v>
      </c>
      <c r="AS28" s="21">
        <f>IF(AS$1&lt;INDEX('Valo FX'!$Q:$Q,MATCH($A28,'Valo FX'!$A:$A,0)),0,IF(AS$1&lt;INDEX('Valo FX'!$R:$R,MATCH($A28,'Valo FX'!$A:$A,0)),INDEX(Base!$U:$U,MATCH($A28,Base!$A:$A,0)),IF(AS$1=INDEX('Valo FX'!$R:$R,MATCH($A28,'Valo FX'!$A:$A,0)),INDEX(Base!$V:$V,MATCH($A28,Base!$A:$A,0)),0)))</f>
        <v>12.249840000000001</v>
      </c>
      <c r="AT28" s="21">
        <f>IF(AT$1&lt;INDEX('Valo FX'!$Q:$Q,MATCH($A28,'Valo FX'!$A:$A,0)),0,IF(AT$1&lt;INDEX('Valo FX'!$R:$R,MATCH($A28,'Valo FX'!$A:$A,0)),INDEX(Base!$U:$U,MATCH($A28,Base!$A:$A,0)),IF(AT$1=INDEX('Valo FX'!$R:$R,MATCH($A28,'Valo FX'!$A:$A,0)),INDEX(Base!$V:$V,MATCH($A28,Base!$A:$A,0)),0)))</f>
        <v>12.249840000000001</v>
      </c>
      <c r="AU28" s="21">
        <f>IF(AU$1&lt;INDEX('Valo FX'!$Q:$Q,MATCH($A28,'Valo FX'!$A:$A,0)),0,IF(AU$1&lt;INDEX('Valo FX'!$R:$R,MATCH($A28,'Valo FX'!$A:$A,0)),INDEX(Base!$U:$U,MATCH($A28,Base!$A:$A,0)),IF(AU$1=INDEX('Valo FX'!$R:$R,MATCH($A28,'Valo FX'!$A:$A,0)),INDEX(Base!$V:$V,MATCH($A28,Base!$A:$A,0)),0)))</f>
        <v>12.249840000000001</v>
      </c>
      <c r="AV28" s="21">
        <f>IF(AV$1&lt;INDEX('Valo FX'!$Q:$Q,MATCH($A28,'Valo FX'!$A:$A,0)),0,IF(AV$1&lt;INDEX('Valo FX'!$R:$R,MATCH($A28,'Valo FX'!$A:$A,0)),INDEX(Base!$U:$U,MATCH($A28,Base!$A:$A,0)),IF(AV$1=INDEX('Valo FX'!$R:$R,MATCH($A28,'Valo FX'!$A:$A,0)),INDEX(Base!$V:$V,MATCH($A28,Base!$A:$A,0)),0)))</f>
        <v>12.249840000000001</v>
      </c>
      <c r="AW28" s="21">
        <f>IF(AW$1&lt;INDEX('Valo FX'!$Q:$Q,MATCH($A28,'Valo FX'!$A:$A,0)),0,IF(AW$1&lt;INDEX('Valo FX'!$R:$R,MATCH($A28,'Valo FX'!$A:$A,0)),INDEX(Base!$U:$U,MATCH($A28,Base!$A:$A,0)),IF(AW$1=INDEX('Valo FX'!$R:$R,MATCH($A28,'Valo FX'!$A:$A,0)),INDEX(Base!$V:$V,MATCH($A28,Base!$A:$A,0)),0)))</f>
        <v>12.249840000000001</v>
      </c>
      <c r="AX28" s="21">
        <f>IF(AX$1&lt;INDEX('Valo FX'!$Q:$Q,MATCH($A28,'Valo FX'!$A:$A,0)),0,IF(AX$1&lt;INDEX('Valo FX'!$R:$R,MATCH($A28,'Valo FX'!$A:$A,0)),INDEX(Base!$U:$U,MATCH($A28,Base!$A:$A,0)),IF(AX$1=INDEX('Valo FX'!$R:$R,MATCH($A28,'Valo FX'!$A:$A,0)),INDEX(Base!$V:$V,MATCH($A28,Base!$A:$A,0)),0)))</f>
        <v>12.249840000000001</v>
      </c>
      <c r="AY28" s="21">
        <f>IF(AY$1&lt;INDEX('Valo FX'!$Q:$Q,MATCH($A28,'Valo FX'!$A:$A,0)),0,IF(AY$1&lt;INDEX('Valo FX'!$R:$R,MATCH($A28,'Valo FX'!$A:$A,0)),INDEX(Base!$U:$U,MATCH($A28,Base!$A:$A,0)),IF(AY$1=INDEX('Valo FX'!$R:$R,MATCH($A28,'Valo FX'!$A:$A,0)),INDEX(Base!$V:$V,MATCH($A28,Base!$A:$A,0)),0)))</f>
        <v>12.249840000000001</v>
      </c>
      <c r="AZ28" s="21">
        <f>IF(AZ$1&lt;INDEX('Valo FX'!$Q:$Q,MATCH($A28,'Valo FX'!$A:$A,0)),0,IF(AZ$1&lt;INDEX('Valo FX'!$R:$R,MATCH($A28,'Valo FX'!$A:$A,0)),INDEX(Base!$U:$U,MATCH($A28,Base!$A:$A,0)),IF(AZ$1=INDEX('Valo FX'!$R:$R,MATCH($A28,'Valo FX'!$A:$A,0)),INDEX(Base!$V:$V,MATCH($A28,Base!$A:$A,0)),0)))</f>
        <v>12.249840000000001</v>
      </c>
      <c r="BA28" s="21">
        <f>IF(BA$1&lt;INDEX('Valo FX'!$Q:$Q,MATCH($A28,'Valo FX'!$A:$A,0)),0,IF(BA$1&lt;INDEX('Valo FX'!$R:$R,MATCH($A28,'Valo FX'!$A:$A,0)),INDEX(Base!$U:$U,MATCH($A28,Base!$A:$A,0)),IF(BA$1=INDEX('Valo FX'!$R:$R,MATCH($A28,'Valo FX'!$A:$A,0)),INDEX(Base!$V:$V,MATCH($A28,Base!$A:$A,0)),0)))</f>
        <v>12.249840000000001</v>
      </c>
      <c r="BB28" s="21">
        <f>IF(BB$1&lt;INDEX('Valo FX'!$Q:$Q,MATCH($A28,'Valo FX'!$A:$A,0)),0,IF(BB$1&lt;INDEX('Valo FX'!$R:$R,MATCH($A28,'Valo FX'!$A:$A,0)),INDEX(Base!$U:$U,MATCH($A28,Base!$A:$A,0)),IF(BB$1=INDEX('Valo FX'!$R:$R,MATCH($A28,'Valo FX'!$A:$A,0)),INDEX(Base!$V:$V,MATCH($A28,Base!$A:$A,0)),0)))</f>
        <v>12.249840000000001</v>
      </c>
      <c r="BC28" s="21">
        <f>IF(BC$1&lt;INDEX('Valo FX'!$Q:$Q,MATCH($A28,'Valo FX'!$A:$A,0)),0,IF(BC$1&lt;INDEX('Valo FX'!$R:$R,MATCH($A28,'Valo FX'!$A:$A,0)),INDEX(Base!$U:$U,MATCH($A28,Base!$A:$A,0)),IF(BC$1=INDEX('Valo FX'!$R:$R,MATCH($A28,'Valo FX'!$A:$A,0)),INDEX(Base!$V:$V,MATCH($A28,Base!$A:$A,0)),0)))</f>
        <v>12.249840000000001</v>
      </c>
      <c r="BD28" s="21">
        <f>IF(BD$1&lt;INDEX('Valo FX'!$Q:$Q,MATCH($A28,'Valo FX'!$A:$A,0)),0,IF(BD$1&lt;INDEX('Valo FX'!$R:$R,MATCH($A28,'Valo FX'!$A:$A,0)),INDEX(Base!$U:$U,MATCH($A28,Base!$A:$A,0)),IF(BD$1=INDEX('Valo FX'!$R:$R,MATCH($A28,'Valo FX'!$A:$A,0)),INDEX(Base!$V:$V,MATCH($A28,Base!$A:$A,0)),0)))</f>
        <v>12.249840000000001</v>
      </c>
      <c r="BE28" s="21">
        <f>IF(BE$1&lt;INDEX('Valo FX'!$Q:$Q,MATCH($A28,'Valo FX'!$A:$A,0)),0,IF(BE$1&lt;INDEX('Valo FX'!$R:$R,MATCH($A28,'Valo FX'!$A:$A,0)),INDEX(Base!$U:$U,MATCH($A28,Base!$A:$A,0)),IF(BE$1=INDEX('Valo FX'!$R:$R,MATCH($A28,'Valo FX'!$A:$A,0)),INDEX(Base!$V:$V,MATCH($A28,Base!$A:$A,0)),0)))</f>
        <v>12.249840000000001</v>
      </c>
      <c r="BF28" s="21">
        <f>IF(BF$1&lt;INDEX('Valo FX'!$Q:$Q,MATCH($A28,'Valo FX'!$A:$A,0)),0,IF(BF$1&lt;INDEX('Valo FX'!$R:$R,MATCH($A28,'Valo FX'!$A:$A,0)),INDEX(Base!$U:$U,MATCH($A28,Base!$A:$A,0)),IF(BF$1=INDEX('Valo FX'!$R:$R,MATCH($A28,'Valo FX'!$A:$A,0)),INDEX(Base!$V:$V,MATCH($A28,Base!$A:$A,0)),0)))</f>
        <v>12.249840000000001</v>
      </c>
      <c r="BG28" s="21">
        <f>IF(BG$1&lt;INDEX('Valo FX'!$Q:$Q,MATCH($A28,'Valo FX'!$A:$A,0)),0,IF(BG$1&lt;INDEX('Valo FX'!$R:$R,MATCH($A28,'Valo FX'!$A:$A,0)),INDEX(Base!$U:$U,MATCH($A28,Base!$A:$A,0)),IF(BG$1=INDEX('Valo FX'!$R:$R,MATCH($A28,'Valo FX'!$A:$A,0)),INDEX(Base!$V:$V,MATCH($A28,Base!$A:$A,0)),0)))</f>
        <v>12.249840000000001</v>
      </c>
      <c r="BH28" s="21">
        <f>IF(BH$1&lt;INDEX('Valo FX'!$Q:$Q,MATCH($A28,'Valo FX'!$A:$A,0)),0,IF(BH$1&lt;INDEX('Valo FX'!$R:$R,MATCH($A28,'Valo FX'!$A:$A,0)),INDEX(Base!$U:$U,MATCH($A28,Base!$A:$A,0)),IF(BH$1=INDEX('Valo FX'!$R:$R,MATCH($A28,'Valo FX'!$A:$A,0)),INDEX(Base!$V:$V,MATCH($A28,Base!$A:$A,0)),0)))</f>
        <v>12.249840000000001</v>
      </c>
      <c r="BI28" s="21">
        <f>IF(BI$1&lt;INDEX('Valo FX'!$Q:$Q,MATCH($A28,'Valo FX'!$A:$A,0)),0,IF(BI$1&lt;INDEX('Valo FX'!$R:$R,MATCH($A28,'Valo FX'!$A:$A,0)),INDEX(Base!$U:$U,MATCH($A28,Base!$A:$A,0)),IF(BI$1=INDEX('Valo FX'!$R:$R,MATCH($A28,'Valo FX'!$A:$A,0)),INDEX(Base!$V:$V,MATCH($A28,Base!$A:$A,0)),0)))</f>
        <v>12.249840000000001</v>
      </c>
      <c r="BJ28" s="21">
        <f>IF(BJ$1&lt;INDEX('Valo FX'!$Q:$Q,MATCH($A28,'Valo FX'!$A:$A,0)),0,IF(BJ$1&lt;INDEX('Valo FX'!$R:$R,MATCH($A28,'Valo FX'!$A:$A,0)),INDEX(Base!$U:$U,MATCH($A28,Base!$A:$A,0)),IF(BJ$1=INDEX('Valo FX'!$R:$R,MATCH($A28,'Valo FX'!$A:$A,0)),INDEX(Base!$V:$V,MATCH($A28,Base!$A:$A,0)),0)))</f>
        <v>12.249840000000001</v>
      </c>
      <c r="BK28" s="21">
        <f>IF(BK$1&lt;INDEX('Valo FX'!$Q:$Q,MATCH($A28,'Valo FX'!$A:$A,0)),0,IF(BK$1&lt;INDEX('Valo FX'!$R:$R,MATCH($A28,'Valo FX'!$A:$A,0)),INDEX(Base!$U:$U,MATCH($A28,Base!$A:$A,0)),IF(BK$1=INDEX('Valo FX'!$R:$R,MATCH($A28,'Valo FX'!$A:$A,0)),INDEX(Base!$V:$V,MATCH($A28,Base!$A:$A,0)),0)))</f>
        <v>12.249840000000001</v>
      </c>
      <c r="BL28" s="21">
        <f>IF(BL$1&lt;INDEX('Valo FX'!$Q:$Q,MATCH($A28,'Valo FX'!$A:$A,0)),0,IF(BL$1&lt;INDEX('Valo FX'!$R:$R,MATCH($A28,'Valo FX'!$A:$A,0)),INDEX(Base!$U:$U,MATCH($A28,Base!$A:$A,0)),IF(BL$1=INDEX('Valo FX'!$R:$R,MATCH($A28,'Valo FX'!$A:$A,0)),INDEX(Base!$V:$V,MATCH($A28,Base!$A:$A,0)),0)))</f>
        <v>12.249840000000001</v>
      </c>
      <c r="BM28" s="21">
        <f>IF(BM$1&lt;INDEX('Valo FX'!$Q:$Q,MATCH($A28,'Valo FX'!$A:$A,0)),0,IF(BM$1&lt;INDEX('Valo FX'!$R:$R,MATCH($A28,'Valo FX'!$A:$A,0)),INDEX(Base!$U:$U,MATCH($A28,Base!$A:$A,0)),IF(BM$1=INDEX('Valo FX'!$R:$R,MATCH($A28,'Valo FX'!$A:$A,0)),INDEX(Base!$V:$V,MATCH($A28,Base!$A:$A,0)),0)))</f>
        <v>12.249840000000001</v>
      </c>
      <c r="BN28" s="21">
        <f>IF(BN$1&lt;INDEX('Valo FX'!$Q:$Q,MATCH($A28,'Valo FX'!$A:$A,0)),0,IF(BN$1&lt;INDEX('Valo FX'!$R:$R,MATCH($A28,'Valo FX'!$A:$A,0)),INDEX(Base!$U:$U,MATCH($A28,Base!$A:$A,0)),IF(BN$1=INDEX('Valo FX'!$R:$R,MATCH($A28,'Valo FX'!$A:$A,0)),INDEX(Base!$V:$V,MATCH($A28,Base!$A:$A,0)),0)))</f>
        <v>12.249840000000001</v>
      </c>
      <c r="BO28" s="21">
        <f>IF(BO$1&lt;INDEX('Valo FX'!$Q:$Q,MATCH($A28,'Valo FX'!$A:$A,0)),0,IF(BO$1&lt;INDEX('Valo FX'!$R:$R,MATCH($A28,'Valo FX'!$A:$A,0)),INDEX(Base!$U:$U,MATCH($A28,Base!$A:$A,0)),IF(BO$1=INDEX('Valo FX'!$R:$R,MATCH($A28,'Valo FX'!$A:$A,0)),INDEX(Base!$V:$V,MATCH($A28,Base!$A:$A,0)),0)))</f>
        <v>12.249840000000001</v>
      </c>
      <c r="BP28" s="21">
        <f>IF(BP$1&lt;INDEX('Valo FX'!$Q:$Q,MATCH($A28,'Valo FX'!$A:$A,0)),0,IF(BP$1&lt;INDEX('Valo FX'!$R:$R,MATCH($A28,'Valo FX'!$A:$A,0)),INDEX(Base!$U:$U,MATCH($A28,Base!$A:$A,0)),IF(BP$1=INDEX('Valo FX'!$R:$R,MATCH($A28,'Valo FX'!$A:$A,0)),INDEX(Base!$V:$V,MATCH($A28,Base!$A:$A,0)),0)))</f>
        <v>12.249840000000001</v>
      </c>
      <c r="BQ28" s="21">
        <f>IF(BQ$1&lt;INDEX('Valo FX'!$Q:$Q,MATCH($A28,'Valo FX'!$A:$A,0)),0,IF(BQ$1&lt;INDEX('Valo FX'!$R:$R,MATCH($A28,'Valo FX'!$A:$A,0)),INDEX(Base!$U:$U,MATCH($A28,Base!$A:$A,0)),IF(BQ$1=INDEX('Valo FX'!$R:$R,MATCH($A28,'Valo FX'!$A:$A,0)),INDEX(Base!$V:$V,MATCH($A28,Base!$A:$A,0)),0)))</f>
        <v>12.249840000000001</v>
      </c>
      <c r="BR28" s="21">
        <f>IF(BR$1&lt;INDEX('Valo FX'!$Q:$Q,MATCH($A28,'Valo FX'!$A:$A,0)),0,IF(BR$1&lt;INDEX('Valo FX'!$R:$R,MATCH($A28,'Valo FX'!$A:$A,0)),INDEX(Base!$U:$U,MATCH($A28,Base!$A:$A,0)),IF(BR$1=INDEX('Valo FX'!$R:$R,MATCH($A28,'Valo FX'!$A:$A,0)),INDEX(Base!$V:$V,MATCH($A28,Base!$A:$A,0)),0)))</f>
        <v>12.249840000000001</v>
      </c>
      <c r="BS28" s="21">
        <f>IF(BS$1&lt;INDEX('Valo FX'!$Q:$Q,MATCH($A28,'Valo FX'!$A:$A,0)),0,IF(BS$1&lt;INDEX('Valo FX'!$R:$R,MATCH($A28,'Valo FX'!$A:$A,0)),INDEX(Base!$U:$U,MATCH($A28,Base!$A:$A,0)),IF(BS$1=INDEX('Valo FX'!$R:$R,MATCH($A28,'Valo FX'!$A:$A,0)),INDEX(Base!$V:$V,MATCH($A28,Base!$A:$A,0)),0)))</f>
        <v>12.249840000000001</v>
      </c>
      <c r="BT28" s="21">
        <f>IF(BT$1&lt;INDEX('Valo FX'!$Q:$Q,MATCH($A28,'Valo FX'!$A:$A,0)),0,IF(BT$1&lt;INDEX('Valo FX'!$R:$R,MATCH($A28,'Valo FX'!$A:$A,0)),INDEX(Base!$U:$U,MATCH($A28,Base!$A:$A,0)),IF(BT$1=INDEX('Valo FX'!$R:$R,MATCH($A28,'Valo FX'!$A:$A,0)),INDEX(Base!$V:$V,MATCH($A28,Base!$A:$A,0)),0)))</f>
        <v>12.249840000000001</v>
      </c>
      <c r="BU28" s="21">
        <f>IF(BU$1&lt;INDEX('Valo FX'!$Q:$Q,MATCH($A28,'Valo FX'!$A:$A,0)),0,IF(BU$1&lt;INDEX('Valo FX'!$R:$R,MATCH($A28,'Valo FX'!$A:$A,0)),INDEX(Base!$U:$U,MATCH($A28,Base!$A:$A,0)),IF(BU$1=INDEX('Valo FX'!$R:$R,MATCH($A28,'Valo FX'!$A:$A,0)),INDEX(Base!$V:$V,MATCH($A28,Base!$A:$A,0)),0)))</f>
        <v>12.249840000000001</v>
      </c>
      <c r="BV28" s="21">
        <f>IF(BV$1&lt;INDEX('Valo FX'!$Q:$Q,MATCH($A28,'Valo FX'!$A:$A,0)),0,IF(BV$1&lt;INDEX('Valo FX'!$R:$R,MATCH($A28,'Valo FX'!$A:$A,0)),INDEX(Base!$U:$U,MATCH($A28,Base!$A:$A,0)),IF(BV$1=INDEX('Valo FX'!$R:$R,MATCH($A28,'Valo FX'!$A:$A,0)),INDEX(Base!$V:$V,MATCH($A28,Base!$A:$A,0)),0)))</f>
        <v>12.249840000000001</v>
      </c>
      <c r="BW28" s="21">
        <f>IF(BW$1&lt;INDEX('Valo FX'!$Q:$Q,MATCH($A28,'Valo FX'!$A:$A,0)),0,IF(BW$1&lt;INDEX('Valo FX'!$R:$R,MATCH($A28,'Valo FX'!$A:$A,0)),INDEX(Base!$U:$U,MATCH($A28,Base!$A:$A,0)),IF(BW$1=INDEX('Valo FX'!$R:$R,MATCH($A28,'Valo FX'!$A:$A,0)),INDEX(Base!$V:$V,MATCH($A28,Base!$A:$A,0)),0)))</f>
        <v>12.249840000000001</v>
      </c>
      <c r="BX28" s="21">
        <f>IF(BX$1&lt;INDEX('Valo FX'!$Q:$Q,MATCH($A28,'Valo FX'!$A:$A,0)),0,IF(BX$1&lt;INDEX('Valo FX'!$R:$R,MATCH($A28,'Valo FX'!$A:$A,0)),INDEX(Base!$U:$U,MATCH($A28,Base!$A:$A,0)),IF(BX$1=INDEX('Valo FX'!$R:$R,MATCH($A28,'Valo FX'!$A:$A,0)),INDEX(Base!$V:$V,MATCH($A28,Base!$A:$A,0)),0)))</f>
        <v>12.249840000000001</v>
      </c>
      <c r="BY28" s="21">
        <f>IF(BY$1&lt;INDEX('Valo FX'!$Q:$Q,MATCH($A28,'Valo FX'!$A:$A,0)),0,IF(BY$1&lt;INDEX('Valo FX'!$R:$R,MATCH($A28,'Valo FX'!$A:$A,0)),INDEX(Base!$U:$U,MATCH($A28,Base!$A:$A,0)),IF(BY$1=INDEX('Valo FX'!$R:$R,MATCH($A28,'Valo FX'!$A:$A,0)),INDEX(Base!$V:$V,MATCH($A28,Base!$A:$A,0)),0)))</f>
        <v>12.249840000000001</v>
      </c>
      <c r="BZ28" s="21">
        <f>IF(BZ$1&lt;INDEX('Valo FX'!$Q:$Q,MATCH($A28,'Valo FX'!$A:$A,0)),0,IF(BZ$1&lt;INDEX('Valo FX'!$R:$R,MATCH($A28,'Valo FX'!$A:$A,0)),INDEX(Base!$U:$U,MATCH($A28,Base!$A:$A,0)),IF(BZ$1=INDEX('Valo FX'!$R:$R,MATCH($A28,'Valo FX'!$A:$A,0)),INDEX(Base!$V:$V,MATCH($A28,Base!$A:$A,0)),0)))</f>
        <v>12.249840000000001</v>
      </c>
      <c r="CA28" s="21">
        <f>IF(CA$1&lt;INDEX('Valo FX'!$Q:$Q,MATCH($A28,'Valo FX'!$A:$A,0)),0,IF(CA$1&lt;INDEX('Valo FX'!$R:$R,MATCH($A28,'Valo FX'!$A:$A,0)),INDEX(Base!$U:$U,MATCH($A28,Base!$A:$A,0)),IF(CA$1=INDEX('Valo FX'!$R:$R,MATCH($A28,'Valo FX'!$A:$A,0)),INDEX(Base!$V:$V,MATCH($A28,Base!$A:$A,0)),0)))</f>
        <v>12.249840000000001</v>
      </c>
      <c r="CB28" s="21">
        <f>IF(CB$1&lt;INDEX('Valo FX'!$Q:$Q,MATCH($A28,'Valo FX'!$A:$A,0)),0,IF(CB$1&lt;INDEX('Valo FX'!$R:$R,MATCH($A28,'Valo FX'!$A:$A,0)),INDEX(Base!$U:$U,MATCH($A28,Base!$A:$A,0)),IF(CB$1=INDEX('Valo FX'!$R:$R,MATCH($A28,'Valo FX'!$A:$A,0)),INDEX(Base!$V:$V,MATCH($A28,Base!$A:$A,0)),0)))</f>
        <v>12.249840000000001</v>
      </c>
      <c r="CC28" s="21">
        <f>IF(CC$1&lt;INDEX('Valo FX'!$Q:$Q,MATCH($A28,'Valo FX'!$A:$A,0)),0,IF(CC$1&lt;INDEX('Valo FX'!$R:$R,MATCH($A28,'Valo FX'!$A:$A,0)),INDEX(Base!$U:$U,MATCH($A28,Base!$A:$A,0)),IF(CC$1=INDEX('Valo FX'!$R:$R,MATCH($A28,'Valo FX'!$A:$A,0)),INDEX(Base!$V:$V,MATCH($A28,Base!$A:$A,0)),0)))</f>
        <v>12.249840000000001</v>
      </c>
      <c r="CD28" s="21">
        <f>IF(CD$1&lt;INDEX('Valo FX'!$Q:$Q,MATCH($A28,'Valo FX'!$A:$A,0)),0,IF(CD$1&lt;INDEX('Valo FX'!$R:$R,MATCH($A28,'Valo FX'!$A:$A,0)),INDEX(Base!$U:$U,MATCH($A28,Base!$A:$A,0)),IF(CD$1=INDEX('Valo FX'!$R:$R,MATCH($A28,'Valo FX'!$A:$A,0)),INDEX(Base!$V:$V,MATCH($A28,Base!$A:$A,0)),0)))</f>
        <v>12.249840000000001</v>
      </c>
      <c r="CE28" s="21">
        <f>IF(CE$1&lt;INDEX('Valo FX'!$Q:$Q,MATCH($A28,'Valo FX'!$A:$A,0)),0,IF(CE$1&lt;INDEX('Valo FX'!$R:$R,MATCH($A28,'Valo FX'!$A:$A,0)),INDEX(Base!$U:$U,MATCH($A28,Base!$A:$A,0)),IF(CE$1=INDEX('Valo FX'!$R:$R,MATCH($A28,'Valo FX'!$A:$A,0)),INDEX(Base!$V:$V,MATCH($A28,Base!$A:$A,0)),0)))</f>
        <v>12.249840000000001</v>
      </c>
      <c r="CF28" s="21">
        <f>IF(CF$1&lt;INDEX('Valo FX'!$Q:$Q,MATCH($A28,'Valo FX'!$A:$A,0)),0,IF(CF$1&lt;INDEX('Valo FX'!$R:$R,MATCH($A28,'Valo FX'!$A:$A,0)),INDEX(Base!$U:$U,MATCH($A28,Base!$A:$A,0)),IF(CF$1=INDEX('Valo FX'!$R:$R,MATCH($A28,'Valo FX'!$A:$A,0)),INDEX(Base!$V:$V,MATCH($A28,Base!$A:$A,0)),0)))</f>
        <v>12.249840000000001</v>
      </c>
      <c r="CG28" s="21">
        <f>IF(CG$1&lt;INDEX('Valo FX'!$Q:$Q,MATCH($A28,'Valo FX'!$A:$A,0)),0,IF(CG$1&lt;INDEX('Valo FX'!$R:$R,MATCH($A28,'Valo FX'!$A:$A,0)),INDEX(Base!$U:$U,MATCH($A28,Base!$A:$A,0)),IF(CG$1=INDEX('Valo FX'!$R:$R,MATCH($A28,'Valo FX'!$A:$A,0)),INDEX(Base!$V:$V,MATCH($A28,Base!$A:$A,0)),0)))</f>
        <v>12.249840000000001</v>
      </c>
      <c r="CH28" s="21">
        <f>IF(CH$1&lt;INDEX('Valo FX'!$Q:$Q,MATCH($A28,'Valo FX'!$A:$A,0)),0,IF(CH$1&lt;INDEX('Valo FX'!$R:$R,MATCH($A28,'Valo FX'!$A:$A,0)),INDEX(Base!$U:$U,MATCH($A28,Base!$A:$A,0)),IF(CH$1=INDEX('Valo FX'!$R:$R,MATCH($A28,'Valo FX'!$A:$A,0)),INDEX(Base!$V:$V,MATCH($A28,Base!$A:$A,0)),0)))</f>
        <v>12.249840000000001</v>
      </c>
      <c r="CI28" s="21">
        <f>IF(CI$1&lt;INDEX('Valo FX'!$Q:$Q,MATCH($A28,'Valo FX'!$A:$A,0)),0,IF(CI$1&lt;INDEX('Valo FX'!$R:$R,MATCH($A28,'Valo FX'!$A:$A,0)),INDEX(Base!$U:$U,MATCH($A28,Base!$A:$A,0)),IF(CI$1=INDEX('Valo FX'!$R:$R,MATCH($A28,'Valo FX'!$A:$A,0)),INDEX(Base!$V:$V,MATCH($A28,Base!$A:$A,0)),0)))</f>
        <v>12.249840000000001</v>
      </c>
      <c r="CJ28" s="21">
        <f>IF(CJ$1&lt;INDEX('Valo FX'!$Q:$Q,MATCH($A28,'Valo FX'!$A:$A,0)),0,IF(CJ$1&lt;INDEX('Valo FX'!$R:$R,MATCH($A28,'Valo FX'!$A:$A,0)),INDEX(Base!$U:$U,MATCH($A28,Base!$A:$A,0)),IF(CJ$1=INDEX('Valo FX'!$R:$R,MATCH($A28,'Valo FX'!$A:$A,0)),INDEX(Base!$V:$V,MATCH($A28,Base!$A:$A,0)),0)))</f>
        <v>12.249840000000001</v>
      </c>
      <c r="CK28" s="21">
        <f>IF(CK$1&lt;INDEX('Valo FX'!$Q:$Q,MATCH($A28,'Valo FX'!$A:$A,0)),0,IF(CK$1&lt;INDEX('Valo FX'!$R:$R,MATCH($A28,'Valo FX'!$A:$A,0)),INDEX(Base!$U:$U,MATCH($A28,Base!$A:$A,0)),IF(CK$1=INDEX('Valo FX'!$R:$R,MATCH($A28,'Valo FX'!$A:$A,0)),INDEX(Base!$V:$V,MATCH($A28,Base!$A:$A,0)),0)))</f>
        <v>12.249840000000001</v>
      </c>
      <c r="CL28" s="21">
        <f>IF(CL$1&lt;INDEX('Valo FX'!$Q:$Q,MATCH($A28,'Valo FX'!$A:$A,0)),0,IF(CL$1&lt;INDEX('Valo FX'!$R:$R,MATCH($A28,'Valo FX'!$A:$A,0)),INDEX(Base!$U:$U,MATCH($A28,Base!$A:$A,0)),IF(CL$1=INDEX('Valo FX'!$R:$R,MATCH($A28,'Valo FX'!$A:$A,0)),INDEX(Base!$V:$V,MATCH($A28,Base!$A:$A,0)),0)))</f>
        <v>12.249840000000001</v>
      </c>
      <c r="CM28" s="21">
        <f>IF(CM$1&lt;INDEX('Valo FX'!$Q:$Q,MATCH($A28,'Valo FX'!$A:$A,0)),0,IF(CM$1&lt;INDEX('Valo FX'!$R:$R,MATCH($A28,'Valo FX'!$A:$A,0)),INDEX(Base!$U:$U,MATCH($A28,Base!$A:$A,0)),IF(CM$1=INDEX('Valo FX'!$R:$R,MATCH($A28,'Valo FX'!$A:$A,0)),INDEX(Base!$V:$V,MATCH($A28,Base!$A:$A,0)),0)))</f>
        <v>12.249840000000001</v>
      </c>
      <c r="CN28" s="21">
        <f>IF(CN$1&lt;INDEX('Valo FX'!$Q:$Q,MATCH($A28,'Valo FX'!$A:$A,0)),0,IF(CN$1&lt;INDEX('Valo FX'!$R:$R,MATCH($A28,'Valo FX'!$A:$A,0)),INDEX(Base!$U:$U,MATCH($A28,Base!$A:$A,0)),IF(CN$1=INDEX('Valo FX'!$R:$R,MATCH($A28,'Valo FX'!$A:$A,0)),INDEX(Base!$V:$V,MATCH($A28,Base!$A:$A,0)),0)))</f>
        <v>12.249840000000001</v>
      </c>
      <c r="CO28" s="21">
        <f>IF(CO$1&lt;INDEX('Valo FX'!$Q:$Q,MATCH($A28,'Valo FX'!$A:$A,0)),0,IF(CO$1&lt;INDEX('Valo FX'!$R:$R,MATCH($A28,'Valo FX'!$A:$A,0)),INDEX(Base!$U:$U,MATCH($A28,Base!$A:$A,0)),IF(CO$1=INDEX('Valo FX'!$R:$R,MATCH($A28,'Valo FX'!$A:$A,0)),INDEX(Base!$V:$V,MATCH($A28,Base!$A:$A,0)),0)))</f>
        <v>12.249840000000001</v>
      </c>
      <c r="CP28" s="21">
        <f>IF(CP$1&lt;INDEX('Valo FX'!$Q:$Q,MATCH($A28,'Valo FX'!$A:$A,0)),0,IF(CP$1&lt;INDEX('Valo FX'!$R:$R,MATCH($A28,'Valo FX'!$A:$A,0)),INDEX(Base!$U:$U,MATCH($A28,Base!$A:$A,0)),IF(CP$1=INDEX('Valo FX'!$R:$R,MATCH($A28,'Valo FX'!$A:$A,0)),INDEX(Base!$V:$V,MATCH($A28,Base!$A:$A,0)),0)))</f>
        <v>12.249840000000001</v>
      </c>
      <c r="CQ28" s="21">
        <f>IF(CQ$1&lt;INDEX('Valo FX'!$Q:$Q,MATCH($A28,'Valo FX'!$A:$A,0)),0,IF(CQ$1&lt;INDEX('Valo FX'!$R:$R,MATCH($A28,'Valo FX'!$A:$A,0)),INDEX(Base!$U:$U,MATCH($A28,Base!$A:$A,0)),IF(CQ$1=INDEX('Valo FX'!$R:$R,MATCH($A28,'Valo FX'!$A:$A,0)),INDEX(Base!$V:$V,MATCH($A28,Base!$A:$A,0)),0)))</f>
        <v>12.249840000000001</v>
      </c>
      <c r="CR28" s="21">
        <f>IF(CR$1&lt;INDEX('Valo FX'!$Q:$Q,MATCH($A28,'Valo FX'!$A:$A,0)),0,IF(CR$1&lt;INDEX('Valo FX'!$R:$R,MATCH($A28,'Valo FX'!$A:$A,0)),INDEX(Base!$U:$U,MATCH($A28,Base!$A:$A,0)),IF(CR$1=INDEX('Valo FX'!$R:$R,MATCH($A28,'Valo FX'!$A:$A,0)),INDEX(Base!$V:$V,MATCH($A28,Base!$A:$A,0)),0)))</f>
        <v>12.249840000000001</v>
      </c>
      <c r="CS28" s="21">
        <f>IF(CS$1&lt;INDEX('Valo FX'!$Q:$Q,MATCH($A28,'Valo FX'!$A:$A,0)),0,IF(CS$1&lt;INDEX('Valo FX'!$R:$R,MATCH($A28,'Valo FX'!$A:$A,0)),INDEX(Base!$U:$U,MATCH($A28,Base!$A:$A,0)),IF(CS$1=INDEX('Valo FX'!$R:$R,MATCH($A28,'Valo FX'!$A:$A,0)),INDEX(Base!$V:$V,MATCH($A28,Base!$A:$A,0)),0)))</f>
        <v>12.249840000000001</v>
      </c>
      <c r="CT28" s="21">
        <f>IF(CT$1&lt;INDEX('Valo FX'!$Q:$Q,MATCH($A28,'Valo FX'!$A:$A,0)),0,IF(CT$1&lt;INDEX('Valo FX'!$R:$R,MATCH($A28,'Valo FX'!$A:$A,0)),INDEX(Base!$U:$U,MATCH($A28,Base!$A:$A,0)),IF(CT$1=INDEX('Valo FX'!$R:$R,MATCH($A28,'Valo FX'!$A:$A,0)),INDEX(Base!$V:$V,MATCH($A28,Base!$A:$A,0)),0)))</f>
        <v>12.249840000000001</v>
      </c>
      <c r="CU28" s="21">
        <f>IF(CU$1&lt;INDEX('Valo FX'!$Q:$Q,MATCH($A28,'Valo FX'!$A:$A,0)),0,IF(CU$1&lt;INDEX('Valo FX'!$R:$R,MATCH($A28,'Valo FX'!$A:$A,0)),INDEX(Base!$U:$U,MATCH($A28,Base!$A:$A,0)),IF(CU$1=INDEX('Valo FX'!$R:$R,MATCH($A28,'Valo FX'!$A:$A,0)),INDEX(Base!$V:$V,MATCH($A28,Base!$A:$A,0)),0)))</f>
        <v>12.249840000000001</v>
      </c>
      <c r="CV28" s="21">
        <f>IF(CV$1&lt;INDEX('Valo FX'!$Q:$Q,MATCH($A28,'Valo FX'!$A:$A,0)),0,IF(CV$1&lt;INDEX('Valo FX'!$R:$R,MATCH($A28,'Valo FX'!$A:$A,0)),INDEX(Base!$U:$U,MATCH($A28,Base!$A:$A,0)),IF(CV$1=INDEX('Valo FX'!$R:$R,MATCH($A28,'Valo FX'!$A:$A,0)),INDEX(Base!$V:$V,MATCH($A28,Base!$A:$A,0)),0)))</f>
        <v>12.249840000000001</v>
      </c>
      <c r="CW28" s="21">
        <f>IF(CW$1&lt;INDEX('Valo FX'!$Q:$Q,MATCH($A28,'Valo FX'!$A:$A,0)),0,IF(CW$1&lt;INDEX('Valo FX'!$R:$R,MATCH($A28,'Valo FX'!$A:$A,0)),INDEX(Base!$U:$U,MATCH($A28,Base!$A:$A,0)),IF(CW$1=INDEX('Valo FX'!$R:$R,MATCH($A28,'Valo FX'!$A:$A,0)),INDEX(Base!$V:$V,MATCH($A28,Base!$A:$A,0)),0)))</f>
        <v>12.249840000000001</v>
      </c>
      <c r="CX28" s="21">
        <f>IF(CX$1&lt;INDEX('Valo FX'!$Q:$Q,MATCH($A28,'Valo FX'!$A:$A,0)),0,IF(CX$1&lt;INDEX('Valo FX'!$R:$R,MATCH($A28,'Valo FX'!$A:$A,0)),INDEX(Base!$U:$U,MATCH($A28,Base!$A:$A,0)),IF(CX$1=INDEX('Valo FX'!$R:$R,MATCH($A28,'Valo FX'!$A:$A,0)),INDEX(Base!$V:$V,MATCH($A28,Base!$A:$A,0)),0)))</f>
        <v>12.249840000000001</v>
      </c>
      <c r="CY28" s="21">
        <f>IF(CY$1&lt;INDEX('Valo FX'!$Q:$Q,MATCH($A28,'Valo FX'!$A:$A,0)),0,IF(CY$1&lt;INDEX('Valo FX'!$R:$R,MATCH($A28,'Valo FX'!$A:$A,0)),INDEX(Base!$U:$U,MATCH($A28,Base!$A:$A,0)),IF(CY$1=INDEX('Valo FX'!$R:$R,MATCH($A28,'Valo FX'!$A:$A,0)),INDEX(Base!$V:$V,MATCH($A28,Base!$A:$A,0)),0)))</f>
        <v>12.249840000000001</v>
      </c>
      <c r="CZ28" s="21">
        <f>IF(CZ$1&lt;INDEX('Valo FX'!$Q:$Q,MATCH($A28,'Valo FX'!$A:$A,0)),0,IF(CZ$1&lt;INDEX('Valo FX'!$R:$R,MATCH($A28,'Valo FX'!$A:$A,0)),INDEX(Base!$U:$U,MATCH($A28,Base!$A:$A,0)),IF(CZ$1=INDEX('Valo FX'!$R:$R,MATCH($A28,'Valo FX'!$A:$A,0)),INDEX(Base!$V:$V,MATCH($A28,Base!$A:$A,0)),0)))</f>
        <v>12.249840000000001</v>
      </c>
      <c r="DA28" s="21">
        <f>IF(DA$1&lt;INDEX('Valo FX'!$Q:$Q,MATCH($A28,'Valo FX'!$A:$A,0)),0,IF(DA$1&lt;INDEX('Valo FX'!$R:$R,MATCH($A28,'Valo FX'!$A:$A,0)),INDEX(Base!$U:$U,MATCH($A28,Base!$A:$A,0)),IF(DA$1=INDEX('Valo FX'!$R:$R,MATCH($A28,'Valo FX'!$A:$A,0)),INDEX(Base!$V:$V,MATCH($A28,Base!$A:$A,0)),0)))</f>
        <v>12.249840000000001</v>
      </c>
      <c r="DB28" s="21">
        <f>IF(DB$1&lt;INDEX('Valo FX'!$Q:$Q,MATCH($A28,'Valo FX'!$A:$A,0)),0,IF(DB$1&lt;INDEX('Valo FX'!$R:$R,MATCH($A28,'Valo FX'!$A:$A,0)),INDEX(Base!$U:$U,MATCH($A28,Base!$A:$A,0)),IF(DB$1=INDEX('Valo FX'!$R:$R,MATCH($A28,'Valo FX'!$A:$A,0)),INDEX(Base!$V:$V,MATCH($A28,Base!$A:$A,0)),0)))</f>
        <v>12.249840000000001</v>
      </c>
      <c r="DC28" s="21">
        <f>IF(DC$1&lt;INDEX('Valo FX'!$Q:$Q,MATCH($A28,'Valo FX'!$A:$A,0)),0,IF(DC$1&lt;INDEX('Valo FX'!$R:$R,MATCH($A28,'Valo FX'!$A:$A,0)),INDEX(Base!$U:$U,MATCH($A28,Base!$A:$A,0)),IF(DC$1=INDEX('Valo FX'!$R:$R,MATCH($A28,'Valo FX'!$A:$A,0)),INDEX(Base!$V:$V,MATCH($A28,Base!$A:$A,0)),0)))</f>
        <v>12.249840000000001</v>
      </c>
      <c r="DD28" s="21">
        <f>IF(DD$1&lt;INDEX('Valo FX'!$Q:$Q,MATCH($A28,'Valo FX'!$A:$A,0)),0,IF(DD$1&lt;INDEX('Valo FX'!$R:$R,MATCH($A28,'Valo FX'!$A:$A,0)),INDEX(Base!$U:$U,MATCH($A28,Base!$A:$A,0)),IF(DD$1=INDEX('Valo FX'!$R:$R,MATCH($A28,'Valo FX'!$A:$A,0)),INDEX(Base!$V:$V,MATCH($A28,Base!$A:$A,0)),0)))</f>
        <v>12.249840000000001</v>
      </c>
      <c r="DE28" s="21">
        <f>IF(DE$1&lt;INDEX('Valo FX'!$Q:$Q,MATCH($A28,'Valo FX'!$A:$A,0)),0,IF(DE$1&lt;INDEX('Valo FX'!$R:$R,MATCH($A28,'Valo FX'!$A:$A,0)),INDEX(Base!$U:$U,MATCH($A28,Base!$A:$A,0)),IF(DE$1=INDEX('Valo FX'!$R:$R,MATCH($A28,'Valo FX'!$A:$A,0)),INDEX(Base!$V:$V,MATCH($A28,Base!$A:$A,0)),0)))</f>
        <v>12.249840000000001</v>
      </c>
      <c r="DF28" s="21">
        <f>IF(DF$1&lt;INDEX('Valo FX'!$Q:$Q,MATCH($A28,'Valo FX'!$A:$A,0)),0,IF(DF$1&lt;INDEX('Valo FX'!$R:$R,MATCH($A28,'Valo FX'!$A:$A,0)),INDEX(Base!$U:$U,MATCH($A28,Base!$A:$A,0)),IF(DF$1=INDEX('Valo FX'!$R:$R,MATCH($A28,'Valo FX'!$A:$A,0)),INDEX(Base!$V:$V,MATCH($A28,Base!$A:$A,0)),0)))</f>
        <v>12.249840000000001</v>
      </c>
      <c r="DG28" s="21">
        <f>IF(DG$1&lt;INDEX('Valo FX'!$Q:$Q,MATCH($A28,'Valo FX'!$A:$A,0)),0,IF(DG$1&lt;INDEX('Valo FX'!$R:$R,MATCH($A28,'Valo FX'!$A:$A,0)),INDEX(Base!$U:$U,MATCH($A28,Base!$A:$A,0)),IF(DG$1=INDEX('Valo FX'!$R:$R,MATCH($A28,'Valo FX'!$A:$A,0)),INDEX(Base!$V:$V,MATCH($A28,Base!$A:$A,0)),0)))</f>
        <v>12.249840000000001</v>
      </c>
      <c r="DH28" s="21">
        <f>IF(DH$1&lt;INDEX('Valo FX'!$Q:$Q,MATCH($A28,'Valo FX'!$A:$A,0)),0,IF(DH$1&lt;INDEX('Valo FX'!$R:$R,MATCH($A28,'Valo FX'!$A:$A,0)),INDEX(Base!$U:$U,MATCH($A28,Base!$A:$A,0)),IF(DH$1=INDEX('Valo FX'!$R:$R,MATCH($A28,'Valo FX'!$A:$A,0)),INDEX(Base!$V:$V,MATCH($A28,Base!$A:$A,0)),0)))</f>
        <v>12.249840000000001</v>
      </c>
      <c r="DI28" s="21">
        <f>IF(DI$1&lt;INDEX('Valo FX'!$Q:$Q,MATCH($A28,'Valo FX'!$A:$A,0)),0,IF(DI$1&lt;INDEX('Valo FX'!$R:$R,MATCH($A28,'Valo FX'!$A:$A,0)),INDEX(Base!$U:$U,MATCH($A28,Base!$A:$A,0)),IF(DI$1=INDEX('Valo FX'!$R:$R,MATCH($A28,'Valo FX'!$A:$A,0)),INDEX(Base!$V:$V,MATCH($A28,Base!$A:$A,0)),0)))</f>
        <v>12.249840000000001</v>
      </c>
      <c r="DJ28" s="21">
        <f>IF(DJ$1&lt;INDEX('Valo FX'!$Q:$Q,MATCH($A28,'Valo FX'!$A:$A,0)),0,IF(DJ$1&lt;INDEX('Valo FX'!$R:$R,MATCH($A28,'Valo FX'!$A:$A,0)),INDEX(Base!$U:$U,MATCH($A28,Base!$A:$A,0)),IF(DJ$1=INDEX('Valo FX'!$R:$R,MATCH($A28,'Valo FX'!$A:$A,0)),INDEX(Base!$V:$V,MATCH($A28,Base!$A:$A,0)),0)))</f>
        <v>12.249840000000001</v>
      </c>
      <c r="DK28" s="21">
        <f>IF(DK$1&lt;INDEX('Valo FX'!$Q:$Q,MATCH($A28,'Valo FX'!$A:$A,0)),0,IF(DK$1&lt;INDEX('Valo FX'!$R:$R,MATCH($A28,'Valo FX'!$A:$A,0)),INDEX(Base!$U:$U,MATCH($A28,Base!$A:$A,0)),IF(DK$1=INDEX('Valo FX'!$R:$R,MATCH($A28,'Valo FX'!$A:$A,0)),INDEX(Base!$V:$V,MATCH($A28,Base!$A:$A,0)),0)))</f>
        <v>12.249840000000001</v>
      </c>
      <c r="DL28" s="21">
        <f>IF(DL$1&lt;INDEX('Valo FX'!$Q:$Q,MATCH($A28,'Valo FX'!$A:$A,0)),0,IF(DL$1&lt;INDEX('Valo FX'!$R:$R,MATCH($A28,'Valo FX'!$A:$A,0)),INDEX(Base!$U:$U,MATCH($A28,Base!$A:$A,0)),IF(DL$1=INDEX('Valo FX'!$R:$R,MATCH($A28,'Valo FX'!$A:$A,0)),INDEX(Base!$V:$V,MATCH($A28,Base!$A:$A,0)),0)))</f>
        <v>12.249840000000001</v>
      </c>
      <c r="DM28" s="21">
        <f>IF(DM$1&lt;INDEX('Valo FX'!$Q:$Q,MATCH($A28,'Valo FX'!$A:$A,0)),0,IF(DM$1&lt;INDEX('Valo FX'!$R:$R,MATCH($A28,'Valo FX'!$A:$A,0)),INDEX(Base!$U:$U,MATCH($A28,Base!$A:$A,0)),IF(DM$1=INDEX('Valo FX'!$R:$R,MATCH($A28,'Valo FX'!$A:$A,0)),INDEX(Base!$V:$V,MATCH($A28,Base!$A:$A,0)),0)))</f>
        <v>12.249840000000001</v>
      </c>
      <c r="DN28" s="21">
        <f>IF(DN$1&lt;INDEX('Valo FX'!$Q:$Q,MATCH($A28,'Valo FX'!$A:$A,0)),0,IF(DN$1&lt;INDEX('Valo FX'!$R:$R,MATCH($A28,'Valo FX'!$A:$A,0)),INDEX(Base!$U:$U,MATCH($A28,Base!$A:$A,0)),IF(DN$1=INDEX('Valo FX'!$R:$R,MATCH($A28,'Valo FX'!$A:$A,0)),INDEX(Base!$V:$V,MATCH($A28,Base!$A:$A,0)),0)))</f>
        <v>12.249840000000001</v>
      </c>
      <c r="DO28" s="21">
        <f>IF(DO$1&lt;INDEX('Valo FX'!$Q:$Q,MATCH($A28,'Valo FX'!$A:$A,0)),0,IF(DO$1&lt;INDEX('Valo FX'!$R:$R,MATCH($A28,'Valo FX'!$A:$A,0)),INDEX(Base!$U:$U,MATCH($A28,Base!$A:$A,0)),IF(DO$1=INDEX('Valo FX'!$R:$R,MATCH($A28,'Valo FX'!$A:$A,0)),INDEX(Base!$V:$V,MATCH($A28,Base!$A:$A,0)),0)))</f>
        <v>12.249840000000001</v>
      </c>
      <c r="DP28" s="21">
        <f>IF(DP$1&lt;INDEX('Valo FX'!$Q:$Q,MATCH($A28,'Valo FX'!$A:$A,0)),0,IF(DP$1&lt;INDEX('Valo FX'!$R:$R,MATCH($A28,'Valo FX'!$A:$A,0)),INDEX(Base!$U:$U,MATCH($A28,Base!$A:$A,0)),IF(DP$1=INDEX('Valo FX'!$R:$R,MATCH($A28,'Valo FX'!$A:$A,0)),INDEX(Base!$V:$V,MATCH($A28,Base!$A:$A,0)),0)))</f>
        <v>12.249840000000001</v>
      </c>
      <c r="DQ28" s="21">
        <f>IF(DQ$1&lt;INDEX('Valo FX'!$Q:$Q,MATCH($A28,'Valo FX'!$A:$A,0)),0,IF(DQ$1&lt;INDEX('Valo FX'!$R:$R,MATCH($A28,'Valo FX'!$A:$A,0)),INDEX(Base!$U:$U,MATCH($A28,Base!$A:$A,0)),IF(DQ$1=INDEX('Valo FX'!$R:$R,MATCH($A28,'Valo FX'!$A:$A,0)),INDEX(Base!$V:$V,MATCH($A28,Base!$A:$A,0)),0)))</f>
        <v>12.249840000000001</v>
      </c>
      <c r="DR28" s="21">
        <f>IF(DR$1&lt;INDEX('Valo FX'!$Q:$Q,MATCH($A28,'Valo FX'!$A:$A,0)),0,IF(DR$1&lt;INDEX('Valo FX'!$R:$R,MATCH($A28,'Valo FX'!$A:$A,0)),INDEX(Base!$U:$U,MATCH($A28,Base!$A:$A,0)),IF(DR$1=INDEX('Valo FX'!$R:$R,MATCH($A28,'Valo FX'!$A:$A,0)),INDEX(Base!$V:$V,MATCH($A28,Base!$A:$A,0)),0)))</f>
        <v>12.249840000000001</v>
      </c>
      <c r="DS28" s="21">
        <f>IF(DS$1&lt;INDEX('Valo FX'!$Q:$Q,MATCH($A28,'Valo FX'!$A:$A,0)),0,IF(DS$1&lt;INDEX('Valo FX'!$R:$R,MATCH($A28,'Valo FX'!$A:$A,0)),INDEX(Base!$U:$U,MATCH($A28,Base!$A:$A,0)),IF(DS$1=INDEX('Valo FX'!$R:$R,MATCH($A28,'Valo FX'!$A:$A,0)),INDEX(Base!$V:$V,MATCH($A28,Base!$A:$A,0)),0)))</f>
        <v>12.249840000000001</v>
      </c>
      <c r="DT28" s="21">
        <f>IF(DT$1&lt;INDEX('Valo FX'!$Q:$Q,MATCH($A28,'Valo FX'!$A:$A,0)),0,IF(DT$1&lt;INDEX('Valo FX'!$R:$R,MATCH($A28,'Valo FX'!$A:$A,0)),INDEX(Base!$U:$U,MATCH($A28,Base!$A:$A,0)),IF(DT$1=INDEX('Valo FX'!$R:$R,MATCH($A28,'Valo FX'!$A:$A,0)),INDEX(Base!$V:$V,MATCH($A28,Base!$A:$A,0)),0)))</f>
        <v>12.249840000000001</v>
      </c>
      <c r="DU28" s="21">
        <f>IF(DU$1&lt;INDEX('Valo FX'!$Q:$Q,MATCH($A28,'Valo FX'!$A:$A,0)),0,IF(DU$1&lt;INDEX('Valo FX'!$R:$R,MATCH($A28,'Valo FX'!$A:$A,0)),INDEX(Base!$U:$U,MATCH($A28,Base!$A:$A,0)),IF(DU$1=INDEX('Valo FX'!$R:$R,MATCH($A28,'Valo FX'!$A:$A,0)),INDEX(Base!$V:$V,MATCH($A28,Base!$A:$A,0)),0)))</f>
        <v>12.249840000000001</v>
      </c>
      <c r="DV28" s="21">
        <f>IF(DV$1&lt;INDEX('Valo FX'!$Q:$Q,MATCH($A28,'Valo FX'!$A:$A,0)),0,IF(DV$1&lt;INDEX('Valo FX'!$R:$R,MATCH($A28,'Valo FX'!$A:$A,0)),INDEX(Base!$U:$U,MATCH($A28,Base!$A:$A,0)),IF(DV$1=INDEX('Valo FX'!$R:$R,MATCH($A28,'Valo FX'!$A:$A,0)),INDEX(Base!$V:$V,MATCH($A28,Base!$A:$A,0)),0)))</f>
        <v>12.249840000000001</v>
      </c>
      <c r="DW28" s="21">
        <f>IF(DW$1&lt;INDEX('Valo FX'!$Q:$Q,MATCH($A28,'Valo FX'!$A:$A,0)),0,IF(DW$1&lt;INDEX('Valo FX'!$R:$R,MATCH($A28,'Valo FX'!$A:$A,0)),INDEX(Base!$U:$U,MATCH($A28,Base!$A:$A,0)),IF(DW$1=INDEX('Valo FX'!$R:$R,MATCH($A28,'Valo FX'!$A:$A,0)),INDEX(Base!$V:$V,MATCH($A28,Base!$A:$A,0)),0)))</f>
        <v>12.249840000000001</v>
      </c>
      <c r="DX28" s="21">
        <f>IF(DX$1&lt;INDEX('Valo FX'!$Q:$Q,MATCH($A28,'Valo FX'!$A:$A,0)),0,IF(DX$1&lt;INDEX('Valo FX'!$R:$R,MATCH($A28,'Valo FX'!$A:$A,0)),INDEX(Base!$U:$U,MATCH($A28,Base!$A:$A,0)),IF(DX$1=INDEX('Valo FX'!$R:$R,MATCH($A28,'Valo FX'!$A:$A,0)),INDEX(Base!$V:$V,MATCH($A28,Base!$A:$A,0)),0)))</f>
        <v>12.249840000000001</v>
      </c>
      <c r="DY28" s="21">
        <f>IF(DY$1&lt;INDEX('Valo FX'!$Q:$Q,MATCH($A28,'Valo FX'!$A:$A,0)),0,IF(DY$1&lt;INDEX('Valo FX'!$R:$R,MATCH($A28,'Valo FX'!$A:$A,0)),INDEX(Base!$U:$U,MATCH($A28,Base!$A:$A,0)),IF(DY$1=INDEX('Valo FX'!$R:$R,MATCH($A28,'Valo FX'!$A:$A,0)),INDEX(Base!$V:$V,MATCH($A28,Base!$A:$A,0)),0)))</f>
        <v>12.249840000000001</v>
      </c>
      <c r="DZ28" s="21">
        <f>IF(DZ$1&lt;INDEX('Valo FX'!$Q:$Q,MATCH($A28,'Valo FX'!$A:$A,0)),0,IF(DZ$1&lt;INDEX('Valo FX'!$R:$R,MATCH($A28,'Valo FX'!$A:$A,0)),INDEX(Base!$U:$U,MATCH($A28,Base!$A:$A,0)),IF(DZ$1=INDEX('Valo FX'!$R:$R,MATCH($A28,'Valo FX'!$A:$A,0)),INDEX(Base!$V:$V,MATCH($A28,Base!$A:$A,0)),0)))</f>
        <v>12.249840000000001</v>
      </c>
      <c r="EA28" s="21">
        <f>IF(EA$1&lt;INDEX('Valo FX'!$Q:$Q,MATCH($A28,'Valo FX'!$A:$A,0)),0,IF(EA$1&lt;INDEX('Valo FX'!$R:$R,MATCH($A28,'Valo FX'!$A:$A,0)),INDEX(Base!$U:$U,MATCH($A28,Base!$A:$A,0)),IF(EA$1=INDEX('Valo FX'!$R:$R,MATCH($A28,'Valo FX'!$A:$A,0)),INDEX(Base!$V:$V,MATCH($A28,Base!$A:$A,0)),0)))</f>
        <v>12.249840000000001</v>
      </c>
      <c r="EB28" s="21">
        <f>IF(EB$1&lt;INDEX('Valo FX'!$Q:$Q,MATCH($A28,'Valo FX'!$A:$A,0)),0,IF(EB$1&lt;INDEX('Valo FX'!$R:$R,MATCH($A28,'Valo FX'!$A:$A,0)),INDEX(Base!$U:$U,MATCH($A28,Base!$A:$A,0)),IF(EB$1=INDEX('Valo FX'!$R:$R,MATCH($A28,'Valo FX'!$A:$A,0)),INDEX(Base!$V:$V,MATCH($A28,Base!$A:$A,0)),0)))</f>
        <v>12.249840000000001</v>
      </c>
      <c r="EC28" s="21">
        <f>IF(EC$1&lt;INDEX('Valo FX'!$Q:$Q,MATCH($A28,'Valo FX'!$A:$A,0)),0,IF(EC$1&lt;INDEX('Valo FX'!$R:$R,MATCH($A28,'Valo FX'!$A:$A,0)),INDEX(Base!$U:$U,MATCH($A28,Base!$A:$A,0)),IF(EC$1=INDEX('Valo FX'!$R:$R,MATCH($A28,'Valo FX'!$A:$A,0)),INDEX(Base!$V:$V,MATCH($A28,Base!$A:$A,0)),0)))</f>
        <v>12.249840000000001</v>
      </c>
      <c r="ED28" s="21">
        <f>IF(ED$1&lt;INDEX('Valo FX'!$Q:$Q,MATCH($A28,'Valo FX'!$A:$A,0)),0,IF(ED$1&lt;INDEX('Valo FX'!$R:$R,MATCH($A28,'Valo FX'!$A:$A,0)),INDEX(Base!$U:$U,MATCH($A28,Base!$A:$A,0)),IF(ED$1=INDEX('Valo FX'!$R:$R,MATCH($A28,'Valo FX'!$A:$A,0)),INDEX(Base!$V:$V,MATCH($A28,Base!$A:$A,0)),0)))</f>
        <v>12.249840000000001</v>
      </c>
      <c r="EE28" s="21">
        <f>IF(EE$1&lt;INDEX('Valo FX'!$Q:$Q,MATCH($A28,'Valo FX'!$A:$A,0)),0,IF(EE$1&lt;INDEX('Valo FX'!$R:$R,MATCH($A28,'Valo FX'!$A:$A,0)),INDEX(Base!$U:$U,MATCH($A28,Base!$A:$A,0)),IF(EE$1=INDEX('Valo FX'!$R:$R,MATCH($A28,'Valo FX'!$A:$A,0)),INDEX(Base!$V:$V,MATCH($A28,Base!$A:$A,0)),0)))</f>
        <v>12.249840000000001</v>
      </c>
      <c r="EF28" s="21">
        <f>IF(EF$1&lt;INDEX('Valo FX'!$Q:$Q,MATCH($A28,'Valo FX'!$A:$A,0)),0,IF(EF$1&lt;INDEX('Valo FX'!$R:$R,MATCH($A28,'Valo FX'!$A:$A,0)),INDEX(Base!$U:$U,MATCH($A28,Base!$A:$A,0)),IF(EF$1=INDEX('Valo FX'!$R:$R,MATCH($A28,'Valo FX'!$A:$A,0)),INDEX(Base!$V:$V,MATCH($A28,Base!$A:$A,0)),0)))</f>
        <v>12.249840000000001</v>
      </c>
      <c r="EG28" s="21">
        <f>IF(EG$1&lt;INDEX('Valo FX'!$Q:$Q,MATCH($A28,'Valo FX'!$A:$A,0)),0,IF(EG$1&lt;INDEX('Valo FX'!$R:$R,MATCH($A28,'Valo FX'!$A:$A,0)),INDEX(Base!$U:$U,MATCH($A28,Base!$A:$A,0)),IF(EG$1=INDEX('Valo FX'!$R:$R,MATCH($A28,'Valo FX'!$A:$A,0)),INDEX(Base!$V:$V,MATCH($A28,Base!$A:$A,0)),0)))</f>
        <v>12.249840000000001</v>
      </c>
      <c r="EH28" s="21">
        <f>IF(EH$1&lt;INDEX('Valo FX'!$Q:$Q,MATCH($A28,'Valo FX'!$A:$A,0)),0,IF(EH$1&lt;INDEX('Valo FX'!$R:$R,MATCH($A28,'Valo FX'!$A:$A,0)),INDEX(Base!$U:$U,MATCH($A28,Base!$A:$A,0)),IF(EH$1=INDEX('Valo FX'!$R:$R,MATCH($A28,'Valo FX'!$A:$A,0)),INDEX(Base!$V:$V,MATCH($A28,Base!$A:$A,0)),0)))</f>
        <v>12.249840000000001</v>
      </c>
      <c r="EI28" s="21">
        <f>IF(EI$1&lt;INDEX('Valo FX'!$Q:$Q,MATCH($A28,'Valo FX'!$A:$A,0)),0,IF(EI$1&lt;INDEX('Valo FX'!$R:$R,MATCH($A28,'Valo FX'!$A:$A,0)),INDEX(Base!$U:$U,MATCH($A28,Base!$A:$A,0)),IF(EI$1=INDEX('Valo FX'!$R:$R,MATCH($A28,'Valo FX'!$A:$A,0)),INDEX(Base!$V:$V,MATCH($A28,Base!$A:$A,0)),0)))</f>
        <v>12.249840000000001</v>
      </c>
      <c r="EJ28" s="21">
        <f>IF(EJ$1&lt;INDEX('Valo FX'!$Q:$Q,MATCH($A28,'Valo FX'!$A:$A,0)),0,IF(EJ$1&lt;INDEX('Valo FX'!$R:$R,MATCH($A28,'Valo FX'!$A:$A,0)),INDEX(Base!$U:$U,MATCH($A28,Base!$A:$A,0)),IF(EJ$1=INDEX('Valo FX'!$R:$R,MATCH($A28,'Valo FX'!$A:$A,0)),INDEX(Base!$V:$V,MATCH($A28,Base!$A:$A,0)),0)))</f>
        <v>12.249840000000001</v>
      </c>
      <c r="EK28" s="21">
        <f>IF(EK$1&lt;INDEX('Valo FX'!$Q:$Q,MATCH($A28,'Valo FX'!$A:$A,0)),0,IF(EK$1&lt;INDEX('Valo FX'!$R:$R,MATCH($A28,'Valo FX'!$A:$A,0)),INDEX(Base!$U:$U,MATCH($A28,Base!$A:$A,0)),IF(EK$1=INDEX('Valo FX'!$R:$R,MATCH($A28,'Valo FX'!$A:$A,0)),INDEX(Base!$V:$V,MATCH($A28,Base!$A:$A,0)),0)))</f>
        <v>12.249840000000001</v>
      </c>
      <c r="EL28" s="21">
        <f>IF(EL$1&lt;INDEX('Valo FX'!$Q:$Q,MATCH($A28,'Valo FX'!$A:$A,0)),0,IF(EL$1&lt;INDEX('Valo FX'!$R:$R,MATCH($A28,'Valo FX'!$A:$A,0)),INDEX(Base!$U:$U,MATCH($A28,Base!$A:$A,0)),IF(EL$1=INDEX('Valo FX'!$R:$R,MATCH($A28,'Valo FX'!$A:$A,0)),INDEX(Base!$V:$V,MATCH($A28,Base!$A:$A,0)),0)))</f>
        <v>12.249840000000001</v>
      </c>
      <c r="EM28" s="21">
        <f>IF(EM$1&lt;INDEX('Valo FX'!$Q:$Q,MATCH($A28,'Valo FX'!$A:$A,0)),0,IF(EM$1&lt;INDEX('Valo FX'!$R:$R,MATCH($A28,'Valo FX'!$A:$A,0)),INDEX(Base!$U:$U,MATCH($A28,Base!$A:$A,0)),IF(EM$1=INDEX('Valo FX'!$R:$R,MATCH($A28,'Valo FX'!$A:$A,0)),INDEX(Base!$V:$V,MATCH($A28,Base!$A:$A,0)),0)))</f>
        <v>12.249840000000001</v>
      </c>
      <c r="EN28" s="21">
        <f>IF(EN$1&lt;INDEX('Valo FX'!$Q:$Q,MATCH($A28,'Valo FX'!$A:$A,0)),0,IF(EN$1&lt;INDEX('Valo FX'!$R:$R,MATCH($A28,'Valo FX'!$A:$A,0)),INDEX(Base!$U:$U,MATCH($A28,Base!$A:$A,0)),IF(EN$1=INDEX('Valo FX'!$R:$R,MATCH($A28,'Valo FX'!$A:$A,0)),INDEX(Base!$V:$V,MATCH($A28,Base!$A:$A,0)),0)))</f>
        <v>12.249840000000001</v>
      </c>
      <c r="EO28" s="21">
        <f>IF(EO$1&lt;INDEX('Valo FX'!$Q:$Q,MATCH($A28,'Valo FX'!$A:$A,0)),0,IF(EO$1&lt;INDEX('Valo FX'!$R:$R,MATCH($A28,'Valo FX'!$A:$A,0)),INDEX(Base!$U:$U,MATCH($A28,Base!$A:$A,0)),IF(EO$1=INDEX('Valo FX'!$R:$R,MATCH($A28,'Valo FX'!$A:$A,0)),INDEX(Base!$V:$V,MATCH($A28,Base!$A:$A,0)),0)))</f>
        <v>12.249840000000001</v>
      </c>
      <c r="EP28" s="21">
        <f>IF(EP$1&lt;INDEX('Valo FX'!$Q:$Q,MATCH($A28,'Valo FX'!$A:$A,0)),0,IF(EP$1&lt;INDEX('Valo FX'!$R:$R,MATCH($A28,'Valo FX'!$A:$A,0)),INDEX(Base!$U:$U,MATCH($A28,Base!$A:$A,0)),IF(EP$1=INDEX('Valo FX'!$R:$R,MATCH($A28,'Valo FX'!$A:$A,0)),INDEX(Base!$V:$V,MATCH($A28,Base!$A:$A,0)),0)))</f>
        <v>12.249840000000001</v>
      </c>
      <c r="EQ28" s="21">
        <f>IF(EQ$1&lt;INDEX('Valo FX'!$Q:$Q,MATCH($A28,'Valo FX'!$A:$A,0)),0,IF(EQ$1&lt;INDEX('Valo FX'!$R:$R,MATCH($A28,'Valo FX'!$A:$A,0)),INDEX(Base!$U:$U,MATCH($A28,Base!$A:$A,0)),IF(EQ$1=INDEX('Valo FX'!$R:$R,MATCH($A28,'Valo FX'!$A:$A,0)),INDEX(Base!$V:$V,MATCH($A28,Base!$A:$A,0)),0)))</f>
        <v>12.249840000000001</v>
      </c>
      <c r="ER28" s="21">
        <f>IF(ER$1&lt;INDEX('Valo FX'!$Q:$Q,MATCH($A28,'Valo FX'!$A:$A,0)),0,IF(ER$1&lt;INDEX('Valo FX'!$R:$R,MATCH($A28,'Valo FX'!$A:$A,0)),INDEX(Base!$U:$U,MATCH($A28,Base!$A:$A,0)),IF(ER$1=INDEX('Valo FX'!$R:$R,MATCH($A28,'Valo FX'!$A:$A,0)),INDEX(Base!$V:$V,MATCH($A28,Base!$A:$A,0)),0)))</f>
        <v>12.249840000000001</v>
      </c>
      <c r="ES28" s="21">
        <f>IF(ES$1&lt;INDEX('Valo FX'!$Q:$Q,MATCH($A28,'Valo FX'!$A:$A,0)),0,IF(ES$1&lt;INDEX('Valo FX'!$R:$R,MATCH($A28,'Valo FX'!$A:$A,0)),INDEX(Base!$U:$U,MATCH($A28,Base!$A:$A,0)),IF(ES$1=INDEX('Valo FX'!$R:$R,MATCH($A28,'Valo FX'!$A:$A,0)),INDEX(Base!$V:$V,MATCH($A28,Base!$A:$A,0)),0)))</f>
        <v>12.249840000000001</v>
      </c>
      <c r="ET28" s="21">
        <f>IF(ET$1&lt;INDEX('Valo FX'!$Q:$Q,MATCH($A28,'Valo FX'!$A:$A,0)),0,IF(ET$1&lt;INDEX('Valo FX'!$R:$R,MATCH($A28,'Valo FX'!$A:$A,0)),INDEX(Base!$U:$U,MATCH($A28,Base!$A:$A,0)),IF(ET$1=INDEX('Valo FX'!$R:$R,MATCH($A28,'Valo FX'!$A:$A,0)),INDEX(Base!$V:$V,MATCH($A28,Base!$A:$A,0)),0)))</f>
        <v>12.249840000000001</v>
      </c>
      <c r="EU28" s="21">
        <f>IF(EU$1&lt;INDEX('Valo FX'!$Q:$Q,MATCH($A28,'Valo FX'!$A:$A,0)),0,IF(EU$1&lt;INDEX('Valo FX'!$R:$R,MATCH($A28,'Valo FX'!$A:$A,0)),INDEX(Base!$U:$U,MATCH($A28,Base!$A:$A,0)),IF(EU$1=INDEX('Valo FX'!$R:$R,MATCH($A28,'Valo FX'!$A:$A,0)),INDEX(Base!$V:$V,MATCH($A28,Base!$A:$A,0)),0)))</f>
        <v>12.249840000000001</v>
      </c>
      <c r="EV28" s="21">
        <f>IF(EV$1&lt;INDEX('Valo FX'!$Q:$Q,MATCH($A28,'Valo FX'!$A:$A,0)),0,IF(EV$1&lt;INDEX('Valo FX'!$R:$R,MATCH($A28,'Valo FX'!$A:$A,0)),INDEX(Base!$U:$U,MATCH($A28,Base!$A:$A,0)),IF(EV$1=INDEX('Valo FX'!$R:$R,MATCH($A28,'Valo FX'!$A:$A,0)),INDEX(Base!$V:$V,MATCH($A28,Base!$A:$A,0)),0)))</f>
        <v>12.249840000000001</v>
      </c>
      <c r="EW28" s="21">
        <f>IF(EW$1&lt;INDEX('Valo FX'!$Q:$Q,MATCH($A28,'Valo FX'!$A:$A,0)),0,IF(EW$1&lt;INDEX('Valo FX'!$R:$R,MATCH($A28,'Valo FX'!$A:$A,0)),INDEX(Base!$U:$U,MATCH($A28,Base!$A:$A,0)),IF(EW$1=INDEX('Valo FX'!$R:$R,MATCH($A28,'Valo FX'!$A:$A,0)),INDEX(Base!$V:$V,MATCH($A28,Base!$A:$A,0)),0)))</f>
        <v>12.249840000000001</v>
      </c>
      <c r="EX28" s="21">
        <f>IF(EX$1&lt;INDEX('Valo FX'!$Q:$Q,MATCH($A28,'Valo FX'!$A:$A,0)),0,IF(EX$1&lt;INDEX('Valo FX'!$R:$R,MATCH($A28,'Valo FX'!$A:$A,0)),INDEX(Base!$U:$U,MATCH($A28,Base!$A:$A,0)),IF(EX$1=INDEX('Valo FX'!$R:$R,MATCH($A28,'Valo FX'!$A:$A,0)),INDEX(Base!$V:$V,MATCH($A28,Base!$A:$A,0)),0)))</f>
        <v>12.249840000000001</v>
      </c>
      <c r="EY28" s="21">
        <f>IF(EY$1&lt;INDEX('Valo FX'!$Q:$Q,MATCH($A28,'Valo FX'!$A:$A,0)),0,IF(EY$1&lt;INDEX('Valo FX'!$R:$R,MATCH($A28,'Valo FX'!$A:$A,0)),INDEX(Base!$U:$U,MATCH($A28,Base!$A:$A,0)),IF(EY$1=INDEX('Valo FX'!$R:$R,MATCH($A28,'Valo FX'!$A:$A,0)),INDEX(Base!$V:$V,MATCH($A28,Base!$A:$A,0)),0)))</f>
        <v>12.249840000000001</v>
      </c>
      <c r="EZ28" s="21">
        <f>IF(EZ$1&lt;INDEX('Valo FX'!$Q:$Q,MATCH($A28,'Valo FX'!$A:$A,0)),0,IF(EZ$1&lt;INDEX('Valo FX'!$R:$R,MATCH($A28,'Valo FX'!$A:$A,0)),INDEX(Base!$U:$U,MATCH($A28,Base!$A:$A,0)),IF(EZ$1=INDEX('Valo FX'!$R:$R,MATCH($A28,'Valo FX'!$A:$A,0)),INDEX(Base!$V:$V,MATCH($A28,Base!$A:$A,0)),0)))</f>
        <v>12.249840000000001</v>
      </c>
      <c r="FA28" s="21">
        <f>IF(FA$1&lt;INDEX('Valo FX'!$Q:$Q,MATCH($A28,'Valo FX'!$A:$A,0)),0,IF(FA$1&lt;INDEX('Valo FX'!$R:$R,MATCH($A28,'Valo FX'!$A:$A,0)),INDEX(Base!$U:$U,MATCH($A28,Base!$A:$A,0)),IF(FA$1=INDEX('Valo FX'!$R:$R,MATCH($A28,'Valo FX'!$A:$A,0)),INDEX(Base!$V:$V,MATCH($A28,Base!$A:$A,0)),0)))</f>
        <v>12.249840000000001</v>
      </c>
      <c r="FB28" s="21">
        <f>IF(FB$1&lt;INDEX('Valo FX'!$Q:$Q,MATCH($A28,'Valo FX'!$A:$A,0)),0,IF(FB$1&lt;INDEX('Valo FX'!$R:$R,MATCH($A28,'Valo FX'!$A:$A,0)),INDEX(Base!$U:$U,MATCH($A28,Base!$A:$A,0)),IF(FB$1=INDEX('Valo FX'!$R:$R,MATCH($A28,'Valo FX'!$A:$A,0)),INDEX(Base!$V:$V,MATCH($A28,Base!$A:$A,0)),0)))</f>
        <v>12.249840000000001</v>
      </c>
      <c r="FC28" s="21">
        <f>IF(FC$1&lt;INDEX('Valo FX'!$Q:$Q,MATCH($A28,'Valo FX'!$A:$A,0)),0,IF(FC$1&lt;INDEX('Valo FX'!$R:$R,MATCH($A28,'Valo FX'!$A:$A,0)),INDEX(Base!$U:$U,MATCH($A28,Base!$A:$A,0)),IF(FC$1=INDEX('Valo FX'!$R:$R,MATCH($A28,'Valo FX'!$A:$A,0)),INDEX(Base!$V:$V,MATCH($A28,Base!$A:$A,0)),0)))</f>
        <v>12.249840000000001</v>
      </c>
      <c r="FD28" s="21">
        <f>IF(FD$1&lt;INDEX('Valo FX'!$Q:$Q,MATCH($A28,'Valo FX'!$A:$A,0)),0,IF(FD$1&lt;INDEX('Valo FX'!$R:$R,MATCH($A28,'Valo FX'!$A:$A,0)),INDEX(Base!$U:$U,MATCH($A28,Base!$A:$A,0)),IF(FD$1=INDEX('Valo FX'!$R:$R,MATCH($A28,'Valo FX'!$A:$A,0)),INDEX(Base!$V:$V,MATCH($A28,Base!$A:$A,0)),0)))</f>
        <v>12.249840000000001</v>
      </c>
      <c r="FE28" s="21">
        <f>IF(FE$1&lt;INDEX('Valo FX'!$Q:$Q,MATCH($A28,'Valo FX'!$A:$A,0)),0,IF(FE$1&lt;INDEX('Valo FX'!$R:$R,MATCH($A28,'Valo FX'!$A:$A,0)),INDEX(Base!$U:$U,MATCH($A28,Base!$A:$A,0)),IF(FE$1=INDEX('Valo FX'!$R:$R,MATCH($A28,'Valo FX'!$A:$A,0)),INDEX(Base!$V:$V,MATCH($A28,Base!$A:$A,0)),0)))</f>
        <v>12.249840000000001</v>
      </c>
      <c r="FF28" s="21">
        <f>IF(FF$1&lt;INDEX('Valo FX'!$Q:$Q,MATCH($A28,'Valo FX'!$A:$A,0)),0,IF(FF$1&lt;INDEX('Valo FX'!$R:$R,MATCH($A28,'Valo FX'!$A:$A,0)),INDEX(Base!$U:$U,MATCH($A28,Base!$A:$A,0)),IF(FF$1=INDEX('Valo FX'!$R:$R,MATCH($A28,'Valo FX'!$A:$A,0)),INDEX(Base!$V:$V,MATCH($A28,Base!$A:$A,0)),0)))</f>
        <v>12.249840000000001</v>
      </c>
      <c r="FG28" s="21">
        <f>IF(FG$1&lt;INDEX('Valo FX'!$Q:$Q,MATCH($A28,'Valo FX'!$A:$A,0)),0,IF(FG$1&lt;INDEX('Valo FX'!$R:$R,MATCH($A28,'Valo FX'!$A:$A,0)),INDEX(Base!$U:$U,MATCH($A28,Base!$A:$A,0)),IF(FG$1=INDEX('Valo FX'!$R:$R,MATCH($A28,'Valo FX'!$A:$A,0)),INDEX(Base!$V:$V,MATCH($A28,Base!$A:$A,0)),0)))</f>
        <v>12.249840000000001</v>
      </c>
      <c r="FH28" s="21">
        <f>IF(FH$1&lt;INDEX('Valo FX'!$Q:$Q,MATCH($A28,'Valo FX'!$A:$A,0)),0,IF(FH$1&lt;INDEX('Valo FX'!$R:$R,MATCH($A28,'Valo FX'!$A:$A,0)),INDEX(Base!$U:$U,MATCH($A28,Base!$A:$A,0)),IF(FH$1=INDEX('Valo FX'!$R:$R,MATCH($A28,'Valo FX'!$A:$A,0)),INDEX(Base!$V:$V,MATCH($A28,Base!$A:$A,0)),0)))</f>
        <v>12.249840000000001</v>
      </c>
      <c r="FI28" s="21">
        <f>IF(FI$1&lt;INDEX('Valo FX'!$Q:$Q,MATCH($A28,'Valo FX'!$A:$A,0)),0,IF(FI$1&lt;INDEX('Valo FX'!$R:$R,MATCH($A28,'Valo FX'!$A:$A,0)),INDEX(Base!$U:$U,MATCH($A28,Base!$A:$A,0)),IF(FI$1=INDEX('Valo FX'!$R:$R,MATCH($A28,'Valo FX'!$A:$A,0)),INDEX(Base!$V:$V,MATCH($A28,Base!$A:$A,0)),0)))</f>
        <v>12.249840000000001</v>
      </c>
      <c r="FJ28" s="21">
        <f>IF(FJ$1&lt;INDEX('Valo FX'!$Q:$Q,MATCH($A28,'Valo FX'!$A:$A,0)),0,IF(FJ$1&lt;INDEX('Valo FX'!$R:$R,MATCH($A28,'Valo FX'!$A:$A,0)),INDEX(Base!$U:$U,MATCH($A28,Base!$A:$A,0)),IF(FJ$1=INDEX('Valo FX'!$R:$R,MATCH($A28,'Valo FX'!$A:$A,0)),INDEX(Base!$V:$V,MATCH($A28,Base!$A:$A,0)),0)))</f>
        <v>12.249840000000001</v>
      </c>
      <c r="FK28" s="21">
        <f>IF(FK$1&lt;INDEX('Valo FX'!$Q:$Q,MATCH($A28,'Valo FX'!$A:$A,0)),0,IF(FK$1&lt;INDEX('Valo FX'!$R:$R,MATCH($A28,'Valo FX'!$A:$A,0)),INDEX(Base!$U:$U,MATCH($A28,Base!$A:$A,0)),IF(FK$1=INDEX('Valo FX'!$R:$R,MATCH($A28,'Valo FX'!$A:$A,0)),INDEX(Base!$V:$V,MATCH($A28,Base!$A:$A,0)),0)))</f>
        <v>12.249840000000001</v>
      </c>
      <c r="FL28" s="21">
        <f>IF(FL$1&lt;INDEX('Valo FX'!$Q:$Q,MATCH($A28,'Valo FX'!$A:$A,0)),0,IF(FL$1&lt;INDEX('Valo FX'!$R:$R,MATCH($A28,'Valo FX'!$A:$A,0)),INDEX(Base!$U:$U,MATCH($A28,Base!$A:$A,0)),IF(FL$1=INDEX('Valo FX'!$R:$R,MATCH($A28,'Valo FX'!$A:$A,0)),INDEX(Base!$V:$V,MATCH($A28,Base!$A:$A,0)),0)))</f>
        <v>12.249840000000001</v>
      </c>
      <c r="FM28" s="21">
        <f>IF(FM$1&lt;INDEX('Valo FX'!$Q:$Q,MATCH($A28,'Valo FX'!$A:$A,0)),0,IF(FM$1&lt;INDEX('Valo FX'!$R:$R,MATCH($A28,'Valo FX'!$A:$A,0)),INDEX(Base!$U:$U,MATCH($A28,Base!$A:$A,0)),IF(FM$1=INDEX('Valo FX'!$R:$R,MATCH($A28,'Valo FX'!$A:$A,0)),INDEX(Base!$V:$V,MATCH($A28,Base!$A:$A,0)),0)))</f>
        <v>12.249840000000001</v>
      </c>
      <c r="FN28" s="21">
        <f>IF(FN$1&lt;INDEX('Valo FX'!$Q:$Q,MATCH($A28,'Valo FX'!$A:$A,0)),0,IF(FN$1&lt;INDEX('Valo FX'!$R:$R,MATCH($A28,'Valo FX'!$A:$A,0)),INDEX(Base!$U:$U,MATCH($A28,Base!$A:$A,0)),IF(FN$1=INDEX('Valo FX'!$R:$R,MATCH($A28,'Valo FX'!$A:$A,0)),INDEX(Base!$V:$V,MATCH($A28,Base!$A:$A,0)),0)))</f>
        <v>12.249840000000001</v>
      </c>
      <c r="FO28" s="21">
        <f>IF(FO$1&lt;INDEX('Valo FX'!$Q:$Q,MATCH($A28,'Valo FX'!$A:$A,0)),0,IF(FO$1&lt;INDEX('Valo FX'!$R:$R,MATCH($A28,'Valo FX'!$A:$A,0)),INDEX(Base!$U:$U,MATCH($A28,Base!$A:$A,0)),IF(FO$1=INDEX('Valo FX'!$R:$R,MATCH($A28,'Valo FX'!$A:$A,0)),INDEX(Base!$V:$V,MATCH($A28,Base!$A:$A,0)),0)))</f>
        <v>12.249840000000001</v>
      </c>
      <c r="FP28" s="21">
        <f>IF(FP$1&lt;INDEX('Valo FX'!$Q:$Q,MATCH($A28,'Valo FX'!$A:$A,0)),0,IF(FP$1&lt;INDEX('Valo FX'!$R:$R,MATCH($A28,'Valo FX'!$A:$A,0)),INDEX(Base!$U:$U,MATCH($A28,Base!$A:$A,0)),IF(FP$1=INDEX('Valo FX'!$R:$R,MATCH($A28,'Valo FX'!$A:$A,0)),INDEX(Base!$V:$V,MATCH($A28,Base!$A:$A,0)),0)))</f>
        <v>12.249840000000001</v>
      </c>
      <c r="FQ28" s="21">
        <f>IF(FQ$1&lt;INDEX('Valo FX'!$Q:$Q,MATCH($A28,'Valo FX'!$A:$A,0)),0,IF(FQ$1&lt;INDEX('Valo FX'!$R:$R,MATCH($A28,'Valo FX'!$A:$A,0)),INDEX(Base!$U:$U,MATCH($A28,Base!$A:$A,0)),IF(FQ$1=INDEX('Valo FX'!$R:$R,MATCH($A28,'Valo FX'!$A:$A,0)),INDEX(Base!$V:$V,MATCH($A28,Base!$A:$A,0)),0)))</f>
        <v>12.249840000000001</v>
      </c>
      <c r="FR28" s="21">
        <f>IF(FR$1&lt;INDEX('Valo FX'!$Q:$Q,MATCH($A28,'Valo FX'!$A:$A,0)),0,IF(FR$1&lt;INDEX('Valo FX'!$R:$R,MATCH($A28,'Valo FX'!$A:$A,0)),INDEX(Base!$U:$U,MATCH($A28,Base!$A:$A,0)),IF(FR$1=INDEX('Valo FX'!$R:$R,MATCH($A28,'Valo FX'!$A:$A,0)),INDEX(Base!$V:$V,MATCH($A28,Base!$A:$A,0)),0)))</f>
        <v>12.249840000000001</v>
      </c>
      <c r="FS28" s="21">
        <f>IF(FS$1&lt;INDEX('Valo FX'!$Q:$Q,MATCH($A28,'Valo FX'!$A:$A,0)),0,IF(FS$1&lt;INDEX('Valo FX'!$R:$R,MATCH($A28,'Valo FX'!$A:$A,0)),INDEX(Base!$U:$U,MATCH($A28,Base!$A:$A,0)),IF(FS$1=INDEX('Valo FX'!$R:$R,MATCH($A28,'Valo FX'!$A:$A,0)),INDEX(Base!$V:$V,MATCH($A28,Base!$A:$A,0)),0)))</f>
        <v>12.249840000000001</v>
      </c>
      <c r="FT28" s="21">
        <f>IF(FT$1&lt;INDEX('Valo FX'!$Q:$Q,MATCH($A28,'Valo FX'!$A:$A,0)),0,IF(FT$1&lt;INDEX('Valo FX'!$R:$R,MATCH($A28,'Valo FX'!$A:$A,0)),INDEX(Base!$U:$U,MATCH($A28,Base!$A:$A,0)),IF(FT$1=INDEX('Valo FX'!$R:$R,MATCH($A28,'Valo FX'!$A:$A,0)),INDEX(Base!$V:$V,MATCH($A28,Base!$A:$A,0)),0)))</f>
        <v>12.249840000000001</v>
      </c>
      <c r="FU28" s="21">
        <f>IF(FU$1&lt;INDEX('Valo FX'!$Q:$Q,MATCH($A28,'Valo FX'!$A:$A,0)),0,IF(FU$1&lt;INDEX('Valo FX'!$R:$R,MATCH($A28,'Valo FX'!$A:$A,0)),INDEX(Base!$U:$U,MATCH($A28,Base!$A:$A,0)),IF(FU$1=INDEX('Valo FX'!$R:$R,MATCH($A28,'Valo FX'!$A:$A,0)),INDEX(Base!$V:$V,MATCH($A28,Base!$A:$A,0)),0)))</f>
        <v>12.249840000000001</v>
      </c>
      <c r="FV28" s="21">
        <f>IF(FV$1&lt;INDEX('Valo FX'!$Q:$Q,MATCH($A28,'Valo FX'!$A:$A,0)),0,IF(FV$1&lt;INDEX('Valo FX'!$R:$R,MATCH($A28,'Valo FX'!$A:$A,0)),INDEX(Base!$U:$U,MATCH($A28,Base!$A:$A,0)),IF(FV$1=INDEX('Valo FX'!$R:$R,MATCH($A28,'Valo FX'!$A:$A,0)),INDEX(Base!$V:$V,MATCH($A28,Base!$A:$A,0)),0)))</f>
        <v>12.249840000000001</v>
      </c>
      <c r="FW28" s="21">
        <f>IF(FW$1&lt;INDEX('Valo FX'!$Q:$Q,MATCH($A28,'Valo FX'!$A:$A,0)),0,IF(FW$1&lt;INDEX('Valo FX'!$R:$R,MATCH($A28,'Valo FX'!$A:$A,0)),INDEX(Base!$U:$U,MATCH($A28,Base!$A:$A,0)),IF(FW$1=INDEX('Valo FX'!$R:$R,MATCH($A28,'Valo FX'!$A:$A,0)),INDEX(Base!$V:$V,MATCH($A28,Base!$A:$A,0)),0)))</f>
        <v>12.249840000000001</v>
      </c>
      <c r="FX28" s="21">
        <f>IF(FX$1&lt;INDEX('Valo FX'!$Q:$Q,MATCH($A28,'Valo FX'!$A:$A,0)),0,IF(FX$1&lt;INDEX('Valo FX'!$R:$R,MATCH($A28,'Valo FX'!$A:$A,0)),INDEX(Base!$U:$U,MATCH($A28,Base!$A:$A,0)),IF(FX$1=INDEX('Valo FX'!$R:$R,MATCH($A28,'Valo FX'!$A:$A,0)),INDEX(Base!$V:$V,MATCH($A28,Base!$A:$A,0)),0)))</f>
        <v>12.249840000000001</v>
      </c>
      <c r="FY28" s="21">
        <f>IF(FY$1&lt;INDEX('Valo FX'!$Q:$Q,MATCH($A28,'Valo FX'!$A:$A,0)),0,IF(FY$1&lt;INDEX('Valo FX'!$R:$R,MATCH($A28,'Valo FX'!$A:$A,0)),INDEX(Base!$U:$U,MATCH($A28,Base!$A:$A,0)),IF(FY$1=INDEX('Valo FX'!$R:$R,MATCH($A28,'Valo FX'!$A:$A,0)),INDEX(Base!$V:$V,MATCH($A28,Base!$A:$A,0)),0)))</f>
        <v>12.249840000000001</v>
      </c>
      <c r="FZ28" s="21">
        <f>IF(FZ$1&lt;INDEX('Valo FX'!$Q:$Q,MATCH($A28,'Valo FX'!$A:$A,0)),0,IF(FZ$1&lt;INDEX('Valo FX'!$R:$R,MATCH($A28,'Valo FX'!$A:$A,0)),INDEX(Base!$U:$U,MATCH($A28,Base!$A:$A,0)),IF(FZ$1=INDEX('Valo FX'!$R:$R,MATCH($A28,'Valo FX'!$A:$A,0)),INDEX(Base!$V:$V,MATCH($A28,Base!$A:$A,0)),0)))</f>
        <v>12.249840000000001</v>
      </c>
      <c r="GA28" s="21">
        <f>IF(GA$1&lt;INDEX('Valo FX'!$Q:$Q,MATCH($A28,'Valo FX'!$A:$A,0)),0,IF(GA$1&lt;INDEX('Valo FX'!$R:$R,MATCH($A28,'Valo FX'!$A:$A,0)),INDEX(Base!$U:$U,MATCH($A28,Base!$A:$A,0)),IF(GA$1=INDEX('Valo FX'!$R:$R,MATCH($A28,'Valo FX'!$A:$A,0)),INDEX(Base!$V:$V,MATCH($A28,Base!$A:$A,0)),0)))</f>
        <v>12.249840000000001</v>
      </c>
      <c r="GB28" s="21">
        <f>IF(GB$1&lt;INDEX('Valo FX'!$Q:$Q,MATCH($A28,'Valo FX'!$A:$A,0)),0,IF(GB$1&lt;INDEX('Valo FX'!$R:$R,MATCH($A28,'Valo FX'!$A:$A,0)),INDEX(Base!$U:$U,MATCH($A28,Base!$A:$A,0)),IF(GB$1=INDEX('Valo FX'!$R:$R,MATCH($A28,'Valo FX'!$A:$A,0)),INDEX(Base!$V:$V,MATCH($A28,Base!$A:$A,0)),0)))</f>
        <v>12.249840000000001</v>
      </c>
      <c r="GC28" s="21">
        <f>IF(GC$1&lt;INDEX('Valo FX'!$Q:$Q,MATCH($A28,'Valo FX'!$A:$A,0)),0,IF(GC$1&lt;INDEX('Valo FX'!$R:$R,MATCH($A28,'Valo FX'!$A:$A,0)),INDEX(Base!$U:$U,MATCH($A28,Base!$A:$A,0)),IF(GC$1=INDEX('Valo FX'!$R:$R,MATCH($A28,'Valo FX'!$A:$A,0)),INDEX(Base!$V:$V,MATCH($A28,Base!$A:$A,0)),0)))</f>
        <v>12.249840000000001</v>
      </c>
      <c r="GD28" s="21">
        <f>IF(GD$1&lt;INDEX('Valo FX'!$Q:$Q,MATCH($A28,'Valo FX'!$A:$A,0)),0,IF(GD$1&lt;INDEX('Valo FX'!$R:$R,MATCH($A28,'Valo FX'!$A:$A,0)),INDEX(Base!$U:$U,MATCH($A28,Base!$A:$A,0)),IF(GD$1=INDEX('Valo FX'!$R:$R,MATCH($A28,'Valo FX'!$A:$A,0)),INDEX(Base!$V:$V,MATCH($A28,Base!$A:$A,0)),0)))</f>
        <v>12.249840000000001</v>
      </c>
      <c r="GE28" s="21">
        <f>IF(GE$1&lt;INDEX('Valo FX'!$Q:$Q,MATCH($A28,'Valo FX'!$A:$A,0)),0,IF(GE$1&lt;INDEX('Valo FX'!$R:$R,MATCH($A28,'Valo FX'!$A:$A,0)),INDEX(Base!$U:$U,MATCH($A28,Base!$A:$A,0)),IF(GE$1=INDEX('Valo FX'!$R:$R,MATCH($A28,'Valo FX'!$A:$A,0)),INDEX(Base!$V:$V,MATCH($A28,Base!$A:$A,0)),0)))</f>
        <v>12.249840000000001</v>
      </c>
      <c r="GF28" s="21">
        <f>IF(GF$1&lt;INDEX('Valo FX'!$Q:$Q,MATCH($A28,'Valo FX'!$A:$A,0)),0,IF(GF$1&lt;INDEX('Valo FX'!$R:$R,MATCH($A28,'Valo FX'!$A:$A,0)),INDEX(Base!$U:$U,MATCH($A28,Base!$A:$A,0)),IF(GF$1=INDEX('Valo FX'!$R:$R,MATCH($A28,'Valo FX'!$A:$A,0)),INDEX(Base!$V:$V,MATCH($A28,Base!$A:$A,0)),0)))</f>
        <v>12.249840000000001</v>
      </c>
      <c r="GG28" s="21">
        <f>IF(GG$1&lt;INDEX('Valo FX'!$Q:$Q,MATCH($A28,'Valo FX'!$A:$A,0)),0,IF(GG$1&lt;INDEX('Valo FX'!$R:$R,MATCH($A28,'Valo FX'!$A:$A,0)),INDEX(Base!$U:$U,MATCH($A28,Base!$A:$A,0)),IF(GG$1=INDEX('Valo FX'!$R:$R,MATCH($A28,'Valo FX'!$A:$A,0)),INDEX(Base!$V:$V,MATCH($A28,Base!$A:$A,0)),0)))</f>
        <v>12.249840000000001</v>
      </c>
      <c r="GH28" s="21">
        <f>IF(GH$1&lt;INDEX('Valo FX'!$Q:$Q,MATCH($A28,'Valo FX'!$A:$A,0)),0,IF(GH$1&lt;INDEX('Valo FX'!$R:$R,MATCH($A28,'Valo FX'!$A:$A,0)),INDEX(Base!$U:$U,MATCH($A28,Base!$A:$A,0)),IF(GH$1=INDEX('Valo FX'!$R:$R,MATCH($A28,'Valo FX'!$A:$A,0)),INDEX(Base!$V:$V,MATCH($A28,Base!$A:$A,0)),0)))</f>
        <v>12.249840000000001</v>
      </c>
      <c r="GI28" s="21">
        <f>IF(GI$1&lt;INDEX('Valo FX'!$Q:$Q,MATCH($A28,'Valo FX'!$A:$A,0)),0,IF(GI$1&lt;INDEX('Valo FX'!$R:$R,MATCH($A28,'Valo FX'!$A:$A,0)),INDEX(Base!$U:$U,MATCH($A28,Base!$A:$A,0)),IF(GI$1=INDEX('Valo FX'!$R:$R,MATCH($A28,'Valo FX'!$A:$A,0)),INDEX(Base!$V:$V,MATCH($A28,Base!$A:$A,0)),0)))</f>
        <v>12.249840000000001</v>
      </c>
      <c r="GJ28" s="21">
        <f>IF(GJ$1&lt;INDEX('Valo FX'!$Q:$Q,MATCH($A28,'Valo FX'!$A:$A,0)),0,IF(GJ$1&lt;INDEX('Valo FX'!$R:$R,MATCH($A28,'Valo FX'!$A:$A,0)),INDEX(Base!$U:$U,MATCH($A28,Base!$A:$A,0)),IF(GJ$1=INDEX('Valo FX'!$R:$R,MATCH($A28,'Valo FX'!$A:$A,0)),INDEX(Base!$V:$V,MATCH($A28,Base!$A:$A,0)),0)))</f>
        <v>12.249840000000001</v>
      </c>
      <c r="GK28" s="21">
        <f>IF(GK$1&lt;INDEX('Valo FX'!$Q:$Q,MATCH($A28,'Valo FX'!$A:$A,0)),0,IF(GK$1&lt;INDEX('Valo FX'!$R:$R,MATCH($A28,'Valo FX'!$A:$A,0)),INDEX(Base!$U:$U,MATCH($A28,Base!$A:$A,0)),IF(GK$1=INDEX('Valo FX'!$R:$R,MATCH($A28,'Valo FX'!$A:$A,0)),INDEX(Base!$V:$V,MATCH($A28,Base!$A:$A,0)),0)))</f>
        <v>12.249840000000001</v>
      </c>
      <c r="GL28" s="21">
        <f>IF(GL$1&lt;INDEX('Valo FX'!$Q:$Q,MATCH($A28,'Valo FX'!$A:$A,0)),0,IF(GL$1&lt;INDEX('Valo FX'!$R:$R,MATCH($A28,'Valo FX'!$A:$A,0)),INDEX(Base!$U:$U,MATCH($A28,Base!$A:$A,0)),IF(GL$1=INDEX('Valo FX'!$R:$R,MATCH($A28,'Valo FX'!$A:$A,0)),INDEX(Base!$V:$V,MATCH($A28,Base!$A:$A,0)),0)))</f>
        <v>12.249840000000001</v>
      </c>
      <c r="GM28" s="21">
        <f>IF(GM$1&lt;INDEX('Valo FX'!$Q:$Q,MATCH($A28,'Valo FX'!$A:$A,0)),0,IF(GM$1&lt;INDEX('Valo FX'!$R:$R,MATCH($A28,'Valo FX'!$A:$A,0)),INDEX(Base!$U:$U,MATCH($A28,Base!$A:$A,0)),IF(GM$1=INDEX('Valo FX'!$R:$R,MATCH($A28,'Valo FX'!$A:$A,0)),INDEX(Base!$V:$V,MATCH($A28,Base!$A:$A,0)),0)))</f>
        <v>12.249840000000001</v>
      </c>
      <c r="GN28" s="21">
        <f>IF(GN$1&lt;INDEX('Valo FX'!$Q:$Q,MATCH($A28,'Valo FX'!$A:$A,0)),0,IF(GN$1&lt;INDEX('Valo FX'!$R:$R,MATCH($A28,'Valo FX'!$A:$A,0)),INDEX(Base!$U:$U,MATCH($A28,Base!$A:$A,0)),IF(GN$1=INDEX('Valo FX'!$R:$R,MATCH($A28,'Valo FX'!$A:$A,0)),INDEX(Base!$V:$V,MATCH($A28,Base!$A:$A,0)),0)))</f>
        <v>12.249840000000001</v>
      </c>
      <c r="GO28" s="21">
        <f>IF(GO$1&lt;INDEX('Valo FX'!$Q:$Q,MATCH($A28,'Valo FX'!$A:$A,0)),0,IF(GO$1&lt;INDEX('Valo FX'!$R:$R,MATCH($A28,'Valo FX'!$A:$A,0)),INDEX(Base!$U:$U,MATCH($A28,Base!$A:$A,0)),IF(GO$1=INDEX('Valo FX'!$R:$R,MATCH($A28,'Valo FX'!$A:$A,0)),INDEX(Base!$V:$V,MATCH($A28,Base!$A:$A,0)),0)))</f>
        <v>12.249840000000001</v>
      </c>
      <c r="GP28" s="21">
        <f>IF(GP$1&lt;INDEX('Valo FX'!$Q:$Q,MATCH($A28,'Valo FX'!$A:$A,0)),0,IF(GP$1&lt;INDEX('Valo FX'!$R:$R,MATCH($A28,'Valo FX'!$A:$A,0)),INDEX(Base!$U:$U,MATCH($A28,Base!$A:$A,0)),IF(GP$1=INDEX('Valo FX'!$R:$R,MATCH($A28,'Valo FX'!$A:$A,0)),INDEX(Base!$V:$V,MATCH($A28,Base!$A:$A,0)),0)))</f>
        <v>12.249840000000001</v>
      </c>
      <c r="GQ28" s="21">
        <f>IF(GQ$1&lt;INDEX('Valo FX'!$Q:$Q,MATCH($A28,'Valo FX'!$A:$A,0)),0,IF(GQ$1&lt;INDEX('Valo FX'!$R:$R,MATCH($A28,'Valo FX'!$A:$A,0)),INDEX(Base!$U:$U,MATCH($A28,Base!$A:$A,0)),IF(GQ$1=INDEX('Valo FX'!$R:$R,MATCH($A28,'Valo FX'!$A:$A,0)),INDEX(Base!$V:$V,MATCH($A28,Base!$A:$A,0)),0)))</f>
        <v>12.249840000000001</v>
      </c>
      <c r="GR28" s="21">
        <f>IF(GR$1&lt;INDEX('Valo FX'!$Q:$Q,MATCH($A28,'Valo FX'!$A:$A,0)),0,IF(GR$1&lt;INDEX('Valo FX'!$R:$R,MATCH($A28,'Valo FX'!$A:$A,0)),INDEX(Base!$U:$U,MATCH($A28,Base!$A:$A,0)),IF(GR$1=INDEX('Valo FX'!$R:$R,MATCH($A28,'Valo FX'!$A:$A,0)),INDEX(Base!$V:$V,MATCH($A28,Base!$A:$A,0)),0)))</f>
        <v>12.249840000000001</v>
      </c>
      <c r="GS28" s="21">
        <f>IF(GS$1&lt;INDEX('Valo FX'!$Q:$Q,MATCH($A28,'Valo FX'!$A:$A,0)),0,IF(GS$1&lt;INDEX('Valo FX'!$R:$R,MATCH($A28,'Valo FX'!$A:$A,0)),INDEX(Base!$U:$U,MATCH($A28,Base!$A:$A,0)),IF(GS$1=INDEX('Valo FX'!$R:$R,MATCH($A28,'Valo FX'!$A:$A,0)),INDEX(Base!$V:$V,MATCH($A28,Base!$A:$A,0)),0)))</f>
        <v>12.249840000000001</v>
      </c>
      <c r="GT28" s="21">
        <f>IF(GT$1&lt;INDEX('Valo FX'!$Q:$Q,MATCH($A28,'Valo FX'!$A:$A,0)),0,IF(GT$1&lt;INDEX('Valo FX'!$R:$R,MATCH($A28,'Valo FX'!$A:$A,0)),INDEX(Base!$U:$U,MATCH($A28,Base!$A:$A,0)),IF(GT$1=INDEX('Valo FX'!$R:$R,MATCH($A28,'Valo FX'!$A:$A,0)),INDEX(Base!$V:$V,MATCH($A28,Base!$A:$A,0)),0)))</f>
        <v>12.249840000000001</v>
      </c>
      <c r="GU28" s="21">
        <f>IF(GU$1&lt;INDEX('Valo FX'!$Q:$Q,MATCH($A28,'Valo FX'!$A:$A,0)),0,IF(GU$1&lt;INDEX('Valo FX'!$R:$R,MATCH($A28,'Valo FX'!$A:$A,0)),INDEX(Base!$U:$U,MATCH($A28,Base!$A:$A,0)),IF(GU$1=INDEX('Valo FX'!$R:$R,MATCH($A28,'Valo FX'!$A:$A,0)),INDEX(Base!$V:$V,MATCH($A28,Base!$A:$A,0)),0)))</f>
        <v>12.249840000000001</v>
      </c>
      <c r="GV28" s="21">
        <f>IF(GV$1&lt;INDEX('Valo FX'!$Q:$Q,MATCH($A28,'Valo FX'!$A:$A,0)),0,IF(GV$1&lt;INDEX('Valo FX'!$R:$R,MATCH($A28,'Valo FX'!$A:$A,0)),INDEX(Base!$U:$U,MATCH($A28,Base!$A:$A,0)),IF(GV$1=INDEX('Valo FX'!$R:$R,MATCH($A28,'Valo FX'!$A:$A,0)),INDEX(Base!$V:$V,MATCH($A28,Base!$A:$A,0)),0)))</f>
        <v>12.249840000000001</v>
      </c>
      <c r="GW28" s="21">
        <f>IF(GW$1&lt;INDEX('Valo FX'!$Q:$Q,MATCH($A28,'Valo FX'!$A:$A,0)),0,IF(GW$1&lt;INDEX('Valo FX'!$R:$R,MATCH($A28,'Valo FX'!$A:$A,0)),INDEX(Base!$U:$U,MATCH($A28,Base!$A:$A,0)),IF(GW$1=INDEX('Valo FX'!$R:$R,MATCH($A28,'Valo FX'!$A:$A,0)),INDEX(Base!$V:$V,MATCH($A28,Base!$A:$A,0)),0)))</f>
        <v>12.249840000000001</v>
      </c>
      <c r="GX28" s="21">
        <f>IF(GX$1&lt;INDEX('Valo FX'!$Q:$Q,MATCH($A28,'Valo FX'!$A:$A,0)),0,IF(GX$1&lt;INDEX('Valo FX'!$R:$R,MATCH($A28,'Valo FX'!$A:$A,0)),INDEX(Base!$U:$U,MATCH($A28,Base!$A:$A,0)),IF(GX$1=INDEX('Valo FX'!$R:$R,MATCH($A28,'Valo FX'!$A:$A,0)),INDEX(Base!$V:$V,MATCH($A28,Base!$A:$A,0)),0)))</f>
        <v>12.249840000000001</v>
      </c>
      <c r="GY28" s="21">
        <f>IF(GY$1&lt;INDEX('Valo FX'!$Q:$Q,MATCH($A28,'Valo FX'!$A:$A,0)),0,IF(GY$1&lt;INDEX('Valo FX'!$R:$R,MATCH($A28,'Valo FX'!$A:$A,0)),INDEX(Base!$U:$U,MATCH($A28,Base!$A:$A,0)),IF(GY$1=INDEX('Valo FX'!$R:$R,MATCH($A28,'Valo FX'!$A:$A,0)),INDEX(Base!$V:$V,MATCH($A28,Base!$A:$A,0)),0)))</f>
        <v>12.249840000000001</v>
      </c>
      <c r="GZ28" s="21">
        <f>IF(GZ$1&lt;INDEX('Valo FX'!$Q:$Q,MATCH($A28,'Valo FX'!$A:$A,0)),0,IF(GZ$1&lt;INDEX('Valo FX'!$R:$R,MATCH($A28,'Valo FX'!$A:$A,0)),INDEX(Base!$U:$U,MATCH($A28,Base!$A:$A,0)),IF(GZ$1=INDEX('Valo FX'!$R:$R,MATCH($A28,'Valo FX'!$A:$A,0)),INDEX(Base!$V:$V,MATCH($A28,Base!$A:$A,0)),0)))</f>
        <v>12.249840000000001</v>
      </c>
      <c r="HA28" s="21">
        <f>IF(HA$1&lt;INDEX('Valo FX'!$Q:$Q,MATCH($A28,'Valo FX'!$A:$A,0)),0,IF(HA$1&lt;INDEX('Valo FX'!$R:$R,MATCH($A28,'Valo FX'!$A:$A,0)),INDEX(Base!$U:$U,MATCH($A28,Base!$A:$A,0)),IF(HA$1=INDEX('Valo FX'!$R:$R,MATCH($A28,'Valo FX'!$A:$A,0)),INDEX(Base!$V:$V,MATCH($A28,Base!$A:$A,0)),0)))</f>
        <v>12.249840000000001</v>
      </c>
      <c r="HB28" s="21">
        <f>IF(HB$1&lt;INDEX('Valo FX'!$Q:$Q,MATCH($A28,'Valo FX'!$A:$A,0)),0,IF(HB$1&lt;INDEX('Valo FX'!$R:$R,MATCH($A28,'Valo FX'!$A:$A,0)),INDEX(Base!$U:$U,MATCH($A28,Base!$A:$A,0)),IF(HB$1=INDEX('Valo FX'!$R:$R,MATCH($A28,'Valo FX'!$A:$A,0)),INDEX(Base!$V:$V,MATCH($A28,Base!$A:$A,0)),0)))</f>
        <v>12.249840000000001</v>
      </c>
      <c r="HC28" s="21">
        <f>IF(HC$1&lt;INDEX('Valo FX'!$Q:$Q,MATCH($A28,'Valo FX'!$A:$A,0)),0,IF(HC$1&lt;INDEX('Valo FX'!$R:$R,MATCH($A28,'Valo FX'!$A:$A,0)),INDEX(Base!$U:$U,MATCH($A28,Base!$A:$A,0)),IF(HC$1=INDEX('Valo FX'!$R:$R,MATCH($A28,'Valo FX'!$A:$A,0)),INDEX(Base!$V:$V,MATCH($A28,Base!$A:$A,0)),0)))</f>
        <v>12.249840000000001</v>
      </c>
      <c r="HD28" s="21">
        <f>IF(HD$1&lt;INDEX('Valo FX'!$Q:$Q,MATCH($A28,'Valo FX'!$A:$A,0)),0,IF(HD$1&lt;INDEX('Valo FX'!$R:$R,MATCH($A28,'Valo FX'!$A:$A,0)),INDEX(Base!$U:$U,MATCH($A28,Base!$A:$A,0)),IF(HD$1=INDEX('Valo FX'!$R:$R,MATCH($A28,'Valo FX'!$A:$A,0)),INDEX(Base!$V:$V,MATCH($A28,Base!$A:$A,0)),0)))</f>
        <v>12.249840000000001</v>
      </c>
      <c r="HE28" s="21">
        <f>IF(HE$1&lt;INDEX('Valo FX'!$Q:$Q,MATCH($A28,'Valo FX'!$A:$A,0)),0,IF(HE$1&lt;INDEX('Valo FX'!$R:$R,MATCH($A28,'Valo FX'!$A:$A,0)),INDEX(Base!$U:$U,MATCH($A28,Base!$A:$A,0)),IF(HE$1=INDEX('Valo FX'!$R:$R,MATCH($A28,'Valo FX'!$A:$A,0)),INDEX(Base!$V:$V,MATCH($A28,Base!$A:$A,0)),0)))</f>
        <v>12.249840000000001</v>
      </c>
      <c r="HF28" s="21">
        <f>IF(HF$1&lt;INDEX('Valo FX'!$Q:$Q,MATCH($A28,'Valo FX'!$A:$A,0)),0,IF(HF$1&lt;INDEX('Valo FX'!$R:$R,MATCH($A28,'Valo FX'!$A:$A,0)),INDEX(Base!$U:$U,MATCH($A28,Base!$A:$A,0)),IF(HF$1=INDEX('Valo FX'!$R:$R,MATCH($A28,'Valo FX'!$A:$A,0)),INDEX(Base!$V:$V,MATCH($A28,Base!$A:$A,0)),0)))</f>
        <v>12.249840000000001</v>
      </c>
      <c r="HG28" s="21">
        <f>IF(HG$1&lt;INDEX('Valo FX'!$Q:$Q,MATCH($A28,'Valo FX'!$A:$A,0)),0,IF(HG$1&lt;INDEX('Valo FX'!$R:$R,MATCH($A28,'Valo FX'!$A:$A,0)),INDEX(Base!$U:$U,MATCH($A28,Base!$A:$A,0)),IF(HG$1=INDEX('Valo FX'!$R:$R,MATCH($A28,'Valo FX'!$A:$A,0)),INDEX(Base!$V:$V,MATCH($A28,Base!$A:$A,0)),0)))</f>
        <v>12.249840000000001</v>
      </c>
      <c r="HH28" s="21">
        <f>IF(HH$1&lt;INDEX('Valo FX'!$Q:$Q,MATCH($A28,'Valo FX'!$A:$A,0)),0,IF(HH$1&lt;INDEX('Valo FX'!$R:$R,MATCH($A28,'Valo FX'!$A:$A,0)),INDEX(Base!$U:$U,MATCH($A28,Base!$A:$A,0)),IF(HH$1=INDEX('Valo FX'!$R:$R,MATCH($A28,'Valo FX'!$A:$A,0)),INDEX(Base!$V:$V,MATCH($A28,Base!$A:$A,0)),0)))</f>
        <v>12.249840000000001</v>
      </c>
      <c r="HI28" s="21">
        <f>IF(HI$1&lt;INDEX('Valo FX'!$Q:$Q,MATCH($A28,'Valo FX'!$A:$A,0)),0,IF(HI$1&lt;INDEX('Valo FX'!$R:$R,MATCH($A28,'Valo FX'!$A:$A,0)),INDEX(Base!$U:$U,MATCH($A28,Base!$A:$A,0)),IF(HI$1=INDEX('Valo FX'!$R:$R,MATCH($A28,'Valo FX'!$A:$A,0)),INDEX(Base!$V:$V,MATCH($A28,Base!$A:$A,0)),0)))</f>
        <v>12.249840000000001</v>
      </c>
      <c r="HJ28" s="21">
        <f>IF(HJ$1&lt;INDEX('Valo FX'!$Q:$Q,MATCH($A28,'Valo FX'!$A:$A,0)),0,IF(HJ$1&lt;INDEX('Valo FX'!$R:$R,MATCH($A28,'Valo FX'!$A:$A,0)),INDEX(Base!$U:$U,MATCH($A28,Base!$A:$A,0)),IF(HJ$1=INDEX('Valo FX'!$R:$R,MATCH($A28,'Valo FX'!$A:$A,0)),INDEX(Base!$V:$V,MATCH($A28,Base!$A:$A,0)),0)))</f>
        <v>12.249840000000001</v>
      </c>
      <c r="HK28" s="21">
        <f>IF(HK$1&lt;INDEX('Valo FX'!$Q:$Q,MATCH($A28,'Valo FX'!$A:$A,0)),0,IF(HK$1&lt;INDEX('Valo FX'!$R:$R,MATCH($A28,'Valo FX'!$A:$A,0)),INDEX(Base!$U:$U,MATCH($A28,Base!$A:$A,0)),IF(HK$1=INDEX('Valo FX'!$R:$R,MATCH($A28,'Valo FX'!$A:$A,0)),INDEX(Base!$V:$V,MATCH($A28,Base!$A:$A,0)),0)))</f>
        <v>12.249840000000001</v>
      </c>
      <c r="HL28" s="21">
        <f>IF(HL$1&lt;INDEX('Valo FX'!$Q:$Q,MATCH($A28,'Valo FX'!$A:$A,0)),0,IF(HL$1&lt;INDEX('Valo FX'!$R:$R,MATCH($A28,'Valo FX'!$A:$A,0)),INDEX(Base!$U:$U,MATCH($A28,Base!$A:$A,0)),IF(HL$1=INDEX('Valo FX'!$R:$R,MATCH($A28,'Valo FX'!$A:$A,0)),INDEX(Base!$V:$V,MATCH($A28,Base!$A:$A,0)),0)))</f>
        <v>12.249840000000001</v>
      </c>
      <c r="HM28" s="21">
        <f>IF(HM$1&lt;INDEX('Valo FX'!$Q:$Q,MATCH($A28,'Valo FX'!$A:$A,0)),0,IF(HM$1&lt;INDEX('Valo FX'!$R:$R,MATCH($A28,'Valo FX'!$A:$A,0)),INDEX(Base!$U:$U,MATCH($A28,Base!$A:$A,0)),IF(HM$1=INDEX('Valo FX'!$R:$R,MATCH($A28,'Valo FX'!$A:$A,0)),INDEX(Base!$V:$V,MATCH($A28,Base!$A:$A,0)),0)))</f>
        <v>12.249840000000001</v>
      </c>
      <c r="HN28" s="21">
        <f>IF(HN$1&lt;INDEX('Valo FX'!$Q:$Q,MATCH($A28,'Valo FX'!$A:$A,0)),0,IF(HN$1&lt;INDEX('Valo FX'!$R:$R,MATCH($A28,'Valo FX'!$A:$A,0)),INDEX(Base!$U:$U,MATCH($A28,Base!$A:$A,0)),IF(HN$1=INDEX('Valo FX'!$R:$R,MATCH($A28,'Valo FX'!$A:$A,0)),INDEX(Base!$V:$V,MATCH($A28,Base!$A:$A,0)),0)))</f>
        <v>12.249840000000001</v>
      </c>
      <c r="HO28" s="21">
        <f>IF(HO$1&lt;INDEX('Valo FX'!$Q:$Q,MATCH($A28,'Valo FX'!$A:$A,0)),0,IF(HO$1&lt;INDEX('Valo FX'!$R:$R,MATCH($A28,'Valo FX'!$A:$A,0)),INDEX(Base!$U:$U,MATCH($A28,Base!$A:$A,0)),IF(HO$1=INDEX('Valo FX'!$R:$R,MATCH($A28,'Valo FX'!$A:$A,0)),INDEX(Base!$V:$V,MATCH($A28,Base!$A:$A,0)),0)))</f>
        <v>12.249840000000001</v>
      </c>
      <c r="HP28" s="21">
        <f>IF(HP$1&lt;INDEX('Valo FX'!$Q:$Q,MATCH($A28,'Valo FX'!$A:$A,0)),0,IF(HP$1&lt;INDEX('Valo FX'!$R:$R,MATCH($A28,'Valo FX'!$A:$A,0)),INDEX(Base!$U:$U,MATCH($A28,Base!$A:$A,0)),IF(HP$1=INDEX('Valo FX'!$R:$R,MATCH($A28,'Valo FX'!$A:$A,0)),INDEX(Base!$V:$V,MATCH($A28,Base!$A:$A,0)),0)))</f>
        <v>12.249840000000001</v>
      </c>
      <c r="HQ28" s="21">
        <f>IF(HQ$1&lt;INDEX('Valo FX'!$Q:$Q,MATCH($A28,'Valo FX'!$A:$A,0)),0,IF(HQ$1&lt;INDEX('Valo FX'!$R:$R,MATCH($A28,'Valo FX'!$A:$A,0)),INDEX(Base!$U:$U,MATCH($A28,Base!$A:$A,0)),IF(HQ$1=INDEX('Valo FX'!$R:$R,MATCH($A28,'Valo FX'!$A:$A,0)),INDEX(Base!$V:$V,MATCH($A28,Base!$A:$A,0)),0)))</f>
        <v>12.249840000000001</v>
      </c>
      <c r="HR28" s="21">
        <f>IF(HR$1&lt;INDEX('Valo FX'!$Q:$Q,MATCH($A28,'Valo FX'!$A:$A,0)),0,IF(HR$1&lt;INDEX('Valo FX'!$R:$R,MATCH($A28,'Valo FX'!$A:$A,0)),INDEX(Base!$U:$U,MATCH($A28,Base!$A:$A,0)),IF(HR$1=INDEX('Valo FX'!$R:$R,MATCH($A28,'Valo FX'!$A:$A,0)),INDEX(Base!$V:$V,MATCH($A28,Base!$A:$A,0)),0)))</f>
        <v>12.249840000000001</v>
      </c>
      <c r="HS28" s="21">
        <f>IF(HS$1&lt;INDEX('Valo FX'!$Q:$Q,MATCH($A28,'Valo FX'!$A:$A,0)),0,IF(HS$1&lt;INDEX('Valo FX'!$R:$R,MATCH($A28,'Valo FX'!$A:$A,0)),INDEX(Base!$U:$U,MATCH($A28,Base!$A:$A,0)),IF(HS$1=INDEX('Valo FX'!$R:$R,MATCH($A28,'Valo FX'!$A:$A,0)),INDEX(Base!$V:$V,MATCH($A28,Base!$A:$A,0)),0)))</f>
        <v>12.249840000000001</v>
      </c>
      <c r="HT28" s="21">
        <f>IF(HT$1&lt;INDEX('Valo FX'!$Q:$Q,MATCH($A28,'Valo FX'!$A:$A,0)),0,IF(HT$1&lt;INDEX('Valo FX'!$R:$R,MATCH($A28,'Valo FX'!$A:$A,0)),INDEX(Base!$U:$U,MATCH($A28,Base!$A:$A,0)),IF(HT$1=INDEX('Valo FX'!$R:$R,MATCH($A28,'Valo FX'!$A:$A,0)),INDEX(Base!$V:$V,MATCH($A28,Base!$A:$A,0)),0)))</f>
        <v>12.249840000000001</v>
      </c>
      <c r="HU28" s="21">
        <f>IF(HU$1&lt;INDEX('Valo FX'!$Q:$Q,MATCH($A28,'Valo FX'!$A:$A,0)),0,IF(HU$1&lt;INDEX('Valo FX'!$R:$R,MATCH($A28,'Valo FX'!$A:$A,0)),INDEX(Base!$U:$U,MATCH($A28,Base!$A:$A,0)),IF(HU$1=INDEX('Valo FX'!$R:$R,MATCH($A28,'Valo FX'!$A:$A,0)),INDEX(Base!$V:$V,MATCH($A28,Base!$A:$A,0)),0)))</f>
        <v>12.249840000000001</v>
      </c>
      <c r="HV28" s="21">
        <f>IF(HV$1&lt;INDEX('Valo FX'!$Q:$Q,MATCH($A28,'Valo FX'!$A:$A,0)),0,IF(HV$1&lt;INDEX('Valo FX'!$R:$R,MATCH($A28,'Valo FX'!$A:$A,0)),INDEX(Base!$U:$U,MATCH($A28,Base!$A:$A,0)),IF(HV$1=INDEX('Valo FX'!$R:$R,MATCH($A28,'Valo FX'!$A:$A,0)),INDEX(Base!$V:$V,MATCH($A28,Base!$A:$A,0)),0)))</f>
        <v>12.249840000000001</v>
      </c>
      <c r="HW28" s="21">
        <f>IF(HW$1&lt;INDEX('Valo FX'!$Q:$Q,MATCH($A28,'Valo FX'!$A:$A,0)),0,IF(HW$1&lt;INDEX('Valo FX'!$R:$R,MATCH($A28,'Valo FX'!$A:$A,0)),INDEX(Base!$U:$U,MATCH($A28,Base!$A:$A,0)),IF(HW$1=INDEX('Valo FX'!$R:$R,MATCH($A28,'Valo FX'!$A:$A,0)),INDEX(Base!$V:$V,MATCH($A28,Base!$A:$A,0)),0)))</f>
        <v>12.249840000000001</v>
      </c>
      <c r="HX28" s="21">
        <f>IF(HX$1&lt;INDEX('Valo FX'!$Q:$Q,MATCH($A28,'Valo FX'!$A:$A,0)),0,IF(HX$1&lt;INDEX('Valo FX'!$R:$R,MATCH($A28,'Valo FX'!$A:$A,0)),INDEX(Base!$U:$U,MATCH($A28,Base!$A:$A,0)),IF(HX$1=INDEX('Valo FX'!$R:$R,MATCH($A28,'Valo FX'!$A:$A,0)),INDEX(Base!$V:$V,MATCH($A28,Base!$A:$A,0)),0)))</f>
        <v>12.249840000000001</v>
      </c>
      <c r="HY28" s="21">
        <f>IF(HY$1&lt;INDEX('Valo FX'!$Q:$Q,MATCH($A28,'Valo FX'!$A:$A,0)),0,IF(HY$1&lt;INDEX('Valo FX'!$R:$R,MATCH($A28,'Valo FX'!$A:$A,0)),INDEX(Base!$U:$U,MATCH($A28,Base!$A:$A,0)),IF(HY$1=INDEX('Valo FX'!$R:$R,MATCH($A28,'Valo FX'!$A:$A,0)),INDEX(Base!$V:$V,MATCH($A28,Base!$A:$A,0)),0)))</f>
        <v>12.249840000000001</v>
      </c>
      <c r="HZ28" s="21">
        <f>IF(HZ$1&lt;INDEX('Valo FX'!$Q:$Q,MATCH($A28,'Valo FX'!$A:$A,0)),0,IF(HZ$1&lt;INDEX('Valo FX'!$R:$R,MATCH($A28,'Valo FX'!$A:$A,0)),INDEX(Base!$U:$U,MATCH($A28,Base!$A:$A,0)),IF(HZ$1=INDEX('Valo FX'!$R:$R,MATCH($A28,'Valo FX'!$A:$A,0)),INDEX(Base!$V:$V,MATCH($A28,Base!$A:$A,0)),0)))</f>
        <v>12.249840000000001</v>
      </c>
      <c r="IA28" s="21">
        <f>IF(IA$1&lt;INDEX('Valo FX'!$Q:$Q,MATCH($A28,'Valo FX'!$A:$A,0)),0,IF(IA$1&lt;INDEX('Valo FX'!$R:$R,MATCH($A28,'Valo FX'!$A:$A,0)),INDEX(Base!$U:$U,MATCH($A28,Base!$A:$A,0)),IF(IA$1=INDEX('Valo FX'!$R:$R,MATCH($A28,'Valo FX'!$A:$A,0)),INDEX(Base!$V:$V,MATCH($A28,Base!$A:$A,0)),0)))</f>
        <v>12.249840000000001</v>
      </c>
      <c r="IB28" s="21">
        <f>IF(IB$1&lt;INDEX('Valo FX'!$Q:$Q,MATCH($A28,'Valo FX'!$A:$A,0)),0,IF(IB$1&lt;INDEX('Valo FX'!$R:$R,MATCH($A28,'Valo FX'!$A:$A,0)),INDEX(Base!$U:$U,MATCH($A28,Base!$A:$A,0)),IF(IB$1=INDEX('Valo FX'!$R:$R,MATCH($A28,'Valo FX'!$A:$A,0)),INDEX(Base!$V:$V,MATCH($A28,Base!$A:$A,0)),0)))</f>
        <v>12.249840000000001</v>
      </c>
      <c r="IC28" s="21">
        <f>IF(IC$1&lt;INDEX('Valo FX'!$Q:$Q,MATCH($A28,'Valo FX'!$A:$A,0)),0,IF(IC$1&lt;INDEX('Valo FX'!$R:$R,MATCH($A28,'Valo FX'!$A:$A,0)),INDEX(Base!$U:$U,MATCH($A28,Base!$A:$A,0)),IF(IC$1=INDEX('Valo FX'!$R:$R,MATCH($A28,'Valo FX'!$A:$A,0)),INDEX(Base!$V:$V,MATCH($A28,Base!$A:$A,0)),0)))</f>
        <v>12.249840000000001</v>
      </c>
      <c r="ID28" s="21">
        <f>IF(ID$1&lt;INDEX('Valo FX'!$Q:$Q,MATCH($A28,'Valo FX'!$A:$A,0)),0,IF(ID$1&lt;INDEX('Valo FX'!$R:$R,MATCH($A28,'Valo FX'!$A:$A,0)),INDEX(Base!$U:$U,MATCH($A28,Base!$A:$A,0)),IF(ID$1=INDEX('Valo FX'!$R:$R,MATCH($A28,'Valo FX'!$A:$A,0)),INDEX(Base!$V:$V,MATCH($A28,Base!$A:$A,0)),0)))</f>
        <v>12.249840000000001</v>
      </c>
      <c r="IE28" s="21">
        <f>IF(IE$1&lt;INDEX('Valo FX'!$Q:$Q,MATCH($A28,'Valo FX'!$A:$A,0)),0,IF(IE$1&lt;INDEX('Valo FX'!$R:$R,MATCH($A28,'Valo FX'!$A:$A,0)),INDEX(Base!$U:$U,MATCH($A28,Base!$A:$A,0)),IF(IE$1=INDEX('Valo FX'!$R:$R,MATCH($A28,'Valo FX'!$A:$A,0)),INDEX(Base!$V:$V,MATCH($A28,Base!$A:$A,0)),0)))</f>
        <v>12.249840000000001</v>
      </c>
      <c r="IF28" s="21">
        <f>IF(IF$1&lt;INDEX('Valo FX'!$Q:$Q,MATCH($A28,'Valo FX'!$A:$A,0)),0,IF(IF$1&lt;INDEX('Valo FX'!$R:$R,MATCH($A28,'Valo FX'!$A:$A,0)),INDEX(Base!$U:$U,MATCH($A28,Base!$A:$A,0)),IF(IF$1=INDEX('Valo FX'!$R:$R,MATCH($A28,'Valo FX'!$A:$A,0)),INDEX(Base!$V:$V,MATCH($A28,Base!$A:$A,0)),0)))</f>
        <v>12.249840000000001</v>
      </c>
      <c r="IG28" s="21">
        <f>IF(IG$1&lt;INDEX('Valo FX'!$Q:$Q,MATCH($A28,'Valo FX'!$A:$A,0)),0,IF(IG$1&lt;INDEX('Valo FX'!$R:$R,MATCH($A28,'Valo FX'!$A:$A,0)),INDEX(Base!$U:$U,MATCH($A28,Base!$A:$A,0)),IF(IG$1=INDEX('Valo FX'!$R:$R,MATCH($A28,'Valo FX'!$A:$A,0)),INDEX(Base!$V:$V,MATCH($A28,Base!$A:$A,0)),0)))</f>
        <v>12.249840000000001</v>
      </c>
      <c r="IH28" s="21">
        <f>IF(IH$1&lt;INDEX('Valo FX'!$Q:$Q,MATCH($A28,'Valo FX'!$A:$A,0)),0,IF(IH$1&lt;INDEX('Valo FX'!$R:$R,MATCH($A28,'Valo FX'!$A:$A,0)),INDEX(Base!$U:$U,MATCH($A28,Base!$A:$A,0)),IF(IH$1=INDEX('Valo FX'!$R:$R,MATCH($A28,'Valo FX'!$A:$A,0)),INDEX(Base!$V:$V,MATCH($A28,Base!$A:$A,0)),0)))</f>
        <v>12.249840000000001</v>
      </c>
      <c r="II28" s="21">
        <f>IF(II$1&lt;INDEX('Valo FX'!$Q:$Q,MATCH($A28,'Valo FX'!$A:$A,0)),0,IF(II$1&lt;INDEX('Valo FX'!$R:$R,MATCH($A28,'Valo FX'!$A:$A,0)),INDEX(Base!$U:$U,MATCH($A28,Base!$A:$A,0)),IF(II$1=INDEX('Valo FX'!$R:$R,MATCH($A28,'Valo FX'!$A:$A,0)),INDEX(Base!$V:$V,MATCH($A28,Base!$A:$A,0)),0)))</f>
        <v>12.249840000000001</v>
      </c>
      <c r="IJ28" s="21">
        <f>IF(IJ$1&lt;INDEX('Valo FX'!$Q:$Q,MATCH($A28,'Valo FX'!$A:$A,0)),0,IF(IJ$1&lt;INDEX('Valo FX'!$R:$R,MATCH($A28,'Valo FX'!$A:$A,0)),INDEX(Base!$U:$U,MATCH($A28,Base!$A:$A,0)),IF(IJ$1=INDEX('Valo FX'!$R:$R,MATCH($A28,'Valo FX'!$A:$A,0)),INDEX(Base!$V:$V,MATCH($A28,Base!$A:$A,0)),0)))</f>
        <v>12.249840000000001</v>
      </c>
      <c r="IK28" s="21">
        <f>IF(IK$1&lt;INDEX('Valo FX'!$Q:$Q,MATCH($A28,'Valo FX'!$A:$A,0)),0,IF(IK$1&lt;INDEX('Valo FX'!$R:$R,MATCH($A28,'Valo FX'!$A:$A,0)),INDEX(Base!$U:$U,MATCH($A28,Base!$A:$A,0)),IF(IK$1=INDEX('Valo FX'!$R:$R,MATCH($A28,'Valo FX'!$A:$A,0)),INDEX(Base!$V:$V,MATCH($A28,Base!$A:$A,0)),0)))</f>
        <v>12.249840000000001</v>
      </c>
      <c r="IL28" s="21">
        <f>IF(IL$1&lt;INDEX('Valo FX'!$Q:$Q,MATCH($A28,'Valo FX'!$A:$A,0)),0,IF(IL$1&lt;INDEX('Valo FX'!$R:$R,MATCH($A28,'Valo FX'!$A:$A,0)),INDEX(Base!$U:$U,MATCH($A28,Base!$A:$A,0)),IF(IL$1=INDEX('Valo FX'!$R:$R,MATCH($A28,'Valo FX'!$A:$A,0)),INDEX(Base!$V:$V,MATCH($A28,Base!$A:$A,0)),0)))</f>
        <v>12.249840000000001</v>
      </c>
      <c r="IM28" s="21">
        <f>IF(IM$1&lt;INDEX('Valo FX'!$Q:$Q,MATCH($A28,'Valo FX'!$A:$A,0)),0,IF(IM$1&lt;INDEX('Valo FX'!$R:$R,MATCH($A28,'Valo FX'!$A:$A,0)),INDEX(Base!$U:$U,MATCH($A28,Base!$A:$A,0)),IF(IM$1=INDEX('Valo FX'!$R:$R,MATCH($A28,'Valo FX'!$A:$A,0)),INDEX(Base!$V:$V,MATCH($A28,Base!$A:$A,0)),0)))</f>
        <v>12.249840000000001</v>
      </c>
      <c r="IN28" s="21">
        <f>IF(IN$1&lt;INDEX('Valo FX'!$Q:$Q,MATCH($A28,'Valo FX'!$A:$A,0)),0,IF(IN$1&lt;INDEX('Valo FX'!$R:$R,MATCH($A28,'Valo FX'!$A:$A,0)),INDEX(Base!$U:$U,MATCH($A28,Base!$A:$A,0)),IF(IN$1=INDEX('Valo FX'!$R:$R,MATCH($A28,'Valo FX'!$A:$A,0)),INDEX(Base!$V:$V,MATCH($A28,Base!$A:$A,0)),0)))</f>
        <v>12.249840000000001</v>
      </c>
      <c r="IO28" s="21">
        <f>IF(IO$1&lt;INDEX('Valo FX'!$Q:$Q,MATCH($A28,'Valo FX'!$A:$A,0)),0,IF(IO$1&lt;INDEX('Valo FX'!$R:$R,MATCH($A28,'Valo FX'!$A:$A,0)),INDEX(Base!$U:$U,MATCH($A28,Base!$A:$A,0)),IF(IO$1=INDEX('Valo FX'!$R:$R,MATCH($A28,'Valo FX'!$A:$A,0)),INDEX(Base!$V:$V,MATCH($A28,Base!$A:$A,0)),0)))</f>
        <v>12.249840000000001</v>
      </c>
      <c r="IP28" s="21">
        <f>IF(IP$1&lt;INDEX('Valo FX'!$Q:$Q,MATCH($A28,'Valo FX'!$A:$A,0)),0,IF(IP$1&lt;INDEX('Valo FX'!$R:$R,MATCH($A28,'Valo FX'!$A:$A,0)),INDEX(Base!$U:$U,MATCH($A28,Base!$A:$A,0)),IF(IP$1=INDEX('Valo FX'!$R:$R,MATCH($A28,'Valo FX'!$A:$A,0)),INDEX(Base!$V:$V,MATCH($A28,Base!$A:$A,0)),0)))</f>
        <v>12.249840000000001</v>
      </c>
      <c r="IQ28" s="21">
        <f>IF(IQ$1&lt;INDEX('Valo FX'!$Q:$Q,MATCH($A28,'Valo FX'!$A:$A,0)),0,IF(IQ$1&lt;INDEX('Valo FX'!$R:$R,MATCH($A28,'Valo FX'!$A:$A,0)),INDEX(Base!$U:$U,MATCH($A28,Base!$A:$A,0)),IF(IQ$1=INDEX('Valo FX'!$R:$R,MATCH($A28,'Valo FX'!$A:$A,0)),INDEX(Base!$V:$V,MATCH($A28,Base!$A:$A,0)),0)))</f>
        <v>12.249840000000001</v>
      </c>
      <c r="IR28" s="21">
        <f>IF(IR$1&lt;INDEX('Valo FX'!$Q:$Q,MATCH($A28,'Valo FX'!$A:$A,0)),0,IF(IR$1&lt;INDEX('Valo FX'!$R:$R,MATCH($A28,'Valo FX'!$A:$A,0)),INDEX(Base!$U:$U,MATCH($A28,Base!$A:$A,0)),IF(IR$1=INDEX('Valo FX'!$R:$R,MATCH($A28,'Valo FX'!$A:$A,0)),INDEX(Base!$V:$V,MATCH($A28,Base!$A:$A,0)),0)))</f>
        <v>12.249840000000001</v>
      </c>
      <c r="IS28" s="21">
        <f>IF(IS$1&lt;INDEX('Valo FX'!$Q:$Q,MATCH($A28,'Valo FX'!$A:$A,0)),0,IF(IS$1&lt;INDEX('Valo FX'!$R:$R,MATCH($A28,'Valo FX'!$A:$A,0)),INDEX(Base!$U:$U,MATCH($A28,Base!$A:$A,0)),IF(IS$1=INDEX('Valo FX'!$R:$R,MATCH($A28,'Valo FX'!$A:$A,0)),INDEX(Base!$V:$V,MATCH($A28,Base!$A:$A,0)),0)))</f>
        <v>12.249840000000001</v>
      </c>
      <c r="IT28" s="21">
        <f>IF(IT$1&lt;INDEX('Valo FX'!$Q:$Q,MATCH($A28,'Valo FX'!$A:$A,0)),0,IF(IT$1&lt;INDEX('Valo FX'!$R:$R,MATCH($A28,'Valo FX'!$A:$A,0)),INDEX(Base!$U:$U,MATCH($A28,Base!$A:$A,0)),IF(IT$1=INDEX('Valo FX'!$R:$R,MATCH($A28,'Valo FX'!$A:$A,0)),INDEX(Base!$V:$V,MATCH($A28,Base!$A:$A,0)),0)))</f>
        <v>12.249840000000001</v>
      </c>
      <c r="IU28" s="21">
        <f>IF(IU$1&lt;INDEX('Valo FX'!$Q:$Q,MATCH($A28,'Valo FX'!$A:$A,0)),0,IF(IU$1&lt;INDEX('Valo FX'!$R:$R,MATCH($A28,'Valo FX'!$A:$A,0)),INDEX(Base!$U:$U,MATCH($A28,Base!$A:$A,0)),IF(IU$1=INDEX('Valo FX'!$R:$R,MATCH($A28,'Valo FX'!$A:$A,0)),INDEX(Base!$V:$V,MATCH($A28,Base!$A:$A,0)),0)))</f>
        <v>12.249840000000001</v>
      </c>
      <c r="IV28" s="21">
        <f>IF(IV$1&lt;INDEX('Valo FX'!$Q:$Q,MATCH($A28,'Valo FX'!$A:$A,0)),0,IF(IV$1&lt;INDEX('Valo FX'!$R:$R,MATCH($A28,'Valo FX'!$A:$A,0)),INDEX(Base!$U:$U,MATCH($A28,Base!$A:$A,0)),IF(IV$1=INDEX('Valo FX'!$R:$R,MATCH($A28,'Valo FX'!$A:$A,0)),INDEX(Base!$V:$V,MATCH($A28,Base!$A:$A,0)),0)))</f>
        <v>12.249840000000001</v>
      </c>
      <c r="IW28" s="21">
        <f>IF(IW$1&lt;INDEX('Valo FX'!$Q:$Q,MATCH($A28,'Valo FX'!$A:$A,0)),0,IF(IW$1&lt;INDEX('Valo FX'!$R:$R,MATCH($A28,'Valo FX'!$A:$A,0)),INDEX(Base!$U:$U,MATCH($A28,Base!$A:$A,0)),IF(IW$1=INDEX('Valo FX'!$R:$R,MATCH($A28,'Valo FX'!$A:$A,0)),INDEX(Base!$V:$V,MATCH($A28,Base!$A:$A,0)),0)))</f>
        <v>12.249840000000001</v>
      </c>
      <c r="IX28" s="21">
        <f>IF(IX$1&lt;INDEX('Valo FX'!$Q:$Q,MATCH($A28,'Valo FX'!$A:$A,0)),0,IF(IX$1&lt;INDEX('Valo FX'!$R:$R,MATCH($A28,'Valo FX'!$A:$A,0)),INDEX(Base!$U:$U,MATCH($A28,Base!$A:$A,0)),IF(IX$1=INDEX('Valo FX'!$R:$R,MATCH($A28,'Valo FX'!$A:$A,0)),INDEX(Base!$V:$V,MATCH($A28,Base!$A:$A,0)),0)))</f>
        <v>12.249840000000001</v>
      </c>
      <c r="IY28" s="21">
        <f>IF(IY$1&lt;INDEX('Valo FX'!$Q:$Q,MATCH($A28,'Valo FX'!$A:$A,0)),0,IF(IY$1&lt;INDEX('Valo FX'!$R:$R,MATCH($A28,'Valo FX'!$A:$A,0)),INDEX(Base!$U:$U,MATCH($A28,Base!$A:$A,0)),IF(IY$1=INDEX('Valo FX'!$R:$R,MATCH($A28,'Valo FX'!$A:$A,0)),INDEX(Base!$V:$V,MATCH($A28,Base!$A:$A,0)),0)))</f>
        <v>12.249840000000001</v>
      </c>
      <c r="IZ28" s="21">
        <f>IF(IZ$1&lt;INDEX('Valo FX'!$Q:$Q,MATCH($A28,'Valo FX'!$A:$A,0)),0,IF(IZ$1&lt;INDEX('Valo FX'!$R:$R,MATCH($A28,'Valo FX'!$A:$A,0)),INDEX(Base!$U:$U,MATCH($A28,Base!$A:$A,0)),IF(IZ$1=INDEX('Valo FX'!$R:$R,MATCH($A28,'Valo FX'!$A:$A,0)),INDEX(Base!$V:$V,MATCH($A28,Base!$A:$A,0)),0)))</f>
        <v>12.249840000000001</v>
      </c>
      <c r="JA28" s="21">
        <f>IF(JA$1&lt;INDEX('Valo FX'!$Q:$Q,MATCH($A28,'Valo FX'!$A:$A,0)),0,IF(JA$1&lt;INDEX('Valo FX'!$R:$R,MATCH($A28,'Valo FX'!$A:$A,0)),INDEX(Base!$U:$U,MATCH($A28,Base!$A:$A,0)),IF(JA$1=INDEX('Valo FX'!$R:$R,MATCH($A28,'Valo FX'!$A:$A,0)),INDEX(Base!$V:$V,MATCH($A28,Base!$A:$A,0)),0)))</f>
        <v>12.249840000000001</v>
      </c>
      <c r="JB28" s="21">
        <f>IF(JB$1&lt;INDEX('Valo FX'!$Q:$Q,MATCH($A28,'Valo FX'!$A:$A,0)),0,IF(JB$1&lt;INDEX('Valo FX'!$R:$R,MATCH($A28,'Valo FX'!$A:$A,0)),INDEX(Base!$U:$U,MATCH($A28,Base!$A:$A,0)),IF(JB$1=INDEX('Valo FX'!$R:$R,MATCH($A28,'Valo FX'!$A:$A,0)),INDEX(Base!$V:$V,MATCH($A28,Base!$A:$A,0)),0)))</f>
        <v>12.249840000000001</v>
      </c>
      <c r="JC28" s="21">
        <f>IF(JC$1&lt;INDEX('Valo FX'!$Q:$Q,MATCH($A28,'Valo FX'!$A:$A,0)),0,IF(JC$1&lt;INDEX('Valo FX'!$R:$R,MATCH($A28,'Valo FX'!$A:$A,0)),INDEX(Base!$U:$U,MATCH($A28,Base!$A:$A,0)),IF(JC$1=INDEX('Valo FX'!$R:$R,MATCH($A28,'Valo FX'!$A:$A,0)),INDEX(Base!$V:$V,MATCH($A28,Base!$A:$A,0)),0)))</f>
        <v>12.249840000000001</v>
      </c>
      <c r="JD28" s="21">
        <f>IF(JD$1&lt;INDEX('Valo FX'!$Q:$Q,MATCH($A28,'Valo FX'!$A:$A,0)),0,IF(JD$1&lt;INDEX('Valo FX'!$R:$R,MATCH($A28,'Valo FX'!$A:$A,0)),INDEX(Base!$U:$U,MATCH($A28,Base!$A:$A,0)),IF(JD$1=INDEX('Valo FX'!$R:$R,MATCH($A28,'Valo FX'!$A:$A,0)),INDEX(Base!$V:$V,MATCH($A28,Base!$A:$A,0)),0)))</f>
        <v>12.249840000000001</v>
      </c>
      <c r="JE28" s="21">
        <f>IF(JE$1&lt;INDEX('Valo FX'!$Q:$Q,MATCH($A28,'Valo FX'!$A:$A,0)),0,IF(JE$1&lt;INDEX('Valo FX'!$R:$R,MATCH($A28,'Valo FX'!$A:$A,0)),INDEX(Base!$U:$U,MATCH($A28,Base!$A:$A,0)),IF(JE$1=INDEX('Valo FX'!$R:$R,MATCH($A28,'Valo FX'!$A:$A,0)),INDEX(Base!$V:$V,MATCH($A28,Base!$A:$A,0)),0)))</f>
        <v>12.249840000000001</v>
      </c>
      <c r="JF28" s="21">
        <f>IF(JF$1&lt;INDEX('Valo FX'!$Q:$Q,MATCH($A28,'Valo FX'!$A:$A,0)),0,IF(JF$1&lt;INDEX('Valo FX'!$R:$R,MATCH($A28,'Valo FX'!$A:$A,0)),INDEX(Base!$U:$U,MATCH($A28,Base!$A:$A,0)),IF(JF$1=INDEX('Valo FX'!$R:$R,MATCH($A28,'Valo FX'!$A:$A,0)),INDEX(Base!$V:$V,MATCH($A28,Base!$A:$A,0)),0)))</f>
        <v>12.249840000000001</v>
      </c>
      <c r="JG28" s="21">
        <f>IF(JG$1&lt;INDEX('Valo FX'!$Q:$Q,MATCH($A28,'Valo FX'!$A:$A,0)),0,IF(JG$1&lt;INDEX('Valo FX'!$R:$R,MATCH($A28,'Valo FX'!$A:$A,0)),INDEX(Base!$U:$U,MATCH($A28,Base!$A:$A,0)),IF(JG$1=INDEX('Valo FX'!$R:$R,MATCH($A28,'Valo FX'!$A:$A,0)),INDEX(Base!$V:$V,MATCH($A28,Base!$A:$A,0)),0)))</f>
        <v>12.249840000000001</v>
      </c>
      <c r="JH28" s="21">
        <f>IF(JH$1&lt;INDEX('Valo FX'!$Q:$Q,MATCH($A28,'Valo FX'!$A:$A,0)),0,IF(JH$1&lt;INDEX('Valo FX'!$R:$R,MATCH($A28,'Valo FX'!$A:$A,0)),INDEX(Base!$U:$U,MATCH($A28,Base!$A:$A,0)),IF(JH$1=INDEX('Valo FX'!$R:$R,MATCH($A28,'Valo FX'!$A:$A,0)),INDEX(Base!$V:$V,MATCH($A28,Base!$A:$A,0)),0)))</f>
        <v>12.249840000000001</v>
      </c>
      <c r="JI28" s="21">
        <f>IF(JI$1&lt;INDEX('Valo FX'!$Q:$Q,MATCH($A28,'Valo FX'!$A:$A,0)),0,IF(JI$1&lt;INDEX('Valo FX'!$R:$R,MATCH($A28,'Valo FX'!$A:$A,0)),INDEX(Base!$U:$U,MATCH($A28,Base!$A:$A,0)),IF(JI$1=INDEX('Valo FX'!$R:$R,MATCH($A28,'Valo FX'!$A:$A,0)),INDEX(Base!$V:$V,MATCH($A28,Base!$A:$A,0)),0)))</f>
        <v>12.249840000000001</v>
      </c>
      <c r="JJ28" s="21">
        <f>IF(JJ$1&lt;INDEX('Valo FX'!$Q:$Q,MATCH($A28,'Valo FX'!$A:$A,0)),0,IF(JJ$1&lt;INDEX('Valo FX'!$R:$R,MATCH($A28,'Valo FX'!$A:$A,0)),INDEX(Base!$U:$U,MATCH($A28,Base!$A:$A,0)),IF(JJ$1=INDEX('Valo FX'!$R:$R,MATCH($A28,'Valo FX'!$A:$A,0)),INDEX(Base!$V:$V,MATCH($A28,Base!$A:$A,0)),0)))</f>
        <v>12.249840000000001</v>
      </c>
      <c r="JK28" s="21">
        <f>IF(JK$1&lt;INDEX('Valo FX'!$Q:$Q,MATCH($A28,'Valo FX'!$A:$A,0)),0,IF(JK$1&lt;INDEX('Valo FX'!$R:$R,MATCH($A28,'Valo FX'!$A:$A,0)),INDEX(Base!$U:$U,MATCH($A28,Base!$A:$A,0)),IF(JK$1=INDEX('Valo FX'!$R:$R,MATCH($A28,'Valo FX'!$A:$A,0)),INDEX(Base!$V:$V,MATCH($A28,Base!$A:$A,0)),0)))</f>
        <v>12.249840000000001</v>
      </c>
      <c r="JL28" s="21">
        <f>IF(JL$1&lt;INDEX('Valo FX'!$Q:$Q,MATCH($A28,'Valo FX'!$A:$A,0)),0,IF(JL$1&lt;INDEX('Valo FX'!$R:$R,MATCH($A28,'Valo FX'!$A:$A,0)),INDEX(Base!$U:$U,MATCH($A28,Base!$A:$A,0)),IF(JL$1=INDEX('Valo FX'!$R:$R,MATCH($A28,'Valo FX'!$A:$A,0)),INDEX(Base!$V:$V,MATCH($A28,Base!$A:$A,0)),0)))</f>
        <v>12.249840000000001</v>
      </c>
      <c r="JM28" s="21">
        <f>IF(JM$1&lt;INDEX('Valo FX'!$Q:$Q,MATCH($A28,'Valo FX'!$A:$A,0)),0,IF(JM$1&lt;INDEX('Valo FX'!$R:$R,MATCH($A28,'Valo FX'!$A:$A,0)),INDEX(Base!$U:$U,MATCH($A28,Base!$A:$A,0)),IF(JM$1=INDEX('Valo FX'!$R:$R,MATCH($A28,'Valo FX'!$A:$A,0)),INDEX(Base!$V:$V,MATCH($A28,Base!$A:$A,0)),0)))</f>
        <v>12.249840000000001</v>
      </c>
      <c r="JN28" s="21">
        <f>IF(JN$1&lt;INDEX('Valo FX'!$Q:$Q,MATCH($A28,'Valo FX'!$A:$A,0)),0,IF(JN$1&lt;INDEX('Valo FX'!$R:$R,MATCH($A28,'Valo FX'!$A:$A,0)),INDEX(Base!$U:$U,MATCH($A28,Base!$A:$A,0)),IF(JN$1=INDEX('Valo FX'!$R:$R,MATCH($A28,'Valo FX'!$A:$A,0)),INDEX(Base!$V:$V,MATCH($A28,Base!$A:$A,0)),0)))</f>
        <v>12.249840000000001</v>
      </c>
      <c r="JO28" s="21">
        <f>IF(JO$1&lt;INDEX('Valo FX'!$Q:$Q,MATCH($A28,'Valo FX'!$A:$A,0)),0,IF(JO$1&lt;INDEX('Valo FX'!$R:$R,MATCH($A28,'Valo FX'!$A:$A,0)),INDEX(Base!$U:$U,MATCH($A28,Base!$A:$A,0)),IF(JO$1=INDEX('Valo FX'!$R:$R,MATCH($A28,'Valo FX'!$A:$A,0)),INDEX(Base!$V:$V,MATCH($A28,Base!$A:$A,0)),0)))</f>
        <v>12.249840000000001</v>
      </c>
      <c r="JP28" s="21">
        <f>IF(JP$1&lt;INDEX('Valo FX'!$Q:$Q,MATCH($A28,'Valo FX'!$A:$A,0)),0,IF(JP$1&lt;INDEX('Valo FX'!$R:$R,MATCH($A28,'Valo FX'!$A:$A,0)),INDEX(Base!$U:$U,MATCH($A28,Base!$A:$A,0)),IF(JP$1=INDEX('Valo FX'!$R:$R,MATCH($A28,'Valo FX'!$A:$A,0)),INDEX(Base!$V:$V,MATCH($A28,Base!$A:$A,0)),0)))</f>
        <v>12.249840000000001</v>
      </c>
      <c r="JQ28" s="21">
        <f>IF(JQ$1&lt;INDEX('Valo FX'!$Q:$Q,MATCH($A28,'Valo FX'!$A:$A,0)),0,IF(JQ$1&lt;INDEX('Valo FX'!$R:$R,MATCH($A28,'Valo FX'!$A:$A,0)),INDEX(Base!$U:$U,MATCH($A28,Base!$A:$A,0)),IF(JQ$1=INDEX('Valo FX'!$R:$R,MATCH($A28,'Valo FX'!$A:$A,0)),INDEX(Base!$V:$V,MATCH($A28,Base!$A:$A,0)),0)))</f>
        <v>12.249840000000001</v>
      </c>
      <c r="JR28" s="21">
        <f>IF(JR$1&lt;INDEX('Valo FX'!$Q:$Q,MATCH($A28,'Valo FX'!$A:$A,0)),0,IF(JR$1&lt;INDEX('Valo FX'!$R:$R,MATCH($A28,'Valo FX'!$A:$A,0)),INDEX(Base!$U:$U,MATCH($A28,Base!$A:$A,0)),IF(JR$1=INDEX('Valo FX'!$R:$R,MATCH($A28,'Valo FX'!$A:$A,0)),INDEX(Base!$V:$V,MATCH($A28,Base!$A:$A,0)),0)))</f>
        <v>12.249840000000001</v>
      </c>
      <c r="JS28" s="21">
        <f>IF(JS$1&lt;INDEX('Valo FX'!$Q:$Q,MATCH($A28,'Valo FX'!$A:$A,0)),0,IF(JS$1&lt;INDEX('Valo FX'!$R:$R,MATCH($A28,'Valo FX'!$A:$A,0)),INDEX(Base!$U:$U,MATCH($A28,Base!$A:$A,0)),IF(JS$1=INDEX('Valo FX'!$R:$R,MATCH($A28,'Valo FX'!$A:$A,0)),INDEX(Base!$V:$V,MATCH($A28,Base!$A:$A,0)),0)))</f>
        <v>12.249840000000001</v>
      </c>
      <c r="JT28" s="21">
        <f>IF(JT$1&lt;INDEX('Valo FX'!$Q:$Q,MATCH($A28,'Valo FX'!$A:$A,0)),0,IF(JT$1&lt;INDEX('Valo FX'!$R:$R,MATCH($A28,'Valo FX'!$A:$A,0)),INDEX(Base!$U:$U,MATCH($A28,Base!$A:$A,0)),IF(JT$1=INDEX('Valo FX'!$R:$R,MATCH($A28,'Valo FX'!$A:$A,0)),INDEX(Base!$V:$V,MATCH($A28,Base!$A:$A,0)),0)))</f>
        <v>12.249840000000001</v>
      </c>
      <c r="JU28" s="21">
        <f>IF(JU$1&lt;INDEX('Valo FX'!$Q:$Q,MATCH($A28,'Valo FX'!$A:$A,0)),0,IF(JU$1&lt;INDEX('Valo FX'!$R:$R,MATCH($A28,'Valo FX'!$A:$A,0)),INDEX(Base!$U:$U,MATCH($A28,Base!$A:$A,0)),IF(JU$1=INDEX('Valo FX'!$R:$R,MATCH($A28,'Valo FX'!$A:$A,0)),INDEX(Base!$V:$V,MATCH($A28,Base!$A:$A,0)),0)))</f>
        <v>12.249840000000001</v>
      </c>
      <c r="JV28" s="21">
        <f>IF(JV$1&lt;INDEX('Valo FX'!$Q:$Q,MATCH($A28,'Valo FX'!$A:$A,0)),0,IF(JV$1&lt;INDEX('Valo FX'!$R:$R,MATCH($A28,'Valo FX'!$A:$A,0)),INDEX(Base!$U:$U,MATCH($A28,Base!$A:$A,0)),IF(JV$1=INDEX('Valo FX'!$R:$R,MATCH($A28,'Valo FX'!$A:$A,0)),INDEX(Base!$V:$V,MATCH($A28,Base!$A:$A,0)),0)))</f>
        <v>12.249840000000001</v>
      </c>
      <c r="JW28" s="21">
        <f>IF(JW$1&lt;INDEX('Valo FX'!$Q:$Q,MATCH($A28,'Valo FX'!$A:$A,0)),0,IF(JW$1&lt;INDEX('Valo FX'!$R:$R,MATCH($A28,'Valo FX'!$A:$A,0)),INDEX(Base!$U:$U,MATCH($A28,Base!$A:$A,0)),IF(JW$1=INDEX('Valo FX'!$R:$R,MATCH($A28,'Valo FX'!$A:$A,0)),INDEX(Base!$V:$V,MATCH($A28,Base!$A:$A,0)),0)))</f>
        <v>12.249840000000001</v>
      </c>
      <c r="JX28" s="21">
        <f>IF(JX$1&lt;INDEX('Valo FX'!$Q:$Q,MATCH($A28,'Valo FX'!$A:$A,0)),0,IF(JX$1&lt;INDEX('Valo FX'!$R:$R,MATCH($A28,'Valo FX'!$A:$A,0)),INDEX(Base!$U:$U,MATCH($A28,Base!$A:$A,0)),IF(JX$1=INDEX('Valo FX'!$R:$R,MATCH($A28,'Valo FX'!$A:$A,0)),INDEX(Base!$V:$V,MATCH($A28,Base!$A:$A,0)),0)))</f>
        <v>12.249840000000001</v>
      </c>
      <c r="JY28" s="21">
        <f>IF(JY$1&lt;INDEX('Valo FX'!$Q:$Q,MATCH($A28,'Valo FX'!$A:$A,0)),0,IF(JY$1&lt;INDEX('Valo FX'!$R:$R,MATCH($A28,'Valo FX'!$A:$A,0)),INDEX(Base!$U:$U,MATCH($A28,Base!$A:$A,0)),IF(JY$1=INDEX('Valo FX'!$R:$R,MATCH($A28,'Valo FX'!$A:$A,0)),INDEX(Base!$V:$V,MATCH($A28,Base!$A:$A,0)),0)))</f>
        <v>12.249840000000001</v>
      </c>
      <c r="JZ28" s="21">
        <f>IF(JZ$1&lt;INDEX('Valo FX'!$Q:$Q,MATCH($A28,'Valo FX'!$A:$A,0)),0,IF(JZ$1&lt;INDEX('Valo FX'!$R:$R,MATCH($A28,'Valo FX'!$A:$A,0)),INDEX(Base!$U:$U,MATCH($A28,Base!$A:$A,0)),IF(JZ$1=INDEX('Valo FX'!$R:$R,MATCH($A28,'Valo FX'!$A:$A,0)),INDEX(Base!$V:$V,MATCH($A28,Base!$A:$A,0)),0)))</f>
        <v>12.249840000000001</v>
      </c>
      <c r="KA28" s="21">
        <f>IF(KA$1&lt;INDEX('Valo FX'!$Q:$Q,MATCH($A28,'Valo FX'!$A:$A,0)),0,IF(KA$1&lt;INDEX('Valo FX'!$R:$R,MATCH($A28,'Valo FX'!$A:$A,0)),INDEX(Base!$U:$U,MATCH($A28,Base!$A:$A,0)),IF(KA$1=INDEX('Valo FX'!$R:$R,MATCH($A28,'Valo FX'!$A:$A,0)),INDEX(Base!$V:$V,MATCH($A28,Base!$A:$A,0)),0)))</f>
        <v>12.249840000000001</v>
      </c>
      <c r="KB28" s="21">
        <f>IF(KB$1&lt;INDEX('Valo FX'!$Q:$Q,MATCH($A28,'Valo FX'!$A:$A,0)),0,IF(KB$1&lt;INDEX('Valo FX'!$R:$R,MATCH($A28,'Valo FX'!$A:$A,0)),INDEX(Base!$U:$U,MATCH($A28,Base!$A:$A,0)),IF(KB$1=INDEX('Valo FX'!$R:$R,MATCH($A28,'Valo FX'!$A:$A,0)),INDEX(Base!$V:$V,MATCH($A28,Base!$A:$A,0)),0)))</f>
        <v>12.249840000000001</v>
      </c>
      <c r="KC28" s="21">
        <f>IF(KC$1&lt;INDEX('Valo FX'!$Q:$Q,MATCH($A28,'Valo FX'!$A:$A,0)),0,IF(KC$1&lt;INDEX('Valo FX'!$R:$R,MATCH($A28,'Valo FX'!$A:$A,0)),INDEX(Base!$U:$U,MATCH($A28,Base!$A:$A,0)),IF(KC$1=INDEX('Valo FX'!$R:$R,MATCH($A28,'Valo FX'!$A:$A,0)),INDEX(Base!$V:$V,MATCH($A28,Base!$A:$A,0)),0)))</f>
        <v>12.249840000000001</v>
      </c>
      <c r="KD28" s="21">
        <f>IF(KD$1&lt;INDEX('Valo FX'!$Q:$Q,MATCH($A28,'Valo FX'!$A:$A,0)),0,IF(KD$1&lt;INDEX('Valo FX'!$R:$R,MATCH($A28,'Valo FX'!$A:$A,0)),INDEX(Base!$U:$U,MATCH($A28,Base!$A:$A,0)),IF(KD$1=INDEX('Valo FX'!$R:$R,MATCH($A28,'Valo FX'!$A:$A,0)),INDEX(Base!$V:$V,MATCH($A28,Base!$A:$A,0)),0)))</f>
        <v>12.249840000000001</v>
      </c>
      <c r="KE28" s="21">
        <f>IF(KE$1&lt;INDEX('Valo FX'!$Q:$Q,MATCH($A28,'Valo FX'!$A:$A,0)),0,IF(KE$1&lt;INDEX('Valo FX'!$R:$R,MATCH($A28,'Valo FX'!$A:$A,0)),INDEX(Base!$U:$U,MATCH($A28,Base!$A:$A,0)),IF(KE$1=INDEX('Valo FX'!$R:$R,MATCH($A28,'Valo FX'!$A:$A,0)),INDEX(Base!$V:$V,MATCH($A28,Base!$A:$A,0)),0)))</f>
        <v>12.249840000000001</v>
      </c>
      <c r="KF28" s="21">
        <f>IF(KF$1&lt;INDEX('Valo FX'!$Q:$Q,MATCH($A28,'Valo FX'!$A:$A,0)),0,IF(KF$1&lt;INDEX('Valo FX'!$R:$R,MATCH($A28,'Valo FX'!$A:$A,0)),INDEX(Base!$U:$U,MATCH($A28,Base!$A:$A,0)),IF(KF$1=INDEX('Valo FX'!$R:$R,MATCH($A28,'Valo FX'!$A:$A,0)),INDEX(Base!$V:$V,MATCH($A28,Base!$A:$A,0)),0)))</f>
        <v>12.249840000000001</v>
      </c>
      <c r="KG28" s="21">
        <f>IF(KG$1&lt;INDEX('Valo FX'!$Q:$Q,MATCH($A28,'Valo FX'!$A:$A,0)),0,IF(KG$1&lt;INDEX('Valo FX'!$R:$R,MATCH($A28,'Valo FX'!$A:$A,0)),INDEX(Base!$U:$U,MATCH($A28,Base!$A:$A,0)),IF(KG$1=INDEX('Valo FX'!$R:$R,MATCH($A28,'Valo FX'!$A:$A,0)),INDEX(Base!$V:$V,MATCH($A28,Base!$A:$A,0)),0)))</f>
        <v>12.249840000000001</v>
      </c>
      <c r="KH28" s="21">
        <f>IF(KH$1&lt;INDEX('Valo FX'!$Q:$Q,MATCH($A28,'Valo FX'!$A:$A,0)),0,IF(KH$1&lt;INDEX('Valo FX'!$R:$R,MATCH($A28,'Valo FX'!$A:$A,0)),INDEX(Base!$U:$U,MATCH($A28,Base!$A:$A,0)),IF(KH$1=INDEX('Valo FX'!$R:$R,MATCH($A28,'Valo FX'!$A:$A,0)),INDEX(Base!$V:$V,MATCH($A28,Base!$A:$A,0)),0)))</f>
        <v>12.249840000000001</v>
      </c>
      <c r="KI28" s="21">
        <f>IF(KI$1&lt;INDEX('Valo FX'!$Q:$Q,MATCH($A28,'Valo FX'!$A:$A,0)),0,IF(KI$1&lt;INDEX('Valo FX'!$R:$R,MATCH($A28,'Valo FX'!$A:$A,0)),INDEX(Base!$U:$U,MATCH($A28,Base!$A:$A,0)),IF(KI$1=INDEX('Valo FX'!$R:$R,MATCH($A28,'Valo FX'!$A:$A,0)),INDEX(Base!$V:$V,MATCH($A28,Base!$A:$A,0)),0)))</f>
        <v>12.249840000000001</v>
      </c>
      <c r="KJ28" s="21">
        <f>IF(KJ$1&lt;INDEX('Valo FX'!$Q:$Q,MATCH($A28,'Valo FX'!$A:$A,0)),0,IF(KJ$1&lt;INDEX('Valo FX'!$R:$R,MATCH($A28,'Valo FX'!$A:$A,0)),INDEX(Base!$U:$U,MATCH($A28,Base!$A:$A,0)),IF(KJ$1=INDEX('Valo FX'!$R:$R,MATCH($A28,'Valo FX'!$A:$A,0)),INDEX(Base!$V:$V,MATCH($A28,Base!$A:$A,0)),0)))</f>
        <v>12.249840000000001</v>
      </c>
      <c r="KK28" s="21">
        <f>IF(KK$1&lt;INDEX('Valo FX'!$Q:$Q,MATCH($A28,'Valo FX'!$A:$A,0)),0,IF(KK$1&lt;INDEX('Valo FX'!$R:$R,MATCH($A28,'Valo FX'!$A:$A,0)),INDEX(Base!$U:$U,MATCH($A28,Base!$A:$A,0)),IF(KK$1=INDEX('Valo FX'!$R:$R,MATCH($A28,'Valo FX'!$A:$A,0)),INDEX(Base!$V:$V,MATCH($A28,Base!$A:$A,0)),0)))</f>
        <v>12.249840000000001</v>
      </c>
      <c r="KL28" s="21">
        <f>IF(KL$1&lt;INDEX('Valo FX'!$Q:$Q,MATCH($A28,'Valo FX'!$A:$A,0)),0,IF(KL$1&lt;INDEX('Valo FX'!$R:$R,MATCH($A28,'Valo FX'!$A:$A,0)),INDEX(Base!$U:$U,MATCH($A28,Base!$A:$A,0)),IF(KL$1=INDEX('Valo FX'!$R:$R,MATCH($A28,'Valo FX'!$A:$A,0)),INDEX(Base!$V:$V,MATCH($A28,Base!$A:$A,0)),0)))</f>
        <v>12.249840000000001</v>
      </c>
      <c r="KM28" s="21">
        <f>IF(KM$1&lt;INDEX('Valo FX'!$Q:$Q,MATCH($A28,'Valo FX'!$A:$A,0)),0,IF(KM$1&lt;INDEX('Valo FX'!$R:$R,MATCH($A28,'Valo FX'!$A:$A,0)),INDEX(Base!$U:$U,MATCH($A28,Base!$A:$A,0)),IF(KM$1=INDEX('Valo FX'!$R:$R,MATCH($A28,'Valo FX'!$A:$A,0)),INDEX(Base!$V:$V,MATCH($A28,Base!$A:$A,0)),0)))</f>
        <v>12.249840000000001</v>
      </c>
      <c r="KN28" s="21">
        <f>IF(KN$1&lt;INDEX('Valo FX'!$Q:$Q,MATCH($A28,'Valo FX'!$A:$A,0)),0,IF(KN$1&lt;INDEX('Valo FX'!$R:$R,MATCH($A28,'Valo FX'!$A:$A,0)),INDEX(Base!$U:$U,MATCH($A28,Base!$A:$A,0)),IF(KN$1=INDEX('Valo FX'!$R:$R,MATCH($A28,'Valo FX'!$A:$A,0)),INDEX(Base!$V:$V,MATCH($A28,Base!$A:$A,0)),0)))</f>
        <v>12.249840000000001</v>
      </c>
      <c r="KO28" s="21">
        <f>IF(KO$1&lt;INDEX('Valo FX'!$Q:$Q,MATCH($A28,'Valo FX'!$A:$A,0)),0,IF(KO$1&lt;INDEX('Valo FX'!$R:$R,MATCH($A28,'Valo FX'!$A:$A,0)),INDEX(Base!$U:$U,MATCH($A28,Base!$A:$A,0)),IF(KO$1=INDEX('Valo FX'!$R:$R,MATCH($A28,'Valo FX'!$A:$A,0)),INDEX(Base!$V:$V,MATCH($A28,Base!$A:$A,0)),0)))</f>
        <v>12.249840000000001</v>
      </c>
      <c r="KP28" s="21">
        <f>IF(KP$1&lt;INDEX('Valo FX'!$Q:$Q,MATCH($A28,'Valo FX'!$A:$A,0)),0,IF(KP$1&lt;INDEX('Valo FX'!$R:$R,MATCH($A28,'Valo FX'!$A:$A,0)),INDEX(Base!$U:$U,MATCH($A28,Base!$A:$A,0)),IF(KP$1=INDEX('Valo FX'!$R:$R,MATCH($A28,'Valo FX'!$A:$A,0)),INDEX(Base!$V:$V,MATCH($A28,Base!$A:$A,0)),0)))</f>
        <v>12.249840000000001</v>
      </c>
      <c r="KQ28" s="21">
        <f>IF(KQ$1&lt;INDEX('Valo FX'!$Q:$Q,MATCH($A28,'Valo FX'!$A:$A,0)),0,IF(KQ$1&lt;INDEX('Valo FX'!$R:$R,MATCH($A28,'Valo FX'!$A:$A,0)),INDEX(Base!$U:$U,MATCH($A28,Base!$A:$A,0)),IF(KQ$1=INDEX('Valo FX'!$R:$R,MATCH($A28,'Valo FX'!$A:$A,0)),INDEX(Base!$V:$V,MATCH($A28,Base!$A:$A,0)),0)))</f>
        <v>12.249840000000001</v>
      </c>
      <c r="KR28" s="21">
        <f>IF(KR$1&lt;INDEX('Valo FX'!$Q:$Q,MATCH($A28,'Valo FX'!$A:$A,0)),0,IF(KR$1&lt;INDEX('Valo FX'!$R:$R,MATCH($A28,'Valo FX'!$A:$A,0)),INDEX(Base!$U:$U,MATCH($A28,Base!$A:$A,0)),IF(KR$1=INDEX('Valo FX'!$R:$R,MATCH($A28,'Valo FX'!$A:$A,0)),INDEX(Base!$V:$V,MATCH($A28,Base!$A:$A,0)),0)))</f>
        <v>12.249840000000001</v>
      </c>
      <c r="KS28" s="21">
        <f>IF(KS$1&lt;INDEX('Valo FX'!$Q:$Q,MATCH($A28,'Valo FX'!$A:$A,0)),0,IF(KS$1&lt;INDEX('Valo FX'!$R:$R,MATCH($A28,'Valo FX'!$A:$A,0)),INDEX(Base!$U:$U,MATCH($A28,Base!$A:$A,0)),IF(KS$1=INDEX('Valo FX'!$R:$R,MATCH($A28,'Valo FX'!$A:$A,0)),INDEX(Base!$V:$V,MATCH($A28,Base!$A:$A,0)),0)))</f>
        <v>12.249840000000001</v>
      </c>
      <c r="KT28" s="21">
        <f>IF(KT$1&lt;INDEX('Valo FX'!$Q:$Q,MATCH($A28,'Valo FX'!$A:$A,0)),0,IF(KT$1&lt;INDEX('Valo FX'!$R:$R,MATCH($A28,'Valo FX'!$A:$A,0)),INDEX(Base!$U:$U,MATCH($A28,Base!$A:$A,0)),IF(KT$1=INDEX('Valo FX'!$R:$R,MATCH($A28,'Valo FX'!$A:$A,0)),INDEX(Base!$V:$V,MATCH($A28,Base!$A:$A,0)),0)))</f>
        <v>12.249840000000001</v>
      </c>
      <c r="KU28" s="21">
        <f>IF(KU$1&lt;INDEX('Valo FX'!$Q:$Q,MATCH($A28,'Valo FX'!$A:$A,0)),0,IF(KU$1&lt;INDEX('Valo FX'!$R:$R,MATCH($A28,'Valo FX'!$A:$A,0)),INDEX(Base!$U:$U,MATCH($A28,Base!$A:$A,0)),IF(KU$1=INDEX('Valo FX'!$R:$R,MATCH($A28,'Valo FX'!$A:$A,0)),INDEX(Base!$V:$V,MATCH($A28,Base!$A:$A,0)),0)))</f>
        <v>12.249840000000001</v>
      </c>
      <c r="KV28" s="21">
        <f>IF(KV$1&lt;INDEX('Valo FX'!$Q:$Q,MATCH($A28,'Valo FX'!$A:$A,0)),0,IF(KV$1&lt;INDEX('Valo FX'!$R:$R,MATCH($A28,'Valo FX'!$A:$A,0)),INDEX(Base!$U:$U,MATCH($A28,Base!$A:$A,0)),IF(KV$1=INDEX('Valo FX'!$R:$R,MATCH($A28,'Valo FX'!$A:$A,0)),INDEX(Base!$V:$V,MATCH($A28,Base!$A:$A,0)),0)))</f>
        <v>12.249840000000001</v>
      </c>
      <c r="KW28" s="21">
        <f>IF(KW$1&lt;INDEX('Valo FX'!$Q:$Q,MATCH($A28,'Valo FX'!$A:$A,0)),0,IF(KW$1&lt;INDEX('Valo FX'!$R:$R,MATCH($A28,'Valo FX'!$A:$A,0)),INDEX(Base!$U:$U,MATCH($A28,Base!$A:$A,0)),IF(KW$1=INDEX('Valo FX'!$R:$R,MATCH($A28,'Valo FX'!$A:$A,0)),INDEX(Base!$V:$V,MATCH($A28,Base!$A:$A,0)),0)))</f>
        <v>12.249840000000001</v>
      </c>
      <c r="KX28" s="21">
        <f>IF(KX$1&lt;INDEX('Valo FX'!$Q:$Q,MATCH($A28,'Valo FX'!$A:$A,0)),0,IF(KX$1&lt;INDEX('Valo FX'!$R:$R,MATCH($A28,'Valo FX'!$A:$A,0)),INDEX(Base!$U:$U,MATCH($A28,Base!$A:$A,0)),IF(KX$1=INDEX('Valo FX'!$R:$R,MATCH($A28,'Valo FX'!$A:$A,0)),INDEX(Base!$V:$V,MATCH($A28,Base!$A:$A,0)),0)))</f>
        <v>12.249840000000001</v>
      </c>
      <c r="KY28" s="21">
        <f>IF(KY$1&lt;INDEX('Valo FX'!$Q:$Q,MATCH($A28,'Valo FX'!$A:$A,0)),0,IF(KY$1&lt;INDEX('Valo FX'!$R:$R,MATCH($A28,'Valo FX'!$A:$A,0)),INDEX(Base!$U:$U,MATCH($A28,Base!$A:$A,0)),IF(KY$1=INDEX('Valo FX'!$R:$R,MATCH($A28,'Valo FX'!$A:$A,0)),INDEX(Base!$V:$V,MATCH($A28,Base!$A:$A,0)),0)))</f>
        <v>12.249840000000001</v>
      </c>
      <c r="KZ28" s="21">
        <f>IF(KZ$1&lt;INDEX('Valo FX'!$Q:$Q,MATCH($A28,'Valo FX'!$A:$A,0)),0,IF(KZ$1&lt;INDEX('Valo FX'!$R:$R,MATCH($A28,'Valo FX'!$A:$A,0)),INDEX(Base!$U:$U,MATCH($A28,Base!$A:$A,0)),IF(KZ$1=INDEX('Valo FX'!$R:$R,MATCH($A28,'Valo FX'!$A:$A,0)),INDEX(Base!$V:$V,MATCH($A28,Base!$A:$A,0)),0)))</f>
        <v>12.249840000000001</v>
      </c>
      <c r="LA28" s="21">
        <f>IF(LA$1&lt;INDEX('Valo FX'!$Q:$Q,MATCH($A28,'Valo FX'!$A:$A,0)),0,IF(LA$1&lt;INDEX('Valo FX'!$R:$R,MATCH($A28,'Valo FX'!$A:$A,0)),INDEX(Base!$U:$U,MATCH($A28,Base!$A:$A,0)),IF(LA$1=INDEX('Valo FX'!$R:$R,MATCH($A28,'Valo FX'!$A:$A,0)),INDEX(Base!$V:$V,MATCH($A28,Base!$A:$A,0)),0)))</f>
        <v>12.249840000000001</v>
      </c>
      <c r="LB28" s="21">
        <f>IF(LB$1&lt;INDEX('Valo FX'!$Q:$Q,MATCH($A28,'Valo FX'!$A:$A,0)),0,IF(LB$1&lt;INDEX('Valo FX'!$R:$R,MATCH($A28,'Valo FX'!$A:$A,0)),INDEX(Base!$U:$U,MATCH($A28,Base!$A:$A,0)),IF(LB$1=INDEX('Valo FX'!$R:$R,MATCH($A28,'Valo FX'!$A:$A,0)),INDEX(Base!$V:$V,MATCH($A28,Base!$A:$A,0)),0)))</f>
        <v>12.249840000000001</v>
      </c>
      <c r="LC28" s="21">
        <f>IF(LC$1&lt;INDEX('Valo FX'!$Q:$Q,MATCH($A28,'Valo FX'!$A:$A,0)),0,IF(LC$1&lt;INDEX('Valo FX'!$R:$R,MATCH($A28,'Valo FX'!$A:$A,0)),INDEX(Base!$U:$U,MATCH($A28,Base!$A:$A,0)),IF(LC$1=INDEX('Valo FX'!$R:$R,MATCH($A28,'Valo FX'!$A:$A,0)),INDEX(Base!$V:$V,MATCH($A28,Base!$A:$A,0)),0)))</f>
        <v>12.249840000000001</v>
      </c>
      <c r="LD28" s="21">
        <f>IF(LD$1&lt;INDEX('Valo FX'!$Q:$Q,MATCH($A28,'Valo FX'!$A:$A,0)),0,IF(LD$1&lt;INDEX('Valo FX'!$R:$R,MATCH($A28,'Valo FX'!$A:$A,0)),INDEX(Base!$U:$U,MATCH($A28,Base!$A:$A,0)),IF(LD$1=INDEX('Valo FX'!$R:$R,MATCH($A28,'Valo FX'!$A:$A,0)),INDEX(Base!$V:$V,MATCH($A28,Base!$A:$A,0)),0)))</f>
        <v>12.249840000000001</v>
      </c>
      <c r="LE28" s="21">
        <f>IF(LE$1&lt;INDEX('Valo FX'!$Q:$Q,MATCH($A28,'Valo FX'!$A:$A,0)),0,IF(LE$1&lt;INDEX('Valo FX'!$R:$R,MATCH($A28,'Valo FX'!$A:$A,0)),INDEX(Base!$U:$U,MATCH($A28,Base!$A:$A,0)),IF(LE$1=INDEX('Valo FX'!$R:$R,MATCH($A28,'Valo FX'!$A:$A,0)),INDEX(Base!$V:$V,MATCH($A28,Base!$A:$A,0)),0)))</f>
        <v>12.249840000000001</v>
      </c>
      <c r="LF28" s="21">
        <f>IF(LF$1&lt;INDEX('Valo FX'!$Q:$Q,MATCH($A28,'Valo FX'!$A:$A,0)),0,IF(LF$1&lt;INDEX('Valo FX'!$R:$R,MATCH($A28,'Valo FX'!$A:$A,0)),INDEX(Base!$U:$U,MATCH($A28,Base!$A:$A,0)),IF(LF$1=INDEX('Valo FX'!$R:$R,MATCH($A28,'Valo FX'!$A:$A,0)),INDEX(Base!$V:$V,MATCH($A28,Base!$A:$A,0)),0)))</f>
        <v>12.249840000000001</v>
      </c>
      <c r="LG28" s="21">
        <f>IF(LG$1&lt;INDEX('Valo FX'!$Q:$Q,MATCH($A28,'Valo FX'!$A:$A,0)),0,IF(LG$1&lt;INDEX('Valo FX'!$R:$R,MATCH($A28,'Valo FX'!$A:$A,0)),INDEX(Base!$U:$U,MATCH($A28,Base!$A:$A,0)),IF(LG$1=INDEX('Valo FX'!$R:$R,MATCH($A28,'Valo FX'!$A:$A,0)),INDEX(Base!$V:$V,MATCH($A28,Base!$A:$A,0)),0)))</f>
        <v>12.249840000000001</v>
      </c>
      <c r="LH28" s="21">
        <f>IF(LH$1&lt;INDEX('Valo FX'!$Q:$Q,MATCH($A28,'Valo FX'!$A:$A,0)),0,IF(LH$1&lt;INDEX('Valo FX'!$R:$R,MATCH($A28,'Valo FX'!$A:$A,0)),INDEX(Base!$U:$U,MATCH($A28,Base!$A:$A,0)),IF(LH$1=INDEX('Valo FX'!$R:$R,MATCH($A28,'Valo FX'!$A:$A,0)),INDEX(Base!$V:$V,MATCH($A28,Base!$A:$A,0)),0)))</f>
        <v>12.249840000000001</v>
      </c>
      <c r="LI28" s="21">
        <f>IF(LI$1&lt;INDEX('Valo FX'!$Q:$Q,MATCH($A28,'Valo FX'!$A:$A,0)),0,IF(LI$1&lt;INDEX('Valo FX'!$R:$R,MATCH($A28,'Valo FX'!$A:$A,0)),INDEX(Base!$U:$U,MATCH($A28,Base!$A:$A,0)),IF(LI$1=INDEX('Valo FX'!$R:$R,MATCH($A28,'Valo FX'!$A:$A,0)),INDEX(Base!$V:$V,MATCH($A28,Base!$A:$A,0)),0)))</f>
        <v>12.249840000000001</v>
      </c>
      <c r="LJ28" s="21">
        <f>IF(LJ$1&lt;INDEX('Valo FX'!$Q:$Q,MATCH($A28,'Valo FX'!$A:$A,0)),0,IF(LJ$1&lt;INDEX('Valo FX'!$R:$R,MATCH($A28,'Valo FX'!$A:$A,0)),INDEX(Base!$U:$U,MATCH($A28,Base!$A:$A,0)),IF(LJ$1=INDEX('Valo FX'!$R:$R,MATCH($A28,'Valo FX'!$A:$A,0)),INDEX(Base!$V:$V,MATCH($A28,Base!$A:$A,0)),0)))</f>
        <v>12.249840000000001</v>
      </c>
      <c r="LK28" s="21">
        <f>IF(LK$1&lt;INDEX('Valo FX'!$Q:$Q,MATCH($A28,'Valo FX'!$A:$A,0)),0,IF(LK$1&lt;INDEX('Valo FX'!$R:$R,MATCH($A28,'Valo FX'!$A:$A,0)),INDEX(Base!$U:$U,MATCH($A28,Base!$A:$A,0)),IF(LK$1=INDEX('Valo FX'!$R:$R,MATCH($A28,'Valo FX'!$A:$A,0)),INDEX(Base!$V:$V,MATCH($A28,Base!$A:$A,0)),0)))</f>
        <v>12.249840000000001</v>
      </c>
      <c r="LL28" s="21">
        <f>IF(LL$1&lt;INDEX('Valo FX'!$Q:$Q,MATCH($A28,'Valo FX'!$A:$A,0)),0,IF(LL$1&lt;INDEX('Valo FX'!$R:$R,MATCH($A28,'Valo FX'!$A:$A,0)),INDEX(Base!$U:$U,MATCH($A28,Base!$A:$A,0)),IF(LL$1=INDEX('Valo FX'!$R:$R,MATCH($A28,'Valo FX'!$A:$A,0)),INDEX(Base!$V:$V,MATCH($A28,Base!$A:$A,0)),0)))</f>
        <v>12.249840000000001</v>
      </c>
      <c r="LM28" s="21">
        <f>IF(LM$1&lt;INDEX('Valo FX'!$Q:$Q,MATCH($A28,'Valo FX'!$A:$A,0)),0,IF(LM$1&lt;INDEX('Valo FX'!$R:$R,MATCH($A28,'Valo FX'!$A:$A,0)),INDEX(Base!$U:$U,MATCH($A28,Base!$A:$A,0)),IF(LM$1=INDEX('Valo FX'!$R:$R,MATCH($A28,'Valo FX'!$A:$A,0)),INDEX(Base!$V:$V,MATCH($A28,Base!$A:$A,0)),0)))</f>
        <v>12.249840000000001</v>
      </c>
      <c r="LN28" s="21">
        <f>IF(LN$1&lt;INDEX('Valo FX'!$Q:$Q,MATCH($A28,'Valo FX'!$A:$A,0)),0,IF(LN$1&lt;INDEX('Valo FX'!$R:$R,MATCH($A28,'Valo FX'!$A:$A,0)),INDEX(Base!$U:$U,MATCH($A28,Base!$A:$A,0)),IF(LN$1=INDEX('Valo FX'!$R:$R,MATCH($A28,'Valo FX'!$A:$A,0)),INDEX(Base!$V:$V,MATCH($A28,Base!$A:$A,0)),0)))</f>
        <v>12.249840000000001</v>
      </c>
      <c r="LO28" s="21">
        <f>IF(LO$1&lt;INDEX('Valo FX'!$Q:$Q,MATCH($A28,'Valo FX'!$A:$A,0)),0,IF(LO$1&lt;INDEX('Valo FX'!$R:$R,MATCH($A28,'Valo FX'!$A:$A,0)),INDEX(Base!$U:$U,MATCH($A28,Base!$A:$A,0)),IF(LO$1=INDEX('Valo FX'!$R:$R,MATCH($A28,'Valo FX'!$A:$A,0)),INDEX(Base!$V:$V,MATCH($A28,Base!$A:$A,0)),0)))</f>
        <v>12.249840000000001</v>
      </c>
      <c r="LP28" s="21">
        <f>IF(LP$1&lt;INDEX('Valo FX'!$Q:$Q,MATCH($A28,'Valo FX'!$A:$A,0)),0,IF(LP$1&lt;INDEX('Valo FX'!$R:$R,MATCH($A28,'Valo FX'!$A:$A,0)),INDEX(Base!$U:$U,MATCH($A28,Base!$A:$A,0)),IF(LP$1=INDEX('Valo FX'!$R:$R,MATCH($A28,'Valo FX'!$A:$A,0)),INDEX(Base!$V:$V,MATCH($A28,Base!$A:$A,0)),0)))</f>
        <v>12.249840000000001</v>
      </c>
      <c r="LQ28" s="21">
        <f>IF(LQ$1&lt;INDEX('Valo FX'!$Q:$Q,MATCH($A28,'Valo FX'!$A:$A,0)),0,IF(LQ$1&lt;INDEX('Valo FX'!$R:$R,MATCH($A28,'Valo FX'!$A:$A,0)),INDEX(Base!$U:$U,MATCH($A28,Base!$A:$A,0)),IF(LQ$1=INDEX('Valo FX'!$R:$R,MATCH($A28,'Valo FX'!$A:$A,0)),INDEX(Base!$V:$V,MATCH($A28,Base!$A:$A,0)),0)))</f>
        <v>12.249840000000001</v>
      </c>
      <c r="LR28" s="21">
        <f>IF(LR$1&lt;INDEX('Valo FX'!$Q:$Q,MATCH($A28,'Valo FX'!$A:$A,0)),0,IF(LR$1&lt;INDEX('Valo FX'!$R:$R,MATCH($A28,'Valo FX'!$A:$A,0)),INDEX(Base!$U:$U,MATCH($A28,Base!$A:$A,0)),IF(LR$1=INDEX('Valo FX'!$R:$R,MATCH($A28,'Valo FX'!$A:$A,0)),INDEX(Base!$V:$V,MATCH($A28,Base!$A:$A,0)),0)))</f>
        <v>12.249840000000001</v>
      </c>
      <c r="LS28" s="21">
        <f>IF(LS$1&lt;INDEX('Valo FX'!$Q:$Q,MATCH($A28,'Valo FX'!$A:$A,0)),0,IF(LS$1&lt;INDEX('Valo FX'!$R:$R,MATCH($A28,'Valo FX'!$A:$A,0)),INDEX(Base!$U:$U,MATCH($A28,Base!$A:$A,0)),IF(LS$1=INDEX('Valo FX'!$R:$R,MATCH($A28,'Valo FX'!$A:$A,0)),INDEX(Base!$V:$V,MATCH($A28,Base!$A:$A,0)),0)))</f>
        <v>12.249840000000001</v>
      </c>
      <c r="LT28" s="21">
        <f>IF(LT$1&lt;INDEX('Valo FX'!$Q:$Q,MATCH($A28,'Valo FX'!$A:$A,0)),0,IF(LT$1&lt;INDEX('Valo FX'!$R:$R,MATCH($A28,'Valo FX'!$A:$A,0)),INDEX(Base!$U:$U,MATCH($A28,Base!$A:$A,0)),IF(LT$1=INDEX('Valo FX'!$R:$R,MATCH($A28,'Valo FX'!$A:$A,0)),INDEX(Base!$V:$V,MATCH($A28,Base!$A:$A,0)),0)))</f>
        <v>12.249840000000001</v>
      </c>
      <c r="LU28" s="21">
        <f>IF(LU$1&lt;INDEX('Valo FX'!$Q:$Q,MATCH($A28,'Valo FX'!$A:$A,0)),0,IF(LU$1&lt;INDEX('Valo FX'!$R:$R,MATCH($A28,'Valo FX'!$A:$A,0)),INDEX(Base!$U:$U,MATCH($A28,Base!$A:$A,0)),IF(LU$1=INDEX('Valo FX'!$R:$R,MATCH($A28,'Valo FX'!$A:$A,0)),INDEX(Base!$V:$V,MATCH($A28,Base!$A:$A,0)),0)))</f>
        <v>12.249840000000001</v>
      </c>
      <c r="LV28" s="21">
        <f>IF(LV$1&lt;INDEX('Valo FX'!$Q:$Q,MATCH($A28,'Valo FX'!$A:$A,0)),0,IF(LV$1&lt;INDEX('Valo FX'!$R:$R,MATCH($A28,'Valo FX'!$A:$A,0)),INDEX(Base!$U:$U,MATCH($A28,Base!$A:$A,0)),IF(LV$1=INDEX('Valo FX'!$R:$R,MATCH($A28,'Valo FX'!$A:$A,0)),INDEX(Base!$V:$V,MATCH($A28,Base!$A:$A,0)),0)))</f>
        <v>12.249840000000001</v>
      </c>
      <c r="LW28" s="21">
        <f>IF(LW$1&lt;INDEX('Valo FX'!$Q:$Q,MATCH($A28,'Valo FX'!$A:$A,0)),0,IF(LW$1&lt;INDEX('Valo FX'!$R:$R,MATCH($A28,'Valo FX'!$A:$A,0)),INDEX(Base!$U:$U,MATCH($A28,Base!$A:$A,0)),IF(LW$1=INDEX('Valo FX'!$R:$R,MATCH($A28,'Valo FX'!$A:$A,0)),INDEX(Base!$V:$V,MATCH($A28,Base!$A:$A,0)),0)))</f>
        <v>12.249840000000001</v>
      </c>
      <c r="LX28" s="21">
        <f>IF(LX$1&lt;INDEX('Valo FX'!$Q:$Q,MATCH($A28,'Valo FX'!$A:$A,0)),0,IF(LX$1&lt;INDEX('Valo FX'!$R:$R,MATCH($A28,'Valo FX'!$A:$A,0)),INDEX(Base!$U:$U,MATCH($A28,Base!$A:$A,0)),IF(LX$1=INDEX('Valo FX'!$R:$R,MATCH($A28,'Valo FX'!$A:$A,0)),INDEX(Base!$V:$V,MATCH($A28,Base!$A:$A,0)),0)))</f>
        <v>12.249840000000001</v>
      </c>
      <c r="LY28" s="21">
        <f>IF(LY$1&lt;INDEX('Valo FX'!$Q:$Q,MATCH($A28,'Valo FX'!$A:$A,0)),0,IF(LY$1&lt;INDEX('Valo FX'!$R:$R,MATCH($A28,'Valo FX'!$A:$A,0)),INDEX(Base!$U:$U,MATCH($A28,Base!$A:$A,0)),IF(LY$1=INDEX('Valo FX'!$R:$R,MATCH($A28,'Valo FX'!$A:$A,0)),INDEX(Base!$V:$V,MATCH($A28,Base!$A:$A,0)),0)))</f>
        <v>12.249840000000001</v>
      </c>
      <c r="LZ28" s="21">
        <f>IF(LZ$1&lt;INDEX('Valo FX'!$Q:$Q,MATCH($A28,'Valo FX'!$A:$A,0)),0,IF(LZ$1&lt;INDEX('Valo FX'!$R:$R,MATCH($A28,'Valo FX'!$A:$A,0)),INDEX(Base!$U:$U,MATCH($A28,Base!$A:$A,0)),IF(LZ$1=INDEX('Valo FX'!$R:$R,MATCH($A28,'Valo FX'!$A:$A,0)),INDEX(Base!$V:$V,MATCH($A28,Base!$A:$A,0)),0)))</f>
        <v>12.249840000000001</v>
      </c>
      <c r="MA28" s="21">
        <f>IF(MA$1&lt;INDEX('Valo FX'!$Q:$Q,MATCH($A28,'Valo FX'!$A:$A,0)),0,IF(MA$1&lt;INDEX('Valo FX'!$R:$R,MATCH($A28,'Valo FX'!$A:$A,0)),INDEX(Base!$U:$U,MATCH($A28,Base!$A:$A,0)),IF(MA$1=INDEX('Valo FX'!$R:$R,MATCH($A28,'Valo FX'!$A:$A,0)),INDEX(Base!$V:$V,MATCH($A28,Base!$A:$A,0)),0)))</f>
        <v>12.249840000000001</v>
      </c>
      <c r="MB28" s="21">
        <f>IF(MB$1&lt;INDEX('Valo FX'!$Q:$Q,MATCH($A28,'Valo FX'!$A:$A,0)),0,IF(MB$1&lt;INDEX('Valo FX'!$R:$R,MATCH($A28,'Valo FX'!$A:$A,0)),INDEX(Base!$U:$U,MATCH($A28,Base!$A:$A,0)),IF(MB$1=INDEX('Valo FX'!$R:$R,MATCH($A28,'Valo FX'!$A:$A,0)),INDEX(Base!$V:$V,MATCH($A28,Base!$A:$A,0)),0)))</f>
        <v>12.249840000000001</v>
      </c>
      <c r="MC28" s="21">
        <f>IF(MC$1&lt;INDEX('Valo FX'!$Q:$Q,MATCH($A28,'Valo FX'!$A:$A,0)),0,IF(MC$1&lt;INDEX('Valo FX'!$R:$R,MATCH($A28,'Valo FX'!$A:$A,0)),INDEX(Base!$U:$U,MATCH($A28,Base!$A:$A,0)),IF(MC$1=INDEX('Valo FX'!$R:$R,MATCH($A28,'Valo FX'!$A:$A,0)),INDEX(Base!$V:$V,MATCH($A28,Base!$A:$A,0)),0)))</f>
        <v>12.249840000000001</v>
      </c>
      <c r="MD28" s="21">
        <f>IF(MD$1&lt;INDEX('Valo FX'!$Q:$Q,MATCH($A28,'Valo FX'!$A:$A,0)),0,IF(MD$1&lt;INDEX('Valo FX'!$R:$R,MATCH($A28,'Valo FX'!$A:$A,0)),INDEX(Base!$U:$U,MATCH($A28,Base!$A:$A,0)),IF(MD$1=INDEX('Valo FX'!$R:$R,MATCH($A28,'Valo FX'!$A:$A,0)),INDEX(Base!$V:$V,MATCH($A28,Base!$A:$A,0)),0)))</f>
        <v>12.249840000000001</v>
      </c>
      <c r="ME28" s="21">
        <f>IF(ME$1&lt;INDEX('Valo FX'!$Q:$Q,MATCH($A28,'Valo FX'!$A:$A,0)),0,IF(ME$1&lt;INDEX('Valo FX'!$R:$R,MATCH($A28,'Valo FX'!$A:$A,0)),INDEX(Base!$U:$U,MATCH($A28,Base!$A:$A,0)),IF(ME$1=INDEX('Valo FX'!$R:$R,MATCH($A28,'Valo FX'!$A:$A,0)),INDEX(Base!$V:$V,MATCH($A28,Base!$A:$A,0)),0)))</f>
        <v>12.249840000000001</v>
      </c>
      <c r="MF28" s="21">
        <f>IF(MF$1&lt;INDEX('Valo FX'!$Q:$Q,MATCH($A28,'Valo FX'!$A:$A,0)),0,IF(MF$1&lt;INDEX('Valo FX'!$R:$R,MATCH($A28,'Valo FX'!$A:$A,0)),INDEX(Base!$U:$U,MATCH($A28,Base!$A:$A,0)),IF(MF$1=INDEX('Valo FX'!$R:$R,MATCH($A28,'Valo FX'!$A:$A,0)),INDEX(Base!$V:$V,MATCH($A28,Base!$A:$A,0)),0)))</f>
        <v>12.249840000000001</v>
      </c>
      <c r="MG28" s="21">
        <f>IF(MG$1&lt;INDEX('Valo FX'!$Q:$Q,MATCH($A28,'Valo FX'!$A:$A,0)),0,IF(MG$1&lt;INDEX('Valo FX'!$R:$R,MATCH($A28,'Valo FX'!$A:$A,0)),INDEX(Base!$U:$U,MATCH($A28,Base!$A:$A,0)),IF(MG$1=INDEX('Valo FX'!$R:$R,MATCH($A28,'Valo FX'!$A:$A,0)),INDEX(Base!$V:$V,MATCH($A28,Base!$A:$A,0)),0)))</f>
        <v>12.249840000000001</v>
      </c>
      <c r="MH28" s="21">
        <f>IF(MH$1&lt;INDEX('Valo FX'!$Q:$Q,MATCH($A28,'Valo FX'!$A:$A,0)),0,IF(MH$1&lt;INDEX('Valo FX'!$R:$R,MATCH($A28,'Valo FX'!$A:$A,0)),INDEX(Base!$U:$U,MATCH($A28,Base!$A:$A,0)),IF(MH$1=INDEX('Valo FX'!$R:$R,MATCH($A28,'Valo FX'!$A:$A,0)),INDEX(Base!$V:$V,MATCH($A28,Base!$A:$A,0)),0)))</f>
        <v>12.249840000000001</v>
      </c>
      <c r="MI28" s="21">
        <f>IF(MI$1&lt;INDEX('Valo FX'!$Q:$Q,MATCH($A28,'Valo FX'!$A:$A,0)),0,IF(MI$1&lt;INDEX('Valo FX'!$R:$R,MATCH($A28,'Valo FX'!$A:$A,0)),INDEX(Base!$U:$U,MATCH($A28,Base!$A:$A,0)),IF(MI$1=INDEX('Valo FX'!$R:$R,MATCH($A28,'Valo FX'!$A:$A,0)),INDEX(Base!$V:$V,MATCH($A28,Base!$A:$A,0)),0)))</f>
        <v>12.249840000000001</v>
      </c>
      <c r="MJ28" s="21">
        <f>IF(MJ$1&lt;INDEX('Valo FX'!$Q:$Q,MATCH($A28,'Valo FX'!$A:$A,0)),0,IF(MJ$1&lt;INDEX('Valo FX'!$R:$R,MATCH($A28,'Valo FX'!$A:$A,0)),INDEX(Base!$U:$U,MATCH($A28,Base!$A:$A,0)),IF(MJ$1=INDEX('Valo FX'!$R:$R,MATCH($A28,'Valo FX'!$A:$A,0)),INDEX(Base!$V:$V,MATCH($A28,Base!$A:$A,0)),0)))</f>
        <v>12.249840000000001</v>
      </c>
      <c r="MK28" s="21">
        <f>IF(MK$1&lt;INDEX('Valo FX'!$Q:$Q,MATCH($A28,'Valo FX'!$A:$A,0)),0,IF(MK$1&lt;INDEX('Valo FX'!$R:$R,MATCH($A28,'Valo FX'!$A:$A,0)),INDEX(Base!$U:$U,MATCH($A28,Base!$A:$A,0)),IF(MK$1=INDEX('Valo FX'!$R:$R,MATCH($A28,'Valo FX'!$A:$A,0)),INDEX(Base!$V:$V,MATCH($A28,Base!$A:$A,0)),0)))</f>
        <v>12.249840000000001</v>
      </c>
      <c r="ML28" s="21">
        <f>IF(ML$1&lt;INDEX('Valo FX'!$Q:$Q,MATCH($A28,'Valo FX'!$A:$A,0)),0,IF(ML$1&lt;INDEX('Valo FX'!$R:$R,MATCH($A28,'Valo FX'!$A:$A,0)),INDEX(Base!$U:$U,MATCH($A28,Base!$A:$A,0)),IF(ML$1=INDEX('Valo FX'!$R:$R,MATCH($A28,'Valo FX'!$A:$A,0)),INDEX(Base!$V:$V,MATCH($A28,Base!$A:$A,0)),0)))</f>
        <v>12.249840000000001</v>
      </c>
      <c r="MM28" s="21">
        <f>IF(MM$1&lt;INDEX('Valo FX'!$Q:$Q,MATCH($A28,'Valo FX'!$A:$A,0)),0,IF(MM$1&lt;INDEX('Valo FX'!$R:$R,MATCH($A28,'Valo FX'!$A:$A,0)),INDEX(Base!$U:$U,MATCH($A28,Base!$A:$A,0)),IF(MM$1=INDEX('Valo FX'!$R:$R,MATCH($A28,'Valo FX'!$A:$A,0)),INDEX(Base!$V:$V,MATCH($A28,Base!$A:$A,0)),0)))</f>
        <v>12.249840000000001</v>
      </c>
      <c r="MN28" s="21">
        <f>IF(MN$1&lt;INDEX('Valo FX'!$Q:$Q,MATCH($A28,'Valo FX'!$A:$A,0)),0,IF(MN$1&lt;INDEX('Valo FX'!$R:$R,MATCH($A28,'Valo FX'!$A:$A,0)),INDEX(Base!$U:$U,MATCH($A28,Base!$A:$A,0)),IF(MN$1=INDEX('Valo FX'!$R:$R,MATCH($A28,'Valo FX'!$A:$A,0)),INDEX(Base!$V:$V,MATCH($A28,Base!$A:$A,0)),0)))</f>
        <v>12.249840000000001</v>
      </c>
      <c r="MO28" s="21">
        <f>IF(MO$1&lt;INDEX('Valo FX'!$Q:$Q,MATCH($A28,'Valo FX'!$A:$A,0)),0,IF(MO$1&lt;INDEX('Valo FX'!$R:$R,MATCH($A28,'Valo FX'!$A:$A,0)),INDEX(Base!$U:$U,MATCH($A28,Base!$A:$A,0)),IF(MO$1=INDEX('Valo FX'!$R:$R,MATCH($A28,'Valo FX'!$A:$A,0)),INDEX(Base!$V:$V,MATCH($A28,Base!$A:$A,0)),0)))</f>
        <v>12.249840000000001</v>
      </c>
      <c r="MP28" s="21">
        <f>IF(MP$1&lt;INDEX('Valo FX'!$Q:$Q,MATCH($A28,'Valo FX'!$A:$A,0)),0,IF(MP$1&lt;INDEX('Valo FX'!$R:$R,MATCH($A28,'Valo FX'!$A:$A,0)),INDEX(Base!$U:$U,MATCH($A28,Base!$A:$A,0)),IF(MP$1=INDEX('Valo FX'!$R:$R,MATCH($A28,'Valo FX'!$A:$A,0)),INDEX(Base!$V:$V,MATCH($A28,Base!$A:$A,0)),0)))</f>
        <v>12.249840000000001</v>
      </c>
      <c r="MQ28" s="21">
        <f>IF(MQ$1&lt;INDEX('Valo FX'!$Q:$Q,MATCH($A28,'Valo FX'!$A:$A,0)),0,IF(MQ$1&lt;INDEX('Valo FX'!$R:$R,MATCH($A28,'Valo FX'!$A:$A,0)),INDEX(Base!$U:$U,MATCH($A28,Base!$A:$A,0)),IF(MQ$1=INDEX('Valo FX'!$R:$R,MATCH($A28,'Valo FX'!$A:$A,0)),INDEX(Base!$V:$V,MATCH($A28,Base!$A:$A,0)),0)))</f>
        <v>12.249840000000001</v>
      </c>
      <c r="MR28" s="21">
        <f>IF(MR$1&lt;INDEX('Valo FX'!$Q:$Q,MATCH($A28,'Valo FX'!$A:$A,0)),0,IF(MR$1&lt;INDEX('Valo FX'!$R:$R,MATCH($A28,'Valo FX'!$A:$A,0)),INDEX(Base!$U:$U,MATCH($A28,Base!$A:$A,0)),IF(MR$1=INDEX('Valo FX'!$R:$R,MATCH($A28,'Valo FX'!$A:$A,0)),INDEX(Base!$V:$V,MATCH($A28,Base!$A:$A,0)),0)))</f>
        <v>12.249840000000001</v>
      </c>
      <c r="MS28" s="21">
        <f>IF(MS$1&lt;INDEX('Valo FX'!$Q:$Q,MATCH($A28,'Valo FX'!$A:$A,0)),0,IF(MS$1&lt;INDEX('Valo FX'!$R:$R,MATCH($A28,'Valo FX'!$A:$A,0)),INDEX(Base!$U:$U,MATCH($A28,Base!$A:$A,0)),IF(MS$1=INDEX('Valo FX'!$R:$R,MATCH($A28,'Valo FX'!$A:$A,0)),INDEX(Base!$V:$V,MATCH($A28,Base!$A:$A,0)),0)))</f>
        <v>12.249840000000001</v>
      </c>
      <c r="MT28" s="21">
        <f>IF(MT$1&lt;INDEX('Valo FX'!$Q:$Q,MATCH($A28,'Valo FX'!$A:$A,0)),0,IF(MT$1&lt;INDEX('Valo FX'!$R:$R,MATCH($A28,'Valo FX'!$A:$A,0)),INDEX(Base!$U:$U,MATCH($A28,Base!$A:$A,0)),IF(MT$1=INDEX('Valo FX'!$R:$R,MATCH($A28,'Valo FX'!$A:$A,0)),INDEX(Base!$V:$V,MATCH($A28,Base!$A:$A,0)),0)))</f>
        <v>12.249840000000001</v>
      </c>
      <c r="MU28" s="21">
        <f>IF(MU$1&lt;INDEX('Valo FX'!$Q:$Q,MATCH($A28,'Valo FX'!$A:$A,0)),0,IF(MU$1&lt;INDEX('Valo FX'!$R:$R,MATCH($A28,'Valo FX'!$A:$A,0)),INDEX(Base!$U:$U,MATCH($A28,Base!$A:$A,0)),IF(MU$1=INDEX('Valo FX'!$R:$R,MATCH($A28,'Valo FX'!$A:$A,0)),INDEX(Base!$V:$V,MATCH($A28,Base!$A:$A,0)),0)))</f>
        <v>12.249840000000001</v>
      </c>
      <c r="MV28" s="21">
        <f>IF(MV$1&lt;INDEX('Valo FX'!$Q:$Q,MATCH($A28,'Valo FX'!$A:$A,0)),0,IF(MV$1&lt;INDEX('Valo FX'!$R:$R,MATCH($A28,'Valo FX'!$A:$A,0)),INDEX(Base!$U:$U,MATCH($A28,Base!$A:$A,0)),IF(MV$1=INDEX('Valo FX'!$R:$R,MATCH($A28,'Valo FX'!$A:$A,0)),INDEX(Base!$V:$V,MATCH($A28,Base!$A:$A,0)),0)))</f>
        <v>12.249840000000001</v>
      </c>
      <c r="MW28" s="21">
        <f>IF(MW$1&lt;INDEX('Valo FX'!$Q:$Q,MATCH($A28,'Valo FX'!$A:$A,0)),0,IF(MW$1&lt;INDEX('Valo FX'!$R:$R,MATCH($A28,'Valo FX'!$A:$A,0)),INDEX(Base!$U:$U,MATCH($A28,Base!$A:$A,0)),IF(MW$1=INDEX('Valo FX'!$R:$R,MATCH($A28,'Valo FX'!$A:$A,0)),INDEX(Base!$V:$V,MATCH($A28,Base!$A:$A,0)),0)))</f>
        <v>12.249840000000001</v>
      </c>
      <c r="MX28" s="21">
        <f>IF(MX$1&lt;INDEX('Valo FX'!$Q:$Q,MATCH($A28,'Valo FX'!$A:$A,0)),0,IF(MX$1&lt;INDEX('Valo FX'!$R:$R,MATCH($A28,'Valo FX'!$A:$A,0)),INDEX(Base!$U:$U,MATCH($A28,Base!$A:$A,0)),IF(MX$1=INDEX('Valo FX'!$R:$R,MATCH($A28,'Valo FX'!$A:$A,0)),INDEX(Base!$V:$V,MATCH($A28,Base!$A:$A,0)),0)))</f>
        <v>12.249840000000001</v>
      </c>
      <c r="MY28" s="21">
        <f>IF(MY$1&lt;INDEX('Valo FX'!$Q:$Q,MATCH($A28,'Valo FX'!$A:$A,0)),0,IF(MY$1&lt;INDEX('Valo FX'!$R:$R,MATCH($A28,'Valo FX'!$A:$A,0)),INDEX(Base!$U:$U,MATCH($A28,Base!$A:$A,0)),IF(MY$1=INDEX('Valo FX'!$R:$R,MATCH($A28,'Valo FX'!$A:$A,0)),INDEX(Base!$V:$V,MATCH($A28,Base!$A:$A,0)),0)))</f>
        <v>12.6334</v>
      </c>
    </row>
    <row r="29" spans="1:363" x14ac:dyDescent="0.25">
      <c r="A29" s="7">
        <f t="shared" si="12"/>
        <v>27</v>
      </c>
      <c r="B29" s="59">
        <f>-'Valo FX'!T30</f>
        <v>-893.63595760437352</v>
      </c>
      <c r="C29" s="21">
        <f>IF(C$1&lt;INDEX('Valo FX'!$Q:$Q,MATCH($A29,'Valo FX'!$A:$A,0)),0,IF(C$1&lt;INDEX('Valo FX'!$R:$R,MATCH($A29,'Valo FX'!$A:$A,0)),INDEX(Base!$U:$U,MATCH($A29,Base!$A:$A,0)),IF(C$1=INDEX('Valo FX'!$R:$R,MATCH($A29,'Valo FX'!$A:$A,0)),INDEX(Base!$V:$V,MATCH($A29,Base!$A:$A,0)),0)))</f>
        <v>0</v>
      </c>
      <c r="D29" s="21">
        <f>IF(D$1&lt;INDEX('Valo FX'!$Q:$Q,MATCH($A29,'Valo FX'!$A:$A,0)),0,IF(D$1&lt;INDEX('Valo FX'!$R:$R,MATCH($A29,'Valo FX'!$A:$A,0)),INDEX(Base!$U:$U,MATCH($A29,Base!$A:$A,0)),IF(D$1=INDEX('Valo FX'!$R:$R,MATCH($A29,'Valo FX'!$A:$A,0)),INDEX(Base!$V:$V,MATCH($A29,Base!$A:$A,0)),0)))</f>
        <v>0</v>
      </c>
      <c r="E29" s="21">
        <f>IF(E$1&lt;INDEX('Valo FX'!$Q:$Q,MATCH($A29,'Valo FX'!$A:$A,0)),0,IF(E$1&lt;INDEX('Valo FX'!$R:$R,MATCH($A29,'Valo FX'!$A:$A,0)),INDEX(Base!$U:$U,MATCH($A29,Base!$A:$A,0)),IF(E$1=INDEX('Valo FX'!$R:$R,MATCH($A29,'Valo FX'!$A:$A,0)),INDEX(Base!$V:$V,MATCH($A29,Base!$A:$A,0)),0)))</f>
        <v>0</v>
      </c>
      <c r="F29" s="21">
        <f>IF(F$1&lt;INDEX('Valo FX'!$Q:$Q,MATCH($A29,'Valo FX'!$A:$A,0)),0,IF(F$1&lt;INDEX('Valo FX'!$R:$R,MATCH($A29,'Valo FX'!$A:$A,0)),INDEX(Base!$U:$U,MATCH($A29,Base!$A:$A,0)),IF(F$1=INDEX('Valo FX'!$R:$R,MATCH($A29,'Valo FX'!$A:$A,0)),INDEX(Base!$V:$V,MATCH($A29,Base!$A:$A,0)),0)))</f>
        <v>0</v>
      </c>
      <c r="G29" s="21">
        <f>IF(G$1&lt;INDEX('Valo FX'!$Q:$Q,MATCH($A29,'Valo FX'!$A:$A,0)),0,IF(G$1&lt;INDEX('Valo FX'!$R:$R,MATCH($A29,'Valo FX'!$A:$A,0)),INDEX(Base!$U:$U,MATCH($A29,Base!$A:$A,0)),IF(G$1=INDEX('Valo FX'!$R:$R,MATCH($A29,'Valo FX'!$A:$A,0)),INDEX(Base!$V:$V,MATCH($A29,Base!$A:$A,0)),0)))</f>
        <v>0</v>
      </c>
      <c r="H29" s="21">
        <f>IF(H$1&lt;INDEX('Valo FX'!$Q:$Q,MATCH($A29,'Valo FX'!$A:$A,0)),0,IF(H$1&lt;INDEX('Valo FX'!$R:$R,MATCH($A29,'Valo FX'!$A:$A,0)),INDEX(Base!$U:$U,MATCH($A29,Base!$A:$A,0)),IF(H$1=INDEX('Valo FX'!$R:$R,MATCH($A29,'Valo FX'!$A:$A,0)),INDEX(Base!$V:$V,MATCH($A29,Base!$A:$A,0)),0)))</f>
        <v>0</v>
      </c>
      <c r="I29" s="21">
        <f>IF(I$1&lt;INDEX('Valo FX'!$Q:$Q,MATCH($A29,'Valo FX'!$A:$A,0)),0,IF(I$1&lt;INDEX('Valo FX'!$R:$R,MATCH($A29,'Valo FX'!$A:$A,0)),INDEX(Base!$U:$U,MATCH($A29,Base!$A:$A,0)),IF(I$1=INDEX('Valo FX'!$R:$R,MATCH($A29,'Valo FX'!$A:$A,0)),INDEX(Base!$V:$V,MATCH($A29,Base!$A:$A,0)),0)))</f>
        <v>6.1227119999999999</v>
      </c>
      <c r="J29" s="21">
        <f>IF(J$1&lt;INDEX('Valo FX'!$Q:$Q,MATCH($A29,'Valo FX'!$A:$A,0)),0,IF(J$1&lt;INDEX('Valo FX'!$R:$R,MATCH($A29,'Valo FX'!$A:$A,0)),INDEX(Base!$U:$U,MATCH($A29,Base!$A:$A,0)),IF(J$1=INDEX('Valo FX'!$R:$R,MATCH($A29,'Valo FX'!$A:$A,0)),INDEX(Base!$V:$V,MATCH($A29,Base!$A:$A,0)),0)))</f>
        <v>6.1227119999999999</v>
      </c>
      <c r="K29" s="21">
        <f>IF(K$1&lt;INDEX('Valo FX'!$Q:$Q,MATCH($A29,'Valo FX'!$A:$A,0)),0,IF(K$1&lt;INDEX('Valo FX'!$R:$R,MATCH($A29,'Valo FX'!$A:$A,0)),INDEX(Base!$U:$U,MATCH($A29,Base!$A:$A,0)),IF(K$1=INDEX('Valo FX'!$R:$R,MATCH($A29,'Valo FX'!$A:$A,0)),INDEX(Base!$V:$V,MATCH($A29,Base!$A:$A,0)),0)))</f>
        <v>6.1227119999999999</v>
      </c>
      <c r="L29" s="21">
        <f>IF(L$1&lt;INDEX('Valo FX'!$Q:$Q,MATCH($A29,'Valo FX'!$A:$A,0)),0,IF(L$1&lt;INDEX('Valo FX'!$R:$R,MATCH($A29,'Valo FX'!$A:$A,0)),INDEX(Base!$U:$U,MATCH($A29,Base!$A:$A,0)),IF(L$1=INDEX('Valo FX'!$R:$R,MATCH($A29,'Valo FX'!$A:$A,0)),INDEX(Base!$V:$V,MATCH($A29,Base!$A:$A,0)),0)))</f>
        <v>6.1227119999999999</v>
      </c>
      <c r="M29" s="21">
        <f>IF(M$1&lt;INDEX('Valo FX'!$Q:$Q,MATCH($A29,'Valo FX'!$A:$A,0)),0,IF(M$1&lt;INDEX('Valo FX'!$R:$R,MATCH($A29,'Valo FX'!$A:$A,0)),INDEX(Base!$U:$U,MATCH($A29,Base!$A:$A,0)),IF(M$1=INDEX('Valo FX'!$R:$R,MATCH($A29,'Valo FX'!$A:$A,0)),INDEX(Base!$V:$V,MATCH($A29,Base!$A:$A,0)),0)))</f>
        <v>6.1227119999999999</v>
      </c>
      <c r="N29" s="21">
        <f>IF(N$1&lt;INDEX('Valo FX'!$Q:$Q,MATCH($A29,'Valo FX'!$A:$A,0)),0,IF(N$1&lt;INDEX('Valo FX'!$R:$R,MATCH($A29,'Valo FX'!$A:$A,0)),INDEX(Base!$U:$U,MATCH($A29,Base!$A:$A,0)),IF(N$1=INDEX('Valo FX'!$R:$R,MATCH($A29,'Valo FX'!$A:$A,0)),INDEX(Base!$V:$V,MATCH($A29,Base!$A:$A,0)),0)))</f>
        <v>6.1227119999999999</v>
      </c>
      <c r="O29" s="21">
        <f>IF(O$1&lt;INDEX('Valo FX'!$Q:$Q,MATCH($A29,'Valo FX'!$A:$A,0)),0,IF(O$1&lt;INDEX('Valo FX'!$R:$R,MATCH($A29,'Valo FX'!$A:$A,0)),INDEX(Base!$U:$U,MATCH($A29,Base!$A:$A,0)),IF(O$1=INDEX('Valo FX'!$R:$R,MATCH($A29,'Valo FX'!$A:$A,0)),INDEX(Base!$V:$V,MATCH($A29,Base!$A:$A,0)),0)))</f>
        <v>6.1227119999999999</v>
      </c>
      <c r="P29" s="21">
        <f>IF(P$1&lt;INDEX('Valo FX'!$Q:$Q,MATCH($A29,'Valo FX'!$A:$A,0)),0,IF(P$1&lt;INDEX('Valo FX'!$R:$R,MATCH($A29,'Valo FX'!$A:$A,0)),INDEX(Base!$U:$U,MATCH($A29,Base!$A:$A,0)),IF(P$1=INDEX('Valo FX'!$R:$R,MATCH($A29,'Valo FX'!$A:$A,0)),INDEX(Base!$V:$V,MATCH($A29,Base!$A:$A,0)),0)))</f>
        <v>6.1227119999999999</v>
      </c>
      <c r="Q29" s="21">
        <f>IF(Q$1&lt;INDEX('Valo FX'!$Q:$Q,MATCH($A29,'Valo FX'!$A:$A,0)),0,IF(Q$1&lt;INDEX('Valo FX'!$R:$R,MATCH($A29,'Valo FX'!$A:$A,0)),INDEX(Base!$U:$U,MATCH($A29,Base!$A:$A,0)),IF(Q$1=INDEX('Valo FX'!$R:$R,MATCH($A29,'Valo FX'!$A:$A,0)),INDEX(Base!$V:$V,MATCH($A29,Base!$A:$A,0)),0)))</f>
        <v>6.1227119999999999</v>
      </c>
      <c r="R29" s="21">
        <f>IF(R$1&lt;INDEX('Valo FX'!$Q:$Q,MATCH($A29,'Valo FX'!$A:$A,0)),0,IF(R$1&lt;INDEX('Valo FX'!$R:$R,MATCH($A29,'Valo FX'!$A:$A,0)),INDEX(Base!$U:$U,MATCH($A29,Base!$A:$A,0)),IF(R$1=INDEX('Valo FX'!$R:$R,MATCH($A29,'Valo FX'!$A:$A,0)),INDEX(Base!$V:$V,MATCH($A29,Base!$A:$A,0)),0)))</f>
        <v>6.1227119999999999</v>
      </c>
      <c r="S29" s="21">
        <f>IF(S$1&lt;INDEX('Valo FX'!$Q:$Q,MATCH($A29,'Valo FX'!$A:$A,0)),0,IF(S$1&lt;INDEX('Valo FX'!$R:$R,MATCH($A29,'Valo FX'!$A:$A,0)),INDEX(Base!$U:$U,MATCH($A29,Base!$A:$A,0)),IF(S$1=INDEX('Valo FX'!$R:$R,MATCH($A29,'Valo FX'!$A:$A,0)),INDEX(Base!$V:$V,MATCH($A29,Base!$A:$A,0)),0)))</f>
        <v>6.1227119999999999</v>
      </c>
      <c r="T29" s="21">
        <f>IF(T$1&lt;INDEX('Valo FX'!$Q:$Q,MATCH($A29,'Valo FX'!$A:$A,0)),0,IF(T$1&lt;INDEX('Valo FX'!$R:$R,MATCH($A29,'Valo FX'!$A:$A,0)),INDEX(Base!$U:$U,MATCH($A29,Base!$A:$A,0)),IF(T$1=INDEX('Valo FX'!$R:$R,MATCH($A29,'Valo FX'!$A:$A,0)),INDEX(Base!$V:$V,MATCH($A29,Base!$A:$A,0)),0)))</f>
        <v>6.1227119999999999</v>
      </c>
      <c r="U29" s="21">
        <f>IF(U$1&lt;INDEX('Valo FX'!$Q:$Q,MATCH($A29,'Valo FX'!$A:$A,0)),0,IF(U$1&lt;INDEX('Valo FX'!$R:$R,MATCH($A29,'Valo FX'!$A:$A,0)),INDEX(Base!$U:$U,MATCH($A29,Base!$A:$A,0)),IF(U$1=INDEX('Valo FX'!$R:$R,MATCH($A29,'Valo FX'!$A:$A,0)),INDEX(Base!$V:$V,MATCH($A29,Base!$A:$A,0)),0)))</f>
        <v>6.1227119999999999</v>
      </c>
      <c r="V29" s="21">
        <f>IF(V$1&lt;INDEX('Valo FX'!$Q:$Q,MATCH($A29,'Valo FX'!$A:$A,0)),0,IF(V$1&lt;INDEX('Valo FX'!$R:$R,MATCH($A29,'Valo FX'!$A:$A,0)),INDEX(Base!$U:$U,MATCH($A29,Base!$A:$A,0)),IF(V$1=INDEX('Valo FX'!$R:$R,MATCH($A29,'Valo FX'!$A:$A,0)),INDEX(Base!$V:$V,MATCH($A29,Base!$A:$A,0)),0)))</f>
        <v>6.1227119999999999</v>
      </c>
      <c r="W29" s="21">
        <f>IF(W$1&lt;INDEX('Valo FX'!$Q:$Q,MATCH($A29,'Valo FX'!$A:$A,0)),0,IF(W$1&lt;INDEX('Valo FX'!$R:$R,MATCH($A29,'Valo FX'!$A:$A,0)),INDEX(Base!$U:$U,MATCH($A29,Base!$A:$A,0)),IF(W$1=INDEX('Valo FX'!$R:$R,MATCH($A29,'Valo FX'!$A:$A,0)),INDEX(Base!$V:$V,MATCH($A29,Base!$A:$A,0)),0)))</f>
        <v>6.1227119999999999</v>
      </c>
      <c r="X29" s="21">
        <f>IF(X$1&lt;INDEX('Valo FX'!$Q:$Q,MATCH($A29,'Valo FX'!$A:$A,0)),0,IF(X$1&lt;INDEX('Valo FX'!$R:$R,MATCH($A29,'Valo FX'!$A:$A,0)),INDEX(Base!$U:$U,MATCH($A29,Base!$A:$A,0)),IF(X$1=INDEX('Valo FX'!$R:$R,MATCH($A29,'Valo FX'!$A:$A,0)),INDEX(Base!$V:$V,MATCH($A29,Base!$A:$A,0)),0)))</f>
        <v>6.1227119999999999</v>
      </c>
      <c r="Y29" s="21">
        <f>IF(Y$1&lt;INDEX('Valo FX'!$Q:$Q,MATCH($A29,'Valo FX'!$A:$A,0)),0,IF(Y$1&lt;INDEX('Valo FX'!$R:$R,MATCH($A29,'Valo FX'!$A:$A,0)),INDEX(Base!$U:$U,MATCH($A29,Base!$A:$A,0)),IF(Y$1=INDEX('Valo FX'!$R:$R,MATCH($A29,'Valo FX'!$A:$A,0)),INDEX(Base!$V:$V,MATCH($A29,Base!$A:$A,0)),0)))</f>
        <v>6.1227119999999999</v>
      </c>
      <c r="Z29" s="21">
        <f>IF(Z$1&lt;INDEX('Valo FX'!$Q:$Q,MATCH($A29,'Valo FX'!$A:$A,0)),0,IF(Z$1&lt;INDEX('Valo FX'!$R:$R,MATCH($A29,'Valo FX'!$A:$A,0)),INDEX(Base!$U:$U,MATCH($A29,Base!$A:$A,0)),IF(Z$1=INDEX('Valo FX'!$R:$R,MATCH($A29,'Valo FX'!$A:$A,0)),INDEX(Base!$V:$V,MATCH($A29,Base!$A:$A,0)),0)))</f>
        <v>6.1227119999999999</v>
      </c>
      <c r="AA29" s="21">
        <f>IF(AA$1&lt;INDEX('Valo FX'!$Q:$Q,MATCH($A29,'Valo FX'!$A:$A,0)),0,IF(AA$1&lt;INDEX('Valo FX'!$R:$R,MATCH($A29,'Valo FX'!$A:$A,0)),INDEX(Base!$U:$U,MATCH($A29,Base!$A:$A,0)),IF(AA$1=INDEX('Valo FX'!$R:$R,MATCH($A29,'Valo FX'!$A:$A,0)),INDEX(Base!$V:$V,MATCH($A29,Base!$A:$A,0)),0)))</f>
        <v>6.1227119999999999</v>
      </c>
      <c r="AB29" s="21">
        <f>IF(AB$1&lt;INDEX('Valo FX'!$Q:$Q,MATCH($A29,'Valo FX'!$A:$A,0)),0,IF(AB$1&lt;INDEX('Valo FX'!$R:$R,MATCH($A29,'Valo FX'!$A:$A,0)),INDEX(Base!$U:$U,MATCH($A29,Base!$A:$A,0)),IF(AB$1=INDEX('Valo FX'!$R:$R,MATCH($A29,'Valo FX'!$A:$A,0)),INDEX(Base!$V:$V,MATCH($A29,Base!$A:$A,0)),0)))</f>
        <v>6.1227119999999999</v>
      </c>
      <c r="AC29" s="21">
        <f>IF(AC$1&lt;INDEX('Valo FX'!$Q:$Q,MATCH($A29,'Valo FX'!$A:$A,0)),0,IF(AC$1&lt;INDEX('Valo FX'!$R:$R,MATCH($A29,'Valo FX'!$A:$A,0)),INDEX(Base!$U:$U,MATCH($A29,Base!$A:$A,0)),IF(AC$1=INDEX('Valo FX'!$R:$R,MATCH($A29,'Valo FX'!$A:$A,0)),INDEX(Base!$V:$V,MATCH($A29,Base!$A:$A,0)),0)))</f>
        <v>6.1227119999999999</v>
      </c>
      <c r="AD29" s="21">
        <f>IF(AD$1&lt;INDEX('Valo FX'!$Q:$Q,MATCH($A29,'Valo FX'!$A:$A,0)),0,IF(AD$1&lt;INDEX('Valo FX'!$R:$R,MATCH($A29,'Valo FX'!$A:$A,0)),INDEX(Base!$U:$U,MATCH($A29,Base!$A:$A,0)),IF(AD$1=INDEX('Valo FX'!$R:$R,MATCH($A29,'Valo FX'!$A:$A,0)),INDEX(Base!$V:$V,MATCH($A29,Base!$A:$A,0)),0)))</f>
        <v>6.1227119999999999</v>
      </c>
      <c r="AE29" s="21">
        <f>IF(AE$1&lt;INDEX('Valo FX'!$Q:$Q,MATCH($A29,'Valo FX'!$A:$A,0)),0,IF(AE$1&lt;INDEX('Valo FX'!$R:$R,MATCH($A29,'Valo FX'!$A:$A,0)),INDEX(Base!$U:$U,MATCH($A29,Base!$A:$A,0)),IF(AE$1=INDEX('Valo FX'!$R:$R,MATCH($A29,'Valo FX'!$A:$A,0)),INDEX(Base!$V:$V,MATCH($A29,Base!$A:$A,0)),0)))</f>
        <v>6.1227119999999999</v>
      </c>
      <c r="AF29" s="21">
        <f>IF(AF$1&lt;INDEX('Valo FX'!$Q:$Q,MATCH($A29,'Valo FX'!$A:$A,0)),0,IF(AF$1&lt;INDEX('Valo FX'!$R:$R,MATCH($A29,'Valo FX'!$A:$A,0)),INDEX(Base!$U:$U,MATCH($A29,Base!$A:$A,0)),IF(AF$1=INDEX('Valo FX'!$R:$R,MATCH($A29,'Valo FX'!$A:$A,0)),INDEX(Base!$V:$V,MATCH($A29,Base!$A:$A,0)),0)))</f>
        <v>6.1227119999999999</v>
      </c>
      <c r="AG29" s="21">
        <f>IF(AG$1&lt;INDEX('Valo FX'!$Q:$Q,MATCH($A29,'Valo FX'!$A:$A,0)),0,IF(AG$1&lt;INDEX('Valo FX'!$R:$R,MATCH($A29,'Valo FX'!$A:$A,0)),INDEX(Base!$U:$U,MATCH($A29,Base!$A:$A,0)),IF(AG$1=INDEX('Valo FX'!$R:$R,MATCH($A29,'Valo FX'!$A:$A,0)),INDEX(Base!$V:$V,MATCH($A29,Base!$A:$A,0)),0)))</f>
        <v>6.1227119999999999</v>
      </c>
      <c r="AH29" s="21">
        <f>IF(AH$1&lt;INDEX('Valo FX'!$Q:$Q,MATCH($A29,'Valo FX'!$A:$A,0)),0,IF(AH$1&lt;INDEX('Valo FX'!$R:$R,MATCH($A29,'Valo FX'!$A:$A,0)),INDEX(Base!$U:$U,MATCH($A29,Base!$A:$A,0)),IF(AH$1=INDEX('Valo FX'!$R:$R,MATCH($A29,'Valo FX'!$A:$A,0)),INDEX(Base!$V:$V,MATCH($A29,Base!$A:$A,0)),0)))</f>
        <v>6.1227119999999999</v>
      </c>
      <c r="AI29" s="21">
        <f>IF(AI$1&lt;INDEX('Valo FX'!$Q:$Q,MATCH($A29,'Valo FX'!$A:$A,0)),0,IF(AI$1&lt;INDEX('Valo FX'!$R:$R,MATCH($A29,'Valo FX'!$A:$A,0)),INDEX(Base!$U:$U,MATCH($A29,Base!$A:$A,0)),IF(AI$1=INDEX('Valo FX'!$R:$R,MATCH($A29,'Valo FX'!$A:$A,0)),INDEX(Base!$V:$V,MATCH($A29,Base!$A:$A,0)),0)))</f>
        <v>6.1227119999999999</v>
      </c>
      <c r="AJ29" s="21">
        <f>IF(AJ$1&lt;INDEX('Valo FX'!$Q:$Q,MATCH($A29,'Valo FX'!$A:$A,0)),0,IF(AJ$1&lt;INDEX('Valo FX'!$R:$R,MATCH($A29,'Valo FX'!$A:$A,0)),INDEX(Base!$U:$U,MATCH($A29,Base!$A:$A,0)),IF(AJ$1=INDEX('Valo FX'!$R:$R,MATCH($A29,'Valo FX'!$A:$A,0)),INDEX(Base!$V:$V,MATCH($A29,Base!$A:$A,0)),0)))</f>
        <v>6.1227119999999999</v>
      </c>
      <c r="AK29" s="21">
        <f>IF(AK$1&lt;INDEX('Valo FX'!$Q:$Q,MATCH($A29,'Valo FX'!$A:$A,0)),0,IF(AK$1&lt;INDEX('Valo FX'!$R:$R,MATCH($A29,'Valo FX'!$A:$A,0)),INDEX(Base!$U:$U,MATCH($A29,Base!$A:$A,0)),IF(AK$1=INDEX('Valo FX'!$R:$R,MATCH($A29,'Valo FX'!$A:$A,0)),INDEX(Base!$V:$V,MATCH($A29,Base!$A:$A,0)),0)))</f>
        <v>6.1227119999999999</v>
      </c>
      <c r="AL29" s="21">
        <f>IF(AL$1&lt;INDEX('Valo FX'!$Q:$Q,MATCH($A29,'Valo FX'!$A:$A,0)),0,IF(AL$1&lt;INDEX('Valo FX'!$R:$R,MATCH($A29,'Valo FX'!$A:$A,0)),INDEX(Base!$U:$U,MATCH($A29,Base!$A:$A,0)),IF(AL$1=INDEX('Valo FX'!$R:$R,MATCH($A29,'Valo FX'!$A:$A,0)),INDEX(Base!$V:$V,MATCH($A29,Base!$A:$A,0)),0)))</f>
        <v>6.1227119999999999</v>
      </c>
      <c r="AM29" s="21">
        <f>IF(AM$1&lt;INDEX('Valo FX'!$Q:$Q,MATCH($A29,'Valo FX'!$A:$A,0)),0,IF(AM$1&lt;INDEX('Valo FX'!$R:$R,MATCH($A29,'Valo FX'!$A:$A,0)),INDEX(Base!$U:$U,MATCH($A29,Base!$A:$A,0)),IF(AM$1=INDEX('Valo FX'!$R:$R,MATCH($A29,'Valo FX'!$A:$A,0)),INDEX(Base!$V:$V,MATCH($A29,Base!$A:$A,0)),0)))</f>
        <v>6.1227119999999999</v>
      </c>
      <c r="AN29" s="21">
        <f>IF(AN$1&lt;INDEX('Valo FX'!$Q:$Q,MATCH($A29,'Valo FX'!$A:$A,0)),0,IF(AN$1&lt;INDEX('Valo FX'!$R:$R,MATCH($A29,'Valo FX'!$A:$A,0)),INDEX(Base!$U:$U,MATCH($A29,Base!$A:$A,0)),IF(AN$1=INDEX('Valo FX'!$R:$R,MATCH($A29,'Valo FX'!$A:$A,0)),INDEX(Base!$V:$V,MATCH($A29,Base!$A:$A,0)),0)))</f>
        <v>6.1227119999999999</v>
      </c>
      <c r="AO29" s="21">
        <f>IF(AO$1&lt;INDEX('Valo FX'!$Q:$Q,MATCH($A29,'Valo FX'!$A:$A,0)),0,IF(AO$1&lt;INDEX('Valo FX'!$R:$R,MATCH($A29,'Valo FX'!$A:$A,0)),INDEX(Base!$U:$U,MATCH($A29,Base!$A:$A,0)),IF(AO$1=INDEX('Valo FX'!$R:$R,MATCH($A29,'Valo FX'!$A:$A,0)),INDEX(Base!$V:$V,MATCH($A29,Base!$A:$A,0)),0)))</f>
        <v>6.1227119999999999</v>
      </c>
      <c r="AP29" s="21">
        <f>IF(AP$1&lt;INDEX('Valo FX'!$Q:$Q,MATCH($A29,'Valo FX'!$A:$A,0)),0,IF(AP$1&lt;INDEX('Valo FX'!$R:$R,MATCH($A29,'Valo FX'!$A:$A,0)),INDEX(Base!$U:$U,MATCH($A29,Base!$A:$A,0)),IF(AP$1=INDEX('Valo FX'!$R:$R,MATCH($A29,'Valo FX'!$A:$A,0)),INDEX(Base!$V:$V,MATCH($A29,Base!$A:$A,0)),0)))</f>
        <v>6.1227119999999999</v>
      </c>
      <c r="AQ29" s="21">
        <f>IF(AQ$1&lt;INDEX('Valo FX'!$Q:$Q,MATCH($A29,'Valo FX'!$A:$A,0)),0,IF(AQ$1&lt;INDEX('Valo FX'!$R:$R,MATCH($A29,'Valo FX'!$A:$A,0)),INDEX(Base!$U:$U,MATCH($A29,Base!$A:$A,0)),IF(AQ$1=INDEX('Valo FX'!$R:$R,MATCH($A29,'Valo FX'!$A:$A,0)),INDEX(Base!$V:$V,MATCH($A29,Base!$A:$A,0)),0)))</f>
        <v>6.1227119999999999</v>
      </c>
      <c r="AR29" s="21">
        <f>IF(AR$1&lt;INDEX('Valo FX'!$Q:$Q,MATCH($A29,'Valo FX'!$A:$A,0)),0,IF(AR$1&lt;INDEX('Valo FX'!$R:$R,MATCH($A29,'Valo FX'!$A:$A,0)),INDEX(Base!$U:$U,MATCH($A29,Base!$A:$A,0)),IF(AR$1=INDEX('Valo FX'!$R:$R,MATCH($A29,'Valo FX'!$A:$A,0)),INDEX(Base!$V:$V,MATCH($A29,Base!$A:$A,0)),0)))</f>
        <v>6.1227119999999999</v>
      </c>
      <c r="AS29" s="21">
        <f>IF(AS$1&lt;INDEX('Valo FX'!$Q:$Q,MATCH($A29,'Valo FX'!$A:$A,0)),0,IF(AS$1&lt;INDEX('Valo FX'!$R:$R,MATCH($A29,'Valo FX'!$A:$A,0)),INDEX(Base!$U:$U,MATCH($A29,Base!$A:$A,0)),IF(AS$1=INDEX('Valo FX'!$R:$R,MATCH($A29,'Valo FX'!$A:$A,0)),INDEX(Base!$V:$V,MATCH($A29,Base!$A:$A,0)),0)))</f>
        <v>6.1227119999999999</v>
      </c>
      <c r="AT29" s="21">
        <f>IF(AT$1&lt;INDEX('Valo FX'!$Q:$Q,MATCH($A29,'Valo FX'!$A:$A,0)),0,IF(AT$1&lt;INDEX('Valo FX'!$R:$R,MATCH($A29,'Valo FX'!$A:$A,0)),INDEX(Base!$U:$U,MATCH($A29,Base!$A:$A,0)),IF(AT$1=INDEX('Valo FX'!$R:$R,MATCH($A29,'Valo FX'!$A:$A,0)),INDEX(Base!$V:$V,MATCH($A29,Base!$A:$A,0)),0)))</f>
        <v>6.1227119999999999</v>
      </c>
      <c r="AU29" s="21">
        <f>IF(AU$1&lt;INDEX('Valo FX'!$Q:$Q,MATCH($A29,'Valo FX'!$A:$A,0)),0,IF(AU$1&lt;INDEX('Valo FX'!$R:$R,MATCH($A29,'Valo FX'!$A:$A,0)),INDEX(Base!$U:$U,MATCH($A29,Base!$A:$A,0)),IF(AU$1=INDEX('Valo FX'!$R:$R,MATCH($A29,'Valo FX'!$A:$A,0)),INDEX(Base!$V:$V,MATCH($A29,Base!$A:$A,0)),0)))</f>
        <v>6.1227119999999999</v>
      </c>
      <c r="AV29" s="21">
        <f>IF(AV$1&lt;INDEX('Valo FX'!$Q:$Q,MATCH($A29,'Valo FX'!$A:$A,0)),0,IF(AV$1&lt;INDEX('Valo FX'!$R:$R,MATCH($A29,'Valo FX'!$A:$A,0)),INDEX(Base!$U:$U,MATCH($A29,Base!$A:$A,0)),IF(AV$1=INDEX('Valo FX'!$R:$R,MATCH($A29,'Valo FX'!$A:$A,0)),INDEX(Base!$V:$V,MATCH($A29,Base!$A:$A,0)),0)))</f>
        <v>6.1227119999999999</v>
      </c>
      <c r="AW29" s="21">
        <f>IF(AW$1&lt;INDEX('Valo FX'!$Q:$Q,MATCH($A29,'Valo FX'!$A:$A,0)),0,IF(AW$1&lt;INDEX('Valo FX'!$R:$R,MATCH($A29,'Valo FX'!$A:$A,0)),INDEX(Base!$U:$U,MATCH($A29,Base!$A:$A,0)),IF(AW$1=INDEX('Valo FX'!$R:$R,MATCH($A29,'Valo FX'!$A:$A,0)),INDEX(Base!$V:$V,MATCH($A29,Base!$A:$A,0)),0)))</f>
        <v>6.1227119999999999</v>
      </c>
      <c r="AX29" s="21">
        <f>IF(AX$1&lt;INDEX('Valo FX'!$Q:$Q,MATCH($A29,'Valo FX'!$A:$A,0)),0,IF(AX$1&lt;INDEX('Valo FX'!$R:$R,MATCH($A29,'Valo FX'!$A:$A,0)),INDEX(Base!$U:$U,MATCH($A29,Base!$A:$A,0)),IF(AX$1=INDEX('Valo FX'!$R:$R,MATCH($A29,'Valo FX'!$A:$A,0)),INDEX(Base!$V:$V,MATCH($A29,Base!$A:$A,0)),0)))</f>
        <v>6.1227119999999999</v>
      </c>
      <c r="AY29" s="21">
        <f>IF(AY$1&lt;INDEX('Valo FX'!$Q:$Q,MATCH($A29,'Valo FX'!$A:$A,0)),0,IF(AY$1&lt;INDEX('Valo FX'!$R:$R,MATCH($A29,'Valo FX'!$A:$A,0)),INDEX(Base!$U:$U,MATCH($A29,Base!$A:$A,0)),IF(AY$1=INDEX('Valo FX'!$R:$R,MATCH($A29,'Valo FX'!$A:$A,0)),INDEX(Base!$V:$V,MATCH($A29,Base!$A:$A,0)),0)))</f>
        <v>6.1227119999999999</v>
      </c>
      <c r="AZ29" s="21">
        <f>IF(AZ$1&lt;INDEX('Valo FX'!$Q:$Q,MATCH($A29,'Valo FX'!$A:$A,0)),0,IF(AZ$1&lt;INDEX('Valo FX'!$R:$R,MATCH($A29,'Valo FX'!$A:$A,0)),INDEX(Base!$U:$U,MATCH($A29,Base!$A:$A,0)),IF(AZ$1=INDEX('Valo FX'!$R:$R,MATCH($A29,'Valo FX'!$A:$A,0)),INDEX(Base!$V:$V,MATCH($A29,Base!$A:$A,0)),0)))</f>
        <v>6.1227119999999999</v>
      </c>
      <c r="BA29" s="21">
        <f>IF(BA$1&lt;INDEX('Valo FX'!$Q:$Q,MATCH($A29,'Valo FX'!$A:$A,0)),0,IF(BA$1&lt;INDEX('Valo FX'!$R:$R,MATCH($A29,'Valo FX'!$A:$A,0)),INDEX(Base!$U:$U,MATCH($A29,Base!$A:$A,0)),IF(BA$1=INDEX('Valo FX'!$R:$R,MATCH($A29,'Valo FX'!$A:$A,0)),INDEX(Base!$V:$V,MATCH($A29,Base!$A:$A,0)),0)))</f>
        <v>6.1227119999999999</v>
      </c>
      <c r="BB29" s="21">
        <f>IF(BB$1&lt;INDEX('Valo FX'!$Q:$Q,MATCH($A29,'Valo FX'!$A:$A,0)),0,IF(BB$1&lt;INDEX('Valo FX'!$R:$R,MATCH($A29,'Valo FX'!$A:$A,0)),INDEX(Base!$U:$U,MATCH($A29,Base!$A:$A,0)),IF(BB$1=INDEX('Valo FX'!$R:$R,MATCH($A29,'Valo FX'!$A:$A,0)),INDEX(Base!$V:$V,MATCH($A29,Base!$A:$A,0)),0)))</f>
        <v>6.1227119999999999</v>
      </c>
      <c r="BC29" s="21">
        <f>IF(BC$1&lt;INDEX('Valo FX'!$Q:$Q,MATCH($A29,'Valo FX'!$A:$A,0)),0,IF(BC$1&lt;INDEX('Valo FX'!$R:$R,MATCH($A29,'Valo FX'!$A:$A,0)),INDEX(Base!$U:$U,MATCH($A29,Base!$A:$A,0)),IF(BC$1=INDEX('Valo FX'!$R:$R,MATCH($A29,'Valo FX'!$A:$A,0)),INDEX(Base!$V:$V,MATCH($A29,Base!$A:$A,0)),0)))</f>
        <v>6.1227119999999999</v>
      </c>
      <c r="BD29" s="21">
        <f>IF(BD$1&lt;INDEX('Valo FX'!$Q:$Q,MATCH($A29,'Valo FX'!$A:$A,0)),0,IF(BD$1&lt;INDEX('Valo FX'!$R:$R,MATCH($A29,'Valo FX'!$A:$A,0)),INDEX(Base!$U:$U,MATCH($A29,Base!$A:$A,0)),IF(BD$1=INDEX('Valo FX'!$R:$R,MATCH($A29,'Valo FX'!$A:$A,0)),INDEX(Base!$V:$V,MATCH($A29,Base!$A:$A,0)),0)))</f>
        <v>6.1227119999999999</v>
      </c>
      <c r="BE29" s="21">
        <f>IF(BE$1&lt;INDEX('Valo FX'!$Q:$Q,MATCH($A29,'Valo FX'!$A:$A,0)),0,IF(BE$1&lt;INDEX('Valo FX'!$R:$R,MATCH($A29,'Valo FX'!$A:$A,0)),INDEX(Base!$U:$U,MATCH($A29,Base!$A:$A,0)),IF(BE$1=INDEX('Valo FX'!$R:$R,MATCH($A29,'Valo FX'!$A:$A,0)),INDEX(Base!$V:$V,MATCH($A29,Base!$A:$A,0)),0)))</f>
        <v>6.1227119999999999</v>
      </c>
      <c r="BF29" s="21">
        <f>IF(BF$1&lt;INDEX('Valo FX'!$Q:$Q,MATCH($A29,'Valo FX'!$A:$A,0)),0,IF(BF$1&lt;INDEX('Valo FX'!$R:$R,MATCH($A29,'Valo FX'!$A:$A,0)),INDEX(Base!$U:$U,MATCH($A29,Base!$A:$A,0)),IF(BF$1=INDEX('Valo FX'!$R:$R,MATCH($A29,'Valo FX'!$A:$A,0)),INDEX(Base!$V:$V,MATCH($A29,Base!$A:$A,0)),0)))</f>
        <v>6.1227119999999999</v>
      </c>
      <c r="BG29" s="21">
        <f>IF(BG$1&lt;INDEX('Valo FX'!$Q:$Q,MATCH($A29,'Valo FX'!$A:$A,0)),0,IF(BG$1&lt;INDEX('Valo FX'!$R:$R,MATCH($A29,'Valo FX'!$A:$A,0)),INDEX(Base!$U:$U,MATCH($A29,Base!$A:$A,0)),IF(BG$1=INDEX('Valo FX'!$R:$R,MATCH($A29,'Valo FX'!$A:$A,0)),INDEX(Base!$V:$V,MATCH($A29,Base!$A:$A,0)),0)))</f>
        <v>6.1227119999999999</v>
      </c>
      <c r="BH29" s="21">
        <f>IF(BH$1&lt;INDEX('Valo FX'!$Q:$Q,MATCH($A29,'Valo FX'!$A:$A,0)),0,IF(BH$1&lt;INDEX('Valo FX'!$R:$R,MATCH($A29,'Valo FX'!$A:$A,0)),INDEX(Base!$U:$U,MATCH($A29,Base!$A:$A,0)),IF(BH$1=INDEX('Valo FX'!$R:$R,MATCH($A29,'Valo FX'!$A:$A,0)),INDEX(Base!$V:$V,MATCH($A29,Base!$A:$A,0)),0)))</f>
        <v>6.1227119999999999</v>
      </c>
      <c r="BI29" s="21">
        <f>IF(BI$1&lt;INDEX('Valo FX'!$Q:$Q,MATCH($A29,'Valo FX'!$A:$A,0)),0,IF(BI$1&lt;INDEX('Valo FX'!$R:$R,MATCH($A29,'Valo FX'!$A:$A,0)),INDEX(Base!$U:$U,MATCH($A29,Base!$A:$A,0)),IF(BI$1=INDEX('Valo FX'!$R:$R,MATCH($A29,'Valo FX'!$A:$A,0)),INDEX(Base!$V:$V,MATCH($A29,Base!$A:$A,0)),0)))</f>
        <v>6.1227119999999999</v>
      </c>
      <c r="BJ29" s="21">
        <f>IF(BJ$1&lt;INDEX('Valo FX'!$Q:$Q,MATCH($A29,'Valo FX'!$A:$A,0)),0,IF(BJ$1&lt;INDEX('Valo FX'!$R:$R,MATCH($A29,'Valo FX'!$A:$A,0)),INDEX(Base!$U:$U,MATCH($A29,Base!$A:$A,0)),IF(BJ$1=INDEX('Valo FX'!$R:$R,MATCH($A29,'Valo FX'!$A:$A,0)),INDEX(Base!$V:$V,MATCH($A29,Base!$A:$A,0)),0)))</f>
        <v>6.1227119999999999</v>
      </c>
      <c r="BK29" s="21">
        <f>IF(BK$1&lt;INDEX('Valo FX'!$Q:$Q,MATCH($A29,'Valo FX'!$A:$A,0)),0,IF(BK$1&lt;INDEX('Valo FX'!$R:$R,MATCH($A29,'Valo FX'!$A:$A,0)),INDEX(Base!$U:$U,MATCH($A29,Base!$A:$A,0)),IF(BK$1=INDEX('Valo FX'!$R:$R,MATCH($A29,'Valo FX'!$A:$A,0)),INDEX(Base!$V:$V,MATCH($A29,Base!$A:$A,0)),0)))</f>
        <v>6.1227119999999999</v>
      </c>
      <c r="BL29" s="21">
        <f>IF(BL$1&lt;INDEX('Valo FX'!$Q:$Q,MATCH($A29,'Valo FX'!$A:$A,0)),0,IF(BL$1&lt;INDEX('Valo FX'!$R:$R,MATCH($A29,'Valo FX'!$A:$A,0)),INDEX(Base!$U:$U,MATCH($A29,Base!$A:$A,0)),IF(BL$1=INDEX('Valo FX'!$R:$R,MATCH($A29,'Valo FX'!$A:$A,0)),INDEX(Base!$V:$V,MATCH($A29,Base!$A:$A,0)),0)))</f>
        <v>6.1227119999999999</v>
      </c>
      <c r="BM29" s="21">
        <f>IF(BM$1&lt;INDEX('Valo FX'!$Q:$Q,MATCH($A29,'Valo FX'!$A:$A,0)),0,IF(BM$1&lt;INDEX('Valo FX'!$R:$R,MATCH($A29,'Valo FX'!$A:$A,0)),INDEX(Base!$U:$U,MATCH($A29,Base!$A:$A,0)),IF(BM$1=INDEX('Valo FX'!$R:$R,MATCH($A29,'Valo FX'!$A:$A,0)),INDEX(Base!$V:$V,MATCH($A29,Base!$A:$A,0)),0)))</f>
        <v>6.1227119999999999</v>
      </c>
      <c r="BN29" s="21">
        <f>IF(BN$1&lt;INDEX('Valo FX'!$Q:$Q,MATCH($A29,'Valo FX'!$A:$A,0)),0,IF(BN$1&lt;INDEX('Valo FX'!$R:$R,MATCH($A29,'Valo FX'!$A:$A,0)),INDEX(Base!$U:$U,MATCH($A29,Base!$A:$A,0)),IF(BN$1=INDEX('Valo FX'!$R:$R,MATCH($A29,'Valo FX'!$A:$A,0)),INDEX(Base!$V:$V,MATCH($A29,Base!$A:$A,0)),0)))</f>
        <v>6.1227119999999999</v>
      </c>
      <c r="BO29" s="21">
        <f>IF(BO$1&lt;INDEX('Valo FX'!$Q:$Q,MATCH($A29,'Valo FX'!$A:$A,0)),0,IF(BO$1&lt;INDEX('Valo FX'!$R:$R,MATCH($A29,'Valo FX'!$A:$A,0)),INDEX(Base!$U:$U,MATCH($A29,Base!$A:$A,0)),IF(BO$1=INDEX('Valo FX'!$R:$R,MATCH($A29,'Valo FX'!$A:$A,0)),INDEX(Base!$V:$V,MATCH($A29,Base!$A:$A,0)),0)))</f>
        <v>6.1227119999999999</v>
      </c>
      <c r="BP29" s="21">
        <f>IF(BP$1&lt;INDEX('Valo FX'!$Q:$Q,MATCH($A29,'Valo FX'!$A:$A,0)),0,IF(BP$1&lt;INDEX('Valo FX'!$R:$R,MATCH($A29,'Valo FX'!$A:$A,0)),INDEX(Base!$U:$U,MATCH($A29,Base!$A:$A,0)),IF(BP$1=INDEX('Valo FX'!$R:$R,MATCH($A29,'Valo FX'!$A:$A,0)),INDEX(Base!$V:$V,MATCH($A29,Base!$A:$A,0)),0)))</f>
        <v>6.1227119999999999</v>
      </c>
      <c r="BQ29" s="21">
        <f>IF(BQ$1&lt;INDEX('Valo FX'!$Q:$Q,MATCH($A29,'Valo FX'!$A:$A,0)),0,IF(BQ$1&lt;INDEX('Valo FX'!$R:$R,MATCH($A29,'Valo FX'!$A:$A,0)),INDEX(Base!$U:$U,MATCH($A29,Base!$A:$A,0)),IF(BQ$1=INDEX('Valo FX'!$R:$R,MATCH($A29,'Valo FX'!$A:$A,0)),INDEX(Base!$V:$V,MATCH($A29,Base!$A:$A,0)),0)))</f>
        <v>6.1227119999999999</v>
      </c>
      <c r="BR29" s="21">
        <f>IF(BR$1&lt;INDEX('Valo FX'!$Q:$Q,MATCH($A29,'Valo FX'!$A:$A,0)),0,IF(BR$1&lt;INDEX('Valo FX'!$R:$R,MATCH($A29,'Valo FX'!$A:$A,0)),INDEX(Base!$U:$U,MATCH($A29,Base!$A:$A,0)),IF(BR$1=INDEX('Valo FX'!$R:$R,MATCH($A29,'Valo FX'!$A:$A,0)),INDEX(Base!$V:$V,MATCH($A29,Base!$A:$A,0)),0)))</f>
        <v>6.1227119999999999</v>
      </c>
      <c r="BS29" s="21">
        <f>IF(BS$1&lt;INDEX('Valo FX'!$Q:$Q,MATCH($A29,'Valo FX'!$A:$A,0)),0,IF(BS$1&lt;INDEX('Valo FX'!$R:$R,MATCH($A29,'Valo FX'!$A:$A,0)),INDEX(Base!$U:$U,MATCH($A29,Base!$A:$A,0)),IF(BS$1=INDEX('Valo FX'!$R:$R,MATCH($A29,'Valo FX'!$A:$A,0)),INDEX(Base!$V:$V,MATCH($A29,Base!$A:$A,0)),0)))</f>
        <v>6.1227119999999999</v>
      </c>
      <c r="BT29" s="21">
        <f>IF(BT$1&lt;INDEX('Valo FX'!$Q:$Q,MATCH($A29,'Valo FX'!$A:$A,0)),0,IF(BT$1&lt;INDEX('Valo FX'!$R:$R,MATCH($A29,'Valo FX'!$A:$A,0)),INDEX(Base!$U:$U,MATCH($A29,Base!$A:$A,0)),IF(BT$1=INDEX('Valo FX'!$R:$R,MATCH($A29,'Valo FX'!$A:$A,0)),INDEX(Base!$V:$V,MATCH($A29,Base!$A:$A,0)),0)))</f>
        <v>6.1227119999999999</v>
      </c>
      <c r="BU29" s="21">
        <f>IF(BU$1&lt;INDEX('Valo FX'!$Q:$Q,MATCH($A29,'Valo FX'!$A:$A,0)),0,IF(BU$1&lt;INDEX('Valo FX'!$R:$R,MATCH($A29,'Valo FX'!$A:$A,0)),INDEX(Base!$U:$U,MATCH($A29,Base!$A:$A,0)),IF(BU$1=INDEX('Valo FX'!$R:$R,MATCH($A29,'Valo FX'!$A:$A,0)),INDEX(Base!$V:$V,MATCH($A29,Base!$A:$A,0)),0)))</f>
        <v>6.1227119999999999</v>
      </c>
      <c r="BV29" s="21">
        <f>IF(BV$1&lt;INDEX('Valo FX'!$Q:$Q,MATCH($A29,'Valo FX'!$A:$A,0)),0,IF(BV$1&lt;INDEX('Valo FX'!$R:$R,MATCH($A29,'Valo FX'!$A:$A,0)),INDEX(Base!$U:$U,MATCH($A29,Base!$A:$A,0)),IF(BV$1=INDEX('Valo FX'!$R:$R,MATCH($A29,'Valo FX'!$A:$A,0)),INDEX(Base!$V:$V,MATCH($A29,Base!$A:$A,0)),0)))</f>
        <v>6.1227119999999999</v>
      </c>
      <c r="BW29" s="21">
        <f>IF(BW$1&lt;INDEX('Valo FX'!$Q:$Q,MATCH($A29,'Valo FX'!$A:$A,0)),0,IF(BW$1&lt;INDEX('Valo FX'!$R:$R,MATCH($A29,'Valo FX'!$A:$A,0)),INDEX(Base!$U:$U,MATCH($A29,Base!$A:$A,0)),IF(BW$1=INDEX('Valo FX'!$R:$R,MATCH($A29,'Valo FX'!$A:$A,0)),INDEX(Base!$V:$V,MATCH($A29,Base!$A:$A,0)),0)))</f>
        <v>6.1227119999999999</v>
      </c>
      <c r="BX29" s="21">
        <f>IF(BX$1&lt;INDEX('Valo FX'!$Q:$Q,MATCH($A29,'Valo FX'!$A:$A,0)),0,IF(BX$1&lt;INDEX('Valo FX'!$R:$R,MATCH($A29,'Valo FX'!$A:$A,0)),INDEX(Base!$U:$U,MATCH($A29,Base!$A:$A,0)),IF(BX$1=INDEX('Valo FX'!$R:$R,MATCH($A29,'Valo FX'!$A:$A,0)),INDEX(Base!$V:$V,MATCH($A29,Base!$A:$A,0)),0)))</f>
        <v>6.1227119999999999</v>
      </c>
      <c r="BY29" s="21">
        <f>IF(BY$1&lt;INDEX('Valo FX'!$Q:$Q,MATCH($A29,'Valo FX'!$A:$A,0)),0,IF(BY$1&lt;INDEX('Valo FX'!$R:$R,MATCH($A29,'Valo FX'!$A:$A,0)),INDEX(Base!$U:$U,MATCH($A29,Base!$A:$A,0)),IF(BY$1=INDEX('Valo FX'!$R:$R,MATCH($A29,'Valo FX'!$A:$A,0)),INDEX(Base!$V:$V,MATCH($A29,Base!$A:$A,0)),0)))</f>
        <v>6.1227119999999999</v>
      </c>
      <c r="BZ29" s="21">
        <f>IF(BZ$1&lt;INDEX('Valo FX'!$Q:$Q,MATCH($A29,'Valo FX'!$A:$A,0)),0,IF(BZ$1&lt;INDEX('Valo FX'!$R:$R,MATCH($A29,'Valo FX'!$A:$A,0)),INDEX(Base!$U:$U,MATCH($A29,Base!$A:$A,0)),IF(BZ$1=INDEX('Valo FX'!$R:$R,MATCH($A29,'Valo FX'!$A:$A,0)),INDEX(Base!$V:$V,MATCH($A29,Base!$A:$A,0)),0)))</f>
        <v>6.1227119999999999</v>
      </c>
      <c r="CA29" s="21">
        <f>IF(CA$1&lt;INDEX('Valo FX'!$Q:$Q,MATCH($A29,'Valo FX'!$A:$A,0)),0,IF(CA$1&lt;INDEX('Valo FX'!$R:$R,MATCH($A29,'Valo FX'!$A:$A,0)),INDEX(Base!$U:$U,MATCH($A29,Base!$A:$A,0)),IF(CA$1=INDEX('Valo FX'!$R:$R,MATCH($A29,'Valo FX'!$A:$A,0)),INDEX(Base!$V:$V,MATCH($A29,Base!$A:$A,0)),0)))</f>
        <v>6.1227119999999999</v>
      </c>
      <c r="CB29" s="21">
        <f>IF(CB$1&lt;INDEX('Valo FX'!$Q:$Q,MATCH($A29,'Valo FX'!$A:$A,0)),0,IF(CB$1&lt;INDEX('Valo FX'!$R:$R,MATCH($A29,'Valo FX'!$A:$A,0)),INDEX(Base!$U:$U,MATCH($A29,Base!$A:$A,0)),IF(CB$1=INDEX('Valo FX'!$R:$R,MATCH($A29,'Valo FX'!$A:$A,0)),INDEX(Base!$V:$V,MATCH($A29,Base!$A:$A,0)),0)))</f>
        <v>6.1227119999999999</v>
      </c>
      <c r="CC29" s="21">
        <f>IF(CC$1&lt;INDEX('Valo FX'!$Q:$Q,MATCH($A29,'Valo FX'!$A:$A,0)),0,IF(CC$1&lt;INDEX('Valo FX'!$R:$R,MATCH($A29,'Valo FX'!$A:$A,0)),INDEX(Base!$U:$U,MATCH($A29,Base!$A:$A,0)),IF(CC$1=INDEX('Valo FX'!$R:$R,MATCH($A29,'Valo FX'!$A:$A,0)),INDEX(Base!$V:$V,MATCH($A29,Base!$A:$A,0)),0)))</f>
        <v>6.1227119999999999</v>
      </c>
      <c r="CD29" s="21">
        <f>IF(CD$1&lt;INDEX('Valo FX'!$Q:$Q,MATCH($A29,'Valo FX'!$A:$A,0)),0,IF(CD$1&lt;INDEX('Valo FX'!$R:$R,MATCH($A29,'Valo FX'!$A:$A,0)),INDEX(Base!$U:$U,MATCH($A29,Base!$A:$A,0)),IF(CD$1=INDEX('Valo FX'!$R:$R,MATCH($A29,'Valo FX'!$A:$A,0)),INDEX(Base!$V:$V,MATCH($A29,Base!$A:$A,0)),0)))</f>
        <v>6.1227119999999999</v>
      </c>
      <c r="CE29" s="21">
        <f>IF(CE$1&lt;INDEX('Valo FX'!$Q:$Q,MATCH($A29,'Valo FX'!$A:$A,0)),0,IF(CE$1&lt;INDEX('Valo FX'!$R:$R,MATCH($A29,'Valo FX'!$A:$A,0)),INDEX(Base!$U:$U,MATCH($A29,Base!$A:$A,0)),IF(CE$1=INDEX('Valo FX'!$R:$R,MATCH($A29,'Valo FX'!$A:$A,0)),INDEX(Base!$V:$V,MATCH($A29,Base!$A:$A,0)),0)))</f>
        <v>6.1227119999999999</v>
      </c>
      <c r="CF29" s="21">
        <f>IF(CF$1&lt;INDEX('Valo FX'!$Q:$Q,MATCH($A29,'Valo FX'!$A:$A,0)),0,IF(CF$1&lt;INDEX('Valo FX'!$R:$R,MATCH($A29,'Valo FX'!$A:$A,0)),INDEX(Base!$U:$U,MATCH($A29,Base!$A:$A,0)),IF(CF$1=INDEX('Valo FX'!$R:$R,MATCH($A29,'Valo FX'!$A:$A,0)),INDEX(Base!$V:$V,MATCH($A29,Base!$A:$A,0)),0)))</f>
        <v>6.1227119999999999</v>
      </c>
      <c r="CG29" s="21">
        <f>IF(CG$1&lt;INDEX('Valo FX'!$Q:$Q,MATCH($A29,'Valo FX'!$A:$A,0)),0,IF(CG$1&lt;INDEX('Valo FX'!$R:$R,MATCH($A29,'Valo FX'!$A:$A,0)),INDEX(Base!$U:$U,MATCH($A29,Base!$A:$A,0)),IF(CG$1=INDEX('Valo FX'!$R:$R,MATCH($A29,'Valo FX'!$A:$A,0)),INDEX(Base!$V:$V,MATCH($A29,Base!$A:$A,0)),0)))</f>
        <v>6.1227119999999999</v>
      </c>
      <c r="CH29" s="21">
        <f>IF(CH$1&lt;INDEX('Valo FX'!$Q:$Q,MATCH($A29,'Valo FX'!$A:$A,0)),0,IF(CH$1&lt;INDEX('Valo FX'!$R:$R,MATCH($A29,'Valo FX'!$A:$A,0)),INDEX(Base!$U:$U,MATCH($A29,Base!$A:$A,0)),IF(CH$1=INDEX('Valo FX'!$R:$R,MATCH($A29,'Valo FX'!$A:$A,0)),INDEX(Base!$V:$V,MATCH($A29,Base!$A:$A,0)),0)))</f>
        <v>6.1227119999999999</v>
      </c>
      <c r="CI29" s="21">
        <f>IF(CI$1&lt;INDEX('Valo FX'!$Q:$Q,MATCH($A29,'Valo FX'!$A:$A,0)),0,IF(CI$1&lt;INDEX('Valo FX'!$R:$R,MATCH($A29,'Valo FX'!$A:$A,0)),INDEX(Base!$U:$U,MATCH($A29,Base!$A:$A,0)),IF(CI$1=INDEX('Valo FX'!$R:$R,MATCH($A29,'Valo FX'!$A:$A,0)),INDEX(Base!$V:$V,MATCH($A29,Base!$A:$A,0)),0)))</f>
        <v>6.1227119999999999</v>
      </c>
      <c r="CJ29" s="21">
        <f>IF(CJ$1&lt;INDEX('Valo FX'!$Q:$Q,MATCH($A29,'Valo FX'!$A:$A,0)),0,IF(CJ$1&lt;INDEX('Valo FX'!$R:$R,MATCH($A29,'Valo FX'!$A:$A,0)),INDEX(Base!$U:$U,MATCH($A29,Base!$A:$A,0)),IF(CJ$1=INDEX('Valo FX'!$R:$R,MATCH($A29,'Valo FX'!$A:$A,0)),INDEX(Base!$V:$V,MATCH($A29,Base!$A:$A,0)),0)))</f>
        <v>6.1227119999999999</v>
      </c>
      <c r="CK29" s="21">
        <f>IF(CK$1&lt;INDEX('Valo FX'!$Q:$Q,MATCH($A29,'Valo FX'!$A:$A,0)),0,IF(CK$1&lt;INDEX('Valo FX'!$R:$R,MATCH($A29,'Valo FX'!$A:$A,0)),INDEX(Base!$U:$U,MATCH($A29,Base!$A:$A,0)),IF(CK$1=INDEX('Valo FX'!$R:$R,MATCH($A29,'Valo FX'!$A:$A,0)),INDEX(Base!$V:$V,MATCH($A29,Base!$A:$A,0)),0)))</f>
        <v>6.1227119999999999</v>
      </c>
      <c r="CL29" s="21">
        <f>IF(CL$1&lt;INDEX('Valo FX'!$Q:$Q,MATCH($A29,'Valo FX'!$A:$A,0)),0,IF(CL$1&lt;INDEX('Valo FX'!$R:$R,MATCH($A29,'Valo FX'!$A:$A,0)),INDEX(Base!$U:$U,MATCH($A29,Base!$A:$A,0)),IF(CL$1=INDEX('Valo FX'!$R:$R,MATCH($A29,'Valo FX'!$A:$A,0)),INDEX(Base!$V:$V,MATCH($A29,Base!$A:$A,0)),0)))</f>
        <v>6.1227119999999999</v>
      </c>
      <c r="CM29" s="21">
        <f>IF(CM$1&lt;INDEX('Valo FX'!$Q:$Q,MATCH($A29,'Valo FX'!$A:$A,0)),0,IF(CM$1&lt;INDEX('Valo FX'!$R:$R,MATCH($A29,'Valo FX'!$A:$A,0)),INDEX(Base!$U:$U,MATCH($A29,Base!$A:$A,0)),IF(CM$1=INDEX('Valo FX'!$R:$R,MATCH($A29,'Valo FX'!$A:$A,0)),INDEX(Base!$V:$V,MATCH($A29,Base!$A:$A,0)),0)))</f>
        <v>6.1227119999999999</v>
      </c>
      <c r="CN29" s="21">
        <f>IF(CN$1&lt;INDEX('Valo FX'!$Q:$Q,MATCH($A29,'Valo FX'!$A:$A,0)),0,IF(CN$1&lt;INDEX('Valo FX'!$R:$R,MATCH($A29,'Valo FX'!$A:$A,0)),INDEX(Base!$U:$U,MATCH($A29,Base!$A:$A,0)),IF(CN$1=INDEX('Valo FX'!$R:$R,MATCH($A29,'Valo FX'!$A:$A,0)),INDEX(Base!$V:$V,MATCH($A29,Base!$A:$A,0)),0)))</f>
        <v>6.1227119999999999</v>
      </c>
      <c r="CO29" s="21">
        <f>IF(CO$1&lt;INDEX('Valo FX'!$Q:$Q,MATCH($A29,'Valo FX'!$A:$A,0)),0,IF(CO$1&lt;INDEX('Valo FX'!$R:$R,MATCH($A29,'Valo FX'!$A:$A,0)),INDEX(Base!$U:$U,MATCH($A29,Base!$A:$A,0)),IF(CO$1=INDEX('Valo FX'!$R:$R,MATCH($A29,'Valo FX'!$A:$A,0)),INDEX(Base!$V:$V,MATCH($A29,Base!$A:$A,0)),0)))</f>
        <v>6.1227119999999999</v>
      </c>
      <c r="CP29" s="21">
        <f>IF(CP$1&lt;INDEX('Valo FX'!$Q:$Q,MATCH($A29,'Valo FX'!$A:$A,0)),0,IF(CP$1&lt;INDEX('Valo FX'!$R:$R,MATCH($A29,'Valo FX'!$A:$A,0)),INDEX(Base!$U:$U,MATCH($A29,Base!$A:$A,0)),IF(CP$1=INDEX('Valo FX'!$R:$R,MATCH($A29,'Valo FX'!$A:$A,0)),INDEX(Base!$V:$V,MATCH($A29,Base!$A:$A,0)),0)))</f>
        <v>6.1227119999999999</v>
      </c>
      <c r="CQ29" s="21">
        <f>IF(CQ$1&lt;INDEX('Valo FX'!$Q:$Q,MATCH($A29,'Valo FX'!$A:$A,0)),0,IF(CQ$1&lt;INDEX('Valo FX'!$R:$R,MATCH($A29,'Valo FX'!$A:$A,0)),INDEX(Base!$U:$U,MATCH($A29,Base!$A:$A,0)),IF(CQ$1=INDEX('Valo FX'!$R:$R,MATCH($A29,'Valo FX'!$A:$A,0)),INDEX(Base!$V:$V,MATCH($A29,Base!$A:$A,0)),0)))</f>
        <v>6.1227119999999999</v>
      </c>
      <c r="CR29" s="21">
        <f>IF(CR$1&lt;INDEX('Valo FX'!$Q:$Q,MATCH($A29,'Valo FX'!$A:$A,0)),0,IF(CR$1&lt;INDEX('Valo FX'!$R:$R,MATCH($A29,'Valo FX'!$A:$A,0)),INDEX(Base!$U:$U,MATCH($A29,Base!$A:$A,0)),IF(CR$1=INDEX('Valo FX'!$R:$R,MATCH($A29,'Valo FX'!$A:$A,0)),INDEX(Base!$V:$V,MATCH($A29,Base!$A:$A,0)),0)))</f>
        <v>6.1227119999999999</v>
      </c>
      <c r="CS29" s="21">
        <f>IF(CS$1&lt;INDEX('Valo FX'!$Q:$Q,MATCH($A29,'Valo FX'!$A:$A,0)),0,IF(CS$1&lt;INDEX('Valo FX'!$R:$R,MATCH($A29,'Valo FX'!$A:$A,0)),INDEX(Base!$U:$U,MATCH($A29,Base!$A:$A,0)),IF(CS$1=INDEX('Valo FX'!$R:$R,MATCH($A29,'Valo FX'!$A:$A,0)),INDEX(Base!$V:$V,MATCH($A29,Base!$A:$A,0)),0)))</f>
        <v>6.1227119999999999</v>
      </c>
      <c r="CT29" s="21">
        <f>IF(CT$1&lt;INDEX('Valo FX'!$Q:$Q,MATCH($A29,'Valo FX'!$A:$A,0)),0,IF(CT$1&lt;INDEX('Valo FX'!$R:$R,MATCH($A29,'Valo FX'!$A:$A,0)),INDEX(Base!$U:$U,MATCH($A29,Base!$A:$A,0)),IF(CT$1=INDEX('Valo FX'!$R:$R,MATCH($A29,'Valo FX'!$A:$A,0)),INDEX(Base!$V:$V,MATCH($A29,Base!$A:$A,0)),0)))</f>
        <v>6.1227119999999999</v>
      </c>
      <c r="CU29" s="21">
        <f>IF(CU$1&lt;INDEX('Valo FX'!$Q:$Q,MATCH($A29,'Valo FX'!$A:$A,0)),0,IF(CU$1&lt;INDEX('Valo FX'!$R:$R,MATCH($A29,'Valo FX'!$A:$A,0)),INDEX(Base!$U:$U,MATCH($A29,Base!$A:$A,0)),IF(CU$1=INDEX('Valo FX'!$R:$R,MATCH($A29,'Valo FX'!$A:$A,0)),INDEX(Base!$V:$V,MATCH($A29,Base!$A:$A,0)),0)))</f>
        <v>6.1227119999999999</v>
      </c>
      <c r="CV29" s="21">
        <f>IF(CV$1&lt;INDEX('Valo FX'!$Q:$Q,MATCH($A29,'Valo FX'!$A:$A,0)),0,IF(CV$1&lt;INDEX('Valo FX'!$R:$R,MATCH($A29,'Valo FX'!$A:$A,0)),INDEX(Base!$U:$U,MATCH($A29,Base!$A:$A,0)),IF(CV$1=INDEX('Valo FX'!$R:$R,MATCH($A29,'Valo FX'!$A:$A,0)),INDEX(Base!$V:$V,MATCH($A29,Base!$A:$A,0)),0)))</f>
        <v>6.1227119999999999</v>
      </c>
      <c r="CW29" s="21">
        <f>IF(CW$1&lt;INDEX('Valo FX'!$Q:$Q,MATCH($A29,'Valo FX'!$A:$A,0)),0,IF(CW$1&lt;INDEX('Valo FX'!$R:$R,MATCH($A29,'Valo FX'!$A:$A,0)),INDEX(Base!$U:$U,MATCH($A29,Base!$A:$A,0)),IF(CW$1=INDEX('Valo FX'!$R:$R,MATCH($A29,'Valo FX'!$A:$A,0)),INDEX(Base!$V:$V,MATCH($A29,Base!$A:$A,0)),0)))</f>
        <v>6.1227119999999999</v>
      </c>
      <c r="CX29" s="21">
        <f>IF(CX$1&lt;INDEX('Valo FX'!$Q:$Q,MATCH($A29,'Valo FX'!$A:$A,0)),0,IF(CX$1&lt;INDEX('Valo FX'!$R:$R,MATCH($A29,'Valo FX'!$A:$A,0)),INDEX(Base!$U:$U,MATCH($A29,Base!$A:$A,0)),IF(CX$1=INDEX('Valo FX'!$R:$R,MATCH($A29,'Valo FX'!$A:$A,0)),INDEX(Base!$V:$V,MATCH($A29,Base!$A:$A,0)),0)))</f>
        <v>6.1227119999999999</v>
      </c>
      <c r="CY29" s="21">
        <f>IF(CY$1&lt;INDEX('Valo FX'!$Q:$Q,MATCH($A29,'Valo FX'!$A:$A,0)),0,IF(CY$1&lt;INDEX('Valo FX'!$R:$R,MATCH($A29,'Valo FX'!$A:$A,0)),INDEX(Base!$U:$U,MATCH($A29,Base!$A:$A,0)),IF(CY$1=INDEX('Valo FX'!$R:$R,MATCH($A29,'Valo FX'!$A:$A,0)),INDEX(Base!$V:$V,MATCH($A29,Base!$A:$A,0)),0)))</f>
        <v>6.1227119999999999</v>
      </c>
      <c r="CZ29" s="21">
        <f>IF(CZ$1&lt;INDEX('Valo FX'!$Q:$Q,MATCH($A29,'Valo FX'!$A:$A,0)),0,IF(CZ$1&lt;INDEX('Valo FX'!$R:$R,MATCH($A29,'Valo FX'!$A:$A,0)),INDEX(Base!$U:$U,MATCH($A29,Base!$A:$A,0)),IF(CZ$1=INDEX('Valo FX'!$R:$R,MATCH($A29,'Valo FX'!$A:$A,0)),INDEX(Base!$V:$V,MATCH($A29,Base!$A:$A,0)),0)))</f>
        <v>6.1227119999999999</v>
      </c>
      <c r="DA29" s="21">
        <f>IF(DA$1&lt;INDEX('Valo FX'!$Q:$Q,MATCH($A29,'Valo FX'!$A:$A,0)),0,IF(DA$1&lt;INDEX('Valo FX'!$R:$R,MATCH($A29,'Valo FX'!$A:$A,0)),INDEX(Base!$U:$U,MATCH($A29,Base!$A:$A,0)),IF(DA$1=INDEX('Valo FX'!$R:$R,MATCH($A29,'Valo FX'!$A:$A,0)),INDEX(Base!$V:$V,MATCH($A29,Base!$A:$A,0)),0)))</f>
        <v>6.1227119999999999</v>
      </c>
      <c r="DB29" s="21">
        <f>IF(DB$1&lt;INDEX('Valo FX'!$Q:$Q,MATCH($A29,'Valo FX'!$A:$A,0)),0,IF(DB$1&lt;INDEX('Valo FX'!$R:$R,MATCH($A29,'Valo FX'!$A:$A,0)),INDEX(Base!$U:$U,MATCH($A29,Base!$A:$A,0)),IF(DB$1=INDEX('Valo FX'!$R:$R,MATCH($A29,'Valo FX'!$A:$A,0)),INDEX(Base!$V:$V,MATCH($A29,Base!$A:$A,0)),0)))</f>
        <v>6.1227119999999999</v>
      </c>
      <c r="DC29" s="21">
        <f>IF(DC$1&lt;INDEX('Valo FX'!$Q:$Q,MATCH($A29,'Valo FX'!$A:$A,0)),0,IF(DC$1&lt;INDEX('Valo FX'!$R:$R,MATCH($A29,'Valo FX'!$A:$A,0)),INDEX(Base!$U:$U,MATCH($A29,Base!$A:$A,0)),IF(DC$1=INDEX('Valo FX'!$R:$R,MATCH($A29,'Valo FX'!$A:$A,0)),INDEX(Base!$V:$V,MATCH($A29,Base!$A:$A,0)),0)))</f>
        <v>6.1227119999999999</v>
      </c>
      <c r="DD29" s="21">
        <f>IF(DD$1&lt;INDEX('Valo FX'!$Q:$Q,MATCH($A29,'Valo FX'!$A:$A,0)),0,IF(DD$1&lt;INDEX('Valo FX'!$R:$R,MATCH($A29,'Valo FX'!$A:$A,0)),INDEX(Base!$U:$U,MATCH($A29,Base!$A:$A,0)),IF(DD$1=INDEX('Valo FX'!$R:$R,MATCH($A29,'Valo FX'!$A:$A,0)),INDEX(Base!$V:$V,MATCH($A29,Base!$A:$A,0)),0)))</f>
        <v>6.1227119999999999</v>
      </c>
      <c r="DE29" s="21">
        <f>IF(DE$1&lt;INDEX('Valo FX'!$Q:$Q,MATCH($A29,'Valo FX'!$A:$A,0)),0,IF(DE$1&lt;INDEX('Valo FX'!$R:$R,MATCH($A29,'Valo FX'!$A:$A,0)),INDEX(Base!$U:$U,MATCH($A29,Base!$A:$A,0)),IF(DE$1=INDEX('Valo FX'!$R:$R,MATCH($A29,'Valo FX'!$A:$A,0)),INDEX(Base!$V:$V,MATCH($A29,Base!$A:$A,0)),0)))</f>
        <v>6.1227119999999999</v>
      </c>
      <c r="DF29" s="21">
        <f>IF(DF$1&lt;INDEX('Valo FX'!$Q:$Q,MATCH($A29,'Valo FX'!$A:$A,0)),0,IF(DF$1&lt;INDEX('Valo FX'!$R:$R,MATCH($A29,'Valo FX'!$A:$A,0)),INDEX(Base!$U:$U,MATCH($A29,Base!$A:$A,0)),IF(DF$1=INDEX('Valo FX'!$R:$R,MATCH($A29,'Valo FX'!$A:$A,0)),INDEX(Base!$V:$V,MATCH($A29,Base!$A:$A,0)),0)))</f>
        <v>6.1227119999999999</v>
      </c>
      <c r="DG29" s="21">
        <f>IF(DG$1&lt;INDEX('Valo FX'!$Q:$Q,MATCH($A29,'Valo FX'!$A:$A,0)),0,IF(DG$1&lt;INDEX('Valo FX'!$R:$R,MATCH($A29,'Valo FX'!$A:$A,0)),INDEX(Base!$U:$U,MATCH($A29,Base!$A:$A,0)),IF(DG$1=INDEX('Valo FX'!$R:$R,MATCH($A29,'Valo FX'!$A:$A,0)),INDEX(Base!$V:$V,MATCH($A29,Base!$A:$A,0)),0)))</f>
        <v>6.1227119999999999</v>
      </c>
      <c r="DH29" s="21">
        <f>IF(DH$1&lt;INDEX('Valo FX'!$Q:$Q,MATCH($A29,'Valo FX'!$A:$A,0)),0,IF(DH$1&lt;INDEX('Valo FX'!$R:$R,MATCH($A29,'Valo FX'!$A:$A,0)),INDEX(Base!$U:$U,MATCH($A29,Base!$A:$A,0)),IF(DH$1=INDEX('Valo FX'!$R:$R,MATCH($A29,'Valo FX'!$A:$A,0)),INDEX(Base!$V:$V,MATCH($A29,Base!$A:$A,0)),0)))</f>
        <v>6.1227119999999999</v>
      </c>
      <c r="DI29" s="21">
        <f>IF(DI$1&lt;INDEX('Valo FX'!$Q:$Q,MATCH($A29,'Valo FX'!$A:$A,0)),0,IF(DI$1&lt;INDEX('Valo FX'!$R:$R,MATCH($A29,'Valo FX'!$A:$A,0)),INDEX(Base!$U:$U,MATCH($A29,Base!$A:$A,0)),IF(DI$1=INDEX('Valo FX'!$R:$R,MATCH($A29,'Valo FX'!$A:$A,0)),INDEX(Base!$V:$V,MATCH($A29,Base!$A:$A,0)),0)))</f>
        <v>6.1227119999999999</v>
      </c>
      <c r="DJ29" s="21">
        <f>IF(DJ$1&lt;INDEX('Valo FX'!$Q:$Q,MATCH($A29,'Valo FX'!$A:$A,0)),0,IF(DJ$1&lt;INDEX('Valo FX'!$R:$R,MATCH($A29,'Valo FX'!$A:$A,0)),INDEX(Base!$U:$U,MATCH($A29,Base!$A:$A,0)),IF(DJ$1=INDEX('Valo FX'!$R:$R,MATCH($A29,'Valo FX'!$A:$A,0)),INDEX(Base!$V:$V,MATCH($A29,Base!$A:$A,0)),0)))</f>
        <v>6.1227119999999999</v>
      </c>
      <c r="DK29" s="21">
        <f>IF(DK$1&lt;INDEX('Valo FX'!$Q:$Q,MATCH($A29,'Valo FX'!$A:$A,0)),0,IF(DK$1&lt;INDEX('Valo FX'!$R:$R,MATCH($A29,'Valo FX'!$A:$A,0)),INDEX(Base!$U:$U,MATCH($A29,Base!$A:$A,0)),IF(DK$1=INDEX('Valo FX'!$R:$R,MATCH($A29,'Valo FX'!$A:$A,0)),INDEX(Base!$V:$V,MATCH($A29,Base!$A:$A,0)),0)))</f>
        <v>6.1227119999999999</v>
      </c>
      <c r="DL29" s="21">
        <f>IF(DL$1&lt;INDEX('Valo FX'!$Q:$Q,MATCH($A29,'Valo FX'!$A:$A,0)),0,IF(DL$1&lt;INDEX('Valo FX'!$R:$R,MATCH($A29,'Valo FX'!$A:$A,0)),INDEX(Base!$U:$U,MATCH($A29,Base!$A:$A,0)),IF(DL$1=INDEX('Valo FX'!$R:$R,MATCH($A29,'Valo FX'!$A:$A,0)),INDEX(Base!$V:$V,MATCH($A29,Base!$A:$A,0)),0)))</f>
        <v>6.1227119999999999</v>
      </c>
      <c r="DM29" s="21">
        <f>IF(DM$1&lt;INDEX('Valo FX'!$Q:$Q,MATCH($A29,'Valo FX'!$A:$A,0)),0,IF(DM$1&lt;INDEX('Valo FX'!$R:$R,MATCH($A29,'Valo FX'!$A:$A,0)),INDEX(Base!$U:$U,MATCH($A29,Base!$A:$A,0)),IF(DM$1=INDEX('Valo FX'!$R:$R,MATCH($A29,'Valo FX'!$A:$A,0)),INDEX(Base!$V:$V,MATCH($A29,Base!$A:$A,0)),0)))</f>
        <v>6.1227119999999999</v>
      </c>
      <c r="DN29" s="21">
        <f>IF(DN$1&lt;INDEX('Valo FX'!$Q:$Q,MATCH($A29,'Valo FX'!$A:$A,0)),0,IF(DN$1&lt;INDEX('Valo FX'!$R:$R,MATCH($A29,'Valo FX'!$A:$A,0)),INDEX(Base!$U:$U,MATCH($A29,Base!$A:$A,0)),IF(DN$1=INDEX('Valo FX'!$R:$R,MATCH($A29,'Valo FX'!$A:$A,0)),INDEX(Base!$V:$V,MATCH($A29,Base!$A:$A,0)),0)))</f>
        <v>6.1227119999999999</v>
      </c>
      <c r="DO29" s="21">
        <f>IF(DO$1&lt;INDEX('Valo FX'!$Q:$Q,MATCH($A29,'Valo FX'!$A:$A,0)),0,IF(DO$1&lt;INDEX('Valo FX'!$R:$R,MATCH($A29,'Valo FX'!$A:$A,0)),INDEX(Base!$U:$U,MATCH($A29,Base!$A:$A,0)),IF(DO$1=INDEX('Valo FX'!$R:$R,MATCH($A29,'Valo FX'!$A:$A,0)),INDEX(Base!$V:$V,MATCH($A29,Base!$A:$A,0)),0)))</f>
        <v>6.1227119999999999</v>
      </c>
      <c r="DP29" s="21">
        <f>IF(DP$1&lt;INDEX('Valo FX'!$Q:$Q,MATCH($A29,'Valo FX'!$A:$A,0)),0,IF(DP$1&lt;INDEX('Valo FX'!$R:$R,MATCH($A29,'Valo FX'!$A:$A,0)),INDEX(Base!$U:$U,MATCH($A29,Base!$A:$A,0)),IF(DP$1=INDEX('Valo FX'!$R:$R,MATCH($A29,'Valo FX'!$A:$A,0)),INDEX(Base!$V:$V,MATCH($A29,Base!$A:$A,0)),0)))</f>
        <v>6.1227119999999999</v>
      </c>
      <c r="DQ29" s="21">
        <f>IF(DQ$1&lt;INDEX('Valo FX'!$Q:$Q,MATCH($A29,'Valo FX'!$A:$A,0)),0,IF(DQ$1&lt;INDEX('Valo FX'!$R:$R,MATCH($A29,'Valo FX'!$A:$A,0)),INDEX(Base!$U:$U,MATCH($A29,Base!$A:$A,0)),IF(DQ$1=INDEX('Valo FX'!$R:$R,MATCH($A29,'Valo FX'!$A:$A,0)),INDEX(Base!$V:$V,MATCH($A29,Base!$A:$A,0)),0)))</f>
        <v>6.1227119999999999</v>
      </c>
      <c r="DR29" s="21">
        <f>IF(DR$1&lt;INDEX('Valo FX'!$Q:$Q,MATCH($A29,'Valo FX'!$A:$A,0)),0,IF(DR$1&lt;INDEX('Valo FX'!$R:$R,MATCH($A29,'Valo FX'!$A:$A,0)),INDEX(Base!$U:$U,MATCH($A29,Base!$A:$A,0)),IF(DR$1=INDEX('Valo FX'!$R:$R,MATCH($A29,'Valo FX'!$A:$A,0)),INDEX(Base!$V:$V,MATCH($A29,Base!$A:$A,0)),0)))</f>
        <v>6.1227119999999999</v>
      </c>
      <c r="DS29" s="21">
        <f>IF(DS$1&lt;INDEX('Valo FX'!$Q:$Q,MATCH($A29,'Valo FX'!$A:$A,0)),0,IF(DS$1&lt;INDEX('Valo FX'!$R:$R,MATCH($A29,'Valo FX'!$A:$A,0)),INDEX(Base!$U:$U,MATCH($A29,Base!$A:$A,0)),IF(DS$1=INDEX('Valo FX'!$R:$R,MATCH($A29,'Valo FX'!$A:$A,0)),INDEX(Base!$V:$V,MATCH($A29,Base!$A:$A,0)),0)))</f>
        <v>6.1227119999999999</v>
      </c>
      <c r="DT29" s="21">
        <f>IF(DT$1&lt;INDEX('Valo FX'!$Q:$Q,MATCH($A29,'Valo FX'!$A:$A,0)),0,IF(DT$1&lt;INDEX('Valo FX'!$R:$R,MATCH($A29,'Valo FX'!$A:$A,0)),INDEX(Base!$U:$U,MATCH($A29,Base!$A:$A,0)),IF(DT$1=INDEX('Valo FX'!$R:$R,MATCH($A29,'Valo FX'!$A:$A,0)),INDEX(Base!$V:$V,MATCH($A29,Base!$A:$A,0)),0)))</f>
        <v>6.1227119999999999</v>
      </c>
      <c r="DU29" s="21">
        <f>IF(DU$1&lt;INDEX('Valo FX'!$Q:$Q,MATCH($A29,'Valo FX'!$A:$A,0)),0,IF(DU$1&lt;INDEX('Valo FX'!$R:$R,MATCH($A29,'Valo FX'!$A:$A,0)),INDEX(Base!$U:$U,MATCH($A29,Base!$A:$A,0)),IF(DU$1=INDEX('Valo FX'!$R:$R,MATCH($A29,'Valo FX'!$A:$A,0)),INDEX(Base!$V:$V,MATCH($A29,Base!$A:$A,0)),0)))</f>
        <v>6.1227119999999999</v>
      </c>
      <c r="DV29" s="21">
        <f>IF(DV$1&lt;INDEX('Valo FX'!$Q:$Q,MATCH($A29,'Valo FX'!$A:$A,0)),0,IF(DV$1&lt;INDEX('Valo FX'!$R:$R,MATCH($A29,'Valo FX'!$A:$A,0)),INDEX(Base!$U:$U,MATCH($A29,Base!$A:$A,0)),IF(DV$1=INDEX('Valo FX'!$R:$R,MATCH($A29,'Valo FX'!$A:$A,0)),INDEX(Base!$V:$V,MATCH($A29,Base!$A:$A,0)),0)))</f>
        <v>6.1227119999999999</v>
      </c>
      <c r="DW29" s="21">
        <f>IF(DW$1&lt;INDEX('Valo FX'!$Q:$Q,MATCH($A29,'Valo FX'!$A:$A,0)),0,IF(DW$1&lt;INDEX('Valo FX'!$R:$R,MATCH($A29,'Valo FX'!$A:$A,0)),INDEX(Base!$U:$U,MATCH($A29,Base!$A:$A,0)),IF(DW$1=INDEX('Valo FX'!$R:$R,MATCH($A29,'Valo FX'!$A:$A,0)),INDEX(Base!$V:$V,MATCH($A29,Base!$A:$A,0)),0)))</f>
        <v>6.1227119999999999</v>
      </c>
      <c r="DX29" s="21">
        <f>IF(DX$1&lt;INDEX('Valo FX'!$Q:$Q,MATCH($A29,'Valo FX'!$A:$A,0)),0,IF(DX$1&lt;INDEX('Valo FX'!$R:$R,MATCH($A29,'Valo FX'!$A:$A,0)),INDEX(Base!$U:$U,MATCH($A29,Base!$A:$A,0)),IF(DX$1=INDEX('Valo FX'!$R:$R,MATCH($A29,'Valo FX'!$A:$A,0)),INDEX(Base!$V:$V,MATCH($A29,Base!$A:$A,0)),0)))</f>
        <v>6.1227119999999999</v>
      </c>
      <c r="DY29" s="21">
        <f>IF(DY$1&lt;INDEX('Valo FX'!$Q:$Q,MATCH($A29,'Valo FX'!$A:$A,0)),0,IF(DY$1&lt;INDEX('Valo FX'!$R:$R,MATCH($A29,'Valo FX'!$A:$A,0)),INDEX(Base!$U:$U,MATCH($A29,Base!$A:$A,0)),IF(DY$1=INDEX('Valo FX'!$R:$R,MATCH($A29,'Valo FX'!$A:$A,0)),INDEX(Base!$V:$V,MATCH($A29,Base!$A:$A,0)),0)))</f>
        <v>6.1227119999999999</v>
      </c>
      <c r="DZ29" s="21">
        <f>IF(DZ$1&lt;INDEX('Valo FX'!$Q:$Q,MATCH($A29,'Valo FX'!$A:$A,0)),0,IF(DZ$1&lt;INDEX('Valo FX'!$R:$R,MATCH($A29,'Valo FX'!$A:$A,0)),INDEX(Base!$U:$U,MATCH($A29,Base!$A:$A,0)),IF(DZ$1=INDEX('Valo FX'!$R:$R,MATCH($A29,'Valo FX'!$A:$A,0)),INDEX(Base!$V:$V,MATCH($A29,Base!$A:$A,0)),0)))</f>
        <v>6.1227119999999999</v>
      </c>
      <c r="EA29" s="21">
        <f>IF(EA$1&lt;INDEX('Valo FX'!$Q:$Q,MATCH($A29,'Valo FX'!$A:$A,0)),0,IF(EA$1&lt;INDEX('Valo FX'!$R:$R,MATCH($A29,'Valo FX'!$A:$A,0)),INDEX(Base!$U:$U,MATCH($A29,Base!$A:$A,0)),IF(EA$1=INDEX('Valo FX'!$R:$R,MATCH($A29,'Valo FX'!$A:$A,0)),INDEX(Base!$V:$V,MATCH($A29,Base!$A:$A,0)),0)))</f>
        <v>6.1227119999999999</v>
      </c>
      <c r="EB29" s="21">
        <f>IF(EB$1&lt;INDEX('Valo FX'!$Q:$Q,MATCH($A29,'Valo FX'!$A:$A,0)),0,IF(EB$1&lt;INDEX('Valo FX'!$R:$R,MATCH($A29,'Valo FX'!$A:$A,0)),INDEX(Base!$U:$U,MATCH($A29,Base!$A:$A,0)),IF(EB$1=INDEX('Valo FX'!$R:$R,MATCH($A29,'Valo FX'!$A:$A,0)),INDEX(Base!$V:$V,MATCH($A29,Base!$A:$A,0)),0)))</f>
        <v>6.1227119999999999</v>
      </c>
      <c r="EC29" s="21">
        <f>IF(EC$1&lt;INDEX('Valo FX'!$Q:$Q,MATCH($A29,'Valo FX'!$A:$A,0)),0,IF(EC$1&lt;INDEX('Valo FX'!$R:$R,MATCH($A29,'Valo FX'!$A:$A,0)),INDEX(Base!$U:$U,MATCH($A29,Base!$A:$A,0)),IF(EC$1=INDEX('Valo FX'!$R:$R,MATCH($A29,'Valo FX'!$A:$A,0)),INDEX(Base!$V:$V,MATCH($A29,Base!$A:$A,0)),0)))</f>
        <v>6.1227119999999999</v>
      </c>
      <c r="ED29" s="21">
        <f>IF(ED$1&lt;INDEX('Valo FX'!$Q:$Q,MATCH($A29,'Valo FX'!$A:$A,0)),0,IF(ED$1&lt;INDEX('Valo FX'!$R:$R,MATCH($A29,'Valo FX'!$A:$A,0)),INDEX(Base!$U:$U,MATCH($A29,Base!$A:$A,0)),IF(ED$1=INDEX('Valo FX'!$R:$R,MATCH($A29,'Valo FX'!$A:$A,0)),INDEX(Base!$V:$V,MATCH($A29,Base!$A:$A,0)),0)))</f>
        <v>6.1227119999999999</v>
      </c>
      <c r="EE29" s="21">
        <f>IF(EE$1&lt;INDEX('Valo FX'!$Q:$Q,MATCH($A29,'Valo FX'!$A:$A,0)),0,IF(EE$1&lt;INDEX('Valo FX'!$R:$R,MATCH($A29,'Valo FX'!$A:$A,0)),INDEX(Base!$U:$U,MATCH($A29,Base!$A:$A,0)),IF(EE$1=INDEX('Valo FX'!$R:$R,MATCH($A29,'Valo FX'!$A:$A,0)),INDEX(Base!$V:$V,MATCH($A29,Base!$A:$A,0)),0)))</f>
        <v>6.1227119999999999</v>
      </c>
      <c r="EF29" s="21">
        <f>IF(EF$1&lt;INDEX('Valo FX'!$Q:$Q,MATCH($A29,'Valo FX'!$A:$A,0)),0,IF(EF$1&lt;INDEX('Valo FX'!$R:$R,MATCH($A29,'Valo FX'!$A:$A,0)),INDEX(Base!$U:$U,MATCH($A29,Base!$A:$A,0)),IF(EF$1=INDEX('Valo FX'!$R:$R,MATCH($A29,'Valo FX'!$A:$A,0)),INDEX(Base!$V:$V,MATCH($A29,Base!$A:$A,0)),0)))</f>
        <v>6.1227119999999999</v>
      </c>
      <c r="EG29" s="21">
        <f>IF(EG$1&lt;INDEX('Valo FX'!$Q:$Q,MATCH($A29,'Valo FX'!$A:$A,0)),0,IF(EG$1&lt;INDEX('Valo FX'!$R:$R,MATCH($A29,'Valo FX'!$A:$A,0)),INDEX(Base!$U:$U,MATCH($A29,Base!$A:$A,0)),IF(EG$1=INDEX('Valo FX'!$R:$R,MATCH($A29,'Valo FX'!$A:$A,0)),INDEX(Base!$V:$V,MATCH($A29,Base!$A:$A,0)),0)))</f>
        <v>6.1227119999999999</v>
      </c>
      <c r="EH29" s="21">
        <f>IF(EH$1&lt;INDEX('Valo FX'!$Q:$Q,MATCH($A29,'Valo FX'!$A:$A,0)),0,IF(EH$1&lt;INDEX('Valo FX'!$R:$R,MATCH($A29,'Valo FX'!$A:$A,0)),INDEX(Base!$U:$U,MATCH($A29,Base!$A:$A,0)),IF(EH$1=INDEX('Valo FX'!$R:$R,MATCH($A29,'Valo FX'!$A:$A,0)),INDEX(Base!$V:$V,MATCH($A29,Base!$A:$A,0)),0)))</f>
        <v>6.1227119999999999</v>
      </c>
      <c r="EI29" s="21">
        <f>IF(EI$1&lt;INDEX('Valo FX'!$Q:$Q,MATCH($A29,'Valo FX'!$A:$A,0)),0,IF(EI$1&lt;INDEX('Valo FX'!$R:$R,MATCH($A29,'Valo FX'!$A:$A,0)),INDEX(Base!$U:$U,MATCH($A29,Base!$A:$A,0)),IF(EI$1=INDEX('Valo FX'!$R:$R,MATCH($A29,'Valo FX'!$A:$A,0)),INDEX(Base!$V:$V,MATCH($A29,Base!$A:$A,0)),0)))</f>
        <v>6.1227119999999999</v>
      </c>
      <c r="EJ29" s="21">
        <f>IF(EJ$1&lt;INDEX('Valo FX'!$Q:$Q,MATCH($A29,'Valo FX'!$A:$A,0)),0,IF(EJ$1&lt;INDEX('Valo FX'!$R:$R,MATCH($A29,'Valo FX'!$A:$A,0)),INDEX(Base!$U:$U,MATCH($A29,Base!$A:$A,0)),IF(EJ$1=INDEX('Valo FX'!$R:$R,MATCH($A29,'Valo FX'!$A:$A,0)),INDEX(Base!$V:$V,MATCH($A29,Base!$A:$A,0)),0)))</f>
        <v>6.1227119999999999</v>
      </c>
      <c r="EK29" s="21">
        <f>IF(EK$1&lt;INDEX('Valo FX'!$Q:$Q,MATCH($A29,'Valo FX'!$A:$A,0)),0,IF(EK$1&lt;INDEX('Valo FX'!$R:$R,MATCH($A29,'Valo FX'!$A:$A,0)),INDEX(Base!$U:$U,MATCH($A29,Base!$A:$A,0)),IF(EK$1=INDEX('Valo FX'!$R:$R,MATCH($A29,'Valo FX'!$A:$A,0)),INDEX(Base!$V:$V,MATCH($A29,Base!$A:$A,0)),0)))</f>
        <v>6.1227119999999999</v>
      </c>
      <c r="EL29" s="21">
        <f>IF(EL$1&lt;INDEX('Valo FX'!$Q:$Q,MATCH($A29,'Valo FX'!$A:$A,0)),0,IF(EL$1&lt;INDEX('Valo FX'!$R:$R,MATCH($A29,'Valo FX'!$A:$A,0)),INDEX(Base!$U:$U,MATCH($A29,Base!$A:$A,0)),IF(EL$1=INDEX('Valo FX'!$R:$R,MATCH($A29,'Valo FX'!$A:$A,0)),INDEX(Base!$V:$V,MATCH($A29,Base!$A:$A,0)),0)))</f>
        <v>6.1227119999999999</v>
      </c>
      <c r="EM29" s="21">
        <f>IF(EM$1&lt;INDEX('Valo FX'!$Q:$Q,MATCH($A29,'Valo FX'!$A:$A,0)),0,IF(EM$1&lt;INDEX('Valo FX'!$R:$R,MATCH($A29,'Valo FX'!$A:$A,0)),INDEX(Base!$U:$U,MATCH($A29,Base!$A:$A,0)),IF(EM$1=INDEX('Valo FX'!$R:$R,MATCH($A29,'Valo FX'!$A:$A,0)),INDEX(Base!$V:$V,MATCH($A29,Base!$A:$A,0)),0)))</f>
        <v>6.1227119999999999</v>
      </c>
      <c r="EN29" s="21">
        <f>IF(EN$1&lt;INDEX('Valo FX'!$Q:$Q,MATCH($A29,'Valo FX'!$A:$A,0)),0,IF(EN$1&lt;INDEX('Valo FX'!$R:$R,MATCH($A29,'Valo FX'!$A:$A,0)),INDEX(Base!$U:$U,MATCH($A29,Base!$A:$A,0)),IF(EN$1=INDEX('Valo FX'!$R:$R,MATCH($A29,'Valo FX'!$A:$A,0)),INDEX(Base!$V:$V,MATCH($A29,Base!$A:$A,0)),0)))</f>
        <v>6.1227119999999999</v>
      </c>
      <c r="EO29" s="21">
        <f>IF(EO$1&lt;INDEX('Valo FX'!$Q:$Q,MATCH($A29,'Valo FX'!$A:$A,0)),0,IF(EO$1&lt;INDEX('Valo FX'!$R:$R,MATCH($A29,'Valo FX'!$A:$A,0)),INDEX(Base!$U:$U,MATCH($A29,Base!$A:$A,0)),IF(EO$1=INDEX('Valo FX'!$R:$R,MATCH($A29,'Valo FX'!$A:$A,0)),INDEX(Base!$V:$V,MATCH($A29,Base!$A:$A,0)),0)))</f>
        <v>6.1227119999999999</v>
      </c>
      <c r="EP29" s="21">
        <f>IF(EP$1&lt;INDEX('Valo FX'!$Q:$Q,MATCH($A29,'Valo FX'!$A:$A,0)),0,IF(EP$1&lt;INDEX('Valo FX'!$R:$R,MATCH($A29,'Valo FX'!$A:$A,0)),INDEX(Base!$U:$U,MATCH($A29,Base!$A:$A,0)),IF(EP$1=INDEX('Valo FX'!$R:$R,MATCH($A29,'Valo FX'!$A:$A,0)),INDEX(Base!$V:$V,MATCH($A29,Base!$A:$A,0)),0)))</f>
        <v>6.1227119999999999</v>
      </c>
      <c r="EQ29" s="21">
        <f>IF(EQ$1&lt;INDEX('Valo FX'!$Q:$Q,MATCH($A29,'Valo FX'!$A:$A,0)),0,IF(EQ$1&lt;INDEX('Valo FX'!$R:$R,MATCH($A29,'Valo FX'!$A:$A,0)),INDEX(Base!$U:$U,MATCH($A29,Base!$A:$A,0)),IF(EQ$1=INDEX('Valo FX'!$R:$R,MATCH($A29,'Valo FX'!$A:$A,0)),INDEX(Base!$V:$V,MATCH($A29,Base!$A:$A,0)),0)))</f>
        <v>6.1227119999999999</v>
      </c>
      <c r="ER29" s="21">
        <f>IF(ER$1&lt;INDEX('Valo FX'!$Q:$Q,MATCH($A29,'Valo FX'!$A:$A,0)),0,IF(ER$1&lt;INDEX('Valo FX'!$R:$R,MATCH($A29,'Valo FX'!$A:$A,0)),INDEX(Base!$U:$U,MATCH($A29,Base!$A:$A,0)),IF(ER$1=INDEX('Valo FX'!$R:$R,MATCH($A29,'Valo FX'!$A:$A,0)),INDEX(Base!$V:$V,MATCH($A29,Base!$A:$A,0)),0)))</f>
        <v>6.1227119999999999</v>
      </c>
      <c r="ES29" s="21">
        <f>IF(ES$1&lt;INDEX('Valo FX'!$Q:$Q,MATCH($A29,'Valo FX'!$A:$A,0)),0,IF(ES$1&lt;INDEX('Valo FX'!$R:$R,MATCH($A29,'Valo FX'!$A:$A,0)),INDEX(Base!$U:$U,MATCH($A29,Base!$A:$A,0)),IF(ES$1=INDEX('Valo FX'!$R:$R,MATCH($A29,'Valo FX'!$A:$A,0)),INDEX(Base!$V:$V,MATCH($A29,Base!$A:$A,0)),0)))</f>
        <v>6.1227119999999999</v>
      </c>
      <c r="ET29" s="21">
        <f>IF(ET$1&lt;INDEX('Valo FX'!$Q:$Q,MATCH($A29,'Valo FX'!$A:$A,0)),0,IF(ET$1&lt;INDEX('Valo FX'!$R:$R,MATCH($A29,'Valo FX'!$A:$A,0)),INDEX(Base!$U:$U,MATCH($A29,Base!$A:$A,0)),IF(ET$1=INDEX('Valo FX'!$R:$R,MATCH($A29,'Valo FX'!$A:$A,0)),INDEX(Base!$V:$V,MATCH($A29,Base!$A:$A,0)),0)))</f>
        <v>6.1227119999999999</v>
      </c>
      <c r="EU29" s="21">
        <f>IF(EU$1&lt;INDEX('Valo FX'!$Q:$Q,MATCH($A29,'Valo FX'!$A:$A,0)),0,IF(EU$1&lt;INDEX('Valo FX'!$R:$R,MATCH($A29,'Valo FX'!$A:$A,0)),INDEX(Base!$U:$U,MATCH($A29,Base!$A:$A,0)),IF(EU$1=INDEX('Valo FX'!$R:$R,MATCH($A29,'Valo FX'!$A:$A,0)),INDEX(Base!$V:$V,MATCH($A29,Base!$A:$A,0)),0)))</f>
        <v>6.1227119999999999</v>
      </c>
      <c r="EV29" s="21">
        <f>IF(EV$1&lt;INDEX('Valo FX'!$Q:$Q,MATCH($A29,'Valo FX'!$A:$A,0)),0,IF(EV$1&lt;INDEX('Valo FX'!$R:$R,MATCH($A29,'Valo FX'!$A:$A,0)),INDEX(Base!$U:$U,MATCH($A29,Base!$A:$A,0)),IF(EV$1=INDEX('Valo FX'!$R:$R,MATCH($A29,'Valo FX'!$A:$A,0)),INDEX(Base!$V:$V,MATCH($A29,Base!$A:$A,0)),0)))</f>
        <v>6.1227119999999999</v>
      </c>
      <c r="EW29" s="21">
        <f>IF(EW$1&lt;INDEX('Valo FX'!$Q:$Q,MATCH($A29,'Valo FX'!$A:$A,0)),0,IF(EW$1&lt;INDEX('Valo FX'!$R:$R,MATCH($A29,'Valo FX'!$A:$A,0)),INDEX(Base!$U:$U,MATCH($A29,Base!$A:$A,0)),IF(EW$1=INDEX('Valo FX'!$R:$R,MATCH($A29,'Valo FX'!$A:$A,0)),INDEX(Base!$V:$V,MATCH($A29,Base!$A:$A,0)),0)))</f>
        <v>6.1227119999999999</v>
      </c>
      <c r="EX29" s="21">
        <f>IF(EX$1&lt;INDEX('Valo FX'!$Q:$Q,MATCH($A29,'Valo FX'!$A:$A,0)),0,IF(EX$1&lt;INDEX('Valo FX'!$R:$R,MATCH($A29,'Valo FX'!$A:$A,0)),INDEX(Base!$U:$U,MATCH($A29,Base!$A:$A,0)),IF(EX$1=INDEX('Valo FX'!$R:$R,MATCH($A29,'Valo FX'!$A:$A,0)),INDEX(Base!$V:$V,MATCH($A29,Base!$A:$A,0)),0)))</f>
        <v>6.1227119999999999</v>
      </c>
      <c r="EY29" s="21">
        <f>IF(EY$1&lt;INDEX('Valo FX'!$Q:$Q,MATCH($A29,'Valo FX'!$A:$A,0)),0,IF(EY$1&lt;INDEX('Valo FX'!$R:$R,MATCH($A29,'Valo FX'!$A:$A,0)),INDEX(Base!$U:$U,MATCH($A29,Base!$A:$A,0)),IF(EY$1=INDEX('Valo FX'!$R:$R,MATCH($A29,'Valo FX'!$A:$A,0)),INDEX(Base!$V:$V,MATCH($A29,Base!$A:$A,0)),0)))</f>
        <v>6.1227119999999999</v>
      </c>
      <c r="EZ29" s="21">
        <f>IF(EZ$1&lt;INDEX('Valo FX'!$Q:$Q,MATCH($A29,'Valo FX'!$A:$A,0)),0,IF(EZ$1&lt;INDEX('Valo FX'!$R:$R,MATCH($A29,'Valo FX'!$A:$A,0)),INDEX(Base!$U:$U,MATCH($A29,Base!$A:$A,0)),IF(EZ$1=INDEX('Valo FX'!$R:$R,MATCH($A29,'Valo FX'!$A:$A,0)),INDEX(Base!$V:$V,MATCH($A29,Base!$A:$A,0)),0)))</f>
        <v>6.1227119999999999</v>
      </c>
      <c r="FA29" s="21">
        <f>IF(FA$1&lt;INDEX('Valo FX'!$Q:$Q,MATCH($A29,'Valo FX'!$A:$A,0)),0,IF(FA$1&lt;INDEX('Valo FX'!$R:$R,MATCH($A29,'Valo FX'!$A:$A,0)),INDEX(Base!$U:$U,MATCH($A29,Base!$A:$A,0)),IF(FA$1=INDEX('Valo FX'!$R:$R,MATCH($A29,'Valo FX'!$A:$A,0)),INDEX(Base!$V:$V,MATCH($A29,Base!$A:$A,0)),0)))</f>
        <v>6.1227119999999999</v>
      </c>
      <c r="FB29" s="21">
        <f>IF(FB$1&lt;INDEX('Valo FX'!$Q:$Q,MATCH($A29,'Valo FX'!$A:$A,0)),0,IF(FB$1&lt;INDEX('Valo FX'!$R:$R,MATCH($A29,'Valo FX'!$A:$A,0)),INDEX(Base!$U:$U,MATCH($A29,Base!$A:$A,0)),IF(FB$1=INDEX('Valo FX'!$R:$R,MATCH($A29,'Valo FX'!$A:$A,0)),INDEX(Base!$V:$V,MATCH($A29,Base!$A:$A,0)),0)))</f>
        <v>6.1227119999999999</v>
      </c>
      <c r="FC29" s="21">
        <f>IF(FC$1&lt;INDEX('Valo FX'!$Q:$Q,MATCH($A29,'Valo FX'!$A:$A,0)),0,IF(FC$1&lt;INDEX('Valo FX'!$R:$R,MATCH($A29,'Valo FX'!$A:$A,0)),INDEX(Base!$U:$U,MATCH($A29,Base!$A:$A,0)),IF(FC$1=INDEX('Valo FX'!$R:$R,MATCH($A29,'Valo FX'!$A:$A,0)),INDEX(Base!$V:$V,MATCH($A29,Base!$A:$A,0)),0)))</f>
        <v>6.1227119999999999</v>
      </c>
      <c r="FD29" s="21">
        <f>IF(FD$1&lt;INDEX('Valo FX'!$Q:$Q,MATCH($A29,'Valo FX'!$A:$A,0)),0,IF(FD$1&lt;INDEX('Valo FX'!$R:$R,MATCH($A29,'Valo FX'!$A:$A,0)),INDEX(Base!$U:$U,MATCH($A29,Base!$A:$A,0)),IF(FD$1=INDEX('Valo FX'!$R:$R,MATCH($A29,'Valo FX'!$A:$A,0)),INDEX(Base!$V:$V,MATCH($A29,Base!$A:$A,0)),0)))</f>
        <v>6.1227119999999999</v>
      </c>
      <c r="FE29" s="21">
        <f>IF(FE$1&lt;INDEX('Valo FX'!$Q:$Q,MATCH($A29,'Valo FX'!$A:$A,0)),0,IF(FE$1&lt;INDEX('Valo FX'!$R:$R,MATCH($A29,'Valo FX'!$A:$A,0)),INDEX(Base!$U:$U,MATCH($A29,Base!$A:$A,0)),IF(FE$1=INDEX('Valo FX'!$R:$R,MATCH($A29,'Valo FX'!$A:$A,0)),INDEX(Base!$V:$V,MATCH($A29,Base!$A:$A,0)),0)))</f>
        <v>6.1227119999999999</v>
      </c>
      <c r="FF29" s="21">
        <f>IF(FF$1&lt;INDEX('Valo FX'!$Q:$Q,MATCH($A29,'Valo FX'!$A:$A,0)),0,IF(FF$1&lt;INDEX('Valo FX'!$R:$R,MATCH($A29,'Valo FX'!$A:$A,0)),INDEX(Base!$U:$U,MATCH($A29,Base!$A:$A,0)),IF(FF$1=INDEX('Valo FX'!$R:$R,MATCH($A29,'Valo FX'!$A:$A,0)),INDEX(Base!$V:$V,MATCH($A29,Base!$A:$A,0)),0)))</f>
        <v>6.1227119999999999</v>
      </c>
      <c r="FG29" s="21">
        <f>IF(FG$1&lt;INDEX('Valo FX'!$Q:$Q,MATCH($A29,'Valo FX'!$A:$A,0)),0,IF(FG$1&lt;INDEX('Valo FX'!$R:$R,MATCH($A29,'Valo FX'!$A:$A,0)),INDEX(Base!$U:$U,MATCH($A29,Base!$A:$A,0)),IF(FG$1=INDEX('Valo FX'!$R:$R,MATCH($A29,'Valo FX'!$A:$A,0)),INDEX(Base!$V:$V,MATCH($A29,Base!$A:$A,0)),0)))</f>
        <v>6.1227119999999999</v>
      </c>
      <c r="FH29" s="21">
        <f>IF(FH$1&lt;INDEX('Valo FX'!$Q:$Q,MATCH($A29,'Valo FX'!$A:$A,0)),0,IF(FH$1&lt;INDEX('Valo FX'!$R:$R,MATCH($A29,'Valo FX'!$A:$A,0)),INDEX(Base!$U:$U,MATCH($A29,Base!$A:$A,0)),IF(FH$1=INDEX('Valo FX'!$R:$R,MATCH($A29,'Valo FX'!$A:$A,0)),INDEX(Base!$V:$V,MATCH($A29,Base!$A:$A,0)),0)))</f>
        <v>6.1227119999999999</v>
      </c>
      <c r="FI29" s="21">
        <f>IF(FI$1&lt;INDEX('Valo FX'!$Q:$Q,MATCH($A29,'Valo FX'!$A:$A,0)),0,IF(FI$1&lt;INDEX('Valo FX'!$R:$R,MATCH($A29,'Valo FX'!$A:$A,0)),INDEX(Base!$U:$U,MATCH($A29,Base!$A:$A,0)),IF(FI$1=INDEX('Valo FX'!$R:$R,MATCH($A29,'Valo FX'!$A:$A,0)),INDEX(Base!$V:$V,MATCH($A29,Base!$A:$A,0)),0)))</f>
        <v>6.1227119999999999</v>
      </c>
      <c r="FJ29" s="21">
        <f>IF(FJ$1&lt;INDEX('Valo FX'!$Q:$Q,MATCH($A29,'Valo FX'!$A:$A,0)),0,IF(FJ$1&lt;INDEX('Valo FX'!$R:$R,MATCH($A29,'Valo FX'!$A:$A,0)),INDEX(Base!$U:$U,MATCH($A29,Base!$A:$A,0)),IF(FJ$1=INDEX('Valo FX'!$R:$R,MATCH($A29,'Valo FX'!$A:$A,0)),INDEX(Base!$V:$V,MATCH($A29,Base!$A:$A,0)),0)))</f>
        <v>6.1227119999999999</v>
      </c>
      <c r="FK29" s="21">
        <f>IF(FK$1&lt;INDEX('Valo FX'!$Q:$Q,MATCH($A29,'Valo FX'!$A:$A,0)),0,IF(FK$1&lt;INDEX('Valo FX'!$R:$R,MATCH($A29,'Valo FX'!$A:$A,0)),INDEX(Base!$U:$U,MATCH($A29,Base!$A:$A,0)),IF(FK$1=INDEX('Valo FX'!$R:$R,MATCH($A29,'Valo FX'!$A:$A,0)),INDEX(Base!$V:$V,MATCH($A29,Base!$A:$A,0)),0)))</f>
        <v>6.1227119999999999</v>
      </c>
      <c r="FL29" s="21">
        <f>IF(FL$1&lt;INDEX('Valo FX'!$Q:$Q,MATCH($A29,'Valo FX'!$A:$A,0)),0,IF(FL$1&lt;INDEX('Valo FX'!$R:$R,MATCH($A29,'Valo FX'!$A:$A,0)),INDEX(Base!$U:$U,MATCH($A29,Base!$A:$A,0)),IF(FL$1=INDEX('Valo FX'!$R:$R,MATCH($A29,'Valo FX'!$A:$A,0)),INDEX(Base!$V:$V,MATCH($A29,Base!$A:$A,0)),0)))</f>
        <v>6.1227119999999999</v>
      </c>
      <c r="FM29" s="21">
        <f>IF(FM$1&lt;INDEX('Valo FX'!$Q:$Q,MATCH($A29,'Valo FX'!$A:$A,0)),0,IF(FM$1&lt;INDEX('Valo FX'!$R:$R,MATCH($A29,'Valo FX'!$A:$A,0)),INDEX(Base!$U:$U,MATCH($A29,Base!$A:$A,0)),IF(FM$1=INDEX('Valo FX'!$R:$R,MATCH($A29,'Valo FX'!$A:$A,0)),INDEX(Base!$V:$V,MATCH($A29,Base!$A:$A,0)),0)))</f>
        <v>6.1227119999999999</v>
      </c>
      <c r="FN29" s="21">
        <f>IF(FN$1&lt;INDEX('Valo FX'!$Q:$Q,MATCH($A29,'Valo FX'!$A:$A,0)),0,IF(FN$1&lt;INDEX('Valo FX'!$R:$R,MATCH($A29,'Valo FX'!$A:$A,0)),INDEX(Base!$U:$U,MATCH($A29,Base!$A:$A,0)),IF(FN$1=INDEX('Valo FX'!$R:$R,MATCH($A29,'Valo FX'!$A:$A,0)),INDEX(Base!$V:$V,MATCH($A29,Base!$A:$A,0)),0)))</f>
        <v>6.1227119999999999</v>
      </c>
      <c r="FO29" s="21">
        <f>IF(FO$1&lt;INDEX('Valo FX'!$Q:$Q,MATCH($A29,'Valo FX'!$A:$A,0)),0,IF(FO$1&lt;INDEX('Valo FX'!$R:$R,MATCH($A29,'Valo FX'!$A:$A,0)),INDEX(Base!$U:$U,MATCH($A29,Base!$A:$A,0)),IF(FO$1=INDEX('Valo FX'!$R:$R,MATCH($A29,'Valo FX'!$A:$A,0)),INDEX(Base!$V:$V,MATCH($A29,Base!$A:$A,0)),0)))</f>
        <v>6.1227119999999999</v>
      </c>
      <c r="FP29" s="21">
        <f>IF(FP$1&lt;INDEX('Valo FX'!$Q:$Q,MATCH($A29,'Valo FX'!$A:$A,0)),0,IF(FP$1&lt;INDEX('Valo FX'!$R:$R,MATCH($A29,'Valo FX'!$A:$A,0)),INDEX(Base!$U:$U,MATCH($A29,Base!$A:$A,0)),IF(FP$1=INDEX('Valo FX'!$R:$R,MATCH($A29,'Valo FX'!$A:$A,0)),INDEX(Base!$V:$V,MATCH($A29,Base!$A:$A,0)),0)))</f>
        <v>6.1227119999999999</v>
      </c>
      <c r="FQ29" s="21">
        <f>IF(FQ$1&lt;INDEX('Valo FX'!$Q:$Q,MATCH($A29,'Valo FX'!$A:$A,0)),0,IF(FQ$1&lt;INDEX('Valo FX'!$R:$R,MATCH($A29,'Valo FX'!$A:$A,0)),INDEX(Base!$U:$U,MATCH($A29,Base!$A:$A,0)),IF(FQ$1=INDEX('Valo FX'!$R:$R,MATCH($A29,'Valo FX'!$A:$A,0)),INDEX(Base!$V:$V,MATCH($A29,Base!$A:$A,0)),0)))</f>
        <v>6.1227119999999999</v>
      </c>
      <c r="FR29" s="21">
        <f>IF(FR$1&lt;INDEX('Valo FX'!$Q:$Q,MATCH($A29,'Valo FX'!$A:$A,0)),0,IF(FR$1&lt;INDEX('Valo FX'!$R:$R,MATCH($A29,'Valo FX'!$A:$A,0)),INDEX(Base!$U:$U,MATCH($A29,Base!$A:$A,0)),IF(FR$1=INDEX('Valo FX'!$R:$R,MATCH($A29,'Valo FX'!$A:$A,0)),INDEX(Base!$V:$V,MATCH($A29,Base!$A:$A,0)),0)))</f>
        <v>6.1227119999999999</v>
      </c>
      <c r="FS29" s="21">
        <f>IF(FS$1&lt;INDEX('Valo FX'!$Q:$Q,MATCH($A29,'Valo FX'!$A:$A,0)),0,IF(FS$1&lt;INDEX('Valo FX'!$R:$R,MATCH($A29,'Valo FX'!$A:$A,0)),INDEX(Base!$U:$U,MATCH($A29,Base!$A:$A,0)),IF(FS$1=INDEX('Valo FX'!$R:$R,MATCH($A29,'Valo FX'!$A:$A,0)),INDEX(Base!$V:$V,MATCH($A29,Base!$A:$A,0)),0)))</f>
        <v>6.1227119999999999</v>
      </c>
      <c r="FT29" s="21">
        <f>IF(FT$1&lt;INDEX('Valo FX'!$Q:$Q,MATCH($A29,'Valo FX'!$A:$A,0)),0,IF(FT$1&lt;INDEX('Valo FX'!$R:$R,MATCH($A29,'Valo FX'!$A:$A,0)),INDEX(Base!$U:$U,MATCH($A29,Base!$A:$A,0)),IF(FT$1=INDEX('Valo FX'!$R:$R,MATCH($A29,'Valo FX'!$A:$A,0)),INDEX(Base!$V:$V,MATCH($A29,Base!$A:$A,0)),0)))</f>
        <v>6.1227119999999999</v>
      </c>
      <c r="FU29" s="21">
        <f>IF(FU$1&lt;INDEX('Valo FX'!$Q:$Q,MATCH($A29,'Valo FX'!$A:$A,0)),0,IF(FU$1&lt;INDEX('Valo FX'!$R:$R,MATCH($A29,'Valo FX'!$A:$A,0)),INDEX(Base!$U:$U,MATCH($A29,Base!$A:$A,0)),IF(FU$1=INDEX('Valo FX'!$R:$R,MATCH($A29,'Valo FX'!$A:$A,0)),INDEX(Base!$V:$V,MATCH($A29,Base!$A:$A,0)),0)))</f>
        <v>6.1227119999999999</v>
      </c>
      <c r="FV29" s="21">
        <f>IF(FV$1&lt;INDEX('Valo FX'!$Q:$Q,MATCH($A29,'Valo FX'!$A:$A,0)),0,IF(FV$1&lt;INDEX('Valo FX'!$R:$R,MATCH($A29,'Valo FX'!$A:$A,0)),INDEX(Base!$U:$U,MATCH($A29,Base!$A:$A,0)),IF(FV$1=INDEX('Valo FX'!$R:$R,MATCH($A29,'Valo FX'!$A:$A,0)),INDEX(Base!$V:$V,MATCH($A29,Base!$A:$A,0)),0)))</f>
        <v>6.1227119999999999</v>
      </c>
      <c r="FW29" s="21">
        <f>IF(FW$1&lt;INDEX('Valo FX'!$Q:$Q,MATCH($A29,'Valo FX'!$A:$A,0)),0,IF(FW$1&lt;INDEX('Valo FX'!$R:$R,MATCH($A29,'Valo FX'!$A:$A,0)),INDEX(Base!$U:$U,MATCH($A29,Base!$A:$A,0)),IF(FW$1=INDEX('Valo FX'!$R:$R,MATCH($A29,'Valo FX'!$A:$A,0)),INDEX(Base!$V:$V,MATCH($A29,Base!$A:$A,0)),0)))</f>
        <v>6.1227119999999999</v>
      </c>
      <c r="FX29" s="21">
        <f>IF(FX$1&lt;INDEX('Valo FX'!$Q:$Q,MATCH($A29,'Valo FX'!$A:$A,0)),0,IF(FX$1&lt;INDEX('Valo FX'!$R:$R,MATCH($A29,'Valo FX'!$A:$A,0)),INDEX(Base!$U:$U,MATCH($A29,Base!$A:$A,0)),IF(FX$1=INDEX('Valo FX'!$R:$R,MATCH($A29,'Valo FX'!$A:$A,0)),INDEX(Base!$V:$V,MATCH($A29,Base!$A:$A,0)),0)))</f>
        <v>6.1227119999999999</v>
      </c>
      <c r="FY29" s="21">
        <f>IF(FY$1&lt;INDEX('Valo FX'!$Q:$Q,MATCH($A29,'Valo FX'!$A:$A,0)),0,IF(FY$1&lt;INDEX('Valo FX'!$R:$R,MATCH($A29,'Valo FX'!$A:$A,0)),INDEX(Base!$U:$U,MATCH($A29,Base!$A:$A,0)),IF(FY$1=INDEX('Valo FX'!$R:$R,MATCH($A29,'Valo FX'!$A:$A,0)),INDEX(Base!$V:$V,MATCH($A29,Base!$A:$A,0)),0)))</f>
        <v>6.1227119999999999</v>
      </c>
      <c r="FZ29" s="21">
        <f>IF(FZ$1&lt;INDEX('Valo FX'!$Q:$Q,MATCH($A29,'Valo FX'!$A:$A,0)),0,IF(FZ$1&lt;INDEX('Valo FX'!$R:$R,MATCH($A29,'Valo FX'!$A:$A,0)),INDEX(Base!$U:$U,MATCH($A29,Base!$A:$A,0)),IF(FZ$1=INDEX('Valo FX'!$R:$R,MATCH($A29,'Valo FX'!$A:$A,0)),INDEX(Base!$V:$V,MATCH($A29,Base!$A:$A,0)),0)))</f>
        <v>6.1227119999999999</v>
      </c>
      <c r="GA29" s="21">
        <f>IF(GA$1&lt;INDEX('Valo FX'!$Q:$Q,MATCH($A29,'Valo FX'!$A:$A,0)),0,IF(GA$1&lt;INDEX('Valo FX'!$R:$R,MATCH($A29,'Valo FX'!$A:$A,0)),INDEX(Base!$U:$U,MATCH($A29,Base!$A:$A,0)),IF(GA$1=INDEX('Valo FX'!$R:$R,MATCH($A29,'Valo FX'!$A:$A,0)),INDEX(Base!$V:$V,MATCH($A29,Base!$A:$A,0)),0)))</f>
        <v>6.1227119999999999</v>
      </c>
      <c r="GB29" s="21">
        <f>IF(GB$1&lt;INDEX('Valo FX'!$Q:$Q,MATCH($A29,'Valo FX'!$A:$A,0)),0,IF(GB$1&lt;INDEX('Valo FX'!$R:$R,MATCH($A29,'Valo FX'!$A:$A,0)),INDEX(Base!$U:$U,MATCH($A29,Base!$A:$A,0)),IF(GB$1=INDEX('Valo FX'!$R:$R,MATCH($A29,'Valo FX'!$A:$A,0)),INDEX(Base!$V:$V,MATCH($A29,Base!$A:$A,0)),0)))</f>
        <v>6.1227119999999999</v>
      </c>
      <c r="GC29" s="21">
        <f>IF(GC$1&lt;INDEX('Valo FX'!$Q:$Q,MATCH($A29,'Valo FX'!$A:$A,0)),0,IF(GC$1&lt;INDEX('Valo FX'!$R:$R,MATCH($A29,'Valo FX'!$A:$A,0)),INDEX(Base!$U:$U,MATCH($A29,Base!$A:$A,0)),IF(GC$1=INDEX('Valo FX'!$R:$R,MATCH($A29,'Valo FX'!$A:$A,0)),INDEX(Base!$V:$V,MATCH($A29,Base!$A:$A,0)),0)))</f>
        <v>6.1227119999999999</v>
      </c>
      <c r="GD29" s="21">
        <f>IF(GD$1&lt;INDEX('Valo FX'!$Q:$Q,MATCH($A29,'Valo FX'!$A:$A,0)),0,IF(GD$1&lt;INDEX('Valo FX'!$R:$R,MATCH($A29,'Valo FX'!$A:$A,0)),INDEX(Base!$U:$U,MATCH($A29,Base!$A:$A,0)),IF(GD$1=INDEX('Valo FX'!$R:$R,MATCH($A29,'Valo FX'!$A:$A,0)),INDEX(Base!$V:$V,MATCH($A29,Base!$A:$A,0)),0)))</f>
        <v>6.1227119999999999</v>
      </c>
      <c r="GE29" s="21">
        <f>IF(GE$1&lt;INDEX('Valo FX'!$Q:$Q,MATCH($A29,'Valo FX'!$A:$A,0)),0,IF(GE$1&lt;INDEX('Valo FX'!$R:$R,MATCH($A29,'Valo FX'!$A:$A,0)),INDEX(Base!$U:$U,MATCH($A29,Base!$A:$A,0)),IF(GE$1=INDEX('Valo FX'!$R:$R,MATCH($A29,'Valo FX'!$A:$A,0)),INDEX(Base!$V:$V,MATCH($A29,Base!$A:$A,0)),0)))</f>
        <v>6.1227119999999999</v>
      </c>
      <c r="GF29" s="21">
        <f>IF(GF$1&lt;INDEX('Valo FX'!$Q:$Q,MATCH($A29,'Valo FX'!$A:$A,0)),0,IF(GF$1&lt;INDEX('Valo FX'!$R:$R,MATCH($A29,'Valo FX'!$A:$A,0)),INDEX(Base!$U:$U,MATCH($A29,Base!$A:$A,0)),IF(GF$1=INDEX('Valo FX'!$R:$R,MATCH($A29,'Valo FX'!$A:$A,0)),INDEX(Base!$V:$V,MATCH($A29,Base!$A:$A,0)),0)))</f>
        <v>6.1227119999999999</v>
      </c>
      <c r="GG29" s="21">
        <f>IF(GG$1&lt;INDEX('Valo FX'!$Q:$Q,MATCH($A29,'Valo FX'!$A:$A,0)),0,IF(GG$1&lt;INDEX('Valo FX'!$R:$R,MATCH($A29,'Valo FX'!$A:$A,0)),INDEX(Base!$U:$U,MATCH($A29,Base!$A:$A,0)),IF(GG$1=INDEX('Valo FX'!$R:$R,MATCH($A29,'Valo FX'!$A:$A,0)),INDEX(Base!$V:$V,MATCH($A29,Base!$A:$A,0)),0)))</f>
        <v>6.1227119999999999</v>
      </c>
      <c r="GH29" s="21">
        <f>IF(GH$1&lt;INDEX('Valo FX'!$Q:$Q,MATCH($A29,'Valo FX'!$A:$A,0)),0,IF(GH$1&lt;INDEX('Valo FX'!$R:$R,MATCH($A29,'Valo FX'!$A:$A,0)),INDEX(Base!$U:$U,MATCH($A29,Base!$A:$A,0)),IF(GH$1=INDEX('Valo FX'!$R:$R,MATCH($A29,'Valo FX'!$A:$A,0)),INDEX(Base!$V:$V,MATCH($A29,Base!$A:$A,0)),0)))</f>
        <v>6.1227119999999999</v>
      </c>
      <c r="GI29" s="21">
        <f>IF(GI$1&lt;INDEX('Valo FX'!$Q:$Q,MATCH($A29,'Valo FX'!$A:$A,0)),0,IF(GI$1&lt;INDEX('Valo FX'!$R:$R,MATCH($A29,'Valo FX'!$A:$A,0)),INDEX(Base!$U:$U,MATCH($A29,Base!$A:$A,0)),IF(GI$1=INDEX('Valo FX'!$R:$R,MATCH($A29,'Valo FX'!$A:$A,0)),INDEX(Base!$V:$V,MATCH($A29,Base!$A:$A,0)),0)))</f>
        <v>6.1227119999999999</v>
      </c>
      <c r="GJ29" s="21">
        <f>IF(GJ$1&lt;INDEX('Valo FX'!$Q:$Q,MATCH($A29,'Valo FX'!$A:$A,0)),0,IF(GJ$1&lt;INDEX('Valo FX'!$R:$R,MATCH($A29,'Valo FX'!$A:$A,0)),INDEX(Base!$U:$U,MATCH($A29,Base!$A:$A,0)),IF(GJ$1=INDEX('Valo FX'!$R:$R,MATCH($A29,'Valo FX'!$A:$A,0)),INDEX(Base!$V:$V,MATCH($A29,Base!$A:$A,0)),0)))</f>
        <v>6.1227119999999999</v>
      </c>
      <c r="GK29" s="21">
        <f>IF(GK$1&lt;INDEX('Valo FX'!$Q:$Q,MATCH($A29,'Valo FX'!$A:$A,0)),0,IF(GK$1&lt;INDEX('Valo FX'!$R:$R,MATCH($A29,'Valo FX'!$A:$A,0)),INDEX(Base!$U:$U,MATCH($A29,Base!$A:$A,0)),IF(GK$1=INDEX('Valo FX'!$R:$R,MATCH($A29,'Valo FX'!$A:$A,0)),INDEX(Base!$V:$V,MATCH($A29,Base!$A:$A,0)),0)))</f>
        <v>6.1227119999999999</v>
      </c>
      <c r="GL29" s="21">
        <f>IF(GL$1&lt;INDEX('Valo FX'!$Q:$Q,MATCH($A29,'Valo FX'!$A:$A,0)),0,IF(GL$1&lt;INDEX('Valo FX'!$R:$R,MATCH($A29,'Valo FX'!$A:$A,0)),INDEX(Base!$U:$U,MATCH($A29,Base!$A:$A,0)),IF(GL$1=INDEX('Valo FX'!$R:$R,MATCH($A29,'Valo FX'!$A:$A,0)),INDEX(Base!$V:$V,MATCH($A29,Base!$A:$A,0)),0)))</f>
        <v>6.1227119999999999</v>
      </c>
      <c r="GM29" s="21">
        <f>IF(GM$1&lt;INDEX('Valo FX'!$Q:$Q,MATCH($A29,'Valo FX'!$A:$A,0)),0,IF(GM$1&lt;INDEX('Valo FX'!$R:$R,MATCH($A29,'Valo FX'!$A:$A,0)),INDEX(Base!$U:$U,MATCH($A29,Base!$A:$A,0)),IF(GM$1=INDEX('Valo FX'!$R:$R,MATCH($A29,'Valo FX'!$A:$A,0)),INDEX(Base!$V:$V,MATCH($A29,Base!$A:$A,0)),0)))</f>
        <v>6.1227119999999999</v>
      </c>
      <c r="GN29" s="21">
        <f>IF(GN$1&lt;INDEX('Valo FX'!$Q:$Q,MATCH($A29,'Valo FX'!$A:$A,0)),0,IF(GN$1&lt;INDEX('Valo FX'!$R:$R,MATCH($A29,'Valo FX'!$A:$A,0)),INDEX(Base!$U:$U,MATCH($A29,Base!$A:$A,0)),IF(GN$1=INDEX('Valo FX'!$R:$R,MATCH($A29,'Valo FX'!$A:$A,0)),INDEX(Base!$V:$V,MATCH($A29,Base!$A:$A,0)),0)))</f>
        <v>6.1227119999999999</v>
      </c>
      <c r="GO29" s="21">
        <f>IF(GO$1&lt;INDEX('Valo FX'!$Q:$Q,MATCH($A29,'Valo FX'!$A:$A,0)),0,IF(GO$1&lt;INDEX('Valo FX'!$R:$R,MATCH($A29,'Valo FX'!$A:$A,0)),INDEX(Base!$U:$U,MATCH($A29,Base!$A:$A,0)),IF(GO$1=INDEX('Valo FX'!$R:$R,MATCH($A29,'Valo FX'!$A:$A,0)),INDEX(Base!$V:$V,MATCH($A29,Base!$A:$A,0)),0)))</f>
        <v>6.1227119999999999</v>
      </c>
      <c r="GP29" s="21">
        <f>IF(GP$1&lt;INDEX('Valo FX'!$Q:$Q,MATCH($A29,'Valo FX'!$A:$A,0)),0,IF(GP$1&lt;INDEX('Valo FX'!$R:$R,MATCH($A29,'Valo FX'!$A:$A,0)),INDEX(Base!$U:$U,MATCH($A29,Base!$A:$A,0)),IF(GP$1=INDEX('Valo FX'!$R:$R,MATCH($A29,'Valo FX'!$A:$A,0)),INDEX(Base!$V:$V,MATCH($A29,Base!$A:$A,0)),0)))</f>
        <v>6.1227119999999999</v>
      </c>
      <c r="GQ29" s="21">
        <f>IF(GQ$1&lt;INDEX('Valo FX'!$Q:$Q,MATCH($A29,'Valo FX'!$A:$A,0)),0,IF(GQ$1&lt;INDEX('Valo FX'!$R:$R,MATCH($A29,'Valo FX'!$A:$A,0)),INDEX(Base!$U:$U,MATCH($A29,Base!$A:$A,0)),IF(GQ$1=INDEX('Valo FX'!$R:$R,MATCH($A29,'Valo FX'!$A:$A,0)),INDEX(Base!$V:$V,MATCH($A29,Base!$A:$A,0)),0)))</f>
        <v>6.1227119999999999</v>
      </c>
      <c r="GR29" s="21">
        <f>IF(GR$1&lt;INDEX('Valo FX'!$Q:$Q,MATCH($A29,'Valo FX'!$A:$A,0)),0,IF(GR$1&lt;INDEX('Valo FX'!$R:$R,MATCH($A29,'Valo FX'!$A:$A,0)),INDEX(Base!$U:$U,MATCH($A29,Base!$A:$A,0)),IF(GR$1=INDEX('Valo FX'!$R:$R,MATCH($A29,'Valo FX'!$A:$A,0)),INDEX(Base!$V:$V,MATCH($A29,Base!$A:$A,0)),0)))</f>
        <v>6.1227119999999999</v>
      </c>
      <c r="GS29" s="21">
        <f>IF(GS$1&lt;INDEX('Valo FX'!$Q:$Q,MATCH($A29,'Valo FX'!$A:$A,0)),0,IF(GS$1&lt;INDEX('Valo FX'!$R:$R,MATCH($A29,'Valo FX'!$A:$A,0)),INDEX(Base!$U:$U,MATCH($A29,Base!$A:$A,0)),IF(GS$1=INDEX('Valo FX'!$R:$R,MATCH($A29,'Valo FX'!$A:$A,0)),INDEX(Base!$V:$V,MATCH($A29,Base!$A:$A,0)),0)))</f>
        <v>6.1227119999999999</v>
      </c>
      <c r="GT29" s="21">
        <f>IF(GT$1&lt;INDEX('Valo FX'!$Q:$Q,MATCH($A29,'Valo FX'!$A:$A,0)),0,IF(GT$1&lt;INDEX('Valo FX'!$R:$R,MATCH($A29,'Valo FX'!$A:$A,0)),INDEX(Base!$U:$U,MATCH($A29,Base!$A:$A,0)),IF(GT$1=INDEX('Valo FX'!$R:$R,MATCH($A29,'Valo FX'!$A:$A,0)),INDEX(Base!$V:$V,MATCH($A29,Base!$A:$A,0)),0)))</f>
        <v>6.1227119999999999</v>
      </c>
      <c r="GU29" s="21">
        <f>IF(GU$1&lt;INDEX('Valo FX'!$Q:$Q,MATCH($A29,'Valo FX'!$A:$A,0)),0,IF(GU$1&lt;INDEX('Valo FX'!$R:$R,MATCH($A29,'Valo FX'!$A:$A,0)),INDEX(Base!$U:$U,MATCH($A29,Base!$A:$A,0)),IF(GU$1=INDEX('Valo FX'!$R:$R,MATCH($A29,'Valo FX'!$A:$A,0)),INDEX(Base!$V:$V,MATCH($A29,Base!$A:$A,0)),0)))</f>
        <v>6.1227119999999999</v>
      </c>
      <c r="GV29" s="21">
        <f>IF(GV$1&lt;INDEX('Valo FX'!$Q:$Q,MATCH($A29,'Valo FX'!$A:$A,0)),0,IF(GV$1&lt;INDEX('Valo FX'!$R:$R,MATCH($A29,'Valo FX'!$A:$A,0)),INDEX(Base!$U:$U,MATCH($A29,Base!$A:$A,0)),IF(GV$1=INDEX('Valo FX'!$R:$R,MATCH($A29,'Valo FX'!$A:$A,0)),INDEX(Base!$V:$V,MATCH($A29,Base!$A:$A,0)),0)))</f>
        <v>6.1227119999999999</v>
      </c>
      <c r="GW29" s="21">
        <f>IF(GW$1&lt;INDEX('Valo FX'!$Q:$Q,MATCH($A29,'Valo FX'!$A:$A,0)),0,IF(GW$1&lt;INDEX('Valo FX'!$R:$R,MATCH($A29,'Valo FX'!$A:$A,0)),INDEX(Base!$U:$U,MATCH($A29,Base!$A:$A,0)),IF(GW$1=INDEX('Valo FX'!$R:$R,MATCH($A29,'Valo FX'!$A:$A,0)),INDEX(Base!$V:$V,MATCH($A29,Base!$A:$A,0)),0)))</f>
        <v>6.1227119999999999</v>
      </c>
      <c r="GX29" s="21">
        <f>IF(GX$1&lt;INDEX('Valo FX'!$Q:$Q,MATCH($A29,'Valo FX'!$A:$A,0)),0,IF(GX$1&lt;INDEX('Valo FX'!$R:$R,MATCH($A29,'Valo FX'!$A:$A,0)),INDEX(Base!$U:$U,MATCH($A29,Base!$A:$A,0)),IF(GX$1=INDEX('Valo FX'!$R:$R,MATCH($A29,'Valo FX'!$A:$A,0)),INDEX(Base!$V:$V,MATCH($A29,Base!$A:$A,0)),0)))</f>
        <v>6.1227119999999999</v>
      </c>
      <c r="GY29" s="21">
        <f>IF(GY$1&lt;INDEX('Valo FX'!$Q:$Q,MATCH($A29,'Valo FX'!$A:$A,0)),0,IF(GY$1&lt;INDEX('Valo FX'!$R:$R,MATCH($A29,'Valo FX'!$A:$A,0)),INDEX(Base!$U:$U,MATCH($A29,Base!$A:$A,0)),IF(GY$1=INDEX('Valo FX'!$R:$R,MATCH($A29,'Valo FX'!$A:$A,0)),INDEX(Base!$V:$V,MATCH($A29,Base!$A:$A,0)),0)))</f>
        <v>6.1227119999999999</v>
      </c>
      <c r="GZ29" s="21">
        <f>IF(GZ$1&lt;INDEX('Valo FX'!$Q:$Q,MATCH($A29,'Valo FX'!$A:$A,0)),0,IF(GZ$1&lt;INDEX('Valo FX'!$R:$R,MATCH($A29,'Valo FX'!$A:$A,0)),INDEX(Base!$U:$U,MATCH($A29,Base!$A:$A,0)),IF(GZ$1=INDEX('Valo FX'!$R:$R,MATCH($A29,'Valo FX'!$A:$A,0)),INDEX(Base!$V:$V,MATCH($A29,Base!$A:$A,0)),0)))</f>
        <v>6.1227119999999999</v>
      </c>
      <c r="HA29" s="21">
        <f>IF(HA$1&lt;INDEX('Valo FX'!$Q:$Q,MATCH($A29,'Valo FX'!$A:$A,0)),0,IF(HA$1&lt;INDEX('Valo FX'!$R:$R,MATCH($A29,'Valo FX'!$A:$A,0)),INDEX(Base!$U:$U,MATCH($A29,Base!$A:$A,0)),IF(HA$1=INDEX('Valo FX'!$R:$R,MATCH($A29,'Valo FX'!$A:$A,0)),INDEX(Base!$V:$V,MATCH($A29,Base!$A:$A,0)),0)))</f>
        <v>6.1227119999999999</v>
      </c>
      <c r="HB29" s="21">
        <f>IF(HB$1&lt;INDEX('Valo FX'!$Q:$Q,MATCH($A29,'Valo FX'!$A:$A,0)),0,IF(HB$1&lt;INDEX('Valo FX'!$R:$R,MATCH($A29,'Valo FX'!$A:$A,0)),INDEX(Base!$U:$U,MATCH($A29,Base!$A:$A,0)),IF(HB$1=INDEX('Valo FX'!$R:$R,MATCH($A29,'Valo FX'!$A:$A,0)),INDEX(Base!$V:$V,MATCH($A29,Base!$A:$A,0)),0)))</f>
        <v>6.1227119999999999</v>
      </c>
      <c r="HC29" s="21">
        <f>IF(HC$1&lt;INDEX('Valo FX'!$Q:$Q,MATCH($A29,'Valo FX'!$A:$A,0)),0,IF(HC$1&lt;INDEX('Valo FX'!$R:$R,MATCH($A29,'Valo FX'!$A:$A,0)),INDEX(Base!$U:$U,MATCH($A29,Base!$A:$A,0)),IF(HC$1=INDEX('Valo FX'!$R:$R,MATCH($A29,'Valo FX'!$A:$A,0)),INDEX(Base!$V:$V,MATCH($A29,Base!$A:$A,0)),0)))</f>
        <v>6.1227119999999999</v>
      </c>
      <c r="HD29" s="21">
        <f>IF(HD$1&lt;INDEX('Valo FX'!$Q:$Q,MATCH($A29,'Valo FX'!$A:$A,0)),0,IF(HD$1&lt;INDEX('Valo FX'!$R:$R,MATCH($A29,'Valo FX'!$A:$A,0)),INDEX(Base!$U:$U,MATCH($A29,Base!$A:$A,0)),IF(HD$1=INDEX('Valo FX'!$R:$R,MATCH($A29,'Valo FX'!$A:$A,0)),INDEX(Base!$V:$V,MATCH($A29,Base!$A:$A,0)),0)))</f>
        <v>6.1227119999999999</v>
      </c>
      <c r="HE29" s="21">
        <f>IF(HE$1&lt;INDEX('Valo FX'!$Q:$Q,MATCH($A29,'Valo FX'!$A:$A,0)),0,IF(HE$1&lt;INDEX('Valo FX'!$R:$R,MATCH($A29,'Valo FX'!$A:$A,0)),INDEX(Base!$U:$U,MATCH($A29,Base!$A:$A,0)),IF(HE$1=INDEX('Valo FX'!$R:$R,MATCH($A29,'Valo FX'!$A:$A,0)),INDEX(Base!$V:$V,MATCH($A29,Base!$A:$A,0)),0)))</f>
        <v>6.1227119999999999</v>
      </c>
      <c r="HF29" s="21">
        <f>IF(HF$1&lt;INDEX('Valo FX'!$Q:$Q,MATCH($A29,'Valo FX'!$A:$A,0)),0,IF(HF$1&lt;INDEX('Valo FX'!$R:$R,MATCH($A29,'Valo FX'!$A:$A,0)),INDEX(Base!$U:$U,MATCH($A29,Base!$A:$A,0)),IF(HF$1=INDEX('Valo FX'!$R:$R,MATCH($A29,'Valo FX'!$A:$A,0)),INDEX(Base!$V:$V,MATCH($A29,Base!$A:$A,0)),0)))</f>
        <v>6.1227119999999999</v>
      </c>
      <c r="HG29" s="21">
        <f>IF(HG$1&lt;INDEX('Valo FX'!$Q:$Q,MATCH($A29,'Valo FX'!$A:$A,0)),0,IF(HG$1&lt;INDEX('Valo FX'!$R:$R,MATCH($A29,'Valo FX'!$A:$A,0)),INDEX(Base!$U:$U,MATCH($A29,Base!$A:$A,0)),IF(HG$1=INDEX('Valo FX'!$R:$R,MATCH($A29,'Valo FX'!$A:$A,0)),INDEX(Base!$V:$V,MATCH($A29,Base!$A:$A,0)),0)))</f>
        <v>6.1227119999999999</v>
      </c>
      <c r="HH29" s="21">
        <f>IF(HH$1&lt;INDEX('Valo FX'!$Q:$Q,MATCH($A29,'Valo FX'!$A:$A,0)),0,IF(HH$1&lt;INDEX('Valo FX'!$R:$R,MATCH($A29,'Valo FX'!$A:$A,0)),INDEX(Base!$U:$U,MATCH($A29,Base!$A:$A,0)),IF(HH$1=INDEX('Valo FX'!$R:$R,MATCH($A29,'Valo FX'!$A:$A,0)),INDEX(Base!$V:$V,MATCH($A29,Base!$A:$A,0)),0)))</f>
        <v>6.1227119999999999</v>
      </c>
      <c r="HI29" s="21">
        <f>IF(HI$1&lt;INDEX('Valo FX'!$Q:$Q,MATCH($A29,'Valo FX'!$A:$A,0)),0,IF(HI$1&lt;INDEX('Valo FX'!$R:$R,MATCH($A29,'Valo FX'!$A:$A,0)),INDEX(Base!$U:$U,MATCH($A29,Base!$A:$A,0)),IF(HI$1=INDEX('Valo FX'!$R:$R,MATCH($A29,'Valo FX'!$A:$A,0)),INDEX(Base!$V:$V,MATCH($A29,Base!$A:$A,0)),0)))</f>
        <v>6.1227119999999999</v>
      </c>
      <c r="HJ29" s="21">
        <f>IF(HJ$1&lt;INDEX('Valo FX'!$Q:$Q,MATCH($A29,'Valo FX'!$A:$A,0)),0,IF(HJ$1&lt;INDEX('Valo FX'!$R:$R,MATCH($A29,'Valo FX'!$A:$A,0)),INDEX(Base!$U:$U,MATCH($A29,Base!$A:$A,0)),IF(HJ$1=INDEX('Valo FX'!$R:$R,MATCH($A29,'Valo FX'!$A:$A,0)),INDEX(Base!$V:$V,MATCH($A29,Base!$A:$A,0)),0)))</f>
        <v>6.1227119999999999</v>
      </c>
      <c r="HK29" s="21">
        <f>IF(HK$1&lt;INDEX('Valo FX'!$Q:$Q,MATCH($A29,'Valo FX'!$A:$A,0)),0,IF(HK$1&lt;INDEX('Valo FX'!$R:$R,MATCH($A29,'Valo FX'!$A:$A,0)),INDEX(Base!$U:$U,MATCH($A29,Base!$A:$A,0)),IF(HK$1=INDEX('Valo FX'!$R:$R,MATCH($A29,'Valo FX'!$A:$A,0)),INDEX(Base!$V:$V,MATCH($A29,Base!$A:$A,0)),0)))</f>
        <v>6.1227119999999999</v>
      </c>
      <c r="HL29" s="21">
        <f>IF(HL$1&lt;INDEX('Valo FX'!$Q:$Q,MATCH($A29,'Valo FX'!$A:$A,0)),0,IF(HL$1&lt;INDEX('Valo FX'!$R:$R,MATCH($A29,'Valo FX'!$A:$A,0)),INDEX(Base!$U:$U,MATCH($A29,Base!$A:$A,0)),IF(HL$1=INDEX('Valo FX'!$R:$R,MATCH($A29,'Valo FX'!$A:$A,0)),INDEX(Base!$V:$V,MATCH($A29,Base!$A:$A,0)),0)))</f>
        <v>6.1227119999999999</v>
      </c>
      <c r="HM29" s="21">
        <f>IF(HM$1&lt;INDEX('Valo FX'!$Q:$Q,MATCH($A29,'Valo FX'!$A:$A,0)),0,IF(HM$1&lt;INDEX('Valo FX'!$R:$R,MATCH($A29,'Valo FX'!$A:$A,0)),INDEX(Base!$U:$U,MATCH($A29,Base!$A:$A,0)),IF(HM$1=INDEX('Valo FX'!$R:$R,MATCH($A29,'Valo FX'!$A:$A,0)),INDEX(Base!$V:$V,MATCH($A29,Base!$A:$A,0)),0)))</f>
        <v>6.1227119999999999</v>
      </c>
      <c r="HN29" s="21">
        <f>IF(HN$1&lt;INDEX('Valo FX'!$Q:$Q,MATCH($A29,'Valo FX'!$A:$A,0)),0,IF(HN$1&lt;INDEX('Valo FX'!$R:$R,MATCH($A29,'Valo FX'!$A:$A,0)),INDEX(Base!$U:$U,MATCH($A29,Base!$A:$A,0)),IF(HN$1=INDEX('Valo FX'!$R:$R,MATCH($A29,'Valo FX'!$A:$A,0)),INDEX(Base!$V:$V,MATCH($A29,Base!$A:$A,0)),0)))</f>
        <v>6.1227119999999999</v>
      </c>
      <c r="HO29" s="21">
        <f>IF(HO$1&lt;INDEX('Valo FX'!$Q:$Q,MATCH($A29,'Valo FX'!$A:$A,0)),0,IF(HO$1&lt;INDEX('Valo FX'!$R:$R,MATCH($A29,'Valo FX'!$A:$A,0)),INDEX(Base!$U:$U,MATCH($A29,Base!$A:$A,0)),IF(HO$1=INDEX('Valo FX'!$R:$R,MATCH($A29,'Valo FX'!$A:$A,0)),INDEX(Base!$V:$V,MATCH($A29,Base!$A:$A,0)),0)))</f>
        <v>6.1227119999999999</v>
      </c>
      <c r="HP29" s="21">
        <f>IF(HP$1&lt;INDEX('Valo FX'!$Q:$Q,MATCH($A29,'Valo FX'!$A:$A,0)),0,IF(HP$1&lt;INDEX('Valo FX'!$R:$R,MATCH($A29,'Valo FX'!$A:$A,0)),INDEX(Base!$U:$U,MATCH($A29,Base!$A:$A,0)),IF(HP$1=INDEX('Valo FX'!$R:$R,MATCH($A29,'Valo FX'!$A:$A,0)),INDEX(Base!$V:$V,MATCH($A29,Base!$A:$A,0)),0)))</f>
        <v>6.1227119999999999</v>
      </c>
      <c r="HQ29" s="21">
        <f>IF(HQ$1&lt;INDEX('Valo FX'!$Q:$Q,MATCH($A29,'Valo FX'!$A:$A,0)),0,IF(HQ$1&lt;INDEX('Valo FX'!$R:$R,MATCH($A29,'Valo FX'!$A:$A,0)),INDEX(Base!$U:$U,MATCH($A29,Base!$A:$A,0)),IF(HQ$1=INDEX('Valo FX'!$R:$R,MATCH($A29,'Valo FX'!$A:$A,0)),INDEX(Base!$V:$V,MATCH($A29,Base!$A:$A,0)),0)))</f>
        <v>6.1227119999999999</v>
      </c>
      <c r="HR29" s="21">
        <f>IF(HR$1&lt;INDEX('Valo FX'!$Q:$Q,MATCH($A29,'Valo FX'!$A:$A,0)),0,IF(HR$1&lt;INDEX('Valo FX'!$R:$R,MATCH($A29,'Valo FX'!$A:$A,0)),INDEX(Base!$U:$U,MATCH($A29,Base!$A:$A,0)),IF(HR$1=INDEX('Valo FX'!$R:$R,MATCH($A29,'Valo FX'!$A:$A,0)),INDEX(Base!$V:$V,MATCH($A29,Base!$A:$A,0)),0)))</f>
        <v>6.1227119999999999</v>
      </c>
      <c r="HS29" s="21">
        <f>IF(HS$1&lt;INDEX('Valo FX'!$Q:$Q,MATCH($A29,'Valo FX'!$A:$A,0)),0,IF(HS$1&lt;INDEX('Valo FX'!$R:$R,MATCH($A29,'Valo FX'!$A:$A,0)),INDEX(Base!$U:$U,MATCH($A29,Base!$A:$A,0)),IF(HS$1=INDEX('Valo FX'!$R:$R,MATCH($A29,'Valo FX'!$A:$A,0)),INDEX(Base!$V:$V,MATCH($A29,Base!$A:$A,0)),0)))</f>
        <v>6.1227119999999999</v>
      </c>
      <c r="HT29" s="21">
        <f>IF(HT$1&lt;INDEX('Valo FX'!$Q:$Q,MATCH($A29,'Valo FX'!$A:$A,0)),0,IF(HT$1&lt;INDEX('Valo FX'!$R:$R,MATCH($A29,'Valo FX'!$A:$A,0)),INDEX(Base!$U:$U,MATCH($A29,Base!$A:$A,0)),IF(HT$1=INDEX('Valo FX'!$R:$R,MATCH($A29,'Valo FX'!$A:$A,0)),INDEX(Base!$V:$V,MATCH($A29,Base!$A:$A,0)),0)))</f>
        <v>6.1227119999999999</v>
      </c>
      <c r="HU29" s="21">
        <f>IF(HU$1&lt;INDEX('Valo FX'!$Q:$Q,MATCH($A29,'Valo FX'!$A:$A,0)),0,IF(HU$1&lt;INDEX('Valo FX'!$R:$R,MATCH($A29,'Valo FX'!$A:$A,0)),INDEX(Base!$U:$U,MATCH($A29,Base!$A:$A,0)),IF(HU$1=INDEX('Valo FX'!$R:$R,MATCH($A29,'Valo FX'!$A:$A,0)),INDEX(Base!$V:$V,MATCH($A29,Base!$A:$A,0)),0)))</f>
        <v>6.1227119999999999</v>
      </c>
      <c r="HV29" s="21">
        <f>IF(HV$1&lt;INDEX('Valo FX'!$Q:$Q,MATCH($A29,'Valo FX'!$A:$A,0)),0,IF(HV$1&lt;INDEX('Valo FX'!$R:$R,MATCH($A29,'Valo FX'!$A:$A,0)),INDEX(Base!$U:$U,MATCH($A29,Base!$A:$A,0)),IF(HV$1=INDEX('Valo FX'!$R:$R,MATCH($A29,'Valo FX'!$A:$A,0)),INDEX(Base!$V:$V,MATCH($A29,Base!$A:$A,0)),0)))</f>
        <v>6.1227119999999999</v>
      </c>
      <c r="HW29" s="21">
        <f>IF(HW$1&lt;INDEX('Valo FX'!$Q:$Q,MATCH($A29,'Valo FX'!$A:$A,0)),0,IF(HW$1&lt;INDEX('Valo FX'!$R:$R,MATCH($A29,'Valo FX'!$A:$A,0)),INDEX(Base!$U:$U,MATCH($A29,Base!$A:$A,0)),IF(HW$1=INDEX('Valo FX'!$R:$R,MATCH($A29,'Valo FX'!$A:$A,0)),INDEX(Base!$V:$V,MATCH($A29,Base!$A:$A,0)),0)))</f>
        <v>6.1227119999999999</v>
      </c>
      <c r="HX29" s="21">
        <f>IF(HX$1&lt;INDEX('Valo FX'!$Q:$Q,MATCH($A29,'Valo FX'!$A:$A,0)),0,IF(HX$1&lt;INDEX('Valo FX'!$R:$R,MATCH($A29,'Valo FX'!$A:$A,0)),INDEX(Base!$U:$U,MATCH($A29,Base!$A:$A,0)),IF(HX$1=INDEX('Valo FX'!$R:$R,MATCH($A29,'Valo FX'!$A:$A,0)),INDEX(Base!$V:$V,MATCH($A29,Base!$A:$A,0)),0)))</f>
        <v>6.1227119999999999</v>
      </c>
      <c r="HY29" s="21">
        <f>IF(HY$1&lt;INDEX('Valo FX'!$Q:$Q,MATCH($A29,'Valo FX'!$A:$A,0)),0,IF(HY$1&lt;INDEX('Valo FX'!$R:$R,MATCH($A29,'Valo FX'!$A:$A,0)),INDEX(Base!$U:$U,MATCH($A29,Base!$A:$A,0)),IF(HY$1=INDEX('Valo FX'!$R:$R,MATCH($A29,'Valo FX'!$A:$A,0)),INDEX(Base!$V:$V,MATCH($A29,Base!$A:$A,0)),0)))</f>
        <v>6.1227119999999999</v>
      </c>
      <c r="HZ29" s="21">
        <f>IF(HZ$1&lt;INDEX('Valo FX'!$Q:$Q,MATCH($A29,'Valo FX'!$A:$A,0)),0,IF(HZ$1&lt;INDEX('Valo FX'!$R:$R,MATCH($A29,'Valo FX'!$A:$A,0)),INDEX(Base!$U:$U,MATCH($A29,Base!$A:$A,0)),IF(HZ$1=INDEX('Valo FX'!$R:$R,MATCH($A29,'Valo FX'!$A:$A,0)),INDEX(Base!$V:$V,MATCH($A29,Base!$A:$A,0)),0)))</f>
        <v>6.1227119999999999</v>
      </c>
      <c r="IA29" s="21">
        <f>IF(IA$1&lt;INDEX('Valo FX'!$Q:$Q,MATCH($A29,'Valo FX'!$A:$A,0)),0,IF(IA$1&lt;INDEX('Valo FX'!$R:$R,MATCH($A29,'Valo FX'!$A:$A,0)),INDEX(Base!$U:$U,MATCH($A29,Base!$A:$A,0)),IF(IA$1=INDEX('Valo FX'!$R:$R,MATCH($A29,'Valo FX'!$A:$A,0)),INDEX(Base!$V:$V,MATCH($A29,Base!$A:$A,0)),0)))</f>
        <v>6.1227119999999999</v>
      </c>
      <c r="IB29" s="21">
        <f>IF(IB$1&lt;INDEX('Valo FX'!$Q:$Q,MATCH($A29,'Valo FX'!$A:$A,0)),0,IF(IB$1&lt;INDEX('Valo FX'!$R:$R,MATCH($A29,'Valo FX'!$A:$A,0)),INDEX(Base!$U:$U,MATCH($A29,Base!$A:$A,0)),IF(IB$1=INDEX('Valo FX'!$R:$R,MATCH($A29,'Valo FX'!$A:$A,0)),INDEX(Base!$V:$V,MATCH($A29,Base!$A:$A,0)),0)))</f>
        <v>6.1227119999999999</v>
      </c>
      <c r="IC29" s="21">
        <f>IF(IC$1&lt;INDEX('Valo FX'!$Q:$Q,MATCH($A29,'Valo FX'!$A:$A,0)),0,IF(IC$1&lt;INDEX('Valo FX'!$R:$R,MATCH($A29,'Valo FX'!$A:$A,0)),INDEX(Base!$U:$U,MATCH($A29,Base!$A:$A,0)),IF(IC$1=INDEX('Valo FX'!$R:$R,MATCH($A29,'Valo FX'!$A:$A,0)),INDEX(Base!$V:$V,MATCH($A29,Base!$A:$A,0)),0)))</f>
        <v>6.1227119999999999</v>
      </c>
      <c r="ID29" s="21">
        <f>IF(ID$1&lt;INDEX('Valo FX'!$Q:$Q,MATCH($A29,'Valo FX'!$A:$A,0)),0,IF(ID$1&lt;INDEX('Valo FX'!$R:$R,MATCH($A29,'Valo FX'!$A:$A,0)),INDEX(Base!$U:$U,MATCH($A29,Base!$A:$A,0)),IF(ID$1=INDEX('Valo FX'!$R:$R,MATCH($A29,'Valo FX'!$A:$A,0)),INDEX(Base!$V:$V,MATCH($A29,Base!$A:$A,0)),0)))</f>
        <v>6.1227119999999999</v>
      </c>
      <c r="IE29" s="21">
        <f>IF(IE$1&lt;INDEX('Valo FX'!$Q:$Q,MATCH($A29,'Valo FX'!$A:$A,0)),0,IF(IE$1&lt;INDEX('Valo FX'!$R:$R,MATCH($A29,'Valo FX'!$A:$A,0)),INDEX(Base!$U:$U,MATCH($A29,Base!$A:$A,0)),IF(IE$1=INDEX('Valo FX'!$R:$R,MATCH($A29,'Valo FX'!$A:$A,0)),INDEX(Base!$V:$V,MATCH($A29,Base!$A:$A,0)),0)))</f>
        <v>6.1227119999999999</v>
      </c>
      <c r="IF29" s="21">
        <f>IF(IF$1&lt;INDEX('Valo FX'!$Q:$Q,MATCH($A29,'Valo FX'!$A:$A,0)),0,IF(IF$1&lt;INDEX('Valo FX'!$R:$R,MATCH($A29,'Valo FX'!$A:$A,0)),INDEX(Base!$U:$U,MATCH($A29,Base!$A:$A,0)),IF(IF$1=INDEX('Valo FX'!$R:$R,MATCH($A29,'Valo FX'!$A:$A,0)),INDEX(Base!$V:$V,MATCH($A29,Base!$A:$A,0)),0)))</f>
        <v>6.1227119999999999</v>
      </c>
      <c r="IG29" s="21">
        <f>IF(IG$1&lt;INDEX('Valo FX'!$Q:$Q,MATCH($A29,'Valo FX'!$A:$A,0)),0,IF(IG$1&lt;INDEX('Valo FX'!$R:$R,MATCH($A29,'Valo FX'!$A:$A,0)),INDEX(Base!$U:$U,MATCH($A29,Base!$A:$A,0)),IF(IG$1=INDEX('Valo FX'!$R:$R,MATCH($A29,'Valo FX'!$A:$A,0)),INDEX(Base!$V:$V,MATCH($A29,Base!$A:$A,0)),0)))</f>
        <v>6.1227119999999999</v>
      </c>
      <c r="IH29" s="21">
        <f>IF(IH$1&lt;INDEX('Valo FX'!$Q:$Q,MATCH($A29,'Valo FX'!$A:$A,0)),0,IF(IH$1&lt;INDEX('Valo FX'!$R:$R,MATCH($A29,'Valo FX'!$A:$A,0)),INDEX(Base!$U:$U,MATCH($A29,Base!$A:$A,0)),IF(IH$1=INDEX('Valo FX'!$R:$R,MATCH($A29,'Valo FX'!$A:$A,0)),INDEX(Base!$V:$V,MATCH($A29,Base!$A:$A,0)),0)))</f>
        <v>6.1227119999999999</v>
      </c>
      <c r="II29" s="21">
        <f>IF(II$1&lt;INDEX('Valo FX'!$Q:$Q,MATCH($A29,'Valo FX'!$A:$A,0)),0,IF(II$1&lt;INDEX('Valo FX'!$R:$R,MATCH($A29,'Valo FX'!$A:$A,0)),INDEX(Base!$U:$U,MATCH($A29,Base!$A:$A,0)),IF(II$1=INDEX('Valo FX'!$R:$R,MATCH($A29,'Valo FX'!$A:$A,0)),INDEX(Base!$V:$V,MATCH($A29,Base!$A:$A,0)),0)))</f>
        <v>6.1227119999999999</v>
      </c>
      <c r="IJ29" s="21">
        <f>IF(IJ$1&lt;INDEX('Valo FX'!$Q:$Q,MATCH($A29,'Valo FX'!$A:$A,0)),0,IF(IJ$1&lt;INDEX('Valo FX'!$R:$R,MATCH($A29,'Valo FX'!$A:$A,0)),INDEX(Base!$U:$U,MATCH($A29,Base!$A:$A,0)),IF(IJ$1=INDEX('Valo FX'!$R:$R,MATCH($A29,'Valo FX'!$A:$A,0)),INDEX(Base!$V:$V,MATCH($A29,Base!$A:$A,0)),0)))</f>
        <v>6.1227119999999999</v>
      </c>
      <c r="IK29" s="21">
        <f>IF(IK$1&lt;INDEX('Valo FX'!$Q:$Q,MATCH($A29,'Valo FX'!$A:$A,0)),0,IF(IK$1&lt;INDEX('Valo FX'!$R:$R,MATCH($A29,'Valo FX'!$A:$A,0)),INDEX(Base!$U:$U,MATCH($A29,Base!$A:$A,0)),IF(IK$1=INDEX('Valo FX'!$R:$R,MATCH($A29,'Valo FX'!$A:$A,0)),INDEX(Base!$V:$V,MATCH($A29,Base!$A:$A,0)),0)))</f>
        <v>6.1227119999999999</v>
      </c>
      <c r="IL29" s="21">
        <f>IF(IL$1&lt;INDEX('Valo FX'!$Q:$Q,MATCH($A29,'Valo FX'!$A:$A,0)),0,IF(IL$1&lt;INDEX('Valo FX'!$R:$R,MATCH($A29,'Valo FX'!$A:$A,0)),INDEX(Base!$U:$U,MATCH($A29,Base!$A:$A,0)),IF(IL$1=INDEX('Valo FX'!$R:$R,MATCH($A29,'Valo FX'!$A:$A,0)),INDEX(Base!$V:$V,MATCH($A29,Base!$A:$A,0)),0)))</f>
        <v>6.1227119999999999</v>
      </c>
      <c r="IM29" s="21">
        <f>IF(IM$1&lt;INDEX('Valo FX'!$Q:$Q,MATCH($A29,'Valo FX'!$A:$A,0)),0,IF(IM$1&lt;INDEX('Valo FX'!$R:$R,MATCH($A29,'Valo FX'!$A:$A,0)),INDEX(Base!$U:$U,MATCH($A29,Base!$A:$A,0)),IF(IM$1=INDEX('Valo FX'!$R:$R,MATCH($A29,'Valo FX'!$A:$A,0)),INDEX(Base!$V:$V,MATCH($A29,Base!$A:$A,0)),0)))</f>
        <v>6.1227119999999999</v>
      </c>
      <c r="IN29" s="21">
        <f>IF(IN$1&lt;INDEX('Valo FX'!$Q:$Q,MATCH($A29,'Valo FX'!$A:$A,0)),0,IF(IN$1&lt;INDEX('Valo FX'!$R:$R,MATCH($A29,'Valo FX'!$A:$A,0)),INDEX(Base!$U:$U,MATCH($A29,Base!$A:$A,0)),IF(IN$1=INDEX('Valo FX'!$R:$R,MATCH($A29,'Valo FX'!$A:$A,0)),INDEX(Base!$V:$V,MATCH($A29,Base!$A:$A,0)),0)))</f>
        <v>6.1227119999999999</v>
      </c>
      <c r="IO29" s="21">
        <f>IF(IO$1&lt;INDEX('Valo FX'!$Q:$Q,MATCH($A29,'Valo FX'!$A:$A,0)),0,IF(IO$1&lt;INDEX('Valo FX'!$R:$R,MATCH($A29,'Valo FX'!$A:$A,0)),INDEX(Base!$U:$U,MATCH($A29,Base!$A:$A,0)),IF(IO$1=INDEX('Valo FX'!$R:$R,MATCH($A29,'Valo FX'!$A:$A,0)),INDEX(Base!$V:$V,MATCH($A29,Base!$A:$A,0)),0)))</f>
        <v>6.1227119999999999</v>
      </c>
      <c r="IP29" s="21">
        <f>IF(IP$1&lt;INDEX('Valo FX'!$Q:$Q,MATCH($A29,'Valo FX'!$A:$A,0)),0,IF(IP$1&lt;INDEX('Valo FX'!$R:$R,MATCH($A29,'Valo FX'!$A:$A,0)),INDEX(Base!$U:$U,MATCH($A29,Base!$A:$A,0)),IF(IP$1=INDEX('Valo FX'!$R:$R,MATCH($A29,'Valo FX'!$A:$A,0)),INDEX(Base!$V:$V,MATCH($A29,Base!$A:$A,0)),0)))</f>
        <v>6.1227119999999999</v>
      </c>
      <c r="IQ29" s="21">
        <f>IF(IQ$1&lt;INDEX('Valo FX'!$Q:$Q,MATCH($A29,'Valo FX'!$A:$A,0)),0,IF(IQ$1&lt;INDEX('Valo FX'!$R:$R,MATCH($A29,'Valo FX'!$A:$A,0)),INDEX(Base!$U:$U,MATCH($A29,Base!$A:$A,0)),IF(IQ$1=INDEX('Valo FX'!$R:$R,MATCH($A29,'Valo FX'!$A:$A,0)),INDEX(Base!$V:$V,MATCH($A29,Base!$A:$A,0)),0)))</f>
        <v>6.1227119999999999</v>
      </c>
      <c r="IR29" s="21">
        <f>IF(IR$1&lt;INDEX('Valo FX'!$Q:$Q,MATCH($A29,'Valo FX'!$A:$A,0)),0,IF(IR$1&lt;INDEX('Valo FX'!$R:$R,MATCH($A29,'Valo FX'!$A:$A,0)),INDEX(Base!$U:$U,MATCH($A29,Base!$A:$A,0)),IF(IR$1=INDEX('Valo FX'!$R:$R,MATCH($A29,'Valo FX'!$A:$A,0)),INDEX(Base!$V:$V,MATCH($A29,Base!$A:$A,0)),0)))</f>
        <v>6.1227119999999999</v>
      </c>
      <c r="IS29" s="21">
        <f>IF(IS$1&lt;INDEX('Valo FX'!$Q:$Q,MATCH($A29,'Valo FX'!$A:$A,0)),0,IF(IS$1&lt;INDEX('Valo FX'!$R:$R,MATCH($A29,'Valo FX'!$A:$A,0)),INDEX(Base!$U:$U,MATCH($A29,Base!$A:$A,0)),IF(IS$1=INDEX('Valo FX'!$R:$R,MATCH($A29,'Valo FX'!$A:$A,0)),INDEX(Base!$V:$V,MATCH($A29,Base!$A:$A,0)),0)))</f>
        <v>6.1227119999999999</v>
      </c>
      <c r="IT29" s="21">
        <f>IF(IT$1&lt;INDEX('Valo FX'!$Q:$Q,MATCH($A29,'Valo FX'!$A:$A,0)),0,IF(IT$1&lt;INDEX('Valo FX'!$R:$R,MATCH($A29,'Valo FX'!$A:$A,0)),INDEX(Base!$U:$U,MATCH($A29,Base!$A:$A,0)),IF(IT$1=INDEX('Valo FX'!$R:$R,MATCH($A29,'Valo FX'!$A:$A,0)),INDEX(Base!$V:$V,MATCH($A29,Base!$A:$A,0)),0)))</f>
        <v>6.1227119999999999</v>
      </c>
      <c r="IU29" s="21">
        <f>IF(IU$1&lt;INDEX('Valo FX'!$Q:$Q,MATCH($A29,'Valo FX'!$A:$A,0)),0,IF(IU$1&lt;INDEX('Valo FX'!$R:$R,MATCH($A29,'Valo FX'!$A:$A,0)),INDEX(Base!$U:$U,MATCH($A29,Base!$A:$A,0)),IF(IU$1=INDEX('Valo FX'!$R:$R,MATCH($A29,'Valo FX'!$A:$A,0)),INDEX(Base!$V:$V,MATCH($A29,Base!$A:$A,0)),0)))</f>
        <v>6.1227119999999999</v>
      </c>
      <c r="IV29" s="21">
        <f>IF(IV$1&lt;INDEX('Valo FX'!$Q:$Q,MATCH($A29,'Valo FX'!$A:$A,0)),0,IF(IV$1&lt;INDEX('Valo FX'!$R:$R,MATCH($A29,'Valo FX'!$A:$A,0)),INDEX(Base!$U:$U,MATCH($A29,Base!$A:$A,0)),IF(IV$1=INDEX('Valo FX'!$R:$R,MATCH($A29,'Valo FX'!$A:$A,0)),INDEX(Base!$V:$V,MATCH($A29,Base!$A:$A,0)),0)))</f>
        <v>6.1227119999999999</v>
      </c>
      <c r="IW29" s="21">
        <f>IF(IW$1&lt;INDEX('Valo FX'!$Q:$Q,MATCH($A29,'Valo FX'!$A:$A,0)),0,IF(IW$1&lt;INDEX('Valo FX'!$R:$R,MATCH($A29,'Valo FX'!$A:$A,0)),INDEX(Base!$U:$U,MATCH($A29,Base!$A:$A,0)),IF(IW$1=INDEX('Valo FX'!$R:$R,MATCH($A29,'Valo FX'!$A:$A,0)),INDEX(Base!$V:$V,MATCH($A29,Base!$A:$A,0)),0)))</f>
        <v>6.1227119999999999</v>
      </c>
      <c r="IX29" s="21">
        <f>IF(IX$1&lt;INDEX('Valo FX'!$Q:$Q,MATCH($A29,'Valo FX'!$A:$A,0)),0,IF(IX$1&lt;INDEX('Valo FX'!$R:$R,MATCH($A29,'Valo FX'!$A:$A,0)),INDEX(Base!$U:$U,MATCH($A29,Base!$A:$A,0)),IF(IX$1=INDEX('Valo FX'!$R:$R,MATCH($A29,'Valo FX'!$A:$A,0)),INDEX(Base!$V:$V,MATCH($A29,Base!$A:$A,0)),0)))</f>
        <v>6.1227119999999999</v>
      </c>
      <c r="IY29" s="21">
        <f>IF(IY$1&lt;INDEX('Valo FX'!$Q:$Q,MATCH($A29,'Valo FX'!$A:$A,0)),0,IF(IY$1&lt;INDEX('Valo FX'!$R:$R,MATCH($A29,'Valo FX'!$A:$A,0)),INDEX(Base!$U:$U,MATCH($A29,Base!$A:$A,0)),IF(IY$1=INDEX('Valo FX'!$R:$R,MATCH($A29,'Valo FX'!$A:$A,0)),INDEX(Base!$V:$V,MATCH($A29,Base!$A:$A,0)),0)))</f>
        <v>6.1227119999999999</v>
      </c>
      <c r="IZ29" s="21">
        <f>IF(IZ$1&lt;INDEX('Valo FX'!$Q:$Q,MATCH($A29,'Valo FX'!$A:$A,0)),0,IF(IZ$1&lt;INDEX('Valo FX'!$R:$R,MATCH($A29,'Valo FX'!$A:$A,0)),INDEX(Base!$U:$U,MATCH($A29,Base!$A:$A,0)),IF(IZ$1=INDEX('Valo FX'!$R:$R,MATCH($A29,'Valo FX'!$A:$A,0)),INDEX(Base!$V:$V,MATCH($A29,Base!$A:$A,0)),0)))</f>
        <v>6.1227119999999999</v>
      </c>
      <c r="JA29" s="21">
        <f>IF(JA$1&lt;INDEX('Valo FX'!$Q:$Q,MATCH($A29,'Valo FX'!$A:$A,0)),0,IF(JA$1&lt;INDEX('Valo FX'!$R:$R,MATCH($A29,'Valo FX'!$A:$A,0)),INDEX(Base!$U:$U,MATCH($A29,Base!$A:$A,0)),IF(JA$1=INDEX('Valo FX'!$R:$R,MATCH($A29,'Valo FX'!$A:$A,0)),INDEX(Base!$V:$V,MATCH($A29,Base!$A:$A,0)),0)))</f>
        <v>6.1227119999999999</v>
      </c>
      <c r="JB29" s="21">
        <f>IF(JB$1&lt;INDEX('Valo FX'!$Q:$Q,MATCH($A29,'Valo FX'!$A:$A,0)),0,IF(JB$1&lt;INDEX('Valo FX'!$R:$R,MATCH($A29,'Valo FX'!$A:$A,0)),INDEX(Base!$U:$U,MATCH($A29,Base!$A:$A,0)),IF(JB$1=INDEX('Valo FX'!$R:$R,MATCH($A29,'Valo FX'!$A:$A,0)),INDEX(Base!$V:$V,MATCH($A29,Base!$A:$A,0)),0)))</f>
        <v>6.1227119999999999</v>
      </c>
      <c r="JC29" s="21">
        <f>IF(JC$1&lt;INDEX('Valo FX'!$Q:$Q,MATCH($A29,'Valo FX'!$A:$A,0)),0,IF(JC$1&lt;INDEX('Valo FX'!$R:$R,MATCH($A29,'Valo FX'!$A:$A,0)),INDEX(Base!$U:$U,MATCH($A29,Base!$A:$A,0)),IF(JC$1=INDEX('Valo FX'!$R:$R,MATCH($A29,'Valo FX'!$A:$A,0)),INDEX(Base!$V:$V,MATCH($A29,Base!$A:$A,0)),0)))</f>
        <v>6.1227119999999999</v>
      </c>
      <c r="JD29" s="21">
        <f>IF(JD$1&lt;INDEX('Valo FX'!$Q:$Q,MATCH($A29,'Valo FX'!$A:$A,0)),0,IF(JD$1&lt;INDEX('Valo FX'!$R:$R,MATCH($A29,'Valo FX'!$A:$A,0)),INDEX(Base!$U:$U,MATCH($A29,Base!$A:$A,0)),IF(JD$1=INDEX('Valo FX'!$R:$R,MATCH($A29,'Valo FX'!$A:$A,0)),INDEX(Base!$V:$V,MATCH($A29,Base!$A:$A,0)),0)))</f>
        <v>6.1227119999999999</v>
      </c>
      <c r="JE29" s="21">
        <f>IF(JE$1&lt;INDEX('Valo FX'!$Q:$Q,MATCH($A29,'Valo FX'!$A:$A,0)),0,IF(JE$1&lt;INDEX('Valo FX'!$R:$R,MATCH($A29,'Valo FX'!$A:$A,0)),INDEX(Base!$U:$U,MATCH($A29,Base!$A:$A,0)),IF(JE$1=INDEX('Valo FX'!$R:$R,MATCH($A29,'Valo FX'!$A:$A,0)),INDEX(Base!$V:$V,MATCH($A29,Base!$A:$A,0)),0)))</f>
        <v>6.1227119999999999</v>
      </c>
      <c r="JF29" s="21">
        <f>IF(JF$1&lt;INDEX('Valo FX'!$Q:$Q,MATCH($A29,'Valo FX'!$A:$A,0)),0,IF(JF$1&lt;INDEX('Valo FX'!$R:$R,MATCH($A29,'Valo FX'!$A:$A,0)),INDEX(Base!$U:$U,MATCH($A29,Base!$A:$A,0)),IF(JF$1=INDEX('Valo FX'!$R:$R,MATCH($A29,'Valo FX'!$A:$A,0)),INDEX(Base!$V:$V,MATCH($A29,Base!$A:$A,0)),0)))</f>
        <v>6.1227119999999999</v>
      </c>
      <c r="JG29" s="21">
        <f>IF(JG$1&lt;INDEX('Valo FX'!$Q:$Q,MATCH($A29,'Valo FX'!$A:$A,0)),0,IF(JG$1&lt;INDEX('Valo FX'!$R:$R,MATCH($A29,'Valo FX'!$A:$A,0)),INDEX(Base!$U:$U,MATCH($A29,Base!$A:$A,0)),IF(JG$1=INDEX('Valo FX'!$R:$R,MATCH($A29,'Valo FX'!$A:$A,0)),INDEX(Base!$V:$V,MATCH($A29,Base!$A:$A,0)),0)))</f>
        <v>6.1227119999999999</v>
      </c>
      <c r="JH29" s="21">
        <f>IF(JH$1&lt;INDEX('Valo FX'!$Q:$Q,MATCH($A29,'Valo FX'!$A:$A,0)),0,IF(JH$1&lt;INDEX('Valo FX'!$R:$R,MATCH($A29,'Valo FX'!$A:$A,0)),INDEX(Base!$U:$U,MATCH($A29,Base!$A:$A,0)),IF(JH$1=INDEX('Valo FX'!$R:$R,MATCH($A29,'Valo FX'!$A:$A,0)),INDEX(Base!$V:$V,MATCH($A29,Base!$A:$A,0)),0)))</f>
        <v>6.1227119999999999</v>
      </c>
      <c r="JI29" s="21">
        <f>IF(JI$1&lt;INDEX('Valo FX'!$Q:$Q,MATCH($A29,'Valo FX'!$A:$A,0)),0,IF(JI$1&lt;INDEX('Valo FX'!$R:$R,MATCH($A29,'Valo FX'!$A:$A,0)),INDEX(Base!$U:$U,MATCH($A29,Base!$A:$A,0)),IF(JI$1=INDEX('Valo FX'!$R:$R,MATCH($A29,'Valo FX'!$A:$A,0)),INDEX(Base!$V:$V,MATCH($A29,Base!$A:$A,0)),0)))</f>
        <v>6.1227119999999999</v>
      </c>
      <c r="JJ29" s="21">
        <f>IF(JJ$1&lt;INDEX('Valo FX'!$Q:$Q,MATCH($A29,'Valo FX'!$A:$A,0)),0,IF(JJ$1&lt;INDEX('Valo FX'!$R:$R,MATCH($A29,'Valo FX'!$A:$A,0)),INDEX(Base!$U:$U,MATCH($A29,Base!$A:$A,0)),IF(JJ$1=INDEX('Valo FX'!$R:$R,MATCH($A29,'Valo FX'!$A:$A,0)),INDEX(Base!$V:$V,MATCH($A29,Base!$A:$A,0)),0)))</f>
        <v>6.1227119999999999</v>
      </c>
      <c r="JK29" s="21">
        <f>IF(JK$1&lt;INDEX('Valo FX'!$Q:$Q,MATCH($A29,'Valo FX'!$A:$A,0)),0,IF(JK$1&lt;INDEX('Valo FX'!$R:$R,MATCH($A29,'Valo FX'!$A:$A,0)),INDEX(Base!$U:$U,MATCH($A29,Base!$A:$A,0)),IF(JK$1=INDEX('Valo FX'!$R:$R,MATCH($A29,'Valo FX'!$A:$A,0)),INDEX(Base!$V:$V,MATCH($A29,Base!$A:$A,0)),0)))</f>
        <v>6.1227119999999999</v>
      </c>
      <c r="JL29" s="21">
        <f>IF(JL$1&lt;INDEX('Valo FX'!$Q:$Q,MATCH($A29,'Valo FX'!$A:$A,0)),0,IF(JL$1&lt;INDEX('Valo FX'!$R:$R,MATCH($A29,'Valo FX'!$A:$A,0)),INDEX(Base!$U:$U,MATCH($A29,Base!$A:$A,0)),IF(JL$1=INDEX('Valo FX'!$R:$R,MATCH($A29,'Valo FX'!$A:$A,0)),INDEX(Base!$V:$V,MATCH($A29,Base!$A:$A,0)),0)))</f>
        <v>6.1227119999999999</v>
      </c>
      <c r="JM29" s="21">
        <f>IF(JM$1&lt;INDEX('Valo FX'!$Q:$Q,MATCH($A29,'Valo FX'!$A:$A,0)),0,IF(JM$1&lt;INDEX('Valo FX'!$R:$R,MATCH($A29,'Valo FX'!$A:$A,0)),INDEX(Base!$U:$U,MATCH($A29,Base!$A:$A,0)),IF(JM$1=INDEX('Valo FX'!$R:$R,MATCH($A29,'Valo FX'!$A:$A,0)),INDEX(Base!$V:$V,MATCH($A29,Base!$A:$A,0)),0)))</f>
        <v>6.1227119999999999</v>
      </c>
      <c r="JN29" s="21">
        <f>IF(JN$1&lt;INDEX('Valo FX'!$Q:$Q,MATCH($A29,'Valo FX'!$A:$A,0)),0,IF(JN$1&lt;INDEX('Valo FX'!$R:$R,MATCH($A29,'Valo FX'!$A:$A,0)),INDEX(Base!$U:$U,MATCH($A29,Base!$A:$A,0)),IF(JN$1=INDEX('Valo FX'!$R:$R,MATCH($A29,'Valo FX'!$A:$A,0)),INDEX(Base!$V:$V,MATCH($A29,Base!$A:$A,0)),0)))</f>
        <v>6.1227119999999999</v>
      </c>
      <c r="JO29" s="21">
        <f>IF(JO$1&lt;INDEX('Valo FX'!$Q:$Q,MATCH($A29,'Valo FX'!$A:$A,0)),0,IF(JO$1&lt;INDEX('Valo FX'!$R:$R,MATCH($A29,'Valo FX'!$A:$A,0)),INDEX(Base!$U:$U,MATCH($A29,Base!$A:$A,0)),IF(JO$1=INDEX('Valo FX'!$R:$R,MATCH($A29,'Valo FX'!$A:$A,0)),INDEX(Base!$V:$V,MATCH($A29,Base!$A:$A,0)),0)))</f>
        <v>6.1227119999999999</v>
      </c>
      <c r="JP29" s="21">
        <f>IF(JP$1&lt;INDEX('Valo FX'!$Q:$Q,MATCH($A29,'Valo FX'!$A:$A,0)),0,IF(JP$1&lt;INDEX('Valo FX'!$R:$R,MATCH($A29,'Valo FX'!$A:$A,0)),INDEX(Base!$U:$U,MATCH($A29,Base!$A:$A,0)),IF(JP$1=INDEX('Valo FX'!$R:$R,MATCH($A29,'Valo FX'!$A:$A,0)),INDEX(Base!$V:$V,MATCH($A29,Base!$A:$A,0)),0)))</f>
        <v>6.1227119999999999</v>
      </c>
      <c r="JQ29" s="21">
        <f>IF(JQ$1&lt;INDEX('Valo FX'!$Q:$Q,MATCH($A29,'Valo FX'!$A:$A,0)),0,IF(JQ$1&lt;INDEX('Valo FX'!$R:$R,MATCH($A29,'Valo FX'!$A:$A,0)),INDEX(Base!$U:$U,MATCH($A29,Base!$A:$A,0)),IF(JQ$1=INDEX('Valo FX'!$R:$R,MATCH($A29,'Valo FX'!$A:$A,0)),INDEX(Base!$V:$V,MATCH($A29,Base!$A:$A,0)),0)))</f>
        <v>6.1227119999999999</v>
      </c>
      <c r="JR29" s="21">
        <f>IF(JR$1&lt;INDEX('Valo FX'!$Q:$Q,MATCH($A29,'Valo FX'!$A:$A,0)),0,IF(JR$1&lt;INDEX('Valo FX'!$R:$R,MATCH($A29,'Valo FX'!$A:$A,0)),INDEX(Base!$U:$U,MATCH($A29,Base!$A:$A,0)),IF(JR$1=INDEX('Valo FX'!$R:$R,MATCH($A29,'Valo FX'!$A:$A,0)),INDEX(Base!$V:$V,MATCH($A29,Base!$A:$A,0)),0)))</f>
        <v>6.1227119999999999</v>
      </c>
      <c r="JS29" s="21">
        <f>IF(JS$1&lt;INDEX('Valo FX'!$Q:$Q,MATCH($A29,'Valo FX'!$A:$A,0)),0,IF(JS$1&lt;INDEX('Valo FX'!$R:$R,MATCH($A29,'Valo FX'!$A:$A,0)),INDEX(Base!$U:$U,MATCH($A29,Base!$A:$A,0)),IF(JS$1=INDEX('Valo FX'!$R:$R,MATCH($A29,'Valo FX'!$A:$A,0)),INDEX(Base!$V:$V,MATCH($A29,Base!$A:$A,0)),0)))</f>
        <v>6.1227119999999999</v>
      </c>
      <c r="JT29" s="21">
        <f>IF(JT$1&lt;INDEX('Valo FX'!$Q:$Q,MATCH($A29,'Valo FX'!$A:$A,0)),0,IF(JT$1&lt;INDEX('Valo FX'!$R:$R,MATCH($A29,'Valo FX'!$A:$A,0)),INDEX(Base!$U:$U,MATCH($A29,Base!$A:$A,0)),IF(JT$1=INDEX('Valo FX'!$R:$R,MATCH($A29,'Valo FX'!$A:$A,0)),INDEX(Base!$V:$V,MATCH($A29,Base!$A:$A,0)),0)))</f>
        <v>6.1227119999999999</v>
      </c>
      <c r="JU29" s="21">
        <f>IF(JU$1&lt;INDEX('Valo FX'!$Q:$Q,MATCH($A29,'Valo FX'!$A:$A,0)),0,IF(JU$1&lt;INDEX('Valo FX'!$R:$R,MATCH($A29,'Valo FX'!$A:$A,0)),INDEX(Base!$U:$U,MATCH($A29,Base!$A:$A,0)),IF(JU$1=INDEX('Valo FX'!$R:$R,MATCH($A29,'Valo FX'!$A:$A,0)),INDEX(Base!$V:$V,MATCH($A29,Base!$A:$A,0)),0)))</f>
        <v>6.1227119999999999</v>
      </c>
      <c r="JV29" s="21">
        <f>IF(JV$1&lt;INDEX('Valo FX'!$Q:$Q,MATCH($A29,'Valo FX'!$A:$A,0)),0,IF(JV$1&lt;INDEX('Valo FX'!$R:$R,MATCH($A29,'Valo FX'!$A:$A,0)),INDEX(Base!$U:$U,MATCH($A29,Base!$A:$A,0)),IF(JV$1=INDEX('Valo FX'!$R:$R,MATCH($A29,'Valo FX'!$A:$A,0)),INDEX(Base!$V:$V,MATCH($A29,Base!$A:$A,0)),0)))</f>
        <v>6.1227119999999999</v>
      </c>
      <c r="JW29" s="21">
        <f>IF(JW$1&lt;INDEX('Valo FX'!$Q:$Q,MATCH($A29,'Valo FX'!$A:$A,0)),0,IF(JW$1&lt;INDEX('Valo FX'!$R:$R,MATCH($A29,'Valo FX'!$A:$A,0)),INDEX(Base!$U:$U,MATCH($A29,Base!$A:$A,0)),IF(JW$1=INDEX('Valo FX'!$R:$R,MATCH($A29,'Valo FX'!$A:$A,0)),INDEX(Base!$V:$V,MATCH($A29,Base!$A:$A,0)),0)))</f>
        <v>6.1227119999999999</v>
      </c>
      <c r="JX29" s="21">
        <f>IF(JX$1&lt;INDEX('Valo FX'!$Q:$Q,MATCH($A29,'Valo FX'!$A:$A,0)),0,IF(JX$1&lt;INDEX('Valo FX'!$R:$R,MATCH($A29,'Valo FX'!$A:$A,0)),INDEX(Base!$U:$U,MATCH($A29,Base!$A:$A,0)),IF(JX$1=INDEX('Valo FX'!$R:$R,MATCH($A29,'Valo FX'!$A:$A,0)),INDEX(Base!$V:$V,MATCH($A29,Base!$A:$A,0)),0)))</f>
        <v>6.1227119999999999</v>
      </c>
      <c r="JY29" s="21">
        <f>IF(JY$1&lt;INDEX('Valo FX'!$Q:$Q,MATCH($A29,'Valo FX'!$A:$A,0)),0,IF(JY$1&lt;INDEX('Valo FX'!$R:$R,MATCH($A29,'Valo FX'!$A:$A,0)),INDEX(Base!$U:$U,MATCH($A29,Base!$A:$A,0)),IF(JY$1=INDEX('Valo FX'!$R:$R,MATCH($A29,'Valo FX'!$A:$A,0)),INDEX(Base!$V:$V,MATCH($A29,Base!$A:$A,0)),0)))</f>
        <v>6.1227119999999999</v>
      </c>
      <c r="JZ29" s="21">
        <f>IF(JZ$1&lt;INDEX('Valo FX'!$Q:$Q,MATCH($A29,'Valo FX'!$A:$A,0)),0,IF(JZ$1&lt;INDEX('Valo FX'!$R:$R,MATCH($A29,'Valo FX'!$A:$A,0)),INDEX(Base!$U:$U,MATCH($A29,Base!$A:$A,0)),IF(JZ$1=INDEX('Valo FX'!$R:$R,MATCH($A29,'Valo FX'!$A:$A,0)),INDEX(Base!$V:$V,MATCH($A29,Base!$A:$A,0)),0)))</f>
        <v>6.1227119999999999</v>
      </c>
      <c r="KA29" s="21">
        <f>IF(KA$1&lt;INDEX('Valo FX'!$Q:$Q,MATCH($A29,'Valo FX'!$A:$A,0)),0,IF(KA$1&lt;INDEX('Valo FX'!$R:$R,MATCH($A29,'Valo FX'!$A:$A,0)),INDEX(Base!$U:$U,MATCH($A29,Base!$A:$A,0)),IF(KA$1=INDEX('Valo FX'!$R:$R,MATCH($A29,'Valo FX'!$A:$A,0)),INDEX(Base!$V:$V,MATCH($A29,Base!$A:$A,0)),0)))</f>
        <v>6.1227119999999999</v>
      </c>
      <c r="KB29" s="21">
        <f>IF(KB$1&lt;INDEX('Valo FX'!$Q:$Q,MATCH($A29,'Valo FX'!$A:$A,0)),0,IF(KB$1&lt;INDEX('Valo FX'!$R:$R,MATCH($A29,'Valo FX'!$A:$A,0)),INDEX(Base!$U:$U,MATCH($A29,Base!$A:$A,0)),IF(KB$1=INDEX('Valo FX'!$R:$R,MATCH($A29,'Valo FX'!$A:$A,0)),INDEX(Base!$V:$V,MATCH($A29,Base!$A:$A,0)),0)))</f>
        <v>6.1227119999999999</v>
      </c>
      <c r="KC29" s="21">
        <f>IF(KC$1&lt;INDEX('Valo FX'!$Q:$Q,MATCH($A29,'Valo FX'!$A:$A,0)),0,IF(KC$1&lt;INDEX('Valo FX'!$R:$R,MATCH($A29,'Valo FX'!$A:$A,0)),INDEX(Base!$U:$U,MATCH($A29,Base!$A:$A,0)),IF(KC$1=INDEX('Valo FX'!$R:$R,MATCH($A29,'Valo FX'!$A:$A,0)),INDEX(Base!$V:$V,MATCH($A29,Base!$A:$A,0)),0)))</f>
        <v>6.1227119999999999</v>
      </c>
      <c r="KD29" s="21">
        <f>IF(KD$1&lt;INDEX('Valo FX'!$Q:$Q,MATCH($A29,'Valo FX'!$A:$A,0)),0,IF(KD$1&lt;INDEX('Valo FX'!$R:$R,MATCH($A29,'Valo FX'!$A:$A,0)),INDEX(Base!$U:$U,MATCH($A29,Base!$A:$A,0)),IF(KD$1=INDEX('Valo FX'!$R:$R,MATCH($A29,'Valo FX'!$A:$A,0)),INDEX(Base!$V:$V,MATCH($A29,Base!$A:$A,0)),0)))</f>
        <v>6.1227119999999999</v>
      </c>
      <c r="KE29" s="21">
        <f>IF(KE$1&lt;INDEX('Valo FX'!$Q:$Q,MATCH($A29,'Valo FX'!$A:$A,0)),0,IF(KE$1&lt;INDEX('Valo FX'!$R:$R,MATCH($A29,'Valo FX'!$A:$A,0)),INDEX(Base!$U:$U,MATCH($A29,Base!$A:$A,0)),IF(KE$1=INDEX('Valo FX'!$R:$R,MATCH($A29,'Valo FX'!$A:$A,0)),INDEX(Base!$V:$V,MATCH($A29,Base!$A:$A,0)),0)))</f>
        <v>6.1227119999999999</v>
      </c>
      <c r="KF29" s="21">
        <f>IF(KF$1&lt;INDEX('Valo FX'!$Q:$Q,MATCH($A29,'Valo FX'!$A:$A,0)),0,IF(KF$1&lt;INDEX('Valo FX'!$R:$R,MATCH($A29,'Valo FX'!$A:$A,0)),INDEX(Base!$U:$U,MATCH($A29,Base!$A:$A,0)),IF(KF$1=INDEX('Valo FX'!$R:$R,MATCH($A29,'Valo FX'!$A:$A,0)),INDEX(Base!$V:$V,MATCH($A29,Base!$A:$A,0)),0)))</f>
        <v>6.1227119999999999</v>
      </c>
      <c r="KG29" s="21">
        <f>IF(KG$1&lt;INDEX('Valo FX'!$Q:$Q,MATCH($A29,'Valo FX'!$A:$A,0)),0,IF(KG$1&lt;INDEX('Valo FX'!$R:$R,MATCH($A29,'Valo FX'!$A:$A,0)),INDEX(Base!$U:$U,MATCH($A29,Base!$A:$A,0)),IF(KG$1=INDEX('Valo FX'!$R:$R,MATCH($A29,'Valo FX'!$A:$A,0)),INDEX(Base!$V:$V,MATCH($A29,Base!$A:$A,0)),0)))</f>
        <v>6.1227119999999999</v>
      </c>
      <c r="KH29" s="21">
        <f>IF(KH$1&lt;INDEX('Valo FX'!$Q:$Q,MATCH($A29,'Valo FX'!$A:$A,0)),0,IF(KH$1&lt;INDEX('Valo FX'!$R:$R,MATCH($A29,'Valo FX'!$A:$A,0)),INDEX(Base!$U:$U,MATCH($A29,Base!$A:$A,0)),IF(KH$1=INDEX('Valo FX'!$R:$R,MATCH($A29,'Valo FX'!$A:$A,0)),INDEX(Base!$V:$V,MATCH($A29,Base!$A:$A,0)),0)))</f>
        <v>6.1227119999999999</v>
      </c>
      <c r="KI29" s="21">
        <f>IF(KI$1&lt;INDEX('Valo FX'!$Q:$Q,MATCH($A29,'Valo FX'!$A:$A,0)),0,IF(KI$1&lt;INDEX('Valo FX'!$R:$R,MATCH($A29,'Valo FX'!$A:$A,0)),INDEX(Base!$U:$U,MATCH($A29,Base!$A:$A,0)),IF(KI$1=INDEX('Valo FX'!$R:$R,MATCH($A29,'Valo FX'!$A:$A,0)),INDEX(Base!$V:$V,MATCH($A29,Base!$A:$A,0)),0)))</f>
        <v>6.1227119999999999</v>
      </c>
      <c r="KJ29" s="21">
        <f>IF(KJ$1&lt;INDEX('Valo FX'!$Q:$Q,MATCH($A29,'Valo FX'!$A:$A,0)),0,IF(KJ$1&lt;INDEX('Valo FX'!$R:$R,MATCH($A29,'Valo FX'!$A:$A,0)),INDEX(Base!$U:$U,MATCH($A29,Base!$A:$A,0)),IF(KJ$1=INDEX('Valo FX'!$R:$R,MATCH($A29,'Valo FX'!$A:$A,0)),INDEX(Base!$V:$V,MATCH($A29,Base!$A:$A,0)),0)))</f>
        <v>6.1227119999999999</v>
      </c>
      <c r="KK29" s="21">
        <f>IF(KK$1&lt;INDEX('Valo FX'!$Q:$Q,MATCH($A29,'Valo FX'!$A:$A,0)),0,IF(KK$1&lt;INDEX('Valo FX'!$R:$R,MATCH($A29,'Valo FX'!$A:$A,0)),INDEX(Base!$U:$U,MATCH($A29,Base!$A:$A,0)),IF(KK$1=INDEX('Valo FX'!$R:$R,MATCH($A29,'Valo FX'!$A:$A,0)),INDEX(Base!$V:$V,MATCH($A29,Base!$A:$A,0)),0)))</f>
        <v>6.1227119999999999</v>
      </c>
      <c r="KL29" s="21">
        <f>IF(KL$1&lt;INDEX('Valo FX'!$Q:$Q,MATCH($A29,'Valo FX'!$A:$A,0)),0,IF(KL$1&lt;INDEX('Valo FX'!$R:$R,MATCH($A29,'Valo FX'!$A:$A,0)),INDEX(Base!$U:$U,MATCH($A29,Base!$A:$A,0)),IF(KL$1=INDEX('Valo FX'!$R:$R,MATCH($A29,'Valo FX'!$A:$A,0)),INDEX(Base!$V:$V,MATCH($A29,Base!$A:$A,0)),0)))</f>
        <v>6.1227119999999999</v>
      </c>
      <c r="KM29" s="21">
        <f>IF(KM$1&lt;INDEX('Valo FX'!$Q:$Q,MATCH($A29,'Valo FX'!$A:$A,0)),0,IF(KM$1&lt;INDEX('Valo FX'!$R:$R,MATCH($A29,'Valo FX'!$A:$A,0)),INDEX(Base!$U:$U,MATCH($A29,Base!$A:$A,0)),IF(KM$1=INDEX('Valo FX'!$R:$R,MATCH($A29,'Valo FX'!$A:$A,0)),INDEX(Base!$V:$V,MATCH($A29,Base!$A:$A,0)),0)))</f>
        <v>6.1227119999999999</v>
      </c>
      <c r="KN29" s="21">
        <f>IF(KN$1&lt;INDEX('Valo FX'!$Q:$Q,MATCH($A29,'Valo FX'!$A:$A,0)),0,IF(KN$1&lt;INDEX('Valo FX'!$R:$R,MATCH($A29,'Valo FX'!$A:$A,0)),INDEX(Base!$U:$U,MATCH($A29,Base!$A:$A,0)),IF(KN$1=INDEX('Valo FX'!$R:$R,MATCH($A29,'Valo FX'!$A:$A,0)),INDEX(Base!$V:$V,MATCH($A29,Base!$A:$A,0)),0)))</f>
        <v>6.1227119999999999</v>
      </c>
      <c r="KO29" s="21">
        <f>IF(KO$1&lt;INDEX('Valo FX'!$Q:$Q,MATCH($A29,'Valo FX'!$A:$A,0)),0,IF(KO$1&lt;INDEX('Valo FX'!$R:$R,MATCH($A29,'Valo FX'!$A:$A,0)),INDEX(Base!$U:$U,MATCH($A29,Base!$A:$A,0)),IF(KO$1=INDEX('Valo FX'!$R:$R,MATCH($A29,'Valo FX'!$A:$A,0)),INDEX(Base!$V:$V,MATCH($A29,Base!$A:$A,0)),0)))</f>
        <v>6.1227119999999999</v>
      </c>
      <c r="KP29" s="21">
        <f>IF(KP$1&lt;INDEX('Valo FX'!$Q:$Q,MATCH($A29,'Valo FX'!$A:$A,0)),0,IF(KP$1&lt;INDEX('Valo FX'!$R:$R,MATCH($A29,'Valo FX'!$A:$A,0)),INDEX(Base!$U:$U,MATCH($A29,Base!$A:$A,0)),IF(KP$1=INDEX('Valo FX'!$R:$R,MATCH($A29,'Valo FX'!$A:$A,0)),INDEX(Base!$V:$V,MATCH($A29,Base!$A:$A,0)),0)))</f>
        <v>6.1227119999999999</v>
      </c>
      <c r="KQ29" s="21">
        <f>IF(KQ$1&lt;INDEX('Valo FX'!$Q:$Q,MATCH($A29,'Valo FX'!$A:$A,0)),0,IF(KQ$1&lt;INDEX('Valo FX'!$R:$R,MATCH($A29,'Valo FX'!$A:$A,0)),INDEX(Base!$U:$U,MATCH($A29,Base!$A:$A,0)),IF(KQ$1=INDEX('Valo FX'!$R:$R,MATCH($A29,'Valo FX'!$A:$A,0)),INDEX(Base!$V:$V,MATCH($A29,Base!$A:$A,0)),0)))</f>
        <v>6.1227119999999999</v>
      </c>
      <c r="KR29" s="21">
        <f>IF(KR$1&lt;INDEX('Valo FX'!$Q:$Q,MATCH($A29,'Valo FX'!$A:$A,0)),0,IF(KR$1&lt;INDEX('Valo FX'!$R:$R,MATCH($A29,'Valo FX'!$A:$A,0)),INDEX(Base!$U:$U,MATCH($A29,Base!$A:$A,0)),IF(KR$1=INDEX('Valo FX'!$R:$R,MATCH($A29,'Valo FX'!$A:$A,0)),INDEX(Base!$V:$V,MATCH($A29,Base!$A:$A,0)),0)))</f>
        <v>6.1227119999999999</v>
      </c>
      <c r="KS29" s="21">
        <f>IF(KS$1&lt;INDEX('Valo FX'!$Q:$Q,MATCH($A29,'Valo FX'!$A:$A,0)),0,IF(KS$1&lt;INDEX('Valo FX'!$R:$R,MATCH($A29,'Valo FX'!$A:$A,0)),INDEX(Base!$U:$U,MATCH($A29,Base!$A:$A,0)),IF(KS$1=INDEX('Valo FX'!$R:$R,MATCH($A29,'Valo FX'!$A:$A,0)),INDEX(Base!$V:$V,MATCH($A29,Base!$A:$A,0)),0)))</f>
        <v>6.1227119999999999</v>
      </c>
      <c r="KT29" s="21">
        <f>IF(KT$1&lt;INDEX('Valo FX'!$Q:$Q,MATCH($A29,'Valo FX'!$A:$A,0)),0,IF(KT$1&lt;INDEX('Valo FX'!$R:$R,MATCH($A29,'Valo FX'!$A:$A,0)),INDEX(Base!$U:$U,MATCH($A29,Base!$A:$A,0)),IF(KT$1=INDEX('Valo FX'!$R:$R,MATCH($A29,'Valo FX'!$A:$A,0)),INDEX(Base!$V:$V,MATCH($A29,Base!$A:$A,0)),0)))</f>
        <v>6.1227119999999999</v>
      </c>
      <c r="KU29" s="21">
        <f>IF(KU$1&lt;INDEX('Valo FX'!$Q:$Q,MATCH($A29,'Valo FX'!$A:$A,0)),0,IF(KU$1&lt;INDEX('Valo FX'!$R:$R,MATCH($A29,'Valo FX'!$A:$A,0)),INDEX(Base!$U:$U,MATCH($A29,Base!$A:$A,0)),IF(KU$1=INDEX('Valo FX'!$R:$R,MATCH($A29,'Valo FX'!$A:$A,0)),INDEX(Base!$V:$V,MATCH($A29,Base!$A:$A,0)),0)))</f>
        <v>6.1227119999999999</v>
      </c>
      <c r="KV29" s="21">
        <f>IF(KV$1&lt;INDEX('Valo FX'!$Q:$Q,MATCH($A29,'Valo FX'!$A:$A,0)),0,IF(KV$1&lt;INDEX('Valo FX'!$R:$R,MATCH($A29,'Valo FX'!$A:$A,0)),INDEX(Base!$U:$U,MATCH($A29,Base!$A:$A,0)),IF(KV$1=INDEX('Valo FX'!$R:$R,MATCH($A29,'Valo FX'!$A:$A,0)),INDEX(Base!$V:$V,MATCH($A29,Base!$A:$A,0)),0)))</f>
        <v>6.1227119999999999</v>
      </c>
      <c r="KW29" s="21">
        <f>IF(KW$1&lt;INDEX('Valo FX'!$Q:$Q,MATCH($A29,'Valo FX'!$A:$A,0)),0,IF(KW$1&lt;INDEX('Valo FX'!$R:$R,MATCH($A29,'Valo FX'!$A:$A,0)),INDEX(Base!$U:$U,MATCH($A29,Base!$A:$A,0)),IF(KW$1=INDEX('Valo FX'!$R:$R,MATCH($A29,'Valo FX'!$A:$A,0)),INDEX(Base!$V:$V,MATCH($A29,Base!$A:$A,0)),0)))</f>
        <v>6.1227119999999999</v>
      </c>
      <c r="KX29" s="21">
        <f>IF(KX$1&lt;INDEX('Valo FX'!$Q:$Q,MATCH($A29,'Valo FX'!$A:$A,0)),0,IF(KX$1&lt;INDEX('Valo FX'!$R:$R,MATCH($A29,'Valo FX'!$A:$A,0)),INDEX(Base!$U:$U,MATCH($A29,Base!$A:$A,0)),IF(KX$1=INDEX('Valo FX'!$R:$R,MATCH($A29,'Valo FX'!$A:$A,0)),INDEX(Base!$V:$V,MATCH($A29,Base!$A:$A,0)),0)))</f>
        <v>6.1227119999999999</v>
      </c>
      <c r="KY29" s="21">
        <f>IF(KY$1&lt;INDEX('Valo FX'!$Q:$Q,MATCH($A29,'Valo FX'!$A:$A,0)),0,IF(KY$1&lt;INDEX('Valo FX'!$R:$R,MATCH($A29,'Valo FX'!$A:$A,0)),INDEX(Base!$U:$U,MATCH($A29,Base!$A:$A,0)),IF(KY$1=INDEX('Valo FX'!$R:$R,MATCH($A29,'Valo FX'!$A:$A,0)),INDEX(Base!$V:$V,MATCH($A29,Base!$A:$A,0)),0)))</f>
        <v>6.1227119999999999</v>
      </c>
      <c r="KZ29" s="21">
        <f>IF(KZ$1&lt;INDEX('Valo FX'!$Q:$Q,MATCH($A29,'Valo FX'!$A:$A,0)),0,IF(KZ$1&lt;INDEX('Valo FX'!$R:$R,MATCH($A29,'Valo FX'!$A:$A,0)),INDEX(Base!$U:$U,MATCH($A29,Base!$A:$A,0)),IF(KZ$1=INDEX('Valo FX'!$R:$R,MATCH($A29,'Valo FX'!$A:$A,0)),INDEX(Base!$V:$V,MATCH($A29,Base!$A:$A,0)),0)))</f>
        <v>6.1227119999999999</v>
      </c>
      <c r="LA29" s="21">
        <f>IF(LA$1&lt;INDEX('Valo FX'!$Q:$Q,MATCH($A29,'Valo FX'!$A:$A,0)),0,IF(LA$1&lt;INDEX('Valo FX'!$R:$R,MATCH($A29,'Valo FX'!$A:$A,0)),INDEX(Base!$U:$U,MATCH($A29,Base!$A:$A,0)),IF(LA$1=INDEX('Valo FX'!$R:$R,MATCH($A29,'Valo FX'!$A:$A,0)),INDEX(Base!$V:$V,MATCH($A29,Base!$A:$A,0)),0)))</f>
        <v>6.1227119999999999</v>
      </c>
      <c r="LB29" s="21">
        <f>IF(LB$1&lt;INDEX('Valo FX'!$Q:$Q,MATCH($A29,'Valo FX'!$A:$A,0)),0,IF(LB$1&lt;INDEX('Valo FX'!$R:$R,MATCH($A29,'Valo FX'!$A:$A,0)),INDEX(Base!$U:$U,MATCH($A29,Base!$A:$A,0)),IF(LB$1=INDEX('Valo FX'!$R:$R,MATCH($A29,'Valo FX'!$A:$A,0)),INDEX(Base!$V:$V,MATCH($A29,Base!$A:$A,0)),0)))</f>
        <v>6.1227119999999999</v>
      </c>
      <c r="LC29" s="21">
        <f>IF(LC$1&lt;INDEX('Valo FX'!$Q:$Q,MATCH($A29,'Valo FX'!$A:$A,0)),0,IF(LC$1&lt;INDEX('Valo FX'!$R:$R,MATCH($A29,'Valo FX'!$A:$A,0)),INDEX(Base!$U:$U,MATCH($A29,Base!$A:$A,0)),IF(LC$1=INDEX('Valo FX'!$R:$R,MATCH($A29,'Valo FX'!$A:$A,0)),INDEX(Base!$V:$V,MATCH($A29,Base!$A:$A,0)),0)))</f>
        <v>6.1227119999999999</v>
      </c>
      <c r="LD29" s="21">
        <f>IF(LD$1&lt;INDEX('Valo FX'!$Q:$Q,MATCH($A29,'Valo FX'!$A:$A,0)),0,IF(LD$1&lt;INDEX('Valo FX'!$R:$R,MATCH($A29,'Valo FX'!$A:$A,0)),INDEX(Base!$U:$U,MATCH($A29,Base!$A:$A,0)),IF(LD$1=INDEX('Valo FX'!$R:$R,MATCH($A29,'Valo FX'!$A:$A,0)),INDEX(Base!$V:$V,MATCH($A29,Base!$A:$A,0)),0)))</f>
        <v>6.1227119999999999</v>
      </c>
      <c r="LE29" s="21">
        <f>IF(LE$1&lt;INDEX('Valo FX'!$Q:$Q,MATCH($A29,'Valo FX'!$A:$A,0)),0,IF(LE$1&lt;INDEX('Valo FX'!$R:$R,MATCH($A29,'Valo FX'!$A:$A,0)),INDEX(Base!$U:$U,MATCH($A29,Base!$A:$A,0)),IF(LE$1=INDEX('Valo FX'!$R:$R,MATCH($A29,'Valo FX'!$A:$A,0)),INDEX(Base!$V:$V,MATCH($A29,Base!$A:$A,0)),0)))</f>
        <v>6.1227119999999999</v>
      </c>
      <c r="LF29" s="21">
        <f>IF(LF$1&lt;INDEX('Valo FX'!$Q:$Q,MATCH($A29,'Valo FX'!$A:$A,0)),0,IF(LF$1&lt;INDEX('Valo FX'!$R:$R,MATCH($A29,'Valo FX'!$A:$A,0)),INDEX(Base!$U:$U,MATCH($A29,Base!$A:$A,0)),IF(LF$1=INDEX('Valo FX'!$R:$R,MATCH($A29,'Valo FX'!$A:$A,0)),INDEX(Base!$V:$V,MATCH($A29,Base!$A:$A,0)),0)))</f>
        <v>6.1227119999999999</v>
      </c>
      <c r="LG29" s="21">
        <f>IF(LG$1&lt;INDEX('Valo FX'!$Q:$Q,MATCH($A29,'Valo FX'!$A:$A,0)),0,IF(LG$1&lt;INDEX('Valo FX'!$R:$R,MATCH($A29,'Valo FX'!$A:$A,0)),INDEX(Base!$U:$U,MATCH($A29,Base!$A:$A,0)),IF(LG$1=INDEX('Valo FX'!$R:$R,MATCH($A29,'Valo FX'!$A:$A,0)),INDEX(Base!$V:$V,MATCH($A29,Base!$A:$A,0)),0)))</f>
        <v>6.1227119999999999</v>
      </c>
      <c r="LH29" s="21">
        <f>IF(LH$1&lt;INDEX('Valo FX'!$Q:$Q,MATCH($A29,'Valo FX'!$A:$A,0)),0,IF(LH$1&lt;INDEX('Valo FX'!$R:$R,MATCH($A29,'Valo FX'!$A:$A,0)),INDEX(Base!$U:$U,MATCH($A29,Base!$A:$A,0)),IF(LH$1=INDEX('Valo FX'!$R:$R,MATCH($A29,'Valo FX'!$A:$A,0)),INDEX(Base!$V:$V,MATCH($A29,Base!$A:$A,0)),0)))</f>
        <v>6.1227119999999999</v>
      </c>
      <c r="LI29" s="21">
        <f>IF(LI$1&lt;INDEX('Valo FX'!$Q:$Q,MATCH($A29,'Valo FX'!$A:$A,0)),0,IF(LI$1&lt;INDEX('Valo FX'!$R:$R,MATCH($A29,'Valo FX'!$A:$A,0)),INDEX(Base!$U:$U,MATCH($A29,Base!$A:$A,0)),IF(LI$1=INDEX('Valo FX'!$R:$R,MATCH($A29,'Valo FX'!$A:$A,0)),INDEX(Base!$V:$V,MATCH($A29,Base!$A:$A,0)),0)))</f>
        <v>6.1227119999999999</v>
      </c>
      <c r="LJ29" s="21">
        <f>IF(LJ$1&lt;INDEX('Valo FX'!$Q:$Q,MATCH($A29,'Valo FX'!$A:$A,0)),0,IF(LJ$1&lt;INDEX('Valo FX'!$R:$R,MATCH($A29,'Valo FX'!$A:$A,0)),INDEX(Base!$U:$U,MATCH($A29,Base!$A:$A,0)),IF(LJ$1=INDEX('Valo FX'!$R:$R,MATCH($A29,'Valo FX'!$A:$A,0)),INDEX(Base!$V:$V,MATCH($A29,Base!$A:$A,0)),0)))</f>
        <v>6.1227119999999999</v>
      </c>
      <c r="LK29" s="21">
        <f>IF(LK$1&lt;INDEX('Valo FX'!$Q:$Q,MATCH($A29,'Valo FX'!$A:$A,0)),0,IF(LK$1&lt;INDEX('Valo FX'!$R:$R,MATCH($A29,'Valo FX'!$A:$A,0)),INDEX(Base!$U:$U,MATCH($A29,Base!$A:$A,0)),IF(LK$1=INDEX('Valo FX'!$R:$R,MATCH($A29,'Valo FX'!$A:$A,0)),INDEX(Base!$V:$V,MATCH($A29,Base!$A:$A,0)),0)))</f>
        <v>6.1227119999999999</v>
      </c>
      <c r="LL29" s="21">
        <f>IF(LL$1&lt;INDEX('Valo FX'!$Q:$Q,MATCH($A29,'Valo FX'!$A:$A,0)),0,IF(LL$1&lt;INDEX('Valo FX'!$R:$R,MATCH($A29,'Valo FX'!$A:$A,0)),INDEX(Base!$U:$U,MATCH($A29,Base!$A:$A,0)),IF(LL$1=INDEX('Valo FX'!$R:$R,MATCH($A29,'Valo FX'!$A:$A,0)),INDEX(Base!$V:$V,MATCH($A29,Base!$A:$A,0)),0)))</f>
        <v>6.1227119999999999</v>
      </c>
      <c r="LM29" s="21">
        <f>IF(LM$1&lt;INDEX('Valo FX'!$Q:$Q,MATCH($A29,'Valo FX'!$A:$A,0)),0,IF(LM$1&lt;INDEX('Valo FX'!$R:$R,MATCH($A29,'Valo FX'!$A:$A,0)),INDEX(Base!$U:$U,MATCH($A29,Base!$A:$A,0)),IF(LM$1=INDEX('Valo FX'!$R:$R,MATCH($A29,'Valo FX'!$A:$A,0)),INDEX(Base!$V:$V,MATCH($A29,Base!$A:$A,0)),0)))</f>
        <v>6.1227119999999999</v>
      </c>
      <c r="LN29" s="21">
        <f>IF(LN$1&lt;INDEX('Valo FX'!$Q:$Q,MATCH($A29,'Valo FX'!$A:$A,0)),0,IF(LN$1&lt;INDEX('Valo FX'!$R:$R,MATCH($A29,'Valo FX'!$A:$A,0)),INDEX(Base!$U:$U,MATCH($A29,Base!$A:$A,0)),IF(LN$1=INDEX('Valo FX'!$R:$R,MATCH($A29,'Valo FX'!$A:$A,0)),INDEX(Base!$V:$V,MATCH($A29,Base!$A:$A,0)),0)))</f>
        <v>6.1227119999999999</v>
      </c>
      <c r="LO29" s="21">
        <f>IF(LO$1&lt;INDEX('Valo FX'!$Q:$Q,MATCH($A29,'Valo FX'!$A:$A,0)),0,IF(LO$1&lt;INDEX('Valo FX'!$R:$R,MATCH($A29,'Valo FX'!$A:$A,0)),INDEX(Base!$U:$U,MATCH($A29,Base!$A:$A,0)),IF(LO$1=INDEX('Valo FX'!$R:$R,MATCH($A29,'Valo FX'!$A:$A,0)),INDEX(Base!$V:$V,MATCH($A29,Base!$A:$A,0)),0)))</f>
        <v>6.1227119999999999</v>
      </c>
      <c r="LP29" s="21">
        <f>IF(LP$1&lt;INDEX('Valo FX'!$Q:$Q,MATCH($A29,'Valo FX'!$A:$A,0)),0,IF(LP$1&lt;INDEX('Valo FX'!$R:$R,MATCH($A29,'Valo FX'!$A:$A,0)),INDEX(Base!$U:$U,MATCH($A29,Base!$A:$A,0)),IF(LP$1=INDEX('Valo FX'!$R:$R,MATCH($A29,'Valo FX'!$A:$A,0)),INDEX(Base!$V:$V,MATCH($A29,Base!$A:$A,0)),0)))</f>
        <v>6.1227119999999999</v>
      </c>
      <c r="LQ29" s="21">
        <f>IF(LQ$1&lt;INDEX('Valo FX'!$Q:$Q,MATCH($A29,'Valo FX'!$A:$A,0)),0,IF(LQ$1&lt;INDEX('Valo FX'!$R:$R,MATCH($A29,'Valo FX'!$A:$A,0)),INDEX(Base!$U:$U,MATCH($A29,Base!$A:$A,0)),IF(LQ$1=INDEX('Valo FX'!$R:$R,MATCH($A29,'Valo FX'!$A:$A,0)),INDEX(Base!$V:$V,MATCH($A29,Base!$A:$A,0)),0)))</f>
        <v>6.1227119999999999</v>
      </c>
      <c r="LR29" s="21">
        <f>IF(LR$1&lt;INDEX('Valo FX'!$Q:$Q,MATCH($A29,'Valo FX'!$A:$A,0)),0,IF(LR$1&lt;INDEX('Valo FX'!$R:$R,MATCH($A29,'Valo FX'!$A:$A,0)),INDEX(Base!$U:$U,MATCH($A29,Base!$A:$A,0)),IF(LR$1=INDEX('Valo FX'!$R:$R,MATCH($A29,'Valo FX'!$A:$A,0)),INDEX(Base!$V:$V,MATCH($A29,Base!$A:$A,0)),0)))</f>
        <v>6.1227119999999999</v>
      </c>
      <c r="LS29" s="21">
        <f>IF(LS$1&lt;INDEX('Valo FX'!$Q:$Q,MATCH($A29,'Valo FX'!$A:$A,0)),0,IF(LS$1&lt;INDEX('Valo FX'!$R:$R,MATCH($A29,'Valo FX'!$A:$A,0)),INDEX(Base!$U:$U,MATCH($A29,Base!$A:$A,0)),IF(LS$1=INDEX('Valo FX'!$R:$R,MATCH($A29,'Valo FX'!$A:$A,0)),INDEX(Base!$V:$V,MATCH($A29,Base!$A:$A,0)),0)))</f>
        <v>6.1227119999999999</v>
      </c>
      <c r="LT29" s="21">
        <f>IF(LT$1&lt;INDEX('Valo FX'!$Q:$Q,MATCH($A29,'Valo FX'!$A:$A,0)),0,IF(LT$1&lt;INDEX('Valo FX'!$R:$R,MATCH($A29,'Valo FX'!$A:$A,0)),INDEX(Base!$U:$U,MATCH($A29,Base!$A:$A,0)),IF(LT$1=INDEX('Valo FX'!$R:$R,MATCH($A29,'Valo FX'!$A:$A,0)),INDEX(Base!$V:$V,MATCH($A29,Base!$A:$A,0)),0)))</f>
        <v>6.1227119999999999</v>
      </c>
      <c r="LU29" s="21">
        <f>IF(LU$1&lt;INDEX('Valo FX'!$Q:$Q,MATCH($A29,'Valo FX'!$A:$A,0)),0,IF(LU$1&lt;INDEX('Valo FX'!$R:$R,MATCH($A29,'Valo FX'!$A:$A,0)),INDEX(Base!$U:$U,MATCH($A29,Base!$A:$A,0)),IF(LU$1=INDEX('Valo FX'!$R:$R,MATCH($A29,'Valo FX'!$A:$A,0)),INDEX(Base!$V:$V,MATCH($A29,Base!$A:$A,0)),0)))</f>
        <v>6.1227119999999999</v>
      </c>
      <c r="LV29" s="21">
        <f>IF(LV$1&lt;INDEX('Valo FX'!$Q:$Q,MATCH($A29,'Valo FX'!$A:$A,0)),0,IF(LV$1&lt;INDEX('Valo FX'!$R:$R,MATCH($A29,'Valo FX'!$A:$A,0)),INDEX(Base!$U:$U,MATCH($A29,Base!$A:$A,0)),IF(LV$1=INDEX('Valo FX'!$R:$R,MATCH($A29,'Valo FX'!$A:$A,0)),INDEX(Base!$V:$V,MATCH($A29,Base!$A:$A,0)),0)))</f>
        <v>6.1227119999999999</v>
      </c>
      <c r="LW29" s="21">
        <f>IF(LW$1&lt;INDEX('Valo FX'!$Q:$Q,MATCH($A29,'Valo FX'!$A:$A,0)),0,IF(LW$1&lt;INDEX('Valo FX'!$R:$R,MATCH($A29,'Valo FX'!$A:$A,0)),INDEX(Base!$U:$U,MATCH($A29,Base!$A:$A,0)),IF(LW$1=INDEX('Valo FX'!$R:$R,MATCH($A29,'Valo FX'!$A:$A,0)),INDEX(Base!$V:$V,MATCH($A29,Base!$A:$A,0)),0)))</f>
        <v>6.1227119999999999</v>
      </c>
      <c r="LX29" s="21">
        <f>IF(LX$1&lt;INDEX('Valo FX'!$Q:$Q,MATCH($A29,'Valo FX'!$A:$A,0)),0,IF(LX$1&lt;INDEX('Valo FX'!$R:$R,MATCH($A29,'Valo FX'!$A:$A,0)),INDEX(Base!$U:$U,MATCH($A29,Base!$A:$A,0)),IF(LX$1=INDEX('Valo FX'!$R:$R,MATCH($A29,'Valo FX'!$A:$A,0)),INDEX(Base!$V:$V,MATCH($A29,Base!$A:$A,0)),0)))</f>
        <v>6.1227119999999999</v>
      </c>
      <c r="LY29" s="21">
        <f>IF(LY$1&lt;INDEX('Valo FX'!$Q:$Q,MATCH($A29,'Valo FX'!$A:$A,0)),0,IF(LY$1&lt;INDEX('Valo FX'!$R:$R,MATCH($A29,'Valo FX'!$A:$A,0)),INDEX(Base!$U:$U,MATCH($A29,Base!$A:$A,0)),IF(LY$1=INDEX('Valo FX'!$R:$R,MATCH($A29,'Valo FX'!$A:$A,0)),INDEX(Base!$V:$V,MATCH($A29,Base!$A:$A,0)),0)))</f>
        <v>6.1227119999999999</v>
      </c>
      <c r="LZ29" s="21">
        <f>IF(LZ$1&lt;INDEX('Valo FX'!$Q:$Q,MATCH($A29,'Valo FX'!$A:$A,0)),0,IF(LZ$1&lt;INDEX('Valo FX'!$R:$R,MATCH($A29,'Valo FX'!$A:$A,0)),INDEX(Base!$U:$U,MATCH($A29,Base!$A:$A,0)),IF(LZ$1=INDEX('Valo FX'!$R:$R,MATCH($A29,'Valo FX'!$A:$A,0)),INDEX(Base!$V:$V,MATCH($A29,Base!$A:$A,0)),0)))</f>
        <v>6.1227119999999999</v>
      </c>
      <c r="MA29" s="21">
        <f>IF(MA$1&lt;INDEX('Valo FX'!$Q:$Q,MATCH($A29,'Valo FX'!$A:$A,0)),0,IF(MA$1&lt;INDEX('Valo FX'!$R:$R,MATCH($A29,'Valo FX'!$A:$A,0)),INDEX(Base!$U:$U,MATCH($A29,Base!$A:$A,0)),IF(MA$1=INDEX('Valo FX'!$R:$R,MATCH($A29,'Valo FX'!$A:$A,0)),INDEX(Base!$V:$V,MATCH($A29,Base!$A:$A,0)),0)))</f>
        <v>6.1227119999999999</v>
      </c>
      <c r="MB29" s="21">
        <f>IF(MB$1&lt;INDEX('Valo FX'!$Q:$Q,MATCH($A29,'Valo FX'!$A:$A,0)),0,IF(MB$1&lt;INDEX('Valo FX'!$R:$R,MATCH($A29,'Valo FX'!$A:$A,0)),INDEX(Base!$U:$U,MATCH($A29,Base!$A:$A,0)),IF(MB$1=INDEX('Valo FX'!$R:$R,MATCH($A29,'Valo FX'!$A:$A,0)),INDEX(Base!$V:$V,MATCH($A29,Base!$A:$A,0)),0)))</f>
        <v>6.1227119999999999</v>
      </c>
      <c r="MC29" s="21">
        <f>IF(MC$1&lt;INDEX('Valo FX'!$Q:$Q,MATCH($A29,'Valo FX'!$A:$A,0)),0,IF(MC$1&lt;INDEX('Valo FX'!$R:$R,MATCH($A29,'Valo FX'!$A:$A,0)),INDEX(Base!$U:$U,MATCH($A29,Base!$A:$A,0)),IF(MC$1=INDEX('Valo FX'!$R:$R,MATCH($A29,'Valo FX'!$A:$A,0)),INDEX(Base!$V:$V,MATCH($A29,Base!$A:$A,0)),0)))</f>
        <v>6.1227119999999999</v>
      </c>
      <c r="MD29" s="21">
        <f>IF(MD$1&lt;INDEX('Valo FX'!$Q:$Q,MATCH($A29,'Valo FX'!$A:$A,0)),0,IF(MD$1&lt;INDEX('Valo FX'!$R:$R,MATCH($A29,'Valo FX'!$A:$A,0)),INDEX(Base!$U:$U,MATCH($A29,Base!$A:$A,0)),IF(MD$1=INDEX('Valo FX'!$R:$R,MATCH($A29,'Valo FX'!$A:$A,0)),INDEX(Base!$V:$V,MATCH($A29,Base!$A:$A,0)),0)))</f>
        <v>6.1227119999999999</v>
      </c>
      <c r="ME29" s="21">
        <f>IF(ME$1&lt;INDEX('Valo FX'!$Q:$Q,MATCH($A29,'Valo FX'!$A:$A,0)),0,IF(ME$1&lt;INDEX('Valo FX'!$R:$R,MATCH($A29,'Valo FX'!$A:$A,0)),INDEX(Base!$U:$U,MATCH($A29,Base!$A:$A,0)),IF(ME$1=INDEX('Valo FX'!$R:$R,MATCH($A29,'Valo FX'!$A:$A,0)),INDEX(Base!$V:$V,MATCH($A29,Base!$A:$A,0)),0)))</f>
        <v>6.1227119999999999</v>
      </c>
      <c r="MF29" s="21">
        <f>IF(MF$1&lt;INDEX('Valo FX'!$Q:$Q,MATCH($A29,'Valo FX'!$A:$A,0)),0,IF(MF$1&lt;INDEX('Valo FX'!$R:$R,MATCH($A29,'Valo FX'!$A:$A,0)),INDEX(Base!$U:$U,MATCH($A29,Base!$A:$A,0)),IF(MF$1=INDEX('Valo FX'!$R:$R,MATCH($A29,'Valo FX'!$A:$A,0)),INDEX(Base!$V:$V,MATCH($A29,Base!$A:$A,0)),0)))</f>
        <v>6.1227119999999999</v>
      </c>
      <c r="MG29" s="21">
        <f>IF(MG$1&lt;INDEX('Valo FX'!$Q:$Q,MATCH($A29,'Valo FX'!$A:$A,0)),0,IF(MG$1&lt;INDEX('Valo FX'!$R:$R,MATCH($A29,'Valo FX'!$A:$A,0)),INDEX(Base!$U:$U,MATCH($A29,Base!$A:$A,0)),IF(MG$1=INDEX('Valo FX'!$R:$R,MATCH($A29,'Valo FX'!$A:$A,0)),INDEX(Base!$V:$V,MATCH($A29,Base!$A:$A,0)),0)))</f>
        <v>6.1227119999999999</v>
      </c>
      <c r="MH29" s="21">
        <f>IF(MH$1&lt;INDEX('Valo FX'!$Q:$Q,MATCH($A29,'Valo FX'!$A:$A,0)),0,IF(MH$1&lt;INDEX('Valo FX'!$R:$R,MATCH($A29,'Valo FX'!$A:$A,0)),INDEX(Base!$U:$U,MATCH($A29,Base!$A:$A,0)),IF(MH$1=INDEX('Valo FX'!$R:$R,MATCH($A29,'Valo FX'!$A:$A,0)),INDEX(Base!$V:$V,MATCH($A29,Base!$A:$A,0)),0)))</f>
        <v>6.1227119999999999</v>
      </c>
      <c r="MI29" s="21">
        <f>IF(MI$1&lt;INDEX('Valo FX'!$Q:$Q,MATCH($A29,'Valo FX'!$A:$A,0)),0,IF(MI$1&lt;INDEX('Valo FX'!$R:$R,MATCH($A29,'Valo FX'!$A:$A,0)),INDEX(Base!$U:$U,MATCH($A29,Base!$A:$A,0)),IF(MI$1=INDEX('Valo FX'!$R:$R,MATCH($A29,'Valo FX'!$A:$A,0)),INDEX(Base!$V:$V,MATCH($A29,Base!$A:$A,0)),0)))</f>
        <v>6.1227119999999999</v>
      </c>
      <c r="MJ29" s="21">
        <f>IF(MJ$1&lt;INDEX('Valo FX'!$Q:$Q,MATCH($A29,'Valo FX'!$A:$A,0)),0,IF(MJ$1&lt;INDEX('Valo FX'!$R:$R,MATCH($A29,'Valo FX'!$A:$A,0)),INDEX(Base!$U:$U,MATCH($A29,Base!$A:$A,0)),IF(MJ$1=INDEX('Valo FX'!$R:$R,MATCH($A29,'Valo FX'!$A:$A,0)),INDEX(Base!$V:$V,MATCH($A29,Base!$A:$A,0)),0)))</f>
        <v>6.1227119999999999</v>
      </c>
      <c r="MK29" s="21">
        <f>IF(MK$1&lt;INDEX('Valo FX'!$Q:$Q,MATCH($A29,'Valo FX'!$A:$A,0)),0,IF(MK$1&lt;INDEX('Valo FX'!$R:$R,MATCH($A29,'Valo FX'!$A:$A,0)),INDEX(Base!$U:$U,MATCH($A29,Base!$A:$A,0)),IF(MK$1=INDEX('Valo FX'!$R:$R,MATCH($A29,'Valo FX'!$A:$A,0)),INDEX(Base!$V:$V,MATCH($A29,Base!$A:$A,0)),0)))</f>
        <v>6.1227119999999999</v>
      </c>
      <c r="ML29" s="21">
        <f>IF(ML$1&lt;INDEX('Valo FX'!$Q:$Q,MATCH($A29,'Valo FX'!$A:$A,0)),0,IF(ML$1&lt;INDEX('Valo FX'!$R:$R,MATCH($A29,'Valo FX'!$A:$A,0)),INDEX(Base!$U:$U,MATCH($A29,Base!$A:$A,0)),IF(ML$1=INDEX('Valo FX'!$R:$R,MATCH($A29,'Valo FX'!$A:$A,0)),INDEX(Base!$V:$V,MATCH($A29,Base!$A:$A,0)),0)))</f>
        <v>6.1227119999999999</v>
      </c>
      <c r="MM29" s="21">
        <f>IF(MM$1&lt;INDEX('Valo FX'!$Q:$Q,MATCH($A29,'Valo FX'!$A:$A,0)),0,IF(MM$1&lt;INDEX('Valo FX'!$R:$R,MATCH($A29,'Valo FX'!$A:$A,0)),INDEX(Base!$U:$U,MATCH($A29,Base!$A:$A,0)),IF(MM$1=INDEX('Valo FX'!$R:$R,MATCH($A29,'Valo FX'!$A:$A,0)),INDEX(Base!$V:$V,MATCH($A29,Base!$A:$A,0)),0)))</f>
        <v>6.1227119999999999</v>
      </c>
      <c r="MN29" s="21">
        <f>IF(MN$1&lt;INDEX('Valo FX'!$Q:$Q,MATCH($A29,'Valo FX'!$A:$A,0)),0,IF(MN$1&lt;INDEX('Valo FX'!$R:$R,MATCH($A29,'Valo FX'!$A:$A,0)),INDEX(Base!$U:$U,MATCH($A29,Base!$A:$A,0)),IF(MN$1=INDEX('Valo FX'!$R:$R,MATCH($A29,'Valo FX'!$A:$A,0)),INDEX(Base!$V:$V,MATCH($A29,Base!$A:$A,0)),0)))</f>
        <v>6.1227119999999999</v>
      </c>
      <c r="MO29" s="21">
        <f>IF(MO$1&lt;INDEX('Valo FX'!$Q:$Q,MATCH($A29,'Valo FX'!$A:$A,0)),0,IF(MO$1&lt;INDEX('Valo FX'!$R:$R,MATCH($A29,'Valo FX'!$A:$A,0)),INDEX(Base!$U:$U,MATCH($A29,Base!$A:$A,0)),IF(MO$1=INDEX('Valo FX'!$R:$R,MATCH($A29,'Valo FX'!$A:$A,0)),INDEX(Base!$V:$V,MATCH($A29,Base!$A:$A,0)),0)))</f>
        <v>6.1227119999999999</v>
      </c>
      <c r="MP29" s="21">
        <f>IF(MP$1&lt;INDEX('Valo FX'!$Q:$Q,MATCH($A29,'Valo FX'!$A:$A,0)),0,IF(MP$1&lt;INDEX('Valo FX'!$R:$R,MATCH($A29,'Valo FX'!$A:$A,0)),INDEX(Base!$U:$U,MATCH($A29,Base!$A:$A,0)),IF(MP$1=INDEX('Valo FX'!$R:$R,MATCH($A29,'Valo FX'!$A:$A,0)),INDEX(Base!$V:$V,MATCH($A29,Base!$A:$A,0)),0)))</f>
        <v>6.1227119999999999</v>
      </c>
      <c r="MQ29" s="21">
        <f>IF(MQ$1&lt;INDEX('Valo FX'!$Q:$Q,MATCH($A29,'Valo FX'!$A:$A,0)),0,IF(MQ$1&lt;INDEX('Valo FX'!$R:$R,MATCH($A29,'Valo FX'!$A:$A,0)),INDEX(Base!$U:$U,MATCH($A29,Base!$A:$A,0)),IF(MQ$1=INDEX('Valo FX'!$R:$R,MATCH($A29,'Valo FX'!$A:$A,0)),INDEX(Base!$V:$V,MATCH($A29,Base!$A:$A,0)),0)))</f>
        <v>6.1227119999999999</v>
      </c>
      <c r="MR29" s="21">
        <f>IF(MR$1&lt;INDEX('Valo FX'!$Q:$Q,MATCH($A29,'Valo FX'!$A:$A,0)),0,IF(MR$1&lt;INDEX('Valo FX'!$R:$R,MATCH($A29,'Valo FX'!$A:$A,0)),INDEX(Base!$U:$U,MATCH($A29,Base!$A:$A,0)),IF(MR$1=INDEX('Valo FX'!$R:$R,MATCH($A29,'Valo FX'!$A:$A,0)),INDEX(Base!$V:$V,MATCH($A29,Base!$A:$A,0)),0)))</f>
        <v>6.1227119999999999</v>
      </c>
      <c r="MS29" s="21">
        <f>IF(MS$1&lt;INDEX('Valo FX'!$Q:$Q,MATCH($A29,'Valo FX'!$A:$A,0)),0,IF(MS$1&lt;INDEX('Valo FX'!$R:$R,MATCH($A29,'Valo FX'!$A:$A,0)),INDEX(Base!$U:$U,MATCH($A29,Base!$A:$A,0)),IF(MS$1=INDEX('Valo FX'!$R:$R,MATCH($A29,'Valo FX'!$A:$A,0)),INDEX(Base!$V:$V,MATCH($A29,Base!$A:$A,0)),0)))</f>
        <v>6.1227119999999999</v>
      </c>
      <c r="MT29" s="21">
        <f>IF(MT$1&lt;INDEX('Valo FX'!$Q:$Q,MATCH($A29,'Valo FX'!$A:$A,0)),0,IF(MT$1&lt;INDEX('Valo FX'!$R:$R,MATCH($A29,'Valo FX'!$A:$A,0)),INDEX(Base!$U:$U,MATCH($A29,Base!$A:$A,0)),IF(MT$1=INDEX('Valo FX'!$R:$R,MATCH($A29,'Valo FX'!$A:$A,0)),INDEX(Base!$V:$V,MATCH($A29,Base!$A:$A,0)),0)))</f>
        <v>6.1227119999999999</v>
      </c>
      <c r="MU29" s="21">
        <f>IF(MU$1&lt;INDEX('Valo FX'!$Q:$Q,MATCH($A29,'Valo FX'!$A:$A,0)),0,IF(MU$1&lt;INDEX('Valo FX'!$R:$R,MATCH($A29,'Valo FX'!$A:$A,0)),INDEX(Base!$U:$U,MATCH($A29,Base!$A:$A,0)),IF(MU$1=INDEX('Valo FX'!$R:$R,MATCH($A29,'Valo FX'!$A:$A,0)),INDEX(Base!$V:$V,MATCH($A29,Base!$A:$A,0)),0)))</f>
        <v>6.1227119999999999</v>
      </c>
      <c r="MV29" s="21">
        <f>IF(MV$1&lt;INDEX('Valo FX'!$Q:$Q,MATCH($A29,'Valo FX'!$A:$A,0)),0,IF(MV$1&lt;INDEX('Valo FX'!$R:$R,MATCH($A29,'Valo FX'!$A:$A,0)),INDEX(Base!$U:$U,MATCH($A29,Base!$A:$A,0)),IF(MV$1=INDEX('Valo FX'!$R:$R,MATCH($A29,'Valo FX'!$A:$A,0)),INDEX(Base!$V:$V,MATCH($A29,Base!$A:$A,0)),0)))</f>
        <v>6.1227119999999999</v>
      </c>
      <c r="MW29" s="21">
        <f>IF(MW$1&lt;INDEX('Valo FX'!$Q:$Q,MATCH($A29,'Valo FX'!$A:$A,0)),0,IF(MW$1&lt;INDEX('Valo FX'!$R:$R,MATCH($A29,'Valo FX'!$A:$A,0)),INDEX(Base!$U:$U,MATCH($A29,Base!$A:$A,0)),IF(MW$1=INDEX('Valo FX'!$R:$R,MATCH($A29,'Valo FX'!$A:$A,0)),INDEX(Base!$V:$V,MATCH($A29,Base!$A:$A,0)),0)))</f>
        <v>6.1227119999999999</v>
      </c>
      <c r="MX29" s="21">
        <f>IF(MX$1&lt;INDEX('Valo FX'!$Q:$Q,MATCH($A29,'Valo FX'!$A:$A,0)),0,IF(MX$1&lt;INDEX('Valo FX'!$R:$R,MATCH($A29,'Valo FX'!$A:$A,0)),INDEX(Base!$U:$U,MATCH($A29,Base!$A:$A,0)),IF(MX$1=INDEX('Valo FX'!$R:$R,MATCH($A29,'Valo FX'!$A:$A,0)),INDEX(Base!$V:$V,MATCH($A29,Base!$A:$A,0)),0)))</f>
        <v>6.1227119999999999</v>
      </c>
      <c r="MY29" s="21">
        <f>IF(MY$1&lt;INDEX('Valo FX'!$Q:$Q,MATCH($A29,'Valo FX'!$A:$A,0)),0,IF(MY$1&lt;INDEX('Valo FX'!$R:$R,MATCH($A29,'Valo FX'!$A:$A,0)),INDEX(Base!$U:$U,MATCH($A29,Base!$A:$A,0)),IF(MY$1=INDEX('Valo FX'!$R:$R,MATCH($A29,'Valo FX'!$A:$A,0)),INDEX(Base!$V:$V,MATCH($A29,Base!$A:$A,0)),0)))</f>
        <v>6.3144229999999997</v>
      </c>
    </row>
    <row r="30" spans="1:363" x14ac:dyDescent="0.25">
      <c r="A30" s="7">
        <f t="shared" si="12"/>
        <v>28</v>
      </c>
      <c r="B30" s="59">
        <f>-'Valo FX'!T31</f>
        <v>-1657.9806607678347</v>
      </c>
      <c r="C30" s="21">
        <f>IF(C$1&lt;INDEX('Valo FX'!$Q:$Q,MATCH($A30,'Valo FX'!$A:$A,0)),0,IF(C$1&lt;INDEX('Valo FX'!$R:$R,MATCH($A30,'Valo FX'!$A:$A,0)),INDEX(Base!$U:$U,MATCH($A30,Base!$A:$A,0)),IF(C$1=INDEX('Valo FX'!$R:$R,MATCH($A30,'Valo FX'!$A:$A,0)),INDEX(Base!$V:$V,MATCH($A30,Base!$A:$A,0)),0)))</f>
        <v>0</v>
      </c>
      <c r="D30" s="21">
        <f>IF(D$1&lt;INDEX('Valo FX'!$Q:$Q,MATCH($A30,'Valo FX'!$A:$A,0)),0,IF(D$1&lt;INDEX('Valo FX'!$R:$R,MATCH($A30,'Valo FX'!$A:$A,0)),INDEX(Base!$U:$U,MATCH($A30,Base!$A:$A,0)),IF(D$1=INDEX('Valo FX'!$R:$R,MATCH($A30,'Valo FX'!$A:$A,0)),INDEX(Base!$V:$V,MATCH($A30,Base!$A:$A,0)),0)))</f>
        <v>0</v>
      </c>
      <c r="E30" s="21">
        <f>IF(E$1&lt;INDEX('Valo FX'!$Q:$Q,MATCH($A30,'Valo FX'!$A:$A,0)),0,IF(E$1&lt;INDEX('Valo FX'!$R:$R,MATCH($A30,'Valo FX'!$A:$A,0)),INDEX(Base!$U:$U,MATCH($A30,Base!$A:$A,0)),IF(E$1=INDEX('Valo FX'!$R:$R,MATCH($A30,'Valo FX'!$A:$A,0)),INDEX(Base!$V:$V,MATCH($A30,Base!$A:$A,0)),0)))</f>
        <v>0</v>
      </c>
      <c r="F30" s="21">
        <f>IF(F$1&lt;INDEX('Valo FX'!$Q:$Q,MATCH($A30,'Valo FX'!$A:$A,0)),0,IF(F$1&lt;INDEX('Valo FX'!$R:$R,MATCH($A30,'Valo FX'!$A:$A,0)),INDEX(Base!$U:$U,MATCH($A30,Base!$A:$A,0)),IF(F$1=INDEX('Valo FX'!$R:$R,MATCH($A30,'Valo FX'!$A:$A,0)),INDEX(Base!$V:$V,MATCH($A30,Base!$A:$A,0)),0)))</f>
        <v>0</v>
      </c>
      <c r="G30" s="21">
        <f>IF(G$1&lt;INDEX('Valo FX'!$Q:$Q,MATCH($A30,'Valo FX'!$A:$A,0)),0,IF(G$1&lt;INDEX('Valo FX'!$R:$R,MATCH($A30,'Valo FX'!$A:$A,0)),INDEX(Base!$U:$U,MATCH($A30,Base!$A:$A,0)),IF(G$1=INDEX('Valo FX'!$R:$R,MATCH($A30,'Valo FX'!$A:$A,0)),INDEX(Base!$V:$V,MATCH($A30,Base!$A:$A,0)),0)))</f>
        <v>0</v>
      </c>
      <c r="H30" s="21">
        <f>IF(H$1&lt;INDEX('Valo FX'!$Q:$Q,MATCH($A30,'Valo FX'!$A:$A,0)),0,IF(H$1&lt;INDEX('Valo FX'!$R:$R,MATCH($A30,'Valo FX'!$A:$A,0)),INDEX(Base!$U:$U,MATCH($A30,Base!$A:$A,0)),IF(H$1=INDEX('Valo FX'!$R:$R,MATCH($A30,'Valo FX'!$A:$A,0)),INDEX(Base!$V:$V,MATCH($A30,Base!$A:$A,0)),0)))</f>
        <v>0</v>
      </c>
      <c r="I30" s="21">
        <f>IF(I$1&lt;INDEX('Valo FX'!$Q:$Q,MATCH($A30,'Valo FX'!$A:$A,0)),0,IF(I$1&lt;INDEX('Valo FX'!$R:$R,MATCH($A30,'Valo FX'!$A:$A,0)),INDEX(Base!$U:$U,MATCH($A30,Base!$A:$A,0)),IF(I$1=INDEX('Valo FX'!$R:$R,MATCH($A30,'Valo FX'!$A:$A,0)),INDEX(Base!$V:$V,MATCH($A30,Base!$A:$A,0)),0)))</f>
        <v>11.359590000000001</v>
      </c>
      <c r="J30" s="21">
        <f>IF(J$1&lt;INDEX('Valo FX'!$Q:$Q,MATCH($A30,'Valo FX'!$A:$A,0)),0,IF(J$1&lt;INDEX('Valo FX'!$R:$R,MATCH($A30,'Valo FX'!$A:$A,0)),INDEX(Base!$U:$U,MATCH($A30,Base!$A:$A,0)),IF(J$1=INDEX('Valo FX'!$R:$R,MATCH($A30,'Valo FX'!$A:$A,0)),INDEX(Base!$V:$V,MATCH($A30,Base!$A:$A,0)),0)))</f>
        <v>11.359590000000001</v>
      </c>
      <c r="K30" s="21">
        <f>IF(K$1&lt;INDEX('Valo FX'!$Q:$Q,MATCH($A30,'Valo FX'!$A:$A,0)),0,IF(K$1&lt;INDEX('Valo FX'!$R:$R,MATCH($A30,'Valo FX'!$A:$A,0)),INDEX(Base!$U:$U,MATCH($A30,Base!$A:$A,0)),IF(K$1=INDEX('Valo FX'!$R:$R,MATCH($A30,'Valo FX'!$A:$A,0)),INDEX(Base!$V:$V,MATCH($A30,Base!$A:$A,0)),0)))</f>
        <v>11.359590000000001</v>
      </c>
      <c r="L30" s="21">
        <f>IF(L$1&lt;INDEX('Valo FX'!$Q:$Q,MATCH($A30,'Valo FX'!$A:$A,0)),0,IF(L$1&lt;INDEX('Valo FX'!$R:$R,MATCH($A30,'Valo FX'!$A:$A,0)),INDEX(Base!$U:$U,MATCH($A30,Base!$A:$A,0)),IF(L$1=INDEX('Valo FX'!$R:$R,MATCH($A30,'Valo FX'!$A:$A,0)),INDEX(Base!$V:$V,MATCH($A30,Base!$A:$A,0)),0)))</f>
        <v>11.359590000000001</v>
      </c>
      <c r="M30" s="21">
        <f>IF(M$1&lt;INDEX('Valo FX'!$Q:$Q,MATCH($A30,'Valo FX'!$A:$A,0)),0,IF(M$1&lt;INDEX('Valo FX'!$R:$R,MATCH($A30,'Valo FX'!$A:$A,0)),INDEX(Base!$U:$U,MATCH($A30,Base!$A:$A,0)),IF(M$1=INDEX('Valo FX'!$R:$R,MATCH($A30,'Valo FX'!$A:$A,0)),INDEX(Base!$V:$V,MATCH($A30,Base!$A:$A,0)),0)))</f>
        <v>11.359590000000001</v>
      </c>
      <c r="N30" s="21">
        <f>IF(N$1&lt;INDEX('Valo FX'!$Q:$Q,MATCH($A30,'Valo FX'!$A:$A,0)),0,IF(N$1&lt;INDEX('Valo FX'!$R:$R,MATCH($A30,'Valo FX'!$A:$A,0)),INDEX(Base!$U:$U,MATCH($A30,Base!$A:$A,0)),IF(N$1=INDEX('Valo FX'!$R:$R,MATCH($A30,'Valo FX'!$A:$A,0)),INDEX(Base!$V:$V,MATCH($A30,Base!$A:$A,0)),0)))</f>
        <v>11.359590000000001</v>
      </c>
      <c r="O30" s="21">
        <f>IF(O$1&lt;INDEX('Valo FX'!$Q:$Q,MATCH($A30,'Valo FX'!$A:$A,0)),0,IF(O$1&lt;INDEX('Valo FX'!$R:$R,MATCH($A30,'Valo FX'!$A:$A,0)),INDEX(Base!$U:$U,MATCH($A30,Base!$A:$A,0)),IF(O$1=INDEX('Valo FX'!$R:$R,MATCH($A30,'Valo FX'!$A:$A,0)),INDEX(Base!$V:$V,MATCH($A30,Base!$A:$A,0)),0)))</f>
        <v>11.359590000000001</v>
      </c>
      <c r="P30" s="21">
        <f>IF(P$1&lt;INDEX('Valo FX'!$Q:$Q,MATCH($A30,'Valo FX'!$A:$A,0)),0,IF(P$1&lt;INDEX('Valo FX'!$R:$R,MATCH($A30,'Valo FX'!$A:$A,0)),INDEX(Base!$U:$U,MATCH($A30,Base!$A:$A,0)),IF(P$1=INDEX('Valo FX'!$R:$R,MATCH($A30,'Valo FX'!$A:$A,0)),INDEX(Base!$V:$V,MATCH($A30,Base!$A:$A,0)),0)))</f>
        <v>11.359590000000001</v>
      </c>
      <c r="Q30" s="21">
        <f>IF(Q$1&lt;INDEX('Valo FX'!$Q:$Q,MATCH($A30,'Valo FX'!$A:$A,0)),0,IF(Q$1&lt;INDEX('Valo FX'!$R:$R,MATCH($A30,'Valo FX'!$A:$A,0)),INDEX(Base!$U:$U,MATCH($A30,Base!$A:$A,0)),IF(Q$1=INDEX('Valo FX'!$R:$R,MATCH($A30,'Valo FX'!$A:$A,0)),INDEX(Base!$V:$V,MATCH($A30,Base!$A:$A,0)),0)))</f>
        <v>11.359590000000001</v>
      </c>
      <c r="R30" s="21">
        <f>IF(R$1&lt;INDEX('Valo FX'!$Q:$Q,MATCH($A30,'Valo FX'!$A:$A,0)),0,IF(R$1&lt;INDEX('Valo FX'!$R:$R,MATCH($A30,'Valo FX'!$A:$A,0)),INDEX(Base!$U:$U,MATCH($A30,Base!$A:$A,0)),IF(R$1=INDEX('Valo FX'!$R:$R,MATCH($A30,'Valo FX'!$A:$A,0)),INDEX(Base!$V:$V,MATCH($A30,Base!$A:$A,0)),0)))</f>
        <v>11.359590000000001</v>
      </c>
      <c r="S30" s="21">
        <f>IF(S$1&lt;INDEX('Valo FX'!$Q:$Q,MATCH($A30,'Valo FX'!$A:$A,0)),0,IF(S$1&lt;INDEX('Valo FX'!$R:$R,MATCH($A30,'Valo FX'!$A:$A,0)),INDEX(Base!$U:$U,MATCH($A30,Base!$A:$A,0)),IF(S$1=INDEX('Valo FX'!$R:$R,MATCH($A30,'Valo FX'!$A:$A,0)),INDEX(Base!$V:$V,MATCH($A30,Base!$A:$A,0)),0)))</f>
        <v>11.359590000000001</v>
      </c>
      <c r="T30" s="21">
        <f>IF(T$1&lt;INDEX('Valo FX'!$Q:$Q,MATCH($A30,'Valo FX'!$A:$A,0)),0,IF(T$1&lt;INDEX('Valo FX'!$R:$R,MATCH($A30,'Valo FX'!$A:$A,0)),INDEX(Base!$U:$U,MATCH($A30,Base!$A:$A,0)),IF(T$1=INDEX('Valo FX'!$R:$R,MATCH($A30,'Valo FX'!$A:$A,0)),INDEX(Base!$V:$V,MATCH($A30,Base!$A:$A,0)),0)))</f>
        <v>11.359590000000001</v>
      </c>
      <c r="U30" s="21">
        <f>IF(U$1&lt;INDEX('Valo FX'!$Q:$Q,MATCH($A30,'Valo FX'!$A:$A,0)),0,IF(U$1&lt;INDEX('Valo FX'!$R:$R,MATCH($A30,'Valo FX'!$A:$A,0)),INDEX(Base!$U:$U,MATCH($A30,Base!$A:$A,0)),IF(U$1=INDEX('Valo FX'!$R:$R,MATCH($A30,'Valo FX'!$A:$A,0)),INDEX(Base!$V:$V,MATCH($A30,Base!$A:$A,0)),0)))</f>
        <v>11.359590000000001</v>
      </c>
      <c r="V30" s="21">
        <f>IF(V$1&lt;INDEX('Valo FX'!$Q:$Q,MATCH($A30,'Valo FX'!$A:$A,0)),0,IF(V$1&lt;INDEX('Valo FX'!$R:$R,MATCH($A30,'Valo FX'!$A:$A,0)),INDEX(Base!$U:$U,MATCH($A30,Base!$A:$A,0)),IF(V$1=INDEX('Valo FX'!$R:$R,MATCH($A30,'Valo FX'!$A:$A,0)),INDEX(Base!$V:$V,MATCH($A30,Base!$A:$A,0)),0)))</f>
        <v>11.359590000000001</v>
      </c>
      <c r="W30" s="21">
        <f>IF(W$1&lt;INDEX('Valo FX'!$Q:$Q,MATCH($A30,'Valo FX'!$A:$A,0)),0,IF(W$1&lt;INDEX('Valo FX'!$R:$R,MATCH($A30,'Valo FX'!$A:$A,0)),INDEX(Base!$U:$U,MATCH($A30,Base!$A:$A,0)),IF(W$1=INDEX('Valo FX'!$R:$R,MATCH($A30,'Valo FX'!$A:$A,0)),INDEX(Base!$V:$V,MATCH($A30,Base!$A:$A,0)),0)))</f>
        <v>11.359590000000001</v>
      </c>
      <c r="X30" s="21">
        <f>IF(X$1&lt;INDEX('Valo FX'!$Q:$Q,MATCH($A30,'Valo FX'!$A:$A,0)),0,IF(X$1&lt;INDEX('Valo FX'!$R:$R,MATCH($A30,'Valo FX'!$A:$A,0)),INDEX(Base!$U:$U,MATCH($A30,Base!$A:$A,0)),IF(X$1=INDEX('Valo FX'!$R:$R,MATCH($A30,'Valo FX'!$A:$A,0)),INDEX(Base!$V:$V,MATCH($A30,Base!$A:$A,0)),0)))</f>
        <v>11.359590000000001</v>
      </c>
      <c r="Y30" s="21">
        <f>IF(Y$1&lt;INDEX('Valo FX'!$Q:$Q,MATCH($A30,'Valo FX'!$A:$A,0)),0,IF(Y$1&lt;INDEX('Valo FX'!$R:$R,MATCH($A30,'Valo FX'!$A:$A,0)),INDEX(Base!$U:$U,MATCH($A30,Base!$A:$A,0)),IF(Y$1=INDEX('Valo FX'!$R:$R,MATCH($A30,'Valo FX'!$A:$A,0)),INDEX(Base!$V:$V,MATCH($A30,Base!$A:$A,0)),0)))</f>
        <v>11.359590000000001</v>
      </c>
      <c r="Z30" s="21">
        <f>IF(Z$1&lt;INDEX('Valo FX'!$Q:$Q,MATCH($A30,'Valo FX'!$A:$A,0)),0,IF(Z$1&lt;INDEX('Valo FX'!$R:$R,MATCH($A30,'Valo FX'!$A:$A,0)),INDEX(Base!$U:$U,MATCH($A30,Base!$A:$A,0)),IF(Z$1=INDEX('Valo FX'!$R:$R,MATCH($A30,'Valo FX'!$A:$A,0)),INDEX(Base!$V:$V,MATCH($A30,Base!$A:$A,0)),0)))</f>
        <v>11.359590000000001</v>
      </c>
      <c r="AA30" s="21">
        <f>IF(AA$1&lt;INDEX('Valo FX'!$Q:$Q,MATCH($A30,'Valo FX'!$A:$A,0)),0,IF(AA$1&lt;INDEX('Valo FX'!$R:$R,MATCH($A30,'Valo FX'!$A:$A,0)),INDEX(Base!$U:$U,MATCH($A30,Base!$A:$A,0)),IF(AA$1=INDEX('Valo FX'!$R:$R,MATCH($A30,'Valo FX'!$A:$A,0)),INDEX(Base!$V:$V,MATCH($A30,Base!$A:$A,0)),0)))</f>
        <v>11.359590000000001</v>
      </c>
      <c r="AB30" s="21">
        <f>IF(AB$1&lt;INDEX('Valo FX'!$Q:$Q,MATCH($A30,'Valo FX'!$A:$A,0)),0,IF(AB$1&lt;INDEX('Valo FX'!$R:$R,MATCH($A30,'Valo FX'!$A:$A,0)),INDEX(Base!$U:$U,MATCH($A30,Base!$A:$A,0)),IF(AB$1=INDEX('Valo FX'!$R:$R,MATCH($A30,'Valo FX'!$A:$A,0)),INDEX(Base!$V:$V,MATCH($A30,Base!$A:$A,0)),0)))</f>
        <v>11.359590000000001</v>
      </c>
      <c r="AC30" s="21">
        <f>IF(AC$1&lt;INDEX('Valo FX'!$Q:$Q,MATCH($A30,'Valo FX'!$A:$A,0)),0,IF(AC$1&lt;INDEX('Valo FX'!$R:$R,MATCH($A30,'Valo FX'!$A:$A,0)),INDEX(Base!$U:$U,MATCH($A30,Base!$A:$A,0)),IF(AC$1=INDEX('Valo FX'!$R:$R,MATCH($A30,'Valo FX'!$A:$A,0)),INDEX(Base!$V:$V,MATCH($A30,Base!$A:$A,0)),0)))</f>
        <v>11.359590000000001</v>
      </c>
      <c r="AD30" s="21">
        <f>IF(AD$1&lt;INDEX('Valo FX'!$Q:$Q,MATCH($A30,'Valo FX'!$A:$A,0)),0,IF(AD$1&lt;INDEX('Valo FX'!$R:$R,MATCH($A30,'Valo FX'!$A:$A,0)),INDEX(Base!$U:$U,MATCH($A30,Base!$A:$A,0)),IF(AD$1=INDEX('Valo FX'!$R:$R,MATCH($A30,'Valo FX'!$A:$A,0)),INDEX(Base!$V:$V,MATCH($A30,Base!$A:$A,0)),0)))</f>
        <v>11.359590000000001</v>
      </c>
      <c r="AE30" s="21">
        <f>IF(AE$1&lt;INDEX('Valo FX'!$Q:$Q,MATCH($A30,'Valo FX'!$A:$A,0)),0,IF(AE$1&lt;INDEX('Valo FX'!$R:$R,MATCH($A30,'Valo FX'!$A:$A,0)),INDEX(Base!$U:$U,MATCH($A30,Base!$A:$A,0)),IF(AE$1=INDEX('Valo FX'!$R:$R,MATCH($A30,'Valo FX'!$A:$A,0)),INDEX(Base!$V:$V,MATCH($A30,Base!$A:$A,0)),0)))</f>
        <v>11.359590000000001</v>
      </c>
      <c r="AF30" s="21">
        <f>IF(AF$1&lt;INDEX('Valo FX'!$Q:$Q,MATCH($A30,'Valo FX'!$A:$A,0)),0,IF(AF$1&lt;INDEX('Valo FX'!$R:$R,MATCH($A30,'Valo FX'!$A:$A,0)),INDEX(Base!$U:$U,MATCH($A30,Base!$A:$A,0)),IF(AF$1=INDEX('Valo FX'!$R:$R,MATCH($A30,'Valo FX'!$A:$A,0)),INDEX(Base!$V:$V,MATCH($A30,Base!$A:$A,0)),0)))</f>
        <v>11.359590000000001</v>
      </c>
      <c r="AG30" s="21">
        <f>IF(AG$1&lt;INDEX('Valo FX'!$Q:$Q,MATCH($A30,'Valo FX'!$A:$A,0)),0,IF(AG$1&lt;INDEX('Valo FX'!$R:$R,MATCH($A30,'Valo FX'!$A:$A,0)),INDEX(Base!$U:$U,MATCH($A30,Base!$A:$A,0)),IF(AG$1=INDEX('Valo FX'!$R:$R,MATCH($A30,'Valo FX'!$A:$A,0)),INDEX(Base!$V:$V,MATCH($A30,Base!$A:$A,0)),0)))</f>
        <v>11.359590000000001</v>
      </c>
      <c r="AH30" s="21">
        <f>IF(AH$1&lt;INDEX('Valo FX'!$Q:$Q,MATCH($A30,'Valo FX'!$A:$A,0)),0,IF(AH$1&lt;INDEX('Valo FX'!$R:$R,MATCH($A30,'Valo FX'!$A:$A,0)),INDEX(Base!$U:$U,MATCH($A30,Base!$A:$A,0)),IF(AH$1=INDEX('Valo FX'!$R:$R,MATCH($A30,'Valo FX'!$A:$A,0)),INDEX(Base!$V:$V,MATCH($A30,Base!$A:$A,0)),0)))</f>
        <v>11.359590000000001</v>
      </c>
      <c r="AI30" s="21">
        <f>IF(AI$1&lt;INDEX('Valo FX'!$Q:$Q,MATCH($A30,'Valo FX'!$A:$A,0)),0,IF(AI$1&lt;INDEX('Valo FX'!$R:$R,MATCH($A30,'Valo FX'!$A:$A,0)),INDEX(Base!$U:$U,MATCH($A30,Base!$A:$A,0)),IF(AI$1=INDEX('Valo FX'!$R:$R,MATCH($A30,'Valo FX'!$A:$A,0)),INDEX(Base!$V:$V,MATCH($A30,Base!$A:$A,0)),0)))</f>
        <v>11.359590000000001</v>
      </c>
      <c r="AJ30" s="21">
        <f>IF(AJ$1&lt;INDEX('Valo FX'!$Q:$Q,MATCH($A30,'Valo FX'!$A:$A,0)),0,IF(AJ$1&lt;INDEX('Valo FX'!$R:$R,MATCH($A30,'Valo FX'!$A:$A,0)),INDEX(Base!$U:$U,MATCH($A30,Base!$A:$A,0)),IF(AJ$1=INDEX('Valo FX'!$R:$R,MATCH($A30,'Valo FX'!$A:$A,0)),INDEX(Base!$V:$V,MATCH($A30,Base!$A:$A,0)),0)))</f>
        <v>11.359590000000001</v>
      </c>
      <c r="AK30" s="21">
        <f>IF(AK$1&lt;INDEX('Valo FX'!$Q:$Q,MATCH($A30,'Valo FX'!$A:$A,0)),0,IF(AK$1&lt;INDEX('Valo FX'!$R:$R,MATCH($A30,'Valo FX'!$A:$A,0)),INDEX(Base!$U:$U,MATCH($A30,Base!$A:$A,0)),IF(AK$1=INDEX('Valo FX'!$R:$R,MATCH($A30,'Valo FX'!$A:$A,0)),INDEX(Base!$V:$V,MATCH($A30,Base!$A:$A,0)),0)))</f>
        <v>11.359590000000001</v>
      </c>
      <c r="AL30" s="21">
        <f>IF(AL$1&lt;INDEX('Valo FX'!$Q:$Q,MATCH($A30,'Valo FX'!$A:$A,0)),0,IF(AL$1&lt;INDEX('Valo FX'!$R:$R,MATCH($A30,'Valo FX'!$A:$A,0)),INDEX(Base!$U:$U,MATCH($A30,Base!$A:$A,0)),IF(AL$1=INDEX('Valo FX'!$R:$R,MATCH($A30,'Valo FX'!$A:$A,0)),INDEX(Base!$V:$V,MATCH($A30,Base!$A:$A,0)),0)))</f>
        <v>11.359590000000001</v>
      </c>
      <c r="AM30" s="21">
        <f>IF(AM$1&lt;INDEX('Valo FX'!$Q:$Q,MATCH($A30,'Valo FX'!$A:$A,0)),0,IF(AM$1&lt;INDEX('Valo FX'!$R:$R,MATCH($A30,'Valo FX'!$A:$A,0)),INDEX(Base!$U:$U,MATCH($A30,Base!$A:$A,0)),IF(AM$1=INDEX('Valo FX'!$R:$R,MATCH($A30,'Valo FX'!$A:$A,0)),INDEX(Base!$V:$V,MATCH($A30,Base!$A:$A,0)),0)))</f>
        <v>11.359590000000001</v>
      </c>
      <c r="AN30" s="21">
        <f>IF(AN$1&lt;INDEX('Valo FX'!$Q:$Q,MATCH($A30,'Valo FX'!$A:$A,0)),0,IF(AN$1&lt;INDEX('Valo FX'!$R:$R,MATCH($A30,'Valo FX'!$A:$A,0)),INDEX(Base!$U:$U,MATCH($A30,Base!$A:$A,0)),IF(AN$1=INDEX('Valo FX'!$R:$R,MATCH($A30,'Valo FX'!$A:$A,0)),INDEX(Base!$V:$V,MATCH($A30,Base!$A:$A,0)),0)))</f>
        <v>11.359590000000001</v>
      </c>
      <c r="AO30" s="21">
        <f>IF(AO$1&lt;INDEX('Valo FX'!$Q:$Q,MATCH($A30,'Valo FX'!$A:$A,0)),0,IF(AO$1&lt;INDEX('Valo FX'!$R:$R,MATCH($A30,'Valo FX'!$A:$A,0)),INDEX(Base!$U:$U,MATCH($A30,Base!$A:$A,0)),IF(AO$1=INDEX('Valo FX'!$R:$R,MATCH($A30,'Valo FX'!$A:$A,0)),INDEX(Base!$V:$V,MATCH($A30,Base!$A:$A,0)),0)))</f>
        <v>11.359590000000001</v>
      </c>
      <c r="AP30" s="21">
        <f>IF(AP$1&lt;INDEX('Valo FX'!$Q:$Q,MATCH($A30,'Valo FX'!$A:$A,0)),0,IF(AP$1&lt;INDEX('Valo FX'!$R:$R,MATCH($A30,'Valo FX'!$A:$A,0)),INDEX(Base!$U:$U,MATCH($A30,Base!$A:$A,0)),IF(AP$1=INDEX('Valo FX'!$R:$R,MATCH($A30,'Valo FX'!$A:$A,0)),INDEX(Base!$V:$V,MATCH($A30,Base!$A:$A,0)),0)))</f>
        <v>11.359590000000001</v>
      </c>
      <c r="AQ30" s="21">
        <f>IF(AQ$1&lt;INDEX('Valo FX'!$Q:$Q,MATCH($A30,'Valo FX'!$A:$A,0)),0,IF(AQ$1&lt;INDEX('Valo FX'!$R:$R,MATCH($A30,'Valo FX'!$A:$A,0)),INDEX(Base!$U:$U,MATCH($A30,Base!$A:$A,0)),IF(AQ$1=INDEX('Valo FX'!$R:$R,MATCH($A30,'Valo FX'!$A:$A,0)),INDEX(Base!$V:$V,MATCH($A30,Base!$A:$A,0)),0)))</f>
        <v>11.359590000000001</v>
      </c>
      <c r="AR30" s="21">
        <f>IF(AR$1&lt;INDEX('Valo FX'!$Q:$Q,MATCH($A30,'Valo FX'!$A:$A,0)),0,IF(AR$1&lt;INDEX('Valo FX'!$R:$R,MATCH($A30,'Valo FX'!$A:$A,0)),INDEX(Base!$U:$U,MATCH($A30,Base!$A:$A,0)),IF(AR$1=INDEX('Valo FX'!$R:$R,MATCH($A30,'Valo FX'!$A:$A,0)),INDEX(Base!$V:$V,MATCH($A30,Base!$A:$A,0)),0)))</f>
        <v>11.359590000000001</v>
      </c>
      <c r="AS30" s="21">
        <f>IF(AS$1&lt;INDEX('Valo FX'!$Q:$Q,MATCH($A30,'Valo FX'!$A:$A,0)),0,IF(AS$1&lt;INDEX('Valo FX'!$R:$R,MATCH($A30,'Valo FX'!$A:$A,0)),INDEX(Base!$U:$U,MATCH($A30,Base!$A:$A,0)),IF(AS$1=INDEX('Valo FX'!$R:$R,MATCH($A30,'Valo FX'!$A:$A,0)),INDEX(Base!$V:$V,MATCH($A30,Base!$A:$A,0)),0)))</f>
        <v>11.359590000000001</v>
      </c>
      <c r="AT30" s="21">
        <f>IF(AT$1&lt;INDEX('Valo FX'!$Q:$Q,MATCH($A30,'Valo FX'!$A:$A,0)),0,IF(AT$1&lt;INDEX('Valo FX'!$R:$R,MATCH($A30,'Valo FX'!$A:$A,0)),INDEX(Base!$U:$U,MATCH($A30,Base!$A:$A,0)),IF(AT$1=INDEX('Valo FX'!$R:$R,MATCH($A30,'Valo FX'!$A:$A,0)),INDEX(Base!$V:$V,MATCH($A30,Base!$A:$A,0)),0)))</f>
        <v>11.359590000000001</v>
      </c>
      <c r="AU30" s="21">
        <f>IF(AU$1&lt;INDEX('Valo FX'!$Q:$Q,MATCH($A30,'Valo FX'!$A:$A,0)),0,IF(AU$1&lt;INDEX('Valo FX'!$R:$R,MATCH($A30,'Valo FX'!$A:$A,0)),INDEX(Base!$U:$U,MATCH($A30,Base!$A:$A,0)),IF(AU$1=INDEX('Valo FX'!$R:$R,MATCH($A30,'Valo FX'!$A:$A,0)),INDEX(Base!$V:$V,MATCH($A30,Base!$A:$A,0)),0)))</f>
        <v>11.359590000000001</v>
      </c>
      <c r="AV30" s="21">
        <f>IF(AV$1&lt;INDEX('Valo FX'!$Q:$Q,MATCH($A30,'Valo FX'!$A:$A,0)),0,IF(AV$1&lt;INDEX('Valo FX'!$R:$R,MATCH($A30,'Valo FX'!$A:$A,0)),INDEX(Base!$U:$U,MATCH($A30,Base!$A:$A,0)),IF(AV$1=INDEX('Valo FX'!$R:$R,MATCH($A30,'Valo FX'!$A:$A,0)),INDEX(Base!$V:$V,MATCH($A30,Base!$A:$A,0)),0)))</f>
        <v>11.359590000000001</v>
      </c>
      <c r="AW30" s="21">
        <f>IF(AW$1&lt;INDEX('Valo FX'!$Q:$Q,MATCH($A30,'Valo FX'!$A:$A,0)),0,IF(AW$1&lt;INDEX('Valo FX'!$R:$R,MATCH($A30,'Valo FX'!$A:$A,0)),INDEX(Base!$U:$U,MATCH($A30,Base!$A:$A,0)),IF(AW$1=INDEX('Valo FX'!$R:$R,MATCH($A30,'Valo FX'!$A:$A,0)),INDEX(Base!$V:$V,MATCH($A30,Base!$A:$A,0)),0)))</f>
        <v>11.359590000000001</v>
      </c>
      <c r="AX30" s="21">
        <f>IF(AX$1&lt;INDEX('Valo FX'!$Q:$Q,MATCH($A30,'Valo FX'!$A:$A,0)),0,IF(AX$1&lt;INDEX('Valo FX'!$R:$R,MATCH($A30,'Valo FX'!$A:$A,0)),INDEX(Base!$U:$U,MATCH($A30,Base!$A:$A,0)),IF(AX$1=INDEX('Valo FX'!$R:$R,MATCH($A30,'Valo FX'!$A:$A,0)),INDEX(Base!$V:$V,MATCH($A30,Base!$A:$A,0)),0)))</f>
        <v>11.359590000000001</v>
      </c>
      <c r="AY30" s="21">
        <f>IF(AY$1&lt;INDEX('Valo FX'!$Q:$Q,MATCH($A30,'Valo FX'!$A:$A,0)),0,IF(AY$1&lt;INDEX('Valo FX'!$R:$R,MATCH($A30,'Valo FX'!$A:$A,0)),INDEX(Base!$U:$U,MATCH($A30,Base!$A:$A,0)),IF(AY$1=INDEX('Valo FX'!$R:$R,MATCH($A30,'Valo FX'!$A:$A,0)),INDEX(Base!$V:$V,MATCH($A30,Base!$A:$A,0)),0)))</f>
        <v>11.359590000000001</v>
      </c>
      <c r="AZ30" s="21">
        <f>IF(AZ$1&lt;INDEX('Valo FX'!$Q:$Q,MATCH($A30,'Valo FX'!$A:$A,0)),0,IF(AZ$1&lt;INDEX('Valo FX'!$R:$R,MATCH($A30,'Valo FX'!$A:$A,0)),INDEX(Base!$U:$U,MATCH($A30,Base!$A:$A,0)),IF(AZ$1=INDEX('Valo FX'!$R:$R,MATCH($A30,'Valo FX'!$A:$A,0)),INDEX(Base!$V:$V,MATCH($A30,Base!$A:$A,0)),0)))</f>
        <v>11.359590000000001</v>
      </c>
      <c r="BA30" s="21">
        <f>IF(BA$1&lt;INDEX('Valo FX'!$Q:$Q,MATCH($A30,'Valo FX'!$A:$A,0)),0,IF(BA$1&lt;INDEX('Valo FX'!$R:$R,MATCH($A30,'Valo FX'!$A:$A,0)),INDEX(Base!$U:$U,MATCH($A30,Base!$A:$A,0)),IF(BA$1=INDEX('Valo FX'!$R:$R,MATCH($A30,'Valo FX'!$A:$A,0)),INDEX(Base!$V:$V,MATCH($A30,Base!$A:$A,0)),0)))</f>
        <v>11.359590000000001</v>
      </c>
      <c r="BB30" s="21">
        <f>IF(BB$1&lt;INDEX('Valo FX'!$Q:$Q,MATCH($A30,'Valo FX'!$A:$A,0)),0,IF(BB$1&lt;INDEX('Valo FX'!$R:$R,MATCH($A30,'Valo FX'!$A:$A,0)),INDEX(Base!$U:$U,MATCH($A30,Base!$A:$A,0)),IF(BB$1=INDEX('Valo FX'!$R:$R,MATCH($A30,'Valo FX'!$A:$A,0)),INDEX(Base!$V:$V,MATCH($A30,Base!$A:$A,0)),0)))</f>
        <v>11.359590000000001</v>
      </c>
      <c r="BC30" s="21">
        <f>IF(BC$1&lt;INDEX('Valo FX'!$Q:$Q,MATCH($A30,'Valo FX'!$A:$A,0)),0,IF(BC$1&lt;INDEX('Valo FX'!$R:$R,MATCH($A30,'Valo FX'!$A:$A,0)),INDEX(Base!$U:$U,MATCH($A30,Base!$A:$A,0)),IF(BC$1=INDEX('Valo FX'!$R:$R,MATCH($A30,'Valo FX'!$A:$A,0)),INDEX(Base!$V:$V,MATCH($A30,Base!$A:$A,0)),0)))</f>
        <v>11.359590000000001</v>
      </c>
      <c r="BD30" s="21">
        <f>IF(BD$1&lt;INDEX('Valo FX'!$Q:$Q,MATCH($A30,'Valo FX'!$A:$A,0)),0,IF(BD$1&lt;INDEX('Valo FX'!$R:$R,MATCH($A30,'Valo FX'!$A:$A,0)),INDEX(Base!$U:$U,MATCH($A30,Base!$A:$A,0)),IF(BD$1=INDEX('Valo FX'!$R:$R,MATCH($A30,'Valo FX'!$A:$A,0)),INDEX(Base!$V:$V,MATCH($A30,Base!$A:$A,0)),0)))</f>
        <v>11.359590000000001</v>
      </c>
      <c r="BE30" s="21">
        <f>IF(BE$1&lt;INDEX('Valo FX'!$Q:$Q,MATCH($A30,'Valo FX'!$A:$A,0)),0,IF(BE$1&lt;INDEX('Valo FX'!$R:$R,MATCH($A30,'Valo FX'!$A:$A,0)),INDEX(Base!$U:$U,MATCH($A30,Base!$A:$A,0)),IF(BE$1=INDEX('Valo FX'!$R:$R,MATCH($A30,'Valo FX'!$A:$A,0)),INDEX(Base!$V:$V,MATCH($A30,Base!$A:$A,0)),0)))</f>
        <v>11.359590000000001</v>
      </c>
      <c r="BF30" s="21">
        <f>IF(BF$1&lt;INDEX('Valo FX'!$Q:$Q,MATCH($A30,'Valo FX'!$A:$A,0)),0,IF(BF$1&lt;INDEX('Valo FX'!$R:$R,MATCH($A30,'Valo FX'!$A:$A,0)),INDEX(Base!$U:$U,MATCH($A30,Base!$A:$A,0)),IF(BF$1=INDEX('Valo FX'!$R:$R,MATCH($A30,'Valo FX'!$A:$A,0)),INDEX(Base!$V:$V,MATCH($A30,Base!$A:$A,0)),0)))</f>
        <v>11.359590000000001</v>
      </c>
      <c r="BG30" s="21">
        <f>IF(BG$1&lt;INDEX('Valo FX'!$Q:$Q,MATCH($A30,'Valo FX'!$A:$A,0)),0,IF(BG$1&lt;INDEX('Valo FX'!$R:$R,MATCH($A30,'Valo FX'!$A:$A,0)),INDEX(Base!$U:$U,MATCH($A30,Base!$A:$A,0)),IF(BG$1=INDEX('Valo FX'!$R:$R,MATCH($A30,'Valo FX'!$A:$A,0)),INDEX(Base!$V:$V,MATCH($A30,Base!$A:$A,0)),0)))</f>
        <v>11.359590000000001</v>
      </c>
      <c r="BH30" s="21">
        <f>IF(BH$1&lt;INDEX('Valo FX'!$Q:$Q,MATCH($A30,'Valo FX'!$A:$A,0)),0,IF(BH$1&lt;INDEX('Valo FX'!$R:$R,MATCH($A30,'Valo FX'!$A:$A,0)),INDEX(Base!$U:$U,MATCH($A30,Base!$A:$A,0)),IF(BH$1=INDEX('Valo FX'!$R:$R,MATCH($A30,'Valo FX'!$A:$A,0)),INDEX(Base!$V:$V,MATCH($A30,Base!$A:$A,0)),0)))</f>
        <v>11.359590000000001</v>
      </c>
      <c r="BI30" s="21">
        <f>IF(BI$1&lt;INDEX('Valo FX'!$Q:$Q,MATCH($A30,'Valo FX'!$A:$A,0)),0,IF(BI$1&lt;INDEX('Valo FX'!$R:$R,MATCH($A30,'Valo FX'!$A:$A,0)),INDEX(Base!$U:$U,MATCH($A30,Base!$A:$A,0)),IF(BI$1=INDEX('Valo FX'!$R:$R,MATCH($A30,'Valo FX'!$A:$A,0)),INDEX(Base!$V:$V,MATCH($A30,Base!$A:$A,0)),0)))</f>
        <v>11.359590000000001</v>
      </c>
      <c r="BJ30" s="21">
        <f>IF(BJ$1&lt;INDEX('Valo FX'!$Q:$Q,MATCH($A30,'Valo FX'!$A:$A,0)),0,IF(BJ$1&lt;INDEX('Valo FX'!$R:$R,MATCH($A30,'Valo FX'!$A:$A,0)),INDEX(Base!$U:$U,MATCH($A30,Base!$A:$A,0)),IF(BJ$1=INDEX('Valo FX'!$R:$R,MATCH($A30,'Valo FX'!$A:$A,0)),INDEX(Base!$V:$V,MATCH($A30,Base!$A:$A,0)),0)))</f>
        <v>11.359590000000001</v>
      </c>
      <c r="BK30" s="21">
        <f>IF(BK$1&lt;INDEX('Valo FX'!$Q:$Q,MATCH($A30,'Valo FX'!$A:$A,0)),0,IF(BK$1&lt;INDEX('Valo FX'!$R:$R,MATCH($A30,'Valo FX'!$A:$A,0)),INDEX(Base!$U:$U,MATCH($A30,Base!$A:$A,0)),IF(BK$1=INDEX('Valo FX'!$R:$R,MATCH($A30,'Valo FX'!$A:$A,0)),INDEX(Base!$V:$V,MATCH($A30,Base!$A:$A,0)),0)))</f>
        <v>11.359590000000001</v>
      </c>
      <c r="BL30" s="21">
        <f>IF(BL$1&lt;INDEX('Valo FX'!$Q:$Q,MATCH($A30,'Valo FX'!$A:$A,0)),0,IF(BL$1&lt;INDEX('Valo FX'!$R:$R,MATCH($A30,'Valo FX'!$A:$A,0)),INDEX(Base!$U:$U,MATCH($A30,Base!$A:$A,0)),IF(BL$1=INDEX('Valo FX'!$R:$R,MATCH($A30,'Valo FX'!$A:$A,0)),INDEX(Base!$V:$V,MATCH($A30,Base!$A:$A,0)),0)))</f>
        <v>11.359590000000001</v>
      </c>
      <c r="BM30" s="21">
        <f>IF(BM$1&lt;INDEX('Valo FX'!$Q:$Q,MATCH($A30,'Valo FX'!$A:$A,0)),0,IF(BM$1&lt;INDEX('Valo FX'!$R:$R,MATCH($A30,'Valo FX'!$A:$A,0)),INDEX(Base!$U:$U,MATCH($A30,Base!$A:$A,0)),IF(BM$1=INDEX('Valo FX'!$R:$R,MATCH($A30,'Valo FX'!$A:$A,0)),INDEX(Base!$V:$V,MATCH($A30,Base!$A:$A,0)),0)))</f>
        <v>11.359590000000001</v>
      </c>
      <c r="BN30" s="21">
        <f>IF(BN$1&lt;INDEX('Valo FX'!$Q:$Q,MATCH($A30,'Valo FX'!$A:$A,0)),0,IF(BN$1&lt;INDEX('Valo FX'!$R:$R,MATCH($A30,'Valo FX'!$A:$A,0)),INDEX(Base!$U:$U,MATCH($A30,Base!$A:$A,0)),IF(BN$1=INDEX('Valo FX'!$R:$R,MATCH($A30,'Valo FX'!$A:$A,0)),INDEX(Base!$V:$V,MATCH($A30,Base!$A:$A,0)),0)))</f>
        <v>11.359590000000001</v>
      </c>
      <c r="BO30" s="21">
        <f>IF(BO$1&lt;INDEX('Valo FX'!$Q:$Q,MATCH($A30,'Valo FX'!$A:$A,0)),0,IF(BO$1&lt;INDEX('Valo FX'!$R:$R,MATCH($A30,'Valo FX'!$A:$A,0)),INDEX(Base!$U:$U,MATCH($A30,Base!$A:$A,0)),IF(BO$1=INDEX('Valo FX'!$R:$R,MATCH($A30,'Valo FX'!$A:$A,0)),INDEX(Base!$V:$V,MATCH($A30,Base!$A:$A,0)),0)))</f>
        <v>11.359590000000001</v>
      </c>
      <c r="BP30" s="21">
        <f>IF(BP$1&lt;INDEX('Valo FX'!$Q:$Q,MATCH($A30,'Valo FX'!$A:$A,0)),0,IF(BP$1&lt;INDEX('Valo FX'!$R:$R,MATCH($A30,'Valo FX'!$A:$A,0)),INDEX(Base!$U:$U,MATCH($A30,Base!$A:$A,0)),IF(BP$1=INDEX('Valo FX'!$R:$R,MATCH($A30,'Valo FX'!$A:$A,0)),INDEX(Base!$V:$V,MATCH($A30,Base!$A:$A,0)),0)))</f>
        <v>11.359590000000001</v>
      </c>
      <c r="BQ30" s="21">
        <f>IF(BQ$1&lt;INDEX('Valo FX'!$Q:$Q,MATCH($A30,'Valo FX'!$A:$A,0)),0,IF(BQ$1&lt;INDEX('Valo FX'!$R:$R,MATCH($A30,'Valo FX'!$A:$A,0)),INDEX(Base!$U:$U,MATCH($A30,Base!$A:$A,0)),IF(BQ$1=INDEX('Valo FX'!$R:$R,MATCH($A30,'Valo FX'!$A:$A,0)),INDEX(Base!$V:$V,MATCH($A30,Base!$A:$A,0)),0)))</f>
        <v>11.359590000000001</v>
      </c>
      <c r="BR30" s="21">
        <f>IF(BR$1&lt;INDEX('Valo FX'!$Q:$Q,MATCH($A30,'Valo FX'!$A:$A,0)),0,IF(BR$1&lt;INDEX('Valo FX'!$R:$R,MATCH($A30,'Valo FX'!$A:$A,0)),INDEX(Base!$U:$U,MATCH($A30,Base!$A:$A,0)),IF(BR$1=INDEX('Valo FX'!$R:$R,MATCH($A30,'Valo FX'!$A:$A,0)),INDEX(Base!$V:$V,MATCH($A30,Base!$A:$A,0)),0)))</f>
        <v>11.359590000000001</v>
      </c>
      <c r="BS30" s="21">
        <f>IF(BS$1&lt;INDEX('Valo FX'!$Q:$Q,MATCH($A30,'Valo FX'!$A:$A,0)),0,IF(BS$1&lt;INDEX('Valo FX'!$R:$R,MATCH($A30,'Valo FX'!$A:$A,0)),INDEX(Base!$U:$U,MATCH($A30,Base!$A:$A,0)),IF(BS$1=INDEX('Valo FX'!$R:$R,MATCH($A30,'Valo FX'!$A:$A,0)),INDEX(Base!$V:$V,MATCH($A30,Base!$A:$A,0)),0)))</f>
        <v>11.359590000000001</v>
      </c>
      <c r="BT30" s="21">
        <f>IF(BT$1&lt;INDEX('Valo FX'!$Q:$Q,MATCH($A30,'Valo FX'!$A:$A,0)),0,IF(BT$1&lt;INDEX('Valo FX'!$R:$R,MATCH($A30,'Valo FX'!$A:$A,0)),INDEX(Base!$U:$U,MATCH($A30,Base!$A:$A,0)),IF(BT$1=INDEX('Valo FX'!$R:$R,MATCH($A30,'Valo FX'!$A:$A,0)),INDEX(Base!$V:$V,MATCH($A30,Base!$A:$A,0)),0)))</f>
        <v>11.359590000000001</v>
      </c>
      <c r="BU30" s="21">
        <f>IF(BU$1&lt;INDEX('Valo FX'!$Q:$Q,MATCH($A30,'Valo FX'!$A:$A,0)),0,IF(BU$1&lt;INDEX('Valo FX'!$R:$R,MATCH($A30,'Valo FX'!$A:$A,0)),INDEX(Base!$U:$U,MATCH($A30,Base!$A:$A,0)),IF(BU$1=INDEX('Valo FX'!$R:$R,MATCH($A30,'Valo FX'!$A:$A,0)),INDEX(Base!$V:$V,MATCH($A30,Base!$A:$A,0)),0)))</f>
        <v>11.359590000000001</v>
      </c>
      <c r="BV30" s="21">
        <f>IF(BV$1&lt;INDEX('Valo FX'!$Q:$Q,MATCH($A30,'Valo FX'!$A:$A,0)),0,IF(BV$1&lt;INDEX('Valo FX'!$R:$R,MATCH($A30,'Valo FX'!$A:$A,0)),INDEX(Base!$U:$U,MATCH($A30,Base!$A:$A,0)),IF(BV$1=INDEX('Valo FX'!$R:$R,MATCH($A30,'Valo FX'!$A:$A,0)),INDEX(Base!$V:$V,MATCH($A30,Base!$A:$A,0)),0)))</f>
        <v>11.359590000000001</v>
      </c>
      <c r="BW30" s="21">
        <f>IF(BW$1&lt;INDEX('Valo FX'!$Q:$Q,MATCH($A30,'Valo FX'!$A:$A,0)),0,IF(BW$1&lt;INDEX('Valo FX'!$R:$R,MATCH($A30,'Valo FX'!$A:$A,0)),INDEX(Base!$U:$U,MATCH($A30,Base!$A:$A,0)),IF(BW$1=INDEX('Valo FX'!$R:$R,MATCH($A30,'Valo FX'!$A:$A,0)),INDEX(Base!$V:$V,MATCH($A30,Base!$A:$A,0)),0)))</f>
        <v>11.359590000000001</v>
      </c>
      <c r="BX30" s="21">
        <f>IF(BX$1&lt;INDEX('Valo FX'!$Q:$Q,MATCH($A30,'Valo FX'!$A:$A,0)),0,IF(BX$1&lt;INDEX('Valo FX'!$R:$R,MATCH($A30,'Valo FX'!$A:$A,0)),INDEX(Base!$U:$U,MATCH($A30,Base!$A:$A,0)),IF(BX$1=INDEX('Valo FX'!$R:$R,MATCH($A30,'Valo FX'!$A:$A,0)),INDEX(Base!$V:$V,MATCH($A30,Base!$A:$A,0)),0)))</f>
        <v>11.359590000000001</v>
      </c>
      <c r="BY30" s="21">
        <f>IF(BY$1&lt;INDEX('Valo FX'!$Q:$Q,MATCH($A30,'Valo FX'!$A:$A,0)),0,IF(BY$1&lt;INDEX('Valo FX'!$R:$R,MATCH($A30,'Valo FX'!$A:$A,0)),INDEX(Base!$U:$U,MATCH($A30,Base!$A:$A,0)),IF(BY$1=INDEX('Valo FX'!$R:$R,MATCH($A30,'Valo FX'!$A:$A,0)),INDEX(Base!$V:$V,MATCH($A30,Base!$A:$A,0)),0)))</f>
        <v>11.359590000000001</v>
      </c>
      <c r="BZ30" s="21">
        <f>IF(BZ$1&lt;INDEX('Valo FX'!$Q:$Q,MATCH($A30,'Valo FX'!$A:$A,0)),0,IF(BZ$1&lt;INDEX('Valo FX'!$R:$R,MATCH($A30,'Valo FX'!$A:$A,0)),INDEX(Base!$U:$U,MATCH($A30,Base!$A:$A,0)),IF(BZ$1=INDEX('Valo FX'!$R:$R,MATCH($A30,'Valo FX'!$A:$A,0)),INDEX(Base!$V:$V,MATCH($A30,Base!$A:$A,0)),0)))</f>
        <v>11.359590000000001</v>
      </c>
      <c r="CA30" s="21">
        <f>IF(CA$1&lt;INDEX('Valo FX'!$Q:$Q,MATCH($A30,'Valo FX'!$A:$A,0)),0,IF(CA$1&lt;INDEX('Valo FX'!$R:$R,MATCH($A30,'Valo FX'!$A:$A,0)),INDEX(Base!$U:$U,MATCH($A30,Base!$A:$A,0)),IF(CA$1=INDEX('Valo FX'!$R:$R,MATCH($A30,'Valo FX'!$A:$A,0)),INDEX(Base!$V:$V,MATCH($A30,Base!$A:$A,0)),0)))</f>
        <v>11.359590000000001</v>
      </c>
      <c r="CB30" s="21">
        <f>IF(CB$1&lt;INDEX('Valo FX'!$Q:$Q,MATCH($A30,'Valo FX'!$A:$A,0)),0,IF(CB$1&lt;INDEX('Valo FX'!$R:$R,MATCH($A30,'Valo FX'!$A:$A,0)),INDEX(Base!$U:$U,MATCH($A30,Base!$A:$A,0)),IF(CB$1=INDEX('Valo FX'!$R:$R,MATCH($A30,'Valo FX'!$A:$A,0)),INDEX(Base!$V:$V,MATCH($A30,Base!$A:$A,0)),0)))</f>
        <v>11.359590000000001</v>
      </c>
      <c r="CC30" s="21">
        <f>IF(CC$1&lt;INDEX('Valo FX'!$Q:$Q,MATCH($A30,'Valo FX'!$A:$A,0)),0,IF(CC$1&lt;INDEX('Valo FX'!$R:$R,MATCH($A30,'Valo FX'!$A:$A,0)),INDEX(Base!$U:$U,MATCH($A30,Base!$A:$A,0)),IF(CC$1=INDEX('Valo FX'!$R:$R,MATCH($A30,'Valo FX'!$A:$A,0)),INDEX(Base!$V:$V,MATCH($A30,Base!$A:$A,0)),0)))</f>
        <v>11.359590000000001</v>
      </c>
      <c r="CD30" s="21">
        <f>IF(CD$1&lt;INDEX('Valo FX'!$Q:$Q,MATCH($A30,'Valo FX'!$A:$A,0)),0,IF(CD$1&lt;INDEX('Valo FX'!$R:$R,MATCH($A30,'Valo FX'!$A:$A,0)),INDEX(Base!$U:$U,MATCH($A30,Base!$A:$A,0)),IF(CD$1=INDEX('Valo FX'!$R:$R,MATCH($A30,'Valo FX'!$A:$A,0)),INDEX(Base!$V:$V,MATCH($A30,Base!$A:$A,0)),0)))</f>
        <v>11.359590000000001</v>
      </c>
      <c r="CE30" s="21">
        <f>IF(CE$1&lt;INDEX('Valo FX'!$Q:$Q,MATCH($A30,'Valo FX'!$A:$A,0)),0,IF(CE$1&lt;INDEX('Valo FX'!$R:$R,MATCH($A30,'Valo FX'!$A:$A,0)),INDEX(Base!$U:$U,MATCH($A30,Base!$A:$A,0)),IF(CE$1=INDEX('Valo FX'!$R:$R,MATCH($A30,'Valo FX'!$A:$A,0)),INDEX(Base!$V:$V,MATCH($A30,Base!$A:$A,0)),0)))</f>
        <v>11.359590000000001</v>
      </c>
      <c r="CF30" s="21">
        <f>IF(CF$1&lt;INDEX('Valo FX'!$Q:$Q,MATCH($A30,'Valo FX'!$A:$A,0)),0,IF(CF$1&lt;INDEX('Valo FX'!$R:$R,MATCH($A30,'Valo FX'!$A:$A,0)),INDEX(Base!$U:$U,MATCH($A30,Base!$A:$A,0)),IF(CF$1=INDEX('Valo FX'!$R:$R,MATCH($A30,'Valo FX'!$A:$A,0)),INDEX(Base!$V:$V,MATCH($A30,Base!$A:$A,0)),0)))</f>
        <v>11.359590000000001</v>
      </c>
      <c r="CG30" s="21">
        <f>IF(CG$1&lt;INDEX('Valo FX'!$Q:$Q,MATCH($A30,'Valo FX'!$A:$A,0)),0,IF(CG$1&lt;INDEX('Valo FX'!$R:$R,MATCH($A30,'Valo FX'!$A:$A,0)),INDEX(Base!$U:$U,MATCH($A30,Base!$A:$A,0)),IF(CG$1=INDEX('Valo FX'!$R:$R,MATCH($A30,'Valo FX'!$A:$A,0)),INDEX(Base!$V:$V,MATCH($A30,Base!$A:$A,0)),0)))</f>
        <v>11.359590000000001</v>
      </c>
      <c r="CH30" s="21">
        <f>IF(CH$1&lt;INDEX('Valo FX'!$Q:$Q,MATCH($A30,'Valo FX'!$A:$A,0)),0,IF(CH$1&lt;INDEX('Valo FX'!$R:$R,MATCH($A30,'Valo FX'!$A:$A,0)),INDEX(Base!$U:$U,MATCH($A30,Base!$A:$A,0)),IF(CH$1=INDEX('Valo FX'!$R:$R,MATCH($A30,'Valo FX'!$A:$A,0)),INDEX(Base!$V:$V,MATCH($A30,Base!$A:$A,0)),0)))</f>
        <v>11.359590000000001</v>
      </c>
      <c r="CI30" s="21">
        <f>IF(CI$1&lt;INDEX('Valo FX'!$Q:$Q,MATCH($A30,'Valo FX'!$A:$A,0)),0,IF(CI$1&lt;INDEX('Valo FX'!$R:$R,MATCH($A30,'Valo FX'!$A:$A,0)),INDEX(Base!$U:$U,MATCH($A30,Base!$A:$A,0)),IF(CI$1=INDEX('Valo FX'!$R:$R,MATCH($A30,'Valo FX'!$A:$A,0)),INDEX(Base!$V:$V,MATCH($A30,Base!$A:$A,0)),0)))</f>
        <v>11.359590000000001</v>
      </c>
      <c r="CJ30" s="21">
        <f>IF(CJ$1&lt;INDEX('Valo FX'!$Q:$Q,MATCH($A30,'Valo FX'!$A:$A,0)),0,IF(CJ$1&lt;INDEX('Valo FX'!$R:$R,MATCH($A30,'Valo FX'!$A:$A,0)),INDEX(Base!$U:$U,MATCH($A30,Base!$A:$A,0)),IF(CJ$1=INDEX('Valo FX'!$R:$R,MATCH($A30,'Valo FX'!$A:$A,0)),INDEX(Base!$V:$V,MATCH($A30,Base!$A:$A,0)),0)))</f>
        <v>11.359590000000001</v>
      </c>
      <c r="CK30" s="21">
        <f>IF(CK$1&lt;INDEX('Valo FX'!$Q:$Q,MATCH($A30,'Valo FX'!$A:$A,0)),0,IF(CK$1&lt;INDEX('Valo FX'!$R:$R,MATCH($A30,'Valo FX'!$A:$A,0)),INDEX(Base!$U:$U,MATCH($A30,Base!$A:$A,0)),IF(CK$1=INDEX('Valo FX'!$R:$R,MATCH($A30,'Valo FX'!$A:$A,0)),INDEX(Base!$V:$V,MATCH($A30,Base!$A:$A,0)),0)))</f>
        <v>11.359590000000001</v>
      </c>
      <c r="CL30" s="21">
        <f>IF(CL$1&lt;INDEX('Valo FX'!$Q:$Q,MATCH($A30,'Valo FX'!$A:$A,0)),0,IF(CL$1&lt;INDEX('Valo FX'!$R:$R,MATCH($A30,'Valo FX'!$A:$A,0)),INDEX(Base!$U:$U,MATCH($A30,Base!$A:$A,0)),IF(CL$1=INDEX('Valo FX'!$R:$R,MATCH($A30,'Valo FX'!$A:$A,0)),INDEX(Base!$V:$V,MATCH($A30,Base!$A:$A,0)),0)))</f>
        <v>11.359590000000001</v>
      </c>
      <c r="CM30" s="21">
        <f>IF(CM$1&lt;INDEX('Valo FX'!$Q:$Q,MATCH($A30,'Valo FX'!$A:$A,0)),0,IF(CM$1&lt;INDEX('Valo FX'!$R:$R,MATCH($A30,'Valo FX'!$A:$A,0)),INDEX(Base!$U:$U,MATCH($A30,Base!$A:$A,0)),IF(CM$1=INDEX('Valo FX'!$R:$R,MATCH($A30,'Valo FX'!$A:$A,0)),INDEX(Base!$V:$V,MATCH($A30,Base!$A:$A,0)),0)))</f>
        <v>11.359590000000001</v>
      </c>
      <c r="CN30" s="21">
        <f>IF(CN$1&lt;INDEX('Valo FX'!$Q:$Q,MATCH($A30,'Valo FX'!$A:$A,0)),0,IF(CN$1&lt;INDEX('Valo FX'!$R:$R,MATCH($A30,'Valo FX'!$A:$A,0)),INDEX(Base!$U:$U,MATCH($A30,Base!$A:$A,0)),IF(CN$1=INDEX('Valo FX'!$R:$R,MATCH($A30,'Valo FX'!$A:$A,0)),INDEX(Base!$V:$V,MATCH($A30,Base!$A:$A,0)),0)))</f>
        <v>11.359590000000001</v>
      </c>
      <c r="CO30" s="21">
        <f>IF(CO$1&lt;INDEX('Valo FX'!$Q:$Q,MATCH($A30,'Valo FX'!$A:$A,0)),0,IF(CO$1&lt;INDEX('Valo FX'!$R:$R,MATCH($A30,'Valo FX'!$A:$A,0)),INDEX(Base!$U:$U,MATCH($A30,Base!$A:$A,0)),IF(CO$1=INDEX('Valo FX'!$R:$R,MATCH($A30,'Valo FX'!$A:$A,0)),INDEX(Base!$V:$V,MATCH($A30,Base!$A:$A,0)),0)))</f>
        <v>11.359590000000001</v>
      </c>
      <c r="CP30" s="21">
        <f>IF(CP$1&lt;INDEX('Valo FX'!$Q:$Q,MATCH($A30,'Valo FX'!$A:$A,0)),0,IF(CP$1&lt;INDEX('Valo FX'!$R:$R,MATCH($A30,'Valo FX'!$A:$A,0)),INDEX(Base!$U:$U,MATCH($A30,Base!$A:$A,0)),IF(CP$1=INDEX('Valo FX'!$R:$R,MATCH($A30,'Valo FX'!$A:$A,0)),INDEX(Base!$V:$V,MATCH($A30,Base!$A:$A,0)),0)))</f>
        <v>11.359590000000001</v>
      </c>
      <c r="CQ30" s="21">
        <f>IF(CQ$1&lt;INDEX('Valo FX'!$Q:$Q,MATCH($A30,'Valo FX'!$A:$A,0)),0,IF(CQ$1&lt;INDEX('Valo FX'!$R:$R,MATCH($A30,'Valo FX'!$A:$A,0)),INDEX(Base!$U:$U,MATCH($A30,Base!$A:$A,0)),IF(CQ$1=INDEX('Valo FX'!$R:$R,MATCH($A30,'Valo FX'!$A:$A,0)),INDEX(Base!$V:$V,MATCH($A30,Base!$A:$A,0)),0)))</f>
        <v>11.359590000000001</v>
      </c>
      <c r="CR30" s="21">
        <f>IF(CR$1&lt;INDEX('Valo FX'!$Q:$Q,MATCH($A30,'Valo FX'!$A:$A,0)),0,IF(CR$1&lt;INDEX('Valo FX'!$R:$R,MATCH($A30,'Valo FX'!$A:$A,0)),INDEX(Base!$U:$U,MATCH($A30,Base!$A:$A,0)),IF(CR$1=INDEX('Valo FX'!$R:$R,MATCH($A30,'Valo FX'!$A:$A,0)),INDEX(Base!$V:$V,MATCH($A30,Base!$A:$A,0)),0)))</f>
        <v>11.359590000000001</v>
      </c>
      <c r="CS30" s="21">
        <f>IF(CS$1&lt;INDEX('Valo FX'!$Q:$Q,MATCH($A30,'Valo FX'!$A:$A,0)),0,IF(CS$1&lt;INDEX('Valo FX'!$R:$R,MATCH($A30,'Valo FX'!$A:$A,0)),INDEX(Base!$U:$U,MATCH($A30,Base!$A:$A,0)),IF(CS$1=INDEX('Valo FX'!$R:$R,MATCH($A30,'Valo FX'!$A:$A,0)),INDEX(Base!$V:$V,MATCH($A30,Base!$A:$A,0)),0)))</f>
        <v>11.359590000000001</v>
      </c>
      <c r="CT30" s="21">
        <f>IF(CT$1&lt;INDEX('Valo FX'!$Q:$Q,MATCH($A30,'Valo FX'!$A:$A,0)),0,IF(CT$1&lt;INDEX('Valo FX'!$R:$R,MATCH($A30,'Valo FX'!$A:$A,0)),INDEX(Base!$U:$U,MATCH($A30,Base!$A:$A,0)),IF(CT$1=INDEX('Valo FX'!$R:$R,MATCH($A30,'Valo FX'!$A:$A,0)),INDEX(Base!$V:$V,MATCH($A30,Base!$A:$A,0)),0)))</f>
        <v>11.359590000000001</v>
      </c>
      <c r="CU30" s="21">
        <f>IF(CU$1&lt;INDEX('Valo FX'!$Q:$Q,MATCH($A30,'Valo FX'!$A:$A,0)),0,IF(CU$1&lt;INDEX('Valo FX'!$R:$R,MATCH($A30,'Valo FX'!$A:$A,0)),INDEX(Base!$U:$U,MATCH($A30,Base!$A:$A,0)),IF(CU$1=INDEX('Valo FX'!$R:$R,MATCH($A30,'Valo FX'!$A:$A,0)),INDEX(Base!$V:$V,MATCH($A30,Base!$A:$A,0)),0)))</f>
        <v>11.359590000000001</v>
      </c>
      <c r="CV30" s="21">
        <f>IF(CV$1&lt;INDEX('Valo FX'!$Q:$Q,MATCH($A30,'Valo FX'!$A:$A,0)),0,IF(CV$1&lt;INDEX('Valo FX'!$R:$R,MATCH($A30,'Valo FX'!$A:$A,0)),INDEX(Base!$U:$U,MATCH($A30,Base!$A:$A,0)),IF(CV$1=INDEX('Valo FX'!$R:$R,MATCH($A30,'Valo FX'!$A:$A,0)),INDEX(Base!$V:$V,MATCH($A30,Base!$A:$A,0)),0)))</f>
        <v>11.359590000000001</v>
      </c>
      <c r="CW30" s="21">
        <f>IF(CW$1&lt;INDEX('Valo FX'!$Q:$Q,MATCH($A30,'Valo FX'!$A:$A,0)),0,IF(CW$1&lt;INDEX('Valo FX'!$R:$R,MATCH($A30,'Valo FX'!$A:$A,0)),INDEX(Base!$U:$U,MATCH($A30,Base!$A:$A,0)),IF(CW$1=INDEX('Valo FX'!$R:$R,MATCH($A30,'Valo FX'!$A:$A,0)),INDEX(Base!$V:$V,MATCH($A30,Base!$A:$A,0)),0)))</f>
        <v>11.359590000000001</v>
      </c>
      <c r="CX30" s="21">
        <f>IF(CX$1&lt;INDEX('Valo FX'!$Q:$Q,MATCH($A30,'Valo FX'!$A:$A,0)),0,IF(CX$1&lt;INDEX('Valo FX'!$R:$R,MATCH($A30,'Valo FX'!$A:$A,0)),INDEX(Base!$U:$U,MATCH($A30,Base!$A:$A,0)),IF(CX$1=INDEX('Valo FX'!$R:$R,MATCH($A30,'Valo FX'!$A:$A,0)),INDEX(Base!$V:$V,MATCH($A30,Base!$A:$A,0)),0)))</f>
        <v>11.359590000000001</v>
      </c>
      <c r="CY30" s="21">
        <f>IF(CY$1&lt;INDEX('Valo FX'!$Q:$Q,MATCH($A30,'Valo FX'!$A:$A,0)),0,IF(CY$1&lt;INDEX('Valo FX'!$R:$R,MATCH($A30,'Valo FX'!$A:$A,0)),INDEX(Base!$U:$U,MATCH($A30,Base!$A:$A,0)),IF(CY$1=INDEX('Valo FX'!$R:$R,MATCH($A30,'Valo FX'!$A:$A,0)),INDEX(Base!$V:$V,MATCH($A30,Base!$A:$A,0)),0)))</f>
        <v>11.359590000000001</v>
      </c>
      <c r="CZ30" s="21">
        <f>IF(CZ$1&lt;INDEX('Valo FX'!$Q:$Q,MATCH($A30,'Valo FX'!$A:$A,0)),0,IF(CZ$1&lt;INDEX('Valo FX'!$R:$R,MATCH($A30,'Valo FX'!$A:$A,0)),INDEX(Base!$U:$U,MATCH($A30,Base!$A:$A,0)),IF(CZ$1=INDEX('Valo FX'!$R:$R,MATCH($A30,'Valo FX'!$A:$A,0)),INDEX(Base!$V:$V,MATCH($A30,Base!$A:$A,0)),0)))</f>
        <v>11.359590000000001</v>
      </c>
      <c r="DA30" s="21">
        <f>IF(DA$1&lt;INDEX('Valo FX'!$Q:$Q,MATCH($A30,'Valo FX'!$A:$A,0)),0,IF(DA$1&lt;INDEX('Valo FX'!$R:$R,MATCH($A30,'Valo FX'!$A:$A,0)),INDEX(Base!$U:$U,MATCH($A30,Base!$A:$A,0)),IF(DA$1=INDEX('Valo FX'!$R:$R,MATCH($A30,'Valo FX'!$A:$A,0)),INDEX(Base!$V:$V,MATCH($A30,Base!$A:$A,0)),0)))</f>
        <v>11.359590000000001</v>
      </c>
      <c r="DB30" s="21">
        <f>IF(DB$1&lt;INDEX('Valo FX'!$Q:$Q,MATCH($A30,'Valo FX'!$A:$A,0)),0,IF(DB$1&lt;INDEX('Valo FX'!$R:$R,MATCH($A30,'Valo FX'!$A:$A,0)),INDEX(Base!$U:$U,MATCH($A30,Base!$A:$A,0)),IF(DB$1=INDEX('Valo FX'!$R:$R,MATCH($A30,'Valo FX'!$A:$A,0)),INDEX(Base!$V:$V,MATCH($A30,Base!$A:$A,0)),0)))</f>
        <v>11.359590000000001</v>
      </c>
      <c r="DC30" s="21">
        <f>IF(DC$1&lt;INDEX('Valo FX'!$Q:$Q,MATCH($A30,'Valo FX'!$A:$A,0)),0,IF(DC$1&lt;INDEX('Valo FX'!$R:$R,MATCH($A30,'Valo FX'!$A:$A,0)),INDEX(Base!$U:$U,MATCH($A30,Base!$A:$A,0)),IF(DC$1=INDEX('Valo FX'!$R:$R,MATCH($A30,'Valo FX'!$A:$A,0)),INDEX(Base!$V:$V,MATCH($A30,Base!$A:$A,0)),0)))</f>
        <v>11.359590000000001</v>
      </c>
      <c r="DD30" s="21">
        <f>IF(DD$1&lt;INDEX('Valo FX'!$Q:$Q,MATCH($A30,'Valo FX'!$A:$A,0)),0,IF(DD$1&lt;INDEX('Valo FX'!$R:$R,MATCH($A30,'Valo FX'!$A:$A,0)),INDEX(Base!$U:$U,MATCH($A30,Base!$A:$A,0)),IF(DD$1=INDEX('Valo FX'!$R:$R,MATCH($A30,'Valo FX'!$A:$A,0)),INDEX(Base!$V:$V,MATCH($A30,Base!$A:$A,0)),0)))</f>
        <v>11.359590000000001</v>
      </c>
      <c r="DE30" s="21">
        <f>IF(DE$1&lt;INDEX('Valo FX'!$Q:$Q,MATCH($A30,'Valo FX'!$A:$A,0)),0,IF(DE$1&lt;INDEX('Valo FX'!$R:$R,MATCH($A30,'Valo FX'!$A:$A,0)),INDEX(Base!$U:$U,MATCH($A30,Base!$A:$A,0)),IF(DE$1=INDEX('Valo FX'!$R:$R,MATCH($A30,'Valo FX'!$A:$A,0)),INDEX(Base!$V:$V,MATCH($A30,Base!$A:$A,0)),0)))</f>
        <v>11.359590000000001</v>
      </c>
      <c r="DF30" s="21">
        <f>IF(DF$1&lt;INDEX('Valo FX'!$Q:$Q,MATCH($A30,'Valo FX'!$A:$A,0)),0,IF(DF$1&lt;INDEX('Valo FX'!$R:$R,MATCH($A30,'Valo FX'!$A:$A,0)),INDEX(Base!$U:$U,MATCH($A30,Base!$A:$A,0)),IF(DF$1=INDEX('Valo FX'!$R:$R,MATCH($A30,'Valo FX'!$A:$A,0)),INDEX(Base!$V:$V,MATCH($A30,Base!$A:$A,0)),0)))</f>
        <v>11.359590000000001</v>
      </c>
      <c r="DG30" s="21">
        <f>IF(DG$1&lt;INDEX('Valo FX'!$Q:$Q,MATCH($A30,'Valo FX'!$A:$A,0)),0,IF(DG$1&lt;INDEX('Valo FX'!$R:$R,MATCH($A30,'Valo FX'!$A:$A,0)),INDEX(Base!$U:$U,MATCH($A30,Base!$A:$A,0)),IF(DG$1=INDEX('Valo FX'!$R:$R,MATCH($A30,'Valo FX'!$A:$A,0)),INDEX(Base!$V:$V,MATCH($A30,Base!$A:$A,0)),0)))</f>
        <v>11.359590000000001</v>
      </c>
      <c r="DH30" s="21">
        <f>IF(DH$1&lt;INDEX('Valo FX'!$Q:$Q,MATCH($A30,'Valo FX'!$A:$A,0)),0,IF(DH$1&lt;INDEX('Valo FX'!$R:$R,MATCH($A30,'Valo FX'!$A:$A,0)),INDEX(Base!$U:$U,MATCH($A30,Base!$A:$A,0)),IF(DH$1=INDEX('Valo FX'!$R:$R,MATCH($A30,'Valo FX'!$A:$A,0)),INDEX(Base!$V:$V,MATCH($A30,Base!$A:$A,0)),0)))</f>
        <v>11.359590000000001</v>
      </c>
      <c r="DI30" s="21">
        <f>IF(DI$1&lt;INDEX('Valo FX'!$Q:$Q,MATCH($A30,'Valo FX'!$A:$A,0)),0,IF(DI$1&lt;INDEX('Valo FX'!$R:$R,MATCH($A30,'Valo FX'!$A:$A,0)),INDEX(Base!$U:$U,MATCH($A30,Base!$A:$A,0)),IF(DI$1=INDEX('Valo FX'!$R:$R,MATCH($A30,'Valo FX'!$A:$A,0)),INDEX(Base!$V:$V,MATCH($A30,Base!$A:$A,0)),0)))</f>
        <v>11.359590000000001</v>
      </c>
      <c r="DJ30" s="21">
        <f>IF(DJ$1&lt;INDEX('Valo FX'!$Q:$Q,MATCH($A30,'Valo FX'!$A:$A,0)),0,IF(DJ$1&lt;INDEX('Valo FX'!$R:$R,MATCH($A30,'Valo FX'!$A:$A,0)),INDEX(Base!$U:$U,MATCH($A30,Base!$A:$A,0)),IF(DJ$1=INDEX('Valo FX'!$R:$R,MATCH($A30,'Valo FX'!$A:$A,0)),INDEX(Base!$V:$V,MATCH($A30,Base!$A:$A,0)),0)))</f>
        <v>11.359590000000001</v>
      </c>
      <c r="DK30" s="21">
        <f>IF(DK$1&lt;INDEX('Valo FX'!$Q:$Q,MATCH($A30,'Valo FX'!$A:$A,0)),0,IF(DK$1&lt;INDEX('Valo FX'!$R:$R,MATCH($A30,'Valo FX'!$A:$A,0)),INDEX(Base!$U:$U,MATCH($A30,Base!$A:$A,0)),IF(DK$1=INDEX('Valo FX'!$R:$R,MATCH($A30,'Valo FX'!$A:$A,0)),INDEX(Base!$V:$V,MATCH($A30,Base!$A:$A,0)),0)))</f>
        <v>11.359590000000001</v>
      </c>
      <c r="DL30" s="21">
        <f>IF(DL$1&lt;INDEX('Valo FX'!$Q:$Q,MATCH($A30,'Valo FX'!$A:$A,0)),0,IF(DL$1&lt;INDEX('Valo FX'!$R:$R,MATCH($A30,'Valo FX'!$A:$A,0)),INDEX(Base!$U:$U,MATCH($A30,Base!$A:$A,0)),IF(DL$1=INDEX('Valo FX'!$R:$R,MATCH($A30,'Valo FX'!$A:$A,0)),INDEX(Base!$V:$V,MATCH($A30,Base!$A:$A,0)),0)))</f>
        <v>11.359590000000001</v>
      </c>
      <c r="DM30" s="21">
        <f>IF(DM$1&lt;INDEX('Valo FX'!$Q:$Q,MATCH($A30,'Valo FX'!$A:$A,0)),0,IF(DM$1&lt;INDEX('Valo FX'!$R:$R,MATCH($A30,'Valo FX'!$A:$A,0)),INDEX(Base!$U:$U,MATCH($A30,Base!$A:$A,0)),IF(DM$1=INDEX('Valo FX'!$R:$R,MATCH($A30,'Valo FX'!$A:$A,0)),INDEX(Base!$V:$V,MATCH($A30,Base!$A:$A,0)),0)))</f>
        <v>11.359590000000001</v>
      </c>
      <c r="DN30" s="21">
        <f>IF(DN$1&lt;INDEX('Valo FX'!$Q:$Q,MATCH($A30,'Valo FX'!$A:$A,0)),0,IF(DN$1&lt;INDEX('Valo FX'!$R:$R,MATCH($A30,'Valo FX'!$A:$A,0)),INDEX(Base!$U:$U,MATCH($A30,Base!$A:$A,0)),IF(DN$1=INDEX('Valo FX'!$R:$R,MATCH($A30,'Valo FX'!$A:$A,0)),INDEX(Base!$V:$V,MATCH($A30,Base!$A:$A,0)),0)))</f>
        <v>11.359590000000001</v>
      </c>
      <c r="DO30" s="21">
        <f>IF(DO$1&lt;INDEX('Valo FX'!$Q:$Q,MATCH($A30,'Valo FX'!$A:$A,0)),0,IF(DO$1&lt;INDEX('Valo FX'!$R:$R,MATCH($A30,'Valo FX'!$A:$A,0)),INDEX(Base!$U:$U,MATCH($A30,Base!$A:$A,0)),IF(DO$1=INDEX('Valo FX'!$R:$R,MATCH($A30,'Valo FX'!$A:$A,0)),INDEX(Base!$V:$V,MATCH($A30,Base!$A:$A,0)),0)))</f>
        <v>11.359590000000001</v>
      </c>
      <c r="DP30" s="21">
        <f>IF(DP$1&lt;INDEX('Valo FX'!$Q:$Q,MATCH($A30,'Valo FX'!$A:$A,0)),0,IF(DP$1&lt;INDEX('Valo FX'!$R:$R,MATCH($A30,'Valo FX'!$A:$A,0)),INDEX(Base!$U:$U,MATCH($A30,Base!$A:$A,0)),IF(DP$1=INDEX('Valo FX'!$R:$R,MATCH($A30,'Valo FX'!$A:$A,0)),INDEX(Base!$V:$V,MATCH($A30,Base!$A:$A,0)),0)))</f>
        <v>11.359590000000001</v>
      </c>
      <c r="DQ30" s="21">
        <f>IF(DQ$1&lt;INDEX('Valo FX'!$Q:$Q,MATCH($A30,'Valo FX'!$A:$A,0)),0,IF(DQ$1&lt;INDEX('Valo FX'!$R:$R,MATCH($A30,'Valo FX'!$A:$A,0)),INDEX(Base!$U:$U,MATCH($A30,Base!$A:$A,0)),IF(DQ$1=INDEX('Valo FX'!$R:$R,MATCH($A30,'Valo FX'!$A:$A,0)),INDEX(Base!$V:$V,MATCH($A30,Base!$A:$A,0)),0)))</f>
        <v>11.359590000000001</v>
      </c>
      <c r="DR30" s="21">
        <f>IF(DR$1&lt;INDEX('Valo FX'!$Q:$Q,MATCH($A30,'Valo FX'!$A:$A,0)),0,IF(DR$1&lt;INDEX('Valo FX'!$R:$R,MATCH($A30,'Valo FX'!$A:$A,0)),INDEX(Base!$U:$U,MATCH($A30,Base!$A:$A,0)),IF(DR$1=INDEX('Valo FX'!$R:$R,MATCH($A30,'Valo FX'!$A:$A,0)),INDEX(Base!$V:$V,MATCH($A30,Base!$A:$A,0)),0)))</f>
        <v>11.359590000000001</v>
      </c>
      <c r="DS30" s="21">
        <f>IF(DS$1&lt;INDEX('Valo FX'!$Q:$Q,MATCH($A30,'Valo FX'!$A:$A,0)),0,IF(DS$1&lt;INDEX('Valo FX'!$R:$R,MATCH($A30,'Valo FX'!$A:$A,0)),INDEX(Base!$U:$U,MATCH($A30,Base!$A:$A,0)),IF(DS$1=INDEX('Valo FX'!$R:$R,MATCH($A30,'Valo FX'!$A:$A,0)),INDEX(Base!$V:$V,MATCH($A30,Base!$A:$A,0)),0)))</f>
        <v>11.359590000000001</v>
      </c>
      <c r="DT30" s="21">
        <f>IF(DT$1&lt;INDEX('Valo FX'!$Q:$Q,MATCH($A30,'Valo FX'!$A:$A,0)),0,IF(DT$1&lt;INDEX('Valo FX'!$R:$R,MATCH($A30,'Valo FX'!$A:$A,0)),INDEX(Base!$U:$U,MATCH($A30,Base!$A:$A,0)),IF(DT$1=INDEX('Valo FX'!$R:$R,MATCH($A30,'Valo FX'!$A:$A,0)),INDEX(Base!$V:$V,MATCH($A30,Base!$A:$A,0)),0)))</f>
        <v>11.359590000000001</v>
      </c>
      <c r="DU30" s="21">
        <f>IF(DU$1&lt;INDEX('Valo FX'!$Q:$Q,MATCH($A30,'Valo FX'!$A:$A,0)),0,IF(DU$1&lt;INDEX('Valo FX'!$R:$R,MATCH($A30,'Valo FX'!$A:$A,0)),INDEX(Base!$U:$U,MATCH($A30,Base!$A:$A,0)),IF(DU$1=INDEX('Valo FX'!$R:$R,MATCH($A30,'Valo FX'!$A:$A,0)),INDEX(Base!$V:$V,MATCH($A30,Base!$A:$A,0)),0)))</f>
        <v>11.359590000000001</v>
      </c>
      <c r="DV30" s="21">
        <f>IF(DV$1&lt;INDEX('Valo FX'!$Q:$Q,MATCH($A30,'Valo FX'!$A:$A,0)),0,IF(DV$1&lt;INDEX('Valo FX'!$R:$R,MATCH($A30,'Valo FX'!$A:$A,0)),INDEX(Base!$U:$U,MATCH($A30,Base!$A:$A,0)),IF(DV$1=INDEX('Valo FX'!$R:$R,MATCH($A30,'Valo FX'!$A:$A,0)),INDEX(Base!$V:$V,MATCH($A30,Base!$A:$A,0)),0)))</f>
        <v>11.359590000000001</v>
      </c>
      <c r="DW30" s="21">
        <f>IF(DW$1&lt;INDEX('Valo FX'!$Q:$Q,MATCH($A30,'Valo FX'!$A:$A,0)),0,IF(DW$1&lt;INDEX('Valo FX'!$R:$R,MATCH($A30,'Valo FX'!$A:$A,0)),INDEX(Base!$U:$U,MATCH($A30,Base!$A:$A,0)),IF(DW$1=INDEX('Valo FX'!$R:$R,MATCH($A30,'Valo FX'!$A:$A,0)),INDEX(Base!$V:$V,MATCH($A30,Base!$A:$A,0)),0)))</f>
        <v>11.359590000000001</v>
      </c>
      <c r="DX30" s="21">
        <f>IF(DX$1&lt;INDEX('Valo FX'!$Q:$Q,MATCH($A30,'Valo FX'!$A:$A,0)),0,IF(DX$1&lt;INDEX('Valo FX'!$R:$R,MATCH($A30,'Valo FX'!$A:$A,0)),INDEX(Base!$U:$U,MATCH($A30,Base!$A:$A,0)),IF(DX$1=INDEX('Valo FX'!$R:$R,MATCH($A30,'Valo FX'!$A:$A,0)),INDEX(Base!$V:$V,MATCH($A30,Base!$A:$A,0)),0)))</f>
        <v>11.359590000000001</v>
      </c>
      <c r="DY30" s="21">
        <f>IF(DY$1&lt;INDEX('Valo FX'!$Q:$Q,MATCH($A30,'Valo FX'!$A:$A,0)),0,IF(DY$1&lt;INDEX('Valo FX'!$R:$R,MATCH($A30,'Valo FX'!$A:$A,0)),INDEX(Base!$U:$U,MATCH($A30,Base!$A:$A,0)),IF(DY$1=INDEX('Valo FX'!$R:$R,MATCH($A30,'Valo FX'!$A:$A,0)),INDEX(Base!$V:$V,MATCH($A30,Base!$A:$A,0)),0)))</f>
        <v>11.359590000000001</v>
      </c>
      <c r="DZ30" s="21">
        <f>IF(DZ$1&lt;INDEX('Valo FX'!$Q:$Q,MATCH($A30,'Valo FX'!$A:$A,0)),0,IF(DZ$1&lt;INDEX('Valo FX'!$R:$R,MATCH($A30,'Valo FX'!$A:$A,0)),INDEX(Base!$U:$U,MATCH($A30,Base!$A:$A,0)),IF(DZ$1=INDEX('Valo FX'!$R:$R,MATCH($A30,'Valo FX'!$A:$A,0)),INDEX(Base!$V:$V,MATCH($A30,Base!$A:$A,0)),0)))</f>
        <v>11.359590000000001</v>
      </c>
      <c r="EA30" s="21">
        <f>IF(EA$1&lt;INDEX('Valo FX'!$Q:$Q,MATCH($A30,'Valo FX'!$A:$A,0)),0,IF(EA$1&lt;INDEX('Valo FX'!$R:$R,MATCH($A30,'Valo FX'!$A:$A,0)),INDEX(Base!$U:$U,MATCH($A30,Base!$A:$A,0)),IF(EA$1=INDEX('Valo FX'!$R:$R,MATCH($A30,'Valo FX'!$A:$A,0)),INDEX(Base!$V:$V,MATCH($A30,Base!$A:$A,0)),0)))</f>
        <v>11.359590000000001</v>
      </c>
      <c r="EB30" s="21">
        <f>IF(EB$1&lt;INDEX('Valo FX'!$Q:$Q,MATCH($A30,'Valo FX'!$A:$A,0)),0,IF(EB$1&lt;INDEX('Valo FX'!$R:$R,MATCH($A30,'Valo FX'!$A:$A,0)),INDEX(Base!$U:$U,MATCH($A30,Base!$A:$A,0)),IF(EB$1=INDEX('Valo FX'!$R:$R,MATCH($A30,'Valo FX'!$A:$A,0)),INDEX(Base!$V:$V,MATCH($A30,Base!$A:$A,0)),0)))</f>
        <v>11.359590000000001</v>
      </c>
      <c r="EC30" s="21">
        <f>IF(EC$1&lt;INDEX('Valo FX'!$Q:$Q,MATCH($A30,'Valo FX'!$A:$A,0)),0,IF(EC$1&lt;INDEX('Valo FX'!$R:$R,MATCH($A30,'Valo FX'!$A:$A,0)),INDEX(Base!$U:$U,MATCH($A30,Base!$A:$A,0)),IF(EC$1=INDEX('Valo FX'!$R:$R,MATCH($A30,'Valo FX'!$A:$A,0)),INDEX(Base!$V:$V,MATCH($A30,Base!$A:$A,0)),0)))</f>
        <v>11.359590000000001</v>
      </c>
      <c r="ED30" s="21">
        <f>IF(ED$1&lt;INDEX('Valo FX'!$Q:$Q,MATCH($A30,'Valo FX'!$A:$A,0)),0,IF(ED$1&lt;INDEX('Valo FX'!$R:$R,MATCH($A30,'Valo FX'!$A:$A,0)),INDEX(Base!$U:$U,MATCH($A30,Base!$A:$A,0)),IF(ED$1=INDEX('Valo FX'!$R:$R,MATCH($A30,'Valo FX'!$A:$A,0)),INDEX(Base!$V:$V,MATCH($A30,Base!$A:$A,0)),0)))</f>
        <v>11.359590000000001</v>
      </c>
      <c r="EE30" s="21">
        <f>IF(EE$1&lt;INDEX('Valo FX'!$Q:$Q,MATCH($A30,'Valo FX'!$A:$A,0)),0,IF(EE$1&lt;INDEX('Valo FX'!$R:$R,MATCH($A30,'Valo FX'!$A:$A,0)),INDEX(Base!$U:$U,MATCH($A30,Base!$A:$A,0)),IF(EE$1=INDEX('Valo FX'!$R:$R,MATCH($A30,'Valo FX'!$A:$A,0)),INDEX(Base!$V:$V,MATCH($A30,Base!$A:$A,0)),0)))</f>
        <v>11.359590000000001</v>
      </c>
      <c r="EF30" s="21">
        <f>IF(EF$1&lt;INDEX('Valo FX'!$Q:$Q,MATCH($A30,'Valo FX'!$A:$A,0)),0,IF(EF$1&lt;INDEX('Valo FX'!$R:$R,MATCH($A30,'Valo FX'!$A:$A,0)),INDEX(Base!$U:$U,MATCH($A30,Base!$A:$A,0)),IF(EF$1=INDEX('Valo FX'!$R:$R,MATCH($A30,'Valo FX'!$A:$A,0)),INDEX(Base!$V:$V,MATCH($A30,Base!$A:$A,0)),0)))</f>
        <v>11.359590000000001</v>
      </c>
      <c r="EG30" s="21">
        <f>IF(EG$1&lt;INDEX('Valo FX'!$Q:$Q,MATCH($A30,'Valo FX'!$A:$A,0)),0,IF(EG$1&lt;INDEX('Valo FX'!$R:$R,MATCH($A30,'Valo FX'!$A:$A,0)),INDEX(Base!$U:$U,MATCH($A30,Base!$A:$A,0)),IF(EG$1=INDEX('Valo FX'!$R:$R,MATCH($A30,'Valo FX'!$A:$A,0)),INDEX(Base!$V:$V,MATCH($A30,Base!$A:$A,0)),0)))</f>
        <v>11.359590000000001</v>
      </c>
      <c r="EH30" s="21">
        <f>IF(EH$1&lt;INDEX('Valo FX'!$Q:$Q,MATCH($A30,'Valo FX'!$A:$A,0)),0,IF(EH$1&lt;INDEX('Valo FX'!$R:$R,MATCH($A30,'Valo FX'!$A:$A,0)),INDEX(Base!$U:$U,MATCH($A30,Base!$A:$A,0)),IF(EH$1=INDEX('Valo FX'!$R:$R,MATCH($A30,'Valo FX'!$A:$A,0)),INDEX(Base!$V:$V,MATCH($A30,Base!$A:$A,0)),0)))</f>
        <v>11.359590000000001</v>
      </c>
      <c r="EI30" s="21">
        <f>IF(EI$1&lt;INDEX('Valo FX'!$Q:$Q,MATCH($A30,'Valo FX'!$A:$A,0)),0,IF(EI$1&lt;INDEX('Valo FX'!$R:$R,MATCH($A30,'Valo FX'!$A:$A,0)),INDEX(Base!$U:$U,MATCH($A30,Base!$A:$A,0)),IF(EI$1=INDEX('Valo FX'!$R:$R,MATCH($A30,'Valo FX'!$A:$A,0)),INDEX(Base!$V:$V,MATCH($A30,Base!$A:$A,0)),0)))</f>
        <v>11.359590000000001</v>
      </c>
      <c r="EJ30" s="21">
        <f>IF(EJ$1&lt;INDEX('Valo FX'!$Q:$Q,MATCH($A30,'Valo FX'!$A:$A,0)),0,IF(EJ$1&lt;INDEX('Valo FX'!$R:$R,MATCH($A30,'Valo FX'!$A:$A,0)),INDEX(Base!$U:$U,MATCH($A30,Base!$A:$A,0)),IF(EJ$1=INDEX('Valo FX'!$R:$R,MATCH($A30,'Valo FX'!$A:$A,0)),INDEX(Base!$V:$V,MATCH($A30,Base!$A:$A,0)),0)))</f>
        <v>11.359590000000001</v>
      </c>
      <c r="EK30" s="21">
        <f>IF(EK$1&lt;INDEX('Valo FX'!$Q:$Q,MATCH($A30,'Valo FX'!$A:$A,0)),0,IF(EK$1&lt;INDEX('Valo FX'!$R:$R,MATCH($A30,'Valo FX'!$A:$A,0)),INDEX(Base!$U:$U,MATCH($A30,Base!$A:$A,0)),IF(EK$1=INDEX('Valo FX'!$R:$R,MATCH($A30,'Valo FX'!$A:$A,0)),INDEX(Base!$V:$V,MATCH($A30,Base!$A:$A,0)),0)))</f>
        <v>11.359590000000001</v>
      </c>
      <c r="EL30" s="21">
        <f>IF(EL$1&lt;INDEX('Valo FX'!$Q:$Q,MATCH($A30,'Valo FX'!$A:$A,0)),0,IF(EL$1&lt;INDEX('Valo FX'!$R:$R,MATCH($A30,'Valo FX'!$A:$A,0)),INDEX(Base!$U:$U,MATCH($A30,Base!$A:$A,0)),IF(EL$1=INDEX('Valo FX'!$R:$R,MATCH($A30,'Valo FX'!$A:$A,0)),INDEX(Base!$V:$V,MATCH($A30,Base!$A:$A,0)),0)))</f>
        <v>11.359590000000001</v>
      </c>
      <c r="EM30" s="21">
        <f>IF(EM$1&lt;INDEX('Valo FX'!$Q:$Q,MATCH($A30,'Valo FX'!$A:$A,0)),0,IF(EM$1&lt;INDEX('Valo FX'!$R:$R,MATCH($A30,'Valo FX'!$A:$A,0)),INDEX(Base!$U:$U,MATCH($A30,Base!$A:$A,0)),IF(EM$1=INDEX('Valo FX'!$R:$R,MATCH($A30,'Valo FX'!$A:$A,0)),INDEX(Base!$V:$V,MATCH($A30,Base!$A:$A,0)),0)))</f>
        <v>11.359590000000001</v>
      </c>
      <c r="EN30" s="21">
        <f>IF(EN$1&lt;INDEX('Valo FX'!$Q:$Q,MATCH($A30,'Valo FX'!$A:$A,0)),0,IF(EN$1&lt;INDEX('Valo FX'!$R:$R,MATCH($A30,'Valo FX'!$A:$A,0)),INDEX(Base!$U:$U,MATCH($A30,Base!$A:$A,0)),IF(EN$1=INDEX('Valo FX'!$R:$R,MATCH($A30,'Valo FX'!$A:$A,0)),INDEX(Base!$V:$V,MATCH($A30,Base!$A:$A,0)),0)))</f>
        <v>11.359590000000001</v>
      </c>
      <c r="EO30" s="21">
        <f>IF(EO$1&lt;INDEX('Valo FX'!$Q:$Q,MATCH($A30,'Valo FX'!$A:$A,0)),0,IF(EO$1&lt;INDEX('Valo FX'!$R:$R,MATCH($A30,'Valo FX'!$A:$A,0)),INDEX(Base!$U:$U,MATCH($A30,Base!$A:$A,0)),IF(EO$1=INDEX('Valo FX'!$R:$R,MATCH($A30,'Valo FX'!$A:$A,0)),INDEX(Base!$V:$V,MATCH($A30,Base!$A:$A,0)),0)))</f>
        <v>11.359590000000001</v>
      </c>
      <c r="EP30" s="21">
        <f>IF(EP$1&lt;INDEX('Valo FX'!$Q:$Q,MATCH($A30,'Valo FX'!$A:$A,0)),0,IF(EP$1&lt;INDEX('Valo FX'!$R:$R,MATCH($A30,'Valo FX'!$A:$A,0)),INDEX(Base!$U:$U,MATCH($A30,Base!$A:$A,0)),IF(EP$1=INDEX('Valo FX'!$R:$R,MATCH($A30,'Valo FX'!$A:$A,0)),INDEX(Base!$V:$V,MATCH($A30,Base!$A:$A,0)),0)))</f>
        <v>11.359590000000001</v>
      </c>
      <c r="EQ30" s="21">
        <f>IF(EQ$1&lt;INDEX('Valo FX'!$Q:$Q,MATCH($A30,'Valo FX'!$A:$A,0)),0,IF(EQ$1&lt;INDEX('Valo FX'!$R:$R,MATCH($A30,'Valo FX'!$A:$A,0)),INDEX(Base!$U:$U,MATCH($A30,Base!$A:$A,0)),IF(EQ$1=INDEX('Valo FX'!$R:$R,MATCH($A30,'Valo FX'!$A:$A,0)),INDEX(Base!$V:$V,MATCH($A30,Base!$A:$A,0)),0)))</f>
        <v>11.359590000000001</v>
      </c>
      <c r="ER30" s="21">
        <f>IF(ER$1&lt;INDEX('Valo FX'!$Q:$Q,MATCH($A30,'Valo FX'!$A:$A,0)),0,IF(ER$1&lt;INDEX('Valo FX'!$R:$R,MATCH($A30,'Valo FX'!$A:$A,0)),INDEX(Base!$U:$U,MATCH($A30,Base!$A:$A,0)),IF(ER$1=INDEX('Valo FX'!$R:$R,MATCH($A30,'Valo FX'!$A:$A,0)),INDEX(Base!$V:$V,MATCH($A30,Base!$A:$A,0)),0)))</f>
        <v>11.359590000000001</v>
      </c>
      <c r="ES30" s="21">
        <f>IF(ES$1&lt;INDEX('Valo FX'!$Q:$Q,MATCH($A30,'Valo FX'!$A:$A,0)),0,IF(ES$1&lt;INDEX('Valo FX'!$R:$R,MATCH($A30,'Valo FX'!$A:$A,0)),INDEX(Base!$U:$U,MATCH($A30,Base!$A:$A,0)),IF(ES$1=INDEX('Valo FX'!$R:$R,MATCH($A30,'Valo FX'!$A:$A,0)),INDEX(Base!$V:$V,MATCH($A30,Base!$A:$A,0)),0)))</f>
        <v>11.359590000000001</v>
      </c>
      <c r="ET30" s="21">
        <f>IF(ET$1&lt;INDEX('Valo FX'!$Q:$Q,MATCH($A30,'Valo FX'!$A:$A,0)),0,IF(ET$1&lt;INDEX('Valo FX'!$R:$R,MATCH($A30,'Valo FX'!$A:$A,0)),INDEX(Base!$U:$U,MATCH($A30,Base!$A:$A,0)),IF(ET$1=INDEX('Valo FX'!$R:$R,MATCH($A30,'Valo FX'!$A:$A,0)),INDEX(Base!$V:$V,MATCH($A30,Base!$A:$A,0)),0)))</f>
        <v>11.359590000000001</v>
      </c>
      <c r="EU30" s="21">
        <f>IF(EU$1&lt;INDEX('Valo FX'!$Q:$Q,MATCH($A30,'Valo FX'!$A:$A,0)),0,IF(EU$1&lt;INDEX('Valo FX'!$R:$R,MATCH($A30,'Valo FX'!$A:$A,0)),INDEX(Base!$U:$U,MATCH($A30,Base!$A:$A,0)),IF(EU$1=INDEX('Valo FX'!$R:$R,MATCH($A30,'Valo FX'!$A:$A,0)),INDEX(Base!$V:$V,MATCH($A30,Base!$A:$A,0)),0)))</f>
        <v>11.359590000000001</v>
      </c>
      <c r="EV30" s="21">
        <f>IF(EV$1&lt;INDEX('Valo FX'!$Q:$Q,MATCH($A30,'Valo FX'!$A:$A,0)),0,IF(EV$1&lt;INDEX('Valo FX'!$R:$R,MATCH($A30,'Valo FX'!$A:$A,0)),INDEX(Base!$U:$U,MATCH($A30,Base!$A:$A,0)),IF(EV$1=INDEX('Valo FX'!$R:$R,MATCH($A30,'Valo FX'!$A:$A,0)),INDEX(Base!$V:$V,MATCH($A30,Base!$A:$A,0)),0)))</f>
        <v>11.359590000000001</v>
      </c>
      <c r="EW30" s="21">
        <f>IF(EW$1&lt;INDEX('Valo FX'!$Q:$Q,MATCH($A30,'Valo FX'!$A:$A,0)),0,IF(EW$1&lt;INDEX('Valo FX'!$R:$R,MATCH($A30,'Valo FX'!$A:$A,0)),INDEX(Base!$U:$U,MATCH($A30,Base!$A:$A,0)),IF(EW$1=INDEX('Valo FX'!$R:$R,MATCH($A30,'Valo FX'!$A:$A,0)),INDEX(Base!$V:$V,MATCH($A30,Base!$A:$A,0)),0)))</f>
        <v>11.359590000000001</v>
      </c>
      <c r="EX30" s="21">
        <f>IF(EX$1&lt;INDEX('Valo FX'!$Q:$Q,MATCH($A30,'Valo FX'!$A:$A,0)),0,IF(EX$1&lt;INDEX('Valo FX'!$R:$R,MATCH($A30,'Valo FX'!$A:$A,0)),INDEX(Base!$U:$U,MATCH($A30,Base!$A:$A,0)),IF(EX$1=INDEX('Valo FX'!$R:$R,MATCH($A30,'Valo FX'!$A:$A,0)),INDEX(Base!$V:$V,MATCH($A30,Base!$A:$A,0)),0)))</f>
        <v>11.359590000000001</v>
      </c>
      <c r="EY30" s="21">
        <f>IF(EY$1&lt;INDEX('Valo FX'!$Q:$Q,MATCH($A30,'Valo FX'!$A:$A,0)),0,IF(EY$1&lt;INDEX('Valo FX'!$R:$R,MATCH($A30,'Valo FX'!$A:$A,0)),INDEX(Base!$U:$U,MATCH($A30,Base!$A:$A,0)),IF(EY$1=INDEX('Valo FX'!$R:$R,MATCH($A30,'Valo FX'!$A:$A,0)),INDEX(Base!$V:$V,MATCH($A30,Base!$A:$A,0)),0)))</f>
        <v>11.359590000000001</v>
      </c>
      <c r="EZ30" s="21">
        <f>IF(EZ$1&lt;INDEX('Valo FX'!$Q:$Q,MATCH($A30,'Valo FX'!$A:$A,0)),0,IF(EZ$1&lt;INDEX('Valo FX'!$R:$R,MATCH($A30,'Valo FX'!$A:$A,0)),INDEX(Base!$U:$U,MATCH($A30,Base!$A:$A,0)),IF(EZ$1=INDEX('Valo FX'!$R:$R,MATCH($A30,'Valo FX'!$A:$A,0)),INDEX(Base!$V:$V,MATCH($A30,Base!$A:$A,0)),0)))</f>
        <v>11.359590000000001</v>
      </c>
      <c r="FA30" s="21">
        <f>IF(FA$1&lt;INDEX('Valo FX'!$Q:$Q,MATCH($A30,'Valo FX'!$A:$A,0)),0,IF(FA$1&lt;INDEX('Valo FX'!$R:$R,MATCH($A30,'Valo FX'!$A:$A,0)),INDEX(Base!$U:$U,MATCH($A30,Base!$A:$A,0)),IF(FA$1=INDEX('Valo FX'!$R:$R,MATCH($A30,'Valo FX'!$A:$A,0)),INDEX(Base!$V:$V,MATCH($A30,Base!$A:$A,0)),0)))</f>
        <v>11.359590000000001</v>
      </c>
      <c r="FB30" s="21">
        <f>IF(FB$1&lt;INDEX('Valo FX'!$Q:$Q,MATCH($A30,'Valo FX'!$A:$A,0)),0,IF(FB$1&lt;INDEX('Valo FX'!$R:$R,MATCH($A30,'Valo FX'!$A:$A,0)),INDEX(Base!$U:$U,MATCH($A30,Base!$A:$A,0)),IF(FB$1=INDEX('Valo FX'!$R:$R,MATCH($A30,'Valo FX'!$A:$A,0)),INDEX(Base!$V:$V,MATCH($A30,Base!$A:$A,0)),0)))</f>
        <v>11.359590000000001</v>
      </c>
      <c r="FC30" s="21">
        <f>IF(FC$1&lt;INDEX('Valo FX'!$Q:$Q,MATCH($A30,'Valo FX'!$A:$A,0)),0,IF(FC$1&lt;INDEX('Valo FX'!$R:$R,MATCH($A30,'Valo FX'!$A:$A,0)),INDEX(Base!$U:$U,MATCH($A30,Base!$A:$A,0)),IF(FC$1=INDEX('Valo FX'!$R:$R,MATCH($A30,'Valo FX'!$A:$A,0)),INDEX(Base!$V:$V,MATCH($A30,Base!$A:$A,0)),0)))</f>
        <v>11.359590000000001</v>
      </c>
      <c r="FD30" s="21">
        <f>IF(FD$1&lt;INDEX('Valo FX'!$Q:$Q,MATCH($A30,'Valo FX'!$A:$A,0)),0,IF(FD$1&lt;INDEX('Valo FX'!$R:$R,MATCH($A30,'Valo FX'!$A:$A,0)),INDEX(Base!$U:$U,MATCH($A30,Base!$A:$A,0)),IF(FD$1=INDEX('Valo FX'!$R:$R,MATCH($A30,'Valo FX'!$A:$A,0)),INDEX(Base!$V:$V,MATCH($A30,Base!$A:$A,0)),0)))</f>
        <v>11.359590000000001</v>
      </c>
      <c r="FE30" s="21">
        <f>IF(FE$1&lt;INDEX('Valo FX'!$Q:$Q,MATCH($A30,'Valo FX'!$A:$A,0)),0,IF(FE$1&lt;INDEX('Valo FX'!$R:$R,MATCH($A30,'Valo FX'!$A:$A,0)),INDEX(Base!$U:$U,MATCH($A30,Base!$A:$A,0)),IF(FE$1=INDEX('Valo FX'!$R:$R,MATCH($A30,'Valo FX'!$A:$A,0)),INDEX(Base!$V:$V,MATCH($A30,Base!$A:$A,0)),0)))</f>
        <v>11.359590000000001</v>
      </c>
      <c r="FF30" s="21">
        <f>IF(FF$1&lt;INDEX('Valo FX'!$Q:$Q,MATCH($A30,'Valo FX'!$A:$A,0)),0,IF(FF$1&lt;INDEX('Valo FX'!$R:$R,MATCH($A30,'Valo FX'!$A:$A,0)),INDEX(Base!$U:$U,MATCH($A30,Base!$A:$A,0)),IF(FF$1=INDEX('Valo FX'!$R:$R,MATCH($A30,'Valo FX'!$A:$A,0)),INDEX(Base!$V:$V,MATCH($A30,Base!$A:$A,0)),0)))</f>
        <v>11.359590000000001</v>
      </c>
      <c r="FG30" s="21">
        <f>IF(FG$1&lt;INDEX('Valo FX'!$Q:$Q,MATCH($A30,'Valo FX'!$A:$A,0)),0,IF(FG$1&lt;INDEX('Valo FX'!$R:$R,MATCH($A30,'Valo FX'!$A:$A,0)),INDEX(Base!$U:$U,MATCH($A30,Base!$A:$A,0)),IF(FG$1=INDEX('Valo FX'!$R:$R,MATCH($A30,'Valo FX'!$A:$A,0)),INDEX(Base!$V:$V,MATCH($A30,Base!$A:$A,0)),0)))</f>
        <v>11.359590000000001</v>
      </c>
      <c r="FH30" s="21">
        <f>IF(FH$1&lt;INDEX('Valo FX'!$Q:$Q,MATCH($A30,'Valo FX'!$A:$A,0)),0,IF(FH$1&lt;INDEX('Valo FX'!$R:$R,MATCH($A30,'Valo FX'!$A:$A,0)),INDEX(Base!$U:$U,MATCH($A30,Base!$A:$A,0)),IF(FH$1=INDEX('Valo FX'!$R:$R,MATCH($A30,'Valo FX'!$A:$A,0)),INDEX(Base!$V:$V,MATCH($A30,Base!$A:$A,0)),0)))</f>
        <v>11.359590000000001</v>
      </c>
      <c r="FI30" s="21">
        <f>IF(FI$1&lt;INDEX('Valo FX'!$Q:$Q,MATCH($A30,'Valo FX'!$A:$A,0)),0,IF(FI$1&lt;INDEX('Valo FX'!$R:$R,MATCH($A30,'Valo FX'!$A:$A,0)),INDEX(Base!$U:$U,MATCH($A30,Base!$A:$A,0)),IF(FI$1=INDEX('Valo FX'!$R:$R,MATCH($A30,'Valo FX'!$A:$A,0)),INDEX(Base!$V:$V,MATCH($A30,Base!$A:$A,0)),0)))</f>
        <v>11.359590000000001</v>
      </c>
      <c r="FJ30" s="21">
        <f>IF(FJ$1&lt;INDEX('Valo FX'!$Q:$Q,MATCH($A30,'Valo FX'!$A:$A,0)),0,IF(FJ$1&lt;INDEX('Valo FX'!$R:$R,MATCH($A30,'Valo FX'!$A:$A,0)),INDEX(Base!$U:$U,MATCH($A30,Base!$A:$A,0)),IF(FJ$1=INDEX('Valo FX'!$R:$R,MATCH($A30,'Valo FX'!$A:$A,0)),INDEX(Base!$V:$V,MATCH($A30,Base!$A:$A,0)),0)))</f>
        <v>11.359590000000001</v>
      </c>
      <c r="FK30" s="21">
        <f>IF(FK$1&lt;INDEX('Valo FX'!$Q:$Q,MATCH($A30,'Valo FX'!$A:$A,0)),0,IF(FK$1&lt;INDEX('Valo FX'!$R:$R,MATCH($A30,'Valo FX'!$A:$A,0)),INDEX(Base!$U:$U,MATCH($A30,Base!$A:$A,0)),IF(FK$1=INDEX('Valo FX'!$R:$R,MATCH($A30,'Valo FX'!$A:$A,0)),INDEX(Base!$V:$V,MATCH($A30,Base!$A:$A,0)),0)))</f>
        <v>11.359590000000001</v>
      </c>
      <c r="FL30" s="21">
        <f>IF(FL$1&lt;INDEX('Valo FX'!$Q:$Q,MATCH($A30,'Valo FX'!$A:$A,0)),0,IF(FL$1&lt;INDEX('Valo FX'!$R:$R,MATCH($A30,'Valo FX'!$A:$A,0)),INDEX(Base!$U:$U,MATCH($A30,Base!$A:$A,0)),IF(FL$1=INDEX('Valo FX'!$R:$R,MATCH($A30,'Valo FX'!$A:$A,0)),INDEX(Base!$V:$V,MATCH($A30,Base!$A:$A,0)),0)))</f>
        <v>11.359590000000001</v>
      </c>
      <c r="FM30" s="21">
        <f>IF(FM$1&lt;INDEX('Valo FX'!$Q:$Q,MATCH($A30,'Valo FX'!$A:$A,0)),0,IF(FM$1&lt;INDEX('Valo FX'!$R:$R,MATCH($A30,'Valo FX'!$A:$A,0)),INDEX(Base!$U:$U,MATCH($A30,Base!$A:$A,0)),IF(FM$1=INDEX('Valo FX'!$R:$R,MATCH($A30,'Valo FX'!$A:$A,0)),INDEX(Base!$V:$V,MATCH($A30,Base!$A:$A,0)),0)))</f>
        <v>11.359590000000001</v>
      </c>
      <c r="FN30" s="21">
        <f>IF(FN$1&lt;INDEX('Valo FX'!$Q:$Q,MATCH($A30,'Valo FX'!$A:$A,0)),0,IF(FN$1&lt;INDEX('Valo FX'!$R:$R,MATCH($A30,'Valo FX'!$A:$A,0)),INDEX(Base!$U:$U,MATCH($A30,Base!$A:$A,0)),IF(FN$1=INDEX('Valo FX'!$R:$R,MATCH($A30,'Valo FX'!$A:$A,0)),INDEX(Base!$V:$V,MATCH($A30,Base!$A:$A,0)),0)))</f>
        <v>11.359590000000001</v>
      </c>
      <c r="FO30" s="21">
        <f>IF(FO$1&lt;INDEX('Valo FX'!$Q:$Q,MATCH($A30,'Valo FX'!$A:$A,0)),0,IF(FO$1&lt;INDEX('Valo FX'!$R:$R,MATCH($A30,'Valo FX'!$A:$A,0)),INDEX(Base!$U:$U,MATCH($A30,Base!$A:$A,0)),IF(FO$1=INDEX('Valo FX'!$R:$R,MATCH($A30,'Valo FX'!$A:$A,0)),INDEX(Base!$V:$V,MATCH($A30,Base!$A:$A,0)),0)))</f>
        <v>11.359590000000001</v>
      </c>
      <c r="FP30" s="21">
        <f>IF(FP$1&lt;INDEX('Valo FX'!$Q:$Q,MATCH($A30,'Valo FX'!$A:$A,0)),0,IF(FP$1&lt;INDEX('Valo FX'!$R:$R,MATCH($A30,'Valo FX'!$A:$A,0)),INDEX(Base!$U:$U,MATCH($A30,Base!$A:$A,0)),IF(FP$1=INDEX('Valo FX'!$R:$R,MATCH($A30,'Valo FX'!$A:$A,0)),INDEX(Base!$V:$V,MATCH($A30,Base!$A:$A,0)),0)))</f>
        <v>11.359590000000001</v>
      </c>
      <c r="FQ30" s="21">
        <f>IF(FQ$1&lt;INDEX('Valo FX'!$Q:$Q,MATCH($A30,'Valo FX'!$A:$A,0)),0,IF(FQ$1&lt;INDEX('Valo FX'!$R:$R,MATCH($A30,'Valo FX'!$A:$A,0)),INDEX(Base!$U:$U,MATCH($A30,Base!$A:$A,0)),IF(FQ$1=INDEX('Valo FX'!$R:$R,MATCH($A30,'Valo FX'!$A:$A,0)),INDEX(Base!$V:$V,MATCH($A30,Base!$A:$A,0)),0)))</f>
        <v>11.359590000000001</v>
      </c>
      <c r="FR30" s="21">
        <f>IF(FR$1&lt;INDEX('Valo FX'!$Q:$Q,MATCH($A30,'Valo FX'!$A:$A,0)),0,IF(FR$1&lt;INDEX('Valo FX'!$R:$R,MATCH($A30,'Valo FX'!$A:$A,0)),INDEX(Base!$U:$U,MATCH($A30,Base!$A:$A,0)),IF(FR$1=INDEX('Valo FX'!$R:$R,MATCH($A30,'Valo FX'!$A:$A,0)),INDEX(Base!$V:$V,MATCH($A30,Base!$A:$A,0)),0)))</f>
        <v>11.359590000000001</v>
      </c>
      <c r="FS30" s="21">
        <f>IF(FS$1&lt;INDEX('Valo FX'!$Q:$Q,MATCH($A30,'Valo FX'!$A:$A,0)),0,IF(FS$1&lt;INDEX('Valo FX'!$R:$R,MATCH($A30,'Valo FX'!$A:$A,0)),INDEX(Base!$U:$U,MATCH($A30,Base!$A:$A,0)),IF(FS$1=INDEX('Valo FX'!$R:$R,MATCH($A30,'Valo FX'!$A:$A,0)),INDEX(Base!$V:$V,MATCH($A30,Base!$A:$A,0)),0)))</f>
        <v>11.359590000000001</v>
      </c>
      <c r="FT30" s="21">
        <f>IF(FT$1&lt;INDEX('Valo FX'!$Q:$Q,MATCH($A30,'Valo FX'!$A:$A,0)),0,IF(FT$1&lt;INDEX('Valo FX'!$R:$R,MATCH($A30,'Valo FX'!$A:$A,0)),INDEX(Base!$U:$U,MATCH($A30,Base!$A:$A,0)),IF(FT$1=INDEX('Valo FX'!$R:$R,MATCH($A30,'Valo FX'!$A:$A,0)),INDEX(Base!$V:$V,MATCH($A30,Base!$A:$A,0)),0)))</f>
        <v>11.359590000000001</v>
      </c>
      <c r="FU30" s="21">
        <f>IF(FU$1&lt;INDEX('Valo FX'!$Q:$Q,MATCH($A30,'Valo FX'!$A:$A,0)),0,IF(FU$1&lt;INDEX('Valo FX'!$R:$R,MATCH($A30,'Valo FX'!$A:$A,0)),INDEX(Base!$U:$U,MATCH($A30,Base!$A:$A,0)),IF(FU$1=INDEX('Valo FX'!$R:$R,MATCH($A30,'Valo FX'!$A:$A,0)),INDEX(Base!$V:$V,MATCH($A30,Base!$A:$A,0)),0)))</f>
        <v>11.359590000000001</v>
      </c>
      <c r="FV30" s="21">
        <f>IF(FV$1&lt;INDEX('Valo FX'!$Q:$Q,MATCH($A30,'Valo FX'!$A:$A,0)),0,IF(FV$1&lt;INDEX('Valo FX'!$R:$R,MATCH($A30,'Valo FX'!$A:$A,0)),INDEX(Base!$U:$U,MATCH($A30,Base!$A:$A,0)),IF(FV$1=INDEX('Valo FX'!$R:$R,MATCH($A30,'Valo FX'!$A:$A,0)),INDEX(Base!$V:$V,MATCH($A30,Base!$A:$A,0)),0)))</f>
        <v>11.359590000000001</v>
      </c>
      <c r="FW30" s="21">
        <f>IF(FW$1&lt;INDEX('Valo FX'!$Q:$Q,MATCH($A30,'Valo FX'!$A:$A,0)),0,IF(FW$1&lt;INDEX('Valo FX'!$R:$R,MATCH($A30,'Valo FX'!$A:$A,0)),INDEX(Base!$U:$U,MATCH($A30,Base!$A:$A,0)),IF(FW$1=INDEX('Valo FX'!$R:$R,MATCH($A30,'Valo FX'!$A:$A,0)),INDEX(Base!$V:$V,MATCH($A30,Base!$A:$A,0)),0)))</f>
        <v>11.359590000000001</v>
      </c>
      <c r="FX30" s="21">
        <f>IF(FX$1&lt;INDEX('Valo FX'!$Q:$Q,MATCH($A30,'Valo FX'!$A:$A,0)),0,IF(FX$1&lt;INDEX('Valo FX'!$R:$R,MATCH($A30,'Valo FX'!$A:$A,0)),INDEX(Base!$U:$U,MATCH($A30,Base!$A:$A,0)),IF(FX$1=INDEX('Valo FX'!$R:$R,MATCH($A30,'Valo FX'!$A:$A,0)),INDEX(Base!$V:$V,MATCH($A30,Base!$A:$A,0)),0)))</f>
        <v>11.359590000000001</v>
      </c>
      <c r="FY30" s="21">
        <f>IF(FY$1&lt;INDEX('Valo FX'!$Q:$Q,MATCH($A30,'Valo FX'!$A:$A,0)),0,IF(FY$1&lt;INDEX('Valo FX'!$R:$R,MATCH($A30,'Valo FX'!$A:$A,0)),INDEX(Base!$U:$U,MATCH($A30,Base!$A:$A,0)),IF(FY$1=INDEX('Valo FX'!$R:$R,MATCH($A30,'Valo FX'!$A:$A,0)),INDEX(Base!$V:$V,MATCH($A30,Base!$A:$A,0)),0)))</f>
        <v>11.359590000000001</v>
      </c>
      <c r="FZ30" s="21">
        <f>IF(FZ$1&lt;INDEX('Valo FX'!$Q:$Q,MATCH($A30,'Valo FX'!$A:$A,0)),0,IF(FZ$1&lt;INDEX('Valo FX'!$R:$R,MATCH($A30,'Valo FX'!$A:$A,0)),INDEX(Base!$U:$U,MATCH($A30,Base!$A:$A,0)),IF(FZ$1=INDEX('Valo FX'!$R:$R,MATCH($A30,'Valo FX'!$A:$A,0)),INDEX(Base!$V:$V,MATCH($A30,Base!$A:$A,0)),0)))</f>
        <v>11.359590000000001</v>
      </c>
      <c r="GA30" s="21">
        <f>IF(GA$1&lt;INDEX('Valo FX'!$Q:$Q,MATCH($A30,'Valo FX'!$A:$A,0)),0,IF(GA$1&lt;INDEX('Valo FX'!$R:$R,MATCH($A30,'Valo FX'!$A:$A,0)),INDEX(Base!$U:$U,MATCH($A30,Base!$A:$A,0)),IF(GA$1=INDEX('Valo FX'!$R:$R,MATCH($A30,'Valo FX'!$A:$A,0)),INDEX(Base!$V:$V,MATCH($A30,Base!$A:$A,0)),0)))</f>
        <v>11.359590000000001</v>
      </c>
      <c r="GB30" s="21">
        <f>IF(GB$1&lt;INDEX('Valo FX'!$Q:$Q,MATCH($A30,'Valo FX'!$A:$A,0)),0,IF(GB$1&lt;INDEX('Valo FX'!$R:$R,MATCH($A30,'Valo FX'!$A:$A,0)),INDEX(Base!$U:$U,MATCH($A30,Base!$A:$A,0)),IF(GB$1=INDEX('Valo FX'!$R:$R,MATCH($A30,'Valo FX'!$A:$A,0)),INDEX(Base!$V:$V,MATCH($A30,Base!$A:$A,0)),0)))</f>
        <v>11.359590000000001</v>
      </c>
      <c r="GC30" s="21">
        <f>IF(GC$1&lt;INDEX('Valo FX'!$Q:$Q,MATCH($A30,'Valo FX'!$A:$A,0)),0,IF(GC$1&lt;INDEX('Valo FX'!$R:$R,MATCH($A30,'Valo FX'!$A:$A,0)),INDEX(Base!$U:$U,MATCH($A30,Base!$A:$A,0)),IF(GC$1=INDEX('Valo FX'!$R:$R,MATCH($A30,'Valo FX'!$A:$A,0)),INDEX(Base!$V:$V,MATCH($A30,Base!$A:$A,0)),0)))</f>
        <v>11.359590000000001</v>
      </c>
      <c r="GD30" s="21">
        <f>IF(GD$1&lt;INDEX('Valo FX'!$Q:$Q,MATCH($A30,'Valo FX'!$A:$A,0)),0,IF(GD$1&lt;INDEX('Valo FX'!$R:$R,MATCH($A30,'Valo FX'!$A:$A,0)),INDEX(Base!$U:$U,MATCH($A30,Base!$A:$A,0)),IF(GD$1=INDEX('Valo FX'!$R:$R,MATCH($A30,'Valo FX'!$A:$A,0)),INDEX(Base!$V:$V,MATCH($A30,Base!$A:$A,0)),0)))</f>
        <v>11.359590000000001</v>
      </c>
      <c r="GE30" s="21">
        <f>IF(GE$1&lt;INDEX('Valo FX'!$Q:$Q,MATCH($A30,'Valo FX'!$A:$A,0)),0,IF(GE$1&lt;INDEX('Valo FX'!$R:$R,MATCH($A30,'Valo FX'!$A:$A,0)),INDEX(Base!$U:$U,MATCH($A30,Base!$A:$A,0)),IF(GE$1=INDEX('Valo FX'!$R:$R,MATCH($A30,'Valo FX'!$A:$A,0)),INDEX(Base!$V:$V,MATCH($A30,Base!$A:$A,0)),0)))</f>
        <v>11.359590000000001</v>
      </c>
      <c r="GF30" s="21">
        <f>IF(GF$1&lt;INDEX('Valo FX'!$Q:$Q,MATCH($A30,'Valo FX'!$A:$A,0)),0,IF(GF$1&lt;INDEX('Valo FX'!$R:$R,MATCH($A30,'Valo FX'!$A:$A,0)),INDEX(Base!$U:$U,MATCH($A30,Base!$A:$A,0)),IF(GF$1=INDEX('Valo FX'!$R:$R,MATCH($A30,'Valo FX'!$A:$A,0)),INDEX(Base!$V:$V,MATCH($A30,Base!$A:$A,0)),0)))</f>
        <v>11.359590000000001</v>
      </c>
      <c r="GG30" s="21">
        <f>IF(GG$1&lt;INDEX('Valo FX'!$Q:$Q,MATCH($A30,'Valo FX'!$A:$A,0)),0,IF(GG$1&lt;INDEX('Valo FX'!$R:$R,MATCH($A30,'Valo FX'!$A:$A,0)),INDEX(Base!$U:$U,MATCH($A30,Base!$A:$A,0)),IF(GG$1=INDEX('Valo FX'!$R:$R,MATCH($A30,'Valo FX'!$A:$A,0)),INDEX(Base!$V:$V,MATCH($A30,Base!$A:$A,0)),0)))</f>
        <v>11.359590000000001</v>
      </c>
      <c r="GH30" s="21">
        <f>IF(GH$1&lt;INDEX('Valo FX'!$Q:$Q,MATCH($A30,'Valo FX'!$A:$A,0)),0,IF(GH$1&lt;INDEX('Valo FX'!$R:$R,MATCH($A30,'Valo FX'!$A:$A,0)),INDEX(Base!$U:$U,MATCH($A30,Base!$A:$A,0)),IF(GH$1=INDEX('Valo FX'!$R:$R,MATCH($A30,'Valo FX'!$A:$A,0)),INDEX(Base!$V:$V,MATCH($A30,Base!$A:$A,0)),0)))</f>
        <v>11.359590000000001</v>
      </c>
      <c r="GI30" s="21">
        <f>IF(GI$1&lt;INDEX('Valo FX'!$Q:$Q,MATCH($A30,'Valo FX'!$A:$A,0)),0,IF(GI$1&lt;INDEX('Valo FX'!$R:$R,MATCH($A30,'Valo FX'!$A:$A,0)),INDEX(Base!$U:$U,MATCH($A30,Base!$A:$A,0)),IF(GI$1=INDEX('Valo FX'!$R:$R,MATCH($A30,'Valo FX'!$A:$A,0)),INDEX(Base!$V:$V,MATCH($A30,Base!$A:$A,0)),0)))</f>
        <v>11.359590000000001</v>
      </c>
      <c r="GJ30" s="21">
        <f>IF(GJ$1&lt;INDEX('Valo FX'!$Q:$Q,MATCH($A30,'Valo FX'!$A:$A,0)),0,IF(GJ$1&lt;INDEX('Valo FX'!$R:$R,MATCH($A30,'Valo FX'!$A:$A,0)),INDEX(Base!$U:$U,MATCH($A30,Base!$A:$A,0)),IF(GJ$1=INDEX('Valo FX'!$R:$R,MATCH($A30,'Valo FX'!$A:$A,0)),INDEX(Base!$V:$V,MATCH($A30,Base!$A:$A,0)),0)))</f>
        <v>11.359590000000001</v>
      </c>
      <c r="GK30" s="21">
        <f>IF(GK$1&lt;INDEX('Valo FX'!$Q:$Q,MATCH($A30,'Valo FX'!$A:$A,0)),0,IF(GK$1&lt;INDEX('Valo FX'!$R:$R,MATCH($A30,'Valo FX'!$A:$A,0)),INDEX(Base!$U:$U,MATCH($A30,Base!$A:$A,0)),IF(GK$1=INDEX('Valo FX'!$R:$R,MATCH($A30,'Valo FX'!$A:$A,0)),INDEX(Base!$V:$V,MATCH($A30,Base!$A:$A,0)),0)))</f>
        <v>11.359590000000001</v>
      </c>
      <c r="GL30" s="21">
        <f>IF(GL$1&lt;INDEX('Valo FX'!$Q:$Q,MATCH($A30,'Valo FX'!$A:$A,0)),0,IF(GL$1&lt;INDEX('Valo FX'!$R:$R,MATCH($A30,'Valo FX'!$A:$A,0)),INDEX(Base!$U:$U,MATCH($A30,Base!$A:$A,0)),IF(GL$1=INDEX('Valo FX'!$R:$R,MATCH($A30,'Valo FX'!$A:$A,0)),INDEX(Base!$V:$V,MATCH($A30,Base!$A:$A,0)),0)))</f>
        <v>11.359590000000001</v>
      </c>
      <c r="GM30" s="21">
        <f>IF(GM$1&lt;INDEX('Valo FX'!$Q:$Q,MATCH($A30,'Valo FX'!$A:$A,0)),0,IF(GM$1&lt;INDEX('Valo FX'!$R:$R,MATCH($A30,'Valo FX'!$A:$A,0)),INDEX(Base!$U:$U,MATCH($A30,Base!$A:$A,0)),IF(GM$1=INDEX('Valo FX'!$R:$R,MATCH($A30,'Valo FX'!$A:$A,0)),INDEX(Base!$V:$V,MATCH($A30,Base!$A:$A,0)),0)))</f>
        <v>11.359590000000001</v>
      </c>
      <c r="GN30" s="21">
        <f>IF(GN$1&lt;INDEX('Valo FX'!$Q:$Q,MATCH($A30,'Valo FX'!$A:$A,0)),0,IF(GN$1&lt;INDEX('Valo FX'!$R:$R,MATCH($A30,'Valo FX'!$A:$A,0)),INDEX(Base!$U:$U,MATCH($A30,Base!$A:$A,0)),IF(GN$1=INDEX('Valo FX'!$R:$R,MATCH($A30,'Valo FX'!$A:$A,0)),INDEX(Base!$V:$V,MATCH($A30,Base!$A:$A,0)),0)))</f>
        <v>11.359590000000001</v>
      </c>
      <c r="GO30" s="21">
        <f>IF(GO$1&lt;INDEX('Valo FX'!$Q:$Q,MATCH($A30,'Valo FX'!$A:$A,0)),0,IF(GO$1&lt;INDEX('Valo FX'!$R:$R,MATCH($A30,'Valo FX'!$A:$A,0)),INDEX(Base!$U:$U,MATCH($A30,Base!$A:$A,0)),IF(GO$1=INDEX('Valo FX'!$R:$R,MATCH($A30,'Valo FX'!$A:$A,0)),INDEX(Base!$V:$V,MATCH($A30,Base!$A:$A,0)),0)))</f>
        <v>11.359590000000001</v>
      </c>
      <c r="GP30" s="21">
        <f>IF(GP$1&lt;INDEX('Valo FX'!$Q:$Q,MATCH($A30,'Valo FX'!$A:$A,0)),0,IF(GP$1&lt;INDEX('Valo FX'!$R:$R,MATCH($A30,'Valo FX'!$A:$A,0)),INDEX(Base!$U:$U,MATCH($A30,Base!$A:$A,0)),IF(GP$1=INDEX('Valo FX'!$R:$R,MATCH($A30,'Valo FX'!$A:$A,0)),INDEX(Base!$V:$V,MATCH($A30,Base!$A:$A,0)),0)))</f>
        <v>11.359590000000001</v>
      </c>
      <c r="GQ30" s="21">
        <f>IF(GQ$1&lt;INDEX('Valo FX'!$Q:$Q,MATCH($A30,'Valo FX'!$A:$A,0)),0,IF(GQ$1&lt;INDEX('Valo FX'!$R:$R,MATCH($A30,'Valo FX'!$A:$A,0)),INDEX(Base!$U:$U,MATCH($A30,Base!$A:$A,0)),IF(GQ$1=INDEX('Valo FX'!$R:$R,MATCH($A30,'Valo FX'!$A:$A,0)),INDEX(Base!$V:$V,MATCH($A30,Base!$A:$A,0)),0)))</f>
        <v>11.359590000000001</v>
      </c>
      <c r="GR30" s="21">
        <f>IF(GR$1&lt;INDEX('Valo FX'!$Q:$Q,MATCH($A30,'Valo FX'!$A:$A,0)),0,IF(GR$1&lt;INDEX('Valo FX'!$R:$R,MATCH($A30,'Valo FX'!$A:$A,0)),INDEX(Base!$U:$U,MATCH($A30,Base!$A:$A,0)),IF(GR$1=INDEX('Valo FX'!$R:$R,MATCH($A30,'Valo FX'!$A:$A,0)),INDEX(Base!$V:$V,MATCH($A30,Base!$A:$A,0)),0)))</f>
        <v>11.359590000000001</v>
      </c>
      <c r="GS30" s="21">
        <f>IF(GS$1&lt;INDEX('Valo FX'!$Q:$Q,MATCH($A30,'Valo FX'!$A:$A,0)),0,IF(GS$1&lt;INDEX('Valo FX'!$R:$R,MATCH($A30,'Valo FX'!$A:$A,0)),INDEX(Base!$U:$U,MATCH($A30,Base!$A:$A,0)),IF(GS$1=INDEX('Valo FX'!$R:$R,MATCH($A30,'Valo FX'!$A:$A,0)),INDEX(Base!$V:$V,MATCH($A30,Base!$A:$A,0)),0)))</f>
        <v>11.359590000000001</v>
      </c>
      <c r="GT30" s="21">
        <f>IF(GT$1&lt;INDEX('Valo FX'!$Q:$Q,MATCH($A30,'Valo FX'!$A:$A,0)),0,IF(GT$1&lt;INDEX('Valo FX'!$R:$R,MATCH($A30,'Valo FX'!$A:$A,0)),INDEX(Base!$U:$U,MATCH($A30,Base!$A:$A,0)),IF(GT$1=INDEX('Valo FX'!$R:$R,MATCH($A30,'Valo FX'!$A:$A,0)),INDEX(Base!$V:$V,MATCH($A30,Base!$A:$A,0)),0)))</f>
        <v>11.359590000000001</v>
      </c>
      <c r="GU30" s="21">
        <f>IF(GU$1&lt;INDEX('Valo FX'!$Q:$Q,MATCH($A30,'Valo FX'!$A:$A,0)),0,IF(GU$1&lt;INDEX('Valo FX'!$R:$R,MATCH($A30,'Valo FX'!$A:$A,0)),INDEX(Base!$U:$U,MATCH($A30,Base!$A:$A,0)),IF(GU$1=INDEX('Valo FX'!$R:$R,MATCH($A30,'Valo FX'!$A:$A,0)),INDEX(Base!$V:$V,MATCH($A30,Base!$A:$A,0)),0)))</f>
        <v>11.359590000000001</v>
      </c>
      <c r="GV30" s="21">
        <f>IF(GV$1&lt;INDEX('Valo FX'!$Q:$Q,MATCH($A30,'Valo FX'!$A:$A,0)),0,IF(GV$1&lt;INDEX('Valo FX'!$R:$R,MATCH($A30,'Valo FX'!$A:$A,0)),INDEX(Base!$U:$U,MATCH($A30,Base!$A:$A,0)),IF(GV$1=INDEX('Valo FX'!$R:$R,MATCH($A30,'Valo FX'!$A:$A,0)),INDEX(Base!$V:$V,MATCH($A30,Base!$A:$A,0)),0)))</f>
        <v>11.359590000000001</v>
      </c>
      <c r="GW30" s="21">
        <f>IF(GW$1&lt;INDEX('Valo FX'!$Q:$Q,MATCH($A30,'Valo FX'!$A:$A,0)),0,IF(GW$1&lt;INDEX('Valo FX'!$R:$R,MATCH($A30,'Valo FX'!$A:$A,0)),INDEX(Base!$U:$U,MATCH($A30,Base!$A:$A,0)),IF(GW$1=INDEX('Valo FX'!$R:$R,MATCH($A30,'Valo FX'!$A:$A,0)),INDEX(Base!$V:$V,MATCH($A30,Base!$A:$A,0)),0)))</f>
        <v>11.359590000000001</v>
      </c>
      <c r="GX30" s="21">
        <f>IF(GX$1&lt;INDEX('Valo FX'!$Q:$Q,MATCH($A30,'Valo FX'!$A:$A,0)),0,IF(GX$1&lt;INDEX('Valo FX'!$R:$R,MATCH($A30,'Valo FX'!$A:$A,0)),INDEX(Base!$U:$U,MATCH($A30,Base!$A:$A,0)),IF(GX$1=INDEX('Valo FX'!$R:$R,MATCH($A30,'Valo FX'!$A:$A,0)),INDEX(Base!$V:$V,MATCH($A30,Base!$A:$A,0)),0)))</f>
        <v>11.359590000000001</v>
      </c>
      <c r="GY30" s="21">
        <f>IF(GY$1&lt;INDEX('Valo FX'!$Q:$Q,MATCH($A30,'Valo FX'!$A:$A,0)),0,IF(GY$1&lt;INDEX('Valo FX'!$R:$R,MATCH($A30,'Valo FX'!$A:$A,0)),INDEX(Base!$U:$U,MATCH($A30,Base!$A:$A,0)),IF(GY$1=INDEX('Valo FX'!$R:$R,MATCH($A30,'Valo FX'!$A:$A,0)),INDEX(Base!$V:$V,MATCH($A30,Base!$A:$A,0)),0)))</f>
        <v>11.359590000000001</v>
      </c>
      <c r="GZ30" s="21">
        <f>IF(GZ$1&lt;INDEX('Valo FX'!$Q:$Q,MATCH($A30,'Valo FX'!$A:$A,0)),0,IF(GZ$1&lt;INDEX('Valo FX'!$R:$R,MATCH($A30,'Valo FX'!$A:$A,0)),INDEX(Base!$U:$U,MATCH($A30,Base!$A:$A,0)),IF(GZ$1=INDEX('Valo FX'!$R:$R,MATCH($A30,'Valo FX'!$A:$A,0)),INDEX(Base!$V:$V,MATCH($A30,Base!$A:$A,0)),0)))</f>
        <v>11.359590000000001</v>
      </c>
      <c r="HA30" s="21">
        <f>IF(HA$1&lt;INDEX('Valo FX'!$Q:$Q,MATCH($A30,'Valo FX'!$A:$A,0)),0,IF(HA$1&lt;INDEX('Valo FX'!$R:$R,MATCH($A30,'Valo FX'!$A:$A,0)),INDEX(Base!$U:$U,MATCH($A30,Base!$A:$A,0)),IF(HA$1=INDEX('Valo FX'!$R:$R,MATCH($A30,'Valo FX'!$A:$A,0)),INDEX(Base!$V:$V,MATCH($A30,Base!$A:$A,0)),0)))</f>
        <v>11.359590000000001</v>
      </c>
      <c r="HB30" s="21">
        <f>IF(HB$1&lt;INDEX('Valo FX'!$Q:$Q,MATCH($A30,'Valo FX'!$A:$A,0)),0,IF(HB$1&lt;INDEX('Valo FX'!$R:$R,MATCH($A30,'Valo FX'!$A:$A,0)),INDEX(Base!$U:$U,MATCH($A30,Base!$A:$A,0)),IF(HB$1=INDEX('Valo FX'!$R:$R,MATCH($A30,'Valo FX'!$A:$A,0)),INDEX(Base!$V:$V,MATCH($A30,Base!$A:$A,0)),0)))</f>
        <v>11.359590000000001</v>
      </c>
      <c r="HC30" s="21">
        <f>IF(HC$1&lt;INDEX('Valo FX'!$Q:$Q,MATCH($A30,'Valo FX'!$A:$A,0)),0,IF(HC$1&lt;INDEX('Valo FX'!$R:$R,MATCH($A30,'Valo FX'!$A:$A,0)),INDEX(Base!$U:$U,MATCH($A30,Base!$A:$A,0)),IF(HC$1=INDEX('Valo FX'!$R:$R,MATCH($A30,'Valo FX'!$A:$A,0)),INDEX(Base!$V:$V,MATCH($A30,Base!$A:$A,0)),0)))</f>
        <v>11.359590000000001</v>
      </c>
      <c r="HD30" s="21">
        <f>IF(HD$1&lt;INDEX('Valo FX'!$Q:$Q,MATCH($A30,'Valo FX'!$A:$A,0)),0,IF(HD$1&lt;INDEX('Valo FX'!$R:$R,MATCH($A30,'Valo FX'!$A:$A,0)),INDEX(Base!$U:$U,MATCH($A30,Base!$A:$A,0)),IF(HD$1=INDEX('Valo FX'!$R:$R,MATCH($A30,'Valo FX'!$A:$A,0)),INDEX(Base!$V:$V,MATCH($A30,Base!$A:$A,0)),0)))</f>
        <v>11.359590000000001</v>
      </c>
      <c r="HE30" s="21">
        <f>IF(HE$1&lt;INDEX('Valo FX'!$Q:$Q,MATCH($A30,'Valo FX'!$A:$A,0)),0,IF(HE$1&lt;INDEX('Valo FX'!$R:$R,MATCH($A30,'Valo FX'!$A:$A,0)),INDEX(Base!$U:$U,MATCH($A30,Base!$A:$A,0)),IF(HE$1=INDEX('Valo FX'!$R:$R,MATCH($A30,'Valo FX'!$A:$A,0)),INDEX(Base!$V:$V,MATCH($A30,Base!$A:$A,0)),0)))</f>
        <v>11.359590000000001</v>
      </c>
      <c r="HF30" s="21">
        <f>IF(HF$1&lt;INDEX('Valo FX'!$Q:$Q,MATCH($A30,'Valo FX'!$A:$A,0)),0,IF(HF$1&lt;INDEX('Valo FX'!$R:$R,MATCH($A30,'Valo FX'!$A:$A,0)),INDEX(Base!$U:$U,MATCH($A30,Base!$A:$A,0)),IF(HF$1=INDEX('Valo FX'!$R:$R,MATCH($A30,'Valo FX'!$A:$A,0)),INDEX(Base!$V:$V,MATCH($A30,Base!$A:$A,0)),0)))</f>
        <v>11.359590000000001</v>
      </c>
      <c r="HG30" s="21">
        <f>IF(HG$1&lt;INDEX('Valo FX'!$Q:$Q,MATCH($A30,'Valo FX'!$A:$A,0)),0,IF(HG$1&lt;INDEX('Valo FX'!$R:$R,MATCH($A30,'Valo FX'!$A:$A,0)),INDEX(Base!$U:$U,MATCH($A30,Base!$A:$A,0)),IF(HG$1=INDEX('Valo FX'!$R:$R,MATCH($A30,'Valo FX'!$A:$A,0)),INDEX(Base!$V:$V,MATCH($A30,Base!$A:$A,0)),0)))</f>
        <v>11.359590000000001</v>
      </c>
      <c r="HH30" s="21">
        <f>IF(HH$1&lt;INDEX('Valo FX'!$Q:$Q,MATCH($A30,'Valo FX'!$A:$A,0)),0,IF(HH$1&lt;INDEX('Valo FX'!$R:$R,MATCH($A30,'Valo FX'!$A:$A,0)),INDEX(Base!$U:$U,MATCH($A30,Base!$A:$A,0)),IF(HH$1=INDEX('Valo FX'!$R:$R,MATCH($A30,'Valo FX'!$A:$A,0)),INDEX(Base!$V:$V,MATCH($A30,Base!$A:$A,0)),0)))</f>
        <v>11.359590000000001</v>
      </c>
      <c r="HI30" s="21">
        <f>IF(HI$1&lt;INDEX('Valo FX'!$Q:$Q,MATCH($A30,'Valo FX'!$A:$A,0)),0,IF(HI$1&lt;INDEX('Valo FX'!$R:$R,MATCH($A30,'Valo FX'!$A:$A,0)),INDEX(Base!$U:$U,MATCH($A30,Base!$A:$A,0)),IF(HI$1=INDEX('Valo FX'!$R:$R,MATCH($A30,'Valo FX'!$A:$A,0)),INDEX(Base!$V:$V,MATCH($A30,Base!$A:$A,0)),0)))</f>
        <v>11.359590000000001</v>
      </c>
      <c r="HJ30" s="21">
        <f>IF(HJ$1&lt;INDEX('Valo FX'!$Q:$Q,MATCH($A30,'Valo FX'!$A:$A,0)),0,IF(HJ$1&lt;INDEX('Valo FX'!$R:$R,MATCH($A30,'Valo FX'!$A:$A,0)),INDEX(Base!$U:$U,MATCH($A30,Base!$A:$A,0)),IF(HJ$1=INDEX('Valo FX'!$R:$R,MATCH($A30,'Valo FX'!$A:$A,0)),INDEX(Base!$V:$V,MATCH($A30,Base!$A:$A,0)),0)))</f>
        <v>11.359590000000001</v>
      </c>
      <c r="HK30" s="21">
        <f>IF(HK$1&lt;INDEX('Valo FX'!$Q:$Q,MATCH($A30,'Valo FX'!$A:$A,0)),0,IF(HK$1&lt;INDEX('Valo FX'!$R:$R,MATCH($A30,'Valo FX'!$A:$A,0)),INDEX(Base!$U:$U,MATCH($A30,Base!$A:$A,0)),IF(HK$1=INDEX('Valo FX'!$R:$R,MATCH($A30,'Valo FX'!$A:$A,0)),INDEX(Base!$V:$V,MATCH($A30,Base!$A:$A,0)),0)))</f>
        <v>11.359590000000001</v>
      </c>
      <c r="HL30" s="21">
        <f>IF(HL$1&lt;INDEX('Valo FX'!$Q:$Q,MATCH($A30,'Valo FX'!$A:$A,0)),0,IF(HL$1&lt;INDEX('Valo FX'!$R:$R,MATCH($A30,'Valo FX'!$A:$A,0)),INDEX(Base!$U:$U,MATCH($A30,Base!$A:$A,0)),IF(HL$1=INDEX('Valo FX'!$R:$R,MATCH($A30,'Valo FX'!$A:$A,0)),INDEX(Base!$V:$V,MATCH($A30,Base!$A:$A,0)),0)))</f>
        <v>11.359590000000001</v>
      </c>
      <c r="HM30" s="21">
        <f>IF(HM$1&lt;INDEX('Valo FX'!$Q:$Q,MATCH($A30,'Valo FX'!$A:$A,0)),0,IF(HM$1&lt;INDEX('Valo FX'!$R:$R,MATCH($A30,'Valo FX'!$A:$A,0)),INDEX(Base!$U:$U,MATCH($A30,Base!$A:$A,0)),IF(HM$1=INDEX('Valo FX'!$R:$R,MATCH($A30,'Valo FX'!$A:$A,0)),INDEX(Base!$V:$V,MATCH($A30,Base!$A:$A,0)),0)))</f>
        <v>11.359590000000001</v>
      </c>
      <c r="HN30" s="21">
        <f>IF(HN$1&lt;INDEX('Valo FX'!$Q:$Q,MATCH($A30,'Valo FX'!$A:$A,0)),0,IF(HN$1&lt;INDEX('Valo FX'!$R:$R,MATCH($A30,'Valo FX'!$A:$A,0)),INDEX(Base!$U:$U,MATCH($A30,Base!$A:$A,0)),IF(HN$1=INDEX('Valo FX'!$R:$R,MATCH($A30,'Valo FX'!$A:$A,0)),INDEX(Base!$V:$V,MATCH($A30,Base!$A:$A,0)),0)))</f>
        <v>11.359590000000001</v>
      </c>
      <c r="HO30" s="21">
        <f>IF(HO$1&lt;INDEX('Valo FX'!$Q:$Q,MATCH($A30,'Valo FX'!$A:$A,0)),0,IF(HO$1&lt;INDEX('Valo FX'!$R:$R,MATCH($A30,'Valo FX'!$A:$A,0)),INDEX(Base!$U:$U,MATCH($A30,Base!$A:$A,0)),IF(HO$1=INDEX('Valo FX'!$R:$R,MATCH($A30,'Valo FX'!$A:$A,0)),INDEX(Base!$V:$V,MATCH($A30,Base!$A:$A,0)),0)))</f>
        <v>11.359590000000001</v>
      </c>
      <c r="HP30" s="21">
        <f>IF(HP$1&lt;INDEX('Valo FX'!$Q:$Q,MATCH($A30,'Valo FX'!$A:$A,0)),0,IF(HP$1&lt;INDEX('Valo FX'!$R:$R,MATCH($A30,'Valo FX'!$A:$A,0)),INDEX(Base!$U:$U,MATCH($A30,Base!$A:$A,0)),IF(HP$1=INDEX('Valo FX'!$R:$R,MATCH($A30,'Valo FX'!$A:$A,0)),INDEX(Base!$V:$V,MATCH($A30,Base!$A:$A,0)),0)))</f>
        <v>11.359590000000001</v>
      </c>
      <c r="HQ30" s="21">
        <f>IF(HQ$1&lt;INDEX('Valo FX'!$Q:$Q,MATCH($A30,'Valo FX'!$A:$A,0)),0,IF(HQ$1&lt;INDEX('Valo FX'!$R:$R,MATCH($A30,'Valo FX'!$A:$A,0)),INDEX(Base!$U:$U,MATCH($A30,Base!$A:$A,0)),IF(HQ$1=INDEX('Valo FX'!$R:$R,MATCH($A30,'Valo FX'!$A:$A,0)),INDEX(Base!$V:$V,MATCH($A30,Base!$A:$A,0)),0)))</f>
        <v>11.359590000000001</v>
      </c>
      <c r="HR30" s="21">
        <f>IF(HR$1&lt;INDEX('Valo FX'!$Q:$Q,MATCH($A30,'Valo FX'!$A:$A,0)),0,IF(HR$1&lt;INDEX('Valo FX'!$R:$R,MATCH($A30,'Valo FX'!$A:$A,0)),INDEX(Base!$U:$U,MATCH($A30,Base!$A:$A,0)),IF(HR$1=INDEX('Valo FX'!$R:$R,MATCH($A30,'Valo FX'!$A:$A,0)),INDEX(Base!$V:$V,MATCH($A30,Base!$A:$A,0)),0)))</f>
        <v>11.359590000000001</v>
      </c>
      <c r="HS30" s="21">
        <f>IF(HS$1&lt;INDEX('Valo FX'!$Q:$Q,MATCH($A30,'Valo FX'!$A:$A,0)),0,IF(HS$1&lt;INDEX('Valo FX'!$R:$R,MATCH($A30,'Valo FX'!$A:$A,0)),INDEX(Base!$U:$U,MATCH($A30,Base!$A:$A,0)),IF(HS$1=INDEX('Valo FX'!$R:$R,MATCH($A30,'Valo FX'!$A:$A,0)),INDEX(Base!$V:$V,MATCH($A30,Base!$A:$A,0)),0)))</f>
        <v>11.359590000000001</v>
      </c>
      <c r="HT30" s="21">
        <f>IF(HT$1&lt;INDEX('Valo FX'!$Q:$Q,MATCH($A30,'Valo FX'!$A:$A,0)),0,IF(HT$1&lt;INDEX('Valo FX'!$R:$R,MATCH($A30,'Valo FX'!$A:$A,0)),INDEX(Base!$U:$U,MATCH($A30,Base!$A:$A,0)),IF(HT$1=INDEX('Valo FX'!$R:$R,MATCH($A30,'Valo FX'!$A:$A,0)),INDEX(Base!$V:$V,MATCH($A30,Base!$A:$A,0)),0)))</f>
        <v>11.359590000000001</v>
      </c>
      <c r="HU30" s="21">
        <f>IF(HU$1&lt;INDEX('Valo FX'!$Q:$Q,MATCH($A30,'Valo FX'!$A:$A,0)),0,IF(HU$1&lt;INDEX('Valo FX'!$R:$R,MATCH($A30,'Valo FX'!$A:$A,0)),INDEX(Base!$U:$U,MATCH($A30,Base!$A:$A,0)),IF(HU$1=INDEX('Valo FX'!$R:$R,MATCH($A30,'Valo FX'!$A:$A,0)),INDEX(Base!$V:$V,MATCH($A30,Base!$A:$A,0)),0)))</f>
        <v>11.359590000000001</v>
      </c>
      <c r="HV30" s="21">
        <f>IF(HV$1&lt;INDEX('Valo FX'!$Q:$Q,MATCH($A30,'Valo FX'!$A:$A,0)),0,IF(HV$1&lt;INDEX('Valo FX'!$R:$R,MATCH($A30,'Valo FX'!$A:$A,0)),INDEX(Base!$U:$U,MATCH($A30,Base!$A:$A,0)),IF(HV$1=INDEX('Valo FX'!$R:$R,MATCH($A30,'Valo FX'!$A:$A,0)),INDEX(Base!$V:$V,MATCH($A30,Base!$A:$A,0)),0)))</f>
        <v>11.359590000000001</v>
      </c>
      <c r="HW30" s="21">
        <f>IF(HW$1&lt;INDEX('Valo FX'!$Q:$Q,MATCH($A30,'Valo FX'!$A:$A,0)),0,IF(HW$1&lt;INDEX('Valo FX'!$R:$R,MATCH($A30,'Valo FX'!$A:$A,0)),INDEX(Base!$U:$U,MATCH($A30,Base!$A:$A,0)),IF(HW$1=INDEX('Valo FX'!$R:$R,MATCH($A30,'Valo FX'!$A:$A,0)),INDEX(Base!$V:$V,MATCH($A30,Base!$A:$A,0)),0)))</f>
        <v>11.359590000000001</v>
      </c>
      <c r="HX30" s="21">
        <f>IF(HX$1&lt;INDEX('Valo FX'!$Q:$Q,MATCH($A30,'Valo FX'!$A:$A,0)),0,IF(HX$1&lt;INDEX('Valo FX'!$R:$R,MATCH($A30,'Valo FX'!$A:$A,0)),INDEX(Base!$U:$U,MATCH($A30,Base!$A:$A,0)),IF(HX$1=INDEX('Valo FX'!$R:$R,MATCH($A30,'Valo FX'!$A:$A,0)),INDEX(Base!$V:$V,MATCH($A30,Base!$A:$A,0)),0)))</f>
        <v>11.359590000000001</v>
      </c>
      <c r="HY30" s="21">
        <f>IF(HY$1&lt;INDEX('Valo FX'!$Q:$Q,MATCH($A30,'Valo FX'!$A:$A,0)),0,IF(HY$1&lt;INDEX('Valo FX'!$R:$R,MATCH($A30,'Valo FX'!$A:$A,0)),INDEX(Base!$U:$U,MATCH($A30,Base!$A:$A,0)),IF(HY$1=INDEX('Valo FX'!$R:$R,MATCH($A30,'Valo FX'!$A:$A,0)),INDEX(Base!$V:$V,MATCH($A30,Base!$A:$A,0)),0)))</f>
        <v>11.359590000000001</v>
      </c>
      <c r="HZ30" s="21">
        <f>IF(HZ$1&lt;INDEX('Valo FX'!$Q:$Q,MATCH($A30,'Valo FX'!$A:$A,0)),0,IF(HZ$1&lt;INDEX('Valo FX'!$R:$R,MATCH($A30,'Valo FX'!$A:$A,0)),INDEX(Base!$U:$U,MATCH($A30,Base!$A:$A,0)),IF(HZ$1=INDEX('Valo FX'!$R:$R,MATCH($A30,'Valo FX'!$A:$A,0)),INDEX(Base!$V:$V,MATCH($A30,Base!$A:$A,0)),0)))</f>
        <v>11.359590000000001</v>
      </c>
      <c r="IA30" s="21">
        <f>IF(IA$1&lt;INDEX('Valo FX'!$Q:$Q,MATCH($A30,'Valo FX'!$A:$A,0)),0,IF(IA$1&lt;INDEX('Valo FX'!$R:$R,MATCH($A30,'Valo FX'!$A:$A,0)),INDEX(Base!$U:$U,MATCH($A30,Base!$A:$A,0)),IF(IA$1=INDEX('Valo FX'!$R:$R,MATCH($A30,'Valo FX'!$A:$A,0)),INDEX(Base!$V:$V,MATCH($A30,Base!$A:$A,0)),0)))</f>
        <v>11.359590000000001</v>
      </c>
      <c r="IB30" s="21">
        <f>IF(IB$1&lt;INDEX('Valo FX'!$Q:$Q,MATCH($A30,'Valo FX'!$A:$A,0)),0,IF(IB$1&lt;INDEX('Valo FX'!$R:$R,MATCH($A30,'Valo FX'!$A:$A,0)),INDEX(Base!$U:$U,MATCH($A30,Base!$A:$A,0)),IF(IB$1=INDEX('Valo FX'!$R:$R,MATCH($A30,'Valo FX'!$A:$A,0)),INDEX(Base!$V:$V,MATCH($A30,Base!$A:$A,0)),0)))</f>
        <v>11.359590000000001</v>
      </c>
      <c r="IC30" s="21">
        <f>IF(IC$1&lt;INDEX('Valo FX'!$Q:$Q,MATCH($A30,'Valo FX'!$A:$A,0)),0,IF(IC$1&lt;INDEX('Valo FX'!$R:$R,MATCH($A30,'Valo FX'!$A:$A,0)),INDEX(Base!$U:$U,MATCH($A30,Base!$A:$A,0)),IF(IC$1=INDEX('Valo FX'!$R:$R,MATCH($A30,'Valo FX'!$A:$A,0)),INDEX(Base!$V:$V,MATCH($A30,Base!$A:$A,0)),0)))</f>
        <v>11.359590000000001</v>
      </c>
      <c r="ID30" s="21">
        <f>IF(ID$1&lt;INDEX('Valo FX'!$Q:$Q,MATCH($A30,'Valo FX'!$A:$A,0)),0,IF(ID$1&lt;INDEX('Valo FX'!$R:$R,MATCH($A30,'Valo FX'!$A:$A,0)),INDEX(Base!$U:$U,MATCH($A30,Base!$A:$A,0)),IF(ID$1=INDEX('Valo FX'!$R:$R,MATCH($A30,'Valo FX'!$A:$A,0)),INDEX(Base!$V:$V,MATCH($A30,Base!$A:$A,0)),0)))</f>
        <v>11.359590000000001</v>
      </c>
      <c r="IE30" s="21">
        <f>IF(IE$1&lt;INDEX('Valo FX'!$Q:$Q,MATCH($A30,'Valo FX'!$A:$A,0)),0,IF(IE$1&lt;INDEX('Valo FX'!$R:$R,MATCH($A30,'Valo FX'!$A:$A,0)),INDEX(Base!$U:$U,MATCH($A30,Base!$A:$A,0)),IF(IE$1=INDEX('Valo FX'!$R:$R,MATCH($A30,'Valo FX'!$A:$A,0)),INDEX(Base!$V:$V,MATCH($A30,Base!$A:$A,0)),0)))</f>
        <v>11.359590000000001</v>
      </c>
      <c r="IF30" s="21">
        <f>IF(IF$1&lt;INDEX('Valo FX'!$Q:$Q,MATCH($A30,'Valo FX'!$A:$A,0)),0,IF(IF$1&lt;INDEX('Valo FX'!$R:$R,MATCH($A30,'Valo FX'!$A:$A,0)),INDEX(Base!$U:$U,MATCH($A30,Base!$A:$A,0)),IF(IF$1=INDEX('Valo FX'!$R:$R,MATCH($A30,'Valo FX'!$A:$A,0)),INDEX(Base!$V:$V,MATCH($A30,Base!$A:$A,0)),0)))</f>
        <v>11.359590000000001</v>
      </c>
      <c r="IG30" s="21">
        <f>IF(IG$1&lt;INDEX('Valo FX'!$Q:$Q,MATCH($A30,'Valo FX'!$A:$A,0)),0,IF(IG$1&lt;INDEX('Valo FX'!$R:$R,MATCH($A30,'Valo FX'!$A:$A,0)),INDEX(Base!$U:$U,MATCH($A30,Base!$A:$A,0)),IF(IG$1=INDEX('Valo FX'!$R:$R,MATCH($A30,'Valo FX'!$A:$A,0)),INDEX(Base!$V:$V,MATCH($A30,Base!$A:$A,0)),0)))</f>
        <v>11.359590000000001</v>
      </c>
      <c r="IH30" s="21">
        <f>IF(IH$1&lt;INDEX('Valo FX'!$Q:$Q,MATCH($A30,'Valo FX'!$A:$A,0)),0,IF(IH$1&lt;INDEX('Valo FX'!$R:$R,MATCH($A30,'Valo FX'!$A:$A,0)),INDEX(Base!$U:$U,MATCH($A30,Base!$A:$A,0)),IF(IH$1=INDEX('Valo FX'!$R:$R,MATCH($A30,'Valo FX'!$A:$A,0)),INDEX(Base!$V:$V,MATCH($A30,Base!$A:$A,0)),0)))</f>
        <v>11.359590000000001</v>
      </c>
      <c r="II30" s="21">
        <f>IF(II$1&lt;INDEX('Valo FX'!$Q:$Q,MATCH($A30,'Valo FX'!$A:$A,0)),0,IF(II$1&lt;INDEX('Valo FX'!$R:$R,MATCH($A30,'Valo FX'!$A:$A,0)),INDEX(Base!$U:$U,MATCH($A30,Base!$A:$A,0)),IF(II$1=INDEX('Valo FX'!$R:$R,MATCH($A30,'Valo FX'!$A:$A,0)),INDEX(Base!$V:$V,MATCH($A30,Base!$A:$A,0)),0)))</f>
        <v>11.359590000000001</v>
      </c>
      <c r="IJ30" s="21">
        <f>IF(IJ$1&lt;INDEX('Valo FX'!$Q:$Q,MATCH($A30,'Valo FX'!$A:$A,0)),0,IF(IJ$1&lt;INDEX('Valo FX'!$R:$R,MATCH($A30,'Valo FX'!$A:$A,0)),INDEX(Base!$U:$U,MATCH($A30,Base!$A:$A,0)),IF(IJ$1=INDEX('Valo FX'!$R:$R,MATCH($A30,'Valo FX'!$A:$A,0)),INDEX(Base!$V:$V,MATCH($A30,Base!$A:$A,0)),0)))</f>
        <v>11.359590000000001</v>
      </c>
      <c r="IK30" s="21">
        <f>IF(IK$1&lt;INDEX('Valo FX'!$Q:$Q,MATCH($A30,'Valo FX'!$A:$A,0)),0,IF(IK$1&lt;INDEX('Valo FX'!$R:$R,MATCH($A30,'Valo FX'!$A:$A,0)),INDEX(Base!$U:$U,MATCH($A30,Base!$A:$A,0)),IF(IK$1=INDEX('Valo FX'!$R:$R,MATCH($A30,'Valo FX'!$A:$A,0)),INDEX(Base!$V:$V,MATCH($A30,Base!$A:$A,0)),0)))</f>
        <v>11.359590000000001</v>
      </c>
      <c r="IL30" s="21">
        <f>IF(IL$1&lt;INDEX('Valo FX'!$Q:$Q,MATCH($A30,'Valo FX'!$A:$A,0)),0,IF(IL$1&lt;INDEX('Valo FX'!$R:$R,MATCH($A30,'Valo FX'!$A:$A,0)),INDEX(Base!$U:$U,MATCH($A30,Base!$A:$A,0)),IF(IL$1=INDEX('Valo FX'!$R:$R,MATCH($A30,'Valo FX'!$A:$A,0)),INDEX(Base!$V:$V,MATCH($A30,Base!$A:$A,0)),0)))</f>
        <v>11.359590000000001</v>
      </c>
      <c r="IM30" s="21">
        <f>IF(IM$1&lt;INDEX('Valo FX'!$Q:$Q,MATCH($A30,'Valo FX'!$A:$A,0)),0,IF(IM$1&lt;INDEX('Valo FX'!$R:$R,MATCH($A30,'Valo FX'!$A:$A,0)),INDEX(Base!$U:$U,MATCH($A30,Base!$A:$A,0)),IF(IM$1=INDEX('Valo FX'!$R:$R,MATCH($A30,'Valo FX'!$A:$A,0)),INDEX(Base!$V:$V,MATCH($A30,Base!$A:$A,0)),0)))</f>
        <v>11.359590000000001</v>
      </c>
      <c r="IN30" s="21">
        <f>IF(IN$1&lt;INDEX('Valo FX'!$Q:$Q,MATCH($A30,'Valo FX'!$A:$A,0)),0,IF(IN$1&lt;INDEX('Valo FX'!$R:$R,MATCH($A30,'Valo FX'!$A:$A,0)),INDEX(Base!$U:$U,MATCH($A30,Base!$A:$A,0)),IF(IN$1=INDEX('Valo FX'!$R:$R,MATCH($A30,'Valo FX'!$A:$A,0)),INDEX(Base!$V:$V,MATCH($A30,Base!$A:$A,0)),0)))</f>
        <v>11.359590000000001</v>
      </c>
      <c r="IO30" s="21">
        <f>IF(IO$1&lt;INDEX('Valo FX'!$Q:$Q,MATCH($A30,'Valo FX'!$A:$A,0)),0,IF(IO$1&lt;INDEX('Valo FX'!$R:$R,MATCH($A30,'Valo FX'!$A:$A,0)),INDEX(Base!$U:$U,MATCH($A30,Base!$A:$A,0)),IF(IO$1=INDEX('Valo FX'!$R:$R,MATCH($A30,'Valo FX'!$A:$A,0)),INDEX(Base!$V:$V,MATCH($A30,Base!$A:$A,0)),0)))</f>
        <v>11.359590000000001</v>
      </c>
      <c r="IP30" s="21">
        <f>IF(IP$1&lt;INDEX('Valo FX'!$Q:$Q,MATCH($A30,'Valo FX'!$A:$A,0)),0,IF(IP$1&lt;INDEX('Valo FX'!$R:$R,MATCH($A30,'Valo FX'!$A:$A,0)),INDEX(Base!$U:$U,MATCH($A30,Base!$A:$A,0)),IF(IP$1=INDEX('Valo FX'!$R:$R,MATCH($A30,'Valo FX'!$A:$A,0)),INDEX(Base!$V:$V,MATCH($A30,Base!$A:$A,0)),0)))</f>
        <v>11.359590000000001</v>
      </c>
      <c r="IQ30" s="21">
        <f>IF(IQ$1&lt;INDEX('Valo FX'!$Q:$Q,MATCH($A30,'Valo FX'!$A:$A,0)),0,IF(IQ$1&lt;INDEX('Valo FX'!$R:$R,MATCH($A30,'Valo FX'!$A:$A,0)),INDEX(Base!$U:$U,MATCH($A30,Base!$A:$A,0)),IF(IQ$1=INDEX('Valo FX'!$R:$R,MATCH($A30,'Valo FX'!$A:$A,0)),INDEX(Base!$V:$V,MATCH($A30,Base!$A:$A,0)),0)))</f>
        <v>11.359590000000001</v>
      </c>
      <c r="IR30" s="21">
        <f>IF(IR$1&lt;INDEX('Valo FX'!$Q:$Q,MATCH($A30,'Valo FX'!$A:$A,0)),0,IF(IR$1&lt;INDEX('Valo FX'!$R:$R,MATCH($A30,'Valo FX'!$A:$A,0)),INDEX(Base!$U:$U,MATCH($A30,Base!$A:$A,0)),IF(IR$1=INDEX('Valo FX'!$R:$R,MATCH($A30,'Valo FX'!$A:$A,0)),INDEX(Base!$V:$V,MATCH($A30,Base!$A:$A,0)),0)))</f>
        <v>11.359590000000001</v>
      </c>
      <c r="IS30" s="21">
        <f>IF(IS$1&lt;INDEX('Valo FX'!$Q:$Q,MATCH($A30,'Valo FX'!$A:$A,0)),0,IF(IS$1&lt;INDEX('Valo FX'!$R:$R,MATCH($A30,'Valo FX'!$A:$A,0)),INDEX(Base!$U:$U,MATCH($A30,Base!$A:$A,0)),IF(IS$1=INDEX('Valo FX'!$R:$R,MATCH($A30,'Valo FX'!$A:$A,0)),INDEX(Base!$V:$V,MATCH($A30,Base!$A:$A,0)),0)))</f>
        <v>11.359590000000001</v>
      </c>
      <c r="IT30" s="21">
        <f>IF(IT$1&lt;INDEX('Valo FX'!$Q:$Q,MATCH($A30,'Valo FX'!$A:$A,0)),0,IF(IT$1&lt;INDEX('Valo FX'!$R:$R,MATCH($A30,'Valo FX'!$A:$A,0)),INDEX(Base!$U:$U,MATCH($A30,Base!$A:$A,0)),IF(IT$1=INDEX('Valo FX'!$R:$R,MATCH($A30,'Valo FX'!$A:$A,0)),INDEX(Base!$V:$V,MATCH($A30,Base!$A:$A,0)),0)))</f>
        <v>11.359590000000001</v>
      </c>
      <c r="IU30" s="21">
        <f>IF(IU$1&lt;INDEX('Valo FX'!$Q:$Q,MATCH($A30,'Valo FX'!$A:$A,0)),0,IF(IU$1&lt;INDEX('Valo FX'!$R:$R,MATCH($A30,'Valo FX'!$A:$A,0)),INDEX(Base!$U:$U,MATCH($A30,Base!$A:$A,0)),IF(IU$1=INDEX('Valo FX'!$R:$R,MATCH($A30,'Valo FX'!$A:$A,0)),INDEX(Base!$V:$V,MATCH($A30,Base!$A:$A,0)),0)))</f>
        <v>11.359590000000001</v>
      </c>
      <c r="IV30" s="21">
        <f>IF(IV$1&lt;INDEX('Valo FX'!$Q:$Q,MATCH($A30,'Valo FX'!$A:$A,0)),0,IF(IV$1&lt;INDEX('Valo FX'!$R:$R,MATCH($A30,'Valo FX'!$A:$A,0)),INDEX(Base!$U:$U,MATCH($A30,Base!$A:$A,0)),IF(IV$1=INDEX('Valo FX'!$R:$R,MATCH($A30,'Valo FX'!$A:$A,0)),INDEX(Base!$V:$V,MATCH($A30,Base!$A:$A,0)),0)))</f>
        <v>11.359590000000001</v>
      </c>
      <c r="IW30" s="21">
        <f>IF(IW$1&lt;INDEX('Valo FX'!$Q:$Q,MATCH($A30,'Valo FX'!$A:$A,0)),0,IF(IW$1&lt;INDEX('Valo FX'!$R:$R,MATCH($A30,'Valo FX'!$A:$A,0)),INDEX(Base!$U:$U,MATCH($A30,Base!$A:$A,0)),IF(IW$1=INDEX('Valo FX'!$R:$R,MATCH($A30,'Valo FX'!$A:$A,0)),INDEX(Base!$V:$V,MATCH($A30,Base!$A:$A,0)),0)))</f>
        <v>11.359590000000001</v>
      </c>
      <c r="IX30" s="21">
        <f>IF(IX$1&lt;INDEX('Valo FX'!$Q:$Q,MATCH($A30,'Valo FX'!$A:$A,0)),0,IF(IX$1&lt;INDEX('Valo FX'!$R:$R,MATCH($A30,'Valo FX'!$A:$A,0)),INDEX(Base!$U:$U,MATCH($A30,Base!$A:$A,0)),IF(IX$1=INDEX('Valo FX'!$R:$R,MATCH($A30,'Valo FX'!$A:$A,0)),INDEX(Base!$V:$V,MATCH($A30,Base!$A:$A,0)),0)))</f>
        <v>11.359590000000001</v>
      </c>
      <c r="IY30" s="21">
        <f>IF(IY$1&lt;INDEX('Valo FX'!$Q:$Q,MATCH($A30,'Valo FX'!$A:$A,0)),0,IF(IY$1&lt;INDEX('Valo FX'!$R:$R,MATCH($A30,'Valo FX'!$A:$A,0)),INDEX(Base!$U:$U,MATCH($A30,Base!$A:$A,0)),IF(IY$1=INDEX('Valo FX'!$R:$R,MATCH($A30,'Valo FX'!$A:$A,0)),INDEX(Base!$V:$V,MATCH($A30,Base!$A:$A,0)),0)))</f>
        <v>11.359590000000001</v>
      </c>
      <c r="IZ30" s="21">
        <f>IF(IZ$1&lt;INDEX('Valo FX'!$Q:$Q,MATCH($A30,'Valo FX'!$A:$A,0)),0,IF(IZ$1&lt;INDEX('Valo FX'!$R:$R,MATCH($A30,'Valo FX'!$A:$A,0)),INDEX(Base!$U:$U,MATCH($A30,Base!$A:$A,0)),IF(IZ$1=INDEX('Valo FX'!$R:$R,MATCH($A30,'Valo FX'!$A:$A,0)),INDEX(Base!$V:$V,MATCH($A30,Base!$A:$A,0)),0)))</f>
        <v>11.359590000000001</v>
      </c>
      <c r="JA30" s="21">
        <f>IF(JA$1&lt;INDEX('Valo FX'!$Q:$Q,MATCH($A30,'Valo FX'!$A:$A,0)),0,IF(JA$1&lt;INDEX('Valo FX'!$R:$R,MATCH($A30,'Valo FX'!$A:$A,0)),INDEX(Base!$U:$U,MATCH($A30,Base!$A:$A,0)),IF(JA$1=INDEX('Valo FX'!$R:$R,MATCH($A30,'Valo FX'!$A:$A,0)),INDEX(Base!$V:$V,MATCH($A30,Base!$A:$A,0)),0)))</f>
        <v>11.359590000000001</v>
      </c>
      <c r="JB30" s="21">
        <f>IF(JB$1&lt;INDEX('Valo FX'!$Q:$Q,MATCH($A30,'Valo FX'!$A:$A,0)),0,IF(JB$1&lt;INDEX('Valo FX'!$R:$R,MATCH($A30,'Valo FX'!$A:$A,0)),INDEX(Base!$U:$U,MATCH($A30,Base!$A:$A,0)),IF(JB$1=INDEX('Valo FX'!$R:$R,MATCH($A30,'Valo FX'!$A:$A,0)),INDEX(Base!$V:$V,MATCH($A30,Base!$A:$A,0)),0)))</f>
        <v>11.359590000000001</v>
      </c>
      <c r="JC30" s="21">
        <f>IF(JC$1&lt;INDEX('Valo FX'!$Q:$Q,MATCH($A30,'Valo FX'!$A:$A,0)),0,IF(JC$1&lt;INDEX('Valo FX'!$R:$R,MATCH($A30,'Valo FX'!$A:$A,0)),INDEX(Base!$U:$U,MATCH($A30,Base!$A:$A,0)),IF(JC$1=INDEX('Valo FX'!$R:$R,MATCH($A30,'Valo FX'!$A:$A,0)),INDEX(Base!$V:$V,MATCH($A30,Base!$A:$A,0)),0)))</f>
        <v>11.359590000000001</v>
      </c>
      <c r="JD30" s="21">
        <f>IF(JD$1&lt;INDEX('Valo FX'!$Q:$Q,MATCH($A30,'Valo FX'!$A:$A,0)),0,IF(JD$1&lt;INDEX('Valo FX'!$R:$R,MATCH($A30,'Valo FX'!$A:$A,0)),INDEX(Base!$U:$U,MATCH($A30,Base!$A:$A,0)),IF(JD$1=INDEX('Valo FX'!$R:$R,MATCH($A30,'Valo FX'!$A:$A,0)),INDEX(Base!$V:$V,MATCH($A30,Base!$A:$A,0)),0)))</f>
        <v>11.359590000000001</v>
      </c>
      <c r="JE30" s="21">
        <f>IF(JE$1&lt;INDEX('Valo FX'!$Q:$Q,MATCH($A30,'Valo FX'!$A:$A,0)),0,IF(JE$1&lt;INDEX('Valo FX'!$R:$R,MATCH($A30,'Valo FX'!$A:$A,0)),INDEX(Base!$U:$U,MATCH($A30,Base!$A:$A,0)),IF(JE$1=INDEX('Valo FX'!$R:$R,MATCH($A30,'Valo FX'!$A:$A,0)),INDEX(Base!$V:$V,MATCH($A30,Base!$A:$A,0)),0)))</f>
        <v>11.359590000000001</v>
      </c>
      <c r="JF30" s="21">
        <f>IF(JF$1&lt;INDEX('Valo FX'!$Q:$Q,MATCH($A30,'Valo FX'!$A:$A,0)),0,IF(JF$1&lt;INDEX('Valo FX'!$R:$R,MATCH($A30,'Valo FX'!$A:$A,0)),INDEX(Base!$U:$U,MATCH($A30,Base!$A:$A,0)),IF(JF$1=INDEX('Valo FX'!$R:$R,MATCH($A30,'Valo FX'!$A:$A,0)),INDEX(Base!$V:$V,MATCH($A30,Base!$A:$A,0)),0)))</f>
        <v>11.359590000000001</v>
      </c>
      <c r="JG30" s="21">
        <f>IF(JG$1&lt;INDEX('Valo FX'!$Q:$Q,MATCH($A30,'Valo FX'!$A:$A,0)),0,IF(JG$1&lt;INDEX('Valo FX'!$R:$R,MATCH($A30,'Valo FX'!$A:$A,0)),INDEX(Base!$U:$U,MATCH($A30,Base!$A:$A,0)),IF(JG$1=INDEX('Valo FX'!$R:$R,MATCH($A30,'Valo FX'!$A:$A,0)),INDEX(Base!$V:$V,MATCH($A30,Base!$A:$A,0)),0)))</f>
        <v>11.359590000000001</v>
      </c>
      <c r="JH30" s="21">
        <f>IF(JH$1&lt;INDEX('Valo FX'!$Q:$Q,MATCH($A30,'Valo FX'!$A:$A,0)),0,IF(JH$1&lt;INDEX('Valo FX'!$R:$R,MATCH($A30,'Valo FX'!$A:$A,0)),INDEX(Base!$U:$U,MATCH($A30,Base!$A:$A,0)),IF(JH$1=INDEX('Valo FX'!$R:$R,MATCH($A30,'Valo FX'!$A:$A,0)),INDEX(Base!$V:$V,MATCH($A30,Base!$A:$A,0)),0)))</f>
        <v>11.359590000000001</v>
      </c>
      <c r="JI30" s="21">
        <f>IF(JI$1&lt;INDEX('Valo FX'!$Q:$Q,MATCH($A30,'Valo FX'!$A:$A,0)),0,IF(JI$1&lt;INDEX('Valo FX'!$R:$R,MATCH($A30,'Valo FX'!$A:$A,0)),INDEX(Base!$U:$U,MATCH($A30,Base!$A:$A,0)),IF(JI$1=INDEX('Valo FX'!$R:$R,MATCH($A30,'Valo FX'!$A:$A,0)),INDEX(Base!$V:$V,MATCH($A30,Base!$A:$A,0)),0)))</f>
        <v>11.359590000000001</v>
      </c>
      <c r="JJ30" s="21">
        <f>IF(JJ$1&lt;INDEX('Valo FX'!$Q:$Q,MATCH($A30,'Valo FX'!$A:$A,0)),0,IF(JJ$1&lt;INDEX('Valo FX'!$R:$R,MATCH($A30,'Valo FX'!$A:$A,0)),INDEX(Base!$U:$U,MATCH($A30,Base!$A:$A,0)),IF(JJ$1=INDEX('Valo FX'!$R:$R,MATCH($A30,'Valo FX'!$A:$A,0)),INDEX(Base!$V:$V,MATCH($A30,Base!$A:$A,0)),0)))</f>
        <v>11.359590000000001</v>
      </c>
      <c r="JK30" s="21">
        <f>IF(JK$1&lt;INDEX('Valo FX'!$Q:$Q,MATCH($A30,'Valo FX'!$A:$A,0)),0,IF(JK$1&lt;INDEX('Valo FX'!$R:$R,MATCH($A30,'Valo FX'!$A:$A,0)),INDEX(Base!$U:$U,MATCH($A30,Base!$A:$A,0)),IF(JK$1=INDEX('Valo FX'!$R:$R,MATCH($A30,'Valo FX'!$A:$A,0)),INDEX(Base!$V:$V,MATCH($A30,Base!$A:$A,0)),0)))</f>
        <v>11.359590000000001</v>
      </c>
      <c r="JL30" s="21">
        <f>IF(JL$1&lt;INDEX('Valo FX'!$Q:$Q,MATCH($A30,'Valo FX'!$A:$A,0)),0,IF(JL$1&lt;INDEX('Valo FX'!$R:$R,MATCH($A30,'Valo FX'!$A:$A,0)),INDEX(Base!$U:$U,MATCH($A30,Base!$A:$A,0)),IF(JL$1=INDEX('Valo FX'!$R:$R,MATCH($A30,'Valo FX'!$A:$A,0)),INDEX(Base!$V:$V,MATCH($A30,Base!$A:$A,0)),0)))</f>
        <v>11.359590000000001</v>
      </c>
      <c r="JM30" s="21">
        <f>IF(JM$1&lt;INDEX('Valo FX'!$Q:$Q,MATCH($A30,'Valo FX'!$A:$A,0)),0,IF(JM$1&lt;INDEX('Valo FX'!$R:$R,MATCH($A30,'Valo FX'!$A:$A,0)),INDEX(Base!$U:$U,MATCH($A30,Base!$A:$A,0)),IF(JM$1=INDEX('Valo FX'!$R:$R,MATCH($A30,'Valo FX'!$A:$A,0)),INDEX(Base!$V:$V,MATCH($A30,Base!$A:$A,0)),0)))</f>
        <v>11.359590000000001</v>
      </c>
      <c r="JN30" s="21">
        <f>IF(JN$1&lt;INDEX('Valo FX'!$Q:$Q,MATCH($A30,'Valo FX'!$A:$A,0)),0,IF(JN$1&lt;INDEX('Valo FX'!$R:$R,MATCH($A30,'Valo FX'!$A:$A,0)),INDEX(Base!$U:$U,MATCH($A30,Base!$A:$A,0)),IF(JN$1=INDEX('Valo FX'!$R:$R,MATCH($A30,'Valo FX'!$A:$A,0)),INDEX(Base!$V:$V,MATCH($A30,Base!$A:$A,0)),0)))</f>
        <v>11.359590000000001</v>
      </c>
      <c r="JO30" s="21">
        <f>IF(JO$1&lt;INDEX('Valo FX'!$Q:$Q,MATCH($A30,'Valo FX'!$A:$A,0)),0,IF(JO$1&lt;INDEX('Valo FX'!$R:$R,MATCH($A30,'Valo FX'!$A:$A,0)),INDEX(Base!$U:$U,MATCH($A30,Base!$A:$A,0)),IF(JO$1=INDEX('Valo FX'!$R:$R,MATCH($A30,'Valo FX'!$A:$A,0)),INDEX(Base!$V:$V,MATCH($A30,Base!$A:$A,0)),0)))</f>
        <v>11.359590000000001</v>
      </c>
      <c r="JP30" s="21">
        <f>IF(JP$1&lt;INDEX('Valo FX'!$Q:$Q,MATCH($A30,'Valo FX'!$A:$A,0)),0,IF(JP$1&lt;INDEX('Valo FX'!$R:$R,MATCH($A30,'Valo FX'!$A:$A,0)),INDEX(Base!$U:$U,MATCH($A30,Base!$A:$A,0)),IF(JP$1=INDEX('Valo FX'!$R:$R,MATCH($A30,'Valo FX'!$A:$A,0)),INDEX(Base!$V:$V,MATCH($A30,Base!$A:$A,0)),0)))</f>
        <v>11.359590000000001</v>
      </c>
      <c r="JQ30" s="21">
        <f>IF(JQ$1&lt;INDEX('Valo FX'!$Q:$Q,MATCH($A30,'Valo FX'!$A:$A,0)),0,IF(JQ$1&lt;INDEX('Valo FX'!$R:$R,MATCH($A30,'Valo FX'!$A:$A,0)),INDEX(Base!$U:$U,MATCH($A30,Base!$A:$A,0)),IF(JQ$1=INDEX('Valo FX'!$R:$R,MATCH($A30,'Valo FX'!$A:$A,0)),INDEX(Base!$V:$V,MATCH($A30,Base!$A:$A,0)),0)))</f>
        <v>11.359590000000001</v>
      </c>
      <c r="JR30" s="21">
        <f>IF(JR$1&lt;INDEX('Valo FX'!$Q:$Q,MATCH($A30,'Valo FX'!$A:$A,0)),0,IF(JR$1&lt;INDEX('Valo FX'!$R:$R,MATCH($A30,'Valo FX'!$A:$A,0)),INDEX(Base!$U:$U,MATCH($A30,Base!$A:$A,0)),IF(JR$1=INDEX('Valo FX'!$R:$R,MATCH($A30,'Valo FX'!$A:$A,0)),INDEX(Base!$V:$V,MATCH($A30,Base!$A:$A,0)),0)))</f>
        <v>11.359590000000001</v>
      </c>
      <c r="JS30" s="21">
        <f>IF(JS$1&lt;INDEX('Valo FX'!$Q:$Q,MATCH($A30,'Valo FX'!$A:$A,0)),0,IF(JS$1&lt;INDEX('Valo FX'!$R:$R,MATCH($A30,'Valo FX'!$A:$A,0)),INDEX(Base!$U:$U,MATCH($A30,Base!$A:$A,0)),IF(JS$1=INDEX('Valo FX'!$R:$R,MATCH($A30,'Valo FX'!$A:$A,0)),INDEX(Base!$V:$V,MATCH($A30,Base!$A:$A,0)),0)))</f>
        <v>11.359590000000001</v>
      </c>
      <c r="JT30" s="21">
        <f>IF(JT$1&lt;INDEX('Valo FX'!$Q:$Q,MATCH($A30,'Valo FX'!$A:$A,0)),0,IF(JT$1&lt;INDEX('Valo FX'!$R:$R,MATCH($A30,'Valo FX'!$A:$A,0)),INDEX(Base!$U:$U,MATCH($A30,Base!$A:$A,0)),IF(JT$1=INDEX('Valo FX'!$R:$R,MATCH($A30,'Valo FX'!$A:$A,0)),INDEX(Base!$V:$V,MATCH($A30,Base!$A:$A,0)),0)))</f>
        <v>11.359590000000001</v>
      </c>
      <c r="JU30" s="21">
        <f>IF(JU$1&lt;INDEX('Valo FX'!$Q:$Q,MATCH($A30,'Valo FX'!$A:$A,0)),0,IF(JU$1&lt;INDEX('Valo FX'!$R:$R,MATCH($A30,'Valo FX'!$A:$A,0)),INDEX(Base!$U:$U,MATCH($A30,Base!$A:$A,0)),IF(JU$1=INDEX('Valo FX'!$R:$R,MATCH($A30,'Valo FX'!$A:$A,0)),INDEX(Base!$V:$V,MATCH($A30,Base!$A:$A,0)),0)))</f>
        <v>11.359590000000001</v>
      </c>
      <c r="JV30" s="21">
        <f>IF(JV$1&lt;INDEX('Valo FX'!$Q:$Q,MATCH($A30,'Valo FX'!$A:$A,0)),0,IF(JV$1&lt;INDEX('Valo FX'!$R:$R,MATCH($A30,'Valo FX'!$A:$A,0)),INDEX(Base!$U:$U,MATCH($A30,Base!$A:$A,0)),IF(JV$1=INDEX('Valo FX'!$R:$R,MATCH($A30,'Valo FX'!$A:$A,0)),INDEX(Base!$V:$V,MATCH($A30,Base!$A:$A,0)),0)))</f>
        <v>11.359590000000001</v>
      </c>
      <c r="JW30" s="21">
        <f>IF(JW$1&lt;INDEX('Valo FX'!$Q:$Q,MATCH($A30,'Valo FX'!$A:$A,0)),0,IF(JW$1&lt;INDEX('Valo FX'!$R:$R,MATCH($A30,'Valo FX'!$A:$A,0)),INDEX(Base!$U:$U,MATCH($A30,Base!$A:$A,0)),IF(JW$1=INDEX('Valo FX'!$R:$R,MATCH($A30,'Valo FX'!$A:$A,0)),INDEX(Base!$V:$V,MATCH($A30,Base!$A:$A,0)),0)))</f>
        <v>11.359590000000001</v>
      </c>
      <c r="JX30" s="21">
        <f>IF(JX$1&lt;INDEX('Valo FX'!$Q:$Q,MATCH($A30,'Valo FX'!$A:$A,0)),0,IF(JX$1&lt;INDEX('Valo FX'!$R:$R,MATCH($A30,'Valo FX'!$A:$A,0)),INDEX(Base!$U:$U,MATCH($A30,Base!$A:$A,0)),IF(JX$1=INDEX('Valo FX'!$R:$R,MATCH($A30,'Valo FX'!$A:$A,0)),INDEX(Base!$V:$V,MATCH($A30,Base!$A:$A,0)),0)))</f>
        <v>11.359590000000001</v>
      </c>
      <c r="JY30" s="21">
        <f>IF(JY$1&lt;INDEX('Valo FX'!$Q:$Q,MATCH($A30,'Valo FX'!$A:$A,0)),0,IF(JY$1&lt;INDEX('Valo FX'!$R:$R,MATCH($A30,'Valo FX'!$A:$A,0)),INDEX(Base!$U:$U,MATCH($A30,Base!$A:$A,0)),IF(JY$1=INDEX('Valo FX'!$R:$R,MATCH($A30,'Valo FX'!$A:$A,0)),INDEX(Base!$V:$V,MATCH($A30,Base!$A:$A,0)),0)))</f>
        <v>11.359590000000001</v>
      </c>
      <c r="JZ30" s="21">
        <f>IF(JZ$1&lt;INDEX('Valo FX'!$Q:$Q,MATCH($A30,'Valo FX'!$A:$A,0)),0,IF(JZ$1&lt;INDEX('Valo FX'!$R:$R,MATCH($A30,'Valo FX'!$A:$A,0)),INDEX(Base!$U:$U,MATCH($A30,Base!$A:$A,0)),IF(JZ$1=INDEX('Valo FX'!$R:$R,MATCH($A30,'Valo FX'!$A:$A,0)),INDEX(Base!$V:$V,MATCH($A30,Base!$A:$A,0)),0)))</f>
        <v>11.359590000000001</v>
      </c>
      <c r="KA30" s="21">
        <f>IF(KA$1&lt;INDEX('Valo FX'!$Q:$Q,MATCH($A30,'Valo FX'!$A:$A,0)),0,IF(KA$1&lt;INDEX('Valo FX'!$R:$R,MATCH($A30,'Valo FX'!$A:$A,0)),INDEX(Base!$U:$U,MATCH($A30,Base!$A:$A,0)),IF(KA$1=INDEX('Valo FX'!$R:$R,MATCH($A30,'Valo FX'!$A:$A,0)),INDEX(Base!$V:$V,MATCH($A30,Base!$A:$A,0)),0)))</f>
        <v>11.359590000000001</v>
      </c>
      <c r="KB30" s="21">
        <f>IF(KB$1&lt;INDEX('Valo FX'!$Q:$Q,MATCH($A30,'Valo FX'!$A:$A,0)),0,IF(KB$1&lt;INDEX('Valo FX'!$R:$R,MATCH($A30,'Valo FX'!$A:$A,0)),INDEX(Base!$U:$U,MATCH($A30,Base!$A:$A,0)),IF(KB$1=INDEX('Valo FX'!$R:$R,MATCH($A30,'Valo FX'!$A:$A,0)),INDEX(Base!$V:$V,MATCH($A30,Base!$A:$A,0)),0)))</f>
        <v>11.359590000000001</v>
      </c>
      <c r="KC30" s="21">
        <f>IF(KC$1&lt;INDEX('Valo FX'!$Q:$Q,MATCH($A30,'Valo FX'!$A:$A,0)),0,IF(KC$1&lt;INDEX('Valo FX'!$R:$R,MATCH($A30,'Valo FX'!$A:$A,0)),INDEX(Base!$U:$U,MATCH($A30,Base!$A:$A,0)),IF(KC$1=INDEX('Valo FX'!$R:$R,MATCH($A30,'Valo FX'!$A:$A,0)),INDEX(Base!$V:$V,MATCH($A30,Base!$A:$A,0)),0)))</f>
        <v>11.359590000000001</v>
      </c>
      <c r="KD30" s="21">
        <f>IF(KD$1&lt;INDEX('Valo FX'!$Q:$Q,MATCH($A30,'Valo FX'!$A:$A,0)),0,IF(KD$1&lt;INDEX('Valo FX'!$R:$R,MATCH($A30,'Valo FX'!$A:$A,0)),INDEX(Base!$U:$U,MATCH($A30,Base!$A:$A,0)),IF(KD$1=INDEX('Valo FX'!$R:$R,MATCH($A30,'Valo FX'!$A:$A,0)),INDEX(Base!$V:$V,MATCH($A30,Base!$A:$A,0)),0)))</f>
        <v>11.359590000000001</v>
      </c>
      <c r="KE30" s="21">
        <f>IF(KE$1&lt;INDEX('Valo FX'!$Q:$Q,MATCH($A30,'Valo FX'!$A:$A,0)),0,IF(KE$1&lt;INDEX('Valo FX'!$R:$R,MATCH($A30,'Valo FX'!$A:$A,0)),INDEX(Base!$U:$U,MATCH($A30,Base!$A:$A,0)),IF(KE$1=INDEX('Valo FX'!$R:$R,MATCH($A30,'Valo FX'!$A:$A,0)),INDEX(Base!$V:$V,MATCH($A30,Base!$A:$A,0)),0)))</f>
        <v>11.359590000000001</v>
      </c>
      <c r="KF30" s="21">
        <f>IF(KF$1&lt;INDEX('Valo FX'!$Q:$Q,MATCH($A30,'Valo FX'!$A:$A,0)),0,IF(KF$1&lt;INDEX('Valo FX'!$R:$R,MATCH($A30,'Valo FX'!$A:$A,0)),INDEX(Base!$U:$U,MATCH($A30,Base!$A:$A,0)),IF(KF$1=INDEX('Valo FX'!$R:$R,MATCH($A30,'Valo FX'!$A:$A,0)),INDEX(Base!$V:$V,MATCH($A30,Base!$A:$A,0)),0)))</f>
        <v>11.359590000000001</v>
      </c>
      <c r="KG30" s="21">
        <f>IF(KG$1&lt;INDEX('Valo FX'!$Q:$Q,MATCH($A30,'Valo FX'!$A:$A,0)),0,IF(KG$1&lt;INDEX('Valo FX'!$R:$R,MATCH($A30,'Valo FX'!$A:$A,0)),INDEX(Base!$U:$U,MATCH($A30,Base!$A:$A,0)),IF(KG$1=INDEX('Valo FX'!$R:$R,MATCH($A30,'Valo FX'!$A:$A,0)),INDEX(Base!$V:$V,MATCH($A30,Base!$A:$A,0)),0)))</f>
        <v>11.359590000000001</v>
      </c>
      <c r="KH30" s="21">
        <f>IF(KH$1&lt;INDEX('Valo FX'!$Q:$Q,MATCH($A30,'Valo FX'!$A:$A,0)),0,IF(KH$1&lt;INDEX('Valo FX'!$R:$R,MATCH($A30,'Valo FX'!$A:$A,0)),INDEX(Base!$U:$U,MATCH($A30,Base!$A:$A,0)),IF(KH$1=INDEX('Valo FX'!$R:$R,MATCH($A30,'Valo FX'!$A:$A,0)),INDEX(Base!$V:$V,MATCH($A30,Base!$A:$A,0)),0)))</f>
        <v>11.359590000000001</v>
      </c>
      <c r="KI30" s="21">
        <f>IF(KI$1&lt;INDEX('Valo FX'!$Q:$Q,MATCH($A30,'Valo FX'!$A:$A,0)),0,IF(KI$1&lt;INDEX('Valo FX'!$R:$R,MATCH($A30,'Valo FX'!$A:$A,0)),INDEX(Base!$U:$U,MATCH($A30,Base!$A:$A,0)),IF(KI$1=INDEX('Valo FX'!$R:$R,MATCH($A30,'Valo FX'!$A:$A,0)),INDEX(Base!$V:$V,MATCH($A30,Base!$A:$A,0)),0)))</f>
        <v>11.359590000000001</v>
      </c>
      <c r="KJ30" s="21">
        <f>IF(KJ$1&lt;INDEX('Valo FX'!$Q:$Q,MATCH($A30,'Valo FX'!$A:$A,0)),0,IF(KJ$1&lt;INDEX('Valo FX'!$R:$R,MATCH($A30,'Valo FX'!$A:$A,0)),INDEX(Base!$U:$U,MATCH($A30,Base!$A:$A,0)),IF(KJ$1=INDEX('Valo FX'!$R:$R,MATCH($A30,'Valo FX'!$A:$A,0)),INDEX(Base!$V:$V,MATCH($A30,Base!$A:$A,0)),0)))</f>
        <v>11.359590000000001</v>
      </c>
      <c r="KK30" s="21">
        <f>IF(KK$1&lt;INDEX('Valo FX'!$Q:$Q,MATCH($A30,'Valo FX'!$A:$A,0)),0,IF(KK$1&lt;INDEX('Valo FX'!$R:$R,MATCH($A30,'Valo FX'!$A:$A,0)),INDEX(Base!$U:$U,MATCH($A30,Base!$A:$A,0)),IF(KK$1=INDEX('Valo FX'!$R:$R,MATCH($A30,'Valo FX'!$A:$A,0)),INDEX(Base!$V:$V,MATCH($A30,Base!$A:$A,0)),0)))</f>
        <v>11.359590000000001</v>
      </c>
      <c r="KL30" s="21">
        <f>IF(KL$1&lt;INDEX('Valo FX'!$Q:$Q,MATCH($A30,'Valo FX'!$A:$A,0)),0,IF(KL$1&lt;INDEX('Valo FX'!$R:$R,MATCH($A30,'Valo FX'!$A:$A,0)),INDEX(Base!$U:$U,MATCH($A30,Base!$A:$A,0)),IF(KL$1=INDEX('Valo FX'!$R:$R,MATCH($A30,'Valo FX'!$A:$A,0)),INDEX(Base!$V:$V,MATCH($A30,Base!$A:$A,0)),0)))</f>
        <v>11.359590000000001</v>
      </c>
      <c r="KM30" s="21">
        <f>IF(KM$1&lt;INDEX('Valo FX'!$Q:$Q,MATCH($A30,'Valo FX'!$A:$A,0)),0,IF(KM$1&lt;INDEX('Valo FX'!$R:$R,MATCH($A30,'Valo FX'!$A:$A,0)),INDEX(Base!$U:$U,MATCH($A30,Base!$A:$A,0)),IF(KM$1=INDEX('Valo FX'!$R:$R,MATCH($A30,'Valo FX'!$A:$A,0)),INDEX(Base!$V:$V,MATCH($A30,Base!$A:$A,0)),0)))</f>
        <v>11.359590000000001</v>
      </c>
      <c r="KN30" s="21">
        <f>IF(KN$1&lt;INDEX('Valo FX'!$Q:$Q,MATCH($A30,'Valo FX'!$A:$A,0)),0,IF(KN$1&lt;INDEX('Valo FX'!$R:$R,MATCH($A30,'Valo FX'!$A:$A,0)),INDEX(Base!$U:$U,MATCH($A30,Base!$A:$A,0)),IF(KN$1=INDEX('Valo FX'!$R:$R,MATCH($A30,'Valo FX'!$A:$A,0)),INDEX(Base!$V:$V,MATCH($A30,Base!$A:$A,0)),0)))</f>
        <v>11.359590000000001</v>
      </c>
      <c r="KO30" s="21">
        <f>IF(KO$1&lt;INDEX('Valo FX'!$Q:$Q,MATCH($A30,'Valo FX'!$A:$A,0)),0,IF(KO$1&lt;INDEX('Valo FX'!$R:$R,MATCH($A30,'Valo FX'!$A:$A,0)),INDEX(Base!$U:$U,MATCH($A30,Base!$A:$A,0)),IF(KO$1=INDEX('Valo FX'!$R:$R,MATCH($A30,'Valo FX'!$A:$A,0)),INDEX(Base!$V:$V,MATCH($A30,Base!$A:$A,0)),0)))</f>
        <v>11.359590000000001</v>
      </c>
      <c r="KP30" s="21">
        <f>IF(KP$1&lt;INDEX('Valo FX'!$Q:$Q,MATCH($A30,'Valo FX'!$A:$A,0)),0,IF(KP$1&lt;INDEX('Valo FX'!$R:$R,MATCH($A30,'Valo FX'!$A:$A,0)),INDEX(Base!$U:$U,MATCH($A30,Base!$A:$A,0)),IF(KP$1=INDEX('Valo FX'!$R:$R,MATCH($A30,'Valo FX'!$A:$A,0)),INDEX(Base!$V:$V,MATCH($A30,Base!$A:$A,0)),0)))</f>
        <v>11.359590000000001</v>
      </c>
      <c r="KQ30" s="21">
        <f>IF(KQ$1&lt;INDEX('Valo FX'!$Q:$Q,MATCH($A30,'Valo FX'!$A:$A,0)),0,IF(KQ$1&lt;INDEX('Valo FX'!$R:$R,MATCH($A30,'Valo FX'!$A:$A,0)),INDEX(Base!$U:$U,MATCH($A30,Base!$A:$A,0)),IF(KQ$1=INDEX('Valo FX'!$R:$R,MATCH($A30,'Valo FX'!$A:$A,0)),INDEX(Base!$V:$V,MATCH($A30,Base!$A:$A,0)),0)))</f>
        <v>11.359590000000001</v>
      </c>
      <c r="KR30" s="21">
        <f>IF(KR$1&lt;INDEX('Valo FX'!$Q:$Q,MATCH($A30,'Valo FX'!$A:$A,0)),0,IF(KR$1&lt;INDEX('Valo FX'!$R:$R,MATCH($A30,'Valo FX'!$A:$A,0)),INDEX(Base!$U:$U,MATCH($A30,Base!$A:$A,0)),IF(KR$1=INDEX('Valo FX'!$R:$R,MATCH($A30,'Valo FX'!$A:$A,0)),INDEX(Base!$V:$V,MATCH($A30,Base!$A:$A,0)),0)))</f>
        <v>11.359590000000001</v>
      </c>
      <c r="KS30" s="21">
        <f>IF(KS$1&lt;INDEX('Valo FX'!$Q:$Q,MATCH($A30,'Valo FX'!$A:$A,0)),0,IF(KS$1&lt;INDEX('Valo FX'!$R:$R,MATCH($A30,'Valo FX'!$A:$A,0)),INDEX(Base!$U:$U,MATCH($A30,Base!$A:$A,0)),IF(KS$1=INDEX('Valo FX'!$R:$R,MATCH($A30,'Valo FX'!$A:$A,0)),INDEX(Base!$V:$V,MATCH($A30,Base!$A:$A,0)),0)))</f>
        <v>11.359590000000001</v>
      </c>
      <c r="KT30" s="21">
        <f>IF(KT$1&lt;INDEX('Valo FX'!$Q:$Q,MATCH($A30,'Valo FX'!$A:$A,0)),0,IF(KT$1&lt;INDEX('Valo FX'!$R:$R,MATCH($A30,'Valo FX'!$A:$A,0)),INDEX(Base!$U:$U,MATCH($A30,Base!$A:$A,0)),IF(KT$1=INDEX('Valo FX'!$R:$R,MATCH($A30,'Valo FX'!$A:$A,0)),INDEX(Base!$V:$V,MATCH($A30,Base!$A:$A,0)),0)))</f>
        <v>11.359590000000001</v>
      </c>
      <c r="KU30" s="21">
        <f>IF(KU$1&lt;INDEX('Valo FX'!$Q:$Q,MATCH($A30,'Valo FX'!$A:$A,0)),0,IF(KU$1&lt;INDEX('Valo FX'!$R:$R,MATCH($A30,'Valo FX'!$A:$A,0)),INDEX(Base!$U:$U,MATCH($A30,Base!$A:$A,0)),IF(KU$1=INDEX('Valo FX'!$R:$R,MATCH($A30,'Valo FX'!$A:$A,0)),INDEX(Base!$V:$V,MATCH($A30,Base!$A:$A,0)),0)))</f>
        <v>11.359590000000001</v>
      </c>
      <c r="KV30" s="21">
        <f>IF(KV$1&lt;INDEX('Valo FX'!$Q:$Q,MATCH($A30,'Valo FX'!$A:$A,0)),0,IF(KV$1&lt;INDEX('Valo FX'!$R:$R,MATCH($A30,'Valo FX'!$A:$A,0)),INDEX(Base!$U:$U,MATCH($A30,Base!$A:$A,0)),IF(KV$1=INDEX('Valo FX'!$R:$R,MATCH($A30,'Valo FX'!$A:$A,0)),INDEX(Base!$V:$V,MATCH($A30,Base!$A:$A,0)),0)))</f>
        <v>11.359590000000001</v>
      </c>
      <c r="KW30" s="21">
        <f>IF(KW$1&lt;INDEX('Valo FX'!$Q:$Q,MATCH($A30,'Valo FX'!$A:$A,0)),0,IF(KW$1&lt;INDEX('Valo FX'!$R:$R,MATCH($A30,'Valo FX'!$A:$A,0)),INDEX(Base!$U:$U,MATCH($A30,Base!$A:$A,0)),IF(KW$1=INDEX('Valo FX'!$R:$R,MATCH($A30,'Valo FX'!$A:$A,0)),INDEX(Base!$V:$V,MATCH($A30,Base!$A:$A,0)),0)))</f>
        <v>11.359590000000001</v>
      </c>
      <c r="KX30" s="21">
        <f>IF(KX$1&lt;INDEX('Valo FX'!$Q:$Q,MATCH($A30,'Valo FX'!$A:$A,0)),0,IF(KX$1&lt;INDEX('Valo FX'!$R:$R,MATCH($A30,'Valo FX'!$A:$A,0)),INDEX(Base!$U:$U,MATCH($A30,Base!$A:$A,0)),IF(KX$1=INDEX('Valo FX'!$R:$R,MATCH($A30,'Valo FX'!$A:$A,0)),INDEX(Base!$V:$V,MATCH($A30,Base!$A:$A,0)),0)))</f>
        <v>11.359590000000001</v>
      </c>
      <c r="KY30" s="21">
        <f>IF(KY$1&lt;INDEX('Valo FX'!$Q:$Q,MATCH($A30,'Valo FX'!$A:$A,0)),0,IF(KY$1&lt;INDEX('Valo FX'!$R:$R,MATCH($A30,'Valo FX'!$A:$A,0)),INDEX(Base!$U:$U,MATCH($A30,Base!$A:$A,0)),IF(KY$1=INDEX('Valo FX'!$R:$R,MATCH($A30,'Valo FX'!$A:$A,0)),INDEX(Base!$V:$V,MATCH($A30,Base!$A:$A,0)),0)))</f>
        <v>11.359590000000001</v>
      </c>
      <c r="KZ30" s="21">
        <f>IF(KZ$1&lt;INDEX('Valo FX'!$Q:$Q,MATCH($A30,'Valo FX'!$A:$A,0)),0,IF(KZ$1&lt;INDEX('Valo FX'!$R:$R,MATCH($A30,'Valo FX'!$A:$A,0)),INDEX(Base!$U:$U,MATCH($A30,Base!$A:$A,0)),IF(KZ$1=INDEX('Valo FX'!$R:$R,MATCH($A30,'Valo FX'!$A:$A,0)),INDEX(Base!$V:$V,MATCH($A30,Base!$A:$A,0)),0)))</f>
        <v>11.359590000000001</v>
      </c>
      <c r="LA30" s="21">
        <f>IF(LA$1&lt;INDEX('Valo FX'!$Q:$Q,MATCH($A30,'Valo FX'!$A:$A,0)),0,IF(LA$1&lt;INDEX('Valo FX'!$R:$R,MATCH($A30,'Valo FX'!$A:$A,0)),INDEX(Base!$U:$U,MATCH($A30,Base!$A:$A,0)),IF(LA$1=INDEX('Valo FX'!$R:$R,MATCH($A30,'Valo FX'!$A:$A,0)),INDEX(Base!$V:$V,MATCH($A30,Base!$A:$A,0)),0)))</f>
        <v>11.359590000000001</v>
      </c>
      <c r="LB30" s="21">
        <f>IF(LB$1&lt;INDEX('Valo FX'!$Q:$Q,MATCH($A30,'Valo FX'!$A:$A,0)),0,IF(LB$1&lt;INDEX('Valo FX'!$R:$R,MATCH($A30,'Valo FX'!$A:$A,0)),INDEX(Base!$U:$U,MATCH($A30,Base!$A:$A,0)),IF(LB$1=INDEX('Valo FX'!$R:$R,MATCH($A30,'Valo FX'!$A:$A,0)),INDEX(Base!$V:$V,MATCH($A30,Base!$A:$A,0)),0)))</f>
        <v>11.359590000000001</v>
      </c>
      <c r="LC30" s="21">
        <f>IF(LC$1&lt;INDEX('Valo FX'!$Q:$Q,MATCH($A30,'Valo FX'!$A:$A,0)),0,IF(LC$1&lt;INDEX('Valo FX'!$R:$R,MATCH($A30,'Valo FX'!$A:$A,0)),INDEX(Base!$U:$U,MATCH($A30,Base!$A:$A,0)),IF(LC$1=INDEX('Valo FX'!$R:$R,MATCH($A30,'Valo FX'!$A:$A,0)),INDEX(Base!$V:$V,MATCH($A30,Base!$A:$A,0)),0)))</f>
        <v>11.359590000000001</v>
      </c>
      <c r="LD30" s="21">
        <f>IF(LD$1&lt;INDEX('Valo FX'!$Q:$Q,MATCH($A30,'Valo FX'!$A:$A,0)),0,IF(LD$1&lt;INDEX('Valo FX'!$R:$R,MATCH($A30,'Valo FX'!$A:$A,0)),INDEX(Base!$U:$U,MATCH($A30,Base!$A:$A,0)),IF(LD$1=INDEX('Valo FX'!$R:$R,MATCH($A30,'Valo FX'!$A:$A,0)),INDEX(Base!$V:$V,MATCH($A30,Base!$A:$A,0)),0)))</f>
        <v>11.359590000000001</v>
      </c>
      <c r="LE30" s="21">
        <f>IF(LE$1&lt;INDEX('Valo FX'!$Q:$Q,MATCH($A30,'Valo FX'!$A:$A,0)),0,IF(LE$1&lt;INDEX('Valo FX'!$R:$R,MATCH($A30,'Valo FX'!$A:$A,0)),INDEX(Base!$U:$U,MATCH($A30,Base!$A:$A,0)),IF(LE$1=INDEX('Valo FX'!$R:$R,MATCH($A30,'Valo FX'!$A:$A,0)),INDEX(Base!$V:$V,MATCH($A30,Base!$A:$A,0)),0)))</f>
        <v>11.359590000000001</v>
      </c>
      <c r="LF30" s="21">
        <f>IF(LF$1&lt;INDEX('Valo FX'!$Q:$Q,MATCH($A30,'Valo FX'!$A:$A,0)),0,IF(LF$1&lt;INDEX('Valo FX'!$R:$R,MATCH($A30,'Valo FX'!$A:$A,0)),INDEX(Base!$U:$U,MATCH($A30,Base!$A:$A,0)),IF(LF$1=INDEX('Valo FX'!$R:$R,MATCH($A30,'Valo FX'!$A:$A,0)),INDEX(Base!$V:$V,MATCH($A30,Base!$A:$A,0)),0)))</f>
        <v>11.359590000000001</v>
      </c>
      <c r="LG30" s="21">
        <f>IF(LG$1&lt;INDEX('Valo FX'!$Q:$Q,MATCH($A30,'Valo FX'!$A:$A,0)),0,IF(LG$1&lt;INDEX('Valo FX'!$R:$R,MATCH($A30,'Valo FX'!$A:$A,0)),INDEX(Base!$U:$U,MATCH($A30,Base!$A:$A,0)),IF(LG$1=INDEX('Valo FX'!$R:$R,MATCH($A30,'Valo FX'!$A:$A,0)),INDEX(Base!$V:$V,MATCH($A30,Base!$A:$A,0)),0)))</f>
        <v>11.359590000000001</v>
      </c>
      <c r="LH30" s="21">
        <f>IF(LH$1&lt;INDEX('Valo FX'!$Q:$Q,MATCH($A30,'Valo FX'!$A:$A,0)),0,IF(LH$1&lt;INDEX('Valo FX'!$R:$R,MATCH($A30,'Valo FX'!$A:$A,0)),INDEX(Base!$U:$U,MATCH($A30,Base!$A:$A,0)),IF(LH$1=INDEX('Valo FX'!$R:$R,MATCH($A30,'Valo FX'!$A:$A,0)),INDEX(Base!$V:$V,MATCH($A30,Base!$A:$A,0)),0)))</f>
        <v>11.359590000000001</v>
      </c>
      <c r="LI30" s="21">
        <f>IF(LI$1&lt;INDEX('Valo FX'!$Q:$Q,MATCH($A30,'Valo FX'!$A:$A,0)),0,IF(LI$1&lt;INDEX('Valo FX'!$R:$R,MATCH($A30,'Valo FX'!$A:$A,0)),INDEX(Base!$U:$U,MATCH($A30,Base!$A:$A,0)),IF(LI$1=INDEX('Valo FX'!$R:$R,MATCH($A30,'Valo FX'!$A:$A,0)),INDEX(Base!$V:$V,MATCH($A30,Base!$A:$A,0)),0)))</f>
        <v>11.359590000000001</v>
      </c>
      <c r="LJ30" s="21">
        <f>IF(LJ$1&lt;INDEX('Valo FX'!$Q:$Q,MATCH($A30,'Valo FX'!$A:$A,0)),0,IF(LJ$1&lt;INDEX('Valo FX'!$R:$R,MATCH($A30,'Valo FX'!$A:$A,0)),INDEX(Base!$U:$U,MATCH($A30,Base!$A:$A,0)),IF(LJ$1=INDEX('Valo FX'!$R:$R,MATCH($A30,'Valo FX'!$A:$A,0)),INDEX(Base!$V:$V,MATCH($A30,Base!$A:$A,0)),0)))</f>
        <v>11.359590000000001</v>
      </c>
      <c r="LK30" s="21">
        <f>IF(LK$1&lt;INDEX('Valo FX'!$Q:$Q,MATCH($A30,'Valo FX'!$A:$A,0)),0,IF(LK$1&lt;INDEX('Valo FX'!$R:$R,MATCH($A30,'Valo FX'!$A:$A,0)),INDEX(Base!$U:$U,MATCH($A30,Base!$A:$A,0)),IF(LK$1=INDEX('Valo FX'!$R:$R,MATCH($A30,'Valo FX'!$A:$A,0)),INDEX(Base!$V:$V,MATCH($A30,Base!$A:$A,0)),0)))</f>
        <v>11.359590000000001</v>
      </c>
      <c r="LL30" s="21">
        <f>IF(LL$1&lt;INDEX('Valo FX'!$Q:$Q,MATCH($A30,'Valo FX'!$A:$A,0)),0,IF(LL$1&lt;INDEX('Valo FX'!$R:$R,MATCH($A30,'Valo FX'!$A:$A,0)),INDEX(Base!$U:$U,MATCH($A30,Base!$A:$A,0)),IF(LL$1=INDEX('Valo FX'!$R:$R,MATCH($A30,'Valo FX'!$A:$A,0)),INDEX(Base!$V:$V,MATCH($A30,Base!$A:$A,0)),0)))</f>
        <v>11.359590000000001</v>
      </c>
      <c r="LM30" s="21">
        <f>IF(LM$1&lt;INDEX('Valo FX'!$Q:$Q,MATCH($A30,'Valo FX'!$A:$A,0)),0,IF(LM$1&lt;INDEX('Valo FX'!$R:$R,MATCH($A30,'Valo FX'!$A:$A,0)),INDEX(Base!$U:$U,MATCH($A30,Base!$A:$A,0)),IF(LM$1=INDEX('Valo FX'!$R:$R,MATCH($A30,'Valo FX'!$A:$A,0)),INDEX(Base!$V:$V,MATCH($A30,Base!$A:$A,0)),0)))</f>
        <v>11.359590000000001</v>
      </c>
      <c r="LN30" s="21">
        <f>IF(LN$1&lt;INDEX('Valo FX'!$Q:$Q,MATCH($A30,'Valo FX'!$A:$A,0)),0,IF(LN$1&lt;INDEX('Valo FX'!$R:$R,MATCH($A30,'Valo FX'!$A:$A,0)),INDEX(Base!$U:$U,MATCH($A30,Base!$A:$A,0)),IF(LN$1=INDEX('Valo FX'!$R:$R,MATCH($A30,'Valo FX'!$A:$A,0)),INDEX(Base!$V:$V,MATCH($A30,Base!$A:$A,0)),0)))</f>
        <v>11.359590000000001</v>
      </c>
      <c r="LO30" s="21">
        <f>IF(LO$1&lt;INDEX('Valo FX'!$Q:$Q,MATCH($A30,'Valo FX'!$A:$A,0)),0,IF(LO$1&lt;INDEX('Valo FX'!$R:$R,MATCH($A30,'Valo FX'!$A:$A,0)),INDEX(Base!$U:$U,MATCH($A30,Base!$A:$A,0)),IF(LO$1=INDEX('Valo FX'!$R:$R,MATCH($A30,'Valo FX'!$A:$A,0)),INDEX(Base!$V:$V,MATCH($A30,Base!$A:$A,0)),0)))</f>
        <v>11.359590000000001</v>
      </c>
      <c r="LP30" s="21">
        <f>IF(LP$1&lt;INDEX('Valo FX'!$Q:$Q,MATCH($A30,'Valo FX'!$A:$A,0)),0,IF(LP$1&lt;INDEX('Valo FX'!$R:$R,MATCH($A30,'Valo FX'!$A:$A,0)),INDEX(Base!$U:$U,MATCH($A30,Base!$A:$A,0)),IF(LP$1=INDEX('Valo FX'!$R:$R,MATCH($A30,'Valo FX'!$A:$A,0)),INDEX(Base!$V:$V,MATCH($A30,Base!$A:$A,0)),0)))</f>
        <v>11.359590000000001</v>
      </c>
      <c r="LQ30" s="21">
        <f>IF(LQ$1&lt;INDEX('Valo FX'!$Q:$Q,MATCH($A30,'Valo FX'!$A:$A,0)),0,IF(LQ$1&lt;INDEX('Valo FX'!$R:$R,MATCH($A30,'Valo FX'!$A:$A,0)),INDEX(Base!$U:$U,MATCH($A30,Base!$A:$A,0)),IF(LQ$1=INDEX('Valo FX'!$R:$R,MATCH($A30,'Valo FX'!$A:$A,0)),INDEX(Base!$V:$V,MATCH($A30,Base!$A:$A,0)),0)))</f>
        <v>11.359590000000001</v>
      </c>
      <c r="LR30" s="21">
        <f>IF(LR$1&lt;INDEX('Valo FX'!$Q:$Q,MATCH($A30,'Valo FX'!$A:$A,0)),0,IF(LR$1&lt;INDEX('Valo FX'!$R:$R,MATCH($A30,'Valo FX'!$A:$A,0)),INDEX(Base!$U:$U,MATCH($A30,Base!$A:$A,0)),IF(LR$1=INDEX('Valo FX'!$R:$R,MATCH($A30,'Valo FX'!$A:$A,0)),INDEX(Base!$V:$V,MATCH($A30,Base!$A:$A,0)),0)))</f>
        <v>11.359590000000001</v>
      </c>
      <c r="LS30" s="21">
        <f>IF(LS$1&lt;INDEX('Valo FX'!$Q:$Q,MATCH($A30,'Valo FX'!$A:$A,0)),0,IF(LS$1&lt;INDEX('Valo FX'!$R:$R,MATCH($A30,'Valo FX'!$A:$A,0)),INDEX(Base!$U:$U,MATCH($A30,Base!$A:$A,0)),IF(LS$1=INDEX('Valo FX'!$R:$R,MATCH($A30,'Valo FX'!$A:$A,0)),INDEX(Base!$V:$V,MATCH($A30,Base!$A:$A,0)),0)))</f>
        <v>11.359590000000001</v>
      </c>
      <c r="LT30" s="21">
        <f>IF(LT$1&lt;INDEX('Valo FX'!$Q:$Q,MATCH($A30,'Valo FX'!$A:$A,0)),0,IF(LT$1&lt;INDEX('Valo FX'!$R:$R,MATCH($A30,'Valo FX'!$A:$A,0)),INDEX(Base!$U:$U,MATCH($A30,Base!$A:$A,0)),IF(LT$1=INDEX('Valo FX'!$R:$R,MATCH($A30,'Valo FX'!$A:$A,0)),INDEX(Base!$V:$V,MATCH($A30,Base!$A:$A,0)),0)))</f>
        <v>11.359590000000001</v>
      </c>
      <c r="LU30" s="21">
        <f>IF(LU$1&lt;INDEX('Valo FX'!$Q:$Q,MATCH($A30,'Valo FX'!$A:$A,0)),0,IF(LU$1&lt;INDEX('Valo FX'!$R:$R,MATCH($A30,'Valo FX'!$A:$A,0)),INDEX(Base!$U:$U,MATCH($A30,Base!$A:$A,0)),IF(LU$1=INDEX('Valo FX'!$R:$R,MATCH($A30,'Valo FX'!$A:$A,0)),INDEX(Base!$V:$V,MATCH($A30,Base!$A:$A,0)),0)))</f>
        <v>11.359590000000001</v>
      </c>
      <c r="LV30" s="21">
        <f>IF(LV$1&lt;INDEX('Valo FX'!$Q:$Q,MATCH($A30,'Valo FX'!$A:$A,0)),0,IF(LV$1&lt;INDEX('Valo FX'!$R:$R,MATCH($A30,'Valo FX'!$A:$A,0)),INDEX(Base!$U:$U,MATCH($A30,Base!$A:$A,0)),IF(LV$1=INDEX('Valo FX'!$R:$R,MATCH($A30,'Valo FX'!$A:$A,0)),INDEX(Base!$V:$V,MATCH($A30,Base!$A:$A,0)),0)))</f>
        <v>11.359590000000001</v>
      </c>
      <c r="LW30" s="21">
        <f>IF(LW$1&lt;INDEX('Valo FX'!$Q:$Q,MATCH($A30,'Valo FX'!$A:$A,0)),0,IF(LW$1&lt;INDEX('Valo FX'!$R:$R,MATCH($A30,'Valo FX'!$A:$A,0)),INDEX(Base!$U:$U,MATCH($A30,Base!$A:$A,0)),IF(LW$1=INDEX('Valo FX'!$R:$R,MATCH($A30,'Valo FX'!$A:$A,0)),INDEX(Base!$V:$V,MATCH($A30,Base!$A:$A,0)),0)))</f>
        <v>11.359590000000001</v>
      </c>
      <c r="LX30" s="21">
        <f>IF(LX$1&lt;INDEX('Valo FX'!$Q:$Q,MATCH($A30,'Valo FX'!$A:$A,0)),0,IF(LX$1&lt;INDEX('Valo FX'!$R:$R,MATCH($A30,'Valo FX'!$A:$A,0)),INDEX(Base!$U:$U,MATCH($A30,Base!$A:$A,0)),IF(LX$1=INDEX('Valo FX'!$R:$R,MATCH($A30,'Valo FX'!$A:$A,0)),INDEX(Base!$V:$V,MATCH($A30,Base!$A:$A,0)),0)))</f>
        <v>11.359590000000001</v>
      </c>
      <c r="LY30" s="21">
        <f>IF(LY$1&lt;INDEX('Valo FX'!$Q:$Q,MATCH($A30,'Valo FX'!$A:$A,0)),0,IF(LY$1&lt;INDEX('Valo FX'!$R:$R,MATCH($A30,'Valo FX'!$A:$A,0)),INDEX(Base!$U:$U,MATCH($A30,Base!$A:$A,0)),IF(LY$1=INDEX('Valo FX'!$R:$R,MATCH($A30,'Valo FX'!$A:$A,0)),INDEX(Base!$V:$V,MATCH($A30,Base!$A:$A,0)),0)))</f>
        <v>11.359590000000001</v>
      </c>
      <c r="LZ30" s="21">
        <f>IF(LZ$1&lt;INDEX('Valo FX'!$Q:$Q,MATCH($A30,'Valo FX'!$A:$A,0)),0,IF(LZ$1&lt;INDEX('Valo FX'!$R:$R,MATCH($A30,'Valo FX'!$A:$A,0)),INDEX(Base!$U:$U,MATCH($A30,Base!$A:$A,0)),IF(LZ$1=INDEX('Valo FX'!$R:$R,MATCH($A30,'Valo FX'!$A:$A,0)),INDEX(Base!$V:$V,MATCH($A30,Base!$A:$A,0)),0)))</f>
        <v>11.359590000000001</v>
      </c>
      <c r="MA30" s="21">
        <f>IF(MA$1&lt;INDEX('Valo FX'!$Q:$Q,MATCH($A30,'Valo FX'!$A:$A,0)),0,IF(MA$1&lt;INDEX('Valo FX'!$R:$R,MATCH($A30,'Valo FX'!$A:$A,0)),INDEX(Base!$U:$U,MATCH($A30,Base!$A:$A,0)),IF(MA$1=INDEX('Valo FX'!$R:$R,MATCH($A30,'Valo FX'!$A:$A,0)),INDEX(Base!$V:$V,MATCH($A30,Base!$A:$A,0)),0)))</f>
        <v>11.359590000000001</v>
      </c>
      <c r="MB30" s="21">
        <f>IF(MB$1&lt;INDEX('Valo FX'!$Q:$Q,MATCH($A30,'Valo FX'!$A:$A,0)),0,IF(MB$1&lt;INDEX('Valo FX'!$R:$R,MATCH($A30,'Valo FX'!$A:$A,0)),INDEX(Base!$U:$U,MATCH($A30,Base!$A:$A,0)),IF(MB$1=INDEX('Valo FX'!$R:$R,MATCH($A30,'Valo FX'!$A:$A,0)),INDEX(Base!$V:$V,MATCH($A30,Base!$A:$A,0)),0)))</f>
        <v>11.359590000000001</v>
      </c>
      <c r="MC30" s="21">
        <f>IF(MC$1&lt;INDEX('Valo FX'!$Q:$Q,MATCH($A30,'Valo FX'!$A:$A,0)),0,IF(MC$1&lt;INDEX('Valo FX'!$R:$R,MATCH($A30,'Valo FX'!$A:$A,0)),INDEX(Base!$U:$U,MATCH($A30,Base!$A:$A,0)),IF(MC$1=INDEX('Valo FX'!$R:$R,MATCH($A30,'Valo FX'!$A:$A,0)),INDEX(Base!$V:$V,MATCH($A30,Base!$A:$A,0)),0)))</f>
        <v>11.359590000000001</v>
      </c>
      <c r="MD30" s="21">
        <f>IF(MD$1&lt;INDEX('Valo FX'!$Q:$Q,MATCH($A30,'Valo FX'!$A:$A,0)),0,IF(MD$1&lt;INDEX('Valo FX'!$R:$R,MATCH($A30,'Valo FX'!$A:$A,0)),INDEX(Base!$U:$U,MATCH($A30,Base!$A:$A,0)),IF(MD$1=INDEX('Valo FX'!$R:$R,MATCH($A30,'Valo FX'!$A:$A,0)),INDEX(Base!$V:$V,MATCH($A30,Base!$A:$A,0)),0)))</f>
        <v>11.359590000000001</v>
      </c>
      <c r="ME30" s="21">
        <f>IF(ME$1&lt;INDEX('Valo FX'!$Q:$Q,MATCH($A30,'Valo FX'!$A:$A,0)),0,IF(ME$1&lt;INDEX('Valo FX'!$R:$R,MATCH($A30,'Valo FX'!$A:$A,0)),INDEX(Base!$U:$U,MATCH($A30,Base!$A:$A,0)),IF(ME$1=INDEX('Valo FX'!$R:$R,MATCH($A30,'Valo FX'!$A:$A,0)),INDEX(Base!$V:$V,MATCH($A30,Base!$A:$A,0)),0)))</f>
        <v>11.359590000000001</v>
      </c>
      <c r="MF30" s="21">
        <f>IF(MF$1&lt;INDEX('Valo FX'!$Q:$Q,MATCH($A30,'Valo FX'!$A:$A,0)),0,IF(MF$1&lt;INDEX('Valo FX'!$R:$R,MATCH($A30,'Valo FX'!$A:$A,0)),INDEX(Base!$U:$U,MATCH($A30,Base!$A:$A,0)),IF(MF$1=INDEX('Valo FX'!$R:$R,MATCH($A30,'Valo FX'!$A:$A,0)),INDEX(Base!$V:$V,MATCH($A30,Base!$A:$A,0)),0)))</f>
        <v>11.359590000000001</v>
      </c>
      <c r="MG30" s="21">
        <f>IF(MG$1&lt;INDEX('Valo FX'!$Q:$Q,MATCH($A30,'Valo FX'!$A:$A,0)),0,IF(MG$1&lt;INDEX('Valo FX'!$R:$R,MATCH($A30,'Valo FX'!$A:$A,0)),INDEX(Base!$U:$U,MATCH($A30,Base!$A:$A,0)),IF(MG$1=INDEX('Valo FX'!$R:$R,MATCH($A30,'Valo FX'!$A:$A,0)),INDEX(Base!$V:$V,MATCH($A30,Base!$A:$A,0)),0)))</f>
        <v>11.359590000000001</v>
      </c>
      <c r="MH30" s="21">
        <f>IF(MH$1&lt;INDEX('Valo FX'!$Q:$Q,MATCH($A30,'Valo FX'!$A:$A,0)),0,IF(MH$1&lt;INDEX('Valo FX'!$R:$R,MATCH($A30,'Valo FX'!$A:$A,0)),INDEX(Base!$U:$U,MATCH($A30,Base!$A:$A,0)),IF(MH$1=INDEX('Valo FX'!$R:$R,MATCH($A30,'Valo FX'!$A:$A,0)),INDEX(Base!$V:$V,MATCH($A30,Base!$A:$A,0)),0)))</f>
        <v>11.359590000000001</v>
      </c>
      <c r="MI30" s="21">
        <f>IF(MI$1&lt;INDEX('Valo FX'!$Q:$Q,MATCH($A30,'Valo FX'!$A:$A,0)),0,IF(MI$1&lt;INDEX('Valo FX'!$R:$R,MATCH($A30,'Valo FX'!$A:$A,0)),INDEX(Base!$U:$U,MATCH($A30,Base!$A:$A,0)),IF(MI$1=INDEX('Valo FX'!$R:$R,MATCH($A30,'Valo FX'!$A:$A,0)),INDEX(Base!$V:$V,MATCH($A30,Base!$A:$A,0)),0)))</f>
        <v>11.359590000000001</v>
      </c>
      <c r="MJ30" s="21">
        <f>IF(MJ$1&lt;INDEX('Valo FX'!$Q:$Q,MATCH($A30,'Valo FX'!$A:$A,0)),0,IF(MJ$1&lt;INDEX('Valo FX'!$R:$R,MATCH($A30,'Valo FX'!$A:$A,0)),INDEX(Base!$U:$U,MATCH($A30,Base!$A:$A,0)),IF(MJ$1=INDEX('Valo FX'!$R:$R,MATCH($A30,'Valo FX'!$A:$A,0)),INDEX(Base!$V:$V,MATCH($A30,Base!$A:$A,0)),0)))</f>
        <v>11.359590000000001</v>
      </c>
      <c r="MK30" s="21">
        <f>IF(MK$1&lt;INDEX('Valo FX'!$Q:$Q,MATCH($A30,'Valo FX'!$A:$A,0)),0,IF(MK$1&lt;INDEX('Valo FX'!$R:$R,MATCH($A30,'Valo FX'!$A:$A,0)),INDEX(Base!$U:$U,MATCH($A30,Base!$A:$A,0)),IF(MK$1=INDEX('Valo FX'!$R:$R,MATCH($A30,'Valo FX'!$A:$A,0)),INDEX(Base!$V:$V,MATCH($A30,Base!$A:$A,0)),0)))</f>
        <v>11.359590000000001</v>
      </c>
      <c r="ML30" s="21">
        <f>IF(ML$1&lt;INDEX('Valo FX'!$Q:$Q,MATCH($A30,'Valo FX'!$A:$A,0)),0,IF(ML$1&lt;INDEX('Valo FX'!$R:$R,MATCH($A30,'Valo FX'!$A:$A,0)),INDEX(Base!$U:$U,MATCH($A30,Base!$A:$A,0)),IF(ML$1=INDEX('Valo FX'!$R:$R,MATCH($A30,'Valo FX'!$A:$A,0)),INDEX(Base!$V:$V,MATCH($A30,Base!$A:$A,0)),0)))</f>
        <v>11.359590000000001</v>
      </c>
      <c r="MM30" s="21">
        <f>IF(MM$1&lt;INDEX('Valo FX'!$Q:$Q,MATCH($A30,'Valo FX'!$A:$A,0)),0,IF(MM$1&lt;INDEX('Valo FX'!$R:$R,MATCH($A30,'Valo FX'!$A:$A,0)),INDEX(Base!$U:$U,MATCH($A30,Base!$A:$A,0)),IF(MM$1=INDEX('Valo FX'!$R:$R,MATCH($A30,'Valo FX'!$A:$A,0)),INDEX(Base!$V:$V,MATCH($A30,Base!$A:$A,0)),0)))</f>
        <v>11.359590000000001</v>
      </c>
      <c r="MN30" s="21">
        <f>IF(MN$1&lt;INDEX('Valo FX'!$Q:$Q,MATCH($A30,'Valo FX'!$A:$A,0)),0,IF(MN$1&lt;INDEX('Valo FX'!$R:$R,MATCH($A30,'Valo FX'!$A:$A,0)),INDEX(Base!$U:$U,MATCH($A30,Base!$A:$A,0)),IF(MN$1=INDEX('Valo FX'!$R:$R,MATCH($A30,'Valo FX'!$A:$A,0)),INDEX(Base!$V:$V,MATCH($A30,Base!$A:$A,0)),0)))</f>
        <v>11.359590000000001</v>
      </c>
      <c r="MO30" s="21">
        <f>IF(MO$1&lt;INDEX('Valo FX'!$Q:$Q,MATCH($A30,'Valo FX'!$A:$A,0)),0,IF(MO$1&lt;INDEX('Valo FX'!$R:$R,MATCH($A30,'Valo FX'!$A:$A,0)),INDEX(Base!$U:$U,MATCH($A30,Base!$A:$A,0)),IF(MO$1=INDEX('Valo FX'!$R:$R,MATCH($A30,'Valo FX'!$A:$A,0)),INDEX(Base!$V:$V,MATCH($A30,Base!$A:$A,0)),0)))</f>
        <v>11.359590000000001</v>
      </c>
      <c r="MP30" s="21">
        <f>IF(MP$1&lt;INDEX('Valo FX'!$Q:$Q,MATCH($A30,'Valo FX'!$A:$A,0)),0,IF(MP$1&lt;INDEX('Valo FX'!$R:$R,MATCH($A30,'Valo FX'!$A:$A,0)),INDEX(Base!$U:$U,MATCH($A30,Base!$A:$A,0)),IF(MP$1=INDEX('Valo FX'!$R:$R,MATCH($A30,'Valo FX'!$A:$A,0)),INDEX(Base!$V:$V,MATCH($A30,Base!$A:$A,0)),0)))</f>
        <v>11.359590000000001</v>
      </c>
      <c r="MQ30" s="21">
        <f>IF(MQ$1&lt;INDEX('Valo FX'!$Q:$Q,MATCH($A30,'Valo FX'!$A:$A,0)),0,IF(MQ$1&lt;INDEX('Valo FX'!$R:$R,MATCH($A30,'Valo FX'!$A:$A,0)),INDEX(Base!$U:$U,MATCH($A30,Base!$A:$A,0)),IF(MQ$1=INDEX('Valo FX'!$R:$R,MATCH($A30,'Valo FX'!$A:$A,0)),INDEX(Base!$V:$V,MATCH($A30,Base!$A:$A,0)),0)))</f>
        <v>11.359590000000001</v>
      </c>
      <c r="MR30" s="21">
        <f>IF(MR$1&lt;INDEX('Valo FX'!$Q:$Q,MATCH($A30,'Valo FX'!$A:$A,0)),0,IF(MR$1&lt;INDEX('Valo FX'!$R:$R,MATCH($A30,'Valo FX'!$A:$A,0)),INDEX(Base!$U:$U,MATCH($A30,Base!$A:$A,0)),IF(MR$1=INDEX('Valo FX'!$R:$R,MATCH($A30,'Valo FX'!$A:$A,0)),INDEX(Base!$V:$V,MATCH($A30,Base!$A:$A,0)),0)))</f>
        <v>11.359590000000001</v>
      </c>
      <c r="MS30" s="21">
        <f>IF(MS$1&lt;INDEX('Valo FX'!$Q:$Q,MATCH($A30,'Valo FX'!$A:$A,0)),0,IF(MS$1&lt;INDEX('Valo FX'!$R:$R,MATCH($A30,'Valo FX'!$A:$A,0)),INDEX(Base!$U:$U,MATCH($A30,Base!$A:$A,0)),IF(MS$1=INDEX('Valo FX'!$R:$R,MATCH($A30,'Valo FX'!$A:$A,0)),INDEX(Base!$V:$V,MATCH($A30,Base!$A:$A,0)),0)))</f>
        <v>11.359590000000001</v>
      </c>
      <c r="MT30" s="21">
        <f>IF(MT$1&lt;INDEX('Valo FX'!$Q:$Q,MATCH($A30,'Valo FX'!$A:$A,0)),0,IF(MT$1&lt;INDEX('Valo FX'!$R:$R,MATCH($A30,'Valo FX'!$A:$A,0)),INDEX(Base!$U:$U,MATCH($A30,Base!$A:$A,0)),IF(MT$1=INDEX('Valo FX'!$R:$R,MATCH($A30,'Valo FX'!$A:$A,0)),INDEX(Base!$V:$V,MATCH($A30,Base!$A:$A,0)),0)))</f>
        <v>11.359590000000001</v>
      </c>
      <c r="MU30" s="21">
        <f>IF(MU$1&lt;INDEX('Valo FX'!$Q:$Q,MATCH($A30,'Valo FX'!$A:$A,0)),0,IF(MU$1&lt;INDEX('Valo FX'!$R:$R,MATCH($A30,'Valo FX'!$A:$A,0)),INDEX(Base!$U:$U,MATCH($A30,Base!$A:$A,0)),IF(MU$1=INDEX('Valo FX'!$R:$R,MATCH($A30,'Valo FX'!$A:$A,0)),INDEX(Base!$V:$V,MATCH($A30,Base!$A:$A,0)),0)))</f>
        <v>11.359590000000001</v>
      </c>
      <c r="MV30" s="21">
        <f>IF(MV$1&lt;INDEX('Valo FX'!$Q:$Q,MATCH($A30,'Valo FX'!$A:$A,0)),0,IF(MV$1&lt;INDEX('Valo FX'!$R:$R,MATCH($A30,'Valo FX'!$A:$A,0)),INDEX(Base!$U:$U,MATCH($A30,Base!$A:$A,0)),IF(MV$1=INDEX('Valo FX'!$R:$R,MATCH($A30,'Valo FX'!$A:$A,0)),INDEX(Base!$V:$V,MATCH($A30,Base!$A:$A,0)),0)))</f>
        <v>11.359590000000001</v>
      </c>
      <c r="MW30" s="21">
        <f>IF(MW$1&lt;INDEX('Valo FX'!$Q:$Q,MATCH($A30,'Valo FX'!$A:$A,0)),0,IF(MW$1&lt;INDEX('Valo FX'!$R:$R,MATCH($A30,'Valo FX'!$A:$A,0)),INDEX(Base!$U:$U,MATCH($A30,Base!$A:$A,0)),IF(MW$1=INDEX('Valo FX'!$R:$R,MATCH($A30,'Valo FX'!$A:$A,0)),INDEX(Base!$V:$V,MATCH($A30,Base!$A:$A,0)),0)))</f>
        <v>11.359590000000001</v>
      </c>
      <c r="MX30" s="21">
        <f>IF(MX$1&lt;INDEX('Valo FX'!$Q:$Q,MATCH($A30,'Valo FX'!$A:$A,0)),0,IF(MX$1&lt;INDEX('Valo FX'!$R:$R,MATCH($A30,'Valo FX'!$A:$A,0)),INDEX(Base!$U:$U,MATCH($A30,Base!$A:$A,0)),IF(MX$1=INDEX('Valo FX'!$R:$R,MATCH($A30,'Valo FX'!$A:$A,0)),INDEX(Base!$V:$V,MATCH($A30,Base!$A:$A,0)),0)))</f>
        <v>11.359590000000001</v>
      </c>
      <c r="MY30" s="21">
        <f>IF(MY$1&lt;INDEX('Valo FX'!$Q:$Q,MATCH($A30,'Valo FX'!$A:$A,0)),0,IF(MY$1&lt;INDEX('Valo FX'!$R:$R,MATCH($A30,'Valo FX'!$A:$A,0)),INDEX(Base!$U:$U,MATCH($A30,Base!$A:$A,0)),IF(MY$1=INDEX('Valo FX'!$R:$R,MATCH($A30,'Valo FX'!$A:$A,0)),INDEX(Base!$V:$V,MATCH($A30,Base!$A:$A,0)),0)))</f>
        <v>11.715275</v>
      </c>
    </row>
    <row r="31" spans="1:363" x14ac:dyDescent="0.25">
      <c r="A31" s="7">
        <f t="shared" si="12"/>
        <v>29</v>
      </c>
      <c r="B31" s="59">
        <f>-'Valo FX'!T32</f>
        <v>-1917.8522376906942</v>
      </c>
      <c r="C31" s="21">
        <f>IF(C$1&lt;INDEX('Valo FX'!$Q:$Q,MATCH($A31,'Valo FX'!$A:$A,0)),0,IF(C$1&lt;INDEX('Valo FX'!$R:$R,MATCH($A31,'Valo FX'!$A:$A,0)),INDEX(Base!$U:$U,MATCH($A31,Base!$A:$A,0)),IF(C$1=INDEX('Valo FX'!$R:$R,MATCH($A31,'Valo FX'!$A:$A,0)),INDEX(Base!$V:$V,MATCH($A31,Base!$A:$A,0)),0)))</f>
        <v>0</v>
      </c>
      <c r="D31" s="21">
        <f>IF(D$1&lt;INDEX('Valo FX'!$Q:$Q,MATCH($A31,'Valo FX'!$A:$A,0)),0,IF(D$1&lt;INDEX('Valo FX'!$R:$R,MATCH($A31,'Valo FX'!$A:$A,0)),INDEX(Base!$U:$U,MATCH($A31,Base!$A:$A,0)),IF(D$1=INDEX('Valo FX'!$R:$R,MATCH($A31,'Valo FX'!$A:$A,0)),INDEX(Base!$V:$V,MATCH($A31,Base!$A:$A,0)),0)))</f>
        <v>0</v>
      </c>
      <c r="E31" s="21">
        <f>IF(E$1&lt;INDEX('Valo FX'!$Q:$Q,MATCH($A31,'Valo FX'!$A:$A,0)),0,IF(E$1&lt;INDEX('Valo FX'!$R:$R,MATCH($A31,'Valo FX'!$A:$A,0)),INDEX(Base!$U:$U,MATCH($A31,Base!$A:$A,0)),IF(E$1=INDEX('Valo FX'!$R:$R,MATCH($A31,'Valo FX'!$A:$A,0)),INDEX(Base!$V:$V,MATCH($A31,Base!$A:$A,0)),0)))</f>
        <v>0</v>
      </c>
      <c r="F31" s="21">
        <f>IF(F$1&lt;INDEX('Valo FX'!$Q:$Q,MATCH($A31,'Valo FX'!$A:$A,0)),0,IF(F$1&lt;INDEX('Valo FX'!$R:$R,MATCH($A31,'Valo FX'!$A:$A,0)),INDEX(Base!$U:$U,MATCH($A31,Base!$A:$A,0)),IF(F$1=INDEX('Valo FX'!$R:$R,MATCH($A31,'Valo FX'!$A:$A,0)),INDEX(Base!$V:$V,MATCH($A31,Base!$A:$A,0)),0)))</f>
        <v>0</v>
      </c>
      <c r="G31" s="21">
        <f>IF(G$1&lt;INDEX('Valo FX'!$Q:$Q,MATCH($A31,'Valo FX'!$A:$A,0)),0,IF(G$1&lt;INDEX('Valo FX'!$R:$R,MATCH($A31,'Valo FX'!$A:$A,0)),INDEX(Base!$U:$U,MATCH($A31,Base!$A:$A,0)),IF(G$1=INDEX('Valo FX'!$R:$R,MATCH($A31,'Valo FX'!$A:$A,0)),INDEX(Base!$V:$V,MATCH($A31,Base!$A:$A,0)),0)))</f>
        <v>0</v>
      </c>
      <c r="H31" s="21">
        <f>IF(H$1&lt;INDEX('Valo FX'!$Q:$Q,MATCH($A31,'Valo FX'!$A:$A,0)),0,IF(H$1&lt;INDEX('Valo FX'!$R:$R,MATCH($A31,'Valo FX'!$A:$A,0)),INDEX(Base!$U:$U,MATCH($A31,Base!$A:$A,0)),IF(H$1=INDEX('Valo FX'!$R:$R,MATCH($A31,'Valo FX'!$A:$A,0)),INDEX(Base!$V:$V,MATCH($A31,Base!$A:$A,0)),0)))</f>
        <v>0</v>
      </c>
      <c r="I31" s="21">
        <f>IF(I$1&lt;INDEX('Valo FX'!$Q:$Q,MATCH($A31,'Valo FX'!$A:$A,0)),0,IF(I$1&lt;INDEX('Valo FX'!$R:$R,MATCH($A31,'Valo FX'!$A:$A,0)),INDEX(Base!$U:$U,MATCH($A31,Base!$A:$A,0)),IF(I$1=INDEX('Valo FX'!$R:$R,MATCH($A31,'Valo FX'!$A:$A,0)),INDEX(Base!$V:$V,MATCH($A31,Base!$A:$A,0)),0)))</f>
        <v>13.140090000000001</v>
      </c>
      <c r="J31" s="21">
        <f>IF(J$1&lt;INDEX('Valo FX'!$Q:$Q,MATCH($A31,'Valo FX'!$A:$A,0)),0,IF(J$1&lt;INDEX('Valo FX'!$R:$R,MATCH($A31,'Valo FX'!$A:$A,0)),INDEX(Base!$U:$U,MATCH($A31,Base!$A:$A,0)),IF(J$1=INDEX('Valo FX'!$R:$R,MATCH($A31,'Valo FX'!$A:$A,0)),INDEX(Base!$V:$V,MATCH($A31,Base!$A:$A,0)),0)))</f>
        <v>13.140090000000001</v>
      </c>
      <c r="K31" s="21">
        <f>IF(K$1&lt;INDEX('Valo FX'!$Q:$Q,MATCH($A31,'Valo FX'!$A:$A,0)),0,IF(K$1&lt;INDEX('Valo FX'!$R:$R,MATCH($A31,'Valo FX'!$A:$A,0)),INDEX(Base!$U:$U,MATCH($A31,Base!$A:$A,0)),IF(K$1=INDEX('Valo FX'!$R:$R,MATCH($A31,'Valo FX'!$A:$A,0)),INDEX(Base!$V:$V,MATCH($A31,Base!$A:$A,0)),0)))</f>
        <v>13.140090000000001</v>
      </c>
      <c r="L31" s="21">
        <f>IF(L$1&lt;INDEX('Valo FX'!$Q:$Q,MATCH($A31,'Valo FX'!$A:$A,0)),0,IF(L$1&lt;INDEX('Valo FX'!$R:$R,MATCH($A31,'Valo FX'!$A:$A,0)),INDEX(Base!$U:$U,MATCH($A31,Base!$A:$A,0)),IF(L$1=INDEX('Valo FX'!$R:$R,MATCH($A31,'Valo FX'!$A:$A,0)),INDEX(Base!$V:$V,MATCH($A31,Base!$A:$A,0)),0)))</f>
        <v>13.140090000000001</v>
      </c>
      <c r="M31" s="21">
        <f>IF(M$1&lt;INDEX('Valo FX'!$Q:$Q,MATCH($A31,'Valo FX'!$A:$A,0)),0,IF(M$1&lt;INDEX('Valo FX'!$R:$R,MATCH($A31,'Valo FX'!$A:$A,0)),INDEX(Base!$U:$U,MATCH($A31,Base!$A:$A,0)),IF(M$1=INDEX('Valo FX'!$R:$R,MATCH($A31,'Valo FX'!$A:$A,0)),INDEX(Base!$V:$V,MATCH($A31,Base!$A:$A,0)),0)))</f>
        <v>13.140090000000001</v>
      </c>
      <c r="N31" s="21">
        <f>IF(N$1&lt;INDEX('Valo FX'!$Q:$Q,MATCH($A31,'Valo FX'!$A:$A,0)),0,IF(N$1&lt;INDEX('Valo FX'!$R:$R,MATCH($A31,'Valo FX'!$A:$A,0)),INDEX(Base!$U:$U,MATCH($A31,Base!$A:$A,0)),IF(N$1=INDEX('Valo FX'!$R:$R,MATCH($A31,'Valo FX'!$A:$A,0)),INDEX(Base!$V:$V,MATCH($A31,Base!$A:$A,0)),0)))</f>
        <v>13.140090000000001</v>
      </c>
      <c r="O31" s="21">
        <f>IF(O$1&lt;INDEX('Valo FX'!$Q:$Q,MATCH($A31,'Valo FX'!$A:$A,0)),0,IF(O$1&lt;INDEX('Valo FX'!$R:$R,MATCH($A31,'Valo FX'!$A:$A,0)),INDEX(Base!$U:$U,MATCH($A31,Base!$A:$A,0)),IF(O$1=INDEX('Valo FX'!$R:$R,MATCH($A31,'Valo FX'!$A:$A,0)),INDEX(Base!$V:$V,MATCH($A31,Base!$A:$A,0)),0)))</f>
        <v>13.140090000000001</v>
      </c>
      <c r="P31" s="21">
        <f>IF(P$1&lt;INDEX('Valo FX'!$Q:$Q,MATCH($A31,'Valo FX'!$A:$A,0)),0,IF(P$1&lt;INDEX('Valo FX'!$R:$R,MATCH($A31,'Valo FX'!$A:$A,0)),INDEX(Base!$U:$U,MATCH($A31,Base!$A:$A,0)),IF(P$1=INDEX('Valo FX'!$R:$R,MATCH($A31,'Valo FX'!$A:$A,0)),INDEX(Base!$V:$V,MATCH($A31,Base!$A:$A,0)),0)))</f>
        <v>13.140090000000001</v>
      </c>
      <c r="Q31" s="21">
        <f>IF(Q$1&lt;INDEX('Valo FX'!$Q:$Q,MATCH($A31,'Valo FX'!$A:$A,0)),0,IF(Q$1&lt;INDEX('Valo FX'!$R:$R,MATCH($A31,'Valo FX'!$A:$A,0)),INDEX(Base!$U:$U,MATCH($A31,Base!$A:$A,0)),IF(Q$1=INDEX('Valo FX'!$R:$R,MATCH($A31,'Valo FX'!$A:$A,0)),INDEX(Base!$V:$V,MATCH($A31,Base!$A:$A,0)),0)))</f>
        <v>13.140090000000001</v>
      </c>
      <c r="R31" s="21">
        <f>IF(R$1&lt;INDEX('Valo FX'!$Q:$Q,MATCH($A31,'Valo FX'!$A:$A,0)),0,IF(R$1&lt;INDEX('Valo FX'!$R:$R,MATCH($A31,'Valo FX'!$A:$A,0)),INDEX(Base!$U:$U,MATCH($A31,Base!$A:$A,0)),IF(R$1=INDEX('Valo FX'!$R:$R,MATCH($A31,'Valo FX'!$A:$A,0)),INDEX(Base!$V:$V,MATCH($A31,Base!$A:$A,0)),0)))</f>
        <v>13.140090000000001</v>
      </c>
      <c r="S31" s="21">
        <f>IF(S$1&lt;INDEX('Valo FX'!$Q:$Q,MATCH($A31,'Valo FX'!$A:$A,0)),0,IF(S$1&lt;INDEX('Valo FX'!$R:$R,MATCH($A31,'Valo FX'!$A:$A,0)),INDEX(Base!$U:$U,MATCH($A31,Base!$A:$A,0)),IF(S$1=INDEX('Valo FX'!$R:$R,MATCH($A31,'Valo FX'!$A:$A,0)),INDEX(Base!$V:$V,MATCH($A31,Base!$A:$A,0)),0)))</f>
        <v>13.140090000000001</v>
      </c>
      <c r="T31" s="21">
        <f>IF(T$1&lt;INDEX('Valo FX'!$Q:$Q,MATCH($A31,'Valo FX'!$A:$A,0)),0,IF(T$1&lt;INDEX('Valo FX'!$R:$R,MATCH($A31,'Valo FX'!$A:$A,0)),INDEX(Base!$U:$U,MATCH($A31,Base!$A:$A,0)),IF(T$1=INDEX('Valo FX'!$R:$R,MATCH($A31,'Valo FX'!$A:$A,0)),INDEX(Base!$V:$V,MATCH($A31,Base!$A:$A,0)),0)))</f>
        <v>13.140090000000001</v>
      </c>
      <c r="U31" s="21">
        <f>IF(U$1&lt;INDEX('Valo FX'!$Q:$Q,MATCH($A31,'Valo FX'!$A:$A,0)),0,IF(U$1&lt;INDEX('Valo FX'!$R:$R,MATCH($A31,'Valo FX'!$A:$A,0)),INDEX(Base!$U:$U,MATCH($A31,Base!$A:$A,0)),IF(U$1=INDEX('Valo FX'!$R:$R,MATCH($A31,'Valo FX'!$A:$A,0)),INDEX(Base!$V:$V,MATCH($A31,Base!$A:$A,0)),0)))</f>
        <v>13.140090000000001</v>
      </c>
      <c r="V31" s="21">
        <f>IF(V$1&lt;INDEX('Valo FX'!$Q:$Q,MATCH($A31,'Valo FX'!$A:$A,0)),0,IF(V$1&lt;INDEX('Valo FX'!$R:$R,MATCH($A31,'Valo FX'!$A:$A,0)),INDEX(Base!$U:$U,MATCH($A31,Base!$A:$A,0)),IF(V$1=INDEX('Valo FX'!$R:$R,MATCH($A31,'Valo FX'!$A:$A,0)),INDEX(Base!$V:$V,MATCH($A31,Base!$A:$A,0)),0)))</f>
        <v>13.140090000000001</v>
      </c>
      <c r="W31" s="21">
        <f>IF(W$1&lt;INDEX('Valo FX'!$Q:$Q,MATCH($A31,'Valo FX'!$A:$A,0)),0,IF(W$1&lt;INDEX('Valo FX'!$R:$R,MATCH($A31,'Valo FX'!$A:$A,0)),INDEX(Base!$U:$U,MATCH($A31,Base!$A:$A,0)),IF(W$1=INDEX('Valo FX'!$R:$R,MATCH($A31,'Valo FX'!$A:$A,0)),INDEX(Base!$V:$V,MATCH($A31,Base!$A:$A,0)),0)))</f>
        <v>13.140090000000001</v>
      </c>
      <c r="X31" s="21">
        <f>IF(X$1&lt;INDEX('Valo FX'!$Q:$Q,MATCH($A31,'Valo FX'!$A:$A,0)),0,IF(X$1&lt;INDEX('Valo FX'!$R:$R,MATCH($A31,'Valo FX'!$A:$A,0)),INDEX(Base!$U:$U,MATCH($A31,Base!$A:$A,0)),IF(X$1=INDEX('Valo FX'!$R:$R,MATCH($A31,'Valo FX'!$A:$A,0)),INDEX(Base!$V:$V,MATCH($A31,Base!$A:$A,0)),0)))</f>
        <v>13.140090000000001</v>
      </c>
      <c r="Y31" s="21">
        <f>IF(Y$1&lt;INDEX('Valo FX'!$Q:$Q,MATCH($A31,'Valo FX'!$A:$A,0)),0,IF(Y$1&lt;INDEX('Valo FX'!$R:$R,MATCH($A31,'Valo FX'!$A:$A,0)),INDEX(Base!$U:$U,MATCH($A31,Base!$A:$A,0)),IF(Y$1=INDEX('Valo FX'!$R:$R,MATCH($A31,'Valo FX'!$A:$A,0)),INDEX(Base!$V:$V,MATCH($A31,Base!$A:$A,0)),0)))</f>
        <v>13.140090000000001</v>
      </c>
      <c r="Z31" s="21">
        <f>IF(Z$1&lt;INDEX('Valo FX'!$Q:$Q,MATCH($A31,'Valo FX'!$A:$A,0)),0,IF(Z$1&lt;INDEX('Valo FX'!$R:$R,MATCH($A31,'Valo FX'!$A:$A,0)),INDEX(Base!$U:$U,MATCH($A31,Base!$A:$A,0)),IF(Z$1=INDEX('Valo FX'!$R:$R,MATCH($A31,'Valo FX'!$A:$A,0)),INDEX(Base!$V:$V,MATCH($A31,Base!$A:$A,0)),0)))</f>
        <v>13.140090000000001</v>
      </c>
      <c r="AA31" s="21">
        <f>IF(AA$1&lt;INDEX('Valo FX'!$Q:$Q,MATCH($A31,'Valo FX'!$A:$A,0)),0,IF(AA$1&lt;INDEX('Valo FX'!$R:$R,MATCH($A31,'Valo FX'!$A:$A,0)),INDEX(Base!$U:$U,MATCH($A31,Base!$A:$A,0)),IF(AA$1=INDEX('Valo FX'!$R:$R,MATCH($A31,'Valo FX'!$A:$A,0)),INDEX(Base!$V:$V,MATCH($A31,Base!$A:$A,0)),0)))</f>
        <v>13.140090000000001</v>
      </c>
      <c r="AB31" s="21">
        <f>IF(AB$1&lt;INDEX('Valo FX'!$Q:$Q,MATCH($A31,'Valo FX'!$A:$A,0)),0,IF(AB$1&lt;INDEX('Valo FX'!$R:$R,MATCH($A31,'Valo FX'!$A:$A,0)),INDEX(Base!$U:$U,MATCH($A31,Base!$A:$A,0)),IF(AB$1=INDEX('Valo FX'!$R:$R,MATCH($A31,'Valo FX'!$A:$A,0)),INDEX(Base!$V:$V,MATCH($A31,Base!$A:$A,0)),0)))</f>
        <v>13.140090000000001</v>
      </c>
      <c r="AC31" s="21">
        <f>IF(AC$1&lt;INDEX('Valo FX'!$Q:$Q,MATCH($A31,'Valo FX'!$A:$A,0)),0,IF(AC$1&lt;INDEX('Valo FX'!$R:$R,MATCH($A31,'Valo FX'!$A:$A,0)),INDEX(Base!$U:$U,MATCH($A31,Base!$A:$A,0)),IF(AC$1=INDEX('Valo FX'!$R:$R,MATCH($A31,'Valo FX'!$A:$A,0)),INDEX(Base!$V:$V,MATCH($A31,Base!$A:$A,0)),0)))</f>
        <v>13.140090000000001</v>
      </c>
      <c r="AD31" s="21">
        <f>IF(AD$1&lt;INDEX('Valo FX'!$Q:$Q,MATCH($A31,'Valo FX'!$A:$A,0)),0,IF(AD$1&lt;INDEX('Valo FX'!$R:$R,MATCH($A31,'Valo FX'!$A:$A,0)),INDEX(Base!$U:$U,MATCH($A31,Base!$A:$A,0)),IF(AD$1=INDEX('Valo FX'!$R:$R,MATCH($A31,'Valo FX'!$A:$A,0)),INDEX(Base!$V:$V,MATCH($A31,Base!$A:$A,0)),0)))</f>
        <v>13.140090000000001</v>
      </c>
      <c r="AE31" s="21">
        <f>IF(AE$1&lt;INDEX('Valo FX'!$Q:$Q,MATCH($A31,'Valo FX'!$A:$A,0)),0,IF(AE$1&lt;INDEX('Valo FX'!$R:$R,MATCH($A31,'Valo FX'!$A:$A,0)),INDEX(Base!$U:$U,MATCH($A31,Base!$A:$A,0)),IF(AE$1=INDEX('Valo FX'!$R:$R,MATCH($A31,'Valo FX'!$A:$A,0)),INDEX(Base!$V:$V,MATCH($A31,Base!$A:$A,0)),0)))</f>
        <v>13.140090000000001</v>
      </c>
      <c r="AF31" s="21">
        <f>IF(AF$1&lt;INDEX('Valo FX'!$Q:$Q,MATCH($A31,'Valo FX'!$A:$A,0)),0,IF(AF$1&lt;INDEX('Valo FX'!$R:$R,MATCH($A31,'Valo FX'!$A:$A,0)),INDEX(Base!$U:$U,MATCH($A31,Base!$A:$A,0)),IF(AF$1=INDEX('Valo FX'!$R:$R,MATCH($A31,'Valo FX'!$A:$A,0)),INDEX(Base!$V:$V,MATCH($A31,Base!$A:$A,0)),0)))</f>
        <v>13.140090000000001</v>
      </c>
      <c r="AG31" s="21">
        <f>IF(AG$1&lt;INDEX('Valo FX'!$Q:$Q,MATCH($A31,'Valo FX'!$A:$A,0)),0,IF(AG$1&lt;INDEX('Valo FX'!$R:$R,MATCH($A31,'Valo FX'!$A:$A,0)),INDEX(Base!$U:$U,MATCH($A31,Base!$A:$A,0)),IF(AG$1=INDEX('Valo FX'!$R:$R,MATCH($A31,'Valo FX'!$A:$A,0)),INDEX(Base!$V:$V,MATCH($A31,Base!$A:$A,0)),0)))</f>
        <v>13.140090000000001</v>
      </c>
      <c r="AH31" s="21">
        <f>IF(AH$1&lt;INDEX('Valo FX'!$Q:$Q,MATCH($A31,'Valo FX'!$A:$A,0)),0,IF(AH$1&lt;INDEX('Valo FX'!$R:$R,MATCH($A31,'Valo FX'!$A:$A,0)),INDEX(Base!$U:$U,MATCH($A31,Base!$A:$A,0)),IF(AH$1=INDEX('Valo FX'!$R:$R,MATCH($A31,'Valo FX'!$A:$A,0)),INDEX(Base!$V:$V,MATCH($A31,Base!$A:$A,0)),0)))</f>
        <v>13.140090000000001</v>
      </c>
      <c r="AI31" s="21">
        <f>IF(AI$1&lt;INDEX('Valo FX'!$Q:$Q,MATCH($A31,'Valo FX'!$A:$A,0)),0,IF(AI$1&lt;INDEX('Valo FX'!$R:$R,MATCH($A31,'Valo FX'!$A:$A,0)),INDEX(Base!$U:$U,MATCH($A31,Base!$A:$A,0)),IF(AI$1=INDEX('Valo FX'!$R:$R,MATCH($A31,'Valo FX'!$A:$A,0)),INDEX(Base!$V:$V,MATCH($A31,Base!$A:$A,0)),0)))</f>
        <v>13.140090000000001</v>
      </c>
      <c r="AJ31" s="21">
        <f>IF(AJ$1&lt;INDEX('Valo FX'!$Q:$Q,MATCH($A31,'Valo FX'!$A:$A,0)),0,IF(AJ$1&lt;INDEX('Valo FX'!$R:$R,MATCH($A31,'Valo FX'!$A:$A,0)),INDEX(Base!$U:$U,MATCH($A31,Base!$A:$A,0)),IF(AJ$1=INDEX('Valo FX'!$R:$R,MATCH($A31,'Valo FX'!$A:$A,0)),INDEX(Base!$V:$V,MATCH($A31,Base!$A:$A,0)),0)))</f>
        <v>13.140090000000001</v>
      </c>
      <c r="AK31" s="21">
        <f>IF(AK$1&lt;INDEX('Valo FX'!$Q:$Q,MATCH($A31,'Valo FX'!$A:$A,0)),0,IF(AK$1&lt;INDEX('Valo FX'!$R:$R,MATCH($A31,'Valo FX'!$A:$A,0)),INDEX(Base!$U:$U,MATCH($A31,Base!$A:$A,0)),IF(AK$1=INDEX('Valo FX'!$R:$R,MATCH($A31,'Valo FX'!$A:$A,0)),INDEX(Base!$V:$V,MATCH($A31,Base!$A:$A,0)),0)))</f>
        <v>13.140090000000001</v>
      </c>
      <c r="AL31" s="21">
        <f>IF(AL$1&lt;INDEX('Valo FX'!$Q:$Q,MATCH($A31,'Valo FX'!$A:$A,0)),0,IF(AL$1&lt;INDEX('Valo FX'!$R:$R,MATCH($A31,'Valo FX'!$A:$A,0)),INDEX(Base!$U:$U,MATCH($A31,Base!$A:$A,0)),IF(AL$1=INDEX('Valo FX'!$R:$R,MATCH($A31,'Valo FX'!$A:$A,0)),INDEX(Base!$V:$V,MATCH($A31,Base!$A:$A,0)),0)))</f>
        <v>13.140090000000001</v>
      </c>
      <c r="AM31" s="21">
        <f>IF(AM$1&lt;INDEX('Valo FX'!$Q:$Q,MATCH($A31,'Valo FX'!$A:$A,0)),0,IF(AM$1&lt;INDEX('Valo FX'!$R:$R,MATCH($A31,'Valo FX'!$A:$A,0)),INDEX(Base!$U:$U,MATCH($A31,Base!$A:$A,0)),IF(AM$1=INDEX('Valo FX'!$R:$R,MATCH($A31,'Valo FX'!$A:$A,0)),INDEX(Base!$V:$V,MATCH($A31,Base!$A:$A,0)),0)))</f>
        <v>13.140090000000001</v>
      </c>
      <c r="AN31" s="21">
        <f>IF(AN$1&lt;INDEX('Valo FX'!$Q:$Q,MATCH($A31,'Valo FX'!$A:$A,0)),0,IF(AN$1&lt;INDEX('Valo FX'!$R:$R,MATCH($A31,'Valo FX'!$A:$A,0)),INDEX(Base!$U:$U,MATCH($A31,Base!$A:$A,0)),IF(AN$1=INDEX('Valo FX'!$R:$R,MATCH($A31,'Valo FX'!$A:$A,0)),INDEX(Base!$V:$V,MATCH($A31,Base!$A:$A,0)),0)))</f>
        <v>13.140090000000001</v>
      </c>
      <c r="AO31" s="21">
        <f>IF(AO$1&lt;INDEX('Valo FX'!$Q:$Q,MATCH($A31,'Valo FX'!$A:$A,0)),0,IF(AO$1&lt;INDEX('Valo FX'!$R:$R,MATCH($A31,'Valo FX'!$A:$A,0)),INDEX(Base!$U:$U,MATCH($A31,Base!$A:$A,0)),IF(AO$1=INDEX('Valo FX'!$R:$R,MATCH($A31,'Valo FX'!$A:$A,0)),INDEX(Base!$V:$V,MATCH($A31,Base!$A:$A,0)),0)))</f>
        <v>13.140090000000001</v>
      </c>
      <c r="AP31" s="21">
        <f>IF(AP$1&lt;INDEX('Valo FX'!$Q:$Q,MATCH($A31,'Valo FX'!$A:$A,0)),0,IF(AP$1&lt;INDEX('Valo FX'!$R:$R,MATCH($A31,'Valo FX'!$A:$A,0)),INDEX(Base!$U:$U,MATCH($A31,Base!$A:$A,0)),IF(AP$1=INDEX('Valo FX'!$R:$R,MATCH($A31,'Valo FX'!$A:$A,0)),INDEX(Base!$V:$V,MATCH($A31,Base!$A:$A,0)),0)))</f>
        <v>13.140090000000001</v>
      </c>
      <c r="AQ31" s="21">
        <f>IF(AQ$1&lt;INDEX('Valo FX'!$Q:$Q,MATCH($A31,'Valo FX'!$A:$A,0)),0,IF(AQ$1&lt;INDEX('Valo FX'!$R:$R,MATCH($A31,'Valo FX'!$A:$A,0)),INDEX(Base!$U:$U,MATCH($A31,Base!$A:$A,0)),IF(AQ$1=INDEX('Valo FX'!$R:$R,MATCH($A31,'Valo FX'!$A:$A,0)),INDEX(Base!$V:$V,MATCH($A31,Base!$A:$A,0)),0)))</f>
        <v>13.140090000000001</v>
      </c>
      <c r="AR31" s="21">
        <f>IF(AR$1&lt;INDEX('Valo FX'!$Q:$Q,MATCH($A31,'Valo FX'!$A:$A,0)),0,IF(AR$1&lt;INDEX('Valo FX'!$R:$R,MATCH($A31,'Valo FX'!$A:$A,0)),INDEX(Base!$U:$U,MATCH($A31,Base!$A:$A,0)),IF(AR$1=INDEX('Valo FX'!$R:$R,MATCH($A31,'Valo FX'!$A:$A,0)),INDEX(Base!$V:$V,MATCH($A31,Base!$A:$A,0)),0)))</f>
        <v>13.140090000000001</v>
      </c>
      <c r="AS31" s="21">
        <f>IF(AS$1&lt;INDEX('Valo FX'!$Q:$Q,MATCH($A31,'Valo FX'!$A:$A,0)),0,IF(AS$1&lt;INDEX('Valo FX'!$R:$R,MATCH($A31,'Valo FX'!$A:$A,0)),INDEX(Base!$U:$U,MATCH($A31,Base!$A:$A,0)),IF(AS$1=INDEX('Valo FX'!$R:$R,MATCH($A31,'Valo FX'!$A:$A,0)),INDEX(Base!$V:$V,MATCH($A31,Base!$A:$A,0)),0)))</f>
        <v>13.140090000000001</v>
      </c>
      <c r="AT31" s="21">
        <f>IF(AT$1&lt;INDEX('Valo FX'!$Q:$Q,MATCH($A31,'Valo FX'!$A:$A,0)),0,IF(AT$1&lt;INDEX('Valo FX'!$R:$R,MATCH($A31,'Valo FX'!$A:$A,0)),INDEX(Base!$U:$U,MATCH($A31,Base!$A:$A,0)),IF(AT$1=INDEX('Valo FX'!$R:$R,MATCH($A31,'Valo FX'!$A:$A,0)),INDEX(Base!$V:$V,MATCH($A31,Base!$A:$A,0)),0)))</f>
        <v>13.140090000000001</v>
      </c>
      <c r="AU31" s="21">
        <f>IF(AU$1&lt;INDEX('Valo FX'!$Q:$Q,MATCH($A31,'Valo FX'!$A:$A,0)),0,IF(AU$1&lt;INDEX('Valo FX'!$R:$R,MATCH($A31,'Valo FX'!$A:$A,0)),INDEX(Base!$U:$U,MATCH($A31,Base!$A:$A,0)),IF(AU$1=INDEX('Valo FX'!$R:$R,MATCH($A31,'Valo FX'!$A:$A,0)),INDEX(Base!$V:$V,MATCH($A31,Base!$A:$A,0)),0)))</f>
        <v>13.140090000000001</v>
      </c>
      <c r="AV31" s="21">
        <f>IF(AV$1&lt;INDEX('Valo FX'!$Q:$Q,MATCH($A31,'Valo FX'!$A:$A,0)),0,IF(AV$1&lt;INDEX('Valo FX'!$R:$R,MATCH($A31,'Valo FX'!$A:$A,0)),INDEX(Base!$U:$U,MATCH($A31,Base!$A:$A,0)),IF(AV$1=INDEX('Valo FX'!$R:$R,MATCH($A31,'Valo FX'!$A:$A,0)),INDEX(Base!$V:$V,MATCH($A31,Base!$A:$A,0)),0)))</f>
        <v>13.140090000000001</v>
      </c>
      <c r="AW31" s="21">
        <f>IF(AW$1&lt;INDEX('Valo FX'!$Q:$Q,MATCH($A31,'Valo FX'!$A:$A,0)),0,IF(AW$1&lt;INDEX('Valo FX'!$R:$R,MATCH($A31,'Valo FX'!$A:$A,0)),INDEX(Base!$U:$U,MATCH($A31,Base!$A:$A,0)),IF(AW$1=INDEX('Valo FX'!$R:$R,MATCH($A31,'Valo FX'!$A:$A,0)),INDEX(Base!$V:$V,MATCH($A31,Base!$A:$A,0)),0)))</f>
        <v>13.140090000000001</v>
      </c>
      <c r="AX31" s="21">
        <f>IF(AX$1&lt;INDEX('Valo FX'!$Q:$Q,MATCH($A31,'Valo FX'!$A:$A,0)),0,IF(AX$1&lt;INDEX('Valo FX'!$R:$R,MATCH($A31,'Valo FX'!$A:$A,0)),INDEX(Base!$U:$U,MATCH($A31,Base!$A:$A,0)),IF(AX$1=INDEX('Valo FX'!$R:$R,MATCH($A31,'Valo FX'!$A:$A,0)),INDEX(Base!$V:$V,MATCH($A31,Base!$A:$A,0)),0)))</f>
        <v>13.140090000000001</v>
      </c>
      <c r="AY31" s="21">
        <f>IF(AY$1&lt;INDEX('Valo FX'!$Q:$Q,MATCH($A31,'Valo FX'!$A:$A,0)),0,IF(AY$1&lt;INDEX('Valo FX'!$R:$R,MATCH($A31,'Valo FX'!$A:$A,0)),INDEX(Base!$U:$U,MATCH($A31,Base!$A:$A,0)),IF(AY$1=INDEX('Valo FX'!$R:$R,MATCH($A31,'Valo FX'!$A:$A,0)),INDEX(Base!$V:$V,MATCH($A31,Base!$A:$A,0)),0)))</f>
        <v>13.140090000000001</v>
      </c>
      <c r="AZ31" s="21">
        <f>IF(AZ$1&lt;INDEX('Valo FX'!$Q:$Q,MATCH($A31,'Valo FX'!$A:$A,0)),0,IF(AZ$1&lt;INDEX('Valo FX'!$R:$R,MATCH($A31,'Valo FX'!$A:$A,0)),INDEX(Base!$U:$U,MATCH($A31,Base!$A:$A,0)),IF(AZ$1=INDEX('Valo FX'!$R:$R,MATCH($A31,'Valo FX'!$A:$A,0)),INDEX(Base!$V:$V,MATCH($A31,Base!$A:$A,0)),0)))</f>
        <v>13.140090000000001</v>
      </c>
      <c r="BA31" s="21">
        <f>IF(BA$1&lt;INDEX('Valo FX'!$Q:$Q,MATCH($A31,'Valo FX'!$A:$A,0)),0,IF(BA$1&lt;INDEX('Valo FX'!$R:$R,MATCH($A31,'Valo FX'!$A:$A,0)),INDEX(Base!$U:$U,MATCH($A31,Base!$A:$A,0)),IF(BA$1=INDEX('Valo FX'!$R:$R,MATCH($A31,'Valo FX'!$A:$A,0)),INDEX(Base!$V:$V,MATCH($A31,Base!$A:$A,0)),0)))</f>
        <v>13.140090000000001</v>
      </c>
      <c r="BB31" s="21">
        <f>IF(BB$1&lt;INDEX('Valo FX'!$Q:$Q,MATCH($A31,'Valo FX'!$A:$A,0)),0,IF(BB$1&lt;INDEX('Valo FX'!$R:$R,MATCH($A31,'Valo FX'!$A:$A,0)),INDEX(Base!$U:$U,MATCH($A31,Base!$A:$A,0)),IF(BB$1=INDEX('Valo FX'!$R:$R,MATCH($A31,'Valo FX'!$A:$A,0)),INDEX(Base!$V:$V,MATCH($A31,Base!$A:$A,0)),0)))</f>
        <v>13.140090000000001</v>
      </c>
      <c r="BC31" s="21">
        <f>IF(BC$1&lt;INDEX('Valo FX'!$Q:$Q,MATCH($A31,'Valo FX'!$A:$A,0)),0,IF(BC$1&lt;INDEX('Valo FX'!$R:$R,MATCH($A31,'Valo FX'!$A:$A,0)),INDEX(Base!$U:$U,MATCH($A31,Base!$A:$A,0)),IF(BC$1=INDEX('Valo FX'!$R:$R,MATCH($A31,'Valo FX'!$A:$A,0)),INDEX(Base!$V:$V,MATCH($A31,Base!$A:$A,0)),0)))</f>
        <v>13.140090000000001</v>
      </c>
      <c r="BD31" s="21">
        <f>IF(BD$1&lt;INDEX('Valo FX'!$Q:$Q,MATCH($A31,'Valo FX'!$A:$A,0)),0,IF(BD$1&lt;INDEX('Valo FX'!$R:$R,MATCH($A31,'Valo FX'!$A:$A,0)),INDEX(Base!$U:$U,MATCH($A31,Base!$A:$A,0)),IF(BD$1=INDEX('Valo FX'!$R:$R,MATCH($A31,'Valo FX'!$A:$A,0)),INDEX(Base!$V:$V,MATCH($A31,Base!$A:$A,0)),0)))</f>
        <v>13.140090000000001</v>
      </c>
      <c r="BE31" s="21">
        <f>IF(BE$1&lt;INDEX('Valo FX'!$Q:$Q,MATCH($A31,'Valo FX'!$A:$A,0)),0,IF(BE$1&lt;INDEX('Valo FX'!$R:$R,MATCH($A31,'Valo FX'!$A:$A,0)),INDEX(Base!$U:$U,MATCH($A31,Base!$A:$A,0)),IF(BE$1=INDEX('Valo FX'!$R:$R,MATCH($A31,'Valo FX'!$A:$A,0)),INDEX(Base!$V:$V,MATCH($A31,Base!$A:$A,0)),0)))</f>
        <v>13.140090000000001</v>
      </c>
      <c r="BF31" s="21">
        <f>IF(BF$1&lt;INDEX('Valo FX'!$Q:$Q,MATCH($A31,'Valo FX'!$A:$A,0)),0,IF(BF$1&lt;INDEX('Valo FX'!$R:$R,MATCH($A31,'Valo FX'!$A:$A,0)),INDEX(Base!$U:$U,MATCH($A31,Base!$A:$A,0)),IF(BF$1=INDEX('Valo FX'!$R:$R,MATCH($A31,'Valo FX'!$A:$A,0)),INDEX(Base!$V:$V,MATCH($A31,Base!$A:$A,0)),0)))</f>
        <v>13.140090000000001</v>
      </c>
      <c r="BG31" s="21">
        <f>IF(BG$1&lt;INDEX('Valo FX'!$Q:$Q,MATCH($A31,'Valo FX'!$A:$A,0)),0,IF(BG$1&lt;INDEX('Valo FX'!$R:$R,MATCH($A31,'Valo FX'!$A:$A,0)),INDEX(Base!$U:$U,MATCH($A31,Base!$A:$A,0)),IF(BG$1=INDEX('Valo FX'!$R:$R,MATCH($A31,'Valo FX'!$A:$A,0)),INDEX(Base!$V:$V,MATCH($A31,Base!$A:$A,0)),0)))</f>
        <v>13.140090000000001</v>
      </c>
      <c r="BH31" s="21">
        <f>IF(BH$1&lt;INDEX('Valo FX'!$Q:$Q,MATCH($A31,'Valo FX'!$A:$A,0)),0,IF(BH$1&lt;INDEX('Valo FX'!$R:$R,MATCH($A31,'Valo FX'!$A:$A,0)),INDEX(Base!$U:$U,MATCH($A31,Base!$A:$A,0)),IF(BH$1=INDEX('Valo FX'!$R:$R,MATCH($A31,'Valo FX'!$A:$A,0)),INDEX(Base!$V:$V,MATCH($A31,Base!$A:$A,0)),0)))</f>
        <v>13.140090000000001</v>
      </c>
      <c r="BI31" s="21">
        <f>IF(BI$1&lt;INDEX('Valo FX'!$Q:$Q,MATCH($A31,'Valo FX'!$A:$A,0)),0,IF(BI$1&lt;INDEX('Valo FX'!$R:$R,MATCH($A31,'Valo FX'!$A:$A,0)),INDEX(Base!$U:$U,MATCH($A31,Base!$A:$A,0)),IF(BI$1=INDEX('Valo FX'!$R:$R,MATCH($A31,'Valo FX'!$A:$A,0)),INDEX(Base!$V:$V,MATCH($A31,Base!$A:$A,0)),0)))</f>
        <v>13.140090000000001</v>
      </c>
      <c r="BJ31" s="21">
        <f>IF(BJ$1&lt;INDEX('Valo FX'!$Q:$Q,MATCH($A31,'Valo FX'!$A:$A,0)),0,IF(BJ$1&lt;INDEX('Valo FX'!$R:$R,MATCH($A31,'Valo FX'!$A:$A,0)),INDEX(Base!$U:$U,MATCH($A31,Base!$A:$A,0)),IF(BJ$1=INDEX('Valo FX'!$R:$R,MATCH($A31,'Valo FX'!$A:$A,0)),INDEX(Base!$V:$V,MATCH($A31,Base!$A:$A,0)),0)))</f>
        <v>13.140090000000001</v>
      </c>
      <c r="BK31" s="21">
        <f>IF(BK$1&lt;INDEX('Valo FX'!$Q:$Q,MATCH($A31,'Valo FX'!$A:$A,0)),0,IF(BK$1&lt;INDEX('Valo FX'!$R:$R,MATCH($A31,'Valo FX'!$A:$A,0)),INDEX(Base!$U:$U,MATCH($A31,Base!$A:$A,0)),IF(BK$1=INDEX('Valo FX'!$R:$R,MATCH($A31,'Valo FX'!$A:$A,0)),INDEX(Base!$V:$V,MATCH($A31,Base!$A:$A,0)),0)))</f>
        <v>13.140090000000001</v>
      </c>
      <c r="BL31" s="21">
        <f>IF(BL$1&lt;INDEX('Valo FX'!$Q:$Q,MATCH($A31,'Valo FX'!$A:$A,0)),0,IF(BL$1&lt;INDEX('Valo FX'!$R:$R,MATCH($A31,'Valo FX'!$A:$A,0)),INDEX(Base!$U:$U,MATCH($A31,Base!$A:$A,0)),IF(BL$1=INDEX('Valo FX'!$R:$R,MATCH($A31,'Valo FX'!$A:$A,0)),INDEX(Base!$V:$V,MATCH($A31,Base!$A:$A,0)),0)))</f>
        <v>13.140090000000001</v>
      </c>
      <c r="BM31" s="21">
        <f>IF(BM$1&lt;INDEX('Valo FX'!$Q:$Q,MATCH($A31,'Valo FX'!$A:$A,0)),0,IF(BM$1&lt;INDEX('Valo FX'!$R:$R,MATCH($A31,'Valo FX'!$A:$A,0)),INDEX(Base!$U:$U,MATCH($A31,Base!$A:$A,0)),IF(BM$1=INDEX('Valo FX'!$R:$R,MATCH($A31,'Valo FX'!$A:$A,0)),INDEX(Base!$V:$V,MATCH($A31,Base!$A:$A,0)),0)))</f>
        <v>13.140090000000001</v>
      </c>
      <c r="BN31" s="21">
        <f>IF(BN$1&lt;INDEX('Valo FX'!$Q:$Q,MATCH($A31,'Valo FX'!$A:$A,0)),0,IF(BN$1&lt;INDEX('Valo FX'!$R:$R,MATCH($A31,'Valo FX'!$A:$A,0)),INDEX(Base!$U:$U,MATCH($A31,Base!$A:$A,0)),IF(BN$1=INDEX('Valo FX'!$R:$R,MATCH($A31,'Valo FX'!$A:$A,0)),INDEX(Base!$V:$V,MATCH($A31,Base!$A:$A,0)),0)))</f>
        <v>13.140090000000001</v>
      </c>
      <c r="BO31" s="21">
        <f>IF(BO$1&lt;INDEX('Valo FX'!$Q:$Q,MATCH($A31,'Valo FX'!$A:$A,0)),0,IF(BO$1&lt;INDEX('Valo FX'!$R:$R,MATCH($A31,'Valo FX'!$A:$A,0)),INDEX(Base!$U:$U,MATCH($A31,Base!$A:$A,0)),IF(BO$1=INDEX('Valo FX'!$R:$R,MATCH($A31,'Valo FX'!$A:$A,0)),INDEX(Base!$V:$V,MATCH($A31,Base!$A:$A,0)),0)))</f>
        <v>13.140090000000001</v>
      </c>
      <c r="BP31" s="21">
        <f>IF(BP$1&lt;INDEX('Valo FX'!$Q:$Q,MATCH($A31,'Valo FX'!$A:$A,0)),0,IF(BP$1&lt;INDEX('Valo FX'!$R:$R,MATCH($A31,'Valo FX'!$A:$A,0)),INDEX(Base!$U:$U,MATCH($A31,Base!$A:$A,0)),IF(BP$1=INDEX('Valo FX'!$R:$R,MATCH($A31,'Valo FX'!$A:$A,0)),INDEX(Base!$V:$V,MATCH($A31,Base!$A:$A,0)),0)))</f>
        <v>13.140090000000001</v>
      </c>
      <c r="BQ31" s="21">
        <f>IF(BQ$1&lt;INDEX('Valo FX'!$Q:$Q,MATCH($A31,'Valo FX'!$A:$A,0)),0,IF(BQ$1&lt;INDEX('Valo FX'!$R:$R,MATCH($A31,'Valo FX'!$A:$A,0)),INDEX(Base!$U:$U,MATCH($A31,Base!$A:$A,0)),IF(BQ$1=INDEX('Valo FX'!$R:$R,MATCH($A31,'Valo FX'!$A:$A,0)),INDEX(Base!$V:$V,MATCH($A31,Base!$A:$A,0)),0)))</f>
        <v>13.140090000000001</v>
      </c>
      <c r="BR31" s="21">
        <f>IF(BR$1&lt;INDEX('Valo FX'!$Q:$Q,MATCH($A31,'Valo FX'!$A:$A,0)),0,IF(BR$1&lt;INDEX('Valo FX'!$R:$R,MATCH($A31,'Valo FX'!$A:$A,0)),INDEX(Base!$U:$U,MATCH($A31,Base!$A:$A,0)),IF(BR$1=INDEX('Valo FX'!$R:$R,MATCH($A31,'Valo FX'!$A:$A,0)),INDEX(Base!$V:$V,MATCH($A31,Base!$A:$A,0)),0)))</f>
        <v>13.140090000000001</v>
      </c>
      <c r="BS31" s="21">
        <f>IF(BS$1&lt;INDEX('Valo FX'!$Q:$Q,MATCH($A31,'Valo FX'!$A:$A,0)),0,IF(BS$1&lt;INDEX('Valo FX'!$R:$R,MATCH($A31,'Valo FX'!$A:$A,0)),INDEX(Base!$U:$U,MATCH($A31,Base!$A:$A,0)),IF(BS$1=INDEX('Valo FX'!$R:$R,MATCH($A31,'Valo FX'!$A:$A,0)),INDEX(Base!$V:$V,MATCH($A31,Base!$A:$A,0)),0)))</f>
        <v>13.140090000000001</v>
      </c>
      <c r="BT31" s="21">
        <f>IF(BT$1&lt;INDEX('Valo FX'!$Q:$Q,MATCH($A31,'Valo FX'!$A:$A,0)),0,IF(BT$1&lt;INDEX('Valo FX'!$R:$R,MATCH($A31,'Valo FX'!$A:$A,0)),INDEX(Base!$U:$U,MATCH($A31,Base!$A:$A,0)),IF(BT$1=INDEX('Valo FX'!$R:$R,MATCH($A31,'Valo FX'!$A:$A,0)),INDEX(Base!$V:$V,MATCH($A31,Base!$A:$A,0)),0)))</f>
        <v>13.140090000000001</v>
      </c>
      <c r="BU31" s="21">
        <f>IF(BU$1&lt;INDEX('Valo FX'!$Q:$Q,MATCH($A31,'Valo FX'!$A:$A,0)),0,IF(BU$1&lt;INDEX('Valo FX'!$R:$R,MATCH($A31,'Valo FX'!$A:$A,0)),INDEX(Base!$U:$U,MATCH($A31,Base!$A:$A,0)),IF(BU$1=INDEX('Valo FX'!$R:$R,MATCH($A31,'Valo FX'!$A:$A,0)),INDEX(Base!$V:$V,MATCH($A31,Base!$A:$A,0)),0)))</f>
        <v>13.140090000000001</v>
      </c>
      <c r="BV31" s="21">
        <f>IF(BV$1&lt;INDEX('Valo FX'!$Q:$Q,MATCH($A31,'Valo FX'!$A:$A,0)),0,IF(BV$1&lt;INDEX('Valo FX'!$R:$R,MATCH($A31,'Valo FX'!$A:$A,0)),INDEX(Base!$U:$U,MATCH($A31,Base!$A:$A,0)),IF(BV$1=INDEX('Valo FX'!$R:$R,MATCH($A31,'Valo FX'!$A:$A,0)),INDEX(Base!$V:$V,MATCH($A31,Base!$A:$A,0)),0)))</f>
        <v>13.140090000000001</v>
      </c>
      <c r="BW31" s="21">
        <f>IF(BW$1&lt;INDEX('Valo FX'!$Q:$Q,MATCH($A31,'Valo FX'!$A:$A,0)),0,IF(BW$1&lt;INDEX('Valo FX'!$R:$R,MATCH($A31,'Valo FX'!$A:$A,0)),INDEX(Base!$U:$U,MATCH($A31,Base!$A:$A,0)),IF(BW$1=INDEX('Valo FX'!$R:$R,MATCH($A31,'Valo FX'!$A:$A,0)),INDEX(Base!$V:$V,MATCH($A31,Base!$A:$A,0)),0)))</f>
        <v>13.140090000000001</v>
      </c>
      <c r="BX31" s="21">
        <f>IF(BX$1&lt;INDEX('Valo FX'!$Q:$Q,MATCH($A31,'Valo FX'!$A:$A,0)),0,IF(BX$1&lt;INDEX('Valo FX'!$R:$R,MATCH($A31,'Valo FX'!$A:$A,0)),INDEX(Base!$U:$U,MATCH($A31,Base!$A:$A,0)),IF(BX$1=INDEX('Valo FX'!$R:$R,MATCH($A31,'Valo FX'!$A:$A,0)),INDEX(Base!$V:$V,MATCH($A31,Base!$A:$A,0)),0)))</f>
        <v>13.140090000000001</v>
      </c>
      <c r="BY31" s="21">
        <f>IF(BY$1&lt;INDEX('Valo FX'!$Q:$Q,MATCH($A31,'Valo FX'!$A:$A,0)),0,IF(BY$1&lt;INDEX('Valo FX'!$R:$R,MATCH($A31,'Valo FX'!$A:$A,0)),INDEX(Base!$U:$U,MATCH($A31,Base!$A:$A,0)),IF(BY$1=INDEX('Valo FX'!$R:$R,MATCH($A31,'Valo FX'!$A:$A,0)),INDEX(Base!$V:$V,MATCH($A31,Base!$A:$A,0)),0)))</f>
        <v>13.140090000000001</v>
      </c>
      <c r="BZ31" s="21">
        <f>IF(BZ$1&lt;INDEX('Valo FX'!$Q:$Q,MATCH($A31,'Valo FX'!$A:$A,0)),0,IF(BZ$1&lt;INDEX('Valo FX'!$R:$R,MATCH($A31,'Valo FX'!$A:$A,0)),INDEX(Base!$U:$U,MATCH($A31,Base!$A:$A,0)),IF(BZ$1=INDEX('Valo FX'!$R:$R,MATCH($A31,'Valo FX'!$A:$A,0)),INDEX(Base!$V:$V,MATCH($A31,Base!$A:$A,0)),0)))</f>
        <v>13.140090000000001</v>
      </c>
      <c r="CA31" s="21">
        <f>IF(CA$1&lt;INDEX('Valo FX'!$Q:$Q,MATCH($A31,'Valo FX'!$A:$A,0)),0,IF(CA$1&lt;INDEX('Valo FX'!$R:$R,MATCH($A31,'Valo FX'!$A:$A,0)),INDEX(Base!$U:$U,MATCH($A31,Base!$A:$A,0)),IF(CA$1=INDEX('Valo FX'!$R:$R,MATCH($A31,'Valo FX'!$A:$A,0)),INDEX(Base!$V:$V,MATCH($A31,Base!$A:$A,0)),0)))</f>
        <v>13.140090000000001</v>
      </c>
      <c r="CB31" s="21">
        <f>IF(CB$1&lt;INDEX('Valo FX'!$Q:$Q,MATCH($A31,'Valo FX'!$A:$A,0)),0,IF(CB$1&lt;INDEX('Valo FX'!$R:$R,MATCH($A31,'Valo FX'!$A:$A,0)),INDEX(Base!$U:$U,MATCH($A31,Base!$A:$A,0)),IF(CB$1=INDEX('Valo FX'!$R:$R,MATCH($A31,'Valo FX'!$A:$A,0)),INDEX(Base!$V:$V,MATCH($A31,Base!$A:$A,0)),0)))</f>
        <v>13.140090000000001</v>
      </c>
      <c r="CC31" s="21">
        <f>IF(CC$1&lt;INDEX('Valo FX'!$Q:$Q,MATCH($A31,'Valo FX'!$A:$A,0)),0,IF(CC$1&lt;INDEX('Valo FX'!$R:$R,MATCH($A31,'Valo FX'!$A:$A,0)),INDEX(Base!$U:$U,MATCH($A31,Base!$A:$A,0)),IF(CC$1=INDEX('Valo FX'!$R:$R,MATCH($A31,'Valo FX'!$A:$A,0)),INDEX(Base!$V:$V,MATCH($A31,Base!$A:$A,0)),0)))</f>
        <v>13.140090000000001</v>
      </c>
      <c r="CD31" s="21">
        <f>IF(CD$1&lt;INDEX('Valo FX'!$Q:$Q,MATCH($A31,'Valo FX'!$A:$A,0)),0,IF(CD$1&lt;INDEX('Valo FX'!$R:$R,MATCH($A31,'Valo FX'!$A:$A,0)),INDEX(Base!$U:$U,MATCH($A31,Base!$A:$A,0)),IF(CD$1=INDEX('Valo FX'!$R:$R,MATCH($A31,'Valo FX'!$A:$A,0)),INDEX(Base!$V:$V,MATCH($A31,Base!$A:$A,0)),0)))</f>
        <v>13.140090000000001</v>
      </c>
      <c r="CE31" s="21">
        <f>IF(CE$1&lt;INDEX('Valo FX'!$Q:$Q,MATCH($A31,'Valo FX'!$A:$A,0)),0,IF(CE$1&lt;INDEX('Valo FX'!$R:$R,MATCH($A31,'Valo FX'!$A:$A,0)),INDEX(Base!$U:$U,MATCH($A31,Base!$A:$A,0)),IF(CE$1=INDEX('Valo FX'!$R:$R,MATCH($A31,'Valo FX'!$A:$A,0)),INDEX(Base!$V:$V,MATCH($A31,Base!$A:$A,0)),0)))</f>
        <v>13.140090000000001</v>
      </c>
      <c r="CF31" s="21">
        <f>IF(CF$1&lt;INDEX('Valo FX'!$Q:$Q,MATCH($A31,'Valo FX'!$A:$A,0)),0,IF(CF$1&lt;INDEX('Valo FX'!$R:$R,MATCH($A31,'Valo FX'!$A:$A,0)),INDEX(Base!$U:$U,MATCH($A31,Base!$A:$A,0)),IF(CF$1=INDEX('Valo FX'!$R:$R,MATCH($A31,'Valo FX'!$A:$A,0)),INDEX(Base!$V:$V,MATCH($A31,Base!$A:$A,0)),0)))</f>
        <v>13.140090000000001</v>
      </c>
      <c r="CG31" s="21">
        <f>IF(CG$1&lt;INDEX('Valo FX'!$Q:$Q,MATCH($A31,'Valo FX'!$A:$A,0)),0,IF(CG$1&lt;INDEX('Valo FX'!$R:$R,MATCH($A31,'Valo FX'!$A:$A,0)),INDEX(Base!$U:$U,MATCH($A31,Base!$A:$A,0)),IF(CG$1=INDEX('Valo FX'!$R:$R,MATCH($A31,'Valo FX'!$A:$A,0)),INDEX(Base!$V:$V,MATCH($A31,Base!$A:$A,0)),0)))</f>
        <v>13.140090000000001</v>
      </c>
      <c r="CH31" s="21">
        <f>IF(CH$1&lt;INDEX('Valo FX'!$Q:$Q,MATCH($A31,'Valo FX'!$A:$A,0)),0,IF(CH$1&lt;INDEX('Valo FX'!$R:$R,MATCH($A31,'Valo FX'!$A:$A,0)),INDEX(Base!$U:$U,MATCH($A31,Base!$A:$A,0)),IF(CH$1=INDEX('Valo FX'!$R:$R,MATCH($A31,'Valo FX'!$A:$A,0)),INDEX(Base!$V:$V,MATCH($A31,Base!$A:$A,0)),0)))</f>
        <v>13.140090000000001</v>
      </c>
      <c r="CI31" s="21">
        <f>IF(CI$1&lt;INDEX('Valo FX'!$Q:$Q,MATCH($A31,'Valo FX'!$A:$A,0)),0,IF(CI$1&lt;INDEX('Valo FX'!$R:$R,MATCH($A31,'Valo FX'!$A:$A,0)),INDEX(Base!$U:$U,MATCH($A31,Base!$A:$A,0)),IF(CI$1=INDEX('Valo FX'!$R:$R,MATCH($A31,'Valo FX'!$A:$A,0)),INDEX(Base!$V:$V,MATCH($A31,Base!$A:$A,0)),0)))</f>
        <v>13.140090000000001</v>
      </c>
      <c r="CJ31" s="21">
        <f>IF(CJ$1&lt;INDEX('Valo FX'!$Q:$Q,MATCH($A31,'Valo FX'!$A:$A,0)),0,IF(CJ$1&lt;INDEX('Valo FX'!$R:$R,MATCH($A31,'Valo FX'!$A:$A,0)),INDEX(Base!$U:$U,MATCH($A31,Base!$A:$A,0)),IF(CJ$1=INDEX('Valo FX'!$R:$R,MATCH($A31,'Valo FX'!$A:$A,0)),INDEX(Base!$V:$V,MATCH($A31,Base!$A:$A,0)),0)))</f>
        <v>13.140090000000001</v>
      </c>
      <c r="CK31" s="21">
        <f>IF(CK$1&lt;INDEX('Valo FX'!$Q:$Q,MATCH($A31,'Valo FX'!$A:$A,0)),0,IF(CK$1&lt;INDEX('Valo FX'!$R:$R,MATCH($A31,'Valo FX'!$A:$A,0)),INDEX(Base!$U:$U,MATCH($A31,Base!$A:$A,0)),IF(CK$1=INDEX('Valo FX'!$R:$R,MATCH($A31,'Valo FX'!$A:$A,0)),INDEX(Base!$V:$V,MATCH($A31,Base!$A:$A,0)),0)))</f>
        <v>13.140090000000001</v>
      </c>
      <c r="CL31" s="21">
        <f>IF(CL$1&lt;INDEX('Valo FX'!$Q:$Q,MATCH($A31,'Valo FX'!$A:$A,0)),0,IF(CL$1&lt;INDEX('Valo FX'!$R:$R,MATCH($A31,'Valo FX'!$A:$A,0)),INDEX(Base!$U:$U,MATCH($A31,Base!$A:$A,0)),IF(CL$1=INDEX('Valo FX'!$R:$R,MATCH($A31,'Valo FX'!$A:$A,0)),INDEX(Base!$V:$V,MATCH($A31,Base!$A:$A,0)),0)))</f>
        <v>13.140090000000001</v>
      </c>
      <c r="CM31" s="21">
        <f>IF(CM$1&lt;INDEX('Valo FX'!$Q:$Q,MATCH($A31,'Valo FX'!$A:$A,0)),0,IF(CM$1&lt;INDEX('Valo FX'!$R:$R,MATCH($A31,'Valo FX'!$A:$A,0)),INDEX(Base!$U:$U,MATCH($A31,Base!$A:$A,0)),IF(CM$1=INDEX('Valo FX'!$R:$R,MATCH($A31,'Valo FX'!$A:$A,0)),INDEX(Base!$V:$V,MATCH($A31,Base!$A:$A,0)),0)))</f>
        <v>13.140090000000001</v>
      </c>
      <c r="CN31" s="21">
        <f>IF(CN$1&lt;INDEX('Valo FX'!$Q:$Q,MATCH($A31,'Valo FX'!$A:$A,0)),0,IF(CN$1&lt;INDEX('Valo FX'!$R:$R,MATCH($A31,'Valo FX'!$A:$A,0)),INDEX(Base!$U:$U,MATCH($A31,Base!$A:$A,0)),IF(CN$1=INDEX('Valo FX'!$R:$R,MATCH($A31,'Valo FX'!$A:$A,0)),INDEX(Base!$V:$V,MATCH($A31,Base!$A:$A,0)),0)))</f>
        <v>13.140090000000001</v>
      </c>
      <c r="CO31" s="21">
        <f>IF(CO$1&lt;INDEX('Valo FX'!$Q:$Q,MATCH($A31,'Valo FX'!$A:$A,0)),0,IF(CO$1&lt;INDEX('Valo FX'!$R:$R,MATCH($A31,'Valo FX'!$A:$A,0)),INDEX(Base!$U:$U,MATCH($A31,Base!$A:$A,0)),IF(CO$1=INDEX('Valo FX'!$R:$R,MATCH($A31,'Valo FX'!$A:$A,0)),INDEX(Base!$V:$V,MATCH($A31,Base!$A:$A,0)),0)))</f>
        <v>13.140090000000001</v>
      </c>
      <c r="CP31" s="21">
        <f>IF(CP$1&lt;INDEX('Valo FX'!$Q:$Q,MATCH($A31,'Valo FX'!$A:$A,0)),0,IF(CP$1&lt;INDEX('Valo FX'!$R:$R,MATCH($A31,'Valo FX'!$A:$A,0)),INDEX(Base!$U:$U,MATCH($A31,Base!$A:$A,0)),IF(CP$1=INDEX('Valo FX'!$R:$R,MATCH($A31,'Valo FX'!$A:$A,0)),INDEX(Base!$V:$V,MATCH($A31,Base!$A:$A,0)),0)))</f>
        <v>13.140090000000001</v>
      </c>
      <c r="CQ31" s="21">
        <f>IF(CQ$1&lt;INDEX('Valo FX'!$Q:$Q,MATCH($A31,'Valo FX'!$A:$A,0)),0,IF(CQ$1&lt;INDEX('Valo FX'!$R:$R,MATCH($A31,'Valo FX'!$A:$A,0)),INDEX(Base!$U:$U,MATCH($A31,Base!$A:$A,0)),IF(CQ$1=INDEX('Valo FX'!$R:$R,MATCH($A31,'Valo FX'!$A:$A,0)),INDEX(Base!$V:$V,MATCH($A31,Base!$A:$A,0)),0)))</f>
        <v>13.140090000000001</v>
      </c>
      <c r="CR31" s="21">
        <f>IF(CR$1&lt;INDEX('Valo FX'!$Q:$Q,MATCH($A31,'Valo FX'!$A:$A,0)),0,IF(CR$1&lt;INDEX('Valo FX'!$R:$R,MATCH($A31,'Valo FX'!$A:$A,0)),INDEX(Base!$U:$U,MATCH($A31,Base!$A:$A,0)),IF(CR$1=INDEX('Valo FX'!$R:$R,MATCH($A31,'Valo FX'!$A:$A,0)),INDEX(Base!$V:$V,MATCH($A31,Base!$A:$A,0)),0)))</f>
        <v>13.140090000000001</v>
      </c>
      <c r="CS31" s="21">
        <f>IF(CS$1&lt;INDEX('Valo FX'!$Q:$Q,MATCH($A31,'Valo FX'!$A:$A,0)),0,IF(CS$1&lt;INDEX('Valo FX'!$R:$R,MATCH($A31,'Valo FX'!$A:$A,0)),INDEX(Base!$U:$U,MATCH($A31,Base!$A:$A,0)),IF(CS$1=INDEX('Valo FX'!$R:$R,MATCH($A31,'Valo FX'!$A:$A,0)),INDEX(Base!$V:$V,MATCH($A31,Base!$A:$A,0)),0)))</f>
        <v>13.140090000000001</v>
      </c>
      <c r="CT31" s="21">
        <f>IF(CT$1&lt;INDEX('Valo FX'!$Q:$Q,MATCH($A31,'Valo FX'!$A:$A,0)),0,IF(CT$1&lt;INDEX('Valo FX'!$R:$R,MATCH($A31,'Valo FX'!$A:$A,0)),INDEX(Base!$U:$U,MATCH($A31,Base!$A:$A,0)),IF(CT$1=INDEX('Valo FX'!$R:$R,MATCH($A31,'Valo FX'!$A:$A,0)),INDEX(Base!$V:$V,MATCH($A31,Base!$A:$A,0)),0)))</f>
        <v>13.140090000000001</v>
      </c>
      <c r="CU31" s="21">
        <f>IF(CU$1&lt;INDEX('Valo FX'!$Q:$Q,MATCH($A31,'Valo FX'!$A:$A,0)),0,IF(CU$1&lt;INDEX('Valo FX'!$R:$R,MATCH($A31,'Valo FX'!$A:$A,0)),INDEX(Base!$U:$U,MATCH($A31,Base!$A:$A,0)),IF(CU$1=INDEX('Valo FX'!$R:$R,MATCH($A31,'Valo FX'!$A:$A,0)),INDEX(Base!$V:$V,MATCH($A31,Base!$A:$A,0)),0)))</f>
        <v>13.140090000000001</v>
      </c>
      <c r="CV31" s="21">
        <f>IF(CV$1&lt;INDEX('Valo FX'!$Q:$Q,MATCH($A31,'Valo FX'!$A:$A,0)),0,IF(CV$1&lt;INDEX('Valo FX'!$R:$R,MATCH($A31,'Valo FX'!$A:$A,0)),INDEX(Base!$U:$U,MATCH($A31,Base!$A:$A,0)),IF(CV$1=INDEX('Valo FX'!$R:$R,MATCH($A31,'Valo FX'!$A:$A,0)),INDEX(Base!$V:$V,MATCH($A31,Base!$A:$A,0)),0)))</f>
        <v>13.140090000000001</v>
      </c>
      <c r="CW31" s="21">
        <f>IF(CW$1&lt;INDEX('Valo FX'!$Q:$Q,MATCH($A31,'Valo FX'!$A:$A,0)),0,IF(CW$1&lt;INDEX('Valo FX'!$R:$R,MATCH($A31,'Valo FX'!$A:$A,0)),INDEX(Base!$U:$U,MATCH($A31,Base!$A:$A,0)),IF(CW$1=INDEX('Valo FX'!$R:$R,MATCH($A31,'Valo FX'!$A:$A,0)),INDEX(Base!$V:$V,MATCH($A31,Base!$A:$A,0)),0)))</f>
        <v>13.140090000000001</v>
      </c>
      <c r="CX31" s="21">
        <f>IF(CX$1&lt;INDEX('Valo FX'!$Q:$Q,MATCH($A31,'Valo FX'!$A:$A,0)),0,IF(CX$1&lt;INDEX('Valo FX'!$R:$R,MATCH($A31,'Valo FX'!$A:$A,0)),INDEX(Base!$U:$U,MATCH($A31,Base!$A:$A,0)),IF(CX$1=INDEX('Valo FX'!$R:$R,MATCH($A31,'Valo FX'!$A:$A,0)),INDEX(Base!$V:$V,MATCH($A31,Base!$A:$A,0)),0)))</f>
        <v>13.140090000000001</v>
      </c>
      <c r="CY31" s="21">
        <f>IF(CY$1&lt;INDEX('Valo FX'!$Q:$Q,MATCH($A31,'Valo FX'!$A:$A,0)),0,IF(CY$1&lt;INDEX('Valo FX'!$R:$R,MATCH($A31,'Valo FX'!$A:$A,0)),INDEX(Base!$U:$U,MATCH($A31,Base!$A:$A,0)),IF(CY$1=INDEX('Valo FX'!$R:$R,MATCH($A31,'Valo FX'!$A:$A,0)),INDEX(Base!$V:$V,MATCH($A31,Base!$A:$A,0)),0)))</f>
        <v>13.140090000000001</v>
      </c>
      <c r="CZ31" s="21">
        <f>IF(CZ$1&lt;INDEX('Valo FX'!$Q:$Q,MATCH($A31,'Valo FX'!$A:$A,0)),0,IF(CZ$1&lt;INDEX('Valo FX'!$R:$R,MATCH($A31,'Valo FX'!$A:$A,0)),INDEX(Base!$U:$U,MATCH($A31,Base!$A:$A,0)),IF(CZ$1=INDEX('Valo FX'!$R:$R,MATCH($A31,'Valo FX'!$A:$A,0)),INDEX(Base!$V:$V,MATCH($A31,Base!$A:$A,0)),0)))</f>
        <v>13.140090000000001</v>
      </c>
      <c r="DA31" s="21">
        <f>IF(DA$1&lt;INDEX('Valo FX'!$Q:$Q,MATCH($A31,'Valo FX'!$A:$A,0)),0,IF(DA$1&lt;INDEX('Valo FX'!$R:$R,MATCH($A31,'Valo FX'!$A:$A,0)),INDEX(Base!$U:$U,MATCH($A31,Base!$A:$A,0)),IF(DA$1=INDEX('Valo FX'!$R:$R,MATCH($A31,'Valo FX'!$A:$A,0)),INDEX(Base!$V:$V,MATCH($A31,Base!$A:$A,0)),0)))</f>
        <v>13.140090000000001</v>
      </c>
      <c r="DB31" s="21">
        <f>IF(DB$1&lt;INDEX('Valo FX'!$Q:$Q,MATCH($A31,'Valo FX'!$A:$A,0)),0,IF(DB$1&lt;INDEX('Valo FX'!$R:$R,MATCH($A31,'Valo FX'!$A:$A,0)),INDEX(Base!$U:$U,MATCH($A31,Base!$A:$A,0)),IF(DB$1=INDEX('Valo FX'!$R:$R,MATCH($A31,'Valo FX'!$A:$A,0)),INDEX(Base!$V:$V,MATCH($A31,Base!$A:$A,0)),0)))</f>
        <v>13.140090000000001</v>
      </c>
      <c r="DC31" s="21">
        <f>IF(DC$1&lt;INDEX('Valo FX'!$Q:$Q,MATCH($A31,'Valo FX'!$A:$A,0)),0,IF(DC$1&lt;INDEX('Valo FX'!$R:$R,MATCH($A31,'Valo FX'!$A:$A,0)),INDEX(Base!$U:$U,MATCH($A31,Base!$A:$A,0)),IF(DC$1=INDEX('Valo FX'!$R:$R,MATCH($A31,'Valo FX'!$A:$A,0)),INDEX(Base!$V:$V,MATCH($A31,Base!$A:$A,0)),0)))</f>
        <v>13.140090000000001</v>
      </c>
      <c r="DD31" s="21">
        <f>IF(DD$1&lt;INDEX('Valo FX'!$Q:$Q,MATCH($A31,'Valo FX'!$A:$A,0)),0,IF(DD$1&lt;INDEX('Valo FX'!$R:$R,MATCH($A31,'Valo FX'!$A:$A,0)),INDEX(Base!$U:$U,MATCH($A31,Base!$A:$A,0)),IF(DD$1=INDEX('Valo FX'!$R:$R,MATCH($A31,'Valo FX'!$A:$A,0)),INDEX(Base!$V:$V,MATCH($A31,Base!$A:$A,0)),0)))</f>
        <v>13.140090000000001</v>
      </c>
      <c r="DE31" s="21">
        <f>IF(DE$1&lt;INDEX('Valo FX'!$Q:$Q,MATCH($A31,'Valo FX'!$A:$A,0)),0,IF(DE$1&lt;INDEX('Valo FX'!$R:$R,MATCH($A31,'Valo FX'!$A:$A,0)),INDEX(Base!$U:$U,MATCH($A31,Base!$A:$A,0)),IF(DE$1=INDEX('Valo FX'!$R:$R,MATCH($A31,'Valo FX'!$A:$A,0)),INDEX(Base!$V:$V,MATCH($A31,Base!$A:$A,0)),0)))</f>
        <v>13.140090000000001</v>
      </c>
      <c r="DF31" s="21">
        <f>IF(DF$1&lt;INDEX('Valo FX'!$Q:$Q,MATCH($A31,'Valo FX'!$A:$A,0)),0,IF(DF$1&lt;INDEX('Valo FX'!$R:$R,MATCH($A31,'Valo FX'!$A:$A,0)),INDEX(Base!$U:$U,MATCH($A31,Base!$A:$A,0)),IF(DF$1=INDEX('Valo FX'!$R:$R,MATCH($A31,'Valo FX'!$A:$A,0)),INDEX(Base!$V:$V,MATCH($A31,Base!$A:$A,0)),0)))</f>
        <v>13.140090000000001</v>
      </c>
      <c r="DG31" s="21">
        <f>IF(DG$1&lt;INDEX('Valo FX'!$Q:$Q,MATCH($A31,'Valo FX'!$A:$A,0)),0,IF(DG$1&lt;INDEX('Valo FX'!$R:$R,MATCH($A31,'Valo FX'!$A:$A,0)),INDEX(Base!$U:$U,MATCH($A31,Base!$A:$A,0)),IF(DG$1=INDEX('Valo FX'!$R:$R,MATCH($A31,'Valo FX'!$A:$A,0)),INDEX(Base!$V:$V,MATCH($A31,Base!$A:$A,0)),0)))</f>
        <v>13.140090000000001</v>
      </c>
      <c r="DH31" s="21">
        <f>IF(DH$1&lt;INDEX('Valo FX'!$Q:$Q,MATCH($A31,'Valo FX'!$A:$A,0)),0,IF(DH$1&lt;INDEX('Valo FX'!$R:$R,MATCH($A31,'Valo FX'!$A:$A,0)),INDEX(Base!$U:$U,MATCH($A31,Base!$A:$A,0)),IF(DH$1=INDEX('Valo FX'!$R:$R,MATCH($A31,'Valo FX'!$A:$A,0)),INDEX(Base!$V:$V,MATCH($A31,Base!$A:$A,0)),0)))</f>
        <v>13.140090000000001</v>
      </c>
      <c r="DI31" s="21">
        <f>IF(DI$1&lt;INDEX('Valo FX'!$Q:$Q,MATCH($A31,'Valo FX'!$A:$A,0)),0,IF(DI$1&lt;INDEX('Valo FX'!$R:$R,MATCH($A31,'Valo FX'!$A:$A,0)),INDEX(Base!$U:$U,MATCH($A31,Base!$A:$A,0)),IF(DI$1=INDEX('Valo FX'!$R:$R,MATCH($A31,'Valo FX'!$A:$A,0)),INDEX(Base!$V:$V,MATCH($A31,Base!$A:$A,0)),0)))</f>
        <v>13.140090000000001</v>
      </c>
      <c r="DJ31" s="21">
        <f>IF(DJ$1&lt;INDEX('Valo FX'!$Q:$Q,MATCH($A31,'Valo FX'!$A:$A,0)),0,IF(DJ$1&lt;INDEX('Valo FX'!$R:$R,MATCH($A31,'Valo FX'!$A:$A,0)),INDEX(Base!$U:$U,MATCH($A31,Base!$A:$A,0)),IF(DJ$1=INDEX('Valo FX'!$R:$R,MATCH($A31,'Valo FX'!$A:$A,0)),INDEX(Base!$V:$V,MATCH($A31,Base!$A:$A,0)),0)))</f>
        <v>13.140090000000001</v>
      </c>
      <c r="DK31" s="21">
        <f>IF(DK$1&lt;INDEX('Valo FX'!$Q:$Q,MATCH($A31,'Valo FX'!$A:$A,0)),0,IF(DK$1&lt;INDEX('Valo FX'!$R:$R,MATCH($A31,'Valo FX'!$A:$A,0)),INDEX(Base!$U:$U,MATCH($A31,Base!$A:$A,0)),IF(DK$1=INDEX('Valo FX'!$R:$R,MATCH($A31,'Valo FX'!$A:$A,0)),INDEX(Base!$V:$V,MATCH($A31,Base!$A:$A,0)),0)))</f>
        <v>13.140090000000001</v>
      </c>
      <c r="DL31" s="21">
        <f>IF(DL$1&lt;INDEX('Valo FX'!$Q:$Q,MATCH($A31,'Valo FX'!$A:$A,0)),0,IF(DL$1&lt;INDEX('Valo FX'!$R:$R,MATCH($A31,'Valo FX'!$A:$A,0)),INDEX(Base!$U:$U,MATCH($A31,Base!$A:$A,0)),IF(DL$1=INDEX('Valo FX'!$R:$R,MATCH($A31,'Valo FX'!$A:$A,0)),INDEX(Base!$V:$V,MATCH($A31,Base!$A:$A,0)),0)))</f>
        <v>13.140090000000001</v>
      </c>
      <c r="DM31" s="21">
        <f>IF(DM$1&lt;INDEX('Valo FX'!$Q:$Q,MATCH($A31,'Valo FX'!$A:$A,0)),0,IF(DM$1&lt;INDEX('Valo FX'!$R:$R,MATCH($A31,'Valo FX'!$A:$A,0)),INDEX(Base!$U:$U,MATCH($A31,Base!$A:$A,0)),IF(DM$1=INDEX('Valo FX'!$R:$R,MATCH($A31,'Valo FX'!$A:$A,0)),INDEX(Base!$V:$V,MATCH($A31,Base!$A:$A,0)),0)))</f>
        <v>13.140090000000001</v>
      </c>
      <c r="DN31" s="21">
        <f>IF(DN$1&lt;INDEX('Valo FX'!$Q:$Q,MATCH($A31,'Valo FX'!$A:$A,0)),0,IF(DN$1&lt;INDEX('Valo FX'!$R:$R,MATCH($A31,'Valo FX'!$A:$A,0)),INDEX(Base!$U:$U,MATCH($A31,Base!$A:$A,0)),IF(DN$1=INDEX('Valo FX'!$R:$R,MATCH($A31,'Valo FX'!$A:$A,0)),INDEX(Base!$V:$V,MATCH($A31,Base!$A:$A,0)),0)))</f>
        <v>13.140090000000001</v>
      </c>
      <c r="DO31" s="21">
        <f>IF(DO$1&lt;INDEX('Valo FX'!$Q:$Q,MATCH($A31,'Valo FX'!$A:$A,0)),0,IF(DO$1&lt;INDEX('Valo FX'!$R:$R,MATCH($A31,'Valo FX'!$A:$A,0)),INDEX(Base!$U:$U,MATCH($A31,Base!$A:$A,0)),IF(DO$1=INDEX('Valo FX'!$R:$R,MATCH($A31,'Valo FX'!$A:$A,0)),INDEX(Base!$V:$V,MATCH($A31,Base!$A:$A,0)),0)))</f>
        <v>13.140090000000001</v>
      </c>
      <c r="DP31" s="21">
        <f>IF(DP$1&lt;INDEX('Valo FX'!$Q:$Q,MATCH($A31,'Valo FX'!$A:$A,0)),0,IF(DP$1&lt;INDEX('Valo FX'!$R:$R,MATCH($A31,'Valo FX'!$A:$A,0)),INDEX(Base!$U:$U,MATCH($A31,Base!$A:$A,0)),IF(DP$1=INDEX('Valo FX'!$R:$R,MATCH($A31,'Valo FX'!$A:$A,0)),INDEX(Base!$V:$V,MATCH($A31,Base!$A:$A,0)),0)))</f>
        <v>13.140090000000001</v>
      </c>
      <c r="DQ31" s="21">
        <f>IF(DQ$1&lt;INDEX('Valo FX'!$Q:$Q,MATCH($A31,'Valo FX'!$A:$A,0)),0,IF(DQ$1&lt;INDEX('Valo FX'!$R:$R,MATCH($A31,'Valo FX'!$A:$A,0)),INDEX(Base!$U:$U,MATCH($A31,Base!$A:$A,0)),IF(DQ$1=INDEX('Valo FX'!$R:$R,MATCH($A31,'Valo FX'!$A:$A,0)),INDEX(Base!$V:$V,MATCH($A31,Base!$A:$A,0)),0)))</f>
        <v>13.140090000000001</v>
      </c>
      <c r="DR31" s="21">
        <f>IF(DR$1&lt;INDEX('Valo FX'!$Q:$Q,MATCH($A31,'Valo FX'!$A:$A,0)),0,IF(DR$1&lt;INDEX('Valo FX'!$R:$R,MATCH($A31,'Valo FX'!$A:$A,0)),INDEX(Base!$U:$U,MATCH($A31,Base!$A:$A,0)),IF(DR$1=INDEX('Valo FX'!$R:$R,MATCH($A31,'Valo FX'!$A:$A,0)),INDEX(Base!$V:$V,MATCH($A31,Base!$A:$A,0)),0)))</f>
        <v>13.140090000000001</v>
      </c>
      <c r="DS31" s="21">
        <f>IF(DS$1&lt;INDEX('Valo FX'!$Q:$Q,MATCH($A31,'Valo FX'!$A:$A,0)),0,IF(DS$1&lt;INDEX('Valo FX'!$R:$R,MATCH($A31,'Valo FX'!$A:$A,0)),INDEX(Base!$U:$U,MATCH($A31,Base!$A:$A,0)),IF(DS$1=INDEX('Valo FX'!$R:$R,MATCH($A31,'Valo FX'!$A:$A,0)),INDEX(Base!$V:$V,MATCH($A31,Base!$A:$A,0)),0)))</f>
        <v>13.140090000000001</v>
      </c>
      <c r="DT31" s="21">
        <f>IF(DT$1&lt;INDEX('Valo FX'!$Q:$Q,MATCH($A31,'Valo FX'!$A:$A,0)),0,IF(DT$1&lt;INDEX('Valo FX'!$R:$R,MATCH($A31,'Valo FX'!$A:$A,0)),INDEX(Base!$U:$U,MATCH($A31,Base!$A:$A,0)),IF(DT$1=INDEX('Valo FX'!$R:$R,MATCH($A31,'Valo FX'!$A:$A,0)),INDEX(Base!$V:$V,MATCH($A31,Base!$A:$A,0)),0)))</f>
        <v>13.140090000000001</v>
      </c>
      <c r="DU31" s="21">
        <f>IF(DU$1&lt;INDEX('Valo FX'!$Q:$Q,MATCH($A31,'Valo FX'!$A:$A,0)),0,IF(DU$1&lt;INDEX('Valo FX'!$R:$R,MATCH($A31,'Valo FX'!$A:$A,0)),INDEX(Base!$U:$U,MATCH($A31,Base!$A:$A,0)),IF(DU$1=INDEX('Valo FX'!$R:$R,MATCH($A31,'Valo FX'!$A:$A,0)),INDEX(Base!$V:$V,MATCH($A31,Base!$A:$A,0)),0)))</f>
        <v>13.140090000000001</v>
      </c>
      <c r="DV31" s="21">
        <f>IF(DV$1&lt;INDEX('Valo FX'!$Q:$Q,MATCH($A31,'Valo FX'!$A:$A,0)),0,IF(DV$1&lt;INDEX('Valo FX'!$R:$R,MATCH($A31,'Valo FX'!$A:$A,0)),INDEX(Base!$U:$U,MATCH($A31,Base!$A:$A,0)),IF(DV$1=INDEX('Valo FX'!$R:$R,MATCH($A31,'Valo FX'!$A:$A,0)),INDEX(Base!$V:$V,MATCH($A31,Base!$A:$A,0)),0)))</f>
        <v>13.140090000000001</v>
      </c>
      <c r="DW31" s="21">
        <f>IF(DW$1&lt;INDEX('Valo FX'!$Q:$Q,MATCH($A31,'Valo FX'!$A:$A,0)),0,IF(DW$1&lt;INDEX('Valo FX'!$R:$R,MATCH($A31,'Valo FX'!$A:$A,0)),INDEX(Base!$U:$U,MATCH($A31,Base!$A:$A,0)),IF(DW$1=INDEX('Valo FX'!$R:$R,MATCH($A31,'Valo FX'!$A:$A,0)),INDEX(Base!$V:$V,MATCH($A31,Base!$A:$A,0)),0)))</f>
        <v>13.140090000000001</v>
      </c>
      <c r="DX31" s="21">
        <f>IF(DX$1&lt;INDEX('Valo FX'!$Q:$Q,MATCH($A31,'Valo FX'!$A:$A,0)),0,IF(DX$1&lt;INDEX('Valo FX'!$R:$R,MATCH($A31,'Valo FX'!$A:$A,0)),INDEX(Base!$U:$U,MATCH($A31,Base!$A:$A,0)),IF(DX$1=INDEX('Valo FX'!$R:$R,MATCH($A31,'Valo FX'!$A:$A,0)),INDEX(Base!$V:$V,MATCH($A31,Base!$A:$A,0)),0)))</f>
        <v>13.140090000000001</v>
      </c>
      <c r="DY31" s="21">
        <f>IF(DY$1&lt;INDEX('Valo FX'!$Q:$Q,MATCH($A31,'Valo FX'!$A:$A,0)),0,IF(DY$1&lt;INDEX('Valo FX'!$R:$R,MATCH($A31,'Valo FX'!$A:$A,0)),INDEX(Base!$U:$U,MATCH($A31,Base!$A:$A,0)),IF(DY$1=INDEX('Valo FX'!$R:$R,MATCH($A31,'Valo FX'!$A:$A,0)),INDEX(Base!$V:$V,MATCH($A31,Base!$A:$A,0)),0)))</f>
        <v>13.140090000000001</v>
      </c>
      <c r="DZ31" s="21">
        <f>IF(DZ$1&lt;INDEX('Valo FX'!$Q:$Q,MATCH($A31,'Valo FX'!$A:$A,0)),0,IF(DZ$1&lt;INDEX('Valo FX'!$R:$R,MATCH($A31,'Valo FX'!$A:$A,0)),INDEX(Base!$U:$U,MATCH($A31,Base!$A:$A,0)),IF(DZ$1=INDEX('Valo FX'!$R:$R,MATCH($A31,'Valo FX'!$A:$A,0)),INDEX(Base!$V:$V,MATCH($A31,Base!$A:$A,0)),0)))</f>
        <v>13.140090000000001</v>
      </c>
      <c r="EA31" s="21">
        <f>IF(EA$1&lt;INDEX('Valo FX'!$Q:$Q,MATCH($A31,'Valo FX'!$A:$A,0)),0,IF(EA$1&lt;INDEX('Valo FX'!$R:$R,MATCH($A31,'Valo FX'!$A:$A,0)),INDEX(Base!$U:$U,MATCH($A31,Base!$A:$A,0)),IF(EA$1=INDEX('Valo FX'!$R:$R,MATCH($A31,'Valo FX'!$A:$A,0)),INDEX(Base!$V:$V,MATCH($A31,Base!$A:$A,0)),0)))</f>
        <v>13.140090000000001</v>
      </c>
      <c r="EB31" s="21">
        <f>IF(EB$1&lt;INDEX('Valo FX'!$Q:$Q,MATCH($A31,'Valo FX'!$A:$A,0)),0,IF(EB$1&lt;INDEX('Valo FX'!$R:$R,MATCH($A31,'Valo FX'!$A:$A,0)),INDEX(Base!$U:$U,MATCH($A31,Base!$A:$A,0)),IF(EB$1=INDEX('Valo FX'!$R:$R,MATCH($A31,'Valo FX'!$A:$A,0)),INDEX(Base!$V:$V,MATCH($A31,Base!$A:$A,0)),0)))</f>
        <v>13.140090000000001</v>
      </c>
      <c r="EC31" s="21">
        <f>IF(EC$1&lt;INDEX('Valo FX'!$Q:$Q,MATCH($A31,'Valo FX'!$A:$A,0)),0,IF(EC$1&lt;INDEX('Valo FX'!$R:$R,MATCH($A31,'Valo FX'!$A:$A,0)),INDEX(Base!$U:$U,MATCH($A31,Base!$A:$A,0)),IF(EC$1=INDEX('Valo FX'!$R:$R,MATCH($A31,'Valo FX'!$A:$A,0)),INDEX(Base!$V:$V,MATCH($A31,Base!$A:$A,0)),0)))</f>
        <v>13.140090000000001</v>
      </c>
      <c r="ED31" s="21">
        <f>IF(ED$1&lt;INDEX('Valo FX'!$Q:$Q,MATCH($A31,'Valo FX'!$A:$A,0)),0,IF(ED$1&lt;INDEX('Valo FX'!$R:$R,MATCH($A31,'Valo FX'!$A:$A,0)),INDEX(Base!$U:$U,MATCH($A31,Base!$A:$A,0)),IF(ED$1=INDEX('Valo FX'!$R:$R,MATCH($A31,'Valo FX'!$A:$A,0)),INDEX(Base!$V:$V,MATCH($A31,Base!$A:$A,0)),0)))</f>
        <v>13.140090000000001</v>
      </c>
      <c r="EE31" s="21">
        <f>IF(EE$1&lt;INDEX('Valo FX'!$Q:$Q,MATCH($A31,'Valo FX'!$A:$A,0)),0,IF(EE$1&lt;INDEX('Valo FX'!$R:$R,MATCH($A31,'Valo FX'!$A:$A,0)),INDEX(Base!$U:$U,MATCH($A31,Base!$A:$A,0)),IF(EE$1=INDEX('Valo FX'!$R:$R,MATCH($A31,'Valo FX'!$A:$A,0)),INDEX(Base!$V:$V,MATCH($A31,Base!$A:$A,0)),0)))</f>
        <v>13.140090000000001</v>
      </c>
      <c r="EF31" s="21">
        <f>IF(EF$1&lt;INDEX('Valo FX'!$Q:$Q,MATCH($A31,'Valo FX'!$A:$A,0)),0,IF(EF$1&lt;INDEX('Valo FX'!$R:$R,MATCH($A31,'Valo FX'!$A:$A,0)),INDEX(Base!$U:$U,MATCH($A31,Base!$A:$A,0)),IF(EF$1=INDEX('Valo FX'!$R:$R,MATCH($A31,'Valo FX'!$A:$A,0)),INDEX(Base!$V:$V,MATCH($A31,Base!$A:$A,0)),0)))</f>
        <v>13.140090000000001</v>
      </c>
      <c r="EG31" s="21">
        <f>IF(EG$1&lt;INDEX('Valo FX'!$Q:$Q,MATCH($A31,'Valo FX'!$A:$A,0)),0,IF(EG$1&lt;INDEX('Valo FX'!$R:$R,MATCH($A31,'Valo FX'!$A:$A,0)),INDEX(Base!$U:$U,MATCH($A31,Base!$A:$A,0)),IF(EG$1=INDEX('Valo FX'!$R:$R,MATCH($A31,'Valo FX'!$A:$A,0)),INDEX(Base!$V:$V,MATCH($A31,Base!$A:$A,0)),0)))</f>
        <v>13.140090000000001</v>
      </c>
      <c r="EH31" s="21">
        <f>IF(EH$1&lt;INDEX('Valo FX'!$Q:$Q,MATCH($A31,'Valo FX'!$A:$A,0)),0,IF(EH$1&lt;INDEX('Valo FX'!$R:$R,MATCH($A31,'Valo FX'!$A:$A,0)),INDEX(Base!$U:$U,MATCH($A31,Base!$A:$A,0)),IF(EH$1=INDEX('Valo FX'!$R:$R,MATCH($A31,'Valo FX'!$A:$A,0)),INDEX(Base!$V:$V,MATCH($A31,Base!$A:$A,0)),0)))</f>
        <v>13.140090000000001</v>
      </c>
      <c r="EI31" s="21">
        <f>IF(EI$1&lt;INDEX('Valo FX'!$Q:$Q,MATCH($A31,'Valo FX'!$A:$A,0)),0,IF(EI$1&lt;INDEX('Valo FX'!$R:$R,MATCH($A31,'Valo FX'!$A:$A,0)),INDEX(Base!$U:$U,MATCH($A31,Base!$A:$A,0)),IF(EI$1=INDEX('Valo FX'!$R:$R,MATCH($A31,'Valo FX'!$A:$A,0)),INDEX(Base!$V:$V,MATCH($A31,Base!$A:$A,0)),0)))</f>
        <v>13.140090000000001</v>
      </c>
      <c r="EJ31" s="21">
        <f>IF(EJ$1&lt;INDEX('Valo FX'!$Q:$Q,MATCH($A31,'Valo FX'!$A:$A,0)),0,IF(EJ$1&lt;INDEX('Valo FX'!$R:$R,MATCH($A31,'Valo FX'!$A:$A,0)),INDEX(Base!$U:$U,MATCH($A31,Base!$A:$A,0)),IF(EJ$1=INDEX('Valo FX'!$R:$R,MATCH($A31,'Valo FX'!$A:$A,0)),INDEX(Base!$V:$V,MATCH($A31,Base!$A:$A,0)),0)))</f>
        <v>13.140090000000001</v>
      </c>
      <c r="EK31" s="21">
        <f>IF(EK$1&lt;INDEX('Valo FX'!$Q:$Q,MATCH($A31,'Valo FX'!$A:$A,0)),0,IF(EK$1&lt;INDEX('Valo FX'!$R:$R,MATCH($A31,'Valo FX'!$A:$A,0)),INDEX(Base!$U:$U,MATCH($A31,Base!$A:$A,0)),IF(EK$1=INDEX('Valo FX'!$R:$R,MATCH($A31,'Valo FX'!$A:$A,0)),INDEX(Base!$V:$V,MATCH($A31,Base!$A:$A,0)),0)))</f>
        <v>13.140090000000001</v>
      </c>
      <c r="EL31" s="21">
        <f>IF(EL$1&lt;INDEX('Valo FX'!$Q:$Q,MATCH($A31,'Valo FX'!$A:$A,0)),0,IF(EL$1&lt;INDEX('Valo FX'!$R:$R,MATCH($A31,'Valo FX'!$A:$A,0)),INDEX(Base!$U:$U,MATCH($A31,Base!$A:$A,0)),IF(EL$1=INDEX('Valo FX'!$R:$R,MATCH($A31,'Valo FX'!$A:$A,0)),INDEX(Base!$V:$V,MATCH($A31,Base!$A:$A,0)),0)))</f>
        <v>13.140090000000001</v>
      </c>
      <c r="EM31" s="21">
        <f>IF(EM$1&lt;INDEX('Valo FX'!$Q:$Q,MATCH($A31,'Valo FX'!$A:$A,0)),0,IF(EM$1&lt;INDEX('Valo FX'!$R:$R,MATCH($A31,'Valo FX'!$A:$A,0)),INDEX(Base!$U:$U,MATCH($A31,Base!$A:$A,0)),IF(EM$1=INDEX('Valo FX'!$R:$R,MATCH($A31,'Valo FX'!$A:$A,0)),INDEX(Base!$V:$V,MATCH($A31,Base!$A:$A,0)),0)))</f>
        <v>13.140090000000001</v>
      </c>
      <c r="EN31" s="21">
        <f>IF(EN$1&lt;INDEX('Valo FX'!$Q:$Q,MATCH($A31,'Valo FX'!$A:$A,0)),0,IF(EN$1&lt;INDEX('Valo FX'!$R:$R,MATCH($A31,'Valo FX'!$A:$A,0)),INDEX(Base!$U:$U,MATCH($A31,Base!$A:$A,0)),IF(EN$1=INDEX('Valo FX'!$R:$R,MATCH($A31,'Valo FX'!$A:$A,0)),INDEX(Base!$V:$V,MATCH($A31,Base!$A:$A,0)),0)))</f>
        <v>13.140090000000001</v>
      </c>
      <c r="EO31" s="21">
        <f>IF(EO$1&lt;INDEX('Valo FX'!$Q:$Q,MATCH($A31,'Valo FX'!$A:$A,0)),0,IF(EO$1&lt;INDEX('Valo FX'!$R:$R,MATCH($A31,'Valo FX'!$A:$A,0)),INDEX(Base!$U:$U,MATCH($A31,Base!$A:$A,0)),IF(EO$1=INDEX('Valo FX'!$R:$R,MATCH($A31,'Valo FX'!$A:$A,0)),INDEX(Base!$V:$V,MATCH($A31,Base!$A:$A,0)),0)))</f>
        <v>13.140090000000001</v>
      </c>
      <c r="EP31" s="21">
        <f>IF(EP$1&lt;INDEX('Valo FX'!$Q:$Q,MATCH($A31,'Valo FX'!$A:$A,0)),0,IF(EP$1&lt;INDEX('Valo FX'!$R:$R,MATCH($A31,'Valo FX'!$A:$A,0)),INDEX(Base!$U:$U,MATCH($A31,Base!$A:$A,0)),IF(EP$1=INDEX('Valo FX'!$R:$R,MATCH($A31,'Valo FX'!$A:$A,0)),INDEX(Base!$V:$V,MATCH($A31,Base!$A:$A,0)),0)))</f>
        <v>13.140090000000001</v>
      </c>
      <c r="EQ31" s="21">
        <f>IF(EQ$1&lt;INDEX('Valo FX'!$Q:$Q,MATCH($A31,'Valo FX'!$A:$A,0)),0,IF(EQ$1&lt;INDEX('Valo FX'!$R:$R,MATCH($A31,'Valo FX'!$A:$A,0)),INDEX(Base!$U:$U,MATCH($A31,Base!$A:$A,0)),IF(EQ$1=INDEX('Valo FX'!$R:$R,MATCH($A31,'Valo FX'!$A:$A,0)),INDEX(Base!$V:$V,MATCH($A31,Base!$A:$A,0)),0)))</f>
        <v>13.140090000000001</v>
      </c>
      <c r="ER31" s="21">
        <f>IF(ER$1&lt;INDEX('Valo FX'!$Q:$Q,MATCH($A31,'Valo FX'!$A:$A,0)),0,IF(ER$1&lt;INDEX('Valo FX'!$R:$R,MATCH($A31,'Valo FX'!$A:$A,0)),INDEX(Base!$U:$U,MATCH($A31,Base!$A:$A,0)),IF(ER$1=INDEX('Valo FX'!$R:$R,MATCH($A31,'Valo FX'!$A:$A,0)),INDEX(Base!$V:$V,MATCH($A31,Base!$A:$A,0)),0)))</f>
        <v>13.140090000000001</v>
      </c>
      <c r="ES31" s="21">
        <f>IF(ES$1&lt;INDEX('Valo FX'!$Q:$Q,MATCH($A31,'Valo FX'!$A:$A,0)),0,IF(ES$1&lt;INDEX('Valo FX'!$R:$R,MATCH($A31,'Valo FX'!$A:$A,0)),INDEX(Base!$U:$U,MATCH($A31,Base!$A:$A,0)),IF(ES$1=INDEX('Valo FX'!$R:$R,MATCH($A31,'Valo FX'!$A:$A,0)),INDEX(Base!$V:$V,MATCH($A31,Base!$A:$A,0)),0)))</f>
        <v>13.140090000000001</v>
      </c>
      <c r="ET31" s="21">
        <f>IF(ET$1&lt;INDEX('Valo FX'!$Q:$Q,MATCH($A31,'Valo FX'!$A:$A,0)),0,IF(ET$1&lt;INDEX('Valo FX'!$R:$R,MATCH($A31,'Valo FX'!$A:$A,0)),INDEX(Base!$U:$U,MATCH($A31,Base!$A:$A,0)),IF(ET$1=INDEX('Valo FX'!$R:$R,MATCH($A31,'Valo FX'!$A:$A,0)),INDEX(Base!$V:$V,MATCH($A31,Base!$A:$A,0)),0)))</f>
        <v>13.140090000000001</v>
      </c>
      <c r="EU31" s="21">
        <f>IF(EU$1&lt;INDEX('Valo FX'!$Q:$Q,MATCH($A31,'Valo FX'!$A:$A,0)),0,IF(EU$1&lt;INDEX('Valo FX'!$R:$R,MATCH($A31,'Valo FX'!$A:$A,0)),INDEX(Base!$U:$U,MATCH($A31,Base!$A:$A,0)),IF(EU$1=INDEX('Valo FX'!$R:$R,MATCH($A31,'Valo FX'!$A:$A,0)),INDEX(Base!$V:$V,MATCH($A31,Base!$A:$A,0)),0)))</f>
        <v>13.140090000000001</v>
      </c>
      <c r="EV31" s="21">
        <f>IF(EV$1&lt;INDEX('Valo FX'!$Q:$Q,MATCH($A31,'Valo FX'!$A:$A,0)),0,IF(EV$1&lt;INDEX('Valo FX'!$R:$R,MATCH($A31,'Valo FX'!$A:$A,0)),INDEX(Base!$U:$U,MATCH($A31,Base!$A:$A,0)),IF(EV$1=INDEX('Valo FX'!$R:$R,MATCH($A31,'Valo FX'!$A:$A,0)),INDEX(Base!$V:$V,MATCH($A31,Base!$A:$A,0)),0)))</f>
        <v>13.140090000000001</v>
      </c>
      <c r="EW31" s="21">
        <f>IF(EW$1&lt;INDEX('Valo FX'!$Q:$Q,MATCH($A31,'Valo FX'!$A:$A,0)),0,IF(EW$1&lt;INDEX('Valo FX'!$R:$R,MATCH($A31,'Valo FX'!$A:$A,0)),INDEX(Base!$U:$U,MATCH($A31,Base!$A:$A,0)),IF(EW$1=INDEX('Valo FX'!$R:$R,MATCH($A31,'Valo FX'!$A:$A,0)),INDEX(Base!$V:$V,MATCH($A31,Base!$A:$A,0)),0)))</f>
        <v>13.140090000000001</v>
      </c>
      <c r="EX31" s="21">
        <f>IF(EX$1&lt;INDEX('Valo FX'!$Q:$Q,MATCH($A31,'Valo FX'!$A:$A,0)),0,IF(EX$1&lt;INDEX('Valo FX'!$R:$R,MATCH($A31,'Valo FX'!$A:$A,0)),INDEX(Base!$U:$U,MATCH($A31,Base!$A:$A,0)),IF(EX$1=INDEX('Valo FX'!$R:$R,MATCH($A31,'Valo FX'!$A:$A,0)),INDEX(Base!$V:$V,MATCH($A31,Base!$A:$A,0)),0)))</f>
        <v>13.140090000000001</v>
      </c>
      <c r="EY31" s="21">
        <f>IF(EY$1&lt;INDEX('Valo FX'!$Q:$Q,MATCH($A31,'Valo FX'!$A:$A,0)),0,IF(EY$1&lt;INDEX('Valo FX'!$R:$R,MATCH($A31,'Valo FX'!$A:$A,0)),INDEX(Base!$U:$U,MATCH($A31,Base!$A:$A,0)),IF(EY$1=INDEX('Valo FX'!$R:$R,MATCH($A31,'Valo FX'!$A:$A,0)),INDEX(Base!$V:$V,MATCH($A31,Base!$A:$A,0)),0)))</f>
        <v>13.140090000000001</v>
      </c>
      <c r="EZ31" s="21">
        <f>IF(EZ$1&lt;INDEX('Valo FX'!$Q:$Q,MATCH($A31,'Valo FX'!$A:$A,0)),0,IF(EZ$1&lt;INDEX('Valo FX'!$R:$R,MATCH($A31,'Valo FX'!$A:$A,0)),INDEX(Base!$U:$U,MATCH($A31,Base!$A:$A,0)),IF(EZ$1=INDEX('Valo FX'!$R:$R,MATCH($A31,'Valo FX'!$A:$A,0)),INDEX(Base!$V:$V,MATCH($A31,Base!$A:$A,0)),0)))</f>
        <v>13.140090000000001</v>
      </c>
      <c r="FA31" s="21">
        <f>IF(FA$1&lt;INDEX('Valo FX'!$Q:$Q,MATCH($A31,'Valo FX'!$A:$A,0)),0,IF(FA$1&lt;INDEX('Valo FX'!$R:$R,MATCH($A31,'Valo FX'!$A:$A,0)),INDEX(Base!$U:$U,MATCH($A31,Base!$A:$A,0)),IF(FA$1=INDEX('Valo FX'!$R:$R,MATCH($A31,'Valo FX'!$A:$A,0)),INDEX(Base!$V:$V,MATCH($A31,Base!$A:$A,0)),0)))</f>
        <v>13.140090000000001</v>
      </c>
      <c r="FB31" s="21">
        <f>IF(FB$1&lt;INDEX('Valo FX'!$Q:$Q,MATCH($A31,'Valo FX'!$A:$A,0)),0,IF(FB$1&lt;INDEX('Valo FX'!$R:$R,MATCH($A31,'Valo FX'!$A:$A,0)),INDEX(Base!$U:$U,MATCH($A31,Base!$A:$A,0)),IF(FB$1=INDEX('Valo FX'!$R:$R,MATCH($A31,'Valo FX'!$A:$A,0)),INDEX(Base!$V:$V,MATCH($A31,Base!$A:$A,0)),0)))</f>
        <v>13.140090000000001</v>
      </c>
      <c r="FC31" s="21">
        <f>IF(FC$1&lt;INDEX('Valo FX'!$Q:$Q,MATCH($A31,'Valo FX'!$A:$A,0)),0,IF(FC$1&lt;INDEX('Valo FX'!$R:$R,MATCH($A31,'Valo FX'!$A:$A,0)),INDEX(Base!$U:$U,MATCH($A31,Base!$A:$A,0)),IF(FC$1=INDEX('Valo FX'!$R:$R,MATCH($A31,'Valo FX'!$A:$A,0)),INDEX(Base!$V:$V,MATCH($A31,Base!$A:$A,0)),0)))</f>
        <v>13.140090000000001</v>
      </c>
      <c r="FD31" s="21">
        <f>IF(FD$1&lt;INDEX('Valo FX'!$Q:$Q,MATCH($A31,'Valo FX'!$A:$A,0)),0,IF(FD$1&lt;INDEX('Valo FX'!$R:$R,MATCH($A31,'Valo FX'!$A:$A,0)),INDEX(Base!$U:$U,MATCH($A31,Base!$A:$A,0)),IF(FD$1=INDEX('Valo FX'!$R:$R,MATCH($A31,'Valo FX'!$A:$A,0)),INDEX(Base!$V:$V,MATCH($A31,Base!$A:$A,0)),0)))</f>
        <v>13.140090000000001</v>
      </c>
      <c r="FE31" s="21">
        <f>IF(FE$1&lt;INDEX('Valo FX'!$Q:$Q,MATCH($A31,'Valo FX'!$A:$A,0)),0,IF(FE$1&lt;INDEX('Valo FX'!$R:$R,MATCH($A31,'Valo FX'!$A:$A,0)),INDEX(Base!$U:$U,MATCH($A31,Base!$A:$A,0)),IF(FE$1=INDEX('Valo FX'!$R:$R,MATCH($A31,'Valo FX'!$A:$A,0)),INDEX(Base!$V:$V,MATCH($A31,Base!$A:$A,0)),0)))</f>
        <v>13.140090000000001</v>
      </c>
      <c r="FF31" s="21">
        <f>IF(FF$1&lt;INDEX('Valo FX'!$Q:$Q,MATCH($A31,'Valo FX'!$A:$A,0)),0,IF(FF$1&lt;INDEX('Valo FX'!$R:$R,MATCH($A31,'Valo FX'!$A:$A,0)),INDEX(Base!$U:$U,MATCH($A31,Base!$A:$A,0)),IF(FF$1=INDEX('Valo FX'!$R:$R,MATCH($A31,'Valo FX'!$A:$A,0)),INDEX(Base!$V:$V,MATCH($A31,Base!$A:$A,0)),0)))</f>
        <v>13.140090000000001</v>
      </c>
      <c r="FG31" s="21">
        <f>IF(FG$1&lt;INDEX('Valo FX'!$Q:$Q,MATCH($A31,'Valo FX'!$A:$A,0)),0,IF(FG$1&lt;INDEX('Valo FX'!$R:$R,MATCH($A31,'Valo FX'!$A:$A,0)),INDEX(Base!$U:$U,MATCH($A31,Base!$A:$A,0)),IF(FG$1=INDEX('Valo FX'!$R:$R,MATCH($A31,'Valo FX'!$A:$A,0)),INDEX(Base!$V:$V,MATCH($A31,Base!$A:$A,0)),0)))</f>
        <v>13.140090000000001</v>
      </c>
      <c r="FH31" s="21">
        <f>IF(FH$1&lt;INDEX('Valo FX'!$Q:$Q,MATCH($A31,'Valo FX'!$A:$A,0)),0,IF(FH$1&lt;INDEX('Valo FX'!$R:$R,MATCH($A31,'Valo FX'!$A:$A,0)),INDEX(Base!$U:$U,MATCH($A31,Base!$A:$A,0)),IF(FH$1=INDEX('Valo FX'!$R:$R,MATCH($A31,'Valo FX'!$A:$A,0)),INDEX(Base!$V:$V,MATCH($A31,Base!$A:$A,0)),0)))</f>
        <v>13.140090000000001</v>
      </c>
      <c r="FI31" s="21">
        <f>IF(FI$1&lt;INDEX('Valo FX'!$Q:$Q,MATCH($A31,'Valo FX'!$A:$A,0)),0,IF(FI$1&lt;INDEX('Valo FX'!$R:$R,MATCH($A31,'Valo FX'!$A:$A,0)),INDEX(Base!$U:$U,MATCH($A31,Base!$A:$A,0)),IF(FI$1=INDEX('Valo FX'!$R:$R,MATCH($A31,'Valo FX'!$A:$A,0)),INDEX(Base!$V:$V,MATCH($A31,Base!$A:$A,0)),0)))</f>
        <v>13.140090000000001</v>
      </c>
      <c r="FJ31" s="21">
        <f>IF(FJ$1&lt;INDEX('Valo FX'!$Q:$Q,MATCH($A31,'Valo FX'!$A:$A,0)),0,IF(FJ$1&lt;INDEX('Valo FX'!$R:$R,MATCH($A31,'Valo FX'!$A:$A,0)),INDEX(Base!$U:$U,MATCH($A31,Base!$A:$A,0)),IF(FJ$1=INDEX('Valo FX'!$R:$R,MATCH($A31,'Valo FX'!$A:$A,0)),INDEX(Base!$V:$V,MATCH($A31,Base!$A:$A,0)),0)))</f>
        <v>13.140090000000001</v>
      </c>
      <c r="FK31" s="21">
        <f>IF(FK$1&lt;INDEX('Valo FX'!$Q:$Q,MATCH($A31,'Valo FX'!$A:$A,0)),0,IF(FK$1&lt;INDEX('Valo FX'!$R:$R,MATCH($A31,'Valo FX'!$A:$A,0)),INDEX(Base!$U:$U,MATCH($A31,Base!$A:$A,0)),IF(FK$1=INDEX('Valo FX'!$R:$R,MATCH($A31,'Valo FX'!$A:$A,0)),INDEX(Base!$V:$V,MATCH($A31,Base!$A:$A,0)),0)))</f>
        <v>13.140090000000001</v>
      </c>
      <c r="FL31" s="21">
        <f>IF(FL$1&lt;INDEX('Valo FX'!$Q:$Q,MATCH($A31,'Valo FX'!$A:$A,0)),0,IF(FL$1&lt;INDEX('Valo FX'!$R:$R,MATCH($A31,'Valo FX'!$A:$A,0)),INDEX(Base!$U:$U,MATCH($A31,Base!$A:$A,0)),IF(FL$1=INDEX('Valo FX'!$R:$R,MATCH($A31,'Valo FX'!$A:$A,0)),INDEX(Base!$V:$V,MATCH($A31,Base!$A:$A,0)),0)))</f>
        <v>13.140090000000001</v>
      </c>
      <c r="FM31" s="21">
        <f>IF(FM$1&lt;INDEX('Valo FX'!$Q:$Q,MATCH($A31,'Valo FX'!$A:$A,0)),0,IF(FM$1&lt;INDEX('Valo FX'!$R:$R,MATCH($A31,'Valo FX'!$A:$A,0)),INDEX(Base!$U:$U,MATCH($A31,Base!$A:$A,0)),IF(FM$1=INDEX('Valo FX'!$R:$R,MATCH($A31,'Valo FX'!$A:$A,0)),INDEX(Base!$V:$V,MATCH($A31,Base!$A:$A,0)),0)))</f>
        <v>13.140090000000001</v>
      </c>
      <c r="FN31" s="21">
        <f>IF(FN$1&lt;INDEX('Valo FX'!$Q:$Q,MATCH($A31,'Valo FX'!$A:$A,0)),0,IF(FN$1&lt;INDEX('Valo FX'!$R:$R,MATCH($A31,'Valo FX'!$A:$A,0)),INDEX(Base!$U:$U,MATCH($A31,Base!$A:$A,0)),IF(FN$1=INDEX('Valo FX'!$R:$R,MATCH($A31,'Valo FX'!$A:$A,0)),INDEX(Base!$V:$V,MATCH($A31,Base!$A:$A,0)),0)))</f>
        <v>13.140090000000001</v>
      </c>
      <c r="FO31" s="21">
        <f>IF(FO$1&lt;INDEX('Valo FX'!$Q:$Q,MATCH($A31,'Valo FX'!$A:$A,0)),0,IF(FO$1&lt;INDEX('Valo FX'!$R:$R,MATCH($A31,'Valo FX'!$A:$A,0)),INDEX(Base!$U:$U,MATCH($A31,Base!$A:$A,0)),IF(FO$1=INDEX('Valo FX'!$R:$R,MATCH($A31,'Valo FX'!$A:$A,0)),INDEX(Base!$V:$V,MATCH($A31,Base!$A:$A,0)),0)))</f>
        <v>13.140090000000001</v>
      </c>
      <c r="FP31" s="21">
        <f>IF(FP$1&lt;INDEX('Valo FX'!$Q:$Q,MATCH($A31,'Valo FX'!$A:$A,0)),0,IF(FP$1&lt;INDEX('Valo FX'!$R:$R,MATCH($A31,'Valo FX'!$A:$A,0)),INDEX(Base!$U:$U,MATCH($A31,Base!$A:$A,0)),IF(FP$1=INDEX('Valo FX'!$R:$R,MATCH($A31,'Valo FX'!$A:$A,0)),INDEX(Base!$V:$V,MATCH($A31,Base!$A:$A,0)),0)))</f>
        <v>13.140090000000001</v>
      </c>
      <c r="FQ31" s="21">
        <f>IF(FQ$1&lt;INDEX('Valo FX'!$Q:$Q,MATCH($A31,'Valo FX'!$A:$A,0)),0,IF(FQ$1&lt;INDEX('Valo FX'!$R:$R,MATCH($A31,'Valo FX'!$A:$A,0)),INDEX(Base!$U:$U,MATCH($A31,Base!$A:$A,0)),IF(FQ$1=INDEX('Valo FX'!$R:$R,MATCH($A31,'Valo FX'!$A:$A,0)),INDEX(Base!$V:$V,MATCH($A31,Base!$A:$A,0)),0)))</f>
        <v>13.140090000000001</v>
      </c>
      <c r="FR31" s="21">
        <f>IF(FR$1&lt;INDEX('Valo FX'!$Q:$Q,MATCH($A31,'Valo FX'!$A:$A,0)),0,IF(FR$1&lt;INDEX('Valo FX'!$R:$R,MATCH($A31,'Valo FX'!$A:$A,0)),INDEX(Base!$U:$U,MATCH($A31,Base!$A:$A,0)),IF(FR$1=INDEX('Valo FX'!$R:$R,MATCH($A31,'Valo FX'!$A:$A,0)),INDEX(Base!$V:$V,MATCH($A31,Base!$A:$A,0)),0)))</f>
        <v>13.140090000000001</v>
      </c>
      <c r="FS31" s="21">
        <f>IF(FS$1&lt;INDEX('Valo FX'!$Q:$Q,MATCH($A31,'Valo FX'!$A:$A,0)),0,IF(FS$1&lt;INDEX('Valo FX'!$R:$R,MATCH($A31,'Valo FX'!$A:$A,0)),INDEX(Base!$U:$U,MATCH($A31,Base!$A:$A,0)),IF(FS$1=INDEX('Valo FX'!$R:$R,MATCH($A31,'Valo FX'!$A:$A,0)),INDEX(Base!$V:$V,MATCH($A31,Base!$A:$A,0)),0)))</f>
        <v>13.140090000000001</v>
      </c>
      <c r="FT31" s="21">
        <f>IF(FT$1&lt;INDEX('Valo FX'!$Q:$Q,MATCH($A31,'Valo FX'!$A:$A,0)),0,IF(FT$1&lt;INDEX('Valo FX'!$R:$R,MATCH($A31,'Valo FX'!$A:$A,0)),INDEX(Base!$U:$U,MATCH($A31,Base!$A:$A,0)),IF(FT$1=INDEX('Valo FX'!$R:$R,MATCH($A31,'Valo FX'!$A:$A,0)),INDEX(Base!$V:$V,MATCH($A31,Base!$A:$A,0)),0)))</f>
        <v>13.140090000000001</v>
      </c>
      <c r="FU31" s="21">
        <f>IF(FU$1&lt;INDEX('Valo FX'!$Q:$Q,MATCH($A31,'Valo FX'!$A:$A,0)),0,IF(FU$1&lt;INDEX('Valo FX'!$R:$R,MATCH($A31,'Valo FX'!$A:$A,0)),INDEX(Base!$U:$U,MATCH($A31,Base!$A:$A,0)),IF(FU$1=INDEX('Valo FX'!$R:$R,MATCH($A31,'Valo FX'!$A:$A,0)),INDEX(Base!$V:$V,MATCH($A31,Base!$A:$A,0)),0)))</f>
        <v>13.140090000000001</v>
      </c>
      <c r="FV31" s="21">
        <f>IF(FV$1&lt;INDEX('Valo FX'!$Q:$Q,MATCH($A31,'Valo FX'!$A:$A,0)),0,IF(FV$1&lt;INDEX('Valo FX'!$R:$R,MATCH($A31,'Valo FX'!$A:$A,0)),INDEX(Base!$U:$U,MATCH($A31,Base!$A:$A,0)),IF(FV$1=INDEX('Valo FX'!$R:$R,MATCH($A31,'Valo FX'!$A:$A,0)),INDEX(Base!$V:$V,MATCH($A31,Base!$A:$A,0)),0)))</f>
        <v>13.140090000000001</v>
      </c>
      <c r="FW31" s="21">
        <f>IF(FW$1&lt;INDEX('Valo FX'!$Q:$Q,MATCH($A31,'Valo FX'!$A:$A,0)),0,IF(FW$1&lt;INDEX('Valo FX'!$R:$R,MATCH($A31,'Valo FX'!$A:$A,0)),INDEX(Base!$U:$U,MATCH($A31,Base!$A:$A,0)),IF(FW$1=INDEX('Valo FX'!$R:$R,MATCH($A31,'Valo FX'!$A:$A,0)),INDEX(Base!$V:$V,MATCH($A31,Base!$A:$A,0)),0)))</f>
        <v>13.140090000000001</v>
      </c>
      <c r="FX31" s="21">
        <f>IF(FX$1&lt;INDEX('Valo FX'!$Q:$Q,MATCH($A31,'Valo FX'!$A:$A,0)),0,IF(FX$1&lt;INDEX('Valo FX'!$R:$R,MATCH($A31,'Valo FX'!$A:$A,0)),INDEX(Base!$U:$U,MATCH($A31,Base!$A:$A,0)),IF(FX$1=INDEX('Valo FX'!$R:$R,MATCH($A31,'Valo FX'!$A:$A,0)),INDEX(Base!$V:$V,MATCH($A31,Base!$A:$A,0)),0)))</f>
        <v>13.140090000000001</v>
      </c>
      <c r="FY31" s="21">
        <f>IF(FY$1&lt;INDEX('Valo FX'!$Q:$Q,MATCH($A31,'Valo FX'!$A:$A,0)),0,IF(FY$1&lt;INDEX('Valo FX'!$R:$R,MATCH($A31,'Valo FX'!$A:$A,0)),INDEX(Base!$U:$U,MATCH($A31,Base!$A:$A,0)),IF(FY$1=INDEX('Valo FX'!$R:$R,MATCH($A31,'Valo FX'!$A:$A,0)),INDEX(Base!$V:$V,MATCH($A31,Base!$A:$A,0)),0)))</f>
        <v>13.140090000000001</v>
      </c>
      <c r="FZ31" s="21">
        <f>IF(FZ$1&lt;INDEX('Valo FX'!$Q:$Q,MATCH($A31,'Valo FX'!$A:$A,0)),0,IF(FZ$1&lt;INDEX('Valo FX'!$R:$R,MATCH($A31,'Valo FX'!$A:$A,0)),INDEX(Base!$U:$U,MATCH($A31,Base!$A:$A,0)),IF(FZ$1=INDEX('Valo FX'!$R:$R,MATCH($A31,'Valo FX'!$A:$A,0)),INDEX(Base!$V:$V,MATCH($A31,Base!$A:$A,0)),0)))</f>
        <v>13.140090000000001</v>
      </c>
      <c r="GA31" s="21">
        <f>IF(GA$1&lt;INDEX('Valo FX'!$Q:$Q,MATCH($A31,'Valo FX'!$A:$A,0)),0,IF(GA$1&lt;INDEX('Valo FX'!$R:$R,MATCH($A31,'Valo FX'!$A:$A,0)),INDEX(Base!$U:$U,MATCH($A31,Base!$A:$A,0)),IF(GA$1=INDEX('Valo FX'!$R:$R,MATCH($A31,'Valo FX'!$A:$A,0)),INDEX(Base!$V:$V,MATCH($A31,Base!$A:$A,0)),0)))</f>
        <v>13.140090000000001</v>
      </c>
      <c r="GB31" s="21">
        <f>IF(GB$1&lt;INDEX('Valo FX'!$Q:$Q,MATCH($A31,'Valo FX'!$A:$A,0)),0,IF(GB$1&lt;INDEX('Valo FX'!$R:$R,MATCH($A31,'Valo FX'!$A:$A,0)),INDEX(Base!$U:$U,MATCH($A31,Base!$A:$A,0)),IF(GB$1=INDEX('Valo FX'!$R:$R,MATCH($A31,'Valo FX'!$A:$A,0)),INDEX(Base!$V:$V,MATCH($A31,Base!$A:$A,0)),0)))</f>
        <v>13.140090000000001</v>
      </c>
      <c r="GC31" s="21">
        <f>IF(GC$1&lt;INDEX('Valo FX'!$Q:$Q,MATCH($A31,'Valo FX'!$A:$A,0)),0,IF(GC$1&lt;INDEX('Valo FX'!$R:$R,MATCH($A31,'Valo FX'!$A:$A,0)),INDEX(Base!$U:$U,MATCH($A31,Base!$A:$A,0)),IF(GC$1=INDEX('Valo FX'!$R:$R,MATCH($A31,'Valo FX'!$A:$A,0)),INDEX(Base!$V:$V,MATCH($A31,Base!$A:$A,0)),0)))</f>
        <v>13.140090000000001</v>
      </c>
      <c r="GD31" s="21">
        <f>IF(GD$1&lt;INDEX('Valo FX'!$Q:$Q,MATCH($A31,'Valo FX'!$A:$A,0)),0,IF(GD$1&lt;INDEX('Valo FX'!$R:$R,MATCH($A31,'Valo FX'!$A:$A,0)),INDEX(Base!$U:$U,MATCH($A31,Base!$A:$A,0)),IF(GD$1=INDEX('Valo FX'!$R:$R,MATCH($A31,'Valo FX'!$A:$A,0)),INDEX(Base!$V:$V,MATCH($A31,Base!$A:$A,0)),0)))</f>
        <v>13.140090000000001</v>
      </c>
      <c r="GE31" s="21">
        <f>IF(GE$1&lt;INDEX('Valo FX'!$Q:$Q,MATCH($A31,'Valo FX'!$A:$A,0)),0,IF(GE$1&lt;INDEX('Valo FX'!$R:$R,MATCH($A31,'Valo FX'!$A:$A,0)),INDEX(Base!$U:$U,MATCH($A31,Base!$A:$A,0)),IF(GE$1=INDEX('Valo FX'!$R:$R,MATCH($A31,'Valo FX'!$A:$A,0)),INDEX(Base!$V:$V,MATCH($A31,Base!$A:$A,0)),0)))</f>
        <v>13.140090000000001</v>
      </c>
      <c r="GF31" s="21">
        <f>IF(GF$1&lt;INDEX('Valo FX'!$Q:$Q,MATCH($A31,'Valo FX'!$A:$A,0)),0,IF(GF$1&lt;INDEX('Valo FX'!$R:$R,MATCH($A31,'Valo FX'!$A:$A,0)),INDEX(Base!$U:$U,MATCH($A31,Base!$A:$A,0)),IF(GF$1=INDEX('Valo FX'!$R:$R,MATCH($A31,'Valo FX'!$A:$A,0)),INDEX(Base!$V:$V,MATCH($A31,Base!$A:$A,0)),0)))</f>
        <v>13.140090000000001</v>
      </c>
      <c r="GG31" s="21">
        <f>IF(GG$1&lt;INDEX('Valo FX'!$Q:$Q,MATCH($A31,'Valo FX'!$A:$A,0)),0,IF(GG$1&lt;INDEX('Valo FX'!$R:$R,MATCH($A31,'Valo FX'!$A:$A,0)),INDEX(Base!$U:$U,MATCH($A31,Base!$A:$A,0)),IF(GG$1=INDEX('Valo FX'!$R:$R,MATCH($A31,'Valo FX'!$A:$A,0)),INDEX(Base!$V:$V,MATCH($A31,Base!$A:$A,0)),0)))</f>
        <v>13.140090000000001</v>
      </c>
      <c r="GH31" s="21">
        <f>IF(GH$1&lt;INDEX('Valo FX'!$Q:$Q,MATCH($A31,'Valo FX'!$A:$A,0)),0,IF(GH$1&lt;INDEX('Valo FX'!$R:$R,MATCH($A31,'Valo FX'!$A:$A,0)),INDEX(Base!$U:$U,MATCH($A31,Base!$A:$A,0)),IF(GH$1=INDEX('Valo FX'!$R:$R,MATCH($A31,'Valo FX'!$A:$A,0)),INDEX(Base!$V:$V,MATCH($A31,Base!$A:$A,0)),0)))</f>
        <v>13.140090000000001</v>
      </c>
      <c r="GI31" s="21">
        <f>IF(GI$1&lt;INDEX('Valo FX'!$Q:$Q,MATCH($A31,'Valo FX'!$A:$A,0)),0,IF(GI$1&lt;INDEX('Valo FX'!$R:$R,MATCH($A31,'Valo FX'!$A:$A,0)),INDEX(Base!$U:$U,MATCH($A31,Base!$A:$A,0)),IF(GI$1=INDEX('Valo FX'!$R:$R,MATCH($A31,'Valo FX'!$A:$A,0)),INDEX(Base!$V:$V,MATCH($A31,Base!$A:$A,0)),0)))</f>
        <v>13.140090000000001</v>
      </c>
      <c r="GJ31" s="21">
        <f>IF(GJ$1&lt;INDEX('Valo FX'!$Q:$Q,MATCH($A31,'Valo FX'!$A:$A,0)),0,IF(GJ$1&lt;INDEX('Valo FX'!$R:$R,MATCH($A31,'Valo FX'!$A:$A,0)),INDEX(Base!$U:$U,MATCH($A31,Base!$A:$A,0)),IF(GJ$1=INDEX('Valo FX'!$R:$R,MATCH($A31,'Valo FX'!$A:$A,0)),INDEX(Base!$V:$V,MATCH($A31,Base!$A:$A,0)),0)))</f>
        <v>13.140090000000001</v>
      </c>
      <c r="GK31" s="21">
        <f>IF(GK$1&lt;INDEX('Valo FX'!$Q:$Q,MATCH($A31,'Valo FX'!$A:$A,0)),0,IF(GK$1&lt;INDEX('Valo FX'!$R:$R,MATCH($A31,'Valo FX'!$A:$A,0)),INDEX(Base!$U:$U,MATCH($A31,Base!$A:$A,0)),IF(GK$1=INDEX('Valo FX'!$R:$R,MATCH($A31,'Valo FX'!$A:$A,0)),INDEX(Base!$V:$V,MATCH($A31,Base!$A:$A,0)),0)))</f>
        <v>13.140090000000001</v>
      </c>
      <c r="GL31" s="21">
        <f>IF(GL$1&lt;INDEX('Valo FX'!$Q:$Q,MATCH($A31,'Valo FX'!$A:$A,0)),0,IF(GL$1&lt;INDEX('Valo FX'!$R:$R,MATCH($A31,'Valo FX'!$A:$A,0)),INDEX(Base!$U:$U,MATCH($A31,Base!$A:$A,0)),IF(GL$1=INDEX('Valo FX'!$R:$R,MATCH($A31,'Valo FX'!$A:$A,0)),INDEX(Base!$V:$V,MATCH($A31,Base!$A:$A,0)),0)))</f>
        <v>13.140090000000001</v>
      </c>
      <c r="GM31" s="21">
        <f>IF(GM$1&lt;INDEX('Valo FX'!$Q:$Q,MATCH($A31,'Valo FX'!$A:$A,0)),0,IF(GM$1&lt;INDEX('Valo FX'!$R:$R,MATCH($A31,'Valo FX'!$A:$A,0)),INDEX(Base!$U:$U,MATCH($A31,Base!$A:$A,0)),IF(GM$1=INDEX('Valo FX'!$R:$R,MATCH($A31,'Valo FX'!$A:$A,0)),INDEX(Base!$V:$V,MATCH($A31,Base!$A:$A,0)),0)))</f>
        <v>13.140090000000001</v>
      </c>
      <c r="GN31" s="21">
        <f>IF(GN$1&lt;INDEX('Valo FX'!$Q:$Q,MATCH($A31,'Valo FX'!$A:$A,0)),0,IF(GN$1&lt;INDEX('Valo FX'!$R:$R,MATCH($A31,'Valo FX'!$A:$A,0)),INDEX(Base!$U:$U,MATCH($A31,Base!$A:$A,0)),IF(GN$1=INDEX('Valo FX'!$R:$R,MATCH($A31,'Valo FX'!$A:$A,0)),INDEX(Base!$V:$V,MATCH($A31,Base!$A:$A,0)),0)))</f>
        <v>13.140090000000001</v>
      </c>
      <c r="GO31" s="21">
        <f>IF(GO$1&lt;INDEX('Valo FX'!$Q:$Q,MATCH($A31,'Valo FX'!$A:$A,0)),0,IF(GO$1&lt;INDEX('Valo FX'!$R:$R,MATCH($A31,'Valo FX'!$A:$A,0)),INDEX(Base!$U:$U,MATCH($A31,Base!$A:$A,0)),IF(GO$1=INDEX('Valo FX'!$R:$R,MATCH($A31,'Valo FX'!$A:$A,0)),INDEX(Base!$V:$V,MATCH($A31,Base!$A:$A,0)),0)))</f>
        <v>13.140090000000001</v>
      </c>
      <c r="GP31" s="21">
        <f>IF(GP$1&lt;INDEX('Valo FX'!$Q:$Q,MATCH($A31,'Valo FX'!$A:$A,0)),0,IF(GP$1&lt;INDEX('Valo FX'!$R:$R,MATCH($A31,'Valo FX'!$A:$A,0)),INDEX(Base!$U:$U,MATCH($A31,Base!$A:$A,0)),IF(GP$1=INDEX('Valo FX'!$R:$R,MATCH($A31,'Valo FX'!$A:$A,0)),INDEX(Base!$V:$V,MATCH($A31,Base!$A:$A,0)),0)))</f>
        <v>13.140090000000001</v>
      </c>
      <c r="GQ31" s="21">
        <f>IF(GQ$1&lt;INDEX('Valo FX'!$Q:$Q,MATCH($A31,'Valo FX'!$A:$A,0)),0,IF(GQ$1&lt;INDEX('Valo FX'!$R:$R,MATCH($A31,'Valo FX'!$A:$A,0)),INDEX(Base!$U:$U,MATCH($A31,Base!$A:$A,0)),IF(GQ$1=INDEX('Valo FX'!$R:$R,MATCH($A31,'Valo FX'!$A:$A,0)),INDEX(Base!$V:$V,MATCH($A31,Base!$A:$A,0)),0)))</f>
        <v>13.140090000000001</v>
      </c>
      <c r="GR31" s="21">
        <f>IF(GR$1&lt;INDEX('Valo FX'!$Q:$Q,MATCH($A31,'Valo FX'!$A:$A,0)),0,IF(GR$1&lt;INDEX('Valo FX'!$R:$R,MATCH($A31,'Valo FX'!$A:$A,0)),INDEX(Base!$U:$U,MATCH($A31,Base!$A:$A,0)),IF(GR$1=INDEX('Valo FX'!$R:$R,MATCH($A31,'Valo FX'!$A:$A,0)),INDEX(Base!$V:$V,MATCH($A31,Base!$A:$A,0)),0)))</f>
        <v>13.140090000000001</v>
      </c>
      <c r="GS31" s="21">
        <f>IF(GS$1&lt;INDEX('Valo FX'!$Q:$Q,MATCH($A31,'Valo FX'!$A:$A,0)),0,IF(GS$1&lt;INDEX('Valo FX'!$R:$R,MATCH($A31,'Valo FX'!$A:$A,0)),INDEX(Base!$U:$U,MATCH($A31,Base!$A:$A,0)),IF(GS$1=INDEX('Valo FX'!$R:$R,MATCH($A31,'Valo FX'!$A:$A,0)),INDEX(Base!$V:$V,MATCH($A31,Base!$A:$A,0)),0)))</f>
        <v>13.140090000000001</v>
      </c>
      <c r="GT31" s="21">
        <f>IF(GT$1&lt;INDEX('Valo FX'!$Q:$Q,MATCH($A31,'Valo FX'!$A:$A,0)),0,IF(GT$1&lt;INDEX('Valo FX'!$R:$R,MATCH($A31,'Valo FX'!$A:$A,0)),INDEX(Base!$U:$U,MATCH($A31,Base!$A:$A,0)),IF(GT$1=INDEX('Valo FX'!$R:$R,MATCH($A31,'Valo FX'!$A:$A,0)),INDEX(Base!$V:$V,MATCH($A31,Base!$A:$A,0)),0)))</f>
        <v>13.140090000000001</v>
      </c>
      <c r="GU31" s="21">
        <f>IF(GU$1&lt;INDEX('Valo FX'!$Q:$Q,MATCH($A31,'Valo FX'!$A:$A,0)),0,IF(GU$1&lt;INDEX('Valo FX'!$R:$R,MATCH($A31,'Valo FX'!$A:$A,0)),INDEX(Base!$U:$U,MATCH($A31,Base!$A:$A,0)),IF(GU$1=INDEX('Valo FX'!$R:$R,MATCH($A31,'Valo FX'!$A:$A,0)),INDEX(Base!$V:$V,MATCH($A31,Base!$A:$A,0)),0)))</f>
        <v>13.140090000000001</v>
      </c>
      <c r="GV31" s="21">
        <f>IF(GV$1&lt;INDEX('Valo FX'!$Q:$Q,MATCH($A31,'Valo FX'!$A:$A,0)),0,IF(GV$1&lt;INDEX('Valo FX'!$R:$R,MATCH($A31,'Valo FX'!$A:$A,0)),INDEX(Base!$U:$U,MATCH($A31,Base!$A:$A,0)),IF(GV$1=INDEX('Valo FX'!$R:$R,MATCH($A31,'Valo FX'!$A:$A,0)),INDEX(Base!$V:$V,MATCH($A31,Base!$A:$A,0)),0)))</f>
        <v>13.140090000000001</v>
      </c>
      <c r="GW31" s="21">
        <f>IF(GW$1&lt;INDEX('Valo FX'!$Q:$Q,MATCH($A31,'Valo FX'!$A:$A,0)),0,IF(GW$1&lt;INDEX('Valo FX'!$R:$R,MATCH($A31,'Valo FX'!$A:$A,0)),INDEX(Base!$U:$U,MATCH($A31,Base!$A:$A,0)),IF(GW$1=INDEX('Valo FX'!$R:$R,MATCH($A31,'Valo FX'!$A:$A,0)),INDEX(Base!$V:$V,MATCH($A31,Base!$A:$A,0)),0)))</f>
        <v>13.140090000000001</v>
      </c>
      <c r="GX31" s="21">
        <f>IF(GX$1&lt;INDEX('Valo FX'!$Q:$Q,MATCH($A31,'Valo FX'!$A:$A,0)),0,IF(GX$1&lt;INDEX('Valo FX'!$R:$R,MATCH($A31,'Valo FX'!$A:$A,0)),INDEX(Base!$U:$U,MATCH($A31,Base!$A:$A,0)),IF(GX$1=INDEX('Valo FX'!$R:$R,MATCH($A31,'Valo FX'!$A:$A,0)),INDEX(Base!$V:$V,MATCH($A31,Base!$A:$A,0)),0)))</f>
        <v>13.140090000000001</v>
      </c>
      <c r="GY31" s="21">
        <f>IF(GY$1&lt;INDEX('Valo FX'!$Q:$Q,MATCH($A31,'Valo FX'!$A:$A,0)),0,IF(GY$1&lt;INDEX('Valo FX'!$R:$R,MATCH($A31,'Valo FX'!$A:$A,0)),INDEX(Base!$U:$U,MATCH($A31,Base!$A:$A,0)),IF(GY$1=INDEX('Valo FX'!$R:$R,MATCH($A31,'Valo FX'!$A:$A,0)),INDEX(Base!$V:$V,MATCH($A31,Base!$A:$A,0)),0)))</f>
        <v>13.140090000000001</v>
      </c>
      <c r="GZ31" s="21">
        <f>IF(GZ$1&lt;INDEX('Valo FX'!$Q:$Q,MATCH($A31,'Valo FX'!$A:$A,0)),0,IF(GZ$1&lt;INDEX('Valo FX'!$R:$R,MATCH($A31,'Valo FX'!$A:$A,0)),INDEX(Base!$U:$U,MATCH($A31,Base!$A:$A,0)),IF(GZ$1=INDEX('Valo FX'!$R:$R,MATCH($A31,'Valo FX'!$A:$A,0)),INDEX(Base!$V:$V,MATCH($A31,Base!$A:$A,0)),0)))</f>
        <v>13.140090000000001</v>
      </c>
      <c r="HA31" s="21">
        <f>IF(HA$1&lt;INDEX('Valo FX'!$Q:$Q,MATCH($A31,'Valo FX'!$A:$A,0)),0,IF(HA$1&lt;INDEX('Valo FX'!$R:$R,MATCH($A31,'Valo FX'!$A:$A,0)),INDEX(Base!$U:$U,MATCH($A31,Base!$A:$A,0)),IF(HA$1=INDEX('Valo FX'!$R:$R,MATCH($A31,'Valo FX'!$A:$A,0)),INDEX(Base!$V:$V,MATCH($A31,Base!$A:$A,0)),0)))</f>
        <v>13.140090000000001</v>
      </c>
      <c r="HB31" s="21">
        <f>IF(HB$1&lt;INDEX('Valo FX'!$Q:$Q,MATCH($A31,'Valo FX'!$A:$A,0)),0,IF(HB$1&lt;INDEX('Valo FX'!$R:$R,MATCH($A31,'Valo FX'!$A:$A,0)),INDEX(Base!$U:$U,MATCH($A31,Base!$A:$A,0)),IF(HB$1=INDEX('Valo FX'!$R:$R,MATCH($A31,'Valo FX'!$A:$A,0)),INDEX(Base!$V:$V,MATCH($A31,Base!$A:$A,0)),0)))</f>
        <v>13.140090000000001</v>
      </c>
      <c r="HC31" s="21">
        <f>IF(HC$1&lt;INDEX('Valo FX'!$Q:$Q,MATCH($A31,'Valo FX'!$A:$A,0)),0,IF(HC$1&lt;INDEX('Valo FX'!$R:$R,MATCH($A31,'Valo FX'!$A:$A,0)),INDEX(Base!$U:$U,MATCH($A31,Base!$A:$A,0)),IF(HC$1=INDEX('Valo FX'!$R:$R,MATCH($A31,'Valo FX'!$A:$A,0)),INDEX(Base!$V:$V,MATCH($A31,Base!$A:$A,0)),0)))</f>
        <v>13.140090000000001</v>
      </c>
      <c r="HD31" s="21">
        <f>IF(HD$1&lt;INDEX('Valo FX'!$Q:$Q,MATCH($A31,'Valo FX'!$A:$A,0)),0,IF(HD$1&lt;INDEX('Valo FX'!$R:$R,MATCH($A31,'Valo FX'!$A:$A,0)),INDEX(Base!$U:$U,MATCH($A31,Base!$A:$A,0)),IF(HD$1=INDEX('Valo FX'!$R:$R,MATCH($A31,'Valo FX'!$A:$A,0)),INDEX(Base!$V:$V,MATCH($A31,Base!$A:$A,0)),0)))</f>
        <v>13.140090000000001</v>
      </c>
      <c r="HE31" s="21">
        <f>IF(HE$1&lt;INDEX('Valo FX'!$Q:$Q,MATCH($A31,'Valo FX'!$A:$A,0)),0,IF(HE$1&lt;INDEX('Valo FX'!$R:$R,MATCH($A31,'Valo FX'!$A:$A,0)),INDEX(Base!$U:$U,MATCH($A31,Base!$A:$A,0)),IF(HE$1=INDEX('Valo FX'!$R:$R,MATCH($A31,'Valo FX'!$A:$A,0)),INDEX(Base!$V:$V,MATCH($A31,Base!$A:$A,0)),0)))</f>
        <v>13.140090000000001</v>
      </c>
      <c r="HF31" s="21">
        <f>IF(HF$1&lt;INDEX('Valo FX'!$Q:$Q,MATCH($A31,'Valo FX'!$A:$A,0)),0,IF(HF$1&lt;INDEX('Valo FX'!$R:$R,MATCH($A31,'Valo FX'!$A:$A,0)),INDEX(Base!$U:$U,MATCH($A31,Base!$A:$A,0)),IF(HF$1=INDEX('Valo FX'!$R:$R,MATCH($A31,'Valo FX'!$A:$A,0)),INDEX(Base!$V:$V,MATCH($A31,Base!$A:$A,0)),0)))</f>
        <v>13.140090000000001</v>
      </c>
      <c r="HG31" s="21">
        <f>IF(HG$1&lt;INDEX('Valo FX'!$Q:$Q,MATCH($A31,'Valo FX'!$A:$A,0)),0,IF(HG$1&lt;INDEX('Valo FX'!$R:$R,MATCH($A31,'Valo FX'!$A:$A,0)),INDEX(Base!$U:$U,MATCH($A31,Base!$A:$A,0)),IF(HG$1=INDEX('Valo FX'!$R:$R,MATCH($A31,'Valo FX'!$A:$A,0)),INDEX(Base!$V:$V,MATCH($A31,Base!$A:$A,0)),0)))</f>
        <v>13.140090000000001</v>
      </c>
      <c r="HH31" s="21">
        <f>IF(HH$1&lt;INDEX('Valo FX'!$Q:$Q,MATCH($A31,'Valo FX'!$A:$A,0)),0,IF(HH$1&lt;INDEX('Valo FX'!$R:$R,MATCH($A31,'Valo FX'!$A:$A,0)),INDEX(Base!$U:$U,MATCH($A31,Base!$A:$A,0)),IF(HH$1=INDEX('Valo FX'!$R:$R,MATCH($A31,'Valo FX'!$A:$A,0)),INDEX(Base!$V:$V,MATCH($A31,Base!$A:$A,0)),0)))</f>
        <v>13.140090000000001</v>
      </c>
      <c r="HI31" s="21">
        <f>IF(HI$1&lt;INDEX('Valo FX'!$Q:$Q,MATCH($A31,'Valo FX'!$A:$A,0)),0,IF(HI$1&lt;INDEX('Valo FX'!$R:$R,MATCH($A31,'Valo FX'!$A:$A,0)),INDEX(Base!$U:$U,MATCH($A31,Base!$A:$A,0)),IF(HI$1=INDEX('Valo FX'!$R:$R,MATCH($A31,'Valo FX'!$A:$A,0)),INDEX(Base!$V:$V,MATCH($A31,Base!$A:$A,0)),0)))</f>
        <v>13.140090000000001</v>
      </c>
      <c r="HJ31" s="21">
        <f>IF(HJ$1&lt;INDEX('Valo FX'!$Q:$Q,MATCH($A31,'Valo FX'!$A:$A,0)),0,IF(HJ$1&lt;INDEX('Valo FX'!$R:$R,MATCH($A31,'Valo FX'!$A:$A,0)),INDEX(Base!$U:$U,MATCH($A31,Base!$A:$A,0)),IF(HJ$1=INDEX('Valo FX'!$R:$R,MATCH($A31,'Valo FX'!$A:$A,0)),INDEX(Base!$V:$V,MATCH($A31,Base!$A:$A,0)),0)))</f>
        <v>13.140090000000001</v>
      </c>
      <c r="HK31" s="21">
        <f>IF(HK$1&lt;INDEX('Valo FX'!$Q:$Q,MATCH($A31,'Valo FX'!$A:$A,0)),0,IF(HK$1&lt;INDEX('Valo FX'!$R:$R,MATCH($A31,'Valo FX'!$A:$A,0)),INDEX(Base!$U:$U,MATCH($A31,Base!$A:$A,0)),IF(HK$1=INDEX('Valo FX'!$R:$R,MATCH($A31,'Valo FX'!$A:$A,0)),INDEX(Base!$V:$V,MATCH($A31,Base!$A:$A,0)),0)))</f>
        <v>13.140090000000001</v>
      </c>
      <c r="HL31" s="21">
        <f>IF(HL$1&lt;INDEX('Valo FX'!$Q:$Q,MATCH($A31,'Valo FX'!$A:$A,0)),0,IF(HL$1&lt;INDEX('Valo FX'!$R:$R,MATCH($A31,'Valo FX'!$A:$A,0)),INDEX(Base!$U:$U,MATCH($A31,Base!$A:$A,0)),IF(HL$1=INDEX('Valo FX'!$R:$R,MATCH($A31,'Valo FX'!$A:$A,0)),INDEX(Base!$V:$V,MATCH($A31,Base!$A:$A,0)),0)))</f>
        <v>13.140090000000001</v>
      </c>
      <c r="HM31" s="21">
        <f>IF(HM$1&lt;INDEX('Valo FX'!$Q:$Q,MATCH($A31,'Valo FX'!$A:$A,0)),0,IF(HM$1&lt;INDEX('Valo FX'!$R:$R,MATCH($A31,'Valo FX'!$A:$A,0)),INDEX(Base!$U:$U,MATCH($A31,Base!$A:$A,0)),IF(HM$1=INDEX('Valo FX'!$R:$R,MATCH($A31,'Valo FX'!$A:$A,0)),INDEX(Base!$V:$V,MATCH($A31,Base!$A:$A,0)),0)))</f>
        <v>13.140090000000001</v>
      </c>
      <c r="HN31" s="21">
        <f>IF(HN$1&lt;INDEX('Valo FX'!$Q:$Q,MATCH($A31,'Valo FX'!$A:$A,0)),0,IF(HN$1&lt;INDEX('Valo FX'!$R:$R,MATCH($A31,'Valo FX'!$A:$A,0)),INDEX(Base!$U:$U,MATCH($A31,Base!$A:$A,0)),IF(HN$1=INDEX('Valo FX'!$R:$R,MATCH($A31,'Valo FX'!$A:$A,0)),INDEX(Base!$V:$V,MATCH($A31,Base!$A:$A,0)),0)))</f>
        <v>13.140090000000001</v>
      </c>
      <c r="HO31" s="21">
        <f>IF(HO$1&lt;INDEX('Valo FX'!$Q:$Q,MATCH($A31,'Valo FX'!$A:$A,0)),0,IF(HO$1&lt;INDEX('Valo FX'!$R:$R,MATCH($A31,'Valo FX'!$A:$A,0)),INDEX(Base!$U:$U,MATCH($A31,Base!$A:$A,0)),IF(HO$1=INDEX('Valo FX'!$R:$R,MATCH($A31,'Valo FX'!$A:$A,0)),INDEX(Base!$V:$V,MATCH($A31,Base!$A:$A,0)),0)))</f>
        <v>13.140090000000001</v>
      </c>
      <c r="HP31" s="21">
        <f>IF(HP$1&lt;INDEX('Valo FX'!$Q:$Q,MATCH($A31,'Valo FX'!$A:$A,0)),0,IF(HP$1&lt;INDEX('Valo FX'!$R:$R,MATCH($A31,'Valo FX'!$A:$A,0)),INDEX(Base!$U:$U,MATCH($A31,Base!$A:$A,0)),IF(HP$1=INDEX('Valo FX'!$R:$R,MATCH($A31,'Valo FX'!$A:$A,0)),INDEX(Base!$V:$V,MATCH($A31,Base!$A:$A,0)),0)))</f>
        <v>13.140090000000001</v>
      </c>
      <c r="HQ31" s="21">
        <f>IF(HQ$1&lt;INDEX('Valo FX'!$Q:$Q,MATCH($A31,'Valo FX'!$A:$A,0)),0,IF(HQ$1&lt;INDEX('Valo FX'!$R:$R,MATCH($A31,'Valo FX'!$A:$A,0)),INDEX(Base!$U:$U,MATCH($A31,Base!$A:$A,0)),IF(HQ$1=INDEX('Valo FX'!$R:$R,MATCH($A31,'Valo FX'!$A:$A,0)),INDEX(Base!$V:$V,MATCH($A31,Base!$A:$A,0)),0)))</f>
        <v>13.140090000000001</v>
      </c>
      <c r="HR31" s="21">
        <f>IF(HR$1&lt;INDEX('Valo FX'!$Q:$Q,MATCH($A31,'Valo FX'!$A:$A,0)),0,IF(HR$1&lt;INDEX('Valo FX'!$R:$R,MATCH($A31,'Valo FX'!$A:$A,0)),INDEX(Base!$U:$U,MATCH($A31,Base!$A:$A,0)),IF(HR$1=INDEX('Valo FX'!$R:$R,MATCH($A31,'Valo FX'!$A:$A,0)),INDEX(Base!$V:$V,MATCH($A31,Base!$A:$A,0)),0)))</f>
        <v>13.140090000000001</v>
      </c>
      <c r="HS31" s="21">
        <f>IF(HS$1&lt;INDEX('Valo FX'!$Q:$Q,MATCH($A31,'Valo FX'!$A:$A,0)),0,IF(HS$1&lt;INDEX('Valo FX'!$R:$R,MATCH($A31,'Valo FX'!$A:$A,0)),INDEX(Base!$U:$U,MATCH($A31,Base!$A:$A,0)),IF(HS$1=INDEX('Valo FX'!$R:$R,MATCH($A31,'Valo FX'!$A:$A,0)),INDEX(Base!$V:$V,MATCH($A31,Base!$A:$A,0)),0)))</f>
        <v>13.140090000000001</v>
      </c>
      <c r="HT31" s="21">
        <f>IF(HT$1&lt;INDEX('Valo FX'!$Q:$Q,MATCH($A31,'Valo FX'!$A:$A,0)),0,IF(HT$1&lt;INDEX('Valo FX'!$R:$R,MATCH($A31,'Valo FX'!$A:$A,0)),INDEX(Base!$U:$U,MATCH($A31,Base!$A:$A,0)),IF(HT$1=INDEX('Valo FX'!$R:$R,MATCH($A31,'Valo FX'!$A:$A,0)),INDEX(Base!$V:$V,MATCH($A31,Base!$A:$A,0)),0)))</f>
        <v>13.140090000000001</v>
      </c>
      <c r="HU31" s="21">
        <f>IF(HU$1&lt;INDEX('Valo FX'!$Q:$Q,MATCH($A31,'Valo FX'!$A:$A,0)),0,IF(HU$1&lt;INDEX('Valo FX'!$R:$R,MATCH($A31,'Valo FX'!$A:$A,0)),INDEX(Base!$U:$U,MATCH($A31,Base!$A:$A,0)),IF(HU$1=INDEX('Valo FX'!$R:$R,MATCH($A31,'Valo FX'!$A:$A,0)),INDEX(Base!$V:$V,MATCH($A31,Base!$A:$A,0)),0)))</f>
        <v>13.140090000000001</v>
      </c>
      <c r="HV31" s="21">
        <f>IF(HV$1&lt;INDEX('Valo FX'!$Q:$Q,MATCH($A31,'Valo FX'!$A:$A,0)),0,IF(HV$1&lt;INDEX('Valo FX'!$R:$R,MATCH($A31,'Valo FX'!$A:$A,0)),INDEX(Base!$U:$U,MATCH($A31,Base!$A:$A,0)),IF(HV$1=INDEX('Valo FX'!$R:$R,MATCH($A31,'Valo FX'!$A:$A,0)),INDEX(Base!$V:$V,MATCH($A31,Base!$A:$A,0)),0)))</f>
        <v>13.140090000000001</v>
      </c>
      <c r="HW31" s="21">
        <f>IF(HW$1&lt;INDEX('Valo FX'!$Q:$Q,MATCH($A31,'Valo FX'!$A:$A,0)),0,IF(HW$1&lt;INDEX('Valo FX'!$R:$R,MATCH($A31,'Valo FX'!$A:$A,0)),INDEX(Base!$U:$U,MATCH($A31,Base!$A:$A,0)),IF(HW$1=INDEX('Valo FX'!$R:$R,MATCH($A31,'Valo FX'!$A:$A,0)),INDEX(Base!$V:$V,MATCH($A31,Base!$A:$A,0)),0)))</f>
        <v>13.140090000000001</v>
      </c>
      <c r="HX31" s="21">
        <f>IF(HX$1&lt;INDEX('Valo FX'!$Q:$Q,MATCH($A31,'Valo FX'!$A:$A,0)),0,IF(HX$1&lt;INDEX('Valo FX'!$R:$R,MATCH($A31,'Valo FX'!$A:$A,0)),INDEX(Base!$U:$U,MATCH($A31,Base!$A:$A,0)),IF(HX$1=INDEX('Valo FX'!$R:$R,MATCH($A31,'Valo FX'!$A:$A,0)),INDEX(Base!$V:$V,MATCH($A31,Base!$A:$A,0)),0)))</f>
        <v>13.140090000000001</v>
      </c>
      <c r="HY31" s="21">
        <f>IF(HY$1&lt;INDEX('Valo FX'!$Q:$Q,MATCH($A31,'Valo FX'!$A:$A,0)),0,IF(HY$1&lt;INDEX('Valo FX'!$R:$R,MATCH($A31,'Valo FX'!$A:$A,0)),INDEX(Base!$U:$U,MATCH($A31,Base!$A:$A,0)),IF(HY$1=INDEX('Valo FX'!$R:$R,MATCH($A31,'Valo FX'!$A:$A,0)),INDEX(Base!$V:$V,MATCH($A31,Base!$A:$A,0)),0)))</f>
        <v>13.140090000000001</v>
      </c>
      <c r="HZ31" s="21">
        <f>IF(HZ$1&lt;INDEX('Valo FX'!$Q:$Q,MATCH($A31,'Valo FX'!$A:$A,0)),0,IF(HZ$1&lt;INDEX('Valo FX'!$R:$R,MATCH($A31,'Valo FX'!$A:$A,0)),INDEX(Base!$U:$U,MATCH($A31,Base!$A:$A,0)),IF(HZ$1=INDEX('Valo FX'!$R:$R,MATCH($A31,'Valo FX'!$A:$A,0)),INDEX(Base!$V:$V,MATCH($A31,Base!$A:$A,0)),0)))</f>
        <v>13.140090000000001</v>
      </c>
      <c r="IA31" s="21">
        <f>IF(IA$1&lt;INDEX('Valo FX'!$Q:$Q,MATCH($A31,'Valo FX'!$A:$A,0)),0,IF(IA$1&lt;INDEX('Valo FX'!$R:$R,MATCH($A31,'Valo FX'!$A:$A,0)),INDEX(Base!$U:$U,MATCH($A31,Base!$A:$A,0)),IF(IA$1=INDEX('Valo FX'!$R:$R,MATCH($A31,'Valo FX'!$A:$A,0)),INDEX(Base!$V:$V,MATCH($A31,Base!$A:$A,0)),0)))</f>
        <v>13.140090000000001</v>
      </c>
      <c r="IB31" s="21">
        <f>IF(IB$1&lt;INDEX('Valo FX'!$Q:$Q,MATCH($A31,'Valo FX'!$A:$A,0)),0,IF(IB$1&lt;INDEX('Valo FX'!$R:$R,MATCH($A31,'Valo FX'!$A:$A,0)),INDEX(Base!$U:$U,MATCH($A31,Base!$A:$A,0)),IF(IB$1=INDEX('Valo FX'!$R:$R,MATCH($A31,'Valo FX'!$A:$A,0)),INDEX(Base!$V:$V,MATCH($A31,Base!$A:$A,0)),0)))</f>
        <v>13.140090000000001</v>
      </c>
      <c r="IC31" s="21">
        <f>IF(IC$1&lt;INDEX('Valo FX'!$Q:$Q,MATCH($A31,'Valo FX'!$A:$A,0)),0,IF(IC$1&lt;INDEX('Valo FX'!$R:$R,MATCH($A31,'Valo FX'!$A:$A,0)),INDEX(Base!$U:$U,MATCH($A31,Base!$A:$A,0)),IF(IC$1=INDEX('Valo FX'!$R:$R,MATCH($A31,'Valo FX'!$A:$A,0)),INDEX(Base!$V:$V,MATCH($A31,Base!$A:$A,0)),0)))</f>
        <v>13.140090000000001</v>
      </c>
      <c r="ID31" s="21">
        <f>IF(ID$1&lt;INDEX('Valo FX'!$Q:$Q,MATCH($A31,'Valo FX'!$A:$A,0)),0,IF(ID$1&lt;INDEX('Valo FX'!$R:$R,MATCH($A31,'Valo FX'!$A:$A,0)),INDEX(Base!$U:$U,MATCH($A31,Base!$A:$A,0)),IF(ID$1=INDEX('Valo FX'!$R:$R,MATCH($A31,'Valo FX'!$A:$A,0)),INDEX(Base!$V:$V,MATCH($A31,Base!$A:$A,0)),0)))</f>
        <v>13.140090000000001</v>
      </c>
      <c r="IE31" s="21">
        <f>IF(IE$1&lt;INDEX('Valo FX'!$Q:$Q,MATCH($A31,'Valo FX'!$A:$A,0)),0,IF(IE$1&lt;INDEX('Valo FX'!$R:$R,MATCH($A31,'Valo FX'!$A:$A,0)),INDEX(Base!$U:$U,MATCH($A31,Base!$A:$A,0)),IF(IE$1=INDEX('Valo FX'!$R:$R,MATCH($A31,'Valo FX'!$A:$A,0)),INDEX(Base!$V:$V,MATCH($A31,Base!$A:$A,0)),0)))</f>
        <v>13.140090000000001</v>
      </c>
      <c r="IF31" s="21">
        <f>IF(IF$1&lt;INDEX('Valo FX'!$Q:$Q,MATCH($A31,'Valo FX'!$A:$A,0)),0,IF(IF$1&lt;INDEX('Valo FX'!$R:$R,MATCH($A31,'Valo FX'!$A:$A,0)),INDEX(Base!$U:$U,MATCH($A31,Base!$A:$A,0)),IF(IF$1=INDEX('Valo FX'!$R:$R,MATCH($A31,'Valo FX'!$A:$A,0)),INDEX(Base!$V:$V,MATCH($A31,Base!$A:$A,0)),0)))</f>
        <v>13.140090000000001</v>
      </c>
      <c r="IG31" s="21">
        <f>IF(IG$1&lt;INDEX('Valo FX'!$Q:$Q,MATCH($A31,'Valo FX'!$A:$A,0)),0,IF(IG$1&lt;INDEX('Valo FX'!$R:$R,MATCH($A31,'Valo FX'!$A:$A,0)),INDEX(Base!$U:$U,MATCH($A31,Base!$A:$A,0)),IF(IG$1=INDEX('Valo FX'!$R:$R,MATCH($A31,'Valo FX'!$A:$A,0)),INDEX(Base!$V:$V,MATCH($A31,Base!$A:$A,0)),0)))</f>
        <v>13.140090000000001</v>
      </c>
      <c r="IH31" s="21">
        <f>IF(IH$1&lt;INDEX('Valo FX'!$Q:$Q,MATCH($A31,'Valo FX'!$A:$A,0)),0,IF(IH$1&lt;INDEX('Valo FX'!$R:$R,MATCH($A31,'Valo FX'!$A:$A,0)),INDEX(Base!$U:$U,MATCH($A31,Base!$A:$A,0)),IF(IH$1=INDEX('Valo FX'!$R:$R,MATCH($A31,'Valo FX'!$A:$A,0)),INDEX(Base!$V:$V,MATCH($A31,Base!$A:$A,0)),0)))</f>
        <v>13.140090000000001</v>
      </c>
      <c r="II31" s="21">
        <f>IF(II$1&lt;INDEX('Valo FX'!$Q:$Q,MATCH($A31,'Valo FX'!$A:$A,0)),0,IF(II$1&lt;INDEX('Valo FX'!$R:$R,MATCH($A31,'Valo FX'!$A:$A,0)),INDEX(Base!$U:$U,MATCH($A31,Base!$A:$A,0)),IF(II$1=INDEX('Valo FX'!$R:$R,MATCH($A31,'Valo FX'!$A:$A,0)),INDEX(Base!$V:$V,MATCH($A31,Base!$A:$A,0)),0)))</f>
        <v>13.140090000000001</v>
      </c>
      <c r="IJ31" s="21">
        <f>IF(IJ$1&lt;INDEX('Valo FX'!$Q:$Q,MATCH($A31,'Valo FX'!$A:$A,0)),0,IF(IJ$1&lt;INDEX('Valo FX'!$R:$R,MATCH($A31,'Valo FX'!$A:$A,0)),INDEX(Base!$U:$U,MATCH($A31,Base!$A:$A,0)),IF(IJ$1=INDEX('Valo FX'!$R:$R,MATCH($A31,'Valo FX'!$A:$A,0)),INDEX(Base!$V:$V,MATCH($A31,Base!$A:$A,0)),0)))</f>
        <v>13.140090000000001</v>
      </c>
      <c r="IK31" s="21">
        <f>IF(IK$1&lt;INDEX('Valo FX'!$Q:$Q,MATCH($A31,'Valo FX'!$A:$A,0)),0,IF(IK$1&lt;INDEX('Valo FX'!$R:$R,MATCH($A31,'Valo FX'!$A:$A,0)),INDEX(Base!$U:$U,MATCH($A31,Base!$A:$A,0)),IF(IK$1=INDEX('Valo FX'!$R:$R,MATCH($A31,'Valo FX'!$A:$A,0)),INDEX(Base!$V:$V,MATCH($A31,Base!$A:$A,0)),0)))</f>
        <v>13.140090000000001</v>
      </c>
      <c r="IL31" s="21">
        <f>IF(IL$1&lt;INDEX('Valo FX'!$Q:$Q,MATCH($A31,'Valo FX'!$A:$A,0)),0,IF(IL$1&lt;INDEX('Valo FX'!$R:$R,MATCH($A31,'Valo FX'!$A:$A,0)),INDEX(Base!$U:$U,MATCH($A31,Base!$A:$A,0)),IF(IL$1=INDEX('Valo FX'!$R:$R,MATCH($A31,'Valo FX'!$A:$A,0)),INDEX(Base!$V:$V,MATCH($A31,Base!$A:$A,0)),0)))</f>
        <v>13.140090000000001</v>
      </c>
      <c r="IM31" s="21">
        <f>IF(IM$1&lt;INDEX('Valo FX'!$Q:$Q,MATCH($A31,'Valo FX'!$A:$A,0)),0,IF(IM$1&lt;INDEX('Valo FX'!$R:$R,MATCH($A31,'Valo FX'!$A:$A,0)),INDEX(Base!$U:$U,MATCH($A31,Base!$A:$A,0)),IF(IM$1=INDEX('Valo FX'!$R:$R,MATCH($A31,'Valo FX'!$A:$A,0)),INDEX(Base!$V:$V,MATCH($A31,Base!$A:$A,0)),0)))</f>
        <v>13.140090000000001</v>
      </c>
      <c r="IN31" s="21">
        <f>IF(IN$1&lt;INDEX('Valo FX'!$Q:$Q,MATCH($A31,'Valo FX'!$A:$A,0)),0,IF(IN$1&lt;INDEX('Valo FX'!$R:$R,MATCH($A31,'Valo FX'!$A:$A,0)),INDEX(Base!$U:$U,MATCH($A31,Base!$A:$A,0)),IF(IN$1=INDEX('Valo FX'!$R:$R,MATCH($A31,'Valo FX'!$A:$A,0)),INDEX(Base!$V:$V,MATCH($A31,Base!$A:$A,0)),0)))</f>
        <v>13.140090000000001</v>
      </c>
      <c r="IO31" s="21">
        <f>IF(IO$1&lt;INDEX('Valo FX'!$Q:$Q,MATCH($A31,'Valo FX'!$A:$A,0)),0,IF(IO$1&lt;INDEX('Valo FX'!$R:$R,MATCH($A31,'Valo FX'!$A:$A,0)),INDEX(Base!$U:$U,MATCH($A31,Base!$A:$A,0)),IF(IO$1=INDEX('Valo FX'!$R:$R,MATCH($A31,'Valo FX'!$A:$A,0)),INDEX(Base!$V:$V,MATCH($A31,Base!$A:$A,0)),0)))</f>
        <v>13.140090000000001</v>
      </c>
      <c r="IP31" s="21">
        <f>IF(IP$1&lt;INDEX('Valo FX'!$Q:$Q,MATCH($A31,'Valo FX'!$A:$A,0)),0,IF(IP$1&lt;INDEX('Valo FX'!$R:$R,MATCH($A31,'Valo FX'!$A:$A,0)),INDEX(Base!$U:$U,MATCH($A31,Base!$A:$A,0)),IF(IP$1=INDEX('Valo FX'!$R:$R,MATCH($A31,'Valo FX'!$A:$A,0)),INDEX(Base!$V:$V,MATCH($A31,Base!$A:$A,0)),0)))</f>
        <v>13.140090000000001</v>
      </c>
      <c r="IQ31" s="21">
        <f>IF(IQ$1&lt;INDEX('Valo FX'!$Q:$Q,MATCH($A31,'Valo FX'!$A:$A,0)),0,IF(IQ$1&lt;INDEX('Valo FX'!$R:$R,MATCH($A31,'Valo FX'!$A:$A,0)),INDEX(Base!$U:$U,MATCH($A31,Base!$A:$A,0)),IF(IQ$1=INDEX('Valo FX'!$R:$R,MATCH($A31,'Valo FX'!$A:$A,0)),INDEX(Base!$V:$V,MATCH($A31,Base!$A:$A,0)),0)))</f>
        <v>13.140090000000001</v>
      </c>
      <c r="IR31" s="21">
        <f>IF(IR$1&lt;INDEX('Valo FX'!$Q:$Q,MATCH($A31,'Valo FX'!$A:$A,0)),0,IF(IR$1&lt;INDEX('Valo FX'!$R:$R,MATCH($A31,'Valo FX'!$A:$A,0)),INDEX(Base!$U:$U,MATCH($A31,Base!$A:$A,0)),IF(IR$1=INDEX('Valo FX'!$R:$R,MATCH($A31,'Valo FX'!$A:$A,0)),INDEX(Base!$V:$V,MATCH($A31,Base!$A:$A,0)),0)))</f>
        <v>13.140090000000001</v>
      </c>
      <c r="IS31" s="21">
        <f>IF(IS$1&lt;INDEX('Valo FX'!$Q:$Q,MATCH($A31,'Valo FX'!$A:$A,0)),0,IF(IS$1&lt;INDEX('Valo FX'!$R:$R,MATCH($A31,'Valo FX'!$A:$A,0)),INDEX(Base!$U:$U,MATCH($A31,Base!$A:$A,0)),IF(IS$1=INDEX('Valo FX'!$R:$R,MATCH($A31,'Valo FX'!$A:$A,0)),INDEX(Base!$V:$V,MATCH($A31,Base!$A:$A,0)),0)))</f>
        <v>13.140090000000001</v>
      </c>
      <c r="IT31" s="21">
        <f>IF(IT$1&lt;INDEX('Valo FX'!$Q:$Q,MATCH($A31,'Valo FX'!$A:$A,0)),0,IF(IT$1&lt;INDEX('Valo FX'!$R:$R,MATCH($A31,'Valo FX'!$A:$A,0)),INDEX(Base!$U:$U,MATCH($A31,Base!$A:$A,0)),IF(IT$1=INDEX('Valo FX'!$R:$R,MATCH($A31,'Valo FX'!$A:$A,0)),INDEX(Base!$V:$V,MATCH($A31,Base!$A:$A,0)),0)))</f>
        <v>13.140090000000001</v>
      </c>
      <c r="IU31" s="21">
        <f>IF(IU$1&lt;INDEX('Valo FX'!$Q:$Q,MATCH($A31,'Valo FX'!$A:$A,0)),0,IF(IU$1&lt;INDEX('Valo FX'!$R:$R,MATCH($A31,'Valo FX'!$A:$A,0)),INDEX(Base!$U:$U,MATCH($A31,Base!$A:$A,0)),IF(IU$1=INDEX('Valo FX'!$R:$R,MATCH($A31,'Valo FX'!$A:$A,0)),INDEX(Base!$V:$V,MATCH($A31,Base!$A:$A,0)),0)))</f>
        <v>13.140090000000001</v>
      </c>
      <c r="IV31" s="21">
        <f>IF(IV$1&lt;INDEX('Valo FX'!$Q:$Q,MATCH($A31,'Valo FX'!$A:$A,0)),0,IF(IV$1&lt;INDEX('Valo FX'!$R:$R,MATCH($A31,'Valo FX'!$A:$A,0)),INDEX(Base!$U:$U,MATCH($A31,Base!$A:$A,0)),IF(IV$1=INDEX('Valo FX'!$R:$R,MATCH($A31,'Valo FX'!$A:$A,0)),INDEX(Base!$V:$V,MATCH($A31,Base!$A:$A,0)),0)))</f>
        <v>13.140090000000001</v>
      </c>
      <c r="IW31" s="21">
        <f>IF(IW$1&lt;INDEX('Valo FX'!$Q:$Q,MATCH($A31,'Valo FX'!$A:$A,0)),0,IF(IW$1&lt;INDEX('Valo FX'!$R:$R,MATCH($A31,'Valo FX'!$A:$A,0)),INDEX(Base!$U:$U,MATCH($A31,Base!$A:$A,0)),IF(IW$1=INDEX('Valo FX'!$R:$R,MATCH($A31,'Valo FX'!$A:$A,0)),INDEX(Base!$V:$V,MATCH($A31,Base!$A:$A,0)),0)))</f>
        <v>13.140090000000001</v>
      </c>
      <c r="IX31" s="21">
        <f>IF(IX$1&lt;INDEX('Valo FX'!$Q:$Q,MATCH($A31,'Valo FX'!$A:$A,0)),0,IF(IX$1&lt;INDEX('Valo FX'!$R:$R,MATCH($A31,'Valo FX'!$A:$A,0)),INDEX(Base!$U:$U,MATCH($A31,Base!$A:$A,0)),IF(IX$1=INDEX('Valo FX'!$R:$R,MATCH($A31,'Valo FX'!$A:$A,0)),INDEX(Base!$V:$V,MATCH($A31,Base!$A:$A,0)),0)))</f>
        <v>13.140090000000001</v>
      </c>
      <c r="IY31" s="21">
        <f>IF(IY$1&lt;INDEX('Valo FX'!$Q:$Q,MATCH($A31,'Valo FX'!$A:$A,0)),0,IF(IY$1&lt;INDEX('Valo FX'!$R:$R,MATCH($A31,'Valo FX'!$A:$A,0)),INDEX(Base!$U:$U,MATCH($A31,Base!$A:$A,0)),IF(IY$1=INDEX('Valo FX'!$R:$R,MATCH($A31,'Valo FX'!$A:$A,0)),INDEX(Base!$V:$V,MATCH($A31,Base!$A:$A,0)),0)))</f>
        <v>13.140090000000001</v>
      </c>
      <c r="IZ31" s="21">
        <f>IF(IZ$1&lt;INDEX('Valo FX'!$Q:$Q,MATCH($A31,'Valo FX'!$A:$A,0)),0,IF(IZ$1&lt;INDEX('Valo FX'!$R:$R,MATCH($A31,'Valo FX'!$A:$A,0)),INDEX(Base!$U:$U,MATCH($A31,Base!$A:$A,0)),IF(IZ$1=INDEX('Valo FX'!$R:$R,MATCH($A31,'Valo FX'!$A:$A,0)),INDEX(Base!$V:$V,MATCH($A31,Base!$A:$A,0)),0)))</f>
        <v>13.140090000000001</v>
      </c>
      <c r="JA31" s="21">
        <f>IF(JA$1&lt;INDEX('Valo FX'!$Q:$Q,MATCH($A31,'Valo FX'!$A:$A,0)),0,IF(JA$1&lt;INDEX('Valo FX'!$R:$R,MATCH($A31,'Valo FX'!$A:$A,0)),INDEX(Base!$U:$U,MATCH($A31,Base!$A:$A,0)),IF(JA$1=INDEX('Valo FX'!$R:$R,MATCH($A31,'Valo FX'!$A:$A,0)),INDEX(Base!$V:$V,MATCH($A31,Base!$A:$A,0)),0)))</f>
        <v>13.140090000000001</v>
      </c>
      <c r="JB31" s="21">
        <f>IF(JB$1&lt;INDEX('Valo FX'!$Q:$Q,MATCH($A31,'Valo FX'!$A:$A,0)),0,IF(JB$1&lt;INDEX('Valo FX'!$R:$R,MATCH($A31,'Valo FX'!$A:$A,0)),INDEX(Base!$U:$U,MATCH($A31,Base!$A:$A,0)),IF(JB$1=INDEX('Valo FX'!$R:$R,MATCH($A31,'Valo FX'!$A:$A,0)),INDEX(Base!$V:$V,MATCH($A31,Base!$A:$A,0)),0)))</f>
        <v>13.140090000000001</v>
      </c>
      <c r="JC31" s="21">
        <f>IF(JC$1&lt;INDEX('Valo FX'!$Q:$Q,MATCH($A31,'Valo FX'!$A:$A,0)),0,IF(JC$1&lt;INDEX('Valo FX'!$R:$R,MATCH($A31,'Valo FX'!$A:$A,0)),INDEX(Base!$U:$U,MATCH($A31,Base!$A:$A,0)),IF(JC$1=INDEX('Valo FX'!$R:$R,MATCH($A31,'Valo FX'!$A:$A,0)),INDEX(Base!$V:$V,MATCH($A31,Base!$A:$A,0)),0)))</f>
        <v>13.140090000000001</v>
      </c>
      <c r="JD31" s="21">
        <f>IF(JD$1&lt;INDEX('Valo FX'!$Q:$Q,MATCH($A31,'Valo FX'!$A:$A,0)),0,IF(JD$1&lt;INDEX('Valo FX'!$R:$R,MATCH($A31,'Valo FX'!$A:$A,0)),INDEX(Base!$U:$U,MATCH($A31,Base!$A:$A,0)),IF(JD$1=INDEX('Valo FX'!$R:$R,MATCH($A31,'Valo FX'!$A:$A,0)),INDEX(Base!$V:$V,MATCH($A31,Base!$A:$A,0)),0)))</f>
        <v>13.140090000000001</v>
      </c>
      <c r="JE31" s="21">
        <f>IF(JE$1&lt;INDEX('Valo FX'!$Q:$Q,MATCH($A31,'Valo FX'!$A:$A,0)),0,IF(JE$1&lt;INDEX('Valo FX'!$R:$R,MATCH($A31,'Valo FX'!$A:$A,0)),INDEX(Base!$U:$U,MATCH($A31,Base!$A:$A,0)),IF(JE$1=INDEX('Valo FX'!$R:$R,MATCH($A31,'Valo FX'!$A:$A,0)),INDEX(Base!$V:$V,MATCH($A31,Base!$A:$A,0)),0)))</f>
        <v>13.140090000000001</v>
      </c>
      <c r="JF31" s="21">
        <f>IF(JF$1&lt;INDEX('Valo FX'!$Q:$Q,MATCH($A31,'Valo FX'!$A:$A,0)),0,IF(JF$1&lt;INDEX('Valo FX'!$R:$R,MATCH($A31,'Valo FX'!$A:$A,0)),INDEX(Base!$U:$U,MATCH($A31,Base!$A:$A,0)),IF(JF$1=INDEX('Valo FX'!$R:$R,MATCH($A31,'Valo FX'!$A:$A,0)),INDEX(Base!$V:$V,MATCH($A31,Base!$A:$A,0)),0)))</f>
        <v>13.140090000000001</v>
      </c>
      <c r="JG31" s="21">
        <f>IF(JG$1&lt;INDEX('Valo FX'!$Q:$Q,MATCH($A31,'Valo FX'!$A:$A,0)),0,IF(JG$1&lt;INDEX('Valo FX'!$R:$R,MATCH($A31,'Valo FX'!$A:$A,0)),INDEX(Base!$U:$U,MATCH($A31,Base!$A:$A,0)),IF(JG$1=INDEX('Valo FX'!$R:$R,MATCH($A31,'Valo FX'!$A:$A,0)),INDEX(Base!$V:$V,MATCH($A31,Base!$A:$A,0)),0)))</f>
        <v>13.140090000000001</v>
      </c>
      <c r="JH31" s="21">
        <f>IF(JH$1&lt;INDEX('Valo FX'!$Q:$Q,MATCH($A31,'Valo FX'!$A:$A,0)),0,IF(JH$1&lt;INDEX('Valo FX'!$R:$R,MATCH($A31,'Valo FX'!$A:$A,0)),INDEX(Base!$U:$U,MATCH($A31,Base!$A:$A,0)),IF(JH$1=INDEX('Valo FX'!$R:$R,MATCH($A31,'Valo FX'!$A:$A,0)),INDEX(Base!$V:$V,MATCH($A31,Base!$A:$A,0)),0)))</f>
        <v>13.140090000000001</v>
      </c>
      <c r="JI31" s="21">
        <f>IF(JI$1&lt;INDEX('Valo FX'!$Q:$Q,MATCH($A31,'Valo FX'!$A:$A,0)),0,IF(JI$1&lt;INDEX('Valo FX'!$R:$R,MATCH($A31,'Valo FX'!$A:$A,0)),INDEX(Base!$U:$U,MATCH($A31,Base!$A:$A,0)),IF(JI$1=INDEX('Valo FX'!$R:$R,MATCH($A31,'Valo FX'!$A:$A,0)),INDEX(Base!$V:$V,MATCH($A31,Base!$A:$A,0)),0)))</f>
        <v>13.140090000000001</v>
      </c>
      <c r="JJ31" s="21">
        <f>IF(JJ$1&lt;INDEX('Valo FX'!$Q:$Q,MATCH($A31,'Valo FX'!$A:$A,0)),0,IF(JJ$1&lt;INDEX('Valo FX'!$R:$R,MATCH($A31,'Valo FX'!$A:$A,0)),INDEX(Base!$U:$U,MATCH($A31,Base!$A:$A,0)),IF(JJ$1=INDEX('Valo FX'!$R:$R,MATCH($A31,'Valo FX'!$A:$A,0)),INDEX(Base!$V:$V,MATCH($A31,Base!$A:$A,0)),0)))</f>
        <v>13.140090000000001</v>
      </c>
      <c r="JK31" s="21">
        <f>IF(JK$1&lt;INDEX('Valo FX'!$Q:$Q,MATCH($A31,'Valo FX'!$A:$A,0)),0,IF(JK$1&lt;INDEX('Valo FX'!$R:$R,MATCH($A31,'Valo FX'!$A:$A,0)),INDEX(Base!$U:$U,MATCH($A31,Base!$A:$A,0)),IF(JK$1=INDEX('Valo FX'!$R:$R,MATCH($A31,'Valo FX'!$A:$A,0)),INDEX(Base!$V:$V,MATCH($A31,Base!$A:$A,0)),0)))</f>
        <v>13.140090000000001</v>
      </c>
      <c r="JL31" s="21">
        <f>IF(JL$1&lt;INDEX('Valo FX'!$Q:$Q,MATCH($A31,'Valo FX'!$A:$A,0)),0,IF(JL$1&lt;INDEX('Valo FX'!$R:$R,MATCH($A31,'Valo FX'!$A:$A,0)),INDEX(Base!$U:$U,MATCH($A31,Base!$A:$A,0)),IF(JL$1=INDEX('Valo FX'!$R:$R,MATCH($A31,'Valo FX'!$A:$A,0)),INDEX(Base!$V:$V,MATCH($A31,Base!$A:$A,0)),0)))</f>
        <v>13.140090000000001</v>
      </c>
      <c r="JM31" s="21">
        <f>IF(JM$1&lt;INDEX('Valo FX'!$Q:$Q,MATCH($A31,'Valo FX'!$A:$A,0)),0,IF(JM$1&lt;INDEX('Valo FX'!$R:$R,MATCH($A31,'Valo FX'!$A:$A,0)),INDEX(Base!$U:$U,MATCH($A31,Base!$A:$A,0)),IF(JM$1=INDEX('Valo FX'!$R:$R,MATCH($A31,'Valo FX'!$A:$A,0)),INDEX(Base!$V:$V,MATCH($A31,Base!$A:$A,0)),0)))</f>
        <v>13.140090000000001</v>
      </c>
      <c r="JN31" s="21">
        <f>IF(JN$1&lt;INDEX('Valo FX'!$Q:$Q,MATCH($A31,'Valo FX'!$A:$A,0)),0,IF(JN$1&lt;INDEX('Valo FX'!$R:$R,MATCH($A31,'Valo FX'!$A:$A,0)),INDEX(Base!$U:$U,MATCH($A31,Base!$A:$A,0)),IF(JN$1=INDEX('Valo FX'!$R:$R,MATCH($A31,'Valo FX'!$A:$A,0)),INDEX(Base!$V:$V,MATCH($A31,Base!$A:$A,0)),0)))</f>
        <v>13.140090000000001</v>
      </c>
      <c r="JO31" s="21">
        <f>IF(JO$1&lt;INDEX('Valo FX'!$Q:$Q,MATCH($A31,'Valo FX'!$A:$A,0)),0,IF(JO$1&lt;INDEX('Valo FX'!$R:$R,MATCH($A31,'Valo FX'!$A:$A,0)),INDEX(Base!$U:$U,MATCH($A31,Base!$A:$A,0)),IF(JO$1=INDEX('Valo FX'!$R:$R,MATCH($A31,'Valo FX'!$A:$A,0)),INDEX(Base!$V:$V,MATCH($A31,Base!$A:$A,0)),0)))</f>
        <v>13.140090000000001</v>
      </c>
      <c r="JP31" s="21">
        <f>IF(JP$1&lt;INDEX('Valo FX'!$Q:$Q,MATCH($A31,'Valo FX'!$A:$A,0)),0,IF(JP$1&lt;INDEX('Valo FX'!$R:$R,MATCH($A31,'Valo FX'!$A:$A,0)),INDEX(Base!$U:$U,MATCH($A31,Base!$A:$A,0)),IF(JP$1=INDEX('Valo FX'!$R:$R,MATCH($A31,'Valo FX'!$A:$A,0)),INDEX(Base!$V:$V,MATCH($A31,Base!$A:$A,0)),0)))</f>
        <v>13.140090000000001</v>
      </c>
      <c r="JQ31" s="21">
        <f>IF(JQ$1&lt;INDEX('Valo FX'!$Q:$Q,MATCH($A31,'Valo FX'!$A:$A,0)),0,IF(JQ$1&lt;INDEX('Valo FX'!$R:$R,MATCH($A31,'Valo FX'!$A:$A,0)),INDEX(Base!$U:$U,MATCH($A31,Base!$A:$A,0)),IF(JQ$1=INDEX('Valo FX'!$R:$R,MATCH($A31,'Valo FX'!$A:$A,0)),INDEX(Base!$V:$V,MATCH($A31,Base!$A:$A,0)),0)))</f>
        <v>13.140090000000001</v>
      </c>
      <c r="JR31" s="21">
        <f>IF(JR$1&lt;INDEX('Valo FX'!$Q:$Q,MATCH($A31,'Valo FX'!$A:$A,0)),0,IF(JR$1&lt;INDEX('Valo FX'!$R:$R,MATCH($A31,'Valo FX'!$A:$A,0)),INDEX(Base!$U:$U,MATCH($A31,Base!$A:$A,0)),IF(JR$1=INDEX('Valo FX'!$R:$R,MATCH($A31,'Valo FX'!$A:$A,0)),INDEX(Base!$V:$V,MATCH($A31,Base!$A:$A,0)),0)))</f>
        <v>13.140090000000001</v>
      </c>
      <c r="JS31" s="21">
        <f>IF(JS$1&lt;INDEX('Valo FX'!$Q:$Q,MATCH($A31,'Valo FX'!$A:$A,0)),0,IF(JS$1&lt;INDEX('Valo FX'!$R:$R,MATCH($A31,'Valo FX'!$A:$A,0)),INDEX(Base!$U:$U,MATCH($A31,Base!$A:$A,0)),IF(JS$1=INDEX('Valo FX'!$R:$R,MATCH($A31,'Valo FX'!$A:$A,0)),INDEX(Base!$V:$V,MATCH($A31,Base!$A:$A,0)),0)))</f>
        <v>13.140090000000001</v>
      </c>
      <c r="JT31" s="21">
        <f>IF(JT$1&lt;INDEX('Valo FX'!$Q:$Q,MATCH($A31,'Valo FX'!$A:$A,0)),0,IF(JT$1&lt;INDEX('Valo FX'!$R:$R,MATCH($A31,'Valo FX'!$A:$A,0)),INDEX(Base!$U:$U,MATCH($A31,Base!$A:$A,0)),IF(JT$1=INDEX('Valo FX'!$R:$R,MATCH($A31,'Valo FX'!$A:$A,0)),INDEX(Base!$V:$V,MATCH($A31,Base!$A:$A,0)),0)))</f>
        <v>13.140090000000001</v>
      </c>
      <c r="JU31" s="21">
        <f>IF(JU$1&lt;INDEX('Valo FX'!$Q:$Q,MATCH($A31,'Valo FX'!$A:$A,0)),0,IF(JU$1&lt;INDEX('Valo FX'!$R:$R,MATCH($A31,'Valo FX'!$A:$A,0)),INDEX(Base!$U:$U,MATCH($A31,Base!$A:$A,0)),IF(JU$1=INDEX('Valo FX'!$R:$R,MATCH($A31,'Valo FX'!$A:$A,0)),INDEX(Base!$V:$V,MATCH($A31,Base!$A:$A,0)),0)))</f>
        <v>13.140090000000001</v>
      </c>
      <c r="JV31" s="21">
        <f>IF(JV$1&lt;INDEX('Valo FX'!$Q:$Q,MATCH($A31,'Valo FX'!$A:$A,0)),0,IF(JV$1&lt;INDEX('Valo FX'!$R:$R,MATCH($A31,'Valo FX'!$A:$A,0)),INDEX(Base!$U:$U,MATCH($A31,Base!$A:$A,0)),IF(JV$1=INDEX('Valo FX'!$R:$R,MATCH($A31,'Valo FX'!$A:$A,0)),INDEX(Base!$V:$V,MATCH($A31,Base!$A:$A,0)),0)))</f>
        <v>13.140090000000001</v>
      </c>
      <c r="JW31" s="21">
        <f>IF(JW$1&lt;INDEX('Valo FX'!$Q:$Q,MATCH($A31,'Valo FX'!$A:$A,0)),0,IF(JW$1&lt;INDEX('Valo FX'!$R:$R,MATCH($A31,'Valo FX'!$A:$A,0)),INDEX(Base!$U:$U,MATCH($A31,Base!$A:$A,0)),IF(JW$1=INDEX('Valo FX'!$R:$R,MATCH($A31,'Valo FX'!$A:$A,0)),INDEX(Base!$V:$V,MATCH($A31,Base!$A:$A,0)),0)))</f>
        <v>13.140090000000001</v>
      </c>
      <c r="JX31" s="21">
        <f>IF(JX$1&lt;INDEX('Valo FX'!$Q:$Q,MATCH($A31,'Valo FX'!$A:$A,0)),0,IF(JX$1&lt;INDEX('Valo FX'!$R:$R,MATCH($A31,'Valo FX'!$A:$A,0)),INDEX(Base!$U:$U,MATCH($A31,Base!$A:$A,0)),IF(JX$1=INDEX('Valo FX'!$R:$R,MATCH($A31,'Valo FX'!$A:$A,0)),INDEX(Base!$V:$V,MATCH($A31,Base!$A:$A,0)),0)))</f>
        <v>13.140090000000001</v>
      </c>
      <c r="JY31" s="21">
        <f>IF(JY$1&lt;INDEX('Valo FX'!$Q:$Q,MATCH($A31,'Valo FX'!$A:$A,0)),0,IF(JY$1&lt;INDEX('Valo FX'!$R:$R,MATCH($A31,'Valo FX'!$A:$A,0)),INDEX(Base!$U:$U,MATCH($A31,Base!$A:$A,0)),IF(JY$1=INDEX('Valo FX'!$R:$R,MATCH($A31,'Valo FX'!$A:$A,0)),INDEX(Base!$V:$V,MATCH($A31,Base!$A:$A,0)),0)))</f>
        <v>13.140090000000001</v>
      </c>
      <c r="JZ31" s="21">
        <f>IF(JZ$1&lt;INDEX('Valo FX'!$Q:$Q,MATCH($A31,'Valo FX'!$A:$A,0)),0,IF(JZ$1&lt;INDEX('Valo FX'!$R:$R,MATCH($A31,'Valo FX'!$A:$A,0)),INDEX(Base!$U:$U,MATCH($A31,Base!$A:$A,0)),IF(JZ$1=INDEX('Valo FX'!$R:$R,MATCH($A31,'Valo FX'!$A:$A,0)),INDEX(Base!$V:$V,MATCH($A31,Base!$A:$A,0)),0)))</f>
        <v>13.140090000000001</v>
      </c>
      <c r="KA31" s="21">
        <f>IF(KA$1&lt;INDEX('Valo FX'!$Q:$Q,MATCH($A31,'Valo FX'!$A:$A,0)),0,IF(KA$1&lt;INDEX('Valo FX'!$R:$R,MATCH($A31,'Valo FX'!$A:$A,0)),INDEX(Base!$U:$U,MATCH($A31,Base!$A:$A,0)),IF(KA$1=INDEX('Valo FX'!$R:$R,MATCH($A31,'Valo FX'!$A:$A,0)),INDEX(Base!$V:$V,MATCH($A31,Base!$A:$A,0)),0)))</f>
        <v>13.140090000000001</v>
      </c>
      <c r="KB31" s="21">
        <f>IF(KB$1&lt;INDEX('Valo FX'!$Q:$Q,MATCH($A31,'Valo FX'!$A:$A,0)),0,IF(KB$1&lt;INDEX('Valo FX'!$R:$R,MATCH($A31,'Valo FX'!$A:$A,0)),INDEX(Base!$U:$U,MATCH($A31,Base!$A:$A,0)),IF(KB$1=INDEX('Valo FX'!$R:$R,MATCH($A31,'Valo FX'!$A:$A,0)),INDEX(Base!$V:$V,MATCH($A31,Base!$A:$A,0)),0)))</f>
        <v>13.140090000000001</v>
      </c>
      <c r="KC31" s="21">
        <f>IF(KC$1&lt;INDEX('Valo FX'!$Q:$Q,MATCH($A31,'Valo FX'!$A:$A,0)),0,IF(KC$1&lt;INDEX('Valo FX'!$R:$R,MATCH($A31,'Valo FX'!$A:$A,0)),INDEX(Base!$U:$U,MATCH($A31,Base!$A:$A,0)),IF(KC$1=INDEX('Valo FX'!$R:$R,MATCH($A31,'Valo FX'!$A:$A,0)),INDEX(Base!$V:$V,MATCH($A31,Base!$A:$A,0)),0)))</f>
        <v>13.140090000000001</v>
      </c>
      <c r="KD31" s="21">
        <f>IF(KD$1&lt;INDEX('Valo FX'!$Q:$Q,MATCH($A31,'Valo FX'!$A:$A,0)),0,IF(KD$1&lt;INDEX('Valo FX'!$R:$R,MATCH($A31,'Valo FX'!$A:$A,0)),INDEX(Base!$U:$U,MATCH($A31,Base!$A:$A,0)),IF(KD$1=INDEX('Valo FX'!$R:$R,MATCH($A31,'Valo FX'!$A:$A,0)),INDEX(Base!$V:$V,MATCH($A31,Base!$A:$A,0)),0)))</f>
        <v>13.140090000000001</v>
      </c>
      <c r="KE31" s="21">
        <f>IF(KE$1&lt;INDEX('Valo FX'!$Q:$Q,MATCH($A31,'Valo FX'!$A:$A,0)),0,IF(KE$1&lt;INDEX('Valo FX'!$R:$R,MATCH($A31,'Valo FX'!$A:$A,0)),INDEX(Base!$U:$U,MATCH($A31,Base!$A:$A,0)),IF(KE$1=INDEX('Valo FX'!$R:$R,MATCH($A31,'Valo FX'!$A:$A,0)),INDEX(Base!$V:$V,MATCH($A31,Base!$A:$A,0)),0)))</f>
        <v>13.140090000000001</v>
      </c>
      <c r="KF31" s="21">
        <f>IF(KF$1&lt;INDEX('Valo FX'!$Q:$Q,MATCH($A31,'Valo FX'!$A:$A,0)),0,IF(KF$1&lt;INDEX('Valo FX'!$R:$R,MATCH($A31,'Valo FX'!$A:$A,0)),INDEX(Base!$U:$U,MATCH($A31,Base!$A:$A,0)),IF(KF$1=INDEX('Valo FX'!$R:$R,MATCH($A31,'Valo FX'!$A:$A,0)),INDEX(Base!$V:$V,MATCH($A31,Base!$A:$A,0)),0)))</f>
        <v>13.140090000000001</v>
      </c>
      <c r="KG31" s="21">
        <f>IF(KG$1&lt;INDEX('Valo FX'!$Q:$Q,MATCH($A31,'Valo FX'!$A:$A,0)),0,IF(KG$1&lt;INDEX('Valo FX'!$R:$R,MATCH($A31,'Valo FX'!$A:$A,0)),INDEX(Base!$U:$U,MATCH($A31,Base!$A:$A,0)),IF(KG$1=INDEX('Valo FX'!$R:$R,MATCH($A31,'Valo FX'!$A:$A,0)),INDEX(Base!$V:$V,MATCH($A31,Base!$A:$A,0)),0)))</f>
        <v>13.140090000000001</v>
      </c>
      <c r="KH31" s="21">
        <f>IF(KH$1&lt;INDEX('Valo FX'!$Q:$Q,MATCH($A31,'Valo FX'!$A:$A,0)),0,IF(KH$1&lt;INDEX('Valo FX'!$R:$R,MATCH($A31,'Valo FX'!$A:$A,0)),INDEX(Base!$U:$U,MATCH($A31,Base!$A:$A,0)),IF(KH$1=INDEX('Valo FX'!$R:$R,MATCH($A31,'Valo FX'!$A:$A,0)),INDEX(Base!$V:$V,MATCH($A31,Base!$A:$A,0)),0)))</f>
        <v>13.140090000000001</v>
      </c>
      <c r="KI31" s="21">
        <f>IF(KI$1&lt;INDEX('Valo FX'!$Q:$Q,MATCH($A31,'Valo FX'!$A:$A,0)),0,IF(KI$1&lt;INDEX('Valo FX'!$R:$R,MATCH($A31,'Valo FX'!$A:$A,0)),INDEX(Base!$U:$U,MATCH($A31,Base!$A:$A,0)),IF(KI$1=INDEX('Valo FX'!$R:$R,MATCH($A31,'Valo FX'!$A:$A,0)),INDEX(Base!$V:$V,MATCH($A31,Base!$A:$A,0)),0)))</f>
        <v>13.140090000000001</v>
      </c>
      <c r="KJ31" s="21">
        <f>IF(KJ$1&lt;INDEX('Valo FX'!$Q:$Q,MATCH($A31,'Valo FX'!$A:$A,0)),0,IF(KJ$1&lt;INDEX('Valo FX'!$R:$R,MATCH($A31,'Valo FX'!$A:$A,0)),INDEX(Base!$U:$U,MATCH($A31,Base!$A:$A,0)),IF(KJ$1=INDEX('Valo FX'!$R:$R,MATCH($A31,'Valo FX'!$A:$A,0)),INDEX(Base!$V:$V,MATCH($A31,Base!$A:$A,0)),0)))</f>
        <v>13.140090000000001</v>
      </c>
      <c r="KK31" s="21">
        <f>IF(KK$1&lt;INDEX('Valo FX'!$Q:$Q,MATCH($A31,'Valo FX'!$A:$A,0)),0,IF(KK$1&lt;INDEX('Valo FX'!$R:$R,MATCH($A31,'Valo FX'!$A:$A,0)),INDEX(Base!$U:$U,MATCH($A31,Base!$A:$A,0)),IF(KK$1=INDEX('Valo FX'!$R:$R,MATCH($A31,'Valo FX'!$A:$A,0)),INDEX(Base!$V:$V,MATCH($A31,Base!$A:$A,0)),0)))</f>
        <v>13.140090000000001</v>
      </c>
      <c r="KL31" s="21">
        <f>IF(KL$1&lt;INDEX('Valo FX'!$Q:$Q,MATCH($A31,'Valo FX'!$A:$A,0)),0,IF(KL$1&lt;INDEX('Valo FX'!$R:$R,MATCH($A31,'Valo FX'!$A:$A,0)),INDEX(Base!$U:$U,MATCH($A31,Base!$A:$A,0)),IF(KL$1=INDEX('Valo FX'!$R:$R,MATCH($A31,'Valo FX'!$A:$A,0)),INDEX(Base!$V:$V,MATCH($A31,Base!$A:$A,0)),0)))</f>
        <v>13.140090000000001</v>
      </c>
      <c r="KM31" s="21">
        <f>IF(KM$1&lt;INDEX('Valo FX'!$Q:$Q,MATCH($A31,'Valo FX'!$A:$A,0)),0,IF(KM$1&lt;INDEX('Valo FX'!$R:$R,MATCH($A31,'Valo FX'!$A:$A,0)),INDEX(Base!$U:$U,MATCH($A31,Base!$A:$A,0)),IF(KM$1=INDEX('Valo FX'!$R:$R,MATCH($A31,'Valo FX'!$A:$A,0)),INDEX(Base!$V:$V,MATCH($A31,Base!$A:$A,0)),0)))</f>
        <v>13.140090000000001</v>
      </c>
      <c r="KN31" s="21">
        <f>IF(KN$1&lt;INDEX('Valo FX'!$Q:$Q,MATCH($A31,'Valo FX'!$A:$A,0)),0,IF(KN$1&lt;INDEX('Valo FX'!$R:$R,MATCH($A31,'Valo FX'!$A:$A,0)),INDEX(Base!$U:$U,MATCH($A31,Base!$A:$A,0)),IF(KN$1=INDEX('Valo FX'!$R:$R,MATCH($A31,'Valo FX'!$A:$A,0)),INDEX(Base!$V:$V,MATCH($A31,Base!$A:$A,0)),0)))</f>
        <v>13.140090000000001</v>
      </c>
      <c r="KO31" s="21">
        <f>IF(KO$1&lt;INDEX('Valo FX'!$Q:$Q,MATCH($A31,'Valo FX'!$A:$A,0)),0,IF(KO$1&lt;INDEX('Valo FX'!$R:$R,MATCH($A31,'Valo FX'!$A:$A,0)),INDEX(Base!$U:$U,MATCH($A31,Base!$A:$A,0)),IF(KO$1=INDEX('Valo FX'!$R:$R,MATCH($A31,'Valo FX'!$A:$A,0)),INDEX(Base!$V:$V,MATCH($A31,Base!$A:$A,0)),0)))</f>
        <v>13.140090000000001</v>
      </c>
      <c r="KP31" s="21">
        <f>IF(KP$1&lt;INDEX('Valo FX'!$Q:$Q,MATCH($A31,'Valo FX'!$A:$A,0)),0,IF(KP$1&lt;INDEX('Valo FX'!$R:$R,MATCH($A31,'Valo FX'!$A:$A,0)),INDEX(Base!$U:$U,MATCH($A31,Base!$A:$A,0)),IF(KP$1=INDEX('Valo FX'!$R:$R,MATCH($A31,'Valo FX'!$A:$A,0)),INDEX(Base!$V:$V,MATCH($A31,Base!$A:$A,0)),0)))</f>
        <v>13.140090000000001</v>
      </c>
      <c r="KQ31" s="21">
        <f>IF(KQ$1&lt;INDEX('Valo FX'!$Q:$Q,MATCH($A31,'Valo FX'!$A:$A,0)),0,IF(KQ$1&lt;INDEX('Valo FX'!$R:$R,MATCH($A31,'Valo FX'!$A:$A,0)),INDEX(Base!$U:$U,MATCH($A31,Base!$A:$A,0)),IF(KQ$1=INDEX('Valo FX'!$R:$R,MATCH($A31,'Valo FX'!$A:$A,0)),INDEX(Base!$V:$V,MATCH($A31,Base!$A:$A,0)),0)))</f>
        <v>13.140090000000001</v>
      </c>
      <c r="KR31" s="21">
        <f>IF(KR$1&lt;INDEX('Valo FX'!$Q:$Q,MATCH($A31,'Valo FX'!$A:$A,0)),0,IF(KR$1&lt;INDEX('Valo FX'!$R:$R,MATCH($A31,'Valo FX'!$A:$A,0)),INDEX(Base!$U:$U,MATCH($A31,Base!$A:$A,0)),IF(KR$1=INDEX('Valo FX'!$R:$R,MATCH($A31,'Valo FX'!$A:$A,0)),INDEX(Base!$V:$V,MATCH($A31,Base!$A:$A,0)),0)))</f>
        <v>13.140090000000001</v>
      </c>
      <c r="KS31" s="21">
        <f>IF(KS$1&lt;INDEX('Valo FX'!$Q:$Q,MATCH($A31,'Valo FX'!$A:$A,0)),0,IF(KS$1&lt;INDEX('Valo FX'!$R:$R,MATCH($A31,'Valo FX'!$A:$A,0)),INDEX(Base!$U:$U,MATCH($A31,Base!$A:$A,0)),IF(KS$1=INDEX('Valo FX'!$R:$R,MATCH($A31,'Valo FX'!$A:$A,0)),INDEX(Base!$V:$V,MATCH($A31,Base!$A:$A,0)),0)))</f>
        <v>13.140090000000001</v>
      </c>
      <c r="KT31" s="21">
        <f>IF(KT$1&lt;INDEX('Valo FX'!$Q:$Q,MATCH($A31,'Valo FX'!$A:$A,0)),0,IF(KT$1&lt;INDEX('Valo FX'!$R:$R,MATCH($A31,'Valo FX'!$A:$A,0)),INDEX(Base!$U:$U,MATCH($A31,Base!$A:$A,0)),IF(KT$1=INDEX('Valo FX'!$R:$R,MATCH($A31,'Valo FX'!$A:$A,0)),INDEX(Base!$V:$V,MATCH($A31,Base!$A:$A,0)),0)))</f>
        <v>13.140090000000001</v>
      </c>
      <c r="KU31" s="21">
        <f>IF(KU$1&lt;INDEX('Valo FX'!$Q:$Q,MATCH($A31,'Valo FX'!$A:$A,0)),0,IF(KU$1&lt;INDEX('Valo FX'!$R:$R,MATCH($A31,'Valo FX'!$A:$A,0)),INDEX(Base!$U:$U,MATCH($A31,Base!$A:$A,0)),IF(KU$1=INDEX('Valo FX'!$R:$R,MATCH($A31,'Valo FX'!$A:$A,0)),INDEX(Base!$V:$V,MATCH($A31,Base!$A:$A,0)),0)))</f>
        <v>13.140090000000001</v>
      </c>
      <c r="KV31" s="21">
        <f>IF(KV$1&lt;INDEX('Valo FX'!$Q:$Q,MATCH($A31,'Valo FX'!$A:$A,0)),0,IF(KV$1&lt;INDEX('Valo FX'!$R:$R,MATCH($A31,'Valo FX'!$A:$A,0)),INDEX(Base!$U:$U,MATCH($A31,Base!$A:$A,0)),IF(KV$1=INDEX('Valo FX'!$R:$R,MATCH($A31,'Valo FX'!$A:$A,0)),INDEX(Base!$V:$V,MATCH($A31,Base!$A:$A,0)),0)))</f>
        <v>13.140090000000001</v>
      </c>
      <c r="KW31" s="21">
        <f>IF(KW$1&lt;INDEX('Valo FX'!$Q:$Q,MATCH($A31,'Valo FX'!$A:$A,0)),0,IF(KW$1&lt;INDEX('Valo FX'!$R:$R,MATCH($A31,'Valo FX'!$A:$A,0)),INDEX(Base!$U:$U,MATCH($A31,Base!$A:$A,0)),IF(KW$1=INDEX('Valo FX'!$R:$R,MATCH($A31,'Valo FX'!$A:$A,0)),INDEX(Base!$V:$V,MATCH($A31,Base!$A:$A,0)),0)))</f>
        <v>13.140090000000001</v>
      </c>
      <c r="KX31" s="21">
        <f>IF(KX$1&lt;INDEX('Valo FX'!$Q:$Q,MATCH($A31,'Valo FX'!$A:$A,0)),0,IF(KX$1&lt;INDEX('Valo FX'!$R:$R,MATCH($A31,'Valo FX'!$A:$A,0)),INDEX(Base!$U:$U,MATCH($A31,Base!$A:$A,0)),IF(KX$1=INDEX('Valo FX'!$R:$R,MATCH($A31,'Valo FX'!$A:$A,0)),INDEX(Base!$V:$V,MATCH($A31,Base!$A:$A,0)),0)))</f>
        <v>13.140090000000001</v>
      </c>
      <c r="KY31" s="21">
        <f>IF(KY$1&lt;INDEX('Valo FX'!$Q:$Q,MATCH($A31,'Valo FX'!$A:$A,0)),0,IF(KY$1&lt;INDEX('Valo FX'!$R:$R,MATCH($A31,'Valo FX'!$A:$A,0)),INDEX(Base!$U:$U,MATCH($A31,Base!$A:$A,0)),IF(KY$1=INDEX('Valo FX'!$R:$R,MATCH($A31,'Valo FX'!$A:$A,0)),INDEX(Base!$V:$V,MATCH($A31,Base!$A:$A,0)),0)))</f>
        <v>13.140090000000001</v>
      </c>
      <c r="KZ31" s="21">
        <f>IF(KZ$1&lt;INDEX('Valo FX'!$Q:$Q,MATCH($A31,'Valo FX'!$A:$A,0)),0,IF(KZ$1&lt;INDEX('Valo FX'!$R:$R,MATCH($A31,'Valo FX'!$A:$A,0)),INDEX(Base!$U:$U,MATCH($A31,Base!$A:$A,0)),IF(KZ$1=INDEX('Valo FX'!$R:$R,MATCH($A31,'Valo FX'!$A:$A,0)),INDEX(Base!$V:$V,MATCH($A31,Base!$A:$A,0)),0)))</f>
        <v>13.140090000000001</v>
      </c>
      <c r="LA31" s="21">
        <f>IF(LA$1&lt;INDEX('Valo FX'!$Q:$Q,MATCH($A31,'Valo FX'!$A:$A,0)),0,IF(LA$1&lt;INDEX('Valo FX'!$R:$R,MATCH($A31,'Valo FX'!$A:$A,0)),INDEX(Base!$U:$U,MATCH($A31,Base!$A:$A,0)),IF(LA$1=INDEX('Valo FX'!$R:$R,MATCH($A31,'Valo FX'!$A:$A,0)),INDEX(Base!$V:$V,MATCH($A31,Base!$A:$A,0)),0)))</f>
        <v>13.140090000000001</v>
      </c>
      <c r="LB31" s="21">
        <f>IF(LB$1&lt;INDEX('Valo FX'!$Q:$Q,MATCH($A31,'Valo FX'!$A:$A,0)),0,IF(LB$1&lt;INDEX('Valo FX'!$R:$R,MATCH($A31,'Valo FX'!$A:$A,0)),INDEX(Base!$U:$U,MATCH($A31,Base!$A:$A,0)),IF(LB$1=INDEX('Valo FX'!$R:$R,MATCH($A31,'Valo FX'!$A:$A,0)),INDEX(Base!$V:$V,MATCH($A31,Base!$A:$A,0)),0)))</f>
        <v>13.140090000000001</v>
      </c>
      <c r="LC31" s="21">
        <f>IF(LC$1&lt;INDEX('Valo FX'!$Q:$Q,MATCH($A31,'Valo FX'!$A:$A,0)),0,IF(LC$1&lt;INDEX('Valo FX'!$R:$R,MATCH($A31,'Valo FX'!$A:$A,0)),INDEX(Base!$U:$U,MATCH($A31,Base!$A:$A,0)),IF(LC$1=INDEX('Valo FX'!$R:$R,MATCH($A31,'Valo FX'!$A:$A,0)),INDEX(Base!$V:$V,MATCH($A31,Base!$A:$A,0)),0)))</f>
        <v>13.140090000000001</v>
      </c>
      <c r="LD31" s="21">
        <f>IF(LD$1&lt;INDEX('Valo FX'!$Q:$Q,MATCH($A31,'Valo FX'!$A:$A,0)),0,IF(LD$1&lt;INDEX('Valo FX'!$R:$R,MATCH($A31,'Valo FX'!$A:$A,0)),INDEX(Base!$U:$U,MATCH($A31,Base!$A:$A,0)),IF(LD$1=INDEX('Valo FX'!$R:$R,MATCH($A31,'Valo FX'!$A:$A,0)),INDEX(Base!$V:$V,MATCH($A31,Base!$A:$A,0)),0)))</f>
        <v>13.140090000000001</v>
      </c>
      <c r="LE31" s="21">
        <f>IF(LE$1&lt;INDEX('Valo FX'!$Q:$Q,MATCH($A31,'Valo FX'!$A:$A,0)),0,IF(LE$1&lt;INDEX('Valo FX'!$R:$R,MATCH($A31,'Valo FX'!$A:$A,0)),INDEX(Base!$U:$U,MATCH($A31,Base!$A:$A,0)),IF(LE$1=INDEX('Valo FX'!$R:$R,MATCH($A31,'Valo FX'!$A:$A,0)),INDEX(Base!$V:$V,MATCH($A31,Base!$A:$A,0)),0)))</f>
        <v>13.140090000000001</v>
      </c>
      <c r="LF31" s="21">
        <f>IF(LF$1&lt;INDEX('Valo FX'!$Q:$Q,MATCH($A31,'Valo FX'!$A:$A,0)),0,IF(LF$1&lt;INDEX('Valo FX'!$R:$R,MATCH($A31,'Valo FX'!$A:$A,0)),INDEX(Base!$U:$U,MATCH($A31,Base!$A:$A,0)),IF(LF$1=INDEX('Valo FX'!$R:$R,MATCH($A31,'Valo FX'!$A:$A,0)),INDEX(Base!$V:$V,MATCH($A31,Base!$A:$A,0)),0)))</f>
        <v>13.140090000000001</v>
      </c>
      <c r="LG31" s="21">
        <f>IF(LG$1&lt;INDEX('Valo FX'!$Q:$Q,MATCH($A31,'Valo FX'!$A:$A,0)),0,IF(LG$1&lt;INDEX('Valo FX'!$R:$R,MATCH($A31,'Valo FX'!$A:$A,0)),INDEX(Base!$U:$U,MATCH($A31,Base!$A:$A,0)),IF(LG$1=INDEX('Valo FX'!$R:$R,MATCH($A31,'Valo FX'!$A:$A,0)),INDEX(Base!$V:$V,MATCH($A31,Base!$A:$A,0)),0)))</f>
        <v>13.140090000000001</v>
      </c>
      <c r="LH31" s="21">
        <f>IF(LH$1&lt;INDEX('Valo FX'!$Q:$Q,MATCH($A31,'Valo FX'!$A:$A,0)),0,IF(LH$1&lt;INDEX('Valo FX'!$R:$R,MATCH($A31,'Valo FX'!$A:$A,0)),INDEX(Base!$U:$U,MATCH($A31,Base!$A:$A,0)),IF(LH$1=INDEX('Valo FX'!$R:$R,MATCH($A31,'Valo FX'!$A:$A,0)),INDEX(Base!$V:$V,MATCH($A31,Base!$A:$A,0)),0)))</f>
        <v>13.140090000000001</v>
      </c>
      <c r="LI31" s="21">
        <f>IF(LI$1&lt;INDEX('Valo FX'!$Q:$Q,MATCH($A31,'Valo FX'!$A:$A,0)),0,IF(LI$1&lt;INDEX('Valo FX'!$R:$R,MATCH($A31,'Valo FX'!$A:$A,0)),INDEX(Base!$U:$U,MATCH($A31,Base!$A:$A,0)),IF(LI$1=INDEX('Valo FX'!$R:$R,MATCH($A31,'Valo FX'!$A:$A,0)),INDEX(Base!$V:$V,MATCH($A31,Base!$A:$A,0)),0)))</f>
        <v>13.140090000000001</v>
      </c>
      <c r="LJ31" s="21">
        <f>IF(LJ$1&lt;INDEX('Valo FX'!$Q:$Q,MATCH($A31,'Valo FX'!$A:$A,0)),0,IF(LJ$1&lt;INDEX('Valo FX'!$R:$R,MATCH($A31,'Valo FX'!$A:$A,0)),INDEX(Base!$U:$U,MATCH($A31,Base!$A:$A,0)),IF(LJ$1=INDEX('Valo FX'!$R:$R,MATCH($A31,'Valo FX'!$A:$A,0)),INDEX(Base!$V:$V,MATCH($A31,Base!$A:$A,0)),0)))</f>
        <v>13.140090000000001</v>
      </c>
      <c r="LK31" s="21">
        <f>IF(LK$1&lt;INDEX('Valo FX'!$Q:$Q,MATCH($A31,'Valo FX'!$A:$A,0)),0,IF(LK$1&lt;INDEX('Valo FX'!$R:$R,MATCH($A31,'Valo FX'!$A:$A,0)),INDEX(Base!$U:$U,MATCH($A31,Base!$A:$A,0)),IF(LK$1=INDEX('Valo FX'!$R:$R,MATCH($A31,'Valo FX'!$A:$A,0)),INDEX(Base!$V:$V,MATCH($A31,Base!$A:$A,0)),0)))</f>
        <v>13.140090000000001</v>
      </c>
      <c r="LL31" s="21">
        <f>IF(LL$1&lt;INDEX('Valo FX'!$Q:$Q,MATCH($A31,'Valo FX'!$A:$A,0)),0,IF(LL$1&lt;INDEX('Valo FX'!$R:$R,MATCH($A31,'Valo FX'!$A:$A,0)),INDEX(Base!$U:$U,MATCH($A31,Base!$A:$A,0)),IF(LL$1=INDEX('Valo FX'!$R:$R,MATCH($A31,'Valo FX'!$A:$A,0)),INDEX(Base!$V:$V,MATCH($A31,Base!$A:$A,0)),0)))</f>
        <v>13.140090000000001</v>
      </c>
      <c r="LM31" s="21">
        <f>IF(LM$1&lt;INDEX('Valo FX'!$Q:$Q,MATCH($A31,'Valo FX'!$A:$A,0)),0,IF(LM$1&lt;INDEX('Valo FX'!$R:$R,MATCH($A31,'Valo FX'!$A:$A,0)),INDEX(Base!$U:$U,MATCH($A31,Base!$A:$A,0)),IF(LM$1=INDEX('Valo FX'!$R:$R,MATCH($A31,'Valo FX'!$A:$A,0)),INDEX(Base!$V:$V,MATCH($A31,Base!$A:$A,0)),0)))</f>
        <v>13.140090000000001</v>
      </c>
      <c r="LN31" s="21">
        <f>IF(LN$1&lt;INDEX('Valo FX'!$Q:$Q,MATCH($A31,'Valo FX'!$A:$A,0)),0,IF(LN$1&lt;INDEX('Valo FX'!$R:$R,MATCH($A31,'Valo FX'!$A:$A,0)),INDEX(Base!$U:$U,MATCH($A31,Base!$A:$A,0)),IF(LN$1=INDEX('Valo FX'!$R:$R,MATCH($A31,'Valo FX'!$A:$A,0)),INDEX(Base!$V:$V,MATCH($A31,Base!$A:$A,0)),0)))</f>
        <v>13.140090000000001</v>
      </c>
      <c r="LO31" s="21">
        <f>IF(LO$1&lt;INDEX('Valo FX'!$Q:$Q,MATCH($A31,'Valo FX'!$A:$A,0)),0,IF(LO$1&lt;INDEX('Valo FX'!$R:$R,MATCH($A31,'Valo FX'!$A:$A,0)),INDEX(Base!$U:$U,MATCH($A31,Base!$A:$A,0)),IF(LO$1=INDEX('Valo FX'!$R:$R,MATCH($A31,'Valo FX'!$A:$A,0)),INDEX(Base!$V:$V,MATCH($A31,Base!$A:$A,0)),0)))</f>
        <v>13.140090000000001</v>
      </c>
      <c r="LP31" s="21">
        <f>IF(LP$1&lt;INDEX('Valo FX'!$Q:$Q,MATCH($A31,'Valo FX'!$A:$A,0)),0,IF(LP$1&lt;INDEX('Valo FX'!$R:$R,MATCH($A31,'Valo FX'!$A:$A,0)),INDEX(Base!$U:$U,MATCH($A31,Base!$A:$A,0)),IF(LP$1=INDEX('Valo FX'!$R:$R,MATCH($A31,'Valo FX'!$A:$A,0)),INDEX(Base!$V:$V,MATCH($A31,Base!$A:$A,0)),0)))</f>
        <v>13.140090000000001</v>
      </c>
      <c r="LQ31" s="21">
        <f>IF(LQ$1&lt;INDEX('Valo FX'!$Q:$Q,MATCH($A31,'Valo FX'!$A:$A,0)),0,IF(LQ$1&lt;INDEX('Valo FX'!$R:$R,MATCH($A31,'Valo FX'!$A:$A,0)),INDEX(Base!$U:$U,MATCH($A31,Base!$A:$A,0)),IF(LQ$1=INDEX('Valo FX'!$R:$R,MATCH($A31,'Valo FX'!$A:$A,0)),INDEX(Base!$V:$V,MATCH($A31,Base!$A:$A,0)),0)))</f>
        <v>13.140090000000001</v>
      </c>
      <c r="LR31" s="21">
        <f>IF(LR$1&lt;INDEX('Valo FX'!$Q:$Q,MATCH($A31,'Valo FX'!$A:$A,0)),0,IF(LR$1&lt;INDEX('Valo FX'!$R:$R,MATCH($A31,'Valo FX'!$A:$A,0)),INDEX(Base!$U:$U,MATCH($A31,Base!$A:$A,0)),IF(LR$1=INDEX('Valo FX'!$R:$R,MATCH($A31,'Valo FX'!$A:$A,0)),INDEX(Base!$V:$V,MATCH($A31,Base!$A:$A,0)),0)))</f>
        <v>13.140090000000001</v>
      </c>
      <c r="LS31" s="21">
        <f>IF(LS$1&lt;INDEX('Valo FX'!$Q:$Q,MATCH($A31,'Valo FX'!$A:$A,0)),0,IF(LS$1&lt;INDEX('Valo FX'!$R:$R,MATCH($A31,'Valo FX'!$A:$A,0)),INDEX(Base!$U:$U,MATCH($A31,Base!$A:$A,0)),IF(LS$1=INDEX('Valo FX'!$R:$R,MATCH($A31,'Valo FX'!$A:$A,0)),INDEX(Base!$V:$V,MATCH($A31,Base!$A:$A,0)),0)))</f>
        <v>13.140090000000001</v>
      </c>
      <c r="LT31" s="21">
        <f>IF(LT$1&lt;INDEX('Valo FX'!$Q:$Q,MATCH($A31,'Valo FX'!$A:$A,0)),0,IF(LT$1&lt;INDEX('Valo FX'!$R:$R,MATCH($A31,'Valo FX'!$A:$A,0)),INDEX(Base!$U:$U,MATCH($A31,Base!$A:$A,0)),IF(LT$1=INDEX('Valo FX'!$R:$R,MATCH($A31,'Valo FX'!$A:$A,0)),INDEX(Base!$V:$V,MATCH($A31,Base!$A:$A,0)),0)))</f>
        <v>13.140090000000001</v>
      </c>
      <c r="LU31" s="21">
        <f>IF(LU$1&lt;INDEX('Valo FX'!$Q:$Q,MATCH($A31,'Valo FX'!$A:$A,0)),0,IF(LU$1&lt;INDEX('Valo FX'!$R:$R,MATCH($A31,'Valo FX'!$A:$A,0)),INDEX(Base!$U:$U,MATCH($A31,Base!$A:$A,0)),IF(LU$1=INDEX('Valo FX'!$R:$R,MATCH($A31,'Valo FX'!$A:$A,0)),INDEX(Base!$V:$V,MATCH($A31,Base!$A:$A,0)),0)))</f>
        <v>13.140090000000001</v>
      </c>
      <c r="LV31" s="21">
        <f>IF(LV$1&lt;INDEX('Valo FX'!$Q:$Q,MATCH($A31,'Valo FX'!$A:$A,0)),0,IF(LV$1&lt;INDEX('Valo FX'!$R:$R,MATCH($A31,'Valo FX'!$A:$A,0)),INDEX(Base!$U:$U,MATCH($A31,Base!$A:$A,0)),IF(LV$1=INDEX('Valo FX'!$R:$R,MATCH($A31,'Valo FX'!$A:$A,0)),INDEX(Base!$V:$V,MATCH($A31,Base!$A:$A,0)),0)))</f>
        <v>13.140090000000001</v>
      </c>
      <c r="LW31" s="21">
        <f>IF(LW$1&lt;INDEX('Valo FX'!$Q:$Q,MATCH($A31,'Valo FX'!$A:$A,0)),0,IF(LW$1&lt;INDEX('Valo FX'!$R:$R,MATCH($A31,'Valo FX'!$A:$A,0)),INDEX(Base!$U:$U,MATCH($A31,Base!$A:$A,0)),IF(LW$1=INDEX('Valo FX'!$R:$R,MATCH($A31,'Valo FX'!$A:$A,0)),INDEX(Base!$V:$V,MATCH($A31,Base!$A:$A,0)),0)))</f>
        <v>13.140090000000001</v>
      </c>
      <c r="LX31" s="21">
        <f>IF(LX$1&lt;INDEX('Valo FX'!$Q:$Q,MATCH($A31,'Valo FX'!$A:$A,0)),0,IF(LX$1&lt;INDEX('Valo FX'!$R:$R,MATCH($A31,'Valo FX'!$A:$A,0)),INDEX(Base!$U:$U,MATCH($A31,Base!$A:$A,0)),IF(LX$1=INDEX('Valo FX'!$R:$R,MATCH($A31,'Valo FX'!$A:$A,0)),INDEX(Base!$V:$V,MATCH($A31,Base!$A:$A,0)),0)))</f>
        <v>13.140090000000001</v>
      </c>
      <c r="LY31" s="21">
        <f>IF(LY$1&lt;INDEX('Valo FX'!$Q:$Q,MATCH($A31,'Valo FX'!$A:$A,0)),0,IF(LY$1&lt;INDEX('Valo FX'!$R:$R,MATCH($A31,'Valo FX'!$A:$A,0)),INDEX(Base!$U:$U,MATCH($A31,Base!$A:$A,0)),IF(LY$1=INDEX('Valo FX'!$R:$R,MATCH($A31,'Valo FX'!$A:$A,0)),INDEX(Base!$V:$V,MATCH($A31,Base!$A:$A,0)),0)))</f>
        <v>13.140090000000001</v>
      </c>
      <c r="LZ31" s="21">
        <f>IF(LZ$1&lt;INDEX('Valo FX'!$Q:$Q,MATCH($A31,'Valo FX'!$A:$A,0)),0,IF(LZ$1&lt;INDEX('Valo FX'!$R:$R,MATCH($A31,'Valo FX'!$A:$A,0)),INDEX(Base!$U:$U,MATCH($A31,Base!$A:$A,0)),IF(LZ$1=INDEX('Valo FX'!$R:$R,MATCH($A31,'Valo FX'!$A:$A,0)),INDEX(Base!$V:$V,MATCH($A31,Base!$A:$A,0)),0)))</f>
        <v>13.140090000000001</v>
      </c>
      <c r="MA31" s="21">
        <f>IF(MA$1&lt;INDEX('Valo FX'!$Q:$Q,MATCH($A31,'Valo FX'!$A:$A,0)),0,IF(MA$1&lt;INDEX('Valo FX'!$R:$R,MATCH($A31,'Valo FX'!$A:$A,0)),INDEX(Base!$U:$U,MATCH($A31,Base!$A:$A,0)),IF(MA$1=INDEX('Valo FX'!$R:$R,MATCH($A31,'Valo FX'!$A:$A,0)),INDEX(Base!$V:$V,MATCH($A31,Base!$A:$A,0)),0)))</f>
        <v>13.140090000000001</v>
      </c>
      <c r="MB31" s="21">
        <f>IF(MB$1&lt;INDEX('Valo FX'!$Q:$Q,MATCH($A31,'Valo FX'!$A:$A,0)),0,IF(MB$1&lt;INDEX('Valo FX'!$R:$R,MATCH($A31,'Valo FX'!$A:$A,0)),INDEX(Base!$U:$U,MATCH($A31,Base!$A:$A,0)),IF(MB$1=INDEX('Valo FX'!$R:$R,MATCH($A31,'Valo FX'!$A:$A,0)),INDEX(Base!$V:$V,MATCH($A31,Base!$A:$A,0)),0)))</f>
        <v>13.140090000000001</v>
      </c>
      <c r="MC31" s="21">
        <f>IF(MC$1&lt;INDEX('Valo FX'!$Q:$Q,MATCH($A31,'Valo FX'!$A:$A,0)),0,IF(MC$1&lt;INDEX('Valo FX'!$R:$R,MATCH($A31,'Valo FX'!$A:$A,0)),INDEX(Base!$U:$U,MATCH($A31,Base!$A:$A,0)),IF(MC$1=INDEX('Valo FX'!$R:$R,MATCH($A31,'Valo FX'!$A:$A,0)),INDEX(Base!$V:$V,MATCH($A31,Base!$A:$A,0)),0)))</f>
        <v>13.140090000000001</v>
      </c>
      <c r="MD31" s="21">
        <f>IF(MD$1&lt;INDEX('Valo FX'!$Q:$Q,MATCH($A31,'Valo FX'!$A:$A,0)),0,IF(MD$1&lt;INDEX('Valo FX'!$R:$R,MATCH($A31,'Valo FX'!$A:$A,0)),INDEX(Base!$U:$U,MATCH($A31,Base!$A:$A,0)),IF(MD$1=INDEX('Valo FX'!$R:$R,MATCH($A31,'Valo FX'!$A:$A,0)),INDEX(Base!$V:$V,MATCH($A31,Base!$A:$A,0)),0)))</f>
        <v>13.140090000000001</v>
      </c>
      <c r="ME31" s="21">
        <f>IF(ME$1&lt;INDEX('Valo FX'!$Q:$Q,MATCH($A31,'Valo FX'!$A:$A,0)),0,IF(ME$1&lt;INDEX('Valo FX'!$R:$R,MATCH($A31,'Valo FX'!$A:$A,0)),INDEX(Base!$U:$U,MATCH($A31,Base!$A:$A,0)),IF(ME$1=INDEX('Valo FX'!$R:$R,MATCH($A31,'Valo FX'!$A:$A,0)),INDEX(Base!$V:$V,MATCH($A31,Base!$A:$A,0)),0)))</f>
        <v>13.140090000000001</v>
      </c>
      <c r="MF31" s="21">
        <f>IF(MF$1&lt;INDEX('Valo FX'!$Q:$Q,MATCH($A31,'Valo FX'!$A:$A,0)),0,IF(MF$1&lt;INDEX('Valo FX'!$R:$R,MATCH($A31,'Valo FX'!$A:$A,0)),INDEX(Base!$U:$U,MATCH($A31,Base!$A:$A,0)),IF(MF$1=INDEX('Valo FX'!$R:$R,MATCH($A31,'Valo FX'!$A:$A,0)),INDEX(Base!$V:$V,MATCH($A31,Base!$A:$A,0)),0)))</f>
        <v>13.140090000000001</v>
      </c>
      <c r="MG31" s="21">
        <f>IF(MG$1&lt;INDEX('Valo FX'!$Q:$Q,MATCH($A31,'Valo FX'!$A:$A,0)),0,IF(MG$1&lt;INDEX('Valo FX'!$R:$R,MATCH($A31,'Valo FX'!$A:$A,0)),INDEX(Base!$U:$U,MATCH($A31,Base!$A:$A,0)),IF(MG$1=INDEX('Valo FX'!$R:$R,MATCH($A31,'Valo FX'!$A:$A,0)),INDEX(Base!$V:$V,MATCH($A31,Base!$A:$A,0)),0)))</f>
        <v>13.140090000000001</v>
      </c>
      <c r="MH31" s="21">
        <f>IF(MH$1&lt;INDEX('Valo FX'!$Q:$Q,MATCH($A31,'Valo FX'!$A:$A,0)),0,IF(MH$1&lt;INDEX('Valo FX'!$R:$R,MATCH($A31,'Valo FX'!$A:$A,0)),INDEX(Base!$U:$U,MATCH($A31,Base!$A:$A,0)),IF(MH$1=INDEX('Valo FX'!$R:$R,MATCH($A31,'Valo FX'!$A:$A,0)),INDEX(Base!$V:$V,MATCH($A31,Base!$A:$A,0)),0)))</f>
        <v>13.140090000000001</v>
      </c>
      <c r="MI31" s="21">
        <f>IF(MI$1&lt;INDEX('Valo FX'!$Q:$Q,MATCH($A31,'Valo FX'!$A:$A,0)),0,IF(MI$1&lt;INDEX('Valo FX'!$R:$R,MATCH($A31,'Valo FX'!$A:$A,0)),INDEX(Base!$U:$U,MATCH($A31,Base!$A:$A,0)),IF(MI$1=INDEX('Valo FX'!$R:$R,MATCH($A31,'Valo FX'!$A:$A,0)),INDEX(Base!$V:$V,MATCH($A31,Base!$A:$A,0)),0)))</f>
        <v>13.140090000000001</v>
      </c>
      <c r="MJ31" s="21">
        <f>IF(MJ$1&lt;INDEX('Valo FX'!$Q:$Q,MATCH($A31,'Valo FX'!$A:$A,0)),0,IF(MJ$1&lt;INDEX('Valo FX'!$R:$R,MATCH($A31,'Valo FX'!$A:$A,0)),INDEX(Base!$U:$U,MATCH($A31,Base!$A:$A,0)),IF(MJ$1=INDEX('Valo FX'!$R:$R,MATCH($A31,'Valo FX'!$A:$A,0)),INDEX(Base!$V:$V,MATCH($A31,Base!$A:$A,0)),0)))</f>
        <v>13.140090000000001</v>
      </c>
      <c r="MK31" s="21">
        <f>IF(MK$1&lt;INDEX('Valo FX'!$Q:$Q,MATCH($A31,'Valo FX'!$A:$A,0)),0,IF(MK$1&lt;INDEX('Valo FX'!$R:$R,MATCH($A31,'Valo FX'!$A:$A,0)),INDEX(Base!$U:$U,MATCH($A31,Base!$A:$A,0)),IF(MK$1=INDEX('Valo FX'!$R:$R,MATCH($A31,'Valo FX'!$A:$A,0)),INDEX(Base!$V:$V,MATCH($A31,Base!$A:$A,0)),0)))</f>
        <v>13.140090000000001</v>
      </c>
      <c r="ML31" s="21">
        <f>IF(ML$1&lt;INDEX('Valo FX'!$Q:$Q,MATCH($A31,'Valo FX'!$A:$A,0)),0,IF(ML$1&lt;INDEX('Valo FX'!$R:$R,MATCH($A31,'Valo FX'!$A:$A,0)),INDEX(Base!$U:$U,MATCH($A31,Base!$A:$A,0)),IF(ML$1=INDEX('Valo FX'!$R:$R,MATCH($A31,'Valo FX'!$A:$A,0)),INDEX(Base!$V:$V,MATCH($A31,Base!$A:$A,0)),0)))</f>
        <v>13.140090000000001</v>
      </c>
      <c r="MM31" s="21">
        <f>IF(MM$1&lt;INDEX('Valo FX'!$Q:$Q,MATCH($A31,'Valo FX'!$A:$A,0)),0,IF(MM$1&lt;INDEX('Valo FX'!$R:$R,MATCH($A31,'Valo FX'!$A:$A,0)),INDEX(Base!$U:$U,MATCH($A31,Base!$A:$A,0)),IF(MM$1=INDEX('Valo FX'!$R:$R,MATCH($A31,'Valo FX'!$A:$A,0)),INDEX(Base!$V:$V,MATCH($A31,Base!$A:$A,0)),0)))</f>
        <v>13.140090000000001</v>
      </c>
      <c r="MN31" s="21">
        <f>IF(MN$1&lt;INDEX('Valo FX'!$Q:$Q,MATCH($A31,'Valo FX'!$A:$A,0)),0,IF(MN$1&lt;INDEX('Valo FX'!$R:$R,MATCH($A31,'Valo FX'!$A:$A,0)),INDEX(Base!$U:$U,MATCH($A31,Base!$A:$A,0)),IF(MN$1=INDEX('Valo FX'!$R:$R,MATCH($A31,'Valo FX'!$A:$A,0)),INDEX(Base!$V:$V,MATCH($A31,Base!$A:$A,0)),0)))</f>
        <v>13.140090000000001</v>
      </c>
      <c r="MO31" s="21">
        <f>IF(MO$1&lt;INDEX('Valo FX'!$Q:$Q,MATCH($A31,'Valo FX'!$A:$A,0)),0,IF(MO$1&lt;INDEX('Valo FX'!$R:$R,MATCH($A31,'Valo FX'!$A:$A,0)),INDEX(Base!$U:$U,MATCH($A31,Base!$A:$A,0)),IF(MO$1=INDEX('Valo FX'!$R:$R,MATCH($A31,'Valo FX'!$A:$A,0)),INDEX(Base!$V:$V,MATCH($A31,Base!$A:$A,0)),0)))</f>
        <v>13.140090000000001</v>
      </c>
      <c r="MP31" s="21">
        <f>IF(MP$1&lt;INDEX('Valo FX'!$Q:$Q,MATCH($A31,'Valo FX'!$A:$A,0)),0,IF(MP$1&lt;INDEX('Valo FX'!$R:$R,MATCH($A31,'Valo FX'!$A:$A,0)),INDEX(Base!$U:$U,MATCH($A31,Base!$A:$A,0)),IF(MP$1=INDEX('Valo FX'!$R:$R,MATCH($A31,'Valo FX'!$A:$A,0)),INDEX(Base!$V:$V,MATCH($A31,Base!$A:$A,0)),0)))</f>
        <v>13.140090000000001</v>
      </c>
      <c r="MQ31" s="21">
        <f>IF(MQ$1&lt;INDEX('Valo FX'!$Q:$Q,MATCH($A31,'Valo FX'!$A:$A,0)),0,IF(MQ$1&lt;INDEX('Valo FX'!$R:$R,MATCH($A31,'Valo FX'!$A:$A,0)),INDEX(Base!$U:$U,MATCH($A31,Base!$A:$A,0)),IF(MQ$1=INDEX('Valo FX'!$R:$R,MATCH($A31,'Valo FX'!$A:$A,0)),INDEX(Base!$V:$V,MATCH($A31,Base!$A:$A,0)),0)))</f>
        <v>13.140090000000001</v>
      </c>
      <c r="MR31" s="21">
        <f>IF(MR$1&lt;INDEX('Valo FX'!$Q:$Q,MATCH($A31,'Valo FX'!$A:$A,0)),0,IF(MR$1&lt;INDEX('Valo FX'!$R:$R,MATCH($A31,'Valo FX'!$A:$A,0)),INDEX(Base!$U:$U,MATCH($A31,Base!$A:$A,0)),IF(MR$1=INDEX('Valo FX'!$R:$R,MATCH($A31,'Valo FX'!$A:$A,0)),INDEX(Base!$V:$V,MATCH($A31,Base!$A:$A,0)),0)))</f>
        <v>13.140090000000001</v>
      </c>
      <c r="MS31" s="21">
        <f>IF(MS$1&lt;INDEX('Valo FX'!$Q:$Q,MATCH($A31,'Valo FX'!$A:$A,0)),0,IF(MS$1&lt;INDEX('Valo FX'!$R:$R,MATCH($A31,'Valo FX'!$A:$A,0)),INDEX(Base!$U:$U,MATCH($A31,Base!$A:$A,0)),IF(MS$1=INDEX('Valo FX'!$R:$R,MATCH($A31,'Valo FX'!$A:$A,0)),INDEX(Base!$V:$V,MATCH($A31,Base!$A:$A,0)),0)))</f>
        <v>13.140090000000001</v>
      </c>
      <c r="MT31" s="21">
        <f>IF(MT$1&lt;INDEX('Valo FX'!$Q:$Q,MATCH($A31,'Valo FX'!$A:$A,0)),0,IF(MT$1&lt;INDEX('Valo FX'!$R:$R,MATCH($A31,'Valo FX'!$A:$A,0)),INDEX(Base!$U:$U,MATCH($A31,Base!$A:$A,0)),IF(MT$1=INDEX('Valo FX'!$R:$R,MATCH($A31,'Valo FX'!$A:$A,0)),INDEX(Base!$V:$V,MATCH($A31,Base!$A:$A,0)),0)))</f>
        <v>13.140090000000001</v>
      </c>
      <c r="MU31" s="21">
        <f>IF(MU$1&lt;INDEX('Valo FX'!$Q:$Q,MATCH($A31,'Valo FX'!$A:$A,0)),0,IF(MU$1&lt;INDEX('Valo FX'!$R:$R,MATCH($A31,'Valo FX'!$A:$A,0)),INDEX(Base!$U:$U,MATCH($A31,Base!$A:$A,0)),IF(MU$1=INDEX('Valo FX'!$R:$R,MATCH($A31,'Valo FX'!$A:$A,0)),INDEX(Base!$V:$V,MATCH($A31,Base!$A:$A,0)),0)))</f>
        <v>13.140090000000001</v>
      </c>
      <c r="MV31" s="21">
        <f>IF(MV$1&lt;INDEX('Valo FX'!$Q:$Q,MATCH($A31,'Valo FX'!$A:$A,0)),0,IF(MV$1&lt;INDEX('Valo FX'!$R:$R,MATCH($A31,'Valo FX'!$A:$A,0)),INDEX(Base!$U:$U,MATCH($A31,Base!$A:$A,0)),IF(MV$1=INDEX('Valo FX'!$R:$R,MATCH($A31,'Valo FX'!$A:$A,0)),INDEX(Base!$V:$V,MATCH($A31,Base!$A:$A,0)),0)))</f>
        <v>13.140090000000001</v>
      </c>
      <c r="MW31" s="21">
        <f>IF(MW$1&lt;INDEX('Valo FX'!$Q:$Q,MATCH($A31,'Valo FX'!$A:$A,0)),0,IF(MW$1&lt;INDEX('Valo FX'!$R:$R,MATCH($A31,'Valo FX'!$A:$A,0)),INDEX(Base!$U:$U,MATCH($A31,Base!$A:$A,0)),IF(MW$1=INDEX('Valo FX'!$R:$R,MATCH($A31,'Valo FX'!$A:$A,0)),INDEX(Base!$V:$V,MATCH($A31,Base!$A:$A,0)),0)))</f>
        <v>13.140090000000001</v>
      </c>
      <c r="MX31" s="21">
        <f>IF(MX$1&lt;INDEX('Valo FX'!$Q:$Q,MATCH($A31,'Valo FX'!$A:$A,0)),0,IF(MX$1&lt;INDEX('Valo FX'!$R:$R,MATCH($A31,'Valo FX'!$A:$A,0)),INDEX(Base!$U:$U,MATCH($A31,Base!$A:$A,0)),IF(MX$1=INDEX('Valo FX'!$R:$R,MATCH($A31,'Valo FX'!$A:$A,0)),INDEX(Base!$V:$V,MATCH($A31,Base!$A:$A,0)),0)))</f>
        <v>13.140090000000001</v>
      </c>
      <c r="MY31" s="21">
        <f>IF(MY$1&lt;INDEX('Valo FX'!$Q:$Q,MATCH($A31,'Valo FX'!$A:$A,0)),0,IF(MY$1&lt;INDEX('Valo FX'!$R:$R,MATCH($A31,'Valo FX'!$A:$A,0)),INDEX(Base!$U:$U,MATCH($A31,Base!$A:$A,0)),IF(MY$1=INDEX('Valo FX'!$R:$R,MATCH($A31,'Valo FX'!$A:$A,0)),INDEX(Base!$V:$V,MATCH($A31,Base!$A:$A,0)),0)))</f>
        <v>13.551525</v>
      </c>
    </row>
    <row r="32" spans="1:363" x14ac:dyDescent="0.25">
      <c r="A32" s="7">
        <f t="shared" si="12"/>
        <v>30</v>
      </c>
      <c r="B32" s="59">
        <f>-'Valo FX'!T33</f>
        <v>-1574.7767716291553</v>
      </c>
      <c r="C32" s="21">
        <f>IF(C$1&lt;INDEX('Valo FX'!$Q:$Q,MATCH($A32,'Valo FX'!$A:$A,0)),0,IF(C$1&lt;INDEX('Valo FX'!$R:$R,MATCH($A32,'Valo FX'!$A:$A,0)),INDEX(Base!$U:$U,MATCH($A32,Base!$A:$A,0)),IF(C$1=INDEX('Valo FX'!$R:$R,MATCH($A32,'Valo FX'!$A:$A,0)),INDEX(Base!$V:$V,MATCH($A32,Base!$A:$A,0)),0)))</f>
        <v>0</v>
      </c>
      <c r="D32" s="21">
        <f>IF(D$1&lt;INDEX('Valo FX'!$Q:$Q,MATCH($A32,'Valo FX'!$A:$A,0)),0,IF(D$1&lt;INDEX('Valo FX'!$R:$R,MATCH($A32,'Valo FX'!$A:$A,0)),INDEX(Base!$U:$U,MATCH($A32,Base!$A:$A,0)),IF(D$1=INDEX('Valo FX'!$R:$R,MATCH($A32,'Valo FX'!$A:$A,0)),INDEX(Base!$V:$V,MATCH($A32,Base!$A:$A,0)),0)))</f>
        <v>0</v>
      </c>
      <c r="E32" s="21">
        <f>IF(E$1&lt;INDEX('Valo FX'!$Q:$Q,MATCH($A32,'Valo FX'!$A:$A,0)),0,IF(E$1&lt;INDEX('Valo FX'!$R:$R,MATCH($A32,'Valo FX'!$A:$A,0)),INDEX(Base!$U:$U,MATCH($A32,Base!$A:$A,0)),IF(E$1=INDEX('Valo FX'!$R:$R,MATCH($A32,'Valo FX'!$A:$A,0)),INDEX(Base!$V:$V,MATCH($A32,Base!$A:$A,0)),0)))</f>
        <v>0</v>
      </c>
      <c r="F32" s="21">
        <f>IF(F$1&lt;INDEX('Valo FX'!$Q:$Q,MATCH($A32,'Valo FX'!$A:$A,0)),0,IF(F$1&lt;INDEX('Valo FX'!$R:$R,MATCH($A32,'Valo FX'!$A:$A,0)),INDEX(Base!$U:$U,MATCH($A32,Base!$A:$A,0)),IF(F$1=INDEX('Valo FX'!$R:$R,MATCH($A32,'Valo FX'!$A:$A,0)),INDEX(Base!$V:$V,MATCH($A32,Base!$A:$A,0)),0)))</f>
        <v>0</v>
      </c>
      <c r="G32" s="21">
        <f>IF(G$1&lt;INDEX('Valo FX'!$Q:$Q,MATCH($A32,'Valo FX'!$A:$A,0)),0,IF(G$1&lt;INDEX('Valo FX'!$R:$R,MATCH($A32,'Valo FX'!$A:$A,0)),INDEX(Base!$U:$U,MATCH($A32,Base!$A:$A,0)),IF(G$1=INDEX('Valo FX'!$R:$R,MATCH($A32,'Valo FX'!$A:$A,0)),INDEX(Base!$V:$V,MATCH($A32,Base!$A:$A,0)),0)))</f>
        <v>0</v>
      </c>
      <c r="H32" s="21">
        <f>IF(H$1&lt;INDEX('Valo FX'!$Q:$Q,MATCH($A32,'Valo FX'!$A:$A,0)),0,IF(H$1&lt;INDEX('Valo FX'!$R:$R,MATCH($A32,'Valo FX'!$A:$A,0)),INDEX(Base!$U:$U,MATCH($A32,Base!$A:$A,0)),IF(H$1=INDEX('Valo FX'!$R:$R,MATCH($A32,'Valo FX'!$A:$A,0)),INDEX(Base!$V:$V,MATCH($A32,Base!$A:$A,0)),0)))</f>
        <v>0</v>
      </c>
      <c r="I32" s="21">
        <f>IF(I$1&lt;INDEX('Valo FX'!$Q:$Q,MATCH($A32,'Valo FX'!$A:$A,0)),0,IF(I$1&lt;INDEX('Valo FX'!$R:$R,MATCH($A32,'Valo FX'!$A:$A,0)),INDEX(Base!$U:$U,MATCH($A32,Base!$A:$A,0)),IF(I$1=INDEX('Valo FX'!$R:$R,MATCH($A32,'Valo FX'!$A:$A,0)),INDEX(Base!$V:$V,MATCH($A32,Base!$A:$A,0)),0)))</f>
        <v>11.323285</v>
      </c>
      <c r="J32" s="21">
        <f>IF(J$1&lt;INDEX('Valo FX'!$Q:$Q,MATCH($A32,'Valo FX'!$A:$A,0)),0,IF(J$1&lt;INDEX('Valo FX'!$R:$R,MATCH($A32,'Valo FX'!$A:$A,0)),INDEX(Base!$U:$U,MATCH($A32,Base!$A:$A,0)),IF(J$1=INDEX('Valo FX'!$R:$R,MATCH($A32,'Valo FX'!$A:$A,0)),INDEX(Base!$V:$V,MATCH($A32,Base!$A:$A,0)),0)))</f>
        <v>11.323285</v>
      </c>
      <c r="K32" s="21">
        <f>IF(K$1&lt;INDEX('Valo FX'!$Q:$Q,MATCH($A32,'Valo FX'!$A:$A,0)),0,IF(K$1&lt;INDEX('Valo FX'!$R:$R,MATCH($A32,'Valo FX'!$A:$A,0)),INDEX(Base!$U:$U,MATCH($A32,Base!$A:$A,0)),IF(K$1=INDEX('Valo FX'!$R:$R,MATCH($A32,'Valo FX'!$A:$A,0)),INDEX(Base!$V:$V,MATCH($A32,Base!$A:$A,0)),0)))</f>
        <v>11.323285</v>
      </c>
      <c r="L32" s="21">
        <f>IF(L$1&lt;INDEX('Valo FX'!$Q:$Q,MATCH($A32,'Valo FX'!$A:$A,0)),0,IF(L$1&lt;INDEX('Valo FX'!$R:$R,MATCH($A32,'Valo FX'!$A:$A,0)),INDEX(Base!$U:$U,MATCH($A32,Base!$A:$A,0)),IF(L$1=INDEX('Valo FX'!$R:$R,MATCH($A32,'Valo FX'!$A:$A,0)),INDEX(Base!$V:$V,MATCH($A32,Base!$A:$A,0)),0)))</f>
        <v>11.323285</v>
      </c>
      <c r="M32" s="21">
        <f>IF(M$1&lt;INDEX('Valo FX'!$Q:$Q,MATCH($A32,'Valo FX'!$A:$A,0)),0,IF(M$1&lt;INDEX('Valo FX'!$R:$R,MATCH($A32,'Valo FX'!$A:$A,0)),INDEX(Base!$U:$U,MATCH($A32,Base!$A:$A,0)),IF(M$1=INDEX('Valo FX'!$R:$R,MATCH($A32,'Valo FX'!$A:$A,0)),INDEX(Base!$V:$V,MATCH($A32,Base!$A:$A,0)),0)))</f>
        <v>11.323285</v>
      </c>
      <c r="N32" s="21">
        <f>IF(N$1&lt;INDEX('Valo FX'!$Q:$Q,MATCH($A32,'Valo FX'!$A:$A,0)),0,IF(N$1&lt;INDEX('Valo FX'!$R:$R,MATCH($A32,'Valo FX'!$A:$A,0)),INDEX(Base!$U:$U,MATCH($A32,Base!$A:$A,0)),IF(N$1=INDEX('Valo FX'!$R:$R,MATCH($A32,'Valo FX'!$A:$A,0)),INDEX(Base!$V:$V,MATCH($A32,Base!$A:$A,0)),0)))</f>
        <v>11.323285</v>
      </c>
      <c r="O32" s="21">
        <f>IF(O$1&lt;INDEX('Valo FX'!$Q:$Q,MATCH($A32,'Valo FX'!$A:$A,0)),0,IF(O$1&lt;INDEX('Valo FX'!$R:$R,MATCH($A32,'Valo FX'!$A:$A,0)),INDEX(Base!$U:$U,MATCH($A32,Base!$A:$A,0)),IF(O$1=INDEX('Valo FX'!$R:$R,MATCH($A32,'Valo FX'!$A:$A,0)),INDEX(Base!$V:$V,MATCH($A32,Base!$A:$A,0)),0)))</f>
        <v>11.323285</v>
      </c>
      <c r="P32" s="21">
        <f>IF(P$1&lt;INDEX('Valo FX'!$Q:$Q,MATCH($A32,'Valo FX'!$A:$A,0)),0,IF(P$1&lt;INDEX('Valo FX'!$R:$R,MATCH($A32,'Valo FX'!$A:$A,0)),INDEX(Base!$U:$U,MATCH($A32,Base!$A:$A,0)),IF(P$1=INDEX('Valo FX'!$R:$R,MATCH($A32,'Valo FX'!$A:$A,0)),INDEX(Base!$V:$V,MATCH($A32,Base!$A:$A,0)),0)))</f>
        <v>11.323285</v>
      </c>
      <c r="Q32" s="21">
        <f>IF(Q$1&lt;INDEX('Valo FX'!$Q:$Q,MATCH($A32,'Valo FX'!$A:$A,0)),0,IF(Q$1&lt;INDEX('Valo FX'!$R:$R,MATCH($A32,'Valo FX'!$A:$A,0)),INDEX(Base!$U:$U,MATCH($A32,Base!$A:$A,0)),IF(Q$1=INDEX('Valo FX'!$R:$R,MATCH($A32,'Valo FX'!$A:$A,0)),INDEX(Base!$V:$V,MATCH($A32,Base!$A:$A,0)),0)))</f>
        <v>11.323285</v>
      </c>
      <c r="R32" s="21">
        <f>IF(R$1&lt;INDEX('Valo FX'!$Q:$Q,MATCH($A32,'Valo FX'!$A:$A,0)),0,IF(R$1&lt;INDEX('Valo FX'!$R:$R,MATCH($A32,'Valo FX'!$A:$A,0)),INDEX(Base!$U:$U,MATCH($A32,Base!$A:$A,0)),IF(R$1=INDEX('Valo FX'!$R:$R,MATCH($A32,'Valo FX'!$A:$A,0)),INDEX(Base!$V:$V,MATCH($A32,Base!$A:$A,0)),0)))</f>
        <v>11.323285</v>
      </c>
      <c r="S32" s="21">
        <f>IF(S$1&lt;INDEX('Valo FX'!$Q:$Q,MATCH($A32,'Valo FX'!$A:$A,0)),0,IF(S$1&lt;INDEX('Valo FX'!$R:$R,MATCH($A32,'Valo FX'!$A:$A,0)),INDEX(Base!$U:$U,MATCH($A32,Base!$A:$A,0)),IF(S$1=INDEX('Valo FX'!$R:$R,MATCH($A32,'Valo FX'!$A:$A,0)),INDEX(Base!$V:$V,MATCH($A32,Base!$A:$A,0)),0)))</f>
        <v>11.323285</v>
      </c>
      <c r="T32" s="21">
        <f>IF(T$1&lt;INDEX('Valo FX'!$Q:$Q,MATCH($A32,'Valo FX'!$A:$A,0)),0,IF(T$1&lt;INDEX('Valo FX'!$R:$R,MATCH($A32,'Valo FX'!$A:$A,0)),INDEX(Base!$U:$U,MATCH($A32,Base!$A:$A,0)),IF(T$1=INDEX('Valo FX'!$R:$R,MATCH($A32,'Valo FX'!$A:$A,0)),INDEX(Base!$V:$V,MATCH($A32,Base!$A:$A,0)),0)))</f>
        <v>11.323285</v>
      </c>
      <c r="U32" s="21">
        <f>IF(U$1&lt;INDEX('Valo FX'!$Q:$Q,MATCH($A32,'Valo FX'!$A:$A,0)),0,IF(U$1&lt;INDEX('Valo FX'!$R:$R,MATCH($A32,'Valo FX'!$A:$A,0)),INDEX(Base!$U:$U,MATCH($A32,Base!$A:$A,0)),IF(U$1=INDEX('Valo FX'!$R:$R,MATCH($A32,'Valo FX'!$A:$A,0)),INDEX(Base!$V:$V,MATCH($A32,Base!$A:$A,0)),0)))</f>
        <v>11.323285</v>
      </c>
      <c r="V32" s="21">
        <f>IF(V$1&lt;INDEX('Valo FX'!$Q:$Q,MATCH($A32,'Valo FX'!$A:$A,0)),0,IF(V$1&lt;INDEX('Valo FX'!$R:$R,MATCH($A32,'Valo FX'!$A:$A,0)),INDEX(Base!$U:$U,MATCH($A32,Base!$A:$A,0)),IF(V$1=INDEX('Valo FX'!$R:$R,MATCH($A32,'Valo FX'!$A:$A,0)),INDEX(Base!$V:$V,MATCH($A32,Base!$A:$A,0)),0)))</f>
        <v>11.323285</v>
      </c>
      <c r="W32" s="21">
        <f>IF(W$1&lt;INDEX('Valo FX'!$Q:$Q,MATCH($A32,'Valo FX'!$A:$A,0)),0,IF(W$1&lt;INDEX('Valo FX'!$R:$R,MATCH($A32,'Valo FX'!$A:$A,0)),INDEX(Base!$U:$U,MATCH($A32,Base!$A:$A,0)),IF(W$1=INDEX('Valo FX'!$R:$R,MATCH($A32,'Valo FX'!$A:$A,0)),INDEX(Base!$V:$V,MATCH($A32,Base!$A:$A,0)),0)))</f>
        <v>11.323285</v>
      </c>
      <c r="X32" s="21">
        <f>IF(X$1&lt;INDEX('Valo FX'!$Q:$Q,MATCH($A32,'Valo FX'!$A:$A,0)),0,IF(X$1&lt;INDEX('Valo FX'!$R:$R,MATCH($A32,'Valo FX'!$A:$A,0)),INDEX(Base!$U:$U,MATCH($A32,Base!$A:$A,0)),IF(X$1=INDEX('Valo FX'!$R:$R,MATCH($A32,'Valo FX'!$A:$A,0)),INDEX(Base!$V:$V,MATCH($A32,Base!$A:$A,0)),0)))</f>
        <v>11.323285</v>
      </c>
      <c r="Y32" s="21">
        <f>IF(Y$1&lt;INDEX('Valo FX'!$Q:$Q,MATCH($A32,'Valo FX'!$A:$A,0)),0,IF(Y$1&lt;INDEX('Valo FX'!$R:$R,MATCH($A32,'Valo FX'!$A:$A,0)),INDEX(Base!$U:$U,MATCH($A32,Base!$A:$A,0)),IF(Y$1=INDEX('Valo FX'!$R:$R,MATCH($A32,'Valo FX'!$A:$A,0)),INDEX(Base!$V:$V,MATCH($A32,Base!$A:$A,0)),0)))</f>
        <v>11.323285</v>
      </c>
      <c r="Z32" s="21">
        <f>IF(Z$1&lt;INDEX('Valo FX'!$Q:$Q,MATCH($A32,'Valo FX'!$A:$A,0)),0,IF(Z$1&lt;INDEX('Valo FX'!$R:$R,MATCH($A32,'Valo FX'!$A:$A,0)),INDEX(Base!$U:$U,MATCH($A32,Base!$A:$A,0)),IF(Z$1=INDEX('Valo FX'!$R:$R,MATCH($A32,'Valo FX'!$A:$A,0)),INDEX(Base!$V:$V,MATCH($A32,Base!$A:$A,0)),0)))</f>
        <v>11.323285</v>
      </c>
      <c r="AA32" s="21">
        <f>IF(AA$1&lt;INDEX('Valo FX'!$Q:$Q,MATCH($A32,'Valo FX'!$A:$A,0)),0,IF(AA$1&lt;INDEX('Valo FX'!$R:$R,MATCH($A32,'Valo FX'!$A:$A,0)),INDEX(Base!$U:$U,MATCH($A32,Base!$A:$A,0)),IF(AA$1=INDEX('Valo FX'!$R:$R,MATCH($A32,'Valo FX'!$A:$A,0)),INDEX(Base!$V:$V,MATCH($A32,Base!$A:$A,0)),0)))</f>
        <v>11.323285</v>
      </c>
      <c r="AB32" s="21">
        <f>IF(AB$1&lt;INDEX('Valo FX'!$Q:$Q,MATCH($A32,'Valo FX'!$A:$A,0)),0,IF(AB$1&lt;INDEX('Valo FX'!$R:$R,MATCH($A32,'Valo FX'!$A:$A,0)),INDEX(Base!$U:$U,MATCH($A32,Base!$A:$A,0)),IF(AB$1=INDEX('Valo FX'!$R:$R,MATCH($A32,'Valo FX'!$A:$A,0)),INDEX(Base!$V:$V,MATCH($A32,Base!$A:$A,0)),0)))</f>
        <v>11.323285</v>
      </c>
      <c r="AC32" s="21">
        <f>IF(AC$1&lt;INDEX('Valo FX'!$Q:$Q,MATCH($A32,'Valo FX'!$A:$A,0)),0,IF(AC$1&lt;INDEX('Valo FX'!$R:$R,MATCH($A32,'Valo FX'!$A:$A,0)),INDEX(Base!$U:$U,MATCH($A32,Base!$A:$A,0)),IF(AC$1=INDEX('Valo FX'!$R:$R,MATCH($A32,'Valo FX'!$A:$A,0)),INDEX(Base!$V:$V,MATCH($A32,Base!$A:$A,0)),0)))</f>
        <v>11.323285</v>
      </c>
      <c r="AD32" s="21">
        <f>IF(AD$1&lt;INDEX('Valo FX'!$Q:$Q,MATCH($A32,'Valo FX'!$A:$A,0)),0,IF(AD$1&lt;INDEX('Valo FX'!$R:$R,MATCH($A32,'Valo FX'!$A:$A,0)),INDEX(Base!$U:$U,MATCH($A32,Base!$A:$A,0)),IF(AD$1=INDEX('Valo FX'!$R:$R,MATCH($A32,'Valo FX'!$A:$A,0)),INDEX(Base!$V:$V,MATCH($A32,Base!$A:$A,0)),0)))</f>
        <v>11.323285</v>
      </c>
      <c r="AE32" s="21">
        <f>IF(AE$1&lt;INDEX('Valo FX'!$Q:$Q,MATCH($A32,'Valo FX'!$A:$A,0)),0,IF(AE$1&lt;INDEX('Valo FX'!$R:$R,MATCH($A32,'Valo FX'!$A:$A,0)),INDEX(Base!$U:$U,MATCH($A32,Base!$A:$A,0)),IF(AE$1=INDEX('Valo FX'!$R:$R,MATCH($A32,'Valo FX'!$A:$A,0)),INDEX(Base!$V:$V,MATCH($A32,Base!$A:$A,0)),0)))</f>
        <v>11.323285</v>
      </c>
      <c r="AF32" s="21">
        <f>IF(AF$1&lt;INDEX('Valo FX'!$Q:$Q,MATCH($A32,'Valo FX'!$A:$A,0)),0,IF(AF$1&lt;INDEX('Valo FX'!$R:$R,MATCH($A32,'Valo FX'!$A:$A,0)),INDEX(Base!$U:$U,MATCH($A32,Base!$A:$A,0)),IF(AF$1=INDEX('Valo FX'!$R:$R,MATCH($A32,'Valo FX'!$A:$A,0)),INDEX(Base!$V:$V,MATCH($A32,Base!$A:$A,0)),0)))</f>
        <v>11.323285</v>
      </c>
      <c r="AG32" s="21">
        <f>IF(AG$1&lt;INDEX('Valo FX'!$Q:$Q,MATCH($A32,'Valo FX'!$A:$A,0)),0,IF(AG$1&lt;INDEX('Valo FX'!$R:$R,MATCH($A32,'Valo FX'!$A:$A,0)),INDEX(Base!$U:$U,MATCH($A32,Base!$A:$A,0)),IF(AG$1=INDEX('Valo FX'!$R:$R,MATCH($A32,'Valo FX'!$A:$A,0)),INDEX(Base!$V:$V,MATCH($A32,Base!$A:$A,0)),0)))</f>
        <v>11.323285</v>
      </c>
      <c r="AH32" s="21">
        <f>IF(AH$1&lt;INDEX('Valo FX'!$Q:$Q,MATCH($A32,'Valo FX'!$A:$A,0)),0,IF(AH$1&lt;INDEX('Valo FX'!$R:$R,MATCH($A32,'Valo FX'!$A:$A,0)),INDEX(Base!$U:$U,MATCH($A32,Base!$A:$A,0)),IF(AH$1=INDEX('Valo FX'!$R:$R,MATCH($A32,'Valo FX'!$A:$A,0)),INDEX(Base!$V:$V,MATCH($A32,Base!$A:$A,0)),0)))</f>
        <v>11.323285</v>
      </c>
      <c r="AI32" s="21">
        <f>IF(AI$1&lt;INDEX('Valo FX'!$Q:$Q,MATCH($A32,'Valo FX'!$A:$A,0)),0,IF(AI$1&lt;INDEX('Valo FX'!$R:$R,MATCH($A32,'Valo FX'!$A:$A,0)),INDEX(Base!$U:$U,MATCH($A32,Base!$A:$A,0)),IF(AI$1=INDEX('Valo FX'!$R:$R,MATCH($A32,'Valo FX'!$A:$A,0)),INDEX(Base!$V:$V,MATCH($A32,Base!$A:$A,0)),0)))</f>
        <v>11.323285</v>
      </c>
      <c r="AJ32" s="21">
        <f>IF(AJ$1&lt;INDEX('Valo FX'!$Q:$Q,MATCH($A32,'Valo FX'!$A:$A,0)),0,IF(AJ$1&lt;INDEX('Valo FX'!$R:$R,MATCH($A32,'Valo FX'!$A:$A,0)),INDEX(Base!$U:$U,MATCH($A32,Base!$A:$A,0)),IF(AJ$1=INDEX('Valo FX'!$R:$R,MATCH($A32,'Valo FX'!$A:$A,0)),INDEX(Base!$V:$V,MATCH($A32,Base!$A:$A,0)),0)))</f>
        <v>11.323285</v>
      </c>
      <c r="AK32" s="21">
        <f>IF(AK$1&lt;INDEX('Valo FX'!$Q:$Q,MATCH($A32,'Valo FX'!$A:$A,0)),0,IF(AK$1&lt;INDEX('Valo FX'!$R:$R,MATCH($A32,'Valo FX'!$A:$A,0)),INDEX(Base!$U:$U,MATCH($A32,Base!$A:$A,0)),IF(AK$1=INDEX('Valo FX'!$R:$R,MATCH($A32,'Valo FX'!$A:$A,0)),INDEX(Base!$V:$V,MATCH($A32,Base!$A:$A,0)),0)))</f>
        <v>11.323285</v>
      </c>
      <c r="AL32" s="21">
        <f>IF(AL$1&lt;INDEX('Valo FX'!$Q:$Q,MATCH($A32,'Valo FX'!$A:$A,0)),0,IF(AL$1&lt;INDEX('Valo FX'!$R:$R,MATCH($A32,'Valo FX'!$A:$A,0)),INDEX(Base!$U:$U,MATCH($A32,Base!$A:$A,0)),IF(AL$1=INDEX('Valo FX'!$R:$R,MATCH($A32,'Valo FX'!$A:$A,0)),INDEX(Base!$V:$V,MATCH($A32,Base!$A:$A,0)),0)))</f>
        <v>11.323285</v>
      </c>
      <c r="AM32" s="21">
        <f>IF(AM$1&lt;INDEX('Valo FX'!$Q:$Q,MATCH($A32,'Valo FX'!$A:$A,0)),0,IF(AM$1&lt;INDEX('Valo FX'!$R:$R,MATCH($A32,'Valo FX'!$A:$A,0)),INDEX(Base!$U:$U,MATCH($A32,Base!$A:$A,0)),IF(AM$1=INDEX('Valo FX'!$R:$R,MATCH($A32,'Valo FX'!$A:$A,0)),INDEX(Base!$V:$V,MATCH($A32,Base!$A:$A,0)),0)))</f>
        <v>11.323285</v>
      </c>
      <c r="AN32" s="21">
        <f>IF(AN$1&lt;INDEX('Valo FX'!$Q:$Q,MATCH($A32,'Valo FX'!$A:$A,0)),0,IF(AN$1&lt;INDEX('Valo FX'!$R:$R,MATCH($A32,'Valo FX'!$A:$A,0)),INDEX(Base!$U:$U,MATCH($A32,Base!$A:$A,0)),IF(AN$1=INDEX('Valo FX'!$R:$R,MATCH($A32,'Valo FX'!$A:$A,0)),INDEX(Base!$V:$V,MATCH($A32,Base!$A:$A,0)),0)))</f>
        <v>11.323285</v>
      </c>
      <c r="AO32" s="21">
        <f>IF(AO$1&lt;INDEX('Valo FX'!$Q:$Q,MATCH($A32,'Valo FX'!$A:$A,0)),0,IF(AO$1&lt;INDEX('Valo FX'!$R:$R,MATCH($A32,'Valo FX'!$A:$A,0)),INDEX(Base!$U:$U,MATCH($A32,Base!$A:$A,0)),IF(AO$1=INDEX('Valo FX'!$R:$R,MATCH($A32,'Valo FX'!$A:$A,0)),INDEX(Base!$V:$V,MATCH($A32,Base!$A:$A,0)),0)))</f>
        <v>11.323285</v>
      </c>
      <c r="AP32" s="21">
        <f>IF(AP$1&lt;INDEX('Valo FX'!$Q:$Q,MATCH($A32,'Valo FX'!$A:$A,0)),0,IF(AP$1&lt;INDEX('Valo FX'!$R:$R,MATCH($A32,'Valo FX'!$A:$A,0)),INDEX(Base!$U:$U,MATCH($A32,Base!$A:$A,0)),IF(AP$1=INDEX('Valo FX'!$R:$R,MATCH($A32,'Valo FX'!$A:$A,0)),INDEX(Base!$V:$V,MATCH($A32,Base!$A:$A,0)),0)))</f>
        <v>11.323285</v>
      </c>
      <c r="AQ32" s="21">
        <f>IF(AQ$1&lt;INDEX('Valo FX'!$Q:$Q,MATCH($A32,'Valo FX'!$A:$A,0)),0,IF(AQ$1&lt;INDEX('Valo FX'!$R:$R,MATCH($A32,'Valo FX'!$A:$A,0)),INDEX(Base!$U:$U,MATCH($A32,Base!$A:$A,0)),IF(AQ$1=INDEX('Valo FX'!$R:$R,MATCH($A32,'Valo FX'!$A:$A,0)),INDEX(Base!$V:$V,MATCH($A32,Base!$A:$A,0)),0)))</f>
        <v>11.323285</v>
      </c>
      <c r="AR32" s="21">
        <f>IF(AR$1&lt;INDEX('Valo FX'!$Q:$Q,MATCH($A32,'Valo FX'!$A:$A,0)),0,IF(AR$1&lt;INDEX('Valo FX'!$R:$R,MATCH($A32,'Valo FX'!$A:$A,0)),INDEX(Base!$U:$U,MATCH($A32,Base!$A:$A,0)),IF(AR$1=INDEX('Valo FX'!$R:$R,MATCH($A32,'Valo FX'!$A:$A,0)),INDEX(Base!$V:$V,MATCH($A32,Base!$A:$A,0)),0)))</f>
        <v>11.323285</v>
      </c>
      <c r="AS32" s="21">
        <f>IF(AS$1&lt;INDEX('Valo FX'!$Q:$Q,MATCH($A32,'Valo FX'!$A:$A,0)),0,IF(AS$1&lt;INDEX('Valo FX'!$R:$R,MATCH($A32,'Valo FX'!$A:$A,0)),INDEX(Base!$U:$U,MATCH($A32,Base!$A:$A,0)),IF(AS$1=INDEX('Valo FX'!$R:$R,MATCH($A32,'Valo FX'!$A:$A,0)),INDEX(Base!$V:$V,MATCH($A32,Base!$A:$A,0)),0)))</f>
        <v>11.323285</v>
      </c>
      <c r="AT32" s="21">
        <f>IF(AT$1&lt;INDEX('Valo FX'!$Q:$Q,MATCH($A32,'Valo FX'!$A:$A,0)),0,IF(AT$1&lt;INDEX('Valo FX'!$R:$R,MATCH($A32,'Valo FX'!$A:$A,0)),INDEX(Base!$U:$U,MATCH($A32,Base!$A:$A,0)),IF(AT$1=INDEX('Valo FX'!$R:$R,MATCH($A32,'Valo FX'!$A:$A,0)),INDEX(Base!$V:$V,MATCH($A32,Base!$A:$A,0)),0)))</f>
        <v>11.323285</v>
      </c>
      <c r="AU32" s="21">
        <f>IF(AU$1&lt;INDEX('Valo FX'!$Q:$Q,MATCH($A32,'Valo FX'!$A:$A,0)),0,IF(AU$1&lt;INDEX('Valo FX'!$R:$R,MATCH($A32,'Valo FX'!$A:$A,0)),INDEX(Base!$U:$U,MATCH($A32,Base!$A:$A,0)),IF(AU$1=INDEX('Valo FX'!$R:$R,MATCH($A32,'Valo FX'!$A:$A,0)),INDEX(Base!$V:$V,MATCH($A32,Base!$A:$A,0)),0)))</f>
        <v>11.323285</v>
      </c>
      <c r="AV32" s="21">
        <f>IF(AV$1&lt;INDEX('Valo FX'!$Q:$Q,MATCH($A32,'Valo FX'!$A:$A,0)),0,IF(AV$1&lt;INDEX('Valo FX'!$R:$R,MATCH($A32,'Valo FX'!$A:$A,0)),INDEX(Base!$U:$U,MATCH($A32,Base!$A:$A,0)),IF(AV$1=INDEX('Valo FX'!$R:$R,MATCH($A32,'Valo FX'!$A:$A,0)),INDEX(Base!$V:$V,MATCH($A32,Base!$A:$A,0)),0)))</f>
        <v>11.323285</v>
      </c>
      <c r="AW32" s="21">
        <f>IF(AW$1&lt;INDEX('Valo FX'!$Q:$Q,MATCH($A32,'Valo FX'!$A:$A,0)),0,IF(AW$1&lt;INDEX('Valo FX'!$R:$R,MATCH($A32,'Valo FX'!$A:$A,0)),INDEX(Base!$U:$U,MATCH($A32,Base!$A:$A,0)),IF(AW$1=INDEX('Valo FX'!$R:$R,MATCH($A32,'Valo FX'!$A:$A,0)),INDEX(Base!$V:$V,MATCH($A32,Base!$A:$A,0)),0)))</f>
        <v>11.323285</v>
      </c>
      <c r="AX32" s="21">
        <f>IF(AX$1&lt;INDEX('Valo FX'!$Q:$Q,MATCH($A32,'Valo FX'!$A:$A,0)),0,IF(AX$1&lt;INDEX('Valo FX'!$R:$R,MATCH($A32,'Valo FX'!$A:$A,0)),INDEX(Base!$U:$U,MATCH($A32,Base!$A:$A,0)),IF(AX$1=INDEX('Valo FX'!$R:$R,MATCH($A32,'Valo FX'!$A:$A,0)),INDEX(Base!$V:$V,MATCH($A32,Base!$A:$A,0)),0)))</f>
        <v>11.323285</v>
      </c>
      <c r="AY32" s="21">
        <f>IF(AY$1&lt;INDEX('Valo FX'!$Q:$Q,MATCH($A32,'Valo FX'!$A:$A,0)),0,IF(AY$1&lt;INDEX('Valo FX'!$R:$R,MATCH($A32,'Valo FX'!$A:$A,0)),INDEX(Base!$U:$U,MATCH($A32,Base!$A:$A,0)),IF(AY$1=INDEX('Valo FX'!$R:$R,MATCH($A32,'Valo FX'!$A:$A,0)),INDEX(Base!$V:$V,MATCH($A32,Base!$A:$A,0)),0)))</f>
        <v>11.323285</v>
      </c>
      <c r="AZ32" s="21">
        <f>IF(AZ$1&lt;INDEX('Valo FX'!$Q:$Q,MATCH($A32,'Valo FX'!$A:$A,0)),0,IF(AZ$1&lt;INDEX('Valo FX'!$R:$R,MATCH($A32,'Valo FX'!$A:$A,0)),INDEX(Base!$U:$U,MATCH($A32,Base!$A:$A,0)),IF(AZ$1=INDEX('Valo FX'!$R:$R,MATCH($A32,'Valo FX'!$A:$A,0)),INDEX(Base!$V:$V,MATCH($A32,Base!$A:$A,0)),0)))</f>
        <v>11.323285</v>
      </c>
      <c r="BA32" s="21">
        <f>IF(BA$1&lt;INDEX('Valo FX'!$Q:$Q,MATCH($A32,'Valo FX'!$A:$A,0)),0,IF(BA$1&lt;INDEX('Valo FX'!$R:$R,MATCH($A32,'Valo FX'!$A:$A,0)),INDEX(Base!$U:$U,MATCH($A32,Base!$A:$A,0)),IF(BA$1=INDEX('Valo FX'!$R:$R,MATCH($A32,'Valo FX'!$A:$A,0)),INDEX(Base!$V:$V,MATCH($A32,Base!$A:$A,0)),0)))</f>
        <v>11.323285</v>
      </c>
      <c r="BB32" s="21">
        <f>IF(BB$1&lt;INDEX('Valo FX'!$Q:$Q,MATCH($A32,'Valo FX'!$A:$A,0)),0,IF(BB$1&lt;INDEX('Valo FX'!$R:$R,MATCH($A32,'Valo FX'!$A:$A,0)),INDEX(Base!$U:$U,MATCH($A32,Base!$A:$A,0)),IF(BB$1=INDEX('Valo FX'!$R:$R,MATCH($A32,'Valo FX'!$A:$A,0)),INDEX(Base!$V:$V,MATCH($A32,Base!$A:$A,0)),0)))</f>
        <v>11.323285</v>
      </c>
      <c r="BC32" s="21">
        <f>IF(BC$1&lt;INDEX('Valo FX'!$Q:$Q,MATCH($A32,'Valo FX'!$A:$A,0)),0,IF(BC$1&lt;INDEX('Valo FX'!$R:$R,MATCH($A32,'Valo FX'!$A:$A,0)),INDEX(Base!$U:$U,MATCH($A32,Base!$A:$A,0)),IF(BC$1=INDEX('Valo FX'!$R:$R,MATCH($A32,'Valo FX'!$A:$A,0)),INDEX(Base!$V:$V,MATCH($A32,Base!$A:$A,0)),0)))</f>
        <v>11.323285</v>
      </c>
      <c r="BD32" s="21">
        <f>IF(BD$1&lt;INDEX('Valo FX'!$Q:$Q,MATCH($A32,'Valo FX'!$A:$A,0)),0,IF(BD$1&lt;INDEX('Valo FX'!$R:$R,MATCH($A32,'Valo FX'!$A:$A,0)),INDEX(Base!$U:$U,MATCH($A32,Base!$A:$A,0)),IF(BD$1=INDEX('Valo FX'!$R:$R,MATCH($A32,'Valo FX'!$A:$A,0)),INDEX(Base!$V:$V,MATCH($A32,Base!$A:$A,0)),0)))</f>
        <v>11.323285</v>
      </c>
      <c r="BE32" s="21">
        <f>IF(BE$1&lt;INDEX('Valo FX'!$Q:$Q,MATCH($A32,'Valo FX'!$A:$A,0)),0,IF(BE$1&lt;INDEX('Valo FX'!$R:$R,MATCH($A32,'Valo FX'!$A:$A,0)),INDEX(Base!$U:$U,MATCH($A32,Base!$A:$A,0)),IF(BE$1=INDEX('Valo FX'!$R:$R,MATCH($A32,'Valo FX'!$A:$A,0)),INDEX(Base!$V:$V,MATCH($A32,Base!$A:$A,0)),0)))</f>
        <v>11.323285</v>
      </c>
      <c r="BF32" s="21">
        <f>IF(BF$1&lt;INDEX('Valo FX'!$Q:$Q,MATCH($A32,'Valo FX'!$A:$A,0)),0,IF(BF$1&lt;INDEX('Valo FX'!$R:$R,MATCH($A32,'Valo FX'!$A:$A,0)),INDEX(Base!$U:$U,MATCH($A32,Base!$A:$A,0)),IF(BF$1=INDEX('Valo FX'!$R:$R,MATCH($A32,'Valo FX'!$A:$A,0)),INDEX(Base!$V:$V,MATCH($A32,Base!$A:$A,0)),0)))</f>
        <v>11.323285</v>
      </c>
      <c r="BG32" s="21">
        <f>IF(BG$1&lt;INDEX('Valo FX'!$Q:$Q,MATCH($A32,'Valo FX'!$A:$A,0)),0,IF(BG$1&lt;INDEX('Valo FX'!$R:$R,MATCH($A32,'Valo FX'!$A:$A,0)),INDEX(Base!$U:$U,MATCH($A32,Base!$A:$A,0)),IF(BG$1=INDEX('Valo FX'!$R:$R,MATCH($A32,'Valo FX'!$A:$A,0)),INDEX(Base!$V:$V,MATCH($A32,Base!$A:$A,0)),0)))</f>
        <v>11.323285</v>
      </c>
      <c r="BH32" s="21">
        <f>IF(BH$1&lt;INDEX('Valo FX'!$Q:$Q,MATCH($A32,'Valo FX'!$A:$A,0)),0,IF(BH$1&lt;INDEX('Valo FX'!$R:$R,MATCH($A32,'Valo FX'!$A:$A,0)),INDEX(Base!$U:$U,MATCH($A32,Base!$A:$A,0)),IF(BH$1=INDEX('Valo FX'!$R:$R,MATCH($A32,'Valo FX'!$A:$A,0)),INDEX(Base!$V:$V,MATCH($A32,Base!$A:$A,0)),0)))</f>
        <v>11.323285</v>
      </c>
      <c r="BI32" s="21">
        <f>IF(BI$1&lt;INDEX('Valo FX'!$Q:$Q,MATCH($A32,'Valo FX'!$A:$A,0)),0,IF(BI$1&lt;INDEX('Valo FX'!$R:$R,MATCH($A32,'Valo FX'!$A:$A,0)),INDEX(Base!$U:$U,MATCH($A32,Base!$A:$A,0)),IF(BI$1=INDEX('Valo FX'!$R:$R,MATCH($A32,'Valo FX'!$A:$A,0)),INDEX(Base!$V:$V,MATCH($A32,Base!$A:$A,0)),0)))</f>
        <v>11.323285</v>
      </c>
      <c r="BJ32" s="21">
        <f>IF(BJ$1&lt;INDEX('Valo FX'!$Q:$Q,MATCH($A32,'Valo FX'!$A:$A,0)),0,IF(BJ$1&lt;INDEX('Valo FX'!$R:$R,MATCH($A32,'Valo FX'!$A:$A,0)),INDEX(Base!$U:$U,MATCH($A32,Base!$A:$A,0)),IF(BJ$1=INDEX('Valo FX'!$R:$R,MATCH($A32,'Valo FX'!$A:$A,0)),INDEX(Base!$V:$V,MATCH($A32,Base!$A:$A,0)),0)))</f>
        <v>11.323285</v>
      </c>
      <c r="BK32" s="21">
        <f>IF(BK$1&lt;INDEX('Valo FX'!$Q:$Q,MATCH($A32,'Valo FX'!$A:$A,0)),0,IF(BK$1&lt;INDEX('Valo FX'!$R:$R,MATCH($A32,'Valo FX'!$A:$A,0)),INDEX(Base!$U:$U,MATCH($A32,Base!$A:$A,0)),IF(BK$1=INDEX('Valo FX'!$R:$R,MATCH($A32,'Valo FX'!$A:$A,0)),INDEX(Base!$V:$V,MATCH($A32,Base!$A:$A,0)),0)))</f>
        <v>11.323285</v>
      </c>
      <c r="BL32" s="21">
        <f>IF(BL$1&lt;INDEX('Valo FX'!$Q:$Q,MATCH($A32,'Valo FX'!$A:$A,0)),0,IF(BL$1&lt;INDEX('Valo FX'!$R:$R,MATCH($A32,'Valo FX'!$A:$A,0)),INDEX(Base!$U:$U,MATCH($A32,Base!$A:$A,0)),IF(BL$1=INDEX('Valo FX'!$R:$R,MATCH($A32,'Valo FX'!$A:$A,0)),INDEX(Base!$V:$V,MATCH($A32,Base!$A:$A,0)),0)))</f>
        <v>11.323285</v>
      </c>
      <c r="BM32" s="21">
        <f>IF(BM$1&lt;INDEX('Valo FX'!$Q:$Q,MATCH($A32,'Valo FX'!$A:$A,0)),0,IF(BM$1&lt;INDEX('Valo FX'!$R:$R,MATCH($A32,'Valo FX'!$A:$A,0)),INDEX(Base!$U:$U,MATCH($A32,Base!$A:$A,0)),IF(BM$1=INDEX('Valo FX'!$R:$R,MATCH($A32,'Valo FX'!$A:$A,0)),INDEX(Base!$V:$V,MATCH($A32,Base!$A:$A,0)),0)))</f>
        <v>11.323285</v>
      </c>
      <c r="BN32" s="21">
        <f>IF(BN$1&lt;INDEX('Valo FX'!$Q:$Q,MATCH($A32,'Valo FX'!$A:$A,0)),0,IF(BN$1&lt;INDEX('Valo FX'!$R:$R,MATCH($A32,'Valo FX'!$A:$A,0)),INDEX(Base!$U:$U,MATCH($A32,Base!$A:$A,0)),IF(BN$1=INDEX('Valo FX'!$R:$R,MATCH($A32,'Valo FX'!$A:$A,0)),INDEX(Base!$V:$V,MATCH($A32,Base!$A:$A,0)),0)))</f>
        <v>11.323285</v>
      </c>
      <c r="BO32" s="21">
        <f>IF(BO$1&lt;INDEX('Valo FX'!$Q:$Q,MATCH($A32,'Valo FX'!$A:$A,0)),0,IF(BO$1&lt;INDEX('Valo FX'!$R:$R,MATCH($A32,'Valo FX'!$A:$A,0)),INDEX(Base!$U:$U,MATCH($A32,Base!$A:$A,0)),IF(BO$1=INDEX('Valo FX'!$R:$R,MATCH($A32,'Valo FX'!$A:$A,0)),INDEX(Base!$V:$V,MATCH($A32,Base!$A:$A,0)),0)))</f>
        <v>11.323285</v>
      </c>
      <c r="BP32" s="21">
        <f>IF(BP$1&lt;INDEX('Valo FX'!$Q:$Q,MATCH($A32,'Valo FX'!$A:$A,0)),0,IF(BP$1&lt;INDEX('Valo FX'!$R:$R,MATCH($A32,'Valo FX'!$A:$A,0)),INDEX(Base!$U:$U,MATCH($A32,Base!$A:$A,0)),IF(BP$1=INDEX('Valo FX'!$R:$R,MATCH($A32,'Valo FX'!$A:$A,0)),INDEX(Base!$V:$V,MATCH($A32,Base!$A:$A,0)),0)))</f>
        <v>11.323285</v>
      </c>
      <c r="BQ32" s="21">
        <f>IF(BQ$1&lt;INDEX('Valo FX'!$Q:$Q,MATCH($A32,'Valo FX'!$A:$A,0)),0,IF(BQ$1&lt;INDEX('Valo FX'!$R:$R,MATCH($A32,'Valo FX'!$A:$A,0)),INDEX(Base!$U:$U,MATCH($A32,Base!$A:$A,0)),IF(BQ$1=INDEX('Valo FX'!$R:$R,MATCH($A32,'Valo FX'!$A:$A,0)),INDEX(Base!$V:$V,MATCH($A32,Base!$A:$A,0)),0)))</f>
        <v>11.323285</v>
      </c>
      <c r="BR32" s="21">
        <f>IF(BR$1&lt;INDEX('Valo FX'!$Q:$Q,MATCH($A32,'Valo FX'!$A:$A,0)),0,IF(BR$1&lt;INDEX('Valo FX'!$R:$R,MATCH($A32,'Valo FX'!$A:$A,0)),INDEX(Base!$U:$U,MATCH($A32,Base!$A:$A,0)),IF(BR$1=INDEX('Valo FX'!$R:$R,MATCH($A32,'Valo FX'!$A:$A,0)),INDEX(Base!$V:$V,MATCH($A32,Base!$A:$A,0)),0)))</f>
        <v>11.323285</v>
      </c>
      <c r="BS32" s="21">
        <f>IF(BS$1&lt;INDEX('Valo FX'!$Q:$Q,MATCH($A32,'Valo FX'!$A:$A,0)),0,IF(BS$1&lt;INDEX('Valo FX'!$R:$R,MATCH($A32,'Valo FX'!$A:$A,0)),INDEX(Base!$U:$U,MATCH($A32,Base!$A:$A,0)),IF(BS$1=INDEX('Valo FX'!$R:$R,MATCH($A32,'Valo FX'!$A:$A,0)),INDEX(Base!$V:$V,MATCH($A32,Base!$A:$A,0)),0)))</f>
        <v>11.323285</v>
      </c>
      <c r="BT32" s="21">
        <f>IF(BT$1&lt;INDEX('Valo FX'!$Q:$Q,MATCH($A32,'Valo FX'!$A:$A,0)),0,IF(BT$1&lt;INDEX('Valo FX'!$R:$R,MATCH($A32,'Valo FX'!$A:$A,0)),INDEX(Base!$U:$U,MATCH($A32,Base!$A:$A,0)),IF(BT$1=INDEX('Valo FX'!$R:$R,MATCH($A32,'Valo FX'!$A:$A,0)),INDEX(Base!$V:$V,MATCH($A32,Base!$A:$A,0)),0)))</f>
        <v>11.323285</v>
      </c>
      <c r="BU32" s="21">
        <f>IF(BU$1&lt;INDEX('Valo FX'!$Q:$Q,MATCH($A32,'Valo FX'!$A:$A,0)),0,IF(BU$1&lt;INDEX('Valo FX'!$R:$R,MATCH($A32,'Valo FX'!$A:$A,0)),INDEX(Base!$U:$U,MATCH($A32,Base!$A:$A,0)),IF(BU$1=INDEX('Valo FX'!$R:$R,MATCH($A32,'Valo FX'!$A:$A,0)),INDEX(Base!$V:$V,MATCH($A32,Base!$A:$A,0)),0)))</f>
        <v>11.323285</v>
      </c>
      <c r="BV32" s="21">
        <f>IF(BV$1&lt;INDEX('Valo FX'!$Q:$Q,MATCH($A32,'Valo FX'!$A:$A,0)),0,IF(BV$1&lt;INDEX('Valo FX'!$R:$R,MATCH($A32,'Valo FX'!$A:$A,0)),INDEX(Base!$U:$U,MATCH($A32,Base!$A:$A,0)),IF(BV$1=INDEX('Valo FX'!$R:$R,MATCH($A32,'Valo FX'!$A:$A,0)),INDEX(Base!$V:$V,MATCH($A32,Base!$A:$A,0)),0)))</f>
        <v>11.323285</v>
      </c>
      <c r="BW32" s="21">
        <f>IF(BW$1&lt;INDEX('Valo FX'!$Q:$Q,MATCH($A32,'Valo FX'!$A:$A,0)),0,IF(BW$1&lt;INDEX('Valo FX'!$R:$R,MATCH($A32,'Valo FX'!$A:$A,0)),INDEX(Base!$U:$U,MATCH($A32,Base!$A:$A,0)),IF(BW$1=INDEX('Valo FX'!$R:$R,MATCH($A32,'Valo FX'!$A:$A,0)),INDEX(Base!$V:$V,MATCH($A32,Base!$A:$A,0)),0)))</f>
        <v>11.323285</v>
      </c>
      <c r="BX32" s="21">
        <f>IF(BX$1&lt;INDEX('Valo FX'!$Q:$Q,MATCH($A32,'Valo FX'!$A:$A,0)),0,IF(BX$1&lt;INDEX('Valo FX'!$R:$R,MATCH($A32,'Valo FX'!$A:$A,0)),INDEX(Base!$U:$U,MATCH($A32,Base!$A:$A,0)),IF(BX$1=INDEX('Valo FX'!$R:$R,MATCH($A32,'Valo FX'!$A:$A,0)),INDEX(Base!$V:$V,MATCH($A32,Base!$A:$A,0)),0)))</f>
        <v>11.323285</v>
      </c>
      <c r="BY32" s="21">
        <f>IF(BY$1&lt;INDEX('Valo FX'!$Q:$Q,MATCH($A32,'Valo FX'!$A:$A,0)),0,IF(BY$1&lt;INDEX('Valo FX'!$R:$R,MATCH($A32,'Valo FX'!$A:$A,0)),INDEX(Base!$U:$U,MATCH($A32,Base!$A:$A,0)),IF(BY$1=INDEX('Valo FX'!$R:$R,MATCH($A32,'Valo FX'!$A:$A,0)),INDEX(Base!$V:$V,MATCH($A32,Base!$A:$A,0)),0)))</f>
        <v>11.323285</v>
      </c>
      <c r="BZ32" s="21">
        <f>IF(BZ$1&lt;INDEX('Valo FX'!$Q:$Q,MATCH($A32,'Valo FX'!$A:$A,0)),0,IF(BZ$1&lt;INDEX('Valo FX'!$R:$R,MATCH($A32,'Valo FX'!$A:$A,0)),INDEX(Base!$U:$U,MATCH($A32,Base!$A:$A,0)),IF(BZ$1=INDEX('Valo FX'!$R:$R,MATCH($A32,'Valo FX'!$A:$A,0)),INDEX(Base!$V:$V,MATCH($A32,Base!$A:$A,0)),0)))</f>
        <v>11.323285</v>
      </c>
      <c r="CA32" s="21">
        <f>IF(CA$1&lt;INDEX('Valo FX'!$Q:$Q,MATCH($A32,'Valo FX'!$A:$A,0)),0,IF(CA$1&lt;INDEX('Valo FX'!$R:$R,MATCH($A32,'Valo FX'!$A:$A,0)),INDEX(Base!$U:$U,MATCH($A32,Base!$A:$A,0)),IF(CA$1=INDEX('Valo FX'!$R:$R,MATCH($A32,'Valo FX'!$A:$A,0)),INDEX(Base!$V:$V,MATCH($A32,Base!$A:$A,0)),0)))</f>
        <v>11.323285</v>
      </c>
      <c r="CB32" s="21">
        <f>IF(CB$1&lt;INDEX('Valo FX'!$Q:$Q,MATCH($A32,'Valo FX'!$A:$A,0)),0,IF(CB$1&lt;INDEX('Valo FX'!$R:$R,MATCH($A32,'Valo FX'!$A:$A,0)),INDEX(Base!$U:$U,MATCH($A32,Base!$A:$A,0)),IF(CB$1=INDEX('Valo FX'!$R:$R,MATCH($A32,'Valo FX'!$A:$A,0)),INDEX(Base!$V:$V,MATCH($A32,Base!$A:$A,0)),0)))</f>
        <v>11.323285</v>
      </c>
      <c r="CC32" s="21">
        <f>IF(CC$1&lt;INDEX('Valo FX'!$Q:$Q,MATCH($A32,'Valo FX'!$A:$A,0)),0,IF(CC$1&lt;INDEX('Valo FX'!$R:$R,MATCH($A32,'Valo FX'!$A:$A,0)),INDEX(Base!$U:$U,MATCH($A32,Base!$A:$A,0)),IF(CC$1=INDEX('Valo FX'!$R:$R,MATCH($A32,'Valo FX'!$A:$A,0)),INDEX(Base!$V:$V,MATCH($A32,Base!$A:$A,0)),0)))</f>
        <v>11.323285</v>
      </c>
      <c r="CD32" s="21">
        <f>IF(CD$1&lt;INDEX('Valo FX'!$Q:$Q,MATCH($A32,'Valo FX'!$A:$A,0)),0,IF(CD$1&lt;INDEX('Valo FX'!$R:$R,MATCH($A32,'Valo FX'!$A:$A,0)),INDEX(Base!$U:$U,MATCH($A32,Base!$A:$A,0)),IF(CD$1=INDEX('Valo FX'!$R:$R,MATCH($A32,'Valo FX'!$A:$A,0)),INDEX(Base!$V:$V,MATCH($A32,Base!$A:$A,0)),0)))</f>
        <v>11.323285</v>
      </c>
      <c r="CE32" s="21">
        <f>IF(CE$1&lt;INDEX('Valo FX'!$Q:$Q,MATCH($A32,'Valo FX'!$A:$A,0)),0,IF(CE$1&lt;INDEX('Valo FX'!$R:$R,MATCH($A32,'Valo FX'!$A:$A,0)),INDEX(Base!$U:$U,MATCH($A32,Base!$A:$A,0)),IF(CE$1=INDEX('Valo FX'!$R:$R,MATCH($A32,'Valo FX'!$A:$A,0)),INDEX(Base!$V:$V,MATCH($A32,Base!$A:$A,0)),0)))</f>
        <v>11.323285</v>
      </c>
      <c r="CF32" s="21">
        <f>IF(CF$1&lt;INDEX('Valo FX'!$Q:$Q,MATCH($A32,'Valo FX'!$A:$A,0)),0,IF(CF$1&lt;INDEX('Valo FX'!$R:$R,MATCH($A32,'Valo FX'!$A:$A,0)),INDEX(Base!$U:$U,MATCH($A32,Base!$A:$A,0)),IF(CF$1=INDEX('Valo FX'!$R:$R,MATCH($A32,'Valo FX'!$A:$A,0)),INDEX(Base!$V:$V,MATCH($A32,Base!$A:$A,0)),0)))</f>
        <v>11.323285</v>
      </c>
      <c r="CG32" s="21">
        <f>IF(CG$1&lt;INDEX('Valo FX'!$Q:$Q,MATCH($A32,'Valo FX'!$A:$A,0)),0,IF(CG$1&lt;INDEX('Valo FX'!$R:$R,MATCH($A32,'Valo FX'!$A:$A,0)),INDEX(Base!$U:$U,MATCH($A32,Base!$A:$A,0)),IF(CG$1=INDEX('Valo FX'!$R:$R,MATCH($A32,'Valo FX'!$A:$A,0)),INDEX(Base!$V:$V,MATCH($A32,Base!$A:$A,0)),0)))</f>
        <v>11.323285</v>
      </c>
      <c r="CH32" s="21">
        <f>IF(CH$1&lt;INDEX('Valo FX'!$Q:$Q,MATCH($A32,'Valo FX'!$A:$A,0)),0,IF(CH$1&lt;INDEX('Valo FX'!$R:$R,MATCH($A32,'Valo FX'!$A:$A,0)),INDEX(Base!$U:$U,MATCH($A32,Base!$A:$A,0)),IF(CH$1=INDEX('Valo FX'!$R:$R,MATCH($A32,'Valo FX'!$A:$A,0)),INDEX(Base!$V:$V,MATCH($A32,Base!$A:$A,0)),0)))</f>
        <v>11.323285</v>
      </c>
      <c r="CI32" s="21">
        <f>IF(CI$1&lt;INDEX('Valo FX'!$Q:$Q,MATCH($A32,'Valo FX'!$A:$A,0)),0,IF(CI$1&lt;INDEX('Valo FX'!$R:$R,MATCH($A32,'Valo FX'!$A:$A,0)),INDEX(Base!$U:$U,MATCH($A32,Base!$A:$A,0)),IF(CI$1=INDEX('Valo FX'!$R:$R,MATCH($A32,'Valo FX'!$A:$A,0)),INDEX(Base!$V:$V,MATCH($A32,Base!$A:$A,0)),0)))</f>
        <v>11.323285</v>
      </c>
      <c r="CJ32" s="21">
        <f>IF(CJ$1&lt;INDEX('Valo FX'!$Q:$Q,MATCH($A32,'Valo FX'!$A:$A,0)),0,IF(CJ$1&lt;INDEX('Valo FX'!$R:$R,MATCH($A32,'Valo FX'!$A:$A,0)),INDEX(Base!$U:$U,MATCH($A32,Base!$A:$A,0)),IF(CJ$1=INDEX('Valo FX'!$R:$R,MATCH($A32,'Valo FX'!$A:$A,0)),INDEX(Base!$V:$V,MATCH($A32,Base!$A:$A,0)),0)))</f>
        <v>11.323285</v>
      </c>
      <c r="CK32" s="21">
        <f>IF(CK$1&lt;INDEX('Valo FX'!$Q:$Q,MATCH($A32,'Valo FX'!$A:$A,0)),0,IF(CK$1&lt;INDEX('Valo FX'!$R:$R,MATCH($A32,'Valo FX'!$A:$A,0)),INDEX(Base!$U:$U,MATCH($A32,Base!$A:$A,0)),IF(CK$1=INDEX('Valo FX'!$R:$R,MATCH($A32,'Valo FX'!$A:$A,0)),INDEX(Base!$V:$V,MATCH($A32,Base!$A:$A,0)),0)))</f>
        <v>11.323285</v>
      </c>
      <c r="CL32" s="21">
        <f>IF(CL$1&lt;INDEX('Valo FX'!$Q:$Q,MATCH($A32,'Valo FX'!$A:$A,0)),0,IF(CL$1&lt;INDEX('Valo FX'!$R:$R,MATCH($A32,'Valo FX'!$A:$A,0)),INDEX(Base!$U:$U,MATCH($A32,Base!$A:$A,0)),IF(CL$1=INDEX('Valo FX'!$R:$R,MATCH($A32,'Valo FX'!$A:$A,0)),INDEX(Base!$V:$V,MATCH($A32,Base!$A:$A,0)),0)))</f>
        <v>11.323285</v>
      </c>
      <c r="CM32" s="21">
        <f>IF(CM$1&lt;INDEX('Valo FX'!$Q:$Q,MATCH($A32,'Valo FX'!$A:$A,0)),0,IF(CM$1&lt;INDEX('Valo FX'!$R:$R,MATCH($A32,'Valo FX'!$A:$A,0)),INDEX(Base!$U:$U,MATCH($A32,Base!$A:$A,0)),IF(CM$1=INDEX('Valo FX'!$R:$R,MATCH($A32,'Valo FX'!$A:$A,0)),INDEX(Base!$V:$V,MATCH($A32,Base!$A:$A,0)),0)))</f>
        <v>11.323285</v>
      </c>
      <c r="CN32" s="21">
        <f>IF(CN$1&lt;INDEX('Valo FX'!$Q:$Q,MATCH($A32,'Valo FX'!$A:$A,0)),0,IF(CN$1&lt;INDEX('Valo FX'!$R:$R,MATCH($A32,'Valo FX'!$A:$A,0)),INDEX(Base!$U:$U,MATCH($A32,Base!$A:$A,0)),IF(CN$1=INDEX('Valo FX'!$R:$R,MATCH($A32,'Valo FX'!$A:$A,0)),INDEX(Base!$V:$V,MATCH($A32,Base!$A:$A,0)),0)))</f>
        <v>11.323285</v>
      </c>
      <c r="CO32" s="21">
        <f>IF(CO$1&lt;INDEX('Valo FX'!$Q:$Q,MATCH($A32,'Valo FX'!$A:$A,0)),0,IF(CO$1&lt;INDEX('Valo FX'!$R:$R,MATCH($A32,'Valo FX'!$A:$A,0)),INDEX(Base!$U:$U,MATCH($A32,Base!$A:$A,0)),IF(CO$1=INDEX('Valo FX'!$R:$R,MATCH($A32,'Valo FX'!$A:$A,0)),INDEX(Base!$V:$V,MATCH($A32,Base!$A:$A,0)),0)))</f>
        <v>11.323285</v>
      </c>
      <c r="CP32" s="21">
        <f>IF(CP$1&lt;INDEX('Valo FX'!$Q:$Q,MATCH($A32,'Valo FX'!$A:$A,0)),0,IF(CP$1&lt;INDEX('Valo FX'!$R:$R,MATCH($A32,'Valo FX'!$A:$A,0)),INDEX(Base!$U:$U,MATCH($A32,Base!$A:$A,0)),IF(CP$1=INDEX('Valo FX'!$R:$R,MATCH($A32,'Valo FX'!$A:$A,0)),INDEX(Base!$V:$V,MATCH($A32,Base!$A:$A,0)),0)))</f>
        <v>11.323285</v>
      </c>
      <c r="CQ32" s="21">
        <f>IF(CQ$1&lt;INDEX('Valo FX'!$Q:$Q,MATCH($A32,'Valo FX'!$A:$A,0)),0,IF(CQ$1&lt;INDEX('Valo FX'!$R:$R,MATCH($A32,'Valo FX'!$A:$A,0)),INDEX(Base!$U:$U,MATCH($A32,Base!$A:$A,0)),IF(CQ$1=INDEX('Valo FX'!$R:$R,MATCH($A32,'Valo FX'!$A:$A,0)),INDEX(Base!$V:$V,MATCH($A32,Base!$A:$A,0)),0)))</f>
        <v>11.323285</v>
      </c>
      <c r="CR32" s="21">
        <f>IF(CR$1&lt;INDEX('Valo FX'!$Q:$Q,MATCH($A32,'Valo FX'!$A:$A,0)),0,IF(CR$1&lt;INDEX('Valo FX'!$R:$R,MATCH($A32,'Valo FX'!$A:$A,0)),INDEX(Base!$U:$U,MATCH($A32,Base!$A:$A,0)),IF(CR$1=INDEX('Valo FX'!$R:$R,MATCH($A32,'Valo FX'!$A:$A,0)),INDEX(Base!$V:$V,MATCH($A32,Base!$A:$A,0)),0)))</f>
        <v>11.323285</v>
      </c>
      <c r="CS32" s="21">
        <f>IF(CS$1&lt;INDEX('Valo FX'!$Q:$Q,MATCH($A32,'Valo FX'!$A:$A,0)),0,IF(CS$1&lt;INDEX('Valo FX'!$R:$R,MATCH($A32,'Valo FX'!$A:$A,0)),INDEX(Base!$U:$U,MATCH($A32,Base!$A:$A,0)),IF(CS$1=INDEX('Valo FX'!$R:$R,MATCH($A32,'Valo FX'!$A:$A,0)),INDEX(Base!$V:$V,MATCH($A32,Base!$A:$A,0)),0)))</f>
        <v>11.323285</v>
      </c>
      <c r="CT32" s="21">
        <f>IF(CT$1&lt;INDEX('Valo FX'!$Q:$Q,MATCH($A32,'Valo FX'!$A:$A,0)),0,IF(CT$1&lt;INDEX('Valo FX'!$R:$R,MATCH($A32,'Valo FX'!$A:$A,0)),INDEX(Base!$U:$U,MATCH($A32,Base!$A:$A,0)),IF(CT$1=INDEX('Valo FX'!$R:$R,MATCH($A32,'Valo FX'!$A:$A,0)),INDEX(Base!$V:$V,MATCH($A32,Base!$A:$A,0)),0)))</f>
        <v>11.323285</v>
      </c>
      <c r="CU32" s="21">
        <f>IF(CU$1&lt;INDEX('Valo FX'!$Q:$Q,MATCH($A32,'Valo FX'!$A:$A,0)),0,IF(CU$1&lt;INDEX('Valo FX'!$R:$R,MATCH($A32,'Valo FX'!$A:$A,0)),INDEX(Base!$U:$U,MATCH($A32,Base!$A:$A,0)),IF(CU$1=INDEX('Valo FX'!$R:$R,MATCH($A32,'Valo FX'!$A:$A,0)),INDEX(Base!$V:$V,MATCH($A32,Base!$A:$A,0)),0)))</f>
        <v>11.323285</v>
      </c>
      <c r="CV32" s="21">
        <f>IF(CV$1&lt;INDEX('Valo FX'!$Q:$Q,MATCH($A32,'Valo FX'!$A:$A,0)),0,IF(CV$1&lt;INDEX('Valo FX'!$R:$R,MATCH($A32,'Valo FX'!$A:$A,0)),INDEX(Base!$U:$U,MATCH($A32,Base!$A:$A,0)),IF(CV$1=INDEX('Valo FX'!$R:$R,MATCH($A32,'Valo FX'!$A:$A,0)),INDEX(Base!$V:$V,MATCH($A32,Base!$A:$A,0)),0)))</f>
        <v>11.323285</v>
      </c>
      <c r="CW32" s="21">
        <f>IF(CW$1&lt;INDEX('Valo FX'!$Q:$Q,MATCH($A32,'Valo FX'!$A:$A,0)),0,IF(CW$1&lt;INDEX('Valo FX'!$R:$R,MATCH($A32,'Valo FX'!$A:$A,0)),INDEX(Base!$U:$U,MATCH($A32,Base!$A:$A,0)),IF(CW$1=INDEX('Valo FX'!$R:$R,MATCH($A32,'Valo FX'!$A:$A,0)),INDEX(Base!$V:$V,MATCH($A32,Base!$A:$A,0)),0)))</f>
        <v>11.323285</v>
      </c>
      <c r="CX32" s="21">
        <f>IF(CX$1&lt;INDEX('Valo FX'!$Q:$Q,MATCH($A32,'Valo FX'!$A:$A,0)),0,IF(CX$1&lt;INDEX('Valo FX'!$R:$R,MATCH($A32,'Valo FX'!$A:$A,0)),INDEX(Base!$U:$U,MATCH($A32,Base!$A:$A,0)),IF(CX$1=INDEX('Valo FX'!$R:$R,MATCH($A32,'Valo FX'!$A:$A,0)),INDEX(Base!$V:$V,MATCH($A32,Base!$A:$A,0)),0)))</f>
        <v>11.323285</v>
      </c>
      <c r="CY32" s="21">
        <f>IF(CY$1&lt;INDEX('Valo FX'!$Q:$Q,MATCH($A32,'Valo FX'!$A:$A,0)),0,IF(CY$1&lt;INDEX('Valo FX'!$R:$R,MATCH($A32,'Valo FX'!$A:$A,0)),INDEX(Base!$U:$U,MATCH($A32,Base!$A:$A,0)),IF(CY$1=INDEX('Valo FX'!$R:$R,MATCH($A32,'Valo FX'!$A:$A,0)),INDEX(Base!$V:$V,MATCH($A32,Base!$A:$A,0)),0)))</f>
        <v>11.323285</v>
      </c>
      <c r="CZ32" s="21">
        <f>IF(CZ$1&lt;INDEX('Valo FX'!$Q:$Q,MATCH($A32,'Valo FX'!$A:$A,0)),0,IF(CZ$1&lt;INDEX('Valo FX'!$R:$R,MATCH($A32,'Valo FX'!$A:$A,0)),INDEX(Base!$U:$U,MATCH($A32,Base!$A:$A,0)),IF(CZ$1=INDEX('Valo FX'!$R:$R,MATCH($A32,'Valo FX'!$A:$A,0)),INDEX(Base!$V:$V,MATCH($A32,Base!$A:$A,0)),0)))</f>
        <v>11.323285</v>
      </c>
      <c r="DA32" s="21">
        <f>IF(DA$1&lt;INDEX('Valo FX'!$Q:$Q,MATCH($A32,'Valo FX'!$A:$A,0)),0,IF(DA$1&lt;INDEX('Valo FX'!$R:$R,MATCH($A32,'Valo FX'!$A:$A,0)),INDEX(Base!$U:$U,MATCH($A32,Base!$A:$A,0)),IF(DA$1=INDEX('Valo FX'!$R:$R,MATCH($A32,'Valo FX'!$A:$A,0)),INDEX(Base!$V:$V,MATCH($A32,Base!$A:$A,0)),0)))</f>
        <v>11.323285</v>
      </c>
      <c r="DB32" s="21">
        <f>IF(DB$1&lt;INDEX('Valo FX'!$Q:$Q,MATCH($A32,'Valo FX'!$A:$A,0)),0,IF(DB$1&lt;INDEX('Valo FX'!$R:$R,MATCH($A32,'Valo FX'!$A:$A,0)),INDEX(Base!$U:$U,MATCH($A32,Base!$A:$A,0)),IF(DB$1=INDEX('Valo FX'!$R:$R,MATCH($A32,'Valo FX'!$A:$A,0)),INDEX(Base!$V:$V,MATCH($A32,Base!$A:$A,0)),0)))</f>
        <v>11.323285</v>
      </c>
      <c r="DC32" s="21">
        <f>IF(DC$1&lt;INDEX('Valo FX'!$Q:$Q,MATCH($A32,'Valo FX'!$A:$A,0)),0,IF(DC$1&lt;INDEX('Valo FX'!$R:$R,MATCH($A32,'Valo FX'!$A:$A,0)),INDEX(Base!$U:$U,MATCH($A32,Base!$A:$A,0)),IF(DC$1=INDEX('Valo FX'!$R:$R,MATCH($A32,'Valo FX'!$A:$A,0)),INDEX(Base!$V:$V,MATCH($A32,Base!$A:$A,0)),0)))</f>
        <v>11.323285</v>
      </c>
      <c r="DD32" s="21">
        <f>IF(DD$1&lt;INDEX('Valo FX'!$Q:$Q,MATCH($A32,'Valo FX'!$A:$A,0)),0,IF(DD$1&lt;INDEX('Valo FX'!$R:$R,MATCH($A32,'Valo FX'!$A:$A,0)),INDEX(Base!$U:$U,MATCH($A32,Base!$A:$A,0)),IF(DD$1=INDEX('Valo FX'!$R:$R,MATCH($A32,'Valo FX'!$A:$A,0)),INDEX(Base!$V:$V,MATCH($A32,Base!$A:$A,0)),0)))</f>
        <v>11.323285</v>
      </c>
      <c r="DE32" s="21">
        <f>IF(DE$1&lt;INDEX('Valo FX'!$Q:$Q,MATCH($A32,'Valo FX'!$A:$A,0)),0,IF(DE$1&lt;INDEX('Valo FX'!$R:$R,MATCH($A32,'Valo FX'!$A:$A,0)),INDEX(Base!$U:$U,MATCH($A32,Base!$A:$A,0)),IF(DE$1=INDEX('Valo FX'!$R:$R,MATCH($A32,'Valo FX'!$A:$A,0)),INDEX(Base!$V:$V,MATCH($A32,Base!$A:$A,0)),0)))</f>
        <v>11.323285</v>
      </c>
      <c r="DF32" s="21">
        <f>IF(DF$1&lt;INDEX('Valo FX'!$Q:$Q,MATCH($A32,'Valo FX'!$A:$A,0)),0,IF(DF$1&lt;INDEX('Valo FX'!$R:$R,MATCH($A32,'Valo FX'!$A:$A,0)),INDEX(Base!$U:$U,MATCH($A32,Base!$A:$A,0)),IF(DF$1=INDEX('Valo FX'!$R:$R,MATCH($A32,'Valo FX'!$A:$A,0)),INDEX(Base!$V:$V,MATCH($A32,Base!$A:$A,0)),0)))</f>
        <v>11.323285</v>
      </c>
      <c r="DG32" s="21">
        <f>IF(DG$1&lt;INDEX('Valo FX'!$Q:$Q,MATCH($A32,'Valo FX'!$A:$A,0)),0,IF(DG$1&lt;INDEX('Valo FX'!$R:$R,MATCH($A32,'Valo FX'!$A:$A,0)),INDEX(Base!$U:$U,MATCH($A32,Base!$A:$A,0)),IF(DG$1=INDEX('Valo FX'!$R:$R,MATCH($A32,'Valo FX'!$A:$A,0)),INDEX(Base!$V:$V,MATCH($A32,Base!$A:$A,0)),0)))</f>
        <v>11.323285</v>
      </c>
      <c r="DH32" s="21">
        <f>IF(DH$1&lt;INDEX('Valo FX'!$Q:$Q,MATCH($A32,'Valo FX'!$A:$A,0)),0,IF(DH$1&lt;INDEX('Valo FX'!$R:$R,MATCH($A32,'Valo FX'!$A:$A,0)),INDEX(Base!$U:$U,MATCH($A32,Base!$A:$A,0)),IF(DH$1=INDEX('Valo FX'!$R:$R,MATCH($A32,'Valo FX'!$A:$A,0)),INDEX(Base!$V:$V,MATCH($A32,Base!$A:$A,0)),0)))</f>
        <v>11.323285</v>
      </c>
      <c r="DI32" s="21">
        <f>IF(DI$1&lt;INDEX('Valo FX'!$Q:$Q,MATCH($A32,'Valo FX'!$A:$A,0)),0,IF(DI$1&lt;INDEX('Valo FX'!$R:$R,MATCH($A32,'Valo FX'!$A:$A,0)),INDEX(Base!$U:$U,MATCH($A32,Base!$A:$A,0)),IF(DI$1=INDEX('Valo FX'!$R:$R,MATCH($A32,'Valo FX'!$A:$A,0)),INDEX(Base!$V:$V,MATCH($A32,Base!$A:$A,0)),0)))</f>
        <v>11.323285</v>
      </c>
      <c r="DJ32" s="21">
        <f>IF(DJ$1&lt;INDEX('Valo FX'!$Q:$Q,MATCH($A32,'Valo FX'!$A:$A,0)),0,IF(DJ$1&lt;INDEX('Valo FX'!$R:$R,MATCH($A32,'Valo FX'!$A:$A,0)),INDEX(Base!$U:$U,MATCH($A32,Base!$A:$A,0)),IF(DJ$1=INDEX('Valo FX'!$R:$R,MATCH($A32,'Valo FX'!$A:$A,0)),INDEX(Base!$V:$V,MATCH($A32,Base!$A:$A,0)),0)))</f>
        <v>11.323285</v>
      </c>
      <c r="DK32" s="21">
        <f>IF(DK$1&lt;INDEX('Valo FX'!$Q:$Q,MATCH($A32,'Valo FX'!$A:$A,0)),0,IF(DK$1&lt;INDEX('Valo FX'!$R:$R,MATCH($A32,'Valo FX'!$A:$A,0)),INDEX(Base!$U:$U,MATCH($A32,Base!$A:$A,0)),IF(DK$1=INDEX('Valo FX'!$R:$R,MATCH($A32,'Valo FX'!$A:$A,0)),INDEX(Base!$V:$V,MATCH($A32,Base!$A:$A,0)),0)))</f>
        <v>11.323285</v>
      </c>
      <c r="DL32" s="21">
        <f>IF(DL$1&lt;INDEX('Valo FX'!$Q:$Q,MATCH($A32,'Valo FX'!$A:$A,0)),0,IF(DL$1&lt;INDEX('Valo FX'!$R:$R,MATCH($A32,'Valo FX'!$A:$A,0)),INDEX(Base!$U:$U,MATCH($A32,Base!$A:$A,0)),IF(DL$1=INDEX('Valo FX'!$R:$R,MATCH($A32,'Valo FX'!$A:$A,0)),INDEX(Base!$V:$V,MATCH($A32,Base!$A:$A,0)),0)))</f>
        <v>11.323285</v>
      </c>
      <c r="DM32" s="21">
        <f>IF(DM$1&lt;INDEX('Valo FX'!$Q:$Q,MATCH($A32,'Valo FX'!$A:$A,0)),0,IF(DM$1&lt;INDEX('Valo FX'!$R:$R,MATCH($A32,'Valo FX'!$A:$A,0)),INDEX(Base!$U:$U,MATCH($A32,Base!$A:$A,0)),IF(DM$1=INDEX('Valo FX'!$R:$R,MATCH($A32,'Valo FX'!$A:$A,0)),INDEX(Base!$V:$V,MATCH($A32,Base!$A:$A,0)),0)))</f>
        <v>11.323285</v>
      </c>
      <c r="DN32" s="21">
        <f>IF(DN$1&lt;INDEX('Valo FX'!$Q:$Q,MATCH($A32,'Valo FX'!$A:$A,0)),0,IF(DN$1&lt;INDEX('Valo FX'!$R:$R,MATCH($A32,'Valo FX'!$A:$A,0)),INDEX(Base!$U:$U,MATCH($A32,Base!$A:$A,0)),IF(DN$1=INDEX('Valo FX'!$R:$R,MATCH($A32,'Valo FX'!$A:$A,0)),INDEX(Base!$V:$V,MATCH($A32,Base!$A:$A,0)),0)))</f>
        <v>11.323285</v>
      </c>
      <c r="DO32" s="21">
        <f>IF(DO$1&lt;INDEX('Valo FX'!$Q:$Q,MATCH($A32,'Valo FX'!$A:$A,0)),0,IF(DO$1&lt;INDEX('Valo FX'!$R:$R,MATCH($A32,'Valo FX'!$A:$A,0)),INDEX(Base!$U:$U,MATCH($A32,Base!$A:$A,0)),IF(DO$1=INDEX('Valo FX'!$R:$R,MATCH($A32,'Valo FX'!$A:$A,0)),INDEX(Base!$V:$V,MATCH($A32,Base!$A:$A,0)),0)))</f>
        <v>11.323285</v>
      </c>
      <c r="DP32" s="21">
        <f>IF(DP$1&lt;INDEX('Valo FX'!$Q:$Q,MATCH($A32,'Valo FX'!$A:$A,0)),0,IF(DP$1&lt;INDEX('Valo FX'!$R:$R,MATCH($A32,'Valo FX'!$A:$A,0)),INDEX(Base!$U:$U,MATCH($A32,Base!$A:$A,0)),IF(DP$1=INDEX('Valo FX'!$R:$R,MATCH($A32,'Valo FX'!$A:$A,0)),INDEX(Base!$V:$V,MATCH($A32,Base!$A:$A,0)),0)))</f>
        <v>11.323285</v>
      </c>
      <c r="DQ32" s="21">
        <f>IF(DQ$1&lt;INDEX('Valo FX'!$Q:$Q,MATCH($A32,'Valo FX'!$A:$A,0)),0,IF(DQ$1&lt;INDEX('Valo FX'!$R:$R,MATCH($A32,'Valo FX'!$A:$A,0)),INDEX(Base!$U:$U,MATCH($A32,Base!$A:$A,0)),IF(DQ$1=INDEX('Valo FX'!$R:$R,MATCH($A32,'Valo FX'!$A:$A,0)),INDEX(Base!$V:$V,MATCH($A32,Base!$A:$A,0)),0)))</f>
        <v>11.323285</v>
      </c>
      <c r="DR32" s="21">
        <f>IF(DR$1&lt;INDEX('Valo FX'!$Q:$Q,MATCH($A32,'Valo FX'!$A:$A,0)),0,IF(DR$1&lt;INDEX('Valo FX'!$R:$R,MATCH($A32,'Valo FX'!$A:$A,0)),INDEX(Base!$U:$U,MATCH($A32,Base!$A:$A,0)),IF(DR$1=INDEX('Valo FX'!$R:$R,MATCH($A32,'Valo FX'!$A:$A,0)),INDEX(Base!$V:$V,MATCH($A32,Base!$A:$A,0)),0)))</f>
        <v>11.323285</v>
      </c>
      <c r="DS32" s="21">
        <f>IF(DS$1&lt;INDEX('Valo FX'!$Q:$Q,MATCH($A32,'Valo FX'!$A:$A,0)),0,IF(DS$1&lt;INDEX('Valo FX'!$R:$R,MATCH($A32,'Valo FX'!$A:$A,0)),INDEX(Base!$U:$U,MATCH($A32,Base!$A:$A,0)),IF(DS$1=INDEX('Valo FX'!$R:$R,MATCH($A32,'Valo FX'!$A:$A,0)),INDEX(Base!$V:$V,MATCH($A32,Base!$A:$A,0)),0)))</f>
        <v>11.323285</v>
      </c>
      <c r="DT32" s="21">
        <f>IF(DT$1&lt;INDEX('Valo FX'!$Q:$Q,MATCH($A32,'Valo FX'!$A:$A,0)),0,IF(DT$1&lt;INDEX('Valo FX'!$R:$R,MATCH($A32,'Valo FX'!$A:$A,0)),INDEX(Base!$U:$U,MATCH($A32,Base!$A:$A,0)),IF(DT$1=INDEX('Valo FX'!$R:$R,MATCH($A32,'Valo FX'!$A:$A,0)),INDEX(Base!$V:$V,MATCH($A32,Base!$A:$A,0)),0)))</f>
        <v>11.323285</v>
      </c>
      <c r="DU32" s="21">
        <f>IF(DU$1&lt;INDEX('Valo FX'!$Q:$Q,MATCH($A32,'Valo FX'!$A:$A,0)),0,IF(DU$1&lt;INDEX('Valo FX'!$R:$R,MATCH($A32,'Valo FX'!$A:$A,0)),INDEX(Base!$U:$U,MATCH($A32,Base!$A:$A,0)),IF(DU$1=INDEX('Valo FX'!$R:$R,MATCH($A32,'Valo FX'!$A:$A,0)),INDEX(Base!$V:$V,MATCH($A32,Base!$A:$A,0)),0)))</f>
        <v>11.323285</v>
      </c>
      <c r="DV32" s="21">
        <f>IF(DV$1&lt;INDEX('Valo FX'!$Q:$Q,MATCH($A32,'Valo FX'!$A:$A,0)),0,IF(DV$1&lt;INDEX('Valo FX'!$R:$R,MATCH($A32,'Valo FX'!$A:$A,0)),INDEX(Base!$U:$U,MATCH($A32,Base!$A:$A,0)),IF(DV$1=INDEX('Valo FX'!$R:$R,MATCH($A32,'Valo FX'!$A:$A,0)),INDEX(Base!$V:$V,MATCH($A32,Base!$A:$A,0)),0)))</f>
        <v>11.323285</v>
      </c>
      <c r="DW32" s="21">
        <f>IF(DW$1&lt;INDEX('Valo FX'!$Q:$Q,MATCH($A32,'Valo FX'!$A:$A,0)),0,IF(DW$1&lt;INDEX('Valo FX'!$R:$R,MATCH($A32,'Valo FX'!$A:$A,0)),INDEX(Base!$U:$U,MATCH($A32,Base!$A:$A,0)),IF(DW$1=INDEX('Valo FX'!$R:$R,MATCH($A32,'Valo FX'!$A:$A,0)),INDEX(Base!$V:$V,MATCH($A32,Base!$A:$A,0)),0)))</f>
        <v>11.323285</v>
      </c>
      <c r="DX32" s="21">
        <f>IF(DX$1&lt;INDEX('Valo FX'!$Q:$Q,MATCH($A32,'Valo FX'!$A:$A,0)),0,IF(DX$1&lt;INDEX('Valo FX'!$R:$R,MATCH($A32,'Valo FX'!$A:$A,0)),INDEX(Base!$U:$U,MATCH($A32,Base!$A:$A,0)),IF(DX$1=INDEX('Valo FX'!$R:$R,MATCH($A32,'Valo FX'!$A:$A,0)),INDEX(Base!$V:$V,MATCH($A32,Base!$A:$A,0)),0)))</f>
        <v>11.323285</v>
      </c>
      <c r="DY32" s="21">
        <f>IF(DY$1&lt;INDEX('Valo FX'!$Q:$Q,MATCH($A32,'Valo FX'!$A:$A,0)),0,IF(DY$1&lt;INDEX('Valo FX'!$R:$R,MATCH($A32,'Valo FX'!$A:$A,0)),INDEX(Base!$U:$U,MATCH($A32,Base!$A:$A,0)),IF(DY$1=INDEX('Valo FX'!$R:$R,MATCH($A32,'Valo FX'!$A:$A,0)),INDEX(Base!$V:$V,MATCH($A32,Base!$A:$A,0)),0)))</f>
        <v>11.323285</v>
      </c>
      <c r="DZ32" s="21">
        <f>IF(DZ$1&lt;INDEX('Valo FX'!$Q:$Q,MATCH($A32,'Valo FX'!$A:$A,0)),0,IF(DZ$1&lt;INDEX('Valo FX'!$R:$R,MATCH($A32,'Valo FX'!$A:$A,0)),INDEX(Base!$U:$U,MATCH($A32,Base!$A:$A,0)),IF(DZ$1=INDEX('Valo FX'!$R:$R,MATCH($A32,'Valo FX'!$A:$A,0)),INDEX(Base!$V:$V,MATCH($A32,Base!$A:$A,0)),0)))</f>
        <v>11.323285</v>
      </c>
      <c r="EA32" s="21">
        <f>IF(EA$1&lt;INDEX('Valo FX'!$Q:$Q,MATCH($A32,'Valo FX'!$A:$A,0)),0,IF(EA$1&lt;INDEX('Valo FX'!$R:$R,MATCH($A32,'Valo FX'!$A:$A,0)),INDEX(Base!$U:$U,MATCH($A32,Base!$A:$A,0)),IF(EA$1=INDEX('Valo FX'!$R:$R,MATCH($A32,'Valo FX'!$A:$A,0)),INDEX(Base!$V:$V,MATCH($A32,Base!$A:$A,0)),0)))</f>
        <v>11.323285</v>
      </c>
      <c r="EB32" s="21">
        <f>IF(EB$1&lt;INDEX('Valo FX'!$Q:$Q,MATCH($A32,'Valo FX'!$A:$A,0)),0,IF(EB$1&lt;INDEX('Valo FX'!$R:$R,MATCH($A32,'Valo FX'!$A:$A,0)),INDEX(Base!$U:$U,MATCH($A32,Base!$A:$A,0)),IF(EB$1=INDEX('Valo FX'!$R:$R,MATCH($A32,'Valo FX'!$A:$A,0)),INDEX(Base!$V:$V,MATCH($A32,Base!$A:$A,0)),0)))</f>
        <v>11.323285</v>
      </c>
      <c r="EC32" s="21">
        <f>IF(EC$1&lt;INDEX('Valo FX'!$Q:$Q,MATCH($A32,'Valo FX'!$A:$A,0)),0,IF(EC$1&lt;INDEX('Valo FX'!$R:$R,MATCH($A32,'Valo FX'!$A:$A,0)),INDEX(Base!$U:$U,MATCH($A32,Base!$A:$A,0)),IF(EC$1=INDEX('Valo FX'!$R:$R,MATCH($A32,'Valo FX'!$A:$A,0)),INDEX(Base!$V:$V,MATCH($A32,Base!$A:$A,0)),0)))</f>
        <v>11.323285</v>
      </c>
      <c r="ED32" s="21">
        <f>IF(ED$1&lt;INDEX('Valo FX'!$Q:$Q,MATCH($A32,'Valo FX'!$A:$A,0)),0,IF(ED$1&lt;INDEX('Valo FX'!$R:$R,MATCH($A32,'Valo FX'!$A:$A,0)),INDEX(Base!$U:$U,MATCH($A32,Base!$A:$A,0)),IF(ED$1=INDEX('Valo FX'!$R:$R,MATCH($A32,'Valo FX'!$A:$A,0)),INDEX(Base!$V:$V,MATCH($A32,Base!$A:$A,0)),0)))</f>
        <v>11.323285</v>
      </c>
      <c r="EE32" s="21">
        <f>IF(EE$1&lt;INDEX('Valo FX'!$Q:$Q,MATCH($A32,'Valo FX'!$A:$A,0)),0,IF(EE$1&lt;INDEX('Valo FX'!$R:$R,MATCH($A32,'Valo FX'!$A:$A,0)),INDEX(Base!$U:$U,MATCH($A32,Base!$A:$A,0)),IF(EE$1=INDEX('Valo FX'!$R:$R,MATCH($A32,'Valo FX'!$A:$A,0)),INDEX(Base!$V:$V,MATCH($A32,Base!$A:$A,0)),0)))</f>
        <v>11.323285</v>
      </c>
      <c r="EF32" s="21">
        <f>IF(EF$1&lt;INDEX('Valo FX'!$Q:$Q,MATCH($A32,'Valo FX'!$A:$A,0)),0,IF(EF$1&lt;INDEX('Valo FX'!$R:$R,MATCH($A32,'Valo FX'!$A:$A,0)),INDEX(Base!$U:$U,MATCH($A32,Base!$A:$A,0)),IF(EF$1=INDEX('Valo FX'!$R:$R,MATCH($A32,'Valo FX'!$A:$A,0)),INDEX(Base!$V:$V,MATCH($A32,Base!$A:$A,0)),0)))</f>
        <v>11.323285</v>
      </c>
      <c r="EG32" s="21">
        <f>IF(EG$1&lt;INDEX('Valo FX'!$Q:$Q,MATCH($A32,'Valo FX'!$A:$A,0)),0,IF(EG$1&lt;INDEX('Valo FX'!$R:$R,MATCH($A32,'Valo FX'!$A:$A,0)),INDEX(Base!$U:$U,MATCH($A32,Base!$A:$A,0)),IF(EG$1=INDEX('Valo FX'!$R:$R,MATCH($A32,'Valo FX'!$A:$A,0)),INDEX(Base!$V:$V,MATCH($A32,Base!$A:$A,0)),0)))</f>
        <v>11.323285</v>
      </c>
      <c r="EH32" s="21">
        <f>IF(EH$1&lt;INDEX('Valo FX'!$Q:$Q,MATCH($A32,'Valo FX'!$A:$A,0)),0,IF(EH$1&lt;INDEX('Valo FX'!$R:$R,MATCH($A32,'Valo FX'!$A:$A,0)),INDEX(Base!$U:$U,MATCH($A32,Base!$A:$A,0)),IF(EH$1=INDEX('Valo FX'!$R:$R,MATCH($A32,'Valo FX'!$A:$A,0)),INDEX(Base!$V:$V,MATCH($A32,Base!$A:$A,0)),0)))</f>
        <v>11.323285</v>
      </c>
      <c r="EI32" s="21">
        <f>IF(EI$1&lt;INDEX('Valo FX'!$Q:$Q,MATCH($A32,'Valo FX'!$A:$A,0)),0,IF(EI$1&lt;INDEX('Valo FX'!$R:$R,MATCH($A32,'Valo FX'!$A:$A,0)),INDEX(Base!$U:$U,MATCH($A32,Base!$A:$A,0)),IF(EI$1=INDEX('Valo FX'!$R:$R,MATCH($A32,'Valo FX'!$A:$A,0)),INDEX(Base!$V:$V,MATCH($A32,Base!$A:$A,0)),0)))</f>
        <v>11.323285</v>
      </c>
      <c r="EJ32" s="21">
        <f>IF(EJ$1&lt;INDEX('Valo FX'!$Q:$Q,MATCH($A32,'Valo FX'!$A:$A,0)),0,IF(EJ$1&lt;INDEX('Valo FX'!$R:$R,MATCH($A32,'Valo FX'!$A:$A,0)),INDEX(Base!$U:$U,MATCH($A32,Base!$A:$A,0)),IF(EJ$1=INDEX('Valo FX'!$R:$R,MATCH($A32,'Valo FX'!$A:$A,0)),INDEX(Base!$V:$V,MATCH($A32,Base!$A:$A,0)),0)))</f>
        <v>11.323285</v>
      </c>
      <c r="EK32" s="21">
        <f>IF(EK$1&lt;INDEX('Valo FX'!$Q:$Q,MATCH($A32,'Valo FX'!$A:$A,0)),0,IF(EK$1&lt;INDEX('Valo FX'!$R:$R,MATCH($A32,'Valo FX'!$A:$A,0)),INDEX(Base!$U:$U,MATCH($A32,Base!$A:$A,0)),IF(EK$1=INDEX('Valo FX'!$R:$R,MATCH($A32,'Valo FX'!$A:$A,0)),INDEX(Base!$V:$V,MATCH($A32,Base!$A:$A,0)),0)))</f>
        <v>11.323285</v>
      </c>
      <c r="EL32" s="21">
        <f>IF(EL$1&lt;INDEX('Valo FX'!$Q:$Q,MATCH($A32,'Valo FX'!$A:$A,0)),0,IF(EL$1&lt;INDEX('Valo FX'!$R:$R,MATCH($A32,'Valo FX'!$A:$A,0)),INDEX(Base!$U:$U,MATCH($A32,Base!$A:$A,0)),IF(EL$1=INDEX('Valo FX'!$R:$R,MATCH($A32,'Valo FX'!$A:$A,0)),INDEX(Base!$V:$V,MATCH($A32,Base!$A:$A,0)),0)))</f>
        <v>11.323285</v>
      </c>
      <c r="EM32" s="21">
        <f>IF(EM$1&lt;INDEX('Valo FX'!$Q:$Q,MATCH($A32,'Valo FX'!$A:$A,0)),0,IF(EM$1&lt;INDEX('Valo FX'!$R:$R,MATCH($A32,'Valo FX'!$A:$A,0)),INDEX(Base!$U:$U,MATCH($A32,Base!$A:$A,0)),IF(EM$1=INDEX('Valo FX'!$R:$R,MATCH($A32,'Valo FX'!$A:$A,0)),INDEX(Base!$V:$V,MATCH($A32,Base!$A:$A,0)),0)))</f>
        <v>11.323285</v>
      </c>
      <c r="EN32" s="21">
        <f>IF(EN$1&lt;INDEX('Valo FX'!$Q:$Q,MATCH($A32,'Valo FX'!$A:$A,0)),0,IF(EN$1&lt;INDEX('Valo FX'!$R:$R,MATCH($A32,'Valo FX'!$A:$A,0)),INDEX(Base!$U:$U,MATCH($A32,Base!$A:$A,0)),IF(EN$1=INDEX('Valo FX'!$R:$R,MATCH($A32,'Valo FX'!$A:$A,0)),INDEX(Base!$V:$V,MATCH($A32,Base!$A:$A,0)),0)))</f>
        <v>11.323285</v>
      </c>
      <c r="EO32" s="21">
        <f>IF(EO$1&lt;INDEX('Valo FX'!$Q:$Q,MATCH($A32,'Valo FX'!$A:$A,0)),0,IF(EO$1&lt;INDEX('Valo FX'!$R:$R,MATCH($A32,'Valo FX'!$A:$A,0)),INDEX(Base!$U:$U,MATCH($A32,Base!$A:$A,0)),IF(EO$1=INDEX('Valo FX'!$R:$R,MATCH($A32,'Valo FX'!$A:$A,0)),INDEX(Base!$V:$V,MATCH($A32,Base!$A:$A,0)),0)))</f>
        <v>11.323285</v>
      </c>
      <c r="EP32" s="21">
        <f>IF(EP$1&lt;INDEX('Valo FX'!$Q:$Q,MATCH($A32,'Valo FX'!$A:$A,0)),0,IF(EP$1&lt;INDEX('Valo FX'!$R:$R,MATCH($A32,'Valo FX'!$A:$A,0)),INDEX(Base!$U:$U,MATCH($A32,Base!$A:$A,0)),IF(EP$1=INDEX('Valo FX'!$R:$R,MATCH($A32,'Valo FX'!$A:$A,0)),INDEX(Base!$V:$V,MATCH($A32,Base!$A:$A,0)),0)))</f>
        <v>11.323285</v>
      </c>
      <c r="EQ32" s="21">
        <f>IF(EQ$1&lt;INDEX('Valo FX'!$Q:$Q,MATCH($A32,'Valo FX'!$A:$A,0)),0,IF(EQ$1&lt;INDEX('Valo FX'!$R:$R,MATCH($A32,'Valo FX'!$A:$A,0)),INDEX(Base!$U:$U,MATCH($A32,Base!$A:$A,0)),IF(EQ$1=INDEX('Valo FX'!$R:$R,MATCH($A32,'Valo FX'!$A:$A,0)),INDEX(Base!$V:$V,MATCH($A32,Base!$A:$A,0)),0)))</f>
        <v>11.323285</v>
      </c>
      <c r="ER32" s="21">
        <f>IF(ER$1&lt;INDEX('Valo FX'!$Q:$Q,MATCH($A32,'Valo FX'!$A:$A,0)),0,IF(ER$1&lt;INDEX('Valo FX'!$R:$R,MATCH($A32,'Valo FX'!$A:$A,0)),INDEX(Base!$U:$U,MATCH($A32,Base!$A:$A,0)),IF(ER$1=INDEX('Valo FX'!$R:$R,MATCH($A32,'Valo FX'!$A:$A,0)),INDEX(Base!$V:$V,MATCH($A32,Base!$A:$A,0)),0)))</f>
        <v>11.323285</v>
      </c>
      <c r="ES32" s="21">
        <f>IF(ES$1&lt;INDEX('Valo FX'!$Q:$Q,MATCH($A32,'Valo FX'!$A:$A,0)),0,IF(ES$1&lt;INDEX('Valo FX'!$R:$R,MATCH($A32,'Valo FX'!$A:$A,0)),INDEX(Base!$U:$U,MATCH($A32,Base!$A:$A,0)),IF(ES$1=INDEX('Valo FX'!$R:$R,MATCH($A32,'Valo FX'!$A:$A,0)),INDEX(Base!$V:$V,MATCH($A32,Base!$A:$A,0)),0)))</f>
        <v>11.323285</v>
      </c>
      <c r="ET32" s="21">
        <f>IF(ET$1&lt;INDEX('Valo FX'!$Q:$Q,MATCH($A32,'Valo FX'!$A:$A,0)),0,IF(ET$1&lt;INDEX('Valo FX'!$R:$R,MATCH($A32,'Valo FX'!$A:$A,0)),INDEX(Base!$U:$U,MATCH($A32,Base!$A:$A,0)),IF(ET$1=INDEX('Valo FX'!$R:$R,MATCH($A32,'Valo FX'!$A:$A,0)),INDEX(Base!$V:$V,MATCH($A32,Base!$A:$A,0)),0)))</f>
        <v>11.323285</v>
      </c>
      <c r="EU32" s="21">
        <f>IF(EU$1&lt;INDEX('Valo FX'!$Q:$Q,MATCH($A32,'Valo FX'!$A:$A,0)),0,IF(EU$1&lt;INDEX('Valo FX'!$R:$R,MATCH($A32,'Valo FX'!$A:$A,0)),INDEX(Base!$U:$U,MATCH($A32,Base!$A:$A,0)),IF(EU$1=INDEX('Valo FX'!$R:$R,MATCH($A32,'Valo FX'!$A:$A,0)),INDEX(Base!$V:$V,MATCH($A32,Base!$A:$A,0)),0)))</f>
        <v>11.323285</v>
      </c>
      <c r="EV32" s="21">
        <f>IF(EV$1&lt;INDEX('Valo FX'!$Q:$Q,MATCH($A32,'Valo FX'!$A:$A,0)),0,IF(EV$1&lt;INDEX('Valo FX'!$R:$R,MATCH($A32,'Valo FX'!$A:$A,0)),INDEX(Base!$U:$U,MATCH($A32,Base!$A:$A,0)),IF(EV$1=INDEX('Valo FX'!$R:$R,MATCH($A32,'Valo FX'!$A:$A,0)),INDEX(Base!$V:$V,MATCH($A32,Base!$A:$A,0)),0)))</f>
        <v>11.323285</v>
      </c>
      <c r="EW32" s="21">
        <f>IF(EW$1&lt;INDEX('Valo FX'!$Q:$Q,MATCH($A32,'Valo FX'!$A:$A,0)),0,IF(EW$1&lt;INDEX('Valo FX'!$R:$R,MATCH($A32,'Valo FX'!$A:$A,0)),INDEX(Base!$U:$U,MATCH($A32,Base!$A:$A,0)),IF(EW$1=INDEX('Valo FX'!$R:$R,MATCH($A32,'Valo FX'!$A:$A,0)),INDEX(Base!$V:$V,MATCH($A32,Base!$A:$A,0)),0)))</f>
        <v>11.323285</v>
      </c>
      <c r="EX32" s="21">
        <f>IF(EX$1&lt;INDEX('Valo FX'!$Q:$Q,MATCH($A32,'Valo FX'!$A:$A,0)),0,IF(EX$1&lt;INDEX('Valo FX'!$R:$R,MATCH($A32,'Valo FX'!$A:$A,0)),INDEX(Base!$U:$U,MATCH($A32,Base!$A:$A,0)),IF(EX$1=INDEX('Valo FX'!$R:$R,MATCH($A32,'Valo FX'!$A:$A,0)),INDEX(Base!$V:$V,MATCH($A32,Base!$A:$A,0)),0)))</f>
        <v>11.323285</v>
      </c>
      <c r="EY32" s="21">
        <f>IF(EY$1&lt;INDEX('Valo FX'!$Q:$Q,MATCH($A32,'Valo FX'!$A:$A,0)),0,IF(EY$1&lt;INDEX('Valo FX'!$R:$R,MATCH($A32,'Valo FX'!$A:$A,0)),INDEX(Base!$U:$U,MATCH($A32,Base!$A:$A,0)),IF(EY$1=INDEX('Valo FX'!$R:$R,MATCH($A32,'Valo FX'!$A:$A,0)),INDEX(Base!$V:$V,MATCH($A32,Base!$A:$A,0)),0)))</f>
        <v>11.323285</v>
      </c>
      <c r="EZ32" s="21">
        <f>IF(EZ$1&lt;INDEX('Valo FX'!$Q:$Q,MATCH($A32,'Valo FX'!$A:$A,0)),0,IF(EZ$1&lt;INDEX('Valo FX'!$R:$R,MATCH($A32,'Valo FX'!$A:$A,0)),INDEX(Base!$U:$U,MATCH($A32,Base!$A:$A,0)),IF(EZ$1=INDEX('Valo FX'!$R:$R,MATCH($A32,'Valo FX'!$A:$A,0)),INDEX(Base!$V:$V,MATCH($A32,Base!$A:$A,0)),0)))</f>
        <v>11.323285</v>
      </c>
      <c r="FA32" s="21">
        <f>IF(FA$1&lt;INDEX('Valo FX'!$Q:$Q,MATCH($A32,'Valo FX'!$A:$A,0)),0,IF(FA$1&lt;INDEX('Valo FX'!$R:$R,MATCH($A32,'Valo FX'!$A:$A,0)),INDEX(Base!$U:$U,MATCH($A32,Base!$A:$A,0)),IF(FA$1=INDEX('Valo FX'!$R:$R,MATCH($A32,'Valo FX'!$A:$A,0)),INDEX(Base!$V:$V,MATCH($A32,Base!$A:$A,0)),0)))</f>
        <v>11.323285</v>
      </c>
      <c r="FB32" s="21">
        <f>IF(FB$1&lt;INDEX('Valo FX'!$Q:$Q,MATCH($A32,'Valo FX'!$A:$A,0)),0,IF(FB$1&lt;INDEX('Valo FX'!$R:$R,MATCH($A32,'Valo FX'!$A:$A,0)),INDEX(Base!$U:$U,MATCH($A32,Base!$A:$A,0)),IF(FB$1=INDEX('Valo FX'!$R:$R,MATCH($A32,'Valo FX'!$A:$A,0)),INDEX(Base!$V:$V,MATCH($A32,Base!$A:$A,0)),0)))</f>
        <v>11.323285</v>
      </c>
      <c r="FC32" s="21">
        <f>IF(FC$1&lt;INDEX('Valo FX'!$Q:$Q,MATCH($A32,'Valo FX'!$A:$A,0)),0,IF(FC$1&lt;INDEX('Valo FX'!$R:$R,MATCH($A32,'Valo FX'!$A:$A,0)),INDEX(Base!$U:$U,MATCH($A32,Base!$A:$A,0)),IF(FC$1=INDEX('Valo FX'!$R:$R,MATCH($A32,'Valo FX'!$A:$A,0)),INDEX(Base!$V:$V,MATCH($A32,Base!$A:$A,0)),0)))</f>
        <v>11.323285</v>
      </c>
      <c r="FD32" s="21">
        <f>IF(FD$1&lt;INDEX('Valo FX'!$Q:$Q,MATCH($A32,'Valo FX'!$A:$A,0)),0,IF(FD$1&lt;INDEX('Valo FX'!$R:$R,MATCH($A32,'Valo FX'!$A:$A,0)),INDEX(Base!$U:$U,MATCH($A32,Base!$A:$A,0)),IF(FD$1=INDEX('Valo FX'!$R:$R,MATCH($A32,'Valo FX'!$A:$A,0)),INDEX(Base!$V:$V,MATCH($A32,Base!$A:$A,0)),0)))</f>
        <v>11.323285</v>
      </c>
      <c r="FE32" s="21">
        <f>IF(FE$1&lt;INDEX('Valo FX'!$Q:$Q,MATCH($A32,'Valo FX'!$A:$A,0)),0,IF(FE$1&lt;INDEX('Valo FX'!$R:$R,MATCH($A32,'Valo FX'!$A:$A,0)),INDEX(Base!$U:$U,MATCH($A32,Base!$A:$A,0)),IF(FE$1=INDEX('Valo FX'!$R:$R,MATCH($A32,'Valo FX'!$A:$A,0)),INDEX(Base!$V:$V,MATCH($A32,Base!$A:$A,0)),0)))</f>
        <v>11.323285</v>
      </c>
      <c r="FF32" s="21">
        <f>IF(FF$1&lt;INDEX('Valo FX'!$Q:$Q,MATCH($A32,'Valo FX'!$A:$A,0)),0,IF(FF$1&lt;INDEX('Valo FX'!$R:$R,MATCH($A32,'Valo FX'!$A:$A,0)),INDEX(Base!$U:$U,MATCH($A32,Base!$A:$A,0)),IF(FF$1=INDEX('Valo FX'!$R:$R,MATCH($A32,'Valo FX'!$A:$A,0)),INDEX(Base!$V:$V,MATCH($A32,Base!$A:$A,0)),0)))</f>
        <v>11.323285</v>
      </c>
      <c r="FG32" s="21">
        <f>IF(FG$1&lt;INDEX('Valo FX'!$Q:$Q,MATCH($A32,'Valo FX'!$A:$A,0)),0,IF(FG$1&lt;INDEX('Valo FX'!$R:$R,MATCH($A32,'Valo FX'!$A:$A,0)),INDEX(Base!$U:$U,MATCH($A32,Base!$A:$A,0)),IF(FG$1=INDEX('Valo FX'!$R:$R,MATCH($A32,'Valo FX'!$A:$A,0)),INDEX(Base!$V:$V,MATCH($A32,Base!$A:$A,0)),0)))</f>
        <v>11.323285</v>
      </c>
      <c r="FH32" s="21">
        <f>IF(FH$1&lt;INDEX('Valo FX'!$Q:$Q,MATCH($A32,'Valo FX'!$A:$A,0)),0,IF(FH$1&lt;INDEX('Valo FX'!$R:$R,MATCH($A32,'Valo FX'!$A:$A,0)),INDEX(Base!$U:$U,MATCH($A32,Base!$A:$A,0)),IF(FH$1=INDEX('Valo FX'!$R:$R,MATCH($A32,'Valo FX'!$A:$A,0)),INDEX(Base!$V:$V,MATCH($A32,Base!$A:$A,0)),0)))</f>
        <v>11.323285</v>
      </c>
      <c r="FI32" s="21">
        <f>IF(FI$1&lt;INDEX('Valo FX'!$Q:$Q,MATCH($A32,'Valo FX'!$A:$A,0)),0,IF(FI$1&lt;INDEX('Valo FX'!$R:$R,MATCH($A32,'Valo FX'!$A:$A,0)),INDEX(Base!$U:$U,MATCH($A32,Base!$A:$A,0)),IF(FI$1=INDEX('Valo FX'!$R:$R,MATCH($A32,'Valo FX'!$A:$A,0)),INDEX(Base!$V:$V,MATCH($A32,Base!$A:$A,0)),0)))</f>
        <v>11.323285</v>
      </c>
      <c r="FJ32" s="21">
        <f>IF(FJ$1&lt;INDEX('Valo FX'!$Q:$Q,MATCH($A32,'Valo FX'!$A:$A,0)),0,IF(FJ$1&lt;INDEX('Valo FX'!$R:$R,MATCH($A32,'Valo FX'!$A:$A,0)),INDEX(Base!$U:$U,MATCH($A32,Base!$A:$A,0)),IF(FJ$1=INDEX('Valo FX'!$R:$R,MATCH($A32,'Valo FX'!$A:$A,0)),INDEX(Base!$V:$V,MATCH($A32,Base!$A:$A,0)),0)))</f>
        <v>11.323285</v>
      </c>
      <c r="FK32" s="21">
        <f>IF(FK$1&lt;INDEX('Valo FX'!$Q:$Q,MATCH($A32,'Valo FX'!$A:$A,0)),0,IF(FK$1&lt;INDEX('Valo FX'!$R:$R,MATCH($A32,'Valo FX'!$A:$A,0)),INDEX(Base!$U:$U,MATCH($A32,Base!$A:$A,0)),IF(FK$1=INDEX('Valo FX'!$R:$R,MATCH($A32,'Valo FX'!$A:$A,0)),INDEX(Base!$V:$V,MATCH($A32,Base!$A:$A,0)),0)))</f>
        <v>11.323285</v>
      </c>
      <c r="FL32" s="21">
        <f>IF(FL$1&lt;INDEX('Valo FX'!$Q:$Q,MATCH($A32,'Valo FX'!$A:$A,0)),0,IF(FL$1&lt;INDEX('Valo FX'!$R:$R,MATCH($A32,'Valo FX'!$A:$A,0)),INDEX(Base!$U:$U,MATCH($A32,Base!$A:$A,0)),IF(FL$1=INDEX('Valo FX'!$R:$R,MATCH($A32,'Valo FX'!$A:$A,0)),INDEX(Base!$V:$V,MATCH($A32,Base!$A:$A,0)),0)))</f>
        <v>11.323285</v>
      </c>
      <c r="FM32" s="21">
        <f>IF(FM$1&lt;INDEX('Valo FX'!$Q:$Q,MATCH($A32,'Valo FX'!$A:$A,0)),0,IF(FM$1&lt;INDEX('Valo FX'!$R:$R,MATCH($A32,'Valo FX'!$A:$A,0)),INDEX(Base!$U:$U,MATCH($A32,Base!$A:$A,0)),IF(FM$1=INDEX('Valo FX'!$R:$R,MATCH($A32,'Valo FX'!$A:$A,0)),INDEX(Base!$V:$V,MATCH($A32,Base!$A:$A,0)),0)))</f>
        <v>11.323285</v>
      </c>
      <c r="FN32" s="21">
        <f>IF(FN$1&lt;INDEX('Valo FX'!$Q:$Q,MATCH($A32,'Valo FX'!$A:$A,0)),0,IF(FN$1&lt;INDEX('Valo FX'!$R:$R,MATCH($A32,'Valo FX'!$A:$A,0)),INDEX(Base!$U:$U,MATCH($A32,Base!$A:$A,0)),IF(FN$1=INDEX('Valo FX'!$R:$R,MATCH($A32,'Valo FX'!$A:$A,0)),INDEX(Base!$V:$V,MATCH($A32,Base!$A:$A,0)),0)))</f>
        <v>11.323285</v>
      </c>
      <c r="FO32" s="21">
        <f>IF(FO$1&lt;INDEX('Valo FX'!$Q:$Q,MATCH($A32,'Valo FX'!$A:$A,0)),0,IF(FO$1&lt;INDEX('Valo FX'!$R:$R,MATCH($A32,'Valo FX'!$A:$A,0)),INDEX(Base!$U:$U,MATCH($A32,Base!$A:$A,0)),IF(FO$1=INDEX('Valo FX'!$R:$R,MATCH($A32,'Valo FX'!$A:$A,0)),INDEX(Base!$V:$V,MATCH($A32,Base!$A:$A,0)),0)))</f>
        <v>11.323285</v>
      </c>
      <c r="FP32" s="21">
        <f>IF(FP$1&lt;INDEX('Valo FX'!$Q:$Q,MATCH($A32,'Valo FX'!$A:$A,0)),0,IF(FP$1&lt;INDEX('Valo FX'!$R:$R,MATCH($A32,'Valo FX'!$A:$A,0)),INDEX(Base!$U:$U,MATCH($A32,Base!$A:$A,0)),IF(FP$1=INDEX('Valo FX'!$R:$R,MATCH($A32,'Valo FX'!$A:$A,0)),INDEX(Base!$V:$V,MATCH($A32,Base!$A:$A,0)),0)))</f>
        <v>11.323285</v>
      </c>
      <c r="FQ32" s="21">
        <f>IF(FQ$1&lt;INDEX('Valo FX'!$Q:$Q,MATCH($A32,'Valo FX'!$A:$A,0)),0,IF(FQ$1&lt;INDEX('Valo FX'!$R:$R,MATCH($A32,'Valo FX'!$A:$A,0)),INDEX(Base!$U:$U,MATCH($A32,Base!$A:$A,0)),IF(FQ$1=INDEX('Valo FX'!$R:$R,MATCH($A32,'Valo FX'!$A:$A,0)),INDEX(Base!$V:$V,MATCH($A32,Base!$A:$A,0)),0)))</f>
        <v>11.323285</v>
      </c>
      <c r="FR32" s="21">
        <f>IF(FR$1&lt;INDEX('Valo FX'!$Q:$Q,MATCH($A32,'Valo FX'!$A:$A,0)),0,IF(FR$1&lt;INDEX('Valo FX'!$R:$R,MATCH($A32,'Valo FX'!$A:$A,0)),INDEX(Base!$U:$U,MATCH($A32,Base!$A:$A,0)),IF(FR$1=INDEX('Valo FX'!$R:$R,MATCH($A32,'Valo FX'!$A:$A,0)),INDEX(Base!$V:$V,MATCH($A32,Base!$A:$A,0)),0)))</f>
        <v>11.323285</v>
      </c>
      <c r="FS32" s="21">
        <f>IF(FS$1&lt;INDEX('Valo FX'!$Q:$Q,MATCH($A32,'Valo FX'!$A:$A,0)),0,IF(FS$1&lt;INDEX('Valo FX'!$R:$R,MATCH($A32,'Valo FX'!$A:$A,0)),INDEX(Base!$U:$U,MATCH($A32,Base!$A:$A,0)),IF(FS$1=INDEX('Valo FX'!$R:$R,MATCH($A32,'Valo FX'!$A:$A,0)),INDEX(Base!$V:$V,MATCH($A32,Base!$A:$A,0)),0)))</f>
        <v>11.323285</v>
      </c>
      <c r="FT32" s="21">
        <f>IF(FT$1&lt;INDEX('Valo FX'!$Q:$Q,MATCH($A32,'Valo FX'!$A:$A,0)),0,IF(FT$1&lt;INDEX('Valo FX'!$R:$R,MATCH($A32,'Valo FX'!$A:$A,0)),INDEX(Base!$U:$U,MATCH($A32,Base!$A:$A,0)),IF(FT$1=INDEX('Valo FX'!$R:$R,MATCH($A32,'Valo FX'!$A:$A,0)),INDEX(Base!$V:$V,MATCH($A32,Base!$A:$A,0)),0)))</f>
        <v>11.323285</v>
      </c>
      <c r="FU32" s="21">
        <f>IF(FU$1&lt;INDEX('Valo FX'!$Q:$Q,MATCH($A32,'Valo FX'!$A:$A,0)),0,IF(FU$1&lt;INDEX('Valo FX'!$R:$R,MATCH($A32,'Valo FX'!$A:$A,0)),INDEX(Base!$U:$U,MATCH($A32,Base!$A:$A,0)),IF(FU$1=INDEX('Valo FX'!$R:$R,MATCH($A32,'Valo FX'!$A:$A,0)),INDEX(Base!$V:$V,MATCH($A32,Base!$A:$A,0)),0)))</f>
        <v>11.323285</v>
      </c>
      <c r="FV32" s="21">
        <f>IF(FV$1&lt;INDEX('Valo FX'!$Q:$Q,MATCH($A32,'Valo FX'!$A:$A,0)),0,IF(FV$1&lt;INDEX('Valo FX'!$R:$R,MATCH($A32,'Valo FX'!$A:$A,0)),INDEX(Base!$U:$U,MATCH($A32,Base!$A:$A,0)),IF(FV$1=INDEX('Valo FX'!$R:$R,MATCH($A32,'Valo FX'!$A:$A,0)),INDEX(Base!$V:$V,MATCH($A32,Base!$A:$A,0)),0)))</f>
        <v>11.323285</v>
      </c>
      <c r="FW32" s="21">
        <f>IF(FW$1&lt;INDEX('Valo FX'!$Q:$Q,MATCH($A32,'Valo FX'!$A:$A,0)),0,IF(FW$1&lt;INDEX('Valo FX'!$R:$R,MATCH($A32,'Valo FX'!$A:$A,0)),INDEX(Base!$U:$U,MATCH($A32,Base!$A:$A,0)),IF(FW$1=INDEX('Valo FX'!$R:$R,MATCH($A32,'Valo FX'!$A:$A,0)),INDEX(Base!$V:$V,MATCH($A32,Base!$A:$A,0)),0)))</f>
        <v>11.323285</v>
      </c>
      <c r="FX32" s="21">
        <f>IF(FX$1&lt;INDEX('Valo FX'!$Q:$Q,MATCH($A32,'Valo FX'!$A:$A,0)),0,IF(FX$1&lt;INDEX('Valo FX'!$R:$R,MATCH($A32,'Valo FX'!$A:$A,0)),INDEX(Base!$U:$U,MATCH($A32,Base!$A:$A,0)),IF(FX$1=INDEX('Valo FX'!$R:$R,MATCH($A32,'Valo FX'!$A:$A,0)),INDEX(Base!$V:$V,MATCH($A32,Base!$A:$A,0)),0)))</f>
        <v>11.323285</v>
      </c>
      <c r="FY32" s="21">
        <f>IF(FY$1&lt;INDEX('Valo FX'!$Q:$Q,MATCH($A32,'Valo FX'!$A:$A,0)),0,IF(FY$1&lt;INDEX('Valo FX'!$R:$R,MATCH($A32,'Valo FX'!$A:$A,0)),INDEX(Base!$U:$U,MATCH($A32,Base!$A:$A,0)),IF(FY$1=INDEX('Valo FX'!$R:$R,MATCH($A32,'Valo FX'!$A:$A,0)),INDEX(Base!$V:$V,MATCH($A32,Base!$A:$A,0)),0)))</f>
        <v>11.323285</v>
      </c>
      <c r="FZ32" s="21">
        <f>IF(FZ$1&lt;INDEX('Valo FX'!$Q:$Q,MATCH($A32,'Valo FX'!$A:$A,0)),0,IF(FZ$1&lt;INDEX('Valo FX'!$R:$R,MATCH($A32,'Valo FX'!$A:$A,0)),INDEX(Base!$U:$U,MATCH($A32,Base!$A:$A,0)),IF(FZ$1=INDEX('Valo FX'!$R:$R,MATCH($A32,'Valo FX'!$A:$A,0)),INDEX(Base!$V:$V,MATCH($A32,Base!$A:$A,0)),0)))</f>
        <v>11.323285</v>
      </c>
      <c r="GA32" s="21">
        <f>IF(GA$1&lt;INDEX('Valo FX'!$Q:$Q,MATCH($A32,'Valo FX'!$A:$A,0)),0,IF(GA$1&lt;INDEX('Valo FX'!$R:$R,MATCH($A32,'Valo FX'!$A:$A,0)),INDEX(Base!$U:$U,MATCH($A32,Base!$A:$A,0)),IF(GA$1=INDEX('Valo FX'!$R:$R,MATCH($A32,'Valo FX'!$A:$A,0)),INDEX(Base!$V:$V,MATCH($A32,Base!$A:$A,0)),0)))</f>
        <v>11.323285</v>
      </c>
      <c r="GB32" s="21">
        <f>IF(GB$1&lt;INDEX('Valo FX'!$Q:$Q,MATCH($A32,'Valo FX'!$A:$A,0)),0,IF(GB$1&lt;INDEX('Valo FX'!$R:$R,MATCH($A32,'Valo FX'!$A:$A,0)),INDEX(Base!$U:$U,MATCH($A32,Base!$A:$A,0)),IF(GB$1=INDEX('Valo FX'!$R:$R,MATCH($A32,'Valo FX'!$A:$A,0)),INDEX(Base!$V:$V,MATCH($A32,Base!$A:$A,0)),0)))</f>
        <v>11.323285</v>
      </c>
      <c r="GC32" s="21">
        <f>IF(GC$1&lt;INDEX('Valo FX'!$Q:$Q,MATCH($A32,'Valo FX'!$A:$A,0)),0,IF(GC$1&lt;INDEX('Valo FX'!$R:$R,MATCH($A32,'Valo FX'!$A:$A,0)),INDEX(Base!$U:$U,MATCH($A32,Base!$A:$A,0)),IF(GC$1=INDEX('Valo FX'!$R:$R,MATCH($A32,'Valo FX'!$A:$A,0)),INDEX(Base!$V:$V,MATCH($A32,Base!$A:$A,0)),0)))</f>
        <v>11.323285</v>
      </c>
      <c r="GD32" s="21">
        <f>IF(GD$1&lt;INDEX('Valo FX'!$Q:$Q,MATCH($A32,'Valo FX'!$A:$A,0)),0,IF(GD$1&lt;INDEX('Valo FX'!$R:$R,MATCH($A32,'Valo FX'!$A:$A,0)),INDEX(Base!$U:$U,MATCH($A32,Base!$A:$A,0)),IF(GD$1=INDEX('Valo FX'!$R:$R,MATCH($A32,'Valo FX'!$A:$A,0)),INDEX(Base!$V:$V,MATCH($A32,Base!$A:$A,0)),0)))</f>
        <v>11.323285</v>
      </c>
      <c r="GE32" s="21">
        <f>IF(GE$1&lt;INDEX('Valo FX'!$Q:$Q,MATCH($A32,'Valo FX'!$A:$A,0)),0,IF(GE$1&lt;INDEX('Valo FX'!$R:$R,MATCH($A32,'Valo FX'!$A:$A,0)),INDEX(Base!$U:$U,MATCH($A32,Base!$A:$A,0)),IF(GE$1=INDEX('Valo FX'!$R:$R,MATCH($A32,'Valo FX'!$A:$A,0)),INDEX(Base!$V:$V,MATCH($A32,Base!$A:$A,0)),0)))</f>
        <v>11.323285</v>
      </c>
      <c r="GF32" s="21">
        <f>IF(GF$1&lt;INDEX('Valo FX'!$Q:$Q,MATCH($A32,'Valo FX'!$A:$A,0)),0,IF(GF$1&lt;INDEX('Valo FX'!$R:$R,MATCH($A32,'Valo FX'!$A:$A,0)),INDEX(Base!$U:$U,MATCH($A32,Base!$A:$A,0)),IF(GF$1=INDEX('Valo FX'!$R:$R,MATCH($A32,'Valo FX'!$A:$A,0)),INDEX(Base!$V:$V,MATCH($A32,Base!$A:$A,0)),0)))</f>
        <v>11.323285</v>
      </c>
      <c r="GG32" s="21">
        <f>IF(GG$1&lt;INDEX('Valo FX'!$Q:$Q,MATCH($A32,'Valo FX'!$A:$A,0)),0,IF(GG$1&lt;INDEX('Valo FX'!$R:$R,MATCH($A32,'Valo FX'!$A:$A,0)),INDEX(Base!$U:$U,MATCH($A32,Base!$A:$A,0)),IF(GG$1=INDEX('Valo FX'!$R:$R,MATCH($A32,'Valo FX'!$A:$A,0)),INDEX(Base!$V:$V,MATCH($A32,Base!$A:$A,0)),0)))</f>
        <v>11.323285</v>
      </c>
      <c r="GH32" s="21">
        <f>IF(GH$1&lt;INDEX('Valo FX'!$Q:$Q,MATCH($A32,'Valo FX'!$A:$A,0)),0,IF(GH$1&lt;INDEX('Valo FX'!$R:$R,MATCH($A32,'Valo FX'!$A:$A,0)),INDEX(Base!$U:$U,MATCH($A32,Base!$A:$A,0)),IF(GH$1=INDEX('Valo FX'!$R:$R,MATCH($A32,'Valo FX'!$A:$A,0)),INDEX(Base!$V:$V,MATCH($A32,Base!$A:$A,0)),0)))</f>
        <v>11.323285</v>
      </c>
      <c r="GI32" s="21">
        <f>IF(GI$1&lt;INDEX('Valo FX'!$Q:$Q,MATCH($A32,'Valo FX'!$A:$A,0)),0,IF(GI$1&lt;INDEX('Valo FX'!$R:$R,MATCH($A32,'Valo FX'!$A:$A,0)),INDEX(Base!$U:$U,MATCH($A32,Base!$A:$A,0)),IF(GI$1=INDEX('Valo FX'!$R:$R,MATCH($A32,'Valo FX'!$A:$A,0)),INDEX(Base!$V:$V,MATCH($A32,Base!$A:$A,0)),0)))</f>
        <v>11.323285</v>
      </c>
      <c r="GJ32" s="21">
        <f>IF(GJ$1&lt;INDEX('Valo FX'!$Q:$Q,MATCH($A32,'Valo FX'!$A:$A,0)),0,IF(GJ$1&lt;INDEX('Valo FX'!$R:$R,MATCH($A32,'Valo FX'!$A:$A,0)),INDEX(Base!$U:$U,MATCH($A32,Base!$A:$A,0)),IF(GJ$1=INDEX('Valo FX'!$R:$R,MATCH($A32,'Valo FX'!$A:$A,0)),INDEX(Base!$V:$V,MATCH($A32,Base!$A:$A,0)),0)))</f>
        <v>11.323285</v>
      </c>
      <c r="GK32" s="21">
        <f>IF(GK$1&lt;INDEX('Valo FX'!$Q:$Q,MATCH($A32,'Valo FX'!$A:$A,0)),0,IF(GK$1&lt;INDEX('Valo FX'!$R:$R,MATCH($A32,'Valo FX'!$A:$A,0)),INDEX(Base!$U:$U,MATCH($A32,Base!$A:$A,0)),IF(GK$1=INDEX('Valo FX'!$R:$R,MATCH($A32,'Valo FX'!$A:$A,0)),INDEX(Base!$V:$V,MATCH($A32,Base!$A:$A,0)),0)))</f>
        <v>11.323285</v>
      </c>
      <c r="GL32" s="21">
        <f>IF(GL$1&lt;INDEX('Valo FX'!$Q:$Q,MATCH($A32,'Valo FX'!$A:$A,0)),0,IF(GL$1&lt;INDEX('Valo FX'!$R:$R,MATCH($A32,'Valo FX'!$A:$A,0)),INDEX(Base!$U:$U,MATCH($A32,Base!$A:$A,0)),IF(GL$1=INDEX('Valo FX'!$R:$R,MATCH($A32,'Valo FX'!$A:$A,0)),INDEX(Base!$V:$V,MATCH($A32,Base!$A:$A,0)),0)))</f>
        <v>11.323285</v>
      </c>
      <c r="GM32" s="21">
        <f>IF(GM$1&lt;INDEX('Valo FX'!$Q:$Q,MATCH($A32,'Valo FX'!$A:$A,0)),0,IF(GM$1&lt;INDEX('Valo FX'!$R:$R,MATCH($A32,'Valo FX'!$A:$A,0)),INDEX(Base!$U:$U,MATCH($A32,Base!$A:$A,0)),IF(GM$1=INDEX('Valo FX'!$R:$R,MATCH($A32,'Valo FX'!$A:$A,0)),INDEX(Base!$V:$V,MATCH($A32,Base!$A:$A,0)),0)))</f>
        <v>11.323285</v>
      </c>
      <c r="GN32" s="21">
        <f>IF(GN$1&lt;INDEX('Valo FX'!$Q:$Q,MATCH($A32,'Valo FX'!$A:$A,0)),0,IF(GN$1&lt;INDEX('Valo FX'!$R:$R,MATCH($A32,'Valo FX'!$A:$A,0)),INDEX(Base!$U:$U,MATCH($A32,Base!$A:$A,0)),IF(GN$1=INDEX('Valo FX'!$R:$R,MATCH($A32,'Valo FX'!$A:$A,0)),INDEX(Base!$V:$V,MATCH($A32,Base!$A:$A,0)),0)))</f>
        <v>11.323285</v>
      </c>
      <c r="GO32" s="21">
        <f>IF(GO$1&lt;INDEX('Valo FX'!$Q:$Q,MATCH($A32,'Valo FX'!$A:$A,0)),0,IF(GO$1&lt;INDEX('Valo FX'!$R:$R,MATCH($A32,'Valo FX'!$A:$A,0)),INDEX(Base!$U:$U,MATCH($A32,Base!$A:$A,0)),IF(GO$1=INDEX('Valo FX'!$R:$R,MATCH($A32,'Valo FX'!$A:$A,0)),INDEX(Base!$V:$V,MATCH($A32,Base!$A:$A,0)),0)))</f>
        <v>11.323285</v>
      </c>
      <c r="GP32" s="21">
        <f>IF(GP$1&lt;INDEX('Valo FX'!$Q:$Q,MATCH($A32,'Valo FX'!$A:$A,0)),0,IF(GP$1&lt;INDEX('Valo FX'!$R:$R,MATCH($A32,'Valo FX'!$A:$A,0)),INDEX(Base!$U:$U,MATCH($A32,Base!$A:$A,0)),IF(GP$1=INDEX('Valo FX'!$R:$R,MATCH($A32,'Valo FX'!$A:$A,0)),INDEX(Base!$V:$V,MATCH($A32,Base!$A:$A,0)),0)))</f>
        <v>11.323285</v>
      </c>
      <c r="GQ32" s="21">
        <f>IF(GQ$1&lt;INDEX('Valo FX'!$Q:$Q,MATCH($A32,'Valo FX'!$A:$A,0)),0,IF(GQ$1&lt;INDEX('Valo FX'!$R:$R,MATCH($A32,'Valo FX'!$A:$A,0)),INDEX(Base!$U:$U,MATCH($A32,Base!$A:$A,0)),IF(GQ$1=INDEX('Valo FX'!$R:$R,MATCH($A32,'Valo FX'!$A:$A,0)),INDEX(Base!$V:$V,MATCH($A32,Base!$A:$A,0)),0)))</f>
        <v>11.323285</v>
      </c>
      <c r="GR32" s="21">
        <f>IF(GR$1&lt;INDEX('Valo FX'!$Q:$Q,MATCH($A32,'Valo FX'!$A:$A,0)),0,IF(GR$1&lt;INDEX('Valo FX'!$R:$R,MATCH($A32,'Valo FX'!$A:$A,0)),INDEX(Base!$U:$U,MATCH($A32,Base!$A:$A,0)),IF(GR$1=INDEX('Valo FX'!$R:$R,MATCH($A32,'Valo FX'!$A:$A,0)),INDEX(Base!$V:$V,MATCH($A32,Base!$A:$A,0)),0)))</f>
        <v>11.323285</v>
      </c>
      <c r="GS32" s="21">
        <f>IF(GS$1&lt;INDEX('Valo FX'!$Q:$Q,MATCH($A32,'Valo FX'!$A:$A,0)),0,IF(GS$1&lt;INDEX('Valo FX'!$R:$R,MATCH($A32,'Valo FX'!$A:$A,0)),INDEX(Base!$U:$U,MATCH($A32,Base!$A:$A,0)),IF(GS$1=INDEX('Valo FX'!$R:$R,MATCH($A32,'Valo FX'!$A:$A,0)),INDEX(Base!$V:$V,MATCH($A32,Base!$A:$A,0)),0)))</f>
        <v>11.323285</v>
      </c>
      <c r="GT32" s="21">
        <f>IF(GT$1&lt;INDEX('Valo FX'!$Q:$Q,MATCH($A32,'Valo FX'!$A:$A,0)),0,IF(GT$1&lt;INDEX('Valo FX'!$R:$R,MATCH($A32,'Valo FX'!$A:$A,0)),INDEX(Base!$U:$U,MATCH($A32,Base!$A:$A,0)),IF(GT$1=INDEX('Valo FX'!$R:$R,MATCH($A32,'Valo FX'!$A:$A,0)),INDEX(Base!$V:$V,MATCH($A32,Base!$A:$A,0)),0)))</f>
        <v>11.323285</v>
      </c>
      <c r="GU32" s="21">
        <f>IF(GU$1&lt;INDEX('Valo FX'!$Q:$Q,MATCH($A32,'Valo FX'!$A:$A,0)),0,IF(GU$1&lt;INDEX('Valo FX'!$R:$R,MATCH($A32,'Valo FX'!$A:$A,0)),INDEX(Base!$U:$U,MATCH($A32,Base!$A:$A,0)),IF(GU$1=INDEX('Valo FX'!$R:$R,MATCH($A32,'Valo FX'!$A:$A,0)),INDEX(Base!$V:$V,MATCH($A32,Base!$A:$A,0)),0)))</f>
        <v>11.323285</v>
      </c>
      <c r="GV32" s="21">
        <f>IF(GV$1&lt;INDEX('Valo FX'!$Q:$Q,MATCH($A32,'Valo FX'!$A:$A,0)),0,IF(GV$1&lt;INDEX('Valo FX'!$R:$R,MATCH($A32,'Valo FX'!$A:$A,0)),INDEX(Base!$U:$U,MATCH($A32,Base!$A:$A,0)),IF(GV$1=INDEX('Valo FX'!$R:$R,MATCH($A32,'Valo FX'!$A:$A,0)),INDEX(Base!$V:$V,MATCH($A32,Base!$A:$A,0)),0)))</f>
        <v>11.323285</v>
      </c>
      <c r="GW32" s="21">
        <f>IF(GW$1&lt;INDEX('Valo FX'!$Q:$Q,MATCH($A32,'Valo FX'!$A:$A,0)),0,IF(GW$1&lt;INDEX('Valo FX'!$R:$R,MATCH($A32,'Valo FX'!$A:$A,0)),INDEX(Base!$U:$U,MATCH($A32,Base!$A:$A,0)),IF(GW$1=INDEX('Valo FX'!$R:$R,MATCH($A32,'Valo FX'!$A:$A,0)),INDEX(Base!$V:$V,MATCH($A32,Base!$A:$A,0)),0)))</f>
        <v>11.323285</v>
      </c>
      <c r="GX32" s="21">
        <f>IF(GX$1&lt;INDEX('Valo FX'!$Q:$Q,MATCH($A32,'Valo FX'!$A:$A,0)),0,IF(GX$1&lt;INDEX('Valo FX'!$R:$R,MATCH($A32,'Valo FX'!$A:$A,0)),INDEX(Base!$U:$U,MATCH($A32,Base!$A:$A,0)),IF(GX$1=INDEX('Valo FX'!$R:$R,MATCH($A32,'Valo FX'!$A:$A,0)),INDEX(Base!$V:$V,MATCH($A32,Base!$A:$A,0)),0)))</f>
        <v>11.323285</v>
      </c>
      <c r="GY32" s="21">
        <f>IF(GY$1&lt;INDEX('Valo FX'!$Q:$Q,MATCH($A32,'Valo FX'!$A:$A,0)),0,IF(GY$1&lt;INDEX('Valo FX'!$R:$R,MATCH($A32,'Valo FX'!$A:$A,0)),INDEX(Base!$U:$U,MATCH($A32,Base!$A:$A,0)),IF(GY$1=INDEX('Valo FX'!$R:$R,MATCH($A32,'Valo FX'!$A:$A,0)),INDEX(Base!$V:$V,MATCH($A32,Base!$A:$A,0)),0)))</f>
        <v>11.323285</v>
      </c>
      <c r="GZ32" s="21">
        <f>IF(GZ$1&lt;INDEX('Valo FX'!$Q:$Q,MATCH($A32,'Valo FX'!$A:$A,0)),0,IF(GZ$1&lt;INDEX('Valo FX'!$R:$R,MATCH($A32,'Valo FX'!$A:$A,0)),INDEX(Base!$U:$U,MATCH($A32,Base!$A:$A,0)),IF(GZ$1=INDEX('Valo FX'!$R:$R,MATCH($A32,'Valo FX'!$A:$A,0)),INDEX(Base!$V:$V,MATCH($A32,Base!$A:$A,0)),0)))</f>
        <v>11.323285</v>
      </c>
      <c r="HA32" s="21">
        <f>IF(HA$1&lt;INDEX('Valo FX'!$Q:$Q,MATCH($A32,'Valo FX'!$A:$A,0)),0,IF(HA$1&lt;INDEX('Valo FX'!$R:$R,MATCH($A32,'Valo FX'!$A:$A,0)),INDEX(Base!$U:$U,MATCH($A32,Base!$A:$A,0)),IF(HA$1=INDEX('Valo FX'!$R:$R,MATCH($A32,'Valo FX'!$A:$A,0)),INDEX(Base!$V:$V,MATCH($A32,Base!$A:$A,0)),0)))</f>
        <v>11.323285</v>
      </c>
      <c r="HB32" s="21">
        <f>IF(HB$1&lt;INDEX('Valo FX'!$Q:$Q,MATCH($A32,'Valo FX'!$A:$A,0)),0,IF(HB$1&lt;INDEX('Valo FX'!$R:$R,MATCH($A32,'Valo FX'!$A:$A,0)),INDEX(Base!$U:$U,MATCH($A32,Base!$A:$A,0)),IF(HB$1=INDEX('Valo FX'!$R:$R,MATCH($A32,'Valo FX'!$A:$A,0)),INDEX(Base!$V:$V,MATCH($A32,Base!$A:$A,0)),0)))</f>
        <v>11.323285</v>
      </c>
      <c r="HC32" s="21">
        <f>IF(HC$1&lt;INDEX('Valo FX'!$Q:$Q,MATCH($A32,'Valo FX'!$A:$A,0)),0,IF(HC$1&lt;INDEX('Valo FX'!$R:$R,MATCH($A32,'Valo FX'!$A:$A,0)),INDEX(Base!$U:$U,MATCH($A32,Base!$A:$A,0)),IF(HC$1=INDEX('Valo FX'!$R:$R,MATCH($A32,'Valo FX'!$A:$A,0)),INDEX(Base!$V:$V,MATCH($A32,Base!$A:$A,0)),0)))</f>
        <v>11.323285</v>
      </c>
      <c r="HD32" s="21">
        <f>IF(HD$1&lt;INDEX('Valo FX'!$Q:$Q,MATCH($A32,'Valo FX'!$A:$A,0)),0,IF(HD$1&lt;INDEX('Valo FX'!$R:$R,MATCH($A32,'Valo FX'!$A:$A,0)),INDEX(Base!$U:$U,MATCH($A32,Base!$A:$A,0)),IF(HD$1=INDEX('Valo FX'!$R:$R,MATCH($A32,'Valo FX'!$A:$A,0)),INDEX(Base!$V:$V,MATCH($A32,Base!$A:$A,0)),0)))</f>
        <v>11.323285</v>
      </c>
      <c r="HE32" s="21">
        <f>IF(HE$1&lt;INDEX('Valo FX'!$Q:$Q,MATCH($A32,'Valo FX'!$A:$A,0)),0,IF(HE$1&lt;INDEX('Valo FX'!$R:$R,MATCH($A32,'Valo FX'!$A:$A,0)),INDEX(Base!$U:$U,MATCH($A32,Base!$A:$A,0)),IF(HE$1=INDEX('Valo FX'!$R:$R,MATCH($A32,'Valo FX'!$A:$A,0)),INDEX(Base!$V:$V,MATCH($A32,Base!$A:$A,0)),0)))</f>
        <v>11.323285</v>
      </c>
      <c r="HF32" s="21">
        <f>IF(HF$1&lt;INDEX('Valo FX'!$Q:$Q,MATCH($A32,'Valo FX'!$A:$A,0)),0,IF(HF$1&lt;INDEX('Valo FX'!$R:$R,MATCH($A32,'Valo FX'!$A:$A,0)),INDEX(Base!$U:$U,MATCH($A32,Base!$A:$A,0)),IF(HF$1=INDEX('Valo FX'!$R:$R,MATCH($A32,'Valo FX'!$A:$A,0)),INDEX(Base!$V:$V,MATCH($A32,Base!$A:$A,0)),0)))</f>
        <v>11.323285</v>
      </c>
      <c r="HG32" s="21">
        <f>IF(HG$1&lt;INDEX('Valo FX'!$Q:$Q,MATCH($A32,'Valo FX'!$A:$A,0)),0,IF(HG$1&lt;INDEX('Valo FX'!$R:$R,MATCH($A32,'Valo FX'!$A:$A,0)),INDEX(Base!$U:$U,MATCH($A32,Base!$A:$A,0)),IF(HG$1=INDEX('Valo FX'!$R:$R,MATCH($A32,'Valo FX'!$A:$A,0)),INDEX(Base!$V:$V,MATCH($A32,Base!$A:$A,0)),0)))</f>
        <v>11.323285</v>
      </c>
      <c r="HH32" s="21">
        <f>IF(HH$1&lt;INDEX('Valo FX'!$Q:$Q,MATCH($A32,'Valo FX'!$A:$A,0)),0,IF(HH$1&lt;INDEX('Valo FX'!$R:$R,MATCH($A32,'Valo FX'!$A:$A,0)),INDEX(Base!$U:$U,MATCH($A32,Base!$A:$A,0)),IF(HH$1=INDEX('Valo FX'!$R:$R,MATCH($A32,'Valo FX'!$A:$A,0)),INDEX(Base!$V:$V,MATCH($A32,Base!$A:$A,0)),0)))</f>
        <v>11.323285</v>
      </c>
      <c r="HI32" s="21">
        <f>IF(HI$1&lt;INDEX('Valo FX'!$Q:$Q,MATCH($A32,'Valo FX'!$A:$A,0)),0,IF(HI$1&lt;INDEX('Valo FX'!$R:$R,MATCH($A32,'Valo FX'!$A:$A,0)),INDEX(Base!$U:$U,MATCH($A32,Base!$A:$A,0)),IF(HI$1=INDEX('Valo FX'!$R:$R,MATCH($A32,'Valo FX'!$A:$A,0)),INDEX(Base!$V:$V,MATCH($A32,Base!$A:$A,0)),0)))</f>
        <v>11.323285</v>
      </c>
      <c r="HJ32" s="21">
        <f>IF(HJ$1&lt;INDEX('Valo FX'!$Q:$Q,MATCH($A32,'Valo FX'!$A:$A,0)),0,IF(HJ$1&lt;INDEX('Valo FX'!$R:$R,MATCH($A32,'Valo FX'!$A:$A,0)),INDEX(Base!$U:$U,MATCH($A32,Base!$A:$A,0)),IF(HJ$1=INDEX('Valo FX'!$R:$R,MATCH($A32,'Valo FX'!$A:$A,0)),INDEX(Base!$V:$V,MATCH($A32,Base!$A:$A,0)),0)))</f>
        <v>11.323285</v>
      </c>
      <c r="HK32" s="21">
        <f>IF(HK$1&lt;INDEX('Valo FX'!$Q:$Q,MATCH($A32,'Valo FX'!$A:$A,0)),0,IF(HK$1&lt;INDEX('Valo FX'!$R:$R,MATCH($A32,'Valo FX'!$A:$A,0)),INDEX(Base!$U:$U,MATCH($A32,Base!$A:$A,0)),IF(HK$1=INDEX('Valo FX'!$R:$R,MATCH($A32,'Valo FX'!$A:$A,0)),INDEX(Base!$V:$V,MATCH($A32,Base!$A:$A,0)),0)))</f>
        <v>11.323285</v>
      </c>
      <c r="HL32" s="21">
        <f>IF(HL$1&lt;INDEX('Valo FX'!$Q:$Q,MATCH($A32,'Valo FX'!$A:$A,0)),0,IF(HL$1&lt;INDEX('Valo FX'!$R:$R,MATCH($A32,'Valo FX'!$A:$A,0)),INDEX(Base!$U:$U,MATCH($A32,Base!$A:$A,0)),IF(HL$1=INDEX('Valo FX'!$R:$R,MATCH($A32,'Valo FX'!$A:$A,0)),INDEX(Base!$V:$V,MATCH($A32,Base!$A:$A,0)),0)))</f>
        <v>11.323285</v>
      </c>
      <c r="HM32" s="21">
        <f>IF(HM$1&lt;INDEX('Valo FX'!$Q:$Q,MATCH($A32,'Valo FX'!$A:$A,0)),0,IF(HM$1&lt;INDEX('Valo FX'!$R:$R,MATCH($A32,'Valo FX'!$A:$A,0)),INDEX(Base!$U:$U,MATCH($A32,Base!$A:$A,0)),IF(HM$1=INDEX('Valo FX'!$R:$R,MATCH($A32,'Valo FX'!$A:$A,0)),INDEX(Base!$V:$V,MATCH($A32,Base!$A:$A,0)),0)))</f>
        <v>11.323285</v>
      </c>
      <c r="HN32" s="21">
        <f>IF(HN$1&lt;INDEX('Valo FX'!$Q:$Q,MATCH($A32,'Valo FX'!$A:$A,0)),0,IF(HN$1&lt;INDEX('Valo FX'!$R:$R,MATCH($A32,'Valo FX'!$A:$A,0)),INDEX(Base!$U:$U,MATCH($A32,Base!$A:$A,0)),IF(HN$1=INDEX('Valo FX'!$R:$R,MATCH($A32,'Valo FX'!$A:$A,0)),INDEX(Base!$V:$V,MATCH($A32,Base!$A:$A,0)),0)))</f>
        <v>11.323285</v>
      </c>
      <c r="HO32" s="21">
        <f>IF(HO$1&lt;INDEX('Valo FX'!$Q:$Q,MATCH($A32,'Valo FX'!$A:$A,0)),0,IF(HO$1&lt;INDEX('Valo FX'!$R:$R,MATCH($A32,'Valo FX'!$A:$A,0)),INDEX(Base!$U:$U,MATCH($A32,Base!$A:$A,0)),IF(HO$1=INDEX('Valo FX'!$R:$R,MATCH($A32,'Valo FX'!$A:$A,0)),INDEX(Base!$V:$V,MATCH($A32,Base!$A:$A,0)),0)))</f>
        <v>11.323285</v>
      </c>
      <c r="HP32" s="21">
        <f>IF(HP$1&lt;INDEX('Valo FX'!$Q:$Q,MATCH($A32,'Valo FX'!$A:$A,0)),0,IF(HP$1&lt;INDEX('Valo FX'!$R:$R,MATCH($A32,'Valo FX'!$A:$A,0)),INDEX(Base!$U:$U,MATCH($A32,Base!$A:$A,0)),IF(HP$1=INDEX('Valo FX'!$R:$R,MATCH($A32,'Valo FX'!$A:$A,0)),INDEX(Base!$V:$V,MATCH($A32,Base!$A:$A,0)),0)))</f>
        <v>11.323285</v>
      </c>
      <c r="HQ32" s="21">
        <f>IF(HQ$1&lt;INDEX('Valo FX'!$Q:$Q,MATCH($A32,'Valo FX'!$A:$A,0)),0,IF(HQ$1&lt;INDEX('Valo FX'!$R:$R,MATCH($A32,'Valo FX'!$A:$A,0)),INDEX(Base!$U:$U,MATCH($A32,Base!$A:$A,0)),IF(HQ$1=INDEX('Valo FX'!$R:$R,MATCH($A32,'Valo FX'!$A:$A,0)),INDEX(Base!$V:$V,MATCH($A32,Base!$A:$A,0)),0)))</f>
        <v>11.323285</v>
      </c>
      <c r="HR32" s="21">
        <f>IF(HR$1&lt;INDEX('Valo FX'!$Q:$Q,MATCH($A32,'Valo FX'!$A:$A,0)),0,IF(HR$1&lt;INDEX('Valo FX'!$R:$R,MATCH($A32,'Valo FX'!$A:$A,0)),INDEX(Base!$U:$U,MATCH($A32,Base!$A:$A,0)),IF(HR$1=INDEX('Valo FX'!$R:$R,MATCH($A32,'Valo FX'!$A:$A,0)),INDEX(Base!$V:$V,MATCH($A32,Base!$A:$A,0)),0)))</f>
        <v>11.323285</v>
      </c>
      <c r="HS32" s="21">
        <f>IF(HS$1&lt;INDEX('Valo FX'!$Q:$Q,MATCH($A32,'Valo FX'!$A:$A,0)),0,IF(HS$1&lt;INDEX('Valo FX'!$R:$R,MATCH($A32,'Valo FX'!$A:$A,0)),INDEX(Base!$U:$U,MATCH($A32,Base!$A:$A,0)),IF(HS$1=INDEX('Valo FX'!$R:$R,MATCH($A32,'Valo FX'!$A:$A,0)),INDEX(Base!$V:$V,MATCH($A32,Base!$A:$A,0)),0)))</f>
        <v>11.323285</v>
      </c>
      <c r="HT32" s="21">
        <f>IF(HT$1&lt;INDEX('Valo FX'!$Q:$Q,MATCH($A32,'Valo FX'!$A:$A,0)),0,IF(HT$1&lt;INDEX('Valo FX'!$R:$R,MATCH($A32,'Valo FX'!$A:$A,0)),INDEX(Base!$U:$U,MATCH($A32,Base!$A:$A,0)),IF(HT$1=INDEX('Valo FX'!$R:$R,MATCH($A32,'Valo FX'!$A:$A,0)),INDEX(Base!$V:$V,MATCH($A32,Base!$A:$A,0)),0)))</f>
        <v>11.323285</v>
      </c>
      <c r="HU32" s="21">
        <f>IF(HU$1&lt;INDEX('Valo FX'!$Q:$Q,MATCH($A32,'Valo FX'!$A:$A,0)),0,IF(HU$1&lt;INDEX('Valo FX'!$R:$R,MATCH($A32,'Valo FX'!$A:$A,0)),INDEX(Base!$U:$U,MATCH($A32,Base!$A:$A,0)),IF(HU$1=INDEX('Valo FX'!$R:$R,MATCH($A32,'Valo FX'!$A:$A,0)),INDEX(Base!$V:$V,MATCH($A32,Base!$A:$A,0)),0)))</f>
        <v>11.323285</v>
      </c>
      <c r="HV32" s="21">
        <f>IF(HV$1&lt;INDEX('Valo FX'!$Q:$Q,MATCH($A32,'Valo FX'!$A:$A,0)),0,IF(HV$1&lt;INDEX('Valo FX'!$R:$R,MATCH($A32,'Valo FX'!$A:$A,0)),INDEX(Base!$U:$U,MATCH($A32,Base!$A:$A,0)),IF(HV$1=INDEX('Valo FX'!$R:$R,MATCH($A32,'Valo FX'!$A:$A,0)),INDEX(Base!$V:$V,MATCH($A32,Base!$A:$A,0)),0)))</f>
        <v>11.323285</v>
      </c>
      <c r="HW32" s="21">
        <f>IF(HW$1&lt;INDEX('Valo FX'!$Q:$Q,MATCH($A32,'Valo FX'!$A:$A,0)),0,IF(HW$1&lt;INDEX('Valo FX'!$R:$R,MATCH($A32,'Valo FX'!$A:$A,0)),INDEX(Base!$U:$U,MATCH($A32,Base!$A:$A,0)),IF(HW$1=INDEX('Valo FX'!$R:$R,MATCH($A32,'Valo FX'!$A:$A,0)),INDEX(Base!$V:$V,MATCH($A32,Base!$A:$A,0)),0)))</f>
        <v>11.323285</v>
      </c>
      <c r="HX32" s="21">
        <f>IF(HX$1&lt;INDEX('Valo FX'!$Q:$Q,MATCH($A32,'Valo FX'!$A:$A,0)),0,IF(HX$1&lt;INDEX('Valo FX'!$R:$R,MATCH($A32,'Valo FX'!$A:$A,0)),INDEX(Base!$U:$U,MATCH($A32,Base!$A:$A,0)),IF(HX$1=INDEX('Valo FX'!$R:$R,MATCH($A32,'Valo FX'!$A:$A,0)),INDEX(Base!$V:$V,MATCH($A32,Base!$A:$A,0)),0)))</f>
        <v>11.323285</v>
      </c>
      <c r="HY32" s="21">
        <f>IF(HY$1&lt;INDEX('Valo FX'!$Q:$Q,MATCH($A32,'Valo FX'!$A:$A,0)),0,IF(HY$1&lt;INDEX('Valo FX'!$R:$R,MATCH($A32,'Valo FX'!$A:$A,0)),INDEX(Base!$U:$U,MATCH($A32,Base!$A:$A,0)),IF(HY$1=INDEX('Valo FX'!$R:$R,MATCH($A32,'Valo FX'!$A:$A,0)),INDEX(Base!$V:$V,MATCH($A32,Base!$A:$A,0)),0)))</f>
        <v>11.323285</v>
      </c>
      <c r="HZ32" s="21">
        <f>IF(HZ$1&lt;INDEX('Valo FX'!$Q:$Q,MATCH($A32,'Valo FX'!$A:$A,0)),0,IF(HZ$1&lt;INDEX('Valo FX'!$R:$R,MATCH($A32,'Valo FX'!$A:$A,0)),INDEX(Base!$U:$U,MATCH($A32,Base!$A:$A,0)),IF(HZ$1=INDEX('Valo FX'!$R:$R,MATCH($A32,'Valo FX'!$A:$A,0)),INDEX(Base!$V:$V,MATCH($A32,Base!$A:$A,0)),0)))</f>
        <v>11.323285</v>
      </c>
      <c r="IA32" s="21">
        <f>IF(IA$1&lt;INDEX('Valo FX'!$Q:$Q,MATCH($A32,'Valo FX'!$A:$A,0)),0,IF(IA$1&lt;INDEX('Valo FX'!$R:$R,MATCH($A32,'Valo FX'!$A:$A,0)),INDEX(Base!$U:$U,MATCH($A32,Base!$A:$A,0)),IF(IA$1=INDEX('Valo FX'!$R:$R,MATCH($A32,'Valo FX'!$A:$A,0)),INDEX(Base!$V:$V,MATCH($A32,Base!$A:$A,0)),0)))</f>
        <v>11.323285</v>
      </c>
      <c r="IB32" s="21">
        <f>IF(IB$1&lt;INDEX('Valo FX'!$Q:$Q,MATCH($A32,'Valo FX'!$A:$A,0)),0,IF(IB$1&lt;INDEX('Valo FX'!$R:$R,MATCH($A32,'Valo FX'!$A:$A,0)),INDEX(Base!$U:$U,MATCH($A32,Base!$A:$A,0)),IF(IB$1=INDEX('Valo FX'!$R:$R,MATCH($A32,'Valo FX'!$A:$A,0)),INDEX(Base!$V:$V,MATCH($A32,Base!$A:$A,0)),0)))</f>
        <v>11.323285</v>
      </c>
      <c r="IC32" s="21">
        <f>IF(IC$1&lt;INDEX('Valo FX'!$Q:$Q,MATCH($A32,'Valo FX'!$A:$A,0)),0,IF(IC$1&lt;INDEX('Valo FX'!$R:$R,MATCH($A32,'Valo FX'!$A:$A,0)),INDEX(Base!$U:$U,MATCH($A32,Base!$A:$A,0)),IF(IC$1=INDEX('Valo FX'!$R:$R,MATCH($A32,'Valo FX'!$A:$A,0)),INDEX(Base!$V:$V,MATCH($A32,Base!$A:$A,0)),0)))</f>
        <v>11.323285</v>
      </c>
      <c r="ID32" s="21">
        <f>IF(ID$1&lt;INDEX('Valo FX'!$Q:$Q,MATCH($A32,'Valo FX'!$A:$A,0)),0,IF(ID$1&lt;INDEX('Valo FX'!$R:$R,MATCH($A32,'Valo FX'!$A:$A,0)),INDEX(Base!$U:$U,MATCH($A32,Base!$A:$A,0)),IF(ID$1=INDEX('Valo FX'!$R:$R,MATCH($A32,'Valo FX'!$A:$A,0)),INDEX(Base!$V:$V,MATCH($A32,Base!$A:$A,0)),0)))</f>
        <v>11.323285</v>
      </c>
      <c r="IE32" s="21">
        <f>IF(IE$1&lt;INDEX('Valo FX'!$Q:$Q,MATCH($A32,'Valo FX'!$A:$A,0)),0,IF(IE$1&lt;INDEX('Valo FX'!$R:$R,MATCH($A32,'Valo FX'!$A:$A,0)),INDEX(Base!$U:$U,MATCH($A32,Base!$A:$A,0)),IF(IE$1=INDEX('Valo FX'!$R:$R,MATCH($A32,'Valo FX'!$A:$A,0)),INDEX(Base!$V:$V,MATCH($A32,Base!$A:$A,0)),0)))</f>
        <v>11.323285</v>
      </c>
      <c r="IF32" s="21">
        <f>IF(IF$1&lt;INDEX('Valo FX'!$Q:$Q,MATCH($A32,'Valo FX'!$A:$A,0)),0,IF(IF$1&lt;INDEX('Valo FX'!$R:$R,MATCH($A32,'Valo FX'!$A:$A,0)),INDEX(Base!$U:$U,MATCH($A32,Base!$A:$A,0)),IF(IF$1=INDEX('Valo FX'!$R:$R,MATCH($A32,'Valo FX'!$A:$A,0)),INDEX(Base!$V:$V,MATCH($A32,Base!$A:$A,0)),0)))</f>
        <v>11.323285</v>
      </c>
      <c r="IG32" s="21">
        <f>IF(IG$1&lt;INDEX('Valo FX'!$Q:$Q,MATCH($A32,'Valo FX'!$A:$A,0)),0,IF(IG$1&lt;INDEX('Valo FX'!$R:$R,MATCH($A32,'Valo FX'!$A:$A,0)),INDEX(Base!$U:$U,MATCH($A32,Base!$A:$A,0)),IF(IG$1=INDEX('Valo FX'!$R:$R,MATCH($A32,'Valo FX'!$A:$A,0)),INDEX(Base!$V:$V,MATCH($A32,Base!$A:$A,0)),0)))</f>
        <v>11.323285</v>
      </c>
      <c r="IH32" s="21">
        <f>IF(IH$1&lt;INDEX('Valo FX'!$Q:$Q,MATCH($A32,'Valo FX'!$A:$A,0)),0,IF(IH$1&lt;INDEX('Valo FX'!$R:$R,MATCH($A32,'Valo FX'!$A:$A,0)),INDEX(Base!$U:$U,MATCH($A32,Base!$A:$A,0)),IF(IH$1=INDEX('Valo FX'!$R:$R,MATCH($A32,'Valo FX'!$A:$A,0)),INDEX(Base!$V:$V,MATCH($A32,Base!$A:$A,0)),0)))</f>
        <v>11.323285</v>
      </c>
      <c r="II32" s="21">
        <f>IF(II$1&lt;INDEX('Valo FX'!$Q:$Q,MATCH($A32,'Valo FX'!$A:$A,0)),0,IF(II$1&lt;INDEX('Valo FX'!$R:$R,MATCH($A32,'Valo FX'!$A:$A,0)),INDEX(Base!$U:$U,MATCH($A32,Base!$A:$A,0)),IF(II$1=INDEX('Valo FX'!$R:$R,MATCH($A32,'Valo FX'!$A:$A,0)),INDEX(Base!$V:$V,MATCH($A32,Base!$A:$A,0)),0)))</f>
        <v>11.323285</v>
      </c>
      <c r="IJ32" s="21">
        <f>IF(IJ$1&lt;INDEX('Valo FX'!$Q:$Q,MATCH($A32,'Valo FX'!$A:$A,0)),0,IF(IJ$1&lt;INDEX('Valo FX'!$R:$R,MATCH($A32,'Valo FX'!$A:$A,0)),INDEX(Base!$U:$U,MATCH($A32,Base!$A:$A,0)),IF(IJ$1=INDEX('Valo FX'!$R:$R,MATCH($A32,'Valo FX'!$A:$A,0)),INDEX(Base!$V:$V,MATCH($A32,Base!$A:$A,0)),0)))</f>
        <v>11.323285</v>
      </c>
      <c r="IK32" s="21">
        <f>IF(IK$1&lt;INDEX('Valo FX'!$Q:$Q,MATCH($A32,'Valo FX'!$A:$A,0)),0,IF(IK$1&lt;INDEX('Valo FX'!$R:$R,MATCH($A32,'Valo FX'!$A:$A,0)),INDEX(Base!$U:$U,MATCH($A32,Base!$A:$A,0)),IF(IK$1=INDEX('Valo FX'!$R:$R,MATCH($A32,'Valo FX'!$A:$A,0)),INDEX(Base!$V:$V,MATCH($A32,Base!$A:$A,0)),0)))</f>
        <v>11.323285</v>
      </c>
      <c r="IL32" s="21">
        <f>IF(IL$1&lt;INDEX('Valo FX'!$Q:$Q,MATCH($A32,'Valo FX'!$A:$A,0)),0,IF(IL$1&lt;INDEX('Valo FX'!$R:$R,MATCH($A32,'Valo FX'!$A:$A,0)),INDEX(Base!$U:$U,MATCH($A32,Base!$A:$A,0)),IF(IL$1=INDEX('Valo FX'!$R:$R,MATCH($A32,'Valo FX'!$A:$A,0)),INDEX(Base!$V:$V,MATCH($A32,Base!$A:$A,0)),0)))</f>
        <v>11.323285</v>
      </c>
      <c r="IM32" s="21">
        <f>IF(IM$1&lt;INDEX('Valo FX'!$Q:$Q,MATCH($A32,'Valo FX'!$A:$A,0)),0,IF(IM$1&lt;INDEX('Valo FX'!$R:$R,MATCH($A32,'Valo FX'!$A:$A,0)),INDEX(Base!$U:$U,MATCH($A32,Base!$A:$A,0)),IF(IM$1=INDEX('Valo FX'!$R:$R,MATCH($A32,'Valo FX'!$A:$A,0)),INDEX(Base!$V:$V,MATCH($A32,Base!$A:$A,0)),0)))</f>
        <v>11.323285</v>
      </c>
      <c r="IN32" s="21">
        <f>IF(IN$1&lt;INDEX('Valo FX'!$Q:$Q,MATCH($A32,'Valo FX'!$A:$A,0)),0,IF(IN$1&lt;INDEX('Valo FX'!$R:$R,MATCH($A32,'Valo FX'!$A:$A,0)),INDEX(Base!$U:$U,MATCH($A32,Base!$A:$A,0)),IF(IN$1=INDEX('Valo FX'!$R:$R,MATCH($A32,'Valo FX'!$A:$A,0)),INDEX(Base!$V:$V,MATCH($A32,Base!$A:$A,0)),0)))</f>
        <v>11.323285</v>
      </c>
      <c r="IO32" s="21">
        <f>IF(IO$1&lt;INDEX('Valo FX'!$Q:$Q,MATCH($A32,'Valo FX'!$A:$A,0)),0,IF(IO$1&lt;INDEX('Valo FX'!$R:$R,MATCH($A32,'Valo FX'!$A:$A,0)),INDEX(Base!$U:$U,MATCH($A32,Base!$A:$A,0)),IF(IO$1=INDEX('Valo FX'!$R:$R,MATCH($A32,'Valo FX'!$A:$A,0)),INDEX(Base!$V:$V,MATCH($A32,Base!$A:$A,0)),0)))</f>
        <v>11.323285</v>
      </c>
      <c r="IP32" s="21">
        <f>IF(IP$1&lt;INDEX('Valo FX'!$Q:$Q,MATCH($A32,'Valo FX'!$A:$A,0)),0,IF(IP$1&lt;INDEX('Valo FX'!$R:$R,MATCH($A32,'Valo FX'!$A:$A,0)),INDEX(Base!$U:$U,MATCH($A32,Base!$A:$A,0)),IF(IP$1=INDEX('Valo FX'!$R:$R,MATCH($A32,'Valo FX'!$A:$A,0)),INDEX(Base!$V:$V,MATCH($A32,Base!$A:$A,0)),0)))</f>
        <v>11.323285</v>
      </c>
      <c r="IQ32" s="21">
        <f>IF(IQ$1&lt;INDEX('Valo FX'!$Q:$Q,MATCH($A32,'Valo FX'!$A:$A,0)),0,IF(IQ$1&lt;INDEX('Valo FX'!$R:$R,MATCH($A32,'Valo FX'!$A:$A,0)),INDEX(Base!$U:$U,MATCH($A32,Base!$A:$A,0)),IF(IQ$1=INDEX('Valo FX'!$R:$R,MATCH($A32,'Valo FX'!$A:$A,0)),INDEX(Base!$V:$V,MATCH($A32,Base!$A:$A,0)),0)))</f>
        <v>11.323285</v>
      </c>
      <c r="IR32" s="21">
        <f>IF(IR$1&lt;INDEX('Valo FX'!$Q:$Q,MATCH($A32,'Valo FX'!$A:$A,0)),0,IF(IR$1&lt;INDEX('Valo FX'!$R:$R,MATCH($A32,'Valo FX'!$A:$A,0)),INDEX(Base!$U:$U,MATCH($A32,Base!$A:$A,0)),IF(IR$1=INDEX('Valo FX'!$R:$R,MATCH($A32,'Valo FX'!$A:$A,0)),INDEX(Base!$V:$V,MATCH($A32,Base!$A:$A,0)),0)))</f>
        <v>11.323285</v>
      </c>
      <c r="IS32" s="21">
        <f>IF(IS$1&lt;INDEX('Valo FX'!$Q:$Q,MATCH($A32,'Valo FX'!$A:$A,0)),0,IF(IS$1&lt;INDEX('Valo FX'!$R:$R,MATCH($A32,'Valo FX'!$A:$A,0)),INDEX(Base!$U:$U,MATCH($A32,Base!$A:$A,0)),IF(IS$1=INDEX('Valo FX'!$R:$R,MATCH($A32,'Valo FX'!$A:$A,0)),INDEX(Base!$V:$V,MATCH($A32,Base!$A:$A,0)),0)))</f>
        <v>11.323285</v>
      </c>
      <c r="IT32" s="21">
        <f>IF(IT$1&lt;INDEX('Valo FX'!$Q:$Q,MATCH($A32,'Valo FX'!$A:$A,0)),0,IF(IT$1&lt;INDEX('Valo FX'!$R:$R,MATCH($A32,'Valo FX'!$A:$A,0)),INDEX(Base!$U:$U,MATCH($A32,Base!$A:$A,0)),IF(IT$1=INDEX('Valo FX'!$R:$R,MATCH($A32,'Valo FX'!$A:$A,0)),INDEX(Base!$V:$V,MATCH($A32,Base!$A:$A,0)),0)))</f>
        <v>11.323285</v>
      </c>
      <c r="IU32" s="21">
        <f>IF(IU$1&lt;INDEX('Valo FX'!$Q:$Q,MATCH($A32,'Valo FX'!$A:$A,0)),0,IF(IU$1&lt;INDEX('Valo FX'!$R:$R,MATCH($A32,'Valo FX'!$A:$A,0)),INDEX(Base!$U:$U,MATCH($A32,Base!$A:$A,0)),IF(IU$1=INDEX('Valo FX'!$R:$R,MATCH($A32,'Valo FX'!$A:$A,0)),INDEX(Base!$V:$V,MATCH($A32,Base!$A:$A,0)),0)))</f>
        <v>11.323285</v>
      </c>
      <c r="IV32" s="21">
        <f>IF(IV$1&lt;INDEX('Valo FX'!$Q:$Q,MATCH($A32,'Valo FX'!$A:$A,0)),0,IF(IV$1&lt;INDEX('Valo FX'!$R:$R,MATCH($A32,'Valo FX'!$A:$A,0)),INDEX(Base!$U:$U,MATCH($A32,Base!$A:$A,0)),IF(IV$1=INDEX('Valo FX'!$R:$R,MATCH($A32,'Valo FX'!$A:$A,0)),INDEX(Base!$V:$V,MATCH($A32,Base!$A:$A,0)),0)))</f>
        <v>11.323285</v>
      </c>
      <c r="IW32" s="21">
        <f>IF(IW$1&lt;INDEX('Valo FX'!$Q:$Q,MATCH($A32,'Valo FX'!$A:$A,0)),0,IF(IW$1&lt;INDEX('Valo FX'!$R:$R,MATCH($A32,'Valo FX'!$A:$A,0)),INDEX(Base!$U:$U,MATCH($A32,Base!$A:$A,0)),IF(IW$1=INDEX('Valo FX'!$R:$R,MATCH($A32,'Valo FX'!$A:$A,0)),INDEX(Base!$V:$V,MATCH($A32,Base!$A:$A,0)),0)))</f>
        <v>11.323285</v>
      </c>
      <c r="IX32" s="21">
        <f>IF(IX$1&lt;INDEX('Valo FX'!$Q:$Q,MATCH($A32,'Valo FX'!$A:$A,0)),0,IF(IX$1&lt;INDEX('Valo FX'!$R:$R,MATCH($A32,'Valo FX'!$A:$A,0)),INDEX(Base!$U:$U,MATCH($A32,Base!$A:$A,0)),IF(IX$1=INDEX('Valo FX'!$R:$R,MATCH($A32,'Valo FX'!$A:$A,0)),INDEX(Base!$V:$V,MATCH($A32,Base!$A:$A,0)),0)))</f>
        <v>11.323285</v>
      </c>
      <c r="IY32" s="21">
        <f>IF(IY$1&lt;INDEX('Valo FX'!$Q:$Q,MATCH($A32,'Valo FX'!$A:$A,0)),0,IF(IY$1&lt;INDEX('Valo FX'!$R:$R,MATCH($A32,'Valo FX'!$A:$A,0)),INDEX(Base!$U:$U,MATCH($A32,Base!$A:$A,0)),IF(IY$1=INDEX('Valo FX'!$R:$R,MATCH($A32,'Valo FX'!$A:$A,0)),INDEX(Base!$V:$V,MATCH($A32,Base!$A:$A,0)),0)))</f>
        <v>11.323285</v>
      </c>
      <c r="IZ32" s="21">
        <f>IF(IZ$1&lt;INDEX('Valo FX'!$Q:$Q,MATCH($A32,'Valo FX'!$A:$A,0)),0,IF(IZ$1&lt;INDEX('Valo FX'!$R:$R,MATCH($A32,'Valo FX'!$A:$A,0)),INDEX(Base!$U:$U,MATCH($A32,Base!$A:$A,0)),IF(IZ$1=INDEX('Valo FX'!$R:$R,MATCH($A32,'Valo FX'!$A:$A,0)),INDEX(Base!$V:$V,MATCH($A32,Base!$A:$A,0)),0)))</f>
        <v>11.323285</v>
      </c>
      <c r="JA32" s="21">
        <f>IF(JA$1&lt;INDEX('Valo FX'!$Q:$Q,MATCH($A32,'Valo FX'!$A:$A,0)),0,IF(JA$1&lt;INDEX('Valo FX'!$R:$R,MATCH($A32,'Valo FX'!$A:$A,0)),INDEX(Base!$U:$U,MATCH($A32,Base!$A:$A,0)),IF(JA$1=INDEX('Valo FX'!$R:$R,MATCH($A32,'Valo FX'!$A:$A,0)),INDEX(Base!$V:$V,MATCH($A32,Base!$A:$A,0)),0)))</f>
        <v>11.323285</v>
      </c>
      <c r="JB32" s="21">
        <f>IF(JB$1&lt;INDEX('Valo FX'!$Q:$Q,MATCH($A32,'Valo FX'!$A:$A,0)),0,IF(JB$1&lt;INDEX('Valo FX'!$R:$R,MATCH($A32,'Valo FX'!$A:$A,0)),INDEX(Base!$U:$U,MATCH($A32,Base!$A:$A,0)),IF(JB$1=INDEX('Valo FX'!$R:$R,MATCH($A32,'Valo FX'!$A:$A,0)),INDEX(Base!$V:$V,MATCH($A32,Base!$A:$A,0)),0)))</f>
        <v>11.323285</v>
      </c>
      <c r="JC32" s="21">
        <f>IF(JC$1&lt;INDEX('Valo FX'!$Q:$Q,MATCH($A32,'Valo FX'!$A:$A,0)),0,IF(JC$1&lt;INDEX('Valo FX'!$R:$R,MATCH($A32,'Valo FX'!$A:$A,0)),INDEX(Base!$U:$U,MATCH($A32,Base!$A:$A,0)),IF(JC$1=INDEX('Valo FX'!$R:$R,MATCH($A32,'Valo FX'!$A:$A,0)),INDEX(Base!$V:$V,MATCH($A32,Base!$A:$A,0)),0)))</f>
        <v>11.323285</v>
      </c>
      <c r="JD32" s="21">
        <f>IF(JD$1&lt;INDEX('Valo FX'!$Q:$Q,MATCH($A32,'Valo FX'!$A:$A,0)),0,IF(JD$1&lt;INDEX('Valo FX'!$R:$R,MATCH($A32,'Valo FX'!$A:$A,0)),INDEX(Base!$U:$U,MATCH($A32,Base!$A:$A,0)),IF(JD$1=INDEX('Valo FX'!$R:$R,MATCH($A32,'Valo FX'!$A:$A,0)),INDEX(Base!$V:$V,MATCH($A32,Base!$A:$A,0)),0)))</f>
        <v>11.323285</v>
      </c>
      <c r="JE32" s="21">
        <f>IF(JE$1&lt;INDEX('Valo FX'!$Q:$Q,MATCH($A32,'Valo FX'!$A:$A,0)),0,IF(JE$1&lt;INDEX('Valo FX'!$R:$R,MATCH($A32,'Valo FX'!$A:$A,0)),INDEX(Base!$U:$U,MATCH($A32,Base!$A:$A,0)),IF(JE$1=INDEX('Valo FX'!$R:$R,MATCH($A32,'Valo FX'!$A:$A,0)),INDEX(Base!$V:$V,MATCH($A32,Base!$A:$A,0)),0)))</f>
        <v>11.323285</v>
      </c>
      <c r="JF32" s="21">
        <f>IF(JF$1&lt;INDEX('Valo FX'!$Q:$Q,MATCH($A32,'Valo FX'!$A:$A,0)),0,IF(JF$1&lt;INDEX('Valo FX'!$R:$R,MATCH($A32,'Valo FX'!$A:$A,0)),INDEX(Base!$U:$U,MATCH($A32,Base!$A:$A,0)),IF(JF$1=INDEX('Valo FX'!$R:$R,MATCH($A32,'Valo FX'!$A:$A,0)),INDEX(Base!$V:$V,MATCH($A32,Base!$A:$A,0)),0)))</f>
        <v>11.323285</v>
      </c>
      <c r="JG32" s="21">
        <f>IF(JG$1&lt;INDEX('Valo FX'!$Q:$Q,MATCH($A32,'Valo FX'!$A:$A,0)),0,IF(JG$1&lt;INDEX('Valo FX'!$R:$R,MATCH($A32,'Valo FX'!$A:$A,0)),INDEX(Base!$U:$U,MATCH($A32,Base!$A:$A,0)),IF(JG$1=INDEX('Valo FX'!$R:$R,MATCH($A32,'Valo FX'!$A:$A,0)),INDEX(Base!$V:$V,MATCH($A32,Base!$A:$A,0)),0)))</f>
        <v>11.323285</v>
      </c>
      <c r="JH32" s="21">
        <f>IF(JH$1&lt;INDEX('Valo FX'!$Q:$Q,MATCH($A32,'Valo FX'!$A:$A,0)),0,IF(JH$1&lt;INDEX('Valo FX'!$R:$R,MATCH($A32,'Valo FX'!$A:$A,0)),INDEX(Base!$U:$U,MATCH($A32,Base!$A:$A,0)),IF(JH$1=INDEX('Valo FX'!$R:$R,MATCH($A32,'Valo FX'!$A:$A,0)),INDEX(Base!$V:$V,MATCH($A32,Base!$A:$A,0)),0)))</f>
        <v>11.323285</v>
      </c>
      <c r="JI32" s="21">
        <f>IF(JI$1&lt;INDEX('Valo FX'!$Q:$Q,MATCH($A32,'Valo FX'!$A:$A,0)),0,IF(JI$1&lt;INDEX('Valo FX'!$R:$R,MATCH($A32,'Valo FX'!$A:$A,0)),INDEX(Base!$U:$U,MATCH($A32,Base!$A:$A,0)),IF(JI$1=INDEX('Valo FX'!$R:$R,MATCH($A32,'Valo FX'!$A:$A,0)),INDEX(Base!$V:$V,MATCH($A32,Base!$A:$A,0)),0)))</f>
        <v>11.323285</v>
      </c>
      <c r="JJ32" s="21">
        <f>IF(JJ$1&lt;INDEX('Valo FX'!$Q:$Q,MATCH($A32,'Valo FX'!$A:$A,0)),0,IF(JJ$1&lt;INDEX('Valo FX'!$R:$R,MATCH($A32,'Valo FX'!$A:$A,0)),INDEX(Base!$U:$U,MATCH($A32,Base!$A:$A,0)),IF(JJ$1=INDEX('Valo FX'!$R:$R,MATCH($A32,'Valo FX'!$A:$A,0)),INDEX(Base!$V:$V,MATCH($A32,Base!$A:$A,0)),0)))</f>
        <v>11.323285</v>
      </c>
      <c r="JK32" s="21">
        <f>IF(JK$1&lt;INDEX('Valo FX'!$Q:$Q,MATCH($A32,'Valo FX'!$A:$A,0)),0,IF(JK$1&lt;INDEX('Valo FX'!$R:$R,MATCH($A32,'Valo FX'!$A:$A,0)),INDEX(Base!$U:$U,MATCH($A32,Base!$A:$A,0)),IF(JK$1=INDEX('Valo FX'!$R:$R,MATCH($A32,'Valo FX'!$A:$A,0)),INDEX(Base!$V:$V,MATCH($A32,Base!$A:$A,0)),0)))</f>
        <v>11.323285</v>
      </c>
      <c r="JL32" s="21">
        <f>IF(JL$1&lt;INDEX('Valo FX'!$Q:$Q,MATCH($A32,'Valo FX'!$A:$A,0)),0,IF(JL$1&lt;INDEX('Valo FX'!$R:$R,MATCH($A32,'Valo FX'!$A:$A,0)),INDEX(Base!$U:$U,MATCH($A32,Base!$A:$A,0)),IF(JL$1=INDEX('Valo FX'!$R:$R,MATCH($A32,'Valo FX'!$A:$A,0)),INDEX(Base!$V:$V,MATCH($A32,Base!$A:$A,0)),0)))</f>
        <v>11.323285</v>
      </c>
      <c r="JM32" s="21">
        <f>IF(JM$1&lt;INDEX('Valo FX'!$Q:$Q,MATCH($A32,'Valo FX'!$A:$A,0)),0,IF(JM$1&lt;INDEX('Valo FX'!$R:$R,MATCH($A32,'Valo FX'!$A:$A,0)),INDEX(Base!$U:$U,MATCH($A32,Base!$A:$A,0)),IF(JM$1=INDEX('Valo FX'!$R:$R,MATCH($A32,'Valo FX'!$A:$A,0)),INDEX(Base!$V:$V,MATCH($A32,Base!$A:$A,0)),0)))</f>
        <v>11.323285</v>
      </c>
      <c r="JN32" s="21">
        <f>IF(JN$1&lt;INDEX('Valo FX'!$Q:$Q,MATCH($A32,'Valo FX'!$A:$A,0)),0,IF(JN$1&lt;INDEX('Valo FX'!$R:$R,MATCH($A32,'Valo FX'!$A:$A,0)),INDEX(Base!$U:$U,MATCH($A32,Base!$A:$A,0)),IF(JN$1=INDEX('Valo FX'!$R:$R,MATCH($A32,'Valo FX'!$A:$A,0)),INDEX(Base!$V:$V,MATCH($A32,Base!$A:$A,0)),0)))</f>
        <v>11.323285</v>
      </c>
      <c r="JO32" s="21">
        <f>IF(JO$1&lt;INDEX('Valo FX'!$Q:$Q,MATCH($A32,'Valo FX'!$A:$A,0)),0,IF(JO$1&lt;INDEX('Valo FX'!$R:$R,MATCH($A32,'Valo FX'!$A:$A,0)),INDEX(Base!$U:$U,MATCH($A32,Base!$A:$A,0)),IF(JO$1=INDEX('Valo FX'!$R:$R,MATCH($A32,'Valo FX'!$A:$A,0)),INDEX(Base!$V:$V,MATCH($A32,Base!$A:$A,0)),0)))</f>
        <v>11.323285</v>
      </c>
      <c r="JP32" s="21">
        <f>IF(JP$1&lt;INDEX('Valo FX'!$Q:$Q,MATCH($A32,'Valo FX'!$A:$A,0)),0,IF(JP$1&lt;INDEX('Valo FX'!$R:$R,MATCH($A32,'Valo FX'!$A:$A,0)),INDEX(Base!$U:$U,MATCH($A32,Base!$A:$A,0)),IF(JP$1=INDEX('Valo FX'!$R:$R,MATCH($A32,'Valo FX'!$A:$A,0)),INDEX(Base!$V:$V,MATCH($A32,Base!$A:$A,0)),0)))</f>
        <v>11.323285</v>
      </c>
      <c r="JQ32" s="21">
        <f>IF(JQ$1&lt;INDEX('Valo FX'!$Q:$Q,MATCH($A32,'Valo FX'!$A:$A,0)),0,IF(JQ$1&lt;INDEX('Valo FX'!$R:$R,MATCH($A32,'Valo FX'!$A:$A,0)),INDEX(Base!$U:$U,MATCH($A32,Base!$A:$A,0)),IF(JQ$1=INDEX('Valo FX'!$R:$R,MATCH($A32,'Valo FX'!$A:$A,0)),INDEX(Base!$V:$V,MATCH($A32,Base!$A:$A,0)),0)))</f>
        <v>11.323285</v>
      </c>
      <c r="JR32" s="21">
        <f>IF(JR$1&lt;INDEX('Valo FX'!$Q:$Q,MATCH($A32,'Valo FX'!$A:$A,0)),0,IF(JR$1&lt;INDEX('Valo FX'!$R:$R,MATCH($A32,'Valo FX'!$A:$A,0)),INDEX(Base!$U:$U,MATCH($A32,Base!$A:$A,0)),IF(JR$1=INDEX('Valo FX'!$R:$R,MATCH($A32,'Valo FX'!$A:$A,0)),INDEX(Base!$V:$V,MATCH($A32,Base!$A:$A,0)),0)))</f>
        <v>11.323285</v>
      </c>
      <c r="JS32" s="21">
        <f>IF(JS$1&lt;INDEX('Valo FX'!$Q:$Q,MATCH($A32,'Valo FX'!$A:$A,0)),0,IF(JS$1&lt;INDEX('Valo FX'!$R:$R,MATCH($A32,'Valo FX'!$A:$A,0)),INDEX(Base!$U:$U,MATCH($A32,Base!$A:$A,0)),IF(JS$1=INDEX('Valo FX'!$R:$R,MATCH($A32,'Valo FX'!$A:$A,0)),INDEX(Base!$V:$V,MATCH($A32,Base!$A:$A,0)),0)))</f>
        <v>11.323285</v>
      </c>
      <c r="JT32" s="21">
        <f>IF(JT$1&lt;INDEX('Valo FX'!$Q:$Q,MATCH($A32,'Valo FX'!$A:$A,0)),0,IF(JT$1&lt;INDEX('Valo FX'!$R:$R,MATCH($A32,'Valo FX'!$A:$A,0)),INDEX(Base!$U:$U,MATCH($A32,Base!$A:$A,0)),IF(JT$1=INDEX('Valo FX'!$R:$R,MATCH($A32,'Valo FX'!$A:$A,0)),INDEX(Base!$V:$V,MATCH($A32,Base!$A:$A,0)),0)))</f>
        <v>11.323285</v>
      </c>
      <c r="JU32" s="21">
        <f>IF(JU$1&lt;INDEX('Valo FX'!$Q:$Q,MATCH($A32,'Valo FX'!$A:$A,0)),0,IF(JU$1&lt;INDEX('Valo FX'!$R:$R,MATCH($A32,'Valo FX'!$A:$A,0)),INDEX(Base!$U:$U,MATCH($A32,Base!$A:$A,0)),IF(JU$1=INDEX('Valo FX'!$R:$R,MATCH($A32,'Valo FX'!$A:$A,0)),INDEX(Base!$V:$V,MATCH($A32,Base!$A:$A,0)),0)))</f>
        <v>11.323285</v>
      </c>
      <c r="JV32" s="21">
        <f>IF(JV$1&lt;INDEX('Valo FX'!$Q:$Q,MATCH($A32,'Valo FX'!$A:$A,0)),0,IF(JV$1&lt;INDEX('Valo FX'!$R:$R,MATCH($A32,'Valo FX'!$A:$A,0)),INDEX(Base!$U:$U,MATCH($A32,Base!$A:$A,0)),IF(JV$1=INDEX('Valo FX'!$R:$R,MATCH($A32,'Valo FX'!$A:$A,0)),INDEX(Base!$V:$V,MATCH($A32,Base!$A:$A,0)),0)))</f>
        <v>11.323285</v>
      </c>
      <c r="JW32" s="21">
        <f>IF(JW$1&lt;INDEX('Valo FX'!$Q:$Q,MATCH($A32,'Valo FX'!$A:$A,0)),0,IF(JW$1&lt;INDEX('Valo FX'!$R:$R,MATCH($A32,'Valo FX'!$A:$A,0)),INDEX(Base!$U:$U,MATCH($A32,Base!$A:$A,0)),IF(JW$1=INDEX('Valo FX'!$R:$R,MATCH($A32,'Valo FX'!$A:$A,0)),INDEX(Base!$V:$V,MATCH($A32,Base!$A:$A,0)),0)))</f>
        <v>11.323285</v>
      </c>
      <c r="JX32" s="21">
        <f>IF(JX$1&lt;INDEX('Valo FX'!$Q:$Q,MATCH($A32,'Valo FX'!$A:$A,0)),0,IF(JX$1&lt;INDEX('Valo FX'!$R:$R,MATCH($A32,'Valo FX'!$A:$A,0)),INDEX(Base!$U:$U,MATCH($A32,Base!$A:$A,0)),IF(JX$1=INDEX('Valo FX'!$R:$R,MATCH($A32,'Valo FX'!$A:$A,0)),INDEX(Base!$V:$V,MATCH($A32,Base!$A:$A,0)),0)))</f>
        <v>11.323285</v>
      </c>
      <c r="JY32" s="21">
        <f>IF(JY$1&lt;INDEX('Valo FX'!$Q:$Q,MATCH($A32,'Valo FX'!$A:$A,0)),0,IF(JY$1&lt;INDEX('Valo FX'!$R:$R,MATCH($A32,'Valo FX'!$A:$A,0)),INDEX(Base!$U:$U,MATCH($A32,Base!$A:$A,0)),IF(JY$1=INDEX('Valo FX'!$R:$R,MATCH($A32,'Valo FX'!$A:$A,0)),INDEX(Base!$V:$V,MATCH($A32,Base!$A:$A,0)),0)))</f>
        <v>11.323285</v>
      </c>
      <c r="JZ32" s="21">
        <f>IF(JZ$1&lt;INDEX('Valo FX'!$Q:$Q,MATCH($A32,'Valo FX'!$A:$A,0)),0,IF(JZ$1&lt;INDEX('Valo FX'!$R:$R,MATCH($A32,'Valo FX'!$A:$A,0)),INDEX(Base!$U:$U,MATCH($A32,Base!$A:$A,0)),IF(JZ$1=INDEX('Valo FX'!$R:$R,MATCH($A32,'Valo FX'!$A:$A,0)),INDEX(Base!$V:$V,MATCH($A32,Base!$A:$A,0)),0)))</f>
        <v>11.323285</v>
      </c>
      <c r="KA32" s="21">
        <f>IF(KA$1&lt;INDEX('Valo FX'!$Q:$Q,MATCH($A32,'Valo FX'!$A:$A,0)),0,IF(KA$1&lt;INDEX('Valo FX'!$R:$R,MATCH($A32,'Valo FX'!$A:$A,0)),INDEX(Base!$U:$U,MATCH($A32,Base!$A:$A,0)),IF(KA$1=INDEX('Valo FX'!$R:$R,MATCH($A32,'Valo FX'!$A:$A,0)),INDEX(Base!$V:$V,MATCH($A32,Base!$A:$A,0)),0)))</f>
        <v>11.323285</v>
      </c>
      <c r="KB32" s="21">
        <f>IF(KB$1&lt;INDEX('Valo FX'!$Q:$Q,MATCH($A32,'Valo FX'!$A:$A,0)),0,IF(KB$1&lt;INDEX('Valo FX'!$R:$R,MATCH($A32,'Valo FX'!$A:$A,0)),INDEX(Base!$U:$U,MATCH($A32,Base!$A:$A,0)),IF(KB$1=INDEX('Valo FX'!$R:$R,MATCH($A32,'Valo FX'!$A:$A,0)),INDEX(Base!$V:$V,MATCH($A32,Base!$A:$A,0)),0)))</f>
        <v>11.323285</v>
      </c>
      <c r="KC32" s="21">
        <f>IF(KC$1&lt;INDEX('Valo FX'!$Q:$Q,MATCH($A32,'Valo FX'!$A:$A,0)),0,IF(KC$1&lt;INDEX('Valo FX'!$R:$R,MATCH($A32,'Valo FX'!$A:$A,0)),INDEX(Base!$U:$U,MATCH($A32,Base!$A:$A,0)),IF(KC$1=INDEX('Valo FX'!$R:$R,MATCH($A32,'Valo FX'!$A:$A,0)),INDEX(Base!$V:$V,MATCH($A32,Base!$A:$A,0)),0)))</f>
        <v>11.323285</v>
      </c>
      <c r="KD32" s="21">
        <f>IF(KD$1&lt;INDEX('Valo FX'!$Q:$Q,MATCH($A32,'Valo FX'!$A:$A,0)),0,IF(KD$1&lt;INDEX('Valo FX'!$R:$R,MATCH($A32,'Valo FX'!$A:$A,0)),INDEX(Base!$U:$U,MATCH($A32,Base!$A:$A,0)),IF(KD$1=INDEX('Valo FX'!$R:$R,MATCH($A32,'Valo FX'!$A:$A,0)),INDEX(Base!$V:$V,MATCH($A32,Base!$A:$A,0)),0)))</f>
        <v>11.323285</v>
      </c>
      <c r="KE32" s="21">
        <f>IF(KE$1&lt;INDEX('Valo FX'!$Q:$Q,MATCH($A32,'Valo FX'!$A:$A,0)),0,IF(KE$1&lt;INDEX('Valo FX'!$R:$R,MATCH($A32,'Valo FX'!$A:$A,0)),INDEX(Base!$U:$U,MATCH($A32,Base!$A:$A,0)),IF(KE$1=INDEX('Valo FX'!$R:$R,MATCH($A32,'Valo FX'!$A:$A,0)),INDEX(Base!$V:$V,MATCH($A32,Base!$A:$A,0)),0)))</f>
        <v>11.323285</v>
      </c>
      <c r="KF32" s="21">
        <f>IF(KF$1&lt;INDEX('Valo FX'!$Q:$Q,MATCH($A32,'Valo FX'!$A:$A,0)),0,IF(KF$1&lt;INDEX('Valo FX'!$R:$R,MATCH($A32,'Valo FX'!$A:$A,0)),INDEX(Base!$U:$U,MATCH($A32,Base!$A:$A,0)),IF(KF$1=INDEX('Valo FX'!$R:$R,MATCH($A32,'Valo FX'!$A:$A,0)),INDEX(Base!$V:$V,MATCH($A32,Base!$A:$A,0)),0)))</f>
        <v>11.323285</v>
      </c>
      <c r="KG32" s="21">
        <f>IF(KG$1&lt;INDEX('Valo FX'!$Q:$Q,MATCH($A32,'Valo FX'!$A:$A,0)),0,IF(KG$1&lt;INDEX('Valo FX'!$R:$R,MATCH($A32,'Valo FX'!$A:$A,0)),INDEX(Base!$U:$U,MATCH($A32,Base!$A:$A,0)),IF(KG$1=INDEX('Valo FX'!$R:$R,MATCH($A32,'Valo FX'!$A:$A,0)),INDEX(Base!$V:$V,MATCH($A32,Base!$A:$A,0)),0)))</f>
        <v>11.323285</v>
      </c>
      <c r="KH32" s="21">
        <f>IF(KH$1&lt;INDEX('Valo FX'!$Q:$Q,MATCH($A32,'Valo FX'!$A:$A,0)),0,IF(KH$1&lt;INDEX('Valo FX'!$R:$R,MATCH($A32,'Valo FX'!$A:$A,0)),INDEX(Base!$U:$U,MATCH($A32,Base!$A:$A,0)),IF(KH$1=INDEX('Valo FX'!$R:$R,MATCH($A32,'Valo FX'!$A:$A,0)),INDEX(Base!$V:$V,MATCH($A32,Base!$A:$A,0)),0)))</f>
        <v>11.323285</v>
      </c>
      <c r="KI32" s="21">
        <f>IF(KI$1&lt;INDEX('Valo FX'!$Q:$Q,MATCH($A32,'Valo FX'!$A:$A,0)),0,IF(KI$1&lt;INDEX('Valo FX'!$R:$R,MATCH($A32,'Valo FX'!$A:$A,0)),INDEX(Base!$U:$U,MATCH($A32,Base!$A:$A,0)),IF(KI$1=INDEX('Valo FX'!$R:$R,MATCH($A32,'Valo FX'!$A:$A,0)),INDEX(Base!$V:$V,MATCH($A32,Base!$A:$A,0)),0)))</f>
        <v>11.323285</v>
      </c>
      <c r="KJ32" s="21">
        <f>IF(KJ$1&lt;INDEX('Valo FX'!$Q:$Q,MATCH($A32,'Valo FX'!$A:$A,0)),0,IF(KJ$1&lt;INDEX('Valo FX'!$R:$R,MATCH($A32,'Valo FX'!$A:$A,0)),INDEX(Base!$U:$U,MATCH($A32,Base!$A:$A,0)),IF(KJ$1=INDEX('Valo FX'!$R:$R,MATCH($A32,'Valo FX'!$A:$A,0)),INDEX(Base!$V:$V,MATCH($A32,Base!$A:$A,0)),0)))</f>
        <v>11.323285</v>
      </c>
      <c r="KK32" s="21">
        <f>IF(KK$1&lt;INDEX('Valo FX'!$Q:$Q,MATCH($A32,'Valo FX'!$A:$A,0)),0,IF(KK$1&lt;INDEX('Valo FX'!$R:$R,MATCH($A32,'Valo FX'!$A:$A,0)),INDEX(Base!$U:$U,MATCH($A32,Base!$A:$A,0)),IF(KK$1=INDEX('Valo FX'!$R:$R,MATCH($A32,'Valo FX'!$A:$A,0)),INDEX(Base!$V:$V,MATCH($A32,Base!$A:$A,0)),0)))</f>
        <v>11.323285</v>
      </c>
      <c r="KL32" s="21">
        <f>IF(KL$1&lt;INDEX('Valo FX'!$Q:$Q,MATCH($A32,'Valo FX'!$A:$A,0)),0,IF(KL$1&lt;INDEX('Valo FX'!$R:$R,MATCH($A32,'Valo FX'!$A:$A,0)),INDEX(Base!$U:$U,MATCH($A32,Base!$A:$A,0)),IF(KL$1=INDEX('Valo FX'!$R:$R,MATCH($A32,'Valo FX'!$A:$A,0)),INDEX(Base!$V:$V,MATCH($A32,Base!$A:$A,0)),0)))</f>
        <v>11.323285</v>
      </c>
      <c r="KM32" s="21">
        <f>IF(KM$1&lt;INDEX('Valo FX'!$Q:$Q,MATCH($A32,'Valo FX'!$A:$A,0)),0,IF(KM$1&lt;INDEX('Valo FX'!$R:$R,MATCH($A32,'Valo FX'!$A:$A,0)),INDEX(Base!$U:$U,MATCH($A32,Base!$A:$A,0)),IF(KM$1=INDEX('Valo FX'!$R:$R,MATCH($A32,'Valo FX'!$A:$A,0)),INDEX(Base!$V:$V,MATCH($A32,Base!$A:$A,0)),0)))</f>
        <v>11.323285</v>
      </c>
      <c r="KN32" s="21">
        <f>IF(KN$1&lt;INDEX('Valo FX'!$Q:$Q,MATCH($A32,'Valo FX'!$A:$A,0)),0,IF(KN$1&lt;INDEX('Valo FX'!$R:$R,MATCH($A32,'Valo FX'!$A:$A,0)),INDEX(Base!$U:$U,MATCH($A32,Base!$A:$A,0)),IF(KN$1=INDEX('Valo FX'!$R:$R,MATCH($A32,'Valo FX'!$A:$A,0)),INDEX(Base!$V:$V,MATCH($A32,Base!$A:$A,0)),0)))</f>
        <v>11.323285</v>
      </c>
      <c r="KO32" s="21">
        <f>IF(KO$1&lt;INDEX('Valo FX'!$Q:$Q,MATCH($A32,'Valo FX'!$A:$A,0)),0,IF(KO$1&lt;INDEX('Valo FX'!$R:$R,MATCH($A32,'Valo FX'!$A:$A,0)),INDEX(Base!$U:$U,MATCH($A32,Base!$A:$A,0)),IF(KO$1=INDEX('Valo FX'!$R:$R,MATCH($A32,'Valo FX'!$A:$A,0)),INDEX(Base!$V:$V,MATCH($A32,Base!$A:$A,0)),0)))</f>
        <v>11.323285</v>
      </c>
      <c r="KP32" s="21">
        <f>IF(KP$1&lt;INDEX('Valo FX'!$Q:$Q,MATCH($A32,'Valo FX'!$A:$A,0)),0,IF(KP$1&lt;INDEX('Valo FX'!$R:$R,MATCH($A32,'Valo FX'!$A:$A,0)),INDEX(Base!$U:$U,MATCH($A32,Base!$A:$A,0)),IF(KP$1=INDEX('Valo FX'!$R:$R,MATCH($A32,'Valo FX'!$A:$A,0)),INDEX(Base!$V:$V,MATCH($A32,Base!$A:$A,0)),0)))</f>
        <v>11.323285</v>
      </c>
      <c r="KQ32" s="21">
        <f>IF(KQ$1&lt;INDEX('Valo FX'!$Q:$Q,MATCH($A32,'Valo FX'!$A:$A,0)),0,IF(KQ$1&lt;INDEX('Valo FX'!$R:$R,MATCH($A32,'Valo FX'!$A:$A,0)),INDEX(Base!$U:$U,MATCH($A32,Base!$A:$A,0)),IF(KQ$1=INDEX('Valo FX'!$R:$R,MATCH($A32,'Valo FX'!$A:$A,0)),INDEX(Base!$V:$V,MATCH($A32,Base!$A:$A,0)),0)))</f>
        <v>11.323285</v>
      </c>
      <c r="KR32" s="21">
        <f>IF(KR$1&lt;INDEX('Valo FX'!$Q:$Q,MATCH($A32,'Valo FX'!$A:$A,0)),0,IF(KR$1&lt;INDEX('Valo FX'!$R:$R,MATCH($A32,'Valo FX'!$A:$A,0)),INDEX(Base!$U:$U,MATCH($A32,Base!$A:$A,0)),IF(KR$1=INDEX('Valo FX'!$R:$R,MATCH($A32,'Valo FX'!$A:$A,0)),INDEX(Base!$V:$V,MATCH($A32,Base!$A:$A,0)),0)))</f>
        <v>11.323285</v>
      </c>
      <c r="KS32" s="21">
        <f>IF(KS$1&lt;INDEX('Valo FX'!$Q:$Q,MATCH($A32,'Valo FX'!$A:$A,0)),0,IF(KS$1&lt;INDEX('Valo FX'!$R:$R,MATCH($A32,'Valo FX'!$A:$A,0)),INDEX(Base!$U:$U,MATCH($A32,Base!$A:$A,0)),IF(KS$1=INDEX('Valo FX'!$R:$R,MATCH($A32,'Valo FX'!$A:$A,0)),INDEX(Base!$V:$V,MATCH($A32,Base!$A:$A,0)),0)))</f>
        <v>11.323285</v>
      </c>
      <c r="KT32" s="21">
        <f>IF(KT$1&lt;INDEX('Valo FX'!$Q:$Q,MATCH($A32,'Valo FX'!$A:$A,0)),0,IF(KT$1&lt;INDEX('Valo FX'!$R:$R,MATCH($A32,'Valo FX'!$A:$A,0)),INDEX(Base!$U:$U,MATCH($A32,Base!$A:$A,0)),IF(KT$1=INDEX('Valo FX'!$R:$R,MATCH($A32,'Valo FX'!$A:$A,0)),INDEX(Base!$V:$V,MATCH($A32,Base!$A:$A,0)),0)))</f>
        <v>11.323285</v>
      </c>
      <c r="KU32" s="21">
        <f>IF(KU$1&lt;INDEX('Valo FX'!$Q:$Q,MATCH($A32,'Valo FX'!$A:$A,0)),0,IF(KU$1&lt;INDEX('Valo FX'!$R:$R,MATCH($A32,'Valo FX'!$A:$A,0)),INDEX(Base!$U:$U,MATCH($A32,Base!$A:$A,0)),IF(KU$1=INDEX('Valo FX'!$R:$R,MATCH($A32,'Valo FX'!$A:$A,0)),INDEX(Base!$V:$V,MATCH($A32,Base!$A:$A,0)),0)))</f>
        <v>11.323285</v>
      </c>
      <c r="KV32" s="21">
        <f>IF(KV$1&lt;INDEX('Valo FX'!$Q:$Q,MATCH($A32,'Valo FX'!$A:$A,0)),0,IF(KV$1&lt;INDEX('Valo FX'!$R:$R,MATCH($A32,'Valo FX'!$A:$A,0)),INDEX(Base!$U:$U,MATCH($A32,Base!$A:$A,0)),IF(KV$1=INDEX('Valo FX'!$R:$R,MATCH($A32,'Valo FX'!$A:$A,0)),INDEX(Base!$V:$V,MATCH($A32,Base!$A:$A,0)),0)))</f>
        <v>11.323285</v>
      </c>
      <c r="KW32" s="21">
        <f>IF(KW$1&lt;INDEX('Valo FX'!$Q:$Q,MATCH($A32,'Valo FX'!$A:$A,0)),0,IF(KW$1&lt;INDEX('Valo FX'!$R:$R,MATCH($A32,'Valo FX'!$A:$A,0)),INDEX(Base!$U:$U,MATCH($A32,Base!$A:$A,0)),IF(KW$1=INDEX('Valo FX'!$R:$R,MATCH($A32,'Valo FX'!$A:$A,0)),INDEX(Base!$V:$V,MATCH($A32,Base!$A:$A,0)),0)))</f>
        <v>11.323285</v>
      </c>
      <c r="KX32" s="21">
        <f>IF(KX$1&lt;INDEX('Valo FX'!$Q:$Q,MATCH($A32,'Valo FX'!$A:$A,0)),0,IF(KX$1&lt;INDEX('Valo FX'!$R:$R,MATCH($A32,'Valo FX'!$A:$A,0)),INDEX(Base!$U:$U,MATCH($A32,Base!$A:$A,0)),IF(KX$1=INDEX('Valo FX'!$R:$R,MATCH($A32,'Valo FX'!$A:$A,0)),INDEX(Base!$V:$V,MATCH($A32,Base!$A:$A,0)),0)))</f>
        <v>11.323285</v>
      </c>
      <c r="KY32" s="21">
        <f>IF(KY$1&lt;INDEX('Valo FX'!$Q:$Q,MATCH($A32,'Valo FX'!$A:$A,0)),0,IF(KY$1&lt;INDEX('Valo FX'!$R:$R,MATCH($A32,'Valo FX'!$A:$A,0)),INDEX(Base!$U:$U,MATCH($A32,Base!$A:$A,0)),IF(KY$1=INDEX('Valo FX'!$R:$R,MATCH($A32,'Valo FX'!$A:$A,0)),INDEX(Base!$V:$V,MATCH($A32,Base!$A:$A,0)),0)))</f>
        <v>11.323285</v>
      </c>
      <c r="KZ32" s="21">
        <f>IF(KZ$1&lt;INDEX('Valo FX'!$Q:$Q,MATCH($A32,'Valo FX'!$A:$A,0)),0,IF(KZ$1&lt;INDEX('Valo FX'!$R:$R,MATCH($A32,'Valo FX'!$A:$A,0)),INDEX(Base!$U:$U,MATCH($A32,Base!$A:$A,0)),IF(KZ$1=INDEX('Valo FX'!$R:$R,MATCH($A32,'Valo FX'!$A:$A,0)),INDEX(Base!$V:$V,MATCH($A32,Base!$A:$A,0)),0)))</f>
        <v>11.323285</v>
      </c>
      <c r="LA32" s="21">
        <f>IF(LA$1&lt;INDEX('Valo FX'!$Q:$Q,MATCH($A32,'Valo FX'!$A:$A,0)),0,IF(LA$1&lt;INDEX('Valo FX'!$R:$R,MATCH($A32,'Valo FX'!$A:$A,0)),INDEX(Base!$U:$U,MATCH($A32,Base!$A:$A,0)),IF(LA$1=INDEX('Valo FX'!$R:$R,MATCH($A32,'Valo FX'!$A:$A,0)),INDEX(Base!$V:$V,MATCH($A32,Base!$A:$A,0)),0)))</f>
        <v>11.323285</v>
      </c>
      <c r="LB32" s="21">
        <f>IF(LB$1&lt;INDEX('Valo FX'!$Q:$Q,MATCH($A32,'Valo FX'!$A:$A,0)),0,IF(LB$1&lt;INDEX('Valo FX'!$R:$R,MATCH($A32,'Valo FX'!$A:$A,0)),INDEX(Base!$U:$U,MATCH($A32,Base!$A:$A,0)),IF(LB$1=INDEX('Valo FX'!$R:$R,MATCH($A32,'Valo FX'!$A:$A,0)),INDEX(Base!$V:$V,MATCH($A32,Base!$A:$A,0)),0)))</f>
        <v>11.323285</v>
      </c>
      <c r="LC32" s="21">
        <f>IF(LC$1&lt;INDEX('Valo FX'!$Q:$Q,MATCH($A32,'Valo FX'!$A:$A,0)),0,IF(LC$1&lt;INDEX('Valo FX'!$R:$R,MATCH($A32,'Valo FX'!$A:$A,0)),INDEX(Base!$U:$U,MATCH($A32,Base!$A:$A,0)),IF(LC$1=INDEX('Valo FX'!$R:$R,MATCH($A32,'Valo FX'!$A:$A,0)),INDEX(Base!$V:$V,MATCH($A32,Base!$A:$A,0)),0)))</f>
        <v>11.010225999999999</v>
      </c>
      <c r="LD32" s="21">
        <f>IF(LD$1&lt;INDEX('Valo FX'!$Q:$Q,MATCH($A32,'Valo FX'!$A:$A,0)),0,IF(LD$1&lt;INDEX('Valo FX'!$R:$R,MATCH($A32,'Valo FX'!$A:$A,0)),INDEX(Base!$U:$U,MATCH($A32,Base!$A:$A,0)),IF(LD$1=INDEX('Valo FX'!$R:$R,MATCH($A32,'Valo FX'!$A:$A,0)),INDEX(Base!$V:$V,MATCH($A32,Base!$A:$A,0)),0)))</f>
        <v>0</v>
      </c>
      <c r="LE32" s="21">
        <f>IF(LE$1&lt;INDEX('Valo FX'!$Q:$Q,MATCH($A32,'Valo FX'!$A:$A,0)),0,IF(LE$1&lt;INDEX('Valo FX'!$R:$R,MATCH($A32,'Valo FX'!$A:$A,0)),INDEX(Base!$U:$U,MATCH($A32,Base!$A:$A,0)),IF(LE$1=INDEX('Valo FX'!$R:$R,MATCH($A32,'Valo FX'!$A:$A,0)),INDEX(Base!$V:$V,MATCH($A32,Base!$A:$A,0)),0)))</f>
        <v>0</v>
      </c>
      <c r="LF32" s="21">
        <f>IF(LF$1&lt;INDEX('Valo FX'!$Q:$Q,MATCH($A32,'Valo FX'!$A:$A,0)),0,IF(LF$1&lt;INDEX('Valo FX'!$R:$R,MATCH($A32,'Valo FX'!$A:$A,0)),INDEX(Base!$U:$U,MATCH($A32,Base!$A:$A,0)),IF(LF$1=INDEX('Valo FX'!$R:$R,MATCH($A32,'Valo FX'!$A:$A,0)),INDEX(Base!$V:$V,MATCH($A32,Base!$A:$A,0)),0)))</f>
        <v>0</v>
      </c>
      <c r="LG32" s="21">
        <f>IF(LG$1&lt;INDEX('Valo FX'!$Q:$Q,MATCH($A32,'Valo FX'!$A:$A,0)),0,IF(LG$1&lt;INDEX('Valo FX'!$R:$R,MATCH($A32,'Valo FX'!$A:$A,0)),INDEX(Base!$U:$U,MATCH($A32,Base!$A:$A,0)),IF(LG$1=INDEX('Valo FX'!$R:$R,MATCH($A32,'Valo FX'!$A:$A,0)),INDEX(Base!$V:$V,MATCH($A32,Base!$A:$A,0)),0)))</f>
        <v>0</v>
      </c>
      <c r="LH32" s="21">
        <f>IF(LH$1&lt;INDEX('Valo FX'!$Q:$Q,MATCH($A32,'Valo FX'!$A:$A,0)),0,IF(LH$1&lt;INDEX('Valo FX'!$R:$R,MATCH($A32,'Valo FX'!$A:$A,0)),INDEX(Base!$U:$U,MATCH($A32,Base!$A:$A,0)),IF(LH$1=INDEX('Valo FX'!$R:$R,MATCH($A32,'Valo FX'!$A:$A,0)),INDEX(Base!$V:$V,MATCH($A32,Base!$A:$A,0)),0)))</f>
        <v>0</v>
      </c>
      <c r="LI32" s="21">
        <f>IF(LI$1&lt;INDEX('Valo FX'!$Q:$Q,MATCH($A32,'Valo FX'!$A:$A,0)),0,IF(LI$1&lt;INDEX('Valo FX'!$R:$R,MATCH($A32,'Valo FX'!$A:$A,0)),INDEX(Base!$U:$U,MATCH($A32,Base!$A:$A,0)),IF(LI$1=INDEX('Valo FX'!$R:$R,MATCH($A32,'Valo FX'!$A:$A,0)),INDEX(Base!$V:$V,MATCH($A32,Base!$A:$A,0)),0)))</f>
        <v>0</v>
      </c>
      <c r="LJ32" s="21">
        <f>IF(LJ$1&lt;INDEX('Valo FX'!$Q:$Q,MATCH($A32,'Valo FX'!$A:$A,0)),0,IF(LJ$1&lt;INDEX('Valo FX'!$R:$R,MATCH($A32,'Valo FX'!$A:$A,0)),INDEX(Base!$U:$U,MATCH($A32,Base!$A:$A,0)),IF(LJ$1=INDEX('Valo FX'!$R:$R,MATCH($A32,'Valo FX'!$A:$A,0)),INDEX(Base!$V:$V,MATCH($A32,Base!$A:$A,0)),0)))</f>
        <v>0</v>
      </c>
      <c r="LK32" s="21">
        <f>IF(LK$1&lt;INDEX('Valo FX'!$Q:$Q,MATCH($A32,'Valo FX'!$A:$A,0)),0,IF(LK$1&lt;INDEX('Valo FX'!$R:$R,MATCH($A32,'Valo FX'!$A:$A,0)),INDEX(Base!$U:$U,MATCH($A32,Base!$A:$A,0)),IF(LK$1=INDEX('Valo FX'!$R:$R,MATCH($A32,'Valo FX'!$A:$A,0)),INDEX(Base!$V:$V,MATCH($A32,Base!$A:$A,0)),0)))</f>
        <v>0</v>
      </c>
      <c r="LL32" s="21">
        <f>IF(LL$1&lt;INDEX('Valo FX'!$Q:$Q,MATCH($A32,'Valo FX'!$A:$A,0)),0,IF(LL$1&lt;INDEX('Valo FX'!$R:$R,MATCH($A32,'Valo FX'!$A:$A,0)),INDEX(Base!$U:$U,MATCH($A32,Base!$A:$A,0)),IF(LL$1=INDEX('Valo FX'!$R:$R,MATCH($A32,'Valo FX'!$A:$A,0)),INDEX(Base!$V:$V,MATCH($A32,Base!$A:$A,0)),0)))</f>
        <v>0</v>
      </c>
      <c r="LM32" s="21">
        <f>IF(LM$1&lt;INDEX('Valo FX'!$Q:$Q,MATCH($A32,'Valo FX'!$A:$A,0)),0,IF(LM$1&lt;INDEX('Valo FX'!$R:$R,MATCH($A32,'Valo FX'!$A:$A,0)),INDEX(Base!$U:$U,MATCH($A32,Base!$A:$A,0)),IF(LM$1=INDEX('Valo FX'!$R:$R,MATCH($A32,'Valo FX'!$A:$A,0)),INDEX(Base!$V:$V,MATCH($A32,Base!$A:$A,0)),0)))</f>
        <v>0</v>
      </c>
      <c r="LN32" s="21">
        <f>IF(LN$1&lt;INDEX('Valo FX'!$Q:$Q,MATCH($A32,'Valo FX'!$A:$A,0)),0,IF(LN$1&lt;INDEX('Valo FX'!$R:$R,MATCH($A32,'Valo FX'!$A:$A,0)),INDEX(Base!$U:$U,MATCH($A32,Base!$A:$A,0)),IF(LN$1=INDEX('Valo FX'!$R:$R,MATCH($A32,'Valo FX'!$A:$A,0)),INDEX(Base!$V:$V,MATCH($A32,Base!$A:$A,0)),0)))</f>
        <v>0</v>
      </c>
      <c r="LO32" s="21">
        <f>IF(LO$1&lt;INDEX('Valo FX'!$Q:$Q,MATCH($A32,'Valo FX'!$A:$A,0)),0,IF(LO$1&lt;INDEX('Valo FX'!$R:$R,MATCH($A32,'Valo FX'!$A:$A,0)),INDEX(Base!$U:$U,MATCH($A32,Base!$A:$A,0)),IF(LO$1=INDEX('Valo FX'!$R:$R,MATCH($A32,'Valo FX'!$A:$A,0)),INDEX(Base!$V:$V,MATCH($A32,Base!$A:$A,0)),0)))</f>
        <v>0</v>
      </c>
      <c r="LP32" s="21">
        <f>IF(LP$1&lt;INDEX('Valo FX'!$Q:$Q,MATCH($A32,'Valo FX'!$A:$A,0)),0,IF(LP$1&lt;INDEX('Valo FX'!$R:$R,MATCH($A32,'Valo FX'!$A:$A,0)),INDEX(Base!$U:$U,MATCH($A32,Base!$A:$A,0)),IF(LP$1=INDEX('Valo FX'!$R:$R,MATCH($A32,'Valo FX'!$A:$A,0)),INDEX(Base!$V:$V,MATCH($A32,Base!$A:$A,0)),0)))</f>
        <v>0</v>
      </c>
      <c r="LQ32" s="21">
        <f>IF(LQ$1&lt;INDEX('Valo FX'!$Q:$Q,MATCH($A32,'Valo FX'!$A:$A,0)),0,IF(LQ$1&lt;INDEX('Valo FX'!$R:$R,MATCH($A32,'Valo FX'!$A:$A,0)),INDEX(Base!$U:$U,MATCH($A32,Base!$A:$A,0)),IF(LQ$1=INDEX('Valo FX'!$R:$R,MATCH($A32,'Valo FX'!$A:$A,0)),INDEX(Base!$V:$V,MATCH($A32,Base!$A:$A,0)),0)))</f>
        <v>0</v>
      </c>
      <c r="LR32" s="21">
        <f>IF(LR$1&lt;INDEX('Valo FX'!$Q:$Q,MATCH($A32,'Valo FX'!$A:$A,0)),0,IF(LR$1&lt;INDEX('Valo FX'!$R:$R,MATCH($A32,'Valo FX'!$A:$A,0)),INDEX(Base!$U:$U,MATCH($A32,Base!$A:$A,0)),IF(LR$1=INDEX('Valo FX'!$R:$R,MATCH($A32,'Valo FX'!$A:$A,0)),INDEX(Base!$V:$V,MATCH($A32,Base!$A:$A,0)),0)))</f>
        <v>0</v>
      </c>
      <c r="LS32" s="21">
        <f>IF(LS$1&lt;INDEX('Valo FX'!$Q:$Q,MATCH($A32,'Valo FX'!$A:$A,0)),0,IF(LS$1&lt;INDEX('Valo FX'!$R:$R,MATCH($A32,'Valo FX'!$A:$A,0)),INDEX(Base!$U:$U,MATCH($A32,Base!$A:$A,0)),IF(LS$1=INDEX('Valo FX'!$R:$R,MATCH($A32,'Valo FX'!$A:$A,0)),INDEX(Base!$V:$V,MATCH($A32,Base!$A:$A,0)),0)))</f>
        <v>0</v>
      </c>
      <c r="LT32" s="21">
        <f>IF(LT$1&lt;INDEX('Valo FX'!$Q:$Q,MATCH($A32,'Valo FX'!$A:$A,0)),0,IF(LT$1&lt;INDEX('Valo FX'!$R:$R,MATCH($A32,'Valo FX'!$A:$A,0)),INDEX(Base!$U:$U,MATCH($A32,Base!$A:$A,0)),IF(LT$1=INDEX('Valo FX'!$R:$R,MATCH($A32,'Valo FX'!$A:$A,0)),INDEX(Base!$V:$V,MATCH($A32,Base!$A:$A,0)),0)))</f>
        <v>0</v>
      </c>
      <c r="LU32" s="21">
        <f>IF(LU$1&lt;INDEX('Valo FX'!$Q:$Q,MATCH($A32,'Valo FX'!$A:$A,0)),0,IF(LU$1&lt;INDEX('Valo FX'!$R:$R,MATCH($A32,'Valo FX'!$A:$A,0)),INDEX(Base!$U:$U,MATCH($A32,Base!$A:$A,0)),IF(LU$1=INDEX('Valo FX'!$R:$R,MATCH($A32,'Valo FX'!$A:$A,0)),INDEX(Base!$V:$V,MATCH($A32,Base!$A:$A,0)),0)))</f>
        <v>0</v>
      </c>
      <c r="LV32" s="21">
        <f>IF(LV$1&lt;INDEX('Valo FX'!$Q:$Q,MATCH($A32,'Valo FX'!$A:$A,0)),0,IF(LV$1&lt;INDEX('Valo FX'!$R:$R,MATCH($A32,'Valo FX'!$A:$A,0)),INDEX(Base!$U:$U,MATCH($A32,Base!$A:$A,0)),IF(LV$1=INDEX('Valo FX'!$R:$R,MATCH($A32,'Valo FX'!$A:$A,0)),INDEX(Base!$V:$V,MATCH($A32,Base!$A:$A,0)),0)))</f>
        <v>0</v>
      </c>
      <c r="LW32" s="21">
        <f>IF(LW$1&lt;INDEX('Valo FX'!$Q:$Q,MATCH($A32,'Valo FX'!$A:$A,0)),0,IF(LW$1&lt;INDEX('Valo FX'!$R:$R,MATCH($A32,'Valo FX'!$A:$A,0)),INDEX(Base!$U:$U,MATCH($A32,Base!$A:$A,0)),IF(LW$1=INDEX('Valo FX'!$R:$R,MATCH($A32,'Valo FX'!$A:$A,0)),INDEX(Base!$V:$V,MATCH($A32,Base!$A:$A,0)),0)))</f>
        <v>0</v>
      </c>
      <c r="LX32" s="21">
        <f>IF(LX$1&lt;INDEX('Valo FX'!$Q:$Q,MATCH($A32,'Valo FX'!$A:$A,0)),0,IF(LX$1&lt;INDEX('Valo FX'!$R:$R,MATCH($A32,'Valo FX'!$A:$A,0)),INDEX(Base!$U:$U,MATCH($A32,Base!$A:$A,0)),IF(LX$1=INDEX('Valo FX'!$R:$R,MATCH($A32,'Valo FX'!$A:$A,0)),INDEX(Base!$V:$V,MATCH($A32,Base!$A:$A,0)),0)))</f>
        <v>0</v>
      </c>
      <c r="LY32" s="21">
        <f>IF(LY$1&lt;INDEX('Valo FX'!$Q:$Q,MATCH($A32,'Valo FX'!$A:$A,0)),0,IF(LY$1&lt;INDEX('Valo FX'!$R:$R,MATCH($A32,'Valo FX'!$A:$A,0)),INDEX(Base!$U:$U,MATCH($A32,Base!$A:$A,0)),IF(LY$1=INDEX('Valo FX'!$R:$R,MATCH($A32,'Valo FX'!$A:$A,0)),INDEX(Base!$V:$V,MATCH($A32,Base!$A:$A,0)),0)))</f>
        <v>0</v>
      </c>
      <c r="LZ32" s="21">
        <f>IF(LZ$1&lt;INDEX('Valo FX'!$Q:$Q,MATCH($A32,'Valo FX'!$A:$A,0)),0,IF(LZ$1&lt;INDEX('Valo FX'!$R:$R,MATCH($A32,'Valo FX'!$A:$A,0)),INDEX(Base!$U:$U,MATCH($A32,Base!$A:$A,0)),IF(LZ$1=INDEX('Valo FX'!$R:$R,MATCH($A32,'Valo FX'!$A:$A,0)),INDEX(Base!$V:$V,MATCH($A32,Base!$A:$A,0)),0)))</f>
        <v>0</v>
      </c>
      <c r="MA32" s="21">
        <f>IF(MA$1&lt;INDEX('Valo FX'!$Q:$Q,MATCH($A32,'Valo FX'!$A:$A,0)),0,IF(MA$1&lt;INDEX('Valo FX'!$R:$R,MATCH($A32,'Valo FX'!$A:$A,0)),INDEX(Base!$U:$U,MATCH($A32,Base!$A:$A,0)),IF(MA$1=INDEX('Valo FX'!$R:$R,MATCH($A32,'Valo FX'!$A:$A,0)),INDEX(Base!$V:$V,MATCH($A32,Base!$A:$A,0)),0)))</f>
        <v>0</v>
      </c>
      <c r="MB32" s="21">
        <f>IF(MB$1&lt;INDEX('Valo FX'!$Q:$Q,MATCH($A32,'Valo FX'!$A:$A,0)),0,IF(MB$1&lt;INDEX('Valo FX'!$R:$R,MATCH($A32,'Valo FX'!$A:$A,0)),INDEX(Base!$U:$U,MATCH($A32,Base!$A:$A,0)),IF(MB$1=INDEX('Valo FX'!$R:$R,MATCH($A32,'Valo FX'!$A:$A,0)),INDEX(Base!$V:$V,MATCH($A32,Base!$A:$A,0)),0)))</f>
        <v>0</v>
      </c>
      <c r="MC32" s="21">
        <f>IF(MC$1&lt;INDEX('Valo FX'!$Q:$Q,MATCH($A32,'Valo FX'!$A:$A,0)),0,IF(MC$1&lt;INDEX('Valo FX'!$R:$R,MATCH($A32,'Valo FX'!$A:$A,0)),INDEX(Base!$U:$U,MATCH($A32,Base!$A:$A,0)),IF(MC$1=INDEX('Valo FX'!$R:$R,MATCH($A32,'Valo FX'!$A:$A,0)),INDEX(Base!$V:$V,MATCH($A32,Base!$A:$A,0)),0)))</f>
        <v>0</v>
      </c>
      <c r="MD32" s="21">
        <f>IF(MD$1&lt;INDEX('Valo FX'!$Q:$Q,MATCH($A32,'Valo FX'!$A:$A,0)),0,IF(MD$1&lt;INDEX('Valo FX'!$R:$R,MATCH($A32,'Valo FX'!$A:$A,0)),INDEX(Base!$U:$U,MATCH($A32,Base!$A:$A,0)),IF(MD$1=INDEX('Valo FX'!$R:$R,MATCH($A32,'Valo FX'!$A:$A,0)),INDEX(Base!$V:$V,MATCH($A32,Base!$A:$A,0)),0)))</f>
        <v>0</v>
      </c>
      <c r="ME32" s="21">
        <f>IF(ME$1&lt;INDEX('Valo FX'!$Q:$Q,MATCH($A32,'Valo FX'!$A:$A,0)),0,IF(ME$1&lt;INDEX('Valo FX'!$R:$R,MATCH($A32,'Valo FX'!$A:$A,0)),INDEX(Base!$U:$U,MATCH($A32,Base!$A:$A,0)),IF(ME$1=INDEX('Valo FX'!$R:$R,MATCH($A32,'Valo FX'!$A:$A,0)),INDEX(Base!$V:$V,MATCH($A32,Base!$A:$A,0)),0)))</f>
        <v>0</v>
      </c>
      <c r="MF32" s="21">
        <f>IF(MF$1&lt;INDEX('Valo FX'!$Q:$Q,MATCH($A32,'Valo FX'!$A:$A,0)),0,IF(MF$1&lt;INDEX('Valo FX'!$R:$R,MATCH($A32,'Valo FX'!$A:$A,0)),INDEX(Base!$U:$U,MATCH($A32,Base!$A:$A,0)),IF(MF$1=INDEX('Valo FX'!$R:$R,MATCH($A32,'Valo FX'!$A:$A,0)),INDEX(Base!$V:$V,MATCH($A32,Base!$A:$A,0)),0)))</f>
        <v>0</v>
      </c>
      <c r="MG32" s="21">
        <f>IF(MG$1&lt;INDEX('Valo FX'!$Q:$Q,MATCH($A32,'Valo FX'!$A:$A,0)),0,IF(MG$1&lt;INDEX('Valo FX'!$R:$R,MATCH($A32,'Valo FX'!$A:$A,0)),INDEX(Base!$U:$U,MATCH($A32,Base!$A:$A,0)),IF(MG$1=INDEX('Valo FX'!$R:$R,MATCH($A32,'Valo FX'!$A:$A,0)),INDEX(Base!$V:$V,MATCH($A32,Base!$A:$A,0)),0)))</f>
        <v>0</v>
      </c>
      <c r="MH32" s="21">
        <f>IF(MH$1&lt;INDEX('Valo FX'!$Q:$Q,MATCH($A32,'Valo FX'!$A:$A,0)),0,IF(MH$1&lt;INDEX('Valo FX'!$R:$R,MATCH($A32,'Valo FX'!$A:$A,0)),INDEX(Base!$U:$U,MATCH($A32,Base!$A:$A,0)),IF(MH$1=INDEX('Valo FX'!$R:$R,MATCH($A32,'Valo FX'!$A:$A,0)),INDEX(Base!$V:$V,MATCH($A32,Base!$A:$A,0)),0)))</f>
        <v>0</v>
      </c>
      <c r="MI32" s="21">
        <f>IF(MI$1&lt;INDEX('Valo FX'!$Q:$Q,MATCH($A32,'Valo FX'!$A:$A,0)),0,IF(MI$1&lt;INDEX('Valo FX'!$R:$R,MATCH($A32,'Valo FX'!$A:$A,0)),INDEX(Base!$U:$U,MATCH($A32,Base!$A:$A,0)),IF(MI$1=INDEX('Valo FX'!$R:$R,MATCH($A32,'Valo FX'!$A:$A,0)),INDEX(Base!$V:$V,MATCH($A32,Base!$A:$A,0)),0)))</f>
        <v>0</v>
      </c>
      <c r="MJ32" s="21">
        <f>IF(MJ$1&lt;INDEX('Valo FX'!$Q:$Q,MATCH($A32,'Valo FX'!$A:$A,0)),0,IF(MJ$1&lt;INDEX('Valo FX'!$R:$R,MATCH($A32,'Valo FX'!$A:$A,0)),INDEX(Base!$U:$U,MATCH($A32,Base!$A:$A,0)),IF(MJ$1=INDEX('Valo FX'!$R:$R,MATCH($A32,'Valo FX'!$A:$A,0)),INDEX(Base!$V:$V,MATCH($A32,Base!$A:$A,0)),0)))</f>
        <v>0</v>
      </c>
      <c r="MK32" s="21">
        <f>IF(MK$1&lt;INDEX('Valo FX'!$Q:$Q,MATCH($A32,'Valo FX'!$A:$A,0)),0,IF(MK$1&lt;INDEX('Valo FX'!$R:$R,MATCH($A32,'Valo FX'!$A:$A,0)),INDEX(Base!$U:$U,MATCH($A32,Base!$A:$A,0)),IF(MK$1=INDEX('Valo FX'!$R:$R,MATCH($A32,'Valo FX'!$A:$A,0)),INDEX(Base!$V:$V,MATCH($A32,Base!$A:$A,0)),0)))</f>
        <v>0</v>
      </c>
      <c r="ML32" s="21">
        <f>IF(ML$1&lt;INDEX('Valo FX'!$Q:$Q,MATCH($A32,'Valo FX'!$A:$A,0)),0,IF(ML$1&lt;INDEX('Valo FX'!$R:$R,MATCH($A32,'Valo FX'!$A:$A,0)),INDEX(Base!$U:$U,MATCH($A32,Base!$A:$A,0)),IF(ML$1=INDEX('Valo FX'!$R:$R,MATCH($A32,'Valo FX'!$A:$A,0)),INDEX(Base!$V:$V,MATCH($A32,Base!$A:$A,0)),0)))</f>
        <v>0</v>
      </c>
      <c r="MM32" s="21">
        <f>IF(MM$1&lt;INDEX('Valo FX'!$Q:$Q,MATCH($A32,'Valo FX'!$A:$A,0)),0,IF(MM$1&lt;INDEX('Valo FX'!$R:$R,MATCH($A32,'Valo FX'!$A:$A,0)),INDEX(Base!$U:$U,MATCH($A32,Base!$A:$A,0)),IF(MM$1=INDEX('Valo FX'!$R:$R,MATCH($A32,'Valo FX'!$A:$A,0)),INDEX(Base!$V:$V,MATCH($A32,Base!$A:$A,0)),0)))</f>
        <v>0</v>
      </c>
      <c r="MN32" s="21">
        <f>IF(MN$1&lt;INDEX('Valo FX'!$Q:$Q,MATCH($A32,'Valo FX'!$A:$A,0)),0,IF(MN$1&lt;INDEX('Valo FX'!$R:$R,MATCH($A32,'Valo FX'!$A:$A,0)),INDEX(Base!$U:$U,MATCH($A32,Base!$A:$A,0)),IF(MN$1=INDEX('Valo FX'!$R:$R,MATCH($A32,'Valo FX'!$A:$A,0)),INDEX(Base!$V:$V,MATCH($A32,Base!$A:$A,0)),0)))</f>
        <v>0</v>
      </c>
      <c r="MO32" s="21">
        <f>IF(MO$1&lt;INDEX('Valo FX'!$Q:$Q,MATCH($A32,'Valo FX'!$A:$A,0)),0,IF(MO$1&lt;INDEX('Valo FX'!$R:$R,MATCH($A32,'Valo FX'!$A:$A,0)),INDEX(Base!$U:$U,MATCH($A32,Base!$A:$A,0)),IF(MO$1=INDEX('Valo FX'!$R:$R,MATCH($A32,'Valo FX'!$A:$A,0)),INDEX(Base!$V:$V,MATCH($A32,Base!$A:$A,0)),0)))</f>
        <v>0</v>
      </c>
      <c r="MP32" s="21">
        <f>IF(MP$1&lt;INDEX('Valo FX'!$Q:$Q,MATCH($A32,'Valo FX'!$A:$A,0)),0,IF(MP$1&lt;INDEX('Valo FX'!$R:$R,MATCH($A32,'Valo FX'!$A:$A,0)),INDEX(Base!$U:$U,MATCH($A32,Base!$A:$A,0)),IF(MP$1=INDEX('Valo FX'!$R:$R,MATCH($A32,'Valo FX'!$A:$A,0)),INDEX(Base!$V:$V,MATCH($A32,Base!$A:$A,0)),0)))</f>
        <v>0</v>
      </c>
      <c r="MQ32" s="21">
        <f>IF(MQ$1&lt;INDEX('Valo FX'!$Q:$Q,MATCH($A32,'Valo FX'!$A:$A,0)),0,IF(MQ$1&lt;INDEX('Valo FX'!$R:$R,MATCH($A32,'Valo FX'!$A:$A,0)),INDEX(Base!$U:$U,MATCH($A32,Base!$A:$A,0)),IF(MQ$1=INDEX('Valo FX'!$R:$R,MATCH($A32,'Valo FX'!$A:$A,0)),INDEX(Base!$V:$V,MATCH($A32,Base!$A:$A,0)),0)))</f>
        <v>0</v>
      </c>
      <c r="MR32" s="21">
        <f>IF(MR$1&lt;INDEX('Valo FX'!$Q:$Q,MATCH($A32,'Valo FX'!$A:$A,0)),0,IF(MR$1&lt;INDEX('Valo FX'!$R:$R,MATCH($A32,'Valo FX'!$A:$A,0)),INDEX(Base!$U:$U,MATCH($A32,Base!$A:$A,0)),IF(MR$1=INDEX('Valo FX'!$R:$R,MATCH($A32,'Valo FX'!$A:$A,0)),INDEX(Base!$V:$V,MATCH($A32,Base!$A:$A,0)),0)))</f>
        <v>0</v>
      </c>
      <c r="MS32" s="21">
        <f>IF(MS$1&lt;INDEX('Valo FX'!$Q:$Q,MATCH($A32,'Valo FX'!$A:$A,0)),0,IF(MS$1&lt;INDEX('Valo FX'!$R:$R,MATCH($A32,'Valo FX'!$A:$A,0)),INDEX(Base!$U:$U,MATCH($A32,Base!$A:$A,0)),IF(MS$1=INDEX('Valo FX'!$R:$R,MATCH($A32,'Valo FX'!$A:$A,0)),INDEX(Base!$V:$V,MATCH($A32,Base!$A:$A,0)),0)))</f>
        <v>0</v>
      </c>
      <c r="MT32" s="21">
        <f>IF(MT$1&lt;INDEX('Valo FX'!$Q:$Q,MATCH($A32,'Valo FX'!$A:$A,0)),0,IF(MT$1&lt;INDEX('Valo FX'!$R:$R,MATCH($A32,'Valo FX'!$A:$A,0)),INDEX(Base!$U:$U,MATCH($A32,Base!$A:$A,0)),IF(MT$1=INDEX('Valo FX'!$R:$R,MATCH($A32,'Valo FX'!$A:$A,0)),INDEX(Base!$V:$V,MATCH($A32,Base!$A:$A,0)),0)))</f>
        <v>0</v>
      </c>
      <c r="MU32" s="21">
        <f>IF(MU$1&lt;INDEX('Valo FX'!$Q:$Q,MATCH($A32,'Valo FX'!$A:$A,0)),0,IF(MU$1&lt;INDEX('Valo FX'!$R:$R,MATCH($A32,'Valo FX'!$A:$A,0)),INDEX(Base!$U:$U,MATCH($A32,Base!$A:$A,0)),IF(MU$1=INDEX('Valo FX'!$R:$R,MATCH($A32,'Valo FX'!$A:$A,0)),INDEX(Base!$V:$V,MATCH($A32,Base!$A:$A,0)),0)))</f>
        <v>0</v>
      </c>
      <c r="MV32" s="21">
        <f>IF(MV$1&lt;INDEX('Valo FX'!$Q:$Q,MATCH($A32,'Valo FX'!$A:$A,0)),0,IF(MV$1&lt;INDEX('Valo FX'!$R:$R,MATCH($A32,'Valo FX'!$A:$A,0)),INDEX(Base!$U:$U,MATCH($A32,Base!$A:$A,0)),IF(MV$1=INDEX('Valo FX'!$R:$R,MATCH($A32,'Valo FX'!$A:$A,0)),INDEX(Base!$V:$V,MATCH($A32,Base!$A:$A,0)),0)))</f>
        <v>0</v>
      </c>
      <c r="MW32" s="21">
        <f>IF(MW$1&lt;INDEX('Valo FX'!$Q:$Q,MATCH($A32,'Valo FX'!$A:$A,0)),0,IF(MW$1&lt;INDEX('Valo FX'!$R:$R,MATCH($A32,'Valo FX'!$A:$A,0)),INDEX(Base!$U:$U,MATCH($A32,Base!$A:$A,0)),IF(MW$1=INDEX('Valo FX'!$R:$R,MATCH($A32,'Valo FX'!$A:$A,0)),INDEX(Base!$V:$V,MATCH($A32,Base!$A:$A,0)),0)))</f>
        <v>0</v>
      </c>
      <c r="MX32" s="21">
        <f>IF(MX$1&lt;INDEX('Valo FX'!$Q:$Q,MATCH($A32,'Valo FX'!$A:$A,0)),0,IF(MX$1&lt;INDEX('Valo FX'!$R:$R,MATCH($A32,'Valo FX'!$A:$A,0)),INDEX(Base!$U:$U,MATCH($A32,Base!$A:$A,0)),IF(MX$1=INDEX('Valo FX'!$R:$R,MATCH($A32,'Valo FX'!$A:$A,0)),INDEX(Base!$V:$V,MATCH($A32,Base!$A:$A,0)),0)))</f>
        <v>0</v>
      </c>
      <c r="MY32" s="21">
        <f>IF(MY$1&lt;INDEX('Valo FX'!$Q:$Q,MATCH($A32,'Valo FX'!$A:$A,0)),0,IF(MY$1&lt;INDEX('Valo FX'!$R:$R,MATCH($A32,'Valo FX'!$A:$A,0)),INDEX(Base!$U:$U,MATCH($A32,Base!$A:$A,0)),IF(MY$1=INDEX('Valo FX'!$R:$R,MATCH($A32,'Valo FX'!$A:$A,0)),INDEX(Base!$V:$V,MATCH($A32,Base!$A:$A,0)),0)))</f>
        <v>0</v>
      </c>
    </row>
    <row r="33" spans="1:363" x14ac:dyDescent="0.25">
      <c r="A33" s="7">
        <f t="shared" si="12"/>
        <v>31</v>
      </c>
      <c r="B33" s="59">
        <f>-'Valo FX'!T34</f>
        <v>-1995.2211364487</v>
      </c>
      <c r="C33" s="21">
        <f>IF(C$1&lt;INDEX('Valo FX'!$Q:$Q,MATCH($A33,'Valo FX'!$A:$A,0)),0,IF(C$1&lt;INDEX('Valo FX'!$R:$R,MATCH($A33,'Valo FX'!$A:$A,0)),INDEX(Base!$U:$U,MATCH($A33,Base!$A:$A,0)),IF(C$1=INDEX('Valo FX'!$R:$R,MATCH($A33,'Valo FX'!$A:$A,0)),INDEX(Base!$V:$V,MATCH($A33,Base!$A:$A,0)),0)))</f>
        <v>0</v>
      </c>
      <c r="D33" s="21">
        <f>IF(D$1&lt;INDEX('Valo FX'!$Q:$Q,MATCH($A33,'Valo FX'!$A:$A,0)),0,IF(D$1&lt;INDEX('Valo FX'!$R:$R,MATCH($A33,'Valo FX'!$A:$A,0)),INDEX(Base!$U:$U,MATCH($A33,Base!$A:$A,0)),IF(D$1=INDEX('Valo FX'!$R:$R,MATCH($A33,'Valo FX'!$A:$A,0)),INDEX(Base!$V:$V,MATCH($A33,Base!$A:$A,0)),0)))</f>
        <v>0</v>
      </c>
      <c r="E33" s="21">
        <f>IF(E$1&lt;INDEX('Valo FX'!$Q:$Q,MATCH($A33,'Valo FX'!$A:$A,0)),0,IF(E$1&lt;INDEX('Valo FX'!$R:$R,MATCH($A33,'Valo FX'!$A:$A,0)),INDEX(Base!$U:$U,MATCH($A33,Base!$A:$A,0)),IF(E$1=INDEX('Valo FX'!$R:$R,MATCH($A33,'Valo FX'!$A:$A,0)),INDEX(Base!$V:$V,MATCH($A33,Base!$A:$A,0)),0)))</f>
        <v>0</v>
      </c>
      <c r="F33" s="21">
        <f>IF(F$1&lt;INDEX('Valo FX'!$Q:$Q,MATCH($A33,'Valo FX'!$A:$A,0)),0,IF(F$1&lt;INDEX('Valo FX'!$R:$R,MATCH($A33,'Valo FX'!$A:$A,0)),INDEX(Base!$U:$U,MATCH($A33,Base!$A:$A,0)),IF(F$1=INDEX('Valo FX'!$R:$R,MATCH($A33,'Valo FX'!$A:$A,0)),INDEX(Base!$V:$V,MATCH($A33,Base!$A:$A,0)),0)))</f>
        <v>0</v>
      </c>
      <c r="G33" s="21">
        <f>IF(G$1&lt;INDEX('Valo FX'!$Q:$Q,MATCH($A33,'Valo FX'!$A:$A,0)),0,IF(G$1&lt;INDEX('Valo FX'!$R:$R,MATCH($A33,'Valo FX'!$A:$A,0)),INDEX(Base!$U:$U,MATCH($A33,Base!$A:$A,0)),IF(G$1=INDEX('Valo FX'!$R:$R,MATCH($A33,'Valo FX'!$A:$A,0)),INDEX(Base!$V:$V,MATCH($A33,Base!$A:$A,0)),0)))</f>
        <v>0</v>
      </c>
      <c r="H33" s="21">
        <f>IF(H$1&lt;INDEX('Valo FX'!$Q:$Q,MATCH($A33,'Valo FX'!$A:$A,0)),0,IF(H$1&lt;INDEX('Valo FX'!$R:$R,MATCH($A33,'Valo FX'!$A:$A,0)),INDEX(Base!$U:$U,MATCH($A33,Base!$A:$A,0)),IF(H$1=INDEX('Valo FX'!$R:$R,MATCH($A33,'Valo FX'!$A:$A,0)),INDEX(Base!$V:$V,MATCH($A33,Base!$A:$A,0)),0)))</f>
        <v>0</v>
      </c>
      <c r="I33" s="21">
        <f>IF(I$1&lt;INDEX('Valo FX'!$Q:$Q,MATCH($A33,'Valo FX'!$A:$A,0)),0,IF(I$1&lt;INDEX('Valo FX'!$R:$R,MATCH($A33,'Valo FX'!$A:$A,0)),INDEX(Base!$U:$U,MATCH($A33,Base!$A:$A,0)),IF(I$1=INDEX('Valo FX'!$R:$R,MATCH($A33,'Valo FX'!$A:$A,0)),INDEX(Base!$V:$V,MATCH($A33,Base!$A:$A,0)),0)))</f>
        <v>13.67018</v>
      </c>
      <c r="J33" s="21">
        <f>IF(J$1&lt;INDEX('Valo FX'!$Q:$Q,MATCH($A33,'Valo FX'!$A:$A,0)),0,IF(J$1&lt;INDEX('Valo FX'!$R:$R,MATCH($A33,'Valo FX'!$A:$A,0)),INDEX(Base!$U:$U,MATCH($A33,Base!$A:$A,0)),IF(J$1=INDEX('Valo FX'!$R:$R,MATCH($A33,'Valo FX'!$A:$A,0)),INDEX(Base!$V:$V,MATCH($A33,Base!$A:$A,0)),0)))</f>
        <v>13.67018</v>
      </c>
      <c r="K33" s="21">
        <f>IF(K$1&lt;INDEX('Valo FX'!$Q:$Q,MATCH($A33,'Valo FX'!$A:$A,0)),0,IF(K$1&lt;INDEX('Valo FX'!$R:$R,MATCH($A33,'Valo FX'!$A:$A,0)),INDEX(Base!$U:$U,MATCH($A33,Base!$A:$A,0)),IF(K$1=INDEX('Valo FX'!$R:$R,MATCH($A33,'Valo FX'!$A:$A,0)),INDEX(Base!$V:$V,MATCH($A33,Base!$A:$A,0)),0)))</f>
        <v>13.67018</v>
      </c>
      <c r="L33" s="21">
        <f>IF(L$1&lt;INDEX('Valo FX'!$Q:$Q,MATCH($A33,'Valo FX'!$A:$A,0)),0,IF(L$1&lt;INDEX('Valo FX'!$R:$R,MATCH($A33,'Valo FX'!$A:$A,0)),INDEX(Base!$U:$U,MATCH($A33,Base!$A:$A,0)),IF(L$1=INDEX('Valo FX'!$R:$R,MATCH($A33,'Valo FX'!$A:$A,0)),INDEX(Base!$V:$V,MATCH($A33,Base!$A:$A,0)),0)))</f>
        <v>13.67018</v>
      </c>
      <c r="M33" s="21">
        <f>IF(M$1&lt;INDEX('Valo FX'!$Q:$Q,MATCH($A33,'Valo FX'!$A:$A,0)),0,IF(M$1&lt;INDEX('Valo FX'!$R:$R,MATCH($A33,'Valo FX'!$A:$A,0)),INDEX(Base!$U:$U,MATCH($A33,Base!$A:$A,0)),IF(M$1=INDEX('Valo FX'!$R:$R,MATCH($A33,'Valo FX'!$A:$A,0)),INDEX(Base!$V:$V,MATCH($A33,Base!$A:$A,0)),0)))</f>
        <v>13.67018</v>
      </c>
      <c r="N33" s="21">
        <f>IF(N$1&lt;INDEX('Valo FX'!$Q:$Q,MATCH($A33,'Valo FX'!$A:$A,0)),0,IF(N$1&lt;INDEX('Valo FX'!$R:$R,MATCH($A33,'Valo FX'!$A:$A,0)),INDEX(Base!$U:$U,MATCH($A33,Base!$A:$A,0)),IF(N$1=INDEX('Valo FX'!$R:$R,MATCH($A33,'Valo FX'!$A:$A,0)),INDEX(Base!$V:$V,MATCH($A33,Base!$A:$A,0)),0)))</f>
        <v>13.67018</v>
      </c>
      <c r="O33" s="21">
        <f>IF(O$1&lt;INDEX('Valo FX'!$Q:$Q,MATCH($A33,'Valo FX'!$A:$A,0)),0,IF(O$1&lt;INDEX('Valo FX'!$R:$R,MATCH($A33,'Valo FX'!$A:$A,0)),INDEX(Base!$U:$U,MATCH($A33,Base!$A:$A,0)),IF(O$1=INDEX('Valo FX'!$R:$R,MATCH($A33,'Valo FX'!$A:$A,0)),INDEX(Base!$V:$V,MATCH($A33,Base!$A:$A,0)),0)))</f>
        <v>13.67018</v>
      </c>
      <c r="P33" s="21">
        <f>IF(P$1&lt;INDEX('Valo FX'!$Q:$Q,MATCH($A33,'Valo FX'!$A:$A,0)),0,IF(P$1&lt;INDEX('Valo FX'!$R:$R,MATCH($A33,'Valo FX'!$A:$A,0)),INDEX(Base!$U:$U,MATCH($A33,Base!$A:$A,0)),IF(P$1=INDEX('Valo FX'!$R:$R,MATCH($A33,'Valo FX'!$A:$A,0)),INDEX(Base!$V:$V,MATCH($A33,Base!$A:$A,0)),0)))</f>
        <v>13.67018</v>
      </c>
      <c r="Q33" s="21">
        <f>IF(Q$1&lt;INDEX('Valo FX'!$Q:$Q,MATCH($A33,'Valo FX'!$A:$A,0)),0,IF(Q$1&lt;INDEX('Valo FX'!$R:$R,MATCH($A33,'Valo FX'!$A:$A,0)),INDEX(Base!$U:$U,MATCH($A33,Base!$A:$A,0)),IF(Q$1=INDEX('Valo FX'!$R:$R,MATCH($A33,'Valo FX'!$A:$A,0)),INDEX(Base!$V:$V,MATCH($A33,Base!$A:$A,0)),0)))</f>
        <v>13.67018</v>
      </c>
      <c r="R33" s="21">
        <f>IF(R$1&lt;INDEX('Valo FX'!$Q:$Q,MATCH($A33,'Valo FX'!$A:$A,0)),0,IF(R$1&lt;INDEX('Valo FX'!$R:$R,MATCH($A33,'Valo FX'!$A:$A,0)),INDEX(Base!$U:$U,MATCH($A33,Base!$A:$A,0)),IF(R$1=INDEX('Valo FX'!$R:$R,MATCH($A33,'Valo FX'!$A:$A,0)),INDEX(Base!$V:$V,MATCH($A33,Base!$A:$A,0)),0)))</f>
        <v>13.67018</v>
      </c>
      <c r="S33" s="21">
        <f>IF(S$1&lt;INDEX('Valo FX'!$Q:$Q,MATCH($A33,'Valo FX'!$A:$A,0)),0,IF(S$1&lt;INDEX('Valo FX'!$R:$R,MATCH($A33,'Valo FX'!$A:$A,0)),INDEX(Base!$U:$U,MATCH($A33,Base!$A:$A,0)),IF(S$1=INDEX('Valo FX'!$R:$R,MATCH($A33,'Valo FX'!$A:$A,0)),INDEX(Base!$V:$V,MATCH($A33,Base!$A:$A,0)),0)))</f>
        <v>13.67018</v>
      </c>
      <c r="T33" s="21">
        <f>IF(T$1&lt;INDEX('Valo FX'!$Q:$Q,MATCH($A33,'Valo FX'!$A:$A,0)),0,IF(T$1&lt;INDEX('Valo FX'!$R:$R,MATCH($A33,'Valo FX'!$A:$A,0)),INDEX(Base!$U:$U,MATCH($A33,Base!$A:$A,0)),IF(T$1=INDEX('Valo FX'!$R:$R,MATCH($A33,'Valo FX'!$A:$A,0)),INDEX(Base!$V:$V,MATCH($A33,Base!$A:$A,0)),0)))</f>
        <v>13.67018</v>
      </c>
      <c r="U33" s="21">
        <f>IF(U$1&lt;INDEX('Valo FX'!$Q:$Q,MATCH($A33,'Valo FX'!$A:$A,0)),0,IF(U$1&lt;INDEX('Valo FX'!$R:$R,MATCH($A33,'Valo FX'!$A:$A,0)),INDEX(Base!$U:$U,MATCH($A33,Base!$A:$A,0)),IF(U$1=INDEX('Valo FX'!$R:$R,MATCH($A33,'Valo FX'!$A:$A,0)),INDEX(Base!$V:$V,MATCH($A33,Base!$A:$A,0)),0)))</f>
        <v>13.67018</v>
      </c>
      <c r="V33" s="21">
        <f>IF(V$1&lt;INDEX('Valo FX'!$Q:$Q,MATCH($A33,'Valo FX'!$A:$A,0)),0,IF(V$1&lt;INDEX('Valo FX'!$R:$R,MATCH($A33,'Valo FX'!$A:$A,0)),INDEX(Base!$U:$U,MATCH($A33,Base!$A:$A,0)),IF(V$1=INDEX('Valo FX'!$R:$R,MATCH($A33,'Valo FX'!$A:$A,0)),INDEX(Base!$V:$V,MATCH($A33,Base!$A:$A,0)),0)))</f>
        <v>13.67018</v>
      </c>
      <c r="W33" s="21">
        <f>IF(W$1&lt;INDEX('Valo FX'!$Q:$Q,MATCH($A33,'Valo FX'!$A:$A,0)),0,IF(W$1&lt;INDEX('Valo FX'!$R:$R,MATCH($A33,'Valo FX'!$A:$A,0)),INDEX(Base!$U:$U,MATCH($A33,Base!$A:$A,0)),IF(W$1=INDEX('Valo FX'!$R:$R,MATCH($A33,'Valo FX'!$A:$A,0)),INDEX(Base!$V:$V,MATCH($A33,Base!$A:$A,0)),0)))</f>
        <v>13.67018</v>
      </c>
      <c r="X33" s="21">
        <f>IF(X$1&lt;INDEX('Valo FX'!$Q:$Q,MATCH($A33,'Valo FX'!$A:$A,0)),0,IF(X$1&lt;INDEX('Valo FX'!$R:$R,MATCH($A33,'Valo FX'!$A:$A,0)),INDEX(Base!$U:$U,MATCH($A33,Base!$A:$A,0)),IF(X$1=INDEX('Valo FX'!$R:$R,MATCH($A33,'Valo FX'!$A:$A,0)),INDEX(Base!$V:$V,MATCH($A33,Base!$A:$A,0)),0)))</f>
        <v>13.67018</v>
      </c>
      <c r="Y33" s="21">
        <f>IF(Y$1&lt;INDEX('Valo FX'!$Q:$Q,MATCH($A33,'Valo FX'!$A:$A,0)),0,IF(Y$1&lt;INDEX('Valo FX'!$R:$R,MATCH($A33,'Valo FX'!$A:$A,0)),INDEX(Base!$U:$U,MATCH($A33,Base!$A:$A,0)),IF(Y$1=INDEX('Valo FX'!$R:$R,MATCH($A33,'Valo FX'!$A:$A,0)),INDEX(Base!$V:$V,MATCH($A33,Base!$A:$A,0)),0)))</f>
        <v>13.67018</v>
      </c>
      <c r="Z33" s="21">
        <f>IF(Z$1&lt;INDEX('Valo FX'!$Q:$Q,MATCH($A33,'Valo FX'!$A:$A,0)),0,IF(Z$1&lt;INDEX('Valo FX'!$R:$R,MATCH($A33,'Valo FX'!$A:$A,0)),INDEX(Base!$U:$U,MATCH($A33,Base!$A:$A,0)),IF(Z$1=INDEX('Valo FX'!$R:$R,MATCH($A33,'Valo FX'!$A:$A,0)),INDEX(Base!$V:$V,MATCH($A33,Base!$A:$A,0)),0)))</f>
        <v>13.67018</v>
      </c>
      <c r="AA33" s="21">
        <f>IF(AA$1&lt;INDEX('Valo FX'!$Q:$Q,MATCH($A33,'Valo FX'!$A:$A,0)),0,IF(AA$1&lt;INDEX('Valo FX'!$R:$R,MATCH($A33,'Valo FX'!$A:$A,0)),INDEX(Base!$U:$U,MATCH($A33,Base!$A:$A,0)),IF(AA$1=INDEX('Valo FX'!$R:$R,MATCH($A33,'Valo FX'!$A:$A,0)),INDEX(Base!$V:$V,MATCH($A33,Base!$A:$A,0)),0)))</f>
        <v>13.67018</v>
      </c>
      <c r="AB33" s="21">
        <f>IF(AB$1&lt;INDEX('Valo FX'!$Q:$Q,MATCH($A33,'Valo FX'!$A:$A,0)),0,IF(AB$1&lt;INDEX('Valo FX'!$R:$R,MATCH($A33,'Valo FX'!$A:$A,0)),INDEX(Base!$U:$U,MATCH($A33,Base!$A:$A,0)),IF(AB$1=INDEX('Valo FX'!$R:$R,MATCH($A33,'Valo FX'!$A:$A,0)),INDEX(Base!$V:$V,MATCH($A33,Base!$A:$A,0)),0)))</f>
        <v>13.67018</v>
      </c>
      <c r="AC33" s="21">
        <f>IF(AC$1&lt;INDEX('Valo FX'!$Q:$Q,MATCH($A33,'Valo FX'!$A:$A,0)),0,IF(AC$1&lt;INDEX('Valo FX'!$R:$R,MATCH($A33,'Valo FX'!$A:$A,0)),INDEX(Base!$U:$U,MATCH($A33,Base!$A:$A,0)),IF(AC$1=INDEX('Valo FX'!$R:$R,MATCH($A33,'Valo FX'!$A:$A,0)),INDEX(Base!$V:$V,MATCH($A33,Base!$A:$A,0)),0)))</f>
        <v>13.67018</v>
      </c>
      <c r="AD33" s="21">
        <f>IF(AD$1&lt;INDEX('Valo FX'!$Q:$Q,MATCH($A33,'Valo FX'!$A:$A,0)),0,IF(AD$1&lt;INDEX('Valo FX'!$R:$R,MATCH($A33,'Valo FX'!$A:$A,0)),INDEX(Base!$U:$U,MATCH($A33,Base!$A:$A,0)),IF(AD$1=INDEX('Valo FX'!$R:$R,MATCH($A33,'Valo FX'!$A:$A,0)),INDEX(Base!$V:$V,MATCH($A33,Base!$A:$A,0)),0)))</f>
        <v>13.67018</v>
      </c>
      <c r="AE33" s="21">
        <f>IF(AE$1&lt;INDEX('Valo FX'!$Q:$Q,MATCH($A33,'Valo FX'!$A:$A,0)),0,IF(AE$1&lt;INDEX('Valo FX'!$R:$R,MATCH($A33,'Valo FX'!$A:$A,0)),INDEX(Base!$U:$U,MATCH($A33,Base!$A:$A,0)),IF(AE$1=INDEX('Valo FX'!$R:$R,MATCH($A33,'Valo FX'!$A:$A,0)),INDEX(Base!$V:$V,MATCH($A33,Base!$A:$A,0)),0)))</f>
        <v>13.67018</v>
      </c>
      <c r="AF33" s="21">
        <f>IF(AF$1&lt;INDEX('Valo FX'!$Q:$Q,MATCH($A33,'Valo FX'!$A:$A,0)),0,IF(AF$1&lt;INDEX('Valo FX'!$R:$R,MATCH($A33,'Valo FX'!$A:$A,0)),INDEX(Base!$U:$U,MATCH($A33,Base!$A:$A,0)),IF(AF$1=INDEX('Valo FX'!$R:$R,MATCH($A33,'Valo FX'!$A:$A,0)),INDEX(Base!$V:$V,MATCH($A33,Base!$A:$A,0)),0)))</f>
        <v>13.67018</v>
      </c>
      <c r="AG33" s="21">
        <f>IF(AG$1&lt;INDEX('Valo FX'!$Q:$Q,MATCH($A33,'Valo FX'!$A:$A,0)),0,IF(AG$1&lt;INDEX('Valo FX'!$R:$R,MATCH($A33,'Valo FX'!$A:$A,0)),INDEX(Base!$U:$U,MATCH($A33,Base!$A:$A,0)),IF(AG$1=INDEX('Valo FX'!$R:$R,MATCH($A33,'Valo FX'!$A:$A,0)),INDEX(Base!$V:$V,MATCH($A33,Base!$A:$A,0)),0)))</f>
        <v>13.67018</v>
      </c>
      <c r="AH33" s="21">
        <f>IF(AH$1&lt;INDEX('Valo FX'!$Q:$Q,MATCH($A33,'Valo FX'!$A:$A,0)),0,IF(AH$1&lt;INDEX('Valo FX'!$R:$R,MATCH($A33,'Valo FX'!$A:$A,0)),INDEX(Base!$U:$U,MATCH($A33,Base!$A:$A,0)),IF(AH$1=INDEX('Valo FX'!$R:$R,MATCH($A33,'Valo FX'!$A:$A,0)),INDEX(Base!$V:$V,MATCH($A33,Base!$A:$A,0)),0)))</f>
        <v>13.67018</v>
      </c>
      <c r="AI33" s="21">
        <f>IF(AI$1&lt;INDEX('Valo FX'!$Q:$Q,MATCH($A33,'Valo FX'!$A:$A,0)),0,IF(AI$1&lt;INDEX('Valo FX'!$R:$R,MATCH($A33,'Valo FX'!$A:$A,0)),INDEX(Base!$U:$U,MATCH($A33,Base!$A:$A,0)),IF(AI$1=INDEX('Valo FX'!$R:$R,MATCH($A33,'Valo FX'!$A:$A,0)),INDEX(Base!$V:$V,MATCH($A33,Base!$A:$A,0)),0)))</f>
        <v>13.67018</v>
      </c>
      <c r="AJ33" s="21">
        <f>IF(AJ$1&lt;INDEX('Valo FX'!$Q:$Q,MATCH($A33,'Valo FX'!$A:$A,0)),0,IF(AJ$1&lt;INDEX('Valo FX'!$R:$R,MATCH($A33,'Valo FX'!$A:$A,0)),INDEX(Base!$U:$U,MATCH($A33,Base!$A:$A,0)),IF(AJ$1=INDEX('Valo FX'!$R:$R,MATCH($A33,'Valo FX'!$A:$A,0)),INDEX(Base!$V:$V,MATCH($A33,Base!$A:$A,0)),0)))</f>
        <v>13.67018</v>
      </c>
      <c r="AK33" s="21">
        <f>IF(AK$1&lt;INDEX('Valo FX'!$Q:$Q,MATCH($A33,'Valo FX'!$A:$A,0)),0,IF(AK$1&lt;INDEX('Valo FX'!$R:$R,MATCH($A33,'Valo FX'!$A:$A,0)),INDEX(Base!$U:$U,MATCH($A33,Base!$A:$A,0)),IF(AK$1=INDEX('Valo FX'!$R:$R,MATCH($A33,'Valo FX'!$A:$A,0)),INDEX(Base!$V:$V,MATCH($A33,Base!$A:$A,0)),0)))</f>
        <v>13.67018</v>
      </c>
      <c r="AL33" s="21">
        <f>IF(AL$1&lt;INDEX('Valo FX'!$Q:$Q,MATCH($A33,'Valo FX'!$A:$A,0)),0,IF(AL$1&lt;INDEX('Valo FX'!$R:$R,MATCH($A33,'Valo FX'!$A:$A,0)),INDEX(Base!$U:$U,MATCH($A33,Base!$A:$A,0)),IF(AL$1=INDEX('Valo FX'!$R:$R,MATCH($A33,'Valo FX'!$A:$A,0)),INDEX(Base!$V:$V,MATCH($A33,Base!$A:$A,0)),0)))</f>
        <v>13.67018</v>
      </c>
      <c r="AM33" s="21">
        <f>IF(AM$1&lt;INDEX('Valo FX'!$Q:$Q,MATCH($A33,'Valo FX'!$A:$A,0)),0,IF(AM$1&lt;INDEX('Valo FX'!$R:$R,MATCH($A33,'Valo FX'!$A:$A,0)),INDEX(Base!$U:$U,MATCH($A33,Base!$A:$A,0)),IF(AM$1=INDEX('Valo FX'!$R:$R,MATCH($A33,'Valo FX'!$A:$A,0)),INDEX(Base!$V:$V,MATCH($A33,Base!$A:$A,0)),0)))</f>
        <v>13.67018</v>
      </c>
      <c r="AN33" s="21">
        <f>IF(AN$1&lt;INDEX('Valo FX'!$Q:$Q,MATCH($A33,'Valo FX'!$A:$A,0)),0,IF(AN$1&lt;INDEX('Valo FX'!$R:$R,MATCH($A33,'Valo FX'!$A:$A,0)),INDEX(Base!$U:$U,MATCH($A33,Base!$A:$A,0)),IF(AN$1=INDEX('Valo FX'!$R:$R,MATCH($A33,'Valo FX'!$A:$A,0)),INDEX(Base!$V:$V,MATCH($A33,Base!$A:$A,0)),0)))</f>
        <v>13.67018</v>
      </c>
      <c r="AO33" s="21">
        <f>IF(AO$1&lt;INDEX('Valo FX'!$Q:$Q,MATCH($A33,'Valo FX'!$A:$A,0)),0,IF(AO$1&lt;INDEX('Valo FX'!$R:$R,MATCH($A33,'Valo FX'!$A:$A,0)),INDEX(Base!$U:$U,MATCH($A33,Base!$A:$A,0)),IF(AO$1=INDEX('Valo FX'!$R:$R,MATCH($A33,'Valo FX'!$A:$A,0)),INDEX(Base!$V:$V,MATCH($A33,Base!$A:$A,0)),0)))</f>
        <v>13.67018</v>
      </c>
      <c r="AP33" s="21">
        <f>IF(AP$1&lt;INDEX('Valo FX'!$Q:$Q,MATCH($A33,'Valo FX'!$A:$A,0)),0,IF(AP$1&lt;INDEX('Valo FX'!$R:$R,MATCH($A33,'Valo FX'!$A:$A,0)),INDEX(Base!$U:$U,MATCH($A33,Base!$A:$A,0)),IF(AP$1=INDEX('Valo FX'!$R:$R,MATCH($A33,'Valo FX'!$A:$A,0)),INDEX(Base!$V:$V,MATCH($A33,Base!$A:$A,0)),0)))</f>
        <v>13.67018</v>
      </c>
      <c r="AQ33" s="21">
        <f>IF(AQ$1&lt;INDEX('Valo FX'!$Q:$Q,MATCH($A33,'Valo FX'!$A:$A,0)),0,IF(AQ$1&lt;INDEX('Valo FX'!$R:$R,MATCH($A33,'Valo FX'!$A:$A,0)),INDEX(Base!$U:$U,MATCH($A33,Base!$A:$A,0)),IF(AQ$1=INDEX('Valo FX'!$R:$R,MATCH($A33,'Valo FX'!$A:$A,0)),INDEX(Base!$V:$V,MATCH($A33,Base!$A:$A,0)),0)))</f>
        <v>13.67018</v>
      </c>
      <c r="AR33" s="21">
        <f>IF(AR$1&lt;INDEX('Valo FX'!$Q:$Q,MATCH($A33,'Valo FX'!$A:$A,0)),0,IF(AR$1&lt;INDEX('Valo FX'!$R:$R,MATCH($A33,'Valo FX'!$A:$A,0)),INDEX(Base!$U:$U,MATCH($A33,Base!$A:$A,0)),IF(AR$1=INDEX('Valo FX'!$R:$R,MATCH($A33,'Valo FX'!$A:$A,0)),INDEX(Base!$V:$V,MATCH($A33,Base!$A:$A,0)),0)))</f>
        <v>13.67018</v>
      </c>
      <c r="AS33" s="21">
        <f>IF(AS$1&lt;INDEX('Valo FX'!$Q:$Q,MATCH($A33,'Valo FX'!$A:$A,0)),0,IF(AS$1&lt;INDEX('Valo FX'!$R:$R,MATCH($A33,'Valo FX'!$A:$A,0)),INDEX(Base!$U:$U,MATCH($A33,Base!$A:$A,0)),IF(AS$1=INDEX('Valo FX'!$R:$R,MATCH($A33,'Valo FX'!$A:$A,0)),INDEX(Base!$V:$V,MATCH($A33,Base!$A:$A,0)),0)))</f>
        <v>13.67018</v>
      </c>
      <c r="AT33" s="21">
        <f>IF(AT$1&lt;INDEX('Valo FX'!$Q:$Q,MATCH($A33,'Valo FX'!$A:$A,0)),0,IF(AT$1&lt;INDEX('Valo FX'!$R:$R,MATCH($A33,'Valo FX'!$A:$A,0)),INDEX(Base!$U:$U,MATCH($A33,Base!$A:$A,0)),IF(AT$1=INDEX('Valo FX'!$R:$R,MATCH($A33,'Valo FX'!$A:$A,0)),INDEX(Base!$V:$V,MATCH($A33,Base!$A:$A,0)),0)))</f>
        <v>13.67018</v>
      </c>
      <c r="AU33" s="21">
        <f>IF(AU$1&lt;INDEX('Valo FX'!$Q:$Q,MATCH($A33,'Valo FX'!$A:$A,0)),0,IF(AU$1&lt;INDEX('Valo FX'!$R:$R,MATCH($A33,'Valo FX'!$A:$A,0)),INDEX(Base!$U:$U,MATCH($A33,Base!$A:$A,0)),IF(AU$1=INDEX('Valo FX'!$R:$R,MATCH($A33,'Valo FX'!$A:$A,0)),INDEX(Base!$V:$V,MATCH($A33,Base!$A:$A,0)),0)))</f>
        <v>13.67018</v>
      </c>
      <c r="AV33" s="21">
        <f>IF(AV$1&lt;INDEX('Valo FX'!$Q:$Q,MATCH($A33,'Valo FX'!$A:$A,0)),0,IF(AV$1&lt;INDEX('Valo FX'!$R:$R,MATCH($A33,'Valo FX'!$A:$A,0)),INDEX(Base!$U:$U,MATCH($A33,Base!$A:$A,0)),IF(AV$1=INDEX('Valo FX'!$R:$R,MATCH($A33,'Valo FX'!$A:$A,0)),INDEX(Base!$V:$V,MATCH($A33,Base!$A:$A,0)),0)))</f>
        <v>13.67018</v>
      </c>
      <c r="AW33" s="21">
        <f>IF(AW$1&lt;INDEX('Valo FX'!$Q:$Q,MATCH($A33,'Valo FX'!$A:$A,0)),0,IF(AW$1&lt;INDEX('Valo FX'!$R:$R,MATCH($A33,'Valo FX'!$A:$A,0)),INDEX(Base!$U:$U,MATCH($A33,Base!$A:$A,0)),IF(AW$1=INDEX('Valo FX'!$R:$R,MATCH($A33,'Valo FX'!$A:$A,0)),INDEX(Base!$V:$V,MATCH($A33,Base!$A:$A,0)),0)))</f>
        <v>13.67018</v>
      </c>
      <c r="AX33" s="21">
        <f>IF(AX$1&lt;INDEX('Valo FX'!$Q:$Q,MATCH($A33,'Valo FX'!$A:$A,0)),0,IF(AX$1&lt;INDEX('Valo FX'!$R:$R,MATCH($A33,'Valo FX'!$A:$A,0)),INDEX(Base!$U:$U,MATCH($A33,Base!$A:$A,0)),IF(AX$1=INDEX('Valo FX'!$R:$R,MATCH($A33,'Valo FX'!$A:$A,0)),INDEX(Base!$V:$V,MATCH($A33,Base!$A:$A,0)),0)))</f>
        <v>13.67018</v>
      </c>
      <c r="AY33" s="21">
        <f>IF(AY$1&lt;INDEX('Valo FX'!$Q:$Q,MATCH($A33,'Valo FX'!$A:$A,0)),0,IF(AY$1&lt;INDEX('Valo FX'!$R:$R,MATCH($A33,'Valo FX'!$A:$A,0)),INDEX(Base!$U:$U,MATCH($A33,Base!$A:$A,0)),IF(AY$1=INDEX('Valo FX'!$R:$R,MATCH($A33,'Valo FX'!$A:$A,0)),INDEX(Base!$V:$V,MATCH($A33,Base!$A:$A,0)),0)))</f>
        <v>13.67018</v>
      </c>
      <c r="AZ33" s="21">
        <f>IF(AZ$1&lt;INDEX('Valo FX'!$Q:$Q,MATCH($A33,'Valo FX'!$A:$A,0)),0,IF(AZ$1&lt;INDEX('Valo FX'!$R:$R,MATCH($A33,'Valo FX'!$A:$A,0)),INDEX(Base!$U:$U,MATCH($A33,Base!$A:$A,0)),IF(AZ$1=INDEX('Valo FX'!$R:$R,MATCH($A33,'Valo FX'!$A:$A,0)),INDEX(Base!$V:$V,MATCH($A33,Base!$A:$A,0)),0)))</f>
        <v>13.67018</v>
      </c>
      <c r="BA33" s="21">
        <f>IF(BA$1&lt;INDEX('Valo FX'!$Q:$Q,MATCH($A33,'Valo FX'!$A:$A,0)),0,IF(BA$1&lt;INDEX('Valo FX'!$R:$R,MATCH($A33,'Valo FX'!$A:$A,0)),INDEX(Base!$U:$U,MATCH($A33,Base!$A:$A,0)),IF(BA$1=INDEX('Valo FX'!$R:$R,MATCH($A33,'Valo FX'!$A:$A,0)),INDEX(Base!$V:$V,MATCH($A33,Base!$A:$A,0)),0)))</f>
        <v>13.67018</v>
      </c>
      <c r="BB33" s="21">
        <f>IF(BB$1&lt;INDEX('Valo FX'!$Q:$Q,MATCH($A33,'Valo FX'!$A:$A,0)),0,IF(BB$1&lt;INDEX('Valo FX'!$R:$R,MATCH($A33,'Valo FX'!$A:$A,0)),INDEX(Base!$U:$U,MATCH($A33,Base!$A:$A,0)),IF(BB$1=INDEX('Valo FX'!$R:$R,MATCH($A33,'Valo FX'!$A:$A,0)),INDEX(Base!$V:$V,MATCH($A33,Base!$A:$A,0)),0)))</f>
        <v>13.67018</v>
      </c>
      <c r="BC33" s="21">
        <f>IF(BC$1&lt;INDEX('Valo FX'!$Q:$Q,MATCH($A33,'Valo FX'!$A:$A,0)),0,IF(BC$1&lt;INDEX('Valo FX'!$R:$R,MATCH($A33,'Valo FX'!$A:$A,0)),INDEX(Base!$U:$U,MATCH($A33,Base!$A:$A,0)),IF(BC$1=INDEX('Valo FX'!$R:$R,MATCH($A33,'Valo FX'!$A:$A,0)),INDEX(Base!$V:$V,MATCH($A33,Base!$A:$A,0)),0)))</f>
        <v>13.67018</v>
      </c>
      <c r="BD33" s="21">
        <f>IF(BD$1&lt;INDEX('Valo FX'!$Q:$Q,MATCH($A33,'Valo FX'!$A:$A,0)),0,IF(BD$1&lt;INDEX('Valo FX'!$R:$R,MATCH($A33,'Valo FX'!$A:$A,0)),INDEX(Base!$U:$U,MATCH($A33,Base!$A:$A,0)),IF(BD$1=INDEX('Valo FX'!$R:$R,MATCH($A33,'Valo FX'!$A:$A,0)),INDEX(Base!$V:$V,MATCH($A33,Base!$A:$A,0)),0)))</f>
        <v>13.67018</v>
      </c>
      <c r="BE33" s="21">
        <f>IF(BE$1&lt;INDEX('Valo FX'!$Q:$Q,MATCH($A33,'Valo FX'!$A:$A,0)),0,IF(BE$1&lt;INDEX('Valo FX'!$R:$R,MATCH($A33,'Valo FX'!$A:$A,0)),INDEX(Base!$U:$U,MATCH($A33,Base!$A:$A,0)),IF(BE$1=INDEX('Valo FX'!$R:$R,MATCH($A33,'Valo FX'!$A:$A,0)),INDEX(Base!$V:$V,MATCH($A33,Base!$A:$A,0)),0)))</f>
        <v>13.67018</v>
      </c>
      <c r="BF33" s="21">
        <f>IF(BF$1&lt;INDEX('Valo FX'!$Q:$Q,MATCH($A33,'Valo FX'!$A:$A,0)),0,IF(BF$1&lt;INDEX('Valo FX'!$R:$R,MATCH($A33,'Valo FX'!$A:$A,0)),INDEX(Base!$U:$U,MATCH($A33,Base!$A:$A,0)),IF(BF$1=INDEX('Valo FX'!$R:$R,MATCH($A33,'Valo FX'!$A:$A,0)),INDEX(Base!$V:$V,MATCH($A33,Base!$A:$A,0)),0)))</f>
        <v>13.67018</v>
      </c>
      <c r="BG33" s="21">
        <f>IF(BG$1&lt;INDEX('Valo FX'!$Q:$Q,MATCH($A33,'Valo FX'!$A:$A,0)),0,IF(BG$1&lt;INDEX('Valo FX'!$R:$R,MATCH($A33,'Valo FX'!$A:$A,0)),INDEX(Base!$U:$U,MATCH($A33,Base!$A:$A,0)),IF(BG$1=INDEX('Valo FX'!$R:$R,MATCH($A33,'Valo FX'!$A:$A,0)),INDEX(Base!$V:$V,MATCH($A33,Base!$A:$A,0)),0)))</f>
        <v>13.67018</v>
      </c>
      <c r="BH33" s="21">
        <f>IF(BH$1&lt;INDEX('Valo FX'!$Q:$Q,MATCH($A33,'Valo FX'!$A:$A,0)),0,IF(BH$1&lt;INDEX('Valo FX'!$R:$R,MATCH($A33,'Valo FX'!$A:$A,0)),INDEX(Base!$U:$U,MATCH($A33,Base!$A:$A,0)),IF(BH$1=INDEX('Valo FX'!$R:$R,MATCH($A33,'Valo FX'!$A:$A,0)),INDEX(Base!$V:$V,MATCH($A33,Base!$A:$A,0)),0)))</f>
        <v>13.67018</v>
      </c>
      <c r="BI33" s="21">
        <f>IF(BI$1&lt;INDEX('Valo FX'!$Q:$Q,MATCH($A33,'Valo FX'!$A:$A,0)),0,IF(BI$1&lt;INDEX('Valo FX'!$R:$R,MATCH($A33,'Valo FX'!$A:$A,0)),INDEX(Base!$U:$U,MATCH($A33,Base!$A:$A,0)),IF(BI$1=INDEX('Valo FX'!$R:$R,MATCH($A33,'Valo FX'!$A:$A,0)),INDEX(Base!$V:$V,MATCH($A33,Base!$A:$A,0)),0)))</f>
        <v>13.67018</v>
      </c>
      <c r="BJ33" s="21">
        <f>IF(BJ$1&lt;INDEX('Valo FX'!$Q:$Q,MATCH($A33,'Valo FX'!$A:$A,0)),0,IF(BJ$1&lt;INDEX('Valo FX'!$R:$R,MATCH($A33,'Valo FX'!$A:$A,0)),INDEX(Base!$U:$U,MATCH($A33,Base!$A:$A,0)),IF(BJ$1=INDEX('Valo FX'!$R:$R,MATCH($A33,'Valo FX'!$A:$A,0)),INDEX(Base!$V:$V,MATCH($A33,Base!$A:$A,0)),0)))</f>
        <v>13.67018</v>
      </c>
      <c r="BK33" s="21">
        <f>IF(BK$1&lt;INDEX('Valo FX'!$Q:$Q,MATCH($A33,'Valo FX'!$A:$A,0)),0,IF(BK$1&lt;INDEX('Valo FX'!$R:$R,MATCH($A33,'Valo FX'!$A:$A,0)),INDEX(Base!$U:$U,MATCH($A33,Base!$A:$A,0)),IF(BK$1=INDEX('Valo FX'!$R:$R,MATCH($A33,'Valo FX'!$A:$A,0)),INDEX(Base!$V:$V,MATCH($A33,Base!$A:$A,0)),0)))</f>
        <v>13.67018</v>
      </c>
      <c r="BL33" s="21">
        <f>IF(BL$1&lt;INDEX('Valo FX'!$Q:$Q,MATCH($A33,'Valo FX'!$A:$A,0)),0,IF(BL$1&lt;INDEX('Valo FX'!$R:$R,MATCH($A33,'Valo FX'!$A:$A,0)),INDEX(Base!$U:$U,MATCH($A33,Base!$A:$A,0)),IF(BL$1=INDEX('Valo FX'!$R:$R,MATCH($A33,'Valo FX'!$A:$A,0)),INDEX(Base!$V:$V,MATCH($A33,Base!$A:$A,0)),0)))</f>
        <v>13.67018</v>
      </c>
      <c r="BM33" s="21">
        <f>IF(BM$1&lt;INDEX('Valo FX'!$Q:$Q,MATCH($A33,'Valo FX'!$A:$A,0)),0,IF(BM$1&lt;INDEX('Valo FX'!$R:$R,MATCH($A33,'Valo FX'!$A:$A,0)),INDEX(Base!$U:$U,MATCH($A33,Base!$A:$A,0)),IF(BM$1=INDEX('Valo FX'!$R:$R,MATCH($A33,'Valo FX'!$A:$A,0)),INDEX(Base!$V:$V,MATCH($A33,Base!$A:$A,0)),0)))</f>
        <v>13.67018</v>
      </c>
      <c r="BN33" s="21">
        <f>IF(BN$1&lt;INDEX('Valo FX'!$Q:$Q,MATCH($A33,'Valo FX'!$A:$A,0)),0,IF(BN$1&lt;INDEX('Valo FX'!$R:$R,MATCH($A33,'Valo FX'!$A:$A,0)),INDEX(Base!$U:$U,MATCH($A33,Base!$A:$A,0)),IF(BN$1=INDEX('Valo FX'!$R:$R,MATCH($A33,'Valo FX'!$A:$A,0)),INDEX(Base!$V:$V,MATCH($A33,Base!$A:$A,0)),0)))</f>
        <v>13.67018</v>
      </c>
      <c r="BO33" s="21">
        <f>IF(BO$1&lt;INDEX('Valo FX'!$Q:$Q,MATCH($A33,'Valo FX'!$A:$A,0)),0,IF(BO$1&lt;INDEX('Valo FX'!$R:$R,MATCH($A33,'Valo FX'!$A:$A,0)),INDEX(Base!$U:$U,MATCH($A33,Base!$A:$A,0)),IF(BO$1=INDEX('Valo FX'!$R:$R,MATCH($A33,'Valo FX'!$A:$A,0)),INDEX(Base!$V:$V,MATCH($A33,Base!$A:$A,0)),0)))</f>
        <v>13.67018</v>
      </c>
      <c r="BP33" s="21">
        <f>IF(BP$1&lt;INDEX('Valo FX'!$Q:$Q,MATCH($A33,'Valo FX'!$A:$A,0)),0,IF(BP$1&lt;INDEX('Valo FX'!$R:$R,MATCH($A33,'Valo FX'!$A:$A,0)),INDEX(Base!$U:$U,MATCH($A33,Base!$A:$A,0)),IF(BP$1=INDEX('Valo FX'!$R:$R,MATCH($A33,'Valo FX'!$A:$A,0)),INDEX(Base!$V:$V,MATCH($A33,Base!$A:$A,0)),0)))</f>
        <v>13.67018</v>
      </c>
      <c r="BQ33" s="21">
        <f>IF(BQ$1&lt;INDEX('Valo FX'!$Q:$Q,MATCH($A33,'Valo FX'!$A:$A,0)),0,IF(BQ$1&lt;INDEX('Valo FX'!$R:$R,MATCH($A33,'Valo FX'!$A:$A,0)),INDEX(Base!$U:$U,MATCH($A33,Base!$A:$A,0)),IF(BQ$1=INDEX('Valo FX'!$R:$R,MATCH($A33,'Valo FX'!$A:$A,0)),INDEX(Base!$V:$V,MATCH($A33,Base!$A:$A,0)),0)))</f>
        <v>13.67018</v>
      </c>
      <c r="BR33" s="21">
        <f>IF(BR$1&lt;INDEX('Valo FX'!$Q:$Q,MATCH($A33,'Valo FX'!$A:$A,0)),0,IF(BR$1&lt;INDEX('Valo FX'!$R:$R,MATCH($A33,'Valo FX'!$A:$A,0)),INDEX(Base!$U:$U,MATCH($A33,Base!$A:$A,0)),IF(BR$1=INDEX('Valo FX'!$R:$R,MATCH($A33,'Valo FX'!$A:$A,0)),INDEX(Base!$V:$V,MATCH($A33,Base!$A:$A,0)),0)))</f>
        <v>13.67018</v>
      </c>
      <c r="BS33" s="21">
        <f>IF(BS$1&lt;INDEX('Valo FX'!$Q:$Q,MATCH($A33,'Valo FX'!$A:$A,0)),0,IF(BS$1&lt;INDEX('Valo FX'!$R:$R,MATCH($A33,'Valo FX'!$A:$A,0)),INDEX(Base!$U:$U,MATCH($A33,Base!$A:$A,0)),IF(BS$1=INDEX('Valo FX'!$R:$R,MATCH($A33,'Valo FX'!$A:$A,0)),INDEX(Base!$V:$V,MATCH($A33,Base!$A:$A,0)),0)))</f>
        <v>13.67018</v>
      </c>
      <c r="BT33" s="21">
        <f>IF(BT$1&lt;INDEX('Valo FX'!$Q:$Q,MATCH($A33,'Valo FX'!$A:$A,0)),0,IF(BT$1&lt;INDEX('Valo FX'!$R:$R,MATCH($A33,'Valo FX'!$A:$A,0)),INDEX(Base!$U:$U,MATCH($A33,Base!$A:$A,0)),IF(BT$1=INDEX('Valo FX'!$R:$R,MATCH($A33,'Valo FX'!$A:$A,0)),INDEX(Base!$V:$V,MATCH($A33,Base!$A:$A,0)),0)))</f>
        <v>13.67018</v>
      </c>
      <c r="BU33" s="21">
        <f>IF(BU$1&lt;INDEX('Valo FX'!$Q:$Q,MATCH($A33,'Valo FX'!$A:$A,0)),0,IF(BU$1&lt;INDEX('Valo FX'!$R:$R,MATCH($A33,'Valo FX'!$A:$A,0)),INDEX(Base!$U:$U,MATCH($A33,Base!$A:$A,0)),IF(BU$1=INDEX('Valo FX'!$R:$R,MATCH($A33,'Valo FX'!$A:$A,0)),INDEX(Base!$V:$V,MATCH($A33,Base!$A:$A,0)),0)))</f>
        <v>13.67018</v>
      </c>
      <c r="BV33" s="21">
        <f>IF(BV$1&lt;INDEX('Valo FX'!$Q:$Q,MATCH($A33,'Valo FX'!$A:$A,0)),0,IF(BV$1&lt;INDEX('Valo FX'!$R:$R,MATCH($A33,'Valo FX'!$A:$A,0)),INDEX(Base!$U:$U,MATCH($A33,Base!$A:$A,0)),IF(BV$1=INDEX('Valo FX'!$R:$R,MATCH($A33,'Valo FX'!$A:$A,0)),INDEX(Base!$V:$V,MATCH($A33,Base!$A:$A,0)),0)))</f>
        <v>13.67018</v>
      </c>
      <c r="BW33" s="21">
        <f>IF(BW$1&lt;INDEX('Valo FX'!$Q:$Q,MATCH($A33,'Valo FX'!$A:$A,0)),0,IF(BW$1&lt;INDEX('Valo FX'!$R:$R,MATCH($A33,'Valo FX'!$A:$A,0)),INDEX(Base!$U:$U,MATCH($A33,Base!$A:$A,0)),IF(BW$1=INDEX('Valo FX'!$R:$R,MATCH($A33,'Valo FX'!$A:$A,0)),INDEX(Base!$V:$V,MATCH($A33,Base!$A:$A,0)),0)))</f>
        <v>13.67018</v>
      </c>
      <c r="BX33" s="21">
        <f>IF(BX$1&lt;INDEX('Valo FX'!$Q:$Q,MATCH($A33,'Valo FX'!$A:$A,0)),0,IF(BX$1&lt;INDEX('Valo FX'!$R:$R,MATCH($A33,'Valo FX'!$A:$A,0)),INDEX(Base!$U:$U,MATCH($A33,Base!$A:$A,0)),IF(BX$1=INDEX('Valo FX'!$R:$R,MATCH($A33,'Valo FX'!$A:$A,0)),INDEX(Base!$V:$V,MATCH($A33,Base!$A:$A,0)),0)))</f>
        <v>13.67018</v>
      </c>
      <c r="BY33" s="21">
        <f>IF(BY$1&lt;INDEX('Valo FX'!$Q:$Q,MATCH($A33,'Valo FX'!$A:$A,0)),0,IF(BY$1&lt;INDEX('Valo FX'!$R:$R,MATCH($A33,'Valo FX'!$A:$A,0)),INDEX(Base!$U:$U,MATCH($A33,Base!$A:$A,0)),IF(BY$1=INDEX('Valo FX'!$R:$R,MATCH($A33,'Valo FX'!$A:$A,0)),INDEX(Base!$V:$V,MATCH($A33,Base!$A:$A,0)),0)))</f>
        <v>13.67018</v>
      </c>
      <c r="BZ33" s="21">
        <f>IF(BZ$1&lt;INDEX('Valo FX'!$Q:$Q,MATCH($A33,'Valo FX'!$A:$A,0)),0,IF(BZ$1&lt;INDEX('Valo FX'!$R:$R,MATCH($A33,'Valo FX'!$A:$A,0)),INDEX(Base!$U:$U,MATCH($A33,Base!$A:$A,0)),IF(BZ$1=INDEX('Valo FX'!$R:$R,MATCH($A33,'Valo FX'!$A:$A,0)),INDEX(Base!$V:$V,MATCH($A33,Base!$A:$A,0)),0)))</f>
        <v>13.67018</v>
      </c>
      <c r="CA33" s="21">
        <f>IF(CA$1&lt;INDEX('Valo FX'!$Q:$Q,MATCH($A33,'Valo FX'!$A:$A,0)),0,IF(CA$1&lt;INDEX('Valo FX'!$R:$R,MATCH($A33,'Valo FX'!$A:$A,0)),INDEX(Base!$U:$U,MATCH($A33,Base!$A:$A,0)),IF(CA$1=INDEX('Valo FX'!$R:$R,MATCH($A33,'Valo FX'!$A:$A,0)),INDEX(Base!$V:$V,MATCH($A33,Base!$A:$A,0)),0)))</f>
        <v>13.67018</v>
      </c>
      <c r="CB33" s="21">
        <f>IF(CB$1&lt;INDEX('Valo FX'!$Q:$Q,MATCH($A33,'Valo FX'!$A:$A,0)),0,IF(CB$1&lt;INDEX('Valo FX'!$R:$R,MATCH($A33,'Valo FX'!$A:$A,0)),INDEX(Base!$U:$U,MATCH($A33,Base!$A:$A,0)),IF(CB$1=INDEX('Valo FX'!$R:$R,MATCH($A33,'Valo FX'!$A:$A,0)),INDEX(Base!$V:$V,MATCH($A33,Base!$A:$A,0)),0)))</f>
        <v>13.67018</v>
      </c>
      <c r="CC33" s="21">
        <f>IF(CC$1&lt;INDEX('Valo FX'!$Q:$Q,MATCH($A33,'Valo FX'!$A:$A,0)),0,IF(CC$1&lt;INDEX('Valo FX'!$R:$R,MATCH($A33,'Valo FX'!$A:$A,0)),INDEX(Base!$U:$U,MATCH($A33,Base!$A:$A,0)),IF(CC$1=INDEX('Valo FX'!$R:$R,MATCH($A33,'Valo FX'!$A:$A,0)),INDEX(Base!$V:$V,MATCH($A33,Base!$A:$A,0)),0)))</f>
        <v>13.67018</v>
      </c>
      <c r="CD33" s="21">
        <f>IF(CD$1&lt;INDEX('Valo FX'!$Q:$Q,MATCH($A33,'Valo FX'!$A:$A,0)),0,IF(CD$1&lt;INDEX('Valo FX'!$R:$R,MATCH($A33,'Valo FX'!$A:$A,0)),INDEX(Base!$U:$U,MATCH($A33,Base!$A:$A,0)),IF(CD$1=INDEX('Valo FX'!$R:$R,MATCH($A33,'Valo FX'!$A:$A,0)),INDEX(Base!$V:$V,MATCH($A33,Base!$A:$A,0)),0)))</f>
        <v>13.67018</v>
      </c>
      <c r="CE33" s="21">
        <f>IF(CE$1&lt;INDEX('Valo FX'!$Q:$Q,MATCH($A33,'Valo FX'!$A:$A,0)),0,IF(CE$1&lt;INDEX('Valo FX'!$R:$R,MATCH($A33,'Valo FX'!$A:$A,0)),INDEX(Base!$U:$U,MATCH($A33,Base!$A:$A,0)),IF(CE$1=INDEX('Valo FX'!$R:$R,MATCH($A33,'Valo FX'!$A:$A,0)),INDEX(Base!$V:$V,MATCH($A33,Base!$A:$A,0)),0)))</f>
        <v>13.67018</v>
      </c>
      <c r="CF33" s="21">
        <f>IF(CF$1&lt;INDEX('Valo FX'!$Q:$Q,MATCH($A33,'Valo FX'!$A:$A,0)),0,IF(CF$1&lt;INDEX('Valo FX'!$R:$R,MATCH($A33,'Valo FX'!$A:$A,0)),INDEX(Base!$U:$U,MATCH($A33,Base!$A:$A,0)),IF(CF$1=INDEX('Valo FX'!$R:$R,MATCH($A33,'Valo FX'!$A:$A,0)),INDEX(Base!$V:$V,MATCH($A33,Base!$A:$A,0)),0)))</f>
        <v>13.67018</v>
      </c>
      <c r="CG33" s="21">
        <f>IF(CG$1&lt;INDEX('Valo FX'!$Q:$Q,MATCH($A33,'Valo FX'!$A:$A,0)),0,IF(CG$1&lt;INDEX('Valo FX'!$R:$R,MATCH($A33,'Valo FX'!$A:$A,0)),INDEX(Base!$U:$U,MATCH($A33,Base!$A:$A,0)),IF(CG$1=INDEX('Valo FX'!$R:$R,MATCH($A33,'Valo FX'!$A:$A,0)),INDEX(Base!$V:$V,MATCH($A33,Base!$A:$A,0)),0)))</f>
        <v>13.67018</v>
      </c>
      <c r="CH33" s="21">
        <f>IF(CH$1&lt;INDEX('Valo FX'!$Q:$Q,MATCH($A33,'Valo FX'!$A:$A,0)),0,IF(CH$1&lt;INDEX('Valo FX'!$R:$R,MATCH($A33,'Valo FX'!$A:$A,0)),INDEX(Base!$U:$U,MATCH($A33,Base!$A:$A,0)),IF(CH$1=INDEX('Valo FX'!$R:$R,MATCH($A33,'Valo FX'!$A:$A,0)),INDEX(Base!$V:$V,MATCH($A33,Base!$A:$A,0)),0)))</f>
        <v>13.67018</v>
      </c>
      <c r="CI33" s="21">
        <f>IF(CI$1&lt;INDEX('Valo FX'!$Q:$Q,MATCH($A33,'Valo FX'!$A:$A,0)),0,IF(CI$1&lt;INDEX('Valo FX'!$R:$R,MATCH($A33,'Valo FX'!$A:$A,0)),INDEX(Base!$U:$U,MATCH($A33,Base!$A:$A,0)),IF(CI$1=INDEX('Valo FX'!$R:$R,MATCH($A33,'Valo FX'!$A:$A,0)),INDEX(Base!$V:$V,MATCH($A33,Base!$A:$A,0)),0)))</f>
        <v>13.67018</v>
      </c>
      <c r="CJ33" s="21">
        <f>IF(CJ$1&lt;INDEX('Valo FX'!$Q:$Q,MATCH($A33,'Valo FX'!$A:$A,0)),0,IF(CJ$1&lt;INDEX('Valo FX'!$R:$R,MATCH($A33,'Valo FX'!$A:$A,0)),INDEX(Base!$U:$U,MATCH($A33,Base!$A:$A,0)),IF(CJ$1=INDEX('Valo FX'!$R:$R,MATCH($A33,'Valo FX'!$A:$A,0)),INDEX(Base!$V:$V,MATCH($A33,Base!$A:$A,0)),0)))</f>
        <v>13.67018</v>
      </c>
      <c r="CK33" s="21">
        <f>IF(CK$1&lt;INDEX('Valo FX'!$Q:$Q,MATCH($A33,'Valo FX'!$A:$A,0)),0,IF(CK$1&lt;INDEX('Valo FX'!$R:$R,MATCH($A33,'Valo FX'!$A:$A,0)),INDEX(Base!$U:$U,MATCH($A33,Base!$A:$A,0)),IF(CK$1=INDEX('Valo FX'!$R:$R,MATCH($A33,'Valo FX'!$A:$A,0)),INDEX(Base!$V:$V,MATCH($A33,Base!$A:$A,0)),0)))</f>
        <v>13.67018</v>
      </c>
      <c r="CL33" s="21">
        <f>IF(CL$1&lt;INDEX('Valo FX'!$Q:$Q,MATCH($A33,'Valo FX'!$A:$A,0)),0,IF(CL$1&lt;INDEX('Valo FX'!$R:$R,MATCH($A33,'Valo FX'!$A:$A,0)),INDEX(Base!$U:$U,MATCH($A33,Base!$A:$A,0)),IF(CL$1=INDEX('Valo FX'!$R:$R,MATCH($A33,'Valo FX'!$A:$A,0)),INDEX(Base!$V:$V,MATCH($A33,Base!$A:$A,0)),0)))</f>
        <v>13.67018</v>
      </c>
      <c r="CM33" s="21">
        <f>IF(CM$1&lt;INDEX('Valo FX'!$Q:$Q,MATCH($A33,'Valo FX'!$A:$A,0)),0,IF(CM$1&lt;INDEX('Valo FX'!$R:$R,MATCH($A33,'Valo FX'!$A:$A,0)),INDEX(Base!$U:$U,MATCH($A33,Base!$A:$A,0)),IF(CM$1=INDEX('Valo FX'!$R:$R,MATCH($A33,'Valo FX'!$A:$A,0)),INDEX(Base!$V:$V,MATCH($A33,Base!$A:$A,0)),0)))</f>
        <v>13.67018</v>
      </c>
      <c r="CN33" s="21">
        <f>IF(CN$1&lt;INDEX('Valo FX'!$Q:$Q,MATCH($A33,'Valo FX'!$A:$A,0)),0,IF(CN$1&lt;INDEX('Valo FX'!$R:$R,MATCH($A33,'Valo FX'!$A:$A,0)),INDEX(Base!$U:$U,MATCH($A33,Base!$A:$A,0)),IF(CN$1=INDEX('Valo FX'!$R:$R,MATCH($A33,'Valo FX'!$A:$A,0)),INDEX(Base!$V:$V,MATCH($A33,Base!$A:$A,0)),0)))</f>
        <v>13.67018</v>
      </c>
      <c r="CO33" s="21">
        <f>IF(CO$1&lt;INDEX('Valo FX'!$Q:$Q,MATCH($A33,'Valo FX'!$A:$A,0)),0,IF(CO$1&lt;INDEX('Valo FX'!$R:$R,MATCH($A33,'Valo FX'!$A:$A,0)),INDEX(Base!$U:$U,MATCH($A33,Base!$A:$A,0)),IF(CO$1=INDEX('Valo FX'!$R:$R,MATCH($A33,'Valo FX'!$A:$A,0)),INDEX(Base!$V:$V,MATCH($A33,Base!$A:$A,0)),0)))</f>
        <v>13.67018</v>
      </c>
      <c r="CP33" s="21">
        <f>IF(CP$1&lt;INDEX('Valo FX'!$Q:$Q,MATCH($A33,'Valo FX'!$A:$A,0)),0,IF(CP$1&lt;INDEX('Valo FX'!$R:$R,MATCH($A33,'Valo FX'!$A:$A,0)),INDEX(Base!$U:$U,MATCH($A33,Base!$A:$A,0)),IF(CP$1=INDEX('Valo FX'!$R:$R,MATCH($A33,'Valo FX'!$A:$A,0)),INDEX(Base!$V:$V,MATCH($A33,Base!$A:$A,0)),0)))</f>
        <v>13.67018</v>
      </c>
      <c r="CQ33" s="21">
        <f>IF(CQ$1&lt;INDEX('Valo FX'!$Q:$Q,MATCH($A33,'Valo FX'!$A:$A,0)),0,IF(CQ$1&lt;INDEX('Valo FX'!$R:$R,MATCH($A33,'Valo FX'!$A:$A,0)),INDEX(Base!$U:$U,MATCH($A33,Base!$A:$A,0)),IF(CQ$1=INDEX('Valo FX'!$R:$R,MATCH($A33,'Valo FX'!$A:$A,0)),INDEX(Base!$V:$V,MATCH($A33,Base!$A:$A,0)),0)))</f>
        <v>13.67018</v>
      </c>
      <c r="CR33" s="21">
        <f>IF(CR$1&lt;INDEX('Valo FX'!$Q:$Q,MATCH($A33,'Valo FX'!$A:$A,0)),0,IF(CR$1&lt;INDEX('Valo FX'!$R:$R,MATCH($A33,'Valo FX'!$A:$A,0)),INDEX(Base!$U:$U,MATCH($A33,Base!$A:$A,0)),IF(CR$1=INDEX('Valo FX'!$R:$R,MATCH($A33,'Valo FX'!$A:$A,0)),INDEX(Base!$V:$V,MATCH($A33,Base!$A:$A,0)),0)))</f>
        <v>13.67018</v>
      </c>
      <c r="CS33" s="21">
        <f>IF(CS$1&lt;INDEX('Valo FX'!$Q:$Q,MATCH($A33,'Valo FX'!$A:$A,0)),0,IF(CS$1&lt;INDEX('Valo FX'!$R:$R,MATCH($A33,'Valo FX'!$A:$A,0)),INDEX(Base!$U:$U,MATCH($A33,Base!$A:$A,0)),IF(CS$1=INDEX('Valo FX'!$R:$R,MATCH($A33,'Valo FX'!$A:$A,0)),INDEX(Base!$V:$V,MATCH($A33,Base!$A:$A,0)),0)))</f>
        <v>13.67018</v>
      </c>
      <c r="CT33" s="21">
        <f>IF(CT$1&lt;INDEX('Valo FX'!$Q:$Q,MATCH($A33,'Valo FX'!$A:$A,0)),0,IF(CT$1&lt;INDEX('Valo FX'!$R:$R,MATCH($A33,'Valo FX'!$A:$A,0)),INDEX(Base!$U:$U,MATCH($A33,Base!$A:$A,0)),IF(CT$1=INDEX('Valo FX'!$R:$R,MATCH($A33,'Valo FX'!$A:$A,0)),INDEX(Base!$V:$V,MATCH($A33,Base!$A:$A,0)),0)))</f>
        <v>13.67018</v>
      </c>
      <c r="CU33" s="21">
        <f>IF(CU$1&lt;INDEX('Valo FX'!$Q:$Q,MATCH($A33,'Valo FX'!$A:$A,0)),0,IF(CU$1&lt;INDEX('Valo FX'!$R:$R,MATCH($A33,'Valo FX'!$A:$A,0)),INDEX(Base!$U:$U,MATCH($A33,Base!$A:$A,0)),IF(CU$1=INDEX('Valo FX'!$R:$R,MATCH($A33,'Valo FX'!$A:$A,0)),INDEX(Base!$V:$V,MATCH($A33,Base!$A:$A,0)),0)))</f>
        <v>13.67018</v>
      </c>
      <c r="CV33" s="21">
        <f>IF(CV$1&lt;INDEX('Valo FX'!$Q:$Q,MATCH($A33,'Valo FX'!$A:$A,0)),0,IF(CV$1&lt;INDEX('Valo FX'!$R:$R,MATCH($A33,'Valo FX'!$A:$A,0)),INDEX(Base!$U:$U,MATCH($A33,Base!$A:$A,0)),IF(CV$1=INDEX('Valo FX'!$R:$R,MATCH($A33,'Valo FX'!$A:$A,0)),INDEX(Base!$V:$V,MATCH($A33,Base!$A:$A,0)),0)))</f>
        <v>13.67018</v>
      </c>
      <c r="CW33" s="21">
        <f>IF(CW$1&lt;INDEX('Valo FX'!$Q:$Q,MATCH($A33,'Valo FX'!$A:$A,0)),0,IF(CW$1&lt;INDEX('Valo FX'!$R:$R,MATCH($A33,'Valo FX'!$A:$A,0)),INDEX(Base!$U:$U,MATCH($A33,Base!$A:$A,0)),IF(CW$1=INDEX('Valo FX'!$R:$R,MATCH($A33,'Valo FX'!$A:$A,0)),INDEX(Base!$V:$V,MATCH($A33,Base!$A:$A,0)),0)))</f>
        <v>13.67018</v>
      </c>
      <c r="CX33" s="21">
        <f>IF(CX$1&lt;INDEX('Valo FX'!$Q:$Q,MATCH($A33,'Valo FX'!$A:$A,0)),0,IF(CX$1&lt;INDEX('Valo FX'!$R:$R,MATCH($A33,'Valo FX'!$A:$A,0)),INDEX(Base!$U:$U,MATCH($A33,Base!$A:$A,0)),IF(CX$1=INDEX('Valo FX'!$R:$R,MATCH($A33,'Valo FX'!$A:$A,0)),INDEX(Base!$V:$V,MATCH($A33,Base!$A:$A,0)),0)))</f>
        <v>13.67018</v>
      </c>
      <c r="CY33" s="21">
        <f>IF(CY$1&lt;INDEX('Valo FX'!$Q:$Q,MATCH($A33,'Valo FX'!$A:$A,0)),0,IF(CY$1&lt;INDEX('Valo FX'!$R:$R,MATCH($A33,'Valo FX'!$A:$A,0)),INDEX(Base!$U:$U,MATCH($A33,Base!$A:$A,0)),IF(CY$1=INDEX('Valo FX'!$R:$R,MATCH($A33,'Valo FX'!$A:$A,0)),INDEX(Base!$V:$V,MATCH($A33,Base!$A:$A,0)),0)))</f>
        <v>13.67018</v>
      </c>
      <c r="CZ33" s="21">
        <f>IF(CZ$1&lt;INDEX('Valo FX'!$Q:$Q,MATCH($A33,'Valo FX'!$A:$A,0)),0,IF(CZ$1&lt;INDEX('Valo FX'!$R:$R,MATCH($A33,'Valo FX'!$A:$A,0)),INDEX(Base!$U:$U,MATCH($A33,Base!$A:$A,0)),IF(CZ$1=INDEX('Valo FX'!$R:$R,MATCH($A33,'Valo FX'!$A:$A,0)),INDEX(Base!$V:$V,MATCH($A33,Base!$A:$A,0)),0)))</f>
        <v>13.67018</v>
      </c>
      <c r="DA33" s="21">
        <f>IF(DA$1&lt;INDEX('Valo FX'!$Q:$Q,MATCH($A33,'Valo FX'!$A:$A,0)),0,IF(DA$1&lt;INDEX('Valo FX'!$R:$R,MATCH($A33,'Valo FX'!$A:$A,0)),INDEX(Base!$U:$U,MATCH($A33,Base!$A:$A,0)),IF(DA$1=INDEX('Valo FX'!$R:$R,MATCH($A33,'Valo FX'!$A:$A,0)),INDEX(Base!$V:$V,MATCH($A33,Base!$A:$A,0)),0)))</f>
        <v>13.67018</v>
      </c>
      <c r="DB33" s="21">
        <f>IF(DB$1&lt;INDEX('Valo FX'!$Q:$Q,MATCH($A33,'Valo FX'!$A:$A,0)),0,IF(DB$1&lt;INDEX('Valo FX'!$R:$R,MATCH($A33,'Valo FX'!$A:$A,0)),INDEX(Base!$U:$U,MATCH($A33,Base!$A:$A,0)),IF(DB$1=INDEX('Valo FX'!$R:$R,MATCH($A33,'Valo FX'!$A:$A,0)),INDEX(Base!$V:$V,MATCH($A33,Base!$A:$A,0)),0)))</f>
        <v>13.67018</v>
      </c>
      <c r="DC33" s="21">
        <f>IF(DC$1&lt;INDEX('Valo FX'!$Q:$Q,MATCH($A33,'Valo FX'!$A:$A,0)),0,IF(DC$1&lt;INDEX('Valo FX'!$R:$R,MATCH($A33,'Valo FX'!$A:$A,0)),INDEX(Base!$U:$U,MATCH($A33,Base!$A:$A,0)),IF(DC$1=INDEX('Valo FX'!$R:$R,MATCH($A33,'Valo FX'!$A:$A,0)),INDEX(Base!$V:$V,MATCH($A33,Base!$A:$A,0)),0)))</f>
        <v>13.67018</v>
      </c>
      <c r="DD33" s="21">
        <f>IF(DD$1&lt;INDEX('Valo FX'!$Q:$Q,MATCH($A33,'Valo FX'!$A:$A,0)),0,IF(DD$1&lt;INDEX('Valo FX'!$R:$R,MATCH($A33,'Valo FX'!$A:$A,0)),INDEX(Base!$U:$U,MATCH($A33,Base!$A:$A,0)),IF(DD$1=INDEX('Valo FX'!$R:$R,MATCH($A33,'Valo FX'!$A:$A,0)),INDEX(Base!$V:$V,MATCH($A33,Base!$A:$A,0)),0)))</f>
        <v>13.67018</v>
      </c>
      <c r="DE33" s="21">
        <f>IF(DE$1&lt;INDEX('Valo FX'!$Q:$Q,MATCH($A33,'Valo FX'!$A:$A,0)),0,IF(DE$1&lt;INDEX('Valo FX'!$R:$R,MATCH($A33,'Valo FX'!$A:$A,0)),INDEX(Base!$U:$U,MATCH($A33,Base!$A:$A,0)),IF(DE$1=INDEX('Valo FX'!$R:$R,MATCH($A33,'Valo FX'!$A:$A,0)),INDEX(Base!$V:$V,MATCH($A33,Base!$A:$A,0)),0)))</f>
        <v>13.67018</v>
      </c>
      <c r="DF33" s="21">
        <f>IF(DF$1&lt;INDEX('Valo FX'!$Q:$Q,MATCH($A33,'Valo FX'!$A:$A,0)),0,IF(DF$1&lt;INDEX('Valo FX'!$R:$R,MATCH($A33,'Valo FX'!$A:$A,0)),INDEX(Base!$U:$U,MATCH($A33,Base!$A:$A,0)),IF(DF$1=INDEX('Valo FX'!$R:$R,MATCH($A33,'Valo FX'!$A:$A,0)),INDEX(Base!$V:$V,MATCH($A33,Base!$A:$A,0)),0)))</f>
        <v>13.67018</v>
      </c>
      <c r="DG33" s="21">
        <f>IF(DG$1&lt;INDEX('Valo FX'!$Q:$Q,MATCH($A33,'Valo FX'!$A:$A,0)),0,IF(DG$1&lt;INDEX('Valo FX'!$R:$R,MATCH($A33,'Valo FX'!$A:$A,0)),INDEX(Base!$U:$U,MATCH($A33,Base!$A:$A,0)),IF(DG$1=INDEX('Valo FX'!$R:$R,MATCH($A33,'Valo FX'!$A:$A,0)),INDEX(Base!$V:$V,MATCH($A33,Base!$A:$A,0)),0)))</f>
        <v>13.67018</v>
      </c>
      <c r="DH33" s="21">
        <f>IF(DH$1&lt;INDEX('Valo FX'!$Q:$Q,MATCH($A33,'Valo FX'!$A:$A,0)),0,IF(DH$1&lt;INDEX('Valo FX'!$R:$R,MATCH($A33,'Valo FX'!$A:$A,0)),INDEX(Base!$U:$U,MATCH($A33,Base!$A:$A,0)),IF(DH$1=INDEX('Valo FX'!$R:$R,MATCH($A33,'Valo FX'!$A:$A,0)),INDEX(Base!$V:$V,MATCH($A33,Base!$A:$A,0)),0)))</f>
        <v>13.67018</v>
      </c>
      <c r="DI33" s="21">
        <f>IF(DI$1&lt;INDEX('Valo FX'!$Q:$Q,MATCH($A33,'Valo FX'!$A:$A,0)),0,IF(DI$1&lt;INDEX('Valo FX'!$R:$R,MATCH($A33,'Valo FX'!$A:$A,0)),INDEX(Base!$U:$U,MATCH($A33,Base!$A:$A,0)),IF(DI$1=INDEX('Valo FX'!$R:$R,MATCH($A33,'Valo FX'!$A:$A,0)),INDEX(Base!$V:$V,MATCH($A33,Base!$A:$A,0)),0)))</f>
        <v>13.67018</v>
      </c>
      <c r="DJ33" s="21">
        <f>IF(DJ$1&lt;INDEX('Valo FX'!$Q:$Q,MATCH($A33,'Valo FX'!$A:$A,0)),0,IF(DJ$1&lt;INDEX('Valo FX'!$R:$R,MATCH($A33,'Valo FX'!$A:$A,0)),INDEX(Base!$U:$U,MATCH($A33,Base!$A:$A,0)),IF(DJ$1=INDEX('Valo FX'!$R:$R,MATCH($A33,'Valo FX'!$A:$A,0)),INDEX(Base!$V:$V,MATCH($A33,Base!$A:$A,0)),0)))</f>
        <v>13.67018</v>
      </c>
      <c r="DK33" s="21">
        <f>IF(DK$1&lt;INDEX('Valo FX'!$Q:$Q,MATCH($A33,'Valo FX'!$A:$A,0)),0,IF(DK$1&lt;INDEX('Valo FX'!$R:$R,MATCH($A33,'Valo FX'!$A:$A,0)),INDEX(Base!$U:$U,MATCH($A33,Base!$A:$A,0)),IF(DK$1=INDEX('Valo FX'!$R:$R,MATCH($A33,'Valo FX'!$A:$A,0)),INDEX(Base!$V:$V,MATCH($A33,Base!$A:$A,0)),0)))</f>
        <v>13.67018</v>
      </c>
      <c r="DL33" s="21">
        <f>IF(DL$1&lt;INDEX('Valo FX'!$Q:$Q,MATCH($A33,'Valo FX'!$A:$A,0)),0,IF(DL$1&lt;INDEX('Valo FX'!$R:$R,MATCH($A33,'Valo FX'!$A:$A,0)),INDEX(Base!$U:$U,MATCH($A33,Base!$A:$A,0)),IF(DL$1=INDEX('Valo FX'!$R:$R,MATCH($A33,'Valo FX'!$A:$A,0)),INDEX(Base!$V:$V,MATCH($A33,Base!$A:$A,0)),0)))</f>
        <v>13.67018</v>
      </c>
      <c r="DM33" s="21">
        <f>IF(DM$1&lt;INDEX('Valo FX'!$Q:$Q,MATCH($A33,'Valo FX'!$A:$A,0)),0,IF(DM$1&lt;INDEX('Valo FX'!$R:$R,MATCH($A33,'Valo FX'!$A:$A,0)),INDEX(Base!$U:$U,MATCH($A33,Base!$A:$A,0)),IF(DM$1=INDEX('Valo FX'!$R:$R,MATCH($A33,'Valo FX'!$A:$A,0)),INDEX(Base!$V:$V,MATCH($A33,Base!$A:$A,0)),0)))</f>
        <v>13.67018</v>
      </c>
      <c r="DN33" s="21">
        <f>IF(DN$1&lt;INDEX('Valo FX'!$Q:$Q,MATCH($A33,'Valo FX'!$A:$A,0)),0,IF(DN$1&lt;INDEX('Valo FX'!$R:$R,MATCH($A33,'Valo FX'!$A:$A,0)),INDEX(Base!$U:$U,MATCH($A33,Base!$A:$A,0)),IF(DN$1=INDEX('Valo FX'!$R:$R,MATCH($A33,'Valo FX'!$A:$A,0)),INDEX(Base!$V:$V,MATCH($A33,Base!$A:$A,0)),0)))</f>
        <v>13.67018</v>
      </c>
      <c r="DO33" s="21">
        <f>IF(DO$1&lt;INDEX('Valo FX'!$Q:$Q,MATCH($A33,'Valo FX'!$A:$A,0)),0,IF(DO$1&lt;INDEX('Valo FX'!$R:$R,MATCH($A33,'Valo FX'!$A:$A,0)),INDEX(Base!$U:$U,MATCH($A33,Base!$A:$A,0)),IF(DO$1=INDEX('Valo FX'!$R:$R,MATCH($A33,'Valo FX'!$A:$A,0)),INDEX(Base!$V:$V,MATCH($A33,Base!$A:$A,0)),0)))</f>
        <v>13.67018</v>
      </c>
      <c r="DP33" s="21">
        <f>IF(DP$1&lt;INDEX('Valo FX'!$Q:$Q,MATCH($A33,'Valo FX'!$A:$A,0)),0,IF(DP$1&lt;INDEX('Valo FX'!$R:$R,MATCH($A33,'Valo FX'!$A:$A,0)),INDEX(Base!$U:$U,MATCH($A33,Base!$A:$A,0)),IF(DP$1=INDEX('Valo FX'!$R:$R,MATCH($A33,'Valo FX'!$A:$A,0)),INDEX(Base!$V:$V,MATCH($A33,Base!$A:$A,0)),0)))</f>
        <v>13.67018</v>
      </c>
      <c r="DQ33" s="21">
        <f>IF(DQ$1&lt;INDEX('Valo FX'!$Q:$Q,MATCH($A33,'Valo FX'!$A:$A,0)),0,IF(DQ$1&lt;INDEX('Valo FX'!$R:$R,MATCH($A33,'Valo FX'!$A:$A,0)),INDEX(Base!$U:$U,MATCH($A33,Base!$A:$A,0)),IF(DQ$1=INDEX('Valo FX'!$R:$R,MATCH($A33,'Valo FX'!$A:$A,0)),INDEX(Base!$V:$V,MATCH($A33,Base!$A:$A,0)),0)))</f>
        <v>13.67018</v>
      </c>
      <c r="DR33" s="21">
        <f>IF(DR$1&lt;INDEX('Valo FX'!$Q:$Q,MATCH($A33,'Valo FX'!$A:$A,0)),0,IF(DR$1&lt;INDEX('Valo FX'!$R:$R,MATCH($A33,'Valo FX'!$A:$A,0)),INDEX(Base!$U:$U,MATCH($A33,Base!$A:$A,0)),IF(DR$1=INDEX('Valo FX'!$R:$R,MATCH($A33,'Valo FX'!$A:$A,0)),INDEX(Base!$V:$V,MATCH($A33,Base!$A:$A,0)),0)))</f>
        <v>13.67018</v>
      </c>
      <c r="DS33" s="21">
        <f>IF(DS$1&lt;INDEX('Valo FX'!$Q:$Q,MATCH($A33,'Valo FX'!$A:$A,0)),0,IF(DS$1&lt;INDEX('Valo FX'!$R:$R,MATCH($A33,'Valo FX'!$A:$A,0)),INDEX(Base!$U:$U,MATCH($A33,Base!$A:$A,0)),IF(DS$1=INDEX('Valo FX'!$R:$R,MATCH($A33,'Valo FX'!$A:$A,0)),INDEX(Base!$V:$V,MATCH($A33,Base!$A:$A,0)),0)))</f>
        <v>13.67018</v>
      </c>
      <c r="DT33" s="21">
        <f>IF(DT$1&lt;INDEX('Valo FX'!$Q:$Q,MATCH($A33,'Valo FX'!$A:$A,0)),0,IF(DT$1&lt;INDEX('Valo FX'!$R:$R,MATCH($A33,'Valo FX'!$A:$A,0)),INDEX(Base!$U:$U,MATCH($A33,Base!$A:$A,0)),IF(DT$1=INDEX('Valo FX'!$R:$R,MATCH($A33,'Valo FX'!$A:$A,0)),INDEX(Base!$V:$V,MATCH($A33,Base!$A:$A,0)),0)))</f>
        <v>13.67018</v>
      </c>
      <c r="DU33" s="21">
        <f>IF(DU$1&lt;INDEX('Valo FX'!$Q:$Q,MATCH($A33,'Valo FX'!$A:$A,0)),0,IF(DU$1&lt;INDEX('Valo FX'!$R:$R,MATCH($A33,'Valo FX'!$A:$A,0)),INDEX(Base!$U:$U,MATCH($A33,Base!$A:$A,0)),IF(DU$1=INDEX('Valo FX'!$R:$R,MATCH($A33,'Valo FX'!$A:$A,0)),INDEX(Base!$V:$V,MATCH($A33,Base!$A:$A,0)),0)))</f>
        <v>13.67018</v>
      </c>
      <c r="DV33" s="21">
        <f>IF(DV$1&lt;INDEX('Valo FX'!$Q:$Q,MATCH($A33,'Valo FX'!$A:$A,0)),0,IF(DV$1&lt;INDEX('Valo FX'!$R:$R,MATCH($A33,'Valo FX'!$A:$A,0)),INDEX(Base!$U:$U,MATCH($A33,Base!$A:$A,0)),IF(DV$1=INDEX('Valo FX'!$R:$R,MATCH($A33,'Valo FX'!$A:$A,0)),INDEX(Base!$V:$V,MATCH($A33,Base!$A:$A,0)),0)))</f>
        <v>13.67018</v>
      </c>
      <c r="DW33" s="21">
        <f>IF(DW$1&lt;INDEX('Valo FX'!$Q:$Q,MATCH($A33,'Valo FX'!$A:$A,0)),0,IF(DW$1&lt;INDEX('Valo FX'!$R:$R,MATCH($A33,'Valo FX'!$A:$A,0)),INDEX(Base!$U:$U,MATCH($A33,Base!$A:$A,0)),IF(DW$1=INDEX('Valo FX'!$R:$R,MATCH($A33,'Valo FX'!$A:$A,0)),INDEX(Base!$V:$V,MATCH($A33,Base!$A:$A,0)),0)))</f>
        <v>13.67018</v>
      </c>
      <c r="DX33" s="21">
        <f>IF(DX$1&lt;INDEX('Valo FX'!$Q:$Q,MATCH($A33,'Valo FX'!$A:$A,0)),0,IF(DX$1&lt;INDEX('Valo FX'!$R:$R,MATCH($A33,'Valo FX'!$A:$A,0)),INDEX(Base!$U:$U,MATCH($A33,Base!$A:$A,0)),IF(DX$1=INDEX('Valo FX'!$R:$R,MATCH($A33,'Valo FX'!$A:$A,0)),INDEX(Base!$V:$V,MATCH($A33,Base!$A:$A,0)),0)))</f>
        <v>13.67018</v>
      </c>
      <c r="DY33" s="21">
        <f>IF(DY$1&lt;INDEX('Valo FX'!$Q:$Q,MATCH($A33,'Valo FX'!$A:$A,0)),0,IF(DY$1&lt;INDEX('Valo FX'!$R:$R,MATCH($A33,'Valo FX'!$A:$A,0)),INDEX(Base!$U:$U,MATCH($A33,Base!$A:$A,0)),IF(DY$1=INDEX('Valo FX'!$R:$R,MATCH($A33,'Valo FX'!$A:$A,0)),INDEX(Base!$V:$V,MATCH($A33,Base!$A:$A,0)),0)))</f>
        <v>13.67018</v>
      </c>
      <c r="DZ33" s="21">
        <f>IF(DZ$1&lt;INDEX('Valo FX'!$Q:$Q,MATCH($A33,'Valo FX'!$A:$A,0)),0,IF(DZ$1&lt;INDEX('Valo FX'!$R:$R,MATCH($A33,'Valo FX'!$A:$A,0)),INDEX(Base!$U:$U,MATCH($A33,Base!$A:$A,0)),IF(DZ$1=INDEX('Valo FX'!$R:$R,MATCH($A33,'Valo FX'!$A:$A,0)),INDEX(Base!$V:$V,MATCH($A33,Base!$A:$A,0)),0)))</f>
        <v>13.67018</v>
      </c>
      <c r="EA33" s="21">
        <f>IF(EA$1&lt;INDEX('Valo FX'!$Q:$Q,MATCH($A33,'Valo FX'!$A:$A,0)),0,IF(EA$1&lt;INDEX('Valo FX'!$R:$R,MATCH($A33,'Valo FX'!$A:$A,0)),INDEX(Base!$U:$U,MATCH($A33,Base!$A:$A,0)),IF(EA$1=INDEX('Valo FX'!$R:$R,MATCH($A33,'Valo FX'!$A:$A,0)),INDEX(Base!$V:$V,MATCH($A33,Base!$A:$A,0)),0)))</f>
        <v>13.67018</v>
      </c>
      <c r="EB33" s="21">
        <f>IF(EB$1&lt;INDEX('Valo FX'!$Q:$Q,MATCH($A33,'Valo FX'!$A:$A,0)),0,IF(EB$1&lt;INDEX('Valo FX'!$R:$R,MATCH($A33,'Valo FX'!$A:$A,0)),INDEX(Base!$U:$U,MATCH($A33,Base!$A:$A,0)),IF(EB$1=INDEX('Valo FX'!$R:$R,MATCH($A33,'Valo FX'!$A:$A,0)),INDEX(Base!$V:$V,MATCH($A33,Base!$A:$A,0)),0)))</f>
        <v>13.67018</v>
      </c>
      <c r="EC33" s="21">
        <f>IF(EC$1&lt;INDEX('Valo FX'!$Q:$Q,MATCH($A33,'Valo FX'!$A:$A,0)),0,IF(EC$1&lt;INDEX('Valo FX'!$R:$R,MATCH($A33,'Valo FX'!$A:$A,0)),INDEX(Base!$U:$U,MATCH($A33,Base!$A:$A,0)),IF(EC$1=INDEX('Valo FX'!$R:$R,MATCH($A33,'Valo FX'!$A:$A,0)),INDEX(Base!$V:$V,MATCH($A33,Base!$A:$A,0)),0)))</f>
        <v>13.67018</v>
      </c>
      <c r="ED33" s="21">
        <f>IF(ED$1&lt;INDEX('Valo FX'!$Q:$Q,MATCH($A33,'Valo FX'!$A:$A,0)),0,IF(ED$1&lt;INDEX('Valo FX'!$R:$R,MATCH($A33,'Valo FX'!$A:$A,0)),INDEX(Base!$U:$U,MATCH($A33,Base!$A:$A,0)),IF(ED$1=INDEX('Valo FX'!$R:$R,MATCH($A33,'Valo FX'!$A:$A,0)),INDEX(Base!$V:$V,MATCH($A33,Base!$A:$A,0)),0)))</f>
        <v>13.67018</v>
      </c>
      <c r="EE33" s="21">
        <f>IF(EE$1&lt;INDEX('Valo FX'!$Q:$Q,MATCH($A33,'Valo FX'!$A:$A,0)),0,IF(EE$1&lt;INDEX('Valo FX'!$R:$R,MATCH($A33,'Valo FX'!$A:$A,0)),INDEX(Base!$U:$U,MATCH($A33,Base!$A:$A,0)),IF(EE$1=INDEX('Valo FX'!$R:$R,MATCH($A33,'Valo FX'!$A:$A,0)),INDEX(Base!$V:$V,MATCH($A33,Base!$A:$A,0)),0)))</f>
        <v>13.67018</v>
      </c>
      <c r="EF33" s="21">
        <f>IF(EF$1&lt;INDEX('Valo FX'!$Q:$Q,MATCH($A33,'Valo FX'!$A:$A,0)),0,IF(EF$1&lt;INDEX('Valo FX'!$R:$R,MATCH($A33,'Valo FX'!$A:$A,0)),INDEX(Base!$U:$U,MATCH($A33,Base!$A:$A,0)),IF(EF$1=INDEX('Valo FX'!$R:$R,MATCH($A33,'Valo FX'!$A:$A,0)),INDEX(Base!$V:$V,MATCH($A33,Base!$A:$A,0)),0)))</f>
        <v>13.67018</v>
      </c>
      <c r="EG33" s="21">
        <f>IF(EG$1&lt;INDEX('Valo FX'!$Q:$Q,MATCH($A33,'Valo FX'!$A:$A,0)),0,IF(EG$1&lt;INDEX('Valo FX'!$R:$R,MATCH($A33,'Valo FX'!$A:$A,0)),INDEX(Base!$U:$U,MATCH($A33,Base!$A:$A,0)),IF(EG$1=INDEX('Valo FX'!$R:$R,MATCH($A33,'Valo FX'!$A:$A,0)),INDEX(Base!$V:$V,MATCH($A33,Base!$A:$A,0)),0)))</f>
        <v>13.67018</v>
      </c>
      <c r="EH33" s="21">
        <f>IF(EH$1&lt;INDEX('Valo FX'!$Q:$Q,MATCH($A33,'Valo FX'!$A:$A,0)),0,IF(EH$1&lt;INDEX('Valo FX'!$R:$R,MATCH($A33,'Valo FX'!$A:$A,0)),INDEX(Base!$U:$U,MATCH($A33,Base!$A:$A,0)),IF(EH$1=INDEX('Valo FX'!$R:$R,MATCH($A33,'Valo FX'!$A:$A,0)),INDEX(Base!$V:$V,MATCH($A33,Base!$A:$A,0)),0)))</f>
        <v>13.67018</v>
      </c>
      <c r="EI33" s="21">
        <f>IF(EI$1&lt;INDEX('Valo FX'!$Q:$Q,MATCH($A33,'Valo FX'!$A:$A,0)),0,IF(EI$1&lt;INDEX('Valo FX'!$R:$R,MATCH($A33,'Valo FX'!$A:$A,0)),INDEX(Base!$U:$U,MATCH($A33,Base!$A:$A,0)),IF(EI$1=INDEX('Valo FX'!$R:$R,MATCH($A33,'Valo FX'!$A:$A,0)),INDEX(Base!$V:$V,MATCH($A33,Base!$A:$A,0)),0)))</f>
        <v>13.67018</v>
      </c>
      <c r="EJ33" s="21">
        <f>IF(EJ$1&lt;INDEX('Valo FX'!$Q:$Q,MATCH($A33,'Valo FX'!$A:$A,0)),0,IF(EJ$1&lt;INDEX('Valo FX'!$R:$R,MATCH($A33,'Valo FX'!$A:$A,0)),INDEX(Base!$U:$U,MATCH($A33,Base!$A:$A,0)),IF(EJ$1=INDEX('Valo FX'!$R:$R,MATCH($A33,'Valo FX'!$A:$A,0)),INDEX(Base!$V:$V,MATCH($A33,Base!$A:$A,0)),0)))</f>
        <v>13.67018</v>
      </c>
      <c r="EK33" s="21">
        <f>IF(EK$1&lt;INDEX('Valo FX'!$Q:$Q,MATCH($A33,'Valo FX'!$A:$A,0)),0,IF(EK$1&lt;INDEX('Valo FX'!$R:$R,MATCH($A33,'Valo FX'!$A:$A,0)),INDEX(Base!$U:$U,MATCH($A33,Base!$A:$A,0)),IF(EK$1=INDEX('Valo FX'!$R:$R,MATCH($A33,'Valo FX'!$A:$A,0)),INDEX(Base!$V:$V,MATCH($A33,Base!$A:$A,0)),0)))</f>
        <v>13.67018</v>
      </c>
      <c r="EL33" s="21">
        <f>IF(EL$1&lt;INDEX('Valo FX'!$Q:$Q,MATCH($A33,'Valo FX'!$A:$A,0)),0,IF(EL$1&lt;INDEX('Valo FX'!$R:$R,MATCH($A33,'Valo FX'!$A:$A,0)),INDEX(Base!$U:$U,MATCH($A33,Base!$A:$A,0)),IF(EL$1=INDEX('Valo FX'!$R:$R,MATCH($A33,'Valo FX'!$A:$A,0)),INDEX(Base!$V:$V,MATCH($A33,Base!$A:$A,0)),0)))</f>
        <v>13.67018</v>
      </c>
      <c r="EM33" s="21">
        <f>IF(EM$1&lt;INDEX('Valo FX'!$Q:$Q,MATCH($A33,'Valo FX'!$A:$A,0)),0,IF(EM$1&lt;INDEX('Valo FX'!$R:$R,MATCH($A33,'Valo FX'!$A:$A,0)),INDEX(Base!$U:$U,MATCH($A33,Base!$A:$A,0)),IF(EM$1=INDEX('Valo FX'!$R:$R,MATCH($A33,'Valo FX'!$A:$A,0)),INDEX(Base!$V:$V,MATCH($A33,Base!$A:$A,0)),0)))</f>
        <v>13.67018</v>
      </c>
      <c r="EN33" s="21">
        <f>IF(EN$1&lt;INDEX('Valo FX'!$Q:$Q,MATCH($A33,'Valo FX'!$A:$A,0)),0,IF(EN$1&lt;INDEX('Valo FX'!$R:$R,MATCH($A33,'Valo FX'!$A:$A,0)),INDEX(Base!$U:$U,MATCH($A33,Base!$A:$A,0)),IF(EN$1=INDEX('Valo FX'!$R:$R,MATCH($A33,'Valo FX'!$A:$A,0)),INDEX(Base!$V:$V,MATCH($A33,Base!$A:$A,0)),0)))</f>
        <v>13.67018</v>
      </c>
      <c r="EO33" s="21">
        <f>IF(EO$1&lt;INDEX('Valo FX'!$Q:$Q,MATCH($A33,'Valo FX'!$A:$A,0)),0,IF(EO$1&lt;INDEX('Valo FX'!$R:$R,MATCH($A33,'Valo FX'!$A:$A,0)),INDEX(Base!$U:$U,MATCH($A33,Base!$A:$A,0)),IF(EO$1=INDEX('Valo FX'!$R:$R,MATCH($A33,'Valo FX'!$A:$A,0)),INDEX(Base!$V:$V,MATCH($A33,Base!$A:$A,0)),0)))</f>
        <v>13.67018</v>
      </c>
      <c r="EP33" s="21">
        <f>IF(EP$1&lt;INDEX('Valo FX'!$Q:$Q,MATCH($A33,'Valo FX'!$A:$A,0)),0,IF(EP$1&lt;INDEX('Valo FX'!$R:$R,MATCH($A33,'Valo FX'!$A:$A,0)),INDEX(Base!$U:$U,MATCH($A33,Base!$A:$A,0)),IF(EP$1=INDEX('Valo FX'!$R:$R,MATCH($A33,'Valo FX'!$A:$A,0)),INDEX(Base!$V:$V,MATCH($A33,Base!$A:$A,0)),0)))</f>
        <v>13.67018</v>
      </c>
      <c r="EQ33" s="21">
        <f>IF(EQ$1&lt;INDEX('Valo FX'!$Q:$Q,MATCH($A33,'Valo FX'!$A:$A,0)),0,IF(EQ$1&lt;INDEX('Valo FX'!$R:$R,MATCH($A33,'Valo FX'!$A:$A,0)),INDEX(Base!$U:$U,MATCH($A33,Base!$A:$A,0)),IF(EQ$1=INDEX('Valo FX'!$R:$R,MATCH($A33,'Valo FX'!$A:$A,0)),INDEX(Base!$V:$V,MATCH($A33,Base!$A:$A,0)),0)))</f>
        <v>13.67018</v>
      </c>
      <c r="ER33" s="21">
        <f>IF(ER$1&lt;INDEX('Valo FX'!$Q:$Q,MATCH($A33,'Valo FX'!$A:$A,0)),0,IF(ER$1&lt;INDEX('Valo FX'!$R:$R,MATCH($A33,'Valo FX'!$A:$A,0)),INDEX(Base!$U:$U,MATCH($A33,Base!$A:$A,0)),IF(ER$1=INDEX('Valo FX'!$R:$R,MATCH($A33,'Valo FX'!$A:$A,0)),INDEX(Base!$V:$V,MATCH($A33,Base!$A:$A,0)),0)))</f>
        <v>13.67018</v>
      </c>
      <c r="ES33" s="21">
        <f>IF(ES$1&lt;INDEX('Valo FX'!$Q:$Q,MATCH($A33,'Valo FX'!$A:$A,0)),0,IF(ES$1&lt;INDEX('Valo FX'!$R:$R,MATCH($A33,'Valo FX'!$A:$A,0)),INDEX(Base!$U:$U,MATCH($A33,Base!$A:$A,0)),IF(ES$1=INDEX('Valo FX'!$R:$R,MATCH($A33,'Valo FX'!$A:$A,0)),INDEX(Base!$V:$V,MATCH($A33,Base!$A:$A,0)),0)))</f>
        <v>13.67018</v>
      </c>
      <c r="ET33" s="21">
        <f>IF(ET$1&lt;INDEX('Valo FX'!$Q:$Q,MATCH($A33,'Valo FX'!$A:$A,0)),0,IF(ET$1&lt;INDEX('Valo FX'!$R:$R,MATCH($A33,'Valo FX'!$A:$A,0)),INDEX(Base!$U:$U,MATCH($A33,Base!$A:$A,0)),IF(ET$1=INDEX('Valo FX'!$R:$R,MATCH($A33,'Valo FX'!$A:$A,0)),INDEX(Base!$V:$V,MATCH($A33,Base!$A:$A,0)),0)))</f>
        <v>13.67018</v>
      </c>
      <c r="EU33" s="21">
        <f>IF(EU$1&lt;INDEX('Valo FX'!$Q:$Q,MATCH($A33,'Valo FX'!$A:$A,0)),0,IF(EU$1&lt;INDEX('Valo FX'!$R:$R,MATCH($A33,'Valo FX'!$A:$A,0)),INDEX(Base!$U:$U,MATCH($A33,Base!$A:$A,0)),IF(EU$1=INDEX('Valo FX'!$R:$R,MATCH($A33,'Valo FX'!$A:$A,0)),INDEX(Base!$V:$V,MATCH($A33,Base!$A:$A,0)),0)))</f>
        <v>13.67018</v>
      </c>
      <c r="EV33" s="21">
        <f>IF(EV$1&lt;INDEX('Valo FX'!$Q:$Q,MATCH($A33,'Valo FX'!$A:$A,0)),0,IF(EV$1&lt;INDEX('Valo FX'!$R:$R,MATCH($A33,'Valo FX'!$A:$A,0)),INDEX(Base!$U:$U,MATCH($A33,Base!$A:$A,0)),IF(EV$1=INDEX('Valo FX'!$R:$R,MATCH($A33,'Valo FX'!$A:$A,0)),INDEX(Base!$V:$V,MATCH($A33,Base!$A:$A,0)),0)))</f>
        <v>13.67018</v>
      </c>
      <c r="EW33" s="21">
        <f>IF(EW$1&lt;INDEX('Valo FX'!$Q:$Q,MATCH($A33,'Valo FX'!$A:$A,0)),0,IF(EW$1&lt;INDEX('Valo FX'!$R:$R,MATCH($A33,'Valo FX'!$A:$A,0)),INDEX(Base!$U:$U,MATCH($A33,Base!$A:$A,0)),IF(EW$1=INDEX('Valo FX'!$R:$R,MATCH($A33,'Valo FX'!$A:$A,0)),INDEX(Base!$V:$V,MATCH($A33,Base!$A:$A,0)),0)))</f>
        <v>13.67018</v>
      </c>
      <c r="EX33" s="21">
        <f>IF(EX$1&lt;INDEX('Valo FX'!$Q:$Q,MATCH($A33,'Valo FX'!$A:$A,0)),0,IF(EX$1&lt;INDEX('Valo FX'!$R:$R,MATCH($A33,'Valo FX'!$A:$A,0)),INDEX(Base!$U:$U,MATCH($A33,Base!$A:$A,0)),IF(EX$1=INDEX('Valo FX'!$R:$R,MATCH($A33,'Valo FX'!$A:$A,0)),INDEX(Base!$V:$V,MATCH($A33,Base!$A:$A,0)),0)))</f>
        <v>13.67018</v>
      </c>
      <c r="EY33" s="21">
        <f>IF(EY$1&lt;INDEX('Valo FX'!$Q:$Q,MATCH($A33,'Valo FX'!$A:$A,0)),0,IF(EY$1&lt;INDEX('Valo FX'!$R:$R,MATCH($A33,'Valo FX'!$A:$A,0)),INDEX(Base!$U:$U,MATCH($A33,Base!$A:$A,0)),IF(EY$1=INDEX('Valo FX'!$R:$R,MATCH($A33,'Valo FX'!$A:$A,0)),INDEX(Base!$V:$V,MATCH($A33,Base!$A:$A,0)),0)))</f>
        <v>13.67018</v>
      </c>
      <c r="EZ33" s="21">
        <f>IF(EZ$1&lt;INDEX('Valo FX'!$Q:$Q,MATCH($A33,'Valo FX'!$A:$A,0)),0,IF(EZ$1&lt;INDEX('Valo FX'!$R:$R,MATCH($A33,'Valo FX'!$A:$A,0)),INDEX(Base!$U:$U,MATCH($A33,Base!$A:$A,0)),IF(EZ$1=INDEX('Valo FX'!$R:$R,MATCH($A33,'Valo FX'!$A:$A,0)),INDEX(Base!$V:$V,MATCH($A33,Base!$A:$A,0)),0)))</f>
        <v>13.67018</v>
      </c>
      <c r="FA33" s="21">
        <f>IF(FA$1&lt;INDEX('Valo FX'!$Q:$Q,MATCH($A33,'Valo FX'!$A:$A,0)),0,IF(FA$1&lt;INDEX('Valo FX'!$R:$R,MATCH($A33,'Valo FX'!$A:$A,0)),INDEX(Base!$U:$U,MATCH($A33,Base!$A:$A,0)),IF(FA$1=INDEX('Valo FX'!$R:$R,MATCH($A33,'Valo FX'!$A:$A,0)),INDEX(Base!$V:$V,MATCH($A33,Base!$A:$A,0)),0)))</f>
        <v>13.67018</v>
      </c>
      <c r="FB33" s="21">
        <f>IF(FB$1&lt;INDEX('Valo FX'!$Q:$Q,MATCH($A33,'Valo FX'!$A:$A,0)),0,IF(FB$1&lt;INDEX('Valo FX'!$R:$R,MATCH($A33,'Valo FX'!$A:$A,0)),INDEX(Base!$U:$U,MATCH($A33,Base!$A:$A,0)),IF(FB$1=INDEX('Valo FX'!$R:$R,MATCH($A33,'Valo FX'!$A:$A,0)),INDEX(Base!$V:$V,MATCH($A33,Base!$A:$A,0)),0)))</f>
        <v>13.67018</v>
      </c>
      <c r="FC33" s="21">
        <f>IF(FC$1&lt;INDEX('Valo FX'!$Q:$Q,MATCH($A33,'Valo FX'!$A:$A,0)),0,IF(FC$1&lt;INDEX('Valo FX'!$R:$R,MATCH($A33,'Valo FX'!$A:$A,0)),INDEX(Base!$U:$U,MATCH($A33,Base!$A:$A,0)),IF(FC$1=INDEX('Valo FX'!$R:$R,MATCH($A33,'Valo FX'!$A:$A,0)),INDEX(Base!$V:$V,MATCH($A33,Base!$A:$A,0)),0)))</f>
        <v>13.67018</v>
      </c>
      <c r="FD33" s="21">
        <f>IF(FD$1&lt;INDEX('Valo FX'!$Q:$Q,MATCH($A33,'Valo FX'!$A:$A,0)),0,IF(FD$1&lt;INDEX('Valo FX'!$R:$R,MATCH($A33,'Valo FX'!$A:$A,0)),INDEX(Base!$U:$U,MATCH($A33,Base!$A:$A,0)),IF(FD$1=INDEX('Valo FX'!$R:$R,MATCH($A33,'Valo FX'!$A:$A,0)),INDEX(Base!$V:$V,MATCH($A33,Base!$A:$A,0)),0)))</f>
        <v>13.67018</v>
      </c>
      <c r="FE33" s="21">
        <f>IF(FE$1&lt;INDEX('Valo FX'!$Q:$Q,MATCH($A33,'Valo FX'!$A:$A,0)),0,IF(FE$1&lt;INDEX('Valo FX'!$R:$R,MATCH($A33,'Valo FX'!$A:$A,0)),INDEX(Base!$U:$U,MATCH($A33,Base!$A:$A,0)),IF(FE$1=INDEX('Valo FX'!$R:$R,MATCH($A33,'Valo FX'!$A:$A,0)),INDEX(Base!$V:$V,MATCH($A33,Base!$A:$A,0)),0)))</f>
        <v>13.67018</v>
      </c>
      <c r="FF33" s="21">
        <f>IF(FF$1&lt;INDEX('Valo FX'!$Q:$Q,MATCH($A33,'Valo FX'!$A:$A,0)),0,IF(FF$1&lt;INDEX('Valo FX'!$R:$R,MATCH($A33,'Valo FX'!$A:$A,0)),INDEX(Base!$U:$U,MATCH($A33,Base!$A:$A,0)),IF(FF$1=INDEX('Valo FX'!$R:$R,MATCH($A33,'Valo FX'!$A:$A,0)),INDEX(Base!$V:$V,MATCH($A33,Base!$A:$A,0)),0)))</f>
        <v>13.67018</v>
      </c>
      <c r="FG33" s="21">
        <f>IF(FG$1&lt;INDEX('Valo FX'!$Q:$Q,MATCH($A33,'Valo FX'!$A:$A,0)),0,IF(FG$1&lt;INDEX('Valo FX'!$R:$R,MATCH($A33,'Valo FX'!$A:$A,0)),INDEX(Base!$U:$U,MATCH($A33,Base!$A:$A,0)),IF(FG$1=INDEX('Valo FX'!$R:$R,MATCH($A33,'Valo FX'!$A:$A,0)),INDEX(Base!$V:$V,MATCH($A33,Base!$A:$A,0)),0)))</f>
        <v>13.67018</v>
      </c>
      <c r="FH33" s="21">
        <f>IF(FH$1&lt;INDEX('Valo FX'!$Q:$Q,MATCH($A33,'Valo FX'!$A:$A,0)),0,IF(FH$1&lt;INDEX('Valo FX'!$R:$R,MATCH($A33,'Valo FX'!$A:$A,0)),INDEX(Base!$U:$U,MATCH($A33,Base!$A:$A,0)),IF(FH$1=INDEX('Valo FX'!$R:$R,MATCH($A33,'Valo FX'!$A:$A,0)),INDEX(Base!$V:$V,MATCH($A33,Base!$A:$A,0)),0)))</f>
        <v>13.67018</v>
      </c>
      <c r="FI33" s="21">
        <f>IF(FI$1&lt;INDEX('Valo FX'!$Q:$Q,MATCH($A33,'Valo FX'!$A:$A,0)),0,IF(FI$1&lt;INDEX('Valo FX'!$R:$R,MATCH($A33,'Valo FX'!$A:$A,0)),INDEX(Base!$U:$U,MATCH($A33,Base!$A:$A,0)),IF(FI$1=INDEX('Valo FX'!$R:$R,MATCH($A33,'Valo FX'!$A:$A,0)),INDEX(Base!$V:$V,MATCH($A33,Base!$A:$A,0)),0)))</f>
        <v>13.67018</v>
      </c>
      <c r="FJ33" s="21">
        <f>IF(FJ$1&lt;INDEX('Valo FX'!$Q:$Q,MATCH($A33,'Valo FX'!$A:$A,0)),0,IF(FJ$1&lt;INDEX('Valo FX'!$R:$R,MATCH($A33,'Valo FX'!$A:$A,0)),INDEX(Base!$U:$U,MATCH($A33,Base!$A:$A,0)),IF(FJ$1=INDEX('Valo FX'!$R:$R,MATCH($A33,'Valo FX'!$A:$A,0)),INDEX(Base!$V:$V,MATCH($A33,Base!$A:$A,0)),0)))</f>
        <v>13.67018</v>
      </c>
      <c r="FK33" s="21">
        <f>IF(FK$1&lt;INDEX('Valo FX'!$Q:$Q,MATCH($A33,'Valo FX'!$A:$A,0)),0,IF(FK$1&lt;INDEX('Valo FX'!$R:$R,MATCH($A33,'Valo FX'!$A:$A,0)),INDEX(Base!$U:$U,MATCH($A33,Base!$A:$A,0)),IF(FK$1=INDEX('Valo FX'!$R:$R,MATCH($A33,'Valo FX'!$A:$A,0)),INDEX(Base!$V:$V,MATCH($A33,Base!$A:$A,0)),0)))</f>
        <v>13.67018</v>
      </c>
      <c r="FL33" s="21">
        <f>IF(FL$1&lt;INDEX('Valo FX'!$Q:$Q,MATCH($A33,'Valo FX'!$A:$A,0)),0,IF(FL$1&lt;INDEX('Valo FX'!$R:$R,MATCH($A33,'Valo FX'!$A:$A,0)),INDEX(Base!$U:$U,MATCH($A33,Base!$A:$A,0)),IF(FL$1=INDEX('Valo FX'!$R:$R,MATCH($A33,'Valo FX'!$A:$A,0)),INDEX(Base!$V:$V,MATCH($A33,Base!$A:$A,0)),0)))</f>
        <v>13.67018</v>
      </c>
      <c r="FM33" s="21">
        <f>IF(FM$1&lt;INDEX('Valo FX'!$Q:$Q,MATCH($A33,'Valo FX'!$A:$A,0)),0,IF(FM$1&lt;INDEX('Valo FX'!$R:$R,MATCH($A33,'Valo FX'!$A:$A,0)),INDEX(Base!$U:$U,MATCH($A33,Base!$A:$A,0)),IF(FM$1=INDEX('Valo FX'!$R:$R,MATCH($A33,'Valo FX'!$A:$A,0)),INDEX(Base!$V:$V,MATCH($A33,Base!$A:$A,0)),0)))</f>
        <v>13.67018</v>
      </c>
      <c r="FN33" s="21">
        <f>IF(FN$1&lt;INDEX('Valo FX'!$Q:$Q,MATCH($A33,'Valo FX'!$A:$A,0)),0,IF(FN$1&lt;INDEX('Valo FX'!$R:$R,MATCH($A33,'Valo FX'!$A:$A,0)),INDEX(Base!$U:$U,MATCH($A33,Base!$A:$A,0)),IF(FN$1=INDEX('Valo FX'!$R:$R,MATCH($A33,'Valo FX'!$A:$A,0)),INDEX(Base!$V:$V,MATCH($A33,Base!$A:$A,0)),0)))</f>
        <v>13.67018</v>
      </c>
      <c r="FO33" s="21">
        <f>IF(FO$1&lt;INDEX('Valo FX'!$Q:$Q,MATCH($A33,'Valo FX'!$A:$A,0)),0,IF(FO$1&lt;INDEX('Valo FX'!$R:$R,MATCH($A33,'Valo FX'!$A:$A,0)),INDEX(Base!$U:$U,MATCH($A33,Base!$A:$A,0)),IF(FO$1=INDEX('Valo FX'!$R:$R,MATCH($A33,'Valo FX'!$A:$A,0)),INDEX(Base!$V:$V,MATCH($A33,Base!$A:$A,0)),0)))</f>
        <v>13.67018</v>
      </c>
      <c r="FP33" s="21">
        <f>IF(FP$1&lt;INDEX('Valo FX'!$Q:$Q,MATCH($A33,'Valo FX'!$A:$A,0)),0,IF(FP$1&lt;INDEX('Valo FX'!$R:$R,MATCH($A33,'Valo FX'!$A:$A,0)),INDEX(Base!$U:$U,MATCH($A33,Base!$A:$A,0)),IF(FP$1=INDEX('Valo FX'!$R:$R,MATCH($A33,'Valo FX'!$A:$A,0)),INDEX(Base!$V:$V,MATCH($A33,Base!$A:$A,0)),0)))</f>
        <v>13.67018</v>
      </c>
      <c r="FQ33" s="21">
        <f>IF(FQ$1&lt;INDEX('Valo FX'!$Q:$Q,MATCH($A33,'Valo FX'!$A:$A,0)),0,IF(FQ$1&lt;INDEX('Valo FX'!$R:$R,MATCH($A33,'Valo FX'!$A:$A,0)),INDEX(Base!$U:$U,MATCH($A33,Base!$A:$A,0)),IF(FQ$1=INDEX('Valo FX'!$R:$R,MATCH($A33,'Valo FX'!$A:$A,0)),INDEX(Base!$V:$V,MATCH($A33,Base!$A:$A,0)),0)))</f>
        <v>13.67018</v>
      </c>
      <c r="FR33" s="21">
        <f>IF(FR$1&lt;INDEX('Valo FX'!$Q:$Q,MATCH($A33,'Valo FX'!$A:$A,0)),0,IF(FR$1&lt;INDEX('Valo FX'!$R:$R,MATCH($A33,'Valo FX'!$A:$A,0)),INDEX(Base!$U:$U,MATCH($A33,Base!$A:$A,0)),IF(FR$1=INDEX('Valo FX'!$R:$R,MATCH($A33,'Valo FX'!$A:$A,0)),INDEX(Base!$V:$V,MATCH($A33,Base!$A:$A,0)),0)))</f>
        <v>13.67018</v>
      </c>
      <c r="FS33" s="21">
        <f>IF(FS$1&lt;INDEX('Valo FX'!$Q:$Q,MATCH($A33,'Valo FX'!$A:$A,0)),0,IF(FS$1&lt;INDEX('Valo FX'!$R:$R,MATCH($A33,'Valo FX'!$A:$A,0)),INDEX(Base!$U:$U,MATCH($A33,Base!$A:$A,0)),IF(FS$1=INDEX('Valo FX'!$R:$R,MATCH($A33,'Valo FX'!$A:$A,0)),INDEX(Base!$V:$V,MATCH($A33,Base!$A:$A,0)),0)))</f>
        <v>13.67018</v>
      </c>
      <c r="FT33" s="21">
        <f>IF(FT$1&lt;INDEX('Valo FX'!$Q:$Q,MATCH($A33,'Valo FX'!$A:$A,0)),0,IF(FT$1&lt;INDEX('Valo FX'!$R:$R,MATCH($A33,'Valo FX'!$A:$A,0)),INDEX(Base!$U:$U,MATCH($A33,Base!$A:$A,0)),IF(FT$1=INDEX('Valo FX'!$R:$R,MATCH($A33,'Valo FX'!$A:$A,0)),INDEX(Base!$V:$V,MATCH($A33,Base!$A:$A,0)),0)))</f>
        <v>13.67018</v>
      </c>
      <c r="FU33" s="21">
        <f>IF(FU$1&lt;INDEX('Valo FX'!$Q:$Q,MATCH($A33,'Valo FX'!$A:$A,0)),0,IF(FU$1&lt;INDEX('Valo FX'!$R:$R,MATCH($A33,'Valo FX'!$A:$A,0)),INDEX(Base!$U:$U,MATCH($A33,Base!$A:$A,0)),IF(FU$1=INDEX('Valo FX'!$R:$R,MATCH($A33,'Valo FX'!$A:$A,0)),INDEX(Base!$V:$V,MATCH($A33,Base!$A:$A,0)),0)))</f>
        <v>13.67018</v>
      </c>
      <c r="FV33" s="21">
        <f>IF(FV$1&lt;INDEX('Valo FX'!$Q:$Q,MATCH($A33,'Valo FX'!$A:$A,0)),0,IF(FV$1&lt;INDEX('Valo FX'!$R:$R,MATCH($A33,'Valo FX'!$A:$A,0)),INDEX(Base!$U:$U,MATCH($A33,Base!$A:$A,0)),IF(FV$1=INDEX('Valo FX'!$R:$R,MATCH($A33,'Valo FX'!$A:$A,0)),INDEX(Base!$V:$V,MATCH($A33,Base!$A:$A,0)),0)))</f>
        <v>13.67018</v>
      </c>
      <c r="FW33" s="21">
        <f>IF(FW$1&lt;INDEX('Valo FX'!$Q:$Q,MATCH($A33,'Valo FX'!$A:$A,0)),0,IF(FW$1&lt;INDEX('Valo FX'!$R:$R,MATCH($A33,'Valo FX'!$A:$A,0)),INDEX(Base!$U:$U,MATCH($A33,Base!$A:$A,0)),IF(FW$1=INDEX('Valo FX'!$R:$R,MATCH($A33,'Valo FX'!$A:$A,0)),INDEX(Base!$V:$V,MATCH($A33,Base!$A:$A,0)),0)))</f>
        <v>13.67018</v>
      </c>
      <c r="FX33" s="21">
        <f>IF(FX$1&lt;INDEX('Valo FX'!$Q:$Q,MATCH($A33,'Valo FX'!$A:$A,0)),0,IF(FX$1&lt;INDEX('Valo FX'!$R:$R,MATCH($A33,'Valo FX'!$A:$A,0)),INDEX(Base!$U:$U,MATCH($A33,Base!$A:$A,0)),IF(FX$1=INDEX('Valo FX'!$R:$R,MATCH($A33,'Valo FX'!$A:$A,0)),INDEX(Base!$V:$V,MATCH($A33,Base!$A:$A,0)),0)))</f>
        <v>13.67018</v>
      </c>
      <c r="FY33" s="21">
        <f>IF(FY$1&lt;INDEX('Valo FX'!$Q:$Q,MATCH($A33,'Valo FX'!$A:$A,0)),0,IF(FY$1&lt;INDEX('Valo FX'!$R:$R,MATCH($A33,'Valo FX'!$A:$A,0)),INDEX(Base!$U:$U,MATCH($A33,Base!$A:$A,0)),IF(FY$1=INDEX('Valo FX'!$R:$R,MATCH($A33,'Valo FX'!$A:$A,0)),INDEX(Base!$V:$V,MATCH($A33,Base!$A:$A,0)),0)))</f>
        <v>13.67018</v>
      </c>
      <c r="FZ33" s="21">
        <f>IF(FZ$1&lt;INDEX('Valo FX'!$Q:$Q,MATCH($A33,'Valo FX'!$A:$A,0)),0,IF(FZ$1&lt;INDEX('Valo FX'!$R:$R,MATCH($A33,'Valo FX'!$A:$A,0)),INDEX(Base!$U:$U,MATCH($A33,Base!$A:$A,0)),IF(FZ$1=INDEX('Valo FX'!$R:$R,MATCH($A33,'Valo FX'!$A:$A,0)),INDEX(Base!$V:$V,MATCH($A33,Base!$A:$A,0)),0)))</f>
        <v>13.67018</v>
      </c>
      <c r="GA33" s="21">
        <f>IF(GA$1&lt;INDEX('Valo FX'!$Q:$Q,MATCH($A33,'Valo FX'!$A:$A,0)),0,IF(GA$1&lt;INDEX('Valo FX'!$R:$R,MATCH($A33,'Valo FX'!$A:$A,0)),INDEX(Base!$U:$U,MATCH($A33,Base!$A:$A,0)),IF(GA$1=INDEX('Valo FX'!$R:$R,MATCH($A33,'Valo FX'!$A:$A,0)),INDEX(Base!$V:$V,MATCH($A33,Base!$A:$A,0)),0)))</f>
        <v>13.67018</v>
      </c>
      <c r="GB33" s="21">
        <f>IF(GB$1&lt;INDEX('Valo FX'!$Q:$Q,MATCH($A33,'Valo FX'!$A:$A,0)),0,IF(GB$1&lt;INDEX('Valo FX'!$R:$R,MATCH($A33,'Valo FX'!$A:$A,0)),INDEX(Base!$U:$U,MATCH($A33,Base!$A:$A,0)),IF(GB$1=INDEX('Valo FX'!$R:$R,MATCH($A33,'Valo FX'!$A:$A,0)),INDEX(Base!$V:$V,MATCH($A33,Base!$A:$A,0)),0)))</f>
        <v>13.67018</v>
      </c>
      <c r="GC33" s="21">
        <f>IF(GC$1&lt;INDEX('Valo FX'!$Q:$Q,MATCH($A33,'Valo FX'!$A:$A,0)),0,IF(GC$1&lt;INDEX('Valo FX'!$R:$R,MATCH($A33,'Valo FX'!$A:$A,0)),INDEX(Base!$U:$U,MATCH($A33,Base!$A:$A,0)),IF(GC$1=INDEX('Valo FX'!$R:$R,MATCH($A33,'Valo FX'!$A:$A,0)),INDEX(Base!$V:$V,MATCH($A33,Base!$A:$A,0)),0)))</f>
        <v>13.67018</v>
      </c>
      <c r="GD33" s="21">
        <f>IF(GD$1&lt;INDEX('Valo FX'!$Q:$Q,MATCH($A33,'Valo FX'!$A:$A,0)),0,IF(GD$1&lt;INDEX('Valo FX'!$R:$R,MATCH($A33,'Valo FX'!$A:$A,0)),INDEX(Base!$U:$U,MATCH($A33,Base!$A:$A,0)),IF(GD$1=INDEX('Valo FX'!$R:$R,MATCH($A33,'Valo FX'!$A:$A,0)),INDEX(Base!$V:$V,MATCH($A33,Base!$A:$A,0)),0)))</f>
        <v>13.67018</v>
      </c>
      <c r="GE33" s="21">
        <f>IF(GE$1&lt;INDEX('Valo FX'!$Q:$Q,MATCH($A33,'Valo FX'!$A:$A,0)),0,IF(GE$1&lt;INDEX('Valo FX'!$R:$R,MATCH($A33,'Valo FX'!$A:$A,0)),INDEX(Base!$U:$U,MATCH($A33,Base!$A:$A,0)),IF(GE$1=INDEX('Valo FX'!$R:$R,MATCH($A33,'Valo FX'!$A:$A,0)),INDEX(Base!$V:$V,MATCH($A33,Base!$A:$A,0)),0)))</f>
        <v>13.67018</v>
      </c>
      <c r="GF33" s="21">
        <f>IF(GF$1&lt;INDEX('Valo FX'!$Q:$Q,MATCH($A33,'Valo FX'!$A:$A,0)),0,IF(GF$1&lt;INDEX('Valo FX'!$R:$R,MATCH($A33,'Valo FX'!$A:$A,0)),INDEX(Base!$U:$U,MATCH($A33,Base!$A:$A,0)),IF(GF$1=INDEX('Valo FX'!$R:$R,MATCH($A33,'Valo FX'!$A:$A,0)),INDEX(Base!$V:$V,MATCH($A33,Base!$A:$A,0)),0)))</f>
        <v>13.67018</v>
      </c>
      <c r="GG33" s="21">
        <f>IF(GG$1&lt;INDEX('Valo FX'!$Q:$Q,MATCH($A33,'Valo FX'!$A:$A,0)),0,IF(GG$1&lt;INDEX('Valo FX'!$R:$R,MATCH($A33,'Valo FX'!$A:$A,0)),INDEX(Base!$U:$U,MATCH($A33,Base!$A:$A,0)),IF(GG$1=INDEX('Valo FX'!$R:$R,MATCH($A33,'Valo FX'!$A:$A,0)),INDEX(Base!$V:$V,MATCH($A33,Base!$A:$A,0)),0)))</f>
        <v>13.67018</v>
      </c>
      <c r="GH33" s="21">
        <f>IF(GH$1&lt;INDEX('Valo FX'!$Q:$Q,MATCH($A33,'Valo FX'!$A:$A,0)),0,IF(GH$1&lt;INDEX('Valo FX'!$R:$R,MATCH($A33,'Valo FX'!$A:$A,0)),INDEX(Base!$U:$U,MATCH($A33,Base!$A:$A,0)),IF(GH$1=INDEX('Valo FX'!$R:$R,MATCH($A33,'Valo FX'!$A:$A,0)),INDEX(Base!$V:$V,MATCH($A33,Base!$A:$A,0)),0)))</f>
        <v>13.67018</v>
      </c>
      <c r="GI33" s="21">
        <f>IF(GI$1&lt;INDEX('Valo FX'!$Q:$Q,MATCH($A33,'Valo FX'!$A:$A,0)),0,IF(GI$1&lt;INDEX('Valo FX'!$R:$R,MATCH($A33,'Valo FX'!$A:$A,0)),INDEX(Base!$U:$U,MATCH($A33,Base!$A:$A,0)),IF(GI$1=INDEX('Valo FX'!$R:$R,MATCH($A33,'Valo FX'!$A:$A,0)),INDEX(Base!$V:$V,MATCH($A33,Base!$A:$A,0)),0)))</f>
        <v>13.67018</v>
      </c>
      <c r="GJ33" s="21">
        <f>IF(GJ$1&lt;INDEX('Valo FX'!$Q:$Q,MATCH($A33,'Valo FX'!$A:$A,0)),0,IF(GJ$1&lt;INDEX('Valo FX'!$R:$R,MATCH($A33,'Valo FX'!$A:$A,0)),INDEX(Base!$U:$U,MATCH($A33,Base!$A:$A,0)),IF(GJ$1=INDEX('Valo FX'!$R:$R,MATCH($A33,'Valo FX'!$A:$A,0)),INDEX(Base!$V:$V,MATCH($A33,Base!$A:$A,0)),0)))</f>
        <v>13.67018</v>
      </c>
      <c r="GK33" s="21">
        <f>IF(GK$1&lt;INDEX('Valo FX'!$Q:$Q,MATCH($A33,'Valo FX'!$A:$A,0)),0,IF(GK$1&lt;INDEX('Valo FX'!$R:$R,MATCH($A33,'Valo FX'!$A:$A,0)),INDEX(Base!$U:$U,MATCH($A33,Base!$A:$A,0)),IF(GK$1=INDEX('Valo FX'!$R:$R,MATCH($A33,'Valo FX'!$A:$A,0)),INDEX(Base!$V:$V,MATCH($A33,Base!$A:$A,0)),0)))</f>
        <v>13.67018</v>
      </c>
      <c r="GL33" s="21">
        <f>IF(GL$1&lt;INDEX('Valo FX'!$Q:$Q,MATCH($A33,'Valo FX'!$A:$A,0)),0,IF(GL$1&lt;INDEX('Valo FX'!$R:$R,MATCH($A33,'Valo FX'!$A:$A,0)),INDEX(Base!$U:$U,MATCH($A33,Base!$A:$A,0)),IF(GL$1=INDEX('Valo FX'!$R:$R,MATCH($A33,'Valo FX'!$A:$A,0)),INDEX(Base!$V:$V,MATCH($A33,Base!$A:$A,0)),0)))</f>
        <v>13.67018</v>
      </c>
      <c r="GM33" s="21">
        <f>IF(GM$1&lt;INDEX('Valo FX'!$Q:$Q,MATCH($A33,'Valo FX'!$A:$A,0)),0,IF(GM$1&lt;INDEX('Valo FX'!$R:$R,MATCH($A33,'Valo FX'!$A:$A,0)),INDEX(Base!$U:$U,MATCH($A33,Base!$A:$A,0)),IF(GM$1=INDEX('Valo FX'!$R:$R,MATCH($A33,'Valo FX'!$A:$A,0)),INDEX(Base!$V:$V,MATCH($A33,Base!$A:$A,0)),0)))</f>
        <v>13.67018</v>
      </c>
      <c r="GN33" s="21">
        <f>IF(GN$1&lt;INDEX('Valo FX'!$Q:$Q,MATCH($A33,'Valo FX'!$A:$A,0)),0,IF(GN$1&lt;INDEX('Valo FX'!$R:$R,MATCH($A33,'Valo FX'!$A:$A,0)),INDEX(Base!$U:$U,MATCH($A33,Base!$A:$A,0)),IF(GN$1=INDEX('Valo FX'!$R:$R,MATCH($A33,'Valo FX'!$A:$A,0)),INDEX(Base!$V:$V,MATCH($A33,Base!$A:$A,0)),0)))</f>
        <v>13.67018</v>
      </c>
      <c r="GO33" s="21">
        <f>IF(GO$1&lt;INDEX('Valo FX'!$Q:$Q,MATCH($A33,'Valo FX'!$A:$A,0)),0,IF(GO$1&lt;INDEX('Valo FX'!$R:$R,MATCH($A33,'Valo FX'!$A:$A,0)),INDEX(Base!$U:$U,MATCH($A33,Base!$A:$A,0)),IF(GO$1=INDEX('Valo FX'!$R:$R,MATCH($A33,'Valo FX'!$A:$A,0)),INDEX(Base!$V:$V,MATCH($A33,Base!$A:$A,0)),0)))</f>
        <v>13.67018</v>
      </c>
      <c r="GP33" s="21">
        <f>IF(GP$1&lt;INDEX('Valo FX'!$Q:$Q,MATCH($A33,'Valo FX'!$A:$A,0)),0,IF(GP$1&lt;INDEX('Valo FX'!$R:$R,MATCH($A33,'Valo FX'!$A:$A,0)),INDEX(Base!$U:$U,MATCH($A33,Base!$A:$A,0)),IF(GP$1=INDEX('Valo FX'!$R:$R,MATCH($A33,'Valo FX'!$A:$A,0)),INDEX(Base!$V:$V,MATCH($A33,Base!$A:$A,0)),0)))</f>
        <v>13.67018</v>
      </c>
      <c r="GQ33" s="21">
        <f>IF(GQ$1&lt;INDEX('Valo FX'!$Q:$Q,MATCH($A33,'Valo FX'!$A:$A,0)),0,IF(GQ$1&lt;INDEX('Valo FX'!$R:$R,MATCH($A33,'Valo FX'!$A:$A,0)),INDEX(Base!$U:$U,MATCH($A33,Base!$A:$A,0)),IF(GQ$1=INDEX('Valo FX'!$R:$R,MATCH($A33,'Valo FX'!$A:$A,0)),INDEX(Base!$V:$V,MATCH($A33,Base!$A:$A,0)),0)))</f>
        <v>13.67018</v>
      </c>
      <c r="GR33" s="21">
        <f>IF(GR$1&lt;INDEX('Valo FX'!$Q:$Q,MATCH($A33,'Valo FX'!$A:$A,0)),0,IF(GR$1&lt;INDEX('Valo FX'!$R:$R,MATCH($A33,'Valo FX'!$A:$A,0)),INDEX(Base!$U:$U,MATCH($A33,Base!$A:$A,0)),IF(GR$1=INDEX('Valo FX'!$R:$R,MATCH($A33,'Valo FX'!$A:$A,0)),INDEX(Base!$V:$V,MATCH($A33,Base!$A:$A,0)),0)))</f>
        <v>13.67018</v>
      </c>
      <c r="GS33" s="21">
        <f>IF(GS$1&lt;INDEX('Valo FX'!$Q:$Q,MATCH($A33,'Valo FX'!$A:$A,0)),0,IF(GS$1&lt;INDEX('Valo FX'!$R:$R,MATCH($A33,'Valo FX'!$A:$A,0)),INDEX(Base!$U:$U,MATCH($A33,Base!$A:$A,0)),IF(GS$1=INDEX('Valo FX'!$R:$R,MATCH($A33,'Valo FX'!$A:$A,0)),INDEX(Base!$V:$V,MATCH($A33,Base!$A:$A,0)),0)))</f>
        <v>13.67018</v>
      </c>
      <c r="GT33" s="21">
        <f>IF(GT$1&lt;INDEX('Valo FX'!$Q:$Q,MATCH($A33,'Valo FX'!$A:$A,0)),0,IF(GT$1&lt;INDEX('Valo FX'!$R:$R,MATCH($A33,'Valo FX'!$A:$A,0)),INDEX(Base!$U:$U,MATCH($A33,Base!$A:$A,0)),IF(GT$1=INDEX('Valo FX'!$R:$R,MATCH($A33,'Valo FX'!$A:$A,0)),INDEX(Base!$V:$V,MATCH($A33,Base!$A:$A,0)),0)))</f>
        <v>13.67018</v>
      </c>
      <c r="GU33" s="21">
        <f>IF(GU$1&lt;INDEX('Valo FX'!$Q:$Q,MATCH($A33,'Valo FX'!$A:$A,0)),0,IF(GU$1&lt;INDEX('Valo FX'!$R:$R,MATCH($A33,'Valo FX'!$A:$A,0)),INDEX(Base!$U:$U,MATCH($A33,Base!$A:$A,0)),IF(GU$1=INDEX('Valo FX'!$R:$R,MATCH($A33,'Valo FX'!$A:$A,0)),INDEX(Base!$V:$V,MATCH($A33,Base!$A:$A,0)),0)))</f>
        <v>13.67018</v>
      </c>
      <c r="GV33" s="21">
        <f>IF(GV$1&lt;INDEX('Valo FX'!$Q:$Q,MATCH($A33,'Valo FX'!$A:$A,0)),0,IF(GV$1&lt;INDEX('Valo FX'!$R:$R,MATCH($A33,'Valo FX'!$A:$A,0)),INDEX(Base!$U:$U,MATCH($A33,Base!$A:$A,0)),IF(GV$1=INDEX('Valo FX'!$R:$R,MATCH($A33,'Valo FX'!$A:$A,0)),INDEX(Base!$V:$V,MATCH($A33,Base!$A:$A,0)),0)))</f>
        <v>13.67018</v>
      </c>
      <c r="GW33" s="21">
        <f>IF(GW$1&lt;INDEX('Valo FX'!$Q:$Q,MATCH($A33,'Valo FX'!$A:$A,0)),0,IF(GW$1&lt;INDEX('Valo FX'!$R:$R,MATCH($A33,'Valo FX'!$A:$A,0)),INDEX(Base!$U:$U,MATCH($A33,Base!$A:$A,0)),IF(GW$1=INDEX('Valo FX'!$R:$R,MATCH($A33,'Valo FX'!$A:$A,0)),INDEX(Base!$V:$V,MATCH($A33,Base!$A:$A,0)),0)))</f>
        <v>13.67018</v>
      </c>
      <c r="GX33" s="21">
        <f>IF(GX$1&lt;INDEX('Valo FX'!$Q:$Q,MATCH($A33,'Valo FX'!$A:$A,0)),0,IF(GX$1&lt;INDEX('Valo FX'!$R:$R,MATCH($A33,'Valo FX'!$A:$A,0)),INDEX(Base!$U:$U,MATCH($A33,Base!$A:$A,0)),IF(GX$1=INDEX('Valo FX'!$R:$R,MATCH($A33,'Valo FX'!$A:$A,0)),INDEX(Base!$V:$V,MATCH($A33,Base!$A:$A,0)),0)))</f>
        <v>13.67018</v>
      </c>
      <c r="GY33" s="21">
        <f>IF(GY$1&lt;INDEX('Valo FX'!$Q:$Q,MATCH($A33,'Valo FX'!$A:$A,0)),0,IF(GY$1&lt;INDEX('Valo FX'!$R:$R,MATCH($A33,'Valo FX'!$A:$A,0)),INDEX(Base!$U:$U,MATCH($A33,Base!$A:$A,0)),IF(GY$1=INDEX('Valo FX'!$R:$R,MATCH($A33,'Valo FX'!$A:$A,0)),INDEX(Base!$V:$V,MATCH($A33,Base!$A:$A,0)),0)))</f>
        <v>13.67018</v>
      </c>
      <c r="GZ33" s="21">
        <f>IF(GZ$1&lt;INDEX('Valo FX'!$Q:$Q,MATCH($A33,'Valo FX'!$A:$A,0)),0,IF(GZ$1&lt;INDEX('Valo FX'!$R:$R,MATCH($A33,'Valo FX'!$A:$A,0)),INDEX(Base!$U:$U,MATCH($A33,Base!$A:$A,0)),IF(GZ$1=INDEX('Valo FX'!$R:$R,MATCH($A33,'Valo FX'!$A:$A,0)),INDEX(Base!$V:$V,MATCH($A33,Base!$A:$A,0)),0)))</f>
        <v>13.67018</v>
      </c>
      <c r="HA33" s="21">
        <f>IF(HA$1&lt;INDEX('Valo FX'!$Q:$Q,MATCH($A33,'Valo FX'!$A:$A,0)),0,IF(HA$1&lt;INDEX('Valo FX'!$R:$R,MATCH($A33,'Valo FX'!$A:$A,0)),INDEX(Base!$U:$U,MATCH($A33,Base!$A:$A,0)),IF(HA$1=INDEX('Valo FX'!$R:$R,MATCH($A33,'Valo FX'!$A:$A,0)),INDEX(Base!$V:$V,MATCH($A33,Base!$A:$A,0)),0)))</f>
        <v>13.67018</v>
      </c>
      <c r="HB33" s="21">
        <f>IF(HB$1&lt;INDEX('Valo FX'!$Q:$Q,MATCH($A33,'Valo FX'!$A:$A,0)),0,IF(HB$1&lt;INDEX('Valo FX'!$R:$R,MATCH($A33,'Valo FX'!$A:$A,0)),INDEX(Base!$U:$U,MATCH($A33,Base!$A:$A,0)),IF(HB$1=INDEX('Valo FX'!$R:$R,MATCH($A33,'Valo FX'!$A:$A,0)),INDEX(Base!$V:$V,MATCH($A33,Base!$A:$A,0)),0)))</f>
        <v>13.67018</v>
      </c>
      <c r="HC33" s="21">
        <f>IF(HC$1&lt;INDEX('Valo FX'!$Q:$Q,MATCH($A33,'Valo FX'!$A:$A,0)),0,IF(HC$1&lt;INDEX('Valo FX'!$R:$R,MATCH($A33,'Valo FX'!$A:$A,0)),INDEX(Base!$U:$U,MATCH($A33,Base!$A:$A,0)),IF(HC$1=INDEX('Valo FX'!$R:$R,MATCH($A33,'Valo FX'!$A:$A,0)),INDEX(Base!$V:$V,MATCH($A33,Base!$A:$A,0)),0)))</f>
        <v>13.67018</v>
      </c>
      <c r="HD33" s="21">
        <f>IF(HD$1&lt;INDEX('Valo FX'!$Q:$Q,MATCH($A33,'Valo FX'!$A:$A,0)),0,IF(HD$1&lt;INDEX('Valo FX'!$R:$R,MATCH($A33,'Valo FX'!$A:$A,0)),INDEX(Base!$U:$U,MATCH($A33,Base!$A:$A,0)),IF(HD$1=INDEX('Valo FX'!$R:$R,MATCH($A33,'Valo FX'!$A:$A,0)),INDEX(Base!$V:$V,MATCH($A33,Base!$A:$A,0)),0)))</f>
        <v>13.67018</v>
      </c>
      <c r="HE33" s="21">
        <f>IF(HE$1&lt;INDEX('Valo FX'!$Q:$Q,MATCH($A33,'Valo FX'!$A:$A,0)),0,IF(HE$1&lt;INDEX('Valo FX'!$R:$R,MATCH($A33,'Valo FX'!$A:$A,0)),INDEX(Base!$U:$U,MATCH($A33,Base!$A:$A,0)),IF(HE$1=INDEX('Valo FX'!$R:$R,MATCH($A33,'Valo FX'!$A:$A,0)),INDEX(Base!$V:$V,MATCH($A33,Base!$A:$A,0)),0)))</f>
        <v>13.67018</v>
      </c>
      <c r="HF33" s="21">
        <f>IF(HF$1&lt;INDEX('Valo FX'!$Q:$Q,MATCH($A33,'Valo FX'!$A:$A,0)),0,IF(HF$1&lt;INDEX('Valo FX'!$R:$R,MATCH($A33,'Valo FX'!$A:$A,0)),INDEX(Base!$U:$U,MATCH($A33,Base!$A:$A,0)),IF(HF$1=INDEX('Valo FX'!$R:$R,MATCH($A33,'Valo FX'!$A:$A,0)),INDEX(Base!$V:$V,MATCH($A33,Base!$A:$A,0)),0)))</f>
        <v>13.67018</v>
      </c>
      <c r="HG33" s="21">
        <f>IF(HG$1&lt;INDEX('Valo FX'!$Q:$Q,MATCH($A33,'Valo FX'!$A:$A,0)),0,IF(HG$1&lt;INDEX('Valo FX'!$R:$R,MATCH($A33,'Valo FX'!$A:$A,0)),INDEX(Base!$U:$U,MATCH($A33,Base!$A:$A,0)),IF(HG$1=INDEX('Valo FX'!$R:$R,MATCH($A33,'Valo FX'!$A:$A,0)),INDEX(Base!$V:$V,MATCH($A33,Base!$A:$A,0)),0)))</f>
        <v>13.67018</v>
      </c>
      <c r="HH33" s="21">
        <f>IF(HH$1&lt;INDEX('Valo FX'!$Q:$Q,MATCH($A33,'Valo FX'!$A:$A,0)),0,IF(HH$1&lt;INDEX('Valo FX'!$R:$R,MATCH($A33,'Valo FX'!$A:$A,0)),INDEX(Base!$U:$U,MATCH($A33,Base!$A:$A,0)),IF(HH$1=INDEX('Valo FX'!$R:$R,MATCH($A33,'Valo FX'!$A:$A,0)),INDEX(Base!$V:$V,MATCH($A33,Base!$A:$A,0)),0)))</f>
        <v>13.67018</v>
      </c>
      <c r="HI33" s="21">
        <f>IF(HI$1&lt;INDEX('Valo FX'!$Q:$Q,MATCH($A33,'Valo FX'!$A:$A,0)),0,IF(HI$1&lt;INDEX('Valo FX'!$R:$R,MATCH($A33,'Valo FX'!$A:$A,0)),INDEX(Base!$U:$U,MATCH($A33,Base!$A:$A,0)),IF(HI$1=INDEX('Valo FX'!$R:$R,MATCH($A33,'Valo FX'!$A:$A,0)),INDEX(Base!$V:$V,MATCH($A33,Base!$A:$A,0)),0)))</f>
        <v>13.67018</v>
      </c>
      <c r="HJ33" s="21">
        <f>IF(HJ$1&lt;INDEX('Valo FX'!$Q:$Q,MATCH($A33,'Valo FX'!$A:$A,0)),0,IF(HJ$1&lt;INDEX('Valo FX'!$R:$R,MATCH($A33,'Valo FX'!$A:$A,0)),INDEX(Base!$U:$U,MATCH($A33,Base!$A:$A,0)),IF(HJ$1=INDEX('Valo FX'!$R:$R,MATCH($A33,'Valo FX'!$A:$A,0)),INDEX(Base!$V:$V,MATCH($A33,Base!$A:$A,0)),0)))</f>
        <v>13.67018</v>
      </c>
      <c r="HK33" s="21">
        <f>IF(HK$1&lt;INDEX('Valo FX'!$Q:$Q,MATCH($A33,'Valo FX'!$A:$A,0)),0,IF(HK$1&lt;INDEX('Valo FX'!$R:$R,MATCH($A33,'Valo FX'!$A:$A,0)),INDEX(Base!$U:$U,MATCH($A33,Base!$A:$A,0)),IF(HK$1=INDEX('Valo FX'!$R:$R,MATCH($A33,'Valo FX'!$A:$A,0)),INDEX(Base!$V:$V,MATCH($A33,Base!$A:$A,0)),0)))</f>
        <v>13.67018</v>
      </c>
      <c r="HL33" s="21">
        <f>IF(HL$1&lt;INDEX('Valo FX'!$Q:$Q,MATCH($A33,'Valo FX'!$A:$A,0)),0,IF(HL$1&lt;INDEX('Valo FX'!$R:$R,MATCH($A33,'Valo FX'!$A:$A,0)),INDEX(Base!$U:$U,MATCH($A33,Base!$A:$A,0)),IF(HL$1=INDEX('Valo FX'!$R:$R,MATCH($A33,'Valo FX'!$A:$A,0)),INDEX(Base!$V:$V,MATCH($A33,Base!$A:$A,0)),0)))</f>
        <v>13.67018</v>
      </c>
      <c r="HM33" s="21">
        <f>IF(HM$1&lt;INDEX('Valo FX'!$Q:$Q,MATCH($A33,'Valo FX'!$A:$A,0)),0,IF(HM$1&lt;INDEX('Valo FX'!$R:$R,MATCH($A33,'Valo FX'!$A:$A,0)),INDEX(Base!$U:$U,MATCH($A33,Base!$A:$A,0)),IF(HM$1=INDEX('Valo FX'!$R:$R,MATCH($A33,'Valo FX'!$A:$A,0)),INDEX(Base!$V:$V,MATCH($A33,Base!$A:$A,0)),0)))</f>
        <v>13.67018</v>
      </c>
      <c r="HN33" s="21">
        <f>IF(HN$1&lt;INDEX('Valo FX'!$Q:$Q,MATCH($A33,'Valo FX'!$A:$A,0)),0,IF(HN$1&lt;INDEX('Valo FX'!$R:$R,MATCH($A33,'Valo FX'!$A:$A,0)),INDEX(Base!$U:$U,MATCH($A33,Base!$A:$A,0)),IF(HN$1=INDEX('Valo FX'!$R:$R,MATCH($A33,'Valo FX'!$A:$A,0)),INDEX(Base!$V:$V,MATCH($A33,Base!$A:$A,0)),0)))</f>
        <v>13.67018</v>
      </c>
      <c r="HO33" s="21">
        <f>IF(HO$1&lt;INDEX('Valo FX'!$Q:$Q,MATCH($A33,'Valo FX'!$A:$A,0)),0,IF(HO$1&lt;INDEX('Valo FX'!$R:$R,MATCH($A33,'Valo FX'!$A:$A,0)),INDEX(Base!$U:$U,MATCH($A33,Base!$A:$A,0)),IF(HO$1=INDEX('Valo FX'!$R:$R,MATCH($A33,'Valo FX'!$A:$A,0)),INDEX(Base!$V:$V,MATCH($A33,Base!$A:$A,0)),0)))</f>
        <v>13.67018</v>
      </c>
      <c r="HP33" s="21">
        <f>IF(HP$1&lt;INDEX('Valo FX'!$Q:$Q,MATCH($A33,'Valo FX'!$A:$A,0)),0,IF(HP$1&lt;INDEX('Valo FX'!$R:$R,MATCH($A33,'Valo FX'!$A:$A,0)),INDEX(Base!$U:$U,MATCH($A33,Base!$A:$A,0)),IF(HP$1=INDEX('Valo FX'!$R:$R,MATCH($A33,'Valo FX'!$A:$A,0)),INDEX(Base!$V:$V,MATCH($A33,Base!$A:$A,0)),0)))</f>
        <v>13.67018</v>
      </c>
      <c r="HQ33" s="21">
        <f>IF(HQ$1&lt;INDEX('Valo FX'!$Q:$Q,MATCH($A33,'Valo FX'!$A:$A,0)),0,IF(HQ$1&lt;INDEX('Valo FX'!$R:$R,MATCH($A33,'Valo FX'!$A:$A,0)),INDEX(Base!$U:$U,MATCH($A33,Base!$A:$A,0)),IF(HQ$1=INDEX('Valo FX'!$R:$R,MATCH($A33,'Valo FX'!$A:$A,0)),INDEX(Base!$V:$V,MATCH($A33,Base!$A:$A,0)),0)))</f>
        <v>13.67018</v>
      </c>
      <c r="HR33" s="21">
        <f>IF(HR$1&lt;INDEX('Valo FX'!$Q:$Q,MATCH($A33,'Valo FX'!$A:$A,0)),0,IF(HR$1&lt;INDEX('Valo FX'!$R:$R,MATCH($A33,'Valo FX'!$A:$A,0)),INDEX(Base!$U:$U,MATCH($A33,Base!$A:$A,0)),IF(HR$1=INDEX('Valo FX'!$R:$R,MATCH($A33,'Valo FX'!$A:$A,0)),INDEX(Base!$V:$V,MATCH($A33,Base!$A:$A,0)),0)))</f>
        <v>13.67018</v>
      </c>
      <c r="HS33" s="21">
        <f>IF(HS$1&lt;INDEX('Valo FX'!$Q:$Q,MATCH($A33,'Valo FX'!$A:$A,0)),0,IF(HS$1&lt;INDEX('Valo FX'!$R:$R,MATCH($A33,'Valo FX'!$A:$A,0)),INDEX(Base!$U:$U,MATCH($A33,Base!$A:$A,0)),IF(HS$1=INDEX('Valo FX'!$R:$R,MATCH($A33,'Valo FX'!$A:$A,0)),INDEX(Base!$V:$V,MATCH($A33,Base!$A:$A,0)),0)))</f>
        <v>13.67018</v>
      </c>
      <c r="HT33" s="21">
        <f>IF(HT$1&lt;INDEX('Valo FX'!$Q:$Q,MATCH($A33,'Valo FX'!$A:$A,0)),0,IF(HT$1&lt;INDEX('Valo FX'!$R:$R,MATCH($A33,'Valo FX'!$A:$A,0)),INDEX(Base!$U:$U,MATCH($A33,Base!$A:$A,0)),IF(HT$1=INDEX('Valo FX'!$R:$R,MATCH($A33,'Valo FX'!$A:$A,0)),INDEX(Base!$V:$V,MATCH($A33,Base!$A:$A,0)),0)))</f>
        <v>13.67018</v>
      </c>
      <c r="HU33" s="21">
        <f>IF(HU$1&lt;INDEX('Valo FX'!$Q:$Q,MATCH($A33,'Valo FX'!$A:$A,0)),0,IF(HU$1&lt;INDEX('Valo FX'!$R:$R,MATCH($A33,'Valo FX'!$A:$A,0)),INDEX(Base!$U:$U,MATCH($A33,Base!$A:$A,0)),IF(HU$1=INDEX('Valo FX'!$R:$R,MATCH($A33,'Valo FX'!$A:$A,0)),INDEX(Base!$V:$V,MATCH($A33,Base!$A:$A,0)),0)))</f>
        <v>13.67018</v>
      </c>
      <c r="HV33" s="21">
        <f>IF(HV$1&lt;INDEX('Valo FX'!$Q:$Q,MATCH($A33,'Valo FX'!$A:$A,0)),0,IF(HV$1&lt;INDEX('Valo FX'!$R:$R,MATCH($A33,'Valo FX'!$A:$A,0)),INDEX(Base!$U:$U,MATCH($A33,Base!$A:$A,0)),IF(HV$1=INDEX('Valo FX'!$R:$R,MATCH($A33,'Valo FX'!$A:$A,0)),INDEX(Base!$V:$V,MATCH($A33,Base!$A:$A,0)),0)))</f>
        <v>13.67018</v>
      </c>
      <c r="HW33" s="21">
        <f>IF(HW$1&lt;INDEX('Valo FX'!$Q:$Q,MATCH($A33,'Valo FX'!$A:$A,0)),0,IF(HW$1&lt;INDEX('Valo FX'!$R:$R,MATCH($A33,'Valo FX'!$A:$A,0)),INDEX(Base!$U:$U,MATCH($A33,Base!$A:$A,0)),IF(HW$1=INDEX('Valo FX'!$R:$R,MATCH($A33,'Valo FX'!$A:$A,0)),INDEX(Base!$V:$V,MATCH($A33,Base!$A:$A,0)),0)))</f>
        <v>13.67018</v>
      </c>
      <c r="HX33" s="21">
        <f>IF(HX$1&lt;INDEX('Valo FX'!$Q:$Q,MATCH($A33,'Valo FX'!$A:$A,0)),0,IF(HX$1&lt;INDEX('Valo FX'!$R:$R,MATCH($A33,'Valo FX'!$A:$A,0)),INDEX(Base!$U:$U,MATCH($A33,Base!$A:$A,0)),IF(HX$1=INDEX('Valo FX'!$R:$R,MATCH($A33,'Valo FX'!$A:$A,0)),INDEX(Base!$V:$V,MATCH($A33,Base!$A:$A,0)),0)))</f>
        <v>13.67018</v>
      </c>
      <c r="HY33" s="21">
        <f>IF(HY$1&lt;INDEX('Valo FX'!$Q:$Q,MATCH($A33,'Valo FX'!$A:$A,0)),0,IF(HY$1&lt;INDEX('Valo FX'!$R:$R,MATCH($A33,'Valo FX'!$A:$A,0)),INDEX(Base!$U:$U,MATCH($A33,Base!$A:$A,0)),IF(HY$1=INDEX('Valo FX'!$R:$R,MATCH($A33,'Valo FX'!$A:$A,0)),INDEX(Base!$V:$V,MATCH($A33,Base!$A:$A,0)),0)))</f>
        <v>13.67018</v>
      </c>
      <c r="HZ33" s="21">
        <f>IF(HZ$1&lt;INDEX('Valo FX'!$Q:$Q,MATCH($A33,'Valo FX'!$A:$A,0)),0,IF(HZ$1&lt;INDEX('Valo FX'!$R:$R,MATCH($A33,'Valo FX'!$A:$A,0)),INDEX(Base!$U:$U,MATCH($A33,Base!$A:$A,0)),IF(HZ$1=INDEX('Valo FX'!$R:$R,MATCH($A33,'Valo FX'!$A:$A,0)),INDEX(Base!$V:$V,MATCH($A33,Base!$A:$A,0)),0)))</f>
        <v>13.67018</v>
      </c>
      <c r="IA33" s="21">
        <f>IF(IA$1&lt;INDEX('Valo FX'!$Q:$Q,MATCH($A33,'Valo FX'!$A:$A,0)),0,IF(IA$1&lt;INDEX('Valo FX'!$R:$R,MATCH($A33,'Valo FX'!$A:$A,0)),INDEX(Base!$U:$U,MATCH($A33,Base!$A:$A,0)),IF(IA$1=INDEX('Valo FX'!$R:$R,MATCH($A33,'Valo FX'!$A:$A,0)),INDEX(Base!$V:$V,MATCH($A33,Base!$A:$A,0)),0)))</f>
        <v>13.67018</v>
      </c>
      <c r="IB33" s="21">
        <f>IF(IB$1&lt;INDEX('Valo FX'!$Q:$Q,MATCH($A33,'Valo FX'!$A:$A,0)),0,IF(IB$1&lt;INDEX('Valo FX'!$R:$R,MATCH($A33,'Valo FX'!$A:$A,0)),INDEX(Base!$U:$U,MATCH($A33,Base!$A:$A,0)),IF(IB$1=INDEX('Valo FX'!$R:$R,MATCH($A33,'Valo FX'!$A:$A,0)),INDEX(Base!$V:$V,MATCH($A33,Base!$A:$A,0)),0)))</f>
        <v>13.67018</v>
      </c>
      <c r="IC33" s="21">
        <f>IF(IC$1&lt;INDEX('Valo FX'!$Q:$Q,MATCH($A33,'Valo FX'!$A:$A,0)),0,IF(IC$1&lt;INDEX('Valo FX'!$R:$R,MATCH($A33,'Valo FX'!$A:$A,0)),INDEX(Base!$U:$U,MATCH($A33,Base!$A:$A,0)),IF(IC$1=INDEX('Valo FX'!$R:$R,MATCH($A33,'Valo FX'!$A:$A,0)),INDEX(Base!$V:$V,MATCH($A33,Base!$A:$A,0)),0)))</f>
        <v>13.67018</v>
      </c>
      <c r="ID33" s="21">
        <f>IF(ID$1&lt;INDEX('Valo FX'!$Q:$Q,MATCH($A33,'Valo FX'!$A:$A,0)),0,IF(ID$1&lt;INDEX('Valo FX'!$R:$R,MATCH($A33,'Valo FX'!$A:$A,0)),INDEX(Base!$U:$U,MATCH($A33,Base!$A:$A,0)),IF(ID$1=INDEX('Valo FX'!$R:$R,MATCH($A33,'Valo FX'!$A:$A,0)),INDEX(Base!$V:$V,MATCH($A33,Base!$A:$A,0)),0)))</f>
        <v>13.67018</v>
      </c>
      <c r="IE33" s="21">
        <f>IF(IE$1&lt;INDEX('Valo FX'!$Q:$Q,MATCH($A33,'Valo FX'!$A:$A,0)),0,IF(IE$1&lt;INDEX('Valo FX'!$R:$R,MATCH($A33,'Valo FX'!$A:$A,0)),INDEX(Base!$U:$U,MATCH($A33,Base!$A:$A,0)),IF(IE$1=INDEX('Valo FX'!$R:$R,MATCH($A33,'Valo FX'!$A:$A,0)),INDEX(Base!$V:$V,MATCH($A33,Base!$A:$A,0)),0)))</f>
        <v>13.67018</v>
      </c>
      <c r="IF33" s="21">
        <f>IF(IF$1&lt;INDEX('Valo FX'!$Q:$Q,MATCH($A33,'Valo FX'!$A:$A,0)),0,IF(IF$1&lt;INDEX('Valo FX'!$R:$R,MATCH($A33,'Valo FX'!$A:$A,0)),INDEX(Base!$U:$U,MATCH($A33,Base!$A:$A,0)),IF(IF$1=INDEX('Valo FX'!$R:$R,MATCH($A33,'Valo FX'!$A:$A,0)),INDEX(Base!$V:$V,MATCH($A33,Base!$A:$A,0)),0)))</f>
        <v>13.67018</v>
      </c>
      <c r="IG33" s="21">
        <f>IF(IG$1&lt;INDEX('Valo FX'!$Q:$Q,MATCH($A33,'Valo FX'!$A:$A,0)),0,IF(IG$1&lt;INDEX('Valo FX'!$R:$R,MATCH($A33,'Valo FX'!$A:$A,0)),INDEX(Base!$U:$U,MATCH($A33,Base!$A:$A,0)),IF(IG$1=INDEX('Valo FX'!$R:$R,MATCH($A33,'Valo FX'!$A:$A,0)),INDEX(Base!$V:$V,MATCH($A33,Base!$A:$A,0)),0)))</f>
        <v>13.67018</v>
      </c>
      <c r="IH33" s="21">
        <f>IF(IH$1&lt;INDEX('Valo FX'!$Q:$Q,MATCH($A33,'Valo FX'!$A:$A,0)),0,IF(IH$1&lt;INDEX('Valo FX'!$R:$R,MATCH($A33,'Valo FX'!$A:$A,0)),INDEX(Base!$U:$U,MATCH($A33,Base!$A:$A,0)),IF(IH$1=INDEX('Valo FX'!$R:$R,MATCH($A33,'Valo FX'!$A:$A,0)),INDEX(Base!$V:$V,MATCH($A33,Base!$A:$A,0)),0)))</f>
        <v>13.67018</v>
      </c>
      <c r="II33" s="21">
        <f>IF(II$1&lt;INDEX('Valo FX'!$Q:$Q,MATCH($A33,'Valo FX'!$A:$A,0)),0,IF(II$1&lt;INDEX('Valo FX'!$R:$R,MATCH($A33,'Valo FX'!$A:$A,0)),INDEX(Base!$U:$U,MATCH($A33,Base!$A:$A,0)),IF(II$1=INDEX('Valo FX'!$R:$R,MATCH($A33,'Valo FX'!$A:$A,0)),INDEX(Base!$V:$V,MATCH($A33,Base!$A:$A,0)),0)))</f>
        <v>13.67018</v>
      </c>
      <c r="IJ33" s="21">
        <f>IF(IJ$1&lt;INDEX('Valo FX'!$Q:$Q,MATCH($A33,'Valo FX'!$A:$A,0)),0,IF(IJ$1&lt;INDEX('Valo FX'!$R:$R,MATCH($A33,'Valo FX'!$A:$A,0)),INDEX(Base!$U:$U,MATCH($A33,Base!$A:$A,0)),IF(IJ$1=INDEX('Valo FX'!$R:$R,MATCH($A33,'Valo FX'!$A:$A,0)),INDEX(Base!$V:$V,MATCH($A33,Base!$A:$A,0)),0)))</f>
        <v>13.67018</v>
      </c>
      <c r="IK33" s="21">
        <f>IF(IK$1&lt;INDEX('Valo FX'!$Q:$Q,MATCH($A33,'Valo FX'!$A:$A,0)),0,IF(IK$1&lt;INDEX('Valo FX'!$R:$R,MATCH($A33,'Valo FX'!$A:$A,0)),INDEX(Base!$U:$U,MATCH($A33,Base!$A:$A,0)),IF(IK$1=INDEX('Valo FX'!$R:$R,MATCH($A33,'Valo FX'!$A:$A,0)),INDEX(Base!$V:$V,MATCH($A33,Base!$A:$A,0)),0)))</f>
        <v>13.67018</v>
      </c>
      <c r="IL33" s="21">
        <f>IF(IL$1&lt;INDEX('Valo FX'!$Q:$Q,MATCH($A33,'Valo FX'!$A:$A,0)),0,IF(IL$1&lt;INDEX('Valo FX'!$R:$R,MATCH($A33,'Valo FX'!$A:$A,0)),INDEX(Base!$U:$U,MATCH($A33,Base!$A:$A,0)),IF(IL$1=INDEX('Valo FX'!$R:$R,MATCH($A33,'Valo FX'!$A:$A,0)),INDEX(Base!$V:$V,MATCH($A33,Base!$A:$A,0)),0)))</f>
        <v>13.67018</v>
      </c>
      <c r="IM33" s="21">
        <f>IF(IM$1&lt;INDEX('Valo FX'!$Q:$Q,MATCH($A33,'Valo FX'!$A:$A,0)),0,IF(IM$1&lt;INDEX('Valo FX'!$R:$R,MATCH($A33,'Valo FX'!$A:$A,0)),INDEX(Base!$U:$U,MATCH($A33,Base!$A:$A,0)),IF(IM$1=INDEX('Valo FX'!$R:$R,MATCH($A33,'Valo FX'!$A:$A,0)),INDEX(Base!$V:$V,MATCH($A33,Base!$A:$A,0)),0)))</f>
        <v>13.67018</v>
      </c>
      <c r="IN33" s="21">
        <f>IF(IN$1&lt;INDEX('Valo FX'!$Q:$Q,MATCH($A33,'Valo FX'!$A:$A,0)),0,IF(IN$1&lt;INDEX('Valo FX'!$R:$R,MATCH($A33,'Valo FX'!$A:$A,0)),INDEX(Base!$U:$U,MATCH($A33,Base!$A:$A,0)),IF(IN$1=INDEX('Valo FX'!$R:$R,MATCH($A33,'Valo FX'!$A:$A,0)),INDEX(Base!$V:$V,MATCH($A33,Base!$A:$A,0)),0)))</f>
        <v>13.67018</v>
      </c>
      <c r="IO33" s="21">
        <f>IF(IO$1&lt;INDEX('Valo FX'!$Q:$Q,MATCH($A33,'Valo FX'!$A:$A,0)),0,IF(IO$1&lt;INDEX('Valo FX'!$R:$R,MATCH($A33,'Valo FX'!$A:$A,0)),INDEX(Base!$U:$U,MATCH($A33,Base!$A:$A,0)),IF(IO$1=INDEX('Valo FX'!$R:$R,MATCH($A33,'Valo FX'!$A:$A,0)),INDEX(Base!$V:$V,MATCH($A33,Base!$A:$A,0)),0)))</f>
        <v>13.67018</v>
      </c>
      <c r="IP33" s="21">
        <f>IF(IP$1&lt;INDEX('Valo FX'!$Q:$Q,MATCH($A33,'Valo FX'!$A:$A,0)),0,IF(IP$1&lt;INDEX('Valo FX'!$R:$R,MATCH($A33,'Valo FX'!$A:$A,0)),INDEX(Base!$U:$U,MATCH($A33,Base!$A:$A,0)),IF(IP$1=INDEX('Valo FX'!$R:$R,MATCH($A33,'Valo FX'!$A:$A,0)),INDEX(Base!$V:$V,MATCH($A33,Base!$A:$A,0)),0)))</f>
        <v>13.67018</v>
      </c>
      <c r="IQ33" s="21">
        <f>IF(IQ$1&lt;INDEX('Valo FX'!$Q:$Q,MATCH($A33,'Valo FX'!$A:$A,0)),0,IF(IQ$1&lt;INDEX('Valo FX'!$R:$R,MATCH($A33,'Valo FX'!$A:$A,0)),INDEX(Base!$U:$U,MATCH($A33,Base!$A:$A,0)),IF(IQ$1=INDEX('Valo FX'!$R:$R,MATCH($A33,'Valo FX'!$A:$A,0)),INDEX(Base!$V:$V,MATCH($A33,Base!$A:$A,0)),0)))</f>
        <v>13.67018</v>
      </c>
      <c r="IR33" s="21">
        <f>IF(IR$1&lt;INDEX('Valo FX'!$Q:$Q,MATCH($A33,'Valo FX'!$A:$A,0)),0,IF(IR$1&lt;INDEX('Valo FX'!$R:$R,MATCH($A33,'Valo FX'!$A:$A,0)),INDEX(Base!$U:$U,MATCH($A33,Base!$A:$A,0)),IF(IR$1=INDEX('Valo FX'!$R:$R,MATCH($A33,'Valo FX'!$A:$A,0)),INDEX(Base!$V:$V,MATCH($A33,Base!$A:$A,0)),0)))</f>
        <v>13.67018</v>
      </c>
      <c r="IS33" s="21">
        <f>IF(IS$1&lt;INDEX('Valo FX'!$Q:$Q,MATCH($A33,'Valo FX'!$A:$A,0)),0,IF(IS$1&lt;INDEX('Valo FX'!$R:$R,MATCH($A33,'Valo FX'!$A:$A,0)),INDEX(Base!$U:$U,MATCH($A33,Base!$A:$A,0)),IF(IS$1=INDEX('Valo FX'!$R:$R,MATCH($A33,'Valo FX'!$A:$A,0)),INDEX(Base!$V:$V,MATCH($A33,Base!$A:$A,0)),0)))</f>
        <v>13.67018</v>
      </c>
      <c r="IT33" s="21">
        <f>IF(IT$1&lt;INDEX('Valo FX'!$Q:$Q,MATCH($A33,'Valo FX'!$A:$A,0)),0,IF(IT$1&lt;INDEX('Valo FX'!$R:$R,MATCH($A33,'Valo FX'!$A:$A,0)),INDEX(Base!$U:$U,MATCH($A33,Base!$A:$A,0)),IF(IT$1=INDEX('Valo FX'!$R:$R,MATCH($A33,'Valo FX'!$A:$A,0)),INDEX(Base!$V:$V,MATCH($A33,Base!$A:$A,0)),0)))</f>
        <v>13.67018</v>
      </c>
      <c r="IU33" s="21">
        <f>IF(IU$1&lt;INDEX('Valo FX'!$Q:$Q,MATCH($A33,'Valo FX'!$A:$A,0)),0,IF(IU$1&lt;INDEX('Valo FX'!$R:$R,MATCH($A33,'Valo FX'!$A:$A,0)),INDEX(Base!$U:$U,MATCH($A33,Base!$A:$A,0)),IF(IU$1=INDEX('Valo FX'!$R:$R,MATCH($A33,'Valo FX'!$A:$A,0)),INDEX(Base!$V:$V,MATCH($A33,Base!$A:$A,0)),0)))</f>
        <v>13.67018</v>
      </c>
      <c r="IV33" s="21">
        <f>IF(IV$1&lt;INDEX('Valo FX'!$Q:$Q,MATCH($A33,'Valo FX'!$A:$A,0)),0,IF(IV$1&lt;INDEX('Valo FX'!$R:$R,MATCH($A33,'Valo FX'!$A:$A,0)),INDEX(Base!$U:$U,MATCH($A33,Base!$A:$A,0)),IF(IV$1=INDEX('Valo FX'!$R:$R,MATCH($A33,'Valo FX'!$A:$A,0)),INDEX(Base!$V:$V,MATCH($A33,Base!$A:$A,0)),0)))</f>
        <v>13.67018</v>
      </c>
      <c r="IW33" s="21">
        <f>IF(IW$1&lt;INDEX('Valo FX'!$Q:$Q,MATCH($A33,'Valo FX'!$A:$A,0)),0,IF(IW$1&lt;INDEX('Valo FX'!$R:$R,MATCH($A33,'Valo FX'!$A:$A,0)),INDEX(Base!$U:$U,MATCH($A33,Base!$A:$A,0)),IF(IW$1=INDEX('Valo FX'!$R:$R,MATCH($A33,'Valo FX'!$A:$A,0)),INDEX(Base!$V:$V,MATCH($A33,Base!$A:$A,0)),0)))</f>
        <v>13.67018</v>
      </c>
      <c r="IX33" s="21">
        <f>IF(IX$1&lt;INDEX('Valo FX'!$Q:$Q,MATCH($A33,'Valo FX'!$A:$A,0)),0,IF(IX$1&lt;INDEX('Valo FX'!$R:$R,MATCH($A33,'Valo FX'!$A:$A,0)),INDEX(Base!$U:$U,MATCH($A33,Base!$A:$A,0)),IF(IX$1=INDEX('Valo FX'!$R:$R,MATCH($A33,'Valo FX'!$A:$A,0)),INDEX(Base!$V:$V,MATCH($A33,Base!$A:$A,0)),0)))</f>
        <v>13.67018</v>
      </c>
      <c r="IY33" s="21">
        <f>IF(IY$1&lt;INDEX('Valo FX'!$Q:$Q,MATCH($A33,'Valo FX'!$A:$A,0)),0,IF(IY$1&lt;INDEX('Valo FX'!$R:$R,MATCH($A33,'Valo FX'!$A:$A,0)),INDEX(Base!$U:$U,MATCH($A33,Base!$A:$A,0)),IF(IY$1=INDEX('Valo FX'!$R:$R,MATCH($A33,'Valo FX'!$A:$A,0)),INDEX(Base!$V:$V,MATCH($A33,Base!$A:$A,0)),0)))</f>
        <v>13.67018</v>
      </c>
      <c r="IZ33" s="21">
        <f>IF(IZ$1&lt;INDEX('Valo FX'!$Q:$Q,MATCH($A33,'Valo FX'!$A:$A,0)),0,IF(IZ$1&lt;INDEX('Valo FX'!$R:$R,MATCH($A33,'Valo FX'!$A:$A,0)),INDEX(Base!$U:$U,MATCH($A33,Base!$A:$A,0)),IF(IZ$1=INDEX('Valo FX'!$R:$R,MATCH($A33,'Valo FX'!$A:$A,0)),INDEX(Base!$V:$V,MATCH($A33,Base!$A:$A,0)),0)))</f>
        <v>13.67018</v>
      </c>
      <c r="JA33" s="21">
        <f>IF(JA$1&lt;INDEX('Valo FX'!$Q:$Q,MATCH($A33,'Valo FX'!$A:$A,0)),0,IF(JA$1&lt;INDEX('Valo FX'!$R:$R,MATCH($A33,'Valo FX'!$A:$A,0)),INDEX(Base!$U:$U,MATCH($A33,Base!$A:$A,0)),IF(JA$1=INDEX('Valo FX'!$R:$R,MATCH($A33,'Valo FX'!$A:$A,0)),INDEX(Base!$V:$V,MATCH($A33,Base!$A:$A,0)),0)))</f>
        <v>13.67018</v>
      </c>
      <c r="JB33" s="21">
        <f>IF(JB$1&lt;INDEX('Valo FX'!$Q:$Q,MATCH($A33,'Valo FX'!$A:$A,0)),0,IF(JB$1&lt;INDEX('Valo FX'!$R:$R,MATCH($A33,'Valo FX'!$A:$A,0)),INDEX(Base!$U:$U,MATCH($A33,Base!$A:$A,0)),IF(JB$1=INDEX('Valo FX'!$R:$R,MATCH($A33,'Valo FX'!$A:$A,0)),INDEX(Base!$V:$V,MATCH($A33,Base!$A:$A,0)),0)))</f>
        <v>13.67018</v>
      </c>
      <c r="JC33" s="21">
        <f>IF(JC$1&lt;INDEX('Valo FX'!$Q:$Q,MATCH($A33,'Valo FX'!$A:$A,0)),0,IF(JC$1&lt;INDEX('Valo FX'!$R:$R,MATCH($A33,'Valo FX'!$A:$A,0)),INDEX(Base!$U:$U,MATCH($A33,Base!$A:$A,0)),IF(JC$1=INDEX('Valo FX'!$R:$R,MATCH($A33,'Valo FX'!$A:$A,0)),INDEX(Base!$V:$V,MATCH($A33,Base!$A:$A,0)),0)))</f>
        <v>13.67018</v>
      </c>
      <c r="JD33" s="21">
        <f>IF(JD$1&lt;INDEX('Valo FX'!$Q:$Q,MATCH($A33,'Valo FX'!$A:$A,0)),0,IF(JD$1&lt;INDEX('Valo FX'!$R:$R,MATCH($A33,'Valo FX'!$A:$A,0)),INDEX(Base!$U:$U,MATCH($A33,Base!$A:$A,0)),IF(JD$1=INDEX('Valo FX'!$R:$R,MATCH($A33,'Valo FX'!$A:$A,0)),INDEX(Base!$V:$V,MATCH($A33,Base!$A:$A,0)),0)))</f>
        <v>13.67018</v>
      </c>
      <c r="JE33" s="21">
        <f>IF(JE$1&lt;INDEX('Valo FX'!$Q:$Q,MATCH($A33,'Valo FX'!$A:$A,0)),0,IF(JE$1&lt;INDEX('Valo FX'!$R:$R,MATCH($A33,'Valo FX'!$A:$A,0)),INDEX(Base!$U:$U,MATCH($A33,Base!$A:$A,0)),IF(JE$1=INDEX('Valo FX'!$R:$R,MATCH($A33,'Valo FX'!$A:$A,0)),INDEX(Base!$V:$V,MATCH($A33,Base!$A:$A,0)),0)))</f>
        <v>13.67018</v>
      </c>
      <c r="JF33" s="21">
        <f>IF(JF$1&lt;INDEX('Valo FX'!$Q:$Q,MATCH($A33,'Valo FX'!$A:$A,0)),0,IF(JF$1&lt;INDEX('Valo FX'!$R:$R,MATCH($A33,'Valo FX'!$A:$A,0)),INDEX(Base!$U:$U,MATCH($A33,Base!$A:$A,0)),IF(JF$1=INDEX('Valo FX'!$R:$R,MATCH($A33,'Valo FX'!$A:$A,0)),INDEX(Base!$V:$V,MATCH($A33,Base!$A:$A,0)),0)))</f>
        <v>13.67018</v>
      </c>
      <c r="JG33" s="21">
        <f>IF(JG$1&lt;INDEX('Valo FX'!$Q:$Q,MATCH($A33,'Valo FX'!$A:$A,0)),0,IF(JG$1&lt;INDEX('Valo FX'!$R:$R,MATCH($A33,'Valo FX'!$A:$A,0)),INDEX(Base!$U:$U,MATCH($A33,Base!$A:$A,0)),IF(JG$1=INDEX('Valo FX'!$R:$R,MATCH($A33,'Valo FX'!$A:$A,0)),INDEX(Base!$V:$V,MATCH($A33,Base!$A:$A,0)),0)))</f>
        <v>13.67018</v>
      </c>
      <c r="JH33" s="21">
        <f>IF(JH$1&lt;INDEX('Valo FX'!$Q:$Q,MATCH($A33,'Valo FX'!$A:$A,0)),0,IF(JH$1&lt;INDEX('Valo FX'!$R:$R,MATCH($A33,'Valo FX'!$A:$A,0)),INDEX(Base!$U:$U,MATCH($A33,Base!$A:$A,0)),IF(JH$1=INDEX('Valo FX'!$R:$R,MATCH($A33,'Valo FX'!$A:$A,0)),INDEX(Base!$V:$V,MATCH($A33,Base!$A:$A,0)),0)))</f>
        <v>13.67018</v>
      </c>
      <c r="JI33" s="21">
        <f>IF(JI$1&lt;INDEX('Valo FX'!$Q:$Q,MATCH($A33,'Valo FX'!$A:$A,0)),0,IF(JI$1&lt;INDEX('Valo FX'!$R:$R,MATCH($A33,'Valo FX'!$A:$A,0)),INDEX(Base!$U:$U,MATCH($A33,Base!$A:$A,0)),IF(JI$1=INDEX('Valo FX'!$R:$R,MATCH($A33,'Valo FX'!$A:$A,0)),INDEX(Base!$V:$V,MATCH($A33,Base!$A:$A,0)),0)))</f>
        <v>13.67018</v>
      </c>
      <c r="JJ33" s="21">
        <f>IF(JJ$1&lt;INDEX('Valo FX'!$Q:$Q,MATCH($A33,'Valo FX'!$A:$A,0)),0,IF(JJ$1&lt;INDEX('Valo FX'!$R:$R,MATCH($A33,'Valo FX'!$A:$A,0)),INDEX(Base!$U:$U,MATCH($A33,Base!$A:$A,0)),IF(JJ$1=INDEX('Valo FX'!$R:$R,MATCH($A33,'Valo FX'!$A:$A,0)),INDEX(Base!$V:$V,MATCH($A33,Base!$A:$A,0)),0)))</f>
        <v>13.67018</v>
      </c>
      <c r="JK33" s="21">
        <f>IF(JK$1&lt;INDEX('Valo FX'!$Q:$Q,MATCH($A33,'Valo FX'!$A:$A,0)),0,IF(JK$1&lt;INDEX('Valo FX'!$R:$R,MATCH($A33,'Valo FX'!$A:$A,0)),INDEX(Base!$U:$U,MATCH($A33,Base!$A:$A,0)),IF(JK$1=INDEX('Valo FX'!$R:$R,MATCH($A33,'Valo FX'!$A:$A,0)),INDEX(Base!$V:$V,MATCH($A33,Base!$A:$A,0)),0)))</f>
        <v>13.67018</v>
      </c>
      <c r="JL33" s="21">
        <f>IF(JL$1&lt;INDEX('Valo FX'!$Q:$Q,MATCH($A33,'Valo FX'!$A:$A,0)),0,IF(JL$1&lt;INDEX('Valo FX'!$R:$R,MATCH($A33,'Valo FX'!$A:$A,0)),INDEX(Base!$U:$U,MATCH($A33,Base!$A:$A,0)),IF(JL$1=INDEX('Valo FX'!$R:$R,MATCH($A33,'Valo FX'!$A:$A,0)),INDEX(Base!$V:$V,MATCH($A33,Base!$A:$A,0)),0)))</f>
        <v>13.67018</v>
      </c>
      <c r="JM33" s="21">
        <f>IF(JM$1&lt;INDEX('Valo FX'!$Q:$Q,MATCH($A33,'Valo FX'!$A:$A,0)),0,IF(JM$1&lt;INDEX('Valo FX'!$R:$R,MATCH($A33,'Valo FX'!$A:$A,0)),INDEX(Base!$U:$U,MATCH($A33,Base!$A:$A,0)),IF(JM$1=INDEX('Valo FX'!$R:$R,MATCH($A33,'Valo FX'!$A:$A,0)),INDEX(Base!$V:$V,MATCH($A33,Base!$A:$A,0)),0)))</f>
        <v>13.67018</v>
      </c>
      <c r="JN33" s="21">
        <f>IF(JN$1&lt;INDEX('Valo FX'!$Q:$Q,MATCH($A33,'Valo FX'!$A:$A,0)),0,IF(JN$1&lt;INDEX('Valo FX'!$R:$R,MATCH($A33,'Valo FX'!$A:$A,0)),INDEX(Base!$U:$U,MATCH($A33,Base!$A:$A,0)),IF(JN$1=INDEX('Valo FX'!$R:$R,MATCH($A33,'Valo FX'!$A:$A,0)),INDEX(Base!$V:$V,MATCH($A33,Base!$A:$A,0)),0)))</f>
        <v>13.67018</v>
      </c>
      <c r="JO33" s="21">
        <f>IF(JO$1&lt;INDEX('Valo FX'!$Q:$Q,MATCH($A33,'Valo FX'!$A:$A,0)),0,IF(JO$1&lt;INDEX('Valo FX'!$R:$R,MATCH($A33,'Valo FX'!$A:$A,0)),INDEX(Base!$U:$U,MATCH($A33,Base!$A:$A,0)),IF(JO$1=INDEX('Valo FX'!$R:$R,MATCH($A33,'Valo FX'!$A:$A,0)),INDEX(Base!$V:$V,MATCH($A33,Base!$A:$A,0)),0)))</f>
        <v>13.67018</v>
      </c>
      <c r="JP33" s="21">
        <f>IF(JP$1&lt;INDEX('Valo FX'!$Q:$Q,MATCH($A33,'Valo FX'!$A:$A,0)),0,IF(JP$1&lt;INDEX('Valo FX'!$R:$R,MATCH($A33,'Valo FX'!$A:$A,0)),INDEX(Base!$U:$U,MATCH($A33,Base!$A:$A,0)),IF(JP$1=INDEX('Valo FX'!$R:$R,MATCH($A33,'Valo FX'!$A:$A,0)),INDEX(Base!$V:$V,MATCH($A33,Base!$A:$A,0)),0)))</f>
        <v>13.67018</v>
      </c>
      <c r="JQ33" s="21">
        <f>IF(JQ$1&lt;INDEX('Valo FX'!$Q:$Q,MATCH($A33,'Valo FX'!$A:$A,0)),0,IF(JQ$1&lt;INDEX('Valo FX'!$R:$R,MATCH($A33,'Valo FX'!$A:$A,0)),INDEX(Base!$U:$U,MATCH($A33,Base!$A:$A,0)),IF(JQ$1=INDEX('Valo FX'!$R:$R,MATCH($A33,'Valo FX'!$A:$A,0)),INDEX(Base!$V:$V,MATCH($A33,Base!$A:$A,0)),0)))</f>
        <v>13.67018</v>
      </c>
      <c r="JR33" s="21">
        <f>IF(JR$1&lt;INDEX('Valo FX'!$Q:$Q,MATCH($A33,'Valo FX'!$A:$A,0)),0,IF(JR$1&lt;INDEX('Valo FX'!$R:$R,MATCH($A33,'Valo FX'!$A:$A,0)),INDEX(Base!$U:$U,MATCH($A33,Base!$A:$A,0)),IF(JR$1=INDEX('Valo FX'!$R:$R,MATCH($A33,'Valo FX'!$A:$A,0)),INDEX(Base!$V:$V,MATCH($A33,Base!$A:$A,0)),0)))</f>
        <v>13.67018</v>
      </c>
      <c r="JS33" s="21">
        <f>IF(JS$1&lt;INDEX('Valo FX'!$Q:$Q,MATCH($A33,'Valo FX'!$A:$A,0)),0,IF(JS$1&lt;INDEX('Valo FX'!$R:$R,MATCH($A33,'Valo FX'!$A:$A,0)),INDEX(Base!$U:$U,MATCH($A33,Base!$A:$A,0)),IF(JS$1=INDEX('Valo FX'!$R:$R,MATCH($A33,'Valo FX'!$A:$A,0)),INDEX(Base!$V:$V,MATCH($A33,Base!$A:$A,0)),0)))</f>
        <v>13.67018</v>
      </c>
      <c r="JT33" s="21">
        <f>IF(JT$1&lt;INDEX('Valo FX'!$Q:$Q,MATCH($A33,'Valo FX'!$A:$A,0)),0,IF(JT$1&lt;INDEX('Valo FX'!$R:$R,MATCH($A33,'Valo FX'!$A:$A,0)),INDEX(Base!$U:$U,MATCH($A33,Base!$A:$A,0)),IF(JT$1=INDEX('Valo FX'!$R:$R,MATCH($A33,'Valo FX'!$A:$A,0)),INDEX(Base!$V:$V,MATCH($A33,Base!$A:$A,0)),0)))</f>
        <v>13.67018</v>
      </c>
      <c r="JU33" s="21">
        <f>IF(JU$1&lt;INDEX('Valo FX'!$Q:$Q,MATCH($A33,'Valo FX'!$A:$A,0)),0,IF(JU$1&lt;INDEX('Valo FX'!$R:$R,MATCH($A33,'Valo FX'!$A:$A,0)),INDEX(Base!$U:$U,MATCH($A33,Base!$A:$A,0)),IF(JU$1=INDEX('Valo FX'!$R:$R,MATCH($A33,'Valo FX'!$A:$A,0)),INDEX(Base!$V:$V,MATCH($A33,Base!$A:$A,0)),0)))</f>
        <v>13.67018</v>
      </c>
      <c r="JV33" s="21">
        <f>IF(JV$1&lt;INDEX('Valo FX'!$Q:$Q,MATCH($A33,'Valo FX'!$A:$A,0)),0,IF(JV$1&lt;INDEX('Valo FX'!$R:$R,MATCH($A33,'Valo FX'!$A:$A,0)),INDEX(Base!$U:$U,MATCH($A33,Base!$A:$A,0)),IF(JV$1=INDEX('Valo FX'!$R:$R,MATCH($A33,'Valo FX'!$A:$A,0)),INDEX(Base!$V:$V,MATCH($A33,Base!$A:$A,0)),0)))</f>
        <v>13.67018</v>
      </c>
      <c r="JW33" s="21">
        <f>IF(JW$1&lt;INDEX('Valo FX'!$Q:$Q,MATCH($A33,'Valo FX'!$A:$A,0)),0,IF(JW$1&lt;INDEX('Valo FX'!$R:$R,MATCH($A33,'Valo FX'!$A:$A,0)),INDEX(Base!$U:$U,MATCH($A33,Base!$A:$A,0)),IF(JW$1=INDEX('Valo FX'!$R:$R,MATCH($A33,'Valo FX'!$A:$A,0)),INDEX(Base!$V:$V,MATCH($A33,Base!$A:$A,0)),0)))</f>
        <v>13.67018</v>
      </c>
      <c r="JX33" s="21">
        <f>IF(JX$1&lt;INDEX('Valo FX'!$Q:$Q,MATCH($A33,'Valo FX'!$A:$A,0)),0,IF(JX$1&lt;INDEX('Valo FX'!$R:$R,MATCH($A33,'Valo FX'!$A:$A,0)),INDEX(Base!$U:$U,MATCH($A33,Base!$A:$A,0)),IF(JX$1=INDEX('Valo FX'!$R:$R,MATCH($A33,'Valo FX'!$A:$A,0)),INDEX(Base!$V:$V,MATCH($A33,Base!$A:$A,0)),0)))</f>
        <v>13.67018</v>
      </c>
      <c r="JY33" s="21">
        <f>IF(JY$1&lt;INDEX('Valo FX'!$Q:$Q,MATCH($A33,'Valo FX'!$A:$A,0)),0,IF(JY$1&lt;INDEX('Valo FX'!$R:$R,MATCH($A33,'Valo FX'!$A:$A,0)),INDEX(Base!$U:$U,MATCH($A33,Base!$A:$A,0)),IF(JY$1=INDEX('Valo FX'!$R:$R,MATCH($A33,'Valo FX'!$A:$A,0)),INDEX(Base!$V:$V,MATCH($A33,Base!$A:$A,0)),0)))</f>
        <v>13.67018</v>
      </c>
      <c r="JZ33" s="21">
        <f>IF(JZ$1&lt;INDEX('Valo FX'!$Q:$Q,MATCH($A33,'Valo FX'!$A:$A,0)),0,IF(JZ$1&lt;INDEX('Valo FX'!$R:$R,MATCH($A33,'Valo FX'!$A:$A,0)),INDEX(Base!$U:$U,MATCH($A33,Base!$A:$A,0)),IF(JZ$1=INDEX('Valo FX'!$R:$R,MATCH($A33,'Valo FX'!$A:$A,0)),INDEX(Base!$V:$V,MATCH($A33,Base!$A:$A,0)),0)))</f>
        <v>13.67018</v>
      </c>
      <c r="KA33" s="21">
        <f>IF(KA$1&lt;INDEX('Valo FX'!$Q:$Q,MATCH($A33,'Valo FX'!$A:$A,0)),0,IF(KA$1&lt;INDEX('Valo FX'!$R:$R,MATCH($A33,'Valo FX'!$A:$A,0)),INDEX(Base!$U:$U,MATCH($A33,Base!$A:$A,0)),IF(KA$1=INDEX('Valo FX'!$R:$R,MATCH($A33,'Valo FX'!$A:$A,0)),INDEX(Base!$V:$V,MATCH($A33,Base!$A:$A,0)),0)))</f>
        <v>13.67018</v>
      </c>
      <c r="KB33" s="21">
        <f>IF(KB$1&lt;INDEX('Valo FX'!$Q:$Q,MATCH($A33,'Valo FX'!$A:$A,0)),0,IF(KB$1&lt;INDEX('Valo FX'!$R:$R,MATCH($A33,'Valo FX'!$A:$A,0)),INDEX(Base!$U:$U,MATCH($A33,Base!$A:$A,0)),IF(KB$1=INDEX('Valo FX'!$R:$R,MATCH($A33,'Valo FX'!$A:$A,0)),INDEX(Base!$V:$V,MATCH($A33,Base!$A:$A,0)),0)))</f>
        <v>13.67018</v>
      </c>
      <c r="KC33" s="21">
        <f>IF(KC$1&lt;INDEX('Valo FX'!$Q:$Q,MATCH($A33,'Valo FX'!$A:$A,0)),0,IF(KC$1&lt;INDEX('Valo FX'!$R:$R,MATCH($A33,'Valo FX'!$A:$A,0)),INDEX(Base!$U:$U,MATCH($A33,Base!$A:$A,0)),IF(KC$1=INDEX('Valo FX'!$R:$R,MATCH($A33,'Valo FX'!$A:$A,0)),INDEX(Base!$V:$V,MATCH($A33,Base!$A:$A,0)),0)))</f>
        <v>13.67018</v>
      </c>
      <c r="KD33" s="21">
        <f>IF(KD$1&lt;INDEX('Valo FX'!$Q:$Q,MATCH($A33,'Valo FX'!$A:$A,0)),0,IF(KD$1&lt;INDEX('Valo FX'!$R:$R,MATCH($A33,'Valo FX'!$A:$A,0)),INDEX(Base!$U:$U,MATCH($A33,Base!$A:$A,0)),IF(KD$1=INDEX('Valo FX'!$R:$R,MATCH($A33,'Valo FX'!$A:$A,0)),INDEX(Base!$V:$V,MATCH($A33,Base!$A:$A,0)),0)))</f>
        <v>13.67018</v>
      </c>
      <c r="KE33" s="21">
        <f>IF(KE$1&lt;INDEX('Valo FX'!$Q:$Q,MATCH($A33,'Valo FX'!$A:$A,0)),0,IF(KE$1&lt;INDEX('Valo FX'!$R:$R,MATCH($A33,'Valo FX'!$A:$A,0)),INDEX(Base!$U:$U,MATCH($A33,Base!$A:$A,0)),IF(KE$1=INDEX('Valo FX'!$R:$R,MATCH($A33,'Valo FX'!$A:$A,0)),INDEX(Base!$V:$V,MATCH($A33,Base!$A:$A,0)),0)))</f>
        <v>13.67018</v>
      </c>
      <c r="KF33" s="21">
        <f>IF(KF$1&lt;INDEX('Valo FX'!$Q:$Q,MATCH($A33,'Valo FX'!$A:$A,0)),0,IF(KF$1&lt;INDEX('Valo FX'!$R:$R,MATCH($A33,'Valo FX'!$A:$A,0)),INDEX(Base!$U:$U,MATCH($A33,Base!$A:$A,0)),IF(KF$1=INDEX('Valo FX'!$R:$R,MATCH($A33,'Valo FX'!$A:$A,0)),INDEX(Base!$V:$V,MATCH($A33,Base!$A:$A,0)),0)))</f>
        <v>13.67018</v>
      </c>
      <c r="KG33" s="21">
        <f>IF(KG$1&lt;INDEX('Valo FX'!$Q:$Q,MATCH($A33,'Valo FX'!$A:$A,0)),0,IF(KG$1&lt;INDEX('Valo FX'!$R:$R,MATCH($A33,'Valo FX'!$A:$A,0)),INDEX(Base!$U:$U,MATCH($A33,Base!$A:$A,0)),IF(KG$1=INDEX('Valo FX'!$R:$R,MATCH($A33,'Valo FX'!$A:$A,0)),INDEX(Base!$V:$V,MATCH($A33,Base!$A:$A,0)),0)))</f>
        <v>13.67018</v>
      </c>
      <c r="KH33" s="21">
        <f>IF(KH$1&lt;INDEX('Valo FX'!$Q:$Q,MATCH($A33,'Valo FX'!$A:$A,0)),0,IF(KH$1&lt;INDEX('Valo FX'!$R:$R,MATCH($A33,'Valo FX'!$A:$A,0)),INDEX(Base!$U:$U,MATCH($A33,Base!$A:$A,0)),IF(KH$1=INDEX('Valo FX'!$R:$R,MATCH($A33,'Valo FX'!$A:$A,0)),INDEX(Base!$V:$V,MATCH($A33,Base!$A:$A,0)),0)))</f>
        <v>13.67018</v>
      </c>
      <c r="KI33" s="21">
        <f>IF(KI$1&lt;INDEX('Valo FX'!$Q:$Q,MATCH($A33,'Valo FX'!$A:$A,0)),0,IF(KI$1&lt;INDEX('Valo FX'!$R:$R,MATCH($A33,'Valo FX'!$A:$A,0)),INDEX(Base!$U:$U,MATCH($A33,Base!$A:$A,0)),IF(KI$1=INDEX('Valo FX'!$R:$R,MATCH($A33,'Valo FX'!$A:$A,0)),INDEX(Base!$V:$V,MATCH($A33,Base!$A:$A,0)),0)))</f>
        <v>13.67018</v>
      </c>
      <c r="KJ33" s="21">
        <f>IF(KJ$1&lt;INDEX('Valo FX'!$Q:$Q,MATCH($A33,'Valo FX'!$A:$A,0)),0,IF(KJ$1&lt;INDEX('Valo FX'!$R:$R,MATCH($A33,'Valo FX'!$A:$A,0)),INDEX(Base!$U:$U,MATCH($A33,Base!$A:$A,0)),IF(KJ$1=INDEX('Valo FX'!$R:$R,MATCH($A33,'Valo FX'!$A:$A,0)),INDEX(Base!$V:$V,MATCH($A33,Base!$A:$A,0)),0)))</f>
        <v>13.67018</v>
      </c>
      <c r="KK33" s="21">
        <f>IF(KK$1&lt;INDEX('Valo FX'!$Q:$Q,MATCH($A33,'Valo FX'!$A:$A,0)),0,IF(KK$1&lt;INDEX('Valo FX'!$R:$R,MATCH($A33,'Valo FX'!$A:$A,0)),INDEX(Base!$U:$U,MATCH($A33,Base!$A:$A,0)),IF(KK$1=INDEX('Valo FX'!$R:$R,MATCH($A33,'Valo FX'!$A:$A,0)),INDEX(Base!$V:$V,MATCH($A33,Base!$A:$A,0)),0)))</f>
        <v>13.67018</v>
      </c>
      <c r="KL33" s="21">
        <f>IF(KL$1&lt;INDEX('Valo FX'!$Q:$Q,MATCH($A33,'Valo FX'!$A:$A,0)),0,IF(KL$1&lt;INDEX('Valo FX'!$R:$R,MATCH($A33,'Valo FX'!$A:$A,0)),INDEX(Base!$U:$U,MATCH($A33,Base!$A:$A,0)),IF(KL$1=INDEX('Valo FX'!$R:$R,MATCH($A33,'Valo FX'!$A:$A,0)),INDEX(Base!$V:$V,MATCH($A33,Base!$A:$A,0)),0)))</f>
        <v>13.67018</v>
      </c>
      <c r="KM33" s="21">
        <f>IF(KM$1&lt;INDEX('Valo FX'!$Q:$Q,MATCH($A33,'Valo FX'!$A:$A,0)),0,IF(KM$1&lt;INDEX('Valo FX'!$R:$R,MATCH($A33,'Valo FX'!$A:$A,0)),INDEX(Base!$U:$U,MATCH($A33,Base!$A:$A,0)),IF(KM$1=INDEX('Valo FX'!$R:$R,MATCH($A33,'Valo FX'!$A:$A,0)),INDEX(Base!$V:$V,MATCH($A33,Base!$A:$A,0)),0)))</f>
        <v>13.67018</v>
      </c>
      <c r="KN33" s="21">
        <f>IF(KN$1&lt;INDEX('Valo FX'!$Q:$Q,MATCH($A33,'Valo FX'!$A:$A,0)),0,IF(KN$1&lt;INDEX('Valo FX'!$R:$R,MATCH($A33,'Valo FX'!$A:$A,0)),INDEX(Base!$U:$U,MATCH($A33,Base!$A:$A,0)),IF(KN$1=INDEX('Valo FX'!$R:$R,MATCH($A33,'Valo FX'!$A:$A,0)),INDEX(Base!$V:$V,MATCH($A33,Base!$A:$A,0)),0)))</f>
        <v>13.67018</v>
      </c>
      <c r="KO33" s="21">
        <f>IF(KO$1&lt;INDEX('Valo FX'!$Q:$Q,MATCH($A33,'Valo FX'!$A:$A,0)),0,IF(KO$1&lt;INDEX('Valo FX'!$R:$R,MATCH($A33,'Valo FX'!$A:$A,0)),INDEX(Base!$U:$U,MATCH($A33,Base!$A:$A,0)),IF(KO$1=INDEX('Valo FX'!$R:$R,MATCH($A33,'Valo FX'!$A:$A,0)),INDEX(Base!$V:$V,MATCH($A33,Base!$A:$A,0)),0)))</f>
        <v>13.67018</v>
      </c>
      <c r="KP33" s="21">
        <f>IF(KP$1&lt;INDEX('Valo FX'!$Q:$Q,MATCH($A33,'Valo FX'!$A:$A,0)),0,IF(KP$1&lt;INDEX('Valo FX'!$R:$R,MATCH($A33,'Valo FX'!$A:$A,0)),INDEX(Base!$U:$U,MATCH($A33,Base!$A:$A,0)),IF(KP$1=INDEX('Valo FX'!$R:$R,MATCH($A33,'Valo FX'!$A:$A,0)),INDEX(Base!$V:$V,MATCH($A33,Base!$A:$A,0)),0)))</f>
        <v>13.67018</v>
      </c>
      <c r="KQ33" s="21">
        <f>IF(KQ$1&lt;INDEX('Valo FX'!$Q:$Q,MATCH($A33,'Valo FX'!$A:$A,0)),0,IF(KQ$1&lt;INDEX('Valo FX'!$R:$R,MATCH($A33,'Valo FX'!$A:$A,0)),INDEX(Base!$U:$U,MATCH($A33,Base!$A:$A,0)),IF(KQ$1=INDEX('Valo FX'!$R:$R,MATCH($A33,'Valo FX'!$A:$A,0)),INDEX(Base!$V:$V,MATCH($A33,Base!$A:$A,0)),0)))</f>
        <v>13.67018</v>
      </c>
      <c r="KR33" s="21">
        <f>IF(KR$1&lt;INDEX('Valo FX'!$Q:$Q,MATCH($A33,'Valo FX'!$A:$A,0)),0,IF(KR$1&lt;INDEX('Valo FX'!$R:$R,MATCH($A33,'Valo FX'!$A:$A,0)),INDEX(Base!$U:$U,MATCH($A33,Base!$A:$A,0)),IF(KR$1=INDEX('Valo FX'!$R:$R,MATCH($A33,'Valo FX'!$A:$A,0)),INDEX(Base!$V:$V,MATCH($A33,Base!$A:$A,0)),0)))</f>
        <v>13.67018</v>
      </c>
      <c r="KS33" s="21">
        <f>IF(KS$1&lt;INDEX('Valo FX'!$Q:$Q,MATCH($A33,'Valo FX'!$A:$A,0)),0,IF(KS$1&lt;INDEX('Valo FX'!$R:$R,MATCH($A33,'Valo FX'!$A:$A,0)),INDEX(Base!$U:$U,MATCH($A33,Base!$A:$A,0)),IF(KS$1=INDEX('Valo FX'!$R:$R,MATCH($A33,'Valo FX'!$A:$A,0)),INDEX(Base!$V:$V,MATCH($A33,Base!$A:$A,0)),0)))</f>
        <v>13.67018</v>
      </c>
      <c r="KT33" s="21">
        <f>IF(KT$1&lt;INDEX('Valo FX'!$Q:$Q,MATCH($A33,'Valo FX'!$A:$A,0)),0,IF(KT$1&lt;INDEX('Valo FX'!$R:$R,MATCH($A33,'Valo FX'!$A:$A,0)),INDEX(Base!$U:$U,MATCH($A33,Base!$A:$A,0)),IF(KT$1=INDEX('Valo FX'!$R:$R,MATCH($A33,'Valo FX'!$A:$A,0)),INDEX(Base!$V:$V,MATCH($A33,Base!$A:$A,0)),0)))</f>
        <v>13.67018</v>
      </c>
      <c r="KU33" s="21">
        <f>IF(KU$1&lt;INDEX('Valo FX'!$Q:$Q,MATCH($A33,'Valo FX'!$A:$A,0)),0,IF(KU$1&lt;INDEX('Valo FX'!$R:$R,MATCH($A33,'Valo FX'!$A:$A,0)),INDEX(Base!$U:$U,MATCH($A33,Base!$A:$A,0)),IF(KU$1=INDEX('Valo FX'!$R:$R,MATCH($A33,'Valo FX'!$A:$A,0)),INDEX(Base!$V:$V,MATCH($A33,Base!$A:$A,0)),0)))</f>
        <v>13.67018</v>
      </c>
      <c r="KV33" s="21">
        <f>IF(KV$1&lt;INDEX('Valo FX'!$Q:$Q,MATCH($A33,'Valo FX'!$A:$A,0)),0,IF(KV$1&lt;INDEX('Valo FX'!$R:$R,MATCH($A33,'Valo FX'!$A:$A,0)),INDEX(Base!$U:$U,MATCH($A33,Base!$A:$A,0)),IF(KV$1=INDEX('Valo FX'!$R:$R,MATCH($A33,'Valo FX'!$A:$A,0)),INDEX(Base!$V:$V,MATCH($A33,Base!$A:$A,0)),0)))</f>
        <v>13.67018</v>
      </c>
      <c r="KW33" s="21">
        <f>IF(KW$1&lt;INDEX('Valo FX'!$Q:$Q,MATCH($A33,'Valo FX'!$A:$A,0)),0,IF(KW$1&lt;INDEX('Valo FX'!$R:$R,MATCH($A33,'Valo FX'!$A:$A,0)),INDEX(Base!$U:$U,MATCH($A33,Base!$A:$A,0)),IF(KW$1=INDEX('Valo FX'!$R:$R,MATCH($A33,'Valo FX'!$A:$A,0)),INDEX(Base!$V:$V,MATCH($A33,Base!$A:$A,0)),0)))</f>
        <v>13.67018</v>
      </c>
      <c r="KX33" s="21">
        <f>IF(KX$1&lt;INDEX('Valo FX'!$Q:$Q,MATCH($A33,'Valo FX'!$A:$A,0)),0,IF(KX$1&lt;INDEX('Valo FX'!$R:$R,MATCH($A33,'Valo FX'!$A:$A,0)),INDEX(Base!$U:$U,MATCH($A33,Base!$A:$A,0)),IF(KX$1=INDEX('Valo FX'!$R:$R,MATCH($A33,'Valo FX'!$A:$A,0)),INDEX(Base!$V:$V,MATCH($A33,Base!$A:$A,0)),0)))</f>
        <v>13.67018</v>
      </c>
      <c r="KY33" s="21">
        <f>IF(KY$1&lt;INDEX('Valo FX'!$Q:$Q,MATCH($A33,'Valo FX'!$A:$A,0)),0,IF(KY$1&lt;INDEX('Valo FX'!$R:$R,MATCH($A33,'Valo FX'!$A:$A,0)),INDEX(Base!$U:$U,MATCH($A33,Base!$A:$A,0)),IF(KY$1=INDEX('Valo FX'!$R:$R,MATCH($A33,'Valo FX'!$A:$A,0)),INDEX(Base!$V:$V,MATCH($A33,Base!$A:$A,0)),0)))</f>
        <v>13.67018</v>
      </c>
      <c r="KZ33" s="21">
        <f>IF(KZ$1&lt;INDEX('Valo FX'!$Q:$Q,MATCH($A33,'Valo FX'!$A:$A,0)),0,IF(KZ$1&lt;INDEX('Valo FX'!$R:$R,MATCH($A33,'Valo FX'!$A:$A,0)),INDEX(Base!$U:$U,MATCH($A33,Base!$A:$A,0)),IF(KZ$1=INDEX('Valo FX'!$R:$R,MATCH($A33,'Valo FX'!$A:$A,0)),INDEX(Base!$V:$V,MATCH($A33,Base!$A:$A,0)),0)))</f>
        <v>13.67018</v>
      </c>
      <c r="LA33" s="21">
        <f>IF(LA$1&lt;INDEX('Valo FX'!$Q:$Q,MATCH($A33,'Valo FX'!$A:$A,0)),0,IF(LA$1&lt;INDEX('Valo FX'!$R:$R,MATCH($A33,'Valo FX'!$A:$A,0)),INDEX(Base!$U:$U,MATCH($A33,Base!$A:$A,0)),IF(LA$1=INDEX('Valo FX'!$R:$R,MATCH($A33,'Valo FX'!$A:$A,0)),INDEX(Base!$V:$V,MATCH($A33,Base!$A:$A,0)),0)))</f>
        <v>13.67018</v>
      </c>
      <c r="LB33" s="21">
        <f>IF(LB$1&lt;INDEX('Valo FX'!$Q:$Q,MATCH($A33,'Valo FX'!$A:$A,0)),0,IF(LB$1&lt;INDEX('Valo FX'!$R:$R,MATCH($A33,'Valo FX'!$A:$A,0)),INDEX(Base!$U:$U,MATCH($A33,Base!$A:$A,0)),IF(LB$1=INDEX('Valo FX'!$R:$R,MATCH($A33,'Valo FX'!$A:$A,0)),INDEX(Base!$V:$V,MATCH($A33,Base!$A:$A,0)),0)))</f>
        <v>13.67018</v>
      </c>
      <c r="LC33" s="21">
        <f>IF(LC$1&lt;INDEX('Valo FX'!$Q:$Q,MATCH($A33,'Valo FX'!$A:$A,0)),0,IF(LC$1&lt;INDEX('Valo FX'!$R:$R,MATCH($A33,'Valo FX'!$A:$A,0)),INDEX(Base!$U:$U,MATCH($A33,Base!$A:$A,0)),IF(LC$1=INDEX('Valo FX'!$R:$R,MATCH($A33,'Valo FX'!$A:$A,0)),INDEX(Base!$V:$V,MATCH($A33,Base!$A:$A,0)),0)))</f>
        <v>13.67018</v>
      </c>
      <c r="LD33" s="21">
        <f>IF(LD$1&lt;INDEX('Valo FX'!$Q:$Q,MATCH($A33,'Valo FX'!$A:$A,0)),0,IF(LD$1&lt;INDEX('Valo FX'!$R:$R,MATCH($A33,'Valo FX'!$A:$A,0)),INDEX(Base!$U:$U,MATCH($A33,Base!$A:$A,0)),IF(LD$1=INDEX('Valo FX'!$R:$R,MATCH($A33,'Valo FX'!$A:$A,0)),INDEX(Base!$V:$V,MATCH($A33,Base!$A:$A,0)),0)))</f>
        <v>13.67018</v>
      </c>
      <c r="LE33" s="21">
        <f>IF(LE$1&lt;INDEX('Valo FX'!$Q:$Q,MATCH($A33,'Valo FX'!$A:$A,0)),0,IF(LE$1&lt;INDEX('Valo FX'!$R:$R,MATCH($A33,'Valo FX'!$A:$A,0)),INDEX(Base!$U:$U,MATCH($A33,Base!$A:$A,0)),IF(LE$1=INDEX('Valo FX'!$R:$R,MATCH($A33,'Valo FX'!$A:$A,0)),INDEX(Base!$V:$V,MATCH($A33,Base!$A:$A,0)),0)))</f>
        <v>13.67018</v>
      </c>
      <c r="LF33" s="21">
        <f>IF(LF$1&lt;INDEX('Valo FX'!$Q:$Q,MATCH($A33,'Valo FX'!$A:$A,0)),0,IF(LF$1&lt;INDEX('Valo FX'!$R:$R,MATCH($A33,'Valo FX'!$A:$A,0)),INDEX(Base!$U:$U,MATCH($A33,Base!$A:$A,0)),IF(LF$1=INDEX('Valo FX'!$R:$R,MATCH($A33,'Valo FX'!$A:$A,0)),INDEX(Base!$V:$V,MATCH($A33,Base!$A:$A,0)),0)))</f>
        <v>13.67018</v>
      </c>
      <c r="LG33" s="21">
        <f>IF(LG$1&lt;INDEX('Valo FX'!$Q:$Q,MATCH($A33,'Valo FX'!$A:$A,0)),0,IF(LG$1&lt;INDEX('Valo FX'!$R:$R,MATCH($A33,'Valo FX'!$A:$A,0)),INDEX(Base!$U:$U,MATCH($A33,Base!$A:$A,0)),IF(LG$1=INDEX('Valo FX'!$R:$R,MATCH($A33,'Valo FX'!$A:$A,0)),INDEX(Base!$V:$V,MATCH($A33,Base!$A:$A,0)),0)))</f>
        <v>13.67018</v>
      </c>
      <c r="LH33" s="21">
        <f>IF(LH$1&lt;INDEX('Valo FX'!$Q:$Q,MATCH($A33,'Valo FX'!$A:$A,0)),0,IF(LH$1&lt;INDEX('Valo FX'!$R:$R,MATCH($A33,'Valo FX'!$A:$A,0)),INDEX(Base!$U:$U,MATCH($A33,Base!$A:$A,0)),IF(LH$1=INDEX('Valo FX'!$R:$R,MATCH($A33,'Valo FX'!$A:$A,0)),INDEX(Base!$V:$V,MATCH($A33,Base!$A:$A,0)),0)))</f>
        <v>13.67018</v>
      </c>
      <c r="LI33" s="21">
        <f>IF(LI$1&lt;INDEX('Valo FX'!$Q:$Q,MATCH($A33,'Valo FX'!$A:$A,0)),0,IF(LI$1&lt;INDEX('Valo FX'!$R:$R,MATCH($A33,'Valo FX'!$A:$A,0)),INDEX(Base!$U:$U,MATCH($A33,Base!$A:$A,0)),IF(LI$1=INDEX('Valo FX'!$R:$R,MATCH($A33,'Valo FX'!$A:$A,0)),INDEX(Base!$V:$V,MATCH($A33,Base!$A:$A,0)),0)))</f>
        <v>13.67018</v>
      </c>
      <c r="LJ33" s="21">
        <f>IF(LJ$1&lt;INDEX('Valo FX'!$Q:$Q,MATCH($A33,'Valo FX'!$A:$A,0)),0,IF(LJ$1&lt;INDEX('Valo FX'!$R:$R,MATCH($A33,'Valo FX'!$A:$A,0)),INDEX(Base!$U:$U,MATCH($A33,Base!$A:$A,0)),IF(LJ$1=INDEX('Valo FX'!$R:$R,MATCH($A33,'Valo FX'!$A:$A,0)),INDEX(Base!$V:$V,MATCH($A33,Base!$A:$A,0)),0)))</f>
        <v>13.67018</v>
      </c>
      <c r="LK33" s="21">
        <f>IF(LK$1&lt;INDEX('Valo FX'!$Q:$Q,MATCH($A33,'Valo FX'!$A:$A,0)),0,IF(LK$1&lt;INDEX('Valo FX'!$R:$R,MATCH($A33,'Valo FX'!$A:$A,0)),INDEX(Base!$U:$U,MATCH($A33,Base!$A:$A,0)),IF(LK$1=INDEX('Valo FX'!$R:$R,MATCH($A33,'Valo FX'!$A:$A,0)),INDEX(Base!$V:$V,MATCH($A33,Base!$A:$A,0)),0)))</f>
        <v>13.67018</v>
      </c>
      <c r="LL33" s="21">
        <f>IF(LL$1&lt;INDEX('Valo FX'!$Q:$Q,MATCH($A33,'Valo FX'!$A:$A,0)),0,IF(LL$1&lt;INDEX('Valo FX'!$R:$R,MATCH($A33,'Valo FX'!$A:$A,0)),INDEX(Base!$U:$U,MATCH($A33,Base!$A:$A,0)),IF(LL$1=INDEX('Valo FX'!$R:$R,MATCH($A33,'Valo FX'!$A:$A,0)),INDEX(Base!$V:$V,MATCH($A33,Base!$A:$A,0)),0)))</f>
        <v>13.67018</v>
      </c>
      <c r="LM33" s="21">
        <f>IF(LM$1&lt;INDEX('Valo FX'!$Q:$Q,MATCH($A33,'Valo FX'!$A:$A,0)),0,IF(LM$1&lt;INDEX('Valo FX'!$R:$R,MATCH($A33,'Valo FX'!$A:$A,0)),INDEX(Base!$U:$U,MATCH($A33,Base!$A:$A,0)),IF(LM$1=INDEX('Valo FX'!$R:$R,MATCH($A33,'Valo FX'!$A:$A,0)),INDEX(Base!$V:$V,MATCH($A33,Base!$A:$A,0)),0)))</f>
        <v>13.67018</v>
      </c>
      <c r="LN33" s="21">
        <f>IF(LN$1&lt;INDEX('Valo FX'!$Q:$Q,MATCH($A33,'Valo FX'!$A:$A,0)),0,IF(LN$1&lt;INDEX('Valo FX'!$R:$R,MATCH($A33,'Valo FX'!$A:$A,0)),INDEX(Base!$U:$U,MATCH($A33,Base!$A:$A,0)),IF(LN$1=INDEX('Valo FX'!$R:$R,MATCH($A33,'Valo FX'!$A:$A,0)),INDEX(Base!$V:$V,MATCH($A33,Base!$A:$A,0)),0)))</f>
        <v>13.67018</v>
      </c>
      <c r="LO33" s="21">
        <f>IF(LO$1&lt;INDEX('Valo FX'!$Q:$Q,MATCH($A33,'Valo FX'!$A:$A,0)),0,IF(LO$1&lt;INDEX('Valo FX'!$R:$R,MATCH($A33,'Valo FX'!$A:$A,0)),INDEX(Base!$U:$U,MATCH($A33,Base!$A:$A,0)),IF(LO$1=INDEX('Valo FX'!$R:$R,MATCH($A33,'Valo FX'!$A:$A,0)),INDEX(Base!$V:$V,MATCH($A33,Base!$A:$A,0)),0)))</f>
        <v>13.67018</v>
      </c>
      <c r="LP33" s="21">
        <f>IF(LP$1&lt;INDEX('Valo FX'!$Q:$Q,MATCH($A33,'Valo FX'!$A:$A,0)),0,IF(LP$1&lt;INDEX('Valo FX'!$R:$R,MATCH($A33,'Valo FX'!$A:$A,0)),INDEX(Base!$U:$U,MATCH($A33,Base!$A:$A,0)),IF(LP$1=INDEX('Valo FX'!$R:$R,MATCH($A33,'Valo FX'!$A:$A,0)),INDEX(Base!$V:$V,MATCH($A33,Base!$A:$A,0)),0)))</f>
        <v>13.67018</v>
      </c>
      <c r="LQ33" s="21">
        <f>IF(LQ$1&lt;INDEX('Valo FX'!$Q:$Q,MATCH($A33,'Valo FX'!$A:$A,0)),0,IF(LQ$1&lt;INDEX('Valo FX'!$R:$R,MATCH($A33,'Valo FX'!$A:$A,0)),INDEX(Base!$U:$U,MATCH($A33,Base!$A:$A,0)),IF(LQ$1=INDEX('Valo FX'!$R:$R,MATCH($A33,'Valo FX'!$A:$A,0)),INDEX(Base!$V:$V,MATCH($A33,Base!$A:$A,0)),0)))</f>
        <v>13.67018</v>
      </c>
      <c r="LR33" s="21">
        <f>IF(LR$1&lt;INDEX('Valo FX'!$Q:$Q,MATCH($A33,'Valo FX'!$A:$A,0)),0,IF(LR$1&lt;INDEX('Valo FX'!$R:$R,MATCH($A33,'Valo FX'!$A:$A,0)),INDEX(Base!$U:$U,MATCH($A33,Base!$A:$A,0)),IF(LR$1=INDEX('Valo FX'!$R:$R,MATCH($A33,'Valo FX'!$A:$A,0)),INDEX(Base!$V:$V,MATCH($A33,Base!$A:$A,0)),0)))</f>
        <v>13.67018</v>
      </c>
      <c r="LS33" s="21">
        <f>IF(LS$1&lt;INDEX('Valo FX'!$Q:$Q,MATCH($A33,'Valo FX'!$A:$A,0)),0,IF(LS$1&lt;INDEX('Valo FX'!$R:$R,MATCH($A33,'Valo FX'!$A:$A,0)),INDEX(Base!$U:$U,MATCH($A33,Base!$A:$A,0)),IF(LS$1=INDEX('Valo FX'!$R:$R,MATCH($A33,'Valo FX'!$A:$A,0)),INDEX(Base!$V:$V,MATCH($A33,Base!$A:$A,0)),0)))</f>
        <v>13.67018</v>
      </c>
      <c r="LT33" s="21">
        <f>IF(LT$1&lt;INDEX('Valo FX'!$Q:$Q,MATCH($A33,'Valo FX'!$A:$A,0)),0,IF(LT$1&lt;INDEX('Valo FX'!$R:$R,MATCH($A33,'Valo FX'!$A:$A,0)),INDEX(Base!$U:$U,MATCH($A33,Base!$A:$A,0)),IF(LT$1=INDEX('Valo FX'!$R:$R,MATCH($A33,'Valo FX'!$A:$A,0)),INDEX(Base!$V:$V,MATCH($A33,Base!$A:$A,0)),0)))</f>
        <v>13.67018</v>
      </c>
      <c r="LU33" s="21">
        <f>IF(LU$1&lt;INDEX('Valo FX'!$Q:$Q,MATCH($A33,'Valo FX'!$A:$A,0)),0,IF(LU$1&lt;INDEX('Valo FX'!$R:$R,MATCH($A33,'Valo FX'!$A:$A,0)),INDEX(Base!$U:$U,MATCH($A33,Base!$A:$A,0)),IF(LU$1=INDEX('Valo FX'!$R:$R,MATCH($A33,'Valo FX'!$A:$A,0)),INDEX(Base!$V:$V,MATCH($A33,Base!$A:$A,0)),0)))</f>
        <v>13.67018</v>
      </c>
      <c r="LV33" s="21">
        <f>IF(LV$1&lt;INDEX('Valo FX'!$Q:$Q,MATCH($A33,'Valo FX'!$A:$A,0)),0,IF(LV$1&lt;INDEX('Valo FX'!$R:$R,MATCH($A33,'Valo FX'!$A:$A,0)),INDEX(Base!$U:$U,MATCH($A33,Base!$A:$A,0)),IF(LV$1=INDEX('Valo FX'!$R:$R,MATCH($A33,'Valo FX'!$A:$A,0)),INDEX(Base!$V:$V,MATCH($A33,Base!$A:$A,0)),0)))</f>
        <v>13.67018</v>
      </c>
      <c r="LW33" s="21">
        <f>IF(LW$1&lt;INDEX('Valo FX'!$Q:$Q,MATCH($A33,'Valo FX'!$A:$A,0)),0,IF(LW$1&lt;INDEX('Valo FX'!$R:$R,MATCH($A33,'Valo FX'!$A:$A,0)),INDEX(Base!$U:$U,MATCH($A33,Base!$A:$A,0)),IF(LW$1=INDEX('Valo FX'!$R:$R,MATCH($A33,'Valo FX'!$A:$A,0)),INDEX(Base!$V:$V,MATCH($A33,Base!$A:$A,0)),0)))</f>
        <v>13.67018</v>
      </c>
      <c r="LX33" s="21">
        <f>IF(LX$1&lt;INDEX('Valo FX'!$Q:$Q,MATCH($A33,'Valo FX'!$A:$A,0)),0,IF(LX$1&lt;INDEX('Valo FX'!$R:$R,MATCH($A33,'Valo FX'!$A:$A,0)),INDEX(Base!$U:$U,MATCH($A33,Base!$A:$A,0)),IF(LX$1=INDEX('Valo FX'!$R:$R,MATCH($A33,'Valo FX'!$A:$A,0)),INDEX(Base!$V:$V,MATCH($A33,Base!$A:$A,0)),0)))</f>
        <v>13.67018</v>
      </c>
      <c r="LY33" s="21">
        <f>IF(LY$1&lt;INDEX('Valo FX'!$Q:$Q,MATCH($A33,'Valo FX'!$A:$A,0)),0,IF(LY$1&lt;INDEX('Valo FX'!$R:$R,MATCH($A33,'Valo FX'!$A:$A,0)),INDEX(Base!$U:$U,MATCH($A33,Base!$A:$A,0)),IF(LY$1=INDEX('Valo FX'!$R:$R,MATCH($A33,'Valo FX'!$A:$A,0)),INDEX(Base!$V:$V,MATCH($A33,Base!$A:$A,0)),0)))</f>
        <v>13.67018</v>
      </c>
      <c r="LZ33" s="21">
        <f>IF(LZ$1&lt;INDEX('Valo FX'!$Q:$Q,MATCH($A33,'Valo FX'!$A:$A,0)),0,IF(LZ$1&lt;INDEX('Valo FX'!$R:$R,MATCH($A33,'Valo FX'!$A:$A,0)),INDEX(Base!$U:$U,MATCH($A33,Base!$A:$A,0)),IF(LZ$1=INDEX('Valo FX'!$R:$R,MATCH($A33,'Valo FX'!$A:$A,0)),INDEX(Base!$V:$V,MATCH($A33,Base!$A:$A,0)),0)))</f>
        <v>13.67018</v>
      </c>
      <c r="MA33" s="21">
        <f>IF(MA$1&lt;INDEX('Valo FX'!$Q:$Q,MATCH($A33,'Valo FX'!$A:$A,0)),0,IF(MA$1&lt;INDEX('Valo FX'!$R:$R,MATCH($A33,'Valo FX'!$A:$A,0)),INDEX(Base!$U:$U,MATCH($A33,Base!$A:$A,0)),IF(MA$1=INDEX('Valo FX'!$R:$R,MATCH($A33,'Valo FX'!$A:$A,0)),INDEX(Base!$V:$V,MATCH($A33,Base!$A:$A,0)),0)))</f>
        <v>13.67018</v>
      </c>
      <c r="MB33" s="21">
        <f>IF(MB$1&lt;INDEX('Valo FX'!$Q:$Q,MATCH($A33,'Valo FX'!$A:$A,0)),0,IF(MB$1&lt;INDEX('Valo FX'!$R:$R,MATCH($A33,'Valo FX'!$A:$A,0)),INDEX(Base!$U:$U,MATCH($A33,Base!$A:$A,0)),IF(MB$1=INDEX('Valo FX'!$R:$R,MATCH($A33,'Valo FX'!$A:$A,0)),INDEX(Base!$V:$V,MATCH($A33,Base!$A:$A,0)),0)))</f>
        <v>13.67018</v>
      </c>
      <c r="MC33" s="21">
        <f>IF(MC$1&lt;INDEX('Valo FX'!$Q:$Q,MATCH($A33,'Valo FX'!$A:$A,0)),0,IF(MC$1&lt;INDEX('Valo FX'!$R:$R,MATCH($A33,'Valo FX'!$A:$A,0)),INDEX(Base!$U:$U,MATCH($A33,Base!$A:$A,0)),IF(MC$1=INDEX('Valo FX'!$R:$R,MATCH($A33,'Valo FX'!$A:$A,0)),INDEX(Base!$V:$V,MATCH($A33,Base!$A:$A,0)),0)))</f>
        <v>13.67018</v>
      </c>
      <c r="MD33" s="21">
        <f>IF(MD$1&lt;INDEX('Valo FX'!$Q:$Q,MATCH($A33,'Valo FX'!$A:$A,0)),0,IF(MD$1&lt;INDEX('Valo FX'!$R:$R,MATCH($A33,'Valo FX'!$A:$A,0)),INDEX(Base!$U:$U,MATCH($A33,Base!$A:$A,0)),IF(MD$1=INDEX('Valo FX'!$R:$R,MATCH($A33,'Valo FX'!$A:$A,0)),INDEX(Base!$V:$V,MATCH($A33,Base!$A:$A,0)),0)))</f>
        <v>13.67018</v>
      </c>
      <c r="ME33" s="21">
        <f>IF(ME$1&lt;INDEX('Valo FX'!$Q:$Q,MATCH($A33,'Valo FX'!$A:$A,0)),0,IF(ME$1&lt;INDEX('Valo FX'!$R:$R,MATCH($A33,'Valo FX'!$A:$A,0)),INDEX(Base!$U:$U,MATCH($A33,Base!$A:$A,0)),IF(ME$1=INDEX('Valo FX'!$R:$R,MATCH($A33,'Valo FX'!$A:$A,0)),INDEX(Base!$V:$V,MATCH($A33,Base!$A:$A,0)),0)))</f>
        <v>13.67018</v>
      </c>
      <c r="MF33" s="21">
        <f>IF(MF$1&lt;INDEX('Valo FX'!$Q:$Q,MATCH($A33,'Valo FX'!$A:$A,0)),0,IF(MF$1&lt;INDEX('Valo FX'!$R:$R,MATCH($A33,'Valo FX'!$A:$A,0)),INDEX(Base!$U:$U,MATCH($A33,Base!$A:$A,0)),IF(MF$1=INDEX('Valo FX'!$R:$R,MATCH($A33,'Valo FX'!$A:$A,0)),INDEX(Base!$V:$V,MATCH($A33,Base!$A:$A,0)),0)))</f>
        <v>13.67018</v>
      </c>
      <c r="MG33" s="21">
        <f>IF(MG$1&lt;INDEX('Valo FX'!$Q:$Q,MATCH($A33,'Valo FX'!$A:$A,0)),0,IF(MG$1&lt;INDEX('Valo FX'!$R:$R,MATCH($A33,'Valo FX'!$A:$A,0)),INDEX(Base!$U:$U,MATCH($A33,Base!$A:$A,0)),IF(MG$1=INDEX('Valo FX'!$R:$R,MATCH($A33,'Valo FX'!$A:$A,0)),INDEX(Base!$V:$V,MATCH($A33,Base!$A:$A,0)),0)))</f>
        <v>13.67018</v>
      </c>
      <c r="MH33" s="21">
        <f>IF(MH$1&lt;INDEX('Valo FX'!$Q:$Q,MATCH($A33,'Valo FX'!$A:$A,0)),0,IF(MH$1&lt;INDEX('Valo FX'!$R:$R,MATCH($A33,'Valo FX'!$A:$A,0)),INDEX(Base!$U:$U,MATCH($A33,Base!$A:$A,0)),IF(MH$1=INDEX('Valo FX'!$R:$R,MATCH($A33,'Valo FX'!$A:$A,0)),INDEX(Base!$V:$V,MATCH($A33,Base!$A:$A,0)),0)))</f>
        <v>13.67018</v>
      </c>
      <c r="MI33" s="21">
        <f>IF(MI$1&lt;INDEX('Valo FX'!$Q:$Q,MATCH($A33,'Valo FX'!$A:$A,0)),0,IF(MI$1&lt;INDEX('Valo FX'!$R:$R,MATCH($A33,'Valo FX'!$A:$A,0)),INDEX(Base!$U:$U,MATCH($A33,Base!$A:$A,0)),IF(MI$1=INDEX('Valo FX'!$R:$R,MATCH($A33,'Valo FX'!$A:$A,0)),INDEX(Base!$V:$V,MATCH($A33,Base!$A:$A,0)),0)))</f>
        <v>13.67018</v>
      </c>
      <c r="MJ33" s="21">
        <f>IF(MJ$1&lt;INDEX('Valo FX'!$Q:$Q,MATCH($A33,'Valo FX'!$A:$A,0)),0,IF(MJ$1&lt;INDEX('Valo FX'!$R:$R,MATCH($A33,'Valo FX'!$A:$A,0)),INDEX(Base!$U:$U,MATCH($A33,Base!$A:$A,0)),IF(MJ$1=INDEX('Valo FX'!$R:$R,MATCH($A33,'Valo FX'!$A:$A,0)),INDEX(Base!$V:$V,MATCH($A33,Base!$A:$A,0)),0)))</f>
        <v>13.67018</v>
      </c>
      <c r="MK33" s="21">
        <f>IF(MK$1&lt;INDEX('Valo FX'!$Q:$Q,MATCH($A33,'Valo FX'!$A:$A,0)),0,IF(MK$1&lt;INDEX('Valo FX'!$R:$R,MATCH($A33,'Valo FX'!$A:$A,0)),INDEX(Base!$U:$U,MATCH($A33,Base!$A:$A,0)),IF(MK$1=INDEX('Valo FX'!$R:$R,MATCH($A33,'Valo FX'!$A:$A,0)),INDEX(Base!$V:$V,MATCH($A33,Base!$A:$A,0)),0)))</f>
        <v>13.67018</v>
      </c>
      <c r="ML33" s="21">
        <f>IF(ML$1&lt;INDEX('Valo FX'!$Q:$Q,MATCH($A33,'Valo FX'!$A:$A,0)),0,IF(ML$1&lt;INDEX('Valo FX'!$R:$R,MATCH($A33,'Valo FX'!$A:$A,0)),INDEX(Base!$U:$U,MATCH($A33,Base!$A:$A,0)),IF(ML$1=INDEX('Valo FX'!$R:$R,MATCH($A33,'Valo FX'!$A:$A,0)),INDEX(Base!$V:$V,MATCH($A33,Base!$A:$A,0)),0)))</f>
        <v>13.67018</v>
      </c>
      <c r="MM33" s="21">
        <f>IF(MM$1&lt;INDEX('Valo FX'!$Q:$Q,MATCH($A33,'Valo FX'!$A:$A,0)),0,IF(MM$1&lt;INDEX('Valo FX'!$R:$R,MATCH($A33,'Valo FX'!$A:$A,0)),INDEX(Base!$U:$U,MATCH($A33,Base!$A:$A,0)),IF(MM$1=INDEX('Valo FX'!$R:$R,MATCH($A33,'Valo FX'!$A:$A,0)),INDEX(Base!$V:$V,MATCH($A33,Base!$A:$A,0)),0)))</f>
        <v>13.67018</v>
      </c>
      <c r="MN33" s="21">
        <f>IF(MN$1&lt;INDEX('Valo FX'!$Q:$Q,MATCH($A33,'Valo FX'!$A:$A,0)),0,IF(MN$1&lt;INDEX('Valo FX'!$R:$R,MATCH($A33,'Valo FX'!$A:$A,0)),INDEX(Base!$U:$U,MATCH($A33,Base!$A:$A,0)),IF(MN$1=INDEX('Valo FX'!$R:$R,MATCH($A33,'Valo FX'!$A:$A,0)),INDEX(Base!$V:$V,MATCH($A33,Base!$A:$A,0)),0)))</f>
        <v>13.67018</v>
      </c>
      <c r="MO33" s="21">
        <f>IF(MO$1&lt;INDEX('Valo FX'!$Q:$Q,MATCH($A33,'Valo FX'!$A:$A,0)),0,IF(MO$1&lt;INDEX('Valo FX'!$R:$R,MATCH($A33,'Valo FX'!$A:$A,0)),INDEX(Base!$U:$U,MATCH($A33,Base!$A:$A,0)),IF(MO$1=INDEX('Valo FX'!$R:$R,MATCH($A33,'Valo FX'!$A:$A,0)),INDEX(Base!$V:$V,MATCH($A33,Base!$A:$A,0)),0)))</f>
        <v>13.67018</v>
      </c>
      <c r="MP33" s="21">
        <f>IF(MP$1&lt;INDEX('Valo FX'!$Q:$Q,MATCH($A33,'Valo FX'!$A:$A,0)),0,IF(MP$1&lt;INDEX('Valo FX'!$R:$R,MATCH($A33,'Valo FX'!$A:$A,0)),INDEX(Base!$U:$U,MATCH($A33,Base!$A:$A,0)),IF(MP$1=INDEX('Valo FX'!$R:$R,MATCH($A33,'Valo FX'!$A:$A,0)),INDEX(Base!$V:$V,MATCH($A33,Base!$A:$A,0)),0)))</f>
        <v>13.67018</v>
      </c>
      <c r="MQ33" s="21">
        <f>IF(MQ$1&lt;INDEX('Valo FX'!$Q:$Q,MATCH($A33,'Valo FX'!$A:$A,0)),0,IF(MQ$1&lt;INDEX('Valo FX'!$R:$R,MATCH($A33,'Valo FX'!$A:$A,0)),INDEX(Base!$U:$U,MATCH($A33,Base!$A:$A,0)),IF(MQ$1=INDEX('Valo FX'!$R:$R,MATCH($A33,'Valo FX'!$A:$A,0)),INDEX(Base!$V:$V,MATCH($A33,Base!$A:$A,0)),0)))</f>
        <v>13.67018</v>
      </c>
      <c r="MR33" s="21">
        <f>IF(MR$1&lt;INDEX('Valo FX'!$Q:$Q,MATCH($A33,'Valo FX'!$A:$A,0)),0,IF(MR$1&lt;INDEX('Valo FX'!$R:$R,MATCH($A33,'Valo FX'!$A:$A,0)),INDEX(Base!$U:$U,MATCH($A33,Base!$A:$A,0)),IF(MR$1=INDEX('Valo FX'!$R:$R,MATCH($A33,'Valo FX'!$A:$A,0)),INDEX(Base!$V:$V,MATCH($A33,Base!$A:$A,0)),0)))</f>
        <v>13.67018</v>
      </c>
      <c r="MS33" s="21">
        <f>IF(MS$1&lt;INDEX('Valo FX'!$Q:$Q,MATCH($A33,'Valo FX'!$A:$A,0)),0,IF(MS$1&lt;INDEX('Valo FX'!$R:$R,MATCH($A33,'Valo FX'!$A:$A,0)),INDEX(Base!$U:$U,MATCH($A33,Base!$A:$A,0)),IF(MS$1=INDEX('Valo FX'!$R:$R,MATCH($A33,'Valo FX'!$A:$A,0)),INDEX(Base!$V:$V,MATCH($A33,Base!$A:$A,0)),0)))</f>
        <v>13.67018</v>
      </c>
      <c r="MT33" s="21">
        <f>IF(MT$1&lt;INDEX('Valo FX'!$Q:$Q,MATCH($A33,'Valo FX'!$A:$A,0)),0,IF(MT$1&lt;INDEX('Valo FX'!$R:$R,MATCH($A33,'Valo FX'!$A:$A,0)),INDEX(Base!$U:$U,MATCH($A33,Base!$A:$A,0)),IF(MT$1=INDEX('Valo FX'!$R:$R,MATCH($A33,'Valo FX'!$A:$A,0)),INDEX(Base!$V:$V,MATCH($A33,Base!$A:$A,0)),0)))</f>
        <v>13.67018</v>
      </c>
      <c r="MU33" s="21">
        <f>IF(MU$1&lt;INDEX('Valo FX'!$Q:$Q,MATCH($A33,'Valo FX'!$A:$A,0)),0,IF(MU$1&lt;INDEX('Valo FX'!$R:$R,MATCH($A33,'Valo FX'!$A:$A,0)),INDEX(Base!$U:$U,MATCH($A33,Base!$A:$A,0)),IF(MU$1=INDEX('Valo FX'!$R:$R,MATCH($A33,'Valo FX'!$A:$A,0)),INDEX(Base!$V:$V,MATCH($A33,Base!$A:$A,0)),0)))</f>
        <v>13.67018</v>
      </c>
      <c r="MV33" s="21">
        <f>IF(MV$1&lt;INDEX('Valo FX'!$Q:$Q,MATCH($A33,'Valo FX'!$A:$A,0)),0,IF(MV$1&lt;INDEX('Valo FX'!$R:$R,MATCH($A33,'Valo FX'!$A:$A,0)),INDEX(Base!$U:$U,MATCH($A33,Base!$A:$A,0)),IF(MV$1=INDEX('Valo FX'!$R:$R,MATCH($A33,'Valo FX'!$A:$A,0)),INDEX(Base!$V:$V,MATCH($A33,Base!$A:$A,0)),0)))</f>
        <v>13.67018</v>
      </c>
      <c r="MW33" s="21">
        <f>IF(MW$1&lt;INDEX('Valo FX'!$Q:$Q,MATCH($A33,'Valo FX'!$A:$A,0)),0,IF(MW$1&lt;INDEX('Valo FX'!$R:$R,MATCH($A33,'Valo FX'!$A:$A,0)),INDEX(Base!$U:$U,MATCH($A33,Base!$A:$A,0)),IF(MW$1=INDEX('Valo FX'!$R:$R,MATCH($A33,'Valo FX'!$A:$A,0)),INDEX(Base!$V:$V,MATCH($A33,Base!$A:$A,0)),0)))</f>
        <v>13.67018</v>
      </c>
      <c r="MX33" s="21">
        <f>IF(MX$1&lt;INDEX('Valo FX'!$Q:$Q,MATCH($A33,'Valo FX'!$A:$A,0)),0,IF(MX$1&lt;INDEX('Valo FX'!$R:$R,MATCH($A33,'Valo FX'!$A:$A,0)),INDEX(Base!$U:$U,MATCH($A33,Base!$A:$A,0)),IF(MX$1=INDEX('Valo FX'!$R:$R,MATCH($A33,'Valo FX'!$A:$A,0)),INDEX(Base!$V:$V,MATCH($A33,Base!$A:$A,0)),0)))</f>
        <v>13.67018</v>
      </c>
      <c r="MY33" s="21">
        <f>IF(MY$1&lt;INDEX('Valo FX'!$Q:$Q,MATCH($A33,'Valo FX'!$A:$A,0)),0,IF(MY$1&lt;INDEX('Valo FX'!$R:$R,MATCH($A33,'Valo FX'!$A:$A,0)),INDEX(Base!$U:$U,MATCH($A33,Base!$A:$A,0)),IF(MY$1=INDEX('Valo FX'!$R:$R,MATCH($A33,'Valo FX'!$A:$A,0)),INDEX(Base!$V:$V,MATCH($A33,Base!$A:$A,0)),0)))</f>
        <v>14.098212999999999</v>
      </c>
    </row>
    <row r="34" spans="1:363" x14ac:dyDescent="0.25">
      <c r="A34" s="7">
        <f t="shared" si="12"/>
        <v>32</v>
      </c>
      <c r="B34" s="59">
        <f>-'Valo FX'!T35</f>
        <v>-1813.903606921551</v>
      </c>
      <c r="C34" s="21">
        <f>IF(C$1&lt;INDEX('Valo FX'!$Q:$Q,MATCH($A34,'Valo FX'!$A:$A,0)),0,IF(C$1&lt;INDEX('Valo FX'!$R:$R,MATCH($A34,'Valo FX'!$A:$A,0)),INDEX(Base!$U:$U,MATCH($A34,Base!$A:$A,0)),IF(C$1=INDEX('Valo FX'!$R:$R,MATCH($A34,'Valo FX'!$A:$A,0)),INDEX(Base!$V:$V,MATCH($A34,Base!$A:$A,0)),0)))</f>
        <v>0</v>
      </c>
      <c r="D34" s="21">
        <f>IF(D$1&lt;INDEX('Valo FX'!$Q:$Q,MATCH($A34,'Valo FX'!$A:$A,0)),0,IF(D$1&lt;INDEX('Valo FX'!$R:$R,MATCH($A34,'Valo FX'!$A:$A,0)),INDEX(Base!$U:$U,MATCH($A34,Base!$A:$A,0)),IF(D$1=INDEX('Valo FX'!$R:$R,MATCH($A34,'Valo FX'!$A:$A,0)),INDEX(Base!$V:$V,MATCH($A34,Base!$A:$A,0)),0)))</f>
        <v>0</v>
      </c>
      <c r="E34" s="21">
        <f>IF(E$1&lt;INDEX('Valo FX'!$Q:$Q,MATCH($A34,'Valo FX'!$A:$A,0)),0,IF(E$1&lt;INDEX('Valo FX'!$R:$R,MATCH($A34,'Valo FX'!$A:$A,0)),INDEX(Base!$U:$U,MATCH($A34,Base!$A:$A,0)),IF(E$1=INDEX('Valo FX'!$R:$R,MATCH($A34,'Valo FX'!$A:$A,0)),INDEX(Base!$V:$V,MATCH($A34,Base!$A:$A,0)),0)))</f>
        <v>0</v>
      </c>
      <c r="F34" s="21">
        <f>IF(F$1&lt;INDEX('Valo FX'!$Q:$Q,MATCH($A34,'Valo FX'!$A:$A,0)),0,IF(F$1&lt;INDEX('Valo FX'!$R:$R,MATCH($A34,'Valo FX'!$A:$A,0)),INDEX(Base!$U:$U,MATCH($A34,Base!$A:$A,0)),IF(F$1=INDEX('Valo FX'!$R:$R,MATCH($A34,'Valo FX'!$A:$A,0)),INDEX(Base!$V:$V,MATCH($A34,Base!$A:$A,0)),0)))</f>
        <v>0</v>
      </c>
      <c r="G34" s="21">
        <f>IF(G$1&lt;INDEX('Valo FX'!$Q:$Q,MATCH($A34,'Valo FX'!$A:$A,0)),0,IF(G$1&lt;INDEX('Valo FX'!$R:$R,MATCH($A34,'Valo FX'!$A:$A,0)),INDEX(Base!$U:$U,MATCH($A34,Base!$A:$A,0)),IF(G$1=INDEX('Valo FX'!$R:$R,MATCH($A34,'Valo FX'!$A:$A,0)),INDEX(Base!$V:$V,MATCH($A34,Base!$A:$A,0)),0)))</f>
        <v>0</v>
      </c>
      <c r="H34" s="21">
        <f>IF(H$1&lt;INDEX('Valo FX'!$Q:$Q,MATCH($A34,'Valo FX'!$A:$A,0)),0,IF(H$1&lt;INDEX('Valo FX'!$R:$R,MATCH($A34,'Valo FX'!$A:$A,0)),INDEX(Base!$U:$U,MATCH($A34,Base!$A:$A,0)),IF(H$1=INDEX('Valo FX'!$R:$R,MATCH($A34,'Valo FX'!$A:$A,0)),INDEX(Base!$V:$V,MATCH($A34,Base!$A:$A,0)),0)))</f>
        <v>0</v>
      </c>
      <c r="I34" s="21">
        <f>IF(I$1&lt;INDEX('Valo FX'!$Q:$Q,MATCH($A34,'Valo FX'!$A:$A,0)),0,IF(I$1&lt;INDEX('Valo FX'!$R:$R,MATCH($A34,'Valo FX'!$A:$A,0)),INDEX(Base!$U:$U,MATCH($A34,Base!$A:$A,0)),IF(I$1=INDEX('Valo FX'!$R:$R,MATCH($A34,'Valo FX'!$A:$A,0)),INDEX(Base!$V:$V,MATCH($A34,Base!$A:$A,0)),0)))</f>
        <v>12.42789</v>
      </c>
      <c r="J34" s="21">
        <f>IF(J$1&lt;INDEX('Valo FX'!$Q:$Q,MATCH($A34,'Valo FX'!$A:$A,0)),0,IF(J$1&lt;INDEX('Valo FX'!$R:$R,MATCH($A34,'Valo FX'!$A:$A,0)),INDEX(Base!$U:$U,MATCH($A34,Base!$A:$A,0)),IF(J$1=INDEX('Valo FX'!$R:$R,MATCH($A34,'Valo FX'!$A:$A,0)),INDEX(Base!$V:$V,MATCH($A34,Base!$A:$A,0)),0)))</f>
        <v>12.42789</v>
      </c>
      <c r="K34" s="21">
        <f>IF(K$1&lt;INDEX('Valo FX'!$Q:$Q,MATCH($A34,'Valo FX'!$A:$A,0)),0,IF(K$1&lt;INDEX('Valo FX'!$R:$R,MATCH($A34,'Valo FX'!$A:$A,0)),INDEX(Base!$U:$U,MATCH($A34,Base!$A:$A,0)),IF(K$1=INDEX('Valo FX'!$R:$R,MATCH($A34,'Valo FX'!$A:$A,0)),INDEX(Base!$V:$V,MATCH($A34,Base!$A:$A,0)),0)))</f>
        <v>12.42789</v>
      </c>
      <c r="L34" s="21">
        <f>IF(L$1&lt;INDEX('Valo FX'!$Q:$Q,MATCH($A34,'Valo FX'!$A:$A,0)),0,IF(L$1&lt;INDEX('Valo FX'!$R:$R,MATCH($A34,'Valo FX'!$A:$A,0)),INDEX(Base!$U:$U,MATCH($A34,Base!$A:$A,0)),IF(L$1=INDEX('Valo FX'!$R:$R,MATCH($A34,'Valo FX'!$A:$A,0)),INDEX(Base!$V:$V,MATCH($A34,Base!$A:$A,0)),0)))</f>
        <v>12.42789</v>
      </c>
      <c r="M34" s="21">
        <f>IF(M$1&lt;INDEX('Valo FX'!$Q:$Q,MATCH($A34,'Valo FX'!$A:$A,0)),0,IF(M$1&lt;INDEX('Valo FX'!$R:$R,MATCH($A34,'Valo FX'!$A:$A,0)),INDEX(Base!$U:$U,MATCH($A34,Base!$A:$A,0)),IF(M$1=INDEX('Valo FX'!$R:$R,MATCH($A34,'Valo FX'!$A:$A,0)),INDEX(Base!$V:$V,MATCH($A34,Base!$A:$A,0)),0)))</f>
        <v>12.42789</v>
      </c>
      <c r="N34" s="21">
        <f>IF(N$1&lt;INDEX('Valo FX'!$Q:$Q,MATCH($A34,'Valo FX'!$A:$A,0)),0,IF(N$1&lt;INDEX('Valo FX'!$R:$R,MATCH($A34,'Valo FX'!$A:$A,0)),INDEX(Base!$U:$U,MATCH($A34,Base!$A:$A,0)),IF(N$1=INDEX('Valo FX'!$R:$R,MATCH($A34,'Valo FX'!$A:$A,0)),INDEX(Base!$V:$V,MATCH($A34,Base!$A:$A,0)),0)))</f>
        <v>12.42789</v>
      </c>
      <c r="O34" s="21">
        <f>IF(O$1&lt;INDEX('Valo FX'!$Q:$Q,MATCH($A34,'Valo FX'!$A:$A,0)),0,IF(O$1&lt;INDEX('Valo FX'!$R:$R,MATCH($A34,'Valo FX'!$A:$A,0)),INDEX(Base!$U:$U,MATCH($A34,Base!$A:$A,0)),IF(O$1=INDEX('Valo FX'!$R:$R,MATCH($A34,'Valo FX'!$A:$A,0)),INDEX(Base!$V:$V,MATCH($A34,Base!$A:$A,0)),0)))</f>
        <v>12.42789</v>
      </c>
      <c r="P34" s="21">
        <f>IF(P$1&lt;INDEX('Valo FX'!$Q:$Q,MATCH($A34,'Valo FX'!$A:$A,0)),0,IF(P$1&lt;INDEX('Valo FX'!$R:$R,MATCH($A34,'Valo FX'!$A:$A,0)),INDEX(Base!$U:$U,MATCH($A34,Base!$A:$A,0)),IF(P$1=INDEX('Valo FX'!$R:$R,MATCH($A34,'Valo FX'!$A:$A,0)),INDEX(Base!$V:$V,MATCH($A34,Base!$A:$A,0)),0)))</f>
        <v>12.42789</v>
      </c>
      <c r="Q34" s="21">
        <f>IF(Q$1&lt;INDEX('Valo FX'!$Q:$Q,MATCH($A34,'Valo FX'!$A:$A,0)),0,IF(Q$1&lt;INDEX('Valo FX'!$R:$R,MATCH($A34,'Valo FX'!$A:$A,0)),INDEX(Base!$U:$U,MATCH($A34,Base!$A:$A,0)),IF(Q$1=INDEX('Valo FX'!$R:$R,MATCH($A34,'Valo FX'!$A:$A,0)),INDEX(Base!$V:$V,MATCH($A34,Base!$A:$A,0)),0)))</f>
        <v>12.42789</v>
      </c>
      <c r="R34" s="21">
        <f>IF(R$1&lt;INDEX('Valo FX'!$Q:$Q,MATCH($A34,'Valo FX'!$A:$A,0)),0,IF(R$1&lt;INDEX('Valo FX'!$R:$R,MATCH($A34,'Valo FX'!$A:$A,0)),INDEX(Base!$U:$U,MATCH($A34,Base!$A:$A,0)),IF(R$1=INDEX('Valo FX'!$R:$R,MATCH($A34,'Valo FX'!$A:$A,0)),INDEX(Base!$V:$V,MATCH($A34,Base!$A:$A,0)),0)))</f>
        <v>12.42789</v>
      </c>
      <c r="S34" s="21">
        <f>IF(S$1&lt;INDEX('Valo FX'!$Q:$Q,MATCH($A34,'Valo FX'!$A:$A,0)),0,IF(S$1&lt;INDEX('Valo FX'!$R:$R,MATCH($A34,'Valo FX'!$A:$A,0)),INDEX(Base!$U:$U,MATCH($A34,Base!$A:$A,0)),IF(S$1=INDEX('Valo FX'!$R:$R,MATCH($A34,'Valo FX'!$A:$A,0)),INDEX(Base!$V:$V,MATCH($A34,Base!$A:$A,0)),0)))</f>
        <v>12.42789</v>
      </c>
      <c r="T34" s="21">
        <f>IF(T$1&lt;INDEX('Valo FX'!$Q:$Q,MATCH($A34,'Valo FX'!$A:$A,0)),0,IF(T$1&lt;INDEX('Valo FX'!$R:$R,MATCH($A34,'Valo FX'!$A:$A,0)),INDEX(Base!$U:$U,MATCH($A34,Base!$A:$A,0)),IF(T$1=INDEX('Valo FX'!$R:$R,MATCH($A34,'Valo FX'!$A:$A,0)),INDEX(Base!$V:$V,MATCH($A34,Base!$A:$A,0)),0)))</f>
        <v>12.42789</v>
      </c>
      <c r="U34" s="21">
        <f>IF(U$1&lt;INDEX('Valo FX'!$Q:$Q,MATCH($A34,'Valo FX'!$A:$A,0)),0,IF(U$1&lt;INDEX('Valo FX'!$R:$R,MATCH($A34,'Valo FX'!$A:$A,0)),INDEX(Base!$U:$U,MATCH($A34,Base!$A:$A,0)),IF(U$1=INDEX('Valo FX'!$R:$R,MATCH($A34,'Valo FX'!$A:$A,0)),INDEX(Base!$V:$V,MATCH($A34,Base!$A:$A,0)),0)))</f>
        <v>12.42789</v>
      </c>
      <c r="V34" s="21">
        <f>IF(V$1&lt;INDEX('Valo FX'!$Q:$Q,MATCH($A34,'Valo FX'!$A:$A,0)),0,IF(V$1&lt;INDEX('Valo FX'!$R:$R,MATCH($A34,'Valo FX'!$A:$A,0)),INDEX(Base!$U:$U,MATCH($A34,Base!$A:$A,0)),IF(V$1=INDEX('Valo FX'!$R:$R,MATCH($A34,'Valo FX'!$A:$A,0)),INDEX(Base!$V:$V,MATCH($A34,Base!$A:$A,0)),0)))</f>
        <v>12.42789</v>
      </c>
      <c r="W34" s="21">
        <f>IF(W$1&lt;INDEX('Valo FX'!$Q:$Q,MATCH($A34,'Valo FX'!$A:$A,0)),0,IF(W$1&lt;INDEX('Valo FX'!$R:$R,MATCH($A34,'Valo FX'!$A:$A,0)),INDEX(Base!$U:$U,MATCH($A34,Base!$A:$A,0)),IF(W$1=INDEX('Valo FX'!$R:$R,MATCH($A34,'Valo FX'!$A:$A,0)),INDEX(Base!$V:$V,MATCH($A34,Base!$A:$A,0)),0)))</f>
        <v>12.42789</v>
      </c>
      <c r="X34" s="21">
        <f>IF(X$1&lt;INDEX('Valo FX'!$Q:$Q,MATCH($A34,'Valo FX'!$A:$A,0)),0,IF(X$1&lt;INDEX('Valo FX'!$R:$R,MATCH($A34,'Valo FX'!$A:$A,0)),INDEX(Base!$U:$U,MATCH($A34,Base!$A:$A,0)),IF(X$1=INDEX('Valo FX'!$R:$R,MATCH($A34,'Valo FX'!$A:$A,0)),INDEX(Base!$V:$V,MATCH($A34,Base!$A:$A,0)),0)))</f>
        <v>12.42789</v>
      </c>
      <c r="Y34" s="21">
        <f>IF(Y$1&lt;INDEX('Valo FX'!$Q:$Q,MATCH($A34,'Valo FX'!$A:$A,0)),0,IF(Y$1&lt;INDEX('Valo FX'!$R:$R,MATCH($A34,'Valo FX'!$A:$A,0)),INDEX(Base!$U:$U,MATCH($A34,Base!$A:$A,0)),IF(Y$1=INDEX('Valo FX'!$R:$R,MATCH($A34,'Valo FX'!$A:$A,0)),INDEX(Base!$V:$V,MATCH($A34,Base!$A:$A,0)),0)))</f>
        <v>12.42789</v>
      </c>
      <c r="Z34" s="21">
        <f>IF(Z$1&lt;INDEX('Valo FX'!$Q:$Q,MATCH($A34,'Valo FX'!$A:$A,0)),0,IF(Z$1&lt;INDEX('Valo FX'!$R:$R,MATCH($A34,'Valo FX'!$A:$A,0)),INDEX(Base!$U:$U,MATCH($A34,Base!$A:$A,0)),IF(Z$1=INDEX('Valo FX'!$R:$R,MATCH($A34,'Valo FX'!$A:$A,0)),INDEX(Base!$V:$V,MATCH($A34,Base!$A:$A,0)),0)))</f>
        <v>12.42789</v>
      </c>
      <c r="AA34" s="21">
        <f>IF(AA$1&lt;INDEX('Valo FX'!$Q:$Q,MATCH($A34,'Valo FX'!$A:$A,0)),0,IF(AA$1&lt;INDEX('Valo FX'!$R:$R,MATCH($A34,'Valo FX'!$A:$A,0)),INDEX(Base!$U:$U,MATCH($A34,Base!$A:$A,0)),IF(AA$1=INDEX('Valo FX'!$R:$R,MATCH($A34,'Valo FX'!$A:$A,0)),INDEX(Base!$V:$V,MATCH($A34,Base!$A:$A,0)),0)))</f>
        <v>12.42789</v>
      </c>
      <c r="AB34" s="21">
        <f>IF(AB$1&lt;INDEX('Valo FX'!$Q:$Q,MATCH($A34,'Valo FX'!$A:$A,0)),0,IF(AB$1&lt;INDEX('Valo FX'!$R:$R,MATCH($A34,'Valo FX'!$A:$A,0)),INDEX(Base!$U:$U,MATCH($A34,Base!$A:$A,0)),IF(AB$1=INDEX('Valo FX'!$R:$R,MATCH($A34,'Valo FX'!$A:$A,0)),INDEX(Base!$V:$V,MATCH($A34,Base!$A:$A,0)),0)))</f>
        <v>12.42789</v>
      </c>
      <c r="AC34" s="21">
        <f>IF(AC$1&lt;INDEX('Valo FX'!$Q:$Q,MATCH($A34,'Valo FX'!$A:$A,0)),0,IF(AC$1&lt;INDEX('Valo FX'!$R:$R,MATCH($A34,'Valo FX'!$A:$A,0)),INDEX(Base!$U:$U,MATCH($A34,Base!$A:$A,0)),IF(AC$1=INDEX('Valo FX'!$R:$R,MATCH($A34,'Valo FX'!$A:$A,0)),INDEX(Base!$V:$V,MATCH($A34,Base!$A:$A,0)),0)))</f>
        <v>12.42789</v>
      </c>
      <c r="AD34" s="21">
        <f>IF(AD$1&lt;INDEX('Valo FX'!$Q:$Q,MATCH($A34,'Valo FX'!$A:$A,0)),0,IF(AD$1&lt;INDEX('Valo FX'!$R:$R,MATCH($A34,'Valo FX'!$A:$A,0)),INDEX(Base!$U:$U,MATCH($A34,Base!$A:$A,0)),IF(AD$1=INDEX('Valo FX'!$R:$R,MATCH($A34,'Valo FX'!$A:$A,0)),INDEX(Base!$V:$V,MATCH($A34,Base!$A:$A,0)),0)))</f>
        <v>12.42789</v>
      </c>
      <c r="AE34" s="21">
        <f>IF(AE$1&lt;INDEX('Valo FX'!$Q:$Q,MATCH($A34,'Valo FX'!$A:$A,0)),0,IF(AE$1&lt;INDEX('Valo FX'!$R:$R,MATCH($A34,'Valo FX'!$A:$A,0)),INDEX(Base!$U:$U,MATCH($A34,Base!$A:$A,0)),IF(AE$1=INDEX('Valo FX'!$R:$R,MATCH($A34,'Valo FX'!$A:$A,0)),INDEX(Base!$V:$V,MATCH($A34,Base!$A:$A,0)),0)))</f>
        <v>12.42789</v>
      </c>
      <c r="AF34" s="21">
        <f>IF(AF$1&lt;INDEX('Valo FX'!$Q:$Q,MATCH($A34,'Valo FX'!$A:$A,0)),0,IF(AF$1&lt;INDEX('Valo FX'!$R:$R,MATCH($A34,'Valo FX'!$A:$A,0)),INDEX(Base!$U:$U,MATCH($A34,Base!$A:$A,0)),IF(AF$1=INDEX('Valo FX'!$R:$R,MATCH($A34,'Valo FX'!$A:$A,0)),INDEX(Base!$V:$V,MATCH($A34,Base!$A:$A,0)),0)))</f>
        <v>12.42789</v>
      </c>
      <c r="AG34" s="21">
        <f>IF(AG$1&lt;INDEX('Valo FX'!$Q:$Q,MATCH($A34,'Valo FX'!$A:$A,0)),0,IF(AG$1&lt;INDEX('Valo FX'!$R:$R,MATCH($A34,'Valo FX'!$A:$A,0)),INDEX(Base!$U:$U,MATCH($A34,Base!$A:$A,0)),IF(AG$1=INDEX('Valo FX'!$R:$R,MATCH($A34,'Valo FX'!$A:$A,0)),INDEX(Base!$V:$V,MATCH($A34,Base!$A:$A,0)),0)))</f>
        <v>12.42789</v>
      </c>
      <c r="AH34" s="21">
        <f>IF(AH$1&lt;INDEX('Valo FX'!$Q:$Q,MATCH($A34,'Valo FX'!$A:$A,0)),0,IF(AH$1&lt;INDEX('Valo FX'!$R:$R,MATCH($A34,'Valo FX'!$A:$A,0)),INDEX(Base!$U:$U,MATCH($A34,Base!$A:$A,0)),IF(AH$1=INDEX('Valo FX'!$R:$R,MATCH($A34,'Valo FX'!$A:$A,0)),INDEX(Base!$V:$V,MATCH($A34,Base!$A:$A,0)),0)))</f>
        <v>12.42789</v>
      </c>
      <c r="AI34" s="21">
        <f>IF(AI$1&lt;INDEX('Valo FX'!$Q:$Q,MATCH($A34,'Valo FX'!$A:$A,0)),0,IF(AI$1&lt;INDEX('Valo FX'!$R:$R,MATCH($A34,'Valo FX'!$A:$A,0)),INDEX(Base!$U:$U,MATCH($A34,Base!$A:$A,0)),IF(AI$1=INDEX('Valo FX'!$R:$R,MATCH($A34,'Valo FX'!$A:$A,0)),INDEX(Base!$V:$V,MATCH($A34,Base!$A:$A,0)),0)))</f>
        <v>12.42789</v>
      </c>
      <c r="AJ34" s="21">
        <f>IF(AJ$1&lt;INDEX('Valo FX'!$Q:$Q,MATCH($A34,'Valo FX'!$A:$A,0)),0,IF(AJ$1&lt;INDEX('Valo FX'!$R:$R,MATCH($A34,'Valo FX'!$A:$A,0)),INDEX(Base!$U:$U,MATCH($A34,Base!$A:$A,0)),IF(AJ$1=INDEX('Valo FX'!$R:$R,MATCH($A34,'Valo FX'!$A:$A,0)),INDEX(Base!$V:$V,MATCH($A34,Base!$A:$A,0)),0)))</f>
        <v>12.42789</v>
      </c>
      <c r="AK34" s="21">
        <f>IF(AK$1&lt;INDEX('Valo FX'!$Q:$Q,MATCH($A34,'Valo FX'!$A:$A,0)),0,IF(AK$1&lt;INDEX('Valo FX'!$R:$R,MATCH($A34,'Valo FX'!$A:$A,0)),INDEX(Base!$U:$U,MATCH($A34,Base!$A:$A,0)),IF(AK$1=INDEX('Valo FX'!$R:$R,MATCH($A34,'Valo FX'!$A:$A,0)),INDEX(Base!$V:$V,MATCH($A34,Base!$A:$A,0)),0)))</f>
        <v>12.42789</v>
      </c>
      <c r="AL34" s="21">
        <f>IF(AL$1&lt;INDEX('Valo FX'!$Q:$Q,MATCH($A34,'Valo FX'!$A:$A,0)),0,IF(AL$1&lt;INDEX('Valo FX'!$R:$R,MATCH($A34,'Valo FX'!$A:$A,0)),INDEX(Base!$U:$U,MATCH($A34,Base!$A:$A,0)),IF(AL$1=INDEX('Valo FX'!$R:$R,MATCH($A34,'Valo FX'!$A:$A,0)),INDEX(Base!$V:$V,MATCH($A34,Base!$A:$A,0)),0)))</f>
        <v>12.42789</v>
      </c>
      <c r="AM34" s="21">
        <f>IF(AM$1&lt;INDEX('Valo FX'!$Q:$Q,MATCH($A34,'Valo FX'!$A:$A,0)),0,IF(AM$1&lt;INDEX('Valo FX'!$R:$R,MATCH($A34,'Valo FX'!$A:$A,0)),INDEX(Base!$U:$U,MATCH($A34,Base!$A:$A,0)),IF(AM$1=INDEX('Valo FX'!$R:$R,MATCH($A34,'Valo FX'!$A:$A,0)),INDEX(Base!$V:$V,MATCH($A34,Base!$A:$A,0)),0)))</f>
        <v>12.42789</v>
      </c>
      <c r="AN34" s="21">
        <f>IF(AN$1&lt;INDEX('Valo FX'!$Q:$Q,MATCH($A34,'Valo FX'!$A:$A,0)),0,IF(AN$1&lt;INDEX('Valo FX'!$R:$R,MATCH($A34,'Valo FX'!$A:$A,0)),INDEX(Base!$U:$U,MATCH($A34,Base!$A:$A,0)),IF(AN$1=INDEX('Valo FX'!$R:$R,MATCH($A34,'Valo FX'!$A:$A,0)),INDEX(Base!$V:$V,MATCH($A34,Base!$A:$A,0)),0)))</f>
        <v>12.42789</v>
      </c>
      <c r="AO34" s="21">
        <f>IF(AO$1&lt;INDEX('Valo FX'!$Q:$Q,MATCH($A34,'Valo FX'!$A:$A,0)),0,IF(AO$1&lt;INDEX('Valo FX'!$R:$R,MATCH($A34,'Valo FX'!$A:$A,0)),INDEX(Base!$U:$U,MATCH($A34,Base!$A:$A,0)),IF(AO$1=INDEX('Valo FX'!$R:$R,MATCH($A34,'Valo FX'!$A:$A,0)),INDEX(Base!$V:$V,MATCH($A34,Base!$A:$A,0)),0)))</f>
        <v>12.42789</v>
      </c>
      <c r="AP34" s="21">
        <f>IF(AP$1&lt;INDEX('Valo FX'!$Q:$Q,MATCH($A34,'Valo FX'!$A:$A,0)),0,IF(AP$1&lt;INDEX('Valo FX'!$R:$R,MATCH($A34,'Valo FX'!$A:$A,0)),INDEX(Base!$U:$U,MATCH($A34,Base!$A:$A,0)),IF(AP$1=INDEX('Valo FX'!$R:$R,MATCH($A34,'Valo FX'!$A:$A,0)),INDEX(Base!$V:$V,MATCH($A34,Base!$A:$A,0)),0)))</f>
        <v>12.42789</v>
      </c>
      <c r="AQ34" s="21">
        <f>IF(AQ$1&lt;INDEX('Valo FX'!$Q:$Q,MATCH($A34,'Valo FX'!$A:$A,0)),0,IF(AQ$1&lt;INDEX('Valo FX'!$R:$R,MATCH($A34,'Valo FX'!$A:$A,0)),INDEX(Base!$U:$U,MATCH($A34,Base!$A:$A,0)),IF(AQ$1=INDEX('Valo FX'!$R:$R,MATCH($A34,'Valo FX'!$A:$A,0)),INDEX(Base!$V:$V,MATCH($A34,Base!$A:$A,0)),0)))</f>
        <v>12.42789</v>
      </c>
      <c r="AR34" s="21">
        <f>IF(AR$1&lt;INDEX('Valo FX'!$Q:$Q,MATCH($A34,'Valo FX'!$A:$A,0)),0,IF(AR$1&lt;INDEX('Valo FX'!$R:$R,MATCH($A34,'Valo FX'!$A:$A,0)),INDEX(Base!$U:$U,MATCH($A34,Base!$A:$A,0)),IF(AR$1=INDEX('Valo FX'!$R:$R,MATCH($A34,'Valo FX'!$A:$A,0)),INDEX(Base!$V:$V,MATCH($A34,Base!$A:$A,0)),0)))</f>
        <v>12.42789</v>
      </c>
      <c r="AS34" s="21">
        <f>IF(AS$1&lt;INDEX('Valo FX'!$Q:$Q,MATCH($A34,'Valo FX'!$A:$A,0)),0,IF(AS$1&lt;INDEX('Valo FX'!$R:$R,MATCH($A34,'Valo FX'!$A:$A,0)),INDEX(Base!$U:$U,MATCH($A34,Base!$A:$A,0)),IF(AS$1=INDEX('Valo FX'!$R:$R,MATCH($A34,'Valo FX'!$A:$A,0)),INDEX(Base!$V:$V,MATCH($A34,Base!$A:$A,0)),0)))</f>
        <v>12.42789</v>
      </c>
      <c r="AT34" s="21">
        <f>IF(AT$1&lt;INDEX('Valo FX'!$Q:$Q,MATCH($A34,'Valo FX'!$A:$A,0)),0,IF(AT$1&lt;INDEX('Valo FX'!$R:$R,MATCH($A34,'Valo FX'!$A:$A,0)),INDEX(Base!$U:$U,MATCH($A34,Base!$A:$A,0)),IF(AT$1=INDEX('Valo FX'!$R:$R,MATCH($A34,'Valo FX'!$A:$A,0)),INDEX(Base!$V:$V,MATCH($A34,Base!$A:$A,0)),0)))</f>
        <v>12.42789</v>
      </c>
      <c r="AU34" s="21">
        <f>IF(AU$1&lt;INDEX('Valo FX'!$Q:$Q,MATCH($A34,'Valo FX'!$A:$A,0)),0,IF(AU$1&lt;INDEX('Valo FX'!$R:$R,MATCH($A34,'Valo FX'!$A:$A,0)),INDEX(Base!$U:$U,MATCH($A34,Base!$A:$A,0)),IF(AU$1=INDEX('Valo FX'!$R:$R,MATCH($A34,'Valo FX'!$A:$A,0)),INDEX(Base!$V:$V,MATCH($A34,Base!$A:$A,0)),0)))</f>
        <v>12.42789</v>
      </c>
      <c r="AV34" s="21">
        <f>IF(AV$1&lt;INDEX('Valo FX'!$Q:$Q,MATCH($A34,'Valo FX'!$A:$A,0)),0,IF(AV$1&lt;INDEX('Valo FX'!$R:$R,MATCH($A34,'Valo FX'!$A:$A,0)),INDEX(Base!$U:$U,MATCH($A34,Base!$A:$A,0)),IF(AV$1=INDEX('Valo FX'!$R:$R,MATCH($A34,'Valo FX'!$A:$A,0)),INDEX(Base!$V:$V,MATCH($A34,Base!$A:$A,0)),0)))</f>
        <v>12.42789</v>
      </c>
      <c r="AW34" s="21">
        <f>IF(AW$1&lt;INDEX('Valo FX'!$Q:$Q,MATCH($A34,'Valo FX'!$A:$A,0)),0,IF(AW$1&lt;INDEX('Valo FX'!$R:$R,MATCH($A34,'Valo FX'!$A:$A,0)),INDEX(Base!$U:$U,MATCH($A34,Base!$A:$A,0)),IF(AW$1=INDEX('Valo FX'!$R:$R,MATCH($A34,'Valo FX'!$A:$A,0)),INDEX(Base!$V:$V,MATCH($A34,Base!$A:$A,0)),0)))</f>
        <v>12.42789</v>
      </c>
      <c r="AX34" s="21">
        <f>IF(AX$1&lt;INDEX('Valo FX'!$Q:$Q,MATCH($A34,'Valo FX'!$A:$A,0)),0,IF(AX$1&lt;INDEX('Valo FX'!$R:$R,MATCH($A34,'Valo FX'!$A:$A,0)),INDEX(Base!$U:$U,MATCH($A34,Base!$A:$A,0)),IF(AX$1=INDEX('Valo FX'!$R:$R,MATCH($A34,'Valo FX'!$A:$A,0)),INDEX(Base!$V:$V,MATCH($A34,Base!$A:$A,0)),0)))</f>
        <v>12.42789</v>
      </c>
      <c r="AY34" s="21">
        <f>IF(AY$1&lt;INDEX('Valo FX'!$Q:$Q,MATCH($A34,'Valo FX'!$A:$A,0)),0,IF(AY$1&lt;INDEX('Valo FX'!$R:$R,MATCH($A34,'Valo FX'!$A:$A,0)),INDEX(Base!$U:$U,MATCH($A34,Base!$A:$A,0)),IF(AY$1=INDEX('Valo FX'!$R:$R,MATCH($A34,'Valo FX'!$A:$A,0)),INDEX(Base!$V:$V,MATCH($A34,Base!$A:$A,0)),0)))</f>
        <v>12.42789</v>
      </c>
      <c r="AZ34" s="21">
        <f>IF(AZ$1&lt;INDEX('Valo FX'!$Q:$Q,MATCH($A34,'Valo FX'!$A:$A,0)),0,IF(AZ$1&lt;INDEX('Valo FX'!$R:$R,MATCH($A34,'Valo FX'!$A:$A,0)),INDEX(Base!$U:$U,MATCH($A34,Base!$A:$A,0)),IF(AZ$1=INDEX('Valo FX'!$R:$R,MATCH($A34,'Valo FX'!$A:$A,0)),INDEX(Base!$V:$V,MATCH($A34,Base!$A:$A,0)),0)))</f>
        <v>12.42789</v>
      </c>
      <c r="BA34" s="21">
        <f>IF(BA$1&lt;INDEX('Valo FX'!$Q:$Q,MATCH($A34,'Valo FX'!$A:$A,0)),0,IF(BA$1&lt;INDEX('Valo FX'!$R:$R,MATCH($A34,'Valo FX'!$A:$A,0)),INDEX(Base!$U:$U,MATCH($A34,Base!$A:$A,0)),IF(BA$1=INDEX('Valo FX'!$R:$R,MATCH($A34,'Valo FX'!$A:$A,0)),INDEX(Base!$V:$V,MATCH($A34,Base!$A:$A,0)),0)))</f>
        <v>12.42789</v>
      </c>
      <c r="BB34" s="21">
        <f>IF(BB$1&lt;INDEX('Valo FX'!$Q:$Q,MATCH($A34,'Valo FX'!$A:$A,0)),0,IF(BB$1&lt;INDEX('Valo FX'!$R:$R,MATCH($A34,'Valo FX'!$A:$A,0)),INDEX(Base!$U:$U,MATCH($A34,Base!$A:$A,0)),IF(BB$1=INDEX('Valo FX'!$R:$R,MATCH($A34,'Valo FX'!$A:$A,0)),INDEX(Base!$V:$V,MATCH($A34,Base!$A:$A,0)),0)))</f>
        <v>12.42789</v>
      </c>
      <c r="BC34" s="21">
        <f>IF(BC$1&lt;INDEX('Valo FX'!$Q:$Q,MATCH($A34,'Valo FX'!$A:$A,0)),0,IF(BC$1&lt;INDEX('Valo FX'!$R:$R,MATCH($A34,'Valo FX'!$A:$A,0)),INDEX(Base!$U:$U,MATCH($A34,Base!$A:$A,0)),IF(BC$1=INDEX('Valo FX'!$R:$R,MATCH($A34,'Valo FX'!$A:$A,0)),INDEX(Base!$V:$V,MATCH($A34,Base!$A:$A,0)),0)))</f>
        <v>12.42789</v>
      </c>
      <c r="BD34" s="21">
        <f>IF(BD$1&lt;INDEX('Valo FX'!$Q:$Q,MATCH($A34,'Valo FX'!$A:$A,0)),0,IF(BD$1&lt;INDEX('Valo FX'!$R:$R,MATCH($A34,'Valo FX'!$A:$A,0)),INDEX(Base!$U:$U,MATCH($A34,Base!$A:$A,0)),IF(BD$1=INDEX('Valo FX'!$R:$R,MATCH($A34,'Valo FX'!$A:$A,0)),INDEX(Base!$V:$V,MATCH($A34,Base!$A:$A,0)),0)))</f>
        <v>12.42789</v>
      </c>
      <c r="BE34" s="21">
        <f>IF(BE$1&lt;INDEX('Valo FX'!$Q:$Q,MATCH($A34,'Valo FX'!$A:$A,0)),0,IF(BE$1&lt;INDEX('Valo FX'!$R:$R,MATCH($A34,'Valo FX'!$A:$A,0)),INDEX(Base!$U:$U,MATCH($A34,Base!$A:$A,0)),IF(BE$1=INDEX('Valo FX'!$R:$R,MATCH($A34,'Valo FX'!$A:$A,0)),INDEX(Base!$V:$V,MATCH($A34,Base!$A:$A,0)),0)))</f>
        <v>12.42789</v>
      </c>
      <c r="BF34" s="21">
        <f>IF(BF$1&lt;INDEX('Valo FX'!$Q:$Q,MATCH($A34,'Valo FX'!$A:$A,0)),0,IF(BF$1&lt;INDEX('Valo FX'!$R:$R,MATCH($A34,'Valo FX'!$A:$A,0)),INDEX(Base!$U:$U,MATCH($A34,Base!$A:$A,0)),IF(BF$1=INDEX('Valo FX'!$R:$R,MATCH($A34,'Valo FX'!$A:$A,0)),INDEX(Base!$V:$V,MATCH($A34,Base!$A:$A,0)),0)))</f>
        <v>12.42789</v>
      </c>
      <c r="BG34" s="21">
        <f>IF(BG$1&lt;INDEX('Valo FX'!$Q:$Q,MATCH($A34,'Valo FX'!$A:$A,0)),0,IF(BG$1&lt;INDEX('Valo FX'!$R:$R,MATCH($A34,'Valo FX'!$A:$A,0)),INDEX(Base!$U:$U,MATCH($A34,Base!$A:$A,0)),IF(BG$1=INDEX('Valo FX'!$R:$R,MATCH($A34,'Valo FX'!$A:$A,0)),INDEX(Base!$V:$V,MATCH($A34,Base!$A:$A,0)),0)))</f>
        <v>12.42789</v>
      </c>
      <c r="BH34" s="21">
        <f>IF(BH$1&lt;INDEX('Valo FX'!$Q:$Q,MATCH($A34,'Valo FX'!$A:$A,0)),0,IF(BH$1&lt;INDEX('Valo FX'!$R:$R,MATCH($A34,'Valo FX'!$A:$A,0)),INDEX(Base!$U:$U,MATCH($A34,Base!$A:$A,0)),IF(BH$1=INDEX('Valo FX'!$R:$R,MATCH($A34,'Valo FX'!$A:$A,0)),INDEX(Base!$V:$V,MATCH($A34,Base!$A:$A,0)),0)))</f>
        <v>12.42789</v>
      </c>
      <c r="BI34" s="21">
        <f>IF(BI$1&lt;INDEX('Valo FX'!$Q:$Q,MATCH($A34,'Valo FX'!$A:$A,0)),0,IF(BI$1&lt;INDEX('Valo FX'!$R:$R,MATCH($A34,'Valo FX'!$A:$A,0)),INDEX(Base!$U:$U,MATCH($A34,Base!$A:$A,0)),IF(BI$1=INDEX('Valo FX'!$R:$R,MATCH($A34,'Valo FX'!$A:$A,0)),INDEX(Base!$V:$V,MATCH($A34,Base!$A:$A,0)),0)))</f>
        <v>12.42789</v>
      </c>
      <c r="BJ34" s="21">
        <f>IF(BJ$1&lt;INDEX('Valo FX'!$Q:$Q,MATCH($A34,'Valo FX'!$A:$A,0)),0,IF(BJ$1&lt;INDEX('Valo FX'!$R:$R,MATCH($A34,'Valo FX'!$A:$A,0)),INDEX(Base!$U:$U,MATCH($A34,Base!$A:$A,0)),IF(BJ$1=INDEX('Valo FX'!$R:$R,MATCH($A34,'Valo FX'!$A:$A,0)),INDEX(Base!$V:$V,MATCH($A34,Base!$A:$A,0)),0)))</f>
        <v>12.42789</v>
      </c>
      <c r="BK34" s="21">
        <f>IF(BK$1&lt;INDEX('Valo FX'!$Q:$Q,MATCH($A34,'Valo FX'!$A:$A,0)),0,IF(BK$1&lt;INDEX('Valo FX'!$R:$R,MATCH($A34,'Valo FX'!$A:$A,0)),INDEX(Base!$U:$U,MATCH($A34,Base!$A:$A,0)),IF(BK$1=INDEX('Valo FX'!$R:$R,MATCH($A34,'Valo FX'!$A:$A,0)),INDEX(Base!$V:$V,MATCH($A34,Base!$A:$A,0)),0)))</f>
        <v>12.42789</v>
      </c>
      <c r="BL34" s="21">
        <f>IF(BL$1&lt;INDEX('Valo FX'!$Q:$Q,MATCH($A34,'Valo FX'!$A:$A,0)),0,IF(BL$1&lt;INDEX('Valo FX'!$R:$R,MATCH($A34,'Valo FX'!$A:$A,0)),INDEX(Base!$U:$U,MATCH($A34,Base!$A:$A,0)),IF(BL$1=INDEX('Valo FX'!$R:$R,MATCH($A34,'Valo FX'!$A:$A,0)),INDEX(Base!$V:$V,MATCH($A34,Base!$A:$A,0)),0)))</f>
        <v>12.42789</v>
      </c>
      <c r="BM34" s="21">
        <f>IF(BM$1&lt;INDEX('Valo FX'!$Q:$Q,MATCH($A34,'Valo FX'!$A:$A,0)),0,IF(BM$1&lt;INDEX('Valo FX'!$R:$R,MATCH($A34,'Valo FX'!$A:$A,0)),INDEX(Base!$U:$U,MATCH($A34,Base!$A:$A,0)),IF(BM$1=INDEX('Valo FX'!$R:$R,MATCH($A34,'Valo FX'!$A:$A,0)),INDEX(Base!$V:$V,MATCH($A34,Base!$A:$A,0)),0)))</f>
        <v>12.42789</v>
      </c>
      <c r="BN34" s="21">
        <f>IF(BN$1&lt;INDEX('Valo FX'!$Q:$Q,MATCH($A34,'Valo FX'!$A:$A,0)),0,IF(BN$1&lt;INDEX('Valo FX'!$R:$R,MATCH($A34,'Valo FX'!$A:$A,0)),INDEX(Base!$U:$U,MATCH($A34,Base!$A:$A,0)),IF(BN$1=INDEX('Valo FX'!$R:$R,MATCH($A34,'Valo FX'!$A:$A,0)),INDEX(Base!$V:$V,MATCH($A34,Base!$A:$A,0)),0)))</f>
        <v>12.42789</v>
      </c>
      <c r="BO34" s="21">
        <f>IF(BO$1&lt;INDEX('Valo FX'!$Q:$Q,MATCH($A34,'Valo FX'!$A:$A,0)),0,IF(BO$1&lt;INDEX('Valo FX'!$R:$R,MATCH($A34,'Valo FX'!$A:$A,0)),INDEX(Base!$U:$U,MATCH($A34,Base!$A:$A,0)),IF(BO$1=INDEX('Valo FX'!$R:$R,MATCH($A34,'Valo FX'!$A:$A,0)),INDEX(Base!$V:$V,MATCH($A34,Base!$A:$A,0)),0)))</f>
        <v>12.42789</v>
      </c>
      <c r="BP34" s="21">
        <f>IF(BP$1&lt;INDEX('Valo FX'!$Q:$Q,MATCH($A34,'Valo FX'!$A:$A,0)),0,IF(BP$1&lt;INDEX('Valo FX'!$R:$R,MATCH($A34,'Valo FX'!$A:$A,0)),INDEX(Base!$U:$U,MATCH($A34,Base!$A:$A,0)),IF(BP$1=INDEX('Valo FX'!$R:$R,MATCH($A34,'Valo FX'!$A:$A,0)),INDEX(Base!$V:$V,MATCH($A34,Base!$A:$A,0)),0)))</f>
        <v>12.42789</v>
      </c>
      <c r="BQ34" s="21">
        <f>IF(BQ$1&lt;INDEX('Valo FX'!$Q:$Q,MATCH($A34,'Valo FX'!$A:$A,0)),0,IF(BQ$1&lt;INDEX('Valo FX'!$R:$R,MATCH($A34,'Valo FX'!$A:$A,0)),INDEX(Base!$U:$U,MATCH($A34,Base!$A:$A,0)),IF(BQ$1=INDEX('Valo FX'!$R:$R,MATCH($A34,'Valo FX'!$A:$A,0)),INDEX(Base!$V:$V,MATCH($A34,Base!$A:$A,0)),0)))</f>
        <v>12.42789</v>
      </c>
      <c r="BR34" s="21">
        <f>IF(BR$1&lt;INDEX('Valo FX'!$Q:$Q,MATCH($A34,'Valo FX'!$A:$A,0)),0,IF(BR$1&lt;INDEX('Valo FX'!$R:$R,MATCH($A34,'Valo FX'!$A:$A,0)),INDEX(Base!$U:$U,MATCH($A34,Base!$A:$A,0)),IF(BR$1=INDEX('Valo FX'!$R:$R,MATCH($A34,'Valo FX'!$A:$A,0)),INDEX(Base!$V:$V,MATCH($A34,Base!$A:$A,0)),0)))</f>
        <v>12.42789</v>
      </c>
      <c r="BS34" s="21">
        <f>IF(BS$1&lt;INDEX('Valo FX'!$Q:$Q,MATCH($A34,'Valo FX'!$A:$A,0)),0,IF(BS$1&lt;INDEX('Valo FX'!$R:$R,MATCH($A34,'Valo FX'!$A:$A,0)),INDEX(Base!$U:$U,MATCH($A34,Base!$A:$A,0)),IF(BS$1=INDEX('Valo FX'!$R:$R,MATCH($A34,'Valo FX'!$A:$A,0)),INDEX(Base!$V:$V,MATCH($A34,Base!$A:$A,0)),0)))</f>
        <v>12.42789</v>
      </c>
      <c r="BT34" s="21">
        <f>IF(BT$1&lt;INDEX('Valo FX'!$Q:$Q,MATCH($A34,'Valo FX'!$A:$A,0)),0,IF(BT$1&lt;INDEX('Valo FX'!$R:$R,MATCH($A34,'Valo FX'!$A:$A,0)),INDEX(Base!$U:$U,MATCH($A34,Base!$A:$A,0)),IF(BT$1=INDEX('Valo FX'!$R:$R,MATCH($A34,'Valo FX'!$A:$A,0)),INDEX(Base!$V:$V,MATCH($A34,Base!$A:$A,0)),0)))</f>
        <v>12.42789</v>
      </c>
      <c r="BU34" s="21">
        <f>IF(BU$1&lt;INDEX('Valo FX'!$Q:$Q,MATCH($A34,'Valo FX'!$A:$A,0)),0,IF(BU$1&lt;INDEX('Valo FX'!$R:$R,MATCH($A34,'Valo FX'!$A:$A,0)),INDEX(Base!$U:$U,MATCH($A34,Base!$A:$A,0)),IF(BU$1=INDEX('Valo FX'!$R:$R,MATCH($A34,'Valo FX'!$A:$A,0)),INDEX(Base!$V:$V,MATCH($A34,Base!$A:$A,0)),0)))</f>
        <v>12.42789</v>
      </c>
      <c r="BV34" s="21">
        <f>IF(BV$1&lt;INDEX('Valo FX'!$Q:$Q,MATCH($A34,'Valo FX'!$A:$A,0)),0,IF(BV$1&lt;INDEX('Valo FX'!$R:$R,MATCH($A34,'Valo FX'!$A:$A,0)),INDEX(Base!$U:$U,MATCH($A34,Base!$A:$A,0)),IF(BV$1=INDEX('Valo FX'!$R:$R,MATCH($A34,'Valo FX'!$A:$A,0)),INDEX(Base!$V:$V,MATCH($A34,Base!$A:$A,0)),0)))</f>
        <v>12.42789</v>
      </c>
      <c r="BW34" s="21">
        <f>IF(BW$1&lt;INDEX('Valo FX'!$Q:$Q,MATCH($A34,'Valo FX'!$A:$A,0)),0,IF(BW$1&lt;INDEX('Valo FX'!$R:$R,MATCH($A34,'Valo FX'!$A:$A,0)),INDEX(Base!$U:$U,MATCH($A34,Base!$A:$A,0)),IF(BW$1=INDEX('Valo FX'!$R:$R,MATCH($A34,'Valo FX'!$A:$A,0)),INDEX(Base!$V:$V,MATCH($A34,Base!$A:$A,0)),0)))</f>
        <v>12.42789</v>
      </c>
      <c r="BX34" s="21">
        <f>IF(BX$1&lt;INDEX('Valo FX'!$Q:$Q,MATCH($A34,'Valo FX'!$A:$A,0)),0,IF(BX$1&lt;INDEX('Valo FX'!$R:$R,MATCH($A34,'Valo FX'!$A:$A,0)),INDEX(Base!$U:$U,MATCH($A34,Base!$A:$A,0)),IF(BX$1=INDEX('Valo FX'!$R:$R,MATCH($A34,'Valo FX'!$A:$A,0)),INDEX(Base!$V:$V,MATCH($A34,Base!$A:$A,0)),0)))</f>
        <v>12.42789</v>
      </c>
      <c r="BY34" s="21">
        <f>IF(BY$1&lt;INDEX('Valo FX'!$Q:$Q,MATCH($A34,'Valo FX'!$A:$A,0)),0,IF(BY$1&lt;INDEX('Valo FX'!$R:$R,MATCH($A34,'Valo FX'!$A:$A,0)),INDEX(Base!$U:$U,MATCH($A34,Base!$A:$A,0)),IF(BY$1=INDEX('Valo FX'!$R:$R,MATCH($A34,'Valo FX'!$A:$A,0)),INDEX(Base!$V:$V,MATCH($A34,Base!$A:$A,0)),0)))</f>
        <v>12.42789</v>
      </c>
      <c r="BZ34" s="21">
        <f>IF(BZ$1&lt;INDEX('Valo FX'!$Q:$Q,MATCH($A34,'Valo FX'!$A:$A,0)),0,IF(BZ$1&lt;INDEX('Valo FX'!$R:$R,MATCH($A34,'Valo FX'!$A:$A,0)),INDEX(Base!$U:$U,MATCH($A34,Base!$A:$A,0)),IF(BZ$1=INDEX('Valo FX'!$R:$R,MATCH($A34,'Valo FX'!$A:$A,0)),INDEX(Base!$V:$V,MATCH($A34,Base!$A:$A,0)),0)))</f>
        <v>12.42789</v>
      </c>
      <c r="CA34" s="21">
        <f>IF(CA$1&lt;INDEX('Valo FX'!$Q:$Q,MATCH($A34,'Valo FX'!$A:$A,0)),0,IF(CA$1&lt;INDEX('Valo FX'!$R:$R,MATCH($A34,'Valo FX'!$A:$A,0)),INDEX(Base!$U:$U,MATCH($A34,Base!$A:$A,0)),IF(CA$1=INDEX('Valo FX'!$R:$R,MATCH($A34,'Valo FX'!$A:$A,0)),INDEX(Base!$V:$V,MATCH($A34,Base!$A:$A,0)),0)))</f>
        <v>12.42789</v>
      </c>
      <c r="CB34" s="21">
        <f>IF(CB$1&lt;INDEX('Valo FX'!$Q:$Q,MATCH($A34,'Valo FX'!$A:$A,0)),0,IF(CB$1&lt;INDEX('Valo FX'!$R:$R,MATCH($A34,'Valo FX'!$A:$A,0)),INDEX(Base!$U:$U,MATCH($A34,Base!$A:$A,0)),IF(CB$1=INDEX('Valo FX'!$R:$R,MATCH($A34,'Valo FX'!$A:$A,0)),INDEX(Base!$V:$V,MATCH($A34,Base!$A:$A,0)),0)))</f>
        <v>12.42789</v>
      </c>
      <c r="CC34" s="21">
        <f>IF(CC$1&lt;INDEX('Valo FX'!$Q:$Q,MATCH($A34,'Valo FX'!$A:$A,0)),0,IF(CC$1&lt;INDEX('Valo FX'!$R:$R,MATCH($A34,'Valo FX'!$A:$A,0)),INDEX(Base!$U:$U,MATCH($A34,Base!$A:$A,0)),IF(CC$1=INDEX('Valo FX'!$R:$R,MATCH($A34,'Valo FX'!$A:$A,0)),INDEX(Base!$V:$V,MATCH($A34,Base!$A:$A,0)),0)))</f>
        <v>12.42789</v>
      </c>
      <c r="CD34" s="21">
        <f>IF(CD$1&lt;INDEX('Valo FX'!$Q:$Q,MATCH($A34,'Valo FX'!$A:$A,0)),0,IF(CD$1&lt;INDEX('Valo FX'!$R:$R,MATCH($A34,'Valo FX'!$A:$A,0)),INDEX(Base!$U:$U,MATCH($A34,Base!$A:$A,0)),IF(CD$1=INDEX('Valo FX'!$R:$R,MATCH($A34,'Valo FX'!$A:$A,0)),INDEX(Base!$V:$V,MATCH($A34,Base!$A:$A,0)),0)))</f>
        <v>12.42789</v>
      </c>
      <c r="CE34" s="21">
        <f>IF(CE$1&lt;INDEX('Valo FX'!$Q:$Q,MATCH($A34,'Valo FX'!$A:$A,0)),0,IF(CE$1&lt;INDEX('Valo FX'!$R:$R,MATCH($A34,'Valo FX'!$A:$A,0)),INDEX(Base!$U:$U,MATCH($A34,Base!$A:$A,0)),IF(CE$1=INDEX('Valo FX'!$R:$R,MATCH($A34,'Valo FX'!$A:$A,0)),INDEX(Base!$V:$V,MATCH($A34,Base!$A:$A,0)),0)))</f>
        <v>12.42789</v>
      </c>
      <c r="CF34" s="21">
        <f>IF(CF$1&lt;INDEX('Valo FX'!$Q:$Q,MATCH($A34,'Valo FX'!$A:$A,0)),0,IF(CF$1&lt;INDEX('Valo FX'!$R:$R,MATCH($A34,'Valo FX'!$A:$A,0)),INDEX(Base!$U:$U,MATCH($A34,Base!$A:$A,0)),IF(CF$1=INDEX('Valo FX'!$R:$R,MATCH($A34,'Valo FX'!$A:$A,0)),INDEX(Base!$V:$V,MATCH($A34,Base!$A:$A,0)),0)))</f>
        <v>12.42789</v>
      </c>
      <c r="CG34" s="21">
        <f>IF(CG$1&lt;INDEX('Valo FX'!$Q:$Q,MATCH($A34,'Valo FX'!$A:$A,0)),0,IF(CG$1&lt;INDEX('Valo FX'!$R:$R,MATCH($A34,'Valo FX'!$A:$A,0)),INDEX(Base!$U:$U,MATCH($A34,Base!$A:$A,0)),IF(CG$1=INDEX('Valo FX'!$R:$R,MATCH($A34,'Valo FX'!$A:$A,0)),INDEX(Base!$V:$V,MATCH($A34,Base!$A:$A,0)),0)))</f>
        <v>12.42789</v>
      </c>
      <c r="CH34" s="21">
        <f>IF(CH$1&lt;INDEX('Valo FX'!$Q:$Q,MATCH($A34,'Valo FX'!$A:$A,0)),0,IF(CH$1&lt;INDEX('Valo FX'!$R:$R,MATCH($A34,'Valo FX'!$A:$A,0)),INDEX(Base!$U:$U,MATCH($A34,Base!$A:$A,0)),IF(CH$1=INDEX('Valo FX'!$R:$R,MATCH($A34,'Valo FX'!$A:$A,0)),INDEX(Base!$V:$V,MATCH($A34,Base!$A:$A,0)),0)))</f>
        <v>12.42789</v>
      </c>
      <c r="CI34" s="21">
        <f>IF(CI$1&lt;INDEX('Valo FX'!$Q:$Q,MATCH($A34,'Valo FX'!$A:$A,0)),0,IF(CI$1&lt;INDEX('Valo FX'!$R:$R,MATCH($A34,'Valo FX'!$A:$A,0)),INDEX(Base!$U:$U,MATCH($A34,Base!$A:$A,0)),IF(CI$1=INDEX('Valo FX'!$R:$R,MATCH($A34,'Valo FX'!$A:$A,0)),INDEX(Base!$V:$V,MATCH($A34,Base!$A:$A,0)),0)))</f>
        <v>12.42789</v>
      </c>
      <c r="CJ34" s="21">
        <f>IF(CJ$1&lt;INDEX('Valo FX'!$Q:$Q,MATCH($A34,'Valo FX'!$A:$A,0)),0,IF(CJ$1&lt;INDEX('Valo FX'!$R:$R,MATCH($A34,'Valo FX'!$A:$A,0)),INDEX(Base!$U:$U,MATCH($A34,Base!$A:$A,0)),IF(CJ$1=INDEX('Valo FX'!$R:$R,MATCH($A34,'Valo FX'!$A:$A,0)),INDEX(Base!$V:$V,MATCH($A34,Base!$A:$A,0)),0)))</f>
        <v>12.42789</v>
      </c>
      <c r="CK34" s="21">
        <f>IF(CK$1&lt;INDEX('Valo FX'!$Q:$Q,MATCH($A34,'Valo FX'!$A:$A,0)),0,IF(CK$1&lt;INDEX('Valo FX'!$R:$R,MATCH($A34,'Valo FX'!$A:$A,0)),INDEX(Base!$U:$U,MATCH($A34,Base!$A:$A,0)),IF(CK$1=INDEX('Valo FX'!$R:$R,MATCH($A34,'Valo FX'!$A:$A,0)),INDEX(Base!$V:$V,MATCH($A34,Base!$A:$A,0)),0)))</f>
        <v>12.42789</v>
      </c>
      <c r="CL34" s="21">
        <f>IF(CL$1&lt;INDEX('Valo FX'!$Q:$Q,MATCH($A34,'Valo FX'!$A:$A,0)),0,IF(CL$1&lt;INDEX('Valo FX'!$R:$R,MATCH($A34,'Valo FX'!$A:$A,0)),INDEX(Base!$U:$U,MATCH($A34,Base!$A:$A,0)),IF(CL$1=INDEX('Valo FX'!$R:$R,MATCH($A34,'Valo FX'!$A:$A,0)),INDEX(Base!$V:$V,MATCH($A34,Base!$A:$A,0)),0)))</f>
        <v>12.42789</v>
      </c>
      <c r="CM34" s="21">
        <f>IF(CM$1&lt;INDEX('Valo FX'!$Q:$Q,MATCH($A34,'Valo FX'!$A:$A,0)),0,IF(CM$1&lt;INDEX('Valo FX'!$R:$R,MATCH($A34,'Valo FX'!$A:$A,0)),INDEX(Base!$U:$U,MATCH($A34,Base!$A:$A,0)),IF(CM$1=INDEX('Valo FX'!$R:$R,MATCH($A34,'Valo FX'!$A:$A,0)),INDEX(Base!$V:$V,MATCH($A34,Base!$A:$A,0)),0)))</f>
        <v>12.42789</v>
      </c>
      <c r="CN34" s="21">
        <f>IF(CN$1&lt;INDEX('Valo FX'!$Q:$Q,MATCH($A34,'Valo FX'!$A:$A,0)),0,IF(CN$1&lt;INDEX('Valo FX'!$R:$R,MATCH($A34,'Valo FX'!$A:$A,0)),INDEX(Base!$U:$U,MATCH($A34,Base!$A:$A,0)),IF(CN$1=INDEX('Valo FX'!$R:$R,MATCH($A34,'Valo FX'!$A:$A,0)),INDEX(Base!$V:$V,MATCH($A34,Base!$A:$A,0)),0)))</f>
        <v>12.42789</v>
      </c>
      <c r="CO34" s="21">
        <f>IF(CO$1&lt;INDEX('Valo FX'!$Q:$Q,MATCH($A34,'Valo FX'!$A:$A,0)),0,IF(CO$1&lt;INDEX('Valo FX'!$R:$R,MATCH($A34,'Valo FX'!$A:$A,0)),INDEX(Base!$U:$U,MATCH($A34,Base!$A:$A,0)),IF(CO$1=INDEX('Valo FX'!$R:$R,MATCH($A34,'Valo FX'!$A:$A,0)),INDEX(Base!$V:$V,MATCH($A34,Base!$A:$A,0)),0)))</f>
        <v>12.42789</v>
      </c>
      <c r="CP34" s="21">
        <f>IF(CP$1&lt;INDEX('Valo FX'!$Q:$Q,MATCH($A34,'Valo FX'!$A:$A,0)),0,IF(CP$1&lt;INDEX('Valo FX'!$R:$R,MATCH($A34,'Valo FX'!$A:$A,0)),INDEX(Base!$U:$U,MATCH($A34,Base!$A:$A,0)),IF(CP$1=INDEX('Valo FX'!$R:$R,MATCH($A34,'Valo FX'!$A:$A,0)),INDEX(Base!$V:$V,MATCH($A34,Base!$A:$A,0)),0)))</f>
        <v>12.42789</v>
      </c>
      <c r="CQ34" s="21">
        <f>IF(CQ$1&lt;INDEX('Valo FX'!$Q:$Q,MATCH($A34,'Valo FX'!$A:$A,0)),0,IF(CQ$1&lt;INDEX('Valo FX'!$R:$R,MATCH($A34,'Valo FX'!$A:$A,0)),INDEX(Base!$U:$U,MATCH($A34,Base!$A:$A,0)),IF(CQ$1=INDEX('Valo FX'!$R:$R,MATCH($A34,'Valo FX'!$A:$A,0)),INDEX(Base!$V:$V,MATCH($A34,Base!$A:$A,0)),0)))</f>
        <v>12.42789</v>
      </c>
      <c r="CR34" s="21">
        <f>IF(CR$1&lt;INDEX('Valo FX'!$Q:$Q,MATCH($A34,'Valo FX'!$A:$A,0)),0,IF(CR$1&lt;INDEX('Valo FX'!$R:$R,MATCH($A34,'Valo FX'!$A:$A,0)),INDEX(Base!$U:$U,MATCH($A34,Base!$A:$A,0)),IF(CR$1=INDEX('Valo FX'!$R:$R,MATCH($A34,'Valo FX'!$A:$A,0)),INDEX(Base!$V:$V,MATCH($A34,Base!$A:$A,0)),0)))</f>
        <v>12.42789</v>
      </c>
      <c r="CS34" s="21">
        <f>IF(CS$1&lt;INDEX('Valo FX'!$Q:$Q,MATCH($A34,'Valo FX'!$A:$A,0)),0,IF(CS$1&lt;INDEX('Valo FX'!$R:$R,MATCH($A34,'Valo FX'!$A:$A,0)),INDEX(Base!$U:$U,MATCH($A34,Base!$A:$A,0)),IF(CS$1=INDEX('Valo FX'!$R:$R,MATCH($A34,'Valo FX'!$A:$A,0)),INDEX(Base!$V:$V,MATCH($A34,Base!$A:$A,0)),0)))</f>
        <v>12.42789</v>
      </c>
      <c r="CT34" s="21">
        <f>IF(CT$1&lt;INDEX('Valo FX'!$Q:$Q,MATCH($A34,'Valo FX'!$A:$A,0)),0,IF(CT$1&lt;INDEX('Valo FX'!$R:$R,MATCH($A34,'Valo FX'!$A:$A,0)),INDEX(Base!$U:$U,MATCH($A34,Base!$A:$A,0)),IF(CT$1=INDEX('Valo FX'!$R:$R,MATCH($A34,'Valo FX'!$A:$A,0)),INDEX(Base!$V:$V,MATCH($A34,Base!$A:$A,0)),0)))</f>
        <v>12.42789</v>
      </c>
      <c r="CU34" s="21">
        <f>IF(CU$1&lt;INDEX('Valo FX'!$Q:$Q,MATCH($A34,'Valo FX'!$A:$A,0)),0,IF(CU$1&lt;INDEX('Valo FX'!$R:$R,MATCH($A34,'Valo FX'!$A:$A,0)),INDEX(Base!$U:$U,MATCH($A34,Base!$A:$A,0)),IF(CU$1=INDEX('Valo FX'!$R:$R,MATCH($A34,'Valo FX'!$A:$A,0)),INDEX(Base!$V:$V,MATCH($A34,Base!$A:$A,0)),0)))</f>
        <v>12.42789</v>
      </c>
      <c r="CV34" s="21">
        <f>IF(CV$1&lt;INDEX('Valo FX'!$Q:$Q,MATCH($A34,'Valo FX'!$A:$A,0)),0,IF(CV$1&lt;INDEX('Valo FX'!$R:$R,MATCH($A34,'Valo FX'!$A:$A,0)),INDEX(Base!$U:$U,MATCH($A34,Base!$A:$A,0)),IF(CV$1=INDEX('Valo FX'!$R:$R,MATCH($A34,'Valo FX'!$A:$A,0)),INDEX(Base!$V:$V,MATCH($A34,Base!$A:$A,0)),0)))</f>
        <v>12.42789</v>
      </c>
      <c r="CW34" s="21">
        <f>IF(CW$1&lt;INDEX('Valo FX'!$Q:$Q,MATCH($A34,'Valo FX'!$A:$A,0)),0,IF(CW$1&lt;INDEX('Valo FX'!$R:$R,MATCH($A34,'Valo FX'!$A:$A,0)),INDEX(Base!$U:$U,MATCH($A34,Base!$A:$A,0)),IF(CW$1=INDEX('Valo FX'!$R:$R,MATCH($A34,'Valo FX'!$A:$A,0)),INDEX(Base!$V:$V,MATCH($A34,Base!$A:$A,0)),0)))</f>
        <v>12.42789</v>
      </c>
      <c r="CX34" s="21">
        <f>IF(CX$1&lt;INDEX('Valo FX'!$Q:$Q,MATCH($A34,'Valo FX'!$A:$A,0)),0,IF(CX$1&lt;INDEX('Valo FX'!$R:$R,MATCH($A34,'Valo FX'!$A:$A,0)),INDEX(Base!$U:$U,MATCH($A34,Base!$A:$A,0)),IF(CX$1=INDEX('Valo FX'!$R:$R,MATCH($A34,'Valo FX'!$A:$A,0)),INDEX(Base!$V:$V,MATCH($A34,Base!$A:$A,0)),0)))</f>
        <v>12.42789</v>
      </c>
      <c r="CY34" s="21">
        <f>IF(CY$1&lt;INDEX('Valo FX'!$Q:$Q,MATCH($A34,'Valo FX'!$A:$A,0)),0,IF(CY$1&lt;INDEX('Valo FX'!$R:$R,MATCH($A34,'Valo FX'!$A:$A,0)),INDEX(Base!$U:$U,MATCH($A34,Base!$A:$A,0)),IF(CY$1=INDEX('Valo FX'!$R:$R,MATCH($A34,'Valo FX'!$A:$A,0)),INDEX(Base!$V:$V,MATCH($A34,Base!$A:$A,0)),0)))</f>
        <v>12.42789</v>
      </c>
      <c r="CZ34" s="21">
        <f>IF(CZ$1&lt;INDEX('Valo FX'!$Q:$Q,MATCH($A34,'Valo FX'!$A:$A,0)),0,IF(CZ$1&lt;INDEX('Valo FX'!$R:$R,MATCH($A34,'Valo FX'!$A:$A,0)),INDEX(Base!$U:$U,MATCH($A34,Base!$A:$A,0)),IF(CZ$1=INDEX('Valo FX'!$R:$R,MATCH($A34,'Valo FX'!$A:$A,0)),INDEX(Base!$V:$V,MATCH($A34,Base!$A:$A,0)),0)))</f>
        <v>12.42789</v>
      </c>
      <c r="DA34" s="21">
        <f>IF(DA$1&lt;INDEX('Valo FX'!$Q:$Q,MATCH($A34,'Valo FX'!$A:$A,0)),0,IF(DA$1&lt;INDEX('Valo FX'!$R:$R,MATCH($A34,'Valo FX'!$A:$A,0)),INDEX(Base!$U:$U,MATCH($A34,Base!$A:$A,0)),IF(DA$1=INDEX('Valo FX'!$R:$R,MATCH($A34,'Valo FX'!$A:$A,0)),INDEX(Base!$V:$V,MATCH($A34,Base!$A:$A,0)),0)))</f>
        <v>12.42789</v>
      </c>
      <c r="DB34" s="21">
        <f>IF(DB$1&lt;INDEX('Valo FX'!$Q:$Q,MATCH($A34,'Valo FX'!$A:$A,0)),0,IF(DB$1&lt;INDEX('Valo FX'!$R:$R,MATCH($A34,'Valo FX'!$A:$A,0)),INDEX(Base!$U:$U,MATCH($A34,Base!$A:$A,0)),IF(DB$1=INDEX('Valo FX'!$R:$R,MATCH($A34,'Valo FX'!$A:$A,0)),INDEX(Base!$V:$V,MATCH($A34,Base!$A:$A,0)),0)))</f>
        <v>12.42789</v>
      </c>
      <c r="DC34" s="21">
        <f>IF(DC$1&lt;INDEX('Valo FX'!$Q:$Q,MATCH($A34,'Valo FX'!$A:$A,0)),0,IF(DC$1&lt;INDEX('Valo FX'!$R:$R,MATCH($A34,'Valo FX'!$A:$A,0)),INDEX(Base!$U:$U,MATCH($A34,Base!$A:$A,0)),IF(DC$1=INDEX('Valo FX'!$R:$R,MATCH($A34,'Valo FX'!$A:$A,0)),INDEX(Base!$V:$V,MATCH($A34,Base!$A:$A,0)),0)))</f>
        <v>12.42789</v>
      </c>
      <c r="DD34" s="21">
        <f>IF(DD$1&lt;INDEX('Valo FX'!$Q:$Q,MATCH($A34,'Valo FX'!$A:$A,0)),0,IF(DD$1&lt;INDEX('Valo FX'!$R:$R,MATCH($A34,'Valo FX'!$A:$A,0)),INDEX(Base!$U:$U,MATCH($A34,Base!$A:$A,0)),IF(DD$1=INDEX('Valo FX'!$R:$R,MATCH($A34,'Valo FX'!$A:$A,0)),INDEX(Base!$V:$V,MATCH($A34,Base!$A:$A,0)),0)))</f>
        <v>12.42789</v>
      </c>
      <c r="DE34" s="21">
        <f>IF(DE$1&lt;INDEX('Valo FX'!$Q:$Q,MATCH($A34,'Valo FX'!$A:$A,0)),0,IF(DE$1&lt;INDEX('Valo FX'!$R:$R,MATCH($A34,'Valo FX'!$A:$A,0)),INDEX(Base!$U:$U,MATCH($A34,Base!$A:$A,0)),IF(DE$1=INDEX('Valo FX'!$R:$R,MATCH($A34,'Valo FX'!$A:$A,0)),INDEX(Base!$V:$V,MATCH($A34,Base!$A:$A,0)),0)))</f>
        <v>12.42789</v>
      </c>
      <c r="DF34" s="21">
        <f>IF(DF$1&lt;INDEX('Valo FX'!$Q:$Q,MATCH($A34,'Valo FX'!$A:$A,0)),0,IF(DF$1&lt;INDEX('Valo FX'!$R:$R,MATCH($A34,'Valo FX'!$A:$A,0)),INDEX(Base!$U:$U,MATCH($A34,Base!$A:$A,0)),IF(DF$1=INDEX('Valo FX'!$R:$R,MATCH($A34,'Valo FX'!$A:$A,0)),INDEX(Base!$V:$V,MATCH($A34,Base!$A:$A,0)),0)))</f>
        <v>12.42789</v>
      </c>
      <c r="DG34" s="21">
        <f>IF(DG$1&lt;INDEX('Valo FX'!$Q:$Q,MATCH($A34,'Valo FX'!$A:$A,0)),0,IF(DG$1&lt;INDEX('Valo FX'!$R:$R,MATCH($A34,'Valo FX'!$A:$A,0)),INDEX(Base!$U:$U,MATCH($A34,Base!$A:$A,0)),IF(DG$1=INDEX('Valo FX'!$R:$R,MATCH($A34,'Valo FX'!$A:$A,0)),INDEX(Base!$V:$V,MATCH($A34,Base!$A:$A,0)),0)))</f>
        <v>12.42789</v>
      </c>
      <c r="DH34" s="21">
        <f>IF(DH$1&lt;INDEX('Valo FX'!$Q:$Q,MATCH($A34,'Valo FX'!$A:$A,0)),0,IF(DH$1&lt;INDEX('Valo FX'!$R:$R,MATCH($A34,'Valo FX'!$A:$A,0)),INDEX(Base!$U:$U,MATCH($A34,Base!$A:$A,0)),IF(DH$1=INDEX('Valo FX'!$R:$R,MATCH($A34,'Valo FX'!$A:$A,0)),INDEX(Base!$V:$V,MATCH($A34,Base!$A:$A,0)),0)))</f>
        <v>12.42789</v>
      </c>
      <c r="DI34" s="21">
        <f>IF(DI$1&lt;INDEX('Valo FX'!$Q:$Q,MATCH($A34,'Valo FX'!$A:$A,0)),0,IF(DI$1&lt;INDEX('Valo FX'!$R:$R,MATCH($A34,'Valo FX'!$A:$A,0)),INDEX(Base!$U:$U,MATCH($A34,Base!$A:$A,0)),IF(DI$1=INDEX('Valo FX'!$R:$R,MATCH($A34,'Valo FX'!$A:$A,0)),INDEX(Base!$V:$V,MATCH($A34,Base!$A:$A,0)),0)))</f>
        <v>12.42789</v>
      </c>
      <c r="DJ34" s="21">
        <f>IF(DJ$1&lt;INDEX('Valo FX'!$Q:$Q,MATCH($A34,'Valo FX'!$A:$A,0)),0,IF(DJ$1&lt;INDEX('Valo FX'!$R:$R,MATCH($A34,'Valo FX'!$A:$A,0)),INDEX(Base!$U:$U,MATCH($A34,Base!$A:$A,0)),IF(DJ$1=INDEX('Valo FX'!$R:$R,MATCH($A34,'Valo FX'!$A:$A,0)),INDEX(Base!$V:$V,MATCH($A34,Base!$A:$A,0)),0)))</f>
        <v>12.42789</v>
      </c>
      <c r="DK34" s="21">
        <f>IF(DK$1&lt;INDEX('Valo FX'!$Q:$Q,MATCH($A34,'Valo FX'!$A:$A,0)),0,IF(DK$1&lt;INDEX('Valo FX'!$R:$R,MATCH($A34,'Valo FX'!$A:$A,0)),INDEX(Base!$U:$U,MATCH($A34,Base!$A:$A,0)),IF(DK$1=INDEX('Valo FX'!$R:$R,MATCH($A34,'Valo FX'!$A:$A,0)),INDEX(Base!$V:$V,MATCH($A34,Base!$A:$A,0)),0)))</f>
        <v>12.42789</v>
      </c>
      <c r="DL34" s="21">
        <f>IF(DL$1&lt;INDEX('Valo FX'!$Q:$Q,MATCH($A34,'Valo FX'!$A:$A,0)),0,IF(DL$1&lt;INDEX('Valo FX'!$R:$R,MATCH($A34,'Valo FX'!$A:$A,0)),INDEX(Base!$U:$U,MATCH($A34,Base!$A:$A,0)),IF(DL$1=INDEX('Valo FX'!$R:$R,MATCH($A34,'Valo FX'!$A:$A,0)),INDEX(Base!$V:$V,MATCH($A34,Base!$A:$A,0)),0)))</f>
        <v>12.42789</v>
      </c>
      <c r="DM34" s="21">
        <f>IF(DM$1&lt;INDEX('Valo FX'!$Q:$Q,MATCH($A34,'Valo FX'!$A:$A,0)),0,IF(DM$1&lt;INDEX('Valo FX'!$R:$R,MATCH($A34,'Valo FX'!$A:$A,0)),INDEX(Base!$U:$U,MATCH($A34,Base!$A:$A,0)),IF(DM$1=INDEX('Valo FX'!$R:$R,MATCH($A34,'Valo FX'!$A:$A,0)),INDEX(Base!$V:$V,MATCH($A34,Base!$A:$A,0)),0)))</f>
        <v>12.42789</v>
      </c>
      <c r="DN34" s="21">
        <f>IF(DN$1&lt;INDEX('Valo FX'!$Q:$Q,MATCH($A34,'Valo FX'!$A:$A,0)),0,IF(DN$1&lt;INDEX('Valo FX'!$R:$R,MATCH($A34,'Valo FX'!$A:$A,0)),INDEX(Base!$U:$U,MATCH($A34,Base!$A:$A,0)),IF(DN$1=INDEX('Valo FX'!$R:$R,MATCH($A34,'Valo FX'!$A:$A,0)),INDEX(Base!$V:$V,MATCH($A34,Base!$A:$A,0)),0)))</f>
        <v>12.42789</v>
      </c>
      <c r="DO34" s="21">
        <f>IF(DO$1&lt;INDEX('Valo FX'!$Q:$Q,MATCH($A34,'Valo FX'!$A:$A,0)),0,IF(DO$1&lt;INDEX('Valo FX'!$R:$R,MATCH($A34,'Valo FX'!$A:$A,0)),INDEX(Base!$U:$U,MATCH($A34,Base!$A:$A,0)),IF(DO$1=INDEX('Valo FX'!$R:$R,MATCH($A34,'Valo FX'!$A:$A,0)),INDEX(Base!$V:$V,MATCH($A34,Base!$A:$A,0)),0)))</f>
        <v>12.42789</v>
      </c>
      <c r="DP34" s="21">
        <f>IF(DP$1&lt;INDEX('Valo FX'!$Q:$Q,MATCH($A34,'Valo FX'!$A:$A,0)),0,IF(DP$1&lt;INDEX('Valo FX'!$R:$R,MATCH($A34,'Valo FX'!$A:$A,0)),INDEX(Base!$U:$U,MATCH($A34,Base!$A:$A,0)),IF(DP$1=INDEX('Valo FX'!$R:$R,MATCH($A34,'Valo FX'!$A:$A,0)),INDEX(Base!$V:$V,MATCH($A34,Base!$A:$A,0)),0)))</f>
        <v>12.42789</v>
      </c>
      <c r="DQ34" s="21">
        <f>IF(DQ$1&lt;INDEX('Valo FX'!$Q:$Q,MATCH($A34,'Valo FX'!$A:$A,0)),0,IF(DQ$1&lt;INDEX('Valo FX'!$R:$R,MATCH($A34,'Valo FX'!$A:$A,0)),INDEX(Base!$U:$U,MATCH($A34,Base!$A:$A,0)),IF(DQ$1=INDEX('Valo FX'!$R:$R,MATCH($A34,'Valo FX'!$A:$A,0)),INDEX(Base!$V:$V,MATCH($A34,Base!$A:$A,0)),0)))</f>
        <v>12.42789</v>
      </c>
      <c r="DR34" s="21">
        <f>IF(DR$1&lt;INDEX('Valo FX'!$Q:$Q,MATCH($A34,'Valo FX'!$A:$A,0)),0,IF(DR$1&lt;INDEX('Valo FX'!$R:$R,MATCH($A34,'Valo FX'!$A:$A,0)),INDEX(Base!$U:$U,MATCH($A34,Base!$A:$A,0)),IF(DR$1=INDEX('Valo FX'!$R:$R,MATCH($A34,'Valo FX'!$A:$A,0)),INDEX(Base!$V:$V,MATCH($A34,Base!$A:$A,0)),0)))</f>
        <v>12.42789</v>
      </c>
      <c r="DS34" s="21">
        <f>IF(DS$1&lt;INDEX('Valo FX'!$Q:$Q,MATCH($A34,'Valo FX'!$A:$A,0)),0,IF(DS$1&lt;INDEX('Valo FX'!$R:$R,MATCH($A34,'Valo FX'!$A:$A,0)),INDEX(Base!$U:$U,MATCH($A34,Base!$A:$A,0)),IF(DS$1=INDEX('Valo FX'!$R:$R,MATCH($A34,'Valo FX'!$A:$A,0)),INDEX(Base!$V:$V,MATCH($A34,Base!$A:$A,0)),0)))</f>
        <v>12.42789</v>
      </c>
      <c r="DT34" s="21">
        <f>IF(DT$1&lt;INDEX('Valo FX'!$Q:$Q,MATCH($A34,'Valo FX'!$A:$A,0)),0,IF(DT$1&lt;INDEX('Valo FX'!$R:$R,MATCH($A34,'Valo FX'!$A:$A,0)),INDEX(Base!$U:$U,MATCH($A34,Base!$A:$A,0)),IF(DT$1=INDEX('Valo FX'!$R:$R,MATCH($A34,'Valo FX'!$A:$A,0)),INDEX(Base!$V:$V,MATCH($A34,Base!$A:$A,0)),0)))</f>
        <v>12.42789</v>
      </c>
      <c r="DU34" s="21">
        <f>IF(DU$1&lt;INDEX('Valo FX'!$Q:$Q,MATCH($A34,'Valo FX'!$A:$A,0)),0,IF(DU$1&lt;INDEX('Valo FX'!$R:$R,MATCH($A34,'Valo FX'!$A:$A,0)),INDEX(Base!$U:$U,MATCH($A34,Base!$A:$A,0)),IF(DU$1=INDEX('Valo FX'!$R:$R,MATCH($A34,'Valo FX'!$A:$A,0)),INDEX(Base!$V:$V,MATCH($A34,Base!$A:$A,0)),0)))</f>
        <v>12.42789</v>
      </c>
      <c r="DV34" s="21">
        <f>IF(DV$1&lt;INDEX('Valo FX'!$Q:$Q,MATCH($A34,'Valo FX'!$A:$A,0)),0,IF(DV$1&lt;INDEX('Valo FX'!$R:$R,MATCH($A34,'Valo FX'!$A:$A,0)),INDEX(Base!$U:$U,MATCH($A34,Base!$A:$A,0)),IF(DV$1=INDEX('Valo FX'!$R:$R,MATCH($A34,'Valo FX'!$A:$A,0)),INDEX(Base!$V:$V,MATCH($A34,Base!$A:$A,0)),0)))</f>
        <v>12.42789</v>
      </c>
      <c r="DW34" s="21">
        <f>IF(DW$1&lt;INDEX('Valo FX'!$Q:$Q,MATCH($A34,'Valo FX'!$A:$A,0)),0,IF(DW$1&lt;INDEX('Valo FX'!$R:$R,MATCH($A34,'Valo FX'!$A:$A,0)),INDEX(Base!$U:$U,MATCH($A34,Base!$A:$A,0)),IF(DW$1=INDEX('Valo FX'!$R:$R,MATCH($A34,'Valo FX'!$A:$A,0)),INDEX(Base!$V:$V,MATCH($A34,Base!$A:$A,0)),0)))</f>
        <v>12.42789</v>
      </c>
      <c r="DX34" s="21">
        <f>IF(DX$1&lt;INDEX('Valo FX'!$Q:$Q,MATCH($A34,'Valo FX'!$A:$A,0)),0,IF(DX$1&lt;INDEX('Valo FX'!$R:$R,MATCH($A34,'Valo FX'!$A:$A,0)),INDEX(Base!$U:$U,MATCH($A34,Base!$A:$A,0)),IF(DX$1=INDEX('Valo FX'!$R:$R,MATCH($A34,'Valo FX'!$A:$A,0)),INDEX(Base!$V:$V,MATCH($A34,Base!$A:$A,0)),0)))</f>
        <v>12.42789</v>
      </c>
      <c r="DY34" s="21">
        <f>IF(DY$1&lt;INDEX('Valo FX'!$Q:$Q,MATCH($A34,'Valo FX'!$A:$A,0)),0,IF(DY$1&lt;INDEX('Valo FX'!$R:$R,MATCH($A34,'Valo FX'!$A:$A,0)),INDEX(Base!$U:$U,MATCH($A34,Base!$A:$A,0)),IF(DY$1=INDEX('Valo FX'!$R:$R,MATCH($A34,'Valo FX'!$A:$A,0)),INDEX(Base!$V:$V,MATCH($A34,Base!$A:$A,0)),0)))</f>
        <v>12.42789</v>
      </c>
      <c r="DZ34" s="21">
        <f>IF(DZ$1&lt;INDEX('Valo FX'!$Q:$Q,MATCH($A34,'Valo FX'!$A:$A,0)),0,IF(DZ$1&lt;INDEX('Valo FX'!$R:$R,MATCH($A34,'Valo FX'!$A:$A,0)),INDEX(Base!$U:$U,MATCH($A34,Base!$A:$A,0)),IF(DZ$1=INDEX('Valo FX'!$R:$R,MATCH($A34,'Valo FX'!$A:$A,0)),INDEX(Base!$V:$V,MATCH($A34,Base!$A:$A,0)),0)))</f>
        <v>12.42789</v>
      </c>
      <c r="EA34" s="21">
        <f>IF(EA$1&lt;INDEX('Valo FX'!$Q:$Q,MATCH($A34,'Valo FX'!$A:$A,0)),0,IF(EA$1&lt;INDEX('Valo FX'!$R:$R,MATCH($A34,'Valo FX'!$A:$A,0)),INDEX(Base!$U:$U,MATCH($A34,Base!$A:$A,0)),IF(EA$1=INDEX('Valo FX'!$R:$R,MATCH($A34,'Valo FX'!$A:$A,0)),INDEX(Base!$V:$V,MATCH($A34,Base!$A:$A,0)),0)))</f>
        <v>12.42789</v>
      </c>
      <c r="EB34" s="21">
        <f>IF(EB$1&lt;INDEX('Valo FX'!$Q:$Q,MATCH($A34,'Valo FX'!$A:$A,0)),0,IF(EB$1&lt;INDEX('Valo FX'!$R:$R,MATCH($A34,'Valo FX'!$A:$A,0)),INDEX(Base!$U:$U,MATCH($A34,Base!$A:$A,0)),IF(EB$1=INDEX('Valo FX'!$R:$R,MATCH($A34,'Valo FX'!$A:$A,0)),INDEX(Base!$V:$V,MATCH($A34,Base!$A:$A,0)),0)))</f>
        <v>12.42789</v>
      </c>
      <c r="EC34" s="21">
        <f>IF(EC$1&lt;INDEX('Valo FX'!$Q:$Q,MATCH($A34,'Valo FX'!$A:$A,0)),0,IF(EC$1&lt;INDEX('Valo FX'!$R:$R,MATCH($A34,'Valo FX'!$A:$A,0)),INDEX(Base!$U:$U,MATCH($A34,Base!$A:$A,0)),IF(EC$1=INDEX('Valo FX'!$R:$R,MATCH($A34,'Valo FX'!$A:$A,0)),INDEX(Base!$V:$V,MATCH($A34,Base!$A:$A,0)),0)))</f>
        <v>12.42789</v>
      </c>
      <c r="ED34" s="21">
        <f>IF(ED$1&lt;INDEX('Valo FX'!$Q:$Q,MATCH($A34,'Valo FX'!$A:$A,0)),0,IF(ED$1&lt;INDEX('Valo FX'!$R:$R,MATCH($A34,'Valo FX'!$A:$A,0)),INDEX(Base!$U:$U,MATCH($A34,Base!$A:$A,0)),IF(ED$1=INDEX('Valo FX'!$R:$R,MATCH($A34,'Valo FX'!$A:$A,0)),INDEX(Base!$V:$V,MATCH($A34,Base!$A:$A,0)),0)))</f>
        <v>12.42789</v>
      </c>
      <c r="EE34" s="21">
        <f>IF(EE$1&lt;INDEX('Valo FX'!$Q:$Q,MATCH($A34,'Valo FX'!$A:$A,0)),0,IF(EE$1&lt;INDEX('Valo FX'!$R:$R,MATCH($A34,'Valo FX'!$A:$A,0)),INDEX(Base!$U:$U,MATCH($A34,Base!$A:$A,0)),IF(EE$1=INDEX('Valo FX'!$R:$R,MATCH($A34,'Valo FX'!$A:$A,0)),INDEX(Base!$V:$V,MATCH($A34,Base!$A:$A,0)),0)))</f>
        <v>12.42789</v>
      </c>
      <c r="EF34" s="21">
        <f>IF(EF$1&lt;INDEX('Valo FX'!$Q:$Q,MATCH($A34,'Valo FX'!$A:$A,0)),0,IF(EF$1&lt;INDEX('Valo FX'!$R:$R,MATCH($A34,'Valo FX'!$A:$A,0)),INDEX(Base!$U:$U,MATCH($A34,Base!$A:$A,0)),IF(EF$1=INDEX('Valo FX'!$R:$R,MATCH($A34,'Valo FX'!$A:$A,0)),INDEX(Base!$V:$V,MATCH($A34,Base!$A:$A,0)),0)))</f>
        <v>12.42789</v>
      </c>
      <c r="EG34" s="21">
        <f>IF(EG$1&lt;INDEX('Valo FX'!$Q:$Q,MATCH($A34,'Valo FX'!$A:$A,0)),0,IF(EG$1&lt;INDEX('Valo FX'!$R:$R,MATCH($A34,'Valo FX'!$A:$A,0)),INDEX(Base!$U:$U,MATCH($A34,Base!$A:$A,0)),IF(EG$1=INDEX('Valo FX'!$R:$R,MATCH($A34,'Valo FX'!$A:$A,0)),INDEX(Base!$V:$V,MATCH($A34,Base!$A:$A,0)),0)))</f>
        <v>12.42789</v>
      </c>
      <c r="EH34" s="21">
        <f>IF(EH$1&lt;INDEX('Valo FX'!$Q:$Q,MATCH($A34,'Valo FX'!$A:$A,0)),0,IF(EH$1&lt;INDEX('Valo FX'!$R:$R,MATCH($A34,'Valo FX'!$A:$A,0)),INDEX(Base!$U:$U,MATCH($A34,Base!$A:$A,0)),IF(EH$1=INDEX('Valo FX'!$R:$R,MATCH($A34,'Valo FX'!$A:$A,0)),INDEX(Base!$V:$V,MATCH($A34,Base!$A:$A,0)),0)))</f>
        <v>12.42789</v>
      </c>
      <c r="EI34" s="21">
        <f>IF(EI$1&lt;INDEX('Valo FX'!$Q:$Q,MATCH($A34,'Valo FX'!$A:$A,0)),0,IF(EI$1&lt;INDEX('Valo FX'!$R:$R,MATCH($A34,'Valo FX'!$A:$A,0)),INDEX(Base!$U:$U,MATCH($A34,Base!$A:$A,0)),IF(EI$1=INDEX('Valo FX'!$R:$R,MATCH($A34,'Valo FX'!$A:$A,0)),INDEX(Base!$V:$V,MATCH($A34,Base!$A:$A,0)),0)))</f>
        <v>12.42789</v>
      </c>
      <c r="EJ34" s="21">
        <f>IF(EJ$1&lt;INDEX('Valo FX'!$Q:$Q,MATCH($A34,'Valo FX'!$A:$A,0)),0,IF(EJ$1&lt;INDEX('Valo FX'!$R:$R,MATCH($A34,'Valo FX'!$A:$A,0)),INDEX(Base!$U:$U,MATCH($A34,Base!$A:$A,0)),IF(EJ$1=INDEX('Valo FX'!$R:$R,MATCH($A34,'Valo FX'!$A:$A,0)),INDEX(Base!$V:$V,MATCH($A34,Base!$A:$A,0)),0)))</f>
        <v>12.42789</v>
      </c>
      <c r="EK34" s="21">
        <f>IF(EK$1&lt;INDEX('Valo FX'!$Q:$Q,MATCH($A34,'Valo FX'!$A:$A,0)),0,IF(EK$1&lt;INDEX('Valo FX'!$R:$R,MATCH($A34,'Valo FX'!$A:$A,0)),INDEX(Base!$U:$U,MATCH($A34,Base!$A:$A,0)),IF(EK$1=INDEX('Valo FX'!$R:$R,MATCH($A34,'Valo FX'!$A:$A,0)),INDEX(Base!$V:$V,MATCH($A34,Base!$A:$A,0)),0)))</f>
        <v>12.42789</v>
      </c>
      <c r="EL34" s="21">
        <f>IF(EL$1&lt;INDEX('Valo FX'!$Q:$Q,MATCH($A34,'Valo FX'!$A:$A,0)),0,IF(EL$1&lt;INDEX('Valo FX'!$R:$R,MATCH($A34,'Valo FX'!$A:$A,0)),INDEX(Base!$U:$U,MATCH($A34,Base!$A:$A,0)),IF(EL$1=INDEX('Valo FX'!$R:$R,MATCH($A34,'Valo FX'!$A:$A,0)),INDEX(Base!$V:$V,MATCH($A34,Base!$A:$A,0)),0)))</f>
        <v>12.42789</v>
      </c>
      <c r="EM34" s="21">
        <f>IF(EM$1&lt;INDEX('Valo FX'!$Q:$Q,MATCH($A34,'Valo FX'!$A:$A,0)),0,IF(EM$1&lt;INDEX('Valo FX'!$R:$R,MATCH($A34,'Valo FX'!$A:$A,0)),INDEX(Base!$U:$U,MATCH($A34,Base!$A:$A,0)),IF(EM$1=INDEX('Valo FX'!$R:$R,MATCH($A34,'Valo FX'!$A:$A,0)),INDEX(Base!$V:$V,MATCH($A34,Base!$A:$A,0)),0)))</f>
        <v>12.42789</v>
      </c>
      <c r="EN34" s="21">
        <f>IF(EN$1&lt;INDEX('Valo FX'!$Q:$Q,MATCH($A34,'Valo FX'!$A:$A,0)),0,IF(EN$1&lt;INDEX('Valo FX'!$R:$R,MATCH($A34,'Valo FX'!$A:$A,0)),INDEX(Base!$U:$U,MATCH($A34,Base!$A:$A,0)),IF(EN$1=INDEX('Valo FX'!$R:$R,MATCH($A34,'Valo FX'!$A:$A,0)),INDEX(Base!$V:$V,MATCH($A34,Base!$A:$A,0)),0)))</f>
        <v>12.42789</v>
      </c>
      <c r="EO34" s="21">
        <f>IF(EO$1&lt;INDEX('Valo FX'!$Q:$Q,MATCH($A34,'Valo FX'!$A:$A,0)),0,IF(EO$1&lt;INDEX('Valo FX'!$R:$R,MATCH($A34,'Valo FX'!$A:$A,0)),INDEX(Base!$U:$U,MATCH($A34,Base!$A:$A,0)),IF(EO$1=INDEX('Valo FX'!$R:$R,MATCH($A34,'Valo FX'!$A:$A,0)),INDEX(Base!$V:$V,MATCH($A34,Base!$A:$A,0)),0)))</f>
        <v>12.42789</v>
      </c>
      <c r="EP34" s="21">
        <f>IF(EP$1&lt;INDEX('Valo FX'!$Q:$Q,MATCH($A34,'Valo FX'!$A:$A,0)),0,IF(EP$1&lt;INDEX('Valo FX'!$R:$R,MATCH($A34,'Valo FX'!$A:$A,0)),INDEX(Base!$U:$U,MATCH($A34,Base!$A:$A,0)),IF(EP$1=INDEX('Valo FX'!$R:$R,MATCH($A34,'Valo FX'!$A:$A,0)),INDEX(Base!$V:$V,MATCH($A34,Base!$A:$A,0)),0)))</f>
        <v>12.42789</v>
      </c>
      <c r="EQ34" s="21">
        <f>IF(EQ$1&lt;INDEX('Valo FX'!$Q:$Q,MATCH($A34,'Valo FX'!$A:$A,0)),0,IF(EQ$1&lt;INDEX('Valo FX'!$R:$R,MATCH($A34,'Valo FX'!$A:$A,0)),INDEX(Base!$U:$U,MATCH($A34,Base!$A:$A,0)),IF(EQ$1=INDEX('Valo FX'!$R:$R,MATCH($A34,'Valo FX'!$A:$A,0)),INDEX(Base!$V:$V,MATCH($A34,Base!$A:$A,0)),0)))</f>
        <v>12.42789</v>
      </c>
      <c r="ER34" s="21">
        <f>IF(ER$1&lt;INDEX('Valo FX'!$Q:$Q,MATCH($A34,'Valo FX'!$A:$A,0)),0,IF(ER$1&lt;INDEX('Valo FX'!$R:$R,MATCH($A34,'Valo FX'!$A:$A,0)),INDEX(Base!$U:$U,MATCH($A34,Base!$A:$A,0)),IF(ER$1=INDEX('Valo FX'!$R:$R,MATCH($A34,'Valo FX'!$A:$A,0)),INDEX(Base!$V:$V,MATCH($A34,Base!$A:$A,0)),0)))</f>
        <v>12.42789</v>
      </c>
      <c r="ES34" s="21">
        <f>IF(ES$1&lt;INDEX('Valo FX'!$Q:$Q,MATCH($A34,'Valo FX'!$A:$A,0)),0,IF(ES$1&lt;INDEX('Valo FX'!$R:$R,MATCH($A34,'Valo FX'!$A:$A,0)),INDEX(Base!$U:$U,MATCH($A34,Base!$A:$A,0)),IF(ES$1=INDEX('Valo FX'!$R:$R,MATCH($A34,'Valo FX'!$A:$A,0)),INDEX(Base!$V:$V,MATCH($A34,Base!$A:$A,0)),0)))</f>
        <v>12.42789</v>
      </c>
      <c r="ET34" s="21">
        <f>IF(ET$1&lt;INDEX('Valo FX'!$Q:$Q,MATCH($A34,'Valo FX'!$A:$A,0)),0,IF(ET$1&lt;INDEX('Valo FX'!$R:$R,MATCH($A34,'Valo FX'!$A:$A,0)),INDEX(Base!$U:$U,MATCH($A34,Base!$A:$A,0)),IF(ET$1=INDEX('Valo FX'!$R:$R,MATCH($A34,'Valo FX'!$A:$A,0)),INDEX(Base!$V:$V,MATCH($A34,Base!$A:$A,0)),0)))</f>
        <v>12.42789</v>
      </c>
      <c r="EU34" s="21">
        <f>IF(EU$1&lt;INDEX('Valo FX'!$Q:$Q,MATCH($A34,'Valo FX'!$A:$A,0)),0,IF(EU$1&lt;INDEX('Valo FX'!$R:$R,MATCH($A34,'Valo FX'!$A:$A,0)),INDEX(Base!$U:$U,MATCH($A34,Base!$A:$A,0)),IF(EU$1=INDEX('Valo FX'!$R:$R,MATCH($A34,'Valo FX'!$A:$A,0)),INDEX(Base!$V:$V,MATCH($A34,Base!$A:$A,0)),0)))</f>
        <v>12.42789</v>
      </c>
      <c r="EV34" s="21">
        <f>IF(EV$1&lt;INDEX('Valo FX'!$Q:$Q,MATCH($A34,'Valo FX'!$A:$A,0)),0,IF(EV$1&lt;INDEX('Valo FX'!$R:$R,MATCH($A34,'Valo FX'!$A:$A,0)),INDEX(Base!$U:$U,MATCH($A34,Base!$A:$A,0)),IF(EV$1=INDEX('Valo FX'!$R:$R,MATCH($A34,'Valo FX'!$A:$A,0)),INDEX(Base!$V:$V,MATCH($A34,Base!$A:$A,0)),0)))</f>
        <v>12.42789</v>
      </c>
      <c r="EW34" s="21">
        <f>IF(EW$1&lt;INDEX('Valo FX'!$Q:$Q,MATCH($A34,'Valo FX'!$A:$A,0)),0,IF(EW$1&lt;INDEX('Valo FX'!$R:$R,MATCH($A34,'Valo FX'!$A:$A,0)),INDEX(Base!$U:$U,MATCH($A34,Base!$A:$A,0)),IF(EW$1=INDEX('Valo FX'!$R:$R,MATCH($A34,'Valo FX'!$A:$A,0)),INDEX(Base!$V:$V,MATCH($A34,Base!$A:$A,0)),0)))</f>
        <v>12.42789</v>
      </c>
      <c r="EX34" s="21">
        <f>IF(EX$1&lt;INDEX('Valo FX'!$Q:$Q,MATCH($A34,'Valo FX'!$A:$A,0)),0,IF(EX$1&lt;INDEX('Valo FX'!$R:$R,MATCH($A34,'Valo FX'!$A:$A,0)),INDEX(Base!$U:$U,MATCH($A34,Base!$A:$A,0)),IF(EX$1=INDEX('Valo FX'!$R:$R,MATCH($A34,'Valo FX'!$A:$A,0)),INDEX(Base!$V:$V,MATCH($A34,Base!$A:$A,0)),0)))</f>
        <v>12.42789</v>
      </c>
      <c r="EY34" s="21">
        <f>IF(EY$1&lt;INDEX('Valo FX'!$Q:$Q,MATCH($A34,'Valo FX'!$A:$A,0)),0,IF(EY$1&lt;INDEX('Valo FX'!$R:$R,MATCH($A34,'Valo FX'!$A:$A,0)),INDEX(Base!$U:$U,MATCH($A34,Base!$A:$A,0)),IF(EY$1=INDEX('Valo FX'!$R:$R,MATCH($A34,'Valo FX'!$A:$A,0)),INDEX(Base!$V:$V,MATCH($A34,Base!$A:$A,0)),0)))</f>
        <v>12.42789</v>
      </c>
      <c r="EZ34" s="21">
        <f>IF(EZ$1&lt;INDEX('Valo FX'!$Q:$Q,MATCH($A34,'Valo FX'!$A:$A,0)),0,IF(EZ$1&lt;INDEX('Valo FX'!$R:$R,MATCH($A34,'Valo FX'!$A:$A,0)),INDEX(Base!$U:$U,MATCH($A34,Base!$A:$A,0)),IF(EZ$1=INDEX('Valo FX'!$R:$R,MATCH($A34,'Valo FX'!$A:$A,0)),INDEX(Base!$V:$V,MATCH($A34,Base!$A:$A,0)),0)))</f>
        <v>12.42789</v>
      </c>
      <c r="FA34" s="21">
        <f>IF(FA$1&lt;INDEX('Valo FX'!$Q:$Q,MATCH($A34,'Valo FX'!$A:$A,0)),0,IF(FA$1&lt;INDEX('Valo FX'!$R:$R,MATCH($A34,'Valo FX'!$A:$A,0)),INDEX(Base!$U:$U,MATCH($A34,Base!$A:$A,0)),IF(FA$1=INDEX('Valo FX'!$R:$R,MATCH($A34,'Valo FX'!$A:$A,0)),INDEX(Base!$V:$V,MATCH($A34,Base!$A:$A,0)),0)))</f>
        <v>12.42789</v>
      </c>
      <c r="FB34" s="21">
        <f>IF(FB$1&lt;INDEX('Valo FX'!$Q:$Q,MATCH($A34,'Valo FX'!$A:$A,0)),0,IF(FB$1&lt;INDEX('Valo FX'!$R:$R,MATCH($A34,'Valo FX'!$A:$A,0)),INDEX(Base!$U:$U,MATCH($A34,Base!$A:$A,0)),IF(FB$1=INDEX('Valo FX'!$R:$R,MATCH($A34,'Valo FX'!$A:$A,0)),INDEX(Base!$V:$V,MATCH($A34,Base!$A:$A,0)),0)))</f>
        <v>12.42789</v>
      </c>
      <c r="FC34" s="21">
        <f>IF(FC$1&lt;INDEX('Valo FX'!$Q:$Q,MATCH($A34,'Valo FX'!$A:$A,0)),0,IF(FC$1&lt;INDEX('Valo FX'!$R:$R,MATCH($A34,'Valo FX'!$A:$A,0)),INDEX(Base!$U:$U,MATCH($A34,Base!$A:$A,0)),IF(FC$1=INDEX('Valo FX'!$R:$R,MATCH($A34,'Valo FX'!$A:$A,0)),INDEX(Base!$V:$V,MATCH($A34,Base!$A:$A,0)),0)))</f>
        <v>12.42789</v>
      </c>
      <c r="FD34" s="21">
        <f>IF(FD$1&lt;INDEX('Valo FX'!$Q:$Q,MATCH($A34,'Valo FX'!$A:$A,0)),0,IF(FD$1&lt;INDEX('Valo FX'!$R:$R,MATCH($A34,'Valo FX'!$A:$A,0)),INDEX(Base!$U:$U,MATCH($A34,Base!$A:$A,0)),IF(FD$1=INDEX('Valo FX'!$R:$R,MATCH($A34,'Valo FX'!$A:$A,0)),INDEX(Base!$V:$V,MATCH($A34,Base!$A:$A,0)),0)))</f>
        <v>12.42789</v>
      </c>
      <c r="FE34" s="21">
        <f>IF(FE$1&lt;INDEX('Valo FX'!$Q:$Q,MATCH($A34,'Valo FX'!$A:$A,0)),0,IF(FE$1&lt;INDEX('Valo FX'!$R:$R,MATCH($A34,'Valo FX'!$A:$A,0)),INDEX(Base!$U:$U,MATCH($A34,Base!$A:$A,0)),IF(FE$1=INDEX('Valo FX'!$R:$R,MATCH($A34,'Valo FX'!$A:$A,0)),INDEX(Base!$V:$V,MATCH($A34,Base!$A:$A,0)),0)))</f>
        <v>12.42789</v>
      </c>
      <c r="FF34" s="21">
        <f>IF(FF$1&lt;INDEX('Valo FX'!$Q:$Q,MATCH($A34,'Valo FX'!$A:$A,0)),0,IF(FF$1&lt;INDEX('Valo FX'!$R:$R,MATCH($A34,'Valo FX'!$A:$A,0)),INDEX(Base!$U:$U,MATCH($A34,Base!$A:$A,0)),IF(FF$1=INDEX('Valo FX'!$R:$R,MATCH($A34,'Valo FX'!$A:$A,0)),INDEX(Base!$V:$V,MATCH($A34,Base!$A:$A,0)),0)))</f>
        <v>12.42789</v>
      </c>
      <c r="FG34" s="21">
        <f>IF(FG$1&lt;INDEX('Valo FX'!$Q:$Q,MATCH($A34,'Valo FX'!$A:$A,0)),0,IF(FG$1&lt;INDEX('Valo FX'!$R:$R,MATCH($A34,'Valo FX'!$A:$A,0)),INDEX(Base!$U:$U,MATCH($A34,Base!$A:$A,0)),IF(FG$1=INDEX('Valo FX'!$R:$R,MATCH($A34,'Valo FX'!$A:$A,0)),INDEX(Base!$V:$V,MATCH($A34,Base!$A:$A,0)),0)))</f>
        <v>12.42789</v>
      </c>
      <c r="FH34" s="21">
        <f>IF(FH$1&lt;INDEX('Valo FX'!$Q:$Q,MATCH($A34,'Valo FX'!$A:$A,0)),0,IF(FH$1&lt;INDEX('Valo FX'!$R:$R,MATCH($A34,'Valo FX'!$A:$A,0)),INDEX(Base!$U:$U,MATCH($A34,Base!$A:$A,0)),IF(FH$1=INDEX('Valo FX'!$R:$R,MATCH($A34,'Valo FX'!$A:$A,0)),INDEX(Base!$V:$V,MATCH($A34,Base!$A:$A,0)),0)))</f>
        <v>12.42789</v>
      </c>
      <c r="FI34" s="21">
        <f>IF(FI$1&lt;INDEX('Valo FX'!$Q:$Q,MATCH($A34,'Valo FX'!$A:$A,0)),0,IF(FI$1&lt;INDEX('Valo FX'!$R:$R,MATCH($A34,'Valo FX'!$A:$A,0)),INDEX(Base!$U:$U,MATCH($A34,Base!$A:$A,0)),IF(FI$1=INDEX('Valo FX'!$R:$R,MATCH($A34,'Valo FX'!$A:$A,0)),INDEX(Base!$V:$V,MATCH($A34,Base!$A:$A,0)),0)))</f>
        <v>12.42789</v>
      </c>
      <c r="FJ34" s="21">
        <f>IF(FJ$1&lt;INDEX('Valo FX'!$Q:$Q,MATCH($A34,'Valo FX'!$A:$A,0)),0,IF(FJ$1&lt;INDEX('Valo FX'!$R:$R,MATCH($A34,'Valo FX'!$A:$A,0)),INDEX(Base!$U:$U,MATCH($A34,Base!$A:$A,0)),IF(FJ$1=INDEX('Valo FX'!$R:$R,MATCH($A34,'Valo FX'!$A:$A,0)),INDEX(Base!$V:$V,MATCH($A34,Base!$A:$A,0)),0)))</f>
        <v>12.42789</v>
      </c>
      <c r="FK34" s="21">
        <f>IF(FK$1&lt;INDEX('Valo FX'!$Q:$Q,MATCH($A34,'Valo FX'!$A:$A,0)),0,IF(FK$1&lt;INDEX('Valo FX'!$R:$R,MATCH($A34,'Valo FX'!$A:$A,0)),INDEX(Base!$U:$U,MATCH($A34,Base!$A:$A,0)),IF(FK$1=INDEX('Valo FX'!$R:$R,MATCH($A34,'Valo FX'!$A:$A,0)),INDEX(Base!$V:$V,MATCH($A34,Base!$A:$A,0)),0)))</f>
        <v>12.42789</v>
      </c>
      <c r="FL34" s="21">
        <f>IF(FL$1&lt;INDEX('Valo FX'!$Q:$Q,MATCH($A34,'Valo FX'!$A:$A,0)),0,IF(FL$1&lt;INDEX('Valo FX'!$R:$R,MATCH($A34,'Valo FX'!$A:$A,0)),INDEX(Base!$U:$U,MATCH($A34,Base!$A:$A,0)),IF(FL$1=INDEX('Valo FX'!$R:$R,MATCH($A34,'Valo FX'!$A:$A,0)),INDEX(Base!$V:$V,MATCH($A34,Base!$A:$A,0)),0)))</f>
        <v>12.42789</v>
      </c>
      <c r="FM34" s="21">
        <f>IF(FM$1&lt;INDEX('Valo FX'!$Q:$Q,MATCH($A34,'Valo FX'!$A:$A,0)),0,IF(FM$1&lt;INDEX('Valo FX'!$R:$R,MATCH($A34,'Valo FX'!$A:$A,0)),INDEX(Base!$U:$U,MATCH($A34,Base!$A:$A,0)),IF(FM$1=INDEX('Valo FX'!$R:$R,MATCH($A34,'Valo FX'!$A:$A,0)),INDEX(Base!$V:$V,MATCH($A34,Base!$A:$A,0)),0)))</f>
        <v>12.42789</v>
      </c>
      <c r="FN34" s="21">
        <f>IF(FN$1&lt;INDEX('Valo FX'!$Q:$Q,MATCH($A34,'Valo FX'!$A:$A,0)),0,IF(FN$1&lt;INDEX('Valo FX'!$R:$R,MATCH($A34,'Valo FX'!$A:$A,0)),INDEX(Base!$U:$U,MATCH($A34,Base!$A:$A,0)),IF(FN$1=INDEX('Valo FX'!$R:$R,MATCH($A34,'Valo FX'!$A:$A,0)),INDEX(Base!$V:$V,MATCH($A34,Base!$A:$A,0)),0)))</f>
        <v>12.42789</v>
      </c>
      <c r="FO34" s="21">
        <f>IF(FO$1&lt;INDEX('Valo FX'!$Q:$Q,MATCH($A34,'Valo FX'!$A:$A,0)),0,IF(FO$1&lt;INDEX('Valo FX'!$R:$R,MATCH($A34,'Valo FX'!$A:$A,0)),INDEX(Base!$U:$U,MATCH($A34,Base!$A:$A,0)),IF(FO$1=INDEX('Valo FX'!$R:$R,MATCH($A34,'Valo FX'!$A:$A,0)),INDEX(Base!$V:$V,MATCH($A34,Base!$A:$A,0)),0)))</f>
        <v>12.42789</v>
      </c>
      <c r="FP34" s="21">
        <f>IF(FP$1&lt;INDEX('Valo FX'!$Q:$Q,MATCH($A34,'Valo FX'!$A:$A,0)),0,IF(FP$1&lt;INDEX('Valo FX'!$R:$R,MATCH($A34,'Valo FX'!$A:$A,0)),INDEX(Base!$U:$U,MATCH($A34,Base!$A:$A,0)),IF(FP$1=INDEX('Valo FX'!$R:$R,MATCH($A34,'Valo FX'!$A:$A,0)),INDEX(Base!$V:$V,MATCH($A34,Base!$A:$A,0)),0)))</f>
        <v>12.42789</v>
      </c>
      <c r="FQ34" s="21">
        <f>IF(FQ$1&lt;INDEX('Valo FX'!$Q:$Q,MATCH($A34,'Valo FX'!$A:$A,0)),0,IF(FQ$1&lt;INDEX('Valo FX'!$R:$R,MATCH($A34,'Valo FX'!$A:$A,0)),INDEX(Base!$U:$U,MATCH($A34,Base!$A:$A,0)),IF(FQ$1=INDEX('Valo FX'!$R:$R,MATCH($A34,'Valo FX'!$A:$A,0)),INDEX(Base!$V:$V,MATCH($A34,Base!$A:$A,0)),0)))</f>
        <v>12.42789</v>
      </c>
      <c r="FR34" s="21">
        <f>IF(FR$1&lt;INDEX('Valo FX'!$Q:$Q,MATCH($A34,'Valo FX'!$A:$A,0)),0,IF(FR$1&lt;INDEX('Valo FX'!$R:$R,MATCH($A34,'Valo FX'!$A:$A,0)),INDEX(Base!$U:$U,MATCH($A34,Base!$A:$A,0)),IF(FR$1=INDEX('Valo FX'!$R:$R,MATCH($A34,'Valo FX'!$A:$A,0)),INDEX(Base!$V:$V,MATCH($A34,Base!$A:$A,0)),0)))</f>
        <v>12.42789</v>
      </c>
      <c r="FS34" s="21">
        <f>IF(FS$1&lt;INDEX('Valo FX'!$Q:$Q,MATCH($A34,'Valo FX'!$A:$A,0)),0,IF(FS$1&lt;INDEX('Valo FX'!$R:$R,MATCH($A34,'Valo FX'!$A:$A,0)),INDEX(Base!$U:$U,MATCH($A34,Base!$A:$A,0)),IF(FS$1=INDEX('Valo FX'!$R:$R,MATCH($A34,'Valo FX'!$A:$A,0)),INDEX(Base!$V:$V,MATCH($A34,Base!$A:$A,0)),0)))</f>
        <v>12.42789</v>
      </c>
      <c r="FT34" s="21">
        <f>IF(FT$1&lt;INDEX('Valo FX'!$Q:$Q,MATCH($A34,'Valo FX'!$A:$A,0)),0,IF(FT$1&lt;INDEX('Valo FX'!$R:$R,MATCH($A34,'Valo FX'!$A:$A,0)),INDEX(Base!$U:$U,MATCH($A34,Base!$A:$A,0)),IF(FT$1=INDEX('Valo FX'!$R:$R,MATCH($A34,'Valo FX'!$A:$A,0)),INDEX(Base!$V:$V,MATCH($A34,Base!$A:$A,0)),0)))</f>
        <v>12.42789</v>
      </c>
      <c r="FU34" s="21">
        <f>IF(FU$1&lt;INDEX('Valo FX'!$Q:$Q,MATCH($A34,'Valo FX'!$A:$A,0)),0,IF(FU$1&lt;INDEX('Valo FX'!$R:$R,MATCH($A34,'Valo FX'!$A:$A,0)),INDEX(Base!$U:$U,MATCH($A34,Base!$A:$A,0)),IF(FU$1=INDEX('Valo FX'!$R:$R,MATCH($A34,'Valo FX'!$A:$A,0)),INDEX(Base!$V:$V,MATCH($A34,Base!$A:$A,0)),0)))</f>
        <v>12.42789</v>
      </c>
      <c r="FV34" s="21">
        <f>IF(FV$1&lt;INDEX('Valo FX'!$Q:$Q,MATCH($A34,'Valo FX'!$A:$A,0)),0,IF(FV$1&lt;INDEX('Valo FX'!$R:$R,MATCH($A34,'Valo FX'!$A:$A,0)),INDEX(Base!$U:$U,MATCH($A34,Base!$A:$A,0)),IF(FV$1=INDEX('Valo FX'!$R:$R,MATCH($A34,'Valo FX'!$A:$A,0)),INDEX(Base!$V:$V,MATCH($A34,Base!$A:$A,0)),0)))</f>
        <v>12.42789</v>
      </c>
      <c r="FW34" s="21">
        <f>IF(FW$1&lt;INDEX('Valo FX'!$Q:$Q,MATCH($A34,'Valo FX'!$A:$A,0)),0,IF(FW$1&lt;INDEX('Valo FX'!$R:$R,MATCH($A34,'Valo FX'!$A:$A,0)),INDEX(Base!$U:$U,MATCH($A34,Base!$A:$A,0)),IF(FW$1=INDEX('Valo FX'!$R:$R,MATCH($A34,'Valo FX'!$A:$A,0)),INDEX(Base!$V:$V,MATCH($A34,Base!$A:$A,0)),0)))</f>
        <v>12.42789</v>
      </c>
      <c r="FX34" s="21">
        <f>IF(FX$1&lt;INDEX('Valo FX'!$Q:$Q,MATCH($A34,'Valo FX'!$A:$A,0)),0,IF(FX$1&lt;INDEX('Valo FX'!$R:$R,MATCH($A34,'Valo FX'!$A:$A,0)),INDEX(Base!$U:$U,MATCH($A34,Base!$A:$A,0)),IF(FX$1=INDEX('Valo FX'!$R:$R,MATCH($A34,'Valo FX'!$A:$A,0)),INDEX(Base!$V:$V,MATCH($A34,Base!$A:$A,0)),0)))</f>
        <v>12.42789</v>
      </c>
      <c r="FY34" s="21">
        <f>IF(FY$1&lt;INDEX('Valo FX'!$Q:$Q,MATCH($A34,'Valo FX'!$A:$A,0)),0,IF(FY$1&lt;INDEX('Valo FX'!$R:$R,MATCH($A34,'Valo FX'!$A:$A,0)),INDEX(Base!$U:$U,MATCH($A34,Base!$A:$A,0)),IF(FY$1=INDEX('Valo FX'!$R:$R,MATCH($A34,'Valo FX'!$A:$A,0)),INDEX(Base!$V:$V,MATCH($A34,Base!$A:$A,0)),0)))</f>
        <v>12.42789</v>
      </c>
      <c r="FZ34" s="21">
        <f>IF(FZ$1&lt;INDEX('Valo FX'!$Q:$Q,MATCH($A34,'Valo FX'!$A:$A,0)),0,IF(FZ$1&lt;INDEX('Valo FX'!$R:$R,MATCH($A34,'Valo FX'!$A:$A,0)),INDEX(Base!$U:$U,MATCH($A34,Base!$A:$A,0)),IF(FZ$1=INDEX('Valo FX'!$R:$R,MATCH($A34,'Valo FX'!$A:$A,0)),INDEX(Base!$V:$V,MATCH($A34,Base!$A:$A,0)),0)))</f>
        <v>12.42789</v>
      </c>
      <c r="GA34" s="21">
        <f>IF(GA$1&lt;INDEX('Valo FX'!$Q:$Q,MATCH($A34,'Valo FX'!$A:$A,0)),0,IF(GA$1&lt;INDEX('Valo FX'!$R:$R,MATCH($A34,'Valo FX'!$A:$A,0)),INDEX(Base!$U:$U,MATCH($A34,Base!$A:$A,0)),IF(GA$1=INDEX('Valo FX'!$R:$R,MATCH($A34,'Valo FX'!$A:$A,0)),INDEX(Base!$V:$V,MATCH($A34,Base!$A:$A,0)),0)))</f>
        <v>12.42789</v>
      </c>
      <c r="GB34" s="21">
        <f>IF(GB$1&lt;INDEX('Valo FX'!$Q:$Q,MATCH($A34,'Valo FX'!$A:$A,0)),0,IF(GB$1&lt;INDEX('Valo FX'!$R:$R,MATCH($A34,'Valo FX'!$A:$A,0)),INDEX(Base!$U:$U,MATCH($A34,Base!$A:$A,0)),IF(GB$1=INDEX('Valo FX'!$R:$R,MATCH($A34,'Valo FX'!$A:$A,0)),INDEX(Base!$V:$V,MATCH($A34,Base!$A:$A,0)),0)))</f>
        <v>12.42789</v>
      </c>
      <c r="GC34" s="21">
        <f>IF(GC$1&lt;INDEX('Valo FX'!$Q:$Q,MATCH($A34,'Valo FX'!$A:$A,0)),0,IF(GC$1&lt;INDEX('Valo FX'!$R:$R,MATCH($A34,'Valo FX'!$A:$A,0)),INDEX(Base!$U:$U,MATCH($A34,Base!$A:$A,0)),IF(GC$1=INDEX('Valo FX'!$R:$R,MATCH($A34,'Valo FX'!$A:$A,0)),INDEX(Base!$V:$V,MATCH($A34,Base!$A:$A,0)),0)))</f>
        <v>12.42789</v>
      </c>
      <c r="GD34" s="21">
        <f>IF(GD$1&lt;INDEX('Valo FX'!$Q:$Q,MATCH($A34,'Valo FX'!$A:$A,0)),0,IF(GD$1&lt;INDEX('Valo FX'!$R:$R,MATCH($A34,'Valo FX'!$A:$A,0)),INDEX(Base!$U:$U,MATCH($A34,Base!$A:$A,0)),IF(GD$1=INDEX('Valo FX'!$R:$R,MATCH($A34,'Valo FX'!$A:$A,0)),INDEX(Base!$V:$V,MATCH($A34,Base!$A:$A,0)),0)))</f>
        <v>12.42789</v>
      </c>
      <c r="GE34" s="21">
        <f>IF(GE$1&lt;INDEX('Valo FX'!$Q:$Q,MATCH($A34,'Valo FX'!$A:$A,0)),0,IF(GE$1&lt;INDEX('Valo FX'!$R:$R,MATCH($A34,'Valo FX'!$A:$A,0)),INDEX(Base!$U:$U,MATCH($A34,Base!$A:$A,0)),IF(GE$1=INDEX('Valo FX'!$R:$R,MATCH($A34,'Valo FX'!$A:$A,0)),INDEX(Base!$V:$V,MATCH($A34,Base!$A:$A,0)),0)))</f>
        <v>12.42789</v>
      </c>
      <c r="GF34" s="21">
        <f>IF(GF$1&lt;INDEX('Valo FX'!$Q:$Q,MATCH($A34,'Valo FX'!$A:$A,0)),0,IF(GF$1&lt;INDEX('Valo FX'!$R:$R,MATCH($A34,'Valo FX'!$A:$A,0)),INDEX(Base!$U:$U,MATCH($A34,Base!$A:$A,0)),IF(GF$1=INDEX('Valo FX'!$R:$R,MATCH($A34,'Valo FX'!$A:$A,0)),INDEX(Base!$V:$V,MATCH($A34,Base!$A:$A,0)),0)))</f>
        <v>12.42789</v>
      </c>
      <c r="GG34" s="21">
        <f>IF(GG$1&lt;INDEX('Valo FX'!$Q:$Q,MATCH($A34,'Valo FX'!$A:$A,0)),0,IF(GG$1&lt;INDEX('Valo FX'!$R:$R,MATCH($A34,'Valo FX'!$A:$A,0)),INDEX(Base!$U:$U,MATCH($A34,Base!$A:$A,0)),IF(GG$1=INDEX('Valo FX'!$R:$R,MATCH($A34,'Valo FX'!$A:$A,0)),INDEX(Base!$V:$V,MATCH($A34,Base!$A:$A,0)),0)))</f>
        <v>12.42789</v>
      </c>
      <c r="GH34" s="21">
        <f>IF(GH$1&lt;INDEX('Valo FX'!$Q:$Q,MATCH($A34,'Valo FX'!$A:$A,0)),0,IF(GH$1&lt;INDEX('Valo FX'!$R:$R,MATCH($A34,'Valo FX'!$A:$A,0)),INDEX(Base!$U:$U,MATCH($A34,Base!$A:$A,0)),IF(GH$1=INDEX('Valo FX'!$R:$R,MATCH($A34,'Valo FX'!$A:$A,0)),INDEX(Base!$V:$V,MATCH($A34,Base!$A:$A,0)),0)))</f>
        <v>12.42789</v>
      </c>
      <c r="GI34" s="21">
        <f>IF(GI$1&lt;INDEX('Valo FX'!$Q:$Q,MATCH($A34,'Valo FX'!$A:$A,0)),0,IF(GI$1&lt;INDEX('Valo FX'!$R:$R,MATCH($A34,'Valo FX'!$A:$A,0)),INDEX(Base!$U:$U,MATCH($A34,Base!$A:$A,0)),IF(GI$1=INDEX('Valo FX'!$R:$R,MATCH($A34,'Valo FX'!$A:$A,0)),INDEX(Base!$V:$V,MATCH($A34,Base!$A:$A,0)),0)))</f>
        <v>12.42789</v>
      </c>
      <c r="GJ34" s="21">
        <f>IF(GJ$1&lt;INDEX('Valo FX'!$Q:$Q,MATCH($A34,'Valo FX'!$A:$A,0)),0,IF(GJ$1&lt;INDEX('Valo FX'!$R:$R,MATCH($A34,'Valo FX'!$A:$A,0)),INDEX(Base!$U:$U,MATCH($A34,Base!$A:$A,0)),IF(GJ$1=INDEX('Valo FX'!$R:$R,MATCH($A34,'Valo FX'!$A:$A,0)),INDEX(Base!$V:$V,MATCH($A34,Base!$A:$A,0)),0)))</f>
        <v>12.42789</v>
      </c>
      <c r="GK34" s="21">
        <f>IF(GK$1&lt;INDEX('Valo FX'!$Q:$Q,MATCH($A34,'Valo FX'!$A:$A,0)),0,IF(GK$1&lt;INDEX('Valo FX'!$R:$R,MATCH($A34,'Valo FX'!$A:$A,0)),INDEX(Base!$U:$U,MATCH($A34,Base!$A:$A,0)),IF(GK$1=INDEX('Valo FX'!$R:$R,MATCH($A34,'Valo FX'!$A:$A,0)),INDEX(Base!$V:$V,MATCH($A34,Base!$A:$A,0)),0)))</f>
        <v>12.42789</v>
      </c>
      <c r="GL34" s="21">
        <f>IF(GL$1&lt;INDEX('Valo FX'!$Q:$Q,MATCH($A34,'Valo FX'!$A:$A,0)),0,IF(GL$1&lt;INDEX('Valo FX'!$R:$R,MATCH($A34,'Valo FX'!$A:$A,0)),INDEX(Base!$U:$U,MATCH($A34,Base!$A:$A,0)),IF(GL$1=INDEX('Valo FX'!$R:$R,MATCH($A34,'Valo FX'!$A:$A,0)),INDEX(Base!$V:$V,MATCH($A34,Base!$A:$A,0)),0)))</f>
        <v>12.42789</v>
      </c>
      <c r="GM34" s="21">
        <f>IF(GM$1&lt;INDEX('Valo FX'!$Q:$Q,MATCH($A34,'Valo FX'!$A:$A,0)),0,IF(GM$1&lt;INDEX('Valo FX'!$R:$R,MATCH($A34,'Valo FX'!$A:$A,0)),INDEX(Base!$U:$U,MATCH($A34,Base!$A:$A,0)),IF(GM$1=INDEX('Valo FX'!$R:$R,MATCH($A34,'Valo FX'!$A:$A,0)),INDEX(Base!$V:$V,MATCH($A34,Base!$A:$A,0)),0)))</f>
        <v>12.42789</v>
      </c>
      <c r="GN34" s="21">
        <f>IF(GN$1&lt;INDEX('Valo FX'!$Q:$Q,MATCH($A34,'Valo FX'!$A:$A,0)),0,IF(GN$1&lt;INDEX('Valo FX'!$R:$R,MATCH($A34,'Valo FX'!$A:$A,0)),INDEX(Base!$U:$U,MATCH($A34,Base!$A:$A,0)),IF(GN$1=INDEX('Valo FX'!$R:$R,MATCH($A34,'Valo FX'!$A:$A,0)),INDEX(Base!$V:$V,MATCH($A34,Base!$A:$A,0)),0)))</f>
        <v>12.42789</v>
      </c>
      <c r="GO34" s="21">
        <f>IF(GO$1&lt;INDEX('Valo FX'!$Q:$Q,MATCH($A34,'Valo FX'!$A:$A,0)),0,IF(GO$1&lt;INDEX('Valo FX'!$R:$R,MATCH($A34,'Valo FX'!$A:$A,0)),INDEX(Base!$U:$U,MATCH($A34,Base!$A:$A,0)),IF(GO$1=INDEX('Valo FX'!$R:$R,MATCH($A34,'Valo FX'!$A:$A,0)),INDEX(Base!$V:$V,MATCH($A34,Base!$A:$A,0)),0)))</f>
        <v>12.42789</v>
      </c>
      <c r="GP34" s="21">
        <f>IF(GP$1&lt;INDEX('Valo FX'!$Q:$Q,MATCH($A34,'Valo FX'!$A:$A,0)),0,IF(GP$1&lt;INDEX('Valo FX'!$R:$R,MATCH($A34,'Valo FX'!$A:$A,0)),INDEX(Base!$U:$U,MATCH($A34,Base!$A:$A,0)),IF(GP$1=INDEX('Valo FX'!$R:$R,MATCH($A34,'Valo FX'!$A:$A,0)),INDEX(Base!$V:$V,MATCH($A34,Base!$A:$A,0)),0)))</f>
        <v>12.42789</v>
      </c>
      <c r="GQ34" s="21">
        <f>IF(GQ$1&lt;INDEX('Valo FX'!$Q:$Q,MATCH($A34,'Valo FX'!$A:$A,0)),0,IF(GQ$1&lt;INDEX('Valo FX'!$R:$R,MATCH($A34,'Valo FX'!$A:$A,0)),INDEX(Base!$U:$U,MATCH($A34,Base!$A:$A,0)),IF(GQ$1=INDEX('Valo FX'!$R:$R,MATCH($A34,'Valo FX'!$A:$A,0)),INDEX(Base!$V:$V,MATCH($A34,Base!$A:$A,0)),0)))</f>
        <v>12.42789</v>
      </c>
      <c r="GR34" s="21">
        <f>IF(GR$1&lt;INDEX('Valo FX'!$Q:$Q,MATCH($A34,'Valo FX'!$A:$A,0)),0,IF(GR$1&lt;INDEX('Valo FX'!$R:$R,MATCH($A34,'Valo FX'!$A:$A,0)),INDEX(Base!$U:$U,MATCH($A34,Base!$A:$A,0)),IF(GR$1=INDEX('Valo FX'!$R:$R,MATCH($A34,'Valo FX'!$A:$A,0)),INDEX(Base!$V:$V,MATCH($A34,Base!$A:$A,0)),0)))</f>
        <v>12.42789</v>
      </c>
      <c r="GS34" s="21">
        <f>IF(GS$1&lt;INDEX('Valo FX'!$Q:$Q,MATCH($A34,'Valo FX'!$A:$A,0)),0,IF(GS$1&lt;INDEX('Valo FX'!$R:$R,MATCH($A34,'Valo FX'!$A:$A,0)),INDEX(Base!$U:$U,MATCH($A34,Base!$A:$A,0)),IF(GS$1=INDEX('Valo FX'!$R:$R,MATCH($A34,'Valo FX'!$A:$A,0)),INDEX(Base!$V:$V,MATCH($A34,Base!$A:$A,0)),0)))</f>
        <v>12.42789</v>
      </c>
      <c r="GT34" s="21">
        <f>IF(GT$1&lt;INDEX('Valo FX'!$Q:$Q,MATCH($A34,'Valo FX'!$A:$A,0)),0,IF(GT$1&lt;INDEX('Valo FX'!$R:$R,MATCH($A34,'Valo FX'!$A:$A,0)),INDEX(Base!$U:$U,MATCH($A34,Base!$A:$A,0)),IF(GT$1=INDEX('Valo FX'!$R:$R,MATCH($A34,'Valo FX'!$A:$A,0)),INDEX(Base!$V:$V,MATCH($A34,Base!$A:$A,0)),0)))</f>
        <v>12.42789</v>
      </c>
      <c r="GU34" s="21">
        <f>IF(GU$1&lt;INDEX('Valo FX'!$Q:$Q,MATCH($A34,'Valo FX'!$A:$A,0)),0,IF(GU$1&lt;INDEX('Valo FX'!$R:$R,MATCH($A34,'Valo FX'!$A:$A,0)),INDEX(Base!$U:$U,MATCH($A34,Base!$A:$A,0)),IF(GU$1=INDEX('Valo FX'!$R:$R,MATCH($A34,'Valo FX'!$A:$A,0)),INDEX(Base!$V:$V,MATCH($A34,Base!$A:$A,0)),0)))</f>
        <v>12.42789</v>
      </c>
      <c r="GV34" s="21">
        <f>IF(GV$1&lt;INDEX('Valo FX'!$Q:$Q,MATCH($A34,'Valo FX'!$A:$A,0)),0,IF(GV$1&lt;INDEX('Valo FX'!$R:$R,MATCH($A34,'Valo FX'!$A:$A,0)),INDEX(Base!$U:$U,MATCH($A34,Base!$A:$A,0)),IF(GV$1=INDEX('Valo FX'!$R:$R,MATCH($A34,'Valo FX'!$A:$A,0)),INDEX(Base!$V:$V,MATCH($A34,Base!$A:$A,0)),0)))</f>
        <v>12.42789</v>
      </c>
      <c r="GW34" s="21">
        <f>IF(GW$1&lt;INDEX('Valo FX'!$Q:$Q,MATCH($A34,'Valo FX'!$A:$A,0)),0,IF(GW$1&lt;INDEX('Valo FX'!$R:$R,MATCH($A34,'Valo FX'!$A:$A,0)),INDEX(Base!$U:$U,MATCH($A34,Base!$A:$A,0)),IF(GW$1=INDEX('Valo FX'!$R:$R,MATCH($A34,'Valo FX'!$A:$A,0)),INDEX(Base!$V:$V,MATCH($A34,Base!$A:$A,0)),0)))</f>
        <v>12.42789</v>
      </c>
      <c r="GX34" s="21">
        <f>IF(GX$1&lt;INDEX('Valo FX'!$Q:$Q,MATCH($A34,'Valo FX'!$A:$A,0)),0,IF(GX$1&lt;INDEX('Valo FX'!$R:$R,MATCH($A34,'Valo FX'!$A:$A,0)),INDEX(Base!$U:$U,MATCH($A34,Base!$A:$A,0)),IF(GX$1=INDEX('Valo FX'!$R:$R,MATCH($A34,'Valo FX'!$A:$A,0)),INDEX(Base!$V:$V,MATCH($A34,Base!$A:$A,0)),0)))</f>
        <v>12.42789</v>
      </c>
      <c r="GY34" s="21">
        <f>IF(GY$1&lt;INDEX('Valo FX'!$Q:$Q,MATCH($A34,'Valo FX'!$A:$A,0)),0,IF(GY$1&lt;INDEX('Valo FX'!$R:$R,MATCH($A34,'Valo FX'!$A:$A,0)),INDEX(Base!$U:$U,MATCH($A34,Base!$A:$A,0)),IF(GY$1=INDEX('Valo FX'!$R:$R,MATCH($A34,'Valo FX'!$A:$A,0)),INDEX(Base!$V:$V,MATCH($A34,Base!$A:$A,0)),0)))</f>
        <v>12.42789</v>
      </c>
      <c r="GZ34" s="21">
        <f>IF(GZ$1&lt;INDEX('Valo FX'!$Q:$Q,MATCH($A34,'Valo FX'!$A:$A,0)),0,IF(GZ$1&lt;INDEX('Valo FX'!$R:$R,MATCH($A34,'Valo FX'!$A:$A,0)),INDEX(Base!$U:$U,MATCH($A34,Base!$A:$A,0)),IF(GZ$1=INDEX('Valo FX'!$R:$R,MATCH($A34,'Valo FX'!$A:$A,0)),INDEX(Base!$V:$V,MATCH($A34,Base!$A:$A,0)),0)))</f>
        <v>12.42789</v>
      </c>
      <c r="HA34" s="21">
        <f>IF(HA$1&lt;INDEX('Valo FX'!$Q:$Q,MATCH($A34,'Valo FX'!$A:$A,0)),0,IF(HA$1&lt;INDEX('Valo FX'!$R:$R,MATCH($A34,'Valo FX'!$A:$A,0)),INDEX(Base!$U:$U,MATCH($A34,Base!$A:$A,0)),IF(HA$1=INDEX('Valo FX'!$R:$R,MATCH($A34,'Valo FX'!$A:$A,0)),INDEX(Base!$V:$V,MATCH($A34,Base!$A:$A,0)),0)))</f>
        <v>12.42789</v>
      </c>
      <c r="HB34" s="21">
        <f>IF(HB$1&lt;INDEX('Valo FX'!$Q:$Q,MATCH($A34,'Valo FX'!$A:$A,0)),0,IF(HB$1&lt;INDEX('Valo FX'!$R:$R,MATCH($A34,'Valo FX'!$A:$A,0)),INDEX(Base!$U:$U,MATCH($A34,Base!$A:$A,0)),IF(HB$1=INDEX('Valo FX'!$R:$R,MATCH($A34,'Valo FX'!$A:$A,0)),INDEX(Base!$V:$V,MATCH($A34,Base!$A:$A,0)),0)))</f>
        <v>12.42789</v>
      </c>
      <c r="HC34" s="21">
        <f>IF(HC$1&lt;INDEX('Valo FX'!$Q:$Q,MATCH($A34,'Valo FX'!$A:$A,0)),0,IF(HC$1&lt;INDEX('Valo FX'!$R:$R,MATCH($A34,'Valo FX'!$A:$A,0)),INDEX(Base!$U:$U,MATCH($A34,Base!$A:$A,0)),IF(HC$1=INDEX('Valo FX'!$R:$R,MATCH($A34,'Valo FX'!$A:$A,0)),INDEX(Base!$V:$V,MATCH($A34,Base!$A:$A,0)),0)))</f>
        <v>12.42789</v>
      </c>
      <c r="HD34" s="21">
        <f>IF(HD$1&lt;INDEX('Valo FX'!$Q:$Q,MATCH($A34,'Valo FX'!$A:$A,0)),0,IF(HD$1&lt;INDEX('Valo FX'!$R:$R,MATCH($A34,'Valo FX'!$A:$A,0)),INDEX(Base!$U:$U,MATCH($A34,Base!$A:$A,0)),IF(HD$1=INDEX('Valo FX'!$R:$R,MATCH($A34,'Valo FX'!$A:$A,0)),INDEX(Base!$V:$V,MATCH($A34,Base!$A:$A,0)),0)))</f>
        <v>12.42789</v>
      </c>
      <c r="HE34" s="21">
        <f>IF(HE$1&lt;INDEX('Valo FX'!$Q:$Q,MATCH($A34,'Valo FX'!$A:$A,0)),0,IF(HE$1&lt;INDEX('Valo FX'!$R:$R,MATCH($A34,'Valo FX'!$A:$A,0)),INDEX(Base!$U:$U,MATCH($A34,Base!$A:$A,0)),IF(HE$1=INDEX('Valo FX'!$R:$R,MATCH($A34,'Valo FX'!$A:$A,0)),INDEX(Base!$V:$V,MATCH($A34,Base!$A:$A,0)),0)))</f>
        <v>12.42789</v>
      </c>
      <c r="HF34" s="21">
        <f>IF(HF$1&lt;INDEX('Valo FX'!$Q:$Q,MATCH($A34,'Valo FX'!$A:$A,0)),0,IF(HF$1&lt;INDEX('Valo FX'!$R:$R,MATCH($A34,'Valo FX'!$A:$A,0)),INDEX(Base!$U:$U,MATCH($A34,Base!$A:$A,0)),IF(HF$1=INDEX('Valo FX'!$R:$R,MATCH($A34,'Valo FX'!$A:$A,0)),INDEX(Base!$V:$V,MATCH($A34,Base!$A:$A,0)),0)))</f>
        <v>12.42789</v>
      </c>
      <c r="HG34" s="21">
        <f>IF(HG$1&lt;INDEX('Valo FX'!$Q:$Q,MATCH($A34,'Valo FX'!$A:$A,0)),0,IF(HG$1&lt;INDEX('Valo FX'!$R:$R,MATCH($A34,'Valo FX'!$A:$A,0)),INDEX(Base!$U:$U,MATCH($A34,Base!$A:$A,0)),IF(HG$1=INDEX('Valo FX'!$R:$R,MATCH($A34,'Valo FX'!$A:$A,0)),INDEX(Base!$V:$V,MATCH($A34,Base!$A:$A,0)),0)))</f>
        <v>12.42789</v>
      </c>
      <c r="HH34" s="21">
        <f>IF(HH$1&lt;INDEX('Valo FX'!$Q:$Q,MATCH($A34,'Valo FX'!$A:$A,0)),0,IF(HH$1&lt;INDEX('Valo FX'!$R:$R,MATCH($A34,'Valo FX'!$A:$A,0)),INDEX(Base!$U:$U,MATCH($A34,Base!$A:$A,0)),IF(HH$1=INDEX('Valo FX'!$R:$R,MATCH($A34,'Valo FX'!$A:$A,0)),INDEX(Base!$V:$V,MATCH($A34,Base!$A:$A,0)),0)))</f>
        <v>12.42789</v>
      </c>
      <c r="HI34" s="21">
        <f>IF(HI$1&lt;INDEX('Valo FX'!$Q:$Q,MATCH($A34,'Valo FX'!$A:$A,0)),0,IF(HI$1&lt;INDEX('Valo FX'!$R:$R,MATCH($A34,'Valo FX'!$A:$A,0)),INDEX(Base!$U:$U,MATCH($A34,Base!$A:$A,0)),IF(HI$1=INDEX('Valo FX'!$R:$R,MATCH($A34,'Valo FX'!$A:$A,0)),INDEX(Base!$V:$V,MATCH($A34,Base!$A:$A,0)),0)))</f>
        <v>12.42789</v>
      </c>
      <c r="HJ34" s="21">
        <f>IF(HJ$1&lt;INDEX('Valo FX'!$Q:$Q,MATCH($A34,'Valo FX'!$A:$A,0)),0,IF(HJ$1&lt;INDEX('Valo FX'!$R:$R,MATCH($A34,'Valo FX'!$A:$A,0)),INDEX(Base!$U:$U,MATCH($A34,Base!$A:$A,0)),IF(HJ$1=INDEX('Valo FX'!$R:$R,MATCH($A34,'Valo FX'!$A:$A,0)),INDEX(Base!$V:$V,MATCH($A34,Base!$A:$A,0)),0)))</f>
        <v>12.42789</v>
      </c>
      <c r="HK34" s="21">
        <f>IF(HK$1&lt;INDEX('Valo FX'!$Q:$Q,MATCH($A34,'Valo FX'!$A:$A,0)),0,IF(HK$1&lt;INDEX('Valo FX'!$R:$R,MATCH($A34,'Valo FX'!$A:$A,0)),INDEX(Base!$U:$U,MATCH($A34,Base!$A:$A,0)),IF(HK$1=INDEX('Valo FX'!$R:$R,MATCH($A34,'Valo FX'!$A:$A,0)),INDEX(Base!$V:$V,MATCH($A34,Base!$A:$A,0)),0)))</f>
        <v>12.42789</v>
      </c>
      <c r="HL34" s="21">
        <f>IF(HL$1&lt;INDEX('Valo FX'!$Q:$Q,MATCH($A34,'Valo FX'!$A:$A,0)),0,IF(HL$1&lt;INDEX('Valo FX'!$R:$R,MATCH($A34,'Valo FX'!$A:$A,0)),INDEX(Base!$U:$U,MATCH($A34,Base!$A:$A,0)),IF(HL$1=INDEX('Valo FX'!$R:$R,MATCH($A34,'Valo FX'!$A:$A,0)),INDEX(Base!$V:$V,MATCH($A34,Base!$A:$A,0)),0)))</f>
        <v>12.42789</v>
      </c>
      <c r="HM34" s="21">
        <f>IF(HM$1&lt;INDEX('Valo FX'!$Q:$Q,MATCH($A34,'Valo FX'!$A:$A,0)),0,IF(HM$1&lt;INDEX('Valo FX'!$R:$R,MATCH($A34,'Valo FX'!$A:$A,0)),INDEX(Base!$U:$U,MATCH($A34,Base!$A:$A,0)),IF(HM$1=INDEX('Valo FX'!$R:$R,MATCH($A34,'Valo FX'!$A:$A,0)),INDEX(Base!$V:$V,MATCH($A34,Base!$A:$A,0)),0)))</f>
        <v>12.42789</v>
      </c>
      <c r="HN34" s="21">
        <f>IF(HN$1&lt;INDEX('Valo FX'!$Q:$Q,MATCH($A34,'Valo FX'!$A:$A,0)),0,IF(HN$1&lt;INDEX('Valo FX'!$R:$R,MATCH($A34,'Valo FX'!$A:$A,0)),INDEX(Base!$U:$U,MATCH($A34,Base!$A:$A,0)),IF(HN$1=INDEX('Valo FX'!$R:$R,MATCH($A34,'Valo FX'!$A:$A,0)),INDEX(Base!$V:$V,MATCH($A34,Base!$A:$A,0)),0)))</f>
        <v>12.42789</v>
      </c>
      <c r="HO34" s="21">
        <f>IF(HO$1&lt;INDEX('Valo FX'!$Q:$Q,MATCH($A34,'Valo FX'!$A:$A,0)),0,IF(HO$1&lt;INDEX('Valo FX'!$R:$R,MATCH($A34,'Valo FX'!$A:$A,0)),INDEX(Base!$U:$U,MATCH($A34,Base!$A:$A,0)),IF(HO$1=INDEX('Valo FX'!$R:$R,MATCH($A34,'Valo FX'!$A:$A,0)),INDEX(Base!$V:$V,MATCH($A34,Base!$A:$A,0)),0)))</f>
        <v>12.42789</v>
      </c>
      <c r="HP34" s="21">
        <f>IF(HP$1&lt;INDEX('Valo FX'!$Q:$Q,MATCH($A34,'Valo FX'!$A:$A,0)),0,IF(HP$1&lt;INDEX('Valo FX'!$R:$R,MATCH($A34,'Valo FX'!$A:$A,0)),INDEX(Base!$U:$U,MATCH($A34,Base!$A:$A,0)),IF(HP$1=INDEX('Valo FX'!$R:$R,MATCH($A34,'Valo FX'!$A:$A,0)),INDEX(Base!$V:$V,MATCH($A34,Base!$A:$A,0)),0)))</f>
        <v>12.42789</v>
      </c>
      <c r="HQ34" s="21">
        <f>IF(HQ$1&lt;INDEX('Valo FX'!$Q:$Q,MATCH($A34,'Valo FX'!$A:$A,0)),0,IF(HQ$1&lt;INDEX('Valo FX'!$R:$R,MATCH($A34,'Valo FX'!$A:$A,0)),INDEX(Base!$U:$U,MATCH($A34,Base!$A:$A,0)),IF(HQ$1=INDEX('Valo FX'!$R:$R,MATCH($A34,'Valo FX'!$A:$A,0)),INDEX(Base!$V:$V,MATCH($A34,Base!$A:$A,0)),0)))</f>
        <v>12.42789</v>
      </c>
      <c r="HR34" s="21">
        <f>IF(HR$1&lt;INDEX('Valo FX'!$Q:$Q,MATCH($A34,'Valo FX'!$A:$A,0)),0,IF(HR$1&lt;INDEX('Valo FX'!$R:$R,MATCH($A34,'Valo FX'!$A:$A,0)),INDEX(Base!$U:$U,MATCH($A34,Base!$A:$A,0)),IF(HR$1=INDEX('Valo FX'!$R:$R,MATCH($A34,'Valo FX'!$A:$A,0)),INDEX(Base!$V:$V,MATCH($A34,Base!$A:$A,0)),0)))</f>
        <v>12.42789</v>
      </c>
      <c r="HS34" s="21">
        <f>IF(HS$1&lt;INDEX('Valo FX'!$Q:$Q,MATCH($A34,'Valo FX'!$A:$A,0)),0,IF(HS$1&lt;INDEX('Valo FX'!$R:$R,MATCH($A34,'Valo FX'!$A:$A,0)),INDEX(Base!$U:$U,MATCH($A34,Base!$A:$A,0)),IF(HS$1=INDEX('Valo FX'!$R:$R,MATCH($A34,'Valo FX'!$A:$A,0)),INDEX(Base!$V:$V,MATCH($A34,Base!$A:$A,0)),0)))</f>
        <v>12.42789</v>
      </c>
      <c r="HT34" s="21">
        <f>IF(HT$1&lt;INDEX('Valo FX'!$Q:$Q,MATCH($A34,'Valo FX'!$A:$A,0)),0,IF(HT$1&lt;INDEX('Valo FX'!$R:$R,MATCH($A34,'Valo FX'!$A:$A,0)),INDEX(Base!$U:$U,MATCH($A34,Base!$A:$A,0)),IF(HT$1=INDEX('Valo FX'!$R:$R,MATCH($A34,'Valo FX'!$A:$A,0)),INDEX(Base!$V:$V,MATCH($A34,Base!$A:$A,0)),0)))</f>
        <v>12.42789</v>
      </c>
      <c r="HU34" s="21">
        <f>IF(HU$1&lt;INDEX('Valo FX'!$Q:$Q,MATCH($A34,'Valo FX'!$A:$A,0)),0,IF(HU$1&lt;INDEX('Valo FX'!$R:$R,MATCH($A34,'Valo FX'!$A:$A,0)),INDEX(Base!$U:$U,MATCH($A34,Base!$A:$A,0)),IF(HU$1=INDEX('Valo FX'!$R:$R,MATCH($A34,'Valo FX'!$A:$A,0)),INDEX(Base!$V:$V,MATCH($A34,Base!$A:$A,0)),0)))</f>
        <v>12.42789</v>
      </c>
      <c r="HV34" s="21">
        <f>IF(HV$1&lt;INDEX('Valo FX'!$Q:$Q,MATCH($A34,'Valo FX'!$A:$A,0)),0,IF(HV$1&lt;INDEX('Valo FX'!$R:$R,MATCH($A34,'Valo FX'!$A:$A,0)),INDEX(Base!$U:$U,MATCH($A34,Base!$A:$A,0)),IF(HV$1=INDEX('Valo FX'!$R:$R,MATCH($A34,'Valo FX'!$A:$A,0)),INDEX(Base!$V:$V,MATCH($A34,Base!$A:$A,0)),0)))</f>
        <v>12.42789</v>
      </c>
      <c r="HW34" s="21">
        <f>IF(HW$1&lt;INDEX('Valo FX'!$Q:$Q,MATCH($A34,'Valo FX'!$A:$A,0)),0,IF(HW$1&lt;INDEX('Valo FX'!$R:$R,MATCH($A34,'Valo FX'!$A:$A,0)),INDEX(Base!$U:$U,MATCH($A34,Base!$A:$A,0)),IF(HW$1=INDEX('Valo FX'!$R:$R,MATCH($A34,'Valo FX'!$A:$A,0)),INDEX(Base!$V:$V,MATCH($A34,Base!$A:$A,0)),0)))</f>
        <v>12.42789</v>
      </c>
      <c r="HX34" s="21">
        <f>IF(HX$1&lt;INDEX('Valo FX'!$Q:$Q,MATCH($A34,'Valo FX'!$A:$A,0)),0,IF(HX$1&lt;INDEX('Valo FX'!$R:$R,MATCH($A34,'Valo FX'!$A:$A,0)),INDEX(Base!$U:$U,MATCH($A34,Base!$A:$A,0)),IF(HX$1=INDEX('Valo FX'!$R:$R,MATCH($A34,'Valo FX'!$A:$A,0)),INDEX(Base!$V:$V,MATCH($A34,Base!$A:$A,0)),0)))</f>
        <v>12.42789</v>
      </c>
      <c r="HY34" s="21">
        <f>IF(HY$1&lt;INDEX('Valo FX'!$Q:$Q,MATCH($A34,'Valo FX'!$A:$A,0)),0,IF(HY$1&lt;INDEX('Valo FX'!$R:$R,MATCH($A34,'Valo FX'!$A:$A,0)),INDEX(Base!$U:$U,MATCH($A34,Base!$A:$A,0)),IF(HY$1=INDEX('Valo FX'!$R:$R,MATCH($A34,'Valo FX'!$A:$A,0)),INDEX(Base!$V:$V,MATCH($A34,Base!$A:$A,0)),0)))</f>
        <v>12.42789</v>
      </c>
      <c r="HZ34" s="21">
        <f>IF(HZ$1&lt;INDEX('Valo FX'!$Q:$Q,MATCH($A34,'Valo FX'!$A:$A,0)),0,IF(HZ$1&lt;INDEX('Valo FX'!$R:$R,MATCH($A34,'Valo FX'!$A:$A,0)),INDEX(Base!$U:$U,MATCH($A34,Base!$A:$A,0)),IF(HZ$1=INDEX('Valo FX'!$R:$R,MATCH($A34,'Valo FX'!$A:$A,0)),INDEX(Base!$V:$V,MATCH($A34,Base!$A:$A,0)),0)))</f>
        <v>12.42789</v>
      </c>
      <c r="IA34" s="21">
        <f>IF(IA$1&lt;INDEX('Valo FX'!$Q:$Q,MATCH($A34,'Valo FX'!$A:$A,0)),0,IF(IA$1&lt;INDEX('Valo FX'!$R:$R,MATCH($A34,'Valo FX'!$A:$A,0)),INDEX(Base!$U:$U,MATCH($A34,Base!$A:$A,0)),IF(IA$1=INDEX('Valo FX'!$R:$R,MATCH($A34,'Valo FX'!$A:$A,0)),INDEX(Base!$V:$V,MATCH($A34,Base!$A:$A,0)),0)))</f>
        <v>12.42789</v>
      </c>
      <c r="IB34" s="21">
        <f>IF(IB$1&lt;INDEX('Valo FX'!$Q:$Q,MATCH($A34,'Valo FX'!$A:$A,0)),0,IF(IB$1&lt;INDEX('Valo FX'!$R:$R,MATCH($A34,'Valo FX'!$A:$A,0)),INDEX(Base!$U:$U,MATCH($A34,Base!$A:$A,0)),IF(IB$1=INDEX('Valo FX'!$R:$R,MATCH($A34,'Valo FX'!$A:$A,0)),INDEX(Base!$V:$V,MATCH($A34,Base!$A:$A,0)),0)))</f>
        <v>12.42789</v>
      </c>
      <c r="IC34" s="21">
        <f>IF(IC$1&lt;INDEX('Valo FX'!$Q:$Q,MATCH($A34,'Valo FX'!$A:$A,0)),0,IF(IC$1&lt;INDEX('Valo FX'!$R:$R,MATCH($A34,'Valo FX'!$A:$A,0)),INDEX(Base!$U:$U,MATCH($A34,Base!$A:$A,0)),IF(IC$1=INDEX('Valo FX'!$R:$R,MATCH($A34,'Valo FX'!$A:$A,0)),INDEX(Base!$V:$V,MATCH($A34,Base!$A:$A,0)),0)))</f>
        <v>12.42789</v>
      </c>
      <c r="ID34" s="21">
        <f>IF(ID$1&lt;INDEX('Valo FX'!$Q:$Q,MATCH($A34,'Valo FX'!$A:$A,0)),0,IF(ID$1&lt;INDEX('Valo FX'!$R:$R,MATCH($A34,'Valo FX'!$A:$A,0)),INDEX(Base!$U:$U,MATCH($A34,Base!$A:$A,0)),IF(ID$1=INDEX('Valo FX'!$R:$R,MATCH($A34,'Valo FX'!$A:$A,0)),INDEX(Base!$V:$V,MATCH($A34,Base!$A:$A,0)),0)))</f>
        <v>12.42789</v>
      </c>
      <c r="IE34" s="21">
        <f>IF(IE$1&lt;INDEX('Valo FX'!$Q:$Q,MATCH($A34,'Valo FX'!$A:$A,0)),0,IF(IE$1&lt;INDEX('Valo FX'!$R:$R,MATCH($A34,'Valo FX'!$A:$A,0)),INDEX(Base!$U:$U,MATCH($A34,Base!$A:$A,0)),IF(IE$1=INDEX('Valo FX'!$R:$R,MATCH($A34,'Valo FX'!$A:$A,0)),INDEX(Base!$V:$V,MATCH($A34,Base!$A:$A,0)),0)))</f>
        <v>12.42789</v>
      </c>
      <c r="IF34" s="21">
        <f>IF(IF$1&lt;INDEX('Valo FX'!$Q:$Q,MATCH($A34,'Valo FX'!$A:$A,0)),0,IF(IF$1&lt;INDEX('Valo FX'!$R:$R,MATCH($A34,'Valo FX'!$A:$A,0)),INDEX(Base!$U:$U,MATCH($A34,Base!$A:$A,0)),IF(IF$1=INDEX('Valo FX'!$R:$R,MATCH($A34,'Valo FX'!$A:$A,0)),INDEX(Base!$V:$V,MATCH($A34,Base!$A:$A,0)),0)))</f>
        <v>12.42789</v>
      </c>
      <c r="IG34" s="21">
        <f>IF(IG$1&lt;INDEX('Valo FX'!$Q:$Q,MATCH($A34,'Valo FX'!$A:$A,0)),0,IF(IG$1&lt;INDEX('Valo FX'!$R:$R,MATCH($A34,'Valo FX'!$A:$A,0)),INDEX(Base!$U:$U,MATCH($A34,Base!$A:$A,0)),IF(IG$1=INDEX('Valo FX'!$R:$R,MATCH($A34,'Valo FX'!$A:$A,0)),INDEX(Base!$V:$V,MATCH($A34,Base!$A:$A,0)),0)))</f>
        <v>12.42789</v>
      </c>
      <c r="IH34" s="21">
        <f>IF(IH$1&lt;INDEX('Valo FX'!$Q:$Q,MATCH($A34,'Valo FX'!$A:$A,0)),0,IF(IH$1&lt;INDEX('Valo FX'!$R:$R,MATCH($A34,'Valo FX'!$A:$A,0)),INDEX(Base!$U:$U,MATCH($A34,Base!$A:$A,0)),IF(IH$1=INDEX('Valo FX'!$R:$R,MATCH($A34,'Valo FX'!$A:$A,0)),INDEX(Base!$V:$V,MATCH($A34,Base!$A:$A,0)),0)))</f>
        <v>12.42789</v>
      </c>
      <c r="II34" s="21">
        <f>IF(II$1&lt;INDEX('Valo FX'!$Q:$Q,MATCH($A34,'Valo FX'!$A:$A,0)),0,IF(II$1&lt;INDEX('Valo FX'!$R:$R,MATCH($A34,'Valo FX'!$A:$A,0)),INDEX(Base!$U:$U,MATCH($A34,Base!$A:$A,0)),IF(II$1=INDEX('Valo FX'!$R:$R,MATCH($A34,'Valo FX'!$A:$A,0)),INDEX(Base!$V:$V,MATCH($A34,Base!$A:$A,0)),0)))</f>
        <v>12.42789</v>
      </c>
      <c r="IJ34" s="21">
        <f>IF(IJ$1&lt;INDEX('Valo FX'!$Q:$Q,MATCH($A34,'Valo FX'!$A:$A,0)),0,IF(IJ$1&lt;INDEX('Valo FX'!$R:$R,MATCH($A34,'Valo FX'!$A:$A,0)),INDEX(Base!$U:$U,MATCH($A34,Base!$A:$A,0)),IF(IJ$1=INDEX('Valo FX'!$R:$R,MATCH($A34,'Valo FX'!$A:$A,0)),INDEX(Base!$V:$V,MATCH($A34,Base!$A:$A,0)),0)))</f>
        <v>12.42789</v>
      </c>
      <c r="IK34" s="21">
        <f>IF(IK$1&lt;INDEX('Valo FX'!$Q:$Q,MATCH($A34,'Valo FX'!$A:$A,0)),0,IF(IK$1&lt;INDEX('Valo FX'!$R:$R,MATCH($A34,'Valo FX'!$A:$A,0)),INDEX(Base!$U:$U,MATCH($A34,Base!$A:$A,0)),IF(IK$1=INDEX('Valo FX'!$R:$R,MATCH($A34,'Valo FX'!$A:$A,0)),INDEX(Base!$V:$V,MATCH($A34,Base!$A:$A,0)),0)))</f>
        <v>12.42789</v>
      </c>
      <c r="IL34" s="21">
        <f>IF(IL$1&lt;INDEX('Valo FX'!$Q:$Q,MATCH($A34,'Valo FX'!$A:$A,0)),0,IF(IL$1&lt;INDEX('Valo FX'!$R:$R,MATCH($A34,'Valo FX'!$A:$A,0)),INDEX(Base!$U:$U,MATCH($A34,Base!$A:$A,0)),IF(IL$1=INDEX('Valo FX'!$R:$R,MATCH($A34,'Valo FX'!$A:$A,0)),INDEX(Base!$V:$V,MATCH($A34,Base!$A:$A,0)),0)))</f>
        <v>12.42789</v>
      </c>
      <c r="IM34" s="21">
        <f>IF(IM$1&lt;INDEX('Valo FX'!$Q:$Q,MATCH($A34,'Valo FX'!$A:$A,0)),0,IF(IM$1&lt;INDEX('Valo FX'!$R:$R,MATCH($A34,'Valo FX'!$A:$A,0)),INDEX(Base!$U:$U,MATCH($A34,Base!$A:$A,0)),IF(IM$1=INDEX('Valo FX'!$R:$R,MATCH($A34,'Valo FX'!$A:$A,0)),INDEX(Base!$V:$V,MATCH($A34,Base!$A:$A,0)),0)))</f>
        <v>12.42789</v>
      </c>
      <c r="IN34" s="21">
        <f>IF(IN$1&lt;INDEX('Valo FX'!$Q:$Q,MATCH($A34,'Valo FX'!$A:$A,0)),0,IF(IN$1&lt;INDEX('Valo FX'!$R:$R,MATCH($A34,'Valo FX'!$A:$A,0)),INDEX(Base!$U:$U,MATCH($A34,Base!$A:$A,0)),IF(IN$1=INDEX('Valo FX'!$R:$R,MATCH($A34,'Valo FX'!$A:$A,0)),INDEX(Base!$V:$V,MATCH($A34,Base!$A:$A,0)),0)))</f>
        <v>12.42789</v>
      </c>
      <c r="IO34" s="21">
        <f>IF(IO$1&lt;INDEX('Valo FX'!$Q:$Q,MATCH($A34,'Valo FX'!$A:$A,0)),0,IF(IO$1&lt;INDEX('Valo FX'!$R:$R,MATCH($A34,'Valo FX'!$A:$A,0)),INDEX(Base!$U:$U,MATCH($A34,Base!$A:$A,0)),IF(IO$1=INDEX('Valo FX'!$R:$R,MATCH($A34,'Valo FX'!$A:$A,0)),INDEX(Base!$V:$V,MATCH($A34,Base!$A:$A,0)),0)))</f>
        <v>12.42789</v>
      </c>
      <c r="IP34" s="21">
        <f>IF(IP$1&lt;INDEX('Valo FX'!$Q:$Q,MATCH($A34,'Valo FX'!$A:$A,0)),0,IF(IP$1&lt;INDEX('Valo FX'!$R:$R,MATCH($A34,'Valo FX'!$A:$A,0)),INDEX(Base!$U:$U,MATCH($A34,Base!$A:$A,0)),IF(IP$1=INDEX('Valo FX'!$R:$R,MATCH($A34,'Valo FX'!$A:$A,0)),INDEX(Base!$V:$V,MATCH($A34,Base!$A:$A,0)),0)))</f>
        <v>12.42789</v>
      </c>
      <c r="IQ34" s="21">
        <f>IF(IQ$1&lt;INDEX('Valo FX'!$Q:$Q,MATCH($A34,'Valo FX'!$A:$A,0)),0,IF(IQ$1&lt;INDEX('Valo FX'!$R:$R,MATCH($A34,'Valo FX'!$A:$A,0)),INDEX(Base!$U:$U,MATCH($A34,Base!$A:$A,0)),IF(IQ$1=INDEX('Valo FX'!$R:$R,MATCH($A34,'Valo FX'!$A:$A,0)),INDEX(Base!$V:$V,MATCH($A34,Base!$A:$A,0)),0)))</f>
        <v>12.42789</v>
      </c>
      <c r="IR34" s="21">
        <f>IF(IR$1&lt;INDEX('Valo FX'!$Q:$Q,MATCH($A34,'Valo FX'!$A:$A,0)),0,IF(IR$1&lt;INDEX('Valo FX'!$R:$R,MATCH($A34,'Valo FX'!$A:$A,0)),INDEX(Base!$U:$U,MATCH($A34,Base!$A:$A,0)),IF(IR$1=INDEX('Valo FX'!$R:$R,MATCH($A34,'Valo FX'!$A:$A,0)),INDEX(Base!$V:$V,MATCH($A34,Base!$A:$A,0)),0)))</f>
        <v>12.42789</v>
      </c>
      <c r="IS34" s="21">
        <f>IF(IS$1&lt;INDEX('Valo FX'!$Q:$Q,MATCH($A34,'Valo FX'!$A:$A,0)),0,IF(IS$1&lt;INDEX('Valo FX'!$R:$R,MATCH($A34,'Valo FX'!$A:$A,0)),INDEX(Base!$U:$U,MATCH($A34,Base!$A:$A,0)),IF(IS$1=INDEX('Valo FX'!$R:$R,MATCH($A34,'Valo FX'!$A:$A,0)),INDEX(Base!$V:$V,MATCH($A34,Base!$A:$A,0)),0)))</f>
        <v>12.42789</v>
      </c>
      <c r="IT34" s="21">
        <f>IF(IT$1&lt;INDEX('Valo FX'!$Q:$Q,MATCH($A34,'Valo FX'!$A:$A,0)),0,IF(IT$1&lt;INDEX('Valo FX'!$R:$R,MATCH($A34,'Valo FX'!$A:$A,0)),INDEX(Base!$U:$U,MATCH($A34,Base!$A:$A,0)),IF(IT$1=INDEX('Valo FX'!$R:$R,MATCH($A34,'Valo FX'!$A:$A,0)),INDEX(Base!$V:$V,MATCH($A34,Base!$A:$A,0)),0)))</f>
        <v>12.42789</v>
      </c>
      <c r="IU34" s="21">
        <f>IF(IU$1&lt;INDEX('Valo FX'!$Q:$Q,MATCH($A34,'Valo FX'!$A:$A,0)),0,IF(IU$1&lt;INDEX('Valo FX'!$R:$R,MATCH($A34,'Valo FX'!$A:$A,0)),INDEX(Base!$U:$U,MATCH($A34,Base!$A:$A,0)),IF(IU$1=INDEX('Valo FX'!$R:$R,MATCH($A34,'Valo FX'!$A:$A,0)),INDEX(Base!$V:$V,MATCH($A34,Base!$A:$A,0)),0)))</f>
        <v>12.42789</v>
      </c>
      <c r="IV34" s="21">
        <f>IF(IV$1&lt;INDEX('Valo FX'!$Q:$Q,MATCH($A34,'Valo FX'!$A:$A,0)),0,IF(IV$1&lt;INDEX('Valo FX'!$R:$R,MATCH($A34,'Valo FX'!$A:$A,0)),INDEX(Base!$U:$U,MATCH($A34,Base!$A:$A,0)),IF(IV$1=INDEX('Valo FX'!$R:$R,MATCH($A34,'Valo FX'!$A:$A,0)),INDEX(Base!$V:$V,MATCH($A34,Base!$A:$A,0)),0)))</f>
        <v>12.42789</v>
      </c>
      <c r="IW34" s="21">
        <f>IF(IW$1&lt;INDEX('Valo FX'!$Q:$Q,MATCH($A34,'Valo FX'!$A:$A,0)),0,IF(IW$1&lt;INDEX('Valo FX'!$R:$R,MATCH($A34,'Valo FX'!$A:$A,0)),INDEX(Base!$U:$U,MATCH($A34,Base!$A:$A,0)),IF(IW$1=INDEX('Valo FX'!$R:$R,MATCH($A34,'Valo FX'!$A:$A,0)),INDEX(Base!$V:$V,MATCH($A34,Base!$A:$A,0)),0)))</f>
        <v>12.42789</v>
      </c>
      <c r="IX34" s="21">
        <f>IF(IX$1&lt;INDEX('Valo FX'!$Q:$Q,MATCH($A34,'Valo FX'!$A:$A,0)),0,IF(IX$1&lt;INDEX('Valo FX'!$R:$R,MATCH($A34,'Valo FX'!$A:$A,0)),INDEX(Base!$U:$U,MATCH($A34,Base!$A:$A,0)),IF(IX$1=INDEX('Valo FX'!$R:$R,MATCH($A34,'Valo FX'!$A:$A,0)),INDEX(Base!$V:$V,MATCH($A34,Base!$A:$A,0)),0)))</f>
        <v>12.42789</v>
      </c>
      <c r="IY34" s="21">
        <f>IF(IY$1&lt;INDEX('Valo FX'!$Q:$Q,MATCH($A34,'Valo FX'!$A:$A,0)),0,IF(IY$1&lt;INDEX('Valo FX'!$R:$R,MATCH($A34,'Valo FX'!$A:$A,0)),INDEX(Base!$U:$U,MATCH($A34,Base!$A:$A,0)),IF(IY$1=INDEX('Valo FX'!$R:$R,MATCH($A34,'Valo FX'!$A:$A,0)),INDEX(Base!$V:$V,MATCH($A34,Base!$A:$A,0)),0)))</f>
        <v>12.42789</v>
      </c>
      <c r="IZ34" s="21">
        <f>IF(IZ$1&lt;INDEX('Valo FX'!$Q:$Q,MATCH($A34,'Valo FX'!$A:$A,0)),0,IF(IZ$1&lt;INDEX('Valo FX'!$R:$R,MATCH($A34,'Valo FX'!$A:$A,0)),INDEX(Base!$U:$U,MATCH($A34,Base!$A:$A,0)),IF(IZ$1=INDEX('Valo FX'!$R:$R,MATCH($A34,'Valo FX'!$A:$A,0)),INDEX(Base!$V:$V,MATCH($A34,Base!$A:$A,0)),0)))</f>
        <v>12.42789</v>
      </c>
      <c r="JA34" s="21">
        <f>IF(JA$1&lt;INDEX('Valo FX'!$Q:$Q,MATCH($A34,'Valo FX'!$A:$A,0)),0,IF(JA$1&lt;INDEX('Valo FX'!$R:$R,MATCH($A34,'Valo FX'!$A:$A,0)),INDEX(Base!$U:$U,MATCH($A34,Base!$A:$A,0)),IF(JA$1=INDEX('Valo FX'!$R:$R,MATCH($A34,'Valo FX'!$A:$A,0)),INDEX(Base!$V:$V,MATCH($A34,Base!$A:$A,0)),0)))</f>
        <v>12.42789</v>
      </c>
      <c r="JB34" s="21">
        <f>IF(JB$1&lt;INDEX('Valo FX'!$Q:$Q,MATCH($A34,'Valo FX'!$A:$A,0)),0,IF(JB$1&lt;INDEX('Valo FX'!$R:$R,MATCH($A34,'Valo FX'!$A:$A,0)),INDEX(Base!$U:$U,MATCH($A34,Base!$A:$A,0)),IF(JB$1=INDEX('Valo FX'!$R:$R,MATCH($A34,'Valo FX'!$A:$A,0)),INDEX(Base!$V:$V,MATCH($A34,Base!$A:$A,0)),0)))</f>
        <v>12.42789</v>
      </c>
      <c r="JC34" s="21">
        <f>IF(JC$1&lt;INDEX('Valo FX'!$Q:$Q,MATCH($A34,'Valo FX'!$A:$A,0)),0,IF(JC$1&lt;INDEX('Valo FX'!$R:$R,MATCH($A34,'Valo FX'!$A:$A,0)),INDEX(Base!$U:$U,MATCH($A34,Base!$A:$A,0)),IF(JC$1=INDEX('Valo FX'!$R:$R,MATCH($A34,'Valo FX'!$A:$A,0)),INDEX(Base!$V:$V,MATCH($A34,Base!$A:$A,0)),0)))</f>
        <v>12.42789</v>
      </c>
      <c r="JD34" s="21">
        <f>IF(JD$1&lt;INDEX('Valo FX'!$Q:$Q,MATCH($A34,'Valo FX'!$A:$A,0)),0,IF(JD$1&lt;INDEX('Valo FX'!$R:$R,MATCH($A34,'Valo FX'!$A:$A,0)),INDEX(Base!$U:$U,MATCH($A34,Base!$A:$A,0)),IF(JD$1=INDEX('Valo FX'!$R:$R,MATCH($A34,'Valo FX'!$A:$A,0)),INDEX(Base!$V:$V,MATCH($A34,Base!$A:$A,0)),0)))</f>
        <v>12.42789</v>
      </c>
      <c r="JE34" s="21">
        <f>IF(JE$1&lt;INDEX('Valo FX'!$Q:$Q,MATCH($A34,'Valo FX'!$A:$A,0)),0,IF(JE$1&lt;INDEX('Valo FX'!$R:$R,MATCH($A34,'Valo FX'!$A:$A,0)),INDEX(Base!$U:$U,MATCH($A34,Base!$A:$A,0)),IF(JE$1=INDEX('Valo FX'!$R:$R,MATCH($A34,'Valo FX'!$A:$A,0)),INDEX(Base!$V:$V,MATCH($A34,Base!$A:$A,0)),0)))</f>
        <v>12.42789</v>
      </c>
      <c r="JF34" s="21">
        <f>IF(JF$1&lt;INDEX('Valo FX'!$Q:$Q,MATCH($A34,'Valo FX'!$A:$A,0)),0,IF(JF$1&lt;INDEX('Valo FX'!$R:$R,MATCH($A34,'Valo FX'!$A:$A,0)),INDEX(Base!$U:$U,MATCH($A34,Base!$A:$A,0)),IF(JF$1=INDEX('Valo FX'!$R:$R,MATCH($A34,'Valo FX'!$A:$A,0)),INDEX(Base!$V:$V,MATCH($A34,Base!$A:$A,0)),0)))</f>
        <v>12.42789</v>
      </c>
      <c r="JG34" s="21">
        <f>IF(JG$1&lt;INDEX('Valo FX'!$Q:$Q,MATCH($A34,'Valo FX'!$A:$A,0)),0,IF(JG$1&lt;INDEX('Valo FX'!$R:$R,MATCH($A34,'Valo FX'!$A:$A,0)),INDEX(Base!$U:$U,MATCH($A34,Base!$A:$A,0)),IF(JG$1=INDEX('Valo FX'!$R:$R,MATCH($A34,'Valo FX'!$A:$A,0)),INDEX(Base!$V:$V,MATCH($A34,Base!$A:$A,0)),0)))</f>
        <v>12.42789</v>
      </c>
      <c r="JH34" s="21">
        <f>IF(JH$1&lt;INDEX('Valo FX'!$Q:$Q,MATCH($A34,'Valo FX'!$A:$A,0)),0,IF(JH$1&lt;INDEX('Valo FX'!$R:$R,MATCH($A34,'Valo FX'!$A:$A,0)),INDEX(Base!$U:$U,MATCH($A34,Base!$A:$A,0)),IF(JH$1=INDEX('Valo FX'!$R:$R,MATCH($A34,'Valo FX'!$A:$A,0)),INDEX(Base!$V:$V,MATCH($A34,Base!$A:$A,0)),0)))</f>
        <v>12.42789</v>
      </c>
      <c r="JI34" s="21">
        <f>IF(JI$1&lt;INDEX('Valo FX'!$Q:$Q,MATCH($A34,'Valo FX'!$A:$A,0)),0,IF(JI$1&lt;INDEX('Valo FX'!$R:$R,MATCH($A34,'Valo FX'!$A:$A,0)),INDEX(Base!$U:$U,MATCH($A34,Base!$A:$A,0)),IF(JI$1=INDEX('Valo FX'!$R:$R,MATCH($A34,'Valo FX'!$A:$A,0)),INDEX(Base!$V:$V,MATCH($A34,Base!$A:$A,0)),0)))</f>
        <v>12.42789</v>
      </c>
      <c r="JJ34" s="21">
        <f>IF(JJ$1&lt;INDEX('Valo FX'!$Q:$Q,MATCH($A34,'Valo FX'!$A:$A,0)),0,IF(JJ$1&lt;INDEX('Valo FX'!$R:$R,MATCH($A34,'Valo FX'!$A:$A,0)),INDEX(Base!$U:$U,MATCH($A34,Base!$A:$A,0)),IF(JJ$1=INDEX('Valo FX'!$R:$R,MATCH($A34,'Valo FX'!$A:$A,0)),INDEX(Base!$V:$V,MATCH($A34,Base!$A:$A,0)),0)))</f>
        <v>12.42789</v>
      </c>
      <c r="JK34" s="21">
        <f>IF(JK$1&lt;INDEX('Valo FX'!$Q:$Q,MATCH($A34,'Valo FX'!$A:$A,0)),0,IF(JK$1&lt;INDEX('Valo FX'!$R:$R,MATCH($A34,'Valo FX'!$A:$A,0)),INDEX(Base!$U:$U,MATCH($A34,Base!$A:$A,0)),IF(JK$1=INDEX('Valo FX'!$R:$R,MATCH($A34,'Valo FX'!$A:$A,0)),INDEX(Base!$V:$V,MATCH($A34,Base!$A:$A,0)),0)))</f>
        <v>12.42789</v>
      </c>
      <c r="JL34" s="21">
        <f>IF(JL$1&lt;INDEX('Valo FX'!$Q:$Q,MATCH($A34,'Valo FX'!$A:$A,0)),0,IF(JL$1&lt;INDEX('Valo FX'!$R:$R,MATCH($A34,'Valo FX'!$A:$A,0)),INDEX(Base!$U:$U,MATCH($A34,Base!$A:$A,0)),IF(JL$1=INDEX('Valo FX'!$R:$R,MATCH($A34,'Valo FX'!$A:$A,0)),INDEX(Base!$V:$V,MATCH($A34,Base!$A:$A,0)),0)))</f>
        <v>12.42789</v>
      </c>
      <c r="JM34" s="21">
        <f>IF(JM$1&lt;INDEX('Valo FX'!$Q:$Q,MATCH($A34,'Valo FX'!$A:$A,0)),0,IF(JM$1&lt;INDEX('Valo FX'!$R:$R,MATCH($A34,'Valo FX'!$A:$A,0)),INDEX(Base!$U:$U,MATCH($A34,Base!$A:$A,0)),IF(JM$1=INDEX('Valo FX'!$R:$R,MATCH($A34,'Valo FX'!$A:$A,0)),INDEX(Base!$V:$V,MATCH($A34,Base!$A:$A,0)),0)))</f>
        <v>12.42789</v>
      </c>
      <c r="JN34" s="21">
        <f>IF(JN$1&lt;INDEX('Valo FX'!$Q:$Q,MATCH($A34,'Valo FX'!$A:$A,0)),0,IF(JN$1&lt;INDEX('Valo FX'!$R:$R,MATCH($A34,'Valo FX'!$A:$A,0)),INDEX(Base!$U:$U,MATCH($A34,Base!$A:$A,0)),IF(JN$1=INDEX('Valo FX'!$R:$R,MATCH($A34,'Valo FX'!$A:$A,0)),INDEX(Base!$V:$V,MATCH($A34,Base!$A:$A,0)),0)))</f>
        <v>12.42789</v>
      </c>
      <c r="JO34" s="21">
        <f>IF(JO$1&lt;INDEX('Valo FX'!$Q:$Q,MATCH($A34,'Valo FX'!$A:$A,0)),0,IF(JO$1&lt;INDEX('Valo FX'!$R:$R,MATCH($A34,'Valo FX'!$A:$A,0)),INDEX(Base!$U:$U,MATCH($A34,Base!$A:$A,0)),IF(JO$1=INDEX('Valo FX'!$R:$R,MATCH($A34,'Valo FX'!$A:$A,0)),INDEX(Base!$V:$V,MATCH($A34,Base!$A:$A,0)),0)))</f>
        <v>12.42789</v>
      </c>
      <c r="JP34" s="21">
        <f>IF(JP$1&lt;INDEX('Valo FX'!$Q:$Q,MATCH($A34,'Valo FX'!$A:$A,0)),0,IF(JP$1&lt;INDEX('Valo FX'!$R:$R,MATCH($A34,'Valo FX'!$A:$A,0)),INDEX(Base!$U:$U,MATCH($A34,Base!$A:$A,0)),IF(JP$1=INDEX('Valo FX'!$R:$R,MATCH($A34,'Valo FX'!$A:$A,0)),INDEX(Base!$V:$V,MATCH($A34,Base!$A:$A,0)),0)))</f>
        <v>12.42789</v>
      </c>
      <c r="JQ34" s="21">
        <f>IF(JQ$1&lt;INDEX('Valo FX'!$Q:$Q,MATCH($A34,'Valo FX'!$A:$A,0)),0,IF(JQ$1&lt;INDEX('Valo FX'!$R:$R,MATCH($A34,'Valo FX'!$A:$A,0)),INDEX(Base!$U:$U,MATCH($A34,Base!$A:$A,0)),IF(JQ$1=INDEX('Valo FX'!$R:$R,MATCH($A34,'Valo FX'!$A:$A,0)),INDEX(Base!$V:$V,MATCH($A34,Base!$A:$A,0)),0)))</f>
        <v>12.42789</v>
      </c>
      <c r="JR34" s="21">
        <f>IF(JR$1&lt;INDEX('Valo FX'!$Q:$Q,MATCH($A34,'Valo FX'!$A:$A,0)),0,IF(JR$1&lt;INDEX('Valo FX'!$R:$R,MATCH($A34,'Valo FX'!$A:$A,0)),INDEX(Base!$U:$U,MATCH($A34,Base!$A:$A,0)),IF(JR$1=INDEX('Valo FX'!$R:$R,MATCH($A34,'Valo FX'!$A:$A,0)),INDEX(Base!$V:$V,MATCH($A34,Base!$A:$A,0)),0)))</f>
        <v>12.42789</v>
      </c>
      <c r="JS34" s="21">
        <f>IF(JS$1&lt;INDEX('Valo FX'!$Q:$Q,MATCH($A34,'Valo FX'!$A:$A,0)),0,IF(JS$1&lt;INDEX('Valo FX'!$R:$R,MATCH($A34,'Valo FX'!$A:$A,0)),INDEX(Base!$U:$U,MATCH($A34,Base!$A:$A,0)),IF(JS$1=INDEX('Valo FX'!$R:$R,MATCH($A34,'Valo FX'!$A:$A,0)),INDEX(Base!$V:$V,MATCH($A34,Base!$A:$A,0)),0)))</f>
        <v>12.42789</v>
      </c>
      <c r="JT34" s="21">
        <f>IF(JT$1&lt;INDEX('Valo FX'!$Q:$Q,MATCH($A34,'Valo FX'!$A:$A,0)),0,IF(JT$1&lt;INDEX('Valo FX'!$R:$R,MATCH($A34,'Valo FX'!$A:$A,0)),INDEX(Base!$U:$U,MATCH($A34,Base!$A:$A,0)),IF(JT$1=INDEX('Valo FX'!$R:$R,MATCH($A34,'Valo FX'!$A:$A,0)),INDEX(Base!$V:$V,MATCH($A34,Base!$A:$A,0)),0)))</f>
        <v>12.42789</v>
      </c>
      <c r="JU34" s="21">
        <f>IF(JU$1&lt;INDEX('Valo FX'!$Q:$Q,MATCH($A34,'Valo FX'!$A:$A,0)),0,IF(JU$1&lt;INDEX('Valo FX'!$R:$R,MATCH($A34,'Valo FX'!$A:$A,0)),INDEX(Base!$U:$U,MATCH($A34,Base!$A:$A,0)),IF(JU$1=INDEX('Valo FX'!$R:$R,MATCH($A34,'Valo FX'!$A:$A,0)),INDEX(Base!$V:$V,MATCH($A34,Base!$A:$A,0)),0)))</f>
        <v>12.42789</v>
      </c>
      <c r="JV34" s="21">
        <f>IF(JV$1&lt;INDEX('Valo FX'!$Q:$Q,MATCH($A34,'Valo FX'!$A:$A,0)),0,IF(JV$1&lt;INDEX('Valo FX'!$R:$R,MATCH($A34,'Valo FX'!$A:$A,0)),INDEX(Base!$U:$U,MATCH($A34,Base!$A:$A,0)),IF(JV$1=INDEX('Valo FX'!$R:$R,MATCH($A34,'Valo FX'!$A:$A,0)),INDEX(Base!$V:$V,MATCH($A34,Base!$A:$A,0)),0)))</f>
        <v>12.42789</v>
      </c>
      <c r="JW34" s="21">
        <f>IF(JW$1&lt;INDEX('Valo FX'!$Q:$Q,MATCH($A34,'Valo FX'!$A:$A,0)),0,IF(JW$1&lt;INDEX('Valo FX'!$R:$R,MATCH($A34,'Valo FX'!$A:$A,0)),INDEX(Base!$U:$U,MATCH($A34,Base!$A:$A,0)),IF(JW$1=INDEX('Valo FX'!$R:$R,MATCH($A34,'Valo FX'!$A:$A,0)),INDEX(Base!$V:$V,MATCH($A34,Base!$A:$A,0)),0)))</f>
        <v>12.42789</v>
      </c>
      <c r="JX34" s="21">
        <f>IF(JX$1&lt;INDEX('Valo FX'!$Q:$Q,MATCH($A34,'Valo FX'!$A:$A,0)),0,IF(JX$1&lt;INDEX('Valo FX'!$R:$R,MATCH($A34,'Valo FX'!$A:$A,0)),INDEX(Base!$U:$U,MATCH($A34,Base!$A:$A,0)),IF(JX$1=INDEX('Valo FX'!$R:$R,MATCH($A34,'Valo FX'!$A:$A,0)),INDEX(Base!$V:$V,MATCH($A34,Base!$A:$A,0)),0)))</f>
        <v>12.42789</v>
      </c>
      <c r="JY34" s="21">
        <f>IF(JY$1&lt;INDEX('Valo FX'!$Q:$Q,MATCH($A34,'Valo FX'!$A:$A,0)),0,IF(JY$1&lt;INDEX('Valo FX'!$R:$R,MATCH($A34,'Valo FX'!$A:$A,0)),INDEX(Base!$U:$U,MATCH($A34,Base!$A:$A,0)),IF(JY$1=INDEX('Valo FX'!$R:$R,MATCH($A34,'Valo FX'!$A:$A,0)),INDEX(Base!$V:$V,MATCH($A34,Base!$A:$A,0)),0)))</f>
        <v>12.42789</v>
      </c>
      <c r="JZ34" s="21">
        <f>IF(JZ$1&lt;INDEX('Valo FX'!$Q:$Q,MATCH($A34,'Valo FX'!$A:$A,0)),0,IF(JZ$1&lt;INDEX('Valo FX'!$R:$R,MATCH($A34,'Valo FX'!$A:$A,0)),INDEX(Base!$U:$U,MATCH($A34,Base!$A:$A,0)),IF(JZ$1=INDEX('Valo FX'!$R:$R,MATCH($A34,'Valo FX'!$A:$A,0)),INDEX(Base!$V:$V,MATCH($A34,Base!$A:$A,0)),0)))</f>
        <v>12.42789</v>
      </c>
      <c r="KA34" s="21">
        <f>IF(KA$1&lt;INDEX('Valo FX'!$Q:$Q,MATCH($A34,'Valo FX'!$A:$A,0)),0,IF(KA$1&lt;INDEX('Valo FX'!$R:$R,MATCH($A34,'Valo FX'!$A:$A,0)),INDEX(Base!$U:$U,MATCH($A34,Base!$A:$A,0)),IF(KA$1=INDEX('Valo FX'!$R:$R,MATCH($A34,'Valo FX'!$A:$A,0)),INDEX(Base!$V:$V,MATCH($A34,Base!$A:$A,0)),0)))</f>
        <v>12.42789</v>
      </c>
      <c r="KB34" s="21">
        <f>IF(KB$1&lt;INDEX('Valo FX'!$Q:$Q,MATCH($A34,'Valo FX'!$A:$A,0)),0,IF(KB$1&lt;INDEX('Valo FX'!$R:$R,MATCH($A34,'Valo FX'!$A:$A,0)),INDEX(Base!$U:$U,MATCH($A34,Base!$A:$A,0)),IF(KB$1=INDEX('Valo FX'!$R:$R,MATCH($A34,'Valo FX'!$A:$A,0)),INDEX(Base!$V:$V,MATCH($A34,Base!$A:$A,0)),0)))</f>
        <v>12.42789</v>
      </c>
      <c r="KC34" s="21">
        <f>IF(KC$1&lt;INDEX('Valo FX'!$Q:$Q,MATCH($A34,'Valo FX'!$A:$A,0)),0,IF(KC$1&lt;INDEX('Valo FX'!$R:$R,MATCH($A34,'Valo FX'!$A:$A,0)),INDEX(Base!$U:$U,MATCH($A34,Base!$A:$A,0)),IF(KC$1=INDEX('Valo FX'!$R:$R,MATCH($A34,'Valo FX'!$A:$A,0)),INDEX(Base!$V:$V,MATCH($A34,Base!$A:$A,0)),0)))</f>
        <v>12.42789</v>
      </c>
      <c r="KD34" s="21">
        <f>IF(KD$1&lt;INDEX('Valo FX'!$Q:$Q,MATCH($A34,'Valo FX'!$A:$A,0)),0,IF(KD$1&lt;INDEX('Valo FX'!$R:$R,MATCH($A34,'Valo FX'!$A:$A,0)),INDEX(Base!$U:$U,MATCH($A34,Base!$A:$A,0)),IF(KD$1=INDEX('Valo FX'!$R:$R,MATCH($A34,'Valo FX'!$A:$A,0)),INDEX(Base!$V:$V,MATCH($A34,Base!$A:$A,0)),0)))</f>
        <v>12.42789</v>
      </c>
      <c r="KE34" s="21">
        <f>IF(KE$1&lt;INDEX('Valo FX'!$Q:$Q,MATCH($A34,'Valo FX'!$A:$A,0)),0,IF(KE$1&lt;INDEX('Valo FX'!$R:$R,MATCH($A34,'Valo FX'!$A:$A,0)),INDEX(Base!$U:$U,MATCH($A34,Base!$A:$A,0)),IF(KE$1=INDEX('Valo FX'!$R:$R,MATCH($A34,'Valo FX'!$A:$A,0)),INDEX(Base!$V:$V,MATCH($A34,Base!$A:$A,0)),0)))</f>
        <v>12.42789</v>
      </c>
      <c r="KF34" s="21">
        <f>IF(KF$1&lt;INDEX('Valo FX'!$Q:$Q,MATCH($A34,'Valo FX'!$A:$A,0)),0,IF(KF$1&lt;INDEX('Valo FX'!$R:$R,MATCH($A34,'Valo FX'!$A:$A,0)),INDEX(Base!$U:$U,MATCH($A34,Base!$A:$A,0)),IF(KF$1=INDEX('Valo FX'!$R:$R,MATCH($A34,'Valo FX'!$A:$A,0)),INDEX(Base!$V:$V,MATCH($A34,Base!$A:$A,0)),0)))</f>
        <v>12.42789</v>
      </c>
      <c r="KG34" s="21">
        <f>IF(KG$1&lt;INDEX('Valo FX'!$Q:$Q,MATCH($A34,'Valo FX'!$A:$A,0)),0,IF(KG$1&lt;INDEX('Valo FX'!$R:$R,MATCH($A34,'Valo FX'!$A:$A,0)),INDEX(Base!$U:$U,MATCH($A34,Base!$A:$A,0)),IF(KG$1=INDEX('Valo FX'!$R:$R,MATCH($A34,'Valo FX'!$A:$A,0)),INDEX(Base!$V:$V,MATCH($A34,Base!$A:$A,0)),0)))</f>
        <v>12.42789</v>
      </c>
      <c r="KH34" s="21">
        <f>IF(KH$1&lt;INDEX('Valo FX'!$Q:$Q,MATCH($A34,'Valo FX'!$A:$A,0)),0,IF(KH$1&lt;INDEX('Valo FX'!$R:$R,MATCH($A34,'Valo FX'!$A:$A,0)),INDEX(Base!$U:$U,MATCH($A34,Base!$A:$A,0)),IF(KH$1=INDEX('Valo FX'!$R:$R,MATCH($A34,'Valo FX'!$A:$A,0)),INDEX(Base!$V:$V,MATCH($A34,Base!$A:$A,0)),0)))</f>
        <v>12.42789</v>
      </c>
      <c r="KI34" s="21">
        <f>IF(KI$1&lt;INDEX('Valo FX'!$Q:$Q,MATCH($A34,'Valo FX'!$A:$A,0)),0,IF(KI$1&lt;INDEX('Valo FX'!$R:$R,MATCH($A34,'Valo FX'!$A:$A,0)),INDEX(Base!$U:$U,MATCH($A34,Base!$A:$A,0)),IF(KI$1=INDEX('Valo FX'!$R:$R,MATCH($A34,'Valo FX'!$A:$A,0)),INDEX(Base!$V:$V,MATCH($A34,Base!$A:$A,0)),0)))</f>
        <v>12.42789</v>
      </c>
      <c r="KJ34" s="21">
        <f>IF(KJ$1&lt;INDEX('Valo FX'!$Q:$Q,MATCH($A34,'Valo FX'!$A:$A,0)),0,IF(KJ$1&lt;INDEX('Valo FX'!$R:$R,MATCH($A34,'Valo FX'!$A:$A,0)),INDEX(Base!$U:$U,MATCH($A34,Base!$A:$A,0)),IF(KJ$1=INDEX('Valo FX'!$R:$R,MATCH($A34,'Valo FX'!$A:$A,0)),INDEX(Base!$V:$V,MATCH($A34,Base!$A:$A,0)),0)))</f>
        <v>12.42789</v>
      </c>
      <c r="KK34" s="21">
        <f>IF(KK$1&lt;INDEX('Valo FX'!$Q:$Q,MATCH($A34,'Valo FX'!$A:$A,0)),0,IF(KK$1&lt;INDEX('Valo FX'!$R:$R,MATCH($A34,'Valo FX'!$A:$A,0)),INDEX(Base!$U:$U,MATCH($A34,Base!$A:$A,0)),IF(KK$1=INDEX('Valo FX'!$R:$R,MATCH($A34,'Valo FX'!$A:$A,0)),INDEX(Base!$V:$V,MATCH($A34,Base!$A:$A,0)),0)))</f>
        <v>12.42789</v>
      </c>
      <c r="KL34" s="21">
        <f>IF(KL$1&lt;INDEX('Valo FX'!$Q:$Q,MATCH($A34,'Valo FX'!$A:$A,0)),0,IF(KL$1&lt;INDEX('Valo FX'!$R:$R,MATCH($A34,'Valo FX'!$A:$A,0)),INDEX(Base!$U:$U,MATCH($A34,Base!$A:$A,0)),IF(KL$1=INDEX('Valo FX'!$R:$R,MATCH($A34,'Valo FX'!$A:$A,0)),INDEX(Base!$V:$V,MATCH($A34,Base!$A:$A,0)),0)))</f>
        <v>12.42789</v>
      </c>
      <c r="KM34" s="21">
        <f>IF(KM$1&lt;INDEX('Valo FX'!$Q:$Q,MATCH($A34,'Valo FX'!$A:$A,0)),0,IF(KM$1&lt;INDEX('Valo FX'!$R:$R,MATCH($A34,'Valo FX'!$A:$A,0)),INDEX(Base!$U:$U,MATCH($A34,Base!$A:$A,0)),IF(KM$1=INDEX('Valo FX'!$R:$R,MATCH($A34,'Valo FX'!$A:$A,0)),INDEX(Base!$V:$V,MATCH($A34,Base!$A:$A,0)),0)))</f>
        <v>12.42789</v>
      </c>
      <c r="KN34" s="21">
        <f>IF(KN$1&lt;INDEX('Valo FX'!$Q:$Q,MATCH($A34,'Valo FX'!$A:$A,0)),0,IF(KN$1&lt;INDEX('Valo FX'!$R:$R,MATCH($A34,'Valo FX'!$A:$A,0)),INDEX(Base!$U:$U,MATCH($A34,Base!$A:$A,0)),IF(KN$1=INDEX('Valo FX'!$R:$R,MATCH($A34,'Valo FX'!$A:$A,0)),INDEX(Base!$V:$V,MATCH($A34,Base!$A:$A,0)),0)))</f>
        <v>12.42789</v>
      </c>
      <c r="KO34" s="21">
        <f>IF(KO$1&lt;INDEX('Valo FX'!$Q:$Q,MATCH($A34,'Valo FX'!$A:$A,0)),0,IF(KO$1&lt;INDEX('Valo FX'!$R:$R,MATCH($A34,'Valo FX'!$A:$A,0)),INDEX(Base!$U:$U,MATCH($A34,Base!$A:$A,0)),IF(KO$1=INDEX('Valo FX'!$R:$R,MATCH($A34,'Valo FX'!$A:$A,0)),INDEX(Base!$V:$V,MATCH($A34,Base!$A:$A,0)),0)))</f>
        <v>12.42789</v>
      </c>
      <c r="KP34" s="21">
        <f>IF(KP$1&lt;INDEX('Valo FX'!$Q:$Q,MATCH($A34,'Valo FX'!$A:$A,0)),0,IF(KP$1&lt;INDEX('Valo FX'!$R:$R,MATCH($A34,'Valo FX'!$A:$A,0)),INDEX(Base!$U:$U,MATCH($A34,Base!$A:$A,0)),IF(KP$1=INDEX('Valo FX'!$R:$R,MATCH($A34,'Valo FX'!$A:$A,0)),INDEX(Base!$V:$V,MATCH($A34,Base!$A:$A,0)),0)))</f>
        <v>12.42789</v>
      </c>
      <c r="KQ34" s="21">
        <f>IF(KQ$1&lt;INDEX('Valo FX'!$Q:$Q,MATCH($A34,'Valo FX'!$A:$A,0)),0,IF(KQ$1&lt;INDEX('Valo FX'!$R:$R,MATCH($A34,'Valo FX'!$A:$A,0)),INDEX(Base!$U:$U,MATCH($A34,Base!$A:$A,0)),IF(KQ$1=INDEX('Valo FX'!$R:$R,MATCH($A34,'Valo FX'!$A:$A,0)),INDEX(Base!$V:$V,MATCH($A34,Base!$A:$A,0)),0)))</f>
        <v>12.42789</v>
      </c>
      <c r="KR34" s="21">
        <f>IF(KR$1&lt;INDEX('Valo FX'!$Q:$Q,MATCH($A34,'Valo FX'!$A:$A,0)),0,IF(KR$1&lt;INDEX('Valo FX'!$R:$R,MATCH($A34,'Valo FX'!$A:$A,0)),INDEX(Base!$U:$U,MATCH($A34,Base!$A:$A,0)),IF(KR$1=INDEX('Valo FX'!$R:$R,MATCH($A34,'Valo FX'!$A:$A,0)),INDEX(Base!$V:$V,MATCH($A34,Base!$A:$A,0)),0)))</f>
        <v>12.42789</v>
      </c>
      <c r="KS34" s="21">
        <f>IF(KS$1&lt;INDEX('Valo FX'!$Q:$Q,MATCH($A34,'Valo FX'!$A:$A,0)),0,IF(KS$1&lt;INDEX('Valo FX'!$R:$R,MATCH($A34,'Valo FX'!$A:$A,0)),INDEX(Base!$U:$U,MATCH($A34,Base!$A:$A,0)),IF(KS$1=INDEX('Valo FX'!$R:$R,MATCH($A34,'Valo FX'!$A:$A,0)),INDEX(Base!$V:$V,MATCH($A34,Base!$A:$A,0)),0)))</f>
        <v>12.42789</v>
      </c>
      <c r="KT34" s="21">
        <f>IF(KT$1&lt;INDEX('Valo FX'!$Q:$Q,MATCH($A34,'Valo FX'!$A:$A,0)),0,IF(KT$1&lt;INDEX('Valo FX'!$R:$R,MATCH($A34,'Valo FX'!$A:$A,0)),INDEX(Base!$U:$U,MATCH($A34,Base!$A:$A,0)),IF(KT$1=INDEX('Valo FX'!$R:$R,MATCH($A34,'Valo FX'!$A:$A,0)),INDEX(Base!$V:$V,MATCH($A34,Base!$A:$A,0)),0)))</f>
        <v>12.42789</v>
      </c>
      <c r="KU34" s="21">
        <f>IF(KU$1&lt;INDEX('Valo FX'!$Q:$Q,MATCH($A34,'Valo FX'!$A:$A,0)),0,IF(KU$1&lt;INDEX('Valo FX'!$R:$R,MATCH($A34,'Valo FX'!$A:$A,0)),INDEX(Base!$U:$U,MATCH($A34,Base!$A:$A,0)),IF(KU$1=INDEX('Valo FX'!$R:$R,MATCH($A34,'Valo FX'!$A:$A,0)),INDEX(Base!$V:$V,MATCH($A34,Base!$A:$A,0)),0)))</f>
        <v>12.42789</v>
      </c>
      <c r="KV34" s="21">
        <f>IF(KV$1&lt;INDEX('Valo FX'!$Q:$Q,MATCH($A34,'Valo FX'!$A:$A,0)),0,IF(KV$1&lt;INDEX('Valo FX'!$R:$R,MATCH($A34,'Valo FX'!$A:$A,0)),INDEX(Base!$U:$U,MATCH($A34,Base!$A:$A,0)),IF(KV$1=INDEX('Valo FX'!$R:$R,MATCH($A34,'Valo FX'!$A:$A,0)),INDEX(Base!$V:$V,MATCH($A34,Base!$A:$A,0)),0)))</f>
        <v>12.42789</v>
      </c>
      <c r="KW34" s="21">
        <f>IF(KW$1&lt;INDEX('Valo FX'!$Q:$Q,MATCH($A34,'Valo FX'!$A:$A,0)),0,IF(KW$1&lt;INDEX('Valo FX'!$R:$R,MATCH($A34,'Valo FX'!$A:$A,0)),INDEX(Base!$U:$U,MATCH($A34,Base!$A:$A,0)),IF(KW$1=INDEX('Valo FX'!$R:$R,MATCH($A34,'Valo FX'!$A:$A,0)),INDEX(Base!$V:$V,MATCH($A34,Base!$A:$A,0)),0)))</f>
        <v>12.42789</v>
      </c>
      <c r="KX34" s="21">
        <f>IF(KX$1&lt;INDEX('Valo FX'!$Q:$Q,MATCH($A34,'Valo FX'!$A:$A,0)),0,IF(KX$1&lt;INDEX('Valo FX'!$R:$R,MATCH($A34,'Valo FX'!$A:$A,0)),INDEX(Base!$U:$U,MATCH($A34,Base!$A:$A,0)),IF(KX$1=INDEX('Valo FX'!$R:$R,MATCH($A34,'Valo FX'!$A:$A,0)),INDEX(Base!$V:$V,MATCH($A34,Base!$A:$A,0)),0)))</f>
        <v>12.42789</v>
      </c>
      <c r="KY34" s="21">
        <f>IF(KY$1&lt;INDEX('Valo FX'!$Q:$Q,MATCH($A34,'Valo FX'!$A:$A,0)),0,IF(KY$1&lt;INDEX('Valo FX'!$R:$R,MATCH($A34,'Valo FX'!$A:$A,0)),INDEX(Base!$U:$U,MATCH($A34,Base!$A:$A,0)),IF(KY$1=INDEX('Valo FX'!$R:$R,MATCH($A34,'Valo FX'!$A:$A,0)),INDEX(Base!$V:$V,MATCH($A34,Base!$A:$A,0)),0)))</f>
        <v>12.42789</v>
      </c>
      <c r="KZ34" s="21">
        <f>IF(KZ$1&lt;INDEX('Valo FX'!$Q:$Q,MATCH($A34,'Valo FX'!$A:$A,0)),0,IF(KZ$1&lt;INDEX('Valo FX'!$R:$R,MATCH($A34,'Valo FX'!$A:$A,0)),INDEX(Base!$U:$U,MATCH($A34,Base!$A:$A,0)),IF(KZ$1=INDEX('Valo FX'!$R:$R,MATCH($A34,'Valo FX'!$A:$A,0)),INDEX(Base!$V:$V,MATCH($A34,Base!$A:$A,0)),0)))</f>
        <v>12.42789</v>
      </c>
      <c r="LA34" s="21">
        <f>IF(LA$1&lt;INDEX('Valo FX'!$Q:$Q,MATCH($A34,'Valo FX'!$A:$A,0)),0,IF(LA$1&lt;INDEX('Valo FX'!$R:$R,MATCH($A34,'Valo FX'!$A:$A,0)),INDEX(Base!$U:$U,MATCH($A34,Base!$A:$A,0)),IF(LA$1=INDEX('Valo FX'!$R:$R,MATCH($A34,'Valo FX'!$A:$A,0)),INDEX(Base!$V:$V,MATCH($A34,Base!$A:$A,0)),0)))</f>
        <v>12.42789</v>
      </c>
      <c r="LB34" s="21">
        <f>IF(LB$1&lt;INDEX('Valo FX'!$Q:$Q,MATCH($A34,'Valo FX'!$A:$A,0)),0,IF(LB$1&lt;INDEX('Valo FX'!$R:$R,MATCH($A34,'Valo FX'!$A:$A,0)),INDEX(Base!$U:$U,MATCH($A34,Base!$A:$A,0)),IF(LB$1=INDEX('Valo FX'!$R:$R,MATCH($A34,'Valo FX'!$A:$A,0)),INDEX(Base!$V:$V,MATCH($A34,Base!$A:$A,0)),0)))</f>
        <v>12.42789</v>
      </c>
      <c r="LC34" s="21">
        <f>IF(LC$1&lt;INDEX('Valo FX'!$Q:$Q,MATCH($A34,'Valo FX'!$A:$A,0)),0,IF(LC$1&lt;INDEX('Valo FX'!$R:$R,MATCH($A34,'Valo FX'!$A:$A,0)),INDEX(Base!$U:$U,MATCH($A34,Base!$A:$A,0)),IF(LC$1=INDEX('Valo FX'!$R:$R,MATCH($A34,'Valo FX'!$A:$A,0)),INDEX(Base!$V:$V,MATCH($A34,Base!$A:$A,0)),0)))</f>
        <v>12.42789</v>
      </c>
      <c r="LD34" s="21">
        <f>IF(LD$1&lt;INDEX('Valo FX'!$Q:$Q,MATCH($A34,'Valo FX'!$A:$A,0)),0,IF(LD$1&lt;INDEX('Valo FX'!$R:$R,MATCH($A34,'Valo FX'!$A:$A,0)),INDEX(Base!$U:$U,MATCH($A34,Base!$A:$A,0)),IF(LD$1=INDEX('Valo FX'!$R:$R,MATCH($A34,'Valo FX'!$A:$A,0)),INDEX(Base!$V:$V,MATCH($A34,Base!$A:$A,0)),0)))</f>
        <v>12.42789</v>
      </c>
      <c r="LE34" s="21">
        <f>IF(LE$1&lt;INDEX('Valo FX'!$Q:$Q,MATCH($A34,'Valo FX'!$A:$A,0)),0,IF(LE$1&lt;INDEX('Valo FX'!$R:$R,MATCH($A34,'Valo FX'!$A:$A,0)),INDEX(Base!$U:$U,MATCH($A34,Base!$A:$A,0)),IF(LE$1=INDEX('Valo FX'!$R:$R,MATCH($A34,'Valo FX'!$A:$A,0)),INDEX(Base!$V:$V,MATCH($A34,Base!$A:$A,0)),0)))</f>
        <v>12.42789</v>
      </c>
      <c r="LF34" s="21">
        <f>IF(LF$1&lt;INDEX('Valo FX'!$Q:$Q,MATCH($A34,'Valo FX'!$A:$A,0)),0,IF(LF$1&lt;INDEX('Valo FX'!$R:$R,MATCH($A34,'Valo FX'!$A:$A,0)),INDEX(Base!$U:$U,MATCH($A34,Base!$A:$A,0)),IF(LF$1=INDEX('Valo FX'!$R:$R,MATCH($A34,'Valo FX'!$A:$A,0)),INDEX(Base!$V:$V,MATCH($A34,Base!$A:$A,0)),0)))</f>
        <v>12.42789</v>
      </c>
      <c r="LG34" s="21">
        <f>IF(LG$1&lt;INDEX('Valo FX'!$Q:$Q,MATCH($A34,'Valo FX'!$A:$A,0)),0,IF(LG$1&lt;INDEX('Valo FX'!$R:$R,MATCH($A34,'Valo FX'!$A:$A,0)),INDEX(Base!$U:$U,MATCH($A34,Base!$A:$A,0)),IF(LG$1=INDEX('Valo FX'!$R:$R,MATCH($A34,'Valo FX'!$A:$A,0)),INDEX(Base!$V:$V,MATCH($A34,Base!$A:$A,0)),0)))</f>
        <v>12.42789</v>
      </c>
      <c r="LH34" s="21">
        <f>IF(LH$1&lt;INDEX('Valo FX'!$Q:$Q,MATCH($A34,'Valo FX'!$A:$A,0)),0,IF(LH$1&lt;INDEX('Valo FX'!$R:$R,MATCH($A34,'Valo FX'!$A:$A,0)),INDEX(Base!$U:$U,MATCH($A34,Base!$A:$A,0)),IF(LH$1=INDEX('Valo FX'!$R:$R,MATCH($A34,'Valo FX'!$A:$A,0)),INDEX(Base!$V:$V,MATCH($A34,Base!$A:$A,0)),0)))</f>
        <v>12.42789</v>
      </c>
      <c r="LI34" s="21">
        <f>IF(LI$1&lt;INDEX('Valo FX'!$Q:$Q,MATCH($A34,'Valo FX'!$A:$A,0)),0,IF(LI$1&lt;INDEX('Valo FX'!$R:$R,MATCH($A34,'Valo FX'!$A:$A,0)),INDEX(Base!$U:$U,MATCH($A34,Base!$A:$A,0)),IF(LI$1=INDEX('Valo FX'!$R:$R,MATCH($A34,'Valo FX'!$A:$A,0)),INDEX(Base!$V:$V,MATCH($A34,Base!$A:$A,0)),0)))</f>
        <v>12.42789</v>
      </c>
      <c r="LJ34" s="21">
        <f>IF(LJ$1&lt;INDEX('Valo FX'!$Q:$Q,MATCH($A34,'Valo FX'!$A:$A,0)),0,IF(LJ$1&lt;INDEX('Valo FX'!$R:$R,MATCH($A34,'Valo FX'!$A:$A,0)),INDEX(Base!$U:$U,MATCH($A34,Base!$A:$A,0)),IF(LJ$1=INDEX('Valo FX'!$R:$R,MATCH($A34,'Valo FX'!$A:$A,0)),INDEX(Base!$V:$V,MATCH($A34,Base!$A:$A,0)),0)))</f>
        <v>12.42789</v>
      </c>
      <c r="LK34" s="21">
        <f>IF(LK$1&lt;INDEX('Valo FX'!$Q:$Q,MATCH($A34,'Valo FX'!$A:$A,0)),0,IF(LK$1&lt;INDEX('Valo FX'!$R:$R,MATCH($A34,'Valo FX'!$A:$A,0)),INDEX(Base!$U:$U,MATCH($A34,Base!$A:$A,0)),IF(LK$1=INDEX('Valo FX'!$R:$R,MATCH($A34,'Valo FX'!$A:$A,0)),INDEX(Base!$V:$V,MATCH($A34,Base!$A:$A,0)),0)))</f>
        <v>12.42789</v>
      </c>
      <c r="LL34" s="21">
        <f>IF(LL$1&lt;INDEX('Valo FX'!$Q:$Q,MATCH($A34,'Valo FX'!$A:$A,0)),0,IF(LL$1&lt;INDEX('Valo FX'!$R:$R,MATCH($A34,'Valo FX'!$A:$A,0)),INDEX(Base!$U:$U,MATCH($A34,Base!$A:$A,0)),IF(LL$1=INDEX('Valo FX'!$R:$R,MATCH($A34,'Valo FX'!$A:$A,0)),INDEX(Base!$V:$V,MATCH($A34,Base!$A:$A,0)),0)))</f>
        <v>12.42789</v>
      </c>
      <c r="LM34" s="21">
        <f>IF(LM$1&lt;INDEX('Valo FX'!$Q:$Q,MATCH($A34,'Valo FX'!$A:$A,0)),0,IF(LM$1&lt;INDEX('Valo FX'!$R:$R,MATCH($A34,'Valo FX'!$A:$A,0)),INDEX(Base!$U:$U,MATCH($A34,Base!$A:$A,0)),IF(LM$1=INDEX('Valo FX'!$R:$R,MATCH($A34,'Valo FX'!$A:$A,0)),INDEX(Base!$V:$V,MATCH($A34,Base!$A:$A,0)),0)))</f>
        <v>12.42789</v>
      </c>
      <c r="LN34" s="21">
        <f>IF(LN$1&lt;INDEX('Valo FX'!$Q:$Q,MATCH($A34,'Valo FX'!$A:$A,0)),0,IF(LN$1&lt;INDEX('Valo FX'!$R:$R,MATCH($A34,'Valo FX'!$A:$A,0)),INDEX(Base!$U:$U,MATCH($A34,Base!$A:$A,0)),IF(LN$1=INDEX('Valo FX'!$R:$R,MATCH($A34,'Valo FX'!$A:$A,0)),INDEX(Base!$V:$V,MATCH($A34,Base!$A:$A,0)),0)))</f>
        <v>12.42789</v>
      </c>
      <c r="LO34" s="21">
        <f>IF(LO$1&lt;INDEX('Valo FX'!$Q:$Q,MATCH($A34,'Valo FX'!$A:$A,0)),0,IF(LO$1&lt;INDEX('Valo FX'!$R:$R,MATCH($A34,'Valo FX'!$A:$A,0)),INDEX(Base!$U:$U,MATCH($A34,Base!$A:$A,0)),IF(LO$1=INDEX('Valo FX'!$R:$R,MATCH($A34,'Valo FX'!$A:$A,0)),INDEX(Base!$V:$V,MATCH($A34,Base!$A:$A,0)),0)))</f>
        <v>12.42789</v>
      </c>
      <c r="LP34" s="21">
        <f>IF(LP$1&lt;INDEX('Valo FX'!$Q:$Q,MATCH($A34,'Valo FX'!$A:$A,0)),0,IF(LP$1&lt;INDEX('Valo FX'!$R:$R,MATCH($A34,'Valo FX'!$A:$A,0)),INDEX(Base!$U:$U,MATCH($A34,Base!$A:$A,0)),IF(LP$1=INDEX('Valo FX'!$R:$R,MATCH($A34,'Valo FX'!$A:$A,0)),INDEX(Base!$V:$V,MATCH($A34,Base!$A:$A,0)),0)))</f>
        <v>12.42789</v>
      </c>
      <c r="LQ34" s="21">
        <f>IF(LQ$1&lt;INDEX('Valo FX'!$Q:$Q,MATCH($A34,'Valo FX'!$A:$A,0)),0,IF(LQ$1&lt;INDEX('Valo FX'!$R:$R,MATCH($A34,'Valo FX'!$A:$A,0)),INDEX(Base!$U:$U,MATCH($A34,Base!$A:$A,0)),IF(LQ$1=INDEX('Valo FX'!$R:$R,MATCH($A34,'Valo FX'!$A:$A,0)),INDEX(Base!$V:$V,MATCH($A34,Base!$A:$A,0)),0)))</f>
        <v>12.42789</v>
      </c>
      <c r="LR34" s="21">
        <f>IF(LR$1&lt;INDEX('Valo FX'!$Q:$Q,MATCH($A34,'Valo FX'!$A:$A,0)),0,IF(LR$1&lt;INDEX('Valo FX'!$R:$R,MATCH($A34,'Valo FX'!$A:$A,0)),INDEX(Base!$U:$U,MATCH($A34,Base!$A:$A,0)),IF(LR$1=INDEX('Valo FX'!$R:$R,MATCH($A34,'Valo FX'!$A:$A,0)),INDEX(Base!$V:$V,MATCH($A34,Base!$A:$A,0)),0)))</f>
        <v>12.42789</v>
      </c>
      <c r="LS34" s="21">
        <f>IF(LS$1&lt;INDEX('Valo FX'!$Q:$Q,MATCH($A34,'Valo FX'!$A:$A,0)),0,IF(LS$1&lt;INDEX('Valo FX'!$R:$R,MATCH($A34,'Valo FX'!$A:$A,0)),INDEX(Base!$U:$U,MATCH($A34,Base!$A:$A,0)),IF(LS$1=INDEX('Valo FX'!$R:$R,MATCH($A34,'Valo FX'!$A:$A,0)),INDEX(Base!$V:$V,MATCH($A34,Base!$A:$A,0)),0)))</f>
        <v>12.42789</v>
      </c>
      <c r="LT34" s="21">
        <f>IF(LT$1&lt;INDEX('Valo FX'!$Q:$Q,MATCH($A34,'Valo FX'!$A:$A,0)),0,IF(LT$1&lt;INDEX('Valo FX'!$R:$R,MATCH($A34,'Valo FX'!$A:$A,0)),INDEX(Base!$U:$U,MATCH($A34,Base!$A:$A,0)),IF(LT$1=INDEX('Valo FX'!$R:$R,MATCH($A34,'Valo FX'!$A:$A,0)),INDEX(Base!$V:$V,MATCH($A34,Base!$A:$A,0)),0)))</f>
        <v>12.42789</v>
      </c>
      <c r="LU34" s="21">
        <f>IF(LU$1&lt;INDEX('Valo FX'!$Q:$Q,MATCH($A34,'Valo FX'!$A:$A,0)),0,IF(LU$1&lt;INDEX('Valo FX'!$R:$R,MATCH($A34,'Valo FX'!$A:$A,0)),INDEX(Base!$U:$U,MATCH($A34,Base!$A:$A,0)),IF(LU$1=INDEX('Valo FX'!$R:$R,MATCH($A34,'Valo FX'!$A:$A,0)),INDEX(Base!$V:$V,MATCH($A34,Base!$A:$A,0)),0)))</f>
        <v>12.42789</v>
      </c>
      <c r="LV34" s="21">
        <f>IF(LV$1&lt;INDEX('Valo FX'!$Q:$Q,MATCH($A34,'Valo FX'!$A:$A,0)),0,IF(LV$1&lt;INDEX('Valo FX'!$R:$R,MATCH($A34,'Valo FX'!$A:$A,0)),INDEX(Base!$U:$U,MATCH($A34,Base!$A:$A,0)),IF(LV$1=INDEX('Valo FX'!$R:$R,MATCH($A34,'Valo FX'!$A:$A,0)),INDEX(Base!$V:$V,MATCH($A34,Base!$A:$A,0)),0)))</f>
        <v>12.42789</v>
      </c>
      <c r="LW34" s="21">
        <f>IF(LW$1&lt;INDEX('Valo FX'!$Q:$Q,MATCH($A34,'Valo FX'!$A:$A,0)),0,IF(LW$1&lt;INDEX('Valo FX'!$R:$R,MATCH($A34,'Valo FX'!$A:$A,0)),INDEX(Base!$U:$U,MATCH($A34,Base!$A:$A,0)),IF(LW$1=INDEX('Valo FX'!$R:$R,MATCH($A34,'Valo FX'!$A:$A,0)),INDEX(Base!$V:$V,MATCH($A34,Base!$A:$A,0)),0)))</f>
        <v>12.42789</v>
      </c>
      <c r="LX34" s="21">
        <f>IF(LX$1&lt;INDEX('Valo FX'!$Q:$Q,MATCH($A34,'Valo FX'!$A:$A,0)),0,IF(LX$1&lt;INDEX('Valo FX'!$R:$R,MATCH($A34,'Valo FX'!$A:$A,0)),INDEX(Base!$U:$U,MATCH($A34,Base!$A:$A,0)),IF(LX$1=INDEX('Valo FX'!$R:$R,MATCH($A34,'Valo FX'!$A:$A,0)),INDEX(Base!$V:$V,MATCH($A34,Base!$A:$A,0)),0)))</f>
        <v>12.42789</v>
      </c>
      <c r="LY34" s="21">
        <f>IF(LY$1&lt;INDEX('Valo FX'!$Q:$Q,MATCH($A34,'Valo FX'!$A:$A,0)),0,IF(LY$1&lt;INDEX('Valo FX'!$R:$R,MATCH($A34,'Valo FX'!$A:$A,0)),INDEX(Base!$U:$U,MATCH($A34,Base!$A:$A,0)),IF(LY$1=INDEX('Valo FX'!$R:$R,MATCH($A34,'Valo FX'!$A:$A,0)),INDEX(Base!$V:$V,MATCH($A34,Base!$A:$A,0)),0)))</f>
        <v>12.42789</v>
      </c>
      <c r="LZ34" s="21">
        <f>IF(LZ$1&lt;INDEX('Valo FX'!$Q:$Q,MATCH($A34,'Valo FX'!$A:$A,0)),0,IF(LZ$1&lt;INDEX('Valo FX'!$R:$R,MATCH($A34,'Valo FX'!$A:$A,0)),INDEX(Base!$U:$U,MATCH($A34,Base!$A:$A,0)),IF(LZ$1=INDEX('Valo FX'!$R:$R,MATCH($A34,'Valo FX'!$A:$A,0)),INDEX(Base!$V:$V,MATCH($A34,Base!$A:$A,0)),0)))</f>
        <v>12.42789</v>
      </c>
      <c r="MA34" s="21">
        <f>IF(MA$1&lt;INDEX('Valo FX'!$Q:$Q,MATCH($A34,'Valo FX'!$A:$A,0)),0,IF(MA$1&lt;INDEX('Valo FX'!$R:$R,MATCH($A34,'Valo FX'!$A:$A,0)),INDEX(Base!$U:$U,MATCH($A34,Base!$A:$A,0)),IF(MA$1=INDEX('Valo FX'!$R:$R,MATCH($A34,'Valo FX'!$A:$A,0)),INDEX(Base!$V:$V,MATCH($A34,Base!$A:$A,0)),0)))</f>
        <v>12.42789</v>
      </c>
      <c r="MB34" s="21">
        <f>IF(MB$1&lt;INDEX('Valo FX'!$Q:$Q,MATCH($A34,'Valo FX'!$A:$A,0)),0,IF(MB$1&lt;INDEX('Valo FX'!$R:$R,MATCH($A34,'Valo FX'!$A:$A,0)),INDEX(Base!$U:$U,MATCH($A34,Base!$A:$A,0)),IF(MB$1=INDEX('Valo FX'!$R:$R,MATCH($A34,'Valo FX'!$A:$A,0)),INDEX(Base!$V:$V,MATCH($A34,Base!$A:$A,0)),0)))</f>
        <v>12.42789</v>
      </c>
      <c r="MC34" s="21">
        <f>IF(MC$1&lt;INDEX('Valo FX'!$Q:$Q,MATCH($A34,'Valo FX'!$A:$A,0)),0,IF(MC$1&lt;INDEX('Valo FX'!$R:$R,MATCH($A34,'Valo FX'!$A:$A,0)),INDEX(Base!$U:$U,MATCH($A34,Base!$A:$A,0)),IF(MC$1=INDEX('Valo FX'!$R:$R,MATCH($A34,'Valo FX'!$A:$A,0)),INDEX(Base!$V:$V,MATCH($A34,Base!$A:$A,0)),0)))</f>
        <v>12.42789</v>
      </c>
      <c r="MD34" s="21">
        <f>IF(MD$1&lt;INDEX('Valo FX'!$Q:$Q,MATCH($A34,'Valo FX'!$A:$A,0)),0,IF(MD$1&lt;INDEX('Valo FX'!$R:$R,MATCH($A34,'Valo FX'!$A:$A,0)),INDEX(Base!$U:$U,MATCH($A34,Base!$A:$A,0)),IF(MD$1=INDEX('Valo FX'!$R:$R,MATCH($A34,'Valo FX'!$A:$A,0)),INDEX(Base!$V:$V,MATCH($A34,Base!$A:$A,0)),0)))</f>
        <v>12.42789</v>
      </c>
      <c r="ME34" s="21">
        <f>IF(ME$1&lt;INDEX('Valo FX'!$Q:$Q,MATCH($A34,'Valo FX'!$A:$A,0)),0,IF(ME$1&lt;INDEX('Valo FX'!$R:$R,MATCH($A34,'Valo FX'!$A:$A,0)),INDEX(Base!$U:$U,MATCH($A34,Base!$A:$A,0)),IF(ME$1=INDEX('Valo FX'!$R:$R,MATCH($A34,'Valo FX'!$A:$A,0)),INDEX(Base!$V:$V,MATCH($A34,Base!$A:$A,0)),0)))</f>
        <v>12.42789</v>
      </c>
      <c r="MF34" s="21">
        <f>IF(MF$1&lt;INDEX('Valo FX'!$Q:$Q,MATCH($A34,'Valo FX'!$A:$A,0)),0,IF(MF$1&lt;INDEX('Valo FX'!$R:$R,MATCH($A34,'Valo FX'!$A:$A,0)),INDEX(Base!$U:$U,MATCH($A34,Base!$A:$A,0)),IF(MF$1=INDEX('Valo FX'!$R:$R,MATCH($A34,'Valo FX'!$A:$A,0)),INDEX(Base!$V:$V,MATCH($A34,Base!$A:$A,0)),0)))</f>
        <v>12.42789</v>
      </c>
      <c r="MG34" s="21">
        <f>IF(MG$1&lt;INDEX('Valo FX'!$Q:$Q,MATCH($A34,'Valo FX'!$A:$A,0)),0,IF(MG$1&lt;INDEX('Valo FX'!$R:$R,MATCH($A34,'Valo FX'!$A:$A,0)),INDEX(Base!$U:$U,MATCH($A34,Base!$A:$A,0)),IF(MG$1=INDEX('Valo FX'!$R:$R,MATCH($A34,'Valo FX'!$A:$A,0)),INDEX(Base!$V:$V,MATCH($A34,Base!$A:$A,0)),0)))</f>
        <v>12.42789</v>
      </c>
      <c r="MH34" s="21">
        <f>IF(MH$1&lt;INDEX('Valo FX'!$Q:$Q,MATCH($A34,'Valo FX'!$A:$A,0)),0,IF(MH$1&lt;INDEX('Valo FX'!$R:$R,MATCH($A34,'Valo FX'!$A:$A,0)),INDEX(Base!$U:$U,MATCH($A34,Base!$A:$A,0)),IF(MH$1=INDEX('Valo FX'!$R:$R,MATCH($A34,'Valo FX'!$A:$A,0)),INDEX(Base!$V:$V,MATCH($A34,Base!$A:$A,0)),0)))</f>
        <v>12.42789</v>
      </c>
      <c r="MI34" s="21">
        <f>IF(MI$1&lt;INDEX('Valo FX'!$Q:$Q,MATCH($A34,'Valo FX'!$A:$A,0)),0,IF(MI$1&lt;INDEX('Valo FX'!$R:$R,MATCH($A34,'Valo FX'!$A:$A,0)),INDEX(Base!$U:$U,MATCH($A34,Base!$A:$A,0)),IF(MI$1=INDEX('Valo FX'!$R:$R,MATCH($A34,'Valo FX'!$A:$A,0)),INDEX(Base!$V:$V,MATCH($A34,Base!$A:$A,0)),0)))</f>
        <v>12.42789</v>
      </c>
      <c r="MJ34" s="21">
        <f>IF(MJ$1&lt;INDEX('Valo FX'!$Q:$Q,MATCH($A34,'Valo FX'!$A:$A,0)),0,IF(MJ$1&lt;INDEX('Valo FX'!$R:$R,MATCH($A34,'Valo FX'!$A:$A,0)),INDEX(Base!$U:$U,MATCH($A34,Base!$A:$A,0)),IF(MJ$1=INDEX('Valo FX'!$R:$R,MATCH($A34,'Valo FX'!$A:$A,0)),INDEX(Base!$V:$V,MATCH($A34,Base!$A:$A,0)),0)))</f>
        <v>12.42789</v>
      </c>
      <c r="MK34" s="21">
        <f>IF(MK$1&lt;INDEX('Valo FX'!$Q:$Q,MATCH($A34,'Valo FX'!$A:$A,0)),0,IF(MK$1&lt;INDEX('Valo FX'!$R:$R,MATCH($A34,'Valo FX'!$A:$A,0)),INDEX(Base!$U:$U,MATCH($A34,Base!$A:$A,0)),IF(MK$1=INDEX('Valo FX'!$R:$R,MATCH($A34,'Valo FX'!$A:$A,0)),INDEX(Base!$V:$V,MATCH($A34,Base!$A:$A,0)),0)))</f>
        <v>12.42789</v>
      </c>
      <c r="ML34" s="21">
        <f>IF(ML$1&lt;INDEX('Valo FX'!$Q:$Q,MATCH($A34,'Valo FX'!$A:$A,0)),0,IF(ML$1&lt;INDEX('Valo FX'!$R:$R,MATCH($A34,'Valo FX'!$A:$A,0)),INDEX(Base!$U:$U,MATCH($A34,Base!$A:$A,0)),IF(ML$1=INDEX('Valo FX'!$R:$R,MATCH($A34,'Valo FX'!$A:$A,0)),INDEX(Base!$V:$V,MATCH($A34,Base!$A:$A,0)),0)))</f>
        <v>12.42789</v>
      </c>
      <c r="MM34" s="21">
        <f>IF(MM$1&lt;INDEX('Valo FX'!$Q:$Q,MATCH($A34,'Valo FX'!$A:$A,0)),0,IF(MM$1&lt;INDEX('Valo FX'!$R:$R,MATCH($A34,'Valo FX'!$A:$A,0)),INDEX(Base!$U:$U,MATCH($A34,Base!$A:$A,0)),IF(MM$1=INDEX('Valo FX'!$R:$R,MATCH($A34,'Valo FX'!$A:$A,0)),INDEX(Base!$V:$V,MATCH($A34,Base!$A:$A,0)),0)))</f>
        <v>12.42789</v>
      </c>
      <c r="MN34" s="21">
        <f>IF(MN$1&lt;INDEX('Valo FX'!$Q:$Q,MATCH($A34,'Valo FX'!$A:$A,0)),0,IF(MN$1&lt;INDEX('Valo FX'!$R:$R,MATCH($A34,'Valo FX'!$A:$A,0)),INDEX(Base!$U:$U,MATCH($A34,Base!$A:$A,0)),IF(MN$1=INDEX('Valo FX'!$R:$R,MATCH($A34,'Valo FX'!$A:$A,0)),INDEX(Base!$V:$V,MATCH($A34,Base!$A:$A,0)),0)))</f>
        <v>12.42789</v>
      </c>
      <c r="MO34" s="21">
        <f>IF(MO$1&lt;INDEX('Valo FX'!$Q:$Q,MATCH($A34,'Valo FX'!$A:$A,0)),0,IF(MO$1&lt;INDEX('Valo FX'!$R:$R,MATCH($A34,'Valo FX'!$A:$A,0)),INDEX(Base!$U:$U,MATCH($A34,Base!$A:$A,0)),IF(MO$1=INDEX('Valo FX'!$R:$R,MATCH($A34,'Valo FX'!$A:$A,0)),INDEX(Base!$V:$V,MATCH($A34,Base!$A:$A,0)),0)))</f>
        <v>12.42789</v>
      </c>
      <c r="MP34" s="21">
        <f>IF(MP$1&lt;INDEX('Valo FX'!$Q:$Q,MATCH($A34,'Valo FX'!$A:$A,0)),0,IF(MP$1&lt;INDEX('Valo FX'!$R:$R,MATCH($A34,'Valo FX'!$A:$A,0)),INDEX(Base!$U:$U,MATCH($A34,Base!$A:$A,0)),IF(MP$1=INDEX('Valo FX'!$R:$R,MATCH($A34,'Valo FX'!$A:$A,0)),INDEX(Base!$V:$V,MATCH($A34,Base!$A:$A,0)),0)))</f>
        <v>12.42789</v>
      </c>
      <c r="MQ34" s="21">
        <f>IF(MQ$1&lt;INDEX('Valo FX'!$Q:$Q,MATCH($A34,'Valo FX'!$A:$A,0)),0,IF(MQ$1&lt;INDEX('Valo FX'!$R:$R,MATCH($A34,'Valo FX'!$A:$A,0)),INDEX(Base!$U:$U,MATCH($A34,Base!$A:$A,0)),IF(MQ$1=INDEX('Valo FX'!$R:$R,MATCH($A34,'Valo FX'!$A:$A,0)),INDEX(Base!$V:$V,MATCH($A34,Base!$A:$A,0)),0)))</f>
        <v>12.42789</v>
      </c>
      <c r="MR34" s="21">
        <f>IF(MR$1&lt;INDEX('Valo FX'!$Q:$Q,MATCH($A34,'Valo FX'!$A:$A,0)),0,IF(MR$1&lt;INDEX('Valo FX'!$R:$R,MATCH($A34,'Valo FX'!$A:$A,0)),INDEX(Base!$U:$U,MATCH($A34,Base!$A:$A,0)),IF(MR$1=INDEX('Valo FX'!$R:$R,MATCH($A34,'Valo FX'!$A:$A,0)),INDEX(Base!$V:$V,MATCH($A34,Base!$A:$A,0)),0)))</f>
        <v>12.42789</v>
      </c>
      <c r="MS34" s="21">
        <f>IF(MS$1&lt;INDEX('Valo FX'!$Q:$Q,MATCH($A34,'Valo FX'!$A:$A,0)),0,IF(MS$1&lt;INDEX('Valo FX'!$R:$R,MATCH($A34,'Valo FX'!$A:$A,0)),INDEX(Base!$U:$U,MATCH($A34,Base!$A:$A,0)),IF(MS$1=INDEX('Valo FX'!$R:$R,MATCH($A34,'Valo FX'!$A:$A,0)),INDEX(Base!$V:$V,MATCH($A34,Base!$A:$A,0)),0)))</f>
        <v>12.42789</v>
      </c>
      <c r="MT34" s="21">
        <f>IF(MT$1&lt;INDEX('Valo FX'!$Q:$Q,MATCH($A34,'Valo FX'!$A:$A,0)),0,IF(MT$1&lt;INDEX('Valo FX'!$R:$R,MATCH($A34,'Valo FX'!$A:$A,0)),INDEX(Base!$U:$U,MATCH($A34,Base!$A:$A,0)),IF(MT$1=INDEX('Valo FX'!$R:$R,MATCH($A34,'Valo FX'!$A:$A,0)),INDEX(Base!$V:$V,MATCH($A34,Base!$A:$A,0)),0)))</f>
        <v>12.42789</v>
      </c>
      <c r="MU34" s="21">
        <f>IF(MU$1&lt;INDEX('Valo FX'!$Q:$Q,MATCH($A34,'Valo FX'!$A:$A,0)),0,IF(MU$1&lt;INDEX('Valo FX'!$R:$R,MATCH($A34,'Valo FX'!$A:$A,0)),INDEX(Base!$U:$U,MATCH($A34,Base!$A:$A,0)),IF(MU$1=INDEX('Valo FX'!$R:$R,MATCH($A34,'Valo FX'!$A:$A,0)),INDEX(Base!$V:$V,MATCH($A34,Base!$A:$A,0)),0)))</f>
        <v>12.42789</v>
      </c>
      <c r="MV34" s="21">
        <f>IF(MV$1&lt;INDEX('Valo FX'!$Q:$Q,MATCH($A34,'Valo FX'!$A:$A,0)),0,IF(MV$1&lt;INDEX('Valo FX'!$R:$R,MATCH($A34,'Valo FX'!$A:$A,0)),INDEX(Base!$U:$U,MATCH($A34,Base!$A:$A,0)),IF(MV$1=INDEX('Valo FX'!$R:$R,MATCH($A34,'Valo FX'!$A:$A,0)),INDEX(Base!$V:$V,MATCH($A34,Base!$A:$A,0)),0)))</f>
        <v>12.42789</v>
      </c>
      <c r="MW34" s="21">
        <f>IF(MW$1&lt;INDEX('Valo FX'!$Q:$Q,MATCH($A34,'Valo FX'!$A:$A,0)),0,IF(MW$1&lt;INDEX('Valo FX'!$R:$R,MATCH($A34,'Valo FX'!$A:$A,0)),INDEX(Base!$U:$U,MATCH($A34,Base!$A:$A,0)),IF(MW$1=INDEX('Valo FX'!$R:$R,MATCH($A34,'Valo FX'!$A:$A,0)),INDEX(Base!$V:$V,MATCH($A34,Base!$A:$A,0)),0)))</f>
        <v>12.42789</v>
      </c>
      <c r="MX34" s="21">
        <f>IF(MX$1&lt;INDEX('Valo FX'!$Q:$Q,MATCH($A34,'Valo FX'!$A:$A,0)),0,IF(MX$1&lt;INDEX('Valo FX'!$R:$R,MATCH($A34,'Valo FX'!$A:$A,0)),INDEX(Base!$U:$U,MATCH($A34,Base!$A:$A,0)),IF(MX$1=INDEX('Valo FX'!$R:$R,MATCH($A34,'Valo FX'!$A:$A,0)),INDEX(Base!$V:$V,MATCH($A34,Base!$A:$A,0)),0)))</f>
        <v>12.42789</v>
      </c>
      <c r="MY34" s="21">
        <f>IF(MY$1&lt;INDEX('Valo FX'!$Q:$Q,MATCH($A34,'Valo FX'!$A:$A,0)),0,IF(MY$1&lt;INDEX('Valo FX'!$R:$R,MATCH($A34,'Valo FX'!$A:$A,0)),INDEX(Base!$U:$U,MATCH($A34,Base!$A:$A,0)),IF(MY$1=INDEX('Valo FX'!$R:$R,MATCH($A34,'Valo FX'!$A:$A,0)),INDEX(Base!$V:$V,MATCH($A34,Base!$A:$A,0)),0)))</f>
        <v>12.817024999999999</v>
      </c>
    </row>
    <row r="35" spans="1:363" x14ac:dyDescent="0.25">
      <c r="A35" s="7">
        <f t="shared" si="12"/>
        <v>33</v>
      </c>
      <c r="B35" s="59">
        <f>-'Valo FX'!T36</f>
        <v>-1335.7399053834927</v>
      </c>
      <c r="C35" s="21">
        <f>IF(C$1&lt;INDEX('Valo FX'!$Q:$Q,MATCH($A35,'Valo FX'!$A:$A,0)),0,IF(C$1&lt;INDEX('Valo FX'!$R:$R,MATCH($A35,'Valo FX'!$A:$A,0)),INDEX(Base!$U:$U,MATCH($A35,Base!$A:$A,0)),IF(C$1=INDEX('Valo FX'!$R:$R,MATCH($A35,'Valo FX'!$A:$A,0)),INDEX(Base!$V:$V,MATCH($A35,Base!$A:$A,0)),0)))</f>
        <v>0</v>
      </c>
      <c r="D35" s="21">
        <f>IF(D$1&lt;INDEX('Valo FX'!$Q:$Q,MATCH($A35,'Valo FX'!$A:$A,0)),0,IF(D$1&lt;INDEX('Valo FX'!$R:$R,MATCH($A35,'Valo FX'!$A:$A,0)),INDEX(Base!$U:$U,MATCH($A35,Base!$A:$A,0)),IF(D$1=INDEX('Valo FX'!$R:$R,MATCH($A35,'Valo FX'!$A:$A,0)),INDEX(Base!$V:$V,MATCH($A35,Base!$A:$A,0)),0)))</f>
        <v>0</v>
      </c>
      <c r="E35" s="21">
        <f>IF(E$1&lt;INDEX('Valo FX'!$Q:$Q,MATCH($A35,'Valo FX'!$A:$A,0)),0,IF(E$1&lt;INDEX('Valo FX'!$R:$R,MATCH($A35,'Valo FX'!$A:$A,0)),INDEX(Base!$U:$U,MATCH($A35,Base!$A:$A,0)),IF(E$1=INDEX('Valo FX'!$R:$R,MATCH($A35,'Valo FX'!$A:$A,0)),INDEX(Base!$V:$V,MATCH($A35,Base!$A:$A,0)),0)))</f>
        <v>0</v>
      </c>
      <c r="F35" s="21">
        <f>IF(F$1&lt;INDEX('Valo FX'!$Q:$Q,MATCH($A35,'Valo FX'!$A:$A,0)),0,IF(F$1&lt;INDEX('Valo FX'!$R:$R,MATCH($A35,'Valo FX'!$A:$A,0)),INDEX(Base!$U:$U,MATCH($A35,Base!$A:$A,0)),IF(F$1=INDEX('Valo FX'!$R:$R,MATCH($A35,'Valo FX'!$A:$A,0)),INDEX(Base!$V:$V,MATCH($A35,Base!$A:$A,0)),0)))</f>
        <v>0</v>
      </c>
      <c r="G35" s="21">
        <f>IF(G$1&lt;INDEX('Valo FX'!$Q:$Q,MATCH($A35,'Valo FX'!$A:$A,0)),0,IF(G$1&lt;INDEX('Valo FX'!$R:$R,MATCH($A35,'Valo FX'!$A:$A,0)),INDEX(Base!$U:$U,MATCH($A35,Base!$A:$A,0)),IF(G$1=INDEX('Valo FX'!$R:$R,MATCH($A35,'Valo FX'!$A:$A,0)),INDEX(Base!$V:$V,MATCH($A35,Base!$A:$A,0)),0)))</f>
        <v>0</v>
      </c>
      <c r="H35" s="21">
        <f>IF(H$1&lt;INDEX('Valo FX'!$Q:$Q,MATCH($A35,'Valo FX'!$A:$A,0)),0,IF(H$1&lt;INDEX('Valo FX'!$R:$R,MATCH($A35,'Valo FX'!$A:$A,0)),INDEX(Base!$U:$U,MATCH($A35,Base!$A:$A,0)),IF(H$1=INDEX('Valo FX'!$R:$R,MATCH($A35,'Valo FX'!$A:$A,0)),INDEX(Base!$V:$V,MATCH($A35,Base!$A:$A,0)),0)))</f>
        <v>0</v>
      </c>
      <c r="I35" s="21">
        <f>IF(I$1&lt;INDEX('Valo FX'!$Q:$Q,MATCH($A35,'Valo FX'!$A:$A,0)),0,IF(I$1&lt;INDEX('Valo FX'!$R:$R,MATCH($A35,'Valo FX'!$A:$A,0)),INDEX(Base!$U:$U,MATCH($A35,Base!$A:$A,0)),IF(I$1=INDEX('Valo FX'!$R:$R,MATCH($A35,'Valo FX'!$A:$A,0)),INDEX(Base!$V:$V,MATCH($A35,Base!$A:$A,0)),0)))</f>
        <v>9.1517700000000008</v>
      </c>
      <c r="J35" s="21">
        <f>IF(J$1&lt;INDEX('Valo FX'!$Q:$Q,MATCH($A35,'Valo FX'!$A:$A,0)),0,IF(J$1&lt;INDEX('Valo FX'!$R:$R,MATCH($A35,'Valo FX'!$A:$A,0)),INDEX(Base!$U:$U,MATCH($A35,Base!$A:$A,0)),IF(J$1=INDEX('Valo FX'!$R:$R,MATCH($A35,'Valo FX'!$A:$A,0)),INDEX(Base!$V:$V,MATCH($A35,Base!$A:$A,0)),0)))</f>
        <v>9.1517700000000008</v>
      </c>
      <c r="K35" s="21">
        <f>IF(K$1&lt;INDEX('Valo FX'!$Q:$Q,MATCH($A35,'Valo FX'!$A:$A,0)),0,IF(K$1&lt;INDEX('Valo FX'!$R:$R,MATCH($A35,'Valo FX'!$A:$A,0)),INDEX(Base!$U:$U,MATCH($A35,Base!$A:$A,0)),IF(K$1=INDEX('Valo FX'!$R:$R,MATCH($A35,'Valo FX'!$A:$A,0)),INDEX(Base!$V:$V,MATCH($A35,Base!$A:$A,0)),0)))</f>
        <v>9.1517700000000008</v>
      </c>
      <c r="L35" s="21">
        <f>IF(L$1&lt;INDEX('Valo FX'!$Q:$Q,MATCH($A35,'Valo FX'!$A:$A,0)),0,IF(L$1&lt;INDEX('Valo FX'!$R:$R,MATCH($A35,'Valo FX'!$A:$A,0)),INDEX(Base!$U:$U,MATCH($A35,Base!$A:$A,0)),IF(L$1=INDEX('Valo FX'!$R:$R,MATCH($A35,'Valo FX'!$A:$A,0)),INDEX(Base!$V:$V,MATCH($A35,Base!$A:$A,0)),0)))</f>
        <v>9.1517700000000008</v>
      </c>
      <c r="M35" s="21">
        <f>IF(M$1&lt;INDEX('Valo FX'!$Q:$Q,MATCH($A35,'Valo FX'!$A:$A,0)),0,IF(M$1&lt;INDEX('Valo FX'!$R:$R,MATCH($A35,'Valo FX'!$A:$A,0)),INDEX(Base!$U:$U,MATCH($A35,Base!$A:$A,0)),IF(M$1=INDEX('Valo FX'!$R:$R,MATCH($A35,'Valo FX'!$A:$A,0)),INDEX(Base!$V:$V,MATCH($A35,Base!$A:$A,0)),0)))</f>
        <v>9.1517700000000008</v>
      </c>
      <c r="N35" s="21">
        <f>IF(N$1&lt;INDEX('Valo FX'!$Q:$Q,MATCH($A35,'Valo FX'!$A:$A,0)),0,IF(N$1&lt;INDEX('Valo FX'!$R:$R,MATCH($A35,'Valo FX'!$A:$A,0)),INDEX(Base!$U:$U,MATCH($A35,Base!$A:$A,0)),IF(N$1=INDEX('Valo FX'!$R:$R,MATCH($A35,'Valo FX'!$A:$A,0)),INDEX(Base!$V:$V,MATCH($A35,Base!$A:$A,0)),0)))</f>
        <v>9.1517700000000008</v>
      </c>
      <c r="O35" s="21">
        <f>IF(O$1&lt;INDEX('Valo FX'!$Q:$Q,MATCH($A35,'Valo FX'!$A:$A,0)),0,IF(O$1&lt;INDEX('Valo FX'!$R:$R,MATCH($A35,'Valo FX'!$A:$A,0)),INDEX(Base!$U:$U,MATCH($A35,Base!$A:$A,0)),IF(O$1=INDEX('Valo FX'!$R:$R,MATCH($A35,'Valo FX'!$A:$A,0)),INDEX(Base!$V:$V,MATCH($A35,Base!$A:$A,0)),0)))</f>
        <v>9.1517700000000008</v>
      </c>
      <c r="P35" s="21">
        <f>IF(P$1&lt;INDEX('Valo FX'!$Q:$Q,MATCH($A35,'Valo FX'!$A:$A,0)),0,IF(P$1&lt;INDEX('Valo FX'!$R:$R,MATCH($A35,'Valo FX'!$A:$A,0)),INDEX(Base!$U:$U,MATCH($A35,Base!$A:$A,0)),IF(P$1=INDEX('Valo FX'!$R:$R,MATCH($A35,'Valo FX'!$A:$A,0)),INDEX(Base!$V:$V,MATCH($A35,Base!$A:$A,0)),0)))</f>
        <v>9.1517700000000008</v>
      </c>
      <c r="Q35" s="21">
        <f>IF(Q$1&lt;INDEX('Valo FX'!$Q:$Q,MATCH($A35,'Valo FX'!$A:$A,0)),0,IF(Q$1&lt;INDEX('Valo FX'!$R:$R,MATCH($A35,'Valo FX'!$A:$A,0)),INDEX(Base!$U:$U,MATCH($A35,Base!$A:$A,0)),IF(Q$1=INDEX('Valo FX'!$R:$R,MATCH($A35,'Valo FX'!$A:$A,0)),INDEX(Base!$V:$V,MATCH($A35,Base!$A:$A,0)),0)))</f>
        <v>9.1517700000000008</v>
      </c>
      <c r="R35" s="21">
        <f>IF(R$1&lt;INDEX('Valo FX'!$Q:$Q,MATCH($A35,'Valo FX'!$A:$A,0)),0,IF(R$1&lt;INDEX('Valo FX'!$R:$R,MATCH($A35,'Valo FX'!$A:$A,0)),INDEX(Base!$U:$U,MATCH($A35,Base!$A:$A,0)),IF(R$1=INDEX('Valo FX'!$R:$R,MATCH($A35,'Valo FX'!$A:$A,0)),INDEX(Base!$V:$V,MATCH($A35,Base!$A:$A,0)),0)))</f>
        <v>9.1517700000000008</v>
      </c>
      <c r="S35" s="21">
        <f>IF(S$1&lt;INDEX('Valo FX'!$Q:$Q,MATCH($A35,'Valo FX'!$A:$A,0)),0,IF(S$1&lt;INDEX('Valo FX'!$R:$R,MATCH($A35,'Valo FX'!$A:$A,0)),INDEX(Base!$U:$U,MATCH($A35,Base!$A:$A,0)),IF(S$1=INDEX('Valo FX'!$R:$R,MATCH($A35,'Valo FX'!$A:$A,0)),INDEX(Base!$V:$V,MATCH($A35,Base!$A:$A,0)),0)))</f>
        <v>9.1517700000000008</v>
      </c>
      <c r="T35" s="21">
        <f>IF(T$1&lt;INDEX('Valo FX'!$Q:$Q,MATCH($A35,'Valo FX'!$A:$A,0)),0,IF(T$1&lt;INDEX('Valo FX'!$R:$R,MATCH($A35,'Valo FX'!$A:$A,0)),INDEX(Base!$U:$U,MATCH($A35,Base!$A:$A,0)),IF(T$1=INDEX('Valo FX'!$R:$R,MATCH($A35,'Valo FX'!$A:$A,0)),INDEX(Base!$V:$V,MATCH($A35,Base!$A:$A,0)),0)))</f>
        <v>9.1517700000000008</v>
      </c>
      <c r="U35" s="21">
        <f>IF(U$1&lt;INDEX('Valo FX'!$Q:$Q,MATCH($A35,'Valo FX'!$A:$A,0)),0,IF(U$1&lt;INDEX('Valo FX'!$R:$R,MATCH($A35,'Valo FX'!$A:$A,0)),INDEX(Base!$U:$U,MATCH($A35,Base!$A:$A,0)),IF(U$1=INDEX('Valo FX'!$R:$R,MATCH($A35,'Valo FX'!$A:$A,0)),INDEX(Base!$V:$V,MATCH($A35,Base!$A:$A,0)),0)))</f>
        <v>9.1517700000000008</v>
      </c>
      <c r="V35" s="21">
        <f>IF(V$1&lt;INDEX('Valo FX'!$Q:$Q,MATCH($A35,'Valo FX'!$A:$A,0)),0,IF(V$1&lt;INDEX('Valo FX'!$R:$R,MATCH($A35,'Valo FX'!$A:$A,0)),INDEX(Base!$U:$U,MATCH($A35,Base!$A:$A,0)),IF(V$1=INDEX('Valo FX'!$R:$R,MATCH($A35,'Valo FX'!$A:$A,0)),INDEX(Base!$V:$V,MATCH($A35,Base!$A:$A,0)),0)))</f>
        <v>9.1517700000000008</v>
      </c>
      <c r="W35" s="21">
        <f>IF(W$1&lt;INDEX('Valo FX'!$Q:$Q,MATCH($A35,'Valo FX'!$A:$A,0)),0,IF(W$1&lt;INDEX('Valo FX'!$R:$R,MATCH($A35,'Valo FX'!$A:$A,0)),INDEX(Base!$U:$U,MATCH($A35,Base!$A:$A,0)),IF(W$1=INDEX('Valo FX'!$R:$R,MATCH($A35,'Valo FX'!$A:$A,0)),INDEX(Base!$V:$V,MATCH($A35,Base!$A:$A,0)),0)))</f>
        <v>9.1517700000000008</v>
      </c>
      <c r="X35" s="21">
        <f>IF(X$1&lt;INDEX('Valo FX'!$Q:$Q,MATCH($A35,'Valo FX'!$A:$A,0)),0,IF(X$1&lt;INDEX('Valo FX'!$R:$R,MATCH($A35,'Valo FX'!$A:$A,0)),INDEX(Base!$U:$U,MATCH($A35,Base!$A:$A,0)),IF(X$1=INDEX('Valo FX'!$R:$R,MATCH($A35,'Valo FX'!$A:$A,0)),INDEX(Base!$V:$V,MATCH($A35,Base!$A:$A,0)),0)))</f>
        <v>9.1517700000000008</v>
      </c>
      <c r="Y35" s="21">
        <f>IF(Y$1&lt;INDEX('Valo FX'!$Q:$Q,MATCH($A35,'Valo FX'!$A:$A,0)),0,IF(Y$1&lt;INDEX('Valo FX'!$R:$R,MATCH($A35,'Valo FX'!$A:$A,0)),INDEX(Base!$U:$U,MATCH($A35,Base!$A:$A,0)),IF(Y$1=INDEX('Valo FX'!$R:$R,MATCH($A35,'Valo FX'!$A:$A,0)),INDEX(Base!$V:$V,MATCH($A35,Base!$A:$A,0)),0)))</f>
        <v>9.1517700000000008</v>
      </c>
      <c r="Z35" s="21">
        <f>IF(Z$1&lt;INDEX('Valo FX'!$Q:$Q,MATCH($A35,'Valo FX'!$A:$A,0)),0,IF(Z$1&lt;INDEX('Valo FX'!$R:$R,MATCH($A35,'Valo FX'!$A:$A,0)),INDEX(Base!$U:$U,MATCH($A35,Base!$A:$A,0)),IF(Z$1=INDEX('Valo FX'!$R:$R,MATCH($A35,'Valo FX'!$A:$A,0)),INDEX(Base!$V:$V,MATCH($A35,Base!$A:$A,0)),0)))</f>
        <v>9.1517700000000008</v>
      </c>
      <c r="AA35" s="21">
        <f>IF(AA$1&lt;INDEX('Valo FX'!$Q:$Q,MATCH($A35,'Valo FX'!$A:$A,0)),0,IF(AA$1&lt;INDEX('Valo FX'!$R:$R,MATCH($A35,'Valo FX'!$A:$A,0)),INDEX(Base!$U:$U,MATCH($A35,Base!$A:$A,0)),IF(AA$1=INDEX('Valo FX'!$R:$R,MATCH($A35,'Valo FX'!$A:$A,0)),INDEX(Base!$V:$V,MATCH($A35,Base!$A:$A,0)),0)))</f>
        <v>9.1517700000000008</v>
      </c>
      <c r="AB35" s="21">
        <f>IF(AB$1&lt;INDEX('Valo FX'!$Q:$Q,MATCH($A35,'Valo FX'!$A:$A,0)),0,IF(AB$1&lt;INDEX('Valo FX'!$R:$R,MATCH($A35,'Valo FX'!$A:$A,0)),INDEX(Base!$U:$U,MATCH($A35,Base!$A:$A,0)),IF(AB$1=INDEX('Valo FX'!$R:$R,MATCH($A35,'Valo FX'!$A:$A,0)),INDEX(Base!$V:$V,MATCH($A35,Base!$A:$A,0)),0)))</f>
        <v>9.1517700000000008</v>
      </c>
      <c r="AC35" s="21">
        <f>IF(AC$1&lt;INDEX('Valo FX'!$Q:$Q,MATCH($A35,'Valo FX'!$A:$A,0)),0,IF(AC$1&lt;INDEX('Valo FX'!$R:$R,MATCH($A35,'Valo FX'!$A:$A,0)),INDEX(Base!$U:$U,MATCH($A35,Base!$A:$A,0)),IF(AC$1=INDEX('Valo FX'!$R:$R,MATCH($A35,'Valo FX'!$A:$A,0)),INDEX(Base!$V:$V,MATCH($A35,Base!$A:$A,0)),0)))</f>
        <v>9.1517700000000008</v>
      </c>
      <c r="AD35" s="21">
        <f>IF(AD$1&lt;INDEX('Valo FX'!$Q:$Q,MATCH($A35,'Valo FX'!$A:$A,0)),0,IF(AD$1&lt;INDEX('Valo FX'!$R:$R,MATCH($A35,'Valo FX'!$A:$A,0)),INDEX(Base!$U:$U,MATCH($A35,Base!$A:$A,0)),IF(AD$1=INDEX('Valo FX'!$R:$R,MATCH($A35,'Valo FX'!$A:$A,0)),INDEX(Base!$V:$V,MATCH($A35,Base!$A:$A,0)),0)))</f>
        <v>9.1517700000000008</v>
      </c>
      <c r="AE35" s="21">
        <f>IF(AE$1&lt;INDEX('Valo FX'!$Q:$Q,MATCH($A35,'Valo FX'!$A:$A,0)),0,IF(AE$1&lt;INDEX('Valo FX'!$R:$R,MATCH($A35,'Valo FX'!$A:$A,0)),INDEX(Base!$U:$U,MATCH($A35,Base!$A:$A,0)),IF(AE$1=INDEX('Valo FX'!$R:$R,MATCH($A35,'Valo FX'!$A:$A,0)),INDEX(Base!$V:$V,MATCH($A35,Base!$A:$A,0)),0)))</f>
        <v>9.1517700000000008</v>
      </c>
      <c r="AF35" s="21">
        <f>IF(AF$1&lt;INDEX('Valo FX'!$Q:$Q,MATCH($A35,'Valo FX'!$A:$A,0)),0,IF(AF$1&lt;INDEX('Valo FX'!$R:$R,MATCH($A35,'Valo FX'!$A:$A,0)),INDEX(Base!$U:$U,MATCH($A35,Base!$A:$A,0)),IF(AF$1=INDEX('Valo FX'!$R:$R,MATCH($A35,'Valo FX'!$A:$A,0)),INDEX(Base!$V:$V,MATCH($A35,Base!$A:$A,0)),0)))</f>
        <v>9.1517700000000008</v>
      </c>
      <c r="AG35" s="21">
        <f>IF(AG$1&lt;INDEX('Valo FX'!$Q:$Q,MATCH($A35,'Valo FX'!$A:$A,0)),0,IF(AG$1&lt;INDEX('Valo FX'!$R:$R,MATCH($A35,'Valo FX'!$A:$A,0)),INDEX(Base!$U:$U,MATCH($A35,Base!$A:$A,0)),IF(AG$1=INDEX('Valo FX'!$R:$R,MATCH($A35,'Valo FX'!$A:$A,0)),INDEX(Base!$V:$V,MATCH($A35,Base!$A:$A,0)),0)))</f>
        <v>9.1517700000000008</v>
      </c>
      <c r="AH35" s="21">
        <f>IF(AH$1&lt;INDEX('Valo FX'!$Q:$Q,MATCH($A35,'Valo FX'!$A:$A,0)),0,IF(AH$1&lt;INDEX('Valo FX'!$R:$R,MATCH($A35,'Valo FX'!$A:$A,0)),INDEX(Base!$U:$U,MATCH($A35,Base!$A:$A,0)),IF(AH$1=INDEX('Valo FX'!$R:$R,MATCH($A35,'Valo FX'!$A:$A,0)),INDEX(Base!$V:$V,MATCH($A35,Base!$A:$A,0)),0)))</f>
        <v>9.1517700000000008</v>
      </c>
      <c r="AI35" s="21">
        <f>IF(AI$1&lt;INDEX('Valo FX'!$Q:$Q,MATCH($A35,'Valo FX'!$A:$A,0)),0,IF(AI$1&lt;INDEX('Valo FX'!$R:$R,MATCH($A35,'Valo FX'!$A:$A,0)),INDEX(Base!$U:$U,MATCH($A35,Base!$A:$A,0)),IF(AI$1=INDEX('Valo FX'!$R:$R,MATCH($A35,'Valo FX'!$A:$A,0)),INDEX(Base!$V:$V,MATCH($A35,Base!$A:$A,0)),0)))</f>
        <v>9.1517700000000008</v>
      </c>
      <c r="AJ35" s="21">
        <f>IF(AJ$1&lt;INDEX('Valo FX'!$Q:$Q,MATCH($A35,'Valo FX'!$A:$A,0)),0,IF(AJ$1&lt;INDEX('Valo FX'!$R:$R,MATCH($A35,'Valo FX'!$A:$A,0)),INDEX(Base!$U:$U,MATCH($A35,Base!$A:$A,0)),IF(AJ$1=INDEX('Valo FX'!$R:$R,MATCH($A35,'Valo FX'!$A:$A,0)),INDEX(Base!$V:$V,MATCH($A35,Base!$A:$A,0)),0)))</f>
        <v>9.1517700000000008</v>
      </c>
      <c r="AK35" s="21">
        <f>IF(AK$1&lt;INDEX('Valo FX'!$Q:$Q,MATCH($A35,'Valo FX'!$A:$A,0)),0,IF(AK$1&lt;INDEX('Valo FX'!$R:$R,MATCH($A35,'Valo FX'!$A:$A,0)),INDEX(Base!$U:$U,MATCH($A35,Base!$A:$A,0)),IF(AK$1=INDEX('Valo FX'!$R:$R,MATCH($A35,'Valo FX'!$A:$A,0)),INDEX(Base!$V:$V,MATCH($A35,Base!$A:$A,0)),0)))</f>
        <v>9.1517700000000008</v>
      </c>
      <c r="AL35" s="21">
        <f>IF(AL$1&lt;INDEX('Valo FX'!$Q:$Q,MATCH($A35,'Valo FX'!$A:$A,0)),0,IF(AL$1&lt;INDEX('Valo FX'!$R:$R,MATCH($A35,'Valo FX'!$A:$A,0)),INDEX(Base!$U:$U,MATCH($A35,Base!$A:$A,0)),IF(AL$1=INDEX('Valo FX'!$R:$R,MATCH($A35,'Valo FX'!$A:$A,0)),INDEX(Base!$V:$V,MATCH($A35,Base!$A:$A,0)),0)))</f>
        <v>9.1517700000000008</v>
      </c>
      <c r="AM35" s="21">
        <f>IF(AM$1&lt;INDEX('Valo FX'!$Q:$Q,MATCH($A35,'Valo FX'!$A:$A,0)),0,IF(AM$1&lt;INDEX('Valo FX'!$R:$R,MATCH($A35,'Valo FX'!$A:$A,0)),INDEX(Base!$U:$U,MATCH($A35,Base!$A:$A,0)),IF(AM$1=INDEX('Valo FX'!$R:$R,MATCH($A35,'Valo FX'!$A:$A,0)),INDEX(Base!$V:$V,MATCH($A35,Base!$A:$A,0)),0)))</f>
        <v>9.1517700000000008</v>
      </c>
      <c r="AN35" s="21">
        <f>IF(AN$1&lt;INDEX('Valo FX'!$Q:$Q,MATCH($A35,'Valo FX'!$A:$A,0)),0,IF(AN$1&lt;INDEX('Valo FX'!$R:$R,MATCH($A35,'Valo FX'!$A:$A,0)),INDEX(Base!$U:$U,MATCH($A35,Base!$A:$A,0)),IF(AN$1=INDEX('Valo FX'!$R:$R,MATCH($A35,'Valo FX'!$A:$A,0)),INDEX(Base!$V:$V,MATCH($A35,Base!$A:$A,0)),0)))</f>
        <v>9.1517700000000008</v>
      </c>
      <c r="AO35" s="21">
        <f>IF(AO$1&lt;INDEX('Valo FX'!$Q:$Q,MATCH($A35,'Valo FX'!$A:$A,0)),0,IF(AO$1&lt;INDEX('Valo FX'!$R:$R,MATCH($A35,'Valo FX'!$A:$A,0)),INDEX(Base!$U:$U,MATCH($A35,Base!$A:$A,0)),IF(AO$1=INDEX('Valo FX'!$R:$R,MATCH($A35,'Valo FX'!$A:$A,0)),INDEX(Base!$V:$V,MATCH($A35,Base!$A:$A,0)),0)))</f>
        <v>9.1517700000000008</v>
      </c>
      <c r="AP35" s="21">
        <f>IF(AP$1&lt;INDEX('Valo FX'!$Q:$Q,MATCH($A35,'Valo FX'!$A:$A,0)),0,IF(AP$1&lt;INDEX('Valo FX'!$R:$R,MATCH($A35,'Valo FX'!$A:$A,0)),INDEX(Base!$U:$U,MATCH($A35,Base!$A:$A,0)),IF(AP$1=INDEX('Valo FX'!$R:$R,MATCH($A35,'Valo FX'!$A:$A,0)),INDEX(Base!$V:$V,MATCH($A35,Base!$A:$A,0)),0)))</f>
        <v>9.1517700000000008</v>
      </c>
      <c r="AQ35" s="21">
        <f>IF(AQ$1&lt;INDEX('Valo FX'!$Q:$Q,MATCH($A35,'Valo FX'!$A:$A,0)),0,IF(AQ$1&lt;INDEX('Valo FX'!$R:$R,MATCH($A35,'Valo FX'!$A:$A,0)),INDEX(Base!$U:$U,MATCH($A35,Base!$A:$A,0)),IF(AQ$1=INDEX('Valo FX'!$R:$R,MATCH($A35,'Valo FX'!$A:$A,0)),INDEX(Base!$V:$V,MATCH($A35,Base!$A:$A,0)),0)))</f>
        <v>9.1517700000000008</v>
      </c>
      <c r="AR35" s="21">
        <f>IF(AR$1&lt;INDEX('Valo FX'!$Q:$Q,MATCH($A35,'Valo FX'!$A:$A,0)),0,IF(AR$1&lt;INDEX('Valo FX'!$R:$R,MATCH($A35,'Valo FX'!$A:$A,0)),INDEX(Base!$U:$U,MATCH($A35,Base!$A:$A,0)),IF(AR$1=INDEX('Valo FX'!$R:$R,MATCH($A35,'Valo FX'!$A:$A,0)),INDEX(Base!$V:$V,MATCH($A35,Base!$A:$A,0)),0)))</f>
        <v>9.1517700000000008</v>
      </c>
      <c r="AS35" s="21">
        <f>IF(AS$1&lt;INDEX('Valo FX'!$Q:$Q,MATCH($A35,'Valo FX'!$A:$A,0)),0,IF(AS$1&lt;INDEX('Valo FX'!$R:$R,MATCH($A35,'Valo FX'!$A:$A,0)),INDEX(Base!$U:$U,MATCH($A35,Base!$A:$A,0)),IF(AS$1=INDEX('Valo FX'!$R:$R,MATCH($A35,'Valo FX'!$A:$A,0)),INDEX(Base!$V:$V,MATCH($A35,Base!$A:$A,0)),0)))</f>
        <v>9.1517700000000008</v>
      </c>
      <c r="AT35" s="21">
        <f>IF(AT$1&lt;INDEX('Valo FX'!$Q:$Q,MATCH($A35,'Valo FX'!$A:$A,0)),0,IF(AT$1&lt;INDEX('Valo FX'!$R:$R,MATCH($A35,'Valo FX'!$A:$A,0)),INDEX(Base!$U:$U,MATCH($A35,Base!$A:$A,0)),IF(AT$1=INDEX('Valo FX'!$R:$R,MATCH($A35,'Valo FX'!$A:$A,0)),INDEX(Base!$V:$V,MATCH($A35,Base!$A:$A,0)),0)))</f>
        <v>9.1517700000000008</v>
      </c>
      <c r="AU35" s="21">
        <f>IF(AU$1&lt;INDEX('Valo FX'!$Q:$Q,MATCH($A35,'Valo FX'!$A:$A,0)),0,IF(AU$1&lt;INDEX('Valo FX'!$R:$R,MATCH($A35,'Valo FX'!$A:$A,0)),INDEX(Base!$U:$U,MATCH($A35,Base!$A:$A,0)),IF(AU$1=INDEX('Valo FX'!$R:$R,MATCH($A35,'Valo FX'!$A:$A,0)),INDEX(Base!$V:$V,MATCH($A35,Base!$A:$A,0)),0)))</f>
        <v>9.1517700000000008</v>
      </c>
      <c r="AV35" s="21">
        <f>IF(AV$1&lt;INDEX('Valo FX'!$Q:$Q,MATCH($A35,'Valo FX'!$A:$A,0)),0,IF(AV$1&lt;INDEX('Valo FX'!$R:$R,MATCH($A35,'Valo FX'!$A:$A,0)),INDEX(Base!$U:$U,MATCH($A35,Base!$A:$A,0)),IF(AV$1=INDEX('Valo FX'!$R:$R,MATCH($A35,'Valo FX'!$A:$A,0)),INDEX(Base!$V:$V,MATCH($A35,Base!$A:$A,0)),0)))</f>
        <v>9.1517700000000008</v>
      </c>
      <c r="AW35" s="21">
        <f>IF(AW$1&lt;INDEX('Valo FX'!$Q:$Q,MATCH($A35,'Valo FX'!$A:$A,0)),0,IF(AW$1&lt;INDEX('Valo FX'!$R:$R,MATCH($A35,'Valo FX'!$A:$A,0)),INDEX(Base!$U:$U,MATCH($A35,Base!$A:$A,0)),IF(AW$1=INDEX('Valo FX'!$R:$R,MATCH($A35,'Valo FX'!$A:$A,0)),INDEX(Base!$V:$V,MATCH($A35,Base!$A:$A,0)),0)))</f>
        <v>9.1517700000000008</v>
      </c>
      <c r="AX35" s="21">
        <f>IF(AX$1&lt;INDEX('Valo FX'!$Q:$Q,MATCH($A35,'Valo FX'!$A:$A,0)),0,IF(AX$1&lt;INDEX('Valo FX'!$R:$R,MATCH($A35,'Valo FX'!$A:$A,0)),INDEX(Base!$U:$U,MATCH($A35,Base!$A:$A,0)),IF(AX$1=INDEX('Valo FX'!$R:$R,MATCH($A35,'Valo FX'!$A:$A,0)),INDEX(Base!$V:$V,MATCH($A35,Base!$A:$A,0)),0)))</f>
        <v>9.1517700000000008</v>
      </c>
      <c r="AY35" s="21">
        <f>IF(AY$1&lt;INDEX('Valo FX'!$Q:$Q,MATCH($A35,'Valo FX'!$A:$A,0)),0,IF(AY$1&lt;INDEX('Valo FX'!$R:$R,MATCH($A35,'Valo FX'!$A:$A,0)),INDEX(Base!$U:$U,MATCH($A35,Base!$A:$A,0)),IF(AY$1=INDEX('Valo FX'!$R:$R,MATCH($A35,'Valo FX'!$A:$A,0)),INDEX(Base!$V:$V,MATCH($A35,Base!$A:$A,0)),0)))</f>
        <v>9.1517700000000008</v>
      </c>
      <c r="AZ35" s="21">
        <f>IF(AZ$1&lt;INDEX('Valo FX'!$Q:$Q,MATCH($A35,'Valo FX'!$A:$A,0)),0,IF(AZ$1&lt;INDEX('Valo FX'!$R:$R,MATCH($A35,'Valo FX'!$A:$A,0)),INDEX(Base!$U:$U,MATCH($A35,Base!$A:$A,0)),IF(AZ$1=INDEX('Valo FX'!$R:$R,MATCH($A35,'Valo FX'!$A:$A,0)),INDEX(Base!$V:$V,MATCH($A35,Base!$A:$A,0)),0)))</f>
        <v>9.1517700000000008</v>
      </c>
      <c r="BA35" s="21">
        <f>IF(BA$1&lt;INDEX('Valo FX'!$Q:$Q,MATCH($A35,'Valo FX'!$A:$A,0)),0,IF(BA$1&lt;INDEX('Valo FX'!$R:$R,MATCH($A35,'Valo FX'!$A:$A,0)),INDEX(Base!$U:$U,MATCH($A35,Base!$A:$A,0)),IF(BA$1=INDEX('Valo FX'!$R:$R,MATCH($A35,'Valo FX'!$A:$A,0)),INDEX(Base!$V:$V,MATCH($A35,Base!$A:$A,0)),0)))</f>
        <v>9.1517700000000008</v>
      </c>
      <c r="BB35" s="21">
        <f>IF(BB$1&lt;INDEX('Valo FX'!$Q:$Q,MATCH($A35,'Valo FX'!$A:$A,0)),0,IF(BB$1&lt;INDEX('Valo FX'!$R:$R,MATCH($A35,'Valo FX'!$A:$A,0)),INDEX(Base!$U:$U,MATCH($A35,Base!$A:$A,0)),IF(BB$1=INDEX('Valo FX'!$R:$R,MATCH($A35,'Valo FX'!$A:$A,0)),INDEX(Base!$V:$V,MATCH($A35,Base!$A:$A,0)),0)))</f>
        <v>9.1517700000000008</v>
      </c>
      <c r="BC35" s="21">
        <f>IF(BC$1&lt;INDEX('Valo FX'!$Q:$Q,MATCH($A35,'Valo FX'!$A:$A,0)),0,IF(BC$1&lt;INDEX('Valo FX'!$R:$R,MATCH($A35,'Valo FX'!$A:$A,0)),INDEX(Base!$U:$U,MATCH($A35,Base!$A:$A,0)),IF(BC$1=INDEX('Valo FX'!$R:$R,MATCH($A35,'Valo FX'!$A:$A,0)),INDEX(Base!$V:$V,MATCH($A35,Base!$A:$A,0)),0)))</f>
        <v>9.1517700000000008</v>
      </c>
      <c r="BD35" s="21">
        <f>IF(BD$1&lt;INDEX('Valo FX'!$Q:$Q,MATCH($A35,'Valo FX'!$A:$A,0)),0,IF(BD$1&lt;INDEX('Valo FX'!$R:$R,MATCH($A35,'Valo FX'!$A:$A,0)),INDEX(Base!$U:$U,MATCH($A35,Base!$A:$A,0)),IF(BD$1=INDEX('Valo FX'!$R:$R,MATCH($A35,'Valo FX'!$A:$A,0)),INDEX(Base!$V:$V,MATCH($A35,Base!$A:$A,0)),0)))</f>
        <v>9.1517700000000008</v>
      </c>
      <c r="BE35" s="21">
        <f>IF(BE$1&lt;INDEX('Valo FX'!$Q:$Q,MATCH($A35,'Valo FX'!$A:$A,0)),0,IF(BE$1&lt;INDEX('Valo FX'!$R:$R,MATCH($A35,'Valo FX'!$A:$A,0)),INDEX(Base!$U:$U,MATCH($A35,Base!$A:$A,0)),IF(BE$1=INDEX('Valo FX'!$R:$R,MATCH($A35,'Valo FX'!$A:$A,0)),INDEX(Base!$V:$V,MATCH($A35,Base!$A:$A,0)),0)))</f>
        <v>9.1517700000000008</v>
      </c>
      <c r="BF35" s="21">
        <f>IF(BF$1&lt;INDEX('Valo FX'!$Q:$Q,MATCH($A35,'Valo FX'!$A:$A,0)),0,IF(BF$1&lt;INDEX('Valo FX'!$R:$R,MATCH($A35,'Valo FX'!$A:$A,0)),INDEX(Base!$U:$U,MATCH($A35,Base!$A:$A,0)),IF(BF$1=INDEX('Valo FX'!$R:$R,MATCH($A35,'Valo FX'!$A:$A,0)),INDEX(Base!$V:$V,MATCH($A35,Base!$A:$A,0)),0)))</f>
        <v>9.1517700000000008</v>
      </c>
      <c r="BG35" s="21">
        <f>IF(BG$1&lt;INDEX('Valo FX'!$Q:$Q,MATCH($A35,'Valo FX'!$A:$A,0)),0,IF(BG$1&lt;INDEX('Valo FX'!$R:$R,MATCH($A35,'Valo FX'!$A:$A,0)),INDEX(Base!$U:$U,MATCH($A35,Base!$A:$A,0)),IF(BG$1=INDEX('Valo FX'!$R:$R,MATCH($A35,'Valo FX'!$A:$A,0)),INDEX(Base!$V:$V,MATCH($A35,Base!$A:$A,0)),0)))</f>
        <v>9.1517700000000008</v>
      </c>
      <c r="BH35" s="21">
        <f>IF(BH$1&lt;INDEX('Valo FX'!$Q:$Q,MATCH($A35,'Valo FX'!$A:$A,0)),0,IF(BH$1&lt;INDEX('Valo FX'!$R:$R,MATCH($A35,'Valo FX'!$A:$A,0)),INDEX(Base!$U:$U,MATCH($A35,Base!$A:$A,0)),IF(BH$1=INDEX('Valo FX'!$R:$R,MATCH($A35,'Valo FX'!$A:$A,0)),INDEX(Base!$V:$V,MATCH($A35,Base!$A:$A,0)),0)))</f>
        <v>9.1517700000000008</v>
      </c>
      <c r="BI35" s="21">
        <f>IF(BI$1&lt;INDEX('Valo FX'!$Q:$Q,MATCH($A35,'Valo FX'!$A:$A,0)),0,IF(BI$1&lt;INDEX('Valo FX'!$R:$R,MATCH($A35,'Valo FX'!$A:$A,0)),INDEX(Base!$U:$U,MATCH($A35,Base!$A:$A,0)),IF(BI$1=INDEX('Valo FX'!$R:$R,MATCH($A35,'Valo FX'!$A:$A,0)),INDEX(Base!$V:$V,MATCH($A35,Base!$A:$A,0)),0)))</f>
        <v>9.1517700000000008</v>
      </c>
      <c r="BJ35" s="21">
        <f>IF(BJ$1&lt;INDEX('Valo FX'!$Q:$Q,MATCH($A35,'Valo FX'!$A:$A,0)),0,IF(BJ$1&lt;INDEX('Valo FX'!$R:$R,MATCH($A35,'Valo FX'!$A:$A,0)),INDEX(Base!$U:$U,MATCH($A35,Base!$A:$A,0)),IF(BJ$1=INDEX('Valo FX'!$R:$R,MATCH($A35,'Valo FX'!$A:$A,0)),INDEX(Base!$V:$V,MATCH($A35,Base!$A:$A,0)),0)))</f>
        <v>9.1517700000000008</v>
      </c>
      <c r="BK35" s="21">
        <f>IF(BK$1&lt;INDEX('Valo FX'!$Q:$Q,MATCH($A35,'Valo FX'!$A:$A,0)),0,IF(BK$1&lt;INDEX('Valo FX'!$R:$R,MATCH($A35,'Valo FX'!$A:$A,0)),INDEX(Base!$U:$U,MATCH($A35,Base!$A:$A,0)),IF(BK$1=INDEX('Valo FX'!$R:$R,MATCH($A35,'Valo FX'!$A:$A,0)),INDEX(Base!$V:$V,MATCH($A35,Base!$A:$A,0)),0)))</f>
        <v>9.1517700000000008</v>
      </c>
      <c r="BL35" s="21">
        <f>IF(BL$1&lt;INDEX('Valo FX'!$Q:$Q,MATCH($A35,'Valo FX'!$A:$A,0)),0,IF(BL$1&lt;INDEX('Valo FX'!$R:$R,MATCH($A35,'Valo FX'!$A:$A,0)),INDEX(Base!$U:$U,MATCH($A35,Base!$A:$A,0)),IF(BL$1=INDEX('Valo FX'!$R:$R,MATCH($A35,'Valo FX'!$A:$A,0)),INDEX(Base!$V:$V,MATCH($A35,Base!$A:$A,0)),0)))</f>
        <v>9.1517700000000008</v>
      </c>
      <c r="BM35" s="21">
        <f>IF(BM$1&lt;INDEX('Valo FX'!$Q:$Q,MATCH($A35,'Valo FX'!$A:$A,0)),0,IF(BM$1&lt;INDEX('Valo FX'!$R:$R,MATCH($A35,'Valo FX'!$A:$A,0)),INDEX(Base!$U:$U,MATCH($A35,Base!$A:$A,0)),IF(BM$1=INDEX('Valo FX'!$R:$R,MATCH($A35,'Valo FX'!$A:$A,0)),INDEX(Base!$V:$V,MATCH($A35,Base!$A:$A,0)),0)))</f>
        <v>9.1517700000000008</v>
      </c>
      <c r="BN35" s="21">
        <f>IF(BN$1&lt;INDEX('Valo FX'!$Q:$Q,MATCH($A35,'Valo FX'!$A:$A,0)),0,IF(BN$1&lt;INDEX('Valo FX'!$R:$R,MATCH($A35,'Valo FX'!$A:$A,0)),INDEX(Base!$U:$U,MATCH($A35,Base!$A:$A,0)),IF(BN$1=INDEX('Valo FX'!$R:$R,MATCH($A35,'Valo FX'!$A:$A,0)),INDEX(Base!$V:$V,MATCH($A35,Base!$A:$A,0)),0)))</f>
        <v>9.1517700000000008</v>
      </c>
      <c r="BO35" s="21">
        <f>IF(BO$1&lt;INDEX('Valo FX'!$Q:$Q,MATCH($A35,'Valo FX'!$A:$A,0)),0,IF(BO$1&lt;INDEX('Valo FX'!$R:$R,MATCH($A35,'Valo FX'!$A:$A,0)),INDEX(Base!$U:$U,MATCH($A35,Base!$A:$A,0)),IF(BO$1=INDEX('Valo FX'!$R:$R,MATCH($A35,'Valo FX'!$A:$A,0)),INDEX(Base!$V:$V,MATCH($A35,Base!$A:$A,0)),0)))</f>
        <v>9.1517700000000008</v>
      </c>
      <c r="BP35" s="21">
        <f>IF(BP$1&lt;INDEX('Valo FX'!$Q:$Q,MATCH($A35,'Valo FX'!$A:$A,0)),0,IF(BP$1&lt;INDEX('Valo FX'!$R:$R,MATCH($A35,'Valo FX'!$A:$A,0)),INDEX(Base!$U:$U,MATCH($A35,Base!$A:$A,0)),IF(BP$1=INDEX('Valo FX'!$R:$R,MATCH($A35,'Valo FX'!$A:$A,0)),INDEX(Base!$V:$V,MATCH($A35,Base!$A:$A,0)),0)))</f>
        <v>9.1517700000000008</v>
      </c>
      <c r="BQ35" s="21">
        <f>IF(BQ$1&lt;INDEX('Valo FX'!$Q:$Q,MATCH($A35,'Valo FX'!$A:$A,0)),0,IF(BQ$1&lt;INDEX('Valo FX'!$R:$R,MATCH($A35,'Valo FX'!$A:$A,0)),INDEX(Base!$U:$U,MATCH($A35,Base!$A:$A,0)),IF(BQ$1=INDEX('Valo FX'!$R:$R,MATCH($A35,'Valo FX'!$A:$A,0)),INDEX(Base!$V:$V,MATCH($A35,Base!$A:$A,0)),0)))</f>
        <v>9.1517700000000008</v>
      </c>
      <c r="BR35" s="21">
        <f>IF(BR$1&lt;INDEX('Valo FX'!$Q:$Q,MATCH($A35,'Valo FX'!$A:$A,0)),0,IF(BR$1&lt;INDEX('Valo FX'!$R:$R,MATCH($A35,'Valo FX'!$A:$A,0)),INDEX(Base!$U:$U,MATCH($A35,Base!$A:$A,0)),IF(BR$1=INDEX('Valo FX'!$R:$R,MATCH($A35,'Valo FX'!$A:$A,0)),INDEX(Base!$V:$V,MATCH($A35,Base!$A:$A,0)),0)))</f>
        <v>9.1517700000000008</v>
      </c>
      <c r="BS35" s="21">
        <f>IF(BS$1&lt;INDEX('Valo FX'!$Q:$Q,MATCH($A35,'Valo FX'!$A:$A,0)),0,IF(BS$1&lt;INDEX('Valo FX'!$R:$R,MATCH($A35,'Valo FX'!$A:$A,0)),INDEX(Base!$U:$U,MATCH($A35,Base!$A:$A,0)),IF(BS$1=INDEX('Valo FX'!$R:$R,MATCH($A35,'Valo FX'!$A:$A,0)),INDEX(Base!$V:$V,MATCH($A35,Base!$A:$A,0)),0)))</f>
        <v>9.1517700000000008</v>
      </c>
      <c r="BT35" s="21">
        <f>IF(BT$1&lt;INDEX('Valo FX'!$Q:$Q,MATCH($A35,'Valo FX'!$A:$A,0)),0,IF(BT$1&lt;INDEX('Valo FX'!$R:$R,MATCH($A35,'Valo FX'!$A:$A,0)),INDEX(Base!$U:$U,MATCH($A35,Base!$A:$A,0)),IF(BT$1=INDEX('Valo FX'!$R:$R,MATCH($A35,'Valo FX'!$A:$A,0)),INDEX(Base!$V:$V,MATCH($A35,Base!$A:$A,0)),0)))</f>
        <v>9.1517700000000008</v>
      </c>
      <c r="BU35" s="21">
        <f>IF(BU$1&lt;INDEX('Valo FX'!$Q:$Q,MATCH($A35,'Valo FX'!$A:$A,0)),0,IF(BU$1&lt;INDEX('Valo FX'!$R:$R,MATCH($A35,'Valo FX'!$A:$A,0)),INDEX(Base!$U:$U,MATCH($A35,Base!$A:$A,0)),IF(BU$1=INDEX('Valo FX'!$R:$R,MATCH($A35,'Valo FX'!$A:$A,0)),INDEX(Base!$V:$V,MATCH($A35,Base!$A:$A,0)),0)))</f>
        <v>9.1517700000000008</v>
      </c>
      <c r="BV35" s="21">
        <f>IF(BV$1&lt;INDEX('Valo FX'!$Q:$Q,MATCH($A35,'Valo FX'!$A:$A,0)),0,IF(BV$1&lt;INDEX('Valo FX'!$R:$R,MATCH($A35,'Valo FX'!$A:$A,0)),INDEX(Base!$U:$U,MATCH($A35,Base!$A:$A,0)),IF(BV$1=INDEX('Valo FX'!$R:$R,MATCH($A35,'Valo FX'!$A:$A,0)),INDEX(Base!$V:$V,MATCH($A35,Base!$A:$A,0)),0)))</f>
        <v>9.1517700000000008</v>
      </c>
      <c r="BW35" s="21">
        <f>IF(BW$1&lt;INDEX('Valo FX'!$Q:$Q,MATCH($A35,'Valo FX'!$A:$A,0)),0,IF(BW$1&lt;INDEX('Valo FX'!$R:$R,MATCH($A35,'Valo FX'!$A:$A,0)),INDEX(Base!$U:$U,MATCH($A35,Base!$A:$A,0)),IF(BW$1=INDEX('Valo FX'!$R:$R,MATCH($A35,'Valo FX'!$A:$A,0)),INDEX(Base!$V:$V,MATCH($A35,Base!$A:$A,0)),0)))</f>
        <v>9.1517700000000008</v>
      </c>
      <c r="BX35" s="21">
        <f>IF(BX$1&lt;INDEX('Valo FX'!$Q:$Q,MATCH($A35,'Valo FX'!$A:$A,0)),0,IF(BX$1&lt;INDEX('Valo FX'!$R:$R,MATCH($A35,'Valo FX'!$A:$A,0)),INDEX(Base!$U:$U,MATCH($A35,Base!$A:$A,0)),IF(BX$1=INDEX('Valo FX'!$R:$R,MATCH($A35,'Valo FX'!$A:$A,0)),INDEX(Base!$V:$V,MATCH($A35,Base!$A:$A,0)),0)))</f>
        <v>9.1517700000000008</v>
      </c>
      <c r="BY35" s="21">
        <f>IF(BY$1&lt;INDEX('Valo FX'!$Q:$Q,MATCH($A35,'Valo FX'!$A:$A,0)),0,IF(BY$1&lt;INDEX('Valo FX'!$R:$R,MATCH($A35,'Valo FX'!$A:$A,0)),INDEX(Base!$U:$U,MATCH($A35,Base!$A:$A,0)),IF(BY$1=INDEX('Valo FX'!$R:$R,MATCH($A35,'Valo FX'!$A:$A,0)),INDEX(Base!$V:$V,MATCH($A35,Base!$A:$A,0)),0)))</f>
        <v>9.1517700000000008</v>
      </c>
      <c r="BZ35" s="21">
        <f>IF(BZ$1&lt;INDEX('Valo FX'!$Q:$Q,MATCH($A35,'Valo FX'!$A:$A,0)),0,IF(BZ$1&lt;INDEX('Valo FX'!$R:$R,MATCH($A35,'Valo FX'!$A:$A,0)),INDEX(Base!$U:$U,MATCH($A35,Base!$A:$A,0)),IF(BZ$1=INDEX('Valo FX'!$R:$R,MATCH($A35,'Valo FX'!$A:$A,0)),INDEX(Base!$V:$V,MATCH($A35,Base!$A:$A,0)),0)))</f>
        <v>9.1517700000000008</v>
      </c>
      <c r="CA35" s="21">
        <f>IF(CA$1&lt;INDEX('Valo FX'!$Q:$Q,MATCH($A35,'Valo FX'!$A:$A,0)),0,IF(CA$1&lt;INDEX('Valo FX'!$R:$R,MATCH($A35,'Valo FX'!$A:$A,0)),INDEX(Base!$U:$U,MATCH($A35,Base!$A:$A,0)),IF(CA$1=INDEX('Valo FX'!$R:$R,MATCH($A35,'Valo FX'!$A:$A,0)),INDEX(Base!$V:$V,MATCH($A35,Base!$A:$A,0)),0)))</f>
        <v>9.1517700000000008</v>
      </c>
      <c r="CB35" s="21">
        <f>IF(CB$1&lt;INDEX('Valo FX'!$Q:$Q,MATCH($A35,'Valo FX'!$A:$A,0)),0,IF(CB$1&lt;INDEX('Valo FX'!$R:$R,MATCH($A35,'Valo FX'!$A:$A,0)),INDEX(Base!$U:$U,MATCH($A35,Base!$A:$A,0)),IF(CB$1=INDEX('Valo FX'!$R:$R,MATCH($A35,'Valo FX'!$A:$A,0)),INDEX(Base!$V:$V,MATCH($A35,Base!$A:$A,0)),0)))</f>
        <v>9.1517700000000008</v>
      </c>
      <c r="CC35" s="21">
        <f>IF(CC$1&lt;INDEX('Valo FX'!$Q:$Q,MATCH($A35,'Valo FX'!$A:$A,0)),0,IF(CC$1&lt;INDEX('Valo FX'!$R:$R,MATCH($A35,'Valo FX'!$A:$A,0)),INDEX(Base!$U:$U,MATCH($A35,Base!$A:$A,0)),IF(CC$1=INDEX('Valo FX'!$R:$R,MATCH($A35,'Valo FX'!$A:$A,0)),INDEX(Base!$V:$V,MATCH($A35,Base!$A:$A,0)),0)))</f>
        <v>9.1517700000000008</v>
      </c>
      <c r="CD35" s="21">
        <f>IF(CD$1&lt;INDEX('Valo FX'!$Q:$Q,MATCH($A35,'Valo FX'!$A:$A,0)),0,IF(CD$1&lt;INDEX('Valo FX'!$R:$R,MATCH($A35,'Valo FX'!$A:$A,0)),INDEX(Base!$U:$U,MATCH($A35,Base!$A:$A,0)),IF(CD$1=INDEX('Valo FX'!$R:$R,MATCH($A35,'Valo FX'!$A:$A,0)),INDEX(Base!$V:$V,MATCH($A35,Base!$A:$A,0)),0)))</f>
        <v>9.1517700000000008</v>
      </c>
      <c r="CE35" s="21">
        <f>IF(CE$1&lt;INDEX('Valo FX'!$Q:$Q,MATCH($A35,'Valo FX'!$A:$A,0)),0,IF(CE$1&lt;INDEX('Valo FX'!$R:$R,MATCH($A35,'Valo FX'!$A:$A,0)),INDEX(Base!$U:$U,MATCH($A35,Base!$A:$A,0)),IF(CE$1=INDEX('Valo FX'!$R:$R,MATCH($A35,'Valo FX'!$A:$A,0)),INDEX(Base!$V:$V,MATCH($A35,Base!$A:$A,0)),0)))</f>
        <v>9.1517700000000008</v>
      </c>
      <c r="CF35" s="21">
        <f>IF(CF$1&lt;INDEX('Valo FX'!$Q:$Q,MATCH($A35,'Valo FX'!$A:$A,0)),0,IF(CF$1&lt;INDEX('Valo FX'!$R:$R,MATCH($A35,'Valo FX'!$A:$A,0)),INDEX(Base!$U:$U,MATCH($A35,Base!$A:$A,0)),IF(CF$1=INDEX('Valo FX'!$R:$R,MATCH($A35,'Valo FX'!$A:$A,0)),INDEX(Base!$V:$V,MATCH($A35,Base!$A:$A,0)),0)))</f>
        <v>9.1517700000000008</v>
      </c>
      <c r="CG35" s="21">
        <f>IF(CG$1&lt;INDEX('Valo FX'!$Q:$Q,MATCH($A35,'Valo FX'!$A:$A,0)),0,IF(CG$1&lt;INDEX('Valo FX'!$R:$R,MATCH($A35,'Valo FX'!$A:$A,0)),INDEX(Base!$U:$U,MATCH($A35,Base!$A:$A,0)),IF(CG$1=INDEX('Valo FX'!$R:$R,MATCH($A35,'Valo FX'!$A:$A,0)),INDEX(Base!$V:$V,MATCH($A35,Base!$A:$A,0)),0)))</f>
        <v>9.1517700000000008</v>
      </c>
      <c r="CH35" s="21">
        <f>IF(CH$1&lt;INDEX('Valo FX'!$Q:$Q,MATCH($A35,'Valo FX'!$A:$A,0)),0,IF(CH$1&lt;INDEX('Valo FX'!$R:$R,MATCH($A35,'Valo FX'!$A:$A,0)),INDEX(Base!$U:$U,MATCH($A35,Base!$A:$A,0)),IF(CH$1=INDEX('Valo FX'!$R:$R,MATCH($A35,'Valo FX'!$A:$A,0)),INDEX(Base!$V:$V,MATCH($A35,Base!$A:$A,0)),0)))</f>
        <v>9.1517700000000008</v>
      </c>
      <c r="CI35" s="21">
        <f>IF(CI$1&lt;INDEX('Valo FX'!$Q:$Q,MATCH($A35,'Valo FX'!$A:$A,0)),0,IF(CI$1&lt;INDEX('Valo FX'!$R:$R,MATCH($A35,'Valo FX'!$A:$A,0)),INDEX(Base!$U:$U,MATCH($A35,Base!$A:$A,0)),IF(CI$1=INDEX('Valo FX'!$R:$R,MATCH($A35,'Valo FX'!$A:$A,0)),INDEX(Base!$V:$V,MATCH($A35,Base!$A:$A,0)),0)))</f>
        <v>9.1517700000000008</v>
      </c>
      <c r="CJ35" s="21">
        <f>IF(CJ$1&lt;INDEX('Valo FX'!$Q:$Q,MATCH($A35,'Valo FX'!$A:$A,0)),0,IF(CJ$1&lt;INDEX('Valo FX'!$R:$R,MATCH($A35,'Valo FX'!$A:$A,0)),INDEX(Base!$U:$U,MATCH($A35,Base!$A:$A,0)),IF(CJ$1=INDEX('Valo FX'!$R:$R,MATCH($A35,'Valo FX'!$A:$A,0)),INDEX(Base!$V:$V,MATCH($A35,Base!$A:$A,0)),0)))</f>
        <v>9.1517700000000008</v>
      </c>
      <c r="CK35" s="21">
        <f>IF(CK$1&lt;INDEX('Valo FX'!$Q:$Q,MATCH($A35,'Valo FX'!$A:$A,0)),0,IF(CK$1&lt;INDEX('Valo FX'!$R:$R,MATCH($A35,'Valo FX'!$A:$A,0)),INDEX(Base!$U:$U,MATCH($A35,Base!$A:$A,0)),IF(CK$1=INDEX('Valo FX'!$R:$R,MATCH($A35,'Valo FX'!$A:$A,0)),INDEX(Base!$V:$V,MATCH($A35,Base!$A:$A,0)),0)))</f>
        <v>9.1517700000000008</v>
      </c>
      <c r="CL35" s="21">
        <f>IF(CL$1&lt;INDEX('Valo FX'!$Q:$Q,MATCH($A35,'Valo FX'!$A:$A,0)),0,IF(CL$1&lt;INDEX('Valo FX'!$R:$R,MATCH($A35,'Valo FX'!$A:$A,0)),INDEX(Base!$U:$U,MATCH($A35,Base!$A:$A,0)),IF(CL$1=INDEX('Valo FX'!$R:$R,MATCH($A35,'Valo FX'!$A:$A,0)),INDEX(Base!$V:$V,MATCH($A35,Base!$A:$A,0)),0)))</f>
        <v>9.1517700000000008</v>
      </c>
      <c r="CM35" s="21">
        <f>IF(CM$1&lt;INDEX('Valo FX'!$Q:$Q,MATCH($A35,'Valo FX'!$A:$A,0)),0,IF(CM$1&lt;INDEX('Valo FX'!$R:$R,MATCH($A35,'Valo FX'!$A:$A,0)),INDEX(Base!$U:$U,MATCH($A35,Base!$A:$A,0)),IF(CM$1=INDEX('Valo FX'!$R:$R,MATCH($A35,'Valo FX'!$A:$A,0)),INDEX(Base!$V:$V,MATCH($A35,Base!$A:$A,0)),0)))</f>
        <v>9.1517700000000008</v>
      </c>
      <c r="CN35" s="21">
        <f>IF(CN$1&lt;INDEX('Valo FX'!$Q:$Q,MATCH($A35,'Valo FX'!$A:$A,0)),0,IF(CN$1&lt;INDEX('Valo FX'!$R:$R,MATCH($A35,'Valo FX'!$A:$A,0)),INDEX(Base!$U:$U,MATCH($A35,Base!$A:$A,0)),IF(CN$1=INDEX('Valo FX'!$R:$R,MATCH($A35,'Valo FX'!$A:$A,0)),INDEX(Base!$V:$V,MATCH($A35,Base!$A:$A,0)),0)))</f>
        <v>9.1517700000000008</v>
      </c>
      <c r="CO35" s="21">
        <f>IF(CO$1&lt;INDEX('Valo FX'!$Q:$Q,MATCH($A35,'Valo FX'!$A:$A,0)),0,IF(CO$1&lt;INDEX('Valo FX'!$R:$R,MATCH($A35,'Valo FX'!$A:$A,0)),INDEX(Base!$U:$U,MATCH($A35,Base!$A:$A,0)),IF(CO$1=INDEX('Valo FX'!$R:$R,MATCH($A35,'Valo FX'!$A:$A,0)),INDEX(Base!$V:$V,MATCH($A35,Base!$A:$A,0)),0)))</f>
        <v>9.1517700000000008</v>
      </c>
      <c r="CP35" s="21">
        <f>IF(CP$1&lt;INDEX('Valo FX'!$Q:$Q,MATCH($A35,'Valo FX'!$A:$A,0)),0,IF(CP$1&lt;INDEX('Valo FX'!$R:$R,MATCH($A35,'Valo FX'!$A:$A,0)),INDEX(Base!$U:$U,MATCH($A35,Base!$A:$A,0)),IF(CP$1=INDEX('Valo FX'!$R:$R,MATCH($A35,'Valo FX'!$A:$A,0)),INDEX(Base!$V:$V,MATCH($A35,Base!$A:$A,0)),0)))</f>
        <v>9.1517700000000008</v>
      </c>
      <c r="CQ35" s="21">
        <f>IF(CQ$1&lt;INDEX('Valo FX'!$Q:$Q,MATCH($A35,'Valo FX'!$A:$A,0)),0,IF(CQ$1&lt;INDEX('Valo FX'!$R:$R,MATCH($A35,'Valo FX'!$A:$A,0)),INDEX(Base!$U:$U,MATCH($A35,Base!$A:$A,0)),IF(CQ$1=INDEX('Valo FX'!$R:$R,MATCH($A35,'Valo FX'!$A:$A,0)),INDEX(Base!$V:$V,MATCH($A35,Base!$A:$A,0)),0)))</f>
        <v>9.1517700000000008</v>
      </c>
      <c r="CR35" s="21">
        <f>IF(CR$1&lt;INDEX('Valo FX'!$Q:$Q,MATCH($A35,'Valo FX'!$A:$A,0)),0,IF(CR$1&lt;INDEX('Valo FX'!$R:$R,MATCH($A35,'Valo FX'!$A:$A,0)),INDEX(Base!$U:$U,MATCH($A35,Base!$A:$A,0)),IF(CR$1=INDEX('Valo FX'!$R:$R,MATCH($A35,'Valo FX'!$A:$A,0)),INDEX(Base!$V:$V,MATCH($A35,Base!$A:$A,0)),0)))</f>
        <v>9.1517700000000008</v>
      </c>
      <c r="CS35" s="21">
        <f>IF(CS$1&lt;INDEX('Valo FX'!$Q:$Q,MATCH($A35,'Valo FX'!$A:$A,0)),0,IF(CS$1&lt;INDEX('Valo FX'!$R:$R,MATCH($A35,'Valo FX'!$A:$A,0)),INDEX(Base!$U:$U,MATCH($A35,Base!$A:$A,0)),IF(CS$1=INDEX('Valo FX'!$R:$R,MATCH($A35,'Valo FX'!$A:$A,0)),INDEX(Base!$V:$V,MATCH($A35,Base!$A:$A,0)),0)))</f>
        <v>9.1517700000000008</v>
      </c>
      <c r="CT35" s="21">
        <f>IF(CT$1&lt;INDEX('Valo FX'!$Q:$Q,MATCH($A35,'Valo FX'!$A:$A,0)),0,IF(CT$1&lt;INDEX('Valo FX'!$R:$R,MATCH($A35,'Valo FX'!$A:$A,0)),INDEX(Base!$U:$U,MATCH($A35,Base!$A:$A,0)),IF(CT$1=INDEX('Valo FX'!$R:$R,MATCH($A35,'Valo FX'!$A:$A,0)),INDEX(Base!$V:$V,MATCH($A35,Base!$A:$A,0)),0)))</f>
        <v>9.1517700000000008</v>
      </c>
      <c r="CU35" s="21">
        <f>IF(CU$1&lt;INDEX('Valo FX'!$Q:$Q,MATCH($A35,'Valo FX'!$A:$A,0)),0,IF(CU$1&lt;INDEX('Valo FX'!$R:$R,MATCH($A35,'Valo FX'!$A:$A,0)),INDEX(Base!$U:$U,MATCH($A35,Base!$A:$A,0)),IF(CU$1=INDEX('Valo FX'!$R:$R,MATCH($A35,'Valo FX'!$A:$A,0)),INDEX(Base!$V:$V,MATCH($A35,Base!$A:$A,0)),0)))</f>
        <v>9.1517700000000008</v>
      </c>
      <c r="CV35" s="21">
        <f>IF(CV$1&lt;INDEX('Valo FX'!$Q:$Q,MATCH($A35,'Valo FX'!$A:$A,0)),0,IF(CV$1&lt;INDEX('Valo FX'!$R:$R,MATCH($A35,'Valo FX'!$A:$A,0)),INDEX(Base!$U:$U,MATCH($A35,Base!$A:$A,0)),IF(CV$1=INDEX('Valo FX'!$R:$R,MATCH($A35,'Valo FX'!$A:$A,0)),INDEX(Base!$V:$V,MATCH($A35,Base!$A:$A,0)),0)))</f>
        <v>9.1517700000000008</v>
      </c>
      <c r="CW35" s="21">
        <f>IF(CW$1&lt;INDEX('Valo FX'!$Q:$Q,MATCH($A35,'Valo FX'!$A:$A,0)),0,IF(CW$1&lt;INDEX('Valo FX'!$R:$R,MATCH($A35,'Valo FX'!$A:$A,0)),INDEX(Base!$U:$U,MATCH($A35,Base!$A:$A,0)),IF(CW$1=INDEX('Valo FX'!$R:$R,MATCH($A35,'Valo FX'!$A:$A,0)),INDEX(Base!$V:$V,MATCH($A35,Base!$A:$A,0)),0)))</f>
        <v>9.1517700000000008</v>
      </c>
      <c r="CX35" s="21">
        <f>IF(CX$1&lt;INDEX('Valo FX'!$Q:$Q,MATCH($A35,'Valo FX'!$A:$A,0)),0,IF(CX$1&lt;INDEX('Valo FX'!$R:$R,MATCH($A35,'Valo FX'!$A:$A,0)),INDEX(Base!$U:$U,MATCH($A35,Base!$A:$A,0)),IF(CX$1=INDEX('Valo FX'!$R:$R,MATCH($A35,'Valo FX'!$A:$A,0)),INDEX(Base!$V:$V,MATCH($A35,Base!$A:$A,0)),0)))</f>
        <v>9.1517700000000008</v>
      </c>
      <c r="CY35" s="21">
        <f>IF(CY$1&lt;INDEX('Valo FX'!$Q:$Q,MATCH($A35,'Valo FX'!$A:$A,0)),0,IF(CY$1&lt;INDEX('Valo FX'!$R:$R,MATCH($A35,'Valo FX'!$A:$A,0)),INDEX(Base!$U:$U,MATCH($A35,Base!$A:$A,0)),IF(CY$1=INDEX('Valo FX'!$R:$R,MATCH($A35,'Valo FX'!$A:$A,0)),INDEX(Base!$V:$V,MATCH($A35,Base!$A:$A,0)),0)))</f>
        <v>9.1517700000000008</v>
      </c>
      <c r="CZ35" s="21">
        <f>IF(CZ$1&lt;INDEX('Valo FX'!$Q:$Q,MATCH($A35,'Valo FX'!$A:$A,0)),0,IF(CZ$1&lt;INDEX('Valo FX'!$R:$R,MATCH($A35,'Valo FX'!$A:$A,0)),INDEX(Base!$U:$U,MATCH($A35,Base!$A:$A,0)),IF(CZ$1=INDEX('Valo FX'!$R:$R,MATCH($A35,'Valo FX'!$A:$A,0)),INDEX(Base!$V:$V,MATCH($A35,Base!$A:$A,0)),0)))</f>
        <v>9.1517700000000008</v>
      </c>
      <c r="DA35" s="21">
        <f>IF(DA$1&lt;INDEX('Valo FX'!$Q:$Q,MATCH($A35,'Valo FX'!$A:$A,0)),0,IF(DA$1&lt;INDEX('Valo FX'!$R:$R,MATCH($A35,'Valo FX'!$A:$A,0)),INDEX(Base!$U:$U,MATCH($A35,Base!$A:$A,0)),IF(DA$1=INDEX('Valo FX'!$R:$R,MATCH($A35,'Valo FX'!$A:$A,0)),INDEX(Base!$V:$V,MATCH($A35,Base!$A:$A,0)),0)))</f>
        <v>9.1517700000000008</v>
      </c>
      <c r="DB35" s="21">
        <f>IF(DB$1&lt;INDEX('Valo FX'!$Q:$Q,MATCH($A35,'Valo FX'!$A:$A,0)),0,IF(DB$1&lt;INDEX('Valo FX'!$R:$R,MATCH($A35,'Valo FX'!$A:$A,0)),INDEX(Base!$U:$U,MATCH($A35,Base!$A:$A,0)),IF(DB$1=INDEX('Valo FX'!$R:$R,MATCH($A35,'Valo FX'!$A:$A,0)),INDEX(Base!$V:$V,MATCH($A35,Base!$A:$A,0)),0)))</f>
        <v>9.1517700000000008</v>
      </c>
      <c r="DC35" s="21">
        <f>IF(DC$1&lt;INDEX('Valo FX'!$Q:$Q,MATCH($A35,'Valo FX'!$A:$A,0)),0,IF(DC$1&lt;INDEX('Valo FX'!$R:$R,MATCH($A35,'Valo FX'!$A:$A,0)),INDEX(Base!$U:$U,MATCH($A35,Base!$A:$A,0)),IF(DC$1=INDEX('Valo FX'!$R:$R,MATCH($A35,'Valo FX'!$A:$A,0)),INDEX(Base!$V:$V,MATCH($A35,Base!$A:$A,0)),0)))</f>
        <v>9.1517700000000008</v>
      </c>
      <c r="DD35" s="21">
        <f>IF(DD$1&lt;INDEX('Valo FX'!$Q:$Q,MATCH($A35,'Valo FX'!$A:$A,0)),0,IF(DD$1&lt;INDEX('Valo FX'!$R:$R,MATCH($A35,'Valo FX'!$A:$A,0)),INDEX(Base!$U:$U,MATCH($A35,Base!$A:$A,0)),IF(DD$1=INDEX('Valo FX'!$R:$R,MATCH($A35,'Valo FX'!$A:$A,0)),INDEX(Base!$V:$V,MATCH($A35,Base!$A:$A,0)),0)))</f>
        <v>9.1517700000000008</v>
      </c>
      <c r="DE35" s="21">
        <f>IF(DE$1&lt;INDEX('Valo FX'!$Q:$Q,MATCH($A35,'Valo FX'!$A:$A,0)),0,IF(DE$1&lt;INDEX('Valo FX'!$R:$R,MATCH($A35,'Valo FX'!$A:$A,0)),INDEX(Base!$U:$U,MATCH($A35,Base!$A:$A,0)),IF(DE$1=INDEX('Valo FX'!$R:$R,MATCH($A35,'Valo FX'!$A:$A,0)),INDEX(Base!$V:$V,MATCH($A35,Base!$A:$A,0)),0)))</f>
        <v>9.1517700000000008</v>
      </c>
      <c r="DF35" s="21">
        <f>IF(DF$1&lt;INDEX('Valo FX'!$Q:$Q,MATCH($A35,'Valo FX'!$A:$A,0)),0,IF(DF$1&lt;INDEX('Valo FX'!$R:$R,MATCH($A35,'Valo FX'!$A:$A,0)),INDEX(Base!$U:$U,MATCH($A35,Base!$A:$A,0)),IF(DF$1=INDEX('Valo FX'!$R:$R,MATCH($A35,'Valo FX'!$A:$A,0)),INDEX(Base!$V:$V,MATCH($A35,Base!$A:$A,0)),0)))</f>
        <v>9.1517700000000008</v>
      </c>
      <c r="DG35" s="21">
        <f>IF(DG$1&lt;INDEX('Valo FX'!$Q:$Q,MATCH($A35,'Valo FX'!$A:$A,0)),0,IF(DG$1&lt;INDEX('Valo FX'!$R:$R,MATCH($A35,'Valo FX'!$A:$A,0)),INDEX(Base!$U:$U,MATCH($A35,Base!$A:$A,0)),IF(DG$1=INDEX('Valo FX'!$R:$R,MATCH($A35,'Valo FX'!$A:$A,0)),INDEX(Base!$V:$V,MATCH($A35,Base!$A:$A,0)),0)))</f>
        <v>9.1517700000000008</v>
      </c>
      <c r="DH35" s="21">
        <f>IF(DH$1&lt;INDEX('Valo FX'!$Q:$Q,MATCH($A35,'Valo FX'!$A:$A,0)),0,IF(DH$1&lt;INDEX('Valo FX'!$R:$R,MATCH($A35,'Valo FX'!$A:$A,0)),INDEX(Base!$U:$U,MATCH($A35,Base!$A:$A,0)),IF(DH$1=INDEX('Valo FX'!$R:$R,MATCH($A35,'Valo FX'!$A:$A,0)),INDEX(Base!$V:$V,MATCH($A35,Base!$A:$A,0)),0)))</f>
        <v>9.1517700000000008</v>
      </c>
      <c r="DI35" s="21">
        <f>IF(DI$1&lt;INDEX('Valo FX'!$Q:$Q,MATCH($A35,'Valo FX'!$A:$A,0)),0,IF(DI$1&lt;INDEX('Valo FX'!$R:$R,MATCH($A35,'Valo FX'!$A:$A,0)),INDEX(Base!$U:$U,MATCH($A35,Base!$A:$A,0)),IF(DI$1=INDEX('Valo FX'!$R:$R,MATCH($A35,'Valo FX'!$A:$A,0)),INDEX(Base!$V:$V,MATCH($A35,Base!$A:$A,0)),0)))</f>
        <v>9.1517700000000008</v>
      </c>
      <c r="DJ35" s="21">
        <f>IF(DJ$1&lt;INDEX('Valo FX'!$Q:$Q,MATCH($A35,'Valo FX'!$A:$A,0)),0,IF(DJ$1&lt;INDEX('Valo FX'!$R:$R,MATCH($A35,'Valo FX'!$A:$A,0)),INDEX(Base!$U:$U,MATCH($A35,Base!$A:$A,0)),IF(DJ$1=INDEX('Valo FX'!$R:$R,MATCH($A35,'Valo FX'!$A:$A,0)),INDEX(Base!$V:$V,MATCH($A35,Base!$A:$A,0)),0)))</f>
        <v>9.1517700000000008</v>
      </c>
      <c r="DK35" s="21">
        <f>IF(DK$1&lt;INDEX('Valo FX'!$Q:$Q,MATCH($A35,'Valo FX'!$A:$A,0)),0,IF(DK$1&lt;INDEX('Valo FX'!$R:$R,MATCH($A35,'Valo FX'!$A:$A,0)),INDEX(Base!$U:$U,MATCH($A35,Base!$A:$A,0)),IF(DK$1=INDEX('Valo FX'!$R:$R,MATCH($A35,'Valo FX'!$A:$A,0)),INDEX(Base!$V:$V,MATCH($A35,Base!$A:$A,0)),0)))</f>
        <v>9.1517700000000008</v>
      </c>
      <c r="DL35" s="21">
        <f>IF(DL$1&lt;INDEX('Valo FX'!$Q:$Q,MATCH($A35,'Valo FX'!$A:$A,0)),0,IF(DL$1&lt;INDEX('Valo FX'!$R:$R,MATCH($A35,'Valo FX'!$A:$A,0)),INDEX(Base!$U:$U,MATCH($A35,Base!$A:$A,0)),IF(DL$1=INDEX('Valo FX'!$R:$R,MATCH($A35,'Valo FX'!$A:$A,0)),INDEX(Base!$V:$V,MATCH($A35,Base!$A:$A,0)),0)))</f>
        <v>9.1517700000000008</v>
      </c>
      <c r="DM35" s="21">
        <f>IF(DM$1&lt;INDEX('Valo FX'!$Q:$Q,MATCH($A35,'Valo FX'!$A:$A,0)),0,IF(DM$1&lt;INDEX('Valo FX'!$R:$R,MATCH($A35,'Valo FX'!$A:$A,0)),INDEX(Base!$U:$U,MATCH($A35,Base!$A:$A,0)),IF(DM$1=INDEX('Valo FX'!$R:$R,MATCH($A35,'Valo FX'!$A:$A,0)),INDEX(Base!$V:$V,MATCH($A35,Base!$A:$A,0)),0)))</f>
        <v>9.1517700000000008</v>
      </c>
      <c r="DN35" s="21">
        <f>IF(DN$1&lt;INDEX('Valo FX'!$Q:$Q,MATCH($A35,'Valo FX'!$A:$A,0)),0,IF(DN$1&lt;INDEX('Valo FX'!$R:$R,MATCH($A35,'Valo FX'!$A:$A,0)),INDEX(Base!$U:$U,MATCH($A35,Base!$A:$A,0)),IF(DN$1=INDEX('Valo FX'!$R:$R,MATCH($A35,'Valo FX'!$A:$A,0)),INDEX(Base!$V:$V,MATCH($A35,Base!$A:$A,0)),0)))</f>
        <v>9.1517700000000008</v>
      </c>
      <c r="DO35" s="21">
        <f>IF(DO$1&lt;INDEX('Valo FX'!$Q:$Q,MATCH($A35,'Valo FX'!$A:$A,0)),0,IF(DO$1&lt;INDEX('Valo FX'!$R:$R,MATCH($A35,'Valo FX'!$A:$A,0)),INDEX(Base!$U:$U,MATCH($A35,Base!$A:$A,0)),IF(DO$1=INDEX('Valo FX'!$R:$R,MATCH($A35,'Valo FX'!$A:$A,0)),INDEX(Base!$V:$V,MATCH($A35,Base!$A:$A,0)),0)))</f>
        <v>9.1517700000000008</v>
      </c>
      <c r="DP35" s="21">
        <f>IF(DP$1&lt;INDEX('Valo FX'!$Q:$Q,MATCH($A35,'Valo FX'!$A:$A,0)),0,IF(DP$1&lt;INDEX('Valo FX'!$R:$R,MATCH($A35,'Valo FX'!$A:$A,0)),INDEX(Base!$U:$U,MATCH($A35,Base!$A:$A,0)),IF(DP$1=INDEX('Valo FX'!$R:$R,MATCH($A35,'Valo FX'!$A:$A,0)),INDEX(Base!$V:$V,MATCH($A35,Base!$A:$A,0)),0)))</f>
        <v>9.1517700000000008</v>
      </c>
      <c r="DQ35" s="21">
        <f>IF(DQ$1&lt;INDEX('Valo FX'!$Q:$Q,MATCH($A35,'Valo FX'!$A:$A,0)),0,IF(DQ$1&lt;INDEX('Valo FX'!$R:$R,MATCH($A35,'Valo FX'!$A:$A,0)),INDEX(Base!$U:$U,MATCH($A35,Base!$A:$A,0)),IF(DQ$1=INDEX('Valo FX'!$R:$R,MATCH($A35,'Valo FX'!$A:$A,0)),INDEX(Base!$V:$V,MATCH($A35,Base!$A:$A,0)),0)))</f>
        <v>9.1517700000000008</v>
      </c>
      <c r="DR35" s="21">
        <f>IF(DR$1&lt;INDEX('Valo FX'!$Q:$Q,MATCH($A35,'Valo FX'!$A:$A,0)),0,IF(DR$1&lt;INDEX('Valo FX'!$R:$R,MATCH($A35,'Valo FX'!$A:$A,0)),INDEX(Base!$U:$U,MATCH($A35,Base!$A:$A,0)),IF(DR$1=INDEX('Valo FX'!$R:$R,MATCH($A35,'Valo FX'!$A:$A,0)),INDEX(Base!$V:$V,MATCH($A35,Base!$A:$A,0)),0)))</f>
        <v>9.1517700000000008</v>
      </c>
      <c r="DS35" s="21">
        <f>IF(DS$1&lt;INDEX('Valo FX'!$Q:$Q,MATCH($A35,'Valo FX'!$A:$A,0)),0,IF(DS$1&lt;INDEX('Valo FX'!$R:$R,MATCH($A35,'Valo FX'!$A:$A,0)),INDEX(Base!$U:$U,MATCH($A35,Base!$A:$A,0)),IF(DS$1=INDEX('Valo FX'!$R:$R,MATCH($A35,'Valo FX'!$A:$A,0)),INDEX(Base!$V:$V,MATCH($A35,Base!$A:$A,0)),0)))</f>
        <v>9.1517700000000008</v>
      </c>
      <c r="DT35" s="21">
        <f>IF(DT$1&lt;INDEX('Valo FX'!$Q:$Q,MATCH($A35,'Valo FX'!$A:$A,0)),0,IF(DT$1&lt;INDEX('Valo FX'!$R:$R,MATCH($A35,'Valo FX'!$A:$A,0)),INDEX(Base!$U:$U,MATCH($A35,Base!$A:$A,0)),IF(DT$1=INDEX('Valo FX'!$R:$R,MATCH($A35,'Valo FX'!$A:$A,0)),INDEX(Base!$V:$V,MATCH($A35,Base!$A:$A,0)),0)))</f>
        <v>9.1517700000000008</v>
      </c>
      <c r="DU35" s="21">
        <f>IF(DU$1&lt;INDEX('Valo FX'!$Q:$Q,MATCH($A35,'Valo FX'!$A:$A,0)),0,IF(DU$1&lt;INDEX('Valo FX'!$R:$R,MATCH($A35,'Valo FX'!$A:$A,0)),INDEX(Base!$U:$U,MATCH($A35,Base!$A:$A,0)),IF(DU$1=INDEX('Valo FX'!$R:$R,MATCH($A35,'Valo FX'!$A:$A,0)),INDEX(Base!$V:$V,MATCH($A35,Base!$A:$A,0)),0)))</f>
        <v>9.1517700000000008</v>
      </c>
      <c r="DV35" s="21">
        <f>IF(DV$1&lt;INDEX('Valo FX'!$Q:$Q,MATCH($A35,'Valo FX'!$A:$A,0)),0,IF(DV$1&lt;INDEX('Valo FX'!$R:$R,MATCH($A35,'Valo FX'!$A:$A,0)),INDEX(Base!$U:$U,MATCH($A35,Base!$A:$A,0)),IF(DV$1=INDEX('Valo FX'!$R:$R,MATCH($A35,'Valo FX'!$A:$A,0)),INDEX(Base!$V:$V,MATCH($A35,Base!$A:$A,0)),0)))</f>
        <v>9.1517700000000008</v>
      </c>
      <c r="DW35" s="21">
        <f>IF(DW$1&lt;INDEX('Valo FX'!$Q:$Q,MATCH($A35,'Valo FX'!$A:$A,0)),0,IF(DW$1&lt;INDEX('Valo FX'!$R:$R,MATCH($A35,'Valo FX'!$A:$A,0)),INDEX(Base!$U:$U,MATCH($A35,Base!$A:$A,0)),IF(DW$1=INDEX('Valo FX'!$R:$R,MATCH($A35,'Valo FX'!$A:$A,0)),INDEX(Base!$V:$V,MATCH($A35,Base!$A:$A,0)),0)))</f>
        <v>9.1517700000000008</v>
      </c>
      <c r="DX35" s="21">
        <f>IF(DX$1&lt;INDEX('Valo FX'!$Q:$Q,MATCH($A35,'Valo FX'!$A:$A,0)),0,IF(DX$1&lt;INDEX('Valo FX'!$R:$R,MATCH($A35,'Valo FX'!$A:$A,0)),INDEX(Base!$U:$U,MATCH($A35,Base!$A:$A,0)),IF(DX$1=INDEX('Valo FX'!$R:$R,MATCH($A35,'Valo FX'!$A:$A,0)),INDEX(Base!$V:$V,MATCH($A35,Base!$A:$A,0)),0)))</f>
        <v>9.1517700000000008</v>
      </c>
      <c r="DY35" s="21">
        <f>IF(DY$1&lt;INDEX('Valo FX'!$Q:$Q,MATCH($A35,'Valo FX'!$A:$A,0)),0,IF(DY$1&lt;INDEX('Valo FX'!$R:$R,MATCH($A35,'Valo FX'!$A:$A,0)),INDEX(Base!$U:$U,MATCH($A35,Base!$A:$A,0)),IF(DY$1=INDEX('Valo FX'!$R:$R,MATCH($A35,'Valo FX'!$A:$A,0)),INDEX(Base!$V:$V,MATCH($A35,Base!$A:$A,0)),0)))</f>
        <v>9.1517700000000008</v>
      </c>
      <c r="DZ35" s="21">
        <f>IF(DZ$1&lt;INDEX('Valo FX'!$Q:$Q,MATCH($A35,'Valo FX'!$A:$A,0)),0,IF(DZ$1&lt;INDEX('Valo FX'!$R:$R,MATCH($A35,'Valo FX'!$A:$A,0)),INDEX(Base!$U:$U,MATCH($A35,Base!$A:$A,0)),IF(DZ$1=INDEX('Valo FX'!$R:$R,MATCH($A35,'Valo FX'!$A:$A,0)),INDEX(Base!$V:$V,MATCH($A35,Base!$A:$A,0)),0)))</f>
        <v>9.1517700000000008</v>
      </c>
      <c r="EA35" s="21">
        <f>IF(EA$1&lt;INDEX('Valo FX'!$Q:$Q,MATCH($A35,'Valo FX'!$A:$A,0)),0,IF(EA$1&lt;INDEX('Valo FX'!$R:$R,MATCH($A35,'Valo FX'!$A:$A,0)),INDEX(Base!$U:$U,MATCH($A35,Base!$A:$A,0)),IF(EA$1=INDEX('Valo FX'!$R:$R,MATCH($A35,'Valo FX'!$A:$A,0)),INDEX(Base!$V:$V,MATCH($A35,Base!$A:$A,0)),0)))</f>
        <v>9.1517700000000008</v>
      </c>
      <c r="EB35" s="21">
        <f>IF(EB$1&lt;INDEX('Valo FX'!$Q:$Q,MATCH($A35,'Valo FX'!$A:$A,0)),0,IF(EB$1&lt;INDEX('Valo FX'!$R:$R,MATCH($A35,'Valo FX'!$A:$A,0)),INDEX(Base!$U:$U,MATCH($A35,Base!$A:$A,0)),IF(EB$1=INDEX('Valo FX'!$R:$R,MATCH($A35,'Valo FX'!$A:$A,0)),INDEX(Base!$V:$V,MATCH($A35,Base!$A:$A,0)),0)))</f>
        <v>9.1517700000000008</v>
      </c>
      <c r="EC35" s="21">
        <f>IF(EC$1&lt;INDEX('Valo FX'!$Q:$Q,MATCH($A35,'Valo FX'!$A:$A,0)),0,IF(EC$1&lt;INDEX('Valo FX'!$R:$R,MATCH($A35,'Valo FX'!$A:$A,0)),INDEX(Base!$U:$U,MATCH($A35,Base!$A:$A,0)),IF(EC$1=INDEX('Valo FX'!$R:$R,MATCH($A35,'Valo FX'!$A:$A,0)),INDEX(Base!$V:$V,MATCH($A35,Base!$A:$A,0)),0)))</f>
        <v>9.1517700000000008</v>
      </c>
      <c r="ED35" s="21">
        <f>IF(ED$1&lt;INDEX('Valo FX'!$Q:$Q,MATCH($A35,'Valo FX'!$A:$A,0)),0,IF(ED$1&lt;INDEX('Valo FX'!$R:$R,MATCH($A35,'Valo FX'!$A:$A,0)),INDEX(Base!$U:$U,MATCH($A35,Base!$A:$A,0)),IF(ED$1=INDEX('Valo FX'!$R:$R,MATCH($A35,'Valo FX'!$A:$A,0)),INDEX(Base!$V:$V,MATCH($A35,Base!$A:$A,0)),0)))</f>
        <v>9.1517700000000008</v>
      </c>
      <c r="EE35" s="21">
        <f>IF(EE$1&lt;INDEX('Valo FX'!$Q:$Q,MATCH($A35,'Valo FX'!$A:$A,0)),0,IF(EE$1&lt;INDEX('Valo FX'!$R:$R,MATCH($A35,'Valo FX'!$A:$A,0)),INDEX(Base!$U:$U,MATCH($A35,Base!$A:$A,0)),IF(EE$1=INDEX('Valo FX'!$R:$R,MATCH($A35,'Valo FX'!$A:$A,0)),INDEX(Base!$V:$V,MATCH($A35,Base!$A:$A,0)),0)))</f>
        <v>9.1517700000000008</v>
      </c>
      <c r="EF35" s="21">
        <f>IF(EF$1&lt;INDEX('Valo FX'!$Q:$Q,MATCH($A35,'Valo FX'!$A:$A,0)),0,IF(EF$1&lt;INDEX('Valo FX'!$R:$R,MATCH($A35,'Valo FX'!$A:$A,0)),INDEX(Base!$U:$U,MATCH($A35,Base!$A:$A,0)),IF(EF$1=INDEX('Valo FX'!$R:$R,MATCH($A35,'Valo FX'!$A:$A,0)),INDEX(Base!$V:$V,MATCH($A35,Base!$A:$A,0)),0)))</f>
        <v>9.1517700000000008</v>
      </c>
      <c r="EG35" s="21">
        <f>IF(EG$1&lt;INDEX('Valo FX'!$Q:$Q,MATCH($A35,'Valo FX'!$A:$A,0)),0,IF(EG$1&lt;INDEX('Valo FX'!$R:$R,MATCH($A35,'Valo FX'!$A:$A,0)),INDEX(Base!$U:$U,MATCH($A35,Base!$A:$A,0)),IF(EG$1=INDEX('Valo FX'!$R:$R,MATCH($A35,'Valo FX'!$A:$A,0)),INDEX(Base!$V:$V,MATCH($A35,Base!$A:$A,0)),0)))</f>
        <v>9.1517700000000008</v>
      </c>
      <c r="EH35" s="21">
        <f>IF(EH$1&lt;INDEX('Valo FX'!$Q:$Q,MATCH($A35,'Valo FX'!$A:$A,0)),0,IF(EH$1&lt;INDEX('Valo FX'!$R:$R,MATCH($A35,'Valo FX'!$A:$A,0)),INDEX(Base!$U:$U,MATCH($A35,Base!$A:$A,0)),IF(EH$1=INDEX('Valo FX'!$R:$R,MATCH($A35,'Valo FX'!$A:$A,0)),INDEX(Base!$V:$V,MATCH($A35,Base!$A:$A,0)),0)))</f>
        <v>9.1517700000000008</v>
      </c>
      <c r="EI35" s="21">
        <f>IF(EI$1&lt;INDEX('Valo FX'!$Q:$Q,MATCH($A35,'Valo FX'!$A:$A,0)),0,IF(EI$1&lt;INDEX('Valo FX'!$R:$R,MATCH($A35,'Valo FX'!$A:$A,0)),INDEX(Base!$U:$U,MATCH($A35,Base!$A:$A,0)),IF(EI$1=INDEX('Valo FX'!$R:$R,MATCH($A35,'Valo FX'!$A:$A,0)),INDEX(Base!$V:$V,MATCH($A35,Base!$A:$A,0)),0)))</f>
        <v>9.1517700000000008</v>
      </c>
      <c r="EJ35" s="21">
        <f>IF(EJ$1&lt;INDEX('Valo FX'!$Q:$Q,MATCH($A35,'Valo FX'!$A:$A,0)),0,IF(EJ$1&lt;INDEX('Valo FX'!$R:$R,MATCH($A35,'Valo FX'!$A:$A,0)),INDEX(Base!$U:$U,MATCH($A35,Base!$A:$A,0)),IF(EJ$1=INDEX('Valo FX'!$R:$R,MATCH($A35,'Valo FX'!$A:$A,0)),INDEX(Base!$V:$V,MATCH($A35,Base!$A:$A,0)),0)))</f>
        <v>9.1517700000000008</v>
      </c>
      <c r="EK35" s="21">
        <f>IF(EK$1&lt;INDEX('Valo FX'!$Q:$Q,MATCH($A35,'Valo FX'!$A:$A,0)),0,IF(EK$1&lt;INDEX('Valo FX'!$R:$R,MATCH($A35,'Valo FX'!$A:$A,0)),INDEX(Base!$U:$U,MATCH($A35,Base!$A:$A,0)),IF(EK$1=INDEX('Valo FX'!$R:$R,MATCH($A35,'Valo FX'!$A:$A,0)),INDEX(Base!$V:$V,MATCH($A35,Base!$A:$A,0)),0)))</f>
        <v>9.1517700000000008</v>
      </c>
      <c r="EL35" s="21">
        <f>IF(EL$1&lt;INDEX('Valo FX'!$Q:$Q,MATCH($A35,'Valo FX'!$A:$A,0)),0,IF(EL$1&lt;INDEX('Valo FX'!$R:$R,MATCH($A35,'Valo FX'!$A:$A,0)),INDEX(Base!$U:$U,MATCH($A35,Base!$A:$A,0)),IF(EL$1=INDEX('Valo FX'!$R:$R,MATCH($A35,'Valo FX'!$A:$A,0)),INDEX(Base!$V:$V,MATCH($A35,Base!$A:$A,0)),0)))</f>
        <v>9.1517700000000008</v>
      </c>
      <c r="EM35" s="21">
        <f>IF(EM$1&lt;INDEX('Valo FX'!$Q:$Q,MATCH($A35,'Valo FX'!$A:$A,0)),0,IF(EM$1&lt;INDEX('Valo FX'!$R:$R,MATCH($A35,'Valo FX'!$A:$A,0)),INDEX(Base!$U:$U,MATCH($A35,Base!$A:$A,0)),IF(EM$1=INDEX('Valo FX'!$R:$R,MATCH($A35,'Valo FX'!$A:$A,0)),INDEX(Base!$V:$V,MATCH($A35,Base!$A:$A,0)),0)))</f>
        <v>9.1517700000000008</v>
      </c>
      <c r="EN35" s="21">
        <f>IF(EN$1&lt;INDEX('Valo FX'!$Q:$Q,MATCH($A35,'Valo FX'!$A:$A,0)),0,IF(EN$1&lt;INDEX('Valo FX'!$R:$R,MATCH($A35,'Valo FX'!$A:$A,0)),INDEX(Base!$U:$U,MATCH($A35,Base!$A:$A,0)),IF(EN$1=INDEX('Valo FX'!$R:$R,MATCH($A35,'Valo FX'!$A:$A,0)),INDEX(Base!$V:$V,MATCH($A35,Base!$A:$A,0)),0)))</f>
        <v>9.1517700000000008</v>
      </c>
      <c r="EO35" s="21">
        <f>IF(EO$1&lt;INDEX('Valo FX'!$Q:$Q,MATCH($A35,'Valo FX'!$A:$A,0)),0,IF(EO$1&lt;INDEX('Valo FX'!$R:$R,MATCH($A35,'Valo FX'!$A:$A,0)),INDEX(Base!$U:$U,MATCH($A35,Base!$A:$A,0)),IF(EO$1=INDEX('Valo FX'!$R:$R,MATCH($A35,'Valo FX'!$A:$A,0)),INDEX(Base!$V:$V,MATCH($A35,Base!$A:$A,0)),0)))</f>
        <v>9.1517700000000008</v>
      </c>
      <c r="EP35" s="21">
        <f>IF(EP$1&lt;INDEX('Valo FX'!$Q:$Q,MATCH($A35,'Valo FX'!$A:$A,0)),0,IF(EP$1&lt;INDEX('Valo FX'!$R:$R,MATCH($A35,'Valo FX'!$A:$A,0)),INDEX(Base!$U:$U,MATCH($A35,Base!$A:$A,0)),IF(EP$1=INDEX('Valo FX'!$R:$R,MATCH($A35,'Valo FX'!$A:$A,0)),INDEX(Base!$V:$V,MATCH($A35,Base!$A:$A,0)),0)))</f>
        <v>9.1517700000000008</v>
      </c>
      <c r="EQ35" s="21">
        <f>IF(EQ$1&lt;INDEX('Valo FX'!$Q:$Q,MATCH($A35,'Valo FX'!$A:$A,0)),0,IF(EQ$1&lt;INDEX('Valo FX'!$R:$R,MATCH($A35,'Valo FX'!$A:$A,0)),INDEX(Base!$U:$U,MATCH($A35,Base!$A:$A,0)),IF(EQ$1=INDEX('Valo FX'!$R:$R,MATCH($A35,'Valo FX'!$A:$A,0)),INDEX(Base!$V:$V,MATCH($A35,Base!$A:$A,0)),0)))</f>
        <v>9.1517700000000008</v>
      </c>
      <c r="ER35" s="21">
        <f>IF(ER$1&lt;INDEX('Valo FX'!$Q:$Q,MATCH($A35,'Valo FX'!$A:$A,0)),0,IF(ER$1&lt;INDEX('Valo FX'!$R:$R,MATCH($A35,'Valo FX'!$A:$A,0)),INDEX(Base!$U:$U,MATCH($A35,Base!$A:$A,0)),IF(ER$1=INDEX('Valo FX'!$R:$R,MATCH($A35,'Valo FX'!$A:$A,0)),INDEX(Base!$V:$V,MATCH($A35,Base!$A:$A,0)),0)))</f>
        <v>9.1517700000000008</v>
      </c>
      <c r="ES35" s="21">
        <f>IF(ES$1&lt;INDEX('Valo FX'!$Q:$Q,MATCH($A35,'Valo FX'!$A:$A,0)),0,IF(ES$1&lt;INDEX('Valo FX'!$R:$R,MATCH($A35,'Valo FX'!$A:$A,0)),INDEX(Base!$U:$U,MATCH($A35,Base!$A:$A,0)),IF(ES$1=INDEX('Valo FX'!$R:$R,MATCH($A35,'Valo FX'!$A:$A,0)),INDEX(Base!$V:$V,MATCH($A35,Base!$A:$A,0)),0)))</f>
        <v>9.1517700000000008</v>
      </c>
      <c r="ET35" s="21">
        <f>IF(ET$1&lt;INDEX('Valo FX'!$Q:$Q,MATCH($A35,'Valo FX'!$A:$A,0)),0,IF(ET$1&lt;INDEX('Valo FX'!$R:$R,MATCH($A35,'Valo FX'!$A:$A,0)),INDEX(Base!$U:$U,MATCH($A35,Base!$A:$A,0)),IF(ET$1=INDEX('Valo FX'!$R:$R,MATCH($A35,'Valo FX'!$A:$A,0)),INDEX(Base!$V:$V,MATCH($A35,Base!$A:$A,0)),0)))</f>
        <v>9.1517700000000008</v>
      </c>
      <c r="EU35" s="21">
        <f>IF(EU$1&lt;INDEX('Valo FX'!$Q:$Q,MATCH($A35,'Valo FX'!$A:$A,0)),0,IF(EU$1&lt;INDEX('Valo FX'!$R:$R,MATCH($A35,'Valo FX'!$A:$A,0)),INDEX(Base!$U:$U,MATCH($A35,Base!$A:$A,0)),IF(EU$1=INDEX('Valo FX'!$R:$R,MATCH($A35,'Valo FX'!$A:$A,0)),INDEX(Base!$V:$V,MATCH($A35,Base!$A:$A,0)),0)))</f>
        <v>9.1517700000000008</v>
      </c>
      <c r="EV35" s="21">
        <f>IF(EV$1&lt;INDEX('Valo FX'!$Q:$Q,MATCH($A35,'Valo FX'!$A:$A,0)),0,IF(EV$1&lt;INDEX('Valo FX'!$R:$R,MATCH($A35,'Valo FX'!$A:$A,0)),INDEX(Base!$U:$U,MATCH($A35,Base!$A:$A,0)),IF(EV$1=INDEX('Valo FX'!$R:$R,MATCH($A35,'Valo FX'!$A:$A,0)),INDEX(Base!$V:$V,MATCH($A35,Base!$A:$A,0)),0)))</f>
        <v>9.1517700000000008</v>
      </c>
      <c r="EW35" s="21">
        <f>IF(EW$1&lt;INDEX('Valo FX'!$Q:$Q,MATCH($A35,'Valo FX'!$A:$A,0)),0,IF(EW$1&lt;INDEX('Valo FX'!$R:$R,MATCH($A35,'Valo FX'!$A:$A,0)),INDEX(Base!$U:$U,MATCH($A35,Base!$A:$A,0)),IF(EW$1=INDEX('Valo FX'!$R:$R,MATCH($A35,'Valo FX'!$A:$A,0)),INDEX(Base!$V:$V,MATCH($A35,Base!$A:$A,0)),0)))</f>
        <v>9.1517700000000008</v>
      </c>
      <c r="EX35" s="21">
        <f>IF(EX$1&lt;INDEX('Valo FX'!$Q:$Q,MATCH($A35,'Valo FX'!$A:$A,0)),0,IF(EX$1&lt;INDEX('Valo FX'!$R:$R,MATCH($A35,'Valo FX'!$A:$A,0)),INDEX(Base!$U:$U,MATCH($A35,Base!$A:$A,0)),IF(EX$1=INDEX('Valo FX'!$R:$R,MATCH($A35,'Valo FX'!$A:$A,0)),INDEX(Base!$V:$V,MATCH($A35,Base!$A:$A,0)),0)))</f>
        <v>9.1517700000000008</v>
      </c>
      <c r="EY35" s="21">
        <f>IF(EY$1&lt;INDEX('Valo FX'!$Q:$Q,MATCH($A35,'Valo FX'!$A:$A,0)),0,IF(EY$1&lt;INDEX('Valo FX'!$R:$R,MATCH($A35,'Valo FX'!$A:$A,0)),INDEX(Base!$U:$U,MATCH($A35,Base!$A:$A,0)),IF(EY$1=INDEX('Valo FX'!$R:$R,MATCH($A35,'Valo FX'!$A:$A,0)),INDEX(Base!$V:$V,MATCH($A35,Base!$A:$A,0)),0)))</f>
        <v>9.1517700000000008</v>
      </c>
      <c r="EZ35" s="21">
        <f>IF(EZ$1&lt;INDEX('Valo FX'!$Q:$Q,MATCH($A35,'Valo FX'!$A:$A,0)),0,IF(EZ$1&lt;INDEX('Valo FX'!$R:$R,MATCH($A35,'Valo FX'!$A:$A,0)),INDEX(Base!$U:$U,MATCH($A35,Base!$A:$A,0)),IF(EZ$1=INDEX('Valo FX'!$R:$R,MATCH($A35,'Valo FX'!$A:$A,0)),INDEX(Base!$V:$V,MATCH($A35,Base!$A:$A,0)),0)))</f>
        <v>9.1517700000000008</v>
      </c>
      <c r="FA35" s="21">
        <f>IF(FA$1&lt;INDEX('Valo FX'!$Q:$Q,MATCH($A35,'Valo FX'!$A:$A,0)),0,IF(FA$1&lt;INDEX('Valo FX'!$R:$R,MATCH($A35,'Valo FX'!$A:$A,0)),INDEX(Base!$U:$U,MATCH($A35,Base!$A:$A,0)),IF(FA$1=INDEX('Valo FX'!$R:$R,MATCH($A35,'Valo FX'!$A:$A,0)),INDEX(Base!$V:$V,MATCH($A35,Base!$A:$A,0)),0)))</f>
        <v>9.1517700000000008</v>
      </c>
      <c r="FB35" s="21">
        <f>IF(FB$1&lt;INDEX('Valo FX'!$Q:$Q,MATCH($A35,'Valo FX'!$A:$A,0)),0,IF(FB$1&lt;INDEX('Valo FX'!$R:$R,MATCH($A35,'Valo FX'!$A:$A,0)),INDEX(Base!$U:$U,MATCH($A35,Base!$A:$A,0)),IF(FB$1=INDEX('Valo FX'!$R:$R,MATCH($A35,'Valo FX'!$A:$A,0)),INDEX(Base!$V:$V,MATCH($A35,Base!$A:$A,0)),0)))</f>
        <v>9.1517700000000008</v>
      </c>
      <c r="FC35" s="21">
        <f>IF(FC$1&lt;INDEX('Valo FX'!$Q:$Q,MATCH($A35,'Valo FX'!$A:$A,0)),0,IF(FC$1&lt;INDEX('Valo FX'!$R:$R,MATCH($A35,'Valo FX'!$A:$A,0)),INDEX(Base!$U:$U,MATCH($A35,Base!$A:$A,0)),IF(FC$1=INDEX('Valo FX'!$R:$R,MATCH($A35,'Valo FX'!$A:$A,0)),INDEX(Base!$V:$V,MATCH($A35,Base!$A:$A,0)),0)))</f>
        <v>9.1517700000000008</v>
      </c>
      <c r="FD35" s="21">
        <f>IF(FD$1&lt;INDEX('Valo FX'!$Q:$Q,MATCH($A35,'Valo FX'!$A:$A,0)),0,IF(FD$1&lt;INDEX('Valo FX'!$R:$R,MATCH($A35,'Valo FX'!$A:$A,0)),INDEX(Base!$U:$U,MATCH($A35,Base!$A:$A,0)),IF(FD$1=INDEX('Valo FX'!$R:$R,MATCH($A35,'Valo FX'!$A:$A,0)),INDEX(Base!$V:$V,MATCH($A35,Base!$A:$A,0)),0)))</f>
        <v>9.1517700000000008</v>
      </c>
      <c r="FE35" s="21">
        <f>IF(FE$1&lt;INDEX('Valo FX'!$Q:$Q,MATCH($A35,'Valo FX'!$A:$A,0)),0,IF(FE$1&lt;INDEX('Valo FX'!$R:$R,MATCH($A35,'Valo FX'!$A:$A,0)),INDEX(Base!$U:$U,MATCH($A35,Base!$A:$A,0)),IF(FE$1=INDEX('Valo FX'!$R:$R,MATCH($A35,'Valo FX'!$A:$A,0)),INDEX(Base!$V:$V,MATCH($A35,Base!$A:$A,0)),0)))</f>
        <v>9.1517700000000008</v>
      </c>
      <c r="FF35" s="21">
        <f>IF(FF$1&lt;INDEX('Valo FX'!$Q:$Q,MATCH($A35,'Valo FX'!$A:$A,0)),0,IF(FF$1&lt;INDEX('Valo FX'!$R:$R,MATCH($A35,'Valo FX'!$A:$A,0)),INDEX(Base!$U:$U,MATCH($A35,Base!$A:$A,0)),IF(FF$1=INDEX('Valo FX'!$R:$R,MATCH($A35,'Valo FX'!$A:$A,0)),INDEX(Base!$V:$V,MATCH($A35,Base!$A:$A,0)),0)))</f>
        <v>9.1517700000000008</v>
      </c>
      <c r="FG35" s="21">
        <f>IF(FG$1&lt;INDEX('Valo FX'!$Q:$Q,MATCH($A35,'Valo FX'!$A:$A,0)),0,IF(FG$1&lt;INDEX('Valo FX'!$R:$R,MATCH($A35,'Valo FX'!$A:$A,0)),INDEX(Base!$U:$U,MATCH($A35,Base!$A:$A,0)),IF(FG$1=INDEX('Valo FX'!$R:$R,MATCH($A35,'Valo FX'!$A:$A,0)),INDEX(Base!$V:$V,MATCH($A35,Base!$A:$A,0)),0)))</f>
        <v>9.1517700000000008</v>
      </c>
      <c r="FH35" s="21">
        <f>IF(FH$1&lt;INDEX('Valo FX'!$Q:$Q,MATCH($A35,'Valo FX'!$A:$A,0)),0,IF(FH$1&lt;INDEX('Valo FX'!$R:$R,MATCH($A35,'Valo FX'!$A:$A,0)),INDEX(Base!$U:$U,MATCH($A35,Base!$A:$A,0)),IF(FH$1=INDEX('Valo FX'!$R:$R,MATCH($A35,'Valo FX'!$A:$A,0)),INDEX(Base!$V:$V,MATCH($A35,Base!$A:$A,0)),0)))</f>
        <v>9.1517700000000008</v>
      </c>
      <c r="FI35" s="21">
        <f>IF(FI$1&lt;INDEX('Valo FX'!$Q:$Q,MATCH($A35,'Valo FX'!$A:$A,0)),0,IF(FI$1&lt;INDEX('Valo FX'!$R:$R,MATCH($A35,'Valo FX'!$A:$A,0)),INDEX(Base!$U:$U,MATCH($A35,Base!$A:$A,0)),IF(FI$1=INDEX('Valo FX'!$R:$R,MATCH($A35,'Valo FX'!$A:$A,0)),INDEX(Base!$V:$V,MATCH($A35,Base!$A:$A,0)),0)))</f>
        <v>9.1517700000000008</v>
      </c>
      <c r="FJ35" s="21">
        <f>IF(FJ$1&lt;INDEX('Valo FX'!$Q:$Q,MATCH($A35,'Valo FX'!$A:$A,0)),0,IF(FJ$1&lt;INDEX('Valo FX'!$R:$R,MATCH($A35,'Valo FX'!$A:$A,0)),INDEX(Base!$U:$U,MATCH($A35,Base!$A:$A,0)),IF(FJ$1=INDEX('Valo FX'!$R:$R,MATCH($A35,'Valo FX'!$A:$A,0)),INDEX(Base!$V:$V,MATCH($A35,Base!$A:$A,0)),0)))</f>
        <v>9.1517700000000008</v>
      </c>
      <c r="FK35" s="21">
        <f>IF(FK$1&lt;INDEX('Valo FX'!$Q:$Q,MATCH($A35,'Valo FX'!$A:$A,0)),0,IF(FK$1&lt;INDEX('Valo FX'!$R:$R,MATCH($A35,'Valo FX'!$A:$A,0)),INDEX(Base!$U:$U,MATCH($A35,Base!$A:$A,0)),IF(FK$1=INDEX('Valo FX'!$R:$R,MATCH($A35,'Valo FX'!$A:$A,0)),INDEX(Base!$V:$V,MATCH($A35,Base!$A:$A,0)),0)))</f>
        <v>9.1517700000000008</v>
      </c>
      <c r="FL35" s="21">
        <f>IF(FL$1&lt;INDEX('Valo FX'!$Q:$Q,MATCH($A35,'Valo FX'!$A:$A,0)),0,IF(FL$1&lt;INDEX('Valo FX'!$R:$R,MATCH($A35,'Valo FX'!$A:$A,0)),INDEX(Base!$U:$U,MATCH($A35,Base!$A:$A,0)),IF(FL$1=INDEX('Valo FX'!$R:$R,MATCH($A35,'Valo FX'!$A:$A,0)),INDEX(Base!$V:$V,MATCH($A35,Base!$A:$A,0)),0)))</f>
        <v>9.1517700000000008</v>
      </c>
      <c r="FM35" s="21">
        <f>IF(FM$1&lt;INDEX('Valo FX'!$Q:$Q,MATCH($A35,'Valo FX'!$A:$A,0)),0,IF(FM$1&lt;INDEX('Valo FX'!$R:$R,MATCH($A35,'Valo FX'!$A:$A,0)),INDEX(Base!$U:$U,MATCH($A35,Base!$A:$A,0)),IF(FM$1=INDEX('Valo FX'!$R:$R,MATCH($A35,'Valo FX'!$A:$A,0)),INDEX(Base!$V:$V,MATCH($A35,Base!$A:$A,0)),0)))</f>
        <v>9.1517700000000008</v>
      </c>
      <c r="FN35" s="21">
        <f>IF(FN$1&lt;INDEX('Valo FX'!$Q:$Q,MATCH($A35,'Valo FX'!$A:$A,0)),0,IF(FN$1&lt;INDEX('Valo FX'!$R:$R,MATCH($A35,'Valo FX'!$A:$A,0)),INDEX(Base!$U:$U,MATCH($A35,Base!$A:$A,0)),IF(FN$1=INDEX('Valo FX'!$R:$R,MATCH($A35,'Valo FX'!$A:$A,0)),INDEX(Base!$V:$V,MATCH($A35,Base!$A:$A,0)),0)))</f>
        <v>9.1517700000000008</v>
      </c>
      <c r="FO35" s="21">
        <f>IF(FO$1&lt;INDEX('Valo FX'!$Q:$Q,MATCH($A35,'Valo FX'!$A:$A,0)),0,IF(FO$1&lt;INDEX('Valo FX'!$R:$R,MATCH($A35,'Valo FX'!$A:$A,0)),INDEX(Base!$U:$U,MATCH($A35,Base!$A:$A,0)),IF(FO$1=INDEX('Valo FX'!$R:$R,MATCH($A35,'Valo FX'!$A:$A,0)),INDEX(Base!$V:$V,MATCH($A35,Base!$A:$A,0)),0)))</f>
        <v>9.1517700000000008</v>
      </c>
      <c r="FP35" s="21">
        <f>IF(FP$1&lt;INDEX('Valo FX'!$Q:$Q,MATCH($A35,'Valo FX'!$A:$A,0)),0,IF(FP$1&lt;INDEX('Valo FX'!$R:$R,MATCH($A35,'Valo FX'!$A:$A,0)),INDEX(Base!$U:$U,MATCH($A35,Base!$A:$A,0)),IF(FP$1=INDEX('Valo FX'!$R:$R,MATCH($A35,'Valo FX'!$A:$A,0)),INDEX(Base!$V:$V,MATCH($A35,Base!$A:$A,0)),0)))</f>
        <v>9.1517700000000008</v>
      </c>
      <c r="FQ35" s="21">
        <f>IF(FQ$1&lt;INDEX('Valo FX'!$Q:$Q,MATCH($A35,'Valo FX'!$A:$A,0)),0,IF(FQ$1&lt;INDEX('Valo FX'!$R:$R,MATCH($A35,'Valo FX'!$A:$A,0)),INDEX(Base!$U:$U,MATCH($A35,Base!$A:$A,0)),IF(FQ$1=INDEX('Valo FX'!$R:$R,MATCH($A35,'Valo FX'!$A:$A,0)),INDEX(Base!$V:$V,MATCH($A35,Base!$A:$A,0)),0)))</f>
        <v>9.1517700000000008</v>
      </c>
      <c r="FR35" s="21">
        <f>IF(FR$1&lt;INDEX('Valo FX'!$Q:$Q,MATCH($A35,'Valo FX'!$A:$A,0)),0,IF(FR$1&lt;INDEX('Valo FX'!$R:$R,MATCH($A35,'Valo FX'!$A:$A,0)),INDEX(Base!$U:$U,MATCH($A35,Base!$A:$A,0)),IF(FR$1=INDEX('Valo FX'!$R:$R,MATCH($A35,'Valo FX'!$A:$A,0)),INDEX(Base!$V:$V,MATCH($A35,Base!$A:$A,0)),0)))</f>
        <v>9.1517700000000008</v>
      </c>
      <c r="FS35" s="21">
        <f>IF(FS$1&lt;INDEX('Valo FX'!$Q:$Q,MATCH($A35,'Valo FX'!$A:$A,0)),0,IF(FS$1&lt;INDEX('Valo FX'!$R:$R,MATCH($A35,'Valo FX'!$A:$A,0)),INDEX(Base!$U:$U,MATCH($A35,Base!$A:$A,0)),IF(FS$1=INDEX('Valo FX'!$R:$R,MATCH($A35,'Valo FX'!$A:$A,0)),INDEX(Base!$V:$V,MATCH($A35,Base!$A:$A,0)),0)))</f>
        <v>9.1517700000000008</v>
      </c>
      <c r="FT35" s="21">
        <f>IF(FT$1&lt;INDEX('Valo FX'!$Q:$Q,MATCH($A35,'Valo FX'!$A:$A,0)),0,IF(FT$1&lt;INDEX('Valo FX'!$R:$R,MATCH($A35,'Valo FX'!$A:$A,0)),INDEX(Base!$U:$U,MATCH($A35,Base!$A:$A,0)),IF(FT$1=INDEX('Valo FX'!$R:$R,MATCH($A35,'Valo FX'!$A:$A,0)),INDEX(Base!$V:$V,MATCH($A35,Base!$A:$A,0)),0)))</f>
        <v>9.1517700000000008</v>
      </c>
      <c r="FU35" s="21">
        <f>IF(FU$1&lt;INDEX('Valo FX'!$Q:$Q,MATCH($A35,'Valo FX'!$A:$A,0)),0,IF(FU$1&lt;INDEX('Valo FX'!$R:$R,MATCH($A35,'Valo FX'!$A:$A,0)),INDEX(Base!$U:$U,MATCH($A35,Base!$A:$A,0)),IF(FU$1=INDEX('Valo FX'!$R:$R,MATCH($A35,'Valo FX'!$A:$A,0)),INDEX(Base!$V:$V,MATCH($A35,Base!$A:$A,0)),0)))</f>
        <v>9.1517700000000008</v>
      </c>
      <c r="FV35" s="21">
        <f>IF(FV$1&lt;INDEX('Valo FX'!$Q:$Q,MATCH($A35,'Valo FX'!$A:$A,0)),0,IF(FV$1&lt;INDEX('Valo FX'!$R:$R,MATCH($A35,'Valo FX'!$A:$A,0)),INDEX(Base!$U:$U,MATCH($A35,Base!$A:$A,0)),IF(FV$1=INDEX('Valo FX'!$R:$R,MATCH($A35,'Valo FX'!$A:$A,0)),INDEX(Base!$V:$V,MATCH($A35,Base!$A:$A,0)),0)))</f>
        <v>9.1517700000000008</v>
      </c>
      <c r="FW35" s="21">
        <f>IF(FW$1&lt;INDEX('Valo FX'!$Q:$Q,MATCH($A35,'Valo FX'!$A:$A,0)),0,IF(FW$1&lt;INDEX('Valo FX'!$R:$R,MATCH($A35,'Valo FX'!$A:$A,0)),INDEX(Base!$U:$U,MATCH($A35,Base!$A:$A,0)),IF(FW$1=INDEX('Valo FX'!$R:$R,MATCH($A35,'Valo FX'!$A:$A,0)),INDEX(Base!$V:$V,MATCH($A35,Base!$A:$A,0)),0)))</f>
        <v>9.1517700000000008</v>
      </c>
      <c r="FX35" s="21">
        <f>IF(FX$1&lt;INDEX('Valo FX'!$Q:$Q,MATCH($A35,'Valo FX'!$A:$A,0)),0,IF(FX$1&lt;INDEX('Valo FX'!$R:$R,MATCH($A35,'Valo FX'!$A:$A,0)),INDEX(Base!$U:$U,MATCH($A35,Base!$A:$A,0)),IF(FX$1=INDEX('Valo FX'!$R:$R,MATCH($A35,'Valo FX'!$A:$A,0)),INDEX(Base!$V:$V,MATCH($A35,Base!$A:$A,0)),0)))</f>
        <v>9.1517700000000008</v>
      </c>
      <c r="FY35" s="21">
        <f>IF(FY$1&lt;INDEX('Valo FX'!$Q:$Q,MATCH($A35,'Valo FX'!$A:$A,0)),0,IF(FY$1&lt;INDEX('Valo FX'!$R:$R,MATCH($A35,'Valo FX'!$A:$A,0)),INDEX(Base!$U:$U,MATCH($A35,Base!$A:$A,0)),IF(FY$1=INDEX('Valo FX'!$R:$R,MATCH($A35,'Valo FX'!$A:$A,0)),INDEX(Base!$V:$V,MATCH($A35,Base!$A:$A,0)),0)))</f>
        <v>9.1517700000000008</v>
      </c>
      <c r="FZ35" s="21">
        <f>IF(FZ$1&lt;INDEX('Valo FX'!$Q:$Q,MATCH($A35,'Valo FX'!$A:$A,0)),0,IF(FZ$1&lt;INDEX('Valo FX'!$R:$R,MATCH($A35,'Valo FX'!$A:$A,0)),INDEX(Base!$U:$U,MATCH($A35,Base!$A:$A,0)),IF(FZ$1=INDEX('Valo FX'!$R:$R,MATCH($A35,'Valo FX'!$A:$A,0)),INDEX(Base!$V:$V,MATCH($A35,Base!$A:$A,0)),0)))</f>
        <v>9.1517700000000008</v>
      </c>
      <c r="GA35" s="21">
        <f>IF(GA$1&lt;INDEX('Valo FX'!$Q:$Q,MATCH($A35,'Valo FX'!$A:$A,0)),0,IF(GA$1&lt;INDEX('Valo FX'!$R:$R,MATCH($A35,'Valo FX'!$A:$A,0)),INDEX(Base!$U:$U,MATCH($A35,Base!$A:$A,0)),IF(GA$1=INDEX('Valo FX'!$R:$R,MATCH($A35,'Valo FX'!$A:$A,0)),INDEX(Base!$V:$V,MATCH($A35,Base!$A:$A,0)),0)))</f>
        <v>9.1517700000000008</v>
      </c>
      <c r="GB35" s="21">
        <f>IF(GB$1&lt;INDEX('Valo FX'!$Q:$Q,MATCH($A35,'Valo FX'!$A:$A,0)),0,IF(GB$1&lt;INDEX('Valo FX'!$R:$R,MATCH($A35,'Valo FX'!$A:$A,0)),INDEX(Base!$U:$U,MATCH($A35,Base!$A:$A,0)),IF(GB$1=INDEX('Valo FX'!$R:$R,MATCH($A35,'Valo FX'!$A:$A,0)),INDEX(Base!$V:$V,MATCH($A35,Base!$A:$A,0)),0)))</f>
        <v>9.1517700000000008</v>
      </c>
      <c r="GC35" s="21">
        <f>IF(GC$1&lt;INDEX('Valo FX'!$Q:$Q,MATCH($A35,'Valo FX'!$A:$A,0)),0,IF(GC$1&lt;INDEX('Valo FX'!$R:$R,MATCH($A35,'Valo FX'!$A:$A,0)),INDEX(Base!$U:$U,MATCH($A35,Base!$A:$A,0)),IF(GC$1=INDEX('Valo FX'!$R:$R,MATCH($A35,'Valo FX'!$A:$A,0)),INDEX(Base!$V:$V,MATCH($A35,Base!$A:$A,0)),0)))</f>
        <v>9.1517700000000008</v>
      </c>
      <c r="GD35" s="21">
        <f>IF(GD$1&lt;INDEX('Valo FX'!$Q:$Q,MATCH($A35,'Valo FX'!$A:$A,0)),0,IF(GD$1&lt;INDEX('Valo FX'!$R:$R,MATCH($A35,'Valo FX'!$A:$A,0)),INDEX(Base!$U:$U,MATCH($A35,Base!$A:$A,0)),IF(GD$1=INDEX('Valo FX'!$R:$R,MATCH($A35,'Valo FX'!$A:$A,0)),INDEX(Base!$V:$V,MATCH($A35,Base!$A:$A,0)),0)))</f>
        <v>9.1517700000000008</v>
      </c>
      <c r="GE35" s="21">
        <f>IF(GE$1&lt;INDEX('Valo FX'!$Q:$Q,MATCH($A35,'Valo FX'!$A:$A,0)),0,IF(GE$1&lt;INDEX('Valo FX'!$R:$R,MATCH($A35,'Valo FX'!$A:$A,0)),INDEX(Base!$U:$U,MATCH($A35,Base!$A:$A,0)),IF(GE$1=INDEX('Valo FX'!$R:$R,MATCH($A35,'Valo FX'!$A:$A,0)),INDEX(Base!$V:$V,MATCH($A35,Base!$A:$A,0)),0)))</f>
        <v>9.1517700000000008</v>
      </c>
      <c r="GF35" s="21">
        <f>IF(GF$1&lt;INDEX('Valo FX'!$Q:$Q,MATCH($A35,'Valo FX'!$A:$A,0)),0,IF(GF$1&lt;INDEX('Valo FX'!$R:$R,MATCH($A35,'Valo FX'!$A:$A,0)),INDEX(Base!$U:$U,MATCH($A35,Base!$A:$A,0)),IF(GF$1=INDEX('Valo FX'!$R:$R,MATCH($A35,'Valo FX'!$A:$A,0)),INDEX(Base!$V:$V,MATCH($A35,Base!$A:$A,0)),0)))</f>
        <v>9.1517700000000008</v>
      </c>
      <c r="GG35" s="21">
        <f>IF(GG$1&lt;INDEX('Valo FX'!$Q:$Q,MATCH($A35,'Valo FX'!$A:$A,0)),0,IF(GG$1&lt;INDEX('Valo FX'!$R:$R,MATCH($A35,'Valo FX'!$A:$A,0)),INDEX(Base!$U:$U,MATCH($A35,Base!$A:$A,0)),IF(GG$1=INDEX('Valo FX'!$R:$R,MATCH($A35,'Valo FX'!$A:$A,0)),INDEX(Base!$V:$V,MATCH($A35,Base!$A:$A,0)),0)))</f>
        <v>9.1517700000000008</v>
      </c>
      <c r="GH35" s="21">
        <f>IF(GH$1&lt;INDEX('Valo FX'!$Q:$Q,MATCH($A35,'Valo FX'!$A:$A,0)),0,IF(GH$1&lt;INDEX('Valo FX'!$R:$R,MATCH($A35,'Valo FX'!$A:$A,0)),INDEX(Base!$U:$U,MATCH($A35,Base!$A:$A,0)),IF(GH$1=INDEX('Valo FX'!$R:$R,MATCH($A35,'Valo FX'!$A:$A,0)),INDEX(Base!$V:$V,MATCH($A35,Base!$A:$A,0)),0)))</f>
        <v>9.1517700000000008</v>
      </c>
      <c r="GI35" s="21">
        <f>IF(GI$1&lt;INDEX('Valo FX'!$Q:$Q,MATCH($A35,'Valo FX'!$A:$A,0)),0,IF(GI$1&lt;INDEX('Valo FX'!$R:$R,MATCH($A35,'Valo FX'!$A:$A,0)),INDEX(Base!$U:$U,MATCH($A35,Base!$A:$A,0)),IF(GI$1=INDEX('Valo FX'!$R:$R,MATCH($A35,'Valo FX'!$A:$A,0)),INDEX(Base!$V:$V,MATCH($A35,Base!$A:$A,0)),0)))</f>
        <v>9.1517700000000008</v>
      </c>
      <c r="GJ35" s="21">
        <f>IF(GJ$1&lt;INDEX('Valo FX'!$Q:$Q,MATCH($A35,'Valo FX'!$A:$A,0)),0,IF(GJ$1&lt;INDEX('Valo FX'!$R:$R,MATCH($A35,'Valo FX'!$A:$A,0)),INDEX(Base!$U:$U,MATCH($A35,Base!$A:$A,0)),IF(GJ$1=INDEX('Valo FX'!$R:$R,MATCH($A35,'Valo FX'!$A:$A,0)),INDEX(Base!$V:$V,MATCH($A35,Base!$A:$A,0)),0)))</f>
        <v>9.1517700000000008</v>
      </c>
      <c r="GK35" s="21">
        <f>IF(GK$1&lt;INDEX('Valo FX'!$Q:$Q,MATCH($A35,'Valo FX'!$A:$A,0)),0,IF(GK$1&lt;INDEX('Valo FX'!$R:$R,MATCH($A35,'Valo FX'!$A:$A,0)),INDEX(Base!$U:$U,MATCH($A35,Base!$A:$A,0)),IF(GK$1=INDEX('Valo FX'!$R:$R,MATCH($A35,'Valo FX'!$A:$A,0)),INDEX(Base!$V:$V,MATCH($A35,Base!$A:$A,0)),0)))</f>
        <v>9.1517700000000008</v>
      </c>
      <c r="GL35" s="21">
        <f>IF(GL$1&lt;INDEX('Valo FX'!$Q:$Q,MATCH($A35,'Valo FX'!$A:$A,0)),0,IF(GL$1&lt;INDEX('Valo FX'!$R:$R,MATCH($A35,'Valo FX'!$A:$A,0)),INDEX(Base!$U:$U,MATCH($A35,Base!$A:$A,0)),IF(GL$1=INDEX('Valo FX'!$R:$R,MATCH($A35,'Valo FX'!$A:$A,0)),INDEX(Base!$V:$V,MATCH($A35,Base!$A:$A,0)),0)))</f>
        <v>9.1517700000000008</v>
      </c>
      <c r="GM35" s="21">
        <f>IF(GM$1&lt;INDEX('Valo FX'!$Q:$Q,MATCH($A35,'Valo FX'!$A:$A,0)),0,IF(GM$1&lt;INDEX('Valo FX'!$R:$R,MATCH($A35,'Valo FX'!$A:$A,0)),INDEX(Base!$U:$U,MATCH($A35,Base!$A:$A,0)),IF(GM$1=INDEX('Valo FX'!$R:$R,MATCH($A35,'Valo FX'!$A:$A,0)),INDEX(Base!$V:$V,MATCH($A35,Base!$A:$A,0)),0)))</f>
        <v>9.1517700000000008</v>
      </c>
      <c r="GN35" s="21">
        <f>IF(GN$1&lt;INDEX('Valo FX'!$Q:$Q,MATCH($A35,'Valo FX'!$A:$A,0)),0,IF(GN$1&lt;INDEX('Valo FX'!$R:$R,MATCH($A35,'Valo FX'!$A:$A,0)),INDEX(Base!$U:$U,MATCH($A35,Base!$A:$A,0)),IF(GN$1=INDEX('Valo FX'!$R:$R,MATCH($A35,'Valo FX'!$A:$A,0)),INDEX(Base!$V:$V,MATCH($A35,Base!$A:$A,0)),0)))</f>
        <v>9.1517700000000008</v>
      </c>
      <c r="GO35" s="21">
        <f>IF(GO$1&lt;INDEX('Valo FX'!$Q:$Q,MATCH($A35,'Valo FX'!$A:$A,0)),0,IF(GO$1&lt;INDEX('Valo FX'!$R:$R,MATCH($A35,'Valo FX'!$A:$A,0)),INDEX(Base!$U:$U,MATCH($A35,Base!$A:$A,0)),IF(GO$1=INDEX('Valo FX'!$R:$R,MATCH($A35,'Valo FX'!$A:$A,0)),INDEX(Base!$V:$V,MATCH($A35,Base!$A:$A,0)),0)))</f>
        <v>9.1517700000000008</v>
      </c>
      <c r="GP35" s="21">
        <f>IF(GP$1&lt;INDEX('Valo FX'!$Q:$Q,MATCH($A35,'Valo FX'!$A:$A,0)),0,IF(GP$1&lt;INDEX('Valo FX'!$R:$R,MATCH($A35,'Valo FX'!$A:$A,0)),INDEX(Base!$U:$U,MATCH($A35,Base!$A:$A,0)),IF(GP$1=INDEX('Valo FX'!$R:$R,MATCH($A35,'Valo FX'!$A:$A,0)),INDEX(Base!$V:$V,MATCH($A35,Base!$A:$A,0)),0)))</f>
        <v>9.1517700000000008</v>
      </c>
      <c r="GQ35" s="21">
        <f>IF(GQ$1&lt;INDEX('Valo FX'!$Q:$Q,MATCH($A35,'Valo FX'!$A:$A,0)),0,IF(GQ$1&lt;INDEX('Valo FX'!$R:$R,MATCH($A35,'Valo FX'!$A:$A,0)),INDEX(Base!$U:$U,MATCH($A35,Base!$A:$A,0)),IF(GQ$1=INDEX('Valo FX'!$R:$R,MATCH($A35,'Valo FX'!$A:$A,0)),INDEX(Base!$V:$V,MATCH($A35,Base!$A:$A,0)),0)))</f>
        <v>9.1517700000000008</v>
      </c>
      <c r="GR35" s="21">
        <f>IF(GR$1&lt;INDEX('Valo FX'!$Q:$Q,MATCH($A35,'Valo FX'!$A:$A,0)),0,IF(GR$1&lt;INDEX('Valo FX'!$R:$R,MATCH($A35,'Valo FX'!$A:$A,0)),INDEX(Base!$U:$U,MATCH($A35,Base!$A:$A,0)),IF(GR$1=INDEX('Valo FX'!$R:$R,MATCH($A35,'Valo FX'!$A:$A,0)),INDEX(Base!$V:$V,MATCH($A35,Base!$A:$A,0)),0)))</f>
        <v>9.1517700000000008</v>
      </c>
      <c r="GS35" s="21">
        <f>IF(GS$1&lt;INDEX('Valo FX'!$Q:$Q,MATCH($A35,'Valo FX'!$A:$A,0)),0,IF(GS$1&lt;INDEX('Valo FX'!$R:$R,MATCH($A35,'Valo FX'!$A:$A,0)),INDEX(Base!$U:$U,MATCH($A35,Base!$A:$A,0)),IF(GS$1=INDEX('Valo FX'!$R:$R,MATCH($A35,'Valo FX'!$A:$A,0)),INDEX(Base!$V:$V,MATCH($A35,Base!$A:$A,0)),0)))</f>
        <v>9.1517700000000008</v>
      </c>
      <c r="GT35" s="21">
        <f>IF(GT$1&lt;INDEX('Valo FX'!$Q:$Q,MATCH($A35,'Valo FX'!$A:$A,0)),0,IF(GT$1&lt;INDEX('Valo FX'!$R:$R,MATCH($A35,'Valo FX'!$A:$A,0)),INDEX(Base!$U:$U,MATCH($A35,Base!$A:$A,0)),IF(GT$1=INDEX('Valo FX'!$R:$R,MATCH($A35,'Valo FX'!$A:$A,0)),INDEX(Base!$V:$V,MATCH($A35,Base!$A:$A,0)),0)))</f>
        <v>9.1517700000000008</v>
      </c>
      <c r="GU35" s="21">
        <f>IF(GU$1&lt;INDEX('Valo FX'!$Q:$Q,MATCH($A35,'Valo FX'!$A:$A,0)),0,IF(GU$1&lt;INDEX('Valo FX'!$R:$R,MATCH($A35,'Valo FX'!$A:$A,0)),INDEX(Base!$U:$U,MATCH($A35,Base!$A:$A,0)),IF(GU$1=INDEX('Valo FX'!$R:$R,MATCH($A35,'Valo FX'!$A:$A,0)),INDEX(Base!$V:$V,MATCH($A35,Base!$A:$A,0)),0)))</f>
        <v>9.1517700000000008</v>
      </c>
      <c r="GV35" s="21">
        <f>IF(GV$1&lt;INDEX('Valo FX'!$Q:$Q,MATCH($A35,'Valo FX'!$A:$A,0)),0,IF(GV$1&lt;INDEX('Valo FX'!$R:$R,MATCH($A35,'Valo FX'!$A:$A,0)),INDEX(Base!$U:$U,MATCH($A35,Base!$A:$A,0)),IF(GV$1=INDEX('Valo FX'!$R:$R,MATCH($A35,'Valo FX'!$A:$A,0)),INDEX(Base!$V:$V,MATCH($A35,Base!$A:$A,0)),0)))</f>
        <v>9.1517700000000008</v>
      </c>
      <c r="GW35" s="21">
        <f>IF(GW$1&lt;INDEX('Valo FX'!$Q:$Q,MATCH($A35,'Valo FX'!$A:$A,0)),0,IF(GW$1&lt;INDEX('Valo FX'!$R:$R,MATCH($A35,'Valo FX'!$A:$A,0)),INDEX(Base!$U:$U,MATCH($A35,Base!$A:$A,0)),IF(GW$1=INDEX('Valo FX'!$R:$R,MATCH($A35,'Valo FX'!$A:$A,0)),INDEX(Base!$V:$V,MATCH($A35,Base!$A:$A,0)),0)))</f>
        <v>9.1517700000000008</v>
      </c>
      <c r="GX35" s="21">
        <f>IF(GX$1&lt;INDEX('Valo FX'!$Q:$Q,MATCH($A35,'Valo FX'!$A:$A,0)),0,IF(GX$1&lt;INDEX('Valo FX'!$R:$R,MATCH($A35,'Valo FX'!$A:$A,0)),INDEX(Base!$U:$U,MATCH($A35,Base!$A:$A,0)),IF(GX$1=INDEX('Valo FX'!$R:$R,MATCH($A35,'Valo FX'!$A:$A,0)),INDEX(Base!$V:$V,MATCH($A35,Base!$A:$A,0)),0)))</f>
        <v>9.1517700000000008</v>
      </c>
      <c r="GY35" s="21">
        <f>IF(GY$1&lt;INDEX('Valo FX'!$Q:$Q,MATCH($A35,'Valo FX'!$A:$A,0)),0,IF(GY$1&lt;INDEX('Valo FX'!$R:$R,MATCH($A35,'Valo FX'!$A:$A,0)),INDEX(Base!$U:$U,MATCH($A35,Base!$A:$A,0)),IF(GY$1=INDEX('Valo FX'!$R:$R,MATCH($A35,'Valo FX'!$A:$A,0)),INDEX(Base!$V:$V,MATCH($A35,Base!$A:$A,0)),0)))</f>
        <v>9.1517700000000008</v>
      </c>
      <c r="GZ35" s="21">
        <f>IF(GZ$1&lt;INDEX('Valo FX'!$Q:$Q,MATCH($A35,'Valo FX'!$A:$A,0)),0,IF(GZ$1&lt;INDEX('Valo FX'!$R:$R,MATCH($A35,'Valo FX'!$A:$A,0)),INDEX(Base!$U:$U,MATCH($A35,Base!$A:$A,0)),IF(GZ$1=INDEX('Valo FX'!$R:$R,MATCH($A35,'Valo FX'!$A:$A,0)),INDEX(Base!$V:$V,MATCH($A35,Base!$A:$A,0)),0)))</f>
        <v>9.1517700000000008</v>
      </c>
      <c r="HA35" s="21">
        <f>IF(HA$1&lt;INDEX('Valo FX'!$Q:$Q,MATCH($A35,'Valo FX'!$A:$A,0)),0,IF(HA$1&lt;INDEX('Valo FX'!$R:$R,MATCH($A35,'Valo FX'!$A:$A,0)),INDEX(Base!$U:$U,MATCH($A35,Base!$A:$A,0)),IF(HA$1=INDEX('Valo FX'!$R:$R,MATCH($A35,'Valo FX'!$A:$A,0)),INDEX(Base!$V:$V,MATCH($A35,Base!$A:$A,0)),0)))</f>
        <v>9.1517700000000008</v>
      </c>
      <c r="HB35" s="21">
        <f>IF(HB$1&lt;INDEX('Valo FX'!$Q:$Q,MATCH($A35,'Valo FX'!$A:$A,0)),0,IF(HB$1&lt;INDEX('Valo FX'!$R:$R,MATCH($A35,'Valo FX'!$A:$A,0)),INDEX(Base!$U:$U,MATCH($A35,Base!$A:$A,0)),IF(HB$1=INDEX('Valo FX'!$R:$R,MATCH($A35,'Valo FX'!$A:$A,0)),INDEX(Base!$V:$V,MATCH($A35,Base!$A:$A,0)),0)))</f>
        <v>9.1517700000000008</v>
      </c>
      <c r="HC35" s="21">
        <f>IF(HC$1&lt;INDEX('Valo FX'!$Q:$Q,MATCH($A35,'Valo FX'!$A:$A,0)),0,IF(HC$1&lt;INDEX('Valo FX'!$R:$R,MATCH($A35,'Valo FX'!$A:$A,0)),INDEX(Base!$U:$U,MATCH($A35,Base!$A:$A,0)),IF(HC$1=INDEX('Valo FX'!$R:$R,MATCH($A35,'Valo FX'!$A:$A,0)),INDEX(Base!$V:$V,MATCH($A35,Base!$A:$A,0)),0)))</f>
        <v>9.1517700000000008</v>
      </c>
      <c r="HD35" s="21">
        <f>IF(HD$1&lt;INDEX('Valo FX'!$Q:$Q,MATCH($A35,'Valo FX'!$A:$A,0)),0,IF(HD$1&lt;INDEX('Valo FX'!$R:$R,MATCH($A35,'Valo FX'!$A:$A,0)),INDEX(Base!$U:$U,MATCH($A35,Base!$A:$A,0)),IF(HD$1=INDEX('Valo FX'!$R:$R,MATCH($A35,'Valo FX'!$A:$A,0)),INDEX(Base!$V:$V,MATCH($A35,Base!$A:$A,0)),0)))</f>
        <v>9.1517700000000008</v>
      </c>
      <c r="HE35" s="21">
        <f>IF(HE$1&lt;INDEX('Valo FX'!$Q:$Q,MATCH($A35,'Valo FX'!$A:$A,0)),0,IF(HE$1&lt;INDEX('Valo FX'!$R:$R,MATCH($A35,'Valo FX'!$A:$A,0)),INDEX(Base!$U:$U,MATCH($A35,Base!$A:$A,0)),IF(HE$1=INDEX('Valo FX'!$R:$R,MATCH($A35,'Valo FX'!$A:$A,0)),INDEX(Base!$V:$V,MATCH($A35,Base!$A:$A,0)),0)))</f>
        <v>9.1517700000000008</v>
      </c>
      <c r="HF35" s="21">
        <f>IF(HF$1&lt;INDEX('Valo FX'!$Q:$Q,MATCH($A35,'Valo FX'!$A:$A,0)),0,IF(HF$1&lt;INDEX('Valo FX'!$R:$R,MATCH($A35,'Valo FX'!$A:$A,0)),INDEX(Base!$U:$U,MATCH($A35,Base!$A:$A,0)),IF(HF$1=INDEX('Valo FX'!$R:$R,MATCH($A35,'Valo FX'!$A:$A,0)),INDEX(Base!$V:$V,MATCH($A35,Base!$A:$A,0)),0)))</f>
        <v>9.1517700000000008</v>
      </c>
      <c r="HG35" s="21">
        <f>IF(HG$1&lt;INDEX('Valo FX'!$Q:$Q,MATCH($A35,'Valo FX'!$A:$A,0)),0,IF(HG$1&lt;INDEX('Valo FX'!$R:$R,MATCH($A35,'Valo FX'!$A:$A,0)),INDEX(Base!$U:$U,MATCH($A35,Base!$A:$A,0)),IF(HG$1=INDEX('Valo FX'!$R:$R,MATCH($A35,'Valo FX'!$A:$A,0)),INDEX(Base!$V:$V,MATCH($A35,Base!$A:$A,0)),0)))</f>
        <v>9.1517700000000008</v>
      </c>
      <c r="HH35" s="21">
        <f>IF(HH$1&lt;INDEX('Valo FX'!$Q:$Q,MATCH($A35,'Valo FX'!$A:$A,0)),0,IF(HH$1&lt;INDEX('Valo FX'!$R:$R,MATCH($A35,'Valo FX'!$A:$A,0)),INDEX(Base!$U:$U,MATCH($A35,Base!$A:$A,0)),IF(HH$1=INDEX('Valo FX'!$R:$R,MATCH($A35,'Valo FX'!$A:$A,0)),INDEX(Base!$V:$V,MATCH($A35,Base!$A:$A,0)),0)))</f>
        <v>9.1517700000000008</v>
      </c>
      <c r="HI35" s="21">
        <f>IF(HI$1&lt;INDEX('Valo FX'!$Q:$Q,MATCH($A35,'Valo FX'!$A:$A,0)),0,IF(HI$1&lt;INDEX('Valo FX'!$R:$R,MATCH($A35,'Valo FX'!$A:$A,0)),INDEX(Base!$U:$U,MATCH($A35,Base!$A:$A,0)),IF(HI$1=INDEX('Valo FX'!$R:$R,MATCH($A35,'Valo FX'!$A:$A,0)),INDEX(Base!$V:$V,MATCH($A35,Base!$A:$A,0)),0)))</f>
        <v>9.1517700000000008</v>
      </c>
      <c r="HJ35" s="21">
        <f>IF(HJ$1&lt;INDEX('Valo FX'!$Q:$Q,MATCH($A35,'Valo FX'!$A:$A,0)),0,IF(HJ$1&lt;INDEX('Valo FX'!$R:$R,MATCH($A35,'Valo FX'!$A:$A,0)),INDEX(Base!$U:$U,MATCH($A35,Base!$A:$A,0)),IF(HJ$1=INDEX('Valo FX'!$R:$R,MATCH($A35,'Valo FX'!$A:$A,0)),INDEX(Base!$V:$V,MATCH($A35,Base!$A:$A,0)),0)))</f>
        <v>9.1517700000000008</v>
      </c>
      <c r="HK35" s="21">
        <f>IF(HK$1&lt;INDEX('Valo FX'!$Q:$Q,MATCH($A35,'Valo FX'!$A:$A,0)),0,IF(HK$1&lt;INDEX('Valo FX'!$R:$R,MATCH($A35,'Valo FX'!$A:$A,0)),INDEX(Base!$U:$U,MATCH($A35,Base!$A:$A,0)),IF(HK$1=INDEX('Valo FX'!$R:$R,MATCH($A35,'Valo FX'!$A:$A,0)),INDEX(Base!$V:$V,MATCH($A35,Base!$A:$A,0)),0)))</f>
        <v>9.1517700000000008</v>
      </c>
      <c r="HL35" s="21">
        <f>IF(HL$1&lt;INDEX('Valo FX'!$Q:$Q,MATCH($A35,'Valo FX'!$A:$A,0)),0,IF(HL$1&lt;INDEX('Valo FX'!$R:$R,MATCH($A35,'Valo FX'!$A:$A,0)),INDEX(Base!$U:$U,MATCH($A35,Base!$A:$A,0)),IF(HL$1=INDEX('Valo FX'!$R:$R,MATCH($A35,'Valo FX'!$A:$A,0)),INDEX(Base!$V:$V,MATCH($A35,Base!$A:$A,0)),0)))</f>
        <v>9.1517700000000008</v>
      </c>
      <c r="HM35" s="21">
        <f>IF(HM$1&lt;INDEX('Valo FX'!$Q:$Q,MATCH($A35,'Valo FX'!$A:$A,0)),0,IF(HM$1&lt;INDEX('Valo FX'!$R:$R,MATCH($A35,'Valo FX'!$A:$A,0)),INDEX(Base!$U:$U,MATCH($A35,Base!$A:$A,0)),IF(HM$1=INDEX('Valo FX'!$R:$R,MATCH($A35,'Valo FX'!$A:$A,0)),INDEX(Base!$V:$V,MATCH($A35,Base!$A:$A,0)),0)))</f>
        <v>9.1517700000000008</v>
      </c>
      <c r="HN35" s="21">
        <f>IF(HN$1&lt;INDEX('Valo FX'!$Q:$Q,MATCH($A35,'Valo FX'!$A:$A,0)),0,IF(HN$1&lt;INDEX('Valo FX'!$R:$R,MATCH($A35,'Valo FX'!$A:$A,0)),INDEX(Base!$U:$U,MATCH($A35,Base!$A:$A,0)),IF(HN$1=INDEX('Valo FX'!$R:$R,MATCH($A35,'Valo FX'!$A:$A,0)),INDEX(Base!$V:$V,MATCH($A35,Base!$A:$A,0)),0)))</f>
        <v>9.1517700000000008</v>
      </c>
      <c r="HO35" s="21">
        <f>IF(HO$1&lt;INDEX('Valo FX'!$Q:$Q,MATCH($A35,'Valo FX'!$A:$A,0)),0,IF(HO$1&lt;INDEX('Valo FX'!$R:$R,MATCH($A35,'Valo FX'!$A:$A,0)),INDEX(Base!$U:$U,MATCH($A35,Base!$A:$A,0)),IF(HO$1=INDEX('Valo FX'!$R:$R,MATCH($A35,'Valo FX'!$A:$A,0)),INDEX(Base!$V:$V,MATCH($A35,Base!$A:$A,0)),0)))</f>
        <v>9.1517700000000008</v>
      </c>
      <c r="HP35" s="21">
        <f>IF(HP$1&lt;INDEX('Valo FX'!$Q:$Q,MATCH($A35,'Valo FX'!$A:$A,0)),0,IF(HP$1&lt;INDEX('Valo FX'!$R:$R,MATCH($A35,'Valo FX'!$A:$A,0)),INDEX(Base!$U:$U,MATCH($A35,Base!$A:$A,0)),IF(HP$1=INDEX('Valo FX'!$R:$R,MATCH($A35,'Valo FX'!$A:$A,0)),INDEX(Base!$V:$V,MATCH($A35,Base!$A:$A,0)),0)))</f>
        <v>9.1517700000000008</v>
      </c>
      <c r="HQ35" s="21">
        <f>IF(HQ$1&lt;INDEX('Valo FX'!$Q:$Q,MATCH($A35,'Valo FX'!$A:$A,0)),0,IF(HQ$1&lt;INDEX('Valo FX'!$R:$R,MATCH($A35,'Valo FX'!$A:$A,0)),INDEX(Base!$U:$U,MATCH($A35,Base!$A:$A,0)),IF(HQ$1=INDEX('Valo FX'!$R:$R,MATCH($A35,'Valo FX'!$A:$A,0)),INDEX(Base!$V:$V,MATCH($A35,Base!$A:$A,0)),0)))</f>
        <v>9.1517700000000008</v>
      </c>
      <c r="HR35" s="21">
        <f>IF(HR$1&lt;INDEX('Valo FX'!$Q:$Q,MATCH($A35,'Valo FX'!$A:$A,0)),0,IF(HR$1&lt;INDEX('Valo FX'!$R:$R,MATCH($A35,'Valo FX'!$A:$A,0)),INDEX(Base!$U:$U,MATCH($A35,Base!$A:$A,0)),IF(HR$1=INDEX('Valo FX'!$R:$R,MATCH($A35,'Valo FX'!$A:$A,0)),INDEX(Base!$V:$V,MATCH($A35,Base!$A:$A,0)),0)))</f>
        <v>9.1517700000000008</v>
      </c>
      <c r="HS35" s="21">
        <f>IF(HS$1&lt;INDEX('Valo FX'!$Q:$Q,MATCH($A35,'Valo FX'!$A:$A,0)),0,IF(HS$1&lt;INDEX('Valo FX'!$R:$R,MATCH($A35,'Valo FX'!$A:$A,0)),INDEX(Base!$U:$U,MATCH($A35,Base!$A:$A,0)),IF(HS$1=INDEX('Valo FX'!$R:$R,MATCH($A35,'Valo FX'!$A:$A,0)),INDEX(Base!$V:$V,MATCH($A35,Base!$A:$A,0)),0)))</f>
        <v>9.1517700000000008</v>
      </c>
      <c r="HT35" s="21">
        <f>IF(HT$1&lt;INDEX('Valo FX'!$Q:$Q,MATCH($A35,'Valo FX'!$A:$A,0)),0,IF(HT$1&lt;INDEX('Valo FX'!$R:$R,MATCH($A35,'Valo FX'!$A:$A,0)),INDEX(Base!$U:$U,MATCH($A35,Base!$A:$A,0)),IF(HT$1=INDEX('Valo FX'!$R:$R,MATCH($A35,'Valo FX'!$A:$A,0)),INDEX(Base!$V:$V,MATCH($A35,Base!$A:$A,0)),0)))</f>
        <v>9.1517700000000008</v>
      </c>
      <c r="HU35" s="21">
        <f>IF(HU$1&lt;INDEX('Valo FX'!$Q:$Q,MATCH($A35,'Valo FX'!$A:$A,0)),0,IF(HU$1&lt;INDEX('Valo FX'!$R:$R,MATCH($A35,'Valo FX'!$A:$A,0)),INDEX(Base!$U:$U,MATCH($A35,Base!$A:$A,0)),IF(HU$1=INDEX('Valo FX'!$R:$R,MATCH($A35,'Valo FX'!$A:$A,0)),INDEX(Base!$V:$V,MATCH($A35,Base!$A:$A,0)),0)))</f>
        <v>9.1517700000000008</v>
      </c>
      <c r="HV35" s="21">
        <f>IF(HV$1&lt;INDEX('Valo FX'!$Q:$Q,MATCH($A35,'Valo FX'!$A:$A,0)),0,IF(HV$1&lt;INDEX('Valo FX'!$R:$R,MATCH($A35,'Valo FX'!$A:$A,0)),INDEX(Base!$U:$U,MATCH($A35,Base!$A:$A,0)),IF(HV$1=INDEX('Valo FX'!$R:$R,MATCH($A35,'Valo FX'!$A:$A,0)),INDEX(Base!$V:$V,MATCH($A35,Base!$A:$A,0)),0)))</f>
        <v>9.1517700000000008</v>
      </c>
      <c r="HW35" s="21">
        <f>IF(HW$1&lt;INDEX('Valo FX'!$Q:$Q,MATCH($A35,'Valo FX'!$A:$A,0)),0,IF(HW$1&lt;INDEX('Valo FX'!$R:$R,MATCH($A35,'Valo FX'!$A:$A,0)),INDEX(Base!$U:$U,MATCH($A35,Base!$A:$A,0)),IF(HW$1=INDEX('Valo FX'!$R:$R,MATCH($A35,'Valo FX'!$A:$A,0)),INDEX(Base!$V:$V,MATCH($A35,Base!$A:$A,0)),0)))</f>
        <v>9.1517700000000008</v>
      </c>
      <c r="HX35" s="21">
        <f>IF(HX$1&lt;INDEX('Valo FX'!$Q:$Q,MATCH($A35,'Valo FX'!$A:$A,0)),0,IF(HX$1&lt;INDEX('Valo FX'!$R:$R,MATCH($A35,'Valo FX'!$A:$A,0)),INDEX(Base!$U:$U,MATCH($A35,Base!$A:$A,0)),IF(HX$1=INDEX('Valo FX'!$R:$R,MATCH($A35,'Valo FX'!$A:$A,0)),INDEX(Base!$V:$V,MATCH($A35,Base!$A:$A,0)),0)))</f>
        <v>9.1517700000000008</v>
      </c>
      <c r="HY35" s="21">
        <f>IF(HY$1&lt;INDEX('Valo FX'!$Q:$Q,MATCH($A35,'Valo FX'!$A:$A,0)),0,IF(HY$1&lt;INDEX('Valo FX'!$R:$R,MATCH($A35,'Valo FX'!$A:$A,0)),INDEX(Base!$U:$U,MATCH($A35,Base!$A:$A,0)),IF(HY$1=INDEX('Valo FX'!$R:$R,MATCH($A35,'Valo FX'!$A:$A,0)),INDEX(Base!$V:$V,MATCH($A35,Base!$A:$A,0)),0)))</f>
        <v>9.1517700000000008</v>
      </c>
      <c r="HZ35" s="21">
        <f>IF(HZ$1&lt;INDEX('Valo FX'!$Q:$Q,MATCH($A35,'Valo FX'!$A:$A,0)),0,IF(HZ$1&lt;INDEX('Valo FX'!$R:$R,MATCH($A35,'Valo FX'!$A:$A,0)),INDEX(Base!$U:$U,MATCH($A35,Base!$A:$A,0)),IF(HZ$1=INDEX('Valo FX'!$R:$R,MATCH($A35,'Valo FX'!$A:$A,0)),INDEX(Base!$V:$V,MATCH($A35,Base!$A:$A,0)),0)))</f>
        <v>9.1517700000000008</v>
      </c>
      <c r="IA35" s="21">
        <f>IF(IA$1&lt;INDEX('Valo FX'!$Q:$Q,MATCH($A35,'Valo FX'!$A:$A,0)),0,IF(IA$1&lt;INDEX('Valo FX'!$R:$R,MATCH($A35,'Valo FX'!$A:$A,0)),INDEX(Base!$U:$U,MATCH($A35,Base!$A:$A,0)),IF(IA$1=INDEX('Valo FX'!$R:$R,MATCH($A35,'Valo FX'!$A:$A,0)),INDEX(Base!$V:$V,MATCH($A35,Base!$A:$A,0)),0)))</f>
        <v>9.1517700000000008</v>
      </c>
      <c r="IB35" s="21">
        <f>IF(IB$1&lt;INDEX('Valo FX'!$Q:$Q,MATCH($A35,'Valo FX'!$A:$A,0)),0,IF(IB$1&lt;INDEX('Valo FX'!$R:$R,MATCH($A35,'Valo FX'!$A:$A,0)),INDEX(Base!$U:$U,MATCH($A35,Base!$A:$A,0)),IF(IB$1=INDEX('Valo FX'!$R:$R,MATCH($A35,'Valo FX'!$A:$A,0)),INDEX(Base!$V:$V,MATCH($A35,Base!$A:$A,0)),0)))</f>
        <v>9.1517700000000008</v>
      </c>
      <c r="IC35" s="21">
        <f>IF(IC$1&lt;INDEX('Valo FX'!$Q:$Q,MATCH($A35,'Valo FX'!$A:$A,0)),0,IF(IC$1&lt;INDEX('Valo FX'!$R:$R,MATCH($A35,'Valo FX'!$A:$A,0)),INDEX(Base!$U:$U,MATCH($A35,Base!$A:$A,0)),IF(IC$1=INDEX('Valo FX'!$R:$R,MATCH($A35,'Valo FX'!$A:$A,0)),INDEX(Base!$V:$V,MATCH($A35,Base!$A:$A,0)),0)))</f>
        <v>9.1517700000000008</v>
      </c>
      <c r="ID35" s="21">
        <f>IF(ID$1&lt;INDEX('Valo FX'!$Q:$Q,MATCH($A35,'Valo FX'!$A:$A,0)),0,IF(ID$1&lt;INDEX('Valo FX'!$R:$R,MATCH($A35,'Valo FX'!$A:$A,0)),INDEX(Base!$U:$U,MATCH($A35,Base!$A:$A,0)),IF(ID$1=INDEX('Valo FX'!$R:$R,MATCH($A35,'Valo FX'!$A:$A,0)),INDEX(Base!$V:$V,MATCH($A35,Base!$A:$A,0)),0)))</f>
        <v>9.1517700000000008</v>
      </c>
      <c r="IE35" s="21">
        <f>IF(IE$1&lt;INDEX('Valo FX'!$Q:$Q,MATCH($A35,'Valo FX'!$A:$A,0)),0,IF(IE$1&lt;INDEX('Valo FX'!$R:$R,MATCH($A35,'Valo FX'!$A:$A,0)),INDEX(Base!$U:$U,MATCH($A35,Base!$A:$A,0)),IF(IE$1=INDEX('Valo FX'!$R:$R,MATCH($A35,'Valo FX'!$A:$A,0)),INDEX(Base!$V:$V,MATCH($A35,Base!$A:$A,0)),0)))</f>
        <v>9.1517700000000008</v>
      </c>
      <c r="IF35" s="21">
        <f>IF(IF$1&lt;INDEX('Valo FX'!$Q:$Q,MATCH($A35,'Valo FX'!$A:$A,0)),0,IF(IF$1&lt;INDEX('Valo FX'!$R:$R,MATCH($A35,'Valo FX'!$A:$A,0)),INDEX(Base!$U:$U,MATCH($A35,Base!$A:$A,0)),IF(IF$1=INDEX('Valo FX'!$R:$R,MATCH($A35,'Valo FX'!$A:$A,0)),INDEX(Base!$V:$V,MATCH($A35,Base!$A:$A,0)),0)))</f>
        <v>9.1517700000000008</v>
      </c>
      <c r="IG35" s="21">
        <f>IF(IG$1&lt;INDEX('Valo FX'!$Q:$Q,MATCH($A35,'Valo FX'!$A:$A,0)),0,IF(IG$1&lt;INDEX('Valo FX'!$R:$R,MATCH($A35,'Valo FX'!$A:$A,0)),INDEX(Base!$U:$U,MATCH($A35,Base!$A:$A,0)),IF(IG$1=INDEX('Valo FX'!$R:$R,MATCH($A35,'Valo FX'!$A:$A,0)),INDEX(Base!$V:$V,MATCH($A35,Base!$A:$A,0)),0)))</f>
        <v>9.1517700000000008</v>
      </c>
      <c r="IH35" s="21">
        <f>IF(IH$1&lt;INDEX('Valo FX'!$Q:$Q,MATCH($A35,'Valo FX'!$A:$A,0)),0,IF(IH$1&lt;INDEX('Valo FX'!$R:$R,MATCH($A35,'Valo FX'!$A:$A,0)),INDEX(Base!$U:$U,MATCH($A35,Base!$A:$A,0)),IF(IH$1=INDEX('Valo FX'!$R:$R,MATCH($A35,'Valo FX'!$A:$A,0)),INDEX(Base!$V:$V,MATCH($A35,Base!$A:$A,0)),0)))</f>
        <v>9.1517700000000008</v>
      </c>
      <c r="II35" s="21">
        <f>IF(II$1&lt;INDEX('Valo FX'!$Q:$Q,MATCH($A35,'Valo FX'!$A:$A,0)),0,IF(II$1&lt;INDEX('Valo FX'!$R:$R,MATCH($A35,'Valo FX'!$A:$A,0)),INDEX(Base!$U:$U,MATCH($A35,Base!$A:$A,0)),IF(II$1=INDEX('Valo FX'!$R:$R,MATCH($A35,'Valo FX'!$A:$A,0)),INDEX(Base!$V:$V,MATCH($A35,Base!$A:$A,0)),0)))</f>
        <v>9.1517700000000008</v>
      </c>
      <c r="IJ35" s="21">
        <f>IF(IJ$1&lt;INDEX('Valo FX'!$Q:$Q,MATCH($A35,'Valo FX'!$A:$A,0)),0,IF(IJ$1&lt;INDEX('Valo FX'!$R:$R,MATCH($A35,'Valo FX'!$A:$A,0)),INDEX(Base!$U:$U,MATCH($A35,Base!$A:$A,0)),IF(IJ$1=INDEX('Valo FX'!$R:$R,MATCH($A35,'Valo FX'!$A:$A,0)),INDEX(Base!$V:$V,MATCH($A35,Base!$A:$A,0)),0)))</f>
        <v>9.1517700000000008</v>
      </c>
      <c r="IK35" s="21">
        <f>IF(IK$1&lt;INDEX('Valo FX'!$Q:$Q,MATCH($A35,'Valo FX'!$A:$A,0)),0,IF(IK$1&lt;INDEX('Valo FX'!$R:$R,MATCH($A35,'Valo FX'!$A:$A,0)),INDEX(Base!$U:$U,MATCH($A35,Base!$A:$A,0)),IF(IK$1=INDEX('Valo FX'!$R:$R,MATCH($A35,'Valo FX'!$A:$A,0)),INDEX(Base!$V:$V,MATCH($A35,Base!$A:$A,0)),0)))</f>
        <v>9.1517700000000008</v>
      </c>
      <c r="IL35" s="21">
        <f>IF(IL$1&lt;INDEX('Valo FX'!$Q:$Q,MATCH($A35,'Valo FX'!$A:$A,0)),0,IF(IL$1&lt;INDEX('Valo FX'!$R:$R,MATCH($A35,'Valo FX'!$A:$A,0)),INDEX(Base!$U:$U,MATCH($A35,Base!$A:$A,0)),IF(IL$1=INDEX('Valo FX'!$R:$R,MATCH($A35,'Valo FX'!$A:$A,0)),INDEX(Base!$V:$V,MATCH($A35,Base!$A:$A,0)),0)))</f>
        <v>9.1517700000000008</v>
      </c>
      <c r="IM35" s="21">
        <f>IF(IM$1&lt;INDEX('Valo FX'!$Q:$Q,MATCH($A35,'Valo FX'!$A:$A,0)),0,IF(IM$1&lt;INDEX('Valo FX'!$R:$R,MATCH($A35,'Valo FX'!$A:$A,0)),INDEX(Base!$U:$U,MATCH($A35,Base!$A:$A,0)),IF(IM$1=INDEX('Valo FX'!$R:$R,MATCH($A35,'Valo FX'!$A:$A,0)),INDEX(Base!$V:$V,MATCH($A35,Base!$A:$A,0)),0)))</f>
        <v>9.1517700000000008</v>
      </c>
      <c r="IN35" s="21">
        <f>IF(IN$1&lt;INDEX('Valo FX'!$Q:$Q,MATCH($A35,'Valo FX'!$A:$A,0)),0,IF(IN$1&lt;INDEX('Valo FX'!$R:$R,MATCH($A35,'Valo FX'!$A:$A,0)),INDEX(Base!$U:$U,MATCH($A35,Base!$A:$A,0)),IF(IN$1=INDEX('Valo FX'!$R:$R,MATCH($A35,'Valo FX'!$A:$A,0)),INDEX(Base!$V:$V,MATCH($A35,Base!$A:$A,0)),0)))</f>
        <v>9.1517700000000008</v>
      </c>
      <c r="IO35" s="21">
        <f>IF(IO$1&lt;INDEX('Valo FX'!$Q:$Q,MATCH($A35,'Valo FX'!$A:$A,0)),0,IF(IO$1&lt;INDEX('Valo FX'!$R:$R,MATCH($A35,'Valo FX'!$A:$A,0)),INDEX(Base!$U:$U,MATCH($A35,Base!$A:$A,0)),IF(IO$1=INDEX('Valo FX'!$R:$R,MATCH($A35,'Valo FX'!$A:$A,0)),INDEX(Base!$V:$V,MATCH($A35,Base!$A:$A,0)),0)))</f>
        <v>9.1517700000000008</v>
      </c>
      <c r="IP35" s="21">
        <f>IF(IP$1&lt;INDEX('Valo FX'!$Q:$Q,MATCH($A35,'Valo FX'!$A:$A,0)),0,IF(IP$1&lt;INDEX('Valo FX'!$R:$R,MATCH($A35,'Valo FX'!$A:$A,0)),INDEX(Base!$U:$U,MATCH($A35,Base!$A:$A,0)),IF(IP$1=INDEX('Valo FX'!$R:$R,MATCH($A35,'Valo FX'!$A:$A,0)),INDEX(Base!$V:$V,MATCH($A35,Base!$A:$A,0)),0)))</f>
        <v>9.1517700000000008</v>
      </c>
      <c r="IQ35" s="21">
        <f>IF(IQ$1&lt;INDEX('Valo FX'!$Q:$Q,MATCH($A35,'Valo FX'!$A:$A,0)),0,IF(IQ$1&lt;INDEX('Valo FX'!$R:$R,MATCH($A35,'Valo FX'!$A:$A,0)),INDEX(Base!$U:$U,MATCH($A35,Base!$A:$A,0)),IF(IQ$1=INDEX('Valo FX'!$R:$R,MATCH($A35,'Valo FX'!$A:$A,0)),INDEX(Base!$V:$V,MATCH($A35,Base!$A:$A,0)),0)))</f>
        <v>9.1517700000000008</v>
      </c>
      <c r="IR35" s="21">
        <f>IF(IR$1&lt;INDEX('Valo FX'!$Q:$Q,MATCH($A35,'Valo FX'!$A:$A,0)),0,IF(IR$1&lt;INDEX('Valo FX'!$R:$R,MATCH($A35,'Valo FX'!$A:$A,0)),INDEX(Base!$U:$U,MATCH($A35,Base!$A:$A,0)),IF(IR$1=INDEX('Valo FX'!$R:$R,MATCH($A35,'Valo FX'!$A:$A,0)),INDEX(Base!$V:$V,MATCH($A35,Base!$A:$A,0)),0)))</f>
        <v>9.1517700000000008</v>
      </c>
      <c r="IS35" s="21">
        <f>IF(IS$1&lt;INDEX('Valo FX'!$Q:$Q,MATCH($A35,'Valo FX'!$A:$A,0)),0,IF(IS$1&lt;INDEX('Valo FX'!$R:$R,MATCH($A35,'Valo FX'!$A:$A,0)),INDEX(Base!$U:$U,MATCH($A35,Base!$A:$A,0)),IF(IS$1=INDEX('Valo FX'!$R:$R,MATCH($A35,'Valo FX'!$A:$A,0)),INDEX(Base!$V:$V,MATCH($A35,Base!$A:$A,0)),0)))</f>
        <v>9.1517700000000008</v>
      </c>
      <c r="IT35" s="21">
        <f>IF(IT$1&lt;INDEX('Valo FX'!$Q:$Q,MATCH($A35,'Valo FX'!$A:$A,0)),0,IF(IT$1&lt;INDEX('Valo FX'!$R:$R,MATCH($A35,'Valo FX'!$A:$A,0)),INDEX(Base!$U:$U,MATCH($A35,Base!$A:$A,0)),IF(IT$1=INDEX('Valo FX'!$R:$R,MATCH($A35,'Valo FX'!$A:$A,0)),INDEX(Base!$V:$V,MATCH($A35,Base!$A:$A,0)),0)))</f>
        <v>9.1517700000000008</v>
      </c>
      <c r="IU35" s="21">
        <f>IF(IU$1&lt;INDEX('Valo FX'!$Q:$Q,MATCH($A35,'Valo FX'!$A:$A,0)),0,IF(IU$1&lt;INDEX('Valo FX'!$R:$R,MATCH($A35,'Valo FX'!$A:$A,0)),INDEX(Base!$U:$U,MATCH($A35,Base!$A:$A,0)),IF(IU$1=INDEX('Valo FX'!$R:$R,MATCH($A35,'Valo FX'!$A:$A,0)),INDEX(Base!$V:$V,MATCH($A35,Base!$A:$A,0)),0)))</f>
        <v>9.1517700000000008</v>
      </c>
      <c r="IV35" s="21">
        <f>IF(IV$1&lt;INDEX('Valo FX'!$Q:$Q,MATCH($A35,'Valo FX'!$A:$A,0)),0,IF(IV$1&lt;INDEX('Valo FX'!$R:$R,MATCH($A35,'Valo FX'!$A:$A,0)),INDEX(Base!$U:$U,MATCH($A35,Base!$A:$A,0)),IF(IV$1=INDEX('Valo FX'!$R:$R,MATCH($A35,'Valo FX'!$A:$A,0)),INDEX(Base!$V:$V,MATCH($A35,Base!$A:$A,0)),0)))</f>
        <v>9.1517700000000008</v>
      </c>
      <c r="IW35" s="21">
        <f>IF(IW$1&lt;INDEX('Valo FX'!$Q:$Q,MATCH($A35,'Valo FX'!$A:$A,0)),0,IF(IW$1&lt;INDEX('Valo FX'!$R:$R,MATCH($A35,'Valo FX'!$A:$A,0)),INDEX(Base!$U:$U,MATCH($A35,Base!$A:$A,0)),IF(IW$1=INDEX('Valo FX'!$R:$R,MATCH($A35,'Valo FX'!$A:$A,0)),INDEX(Base!$V:$V,MATCH($A35,Base!$A:$A,0)),0)))</f>
        <v>9.1517700000000008</v>
      </c>
      <c r="IX35" s="21">
        <f>IF(IX$1&lt;INDEX('Valo FX'!$Q:$Q,MATCH($A35,'Valo FX'!$A:$A,0)),0,IF(IX$1&lt;INDEX('Valo FX'!$R:$R,MATCH($A35,'Valo FX'!$A:$A,0)),INDEX(Base!$U:$U,MATCH($A35,Base!$A:$A,0)),IF(IX$1=INDEX('Valo FX'!$R:$R,MATCH($A35,'Valo FX'!$A:$A,0)),INDEX(Base!$V:$V,MATCH($A35,Base!$A:$A,0)),0)))</f>
        <v>9.1517700000000008</v>
      </c>
      <c r="IY35" s="21">
        <f>IF(IY$1&lt;INDEX('Valo FX'!$Q:$Q,MATCH($A35,'Valo FX'!$A:$A,0)),0,IF(IY$1&lt;INDEX('Valo FX'!$R:$R,MATCH($A35,'Valo FX'!$A:$A,0)),INDEX(Base!$U:$U,MATCH($A35,Base!$A:$A,0)),IF(IY$1=INDEX('Valo FX'!$R:$R,MATCH($A35,'Valo FX'!$A:$A,0)),INDEX(Base!$V:$V,MATCH($A35,Base!$A:$A,0)),0)))</f>
        <v>9.1517700000000008</v>
      </c>
      <c r="IZ35" s="21">
        <f>IF(IZ$1&lt;INDEX('Valo FX'!$Q:$Q,MATCH($A35,'Valo FX'!$A:$A,0)),0,IF(IZ$1&lt;INDEX('Valo FX'!$R:$R,MATCH($A35,'Valo FX'!$A:$A,0)),INDEX(Base!$U:$U,MATCH($A35,Base!$A:$A,0)),IF(IZ$1=INDEX('Valo FX'!$R:$R,MATCH($A35,'Valo FX'!$A:$A,0)),INDEX(Base!$V:$V,MATCH($A35,Base!$A:$A,0)),0)))</f>
        <v>9.1517700000000008</v>
      </c>
      <c r="JA35" s="21">
        <f>IF(JA$1&lt;INDEX('Valo FX'!$Q:$Q,MATCH($A35,'Valo FX'!$A:$A,0)),0,IF(JA$1&lt;INDEX('Valo FX'!$R:$R,MATCH($A35,'Valo FX'!$A:$A,0)),INDEX(Base!$U:$U,MATCH($A35,Base!$A:$A,0)),IF(JA$1=INDEX('Valo FX'!$R:$R,MATCH($A35,'Valo FX'!$A:$A,0)),INDEX(Base!$V:$V,MATCH($A35,Base!$A:$A,0)),0)))</f>
        <v>9.1517700000000008</v>
      </c>
      <c r="JB35" s="21">
        <f>IF(JB$1&lt;INDEX('Valo FX'!$Q:$Q,MATCH($A35,'Valo FX'!$A:$A,0)),0,IF(JB$1&lt;INDEX('Valo FX'!$R:$R,MATCH($A35,'Valo FX'!$A:$A,0)),INDEX(Base!$U:$U,MATCH($A35,Base!$A:$A,0)),IF(JB$1=INDEX('Valo FX'!$R:$R,MATCH($A35,'Valo FX'!$A:$A,0)),INDEX(Base!$V:$V,MATCH($A35,Base!$A:$A,0)),0)))</f>
        <v>9.1517700000000008</v>
      </c>
      <c r="JC35" s="21">
        <f>IF(JC$1&lt;INDEX('Valo FX'!$Q:$Q,MATCH($A35,'Valo FX'!$A:$A,0)),0,IF(JC$1&lt;INDEX('Valo FX'!$R:$R,MATCH($A35,'Valo FX'!$A:$A,0)),INDEX(Base!$U:$U,MATCH($A35,Base!$A:$A,0)),IF(JC$1=INDEX('Valo FX'!$R:$R,MATCH($A35,'Valo FX'!$A:$A,0)),INDEX(Base!$V:$V,MATCH($A35,Base!$A:$A,0)),0)))</f>
        <v>9.1517700000000008</v>
      </c>
      <c r="JD35" s="21">
        <f>IF(JD$1&lt;INDEX('Valo FX'!$Q:$Q,MATCH($A35,'Valo FX'!$A:$A,0)),0,IF(JD$1&lt;INDEX('Valo FX'!$R:$R,MATCH($A35,'Valo FX'!$A:$A,0)),INDEX(Base!$U:$U,MATCH($A35,Base!$A:$A,0)),IF(JD$1=INDEX('Valo FX'!$R:$R,MATCH($A35,'Valo FX'!$A:$A,0)),INDEX(Base!$V:$V,MATCH($A35,Base!$A:$A,0)),0)))</f>
        <v>9.1517700000000008</v>
      </c>
      <c r="JE35" s="21">
        <f>IF(JE$1&lt;INDEX('Valo FX'!$Q:$Q,MATCH($A35,'Valo FX'!$A:$A,0)),0,IF(JE$1&lt;INDEX('Valo FX'!$R:$R,MATCH($A35,'Valo FX'!$A:$A,0)),INDEX(Base!$U:$U,MATCH($A35,Base!$A:$A,0)),IF(JE$1=INDEX('Valo FX'!$R:$R,MATCH($A35,'Valo FX'!$A:$A,0)),INDEX(Base!$V:$V,MATCH($A35,Base!$A:$A,0)),0)))</f>
        <v>9.1517700000000008</v>
      </c>
      <c r="JF35" s="21">
        <f>IF(JF$1&lt;INDEX('Valo FX'!$Q:$Q,MATCH($A35,'Valo FX'!$A:$A,0)),0,IF(JF$1&lt;INDEX('Valo FX'!$R:$R,MATCH($A35,'Valo FX'!$A:$A,0)),INDEX(Base!$U:$U,MATCH($A35,Base!$A:$A,0)),IF(JF$1=INDEX('Valo FX'!$R:$R,MATCH($A35,'Valo FX'!$A:$A,0)),INDEX(Base!$V:$V,MATCH($A35,Base!$A:$A,0)),0)))</f>
        <v>9.1517700000000008</v>
      </c>
      <c r="JG35" s="21">
        <f>IF(JG$1&lt;INDEX('Valo FX'!$Q:$Q,MATCH($A35,'Valo FX'!$A:$A,0)),0,IF(JG$1&lt;INDEX('Valo FX'!$R:$R,MATCH($A35,'Valo FX'!$A:$A,0)),INDEX(Base!$U:$U,MATCH($A35,Base!$A:$A,0)),IF(JG$1=INDEX('Valo FX'!$R:$R,MATCH($A35,'Valo FX'!$A:$A,0)),INDEX(Base!$V:$V,MATCH($A35,Base!$A:$A,0)),0)))</f>
        <v>9.1517700000000008</v>
      </c>
      <c r="JH35" s="21">
        <f>IF(JH$1&lt;INDEX('Valo FX'!$Q:$Q,MATCH($A35,'Valo FX'!$A:$A,0)),0,IF(JH$1&lt;INDEX('Valo FX'!$R:$R,MATCH($A35,'Valo FX'!$A:$A,0)),INDEX(Base!$U:$U,MATCH($A35,Base!$A:$A,0)),IF(JH$1=INDEX('Valo FX'!$R:$R,MATCH($A35,'Valo FX'!$A:$A,0)),INDEX(Base!$V:$V,MATCH($A35,Base!$A:$A,0)),0)))</f>
        <v>9.1517700000000008</v>
      </c>
      <c r="JI35" s="21">
        <f>IF(JI$1&lt;INDEX('Valo FX'!$Q:$Q,MATCH($A35,'Valo FX'!$A:$A,0)),0,IF(JI$1&lt;INDEX('Valo FX'!$R:$R,MATCH($A35,'Valo FX'!$A:$A,0)),INDEX(Base!$U:$U,MATCH($A35,Base!$A:$A,0)),IF(JI$1=INDEX('Valo FX'!$R:$R,MATCH($A35,'Valo FX'!$A:$A,0)),INDEX(Base!$V:$V,MATCH($A35,Base!$A:$A,0)),0)))</f>
        <v>9.1517700000000008</v>
      </c>
      <c r="JJ35" s="21">
        <f>IF(JJ$1&lt;INDEX('Valo FX'!$Q:$Q,MATCH($A35,'Valo FX'!$A:$A,0)),0,IF(JJ$1&lt;INDEX('Valo FX'!$R:$R,MATCH($A35,'Valo FX'!$A:$A,0)),INDEX(Base!$U:$U,MATCH($A35,Base!$A:$A,0)),IF(JJ$1=INDEX('Valo FX'!$R:$R,MATCH($A35,'Valo FX'!$A:$A,0)),INDEX(Base!$V:$V,MATCH($A35,Base!$A:$A,0)),0)))</f>
        <v>9.1517700000000008</v>
      </c>
      <c r="JK35" s="21">
        <f>IF(JK$1&lt;INDEX('Valo FX'!$Q:$Q,MATCH($A35,'Valo FX'!$A:$A,0)),0,IF(JK$1&lt;INDEX('Valo FX'!$R:$R,MATCH($A35,'Valo FX'!$A:$A,0)),INDEX(Base!$U:$U,MATCH($A35,Base!$A:$A,0)),IF(JK$1=INDEX('Valo FX'!$R:$R,MATCH($A35,'Valo FX'!$A:$A,0)),INDEX(Base!$V:$V,MATCH($A35,Base!$A:$A,0)),0)))</f>
        <v>9.1517700000000008</v>
      </c>
      <c r="JL35" s="21">
        <f>IF(JL$1&lt;INDEX('Valo FX'!$Q:$Q,MATCH($A35,'Valo FX'!$A:$A,0)),0,IF(JL$1&lt;INDEX('Valo FX'!$R:$R,MATCH($A35,'Valo FX'!$A:$A,0)),INDEX(Base!$U:$U,MATCH($A35,Base!$A:$A,0)),IF(JL$1=INDEX('Valo FX'!$R:$R,MATCH($A35,'Valo FX'!$A:$A,0)),INDEX(Base!$V:$V,MATCH($A35,Base!$A:$A,0)),0)))</f>
        <v>9.1517700000000008</v>
      </c>
      <c r="JM35" s="21">
        <f>IF(JM$1&lt;INDEX('Valo FX'!$Q:$Q,MATCH($A35,'Valo FX'!$A:$A,0)),0,IF(JM$1&lt;INDEX('Valo FX'!$R:$R,MATCH($A35,'Valo FX'!$A:$A,0)),INDEX(Base!$U:$U,MATCH($A35,Base!$A:$A,0)),IF(JM$1=INDEX('Valo FX'!$R:$R,MATCH($A35,'Valo FX'!$A:$A,0)),INDEX(Base!$V:$V,MATCH($A35,Base!$A:$A,0)),0)))</f>
        <v>9.1517700000000008</v>
      </c>
      <c r="JN35" s="21">
        <f>IF(JN$1&lt;INDEX('Valo FX'!$Q:$Q,MATCH($A35,'Valo FX'!$A:$A,0)),0,IF(JN$1&lt;INDEX('Valo FX'!$R:$R,MATCH($A35,'Valo FX'!$A:$A,0)),INDEX(Base!$U:$U,MATCH($A35,Base!$A:$A,0)),IF(JN$1=INDEX('Valo FX'!$R:$R,MATCH($A35,'Valo FX'!$A:$A,0)),INDEX(Base!$V:$V,MATCH($A35,Base!$A:$A,0)),0)))</f>
        <v>9.1517700000000008</v>
      </c>
      <c r="JO35" s="21">
        <f>IF(JO$1&lt;INDEX('Valo FX'!$Q:$Q,MATCH($A35,'Valo FX'!$A:$A,0)),0,IF(JO$1&lt;INDEX('Valo FX'!$R:$R,MATCH($A35,'Valo FX'!$A:$A,0)),INDEX(Base!$U:$U,MATCH($A35,Base!$A:$A,0)),IF(JO$1=INDEX('Valo FX'!$R:$R,MATCH($A35,'Valo FX'!$A:$A,0)),INDEX(Base!$V:$V,MATCH($A35,Base!$A:$A,0)),0)))</f>
        <v>9.1517700000000008</v>
      </c>
      <c r="JP35" s="21">
        <f>IF(JP$1&lt;INDEX('Valo FX'!$Q:$Q,MATCH($A35,'Valo FX'!$A:$A,0)),0,IF(JP$1&lt;INDEX('Valo FX'!$R:$R,MATCH($A35,'Valo FX'!$A:$A,0)),INDEX(Base!$U:$U,MATCH($A35,Base!$A:$A,0)),IF(JP$1=INDEX('Valo FX'!$R:$R,MATCH($A35,'Valo FX'!$A:$A,0)),INDEX(Base!$V:$V,MATCH($A35,Base!$A:$A,0)),0)))</f>
        <v>9.1517700000000008</v>
      </c>
      <c r="JQ35" s="21">
        <f>IF(JQ$1&lt;INDEX('Valo FX'!$Q:$Q,MATCH($A35,'Valo FX'!$A:$A,0)),0,IF(JQ$1&lt;INDEX('Valo FX'!$R:$R,MATCH($A35,'Valo FX'!$A:$A,0)),INDEX(Base!$U:$U,MATCH($A35,Base!$A:$A,0)),IF(JQ$1=INDEX('Valo FX'!$R:$R,MATCH($A35,'Valo FX'!$A:$A,0)),INDEX(Base!$V:$V,MATCH($A35,Base!$A:$A,0)),0)))</f>
        <v>9.1517700000000008</v>
      </c>
      <c r="JR35" s="21">
        <f>IF(JR$1&lt;INDEX('Valo FX'!$Q:$Q,MATCH($A35,'Valo FX'!$A:$A,0)),0,IF(JR$1&lt;INDEX('Valo FX'!$R:$R,MATCH($A35,'Valo FX'!$A:$A,0)),INDEX(Base!$U:$U,MATCH($A35,Base!$A:$A,0)),IF(JR$1=INDEX('Valo FX'!$R:$R,MATCH($A35,'Valo FX'!$A:$A,0)),INDEX(Base!$V:$V,MATCH($A35,Base!$A:$A,0)),0)))</f>
        <v>9.1517700000000008</v>
      </c>
      <c r="JS35" s="21">
        <f>IF(JS$1&lt;INDEX('Valo FX'!$Q:$Q,MATCH($A35,'Valo FX'!$A:$A,0)),0,IF(JS$1&lt;INDEX('Valo FX'!$R:$R,MATCH($A35,'Valo FX'!$A:$A,0)),INDEX(Base!$U:$U,MATCH($A35,Base!$A:$A,0)),IF(JS$1=INDEX('Valo FX'!$R:$R,MATCH($A35,'Valo FX'!$A:$A,0)),INDEX(Base!$V:$V,MATCH($A35,Base!$A:$A,0)),0)))</f>
        <v>9.1517700000000008</v>
      </c>
      <c r="JT35" s="21">
        <f>IF(JT$1&lt;INDEX('Valo FX'!$Q:$Q,MATCH($A35,'Valo FX'!$A:$A,0)),0,IF(JT$1&lt;INDEX('Valo FX'!$R:$R,MATCH($A35,'Valo FX'!$A:$A,0)),INDEX(Base!$U:$U,MATCH($A35,Base!$A:$A,0)),IF(JT$1=INDEX('Valo FX'!$R:$R,MATCH($A35,'Valo FX'!$A:$A,0)),INDEX(Base!$V:$V,MATCH($A35,Base!$A:$A,0)),0)))</f>
        <v>9.1517700000000008</v>
      </c>
      <c r="JU35" s="21">
        <f>IF(JU$1&lt;INDEX('Valo FX'!$Q:$Q,MATCH($A35,'Valo FX'!$A:$A,0)),0,IF(JU$1&lt;INDEX('Valo FX'!$R:$R,MATCH($A35,'Valo FX'!$A:$A,0)),INDEX(Base!$U:$U,MATCH($A35,Base!$A:$A,0)),IF(JU$1=INDEX('Valo FX'!$R:$R,MATCH($A35,'Valo FX'!$A:$A,0)),INDEX(Base!$V:$V,MATCH($A35,Base!$A:$A,0)),0)))</f>
        <v>9.1517700000000008</v>
      </c>
      <c r="JV35" s="21">
        <f>IF(JV$1&lt;INDEX('Valo FX'!$Q:$Q,MATCH($A35,'Valo FX'!$A:$A,0)),0,IF(JV$1&lt;INDEX('Valo FX'!$R:$R,MATCH($A35,'Valo FX'!$A:$A,0)),INDEX(Base!$U:$U,MATCH($A35,Base!$A:$A,0)),IF(JV$1=INDEX('Valo FX'!$R:$R,MATCH($A35,'Valo FX'!$A:$A,0)),INDEX(Base!$V:$V,MATCH($A35,Base!$A:$A,0)),0)))</f>
        <v>9.1517700000000008</v>
      </c>
      <c r="JW35" s="21">
        <f>IF(JW$1&lt;INDEX('Valo FX'!$Q:$Q,MATCH($A35,'Valo FX'!$A:$A,0)),0,IF(JW$1&lt;INDEX('Valo FX'!$R:$R,MATCH($A35,'Valo FX'!$A:$A,0)),INDEX(Base!$U:$U,MATCH($A35,Base!$A:$A,0)),IF(JW$1=INDEX('Valo FX'!$R:$R,MATCH($A35,'Valo FX'!$A:$A,0)),INDEX(Base!$V:$V,MATCH($A35,Base!$A:$A,0)),0)))</f>
        <v>9.1517700000000008</v>
      </c>
      <c r="JX35" s="21">
        <f>IF(JX$1&lt;INDEX('Valo FX'!$Q:$Q,MATCH($A35,'Valo FX'!$A:$A,0)),0,IF(JX$1&lt;INDEX('Valo FX'!$R:$R,MATCH($A35,'Valo FX'!$A:$A,0)),INDEX(Base!$U:$U,MATCH($A35,Base!$A:$A,0)),IF(JX$1=INDEX('Valo FX'!$R:$R,MATCH($A35,'Valo FX'!$A:$A,0)),INDEX(Base!$V:$V,MATCH($A35,Base!$A:$A,0)),0)))</f>
        <v>9.1517700000000008</v>
      </c>
      <c r="JY35" s="21">
        <f>IF(JY$1&lt;INDEX('Valo FX'!$Q:$Q,MATCH($A35,'Valo FX'!$A:$A,0)),0,IF(JY$1&lt;INDEX('Valo FX'!$R:$R,MATCH($A35,'Valo FX'!$A:$A,0)),INDEX(Base!$U:$U,MATCH($A35,Base!$A:$A,0)),IF(JY$1=INDEX('Valo FX'!$R:$R,MATCH($A35,'Valo FX'!$A:$A,0)),INDEX(Base!$V:$V,MATCH($A35,Base!$A:$A,0)),0)))</f>
        <v>9.1517700000000008</v>
      </c>
      <c r="JZ35" s="21">
        <f>IF(JZ$1&lt;INDEX('Valo FX'!$Q:$Q,MATCH($A35,'Valo FX'!$A:$A,0)),0,IF(JZ$1&lt;INDEX('Valo FX'!$R:$R,MATCH($A35,'Valo FX'!$A:$A,0)),INDEX(Base!$U:$U,MATCH($A35,Base!$A:$A,0)),IF(JZ$1=INDEX('Valo FX'!$R:$R,MATCH($A35,'Valo FX'!$A:$A,0)),INDEX(Base!$V:$V,MATCH($A35,Base!$A:$A,0)),0)))</f>
        <v>9.1517700000000008</v>
      </c>
      <c r="KA35" s="21">
        <f>IF(KA$1&lt;INDEX('Valo FX'!$Q:$Q,MATCH($A35,'Valo FX'!$A:$A,0)),0,IF(KA$1&lt;INDEX('Valo FX'!$R:$R,MATCH($A35,'Valo FX'!$A:$A,0)),INDEX(Base!$U:$U,MATCH($A35,Base!$A:$A,0)),IF(KA$1=INDEX('Valo FX'!$R:$R,MATCH($A35,'Valo FX'!$A:$A,0)),INDEX(Base!$V:$V,MATCH($A35,Base!$A:$A,0)),0)))</f>
        <v>9.1517700000000008</v>
      </c>
      <c r="KB35" s="21">
        <f>IF(KB$1&lt;INDEX('Valo FX'!$Q:$Q,MATCH($A35,'Valo FX'!$A:$A,0)),0,IF(KB$1&lt;INDEX('Valo FX'!$R:$R,MATCH($A35,'Valo FX'!$A:$A,0)),INDEX(Base!$U:$U,MATCH($A35,Base!$A:$A,0)),IF(KB$1=INDEX('Valo FX'!$R:$R,MATCH($A35,'Valo FX'!$A:$A,0)),INDEX(Base!$V:$V,MATCH($A35,Base!$A:$A,0)),0)))</f>
        <v>9.1517700000000008</v>
      </c>
      <c r="KC35" s="21">
        <f>IF(KC$1&lt;INDEX('Valo FX'!$Q:$Q,MATCH($A35,'Valo FX'!$A:$A,0)),0,IF(KC$1&lt;INDEX('Valo FX'!$R:$R,MATCH($A35,'Valo FX'!$A:$A,0)),INDEX(Base!$U:$U,MATCH($A35,Base!$A:$A,0)),IF(KC$1=INDEX('Valo FX'!$R:$R,MATCH($A35,'Valo FX'!$A:$A,0)),INDEX(Base!$V:$V,MATCH($A35,Base!$A:$A,0)),0)))</f>
        <v>9.1517700000000008</v>
      </c>
      <c r="KD35" s="21">
        <f>IF(KD$1&lt;INDEX('Valo FX'!$Q:$Q,MATCH($A35,'Valo FX'!$A:$A,0)),0,IF(KD$1&lt;INDEX('Valo FX'!$R:$R,MATCH($A35,'Valo FX'!$A:$A,0)),INDEX(Base!$U:$U,MATCH($A35,Base!$A:$A,0)),IF(KD$1=INDEX('Valo FX'!$R:$R,MATCH($A35,'Valo FX'!$A:$A,0)),INDEX(Base!$V:$V,MATCH($A35,Base!$A:$A,0)),0)))</f>
        <v>9.1517700000000008</v>
      </c>
      <c r="KE35" s="21">
        <f>IF(KE$1&lt;INDEX('Valo FX'!$Q:$Q,MATCH($A35,'Valo FX'!$A:$A,0)),0,IF(KE$1&lt;INDEX('Valo FX'!$R:$R,MATCH($A35,'Valo FX'!$A:$A,0)),INDEX(Base!$U:$U,MATCH($A35,Base!$A:$A,0)),IF(KE$1=INDEX('Valo FX'!$R:$R,MATCH($A35,'Valo FX'!$A:$A,0)),INDEX(Base!$V:$V,MATCH($A35,Base!$A:$A,0)),0)))</f>
        <v>9.1517700000000008</v>
      </c>
      <c r="KF35" s="21">
        <f>IF(KF$1&lt;INDEX('Valo FX'!$Q:$Q,MATCH($A35,'Valo FX'!$A:$A,0)),0,IF(KF$1&lt;INDEX('Valo FX'!$R:$R,MATCH($A35,'Valo FX'!$A:$A,0)),INDEX(Base!$U:$U,MATCH($A35,Base!$A:$A,0)),IF(KF$1=INDEX('Valo FX'!$R:$R,MATCH($A35,'Valo FX'!$A:$A,0)),INDEX(Base!$V:$V,MATCH($A35,Base!$A:$A,0)),0)))</f>
        <v>9.1517700000000008</v>
      </c>
      <c r="KG35" s="21">
        <f>IF(KG$1&lt;INDEX('Valo FX'!$Q:$Q,MATCH($A35,'Valo FX'!$A:$A,0)),0,IF(KG$1&lt;INDEX('Valo FX'!$R:$R,MATCH($A35,'Valo FX'!$A:$A,0)),INDEX(Base!$U:$U,MATCH($A35,Base!$A:$A,0)),IF(KG$1=INDEX('Valo FX'!$R:$R,MATCH($A35,'Valo FX'!$A:$A,0)),INDEX(Base!$V:$V,MATCH($A35,Base!$A:$A,0)),0)))</f>
        <v>9.1517700000000008</v>
      </c>
      <c r="KH35" s="21">
        <f>IF(KH$1&lt;INDEX('Valo FX'!$Q:$Q,MATCH($A35,'Valo FX'!$A:$A,0)),0,IF(KH$1&lt;INDEX('Valo FX'!$R:$R,MATCH($A35,'Valo FX'!$A:$A,0)),INDEX(Base!$U:$U,MATCH($A35,Base!$A:$A,0)),IF(KH$1=INDEX('Valo FX'!$R:$R,MATCH($A35,'Valo FX'!$A:$A,0)),INDEX(Base!$V:$V,MATCH($A35,Base!$A:$A,0)),0)))</f>
        <v>9.1517700000000008</v>
      </c>
      <c r="KI35" s="21">
        <f>IF(KI$1&lt;INDEX('Valo FX'!$Q:$Q,MATCH($A35,'Valo FX'!$A:$A,0)),0,IF(KI$1&lt;INDEX('Valo FX'!$R:$R,MATCH($A35,'Valo FX'!$A:$A,0)),INDEX(Base!$U:$U,MATCH($A35,Base!$A:$A,0)),IF(KI$1=INDEX('Valo FX'!$R:$R,MATCH($A35,'Valo FX'!$A:$A,0)),INDEX(Base!$V:$V,MATCH($A35,Base!$A:$A,0)),0)))</f>
        <v>9.1517700000000008</v>
      </c>
      <c r="KJ35" s="21">
        <f>IF(KJ$1&lt;INDEX('Valo FX'!$Q:$Q,MATCH($A35,'Valo FX'!$A:$A,0)),0,IF(KJ$1&lt;INDEX('Valo FX'!$R:$R,MATCH($A35,'Valo FX'!$A:$A,0)),INDEX(Base!$U:$U,MATCH($A35,Base!$A:$A,0)),IF(KJ$1=INDEX('Valo FX'!$R:$R,MATCH($A35,'Valo FX'!$A:$A,0)),INDEX(Base!$V:$V,MATCH($A35,Base!$A:$A,0)),0)))</f>
        <v>9.1517700000000008</v>
      </c>
      <c r="KK35" s="21">
        <f>IF(KK$1&lt;INDEX('Valo FX'!$Q:$Q,MATCH($A35,'Valo FX'!$A:$A,0)),0,IF(KK$1&lt;INDEX('Valo FX'!$R:$R,MATCH($A35,'Valo FX'!$A:$A,0)),INDEX(Base!$U:$U,MATCH($A35,Base!$A:$A,0)),IF(KK$1=INDEX('Valo FX'!$R:$R,MATCH($A35,'Valo FX'!$A:$A,0)),INDEX(Base!$V:$V,MATCH($A35,Base!$A:$A,0)),0)))</f>
        <v>9.1517700000000008</v>
      </c>
      <c r="KL35" s="21">
        <f>IF(KL$1&lt;INDEX('Valo FX'!$Q:$Q,MATCH($A35,'Valo FX'!$A:$A,0)),0,IF(KL$1&lt;INDEX('Valo FX'!$R:$R,MATCH($A35,'Valo FX'!$A:$A,0)),INDEX(Base!$U:$U,MATCH($A35,Base!$A:$A,0)),IF(KL$1=INDEX('Valo FX'!$R:$R,MATCH($A35,'Valo FX'!$A:$A,0)),INDEX(Base!$V:$V,MATCH($A35,Base!$A:$A,0)),0)))</f>
        <v>9.1517700000000008</v>
      </c>
      <c r="KM35" s="21">
        <f>IF(KM$1&lt;INDEX('Valo FX'!$Q:$Q,MATCH($A35,'Valo FX'!$A:$A,0)),0,IF(KM$1&lt;INDEX('Valo FX'!$R:$R,MATCH($A35,'Valo FX'!$A:$A,0)),INDEX(Base!$U:$U,MATCH($A35,Base!$A:$A,0)),IF(KM$1=INDEX('Valo FX'!$R:$R,MATCH($A35,'Valo FX'!$A:$A,0)),INDEX(Base!$V:$V,MATCH($A35,Base!$A:$A,0)),0)))</f>
        <v>9.1517700000000008</v>
      </c>
      <c r="KN35" s="21">
        <f>IF(KN$1&lt;INDEX('Valo FX'!$Q:$Q,MATCH($A35,'Valo FX'!$A:$A,0)),0,IF(KN$1&lt;INDEX('Valo FX'!$R:$R,MATCH($A35,'Valo FX'!$A:$A,0)),INDEX(Base!$U:$U,MATCH($A35,Base!$A:$A,0)),IF(KN$1=INDEX('Valo FX'!$R:$R,MATCH($A35,'Valo FX'!$A:$A,0)),INDEX(Base!$V:$V,MATCH($A35,Base!$A:$A,0)),0)))</f>
        <v>9.1517700000000008</v>
      </c>
      <c r="KO35" s="21">
        <f>IF(KO$1&lt;INDEX('Valo FX'!$Q:$Q,MATCH($A35,'Valo FX'!$A:$A,0)),0,IF(KO$1&lt;INDEX('Valo FX'!$R:$R,MATCH($A35,'Valo FX'!$A:$A,0)),INDEX(Base!$U:$U,MATCH($A35,Base!$A:$A,0)),IF(KO$1=INDEX('Valo FX'!$R:$R,MATCH($A35,'Valo FX'!$A:$A,0)),INDEX(Base!$V:$V,MATCH($A35,Base!$A:$A,0)),0)))</f>
        <v>9.1517700000000008</v>
      </c>
      <c r="KP35" s="21">
        <f>IF(KP$1&lt;INDEX('Valo FX'!$Q:$Q,MATCH($A35,'Valo FX'!$A:$A,0)),0,IF(KP$1&lt;INDEX('Valo FX'!$R:$R,MATCH($A35,'Valo FX'!$A:$A,0)),INDEX(Base!$U:$U,MATCH($A35,Base!$A:$A,0)),IF(KP$1=INDEX('Valo FX'!$R:$R,MATCH($A35,'Valo FX'!$A:$A,0)),INDEX(Base!$V:$V,MATCH($A35,Base!$A:$A,0)),0)))</f>
        <v>9.1517700000000008</v>
      </c>
      <c r="KQ35" s="21">
        <f>IF(KQ$1&lt;INDEX('Valo FX'!$Q:$Q,MATCH($A35,'Valo FX'!$A:$A,0)),0,IF(KQ$1&lt;INDEX('Valo FX'!$R:$R,MATCH($A35,'Valo FX'!$A:$A,0)),INDEX(Base!$U:$U,MATCH($A35,Base!$A:$A,0)),IF(KQ$1=INDEX('Valo FX'!$R:$R,MATCH($A35,'Valo FX'!$A:$A,0)),INDEX(Base!$V:$V,MATCH($A35,Base!$A:$A,0)),0)))</f>
        <v>9.1517700000000008</v>
      </c>
      <c r="KR35" s="21">
        <f>IF(KR$1&lt;INDEX('Valo FX'!$Q:$Q,MATCH($A35,'Valo FX'!$A:$A,0)),0,IF(KR$1&lt;INDEX('Valo FX'!$R:$R,MATCH($A35,'Valo FX'!$A:$A,0)),INDEX(Base!$U:$U,MATCH($A35,Base!$A:$A,0)),IF(KR$1=INDEX('Valo FX'!$R:$R,MATCH($A35,'Valo FX'!$A:$A,0)),INDEX(Base!$V:$V,MATCH($A35,Base!$A:$A,0)),0)))</f>
        <v>9.1517700000000008</v>
      </c>
      <c r="KS35" s="21">
        <f>IF(KS$1&lt;INDEX('Valo FX'!$Q:$Q,MATCH($A35,'Valo FX'!$A:$A,0)),0,IF(KS$1&lt;INDEX('Valo FX'!$R:$R,MATCH($A35,'Valo FX'!$A:$A,0)),INDEX(Base!$U:$U,MATCH($A35,Base!$A:$A,0)),IF(KS$1=INDEX('Valo FX'!$R:$R,MATCH($A35,'Valo FX'!$A:$A,0)),INDEX(Base!$V:$V,MATCH($A35,Base!$A:$A,0)),0)))</f>
        <v>9.1517700000000008</v>
      </c>
      <c r="KT35" s="21">
        <f>IF(KT$1&lt;INDEX('Valo FX'!$Q:$Q,MATCH($A35,'Valo FX'!$A:$A,0)),0,IF(KT$1&lt;INDEX('Valo FX'!$R:$R,MATCH($A35,'Valo FX'!$A:$A,0)),INDEX(Base!$U:$U,MATCH($A35,Base!$A:$A,0)),IF(KT$1=INDEX('Valo FX'!$R:$R,MATCH($A35,'Valo FX'!$A:$A,0)),INDEX(Base!$V:$V,MATCH($A35,Base!$A:$A,0)),0)))</f>
        <v>9.1517700000000008</v>
      </c>
      <c r="KU35" s="21">
        <f>IF(KU$1&lt;INDEX('Valo FX'!$Q:$Q,MATCH($A35,'Valo FX'!$A:$A,0)),0,IF(KU$1&lt;INDEX('Valo FX'!$R:$R,MATCH($A35,'Valo FX'!$A:$A,0)),INDEX(Base!$U:$U,MATCH($A35,Base!$A:$A,0)),IF(KU$1=INDEX('Valo FX'!$R:$R,MATCH($A35,'Valo FX'!$A:$A,0)),INDEX(Base!$V:$V,MATCH($A35,Base!$A:$A,0)),0)))</f>
        <v>9.1517700000000008</v>
      </c>
      <c r="KV35" s="21">
        <f>IF(KV$1&lt;INDEX('Valo FX'!$Q:$Q,MATCH($A35,'Valo FX'!$A:$A,0)),0,IF(KV$1&lt;INDEX('Valo FX'!$R:$R,MATCH($A35,'Valo FX'!$A:$A,0)),INDEX(Base!$U:$U,MATCH($A35,Base!$A:$A,0)),IF(KV$1=INDEX('Valo FX'!$R:$R,MATCH($A35,'Valo FX'!$A:$A,0)),INDEX(Base!$V:$V,MATCH($A35,Base!$A:$A,0)),0)))</f>
        <v>9.1517700000000008</v>
      </c>
      <c r="KW35" s="21">
        <f>IF(KW$1&lt;INDEX('Valo FX'!$Q:$Q,MATCH($A35,'Valo FX'!$A:$A,0)),0,IF(KW$1&lt;INDEX('Valo FX'!$R:$R,MATCH($A35,'Valo FX'!$A:$A,0)),INDEX(Base!$U:$U,MATCH($A35,Base!$A:$A,0)),IF(KW$1=INDEX('Valo FX'!$R:$R,MATCH($A35,'Valo FX'!$A:$A,0)),INDEX(Base!$V:$V,MATCH($A35,Base!$A:$A,0)),0)))</f>
        <v>9.1517700000000008</v>
      </c>
      <c r="KX35" s="21">
        <f>IF(KX$1&lt;INDEX('Valo FX'!$Q:$Q,MATCH($A35,'Valo FX'!$A:$A,0)),0,IF(KX$1&lt;INDEX('Valo FX'!$R:$R,MATCH($A35,'Valo FX'!$A:$A,0)),INDEX(Base!$U:$U,MATCH($A35,Base!$A:$A,0)),IF(KX$1=INDEX('Valo FX'!$R:$R,MATCH($A35,'Valo FX'!$A:$A,0)),INDEX(Base!$V:$V,MATCH($A35,Base!$A:$A,0)),0)))</f>
        <v>9.1517700000000008</v>
      </c>
      <c r="KY35" s="21">
        <f>IF(KY$1&lt;INDEX('Valo FX'!$Q:$Q,MATCH($A35,'Valo FX'!$A:$A,0)),0,IF(KY$1&lt;INDEX('Valo FX'!$R:$R,MATCH($A35,'Valo FX'!$A:$A,0)),INDEX(Base!$U:$U,MATCH($A35,Base!$A:$A,0)),IF(KY$1=INDEX('Valo FX'!$R:$R,MATCH($A35,'Valo FX'!$A:$A,0)),INDEX(Base!$V:$V,MATCH($A35,Base!$A:$A,0)),0)))</f>
        <v>9.1517700000000008</v>
      </c>
      <c r="KZ35" s="21">
        <f>IF(KZ$1&lt;INDEX('Valo FX'!$Q:$Q,MATCH($A35,'Valo FX'!$A:$A,0)),0,IF(KZ$1&lt;INDEX('Valo FX'!$R:$R,MATCH($A35,'Valo FX'!$A:$A,0)),INDEX(Base!$U:$U,MATCH($A35,Base!$A:$A,0)),IF(KZ$1=INDEX('Valo FX'!$R:$R,MATCH($A35,'Valo FX'!$A:$A,0)),INDEX(Base!$V:$V,MATCH($A35,Base!$A:$A,0)),0)))</f>
        <v>9.1517700000000008</v>
      </c>
      <c r="LA35" s="21">
        <f>IF(LA$1&lt;INDEX('Valo FX'!$Q:$Q,MATCH($A35,'Valo FX'!$A:$A,0)),0,IF(LA$1&lt;INDEX('Valo FX'!$R:$R,MATCH($A35,'Valo FX'!$A:$A,0)),INDEX(Base!$U:$U,MATCH($A35,Base!$A:$A,0)),IF(LA$1=INDEX('Valo FX'!$R:$R,MATCH($A35,'Valo FX'!$A:$A,0)),INDEX(Base!$V:$V,MATCH($A35,Base!$A:$A,0)),0)))</f>
        <v>9.1517700000000008</v>
      </c>
      <c r="LB35" s="21">
        <f>IF(LB$1&lt;INDEX('Valo FX'!$Q:$Q,MATCH($A35,'Valo FX'!$A:$A,0)),0,IF(LB$1&lt;INDEX('Valo FX'!$R:$R,MATCH($A35,'Valo FX'!$A:$A,0)),INDEX(Base!$U:$U,MATCH($A35,Base!$A:$A,0)),IF(LB$1=INDEX('Valo FX'!$R:$R,MATCH($A35,'Valo FX'!$A:$A,0)),INDEX(Base!$V:$V,MATCH($A35,Base!$A:$A,0)),0)))</f>
        <v>9.1517700000000008</v>
      </c>
      <c r="LC35" s="21">
        <f>IF(LC$1&lt;INDEX('Valo FX'!$Q:$Q,MATCH($A35,'Valo FX'!$A:$A,0)),0,IF(LC$1&lt;INDEX('Valo FX'!$R:$R,MATCH($A35,'Valo FX'!$A:$A,0)),INDEX(Base!$U:$U,MATCH($A35,Base!$A:$A,0)),IF(LC$1=INDEX('Valo FX'!$R:$R,MATCH($A35,'Valo FX'!$A:$A,0)),INDEX(Base!$V:$V,MATCH($A35,Base!$A:$A,0)),0)))</f>
        <v>9.1517700000000008</v>
      </c>
      <c r="LD35" s="21">
        <f>IF(LD$1&lt;INDEX('Valo FX'!$Q:$Q,MATCH($A35,'Valo FX'!$A:$A,0)),0,IF(LD$1&lt;INDEX('Valo FX'!$R:$R,MATCH($A35,'Valo FX'!$A:$A,0)),INDEX(Base!$U:$U,MATCH($A35,Base!$A:$A,0)),IF(LD$1=INDEX('Valo FX'!$R:$R,MATCH($A35,'Valo FX'!$A:$A,0)),INDEX(Base!$V:$V,MATCH($A35,Base!$A:$A,0)),0)))</f>
        <v>9.1517700000000008</v>
      </c>
      <c r="LE35" s="21">
        <f>IF(LE$1&lt;INDEX('Valo FX'!$Q:$Q,MATCH($A35,'Valo FX'!$A:$A,0)),0,IF(LE$1&lt;INDEX('Valo FX'!$R:$R,MATCH($A35,'Valo FX'!$A:$A,0)),INDEX(Base!$U:$U,MATCH($A35,Base!$A:$A,0)),IF(LE$1=INDEX('Valo FX'!$R:$R,MATCH($A35,'Valo FX'!$A:$A,0)),INDEX(Base!$V:$V,MATCH($A35,Base!$A:$A,0)),0)))</f>
        <v>9.1517700000000008</v>
      </c>
      <c r="LF35" s="21">
        <f>IF(LF$1&lt;INDEX('Valo FX'!$Q:$Q,MATCH($A35,'Valo FX'!$A:$A,0)),0,IF(LF$1&lt;INDEX('Valo FX'!$R:$R,MATCH($A35,'Valo FX'!$A:$A,0)),INDEX(Base!$U:$U,MATCH($A35,Base!$A:$A,0)),IF(LF$1=INDEX('Valo FX'!$R:$R,MATCH($A35,'Valo FX'!$A:$A,0)),INDEX(Base!$V:$V,MATCH($A35,Base!$A:$A,0)),0)))</f>
        <v>9.1517700000000008</v>
      </c>
      <c r="LG35" s="21">
        <f>IF(LG$1&lt;INDEX('Valo FX'!$Q:$Q,MATCH($A35,'Valo FX'!$A:$A,0)),0,IF(LG$1&lt;INDEX('Valo FX'!$R:$R,MATCH($A35,'Valo FX'!$A:$A,0)),INDEX(Base!$U:$U,MATCH($A35,Base!$A:$A,0)),IF(LG$1=INDEX('Valo FX'!$R:$R,MATCH($A35,'Valo FX'!$A:$A,0)),INDEX(Base!$V:$V,MATCH($A35,Base!$A:$A,0)),0)))</f>
        <v>9.1517700000000008</v>
      </c>
      <c r="LH35" s="21">
        <f>IF(LH$1&lt;INDEX('Valo FX'!$Q:$Q,MATCH($A35,'Valo FX'!$A:$A,0)),0,IF(LH$1&lt;INDEX('Valo FX'!$R:$R,MATCH($A35,'Valo FX'!$A:$A,0)),INDEX(Base!$U:$U,MATCH($A35,Base!$A:$A,0)),IF(LH$1=INDEX('Valo FX'!$R:$R,MATCH($A35,'Valo FX'!$A:$A,0)),INDEX(Base!$V:$V,MATCH($A35,Base!$A:$A,0)),0)))</f>
        <v>9.1517700000000008</v>
      </c>
      <c r="LI35" s="21">
        <f>IF(LI$1&lt;INDEX('Valo FX'!$Q:$Q,MATCH($A35,'Valo FX'!$A:$A,0)),0,IF(LI$1&lt;INDEX('Valo FX'!$R:$R,MATCH($A35,'Valo FX'!$A:$A,0)),INDEX(Base!$U:$U,MATCH($A35,Base!$A:$A,0)),IF(LI$1=INDEX('Valo FX'!$R:$R,MATCH($A35,'Valo FX'!$A:$A,0)),INDEX(Base!$V:$V,MATCH($A35,Base!$A:$A,0)),0)))</f>
        <v>9.1517700000000008</v>
      </c>
      <c r="LJ35" s="21">
        <f>IF(LJ$1&lt;INDEX('Valo FX'!$Q:$Q,MATCH($A35,'Valo FX'!$A:$A,0)),0,IF(LJ$1&lt;INDEX('Valo FX'!$R:$R,MATCH($A35,'Valo FX'!$A:$A,0)),INDEX(Base!$U:$U,MATCH($A35,Base!$A:$A,0)),IF(LJ$1=INDEX('Valo FX'!$R:$R,MATCH($A35,'Valo FX'!$A:$A,0)),INDEX(Base!$V:$V,MATCH($A35,Base!$A:$A,0)),0)))</f>
        <v>9.1517700000000008</v>
      </c>
      <c r="LK35" s="21">
        <f>IF(LK$1&lt;INDEX('Valo FX'!$Q:$Q,MATCH($A35,'Valo FX'!$A:$A,0)),0,IF(LK$1&lt;INDEX('Valo FX'!$R:$R,MATCH($A35,'Valo FX'!$A:$A,0)),INDEX(Base!$U:$U,MATCH($A35,Base!$A:$A,0)),IF(LK$1=INDEX('Valo FX'!$R:$R,MATCH($A35,'Valo FX'!$A:$A,0)),INDEX(Base!$V:$V,MATCH($A35,Base!$A:$A,0)),0)))</f>
        <v>9.1517700000000008</v>
      </c>
      <c r="LL35" s="21">
        <f>IF(LL$1&lt;INDEX('Valo FX'!$Q:$Q,MATCH($A35,'Valo FX'!$A:$A,0)),0,IF(LL$1&lt;INDEX('Valo FX'!$R:$R,MATCH($A35,'Valo FX'!$A:$A,0)),INDEX(Base!$U:$U,MATCH($A35,Base!$A:$A,0)),IF(LL$1=INDEX('Valo FX'!$R:$R,MATCH($A35,'Valo FX'!$A:$A,0)),INDEX(Base!$V:$V,MATCH($A35,Base!$A:$A,0)),0)))</f>
        <v>9.1517700000000008</v>
      </c>
      <c r="LM35" s="21">
        <f>IF(LM$1&lt;INDEX('Valo FX'!$Q:$Q,MATCH($A35,'Valo FX'!$A:$A,0)),0,IF(LM$1&lt;INDEX('Valo FX'!$R:$R,MATCH($A35,'Valo FX'!$A:$A,0)),INDEX(Base!$U:$U,MATCH($A35,Base!$A:$A,0)),IF(LM$1=INDEX('Valo FX'!$R:$R,MATCH($A35,'Valo FX'!$A:$A,0)),INDEX(Base!$V:$V,MATCH($A35,Base!$A:$A,0)),0)))</f>
        <v>9.1517700000000008</v>
      </c>
      <c r="LN35" s="21">
        <f>IF(LN$1&lt;INDEX('Valo FX'!$Q:$Q,MATCH($A35,'Valo FX'!$A:$A,0)),0,IF(LN$1&lt;INDEX('Valo FX'!$R:$R,MATCH($A35,'Valo FX'!$A:$A,0)),INDEX(Base!$U:$U,MATCH($A35,Base!$A:$A,0)),IF(LN$1=INDEX('Valo FX'!$R:$R,MATCH($A35,'Valo FX'!$A:$A,0)),INDEX(Base!$V:$V,MATCH($A35,Base!$A:$A,0)),0)))</f>
        <v>9.1517700000000008</v>
      </c>
      <c r="LO35" s="21">
        <f>IF(LO$1&lt;INDEX('Valo FX'!$Q:$Q,MATCH($A35,'Valo FX'!$A:$A,0)),0,IF(LO$1&lt;INDEX('Valo FX'!$R:$R,MATCH($A35,'Valo FX'!$A:$A,0)),INDEX(Base!$U:$U,MATCH($A35,Base!$A:$A,0)),IF(LO$1=INDEX('Valo FX'!$R:$R,MATCH($A35,'Valo FX'!$A:$A,0)),INDEX(Base!$V:$V,MATCH($A35,Base!$A:$A,0)),0)))</f>
        <v>9.1517700000000008</v>
      </c>
      <c r="LP35" s="21">
        <f>IF(LP$1&lt;INDEX('Valo FX'!$Q:$Q,MATCH($A35,'Valo FX'!$A:$A,0)),0,IF(LP$1&lt;INDEX('Valo FX'!$R:$R,MATCH($A35,'Valo FX'!$A:$A,0)),INDEX(Base!$U:$U,MATCH($A35,Base!$A:$A,0)),IF(LP$1=INDEX('Valo FX'!$R:$R,MATCH($A35,'Valo FX'!$A:$A,0)),INDEX(Base!$V:$V,MATCH($A35,Base!$A:$A,0)),0)))</f>
        <v>9.1517700000000008</v>
      </c>
      <c r="LQ35" s="21">
        <f>IF(LQ$1&lt;INDEX('Valo FX'!$Q:$Q,MATCH($A35,'Valo FX'!$A:$A,0)),0,IF(LQ$1&lt;INDEX('Valo FX'!$R:$R,MATCH($A35,'Valo FX'!$A:$A,0)),INDEX(Base!$U:$U,MATCH($A35,Base!$A:$A,0)),IF(LQ$1=INDEX('Valo FX'!$R:$R,MATCH($A35,'Valo FX'!$A:$A,0)),INDEX(Base!$V:$V,MATCH($A35,Base!$A:$A,0)),0)))</f>
        <v>9.1517700000000008</v>
      </c>
      <c r="LR35" s="21">
        <f>IF(LR$1&lt;INDEX('Valo FX'!$Q:$Q,MATCH($A35,'Valo FX'!$A:$A,0)),0,IF(LR$1&lt;INDEX('Valo FX'!$R:$R,MATCH($A35,'Valo FX'!$A:$A,0)),INDEX(Base!$U:$U,MATCH($A35,Base!$A:$A,0)),IF(LR$1=INDEX('Valo FX'!$R:$R,MATCH($A35,'Valo FX'!$A:$A,0)),INDEX(Base!$V:$V,MATCH($A35,Base!$A:$A,0)),0)))</f>
        <v>9.1517700000000008</v>
      </c>
      <c r="LS35" s="21">
        <f>IF(LS$1&lt;INDEX('Valo FX'!$Q:$Q,MATCH($A35,'Valo FX'!$A:$A,0)),0,IF(LS$1&lt;INDEX('Valo FX'!$R:$R,MATCH($A35,'Valo FX'!$A:$A,0)),INDEX(Base!$U:$U,MATCH($A35,Base!$A:$A,0)),IF(LS$1=INDEX('Valo FX'!$R:$R,MATCH($A35,'Valo FX'!$A:$A,0)),INDEX(Base!$V:$V,MATCH($A35,Base!$A:$A,0)),0)))</f>
        <v>9.1517700000000008</v>
      </c>
      <c r="LT35" s="21">
        <f>IF(LT$1&lt;INDEX('Valo FX'!$Q:$Q,MATCH($A35,'Valo FX'!$A:$A,0)),0,IF(LT$1&lt;INDEX('Valo FX'!$R:$R,MATCH($A35,'Valo FX'!$A:$A,0)),INDEX(Base!$U:$U,MATCH($A35,Base!$A:$A,0)),IF(LT$1=INDEX('Valo FX'!$R:$R,MATCH($A35,'Valo FX'!$A:$A,0)),INDEX(Base!$V:$V,MATCH($A35,Base!$A:$A,0)),0)))</f>
        <v>9.1517700000000008</v>
      </c>
      <c r="LU35" s="21">
        <f>IF(LU$1&lt;INDEX('Valo FX'!$Q:$Q,MATCH($A35,'Valo FX'!$A:$A,0)),0,IF(LU$1&lt;INDEX('Valo FX'!$R:$R,MATCH($A35,'Valo FX'!$A:$A,0)),INDEX(Base!$U:$U,MATCH($A35,Base!$A:$A,0)),IF(LU$1=INDEX('Valo FX'!$R:$R,MATCH($A35,'Valo FX'!$A:$A,0)),INDEX(Base!$V:$V,MATCH($A35,Base!$A:$A,0)),0)))</f>
        <v>9.1517700000000008</v>
      </c>
      <c r="LV35" s="21">
        <f>IF(LV$1&lt;INDEX('Valo FX'!$Q:$Q,MATCH($A35,'Valo FX'!$A:$A,0)),0,IF(LV$1&lt;INDEX('Valo FX'!$R:$R,MATCH($A35,'Valo FX'!$A:$A,0)),INDEX(Base!$U:$U,MATCH($A35,Base!$A:$A,0)),IF(LV$1=INDEX('Valo FX'!$R:$R,MATCH($A35,'Valo FX'!$A:$A,0)),INDEX(Base!$V:$V,MATCH($A35,Base!$A:$A,0)),0)))</f>
        <v>9.1517700000000008</v>
      </c>
      <c r="LW35" s="21">
        <f>IF(LW$1&lt;INDEX('Valo FX'!$Q:$Q,MATCH($A35,'Valo FX'!$A:$A,0)),0,IF(LW$1&lt;INDEX('Valo FX'!$R:$R,MATCH($A35,'Valo FX'!$A:$A,0)),INDEX(Base!$U:$U,MATCH($A35,Base!$A:$A,0)),IF(LW$1=INDEX('Valo FX'!$R:$R,MATCH($A35,'Valo FX'!$A:$A,0)),INDEX(Base!$V:$V,MATCH($A35,Base!$A:$A,0)),0)))</f>
        <v>9.1517700000000008</v>
      </c>
      <c r="LX35" s="21">
        <f>IF(LX$1&lt;INDEX('Valo FX'!$Q:$Q,MATCH($A35,'Valo FX'!$A:$A,0)),0,IF(LX$1&lt;INDEX('Valo FX'!$R:$R,MATCH($A35,'Valo FX'!$A:$A,0)),INDEX(Base!$U:$U,MATCH($A35,Base!$A:$A,0)),IF(LX$1=INDEX('Valo FX'!$R:$R,MATCH($A35,'Valo FX'!$A:$A,0)),INDEX(Base!$V:$V,MATCH($A35,Base!$A:$A,0)),0)))</f>
        <v>9.1517700000000008</v>
      </c>
      <c r="LY35" s="21">
        <f>IF(LY$1&lt;INDEX('Valo FX'!$Q:$Q,MATCH($A35,'Valo FX'!$A:$A,0)),0,IF(LY$1&lt;INDEX('Valo FX'!$R:$R,MATCH($A35,'Valo FX'!$A:$A,0)),INDEX(Base!$U:$U,MATCH($A35,Base!$A:$A,0)),IF(LY$1=INDEX('Valo FX'!$R:$R,MATCH($A35,'Valo FX'!$A:$A,0)),INDEX(Base!$V:$V,MATCH($A35,Base!$A:$A,0)),0)))</f>
        <v>9.1517700000000008</v>
      </c>
      <c r="LZ35" s="21">
        <f>IF(LZ$1&lt;INDEX('Valo FX'!$Q:$Q,MATCH($A35,'Valo FX'!$A:$A,0)),0,IF(LZ$1&lt;INDEX('Valo FX'!$R:$R,MATCH($A35,'Valo FX'!$A:$A,0)),INDEX(Base!$U:$U,MATCH($A35,Base!$A:$A,0)),IF(LZ$1=INDEX('Valo FX'!$R:$R,MATCH($A35,'Valo FX'!$A:$A,0)),INDEX(Base!$V:$V,MATCH($A35,Base!$A:$A,0)),0)))</f>
        <v>9.1517700000000008</v>
      </c>
      <c r="MA35" s="21">
        <f>IF(MA$1&lt;INDEX('Valo FX'!$Q:$Q,MATCH($A35,'Valo FX'!$A:$A,0)),0,IF(MA$1&lt;INDEX('Valo FX'!$R:$R,MATCH($A35,'Valo FX'!$A:$A,0)),INDEX(Base!$U:$U,MATCH($A35,Base!$A:$A,0)),IF(MA$1=INDEX('Valo FX'!$R:$R,MATCH($A35,'Valo FX'!$A:$A,0)),INDEX(Base!$V:$V,MATCH($A35,Base!$A:$A,0)),0)))</f>
        <v>9.1517700000000008</v>
      </c>
      <c r="MB35" s="21">
        <f>IF(MB$1&lt;INDEX('Valo FX'!$Q:$Q,MATCH($A35,'Valo FX'!$A:$A,0)),0,IF(MB$1&lt;INDEX('Valo FX'!$R:$R,MATCH($A35,'Valo FX'!$A:$A,0)),INDEX(Base!$U:$U,MATCH($A35,Base!$A:$A,0)),IF(MB$1=INDEX('Valo FX'!$R:$R,MATCH($A35,'Valo FX'!$A:$A,0)),INDEX(Base!$V:$V,MATCH($A35,Base!$A:$A,0)),0)))</f>
        <v>9.1517700000000008</v>
      </c>
      <c r="MC35" s="21">
        <f>IF(MC$1&lt;INDEX('Valo FX'!$Q:$Q,MATCH($A35,'Valo FX'!$A:$A,0)),0,IF(MC$1&lt;INDEX('Valo FX'!$R:$R,MATCH($A35,'Valo FX'!$A:$A,0)),INDEX(Base!$U:$U,MATCH($A35,Base!$A:$A,0)),IF(MC$1=INDEX('Valo FX'!$R:$R,MATCH($A35,'Valo FX'!$A:$A,0)),INDEX(Base!$V:$V,MATCH($A35,Base!$A:$A,0)),0)))</f>
        <v>9.1517700000000008</v>
      </c>
      <c r="MD35" s="21">
        <f>IF(MD$1&lt;INDEX('Valo FX'!$Q:$Q,MATCH($A35,'Valo FX'!$A:$A,0)),0,IF(MD$1&lt;INDEX('Valo FX'!$R:$R,MATCH($A35,'Valo FX'!$A:$A,0)),INDEX(Base!$U:$U,MATCH($A35,Base!$A:$A,0)),IF(MD$1=INDEX('Valo FX'!$R:$R,MATCH($A35,'Valo FX'!$A:$A,0)),INDEX(Base!$V:$V,MATCH($A35,Base!$A:$A,0)),0)))</f>
        <v>9.1517700000000008</v>
      </c>
      <c r="ME35" s="21">
        <f>IF(ME$1&lt;INDEX('Valo FX'!$Q:$Q,MATCH($A35,'Valo FX'!$A:$A,0)),0,IF(ME$1&lt;INDEX('Valo FX'!$R:$R,MATCH($A35,'Valo FX'!$A:$A,0)),INDEX(Base!$U:$U,MATCH($A35,Base!$A:$A,0)),IF(ME$1=INDEX('Valo FX'!$R:$R,MATCH($A35,'Valo FX'!$A:$A,0)),INDEX(Base!$V:$V,MATCH($A35,Base!$A:$A,0)),0)))</f>
        <v>9.1517700000000008</v>
      </c>
      <c r="MF35" s="21">
        <f>IF(MF$1&lt;INDEX('Valo FX'!$Q:$Q,MATCH($A35,'Valo FX'!$A:$A,0)),0,IF(MF$1&lt;INDEX('Valo FX'!$R:$R,MATCH($A35,'Valo FX'!$A:$A,0)),INDEX(Base!$U:$U,MATCH($A35,Base!$A:$A,0)),IF(MF$1=INDEX('Valo FX'!$R:$R,MATCH($A35,'Valo FX'!$A:$A,0)),INDEX(Base!$V:$V,MATCH($A35,Base!$A:$A,0)),0)))</f>
        <v>9.1517700000000008</v>
      </c>
      <c r="MG35" s="21">
        <f>IF(MG$1&lt;INDEX('Valo FX'!$Q:$Q,MATCH($A35,'Valo FX'!$A:$A,0)),0,IF(MG$1&lt;INDEX('Valo FX'!$R:$R,MATCH($A35,'Valo FX'!$A:$A,0)),INDEX(Base!$U:$U,MATCH($A35,Base!$A:$A,0)),IF(MG$1=INDEX('Valo FX'!$R:$R,MATCH($A35,'Valo FX'!$A:$A,0)),INDEX(Base!$V:$V,MATCH($A35,Base!$A:$A,0)),0)))</f>
        <v>9.1517700000000008</v>
      </c>
      <c r="MH35" s="21">
        <f>IF(MH$1&lt;INDEX('Valo FX'!$Q:$Q,MATCH($A35,'Valo FX'!$A:$A,0)),0,IF(MH$1&lt;INDEX('Valo FX'!$R:$R,MATCH($A35,'Valo FX'!$A:$A,0)),INDEX(Base!$U:$U,MATCH($A35,Base!$A:$A,0)),IF(MH$1=INDEX('Valo FX'!$R:$R,MATCH($A35,'Valo FX'!$A:$A,0)),INDEX(Base!$V:$V,MATCH($A35,Base!$A:$A,0)),0)))</f>
        <v>9.1517700000000008</v>
      </c>
      <c r="MI35" s="21">
        <f>IF(MI$1&lt;INDEX('Valo FX'!$Q:$Q,MATCH($A35,'Valo FX'!$A:$A,0)),0,IF(MI$1&lt;INDEX('Valo FX'!$R:$R,MATCH($A35,'Valo FX'!$A:$A,0)),INDEX(Base!$U:$U,MATCH($A35,Base!$A:$A,0)),IF(MI$1=INDEX('Valo FX'!$R:$R,MATCH($A35,'Valo FX'!$A:$A,0)),INDEX(Base!$V:$V,MATCH($A35,Base!$A:$A,0)),0)))</f>
        <v>9.1517700000000008</v>
      </c>
      <c r="MJ35" s="21">
        <f>IF(MJ$1&lt;INDEX('Valo FX'!$Q:$Q,MATCH($A35,'Valo FX'!$A:$A,0)),0,IF(MJ$1&lt;INDEX('Valo FX'!$R:$R,MATCH($A35,'Valo FX'!$A:$A,0)),INDEX(Base!$U:$U,MATCH($A35,Base!$A:$A,0)),IF(MJ$1=INDEX('Valo FX'!$R:$R,MATCH($A35,'Valo FX'!$A:$A,0)),INDEX(Base!$V:$V,MATCH($A35,Base!$A:$A,0)),0)))</f>
        <v>9.1517700000000008</v>
      </c>
      <c r="MK35" s="21">
        <f>IF(MK$1&lt;INDEX('Valo FX'!$Q:$Q,MATCH($A35,'Valo FX'!$A:$A,0)),0,IF(MK$1&lt;INDEX('Valo FX'!$R:$R,MATCH($A35,'Valo FX'!$A:$A,0)),INDEX(Base!$U:$U,MATCH($A35,Base!$A:$A,0)),IF(MK$1=INDEX('Valo FX'!$R:$R,MATCH($A35,'Valo FX'!$A:$A,0)),INDEX(Base!$V:$V,MATCH($A35,Base!$A:$A,0)),0)))</f>
        <v>9.1517700000000008</v>
      </c>
      <c r="ML35" s="21">
        <f>IF(ML$1&lt;INDEX('Valo FX'!$Q:$Q,MATCH($A35,'Valo FX'!$A:$A,0)),0,IF(ML$1&lt;INDEX('Valo FX'!$R:$R,MATCH($A35,'Valo FX'!$A:$A,0)),INDEX(Base!$U:$U,MATCH($A35,Base!$A:$A,0)),IF(ML$1=INDEX('Valo FX'!$R:$R,MATCH($A35,'Valo FX'!$A:$A,0)),INDEX(Base!$V:$V,MATCH($A35,Base!$A:$A,0)),0)))</f>
        <v>9.1517700000000008</v>
      </c>
      <c r="MM35" s="21">
        <f>IF(MM$1&lt;INDEX('Valo FX'!$Q:$Q,MATCH($A35,'Valo FX'!$A:$A,0)),0,IF(MM$1&lt;INDEX('Valo FX'!$R:$R,MATCH($A35,'Valo FX'!$A:$A,0)),INDEX(Base!$U:$U,MATCH($A35,Base!$A:$A,0)),IF(MM$1=INDEX('Valo FX'!$R:$R,MATCH($A35,'Valo FX'!$A:$A,0)),INDEX(Base!$V:$V,MATCH($A35,Base!$A:$A,0)),0)))</f>
        <v>9.1517700000000008</v>
      </c>
      <c r="MN35" s="21">
        <f>IF(MN$1&lt;INDEX('Valo FX'!$Q:$Q,MATCH($A35,'Valo FX'!$A:$A,0)),0,IF(MN$1&lt;INDEX('Valo FX'!$R:$R,MATCH($A35,'Valo FX'!$A:$A,0)),INDEX(Base!$U:$U,MATCH($A35,Base!$A:$A,0)),IF(MN$1=INDEX('Valo FX'!$R:$R,MATCH($A35,'Valo FX'!$A:$A,0)),INDEX(Base!$V:$V,MATCH($A35,Base!$A:$A,0)),0)))</f>
        <v>9.1517700000000008</v>
      </c>
      <c r="MO35" s="21">
        <f>IF(MO$1&lt;INDEX('Valo FX'!$Q:$Q,MATCH($A35,'Valo FX'!$A:$A,0)),0,IF(MO$1&lt;INDEX('Valo FX'!$R:$R,MATCH($A35,'Valo FX'!$A:$A,0)),INDEX(Base!$U:$U,MATCH($A35,Base!$A:$A,0)),IF(MO$1=INDEX('Valo FX'!$R:$R,MATCH($A35,'Valo FX'!$A:$A,0)),INDEX(Base!$V:$V,MATCH($A35,Base!$A:$A,0)),0)))</f>
        <v>9.1517700000000008</v>
      </c>
      <c r="MP35" s="21">
        <f>IF(MP$1&lt;INDEX('Valo FX'!$Q:$Q,MATCH($A35,'Valo FX'!$A:$A,0)),0,IF(MP$1&lt;INDEX('Valo FX'!$R:$R,MATCH($A35,'Valo FX'!$A:$A,0)),INDEX(Base!$U:$U,MATCH($A35,Base!$A:$A,0)),IF(MP$1=INDEX('Valo FX'!$R:$R,MATCH($A35,'Valo FX'!$A:$A,0)),INDEX(Base!$V:$V,MATCH($A35,Base!$A:$A,0)),0)))</f>
        <v>9.1517700000000008</v>
      </c>
      <c r="MQ35" s="21">
        <f>IF(MQ$1&lt;INDEX('Valo FX'!$Q:$Q,MATCH($A35,'Valo FX'!$A:$A,0)),0,IF(MQ$1&lt;INDEX('Valo FX'!$R:$R,MATCH($A35,'Valo FX'!$A:$A,0)),INDEX(Base!$U:$U,MATCH($A35,Base!$A:$A,0)),IF(MQ$1=INDEX('Valo FX'!$R:$R,MATCH($A35,'Valo FX'!$A:$A,0)),INDEX(Base!$V:$V,MATCH($A35,Base!$A:$A,0)),0)))</f>
        <v>9.1517700000000008</v>
      </c>
      <c r="MR35" s="21">
        <f>IF(MR$1&lt;INDEX('Valo FX'!$Q:$Q,MATCH($A35,'Valo FX'!$A:$A,0)),0,IF(MR$1&lt;INDEX('Valo FX'!$R:$R,MATCH($A35,'Valo FX'!$A:$A,0)),INDEX(Base!$U:$U,MATCH($A35,Base!$A:$A,0)),IF(MR$1=INDEX('Valo FX'!$R:$R,MATCH($A35,'Valo FX'!$A:$A,0)),INDEX(Base!$V:$V,MATCH($A35,Base!$A:$A,0)),0)))</f>
        <v>9.1517700000000008</v>
      </c>
      <c r="MS35" s="21">
        <f>IF(MS$1&lt;INDEX('Valo FX'!$Q:$Q,MATCH($A35,'Valo FX'!$A:$A,0)),0,IF(MS$1&lt;INDEX('Valo FX'!$R:$R,MATCH($A35,'Valo FX'!$A:$A,0)),INDEX(Base!$U:$U,MATCH($A35,Base!$A:$A,0)),IF(MS$1=INDEX('Valo FX'!$R:$R,MATCH($A35,'Valo FX'!$A:$A,0)),INDEX(Base!$V:$V,MATCH($A35,Base!$A:$A,0)),0)))</f>
        <v>9.1517700000000008</v>
      </c>
      <c r="MT35" s="21">
        <f>IF(MT$1&lt;INDEX('Valo FX'!$Q:$Q,MATCH($A35,'Valo FX'!$A:$A,0)),0,IF(MT$1&lt;INDEX('Valo FX'!$R:$R,MATCH($A35,'Valo FX'!$A:$A,0)),INDEX(Base!$U:$U,MATCH($A35,Base!$A:$A,0)),IF(MT$1=INDEX('Valo FX'!$R:$R,MATCH($A35,'Valo FX'!$A:$A,0)),INDEX(Base!$V:$V,MATCH($A35,Base!$A:$A,0)),0)))</f>
        <v>9.1517700000000008</v>
      </c>
      <c r="MU35" s="21">
        <f>IF(MU$1&lt;INDEX('Valo FX'!$Q:$Q,MATCH($A35,'Valo FX'!$A:$A,0)),0,IF(MU$1&lt;INDEX('Valo FX'!$R:$R,MATCH($A35,'Valo FX'!$A:$A,0)),INDEX(Base!$U:$U,MATCH($A35,Base!$A:$A,0)),IF(MU$1=INDEX('Valo FX'!$R:$R,MATCH($A35,'Valo FX'!$A:$A,0)),INDEX(Base!$V:$V,MATCH($A35,Base!$A:$A,0)),0)))</f>
        <v>9.1517700000000008</v>
      </c>
      <c r="MV35" s="21">
        <f>IF(MV$1&lt;INDEX('Valo FX'!$Q:$Q,MATCH($A35,'Valo FX'!$A:$A,0)),0,IF(MV$1&lt;INDEX('Valo FX'!$R:$R,MATCH($A35,'Valo FX'!$A:$A,0)),INDEX(Base!$U:$U,MATCH($A35,Base!$A:$A,0)),IF(MV$1=INDEX('Valo FX'!$R:$R,MATCH($A35,'Valo FX'!$A:$A,0)),INDEX(Base!$V:$V,MATCH($A35,Base!$A:$A,0)),0)))</f>
        <v>9.1517700000000008</v>
      </c>
      <c r="MW35" s="21">
        <f>IF(MW$1&lt;INDEX('Valo FX'!$Q:$Q,MATCH($A35,'Valo FX'!$A:$A,0)),0,IF(MW$1&lt;INDEX('Valo FX'!$R:$R,MATCH($A35,'Valo FX'!$A:$A,0)),INDEX(Base!$U:$U,MATCH($A35,Base!$A:$A,0)),IF(MW$1=INDEX('Valo FX'!$R:$R,MATCH($A35,'Valo FX'!$A:$A,0)),INDEX(Base!$V:$V,MATCH($A35,Base!$A:$A,0)),0)))</f>
        <v>9.1517700000000008</v>
      </c>
      <c r="MX35" s="21">
        <f>IF(MX$1&lt;INDEX('Valo FX'!$Q:$Q,MATCH($A35,'Valo FX'!$A:$A,0)),0,IF(MX$1&lt;INDEX('Valo FX'!$R:$R,MATCH($A35,'Valo FX'!$A:$A,0)),INDEX(Base!$U:$U,MATCH($A35,Base!$A:$A,0)),IF(MX$1=INDEX('Valo FX'!$R:$R,MATCH($A35,'Valo FX'!$A:$A,0)),INDEX(Base!$V:$V,MATCH($A35,Base!$A:$A,0)),0)))</f>
        <v>9.1517700000000008</v>
      </c>
      <c r="MY35" s="21">
        <f>IF(MY$1&lt;INDEX('Valo FX'!$Q:$Q,MATCH($A35,'Valo FX'!$A:$A,0)),0,IF(MY$1&lt;INDEX('Valo FX'!$R:$R,MATCH($A35,'Valo FX'!$A:$A,0)),INDEX(Base!$U:$U,MATCH($A35,Base!$A:$A,0)),IF(MY$1=INDEX('Valo FX'!$R:$R,MATCH($A35,'Valo FX'!$A:$A,0)),INDEX(Base!$V:$V,MATCH($A35,Base!$A:$A,0)),0)))</f>
        <v>9.4383250000000007</v>
      </c>
    </row>
    <row r="36" spans="1:363" x14ac:dyDescent="0.25">
      <c r="A36" s="7">
        <f t="shared" si="12"/>
        <v>34</v>
      </c>
      <c r="B36" s="59">
        <f>-'Valo FX'!T37</f>
        <v>-1677.2794814659017</v>
      </c>
      <c r="C36" s="21">
        <f>IF(C$1&lt;INDEX('Valo FX'!$Q:$Q,MATCH($A36,'Valo FX'!$A:$A,0)),0,IF(C$1&lt;INDEX('Valo FX'!$R:$R,MATCH($A36,'Valo FX'!$A:$A,0)),INDEX(Base!$U:$U,MATCH($A36,Base!$A:$A,0)),IF(C$1=INDEX('Valo FX'!$R:$R,MATCH($A36,'Valo FX'!$A:$A,0)),INDEX(Base!$V:$V,MATCH($A36,Base!$A:$A,0)),0)))</f>
        <v>0</v>
      </c>
      <c r="D36" s="21">
        <f>IF(D$1&lt;INDEX('Valo FX'!$Q:$Q,MATCH($A36,'Valo FX'!$A:$A,0)),0,IF(D$1&lt;INDEX('Valo FX'!$R:$R,MATCH($A36,'Valo FX'!$A:$A,0)),INDEX(Base!$U:$U,MATCH($A36,Base!$A:$A,0)),IF(D$1=INDEX('Valo FX'!$R:$R,MATCH($A36,'Valo FX'!$A:$A,0)),INDEX(Base!$V:$V,MATCH($A36,Base!$A:$A,0)),0)))</f>
        <v>0</v>
      </c>
      <c r="E36" s="21">
        <f>IF(E$1&lt;INDEX('Valo FX'!$Q:$Q,MATCH($A36,'Valo FX'!$A:$A,0)),0,IF(E$1&lt;INDEX('Valo FX'!$R:$R,MATCH($A36,'Valo FX'!$A:$A,0)),INDEX(Base!$U:$U,MATCH($A36,Base!$A:$A,0)),IF(E$1=INDEX('Valo FX'!$R:$R,MATCH($A36,'Valo FX'!$A:$A,0)),INDEX(Base!$V:$V,MATCH($A36,Base!$A:$A,0)),0)))</f>
        <v>0</v>
      </c>
      <c r="F36" s="21">
        <f>IF(F$1&lt;INDEX('Valo FX'!$Q:$Q,MATCH($A36,'Valo FX'!$A:$A,0)),0,IF(F$1&lt;INDEX('Valo FX'!$R:$R,MATCH($A36,'Valo FX'!$A:$A,0)),INDEX(Base!$U:$U,MATCH($A36,Base!$A:$A,0)),IF(F$1=INDEX('Valo FX'!$R:$R,MATCH($A36,'Valo FX'!$A:$A,0)),INDEX(Base!$V:$V,MATCH($A36,Base!$A:$A,0)),0)))</f>
        <v>0</v>
      </c>
      <c r="G36" s="21">
        <f>IF(G$1&lt;INDEX('Valo FX'!$Q:$Q,MATCH($A36,'Valo FX'!$A:$A,0)),0,IF(G$1&lt;INDEX('Valo FX'!$R:$R,MATCH($A36,'Valo FX'!$A:$A,0)),INDEX(Base!$U:$U,MATCH($A36,Base!$A:$A,0)),IF(G$1=INDEX('Valo FX'!$R:$R,MATCH($A36,'Valo FX'!$A:$A,0)),INDEX(Base!$V:$V,MATCH($A36,Base!$A:$A,0)),0)))</f>
        <v>0</v>
      </c>
      <c r="H36" s="21">
        <f>IF(H$1&lt;INDEX('Valo FX'!$Q:$Q,MATCH($A36,'Valo FX'!$A:$A,0)),0,IF(H$1&lt;INDEX('Valo FX'!$R:$R,MATCH($A36,'Valo FX'!$A:$A,0)),INDEX(Base!$U:$U,MATCH($A36,Base!$A:$A,0)),IF(H$1=INDEX('Valo FX'!$R:$R,MATCH($A36,'Valo FX'!$A:$A,0)),INDEX(Base!$V:$V,MATCH($A36,Base!$A:$A,0)),0)))</f>
        <v>0</v>
      </c>
      <c r="I36" s="21">
        <f>IF(I$1&lt;INDEX('Valo FX'!$Q:$Q,MATCH($A36,'Valo FX'!$A:$A,0)),0,IF(I$1&lt;INDEX('Valo FX'!$R:$R,MATCH($A36,'Valo FX'!$A:$A,0)),INDEX(Base!$U:$U,MATCH($A36,Base!$A:$A,0)),IF(I$1=INDEX('Valo FX'!$R:$R,MATCH($A36,'Valo FX'!$A:$A,0)),INDEX(Base!$V:$V,MATCH($A36,Base!$A:$A,0)),0)))</f>
        <v>12.239100000000001</v>
      </c>
      <c r="J36" s="21">
        <f>IF(J$1&lt;INDEX('Valo FX'!$Q:$Q,MATCH($A36,'Valo FX'!$A:$A,0)),0,IF(J$1&lt;INDEX('Valo FX'!$R:$R,MATCH($A36,'Valo FX'!$A:$A,0)),INDEX(Base!$U:$U,MATCH($A36,Base!$A:$A,0)),IF(J$1=INDEX('Valo FX'!$R:$R,MATCH($A36,'Valo FX'!$A:$A,0)),INDEX(Base!$V:$V,MATCH($A36,Base!$A:$A,0)),0)))</f>
        <v>12.239100000000001</v>
      </c>
      <c r="K36" s="21">
        <f>IF(K$1&lt;INDEX('Valo FX'!$Q:$Q,MATCH($A36,'Valo FX'!$A:$A,0)),0,IF(K$1&lt;INDEX('Valo FX'!$R:$R,MATCH($A36,'Valo FX'!$A:$A,0)),INDEX(Base!$U:$U,MATCH($A36,Base!$A:$A,0)),IF(K$1=INDEX('Valo FX'!$R:$R,MATCH($A36,'Valo FX'!$A:$A,0)),INDEX(Base!$V:$V,MATCH($A36,Base!$A:$A,0)),0)))</f>
        <v>12.239100000000001</v>
      </c>
      <c r="L36" s="21">
        <f>IF(L$1&lt;INDEX('Valo FX'!$Q:$Q,MATCH($A36,'Valo FX'!$A:$A,0)),0,IF(L$1&lt;INDEX('Valo FX'!$R:$R,MATCH($A36,'Valo FX'!$A:$A,0)),INDEX(Base!$U:$U,MATCH($A36,Base!$A:$A,0)),IF(L$1=INDEX('Valo FX'!$R:$R,MATCH($A36,'Valo FX'!$A:$A,0)),INDEX(Base!$V:$V,MATCH($A36,Base!$A:$A,0)),0)))</f>
        <v>12.239100000000001</v>
      </c>
      <c r="M36" s="21">
        <f>IF(M$1&lt;INDEX('Valo FX'!$Q:$Q,MATCH($A36,'Valo FX'!$A:$A,0)),0,IF(M$1&lt;INDEX('Valo FX'!$R:$R,MATCH($A36,'Valo FX'!$A:$A,0)),INDEX(Base!$U:$U,MATCH($A36,Base!$A:$A,0)),IF(M$1=INDEX('Valo FX'!$R:$R,MATCH($A36,'Valo FX'!$A:$A,0)),INDEX(Base!$V:$V,MATCH($A36,Base!$A:$A,0)),0)))</f>
        <v>12.239100000000001</v>
      </c>
      <c r="N36" s="21">
        <f>IF(N$1&lt;INDEX('Valo FX'!$Q:$Q,MATCH($A36,'Valo FX'!$A:$A,0)),0,IF(N$1&lt;INDEX('Valo FX'!$R:$R,MATCH($A36,'Valo FX'!$A:$A,0)),INDEX(Base!$U:$U,MATCH($A36,Base!$A:$A,0)),IF(N$1=INDEX('Valo FX'!$R:$R,MATCH($A36,'Valo FX'!$A:$A,0)),INDEX(Base!$V:$V,MATCH($A36,Base!$A:$A,0)),0)))</f>
        <v>12.239100000000001</v>
      </c>
      <c r="O36" s="21">
        <f>IF(O$1&lt;INDEX('Valo FX'!$Q:$Q,MATCH($A36,'Valo FX'!$A:$A,0)),0,IF(O$1&lt;INDEX('Valo FX'!$R:$R,MATCH($A36,'Valo FX'!$A:$A,0)),INDEX(Base!$U:$U,MATCH($A36,Base!$A:$A,0)),IF(O$1=INDEX('Valo FX'!$R:$R,MATCH($A36,'Valo FX'!$A:$A,0)),INDEX(Base!$V:$V,MATCH($A36,Base!$A:$A,0)),0)))</f>
        <v>12.239100000000001</v>
      </c>
      <c r="P36" s="21">
        <f>IF(P$1&lt;INDEX('Valo FX'!$Q:$Q,MATCH($A36,'Valo FX'!$A:$A,0)),0,IF(P$1&lt;INDEX('Valo FX'!$R:$R,MATCH($A36,'Valo FX'!$A:$A,0)),INDEX(Base!$U:$U,MATCH($A36,Base!$A:$A,0)),IF(P$1=INDEX('Valo FX'!$R:$R,MATCH($A36,'Valo FX'!$A:$A,0)),INDEX(Base!$V:$V,MATCH($A36,Base!$A:$A,0)),0)))</f>
        <v>12.239100000000001</v>
      </c>
      <c r="Q36" s="21">
        <f>IF(Q$1&lt;INDEX('Valo FX'!$Q:$Q,MATCH($A36,'Valo FX'!$A:$A,0)),0,IF(Q$1&lt;INDEX('Valo FX'!$R:$R,MATCH($A36,'Valo FX'!$A:$A,0)),INDEX(Base!$U:$U,MATCH($A36,Base!$A:$A,0)),IF(Q$1=INDEX('Valo FX'!$R:$R,MATCH($A36,'Valo FX'!$A:$A,0)),INDEX(Base!$V:$V,MATCH($A36,Base!$A:$A,0)),0)))</f>
        <v>12.239100000000001</v>
      </c>
      <c r="R36" s="21">
        <f>IF(R$1&lt;INDEX('Valo FX'!$Q:$Q,MATCH($A36,'Valo FX'!$A:$A,0)),0,IF(R$1&lt;INDEX('Valo FX'!$R:$R,MATCH($A36,'Valo FX'!$A:$A,0)),INDEX(Base!$U:$U,MATCH($A36,Base!$A:$A,0)),IF(R$1=INDEX('Valo FX'!$R:$R,MATCH($A36,'Valo FX'!$A:$A,0)),INDEX(Base!$V:$V,MATCH($A36,Base!$A:$A,0)),0)))</f>
        <v>12.239100000000001</v>
      </c>
      <c r="S36" s="21">
        <f>IF(S$1&lt;INDEX('Valo FX'!$Q:$Q,MATCH($A36,'Valo FX'!$A:$A,0)),0,IF(S$1&lt;INDEX('Valo FX'!$R:$R,MATCH($A36,'Valo FX'!$A:$A,0)),INDEX(Base!$U:$U,MATCH($A36,Base!$A:$A,0)),IF(S$1=INDEX('Valo FX'!$R:$R,MATCH($A36,'Valo FX'!$A:$A,0)),INDEX(Base!$V:$V,MATCH($A36,Base!$A:$A,0)),0)))</f>
        <v>12.239100000000001</v>
      </c>
      <c r="T36" s="21">
        <f>IF(T$1&lt;INDEX('Valo FX'!$Q:$Q,MATCH($A36,'Valo FX'!$A:$A,0)),0,IF(T$1&lt;INDEX('Valo FX'!$R:$R,MATCH($A36,'Valo FX'!$A:$A,0)),INDEX(Base!$U:$U,MATCH($A36,Base!$A:$A,0)),IF(T$1=INDEX('Valo FX'!$R:$R,MATCH($A36,'Valo FX'!$A:$A,0)),INDEX(Base!$V:$V,MATCH($A36,Base!$A:$A,0)),0)))</f>
        <v>12.239100000000001</v>
      </c>
      <c r="U36" s="21">
        <f>IF(U$1&lt;INDEX('Valo FX'!$Q:$Q,MATCH($A36,'Valo FX'!$A:$A,0)),0,IF(U$1&lt;INDEX('Valo FX'!$R:$R,MATCH($A36,'Valo FX'!$A:$A,0)),INDEX(Base!$U:$U,MATCH($A36,Base!$A:$A,0)),IF(U$1=INDEX('Valo FX'!$R:$R,MATCH($A36,'Valo FX'!$A:$A,0)),INDEX(Base!$V:$V,MATCH($A36,Base!$A:$A,0)),0)))</f>
        <v>12.239100000000001</v>
      </c>
      <c r="V36" s="21">
        <f>IF(V$1&lt;INDEX('Valo FX'!$Q:$Q,MATCH($A36,'Valo FX'!$A:$A,0)),0,IF(V$1&lt;INDEX('Valo FX'!$R:$R,MATCH($A36,'Valo FX'!$A:$A,0)),INDEX(Base!$U:$U,MATCH($A36,Base!$A:$A,0)),IF(V$1=INDEX('Valo FX'!$R:$R,MATCH($A36,'Valo FX'!$A:$A,0)),INDEX(Base!$V:$V,MATCH($A36,Base!$A:$A,0)),0)))</f>
        <v>12.239100000000001</v>
      </c>
      <c r="W36" s="21">
        <f>IF(W$1&lt;INDEX('Valo FX'!$Q:$Q,MATCH($A36,'Valo FX'!$A:$A,0)),0,IF(W$1&lt;INDEX('Valo FX'!$R:$R,MATCH($A36,'Valo FX'!$A:$A,0)),INDEX(Base!$U:$U,MATCH($A36,Base!$A:$A,0)),IF(W$1=INDEX('Valo FX'!$R:$R,MATCH($A36,'Valo FX'!$A:$A,0)),INDEX(Base!$V:$V,MATCH($A36,Base!$A:$A,0)),0)))</f>
        <v>12.239100000000001</v>
      </c>
      <c r="X36" s="21">
        <f>IF(X$1&lt;INDEX('Valo FX'!$Q:$Q,MATCH($A36,'Valo FX'!$A:$A,0)),0,IF(X$1&lt;INDEX('Valo FX'!$R:$R,MATCH($A36,'Valo FX'!$A:$A,0)),INDEX(Base!$U:$U,MATCH($A36,Base!$A:$A,0)),IF(X$1=INDEX('Valo FX'!$R:$R,MATCH($A36,'Valo FX'!$A:$A,0)),INDEX(Base!$V:$V,MATCH($A36,Base!$A:$A,0)),0)))</f>
        <v>12.239100000000001</v>
      </c>
      <c r="Y36" s="21">
        <f>IF(Y$1&lt;INDEX('Valo FX'!$Q:$Q,MATCH($A36,'Valo FX'!$A:$A,0)),0,IF(Y$1&lt;INDEX('Valo FX'!$R:$R,MATCH($A36,'Valo FX'!$A:$A,0)),INDEX(Base!$U:$U,MATCH($A36,Base!$A:$A,0)),IF(Y$1=INDEX('Valo FX'!$R:$R,MATCH($A36,'Valo FX'!$A:$A,0)),INDEX(Base!$V:$V,MATCH($A36,Base!$A:$A,0)),0)))</f>
        <v>12.239100000000001</v>
      </c>
      <c r="Z36" s="21">
        <f>IF(Z$1&lt;INDEX('Valo FX'!$Q:$Q,MATCH($A36,'Valo FX'!$A:$A,0)),0,IF(Z$1&lt;INDEX('Valo FX'!$R:$R,MATCH($A36,'Valo FX'!$A:$A,0)),INDEX(Base!$U:$U,MATCH($A36,Base!$A:$A,0)),IF(Z$1=INDEX('Valo FX'!$R:$R,MATCH($A36,'Valo FX'!$A:$A,0)),INDEX(Base!$V:$V,MATCH($A36,Base!$A:$A,0)),0)))</f>
        <v>12.239100000000001</v>
      </c>
      <c r="AA36" s="21">
        <f>IF(AA$1&lt;INDEX('Valo FX'!$Q:$Q,MATCH($A36,'Valo FX'!$A:$A,0)),0,IF(AA$1&lt;INDEX('Valo FX'!$R:$R,MATCH($A36,'Valo FX'!$A:$A,0)),INDEX(Base!$U:$U,MATCH($A36,Base!$A:$A,0)),IF(AA$1=INDEX('Valo FX'!$R:$R,MATCH($A36,'Valo FX'!$A:$A,0)),INDEX(Base!$V:$V,MATCH($A36,Base!$A:$A,0)),0)))</f>
        <v>12.239100000000001</v>
      </c>
      <c r="AB36" s="21">
        <f>IF(AB$1&lt;INDEX('Valo FX'!$Q:$Q,MATCH($A36,'Valo FX'!$A:$A,0)),0,IF(AB$1&lt;INDEX('Valo FX'!$R:$R,MATCH($A36,'Valo FX'!$A:$A,0)),INDEX(Base!$U:$U,MATCH($A36,Base!$A:$A,0)),IF(AB$1=INDEX('Valo FX'!$R:$R,MATCH($A36,'Valo FX'!$A:$A,0)),INDEX(Base!$V:$V,MATCH($A36,Base!$A:$A,0)),0)))</f>
        <v>12.239100000000001</v>
      </c>
      <c r="AC36" s="21">
        <f>IF(AC$1&lt;INDEX('Valo FX'!$Q:$Q,MATCH($A36,'Valo FX'!$A:$A,0)),0,IF(AC$1&lt;INDEX('Valo FX'!$R:$R,MATCH($A36,'Valo FX'!$A:$A,0)),INDEX(Base!$U:$U,MATCH($A36,Base!$A:$A,0)),IF(AC$1=INDEX('Valo FX'!$R:$R,MATCH($A36,'Valo FX'!$A:$A,0)),INDEX(Base!$V:$V,MATCH($A36,Base!$A:$A,0)),0)))</f>
        <v>12.239100000000001</v>
      </c>
      <c r="AD36" s="21">
        <f>IF(AD$1&lt;INDEX('Valo FX'!$Q:$Q,MATCH($A36,'Valo FX'!$A:$A,0)),0,IF(AD$1&lt;INDEX('Valo FX'!$R:$R,MATCH($A36,'Valo FX'!$A:$A,0)),INDEX(Base!$U:$U,MATCH($A36,Base!$A:$A,0)),IF(AD$1=INDEX('Valo FX'!$R:$R,MATCH($A36,'Valo FX'!$A:$A,0)),INDEX(Base!$V:$V,MATCH($A36,Base!$A:$A,0)),0)))</f>
        <v>12.239100000000001</v>
      </c>
      <c r="AE36" s="21">
        <f>IF(AE$1&lt;INDEX('Valo FX'!$Q:$Q,MATCH($A36,'Valo FX'!$A:$A,0)),0,IF(AE$1&lt;INDEX('Valo FX'!$R:$R,MATCH($A36,'Valo FX'!$A:$A,0)),INDEX(Base!$U:$U,MATCH($A36,Base!$A:$A,0)),IF(AE$1=INDEX('Valo FX'!$R:$R,MATCH($A36,'Valo FX'!$A:$A,0)),INDEX(Base!$V:$V,MATCH($A36,Base!$A:$A,0)),0)))</f>
        <v>12.239100000000001</v>
      </c>
      <c r="AF36" s="21">
        <f>IF(AF$1&lt;INDEX('Valo FX'!$Q:$Q,MATCH($A36,'Valo FX'!$A:$A,0)),0,IF(AF$1&lt;INDEX('Valo FX'!$R:$R,MATCH($A36,'Valo FX'!$A:$A,0)),INDEX(Base!$U:$U,MATCH($A36,Base!$A:$A,0)),IF(AF$1=INDEX('Valo FX'!$R:$R,MATCH($A36,'Valo FX'!$A:$A,0)),INDEX(Base!$V:$V,MATCH($A36,Base!$A:$A,0)),0)))</f>
        <v>12.239100000000001</v>
      </c>
      <c r="AG36" s="21">
        <f>IF(AG$1&lt;INDEX('Valo FX'!$Q:$Q,MATCH($A36,'Valo FX'!$A:$A,0)),0,IF(AG$1&lt;INDEX('Valo FX'!$R:$R,MATCH($A36,'Valo FX'!$A:$A,0)),INDEX(Base!$U:$U,MATCH($A36,Base!$A:$A,0)),IF(AG$1=INDEX('Valo FX'!$R:$R,MATCH($A36,'Valo FX'!$A:$A,0)),INDEX(Base!$V:$V,MATCH($A36,Base!$A:$A,0)),0)))</f>
        <v>12.239100000000001</v>
      </c>
      <c r="AH36" s="21">
        <f>IF(AH$1&lt;INDEX('Valo FX'!$Q:$Q,MATCH($A36,'Valo FX'!$A:$A,0)),0,IF(AH$1&lt;INDEX('Valo FX'!$R:$R,MATCH($A36,'Valo FX'!$A:$A,0)),INDEX(Base!$U:$U,MATCH($A36,Base!$A:$A,0)),IF(AH$1=INDEX('Valo FX'!$R:$R,MATCH($A36,'Valo FX'!$A:$A,0)),INDEX(Base!$V:$V,MATCH($A36,Base!$A:$A,0)),0)))</f>
        <v>12.239100000000001</v>
      </c>
      <c r="AI36" s="21">
        <f>IF(AI$1&lt;INDEX('Valo FX'!$Q:$Q,MATCH($A36,'Valo FX'!$A:$A,0)),0,IF(AI$1&lt;INDEX('Valo FX'!$R:$R,MATCH($A36,'Valo FX'!$A:$A,0)),INDEX(Base!$U:$U,MATCH($A36,Base!$A:$A,0)),IF(AI$1=INDEX('Valo FX'!$R:$R,MATCH($A36,'Valo FX'!$A:$A,0)),INDEX(Base!$V:$V,MATCH($A36,Base!$A:$A,0)),0)))</f>
        <v>12.239100000000001</v>
      </c>
      <c r="AJ36" s="21">
        <f>IF(AJ$1&lt;INDEX('Valo FX'!$Q:$Q,MATCH($A36,'Valo FX'!$A:$A,0)),0,IF(AJ$1&lt;INDEX('Valo FX'!$R:$R,MATCH($A36,'Valo FX'!$A:$A,0)),INDEX(Base!$U:$U,MATCH($A36,Base!$A:$A,0)),IF(AJ$1=INDEX('Valo FX'!$R:$R,MATCH($A36,'Valo FX'!$A:$A,0)),INDEX(Base!$V:$V,MATCH($A36,Base!$A:$A,0)),0)))</f>
        <v>12.239100000000001</v>
      </c>
      <c r="AK36" s="21">
        <f>IF(AK$1&lt;INDEX('Valo FX'!$Q:$Q,MATCH($A36,'Valo FX'!$A:$A,0)),0,IF(AK$1&lt;INDEX('Valo FX'!$R:$R,MATCH($A36,'Valo FX'!$A:$A,0)),INDEX(Base!$U:$U,MATCH($A36,Base!$A:$A,0)),IF(AK$1=INDEX('Valo FX'!$R:$R,MATCH($A36,'Valo FX'!$A:$A,0)),INDEX(Base!$V:$V,MATCH($A36,Base!$A:$A,0)),0)))</f>
        <v>12.239100000000001</v>
      </c>
      <c r="AL36" s="21">
        <f>IF(AL$1&lt;INDEX('Valo FX'!$Q:$Q,MATCH($A36,'Valo FX'!$A:$A,0)),0,IF(AL$1&lt;INDEX('Valo FX'!$R:$R,MATCH($A36,'Valo FX'!$A:$A,0)),INDEX(Base!$U:$U,MATCH($A36,Base!$A:$A,0)),IF(AL$1=INDEX('Valo FX'!$R:$R,MATCH($A36,'Valo FX'!$A:$A,0)),INDEX(Base!$V:$V,MATCH($A36,Base!$A:$A,0)),0)))</f>
        <v>12.239100000000001</v>
      </c>
      <c r="AM36" s="21">
        <f>IF(AM$1&lt;INDEX('Valo FX'!$Q:$Q,MATCH($A36,'Valo FX'!$A:$A,0)),0,IF(AM$1&lt;INDEX('Valo FX'!$R:$R,MATCH($A36,'Valo FX'!$A:$A,0)),INDEX(Base!$U:$U,MATCH($A36,Base!$A:$A,0)),IF(AM$1=INDEX('Valo FX'!$R:$R,MATCH($A36,'Valo FX'!$A:$A,0)),INDEX(Base!$V:$V,MATCH($A36,Base!$A:$A,0)),0)))</f>
        <v>12.239100000000001</v>
      </c>
      <c r="AN36" s="21">
        <f>IF(AN$1&lt;INDEX('Valo FX'!$Q:$Q,MATCH($A36,'Valo FX'!$A:$A,0)),0,IF(AN$1&lt;INDEX('Valo FX'!$R:$R,MATCH($A36,'Valo FX'!$A:$A,0)),INDEX(Base!$U:$U,MATCH($A36,Base!$A:$A,0)),IF(AN$1=INDEX('Valo FX'!$R:$R,MATCH($A36,'Valo FX'!$A:$A,0)),INDEX(Base!$V:$V,MATCH($A36,Base!$A:$A,0)),0)))</f>
        <v>12.239100000000001</v>
      </c>
      <c r="AO36" s="21">
        <f>IF(AO$1&lt;INDEX('Valo FX'!$Q:$Q,MATCH($A36,'Valo FX'!$A:$A,0)),0,IF(AO$1&lt;INDEX('Valo FX'!$R:$R,MATCH($A36,'Valo FX'!$A:$A,0)),INDEX(Base!$U:$U,MATCH($A36,Base!$A:$A,0)),IF(AO$1=INDEX('Valo FX'!$R:$R,MATCH($A36,'Valo FX'!$A:$A,0)),INDEX(Base!$V:$V,MATCH($A36,Base!$A:$A,0)),0)))</f>
        <v>12.239100000000001</v>
      </c>
      <c r="AP36" s="21">
        <f>IF(AP$1&lt;INDEX('Valo FX'!$Q:$Q,MATCH($A36,'Valo FX'!$A:$A,0)),0,IF(AP$1&lt;INDEX('Valo FX'!$R:$R,MATCH($A36,'Valo FX'!$A:$A,0)),INDEX(Base!$U:$U,MATCH($A36,Base!$A:$A,0)),IF(AP$1=INDEX('Valo FX'!$R:$R,MATCH($A36,'Valo FX'!$A:$A,0)),INDEX(Base!$V:$V,MATCH($A36,Base!$A:$A,0)),0)))</f>
        <v>12.239100000000001</v>
      </c>
      <c r="AQ36" s="21">
        <f>IF(AQ$1&lt;INDEX('Valo FX'!$Q:$Q,MATCH($A36,'Valo FX'!$A:$A,0)),0,IF(AQ$1&lt;INDEX('Valo FX'!$R:$R,MATCH($A36,'Valo FX'!$A:$A,0)),INDEX(Base!$U:$U,MATCH($A36,Base!$A:$A,0)),IF(AQ$1=INDEX('Valo FX'!$R:$R,MATCH($A36,'Valo FX'!$A:$A,0)),INDEX(Base!$V:$V,MATCH($A36,Base!$A:$A,0)),0)))</f>
        <v>12.239100000000001</v>
      </c>
      <c r="AR36" s="21">
        <f>IF(AR$1&lt;INDEX('Valo FX'!$Q:$Q,MATCH($A36,'Valo FX'!$A:$A,0)),0,IF(AR$1&lt;INDEX('Valo FX'!$R:$R,MATCH($A36,'Valo FX'!$A:$A,0)),INDEX(Base!$U:$U,MATCH($A36,Base!$A:$A,0)),IF(AR$1=INDEX('Valo FX'!$R:$R,MATCH($A36,'Valo FX'!$A:$A,0)),INDEX(Base!$V:$V,MATCH($A36,Base!$A:$A,0)),0)))</f>
        <v>12.239100000000001</v>
      </c>
      <c r="AS36" s="21">
        <f>IF(AS$1&lt;INDEX('Valo FX'!$Q:$Q,MATCH($A36,'Valo FX'!$A:$A,0)),0,IF(AS$1&lt;INDEX('Valo FX'!$R:$R,MATCH($A36,'Valo FX'!$A:$A,0)),INDEX(Base!$U:$U,MATCH($A36,Base!$A:$A,0)),IF(AS$1=INDEX('Valo FX'!$R:$R,MATCH($A36,'Valo FX'!$A:$A,0)),INDEX(Base!$V:$V,MATCH($A36,Base!$A:$A,0)),0)))</f>
        <v>12.239100000000001</v>
      </c>
      <c r="AT36" s="21">
        <f>IF(AT$1&lt;INDEX('Valo FX'!$Q:$Q,MATCH($A36,'Valo FX'!$A:$A,0)),0,IF(AT$1&lt;INDEX('Valo FX'!$R:$R,MATCH($A36,'Valo FX'!$A:$A,0)),INDEX(Base!$U:$U,MATCH($A36,Base!$A:$A,0)),IF(AT$1=INDEX('Valo FX'!$R:$R,MATCH($A36,'Valo FX'!$A:$A,0)),INDEX(Base!$V:$V,MATCH($A36,Base!$A:$A,0)),0)))</f>
        <v>12.239100000000001</v>
      </c>
      <c r="AU36" s="21">
        <f>IF(AU$1&lt;INDEX('Valo FX'!$Q:$Q,MATCH($A36,'Valo FX'!$A:$A,0)),0,IF(AU$1&lt;INDEX('Valo FX'!$R:$R,MATCH($A36,'Valo FX'!$A:$A,0)),INDEX(Base!$U:$U,MATCH($A36,Base!$A:$A,0)),IF(AU$1=INDEX('Valo FX'!$R:$R,MATCH($A36,'Valo FX'!$A:$A,0)),INDEX(Base!$V:$V,MATCH($A36,Base!$A:$A,0)),0)))</f>
        <v>12.239100000000001</v>
      </c>
      <c r="AV36" s="21">
        <f>IF(AV$1&lt;INDEX('Valo FX'!$Q:$Q,MATCH($A36,'Valo FX'!$A:$A,0)),0,IF(AV$1&lt;INDEX('Valo FX'!$R:$R,MATCH($A36,'Valo FX'!$A:$A,0)),INDEX(Base!$U:$U,MATCH($A36,Base!$A:$A,0)),IF(AV$1=INDEX('Valo FX'!$R:$R,MATCH($A36,'Valo FX'!$A:$A,0)),INDEX(Base!$V:$V,MATCH($A36,Base!$A:$A,0)),0)))</f>
        <v>12.239100000000001</v>
      </c>
      <c r="AW36" s="21">
        <f>IF(AW$1&lt;INDEX('Valo FX'!$Q:$Q,MATCH($A36,'Valo FX'!$A:$A,0)),0,IF(AW$1&lt;INDEX('Valo FX'!$R:$R,MATCH($A36,'Valo FX'!$A:$A,0)),INDEX(Base!$U:$U,MATCH($A36,Base!$A:$A,0)),IF(AW$1=INDEX('Valo FX'!$R:$R,MATCH($A36,'Valo FX'!$A:$A,0)),INDEX(Base!$V:$V,MATCH($A36,Base!$A:$A,0)),0)))</f>
        <v>12.239100000000001</v>
      </c>
      <c r="AX36" s="21">
        <f>IF(AX$1&lt;INDEX('Valo FX'!$Q:$Q,MATCH($A36,'Valo FX'!$A:$A,0)),0,IF(AX$1&lt;INDEX('Valo FX'!$R:$R,MATCH($A36,'Valo FX'!$A:$A,0)),INDEX(Base!$U:$U,MATCH($A36,Base!$A:$A,0)),IF(AX$1=INDEX('Valo FX'!$R:$R,MATCH($A36,'Valo FX'!$A:$A,0)),INDEX(Base!$V:$V,MATCH($A36,Base!$A:$A,0)),0)))</f>
        <v>12.239100000000001</v>
      </c>
      <c r="AY36" s="21">
        <f>IF(AY$1&lt;INDEX('Valo FX'!$Q:$Q,MATCH($A36,'Valo FX'!$A:$A,0)),0,IF(AY$1&lt;INDEX('Valo FX'!$R:$R,MATCH($A36,'Valo FX'!$A:$A,0)),INDEX(Base!$U:$U,MATCH($A36,Base!$A:$A,0)),IF(AY$1=INDEX('Valo FX'!$R:$R,MATCH($A36,'Valo FX'!$A:$A,0)),INDEX(Base!$V:$V,MATCH($A36,Base!$A:$A,0)),0)))</f>
        <v>12.239100000000001</v>
      </c>
      <c r="AZ36" s="21">
        <f>IF(AZ$1&lt;INDEX('Valo FX'!$Q:$Q,MATCH($A36,'Valo FX'!$A:$A,0)),0,IF(AZ$1&lt;INDEX('Valo FX'!$R:$R,MATCH($A36,'Valo FX'!$A:$A,0)),INDEX(Base!$U:$U,MATCH($A36,Base!$A:$A,0)),IF(AZ$1=INDEX('Valo FX'!$R:$R,MATCH($A36,'Valo FX'!$A:$A,0)),INDEX(Base!$V:$V,MATCH($A36,Base!$A:$A,0)),0)))</f>
        <v>12.239100000000001</v>
      </c>
      <c r="BA36" s="21">
        <f>IF(BA$1&lt;INDEX('Valo FX'!$Q:$Q,MATCH($A36,'Valo FX'!$A:$A,0)),0,IF(BA$1&lt;INDEX('Valo FX'!$R:$R,MATCH($A36,'Valo FX'!$A:$A,0)),INDEX(Base!$U:$U,MATCH($A36,Base!$A:$A,0)),IF(BA$1=INDEX('Valo FX'!$R:$R,MATCH($A36,'Valo FX'!$A:$A,0)),INDEX(Base!$V:$V,MATCH($A36,Base!$A:$A,0)),0)))</f>
        <v>12.239100000000001</v>
      </c>
      <c r="BB36" s="21">
        <f>IF(BB$1&lt;INDEX('Valo FX'!$Q:$Q,MATCH($A36,'Valo FX'!$A:$A,0)),0,IF(BB$1&lt;INDEX('Valo FX'!$R:$R,MATCH($A36,'Valo FX'!$A:$A,0)),INDEX(Base!$U:$U,MATCH($A36,Base!$A:$A,0)),IF(BB$1=INDEX('Valo FX'!$R:$R,MATCH($A36,'Valo FX'!$A:$A,0)),INDEX(Base!$V:$V,MATCH($A36,Base!$A:$A,0)),0)))</f>
        <v>12.239100000000001</v>
      </c>
      <c r="BC36" s="21">
        <f>IF(BC$1&lt;INDEX('Valo FX'!$Q:$Q,MATCH($A36,'Valo FX'!$A:$A,0)),0,IF(BC$1&lt;INDEX('Valo FX'!$R:$R,MATCH($A36,'Valo FX'!$A:$A,0)),INDEX(Base!$U:$U,MATCH($A36,Base!$A:$A,0)),IF(BC$1=INDEX('Valo FX'!$R:$R,MATCH($A36,'Valo FX'!$A:$A,0)),INDEX(Base!$V:$V,MATCH($A36,Base!$A:$A,0)),0)))</f>
        <v>12.239100000000001</v>
      </c>
      <c r="BD36" s="21">
        <f>IF(BD$1&lt;INDEX('Valo FX'!$Q:$Q,MATCH($A36,'Valo FX'!$A:$A,0)),0,IF(BD$1&lt;INDEX('Valo FX'!$R:$R,MATCH($A36,'Valo FX'!$A:$A,0)),INDEX(Base!$U:$U,MATCH($A36,Base!$A:$A,0)),IF(BD$1=INDEX('Valo FX'!$R:$R,MATCH($A36,'Valo FX'!$A:$A,0)),INDEX(Base!$V:$V,MATCH($A36,Base!$A:$A,0)),0)))</f>
        <v>12.239100000000001</v>
      </c>
      <c r="BE36" s="21">
        <f>IF(BE$1&lt;INDEX('Valo FX'!$Q:$Q,MATCH($A36,'Valo FX'!$A:$A,0)),0,IF(BE$1&lt;INDEX('Valo FX'!$R:$R,MATCH($A36,'Valo FX'!$A:$A,0)),INDEX(Base!$U:$U,MATCH($A36,Base!$A:$A,0)),IF(BE$1=INDEX('Valo FX'!$R:$R,MATCH($A36,'Valo FX'!$A:$A,0)),INDEX(Base!$V:$V,MATCH($A36,Base!$A:$A,0)),0)))</f>
        <v>12.239100000000001</v>
      </c>
      <c r="BF36" s="21">
        <f>IF(BF$1&lt;INDEX('Valo FX'!$Q:$Q,MATCH($A36,'Valo FX'!$A:$A,0)),0,IF(BF$1&lt;INDEX('Valo FX'!$R:$R,MATCH($A36,'Valo FX'!$A:$A,0)),INDEX(Base!$U:$U,MATCH($A36,Base!$A:$A,0)),IF(BF$1=INDEX('Valo FX'!$R:$R,MATCH($A36,'Valo FX'!$A:$A,0)),INDEX(Base!$V:$V,MATCH($A36,Base!$A:$A,0)),0)))</f>
        <v>12.239100000000001</v>
      </c>
      <c r="BG36" s="21">
        <f>IF(BG$1&lt;INDEX('Valo FX'!$Q:$Q,MATCH($A36,'Valo FX'!$A:$A,0)),0,IF(BG$1&lt;INDEX('Valo FX'!$R:$R,MATCH($A36,'Valo FX'!$A:$A,0)),INDEX(Base!$U:$U,MATCH($A36,Base!$A:$A,0)),IF(BG$1=INDEX('Valo FX'!$R:$R,MATCH($A36,'Valo FX'!$A:$A,0)),INDEX(Base!$V:$V,MATCH($A36,Base!$A:$A,0)),0)))</f>
        <v>12.239100000000001</v>
      </c>
      <c r="BH36" s="21">
        <f>IF(BH$1&lt;INDEX('Valo FX'!$Q:$Q,MATCH($A36,'Valo FX'!$A:$A,0)),0,IF(BH$1&lt;INDEX('Valo FX'!$R:$R,MATCH($A36,'Valo FX'!$A:$A,0)),INDEX(Base!$U:$U,MATCH($A36,Base!$A:$A,0)),IF(BH$1=INDEX('Valo FX'!$R:$R,MATCH($A36,'Valo FX'!$A:$A,0)),INDEX(Base!$V:$V,MATCH($A36,Base!$A:$A,0)),0)))</f>
        <v>12.239100000000001</v>
      </c>
      <c r="BI36" s="21">
        <f>IF(BI$1&lt;INDEX('Valo FX'!$Q:$Q,MATCH($A36,'Valo FX'!$A:$A,0)),0,IF(BI$1&lt;INDEX('Valo FX'!$R:$R,MATCH($A36,'Valo FX'!$A:$A,0)),INDEX(Base!$U:$U,MATCH($A36,Base!$A:$A,0)),IF(BI$1=INDEX('Valo FX'!$R:$R,MATCH($A36,'Valo FX'!$A:$A,0)),INDEX(Base!$V:$V,MATCH($A36,Base!$A:$A,0)),0)))</f>
        <v>12.239100000000001</v>
      </c>
      <c r="BJ36" s="21">
        <f>IF(BJ$1&lt;INDEX('Valo FX'!$Q:$Q,MATCH($A36,'Valo FX'!$A:$A,0)),0,IF(BJ$1&lt;INDEX('Valo FX'!$R:$R,MATCH($A36,'Valo FX'!$A:$A,0)),INDEX(Base!$U:$U,MATCH($A36,Base!$A:$A,0)),IF(BJ$1=INDEX('Valo FX'!$R:$R,MATCH($A36,'Valo FX'!$A:$A,0)),INDEX(Base!$V:$V,MATCH($A36,Base!$A:$A,0)),0)))</f>
        <v>12.239100000000001</v>
      </c>
      <c r="BK36" s="21">
        <f>IF(BK$1&lt;INDEX('Valo FX'!$Q:$Q,MATCH($A36,'Valo FX'!$A:$A,0)),0,IF(BK$1&lt;INDEX('Valo FX'!$R:$R,MATCH($A36,'Valo FX'!$A:$A,0)),INDEX(Base!$U:$U,MATCH($A36,Base!$A:$A,0)),IF(BK$1=INDEX('Valo FX'!$R:$R,MATCH($A36,'Valo FX'!$A:$A,0)),INDEX(Base!$V:$V,MATCH($A36,Base!$A:$A,0)),0)))</f>
        <v>12.239100000000001</v>
      </c>
      <c r="BL36" s="21">
        <f>IF(BL$1&lt;INDEX('Valo FX'!$Q:$Q,MATCH($A36,'Valo FX'!$A:$A,0)),0,IF(BL$1&lt;INDEX('Valo FX'!$R:$R,MATCH($A36,'Valo FX'!$A:$A,0)),INDEX(Base!$U:$U,MATCH($A36,Base!$A:$A,0)),IF(BL$1=INDEX('Valo FX'!$R:$R,MATCH($A36,'Valo FX'!$A:$A,0)),INDEX(Base!$V:$V,MATCH($A36,Base!$A:$A,0)),0)))</f>
        <v>12.239100000000001</v>
      </c>
      <c r="BM36" s="21">
        <f>IF(BM$1&lt;INDEX('Valo FX'!$Q:$Q,MATCH($A36,'Valo FX'!$A:$A,0)),0,IF(BM$1&lt;INDEX('Valo FX'!$R:$R,MATCH($A36,'Valo FX'!$A:$A,0)),INDEX(Base!$U:$U,MATCH($A36,Base!$A:$A,0)),IF(BM$1=INDEX('Valo FX'!$R:$R,MATCH($A36,'Valo FX'!$A:$A,0)),INDEX(Base!$V:$V,MATCH($A36,Base!$A:$A,0)),0)))</f>
        <v>12.239100000000001</v>
      </c>
      <c r="BN36" s="21">
        <f>IF(BN$1&lt;INDEX('Valo FX'!$Q:$Q,MATCH($A36,'Valo FX'!$A:$A,0)),0,IF(BN$1&lt;INDEX('Valo FX'!$R:$R,MATCH($A36,'Valo FX'!$A:$A,0)),INDEX(Base!$U:$U,MATCH($A36,Base!$A:$A,0)),IF(BN$1=INDEX('Valo FX'!$R:$R,MATCH($A36,'Valo FX'!$A:$A,0)),INDEX(Base!$V:$V,MATCH($A36,Base!$A:$A,0)),0)))</f>
        <v>12.239100000000001</v>
      </c>
      <c r="BO36" s="21">
        <f>IF(BO$1&lt;INDEX('Valo FX'!$Q:$Q,MATCH($A36,'Valo FX'!$A:$A,0)),0,IF(BO$1&lt;INDEX('Valo FX'!$R:$R,MATCH($A36,'Valo FX'!$A:$A,0)),INDEX(Base!$U:$U,MATCH($A36,Base!$A:$A,0)),IF(BO$1=INDEX('Valo FX'!$R:$R,MATCH($A36,'Valo FX'!$A:$A,0)),INDEX(Base!$V:$V,MATCH($A36,Base!$A:$A,0)),0)))</f>
        <v>12.239100000000001</v>
      </c>
      <c r="BP36" s="21">
        <f>IF(BP$1&lt;INDEX('Valo FX'!$Q:$Q,MATCH($A36,'Valo FX'!$A:$A,0)),0,IF(BP$1&lt;INDEX('Valo FX'!$R:$R,MATCH($A36,'Valo FX'!$A:$A,0)),INDEX(Base!$U:$U,MATCH($A36,Base!$A:$A,0)),IF(BP$1=INDEX('Valo FX'!$R:$R,MATCH($A36,'Valo FX'!$A:$A,0)),INDEX(Base!$V:$V,MATCH($A36,Base!$A:$A,0)),0)))</f>
        <v>12.239100000000001</v>
      </c>
      <c r="BQ36" s="21">
        <f>IF(BQ$1&lt;INDEX('Valo FX'!$Q:$Q,MATCH($A36,'Valo FX'!$A:$A,0)),0,IF(BQ$1&lt;INDEX('Valo FX'!$R:$R,MATCH($A36,'Valo FX'!$A:$A,0)),INDEX(Base!$U:$U,MATCH($A36,Base!$A:$A,0)),IF(BQ$1=INDEX('Valo FX'!$R:$R,MATCH($A36,'Valo FX'!$A:$A,0)),INDEX(Base!$V:$V,MATCH($A36,Base!$A:$A,0)),0)))</f>
        <v>12.239100000000001</v>
      </c>
      <c r="BR36" s="21">
        <f>IF(BR$1&lt;INDEX('Valo FX'!$Q:$Q,MATCH($A36,'Valo FX'!$A:$A,0)),0,IF(BR$1&lt;INDEX('Valo FX'!$R:$R,MATCH($A36,'Valo FX'!$A:$A,0)),INDEX(Base!$U:$U,MATCH($A36,Base!$A:$A,0)),IF(BR$1=INDEX('Valo FX'!$R:$R,MATCH($A36,'Valo FX'!$A:$A,0)),INDEX(Base!$V:$V,MATCH($A36,Base!$A:$A,0)),0)))</f>
        <v>12.239100000000001</v>
      </c>
      <c r="BS36" s="21">
        <f>IF(BS$1&lt;INDEX('Valo FX'!$Q:$Q,MATCH($A36,'Valo FX'!$A:$A,0)),0,IF(BS$1&lt;INDEX('Valo FX'!$R:$R,MATCH($A36,'Valo FX'!$A:$A,0)),INDEX(Base!$U:$U,MATCH($A36,Base!$A:$A,0)),IF(BS$1=INDEX('Valo FX'!$R:$R,MATCH($A36,'Valo FX'!$A:$A,0)),INDEX(Base!$V:$V,MATCH($A36,Base!$A:$A,0)),0)))</f>
        <v>12.239100000000001</v>
      </c>
      <c r="BT36" s="21">
        <f>IF(BT$1&lt;INDEX('Valo FX'!$Q:$Q,MATCH($A36,'Valo FX'!$A:$A,0)),0,IF(BT$1&lt;INDEX('Valo FX'!$R:$R,MATCH($A36,'Valo FX'!$A:$A,0)),INDEX(Base!$U:$U,MATCH($A36,Base!$A:$A,0)),IF(BT$1=INDEX('Valo FX'!$R:$R,MATCH($A36,'Valo FX'!$A:$A,0)),INDEX(Base!$V:$V,MATCH($A36,Base!$A:$A,0)),0)))</f>
        <v>12.239100000000001</v>
      </c>
      <c r="BU36" s="21">
        <f>IF(BU$1&lt;INDEX('Valo FX'!$Q:$Q,MATCH($A36,'Valo FX'!$A:$A,0)),0,IF(BU$1&lt;INDEX('Valo FX'!$R:$R,MATCH($A36,'Valo FX'!$A:$A,0)),INDEX(Base!$U:$U,MATCH($A36,Base!$A:$A,0)),IF(BU$1=INDEX('Valo FX'!$R:$R,MATCH($A36,'Valo FX'!$A:$A,0)),INDEX(Base!$V:$V,MATCH($A36,Base!$A:$A,0)),0)))</f>
        <v>12.239100000000001</v>
      </c>
      <c r="BV36" s="21">
        <f>IF(BV$1&lt;INDEX('Valo FX'!$Q:$Q,MATCH($A36,'Valo FX'!$A:$A,0)),0,IF(BV$1&lt;INDEX('Valo FX'!$R:$R,MATCH($A36,'Valo FX'!$A:$A,0)),INDEX(Base!$U:$U,MATCH($A36,Base!$A:$A,0)),IF(BV$1=INDEX('Valo FX'!$R:$R,MATCH($A36,'Valo FX'!$A:$A,0)),INDEX(Base!$V:$V,MATCH($A36,Base!$A:$A,0)),0)))</f>
        <v>12.239100000000001</v>
      </c>
      <c r="BW36" s="21">
        <f>IF(BW$1&lt;INDEX('Valo FX'!$Q:$Q,MATCH($A36,'Valo FX'!$A:$A,0)),0,IF(BW$1&lt;INDEX('Valo FX'!$R:$R,MATCH($A36,'Valo FX'!$A:$A,0)),INDEX(Base!$U:$U,MATCH($A36,Base!$A:$A,0)),IF(BW$1=INDEX('Valo FX'!$R:$R,MATCH($A36,'Valo FX'!$A:$A,0)),INDEX(Base!$V:$V,MATCH($A36,Base!$A:$A,0)),0)))</f>
        <v>12.239100000000001</v>
      </c>
      <c r="BX36" s="21">
        <f>IF(BX$1&lt;INDEX('Valo FX'!$Q:$Q,MATCH($A36,'Valo FX'!$A:$A,0)),0,IF(BX$1&lt;INDEX('Valo FX'!$R:$R,MATCH($A36,'Valo FX'!$A:$A,0)),INDEX(Base!$U:$U,MATCH($A36,Base!$A:$A,0)),IF(BX$1=INDEX('Valo FX'!$R:$R,MATCH($A36,'Valo FX'!$A:$A,0)),INDEX(Base!$V:$V,MATCH($A36,Base!$A:$A,0)),0)))</f>
        <v>12.239100000000001</v>
      </c>
      <c r="BY36" s="21">
        <f>IF(BY$1&lt;INDEX('Valo FX'!$Q:$Q,MATCH($A36,'Valo FX'!$A:$A,0)),0,IF(BY$1&lt;INDEX('Valo FX'!$R:$R,MATCH($A36,'Valo FX'!$A:$A,0)),INDEX(Base!$U:$U,MATCH($A36,Base!$A:$A,0)),IF(BY$1=INDEX('Valo FX'!$R:$R,MATCH($A36,'Valo FX'!$A:$A,0)),INDEX(Base!$V:$V,MATCH($A36,Base!$A:$A,0)),0)))</f>
        <v>12.239100000000001</v>
      </c>
      <c r="BZ36" s="21">
        <f>IF(BZ$1&lt;INDEX('Valo FX'!$Q:$Q,MATCH($A36,'Valo FX'!$A:$A,0)),0,IF(BZ$1&lt;INDEX('Valo FX'!$R:$R,MATCH($A36,'Valo FX'!$A:$A,0)),INDEX(Base!$U:$U,MATCH($A36,Base!$A:$A,0)),IF(BZ$1=INDEX('Valo FX'!$R:$R,MATCH($A36,'Valo FX'!$A:$A,0)),INDEX(Base!$V:$V,MATCH($A36,Base!$A:$A,0)),0)))</f>
        <v>12.239100000000001</v>
      </c>
      <c r="CA36" s="21">
        <f>IF(CA$1&lt;INDEX('Valo FX'!$Q:$Q,MATCH($A36,'Valo FX'!$A:$A,0)),0,IF(CA$1&lt;INDEX('Valo FX'!$R:$R,MATCH($A36,'Valo FX'!$A:$A,0)),INDEX(Base!$U:$U,MATCH($A36,Base!$A:$A,0)),IF(CA$1=INDEX('Valo FX'!$R:$R,MATCH($A36,'Valo FX'!$A:$A,0)),INDEX(Base!$V:$V,MATCH($A36,Base!$A:$A,0)),0)))</f>
        <v>12.239100000000001</v>
      </c>
      <c r="CB36" s="21">
        <f>IF(CB$1&lt;INDEX('Valo FX'!$Q:$Q,MATCH($A36,'Valo FX'!$A:$A,0)),0,IF(CB$1&lt;INDEX('Valo FX'!$R:$R,MATCH($A36,'Valo FX'!$A:$A,0)),INDEX(Base!$U:$U,MATCH($A36,Base!$A:$A,0)),IF(CB$1=INDEX('Valo FX'!$R:$R,MATCH($A36,'Valo FX'!$A:$A,0)),INDEX(Base!$V:$V,MATCH($A36,Base!$A:$A,0)),0)))</f>
        <v>12.239100000000001</v>
      </c>
      <c r="CC36" s="21">
        <f>IF(CC$1&lt;INDEX('Valo FX'!$Q:$Q,MATCH($A36,'Valo FX'!$A:$A,0)),0,IF(CC$1&lt;INDEX('Valo FX'!$R:$R,MATCH($A36,'Valo FX'!$A:$A,0)),INDEX(Base!$U:$U,MATCH($A36,Base!$A:$A,0)),IF(CC$1=INDEX('Valo FX'!$R:$R,MATCH($A36,'Valo FX'!$A:$A,0)),INDEX(Base!$V:$V,MATCH($A36,Base!$A:$A,0)),0)))</f>
        <v>12.239100000000001</v>
      </c>
      <c r="CD36" s="21">
        <f>IF(CD$1&lt;INDEX('Valo FX'!$Q:$Q,MATCH($A36,'Valo FX'!$A:$A,0)),0,IF(CD$1&lt;INDEX('Valo FX'!$R:$R,MATCH($A36,'Valo FX'!$A:$A,0)),INDEX(Base!$U:$U,MATCH($A36,Base!$A:$A,0)),IF(CD$1=INDEX('Valo FX'!$R:$R,MATCH($A36,'Valo FX'!$A:$A,0)),INDEX(Base!$V:$V,MATCH($A36,Base!$A:$A,0)),0)))</f>
        <v>12.239100000000001</v>
      </c>
      <c r="CE36" s="21">
        <f>IF(CE$1&lt;INDEX('Valo FX'!$Q:$Q,MATCH($A36,'Valo FX'!$A:$A,0)),0,IF(CE$1&lt;INDEX('Valo FX'!$R:$R,MATCH($A36,'Valo FX'!$A:$A,0)),INDEX(Base!$U:$U,MATCH($A36,Base!$A:$A,0)),IF(CE$1=INDEX('Valo FX'!$R:$R,MATCH($A36,'Valo FX'!$A:$A,0)),INDEX(Base!$V:$V,MATCH($A36,Base!$A:$A,0)),0)))</f>
        <v>12.239100000000001</v>
      </c>
      <c r="CF36" s="21">
        <f>IF(CF$1&lt;INDEX('Valo FX'!$Q:$Q,MATCH($A36,'Valo FX'!$A:$A,0)),0,IF(CF$1&lt;INDEX('Valo FX'!$R:$R,MATCH($A36,'Valo FX'!$A:$A,0)),INDEX(Base!$U:$U,MATCH($A36,Base!$A:$A,0)),IF(CF$1=INDEX('Valo FX'!$R:$R,MATCH($A36,'Valo FX'!$A:$A,0)),INDEX(Base!$V:$V,MATCH($A36,Base!$A:$A,0)),0)))</f>
        <v>12.239100000000001</v>
      </c>
      <c r="CG36" s="21">
        <f>IF(CG$1&lt;INDEX('Valo FX'!$Q:$Q,MATCH($A36,'Valo FX'!$A:$A,0)),0,IF(CG$1&lt;INDEX('Valo FX'!$R:$R,MATCH($A36,'Valo FX'!$A:$A,0)),INDEX(Base!$U:$U,MATCH($A36,Base!$A:$A,0)),IF(CG$1=INDEX('Valo FX'!$R:$R,MATCH($A36,'Valo FX'!$A:$A,0)),INDEX(Base!$V:$V,MATCH($A36,Base!$A:$A,0)),0)))</f>
        <v>12.239100000000001</v>
      </c>
      <c r="CH36" s="21">
        <f>IF(CH$1&lt;INDEX('Valo FX'!$Q:$Q,MATCH($A36,'Valo FX'!$A:$A,0)),0,IF(CH$1&lt;INDEX('Valo FX'!$R:$R,MATCH($A36,'Valo FX'!$A:$A,0)),INDEX(Base!$U:$U,MATCH($A36,Base!$A:$A,0)),IF(CH$1=INDEX('Valo FX'!$R:$R,MATCH($A36,'Valo FX'!$A:$A,0)),INDEX(Base!$V:$V,MATCH($A36,Base!$A:$A,0)),0)))</f>
        <v>12.239100000000001</v>
      </c>
      <c r="CI36" s="21">
        <f>IF(CI$1&lt;INDEX('Valo FX'!$Q:$Q,MATCH($A36,'Valo FX'!$A:$A,0)),0,IF(CI$1&lt;INDEX('Valo FX'!$R:$R,MATCH($A36,'Valo FX'!$A:$A,0)),INDEX(Base!$U:$U,MATCH($A36,Base!$A:$A,0)),IF(CI$1=INDEX('Valo FX'!$R:$R,MATCH($A36,'Valo FX'!$A:$A,0)),INDEX(Base!$V:$V,MATCH($A36,Base!$A:$A,0)),0)))</f>
        <v>12.239100000000001</v>
      </c>
      <c r="CJ36" s="21">
        <f>IF(CJ$1&lt;INDEX('Valo FX'!$Q:$Q,MATCH($A36,'Valo FX'!$A:$A,0)),0,IF(CJ$1&lt;INDEX('Valo FX'!$R:$R,MATCH($A36,'Valo FX'!$A:$A,0)),INDEX(Base!$U:$U,MATCH($A36,Base!$A:$A,0)),IF(CJ$1=INDEX('Valo FX'!$R:$R,MATCH($A36,'Valo FX'!$A:$A,0)),INDEX(Base!$V:$V,MATCH($A36,Base!$A:$A,0)),0)))</f>
        <v>12.239100000000001</v>
      </c>
      <c r="CK36" s="21">
        <f>IF(CK$1&lt;INDEX('Valo FX'!$Q:$Q,MATCH($A36,'Valo FX'!$A:$A,0)),0,IF(CK$1&lt;INDEX('Valo FX'!$R:$R,MATCH($A36,'Valo FX'!$A:$A,0)),INDEX(Base!$U:$U,MATCH($A36,Base!$A:$A,0)),IF(CK$1=INDEX('Valo FX'!$R:$R,MATCH($A36,'Valo FX'!$A:$A,0)),INDEX(Base!$V:$V,MATCH($A36,Base!$A:$A,0)),0)))</f>
        <v>12.239100000000001</v>
      </c>
      <c r="CL36" s="21">
        <f>IF(CL$1&lt;INDEX('Valo FX'!$Q:$Q,MATCH($A36,'Valo FX'!$A:$A,0)),0,IF(CL$1&lt;INDEX('Valo FX'!$R:$R,MATCH($A36,'Valo FX'!$A:$A,0)),INDEX(Base!$U:$U,MATCH($A36,Base!$A:$A,0)),IF(CL$1=INDEX('Valo FX'!$R:$R,MATCH($A36,'Valo FX'!$A:$A,0)),INDEX(Base!$V:$V,MATCH($A36,Base!$A:$A,0)),0)))</f>
        <v>12.239100000000001</v>
      </c>
      <c r="CM36" s="21">
        <f>IF(CM$1&lt;INDEX('Valo FX'!$Q:$Q,MATCH($A36,'Valo FX'!$A:$A,0)),0,IF(CM$1&lt;INDEX('Valo FX'!$R:$R,MATCH($A36,'Valo FX'!$A:$A,0)),INDEX(Base!$U:$U,MATCH($A36,Base!$A:$A,0)),IF(CM$1=INDEX('Valo FX'!$R:$R,MATCH($A36,'Valo FX'!$A:$A,0)),INDEX(Base!$V:$V,MATCH($A36,Base!$A:$A,0)),0)))</f>
        <v>12.239100000000001</v>
      </c>
      <c r="CN36" s="21">
        <f>IF(CN$1&lt;INDEX('Valo FX'!$Q:$Q,MATCH($A36,'Valo FX'!$A:$A,0)),0,IF(CN$1&lt;INDEX('Valo FX'!$R:$R,MATCH($A36,'Valo FX'!$A:$A,0)),INDEX(Base!$U:$U,MATCH($A36,Base!$A:$A,0)),IF(CN$1=INDEX('Valo FX'!$R:$R,MATCH($A36,'Valo FX'!$A:$A,0)),INDEX(Base!$V:$V,MATCH($A36,Base!$A:$A,0)),0)))</f>
        <v>12.239100000000001</v>
      </c>
      <c r="CO36" s="21">
        <f>IF(CO$1&lt;INDEX('Valo FX'!$Q:$Q,MATCH($A36,'Valo FX'!$A:$A,0)),0,IF(CO$1&lt;INDEX('Valo FX'!$R:$R,MATCH($A36,'Valo FX'!$A:$A,0)),INDEX(Base!$U:$U,MATCH($A36,Base!$A:$A,0)),IF(CO$1=INDEX('Valo FX'!$R:$R,MATCH($A36,'Valo FX'!$A:$A,0)),INDEX(Base!$V:$V,MATCH($A36,Base!$A:$A,0)),0)))</f>
        <v>12.239100000000001</v>
      </c>
      <c r="CP36" s="21">
        <f>IF(CP$1&lt;INDEX('Valo FX'!$Q:$Q,MATCH($A36,'Valo FX'!$A:$A,0)),0,IF(CP$1&lt;INDEX('Valo FX'!$R:$R,MATCH($A36,'Valo FX'!$A:$A,0)),INDEX(Base!$U:$U,MATCH($A36,Base!$A:$A,0)),IF(CP$1=INDEX('Valo FX'!$R:$R,MATCH($A36,'Valo FX'!$A:$A,0)),INDEX(Base!$V:$V,MATCH($A36,Base!$A:$A,0)),0)))</f>
        <v>12.239100000000001</v>
      </c>
      <c r="CQ36" s="21">
        <f>IF(CQ$1&lt;INDEX('Valo FX'!$Q:$Q,MATCH($A36,'Valo FX'!$A:$A,0)),0,IF(CQ$1&lt;INDEX('Valo FX'!$R:$R,MATCH($A36,'Valo FX'!$A:$A,0)),INDEX(Base!$U:$U,MATCH($A36,Base!$A:$A,0)),IF(CQ$1=INDEX('Valo FX'!$R:$R,MATCH($A36,'Valo FX'!$A:$A,0)),INDEX(Base!$V:$V,MATCH($A36,Base!$A:$A,0)),0)))</f>
        <v>12.239100000000001</v>
      </c>
      <c r="CR36" s="21">
        <f>IF(CR$1&lt;INDEX('Valo FX'!$Q:$Q,MATCH($A36,'Valo FX'!$A:$A,0)),0,IF(CR$1&lt;INDEX('Valo FX'!$R:$R,MATCH($A36,'Valo FX'!$A:$A,0)),INDEX(Base!$U:$U,MATCH($A36,Base!$A:$A,0)),IF(CR$1=INDEX('Valo FX'!$R:$R,MATCH($A36,'Valo FX'!$A:$A,0)),INDEX(Base!$V:$V,MATCH($A36,Base!$A:$A,0)),0)))</f>
        <v>12.239100000000001</v>
      </c>
      <c r="CS36" s="21">
        <f>IF(CS$1&lt;INDEX('Valo FX'!$Q:$Q,MATCH($A36,'Valo FX'!$A:$A,0)),0,IF(CS$1&lt;INDEX('Valo FX'!$R:$R,MATCH($A36,'Valo FX'!$A:$A,0)),INDEX(Base!$U:$U,MATCH($A36,Base!$A:$A,0)),IF(CS$1=INDEX('Valo FX'!$R:$R,MATCH($A36,'Valo FX'!$A:$A,0)),INDEX(Base!$V:$V,MATCH($A36,Base!$A:$A,0)),0)))</f>
        <v>12.239100000000001</v>
      </c>
      <c r="CT36" s="21">
        <f>IF(CT$1&lt;INDEX('Valo FX'!$Q:$Q,MATCH($A36,'Valo FX'!$A:$A,0)),0,IF(CT$1&lt;INDEX('Valo FX'!$R:$R,MATCH($A36,'Valo FX'!$A:$A,0)),INDEX(Base!$U:$U,MATCH($A36,Base!$A:$A,0)),IF(CT$1=INDEX('Valo FX'!$R:$R,MATCH($A36,'Valo FX'!$A:$A,0)),INDEX(Base!$V:$V,MATCH($A36,Base!$A:$A,0)),0)))</f>
        <v>12.239100000000001</v>
      </c>
      <c r="CU36" s="21">
        <f>IF(CU$1&lt;INDEX('Valo FX'!$Q:$Q,MATCH($A36,'Valo FX'!$A:$A,0)),0,IF(CU$1&lt;INDEX('Valo FX'!$R:$R,MATCH($A36,'Valo FX'!$A:$A,0)),INDEX(Base!$U:$U,MATCH($A36,Base!$A:$A,0)),IF(CU$1=INDEX('Valo FX'!$R:$R,MATCH($A36,'Valo FX'!$A:$A,0)),INDEX(Base!$V:$V,MATCH($A36,Base!$A:$A,0)),0)))</f>
        <v>12.239100000000001</v>
      </c>
      <c r="CV36" s="21">
        <f>IF(CV$1&lt;INDEX('Valo FX'!$Q:$Q,MATCH($A36,'Valo FX'!$A:$A,0)),0,IF(CV$1&lt;INDEX('Valo FX'!$R:$R,MATCH($A36,'Valo FX'!$A:$A,0)),INDEX(Base!$U:$U,MATCH($A36,Base!$A:$A,0)),IF(CV$1=INDEX('Valo FX'!$R:$R,MATCH($A36,'Valo FX'!$A:$A,0)),INDEX(Base!$V:$V,MATCH($A36,Base!$A:$A,0)),0)))</f>
        <v>12.239100000000001</v>
      </c>
      <c r="CW36" s="21">
        <f>IF(CW$1&lt;INDEX('Valo FX'!$Q:$Q,MATCH($A36,'Valo FX'!$A:$A,0)),0,IF(CW$1&lt;INDEX('Valo FX'!$R:$R,MATCH($A36,'Valo FX'!$A:$A,0)),INDEX(Base!$U:$U,MATCH($A36,Base!$A:$A,0)),IF(CW$1=INDEX('Valo FX'!$R:$R,MATCH($A36,'Valo FX'!$A:$A,0)),INDEX(Base!$V:$V,MATCH($A36,Base!$A:$A,0)),0)))</f>
        <v>12.239100000000001</v>
      </c>
      <c r="CX36" s="21">
        <f>IF(CX$1&lt;INDEX('Valo FX'!$Q:$Q,MATCH($A36,'Valo FX'!$A:$A,0)),0,IF(CX$1&lt;INDEX('Valo FX'!$R:$R,MATCH($A36,'Valo FX'!$A:$A,0)),INDEX(Base!$U:$U,MATCH($A36,Base!$A:$A,0)),IF(CX$1=INDEX('Valo FX'!$R:$R,MATCH($A36,'Valo FX'!$A:$A,0)),INDEX(Base!$V:$V,MATCH($A36,Base!$A:$A,0)),0)))</f>
        <v>12.239100000000001</v>
      </c>
      <c r="CY36" s="21">
        <f>IF(CY$1&lt;INDEX('Valo FX'!$Q:$Q,MATCH($A36,'Valo FX'!$A:$A,0)),0,IF(CY$1&lt;INDEX('Valo FX'!$R:$R,MATCH($A36,'Valo FX'!$A:$A,0)),INDEX(Base!$U:$U,MATCH($A36,Base!$A:$A,0)),IF(CY$1=INDEX('Valo FX'!$R:$R,MATCH($A36,'Valo FX'!$A:$A,0)),INDEX(Base!$V:$V,MATCH($A36,Base!$A:$A,0)),0)))</f>
        <v>12.239100000000001</v>
      </c>
      <c r="CZ36" s="21">
        <f>IF(CZ$1&lt;INDEX('Valo FX'!$Q:$Q,MATCH($A36,'Valo FX'!$A:$A,0)),0,IF(CZ$1&lt;INDEX('Valo FX'!$R:$R,MATCH($A36,'Valo FX'!$A:$A,0)),INDEX(Base!$U:$U,MATCH($A36,Base!$A:$A,0)),IF(CZ$1=INDEX('Valo FX'!$R:$R,MATCH($A36,'Valo FX'!$A:$A,0)),INDEX(Base!$V:$V,MATCH($A36,Base!$A:$A,0)),0)))</f>
        <v>12.239100000000001</v>
      </c>
      <c r="DA36" s="21">
        <f>IF(DA$1&lt;INDEX('Valo FX'!$Q:$Q,MATCH($A36,'Valo FX'!$A:$A,0)),0,IF(DA$1&lt;INDEX('Valo FX'!$R:$R,MATCH($A36,'Valo FX'!$A:$A,0)),INDEX(Base!$U:$U,MATCH($A36,Base!$A:$A,0)),IF(DA$1=INDEX('Valo FX'!$R:$R,MATCH($A36,'Valo FX'!$A:$A,0)),INDEX(Base!$V:$V,MATCH($A36,Base!$A:$A,0)),0)))</f>
        <v>12.239100000000001</v>
      </c>
      <c r="DB36" s="21">
        <f>IF(DB$1&lt;INDEX('Valo FX'!$Q:$Q,MATCH($A36,'Valo FX'!$A:$A,0)),0,IF(DB$1&lt;INDEX('Valo FX'!$R:$R,MATCH($A36,'Valo FX'!$A:$A,0)),INDEX(Base!$U:$U,MATCH($A36,Base!$A:$A,0)),IF(DB$1=INDEX('Valo FX'!$R:$R,MATCH($A36,'Valo FX'!$A:$A,0)),INDEX(Base!$V:$V,MATCH($A36,Base!$A:$A,0)),0)))</f>
        <v>12.239100000000001</v>
      </c>
      <c r="DC36" s="21">
        <f>IF(DC$1&lt;INDEX('Valo FX'!$Q:$Q,MATCH($A36,'Valo FX'!$A:$A,0)),0,IF(DC$1&lt;INDEX('Valo FX'!$R:$R,MATCH($A36,'Valo FX'!$A:$A,0)),INDEX(Base!$U:$U,MATCH($A36,Base!$A:$A,0)),IF(DC$1=INDEX('Valo FX'!$R:$R,MATCH($A36,'Valo FX'!$A:$A,0)),INDEX(Base!$V:$V,MATCH($A36,Base!$A:$A,0)),0)))</f>
        <v>12.239100000000001</v>
      </c>
      <c r="DD36" s="21">
        <f>IF(DD$1&lt;INDEX('Valo FX'!$Q:$Q,MATCH($A36,'Valo FX'!$A:$A,0)),0,IF(DD$1&lt;INDEX('Valo FX'!$R:$R,MATCH($A36,'Valo FX'!$A:$A,0)),INDEX(Base!$U:$U,MATCH($A36,Base!$A:$A,0)),IF(DD$1=INDEX('Valo FX'!$R:$R,MATCH($A36,'Valo FX'!$A:$A,0)),INDEX(Base!$V:$V,MATCH($A36,Base!$A:$A,0)),0)))</f>
        <v>12.239100000000001</v>
      </c>
      <c r="DE36" s="21">
        <f>IF(DE$1&lt;INDEX('Valo FX'!$Q:$Q,MATCH($A36,'Valo FX'!$A:$A,0)),0,IF(DE$1&lt;INDEX('Valo FX'!$R:$R,MATCH($A36,'Valo FX'!$A:$A,0)),INDEX(Base!$U:$U,MATCH($A36,Base!$A:$A,0)),IF(DE$1=INDEX('Valo FX'!$R:$R,MATCH($A36,'Valo FX'!$A:$A,0)),INDEX(Base!$V:$V,MATCH($A36,Base!$A:$A,0)),0)))</f>
        <v>12.239100000000001</v>
      </c>
      <c r="DF36" s="21">
        <f>IF(DF$1&lt;INDEX('Valo FX'!$Q:$Q,MATCH($A36,'Valo FX'!$A:$A,0)),0,IF(DF$1&lt;INDEX('Valo FX'!$R:$R,MATCH($A36,'Valo FX'!$A:$A,0)),INDEX(Base!$U:$U,MATCH($A36,Base!$A:$A,0)),IF(DF$1=INDEX('Valo FX'!$R:$R,MATCH($A36,'Valo FX'!$A:$A,0)),INDEX(Base!$V:$V,MATCH($A36,Base!$A:$A,0)),0)))</f>
        <v>12.239100000000001</v>
      </c>
      <c r="DG36" s="21">
        <f>IF(DG$1&lt;INDEX('Valo FX'!$Q:$Q,MATCH($A36,'Valo FX'!$A:$A,0)),0,IF(DG$1&lt;INDEX('Valo FX'!$R:$R,MATCH($A36,'Valo FX'!$A:$A,0)),INDEX(Base!$U:$U,MATCH($A36,Base!$A:$A,0)),IF(DG$1=INDEX('Valo FX'!$R:$R,MATCH($A36,'Valo FX'!$A:$A,0)),INDEX(Base!$V:$V,MATCH($A36,Base!$A:$A,0)),0)))</f>
        <v>12.239100000000001</v>
      </c>
      <c r="DH36" s="21">
        <f>IF(DH$1&lt;INDEX('Valo FX'!$Q:$Q,MATCH($A36,'Valo FX'!$A:$A,0)),0,IF(DH$1&lt;INDEX('Valo FX'!$R:$R,MATCH($A36,'Valo FX'!$A:$A,0)),INDEX(Base!$U:$U,MATCH($A36,Base!$A:$A,0)),IF(DH$1=INDEX('Valo FX'!$R:$R,MATCH($A36,'Valo FX'!$A:$A,0)),INDEX(Base!$V:$V,MATCH($A36,Base!$A:$A,0)),0)))</f>
        <v>12.239100000000001</v>
      </c>
      <c r="DI36" s="21">
        <f>IF(DI$1&lt;INDEX('Valo FX'!$Q:$Q,MATCH($A36,'Valo FX'!$A:$A,0)),0,IF(DI$1&lt;INDEX('Valo FX'!$R:$R,MATCH($A36,'Valo FX'!$A:$A,0)),INDEX(Base!$U:$U,MATCH($A36,Base!$A:$A,0)),IF(DI$1=INDEX('Valo FX'!$R:$R,MATCH($A36,'Valo FX'!$A:$A,0)),INDEX(Base!$V:$V,MATCH($A36,Base!$A:$A,0)),0)))</f>
        <v>12.239100000000001</v>
      </c>
      <c r="DJ36" s="21">
        <f>IF(DJ$1&lt;INDEX('Valo FX'!$Q:$Q,MATCH($A36,'Valo FX'!$A:$A,0)),0,IF(DJ$1&lt;INDEX('Valo FX'!$R:$R,MATCH($A36,'Valo FX'!$A:$A,0)),INDEX(Base!$U:$U,MATCH($A36,Base!$A:$A,0)),IF(DJ$1=INDEX('Valo FX'!$R:$R,MATCH($A36,'Valo FX'!$A:$A,0)),INDEX(Base!$V:$V,MATCH($A36,Base!$A:$A,0)),0)))</f>
        <v>12.239100000000001</v>
      </c>
      <c r="DK36" s="21">
        <f>IF(DK$1&lt;INDEX('Valo FX'!$Q:$Q,MATCH($A36,'Valo FX'!$A:$A,0)),0,IF(DK$1&lt;INDEX('Valo FX'!$R:$R,MATCH($A36,'Valo FX'!$A:$A,0)),INDEX(Base!$U:$U,MATCH($A36,Base!$A:$A,0)),IF(DK$1=INDEX('Valo FX'!$R:$R,MATCH($A36,'Valo FX'!$A:$A,0)),INDEX(Base!$V:$V,MATCH($A36,Base!$A:$A,0)),0)))</f>
        <v>12.239100000000001</v>
      </c>
      <c r="DL36" s="21">
        <f>IF(DL$1&lt;INDEX('Valo FX'!$Q:$Q,MATCH($A36,'Valo FX'!$A:$A,0)),0,IF(DL$1&lt;INDEX('Valo FX'!$R:$R,MATCH($A36,'Valo FX'!$A:$A,0)),INDEX(Base!$U:$U,MATCH($A36,Base!$A:$A,0)),IF(DL$1=INDEX('Valo FX'!$R:$R,MATCH($A36,'Valo FX'!$A:$A,0)),INDEX(Base!$V:$V,MATCH($A36,Base!$A:$A,0)),0)))</f>
        <v>12.239100000000001</v>
      </c>
      <c r="DM36" s="21">
        <f>IF(DM$1&lt;INDEX('Valo FX'!$Q:$Q,MATCH($A36,'Valo FX'!$A:$A,0)),0,IF(DM$1&lt;INDEX('Valo FX'!$R:$R,MATCH($A36,'Valo FX'!$A:$A,0)),INDEX(Base!$U:$U,MATCH($A36,Base!$A:$A,0)),IF(DM$1=INDEX('Valo FX'!$R:$R,MATCH($A36,'Valo FX'!$A:$A,0)),INDEX(Base!$V:$V,MATCH($A36,Base!$A:$A,0)),0)))</f>
        <v>12.239100000000001</v>
      </c>
      <c r="DN36" s="21">
        <f>IF(DN$1&lt;INDEX('Valo FX'!$Q:$Q,MATCH($A36,'Valo FX'!$A:$A,0)),0,IF(DN$1&lt;INDEX('Valo FX'!$R:$R,MATCH($A36,'Valo FX'!$A:$A,0)),INDEX(Base!$U:$U,MATCH($A36,Base!$A:$A,0)),IF(DN$1=INDEX('Valo FX'!$R:$R,MATCH($A36,'Valo FX'!$A:$A,0)),INDEX(Base!$V:$V,MATCH($A36,Base!$A:$A,0)),0)))</f>
        <v>12.239100000000001</v>
      </c>
      <c r="DO36" s="21">
        <f>IF(DO$1&lt;INDEX('Valo FX'!$Q:$Q,MATCH($A36,'Valo FX'!$A:$A,0)),0,IF(DO$1&lt;INDEX('Valo FX'!$R:$R,MATCH($A36,'Valo FX'!$A:$A,0)),INDEX(Base!$U:$U,MATCH($A36,Base!$A:$A,0)),IF(DO$1=INDEX('Valo FX'!$R:$R,MATCH($A36,'Valo FX'!$A:$A,0)),INDEX(Base!$V:$V,MATCH($A36,Base!$A:$A,0)),0)))</f>
        <v>12.239100000000001</v>
      </c>
      <c r="DP36" s="21">
        <f>IF(DP$1&lt;INDEX('Valo FX'!$Q:$Q,MATCH($A36,'Valo FX'!$A:$A,0)),0,IF(DP$1&lt;INDEX('Valo FX'!$R:$R,MATCH($A36,'Valo FX'!$A:$A,0)),INDEX(Base!$U:$U,MATCH($A36,Base!$A:$A,0)),IF(DP$1=INDEX('Valo FX'!$R:$R,MATCH($A36,'Valo FX'!$A:$A,0)),INDEX(Base!$V:$V,MATCH($A36,Base!$A:$A,0)),0)))</f>
        <v>12.239100000000001</v>
      </c>
      <c r="DQ36" s="21">
        <f>IF(DQ$1&lt;INDEX('Valo FX'!$Q:$Q,MATCH($A36,'Valo FX'!$A:$A,0)),0,IF(DQ$1&lt;INDEX('Valo FX'!$R:$R,MATCH($A36,'Valo FX'!$A:$A,0)),INDEX(Base!$U:$U,MATCH($A36,Base!$A:$A,0)),IF(DQ$1=INDEX('Valo FX'!$R:$R,MATCH($A36,'Valo FX'!$A:$A,0)),INDEX(Base!$V:$V,MATCH($A36,Base!$A:$A,0)),0)))</f>
        <v>12.239100000000001</v>
      </c>
      <c r="DR36" s="21">
        <f>IF(DR$1&lt;INDEX('Valo FX'!$Q:$Q,MATCH($A36,'Valo FX'!$A:$A,0)),0,IF(DR$1&lt;INDEX('Valo FX'!$R:$R,MATCH($A36,'Valo FX'!$A:$A,0)),INDEX(Base!$U:$U,MATCH($A36,Base!$A:$A,0)),IF(DR$1=INDEX('Valo FX'!$R:$R,MATCH($A36,'Valo FX'!$A:$A,0)),INDEX(Base!$V:$V,MATCH($A36,Base!$A:$A,0)),0)))</f>
        <v>12.239100000000001</v>
      </c>
      <c r="DS36" s="21">
        <f>IF(DS$1&lt;INDEX('Valo FX'!$Q:$Q,MATCH($A36,'Valo FX'!$A:$A,0)),0,IF(DS$1&lt;INDEX('Valo FX'!$R:$R,MATCH($A36,'Valo FX'!$A:$A,0)),INDEX(Base!$U:$U,MATCH($A36,Base!$A:$A,0)),IF(DS$1=INDEX('Valo FX'!$R:$R,MATCH($A36,'Valo FX'!$A:$A,0)),INDEX(Base!$V:$V,MATCH($A36,Base!$A:$A,0)),0)))</f>
        <v>12.239100000000001</v>
      </c>
      <c r="DT36" s="21">
        <f>IF(DT$1&lt;INDEX('Valo FX'!$Q:$Q,MATCH($A36,'Valo FX'!$A:$A,0)),0,IF(DT$1&lt;INDEX('Valo FX'!$R:$R,MATCH($A36,'Valo FX'!$A:$A,0)),INDEX(Base!$U:$U,MATCH($A36,Base!$A:$A,0)),IF(DT$1=INDEX('Valo FX'!$R:$R,MATCH($A36,'Valo FX'!$A:$A,0)),INDEX(Base!$V:$V,MATCH($A36,Base!$A:$A,0)),0)))</f>
        <v>12.239100000000001</v>
      </c>
      <c r="DU36" s="21">
        <f>IF(DU$1&lt;INDEX('Valo FX'!$Q:$Q,MATCH($A36,'Valo FX'!$A:$A,0)),0,IF(DU$1&lt;INDEX('Valo FX'!$R:$R,MATCH($A36,'Valo FX'!$A:$A,0)),INDEX(Base!$U:$U,MATCH($A36,Base!$A:$A,0)),IF(DU$1=INDEX('Valo FX'!$R:$R,MATCH($A36,'Valo FX'!$A:$A,0)),INDEX(Base!$V:$V,MATCH($A36,Base!$A:$A,0)),0)))</f>
        <v>12.239100000000001</v>
      </c>
      <c r="DV36" s="21">
        <f>IF(DV$1&lt;INDEX('Valo FX'!$Q:$Q,MATCH($A36,'Valo FX'!$A:$A,0)),0,IF(DV$1&lt;INDEX('Valo FX'!$R:$R,MATCH($A36,'Valo FX'!$A:$A,0)),INDEX(Base!$U:$U,MATCH($A36,Base!$A:$A,0)),IF(DV$1=INDEX('Valo FX'!$R:$R,MATCH($A36,'Valo FX'!$A:$A,0)),INDEX(Base!$V:$V,MATCH($A36,Base!$A:$A,0)),0)))</f>
        <v>12.239100000000001</v>
      </c>
      <c r="DW36" s="21">
        <f>IF(DW$1&lt;INDEX('Valo FX'!$Q:$Q,MATCH($A36,'Valo FX'!$A:$A,0)),0,IF(DW$1&lt;INDEX('Valo FX'!$R:$R,MATCH($A36,'Valo FX'!$A:$A,0)),INDEX(Base!$U:$U,MATCH($A36,Base!$A:$A,0)),IF(DW$1=INDEX('Valo FX'!$R:$R,MATCH($A36,'Valo FX'!$A:$A,0)),INDEX(Base!$V:$V,MATCH($A36,Base!$A:$A,0)),0)))</f>
        <v>12.239100000000001</v>
      </c>
      <c r="DX36" s="21">
        <f>IF(DX$1&lt;INDEX('Valo FX'!$Q:$Q,MATCH($A36,'Valo FX'!$A:$A,0)),0,IF(DX$1&lt;INDEX('Valo FX'!$R:$R,MATCH($A36,'Valo FX'!$A:$A,0)),INDEX(Base!$U:$U,MATCH($A36,Base!$A:$A,0)),IF(DX$1=INDEX('Valo FX'!$R:$R,MATCH($A36,'Valo FX'!$A:$A,0)),INDEX(Base!$V:$V,MATCH($A36,Base!$A:$A,0)),0)))</f>
        <v>12.239100000000001</v>
      </c>
      <c r="DY36" s="21">
        <f>IF(DY$1&lt;INDEX('Valo FX'!$Q:$Q,MATCH($A36,'Valo FX'!$A:$A,0)),0,IF(DY$1&lt;INDEX('Valo FX'!$R:$R,MATCH($A36,'Valo FX'!$A:$A,0)),INDEX(Base!$U:$U,MATCH($A36,Base!$A:$A,0)),IF(DY$1=INDEX('Valo FX'!$R:$R,MATCH($A36,'Valo FX'!$A:$A,0)),INDEX(Base!$V:$V,MATCH($A36,Base!$A:$A,0)),0)))</f>
        <v>12.239100000000001</v>
      </c>
      <c r="DZ36" s="21">
        <f>IF(DZ$1&lt;INDEX('Valo FX'!$Q:$Q,MATCH($A36,'Valo FX'!$A:$A,0)),0,IF(DZ$1&lt;INDEX('Valo FX'!$R:$R,MATCH($A36,'Valo FX'!$A:$A,0)),INDEX(Base!$U:$U,MATCH($A36,Base!$A:$A,0)),IF(DZ$1=INDEX('Valo FX'!$R:$R,MATCH($A36,'Valo FX'!$A:$A,0)),INDEX(Base!$V:$V,MATCH($A36,Base!$A:$A,0)),0)))</f>
        <v>12.239100000000001</v>
      </c>
      <c r="EA36" s="21">
        <f>IF(EA$1&lt;INDEX('Valo FX'!$Q:$Q,MATCH($A36,'Valo FX'!$A:$A,0)),0,IF(EA$1&lt;INDEX('Valo FX'!$R:$R,MATCH($A36,'Valo FX'!$A:$A,0)),INDEX(Base!$U:$U,MATCH($A36,Base!$A:$A,0)),IF(EA$1=INDEX('Valo FX'!$R:$R,MATCH($A36,'Valo FX'!$A:$A,0)),INDEX(Base!$V:$V,MATCH($A36,Base!$A:$A,0)),0)))</f>
        <v>12.239100000000001</v>
      </c>
      <c r="EB36" s="21">
        <f>IF(EB$1&lt;INDEX('Valo FX'!$Q:$Q,MATCH($A36,'Valo FX'!$A:$A,0)),0,IF(EB$1&lt;INDEX('Valo FX'!$R:$R,MATCH($A36,'Valo FX'!$A:$A,0)),INDEX(Base!$U:$U,MATCH($A36,Base!$A:$A,0)),IF(EB$1=INDEX('Valo FX'!$R:$R,MATCH($A36,'Valo FX'!$A:$A,0)),INDEX(Base!$V:$V,MATCH($A36,Base!$A:$A,0)),0)))</f>
        <v>12.239100000000001</v>
      </c>
      <c r="EC36" s="21">
        <f>IF(EC$1&lt;INDEX('Valo FX'!$Q:$Q,MATCH($A36,'Valo FX'!$A:$A,0)),0,IF(EC$1&lt;INDEX('Valo FX'!$R:$R,MATCH($A36,'Valo FX'!$A:$A,0)),INDEX(Base!$U:$U,MATCH($A36,Base!$A:$A,0)),IF(EC$1=INDEX('Valo FX'!$R:$R,MATCH($A36,'Valo FX'!$A:$A,0)),INDEX(Base!$V:$V,MATCH($A36,Base!$A:$A,0)),0)))</f>
        <v>12.239100000000001</v>
      </c>
      <c r="ED36" s="21">
        <f>IF(ED$1&lt;INDEX('Valo FX'!$Q:$Q,MATCH($A36,'Valo FX'!$A:$A,0)),0,IF(ED$1&lt;INDEX('Valo FX'!$R:$R,MATCH($A36,'Valo FX'!$A:$A,0)),INDEX(Base!$U:$U,MATCH($A36,Base!$A:$A,0)),IF(ED$1=INDEX('Valo FX'!$R:$R,MATCH($A36,'Valo FX'!$A:$A,0)),INDEX(Base!$V:$V,MATCH($A36,Base!$A:$A,0)),0)))</f>
        <v>12.239100000000001</v>
      </c>
      <c r="EE36" s="21">
        <f>IF(EE$1&lt;INDEX('Valo FX'!$Q:$Q,MATCH($A36,'Valo FX'!$A:$A,0)),0,IF(EE$1&lt;INDEX('Valo FX'!$R:$R,MATCH($A36,'Valo FX'!$A:$A,0)),INDEX(Base!$U:$U,MATCH($A36,Base!$A:$A,0)),IF(EE$1=INDEX('Valo FX'!$R:$R,MATCH($A36,'Valo FX'!$A:$A,0)),INDEX(Base!$V:$V,MATCH($A36,Base!$A:$A,0)),0)))</f>
        <v>12.239100000000001</v>
      </c>
      <c r="EF36" s="21">
        <f>IF(EF$1&lt;INDEX('Valo FX'!$Q:$Q,MATCH($A36,'Valo FX'!$A:$A,0)),0,IF(EF$1&lt;INDEX('Valo FX'!$R:$R,MATCH($A36,'Valo FX'!$A:$A,0)),INDEX(Base!$U:$U,MATCH($A36,Base!$A:$A,0)),IF(EF$1=INDEX('Valo FX'!$R:$R,MATCH($A36,'Valo FX'!$A:$A,0)),INDEX(Base!$V:$V,MATCH($A36,Base!$A:$A,0)),0)))</f>
        <v>12.239100000000001</v>
      </c>
      <c r="EG36" s="21">
        <f>IF(EG$1&lt;INDEX('Valo FX'!$Q:$Q,MATCH($A36,'Valo FX'!$A:$A,0)),0,IF(EG$1&lt;INDEX('Valo FX'!$R:$R,MATCH($A36,'Valo FX'!$A:$A,0)),INDEX(Base!$U:$U,MATCH($A36,Base!$A:$A,0)),IF(EG$1=INDEX('Valo FX'!$R:$R,MATCH($A36,'Valo FX'!$A:$A,0)),INDEX(Base!$V:$V,MATCH($A36,Base!$A:$A,0)),0)))</f>
        <v>12.239100000000001</v>
      </c>
      <c r="EH36" s="21">
        <f>IF(EH$1&lt;INDEX('Valo FX'!$Q:$Q,MATCH($A36,'Valo FX'!$A:$A,0)),0,IF(EH$1&lt;INDEX('Valo FX'!$R:$R,MATCH($A36,'Valo FX'!$A:$A,0)),INDEX(Base!$U:$U,MATCH($A36,Base!$A:$A,0)),IF(EH$1=INDEX('Valo FX'!$R:$R,MATCH($A36,'Valo FX'!$A:$A,0)),INDEX(Base!$V:$V,MATCH($A36,Base!$A:$A,0)),0)))</f>
        <v>12.239100000000001</v>
      </c>
      <c r="EI36" s="21">
        <f>IF(EI$1&lt;INDEX('Valo FX'!$Q:$Q,MATCH($A36,'Valo FX'!$A:$A,0)),0,IF(EI$1&lt;INDEX('Valo FX'!$R:$R,MATCH($A36,'Valo FX'!$A:$A,0)),INDEX(Base!$U:$U,MATCH($A36,Base!$A:$A,0)),IF(EI$1=INDEX('Valo FX'!$R:$R,MATCH($A36,'Valo FX'!$A:$A,0)),INDEX(Base!$V:$V,MATCH($A36,Base!$A:$A,0)),0)))</f>
        <v>12.239100000000001</v>
      </c>
      <c r="EJ36" s="21">
        <f>IF(EJ$1&lt;INDEX('Valo FX'!$Q:$Q,MATCH($A36,'Valo FX'!$A:$A,0)),0,IF(EJ$1&lt;INDEX('Valo FX'!$R:$R,MATCH($A36,'Valo FX'!$A:$A,0)),INDEX(Base!$U:$U,MATCH($A36,Base!$A:$A,0)),IF(EJ$1=INDEX('Valo FX'!$R:$R,MATCH($A36,'Valo FX'!$A:$A,0)),INDEX(Base!$V:$V,MATCH($A36,Base!$A:$A,0)),0)))</f>
        <v>12.239100000000001</v>
      </c>
      <c r="EK36" s="21">
        <f>IF(EK$1&lt;INDEX('Valo FX'!$Q:$Q,MATCH($A36,'Valo FX'!$A:$A,0)),0,IF(EK$1&lt;INDEX('Valo FX'!$R:$R,MATCH($A36,'Valo FX'!$A:$A,0)),INDEX(Base!$U:$U,MATCH($A36,Base!$A:$A,0)),IF(EK$1=INDEX('Valo FX'!$R:$R,MATCH($A36,'Valo FX'!$A:$A,0)),INDEX(Base!$V:$V,MATCH($A36,Base!$A:$A,0)),0)))</f>
        <v>12.239100000000001</v>
      </c>
      <c r="EL36" s="21">
        <f>IF(EL$1&lt;INDEX('Valo FX'!$Q:$Q,MATCH($A36,'Valo FX'!$A:$A,0)),0,IF(EL$1&lt;INDEX('Valo FX'!$R:$R,MATCH($A36,'Valo FX'!$A:$A,0)),INDEX(Base!$U:$U,MATCH($A36,Base!$A:$A,0)),IF(EL$1=INDEX('Valo FX'!$R:$R,MATCH($A36,'Valo FX'!$A:$A,0)),INDEX(Base!$V:$V,MATCH($A36,Base!$A:$A,0)),0)))</f>
        <v>12.239100000000001</v>
      </c>
      <c r="EM36" s="21">
        <f>IF(EM$1&lt;INDEX('Valo FX'!$Q:$Q,MATCH($A36,'Valo FX'!$A:$A,0)),0,IF(EM$1&lt;INDEX('Valo FX'!$R:$R,MATCH($A36,'Valo FX'!$A:$A,0)),INDEX(Base!$U:$U,MATCH($A36,Base!$A:$A,0)),IF(EM$1=INDEX('Valo FX'!$R:$R,MATCH($A36,'Valo FX'!$A:$A,0)),INDEX(Base!$V:$V,MATCH($A36,Base!$A:$A,0)),0)))</f>
        <v>12.239100000000001</v>
      </c>
      <c r="EN36" s="21">
        <f>IF(EN$1&lt;INDEX('Valo FX'!$Q:$Q,MATCH($A36,'Valo FX'!$A:$A,0)),0,IF(EN$1&lt;INDEX('Valo FX'!$R:$R,MATCH($A36,'Valo FX'!$A:$A,0)),INDEX(Base!$U:$U,MATCH($A36,Base!$A:$A,0)),IF(EN$1=INDEX('Valo FX'!$R:$R,MATCH($A36,'Valo FX'!$A:$A,0)),INDEX(Base!$V:$V,MATCH($A36,Base!$A:$A,0)),0)))</f>
        <v>12.239100000000001</v>
      </c>
      <c r="EO36" s="21">
        <f>IF(EO$1&lt;INDEX('Valo FX'!$Q:$Q,MATCH($A36,'Valo FX'!$A:$A,0)),0,IF(EO$1&lt;INDEX('Valo FX'!$R:$R,MATCH($A36,'Valo FX'!$A:$A,0)),INDEX(Base!$U:$U,MATCH($A36,Base!$A:$A,0)),IF(EO$1=INDEX('Valo FX'!$R:$R,MATCH($A36,'Valo FX'!$A:$A,0)),INDEX(Base!$V:$V,MATCH($A36,Base!$A:$A,0)),0)))</f>
        <v>12.239100000000001</v>
      </c>
      <c r="EP36" s="21">
        <f>IF(EP$1&lt;INDEX('Valo FX'!$Q:$Q,MATCH($A36,'Valo FX'!$A:$A,0)),0,IF(EP$1&lt;INDEX('Valo FX'!$R:$R,MATCH($A36,'Valo FX'!$A:$A,0)),INDEX(Base!$U:$U,MATCH($A36,Base!$A:$A,0)),IF(EP$1=INDEX('Valo FX'!$R:$R,MATCH($A36,'Valo FX'!$A:$A,0)),INDEX(Base!$V:$V,MATCH($A36,Base!$A:$A,0)),0)))</f>
        <v>12.239100000000001</v>
      </c>
      <c r="EQ36" s="21">
        <f>IF(EQ$1&lt;INDEX('Valo FX'!$Q:$Q,MATCH($A36,'Valo FX'!$A:$A,0)),0,IF(EQ$1&lt;INDEX('Valo FX'!$R:$R,MATCH($A36,'Valo FX'!$A:$A,0)),INDEX(Base!$U:$U,MATCH($A36,Base!$A:$A,0)),IF(EQ$1=INDEX('Valo FX'!$R:$R,MATCH($A36,'Valo FX'!$A:$A,0)),INDEX(Base!$V:$V,MATCH($A36,Base!$A:$A,0)),0)))</f>
        <v>12.239100000000001</v>
      </c>
      <c r="ER36" s="21">
        <f>IF(ER$1&lt;INDEX('Valo FX'!$Q:$Q,MATCH($A36,'Valo FX'!$A:$A,0)),0,IF(ER$1&lt;INDEX('Valo FX'!$R:$R,MATCH($A36,'Valo FX'!$A:$A,0)),INDEX(Base!$U:$U,MATCH($A36,Base!$A:$A,0)),IF(ER$1=INDEX('Valo FX'!$R:$R,MATCH($A36,'Valo FX'!$A:$A,0)),INDEX(Base!$V:$V,MATCH($A36,Base!$A:$A,0)),0)))</f>
        <v>12.239100000000001</v>
      </c>
      <c r="ES36" s="21">
        <f>IF(ES$1&lt;INDEX('Valo FX'!$Q:$Q,MATCH($A36,'Valo FX'!$A:$A,0)),0,IF(ES$1&lt;INDEX('Valo FX'!$R:$R,MATCH($A36,'Valo FX'!$A:$A,0)),INDEX(Base!$U:$U,MATCH($A36,Base!$A:$A,0)),IF(ES$1=INDEX('Valo FX'!$R:$R,MATCH($A36,'Valo FX'!$A:$A,0)),INDEX(Base!$V:$V,MATCH($A36,Base!$A:$A,0)),0)))</f>
        <v>12.239100000000001</v>
      </c>
      <c r="ET36" s="21">
        <f>IF(ET$1&lt;INDEX('Valo FX'!$Q:$Q,MATCH($A36,'Valo FX'!$A:$A,0)),0,IF(ET$1&lt;INDEX('Valo FX'!$R:$R,MATCH($A36,'Valo FX'!$A:$A,0)),INDEX(Base!$U:$U,MATCH($A36,Base!$A:$A,0)),IF(ET$1=INDEX('Valo FX'!$R:$R,MATCH($A36,'Valo FX'!$A:$A,0)),INDEX(Base!$V:$V,MATCH($A36,Base!$A:$A,0)),0)))</f>
        <v>12.239100000000001</v>
      </c>
      <c r="EU36" s="21">
        <f>IF(EU$1&lt;INDEX('Valo FX'!$Q:$Q,MATCH($A36,'Valo FX'!$A:$A,0)),0,IF(EU$1&lt;INDEX('Valo FX'!$R:$R,MATCH($A36,'Valo FX'!$A:$A,0)),INDEX(Base!$U:$U,MATCH($A36,Base!$A:$A,0)),IF(EU$1=INDEX('Valo FX'!$R:$R,MATCH($A36,'Valo FX'!$A:$A,0)),INDEX(Base!$V:$V,MATCH($A36,Base!$A:$A,0)),0)))</f>
        <v>12.239100000000001</v>
      </c>
      <c r="EV36" s="21">
        <f>IF(EV$1&lt;INDEX('Valo FX'!$Q:$Q,MATCH($A36,'Valo FX'!$A:$A,0)),0,IF(EV$1&lt;INDEX('Valo FX'!$R:$R,MATCH($A36,'Valo FX'!$A:$A,0)),INDEX(Base!$U:$U,MATCH($A36,Base!$A:$A,0)),IF(EV$1=INDEX('Valo FX'!$R:$R,MATCH($A36,'Valo FX'!$A:$A,0)),INDEX(Base!$V:$V,MATCH($A36,Base!$A:$A,0)),0)))</f>
        <v>12.239100000000001</v>
      </c>
      <c r="EW36" s="21">
        <f>IF(EW$1&lt;INDEX('Valo FX'!$Q:$Q,MATCH($A36,'Valo FX'!$A:$A,0)),0,IF(EW$1&lt;INDEX('Valo FX'!$R:$R,MATCH($A36,'Valo FX'!$A:$A,0)),INDEX(Base!$U:$U,MATCH($A36,Base!$A:$A,0)),IF(EW$1=INDEX('Valo FX'!$R:$R,MATCH($A36,'Valo FX'!$A:$A,0)),INDEX(Base!$V:$V,MATCH($A36,Base!$A:$A,0)),0)))</f>
        <v>12.239100000000001</v>
      </c>
      <c r="EX36" s="21">
        <f>IF(EX$1&lt;INDEX('Valo FX'!$Q:$Q,MATCH($A36,'Valo FX'!$A:$A,0)),0,IF(EX$1&lt;INDEX('Valo FX'!$R:$R,MATCH($A36,'Valo FX'!$A:$A,0)),INDEX(Base!$U:$U,MATCH($A36,Base!$A:$A,0)),IF(EX$1=INDEX('Valo FX'!$R:$R,MATCH($A36,'Valo FX'!$A:$A,0)),INDEX(Base!$V:$V,MATCH($A36,Base!$A:$A,0)),0)))</f>
        <v>12.239100000000001</v>
      </c>
      <c r="EY36" s="21">
        <f>IF(EY$1&lt;INDEX('Valo FX'!$Q:$Q,MATCH($A36,'Valo FX'!$A:$A,0)),0,IF(EY$1&lt;INDEX('Valo FX'!$R:$R,MATCH($A36,'Valo FX'!$A:$A,0)),INDEX(Base!$U:$U,MATCH($A36,Base!$A:$A,0)),IF(EY$1=INDEX('Valo FX'!$R:$R,MATCH($A36,'Valo FX'!$A:$A,0)),INDEX(Base!$V:$V,MATCH($A36,Base!$A:$A,0)),0)))</f>
        <v>12.239100000000001</v>
      </c>
      <c r="EZ36" s="21">
        <f>IF(EZ$1&lt;INDEX('Valo FX'!$Q:$Q,MATCH($A36,'Valo FX'!$A:$A,0)),0,IF(EZ$1&lt;INDEX('Valo FX'!$R:$R,MATCH($A36,'Valo FX'!$A:$A,0)),INDEX(Base!$U:$U,MATCH($A36,Base!$A:$A,0)),IF(EZ$1=INDEX('Valo FX'!$R:$R,MATCH($A36,'Valo FX'!$A:$A,0)),INDEX(Base!$V:$V,MATCH($A36,Base!$A:$A,0)),0)))</f>
        <v>12.239100000000001</v>
      </c>
      <c r="FA36" s="21">
        <f>IF(FA$1&lt;INDEX('Valo FX'!$Q:$Q,MATCH($A36,'Valo FX'!$A:$A,0)),0,IF(FA$1&lt;INDEX('Valo FX'!$R:$R,MATCH($A36,'Valo FX'!$A:$A,0)),INDEX(Base!$U:$U,MATCH($A36,Base!$A:$A,0)),IF(FA$1=INDEX('Valo FX'!$R:$R,MATCH($A36,'Valo FX'!$A:$A,0)),INDEX(Base!$V:$V,MATCH($A36,Base!$A:$A,0)),0)))</f>
        <v>12.239100000000001</v>
      </c>
      <c r="FB36" s="21">
        <f>IF(FB$1&lt;INDEX('Valo FX'!$Q:$Q,MATCH($A36,'Valo FX'!$A:$A,0)),0,IF(FB$1&lt;INDEX('Valo FX'!$R:$R,MATCH($A36,'Valo FX'!$A:$A,0)),INDEX(Base!$U:$U,MATCH($A36,Base!$A:$A,0)),IF(FB$1=INDEX('Valo FX'!$R:$R,MATCH($A36,'Valo FX'!$A:$A,0)),INDEX(Base!$V:$V,MATCH($A36,Base!$A:$A,0)),0)))</f>
        <v>12.239100000000001</v>
      </c>
      <c r="FC36" s="21">
        <f>IF(FC$1&lt;INDEX('Valo FX'!$Q:$Q,MATCH($A36,'Valo FX'!$A:$A,0)),0,IF(FC$1&lt;INDEX('Valo FX'!$R:$R,MATCH($A36,'Valo FX'!$A:$A,0)),INDEX(Base!$U:$U,MATCH($A36,Base!$A:$A,0)),IF(FC$1=INDEX('Valo FX'!$R:$R,MATCH($A36,'Valo FX'!$A:$A,0)),INDEX(Base!$V:$V,MATCH($A36,Base!$A:$A,0)),0)))</f>
        <v>12.239100000000001</v>
      </c>
      <c r="FD36" s="21">
        <f>IF(FD$1&lt;INDEX('Valo FX'!$Q:$Q,MATCH($A36,'Valo FX'!$A:$A,0)),0,IF(FD$1&lt;INDEX('Valo FX'!$R:$R,MATCH($A36,'Valo FX'!$A:$A,0)),INDEX(Base!$U:$U,MATCH($A36,Base!$A:$A,0)),IF(FD$1=INDEX('Valo FX'!$R:$R,MATCH($A36,'Valo FX'!$A:$A,0)),INDEX(Base!$V:$V,MATCH($A36,Base!$A:$A,0)),0)))</f>
        <v>12.239100000000001</v>
      </c>
      <c r="FE36" s="21">
        <f>IF(FE$1&lt;INDEX('Valo FX'!$Q:$Q,MATCH($A36,'Valo FX'!$A:$A,0)),0,IF(FE$1&lt;INDEX('Valo FX'!$R:$R,MATCH($A36,'Valo FX'!$A:$A,0)),INDEX(Base!$U:$U,MATCH($A36,Base!$A:$A,0)),IF(FE$1=INDEX('Valo FX'!$R:$R,MATCH($A36,'Valo FX'!$A:$A,0)),INDEX(Base!$V:$V,MATCH($A36,Base!$A:$A,0)),0)))</f>
        <v>12.239100000000001</v>
      </c>
      <c r="FF36" s="21">
        <f>IF(FF$1&lt;INDEX('Valo FX'!$Q:$Q,MATCH($A36,'Valo FX'!$A:$A,0)),0,IF(FF$1&lt;INDEX('Valo FX'!$R:$R,MATCH($A36,'Valo FX'!$A:$A,0)),INDEX(Base!$U:$U,MATCH($A36,Base!$A:$A,0)),IF(FF$1=INDEX('Valo FX'!$R:$R,MATCH($A36,'Valo FX'!$A:$A,0)),INDEX(Base!$V:$V,MATCH($A36,Base!$A:$A,0)),0)))</f>
        <v>12.239100000000001</v>
      </c>
      <c r="FG36" s="21">
        <f>IF(FG$1&lt;INDEX('Valo FX'!$Q:$Q,MATCH($A36,'Valo FX'!$A:$A,0)),0,IF(FG$1&lt;INDEX('Valo FX'!$R:$R,MATCH($A36,'Valo FX'!$A:$A,0)),INDEX(Base!$U:$U,MATCH($A36,Base!$A:$A,0)),IF(FG$1=INDEX('Valo FX'!$R:$R,MATCH($A36,'Valo FX'!$A:$A,0)),INDEX(Base!$V:$V,MATCH($A36,Base!$A:$A,0)),0)))</f>
        <v>12.239100000000001</v>
      </c>
      <c r="FH36" s="21">
        <f>IF(FH$1&lt;INDEX('Valo FX'!$Q:$Q,MATCH($A36,'Valo FX'!$A:$A,0)),0,IF(FH$1&lt;INDEX('Valo FX'!$R:$R,MATCH($A36,'Valo FX'!$A:$A,0)),INDEX(Base!$U:$U,MATCH($A36,Base!$A:$A,0)),IF(FH$1=INDEX('Valo FX'!$R:$R,MATCH($A36,'Valo FX'!$A:$A,0)),INDEX(Base!$V:$V,MATCH($A36,Base!$A:$A,0)),0)))</f>
        <v>12.239100000000001</v>
      </c>
      <c r="FI36" s="21">
        <f>IF(FI$1&lt;INDEX('Valo FX'!$Q:$Q,MATCH($A36,'Valo FX'!$A:$A,0)),0,IF(FI$1&lt;INDEX('Valo FX'!$R:$R,MATCH($A36,'Valo FX'!$A:$A,0)),INDEX(Base!$U:$U,MATCH($A36,Base!$A:$A,0)),IF(FI$1=INDEX('Valo FX'!$R:$R,MATCH($A36,'Valo FX'!$A:$A,0)),INDEX(Base!$V:$V,MATCH($A36,Base!$A:$A,0)),0)))</f>
        <v>12.239100000000001</v>
      </c>
      <c r="FJ36" s="21">
        <f>IF(FJ$1&lt;INDEX('Valo FX'!$Q:$Q,MATCH($A36,'Valo FX'!$A:$A,0)),0,IF(FJ$1&lt;INDEX('Valo FX'!$R:$R,MATCH($A36,'Valo FX'!$A:$A,0)),INDEX(Base!$U:$U,MATCH($A36,Base!$A:$A,0)),IF(FJ$1=INDEX('Valo FX'!$R:$R,MATCH($A36,'Valo FX'!$A:$A,0)),INDEX(Base!$V:$V,MATCH($A36,Base!$A:$A,0)),0)))</f>
        <v>12.239100000000001</v>
      </c>
      <c r="FK36" s="21">
        <f>IF(FK$1&lt;INDEX('Valo FX'!$Q:$Q,MATCH($A36,'Valo FX'!$A:$A,0)),0,IF(FK$1&lt;INDEX('Valo FX'!$R:$R,MATCH($A36,'Valo FX'!$A:$A,0)),INDEX(Base!$U:$U,MATCH($A36,Base!$A:$A,0)),IF(FK$1=INDEX('Valo FX'!$R:$R,MATCH($A36,'Valo FX'!$A:$A,0)),INDEX(Base!$V:$V,MATCH($A36,Base!$A:$A,0)),0)))</f>
        <v>12.239100000000001</v>
      </c>
      <c r="FL36" s="21">
        <f>IF(FL$1&lt;INDEX('Valo FX'!$Q:$Q,MATCH($A36,'Valo FX'!$A:$A,0)),0,IF(FL$1&lt;INDEX('Valo FX'!$R:$R,MATCH($A36,'Valo FX'!$A:$A,0)),INDEX(Base!$U:$U,MATCH($A36,Base!$A:$A,0)),IF(FL$1=INDEX('Valo FX'!$R:$R,MATCH($A36,'Valo FX'!$A:$A,0)),INDEX(Base!$V:$V,MATCH($A36,Base!$A:$A,0)),0)))</f>
        <v>12.239100000000001</v>
      </c>
      <c r="FM36" s="21">
        <f>IF(FM$1&lt;INDEX('Valo FX'!$Q:$Q,MATCH($A36,'Valo FX'!$A:$A,0)),0,IF(FM$1&lt;INDEX('Valo FX'!$R:$R,MATCH($A36,'Valo FX'!$A:$A,0)),INDEX(Base!$U:$U,MATCH($A36,Base!$A:$A,0)),IF(FM$1=INDEX('Valo FX'!$R:$R,MATCH($A36,'Valo FX'!$A:$A,0)),INDEX(Base!$V:$V,MATCH($A36,Base!$A:$A,0)),0)))</f>
        <v>12.239100000000001</v>
      </c>
      <c r="FN36" s="21">
        <f>IF(FN$1&lt;INDEX('Valo FX'!$Q:$Q,MATCH($A36,'Valo FX'!$A:$A,0)),0,IF(FN$1&lt;INDEX('Valo FX'!$R:$R,MATCH($A36,'Valo FX'!$A:$A,0)),INDEX(Base!$U:$U,MATCH($A36,Base!$A:$A,0)),IF(FN$1=INDEX('Valo FX'!$R:$R,MATCH($A36,'Valo FX'!$A:$A,0)),INDEX(Base!$V:$V,MATCH($A36,Base!$A:$A,0)),0)))</f>
        <v>12.239100000000001</v>
      </c>
      <c r="FO36" s="21">
        <f>IF(FO$1&lt;INDEX('Valo FX'!$Q:$Q,MATCH($A36,'Valo FX'!$A:$A,0)),0,IF(FO$1&lt;INDEX('Valo FX'!$R:$R,MATCH($A36,'Valo FX'!$A:$A,0)),INDEX(Base!$U:$U,MATCH($A36,Base!$A:$A,0)),IF(FO$1=INDEX('Valo FX'!$R:$R,MATCH($A36,'Valo FX'!$A:$A,0)),INDEX(Base!$V:$V,MATCH($A36,Base!$A:$A,0)),0)))</f>
        <v>12.239100000000001</v>
      </c>
      <c r="FP36" s="21">
        <f>IF(FP$1&lt;INDEX('Valo FX'!$Q:$Q,MATCH($A36,'Valo FX'!$A:$A,0)),0,IF(FP$1&lt;INDEX('Valo FX'!$R:$R,MATCH($A36,'Valo FX'!$A:$A,0)),INDEX(Base!$U:$U,MATCH($A36,Base!$A:$A,0)),IF(FP$1=INDEX('Valo FX'!$R:$R,MATCH($A36,'Valo FX'!$A:$A,0)),INDEX(Base!$V:$V,MATCH($A36,Base!$A:$A,0)),0)))</f>
        <v>12.239100000000001</v>
      </c>
      <c r="FQ36" s="21">
        <f>IF(FQ$1&lt;INDEX('Valo FX'!$Q:$Q,MATCH($A36,'Valo FX'!$A:$A,0)),0,IF(FQ$1&lt;INDEX('Valo FX'!$R:$R,MATCH($A36,'Valo FX'!$A:$A,0)),INDEX(Base!$U:$U,MATCH($A36,Base!$A:$A,0)),IF(FQ$1=INDEX('Valo FX'!$R:$R,MATCH($A36,'Valo FX'!$A:$A,0)),INDEX(Base!$V:$V,MATCH($A36,Base!$A:$A,0)),0)))</f>
        <v>12.239100000000001</v>
      </c>
      <c r="FR36" s="21">
        <f>IF(FR$1&lt;INDEX('Valo FX'!$Q:$Q,MATCH($A36,'Valo FX'!$A:$A,0)),0,IF(FR$1&lt;INDEX('Valo FX'!$R:$R,MATCH($A36,'Valo FX'!$A:$A,0)),INDEX(Base!$U:$U,MATCH($A36,Base!$A:$A,0)),IF(FR$1=INDEX('Valo FX'!$R:$R,MATCH($A36,'Valo FX'!$A:$A,0)),INDEX(Base!$V:$V,MATCH($A36,Base!$A:$A,0)),0)))</f>
        <v>12.239100000000001</v>
      </c>
      <c r="FS36" s="21">
        <f>IF(FS$1&lt;INDEX('Valo FX'!$Q:$Q,MATCH($A36,'Valo FX'!$A:$A,0)),0,IF(FS$1&lt;INDEX('Valo FX'!$R:$R,MATCH($A36,'Valo FX'!$A:$A,0)),INDEX(Base!$U:$U,MATCH($A36,Base!$A:$A,0)),IF(FS$1=INDEX('Valo FX'!$R:$R,MATCH($A36,'Valo FX'!$A:$A,0)),INDEX(Base!$V:$V,MATCH($A36,Base!$A:$A,0)),0)))</f>
        <v>12.239100000000001</v>
      </c>
      <c r="FT36" s="21">
        <f>IF(FT$1&lt;INDEX('Valo FX'!$Q:$Q,MATCH($A36,'Valo FX'!$A:$A,0)),0,IF(FT$1&lt;INDEX('Valo FX'!$R:$R,MATCH($A36,'Valo FX'!$A:$A,0)),INDEX(Base!$U:$U,MATCH($A36,Base!$A:$A,0)),IF(FT$1=INDEX('Valo FX'!$R:$R,MATCH($A36,'Valo FX'!$A:$A,0)),INDEX(Base!$V:$V,MATCH($A36,Base!$A:$A,0)),0)))</f>
        <v>12.239100000000001</v>
      </c>
      <c r="FU36" s="21">
        <f>IF(FU$1&lt;INDEX('Valo FX'!$Q:$Q,MATCH($A36,'Valo FX'!$A:$A,0)),0,IF(FU$1&lt;INDEX('Valo FX'!$R:$R,MATCH($A36,'Valo FX'!$A:$A,0)),INDEX(Base!$U:$U,MATCH($A36,Base!$A:$A,0)),IF(FU$1=INDEX('Valo FX'!$R:$R,MATCH($A36,'Valo FX'!$A:$A,0)),INDEX(Base!$V:$V,MATCH($A36,Base!$A:$A,0)),0)))</f>
        <v>12.239100000000001</v>
      </c>
      <c r="FV36" s="21">
        <f>IF(FV$1&lt;INDEX('Valo FX'!$Q:$Q,MATCH($A36,'Valo FX'!$A:$A,0)),0,IF(FV$1&lt;INDEX('Valo FX'!$R:$R,MATCH($A36,'Valo FX'!$A:$A,0)),INDEX(Base!$U:$U,MATCH($A36,Base!$A:$A,0)),IF(FV$1=INDEX('Valo FX'!$R:$R,MATCH($A36,'Valo FX'!$A:$A,0)),INDEX(Base!$V:$V,MATCH($A36,Base!$A:$A,0)),0)))</f>
        <v>12.239100000000001</v>
      </c>
      <c r="FW36" s="21">
        <f>IF(FW$1&lt;INDEX('Valo FX'!$Q:$Q,MATCH($A36,'Valo FX'!$A:$A,0)),0,IF(FW$1&lt;INDEX('Valo FX'!$R:$R,MATCH($A36,'Valo FX'!$A:$A,0)),INDEX(Base!$U:$U,MATCH($A36,Base!$A:$A,0)),IF(FW$1=INDEX('Valo FX'!$R:$R,MATCH($A36,'Valo FX'!$A:$A,0)),INDEX(Base!$V:$V,MATCH($A36,Base!$A:$A,0)),0)))</f>
        <v>12.239100000000001</v>
      </c>
      <c r="FX36" s="21">
        <f>IF(FX$1&lt;INDEX('Valo FX'!$Q:$Q,MATCH($A36,'Valo FX'!$A:$A,0)),0,IF(FX$1&lt;INDEX('Valo FX'!$R:$R,MATCH($A36,'Valo FX'!$A:$A,0)),INDEX(Base!$U:$U,MATCH($A36,Base!$A:$A,0)),IF(FX$1=INDEX('Valo FX'!$R:$R,MATCH($A36,'Valo FX'!$A:$A,0)),INDEX(Base!$V:$V,MATCH($A36,Base!$A:$A,0)),0)))</f>
        <v>12.239100000000001</v>
      </c>
      <c r="FY36" s="21">
        <f>IF(FY$1&lt;INDEX('Valo FX'!$Q:$Q,MATCH($A36,'Valo FX'!$A:$A,0)),0,IF(FY$1&lt;INDEX('Valo FX'!$R:$R,MATCH($A36,'Valo FX'!$A:$A,0)),INDEX(Base!$U:$U,MATCH($A36,Base!$A:$A,0)),IF(FY$1=INDEX('Valo FX'!$R:$R,MATCH($A36,'Valo FX'!$A:$A,0)),INDEX(Base!$V:$V,MATCH($A36,Base!$A:$A,0)),0)))</f>
        <v>12.239100000000001</v>
      </c>
      <c r="FZ36" s="21">
        <f>IF(FZ$1&lt;INDEX('Valo FX'!$Q:$Q,MATCH($A36,'Valo FX'!$A:$A,0)),0,IF(FZ$1&lt;INDEX('Valo FX'!$R:$R,MATCH($A36,'Valo FX'!$A:$A,0)),INDEX(Base!$U:$U,MATCH($A36,Base!$A:$A,0)),IF(FZ$1=INDEX('Valo FX'!$R:$R,MATCH($A36,'Valo FX'!$A:$A,0)),INDEX(Base!$V:$V,MATCH($A36,Base!$A:$A,0)),0)))</f>
        <v>12.239100000000001</v>
      </c>
      <c r="GA36" s="21">
        <f>IF(GA$1&lt;INDEX('Valo FX'!$Q:$Q,MATCH($A36,'Valo FX'!$A:$A,0)),0,IF(GA$1&lt;INDEX('Valo FX'!$R:$R,MATCH($A36,'Valo FX'!$A:$A,0)),INDEX(Base!$U:$U,MATCH($A36,Base!$A:$A,0)),IF(GA$1=INDEX('Valo FX'!$R:$R,MATCH($A36,'Valo FX'!$A:$A,0)),INDEX(Base!$V:$V,MATCH($A36,Base!$A:$A,0)),0)))</f>
        <v>12.239100000000001</v>
      </c>
      <c r="GB36" s="21">
        <f>IF(GB$1&lt;INDEX('Valo FX'!$Q:$Q,MATCH($A36,'Valo FX'!$A:$A,0)),0,IF(GB$1&lt;INDEX('Valo FX'!$R:$R,MATCH($A36,'Valo FX'!$A:$A,0)),INDEX(Base!$U:$U,MATCH($A36,Base!$A:$A,0)),IF(GB$1=INDEX('Valo FX'!$R:$R,MATCH($A36,'Valo FX'!$A:$A,0)),INDEX(Base!$V:$V,MATCH($A36,Base!$A:$A,0)),0)))</f>
        <v>12.239100000000001</v>
      </c>
      <c r="GC36" s="21">
        <f>IF(GC$1&lt;INDEX('Valo FX'!$Q:$Q,MATCH($A36,'Valo FX'!$A:$A,0)),0,IF(GC$1&lt;INDEX('Valo FX'!$R:$R,MATCH($A36,'Valo FX'!$A:$A,0)),INDEX(Base!$U:$U,MATCH($A36,Base!$A:$A,0)),IF(GC$1=INDEX('Valo FX'!$R:$R,MATCH($A36,'Valo FX'!$A:$A,0)),INDEX(Base!$V:$V,MATCH($A36,Base!$A:$A,0)),0)))</f>
        <v>12.239100000000001</v>
      </c>
      <c r="GD36" s="21">
        <f>IF(GD$1&lt;INDEX('Valo FX'!$Q:$Q,MATCH($A36,'Valo FX'!$A:$A,0)),0,IF(GD$1&lt;INDEX('Valo FX'!$R:$R,MATCH($A36,'Valo FX'!$A:$A,0)),INDEX(Base!$U:$U,MATCH($A36,Base!$A:$A,0)),IF(GD$1=INDEX('Valo FX'!$R:$R,MATCH($A36,'Valo FX'!$A:$A,0)),INDEX(Base!$V:$V,MATCH($A36,Base!$A:$A,0)),0)))</f>
        <v>12.239100000000001</v>
      </c>
      <c r="GE36" s="21">
        <f>IF(GE$1&lt;INDEX('Valo FX'!$Q:$Q,MATCH($A36,'Valo FX'!$A:$A,0)),0,IF(GE$1&lt;INDEX('Valo FX'!$R:$R,MATCH($A36,'Valo FX'!$A:$A,0)),INDEX(Base!$U:$U,MATCH($A36,Base!$A:$A,0)),IF(GE$1=INDEX('Valo FX'!$R:$R,MATCH($A36,'Valo FX'!$A:$A,0)),INDEX(Base!$V:$V,MATCH($A36,Base!$A:$A,0)),0)))</f>
        <v>12.239100000000001</v>
      </c>
      <c r="GF36" s="21">
        <f>IF(GF$1&lt;INDEX('Valo FX'!$Q:$Q,MATCH($A36,'Valo FX'!$A:$A,0)),0,IF(GF$1&lt;INDEX('Valo FX'!$R:$R,MATCH($A36,'Valo FX'!$A:$A,0)),INDEX(Base!$U:$U,MATCH($A36,Base!$A:$A,0)),IF(GF$1=INDEX('Valo FX'!$R:$R,MATCH($A36,'Valo FX'!$A:$A,0)),INDEX(Base!$V:$V,MATCH($A36,Base!$A:$A,0)),0)))</f>
        <v>12.239100000000001</v>
      </c>
      <c r="GG36" s="21">
        <f>IF(GG$1&lt;INDEX('Valo FX'!$Q:$Q,MATCH($A36,'Valo FX'!$A:$A,0)),0,IF(GG$1&lt;INDEX('Valo FX'!$R:$R,MATCH($A36,'Valo FX'!$A:$A,0)),INDEX(Base!$U:$U,MATCH($A36,Base!$A:$A,0)),IF(GG$1=INDEX('Valo FX'!$R:$R,MATCH($A36,'Valo FX'!$A:$A,0)),INDEX(Base!$V:$V,MATCH($A36,Base!$A:$A,0)),0)))</f>
        <v>12.239100000000001</v>
      </c>
      <c r="GH36" s="21">
        <f>IF(GH$1&lt;INDEX('Valo FX'!$Q:$Q,MATCH($A36,'Valo FX'!$A:$A,0)),0,IF(GH$1&lt;INDEX('Valo FX'!$R:$R,MATCH($A36,'Valo FX'!$A:$A,0)),INDEX(Base!$U:$U,MATCH($A36,Base!$A:$A,0)),IF(GH$1=INDEX('Valo FX'!$R:$R,MATCH($A36,'Valo FX'!$A:$A,0)),INDEX(Base!$V:$V,MATCH($A36,Base!$A:$A,0)),0)))</f>
        <v>12.239100000000001</v>
      </c>
      <c r="GI36" s="21">
        <f>IF(GI$1&lt;INDEX('Valo FX'!$Q:$Q,MATCH($A36,'Valo FX'!$A:$A,0)),0,IF(GI$1&lt;INDEX('Valo FX'!$R:$R,MATCH($A36,'Valo FX'!$A:$A,0)),INDEX(Base!$U:$U,MATCH($A36,Base!$A:$A,0)),IF(GI$1=INDEX('Valo FX'!$R:$R,MATCH($A36,'Valo FX'!$A:$A,0)),INDEX(Base!$V:$V,MATCH($A36,Base!$A:$A,0)),0)))</f>
        <v>12.239100000000001</v>
      </c>
      <c r="GJ36" s="21">
        <f>IF(GJ$1&lt;INDEX('Valo FX'!$Q:$Q,MATCH($A36,'Valo FX'!$A:$A,0)),0,IF(GJ$1&lt;INDEX('Valo FX'!$R:$R,MATCH($A36,'Valo FX'!$A:$A,0)),INDEX(Base!$U:$U,MATCH($A36,Base!$A:$A,0)),IF(GJ$1=INDEX('Valo FX'!$R:$R,MATCH($A36,'Valo FX'!$A:$A,0)),INDEX(Base!$V:$V,MATCH($A36,Base!$A:$A,0)),0)))</f>
        <v>12.239100000000001</v>
      </c>
      <c r="GK36" s="21">
        <f>IF(GK$1&lt;INDEX('Valo FX'!$Q:$Q,MATCH($A36,'Valo FX'!$A:$A,0)),0,IF(GK$1&lt;INDEX('Valo FX'!$R:$R,MATCH($A36,'Valo FX'!$A:$A,0)),INDEX(Base!$U:$U,MATCH($A36,Base!$A:$A,0)),IF(GK$1=INDEX('Valo FX'!$R:$R,MATCH($A36,'Valo FX'!$A:$A,0)),INDEX(Base!$V:$V,MATCH($A36,Base!$A:$A,0)),0)))</f>
        <v>12.239100000000001</v>
      </c>
      <c r="GL36" s="21">
        <f>IF(GL$1&lt;INDEX('Valo FX'!$Q:$Q,MATCH($A36,'Valo FX'!$A:$A,0)),0,IF(GL$1&lt;INDEX('Valo FX'!$R:$R,MATCH($A36,'Valo FX'!$A:$A,0)),INDEX(Base!$U:$U,MATCH($A36,Base!$A:$A,0)),IF(GL$1=INDEX('Valo FX'!$R:$R,MATCH($A36,'Valo FX'!$A:$A,0)),INDEX(Base!$V:$V,MATCH($A36,Base!$A:$A,0)),0)))</f>
        <v>12.239100000000001</v>
      </c>
      <c r="GM36" s="21">
        <f>IF(GM$1&lt;INDEX('Valo FX'!$Q:$Q,MATCH($A36,'Valo FX'!$A:$A,0)),0,IF(GM$1&lt;INDEX('Valo FX'!$R:$R,MATCH($A36,'Valo FX'!$A:$A,0)),INDEX(Base!$U:$U,MATCH($A36,Base!$A:$A,0)),IF(GM$1=INDEX('Valo FX'!$R:$R,MATCH($A36,'Valo FX'!$A:$A,0)),INDEX(Base!$V:$V,MATCH($A36,Base!$A:$A,0)),0)))</f>
        <v>12.239100000000001</v>
      </c>
      <c r="GN36" s="21">
        <f>IF(GN$1&lt;INDEX('Valo FX'!$Q:$Q,MATCH($A36,'Valo FX'!$A:$A,0)),0,IF(GN$1&lt;INDEX('Valo FX'!$R:$R,MATCH($A36,'Valo FX'!$A:$A,0)),INDEX(Base!$U:$U,MATCH($A36,Base!$A:$A,0)),IF(GN$1=INDEX('Valo FX'!$R:$R,MATCH($A36,'Valo FX'!$A:$A,0)),INDEX(Base!$V:$V,MATCH($A36,Base!$A:$A,0)),0)))</f>
        <v>12.239100000000001</v>
      </c>
      <c r="GO36" s="21">
        <f>IF(GO$1&lt;INDEX('Valo FX'!$Q:$Q,MATCH($A36,'Valo FX'!$A:$A,0)),0,IF(GO$1&lt;INDEX('Valo FX'!$R:$R,MATCH($A36,'Valo FX'!$A:$A,0)),INDEX(Base!$U:$U,MATCH($A36,Base!$A:$A,0)),IF(GO$1=INDEX('Valo FX'!$R:$R,MATCH($A36,'Valo FX'!$A:$A,0)),INDEX(Base!$V:$V,MATCH($A36,Base!$A:$A,0)),0)))</f>
        <v>12.239100000000001</v>
      </c>
      <c r="GP36" s="21">
        <f>IF(GP$1&lt;INDEX('Valo FX'!$Q:$Q,MATCH($A36,'Valo FX'!$A:$A,0)),0,IF(GP$1&lt;INDEX('Valo FX'!$R:$R,MATCH($A36,'Valo FX'!$A:$A,0)),INDEX(Base!$U:$U,MATCH($A36,Base!$A:$A,0)),IF(GP$1=INDEX('Valo FX'!$R:$R,MATCH($A36,'Valo FX'!$A:$A,0)),INDEX(Base!$V:$V,MATCH($A36,Base!$A:$A,0)),0)))</f>
        <v>12.239100000000001</v>
      </c>
      <c r="GQ36" s="21">
        <f>IF(GQ$1&lt;INDEX('Valo FX'!$Q:$Q,MATCH($A36,'Valo FX'!$A:$A,0)),0,IF(GQ$1&lt;INDEX('Valo FX'!$R:$R,MATCH($A36,'Valo FX'!$A:$A,0)),INDEX(Base!$U:$U,MATCH($A36,Base!$A:$A,0)),IF(GQ$1=INDEX('Valo FX'!$R:$R,MATCH($A36,'Valo FX'!$A:$A,0)),INDEX(Base!$V:$V,MATCH($A36,Base!$A:$A,0)),0)))</f>
        <v>12.239100000000001</v>
      </c>
      <c r="GR36" s="21">
        <f>IF(GR$1&lt;INDEX('Valo FX'!$Q:$Q,MATCH($A36,'Valo FX'!$A:$A,0)),0,IF(GR$1&lt;INDEX('Valo FX'!$R:$R,MATCH($A36,'Valo FX'!$A:$A,0)),INDEX(Base!$U:$U,MATCH($A36,Base!$A:$A,0)),IF(GR$1=INDEX('Valo FX'!$R:$R,MATCH($A36,'Valo FX'!$A:$A,0)),INDEX(Base!$V:$V,MATCH($A36,Base!$A:$A,0)),0)))</f>
        <v>12.239100000000001</v>
      </c>
      <c r="GS36" s="21">
        <f>IF(GS$1&lt;INDEX('Valo FX'!$Q:$Q,MATCH($A36,'Valo FX'!$A:$A,0)),0,IF(GS$1&lt;INDEX('Valo FX'!$R:$R,MATCH($A36,'Valo FX'!$A:$A,0)),INDEX(Base!$U:$U,MATCH($A36,Base!$A:$A,0)),IF(GS$1=INDEX('Valo FX'!$R:$R,MATCH($A36,'Valo FX'!$A:$A,0)),INDEX(Base!$V:$V,MATCH($A36,Base!$A:$A,0)),0)))</f>
        <v>12.239100000000001</v>
      </c>
      <c r="GT36" s="21">
        <f>IF(GT$1&lt;INDEX('Valo FX'!$Q:$Q,MATCH($A36,'Valo FX'!$A:$A,0)),0,IF(GT$1&lt;INDEX('Valo FX'!$R:$R,MATCH($A36,'Valo FX'!$A:$A,0)),INDEX(Base!$U:$U,MATCH($A36,Base!$A:$A,0)),IF(GT$1=INDEX('Valo FX'!$R:$R,MATCH($A36,'Valo FX'!$A:$A,0)),INDEX(Base!$V:$V,MATCH($A36,Base!$A:$A,0)),0)))</f>
        <v>12.239100000000001</v>
      </c>
      <c r="GU36" s="21">
        <f>IF(GU$1&lt;INDEX('Valo FX'!$Q:$Q,MATCH($A36,'Valo FX'!$A:$A,0)),0,IF(GU$1&lt;INDEX('Valo FX'!$R:$R,MATCH($A36,'Valo FX'!$A:$A,0)),INDEX(Base!$U:$U,MATCH($A36,Base!$A:$A,0)),IF(GU$1=INDEX('Valo FX'!$R:$R,MATCH($A36,'Valo FX'!$A:$A,0)),INDEX(Base!$V:$V,MATCH($A36,Base!$A:$A,0)),0)))</f>
        <v>12.239100000000001</v>
      </c>
      <c r="GV36" s="21">
        <f>IF(GV$1&lt;INDEX('Valo FX'!$Q:$Q,MATCH($A36,'Valo FX'!$A:$A,0)),0,IF(GV$1&lt;INDEX('Valo FX'!$R:$R,MATCH($A36,'Valo FX'!$A:$A,0)),INDEX(Base!$U:$U,MATCH($A36,Base!$A:$A,0)),IF(GV$1=INDEX('Valo FX'!$R:$R,MATCH($A36,'Valo FX'!$A:$A,0)),INDEX(Base!$V:$V,MATCH($A36,Base!$A:$A,0)),0)))</f>
        <v>12.239100000000001</v>
      </c>
      <c r="GW36" s="21">
        <f>IF(GW$1&lt;INDEX('Valo FX'!$Q:$Q,MATCH($A36,'Valo FX'!$A:$A,0)),0,IF(GW$1&lt;INDEX('Valo FX'!$R:$R,MATCH($A36,'Valo FX'!$A:$A,0)),INDEX(Base!$U:$U,MATCH($A36,Base!$A:$A,0)),IF(GW$1=INDEX('Valo FX'!$R:$R,MATCH($A36,'Valo FX'!$A:$A,0)),INDEX(Base!$V:$V,MATCH($A36,Base!$A:$A,0)),0)))</f>
        <v>12.239100000000001</v>
      </c>
      <c r="GX36" s="21">
        <f>IF(GX$1&lt;INDEX('Valo FX'!$Q:$Q,MATCH($A36,'Valo FX'!$A:$A,0)),0,IF(GX$1&lt;INDEX('Valo FX'!$R:$R,MATCH($A36,'Valo FX'!$A:$A,0)),INDEX(Base!$U:$U,MATCH($A36,Base!$A:$A,0)),IF(GX$1=INDEX('Valo FX'!$R:$R,MATCH($A36,'Valo FX'!$A:$A,0)),INDEX(Base!$V:$V,MATCH($A36,Base!$A:$A,0)),0)))</f>
        <v>12.239100000000001</v>
      </c>
      <c r="GY36" s="21">
        <f>IF(GY$1&lt;INDEX('Valo FX'!$Q:$Q,MATCH($A36,'Valo FX'!$A:$A,0)),0,IF(GY$1&lt;INDEX('Valo FX'!$R:$R,MATCH($A36,'Valo FX'!$A:$A,0)),INDEX(Base!$U:$U,MATCH($A36,Base!$A:$A,0)),IF(GY$1=INDEX('Valo FX'!$R:$R,MATCH($A36,'Valo FX'!$A:$A,0)),INDEX(Base!$V:$V,MATCH($A36,Base!$A:$A,0)),0)))</f>
        <v>12.239100000000001</v>
      </c>
      <c r="GZ36" s="21">
        <f>IF(GZ$1&lt;INDEX('Valo FX'!$Q:$Q,MATCH($A36,'Valo FX'!$A:$A,0)),0,IF(GZ$1&lt;INDEX('Valo FX'!$R:$R,MATCH($A36,'Valo FX'!$A:$A,0)),INDEX(Base!$U:$U,MATCH($A36,Base!$A:$A,0)),IF(GZ$1=INDEX('Valo FX'!$R:$R,MATCH($A36,'Valo FX'!$A:$A,0)),INDEX(Base!$V:$V,MATCH($A36,Base!$A:$A,0)),0)))</f>
        <v>12.239100000000001</v>
      </c>
      <c r="HA36" s="21">
        <f>IF(HA$1&lt;INDEX('Valo FX'!$Q:$Q,MATCH($A36,'Valo FX'!$A:$A,0)),0,IF(HA$1&lt;INDEX('Valo FX'!$R:$R,MATCH($A36,'Valo FX'!$A:$A,0)),INDEX(Base!$U:$U,MATCH($A36,Base!$A:$A,0)),IF(HA$1=INDEX('Valo FX'!$R:$R,MATCH($A36,'Valo FX'!$A:$A,0)),INDEX(Base!$V:$V,MATCH($A36,Base!$A:$A,0)),0)))</f>
        <v>12.239100000000001</v>
      </c>
      <c r="HB36" s="21">
        <f>IF(HB$1&lt;INDEX('Valo FX'!$Q:$Q,MATCH($A36,'Valo FX'!$A:$A,0)),0,IF(HB$1&lt;INDEX('Valo FX'!$R:$R,MATCH($A36,'Valo FX'!$A:$A,0)),INDEX(Base!$U:$U,MATCH($A36,Base!$A:$A,0)),IF(HB$1=INDEX('Valo FX'!$R:$R,MATCH($A36,'Valo FX'!$A:$A,0)),INDEX(Base!$V:$V,MATCH($A36,Base!$A:$A,0)),0)))</f>
        <v>12.239100000000001</v>
      </c>
      <c r="HC36" s="21">
        <f>IF(HC$1&lt;INDEX('Valo FX'!$Q:$Q,MATCH($A36,'Valo FX'!$A:$A,0)),0,IF(HC$1&lt;INDEX('Valo FX'!$R:$R,MATCH($A36,'Valo FX'!$A:$A,0)),INDEX(Base!$U:$U,MATCH($A36,Base!$A:$A,0)),IF(HC$1=INDEX('Valo FX'!$R:$R,MATCH($A36,'Valo FX'!$A:$A,0)),INDEX(Base!$V:$V,MATCH($A36,Base!$A:$A,0)),0)))</f>
        <v>12.239100000000001</v>
      </c>
      <c r="HD36" s="21">
        <f>IF(HD$1&lt;INDEX('Valo FX'!$Q:$Q,MATCH($A36,'Valo FX'!$A:$A,0)),0,IF(HD$1&lt;INDEX('Valo FX'!$R:$R,MATCH($A36,'Valo FX'!$A:$A,0)),INDEX(Base!$U:$U,MATCH($A36,Base!$A:$A,0)),IF(HD$1=INDEX('Valo FX'!$R:$R,MATCH($A36,'Valo FX'!$A:$A,0)),INDEX(Base!$V:$V,MATCH($A36,Base!$A:$A,0)),0)))</f>
        <v>12.239100000000001</v>
      </c>
      <c r="HE36" s="21">
        <f>IF(HE$1&lt;INDEX('Valo FX'!$Q:$Q,MATCH($A36,'Valo FX'!$A:$A,0)),0,IF(HE$1&lt;INDEX('Valo FX'!$R:$R,MATCH($A36,'Valo FX'!$A:$A,0)),INDEX(Base!$U:$U,MATCH($A36,Base!$A:$A,0)),IF(HE$1=INDEX('Valo FX'!$R:$R,MATCH($A36,'Valo FX'!$A:$A,0)),INDEX(Base!$V:$V,MATCH($A36,Base!$A:$A,0)),0)))</f>
        <v>12.239100000000001</v>
      </c>
      <c r="HF36" s="21">
        <f>IF(HF$1&lt;INDEX('Valo FX'!$Q:$Q,MATCH($A36,'Valo FX'!$A:$A,0)),0,IF(HF$1&lt;INDEX('Valo FX'!$R:$R,MATCH($A36,'Valo FX'!$A:$A,0)),INDEX(Base!$U:$U,MATCH($A36,Base!$A:$A,0)),IF(HF$1=INDEX('Valo FX'!$R:$R,MATCH($A36,'Valo FX'!$A:$A,0)),INDEX(Base!$V:$V,MATCH($A36,Base!$A:$A,0)),0)))</f>
        <v>12.239100000000001</v>
      </c>
      <c r="HG36" s="21">
        <f>IF(HG$1&lt;INDEX('Valo FX'!$Q:$Q,MATCH($A36,'Valo FX'!$A:$A,0)),0,IF(HG$1&lt;INDEX('Valo FX'!$R:$R,MATCH($A36,'Valo FX'!$A:$A,0)),INDEX(Base!$U:$U,MATCH($A36,Base!$A:$A,0)),IF(HG$1=INDEX('Valo FX'!$R:$R,MATCH($A36,'Valo FX'!$A:$A,0)),INDEX(Base!$V:$V,MATCH($A36,Base!$A:$A,0)),0)))</f>
        <v>12.239100000000001</v>
      </c>
      <c r="HH36" s="21">
        <f>IF(HH$1&lt;INDEX('Valo FX'!$Q:$Q,MATCH($A36,'Valo FX'!$A:$A,0)),0,IF(HH$1&lt;INDEX('Valo FX'!$R:$R,MATCH($A36,'Valo FX'!$A:$A,0)),INDEX(Base!$U:$U,MATCH($A36,Base!$A:$A,0)),IF(HH$1=INDEX('Valo FX'!$R:$R,MATCH($A36,'Valo FX'!$A:$A,0)),INDEX(Base!$V:$V,MATCH($A36,Base!$A:$A,0)),0)))</f>
        <v>12.239100000000001</v>
      </c>
      <c r="HI36" s="21">
        <f>IF(HI$1&lt;INDEX('Valo FX'!$Q:$Q,MATCH($A36,'Valo FX'!$A:$A,0)),0,IF(HI$1&lt;INDEX('Valo FX'!$R:$R,MATCH($A36,'Valo FX'!$A:$A,0)),INDEX(Base!$U:$U,MATCH($A36,Base!$A:$A,0)),IF(HI$1=INDEX('Valo FX'!$R:$R,MATCH($A36,'Valo FX'!$A:$A,0)),INDEX(Base!$V:$V,MATCH($A36,Base!$A:$A,0)),0)))</f>
        <v>12.239100000000001</v>
      </c>
      <c r="HJ36" s="21">
        <f>IF(HJ$1&lt;INDEX('Valo FX'!$Q:$Q,MATCH($A36,'Valo FX'!$A:$A,0)),0,IF(HJ$1&lt;INDEX('Valo FX'!$R:$R,MATCH($A36,'Valo FX'!$A:$A,0)),INDEX(Base!$U:$U,MATCH($A36,Base!$A:$A,0)),IF(HJ$1=INDEX('Valo FX'!$R:$R,MATCH($A36,'Valo FX'!$A:$A,0)),INDEX(Base!$V:$V,MATCH($A36,Base!$A:$A,0)),0)))</f>
        <v>12.239100000000001</v>
      </c>
      <c r="HK36" s="21">
        <f>IF(HK$1&lt;INDEX('Valo FX'!$Q:$Q,MATCH($A36,'Valo FX'!$A:$A,0)),0,IF(HK$1&lt;INDEX('Valo FX'!$R:$R,MATCH($A36,'Valo FX'!$A:$A,0)),INDEX(Base!$U:$U,MATCH($A36,Base!$A:$A,0)),IF(HK$1=INDEX('Valo FX'!$R:$R,MATCH($A36,'Valo FX'!$A:$A,0)),INDEX(Base!$V:$V,MATCH($A36,Base!$A:$A,0)),0)))</f>
        <v>12.239100000000001</v>
      </c>
      <c r="HL36" s="21">
        <f>IF(HL$1&lt;INDEX('Valo FX'!$Q:$Q,MATCH($A36,'Valo FX'!$A:$A,0)),0,IF(HL$1&lt;INDEX('Valo FX'!$R:$R,MATCH($A36,'Valo FX'!$A:$A,0)),INDEX(Base!$U:$U,MATCH($A36,Base!$A:$A,0)),IF(HL$1=INDEX('Valo FX'!$R:$R,MATCH($A36,'Valo FX'!$A:$A,0)),INDEX(Base!$V:$V,MATCH($A36,Base!$A:$A,0)),0)))</f>
        <v>12.239100000000001</v>
      </c>
      <c r="HM36" s="21">
        <f>IF(HM$1&lt;INDEX('Valo FX'!$Q:$Q,MATCH($A36,'Valo FX'!$A:$A,0)),0,IF(HM$1&lt;INDEX('Valo FX'!$R:$R,MATCH($A36,'Valo FX'!$A:$A,0)),INDEX(Base!$U:$U,MATCH($A36,Base!$A:$A,0)),IF(HM$1=INDEX('Valo FX'!$R:$R,MATCH($A36,'Valo FX'!$A:$A,0)),INDEX(Base!$V:$V,MATCH($A36,Base!$A:$A,0)),0)))</f>
        <v>12.239100000000001</v>
      </c>
      <c r="HN36" s="21">
        <f>IF(HN$1&lt;INDEX('Valo FX'!$Q:$Q,MATCH($A36,'Valo FX'!$A:$A,0)),0,IF(HN$1&lt;INDEX('Valo FX'!$R:$R,MATCH($A36,'Valo FX'!$A:$A,0)),INDEX(Base!$U:$U,MATCH($A36,Base!$A:$A,0)),IF(HN$1=INDEX('Valo FX'!$R:$R,MATCH($A36,'Valo FX'!$A:$A,0)),INDEX(Base!$V:$V,MATCH($A36,Base!$A:$A,0)),0)))</f>
        <v>12.239100000000001</v>
      </c>
      <c r="HO36" s="21">
        <f>IF(HO$1&lt;INDEX('Valo FX'!$Q:$Q,MATCH($A36,'Valo FX'!$A:$A,0)),0,IF(HO$1&lt;INDEX('Valo FX'!$R:$R,MATCH($A36,'Valo FX'!$A:$A,0)),INDEX(Base!$U:$U,MATCH($A36,Base!$A:$A,0)),IF(HO$1=INDEX('Valo FX'!$R:$R,MATCH($A36,'Valo FX'!$A:$A,0)),INDEX(Base!$V:$V,MATCH($A36,Base!$A:$A,0)),0)))</f>
        <v>12.239100000000001</v>
      </c>
      <c r="HP36" s="21">
        <f>IF(HP$1&lt;INDEX('Valo FX'!$Q:$Q,MATCH($A36,'Valo FX'!$A:$A,0)),0,IF(HP$1&lt;INDEX('Valo FX'!$R:$R,MATCH($A36,'Valo FX'!$A:$A,0)),INDEX(Base!$U:$U,MATCH($A36,Base!$A:$A,0)),IF(HP$1=INDEX('Valo FX'!$R:$R,MATCH($A36,'Valo FX'!$A:$A,0)),INDEX(Base!$V:$V,MATCH($A36,Base!$A:$A,0)),0)))</f>
        <v>12.239100000000001</v>
      </c>
      <c r="HQ36" s="21">
        <f>IF(HQ$1&lt;INDEX('Valo FX'!$Q:$Q,MATCH($A36,'Valo FX'!$A:$A,0)),0,IF(HQ$1&lt;INDEX('Valo FX'!$R:$R,MATCH($A36,'Valo FX'!$A:$A,0)),INDEX(Base!$U:$U,MATCH($A36,Base!$A:$A,0)),IF(HQ$1=INDEX('Valo FX'!$R:$R,MATCH($A36,'Valo FX'!$A:$A,0)),INDEX(Base!$V:$V,MATCH($A36,Base!$A:$A,0)),0)))</f>
        <v>12.239100000000001</v>
      </c>
      <c r="HR36" s="21">
        <f>IF(HR$1&lt;INDEX('Valo FX'!$Q:$Q,MATCH($A36,'Valo FX'!$A:$A,0)),0,IF(HR$1&lt;INDEX('Valo FX'!$R:$R,MATCH($A36,'Valo FX'!$A:$A,0)),INDEX(Base!$U:$U,MATCH($A36,Base!$A:$A,0)),IF(HR$1=INDEX('Valo FX'!$R:$R,MATCH($A36,'Valo FX'!$A:$A,0)),INDEX(Base!$V:$V,MATCH($A36,Base!$A:$A,0)),0)))</f>
        <v>12.239100000000001</v>
      </c>
      <c r="HS36" s="21">
        <f>IF(HS$1&lt;INDEX('Valo FX'!$Q:$Q,MATCH($A36,'Valo FX'!$A:$A,0)),0,IF(HS$1&lt;INDEX('Valo FX'!$R:$R,MATCH($A36,'Valo FX'!$A:$A,0)),INDEX(Base!$U:$U,MATCH($A36,Base!$A:$A,0)),IF(HS$1=INDEX('Valo FX'!$R:$R,MATCH($A36,'Valo FX'!$A:$A,0)),INDEX(Base!$V:$V,MATCH($A36,Base!$A:$A,0)),0)))</f>
        <v>12.239100000000001</v>
      </c>
      <c r="HT36" s="21">
        <f>IF(HT$1&lt;INDEX('Valo FX'!$Q:$Q,MATCH($A36,'Valo FX'!$A:$A,0)),0,IF(HT$1&lt;INDEX('Valo FX'!$R:$R,MATCH($A36,'Valo FX'!$A:$A,0)),INDEX(Base!$U:$U,MATCH($A36,Base!$A:$A,0)),IF(HT$1=INDEX('Valo FX'!$R:$R,MATCH($A36,'Valo FX'!$A:$A,0)),INDEX(Base!$V:$V,MATCH($A36,Base!$A:$A,0)),0)))</f>
        <v>12.239100000000001</v>
      </c>
      <c r="HU36" s="21">
        <f>IF(HU$1&lt;INDEX('Valo FX'!$Q:$Q,MATCH($A36,'Valo FX'!$A:$A,0)),0,IF(HU$1&lt;INDEX('Valo FX'!$R:$R,MATCH($A36,'Valo FX'!$A:$A,0)),INDEX(Base!$U:$U,MATCH($A36,Base!$A:$A,0)),IF(HU$1=INDEX('Valo FX'!$R:$R,MATCH($A36,'Valo FX'!$A:$A,0)),INDEX(Base!$V:$V,MATCH($A36,Base!$A:$A,0)),0)))</f>
        <v>12.239100000000001</v>
      </c>
      <c r="HV36" s="21">
        <f>IF(HV$1&lt;INDEX('Valo FX'!$Q:$Q,MATCH($A36,'Valo FX'!$A:$A,0)),0,IF(HV$1&lt;INDEX('Valo FX'!$R:$R,MATCH($A36,'Valo FX'!$A:$A,0)),INDEX(Base!$U:$U,MATCH($A36,Base!$A:$A,0)),IF(HV$1=INDEX('Valo FX'!$R:$R,MATCH($A36,'Valo FX'!$A:$A,0)),INDEX(Base!$V:$V,MATCH($A36,Base!$A:$A,0)),0)))</f>
        <v>12.239100000000001</v>
      </c>
      <c r="HW36" s="21">
        <f>IF(HW$1&lt;INDEX('Valo FX'!$Q:$Q,MATCH($A36,'Valo FX'!$A:$A,0)),0,IF(HW$1&lt;INDEX('Valo FX'!$R:$R,MATCH($A36,'Valo FX'!$A:$A,0)),INDEX(Base!$U:$U,MATCH($A36,Base!$A:$A,0)),IF(HW$1=INDEX('Valo FX'!$R:$R,MATCH($A36,'Valo FX'!$A:$A,0)),INDEX(Base!$V:$V,MATCH($A36,Base!$A:$A,0)),0)))</f>
        <v>12.239100000000001</v>
      </c>
      <c r="HX36" s="21">
        <f>IF(HX$1&lt;INDEX('Valo FX'!$Q:$Q,MATCH($A36,'Valo FX'!$A:$A,0)),0,IF(HX$1&lt;INDEX('Valo FX'!$R:$R,MATCH($A36,'Valo FX'!$A:$A,0)),INDEX(Base!$U:$U,MATCH($A36,Base!$A:$A,0)),IF(HX$1=INDEX('Valo FX'!$R:$R,MATCH($A36,'Valo FX'!$A:$A,0)),INDEX(Base!$V:$V,MATCH($A36,Base!$A:$A,0)),0)))</f>
        <v>12.239100000000001</v>
      </c>
      <c r="HY36" s="21">
        <f>IF(HY$1&lt;INDEX('Valo FX'!$Q:$Q,MATCH($A36,'Valo FX'!$A:$A,0)),0,IF(HY$1&lt;INDEX('Valo FX'!$R:$R,MATCH($A36,'Valo FX'!$A:$A,0)),INDEX(Base!$U:$U,MATCH($A36,Base!$A:$A,0)),IF(HY$1=INDEX('Valo FX'!$R:$R,MATCH($A36,'Valo FX'!$A:$A,0)),INDEX(Base!$V:$V,MATCH($A36,Base!$A:$A,0)),0)))</f>
        <v>12.239100000000001</v>
      </c>
      <c r="HZ36" s="21">
        <f>IF(HZ$1&lt;INDEX('Valo FX'!$Q:$Q,MATCH($A36,'Valo FX'!$A:$A,0)),0,IF(HZ$1&lt;INDEX('Valo FX'!$R:$R,MATCH($A36,'Valo FX'!$A:$A,0)),INDEX(Base!$U:$U,MATCH($A36,Base!$A:$A,0)),IF(HZ$1=INDEX('Valo FX'!$R:$R,MATCH($A36,'Valo FX'!$A:$A,0)),INDEX(Base!$V:$V,MATCH($A36,Base!$A:$A,0)),0)))</f>
        <v>12.239100000000001</v>
      </c>
      <c r="IA36" s="21">
        <f>IF(IA$1&lt;INDEX('Valo FX'!$Q:$Q,MATCH($A36,'Valo FX'!$A:$A,0)),0,IF(IA$1&lt;INDEX('Valo FX'!$R:$R,MATCH($A36,'Valo FX'!$A:$A,0)),INDEX(Base!$U:$U,MATCH($A36,Base!$A:$A,0)),IF(IA$1=INDEX('Valo FX'!$R:$R,MATCH($A36,'Valo FX'!$A:$A,0)),INDEX(Base!$V:$V,MATCH($A36,Base!$A:$A,0)),0)))</f>
        <v>12.239100000000001</v>
      </c>
      <c r="IB36" s="21">
        <f>IF(IB$1&lt;INDEX('Valo FX'!$Q:$Q,MATCH($A36,'Valo FX'!$A:$A,0)),0,IF(IB$1&lt;INDEX('Valo FX'!$R:$R,MATCH($A36,'Valo FX'!$A:$A,0)),INDEX(Base!$U:$U,MATCH($A36,Base!$A:$A,0)),IF(IB$1=INDEX('Valo FX'!$R:$R,MATCH($A36,'Valo FX'!$A:$A,0)),INDEX(Base!$V:$V,MATCH($A36,Base!$A:$A,0)),0)))</f>
        <v>12.239100000000001</v>
      </c>
      <c r="IC36" s="21">
        <f>IF(IC$1&lt;INDEX('Valo FX'!$Q:$Q,MATCH($A36,'Valo FX'!$A:$A,0)),0,IF(IC$1&lt;INDEX('Valo FX'!$R:$R,MATCH($A36,'Valo FX'!$A:$A,0)),INDEX(Base!$U:$U,MATCH($A36,Base!$A:$A,0)),IF(IC$1=INDEX('Valo FX'!$R:$R,MATCH($A36,'Valo FX'!$A:$A,0)),INDEX(Base!$V:$V,MATCH($A36,Base!$A:$A,0)),0)))</f>
        <v>12.239100000000001</v>
      </c>
      <c r="ID36" s="21">
        <f>IF(ID$1&lt;INDEX('Valo FX'!$Q:$Q,MATCH($A36,'Valo FX'!$A:$A,0)),0,IF(ID$1&lt;INDEX('Valo FX'!$R:$R,MATCH($A36,'Valo FX'!$A:$A,0)),INDEX(Base!$U:$U,MATCH($A36,Base!$A:$A,0)),IF(ID$1=INDEX('Valo FX'!$R:$R,MATCH($A36,'Valo FX'!$A:$A,0)),INDEX(Base!$V:$V,MATCH($A36,Base!$A:$A,0)),0)))</f>
        <v>12.239100000000001</v>
      </c>
      <c r="IE36" s="21">
        <f>IF(IE$1&lt;INDEX('Valo FX'!$Q:$Q,MATCH($A36,'Valo FX'!$A:$A,0)),0,IF(IE$1&lt;INDEX('Valo FX'!$R:$R,MATCH($A36,'Valo FX'!$A:$A,0)),INDEX(Base!$U:$U,MATCH($A36,Base!$A:$A,0)),IF(IE$1=INDEX('Valo FX'!$R:$R,MATCH($A36,'Valo FX'!$A:$A,0)),INDEX(Base!$V:$V,MATCH($A36,Base!$A:$A,0)),0)))</f>
        <v>12.239100000000001</v>
      </c>
      <c r="IF36" s="21">
        <f>IF(IF$1&lt;INDEX('Valo FX'!$Q:$Q,MATCH($A36,'Valo FX'!$A:$A,0)),0,IF(IF$1&lt;INDEX('Valo FX'!$R:$R,MATCH($A36,'Valo FX'!$A:$A,0)),INDEX(Base!$U:$U,MATCH($A36,Base!$A:$A,0)),IF(IF$1=INDEX('Valo FX'!$R:$R,MATCH($A36,'Valo FX'!$A:$A,0)),INDEX(Base!$V:$V,MATCH($A36,Base!$A:$A,0)),0)))</f>
        <v>12.239100000000001</v>
      </c>
      <c r="IG36" s="21">
        <f>IF(IG$1&lt;INDEX('Valo FX'!$Q:$Q,MATCH($A36,'Valo FX'!$A:$A,0)),0,IF(IG$1&lt;INDEX('Valo FX'!$R:$R,MATCH($A36,'Valo FX'!$A:$A,0)),INDEX(Base!$U:$U,MATCH($A36,Base!$A:$A,0)),IF(IG$1=INDEX('Valo FX'!$R:$R,MATCH($A36,'Valo FX'!$A:$A,0)),INDEX(Base!$V:$V,MATCH($A36,Base!$A:$A,0)),0)))</f>
        <v>12.239100000000001</v>
      </c>
      <c r="IH36" s="21">
        <f>IF(IH$1&lt;INDEX('Valo FX'!$Q:$Q,MATCH($A36,'Valo FX'!$A:$A,0)),0,IF(IH$1&lt;INDEX('Valo FX'!$R:$R,MATCH($A36,'Valo FX'!$A:$A,0)),INDEX(Base!$U:$U,MATCH($A36,Base!$A:$A,0)),IF(IH$1=INDEX('Valo FX'!$R:$R,MATCH($A36,'Valo FX'!$A:$A,0)),INDEX(Base!$V:$V,MATCH($A36,Base!$A:$A,0)),0)))</f>
        <v>12.239100000000001</v>
      </c>
      <c r="II36" s="21">
        <f>IF(II$1&lt;INDEX('Valo FX'!$Q:$Q,MATCH($A36,'Valo FX'!$A:$A,0)),0,IF(II$1&lt;INDEX('Valo FX'!$R:$R,MATCH($A36,'Valo FX'!$A:$A,0)),INDEX(Base!$U:$U,MATCH($A36,Base!$A:$A,0)),IF(II$1=INDEX('Valo FX'!$R:$R,MATCH($A36,'Valo FX'!$A:$A,0)),INDEX(Base!$V:$V,MATCH($A36,Base!$A:$A,0)),0)))</f>
        <v>12.239100000000001</v>
      </c>
      <c r="IJ36" s="21">
        <f>IF(IJ$1&lt;INDEX('Valo FX'!$Q:$Q,MATCH($A36,'Valo FX'!$A:$A,0)),0,IF(IJ$1&lt;INDEX('Valo FX'!$R:$R,MATCH($A36,'Valo FX'!$A:$A,0)),INDEX(Base!$U:$U,MATCH($A36,Base!$A:$A,0)),IF(IJ$1=INDEX('Valo FX'!$R:$R,MATCH($A36,'Valo FX'!$A:$A,0)),INDEX(Base!$V:$V,MATCH($A36,Base!$A:$A,0)),0)))</f>
        <v>12.239100000000001</v>
      </c>
      <c r="IK36" s="21">
        <f>IF(IK$1&lt;INDEX('Valo FX'!$Q:$Q,MATCH($A36,'Valo FX'!$A:$A,0)),0,IF(IK$1&lt;INDEX('Valo FX'!$R:$R,MATCH($A36,'Valo FX'!$A:$A,0)),INDEX(Base!$U:$U,MATCH($A36,Base!$A:$A,0)),IF(IK$1=INDEX('Valo FX'!$R:$R,MATCH($A36,'Valo FX'!$A:$A,0)),INDEX(Base!$V:$V,MATCH($A36,Base!$A:$A,0)),0)))</f>
        <v>12.239100000000001</v>
      </c>
      <c r="IL36" s="21">
        <f>IF(IL$1&lt;INDEX('Valo FX'!$Q:$Q,MATCH($A36,'Valo FX'!$A:$A,0)),0,IF(IL$1&lt;INDEX('Valo FX'!$R:$R,MATCH($A36,'Valo FX'!$A:$A,0)),INDEX(Base!$U:$U,MATCH($A36,Base!$A:$A,0)),IF(IL$1=INDEX('Valo FX'!$R:$R,MATCH($A36,'Valo FX'!$A:$A,0)),INDEX(Base!$V:$V,MATCH($A36,Base!$A:$A,0)),0)))</f>
        <v>12.239100000000001</v>
      </c>
      <c r="IM36" s="21">
        <f>IF(IM$1&lt;INDEX('Valo FX'!$Q:$Q,MATCH($A36,'Valo FX'!$A:$A,0)),0,IF(IM$1&lt;INDEX('Valo FX'!$R:$R,MATCH($A36,'Valo FX'!$A:$A,0)),INDEX(Base!$U:$U,MATCH($A36,Base!$A:$A,0)),IF(IM$1=INDEX('Valo FX'!$R:$R,MATCH($A36,'Valo FX'!$A:$A,0)),INDEX(Base!$V:$V,MATCH($A36,Base!$A:$A,0)),0)))</f>
        <v>12.239100000000001</v>
      </c>
      <c r="IN36" s="21">
        <f>IF(IN$1&lt;INDEX('Valo FX'!$Q:$Q,MATCH($A36,'Valo FX'!$A:$A,0)),0,IF(IN$1&lt;INDEX('Valo FX'!$R:$R,MATCH($A36,'Valo FX'!$A:$A,0)),INDEX(Base!$U:$U,MATCH($A36,Base!$A:$A,0)),IF(IN$1=INDEX('Valo FX'!$R:$R,MATCH($A36,'Valo FX'!$A:$A,0)),INDEX(Base!$V:$V,MATCH($A36,Base!$A:$A,0)),0)))</f>
        <v>12.239100000000001</v>
      </c>
      <c r="IO36" s="21">
        <f>IF(IO$1&lt;INDEX('Valo FX'!$Q:$Q,MATCH($A36,'Valo FX'!$A:$A,0)),0,IF(IO$1&lt;INDEX('Valo FX'!$R:$R,MATCH($A36,'Valo FX'!$A:$A,0)),INDEX(Base!$U:$U,MATCH($A36,Base!$A:$A,0)),IF(IO$1=INDEX('Valo FX'!$R:$R,MATCH($A36,'Valo FX'!$A:$A,0)),INDEX(Base!$V:$V,MATCH($A36,Base!$A:$A,0)),0)))</f>
        <v>12.239100000000001</v>
      </c>
      <c r="IP36" s="21">
        <f>IF(IP$1&lt;INDEX('Valo FX'!$Q:$Q,MATCH($A36,'Valo FX'!$A:$A,0)),0,IF(IP$1&lt;INDEX('Valo FX'!$R:$R,MATCH($A36,'Valo FX'!$A:$A,0)),INDEX(Base!$U:$U,MATCH($A36,Base!$A:$A,0)),IF(IP$1=INDEX('Valo FX'!$R:$R,MATCH($A36,'Valo FX'!$A:$A,0)),INDEX(Base!$V:$V,MATCH($A36,Base!$A:$A,0)),0)))</f>
        <v>12.239100000000001</v>
      </c>
      <c r="IQ36" s="21">
        <f>IF(IQ$1&lt;INDEX('Valo FX'!$Q:$Q,MATCH($A36,'Valo FX'!$A:$A,0)),0,IF(IQ$1&lt;INDEX('Valo FX'!$R:$R,MATCH($A36,'Valo FX'!$A:$A,0)),INDEX(Base!$U:$U,MATCH($A36,Base!$A:$A,0)),IF(IQ$1=INDEX('Valo FX'!$R:$R,MATCH($A36,'Valo FX'!$A:$A,0)),INDEX(Base!$V:$V,MATCH($A36,Base!$A:$A,0)),0)))</f>
        <v>12.239100000000001</v>
      </c>
      <c r="IR36" s="21">
        <f>IF(IR$1&lt;INDEX('Valo FX'!$Q:$Q,MATCH($A36,'Valo FX'!$A:$A,0)),0,IF(IR$1&lt;INDEX('Valo FX'!$R:$R,MATCH($A36,'Valo FX'!$A:$A,0)),INDEX(Base!$U:$U,MATCH($A36,Base!$A:$A,0)),IF(IR$1=INDEX('Valo FX'!$R:$R,MATCH($A36,'Valo FX'!$A:$A,0)),INDEX(Base!$V:$V,MATCH($A36,Base!$A:$A,0)),0)))</f>
        <v>12.239100000000001</v>
      </c>
      <c r="IS36" s="21">
        <f>IF(IS$1&lt;INDEX('Valo FX'!$Q:$Q,MATCH($A36,'Valo FX'!$A:$A,0)),0,IF(IS$1&lt;INDEX('Valo FX'!$R:$R,MATCH($A36,'Valo FX'!$A:$A,0)),INDEX(Base!$U:$U,MATCH($A36,Base!$A:$A,0)),IF(IS$1=INDEX('Valo FX'!$R:$R,MATCH($A36,'Valo FX'!$A:$A,0)),INDEX(Base!$V:$V,MATCH($A36,Base!$A:$A,0)),0)))</f>
        <v>12.239100000000001</v>
      </c>
      <c r="IT36" s="21">
        <f>IF(IT$1&lt;INDEX('Valo FX'!$Q:$Q,MATCH($A36,'Valo FX'!$A:$A,0)),0,IF(IT$1&lt;INDEX('Valo FX'!$R:$R,MATCH($A36,'Valo FX'!$A:$A,0)),INDEX(Base!$U:$U,MATCH($A36,Base!$A:$A,0)),IF(IT$1=INDEX('Valo FX'!$R:$R,MATCH($A36,'Valo FX'!$A:$A,0)),INDEX(Base!$V:$V,MATCH($A36,Base!$A:$A,0)),0)))</f>
        <v>12.239100000000001</v>
      </c>
      <c r="IU36" s="21">
        <f>IF(IU$1&lt;INDEX('Valo FX'!$Q:$Q,MATCH($A36,'Valo FX'!$A:$A,0)),0,IF(IU$1&lt;INDEX('Valo FX'!$R:$R,MATCH($A36,'Valo FX'!$A:$A,0)),INDEX(Base!$U:$U,MATCH($A36,Base!$A:$A,0)),IF(IU$1=INDEX('Valo FX'!$R:$R,MATCH($A36,'Valo FX'!$A:$A,0)),INDEX(Base!$V:$V,MATCH($A36,Base!$A:$A,0)),0)))</f>
        <v>12.239100000000001</v>
      </c>
      <c r="IV36" s="21">
        <f>IF(IV$1&lt;INDEX('Valo FX'!$Q:$Q,MATCH($A36,'Valo FX'!$A:$A,0)),0,IF(IV$1&lt;INDEX('Valo FX'!$R:$R,MATCH($A36,'Valo FX'!$A:$A,0)),INDEX(Base!$U:$U,MATCH($A36,Base!$A:$A,0)),IF(IV$1=INDEX('Valo FX'!$R:$R,MATCH($A36,'Valo FX'!$A:$A,0)),INDEX(Base!$V:$V,MATCH($A36,Base!$A:$A,0)),0)))</f>
        <v>12.239100000000001</v>
      </c>
      <c r="IW36" s="21">
        <f>IF(IW$1&lt;INDEX('Valo FX'!$Q:$Q,MATCH($A36,'Valo FX'!$A:$A,0)),0,IF(IW$1&lt;INDEX('Valo FX'!$R:$R,MATCH($A36,'Valo FX'!$A:$A,0)),INDEX(Base!$U:$U,MATCH($A36,Base!$A:$A,0)),IF(IW$1=INDEX('Valo FX'!$R:$R,MATCH($A36,'Valo FX'!$A:$A,0)),INDEX(Base!$V:$V,MATCH($A36,Base!$A:$A,0)),0)))</f>
        <v>12.239100000000001</v>
      </c>
      <c r="IX36" s="21">
        <f>IF(IX$1&lt;INDEX('Valo FX'!$Q:$Q,MATCH($A36,'Valo FX'!$A:$A,0)),0,IF(IX$1&lt;INDEX('Valo FX'!$R:$R,MATCH($A36,'Valo FX'!$A:$A,0)),INDEX(Base!$U:$U,MATCH($A36,Base!$A:$A,0)),IF(IX$1=INDEX('Valo FX'!$R:$R,MATCH($A36,'Valo FX'!$A:$A,0)),INDEX(Base!$V:$V,MATCH($A36,Base!$A:$A,0)),0)))</f>
        <v>12.239100000000001</v>
      </c>
      <c r="IY36" s="21">
        <f>IF(IY$1&lt;INDEX('Valo FX'!$Q:$Q,MATCH($A36,'Valo FX'!$A:$A,0)),0,IF(IY$1&lt;INDEX('Valo FX'!$R:$R,MATCH($A36,'Valo FX'!$A:$A,0)),INDEX(Base!$U:$U,MATCH($A36,Base!$A:$A,0)),IF(IY$1=INDEX('Valo FX'!$R:$R,MATCH($A36,'Valo FX'!$A:$A,0)),INDEX(Base!$V:$V,MATCH($A36,Base!$A:$A,0)),0)))</f>
        <v>12.239100000000001</v>
      </c>
      <c r="IZ36" s="21">
        <f>IF(IZ$1&lt;INDEX('Valo FX'!$Q:$Q,MATCH($A36,'Valo FX'!$A:$A,0)),0,IF(IZ$1&lt;INDEX('Valo FX'!$R:$R,MATCH($A36,'Valo FX'!$A:$A,0)),INDEX(Base!$U:$U,MATCH($A36,Base!$A:$A,0)),IF(IZ$1=INDEX('Valo FX'!$R:$R,MATCH($A36,'Valo FX'!$A:$A,0)),INDEX(Base!$V:$V,MATCH($A36,Base!$A:$A,0)),0)))</f>
        <v>12.239100000000001</v>
      </c>
      <c r="JA36" s="21">
        <f>IF(JA$1&lt;INDEX('Valo FX'!$Q:$Q,MATCH($A36,'Valo FX'!$A:$A,0)),0,IF(JA$1&lt;INDEX('Valo FX'!$R:$R,MATCH($A36,'Valo FX'!$A:$A,0)),INDEX(Base!$U:$U,MATCH($A36,Base!$A:$A,0)),IF(JA$1=INDEX('Valo FX'!$R:$R,MATCH($A36,'Valo FX'!$A:$A,0)),INDEX(Base!$V:$V,MATCH($A36,Base!$A:$A,0)),0)))</f>
        <v>12.239100000000001</v>
      </c>
      <c r="JB36" s="21">
        <f>IF(JB$1&lt;INDEX('Valo FX'!$Q:$Q,MATCH($A36,'Valo FX'!$A:$A,0)),0,IF(JB$1&lt;INDEX('Valo FX'!$R:$R,MATCH($A36,'Valo FX'!$A:$A,0)),INDEX(Base!$U:$U,MATCH($A36,Base!$A:$A,0)),IF(JB$1=INDEX('Valo FX'!$R:$R,MATCH($A36,'Valo FX'!$A:$A,0)),INDEX(Base!$V:$V,MATCH($A36,Base!$A:$A,0)),0)))</f>
        <v>12.239100000000001</v>
      </c>
      <c r="JC36" s="21">
        <f>IF(JC$1&lt;INDEX('Valo FX'!$Q:$Q,MATCH($A36,'Valo FX'!$A:$A,0)),0,IF(JC$1&lt;INDEX('Valo FX'!$R:$R,MATCH($A36,'Valo FX'!$A:$A,0)),INDEX(Base!$U:$U,MATCH($A36,Base!$A:$A,0)),IF(JC$1=INDEX('Valo FX'!$R:$R,MATCH($A36,'Valo FX'!$A:$A,0)),INDEX(Base!$V:$V,MATCH($A36,Base!$A:$A,0)),0)))</f>
        <v>12.239100000000001</v>
      </c>
      <c r="JD36" s="21">
        <f>IF(JD$1&lt;INDEX('Valo FX'!$Q:$Q,MATCH($A36,'Valo FX'!$A:$A,0)),0,IF(JD$1&lt;INDEX('Valo FX'!$R:$R,MATCH($A36,'Valo FX'!$A:$A,0)),INDEX(Base!$U:$U,MATCH($A36,Base!$A:$A,0)),IF(JD$1=INDEX('Valo FX'!$R:$R,MATCH($A36,'Valo FX'!$A:$A,0)),INDEX(Base!$V:$V,MATCH($A36,Base!$A:$A,0)),0)))</f>
        <v>12.239100000000001</v>
      </c>
      <c r="JE36" s="21">
        <f>IF(JE$1&lt;INDEX('Valo FX'!$Q:$Q,MATCH($A36,'Valo FX'!$A:$A,0)),0,IF(JE$1&lt;INDEX('Valo FX'!$R:$R,MATCH($A36,'Valo FX'!$A:$A,0)),INDEX(Base!$U:$U,MATCH($A36,Base!$A:$A,0)),IF(JE$1=INDEX('Valo FX'!$R:$R,MATCH($A36,'Valo FX'!$A:$A,0)),INDEX(Base!$V:$V,MATCH($A36,Base!$A:$A,0)),0)))</f>
        <v>12.239100000000001</v>
      </c>
      <c r="JF36" s="21">
        <f>IF(JF$1&lt;INDEX('Valo FX'!$Q:$Q,MATCH($A36,'Valo FX'!$A:$A,0)),0,IF(JF$1&lt;INDEX('Valo FX'!$R:$R,MATCH($A36,'Valo FX'!$A:$A,0)),INDEX(Base!$U:$U,MATCH($A36,Base!$A:$A,0)),IF(JF$1=INDEX('Valo FX'!$R:$R,MATCH($A36,'Valo FX'!$A:$A,0)),INDEX(Base!$V:$V,MATCH($A36,Base!$A:$A,0)),0)))</f>
        <v>12.239100000000001</v>
      </c>
      <c r="JG36" s="21">
        <f>IF(JG$1&lt;INDEX('Valo FX'!$Q:$Q,MATCH($A36,'Valo FX'!$A:$A,0)),0,IF(JG$1&lt;INDEX('Valo FX'!$R:$R,MATCH($A36,'Valo FX'!$A:$A,0)),INDEX(Base!$U:$U,MATCH($A36,Base!$A:$A,0)),IF(JG$1=INDEX('Valo FX'!$R:$R,MATCH($A36,'Valo FX'!$A:$A,0)),INDEX(Base!$V:$V,MATCH($A36,Base!$A:$A,0)),0)))</f>
        <v>12.239100000000001</v>
      </c>
      <c r="JH36" s="21">
        <f>IF(JH$1&lt;INDEX('Valo FX'!$Q:$Q,MATCH($A36,'Valo FX'!$A:$A,0)),0,IF(JH$1&lt;INDEX('Valo FX'!$R:$R,MATCH($A36,'Valo FX'!$A:$A,0)),INDEX(Base!$U:$U,MATCH($A36,Base!$A:$A,0)),IF(JH$1=INDEX('Valo FX'!$R:$R,MATCH($A36,'Valo FX'!$A:$A,0)),INDEX(Base!$V:$V,MATCH($A36,Base!$A:$A,0)),0)))</f>
        <v>12.239100000000001</v>
      </c>
      <c r="JI36" s="21">
        <f>IF(JI$1&lt;INDEX('Valo FX'!$Q:$Q,MATCH($A36,'Valo FX'!$A:$A,0)),0,IF(JI$1&lt;INDEX('Valo FX'!$R:$R,MATCH($A36,'Valo FX'!$A:$A,0)),INDEX(Base!$U:$U,MATCH($A36,Base!$A:$A,0)),IF(JI$1=INDEX('Valo FX'!$R:$R,MATCH($A36,'Valo FX'!$A:$A,0)),INDEX(Base!$V:$V,MATCH($A36,Base!$A:$A,0)),0)))</f>
        <v>12.239100000000001</v>
      </c>
      <c r="JJ36" s="21">
        <f>IF(JJ$1&lt;INDEX('Valo FX'!$Q:$Q,MATCH($A36,'Valo FX'!$A:$A,0)),0,IF(JJ$1&lt;INDEX('Valo FX'!$R:$R,MATCH($A36,'Valo FX'!$A:$A,0)),INDEX(Base!$U:$U,MATCH($A36,Base!$A:$A,0)),IF(JJ$1=INDEX('Valo FX'!$R:$R,MATCH($A36,'Valo FX'!$A:$A,0)),INDEX(Base!$V:$V,MATCH($A36,Base!$A:$A,0)),0)))</f>
        <v>12.239100000000001</v>
      </c>
      <c r="JK36" s="21">
        <f>IF(JK$1&lt;INDEX('Valo FX'!$Q:$Q,MATCH($A36,'Valo FX'!$A:$A,0)),0,IF(JK$1&lt;INDEX('Valo FX'!$R:$R,MATCH($A36,'Valo FX'!$A:$A,0)),INDEX(Base!$U:$U,MATCH($A36,Base!$A:$A,0)),IF(JK$1=INDEX('Valo FX'!$R:$R,MATCH($A36,'Valo FX'!$A:$A,0)),INDEX(Base!$V:$V,MATCH($A36,Base!$A:$A,0)),0)))</f>
        <v>12.239100000000001</v>
      </c>
      <c r="JL36" s="21">
        <f>IF(JL$1&lt;INDEX('Valo FX'!$Q:$Q,MATCH($A36,'Valo FX'!$A:$A,0)),0,IF(JL$1&lt;INDEX('Valo FX'!$R:$R,MATCH($A36,'Valo FX'!$A:$A,0)),INDEX(Base!$U:$U,MATCH($A36,Base!$A:$A,0)),IF(JL$1=INDEX('Valo FX'!$R:$R,MATCH($A36,'Valo FX'!$A:$A,0)),INDEX(Base!$V:$V,MATCH($A36,Base!$A:$A,0)),0)))</f>
        <v>12.239100000000001</v>
      </c>
      <c r="JM36" s="21">
        <f>IF(JM$1&lt;INDEX('Valo FX'!$Q:$Q,MATCH($A36,'Valo FX'!$A:$A,0)),0,IF(JM$1&lt;INDEX('Valo FX'!$R:$R,MATCH($A36,'Valo FX'!$A:$A,0)),INDEX(Base!$U:$U,MATCH($A36,Base!$A:$A,0)),IF(JM$1=INDEX('Valo FX'!$R:$R,MATCH($A36,'Valo FX'!$A:$A,0)),INDEX(Base!$V:$V,MATCH($A36,Base!$A:$A,0)),0)))</f>
        <v>12.239100000000001</v>
      </c>
      <c r="JN36" s="21">
        <f>IF(JN$1&lt;INDEX('Valo FX'!$Q:$Q,MATCH($A36,'Valo FX'!$A:$A,0)),0,IF(JN$1&lt;INDEX('Valo FX'!$R:$R,MATCH($A36,'Valo FX'!$A:$A,0)),INDEX(Base!$U:$U,MATCH($A36,Base!$A:$A,0)),IF(JN$1=INDEX('Valo FX'!$R:$R,MATCH($A36,'Valo FX'!$A:$A,0)),INDEX(Base!$V:$V,MATCH($A36,Base!$A:$A,0)),0)))</f>
        <v>12.239100000000001</v>
      </c>
      <c r="JO36" s="21">
        <f>IF(JO$1&lt;INDEX('Valo FX'!$Q:$Q,MATCH($A36,'Valo FX'!$A:$A,0)),0,IF(JO$1&lt;INDEX('Valo FX'!$R:$R,MATCH($A36,'Valo FX'!$A:$A,0)),INDEX(Base!$U:$U,MATCH($A36,Base!$A:$A,0)),IF(JO$1=INDEX('Valo FX'!$R:$R,MATCH($A36,'Valo FX'!$A:$A,0)),INDEX(Base!$V:$V,MATCH($A36,Base!$A:$A,0)),0)))</f>
        <v>12.239100000000001</v>
      </c>
      <c r="JP36" s="21">
        <f>IF(JP$1&lt;INDEX('Valo FX'!$Q:$Q,MATCH($A36,'Valo FX'!$A:$A,0)),0,IF(JP$1&lt;INDEX('Valo FX'!$R:$R,MATCH($A36,'Valo FX'!$A:$A,0)),INDEX(Base!$U:$U,MATCH($A36,Base!$A:$A,0)),IF(JP$1=INDEX('Valo FX'!$R:$R,MATCH($A36,'Valo FX'!$A:$A,0)),INDEX(Base!$V:$V,MATCH($A36,Base!$A:$A,0)),0)))</f>
        <v>12.239100000000001</v>
      </c>
      <c r="JQ36" s="21">
        <f>IF(JQ$1&lt;INDEX('Valo FX'!$Q:$Q,MATCH($A36,'Valo FX'!$A:$A,0)),0,IF(JQ$1&lt;INDEX('Valo FX'!$R:$R,MATCH($A36,'Valo FX'!$A:$A,0)),INDEX(Base!$U:$U,MATCH($A36,Base!$A:$A,0)),IF(JQ$1=INDEX('Valo FX'!$R:$R,MATCH($A36,'Valo FX'!$A:$A,0)),INDEX(Base!$V:$V,MATCH($A36,Base!$A:$A,0)),0)))</f>
        <v>12.239100000000001</v>
      </c>
      <c r="JR36" s="21">
        <f>IF(JR$1&lt;INDEX('Valo FX'!$Q:$Q,MATCH($A36,'Valo FX'!$A:$A,0)),0,IF(JR$1&lt;INDEX('Valo FX'!$R:$R,MATCH($A36,'Valo FX'!$A:$A,0)),INDEX(Base!$U:$U,MATCH($A36,Base!$A:$A,0)),IF(JR$1=INDEX('Valo FX'!$R:$R,MATCH($A36,'Valo FX'!$A:$A,0)),INDEX(Base!$V:$V,MATCH($A36,Base!$A:$A,0)),0)))</f>
        <v>12.239100000000001</v>
      </c>
      <c r="JS36" s="21">
        <f>IF(JS$1&lt;INDEX('Valo FX'!$Q:$Q,MATCH($A36,'Valo FX'!$A:$A,0)),0,IF(JS$1&lt;INDEX('Valo FX'!$R:$R,MATCH($A36,'Valo FX'!$A:$A,0)),INDEX(Base!$U:$U,MATCH($A36,Base!$A:$A,0)),IF(JS$1=INDEX('Valo FX'!$R:$R,MATCH($A36,'Valo FX'!$A:$A,0)),INDEX(Base!$V:$V,MATCH($A36,Base!$A:$A,0)),0)))</f>
        <v>12.239100000000001</v>
      </c>
      <c r="JT36" s="21">
        <f>IF(JT$1&lt;INDEX('Valo FX'!$Q:$Q,MATCH($A36,'Valo FX'!$A:$A,0)),0,IF(JT$1&lt;INDEX('Valo FX'!$R:$R,MATCH($A36,'Valo FX'!$A:$A,0)),INDEX(Base!$U:$U,MATCH($A36,Base!$A:$A,0)),IF(JT$1=INDEX('Valo FX'!$R:$R,MATCH($A36,'Valo FX'!$A:$A,0)),INDEX(Base!$V:$V,MATCH($A36,Base!$A:$A,0)),0)))</f>
        <v>12.239100000000001</v>
      </c>
      <c r="JU36" s="21">
        <f>IF(JU$1&lt;INDEX('Valo FX'!$Q:$Q,MATCH($A36,'Valo FX'!$A:$A,0)),0,IF(JU$1&lt;INDEX('Valo FX'!$R:$R,MATCH($A36,'Valo FX'!$A:$A,0)),INDEX(Base!$U:$U,MATCH($A36,Base!$A:$A,0)),IF(JU$1=INDEX('Valo FX'!$R:$R,MATCH($A36,'Valo FX'!$A:$A,0)),INDEX(Base!$V:$V,MATCH($A36,Base!$A:$A,0)),0)))</f>
        <v>12.239100000000001</v>
      </c>
      <c r="JV36" s="21">
        <f>IF(JV$1&lt;INDEX('Valo FX'!$Q:$Q,MATCH($A36,'Valo FX'!$A:$A,0)),0,IF(JV$1&lt;INDEX('Valo FX'!$R:$R,MATCH($A36,'Valo FX'!$A:$A,0)),INDEX(Base!$U:$U,MATCH($A36,Base!$A:$A,0)),IF(JV$1=INDEX('Valo FX'!$R:$R,MATCH($A36,'Valo FX'!$A:$A,0)),INDEX(Base!$V:$V,MATCH($A36,Base!$A:$A,0)),0)))</f>
        <v>12.239100000000001</v>
      </c>
      <c r="JW36" s="21">
        <f>IF(JW$1&lt;INDEX('Valo FX'!$Q:$Q,MATCH($A36,'Valo FX'!$A:$A,0)),0,IF(JW$1&lt;INDEX('Valo FX'!$R:$R,MATCH($A36,'Valo FX'!$A:$A,0)),INDEX(Base!$U:$U,MATCH($A36,Base!$A:$A,0)),IF(JW$1=INDEX('Valo FX'!$R:$R,MATCH($A36,'Valo FX'!$A:$A,0)),INDEX(Base!$V:$V,MATCH($A36,Base!$A:$A,0)),0)))</f>
        <v>12.239100000000001</v>
      </c>
      <c r="JX36" s="21">
        <f>IF(JX$1&lt;INDEX('Valo FX'!$Q:$Q,MATCH($A36,'Valo FX'!$A:$A,0)),0,IF(JX$1&lt;INDEX('Valo FX'!$R:$R,MATCH($A36,'Valo FX'!$A:$A,0)),INDEX(Base!$U:$U,MATCH($A36,Base!$A:$A,0)),IF(JX$1=INDEX('Valo FX'!$R:$R,MATCH($A36,'Valo FX'!$A:$A,0)),INDEX(Base!$V:$V,MATCH($A36,Base!$A:$A,0)),0)))</f>
        <v>12.239100000000001</v>
      </c>
      <c r="JY36" s="21">
        <f>IF(JY$1&lt;INDEX('Valo FX'!$Q:$Q,MATCH($A36,'Valo FX'!$A:$A,0)),0,IF(JY$1&lt;INDEX('Valo FX'!$R:$R,MATCH($A36,'Valo FX'!$A:$A,0)),INDEX(Base!$U:$U,MATCH($A36,Base!$A:$A,0)),IF(JY$1=INDEX('Valo FX'!$R:$R,MATCH($A36,'Valo FX'!$A:$A,0)),INDEX(Base!$V:$V,MATCH($A36,Base!$A:$A,0)),0)))</f>
        <v>12.239100000000001</v>
      </c>
      <c r="JZ36" s="21">
        <f>IF(JZ$1&lt;INDEX('Valo FX'!$Q:$Q,MATCH($A36,'Valo FX'!$A:$A,0)),0,IF(JZ$1&lt;INDEX('Valo FX'!$R:$R,MATCH($A36,'Valo FX'!$A:$A,0)),INDEX(Base!$U:$U,MATCH($A36,Base!$A:$A,0)),IF(JZ$1=INDEX('Valo FX'!$R:$R,MATCH($A36,'Valo FX'!$A:$A,0)),INDEX(Base!$V:$V,MATCH($A36,Base!$A:$A,0)),0)))</f>
        <v>12.239100000000001</v>
      </c>
      <c r="KA36" s="21">
        <f>IF(KA$1&lt;INDEX('Valo FX'!$Q:$Q,MATCH($A36,'Valo FX'!$A:$A,0)),0,IF(KA$1&lt;INDEX('Valo FX'!$R:$R,MATCH($A36,'Valo FX'!$A:$A,0)),INDEX(Base!$U:$U,MATCH($A36,Base!$A:$A,0)),IF(KA$1=INDEX('Valo FX'!$R:$R,MATCH($A36,'Valo FX'!$A:$A,0)),INDEX(Base!$V:$V,MATCH($A36,Base!$A:$A,0)),0)))</f>
        <v>12.239100000000001</v>
      </c>
      <c r="KB36" s="21">
        <f>IF(KB$1&lt;INDEX('Valo FX'!$Q:$Q,MATCH($A36,'Valo FX'!$A:$A,0)),0,IF(KB$1&lt;INDEX('Valo FX'!$R:$R,MATCH($A36,'Valo FX'!$A:$A,0)),INDEX(Base!$U:$U,MATCH($A36,Base!$A:$A,0)),IF(KB$1=INDEX('Valo FX'!$R:$R,MATCH($A36,'Valo FX'!$A:$A,0)),INDEX(Base!$V:$V,MATCH($A36,Base!$A:$A,0)),0)))</f>
        <v>12.239100000000001</v>
      </c>
      <c r="KC36" s="21">
        <f>IF(KC$1&lt;INDEX('Valo FX'!$Q:$Q,MATCH($A36,'Valo FX'!$A:$A,0)),0,IF(KC$1&lt;INDEX('Valo FX'!$R:$R,MATCH($A36,'Valo FX'!$A:$A,0)),INDEX(Base!$U:$U,MATCH($A36,Base!$A:$A,0)),IF(KC$1=INDEX('Valo FX'!$R:$R,MATCH($A36,'Valo FX'!$A:$A,0)),INDEX(Base!$V:$V,MATCH($A36,Base!$A:$A,0)),0)))</f>
        <v>12.239100000000001</v>
      </c>
      <c r="KD36" s="21">
        <f>IF(KD$1&lt;INDEX('Valo FX'!$Q:$Q,MATCH($A36,'Valo FX'!$A:$A,0)),0,IF(KD$1&lt;INDEX('Valo FX'!$R:$R,MATCH($A36,'Valo FX'!$A:$A,0)),INDEX(Base!$U:$U,MATCH($A36,Base!$A:$A,0)),IF(KD$1=INDEX('Valo FX'!$R:$R,MATCH($A36,'Valo FX'!$A:$A,0)),INDEX(Base!$V:$V,MATCH($A36,Base!$A:$A,0)),0)))</f>
        <v>12.239100000000001</v>
      </c>
      <c r="KE36" s="21">
        <f>IF(KE$1&lt;INDEX('Valo FX'!$Q:$Q,MATCH($A36,'Valo FX'!$A:$A,0)),0,IF(KE$1&lt;INDEX('Valo FX'!$R:$R,MATCH($A36,'Valo FX'!$A:$A,0)),INDEX(Base!$U:$U,MATCH($A36,Base!$A:$A,0)),IF(KE$1=INDEX('Valo FX'!$R:$R,MATCH($A36,'Valo FX'!$A:$A,0)),INDEX(Base!$V:$V,MATCH($A36,Base!$A:$A,0)),0)))</f>
        <v>12.239100000000001</v>
      </c>
      <c r="KF36" s="21">
        <f>IF(KF$1&lt;INDEX('Valo FX'!$Q:$Q,MATCH($A36,'Valo FX'!$A:$A,0)),0,IF(KF$1&lt;INDEX('Valo FX'!$R:$R,MATCH($A36,'Valo FX'!$A:$A,0)),INDEX(Base!$U:$U,MATCH($A36,Base!$A:$A,0)),IF(KF$1=INDEX('Valo FX'!$R:$R,MATCH($A36,'Valo FX'!$A:$A,0)),INDEX(Base!$V:$V,MATCH($A36,Base!$A:$A,0)),0)))</f>
        <v>12.239100000000001</v>
      </c>
      <c r="KG36" s="21">
        <f>IF(KG$1&lt;INDEX('Valo FX'!$Q:$Q,MATCH($A36,'Valo FX'!$A:$A,0)),0,IF(KG$1&lt;INDEX('Valo FX'!$R:$R,MATCH($A36,'Valo FX'!$A:$A,0)),INDEX(Base!$U:$U,MATCH($A36,Base!$A:$A,0)),IF(KG$1=INDEX('Valo FX'!$R:$R,MATCH($A36,'Valo FX'!$A:$A,0)),INDEX(Base!$V:$V,MATCH($A36,Base!$A:$A,0)),0)))</f>
        <v>12.239100000000001</v>
      </c>
      <c r="KH36" s="21">
        <f>IF(KH$1&lt;INDEX('Valo FX'!$Q:$Q,MATCH($A36,'Valo FX'!$A:$A,0)),0,IF(KH$1&lt;INDEX('Valo FX'!$R:$R,MATCH($A36,'Valo FX'!$A:$A,0)),INDEX(Base!$U:$U,MATCH($A36,Base!$A:$A,0)),IF(KH$1=INDEX('Valo FX'!$R:$R,MATCH($A36,'Valo FX'!$A:$A,0)),INDEX(Base!$V:$V,MATCH($A36,Base!$A:$A,0)),0)))</f>
        <v>12.239100000000001</v>
      </c>
      <c r="KI36" s="21">
        <f>IF(KI$1&lt;INDEX('Valo FX'!$Q:$Q,MATCH($A36,'Valo FX'!$A:$A,0)),0,IF(KI$1&lt;INDEX('Valo FX'!$R:$R,MATCH($A36,'Valo FX'!$A:$A,0)),INDEX(Base!$U:$U,MATCH($A36,Base!$A:$A,0)),IF(KI$1=INDEX('Valo FX'!$R:$R,MATCH($A36,'Valo FX'!$A:$A,0)),INDEX(Base!$V:$V,MATCH($A36,Base!$A:$A,0)),0)))</f>
        <v>12.239100000000001</v>
      </c>
      <c r="KJ36" s="21">
        <f>IF(KJ$1&lt;INDEX('Valo FX'!$Q:$Q,MATCH($A36,'Valo FX'!$A:$A,0)),0,IF(KJ$1&lt;INDEX('Valo FX'!$R:$R,MATCH($A36,'Valo FX'!$A:$A,0)),INDEX(Base!$U:$U,MATCH($A36,Base!$A:$A,0)),IF(KJ$1=INDEX('Valo FX'!$R:$R,MATCH($A36,'Valo FX'!$A:$A,0)),INDEX(Base!$V:$V,MATCH($A36,Base!$A:$A,0)),0)))</f>
        <v>12.239100000000001</v>
      </c>
      <c r="KK36" s="21">
        <f>IF(KK$1&lt;INDEX('Valo FX'!$Q:$Q,MATCH($A36,'Valo FX'!$A:$A,0)),0,IF(KK$1&lt;INDEX('Valo FX'!$R:$R,MATCH($A36,'Valo FX'!$A:$A,0)),INDEX(Base!$U:$U,MATCH($A36,Base!$A:$A,0)),IF(KK$1=INDEX('Valo FX'!$R:$R,MATCH($A36,'Valo FX'!$A:$A,0)),INDEX(Base!$V:$V,MATCH($A36,Base!$A:$A,0)),0)))</f>
        <v>12.239100000000001</v>
      </c>
      <c r="KL36" s="21">
        <f>IF(KL$1&lt;INDEX('Valo FX'!$Q:$Q,MATCH($A36,'Valo FX'!$A:$A,0)),0,IF(KL$1&lt;INDEX('Valo FX'!$R:$R,MATCH($A36,'Valo FX'!$A:$A,0)),INDEX(Base!$U:$U,MATCH($A36,Base!$A:$A,0)),IF(KL$1=INDEX('Valo FX'!$R:$R,MATCH($A36,'Valo FX'!$A:$A,0)),INDEX(Base!$V:$V,MATCH($A36,Base!$A:$A,0)),0)))</f>
        <v>12.239100000000001</v>
      </c>
      <c r="KM36" s="21">
        <f>IF(KM$1&lt;INDEX('Valo FX'!$Q:$Q,MATCH($A36,'Valo FX'!$A:$A,0)),0,IF(KM$1&lt;INDEX('Valo FX'!$R:$R,MATCH($A36,'Valo FX'!$A:$A,0)),INDEX(Base!$U:$U,MATCH($A36,Base!$A:$A,0)),IF(KM$1=INDEX('Valo FX'!$R:$R,MATCH($A36,'Valo FX'!$A:$A,0)),INDEX(Base!$V:$V,MATCH($A36,Base!$A:$A,0)),0)))</f>
        <v>12.239100000000001</v>
      </c>
      <c r="KN36" s="21">
        <f>IF(KN$1&lt;INDEX('Valo FX'!$Q:$Q,MATCH($A36,'Valo FX'!$A:$A,0)),0,IF(KN$1&lt;INDEX('Valo FX'!$R:$R,MATCH($A36,'Valo FX'!$A:$A,0)),INDEX(Base!$U:$U,MATCH($A36,Base!$A:$A,0)),IF(KN$1=INDEX('Valo FX'!$R:$R,MATCH($A36,'Valo FX'!$A:$A,0)),INDEX(Base!$V:$V,MATCH($A36,Base!$A:$A,0)),0)))</f>
        <v>12.239100000000001</v>
      </c>
      <c r="KO36" s="21">
        <f>IF(KO$1&lt;INDEX('Valo FX'!$Q:$Q,MATCH($A36,'Valo FX'!$A:$A,0)),0,IF(KO$1&lt;INDEX('Valo FX'!$R:$R,MATCH($A36,'Valo FX'!$A:$A,0)),INDEX(Base!$U:$U,MATCH($A36,Base!$A:$A,0)),IF(KO$1=INDEX('Valo FX'!$R:$R,MATCH($A36,'Valo FX'!$A:$A,0)),INDEX(Base!$V:$V,MATCH($A36,Base!$A:$A,0)),0)))</f>
        <v>12.239100000000001</v>
      </c>
      <c r="KP36" s="21">
        <f>IF(KP$1&lt;INDEX('Valo FX'!$Q:$Q,MATCH($A36,'Valo FX'!$A:$A,0)),0,IF(KP$1&lt;INDEX('Valo FX'!$R:$R,MATCH($A36,'Valo FX'!$A:$A,0)),INDEX(Base!$U:$U,MATCH($A36,Base!$A:$A,0)),IF(KP$1=INDEX('Valo FX'!$R:$R,MATCH($A36,'Valo FX'!$A:$A,0)),INDEX(Base!$V:$V,MATCH($A36,Base!$A:$A,0)),0)))</f>
        <v>12.239100000000001</v>
      </c>
      <c r="KQ36" s="21">
        <f>IF(KQ$1&lt;INDEX('Valo FX'!$Q:$Q,MATCH($A36,'Valo FX'!$A:$A,0)),0,IF(KQ$1&lt;INDEX('Valo FX'!$R:$R,MATCH($A36,'Valo FX'!$A:$A,0)),INDEX(Base!$U:$U,MATCH($A36,Base!$A:$A,0)),IF(KQ$1=INDEX('Valo FX'!$R:$R,MATCH($A36,'Valo FX'!$A:$A,0)),INDEX(Base!$V:$V,MATCH($A36,Base!$A:$A,0)),0)))</f>
        <v>12.334680000000001</v>
      </c>
      <c r="KR36" s="21">
        <f>IF(KR$1&lt;INDEX('Valo FX'!$Q:$Q,MATCH($A36,'Valo FX'!$A:$A,0)),0,IF(KR$1&lt;INDEX('Valo FX'!$R:$R,MATCH($A36,'Valo FX'!$A:$A,0)),INDEX(Base!$U:$U,MATCH($A36,Base!$A:$A,0)),IF(KR$1=INDEX('Valo FX'!$R:$R,MATCH($A36,'Valo FX'!$A:$A,0)),INDEX(Base!$V:$V,MATCH($A36,Base!$A:$A,0)),0)))</f>
        <v>0</v>
      </c>
      <c r="KS36" s="21">
        <f>IF(KS$1&lt;INDEX('Valo FX'!$Q:$Q,MATCH($A36,'Valo FX'!$A:$A,0)),0,IF(KS$1&lt;INDEX('Valo FX'!$R:$R,MATCH($A36,'Valo FX'!$A:$A,0)),INDEX(Base!$U:$U,MATCH($A36,Base!$A:$A,0)),IF(KS$1=INDEX('Valo FX'!$R:$R,MATCH($A36,'Valo FX'!$A:$A,0)),INDEX(Base!$V:$V,MATCH($A36,Base!$A:$A,0)),0)))</f>
        <v>0</v>
      </c>
      <c r="KT36" s="21">
        <f>IF(KT$1&lt;INDEX('Valo FX'!$Q:$Q,MATCH($A36,'Valo FX'!$A:$A,0)),0,IF(KT$1&lt;INDEX('Valo FX'!$R:$R,MATCH($A36,'Valo FX'!$A:$A,0)),INDEX(Base!$U:$U,MATCH($A36,Base!$A:$A,0)),IF(KT$1=INDEX('Valo FX'!$R:$R,MATCH($A36,'Valo FX'!$A:$A,0)),INDEX(Base!$V:$V,MATCH($A36,Base!$A:$A,0)),0)))</f>
        <v>0</v>
      </c>
      <c r="KU36" s="21">
        <f>IF(KU$1&lt;INDEX('Valo FX'!$Q:$Q,MATCH($A36,'Valo FX'!$A:$A,0)),0,IF(KU$1&lt;INDEX('Valo FX'!$R:$R,MATCH($A36,'Valo FX'!$A:$A,0)),INDEX(Base!$U:$U,MATCH($A36,Base!$A:$A,0)),IF(KU$1=INDEX('Valo FX'!$R:$R,MATCH($A36,'Valo FX'!$A:$A,0)),INDEX(Base!$V:$V,MATCH($A36,Base!$A:$A,0)),0)))</f>
        <v>0</v>
      </c>
      <c r="KV36" s="21">
        <f>IF(KV$1&lt;INDEX('Valo FX'!$Q:$Q,MATCH($A36,'Valo FX'!$A:$A,0)),0,IF(KV$1&lt;INDEX('Valo FX'!$R:$R,MATCH($A36,'Valo FX'!$A:$A,0)),INDEX(Base!$U:$U,MATCH($A36,Base!$A:$A,0)),IF(KV$1=INDEX('Valo FX'!$R:$R,MATCH($A36,'Valo FX'!$A:$A,0)),INDEX(Base!$V:$V,MATCH($A36,Base!$A:$A,0)),0)))</f>
        <v>0</v>
      </c>
      <c r="KW36" s="21">
        <f>IF(KW$1&lt;INDEX('Valo FX'!$Q:$Q,MATCH($A36,'Valo FX'!$A:$A,0)),0,IF(KW$1&lt;INDEX('Valo FX'!$R:$R,MATCH($A36,'Valo FX'!$A:$A,0)),INDEX(Base!$U:$U,MATCH($A36,Base!$A:$A,0)),IF(KW$1=INDEX('Valo FX'!$R:$R,MATCH($A36,'Valo FX'!$A:$A,0)),INDEX(Base!$V:$V,MATCH($A36,Base!$A:$A,0)),0)))</f>
        <v>0</v>
      </c>
      <c r="KX36" s="21">
        <f>IF(KX$1&lt;INDEX('Valo FX'!$Q:$Q,MATCH($A36,'Valo FX'!$A:$A,0)),0,IF(KX$1&lt;INDEX('Valo FX'!$R:$R,MATCH($A36,'Valo FX'!$A:$A,0)),INDEX(Base!$U:$U,MATCH($A36,Base!$A:$A,0)),IF(KX$1=INDEX('Valo FX'!$R:$R,MATCH($A36,'Valo FX'!$A:$A,0)),INDEX(Base!$V:$V,MATCH($A36,Base!$A:$A,0)),0)))</f>
        <v>0</v>
      </c>
      <c r="KY36" s="21">
        <f>IF(KY$1&lt;INDEX('Valo FX'!$Q:$Q,MATCH($A36,'Valo FX'!$A:$A,0)),0,IF(KY$1&lt;INDEX('Valo FX'!$R:$R,MATCH($A36,'Valo FX'!$A:$A,0)),INDEX(Base!$U:$U,MATCH($A36,Base!$A:$A,0)),IF(KY$1=INDEX('Valo FX'!$R:$R,MATCH($A36,'Valo FX'!$A:$A,0)),INDEX(Base!$V:$V,MATCH($A36,Base!$A:$A,0)),0)))</f>
        <v>0</v>
      </c>
      <c r="KZ36" s="21">
        <f>IF(KZ$1&lt;INDEX('Valo FX'!$Q:$Q,MATCH($A36,'Valo FX'!$A:$A,0)),0,IF(KZ$1&lt;INDEX('Valo FX'!$R:$R,MATCH($A36,'Valo FX'!$A:$A,0)),INDEX(Base!$U:$U,MATCH($A36,Base!$A:$A,0)),IF(KZ$1=INDEX('Valo FX'!$R:$R,MATCH($A36,'Valo FX'!$A:$A,0)),INDEX(Base!$V:$V,MATCH($A36,Base!$A:$A,0)),0)))</f>
        <v>0</v>
      </c>
      <c r="LA36" s="21">
        <f>IF(LA$1&lt;INDEX('Valo FX'!$Q:$Q,MATCH($A36,'Valo FX'!$A:$A,0)),0,IF(LA$1&lt;INDEX('Valo FX'!$R:$R,MATCH($A36,'Valo FX'!$A:$A,0)),INDEX(Base!$U:$U,MATCH($A36,Base!$A:$A,0)),IF(LA$1=INDEX('Valo FX'!$R:$R,MATCH($A36,'Valo FX'!$A:$A,0)),INDEX(Base!$V:$V,MATCH($A36,Base!$A:$A,0)),0)))</f>
        <v>0</v>
      </c>
      <c r="LB36" s="21">
        <f>IF(LB$1&lt;INDEX('Valo FX'!$Q:$Q,MATCH($A36,'Valo FX'!$A:$A,0)),0,IF(LB$1&lt;INDEX('Valo FX'!$R:$R,MATCH($A36,'Valo FX'!$A:$A,0)),INDEX(Base!$U:$U,MATCH($A36,Base!$A:$A,0)),IF(LB$1=INDEX('Valo FX'!$R:$R,MATCH($A36,'Valo FX'!$A:$A,0)),INDEX(Base!$V:$V,MATCH($A36,Base!$A:$A,0)),0)))</f>
        <v>0</v>
      </c>
      <c r="LC36" s="21">
        <f>IF(LC$1&lt;INDEX('Valo FX'!$Q:$Q,MATCH($A36,'Valo FX'!$A:$A,0)),0,IF(LC$1&lt;INDEX('Valo FX'!$R:$R,MATCH($A36,'Valo FX'!$A:$A,0)),INDEX(Base!$U:$U,MATCH($A36,Base!$A:$A,0)),IF(LC$1=INDEX('Valo FX'!$R:$R,MATCH($A36,'Valo FX'!$A:$A,0)),INDEX(Base!$V:$V,MATCH($A36,Base!$A:$A,0)),0)))</f>
        <v>0</v>
      </c>
      <c r="LD36" s="21">
        <f>IF(LD$1&lt;INDEX('Valo FX'!$Q:$Q,MATCH($A36,'Valo FX'!$A:$A,0)),0,IF(LD$1&lt;INDEX('Valo FX'!$R:$R,MATCH($A36,'Valo FX'!$A:$A,0)),INDEX(Base!$U:$U,MATCH($A36,Base!$A:$A,0)),IF(LD$1=INDEX('Valo FX'!$R:$R,MATCH($A36,'Valo FX'!$A:$A,0)),INDEX(Base!$V:$V,MATCH($A36,Base!$A:$A,0)),0)))</f>
        <v>0</v>
      </c>
      <c r="LE36" s="21">
        <f>IF(LE$1&lt;INDEX('Valo FX'!$Q:$Q,MATCH($A36,'Valo FX'!$A:$A,0)),0,IF(LE$1&lt;INDEX('Valo FX'!$R:$R,MATCH($A36,'Valo FX'!$A:$A,0)),INDEX(Base!$U:$U,MATCH($A36,Base!$A:$A,0)),IF(LE$1=INDEX('Valo FX'!$R:$R,MATCH($A36,'Valo FX'!$A:$A,0)),INDEX(Base!$V:$V,MATCH($A36,Base!$A:$A,0)),0)))</f>
        <v>0</v>
      </c>
      <c r="LF36" s="21">
        <f>IF(LF$1&lt;INDEX('Valo FX'!$Q:$Q,MATCH($A36,'Valo FX'!$A:$A,0)),0,IF(LF$1&lt;INDEX('Valo FX'!$R:$R,MATCH($A36,'Valo FX'!$A:$A,0)),INDEX(Base!$U:$U,MATCH($A36,Base!$A:$A,0)),IF(LF$1=INDEX('Valo FX'!$R:$R,MATCH($A36,'Valo FX'!$A:$A,0)),INDEX(Base!$V:$V,MATCH($A36,Base!$A:$A,0)),0)))</f>
        <v>0</v>
      </c>
      <c r="LG36" s="21">
        <f>IF(LG$1&lt;INDEX('Valo FX'!$Q:$Q,MATCH($A36,'Valo FX'!$A:$A,0)),0,IF(LG$1&lt;INDEX('Valo FX'!$R:$R,MATCH($A36,'Valo FX'!$A:$A,0)),INDEX(Base!$U:$U,MATCH($A36,Base!$A:$A,0)),IF(LG$1=INDEX('Valo FX'!$R:$R,MATCH($A36,'Valo FX'!$A:$A,0)),INDEX(Base!$V:$V,MATCH($A36,Base!$A:$A,0)),0)))</f>
        <v>0</v>
      </c>
      <c r="LH36" s="21">
        <f>IF(LH$1&lt;INDEX('Valo FX'!$Q:$Q,MATCH($A36,'Valo FX'!$A:$A,0)),0,IF(LH$1&lt;INDEX('Valo FX'!$R:$R,MATCH($A36,'Valo FX'!$A:$A,0)),INDEX(Base!$U:$U,MATCH($A36,Base!$A:$A,0)),IF(LH$1=INDEX('Valo FX'!$R:$R,MATCH($A36,'Valo FX'!$A:$A,0)),INDEX(Base!$V:$V,MATCH($A36,Base!$A:$A,0)),0)))</f>
        <v>0</v>
      </c>
      <c r="LI36" s="21">
        <f>IF(LI$1&lt;INDEX('Valo FX'!$Q:$Q,MATCH($A36,'Valo FX'!$A:$A,0)),0,IF(LI$1&lt;INDEX('Valo FX'!$R:$R,MATCH($A36,'Valo FX'!$A:$A,0)),INDEX(Base!$U:$U,MATCH($A36,Base!$A:$A,0)),IF(LI$1=INDEX('Valo FX'!$R:$R,MATCH($A36,'Valo FX'!$A:$A,0)),INDEX(Base!$V:$V,MATCH($A36,Base!$A:$A,0)),0)))</f>
        <v>0</v>
      </c>
      <c r="LJ36" s="21">
        <f>IF(LJ$1&lt;INDEX('Valo FX'!$Q:$Q,MATCH($A36,'Valo FX'!$A:$A,0)),0,IF(LJ$1&lt;INDEX('Valo FX'!$R:$R,MATCH($A36,'Valo FX'!$A:$A,0)),INDEX(Base!$U:$U,MATCH($A36,Base!$A:$A,0)),IF(LJ$1=INDEX('Valo FX'!$R:$R,MATCH($A36,'Valo FX'!$A:$A,0)),INDEX(Base!$V:$V,MATCH($A36,Base!$A:$A,0)),0)))</f>
        <v>0</v>
      </c>
      <c r="LK36" s="21">
        <f>IF(LK$1&lt;INDEX('Valo FX'!$Q:$Q,MATCH($A36,'Valo FX'!$A:$A,0)),0,IF(LK$1&lt;INDEX('Valo FX'!$R:$R,MATCH($A36,'Valo FX'!$A:$A,0)),INDEX(Base!$U:$U,MATCH($A36,Base!$A:$A,0)),IF(LK$1=INDEX('Valo FX'!$R:$R,MATCH($A36,'Valo FX'!$A:$A,0)),INDEX(Base!$V:$V,MATCH($A36,Base!$A:$A,0)),0)))</f>
        <v>0</v>
      </c>
      <c r="LL36" s="21">
        <f>IF(LL$1&lt;INDEX('Valo FX'!$Q:$Q,MATCH($A36,'Valo FX'!$A:$A,0)),0,IF(LL$1&lt;INDEX('Valo FX'!$R:$R,MATCH($A36,'Valo FX'!$A:$A,0)),INDEX(Base!$U:$U,MATCH($A36,Base!$A:$A,0)),IF(LL$1=INDEX('Valo FX'!$R:$R,MATCH($A36,'Valo FX'!$A:$A,0)),INDEX(Base!$V:$V,MATCH($A36,Base!$A:$A,0)),0)))</f>
        <v>0</v>
      </c>
      <c r="LM36" s="21">
        <f>IF(LM$1&lt;INDEX('Valo FX'!$Q:$Q,MATCH($A36,'Valo FX'!$A:$A,0)),0,IF(LM$1&lt;INDEX('Valo FX'!$R:$R,MATCH($A36,'Valo FX'!$A:$A,0)),INDEX(Base!$U:$U,MATCH($A36,Base!$A:$A,0)),IF(LM$1=INDEX('Valo FX'!$R:$R,MATCH($A36,'Valo FX'!$A:$A,0)),INDEX(Base!$V:$V,MATCH($A36,Base!$A:$A,0)),0)))</f>
        <v>0</v>
      </c>
      <c r="LN36" s="21">
        <f>IF(LN$1&lt;INDEX('Valo FX'!$Q:$Q,MATCH($A36,'Valo FX'!$A:$A,0)),0,IF(LN$1&lt;INDEX('Valo FX'!$R:$R,MATCH($A36,'Valo FX'!$A:$A,0)),INDEX(Base!$U:$U,MATCH($A36,Base!$A:$A,0)),IF(LN$1=INDEX('Valo FX'!$R:$R,MATCH($A36,'Valo FX'!$A:$A,0)),INDEX(Base!$V:$V,MATCH($A36,Base!$A:$A,0)),0)))</f>
        <v>0</v>
      </c>
      <c r="LO36" s="21">
        <f>IF(LO$1&lt;INDEX('Valo FX'!$Q:$Q,MATCH($A36,'Valo FX'!$A:$A,0)),0,IF(LO$1&lt;INDEX('Valo FX'!$R:$R,MATCH($A36,'Valo FX'!$A:$A,0)),INDEX(Base!$U:$U,MATCH($A36,Base!$A:$A,0)),IF(LO$1=INDEX('Valo FX'!$R:$R,MATCH($A36,'Valo FX'!$A:$A,0)),INDEX(Base!$V:$V,MATCH($A36,Base!$A:$A,0)),0)))</f>
        <v>0</v>
      </c>
      <c r="LP36" s="21">
        <f>IF(LP$1&lt;INDEX('Valo FX'!$Q:$Q,MATCH($A36,'Valo FX'!$A:$A,0)),0,IF(LP$1&lt;INDEX('Valo FX'!$R:$R,MATCH($A36,'Valo FX'!$A:$A,0)),INDEX(Base!$U:$U,MATCH($A36,Base!$A:$A,0)),IF(LP$1=INDEX('Valo FX'!$R:$R,MATCH($A36,'Valo FX'!$A:$A,0)),INDEX(Base!$V:$V,MATCH($A36,Base!$A:$A,0)),0)))</f>
        <v>0</v>
      </c>
      <c r="LQ36" s="21">
        <f>IF(LQ$1&lt;INDEX('Valo FX'!$Q:$Q,MATCH($A36,'Valo FX'!$A:$A,0)),0,IF(LQ$1&lt;INDEX('Valo FX'!$R:$R,MATCH($A36,'Valo FX'!$A:$A,0)),INDEX(Base!$U:$U,MATCH($A36,Base!$A:$A,0)),IF(LQ$1=INDEX('Valo FX'!$R:$R,MATCH($A36,'Valo FX'!$A:$A,0)),INDEX(Base!$V:$V,MATCH($A36,Base!$A:$A,0)),0)))</f>
        <v>0</v>
      </c>
      <c r="LR36" s="21">
        <f>IF(LR$1&lt;INDEX('Valo FX'!$Q:$Q,MATCH($A36,'Valo FX'!$A:$A,0)),0,IF(LR$1&lt;INDEX('Valo FX'!$R:$R,MATCH($A36,'Valo FX'!$A:$A,0)),INDEX(Base!$U:$U,MATCH($A36,Base!$A:$A,0)),IF(LR$1=INDEX('Valo FX'!$R:$R,MATCH($A36,'Valo FX'!$A:$A,0)),INDEX(Base!$V:$V,MATCH($A36,Base!$A:$A,0)),0)))</f>
        <v>0</v>
      </c>
      <c r="LS36" s="21">
        <f>IF(LS$1&lt;INDEX('Valo FX'!$Q:$Q,MATCH($A36,'Valo FX'!$A:$A,0)),0,IF(LS$1&lt;INDEX('Valo FX'!$R:$R,MATCH($A36,'Valo FX'!$A:$A,0)),INDEX(Base!$U:$U,MATCH($A36,Base!$A:$A,0)),IF(LS$1=INDEX('Valo FX'!$R:$R,MATCH($A36,'Valo FX'!$A:$A,0)),INDEX(Base!$V:$V,MATCH($A36,Base!$A:$A,0)),0)))</f>
        <v>0</v>
      </c>
      <c r="LT36" s="21">
        <f>IF(LT$1&lt;INDEX('Valo FX'!$Q:$Q,MATCH($A36,'Valo FX'!$A:$A,0)),0,IF(LT$1&lt;INDEX('Valo FX'!$R:$R,MATCH($A36,'Valo FX'!$A:$A,0)),INDEX(Base!$U:$U,MATCH($A36,Base!$A:$A,0)),IF(LT$1=INDEX('Valo FX'!$R:$R,MATCH($A36,'Valo FX'!$A:$A,0)),INDEX(Base!$V:$V,MATCH($A36,Base!$A:$A,0)),0)))</f>
        <v>0</v>
      </c>
      <c r="LU36" s="21">
        <f>IF(LU$1&lt;INDEX('Valo FX'!$Q:$Q,MATCH($A36,'Valo FX'!$A:$A,0)),0,IF(LU$1&lt;INDEX('Valo FX'!$R:$R,MATCH($A36,'Valo FX'!$A:$A,0)),INDEX(Base!$U:$U,MATCH($A36,Base!$A:$A,0)),IF(LU$1=INDEX('Valo FX'!$R:$R,MATCH($A36,'Valo FX'!$A:$A,0)),INDEX(Base!$V:$V,MATCH($A36,Base!$A:$A,0)),0)))</f>
        <v>0</v>
      </c>
      <c r="LV36" s="21">
        <f>IF(LV$1&lt;INDEX('Valo FX'!$Q:$Q,MATCH($A36,'Valo FX'!$A:$A,0)),0,IF(LV$1&lt;INDEX('Valo FX'!$R:$R,MATCH($A36,'Valo FX'!$A:$A,0)),INDEX(Base!$U:$U,MATCH($A36,Base!$A:$A,0)),IF(LV$1=INDEX('Valo FX'!$R:$R,MATCH($A36,'Valo FX'!$A:$A,0)),INDEX(Base!$V:$V,MATCH($A36,Base!$A:$A,0)),0)))</f>
        <v>0</v>
      </c>
      <c r="LW36" s="21">
        <f>IF(LW$1&lt;INDEX('Valo FX'!$Q:$Q,MATCH($A36,'Valo FX'!$A:$A,0)),0,IF(LW$1&lt;INDEX('Valo FX'!$R:$R,MATCH($A36,'Valo FX'!$A:$A,0)),INDEX(Base!$U:$U,MATCH($A36,Base!$A:$A,0)),IF(LW$1=INDEX('Valo FX'!$R:$R,MATCH($A36,'Valo FX'!$A:$A,0)),INDEX(Base!$V:$V,MATCH($A36,Base!$A:$A,0)),0)))</f>
        <v>0</v>
      </c>
      <c r="LX36" s="21">
        <f>IF(LX$1&lt;INDEX('Valo FX'!$Q:$Q,MATCH($A36,'Valo FX'!$A:$A,0)),0,IF(LX$1&lt;INDEX('Valo FX'!$R:$R,MATCH($A36,'Valo FX'!$A:$A,0)),INDEX(Base!$U:$U,MATCH($A36,Base!$A:$A,0)),IF(LX$1=INDEX('Valo FX'!$R:$R,MATCH($A36,'Valo FX'!$A:$A,0)),INDEX(Base!$V:$V,MATCH($A36,Base!$A:$A,0)),0)))</f>
        <v>0</v>
      </c>
      <c r="LY36" s="21">
        <f>IF(LY$1&lt;INDEX('Valo FX'!$Q:$Q,MATCH($A36,'Valo FX'!$A:$A,0)),0,IF(LY$1&lt;INDEX('Valo FX'!$R:$R,MATCH($A36,'Valo FX'!$A:$A,0)),INDEX(Base!$U:$U,MATCH($A36,Base!$A:$A,0)),IF(LY$1=INDEX('Valo FX'!$R:$R,MATCH($A36,'Valo FX'!$A:$A,0)),INDEX(Base!$V:$V,MATCH($A36,Base!$A:$A,0)),0)))</f>
        <v>0</v>
      </c>
      <c r="LZ36" s="21">
        <f>IF(LZ$1&lt;INDEX('Valo FX'!$Q:$Q,MATCH($A36,'Valo FX'!$A:$A,0)),0,IF(LZ$1&lt;INDEX('Valo FX'!$R:$R,MATCH($A36,'Valo FX'!$A:$A,0)),INDEX(Base!$U:$U,MATCH($A36,Base!$A:$A,0)),IF(LZ$1=INDEX('Valo FX'!$R:$R,MATCH($A36,'Valo FX'!$A:$A,0)),INDEX(Base!$V:$V,MATCH($A36,Base!$A:$A,0)),0)))</f>
        <v>0</v>
      </c>
      <c r="MA36" s="21">
        <f>IF(MA$1&lt;INDEX('Valo FX'!$Q:$Q,MATCH($A36,'Valo FX'!$A:$A,0)),0,IF(MA$1&lt;INDEX('Valo FX'!$R:$R,MATCH($A36,'Valo FX'!$A:$A,0)),INDEX(Base!$U:$U,MATCH($A36,Base!$A:$A,0)),IF(MA$1=INDEX('Valo FX'!$R:$R,MATCH($A36,'Valo FX'!$A:$A,0)),INDEX(Base!$V:$V,MATCH($A36,Base!$A:$A,0)),0)))</f>
        <v>0</v>
      </c>
      <c r="MB36" s="21">
        <f>IF(MB$1&lt;INDEX('Valo FX'!$Q:$Q,MATCH($A36,'Valo FX'!$A:$A,0)),0,IF(MB$1&lt;INDEX('Valo FX'!$R:$R,MATCH($A36,'Valo FX'!$A:$A,0)),INDEX(Base!$U:$U,MATCH($A36,Base!$A:$A,0)),IF(MB$1=INDEX('Valo FX'!$R:$R,MATCH($A36,'Valo FX'!$A:$A,0)),INDEX(Base!$V:$V,MATCH($A36,Base!$A:$A,0)),0)))</f>
        <v>0</v>
      </c>
      <c r="MC36" s="21">
        <f>IF(MC$1&lt;INDEX('Valo FX'!$Q:$Q,MATCH($A36,'Valo FX'!$A:$A,0)),0,IF(MC$1&lt;INDEX('Valo FX'!$R:$R,MATCH($A36,'Valo FX'!$A:$A,0)),INDEX(Base!$U:$U,MATCH($A36,Base!$A:$A,0)),IF(MC$1=INDEX('Valo FX'!$R:$R,MATCH($A36,'Valo FX'!$A:$A,0)),INDEX(Base!$V:$V,MATCH($A36,Base!$A:$A,0)),0)))</f>
        <v>0</v>
      </c>
      <c r="MD36" s="21">
        <f>IF(MD$1&lt;INDEX('Valo FX'!$Q:$Q,MATCH($A36,'Valo FX'!$A:$A,0)),0,IF(MD$1&lt;INDEX('Valo FX'!$R:$R,MATCH($A36,'Valo FX'!$A:$A,0)),INDEX(Base!$U:$U,MATCH($A36,Base!$A:$A,0)),IF(MD$1=INDEX('Valo FX'!$R:$R,MATCH($A36,'Valo FX'!$A:$A,0)),INDEX(Base!$V:$V,MATCH($A36,Base!$A:$A,0)),0)))</f>
        <v>0</v>
      </c>
      <c r="ME36" s="21">
        <f>IF(ME$1&lt;INDEX('Valo FX'!$Q:$Q,MATCH($A36,'Valo FX'!$A:$A,0)),0,IF(ME$1&lt;INDEX('Valo FX'!$R:$R,MATCH($A36,'Valo FX'!$A:$A,0)),INDEX(Base!$U:$U,MATCH($A36,Base!$A:$A,0)),IF(ME$1=INDEX('Valo FX'!$R:$R,MATCH($A36,'Valo FX'!$A:$A,0)),INDEX(Base!$V:$V,MATCH($A36,Base!$A:$A,0)),0)))</f>
        <v>0</v>
      </c>
      <c r="MF36" s="21">
        <f>IF(MF$1&lt;INDEX('Valo FX'!$Q:$Q,MATCH($A36,'Valo FX'!$A:$A,0)),0,IF(MF$1&lt;INDEX('Valo FX'!$R:$R,MATCH($A36,'Valo FX'!$A:$A,0)),INDEX(Base!$U:$U,MATCH($A36,Base!$A:$A,0)),IF(MF$1=INDEX('Valo FX'!$R:$R,MATCH($A36,'Valo FX'!$A:$A,0)),INDEX(Base!$V:$V,MATCH($A36,Base!$A:$A,0)),0)))</f>
        <v>0</v>
      </c>
      <c r="MG36" s="21">
        <f>IF(MG$1&lt;INDEX('Valo FX'!$Q:$Q,MATCH($A36,'Valo FX'!$A:$A,0)),0,IF(MG$1&lt;INDEX('Valo FX'!$R:$R,MATCH($A36,'Valo FX'!$A:$A,0)),INDEX(Base!$U:$U,MATCH($A36,Base!$A:$A,0)),IF(MG$1=INDEX('Valo FX'!$R:$R,MATCH($A36,'Valo FX'!$A:$A,0)),INDEX(Base!$V:$V,MATCH($A36,Base!$A:$A,0)),0)))</f>
        <v>0</v>
      </c>
      <c r="MH36" s="21">
        <f>IF(MH$1&lt;INDEX('Valo FX'!$Q:$Q,MATCH($A36,'Valo FX'!$A:$A,0)),0,IF(MH$1&lt;INDEX('Valo FX'!$R:$R,MATCH($A36,'Valo FX'!$A:$A,0)),INDEX(Base!$U:$U,MATCH($A36,Base!$A:$A,0)),IF(MH$1=INDEX('Valo FX'!$R:$R,MATCH($A36,'Valo FX'!$A:$A,0)),INDEX(Base!$V:$V,MATCH($A36,Base!$A:$A,0)),0)))</f>
        <v>0</v>
      </c>
      <c r="MI36" s="21">
        <f>IF(MI$1&lt;INDEX('Valo FX'!$Q:$Q,MATCH($A36,'Valo FX'!$A:$A,0)),0,IF(MI$1&lt;INDEX('Valo FX'!$R:$R,MATCH($A36,'Valo FX'!$A:$A,0)),INDEX(Base!$U:$U,MATCH($A36,Base!$A:$A,0)),IF(MI$1=INDEX('Valo FX'!$R:$R,MATCH($A36,'Valo FX'!$A:$A,0)),INDEX(Base!$V:$V,MATCH($A36,Base!$A:$A,0)),0)))</f>
        <v>0</v>
      </c>
      <c r="MJ36" s="21">
        <f>IF(MJ$1&lt;INDEX('Valo FX'!$Q:$Q,MATCH($A36,'Valo FX'!$A:$A,0)),0,IF(MJ$1&lt;INDEX('Valo FX'!$R:$R,MATCH($A36,'Valo FX'!$A:$A,0)),INDEX(Base!$U:$U,MATCH($A36,Base!$A:$A,0)),IF(MJ$1=INDEX('Valo FX'!$R:$R,MATCH($A36,'Valo FX'!$A:$A,0)),INDEX(Base!$V:$V,MATCH($A36,Base!$A:$A,0)),0)))</f>
        <v>0</v>
      </c>
      <c r="MK36" s="21">
        <f>IF(MK$1&lt;INDEX('Valo FX'!$Q:$Q,MATCH($A36,'Valo FX'!$A:$A,0)),0,IF(MK$1&lt;INDEX('Valo FX'!$R:$R,MATCH($A36,'Valo FX'!$A:$A,0)),INDEX(Base!$U:$U,MATCH($A36,Base!$A:$A,0)),IF(MK$1=INDEX('Valo FX'!$R:$R,MATCH($A36,'Valo FX'!$A:$A,0)),INDEX(Base!$V:$V,MATCH($A36,Base!$A:$A,0)),0)))</f>
        <v>0</v>
      </c>
      <c r="ML36" s="21">
        <f>IF(ML$1&lt;INDEX('Valo FX'!$Q:$Q,MATCH($A36,'Valo FX'!$A:$A,0)),0,IF(ML$1&lt;INDEX('Valo FX'!$R:$R,MATCH($A36,'Valo FX'!$A:$A,0)),INDEX(Base!$U:$U,MATCH($A36,Base!$A:$A,0)),IF(ML$1=INDEX('Valo FX'!$R:$R,MATCH($A36,'Valo FX'!$A:$A,0)),INDEX(Base!$V:$V,MATCH($A36,Base!$A:$A,0)),0)))</f>
        <v>0</v>
      </c>
      <c r="MM36" s="21">
        <f>IF(MM$1&lt;INDEX('Valo FX'!$Q:$Q,MATCH($A36,'Valo FX'!$A:$A,0)),0,IF(MM$1&lt;INDEX('Valo FX'!$R:$R,MATCH($A36,'Valo FX'!$A:$A,0)),INDEX(Base!$U:$U,MATCH($A36,Base!$A:$A,0)),IF(MM$1=INDEX('Valo FX'!$R:$R,MATCH($A36,'Valo FX'!$A:$A,0)),INDEX(Base!$V:$V,MATCH($A36,Base!$A:$A,0)),0)))</f>
        <v>0</v>
      </c>
      <c r="MN36" s="21">
        <f>IF(MN$1&lt;INDEX('Valo FX'!$Q:$Q,MATCH($A36,'Valo FX'!$A:$A,0)),0,IF(MN$1&lt;INDEX('Valo FX'!$R:$R,MATCH($A36,'Valo FX'!$A:$A,0)),INDEX(Base!$U:$U,MATCH($A36,Base!$A:$A,0)),IF(MN$1=INDEX('Valo FX'!$R:$R,MATCH($A36,'Valo FX'!$A:$A,0)),INDEX(Base!$V:$V,MATCH($A36,Base!$A:$A,0)),0)))</f>
        <v>0</v>
      </c>
      <c r="MO36" s="21">
        <f>IF(MO$1&lt;INDEX('Valo FX'!$Q:$Q,MATCH($A36,'Valo FX'!$A:$A,0)),0,IF(MO$1&lt;INDEX('Valo FX'!$R:$R,MATCH($A36,'Valo FX'!$A:$A,0)),INDEX(Base!$U:$U,MATCH($A36,Base!$A:$A,0)),IF(MO$1=INDEX('Valo FX'!$R:$R,MATCH($A36,'Valo FX'!$A:$A,0)),INDEX(Base!$V:$V,MATCH($A36,Base!$A:$A,0)),0)))</f>
        <v>0</v>
      </c>
      <c r="MP36" s="21">
        <f>IF(MP$1&lt;INDEX('Valo FX'!$Q:$Q,MATCH($A36,'Valo FX'!$A:$A,0)),0,IF(MP$1&lt;INDEX('Valo FX'!$R:$R,MATCH($A36,'Valo FX'!$A:$A,0)),INDEX(Base!$U:$U,MATCH($A36,Base!$A:$A,0)),IF(MP$1=INDEX('Valo FX'!$R:$R,MATCH($A36,'Valo FX'!$A:$A,0)),INDEX(Base!$V:$V,MATCH($A36,Base!$A:$A,0)),0)))</f>
        <v>0</v>
      </c>
      <c r="MQ36" s="21">
        <f>IF(MQ$1&lt;INDEX('Valo FX'!$Q:$Q,MATCH($A36,'Valo FX'!$A:$A,0)),0,IF(MQ$1&lt;INDEX('Valo FX'!$R:$R,MATCH($A36,'Valo FX'!$A:$A,0)),INDEX(Base!$U:$U,MATCH($A36,Base!$A:$A,0)),IF(MQ$1=INDEX('Valo FX'!$R:$R,MATCH($A36,'Valo FX'!$A:$A,0)),INDEX(Base!$V:$V,MATCH($A36,Base!$A:$A,0)),0)))</f>
        <v>0</v>
      </c>
      <c r="MR36" s="21">
        <f>IF(MR$1&lt;INDEX('Valo FX'!$Q:$Q,MATCH($A36,'Valo FX'!$A:$A,0)),0,IF(MR$1&lt;INDEX('Valo FX'!$R:$R,MATCH($A36,'Valo FX'!$A:$A,0)),INDEX(Base!$U:$U,MATCH($A36,Base!$A:$A,0)),IF(MR$1=INDEX('Valo FX'!$R:$R,MATCH($A36,'Valo FX'!$A:$A,0)),INDEX(Base!$V:$V,MATCH($A36,Base!$A:$A,0)),0)))</f>
        <v>0</v>
      </c>
      <c r="MS36" s="21">
        <f>IF(MS$1&lt;INDEX('Valo FX'!$Q:$Q,MATCH($A36,'Valo FX'!$A:$A,0)),0,IF(MS$1&lt;INDEX('Valo FX'!$R:$R,MATCH($A36,'Valo FX'!$A:$A,0)),INDEX(Base!$U:$U,MATCH($A36,Base!$A:$A,0)),IF(MS$1=INDEX('Valo FX'!$R:$R,MATCH($A36,'Valo FX'!$A:$A,0)),INDEX(Base!$V:$V,MATCH($A36,Base!$A:$A,0)),0)))</f>
        <v>0</v>
      </c>
      <c r="MT36" s="21">
        <f>IF(MT$1&lt;INDEX('Valo FX'!$Q:$Q,MATCH($A36,'Valo FX'!$A:$A,0)),0,IF(MT$1&lt;INDEX('Valo FX'!$R:$R,MATCH($A36,'Valo FX'!$A:$A,0)),INDEX(Base!$U:$U,MATCH($A36,Base!$A:$A,0)),IF(MT$1=INDEX('Valo FX'!$R:$R,MATCH($A36,'Valo FX'!$A:$A,0)),INDEX(Base!$V:$V,MATCH($A36,Base!$A:$A,0)),0)))</f>
        <v>0</v>
      </c>
      <c r="MU36" s="21">
        <f>IF(MU$1&lt;INDEX('Valo FX'!$Q:$Q,MATCH($A36,'Valo FX'!$A:$A,0)),0,IF(MU$1&lt;INDEX('Valo FX'!$R:$R,MATCH($A36,'Valo FX'!$A:$A,0)),INDEX(Base!$U:$U,MATCH($A36,Base!$A:$A,0)),IF(MU$1=INDEX('Valo FX'!$R:$R,MATCH($A36,'Valo FX'!$A:$A,0)),INDEX(Base!$V:$V,MATCH($A36,Base!$A:$A,0)),0)))</f>
        <v>0</v>
      </c>
      <c r="MV36" s="21">
        <f>IF(MV$1&lt;INDEX('Valo FX'!$Q:$Q,MATCH($A36,'Valo FX'!$A:$A,0)),0,IF(MV$1&lt;INDEX('Valo FX'!$R:$R,MATCH($A36,'Valo FX'!$A:$A,0)),INDEX(Base!$U:$U,MATCH($A36,Base!$A:$A,0)),IF(MV$1=INDEX('Valo FX'!$R:$R,MATCH($A36,'Valo FX'!$A:$A,0)),INDEX(Base!$V:$V,MATCH($A36,Base!$A:$A,0)),0)))</f>
        <v>0</v>
      </c>
      <c r="MW36" s="21">
        <f>IF(MW$1&lt;INDEX('Valo FX'!$Q:$Q,MATCH($A36,'Valo FX'!$A:$A,0)),0,IF(MW$1&lt;INDEX('Valo FX'!$R:$R,MATCH($A36,'Valo FX'!$A:$A,0)),INDEX(Base!$U:$U,MATCH($A36,Base!$A:$A,0)),IF(MW$1=INDEX('Valo FX'!$R:$R,MATCH($A36,'Valo FX'!$A:$A,0)),INDEX(Base!$V:$V,MATCH($A36,Base!$A:$A,0)),0)))</f>
        <v>0</v>
      </c>
      <c r="MX36" s="21">
        <f>IF(MX$1&lt;INDEX('Valo FX'!$Q:$Q,MATCH($A36,'Valo FX'!$A:$A,0)),0,IF(MX$1&lt;INDEX('Valo FX'!$R:$R,MATCH($A36,'Valo FX'!$A:$A,0)),INDEX(Base!$U:$U,MATCH($A36,Base!$A:$A,0)),IF(MX$1=INDEX('Valo FX'!$R:$R,MATCH($A36,'Valo FX'!$A:$A,0)),INDEX(Base!$V:$V,MATCH($A36,Base!$A:$A,0)),0)))</f>
        <v>0</v>
      </c>
      <c r="MY36" s="21">
        <f>IF(MY$1&lt;INDEX('Valo FX'!$Q:$Q,MATCH($A36,'Valo FX'!$A:$A,0)),0,IF(MY$1&lt;INDEX('Valo FX'!$R:$R,MATCH($A36,'Valo FX'!$A:$A,0)),INDEX(Base!$U:$U,MATCH($A36,Base!$A:$A,0)),IF(MY$1=INDEX('Valo FX'!$R:$R,MATCH($A36,'Valo FX'!$A:$A,0)),INDEX(Base!$V:$V,MATCH($A36,Base!$A:$A,0)),0)))</f>
        <v>0</v>
      </c>
    </row>
    <row r="37" spans="1:363" x14ac:dyDescent="0.25">
      <c r="A37" s="7">
        <f t="shared" si="12"/>
        <v>35</v>
      </c>
      <c r="B37" s="59">
        <f>-'Valo FX'!T38</f>
        <v>-1787.9164492292628</v>
      </c>
      <c r="C37" s="21">
        <f>IF(C$1&lt;INDEX('Valo FX'!$Q:$Q,MATCH($A37,'Valo FX'!$A:$A,0)),0,IF(C$1&lt;INDEX('Valo FX'!$R:$R,MATCH($A37,'Valo FX'!$A:$A,0)),INDEX(Base!$U:$U,MATCH($A37,Base!$A:$A,0)),IF(C$1=INDEX('Valo FX'!$R:$R,MATCH($A37,'Valo FX'!$A:$A,0)),INDEX(Base!$V:$V,MATCH($A37,Base!$A:$A,0)),0)))</f>
        <v>0</v>
      </c>
      <c r="D37" s="21">
        <f>IF(D$1&lt;INDEX('Valo FX'!$Q:$Q,MATCH($A37,'Valo FX'!$A:$A,0)),0,IF(D$1&lt;INDEX('Valo FX'!$R:$R,MATCH($A37,'Valo FX'!$A:$A,0)),INDEX(Base!$U:$U,MATCH($A37,Base!$A:$A,0)),IF(D$1=INDEX('Valo FX'!$R:$R,MATCH($A37,'Valo FX'!$A:$A,0)),INDEX(Base!$V:$V,MATCH($A37,Base!$A:$A,0)),0)))</f>
        <v>0</v>
      </c>
      <c r="E37" s="21">
        <f>IF(E$1&lt;INDEX('Valo FX'!$Q:$Q,MATCH($A37,'Valo FX'!$A:$A,0)),0,IF(E$1&lt;INDEX('Valo FX'!$R:$R,MATCH($A37,'Valo FX'!$A:$A,0)),INDEX(Base!$U:$U,MATCH($A37,Base!$A:$A,0)),IF(E$1=INDEX('Valo FX'!$R:$R,MATCH($A37,'Valo FX'!$A:$A,0)),INDEX(Base!$V:$V,MATCH($A37,Base!$A:$A,0)),0)))</f>
        <v>0</v>
      </c>
      <c r="F37" s="21">
        <f>IF(F$1&lt;INDEX('Valo FX'!$Q:$Q,MATCH($A37,'Valo FX'!$A:$A,0)),0,IF(F$1&lt;INDEX('Valo FX'!$R:$R,MATCH($A37,'Valo FX'!$A:$A,0)),INDEX(Base!$U:$U,MATCH($A37,Base!$A:$A,0)),IF(F$1=INDEX('Valo FX'!$R:$R,MATCH($A37,'Valo FX'!$A:$A,0)),INDEX(Base!$V:$V,MATCH($A37,Base!$A:$A,0)),0)))</f>
        <v>0</v>
      </c>
      <c r="G37" s="21">
        <f>IF(G$1&lt;INDEX('Valo FX'!$Q:$Q,MATCH($A37,'Valo FX'!$A:$A,0)),0,IF(G$1&lt;INDEX('Valo FX'!$R:$R,MATCH($A37,'Valo FX'!$A:$A,0)),INDEX(Base!$U:$U,MATCH($A37,Base!$A:$A,0)),IF(G$1=INDEX('Valo FX'!$R:$R,MATCH($A37,'Valo FX'!$A:$A,0)),INDEX(Base!$V:$V,MATCH($A37,Base!$A:$A,0)),0)))</f>
        <v>0</v>
      </c>
      <c r="H37" s="21">
        <f>IF(H$1&lt;INDEX('Valo FX'!$Q:$Q,MATCH($A37,'Valo FX'!$A:$A,0)),0,IF(H$1&lt;INDEX('Valo FX'!$R:$R,MATCH($A37,'Valo FX'!$A:$A,0)),INDEX(Base!$U:$U,MATCH($A37,Base!$A:$A,0)),IF(H$1=INDEX('Valo FX'!$R:$R,MATCH($A37,'Valo FX'!$A:$A,0)),INDEX(Base!$V:$V,MATCH($A37,Base!$A:$A,0)),0)))</f>
        <v>0</v>
      </c>
      <c r="I37" s="21">
        <f>IF(I$1&lt;INDEX('Valo FX'!$Q:$Q,MATCH($A37,'Valo FX'!$A:$A,0)),0,IF(I$1&lt;INDEX('Valo FX'!$R:$R,MATCH($A37,'Valo FX'!$A:$A,0)),INDEX(Base!$U:$U,MATCH($A37,Base!$A:$A,0)),IF(I$1=INDEX('Valo FX'!$R:$R,MATCH($A37,'Valo FX'!$A:$A,0)),INDEX(Base!$V:$V,MATCH($A37,Base!$A:$A,0)),0)))</f>
        <v>12.249840000000001</v>
      </c>
      <c r="J37" s="21">
        <f>IF(J$1&lt;INDEX('Valo FX'!$Q:$Q,MATCH($A37,'Valo FX'!$A:$A,0)),0,IF(J$1&lt;INDEX('Valo FX'!$R:$R,MATCH($A37,'Valo FX'!$A:$A,0)),INDEX(Base!$U:$U,MATCH($A37,Base!$A:$A,0)),IF(J$1=INDEX('Valo FX'!$R:$R,MATCH($A37,'Valo FX'!$A:$A,0)),INDEX(Base!$V:$V,MATCH($A37,Base!$A:$A,0)),0)))</f>
        <v>12.249840000000001</v>
      </c>
      <c r="K37" s="21">
        <f>IF(K$1&lt;INDEX('Valo FX'!$Q:$Q,MATCH($A37,'Valo FX'!$A:$A,0)),0,IF(K$1&lt;INDEX('Valo FX'!$R:$R,MATCH($A37,'Valo FX'!$A:$A,0)),INDEX(Base!$U:$U,MATCH($A37,Base!$A:$A,0)),IF(K$1=INDEX('Valo FX'!$R:$R,MATCH($A37,'Valo FX'!$A:$A,0)),INDEX(Base!$V:$V,MATCH($A37,Base!$A:$A,0)),0)))</f>
        <v>12.249840000000001</v>
      </c>
      <c r="L37" s="21">
        <f>IF(L$1&lt;INDEX('Valo FX'!$Q:$Q,MATCH($A37,'Valo FX'!$A:$A,0)),0,IF(L$1&lt;INDEX('Valo FX'!$R:$R,MATCH($A37,'Valo FX'!$A:$A,0)),INDEX(Base!$U:$U,MATCH($A37,Base!$A:$A,0)),IF(L$1=INDEX('Valo FX'!$R:$R,MATCH($A37,'Valo FX'!$A:$A,0)),INDEX(Base!$V:$V,MATCH($A37,Base!$A:$A,0)),0)))</f>
        <v>12.249840000000001</v>
      </c>
      <c r="M37" s="21">
        <f>IF(M$1&lt;INDEX('Valo FX'!$Q:$Q,MATCH($A37,'Valo FX'!$A:$A,0)),0,IF(M$1&lt;INDEX('Valo FX'!$R:$R,MATCH($A37,'Valo FX'!$A:$A,0)),INDEX(Base!$U:$U,MATCH($A37,Base!$A:$A,0)),IF(M$1=INDEX('Valo FX'!$R:$R,MATCH($A37,'Valo FX'!$A:$A,0)),INDEX(Base!$V:$V,MATCH($A37,Base!$A:$A,0)),0)))</f>
        <v>12.249840000000001</v>
      </c>
      <c r="N37" s="21">
        <f>IF(N$1&lt;INDEX('Valo FX'!$Q:$Q,MATCH($A37,'Valo FX'!$A:$A,0)),0,IF(N$1&lt;INDEX('Valo FX'!$R:$R,MATCH($A37,'Valo FX'!$A:$A,0)),INDEX(Base!$U:$U,MATCH($A37,Base!$A:$A,0)),IF(N$1=INDEX('Valo FX'!$R:$R,MATCH($A37,'Valo FX'!$A:$A,0)),INDEX(Base!$V:$V,MATCH($A37,Base!$A:$A,0)),0)))</f>
        <v>12.249840000000001</v>
      </c>
      <c r="O37" s="21">
        <f>IF(O$1&lt;INDEX('Valo FX'!$Q:$Q,MATCH($A37,'Valo FX'!$A:$A,0)),0,IF(O$1&lt;INDEX('Valo FX'!$R:$R,MATCH($A37,'Valo FX'!$A:$A,0)),INDEX(Base!$U:$U,MATCH($A37,Base!$A:$A,0)),IF(O$1=INDEX('Valo FX'!$R:$R,MATCH($A37,'Valo FX'!$A:$A,0)),INDEX(Base!$V:$V,MATCH($A37,Base!$A:$A,0)),0)))</f>
        <v>12.249840000000001</v>
      </c>
      <c r="P37" s="21">
        <f>IF(P$1&lt;INDEX('Valo FX'!$Q:$Q,MATCH($A37,'Valo FX'!$A:$A,0)),0,IF(P$1&lt;INDEX('Valo FX'!$R:$R,MATCH($A37,'Valo FX'!$A:$A,0)),INDEX(Base!$U:$U,MATCH($A37,Base!$A:$A,0)),IF(P$1=INDEX('Valo FX'!$R:$R,MATCH($A37,'Valo FX'!$A:$A,0)),INDEX(Base!$V:$V,MATCH($A37,Base!$A:$A,0)),0)))</f>
        <v>12.249840000000001</v>
      </c>
      <c r="Q37" s="21">
        <f>IF(Q$1&lt;INDEX('Valo FX'!$Q:$Q,MATCH($A37,'Valo FX'!$A:$A,0)),0,IF(Q$1&lt;INDEX('Valo FX'!$R:$R,MATCH($A37,'Valo FX'!$A:$A,0)),INDEX(Base!$U:$U,MATCH($A37,Base!$A:$A,0)),IF(Q$1=INDEX('Valo FX'!$R:$R,MATCH($A37,'Valo FX'!$A:$A,0)),INDEX(Base!$V:$V,MATCH($A37,Base!$A:$A,0)),0)))</f>
        <v>12.249840000000001</v>
      </c>
      <c r="R37" s="21">
        <f>IF(R$1&lt;INDEX('Valo FX'!$Q:$Q,MATCH($A37,'Valo FX'!$A:$A,0)),0,IF(R$1&lt;INDEX('Valo FX'!$R:$R,MATCH($A37,'Valo FX'!$A:$A,0)),INDEX(Base!$U:$U,MATCH($A37,Base!$A:$A,0)),IF(R$1=INDEX('Valo FX'!$R:$R,MATCH($A37,'Valo FX'!$A:$A,0)),INDEX(Base!$V:$V,MATCH($A37,Base!$A:$A,0)),0)))</f>
        <v>12.249840000000001</v>
      </c>
      <c r="S37" s="21">
        <f>IF(S$1&lt;INDEX('Valo FX'!$Q:$Q,MATCH($A37,'Valo FX'!$A:$A,0)),0,IF(S$1&lt;INDEX('Valo FX'!$R:$R,MATCH($A37,'Valo FX'!$A:$A,0)),INDEX(Base!$U:$U,MATCH($A37,Base!$A:$A,0)),IF(S$1=INDEX('Valo FX'!$R:$R,MATCH($A37,'Valo FX'!$A:$A,0)),INDEX(Base!$V:$V,MATCH($A37,Base!$A:$A,0)),0)))</f>
        <v>12.249840000000001</v>
      </c>
      <c r="T37" s="21">
        <f>IF(T$1&lt;INDEX('Valo FX'!$Q:$Q,MATCH($A37,'Valo FX'!$A:$A,0)),0,IF(T$1&lt;INDEX('Valo FX'!$R:$R,MATCH($A37,'Valo FX'!$A:$A,0)),INDEX(Base!$U:$U,MATCH($A37,Base!$A:$A,0)),IF(T$1=INDEX('Valo FX'!$R:$R,MATCH($A37,'Valo FX'!$A:$A,0)),INDEX(Base!$V:$V,MATCH($A37,Base!$A:$A,0)),0)))</f>
        <v>12.249840000000001</v>
      </c>
      <c r="U37" s="21">
        <f>IF(U$1&lt;INDEX('Valo FX'!$Q:$Q,MATCH($A37,'Valo FX'!$A:$A,0)),0,IF(U$1&lt;INDEX('Valo FX'!$R:$R,MATCH($A37,'Valo FX'!$A:$A,0)),INDEX(Base!$U:$U,MATCH($A37,Base!$A:$A,0)),IF(U$1=INDEX('Valo FX'!$R:$R,MATCH($A37,'Valo FX'!$A:$A,0)),INDEX(Base!$V:$V,MATCH($A37,Base!$A:$A,0)),0)))</f>
        <v>12.249840000000001</v>
      </c>
      <c r="V37" s="21">
        <f>IF(V$1&lt;INDEX('Valo FX'!$Q:$Q,MATCH($A37,'Valo FX'!$A:$A,0)),0,IF(V$1&lt;INDEX('Valo FX'!$R:$R,MATCH($A37,'Valo FX'!$A:$A,0)),INDEX(Base!$U:$U,MATCH($A37,Base!$A:$A,0)),IF(V$1=INDEX('Valo FX'!$R:$R,MATCH($A37,'Valo FX'!$A:$A,0)),INDEX(Base!$V:$V,MATCH($A37,Base!$A:$A,0)),0)))</f>
        <v>12.249840000000001</v>
      </c>
      <c r="W37" s="21">
        <f>IF(W$1&lt;INDEX('Valo FX'!$Q:$Q,MATCH($A37,'Valo FX'!$A:$A,0)),0,IF(W$1&lt;INDEX('Valo FX'!$R:$R,MATCH($A37,'Valo FX'!$A:$A,0)),INDEX(Base!$U:$U,MATCH($A37,Base!$A:$A,0)),IF(W$1=INDEX('Valo FX'!$R:$R,MATCH($A37,'Valo FX'!$A:$A,0)),INDEX(Base!$V:$V,MATCH($A37,Base!$A:$A,0)),0)))</f>
        <v>12.249840000000001</v>
      </c>
      <c r="X37" s="21">
        <f>IF(X$1&lt;INDEX('Valo FX'!$Q:$Q,MATCH($A37,'Valo FX'!$A:$A,0)),0,IF(X$1&lt;INDEX('Valo FX'!$R:$R,MATCH($A37,'Valo FX'!$A:$A,0)),INDEX(Base!$U:$U,MATCH($A37,Base!$A:$A,0)),IF(X$1=INDEX('Valo FX'!$R:$R,MATCH($A37,'Valo FX'!$A:$A,0)),INDEX(Base!$V:$V,MATCH($A37,Base!$A:$A,0)),0)))</f>
        <v>12.249840000000001</v>
      </c>
      <c r="Y37" s="21">
        <f>IF(Y$1&lt;INDEX('Valo FX'!$Q:$Q,MATCH($A37,'Valo FX'!$A:$A,0)),0,IF(Y$1&lt;INDEX('Valo FX'!$R:$R,MATCH($A37,'Valo FX'!$A:$A,0)),INDEX(Base!$U:$U,MATCH($A37,Base!$A:$A,0)),IF(Y$1=INDEX('Valo FX'!$R:$R,MATCH($A37,'Valo FX'!$A:$A,0)),INDEX(Base!$V:$V,MATCH($A37,Base!$A:$A,0)),0)))</f>
        <v>12.249840000000001</v>
      </c>
      <c r="Z37" s="21">
        <f>IF(Z$1&lt;INDEX('Valo FX'!$Q:$Q,MATCH($A37,'Valo FX'!$A:$A,0)),0,IF(Z$1&lt;INDEX('Valo FX'!$R:$R,MATCH($A37,'Valo FX'!$A:$A,0)),INDEX(Base!$U:$U,MATCH($A37,Base!$A:$A,0)),IF(Z$1=INDEX('Valo FX'!$R:$R,MATCH($A37,'Valo FX'!$A:$A,0)),INDEX(Base!$V:$V,MATCH($A37,Base!$A:$A,0)),0)))</f>
        <v>12.249840000000001</v>
      </c>
      <c r="AA37" s="21">
        <f>IF(AA$1&lt;INDEX('Valo FX'!$Q:$Q,MATCH($A37,'Valo FX'!$A:$A,0)),0,IF(AA$1&lt;INDEX('Valo FX'!$R:$R,MATCH($A37,'Valo FX'!$A:$A,0)),INDEX(Base!$U:$U,MATCH($A37,Base!$A:$A,0)),IF(AA$1=INDEX('Valo FX'!$R:$R,MATCH($A37,'Valo FX'!$A:$A,0)),INDEX(Base!$V:$V,MATCH($A37,Base!$A:$A,0)),0)))</f>
        <v>12.249840000000001</v>
      </c>
      <c r="AB37" s="21">
        <f>IF(AB$1&lt;INDEX('Valo FX'!$Q:$Q,MATCH($A37,'Valo FX'!$A:$A,0)),0,IF(AB$1&lt;INDEX('Valo FX'!$R:$R,MATCH($A37,'Valo FX'!$A:$A,0)),INDEX(Base!$U:$U,MATCH($A37,Base!$A:$A,0)),IF(AB$1=INDEX('Valo FX'!$R:$R,MATCH($A37,'Valo FX'!$A:$A,0)),INDEX(Base!$V:$V,MATCH($A37,Base!$A:$A,0)),0)))</f>
        <v>12.249840000000001</v>
      </c>
      <c r="AC37" s="21">
        <f>IF(AC$1&lt;INDEX('Valo FX'!$Q:$Q,MATCH($A37,'Valo FX'!$A:$A,0)),0,IF(AC$1&lt;INDEX('Valo FX'!$R:$R,MATCH($A37,'Valo FX'!$A:$A,0)),INDEX(Base!$U:$U,MATCH($A37,Base!$A:$A,0)),IF(AC$1=INDEX('Valo FX'!$R:$R,MATCH($A37,'Valo FX'!$A:$A,0)),INDEX(Base!$V:$V,MATCH($A37,Base!$A:$A,0)),0)))</f>
        <v>12.249840000000001</v>
      </c>
      <c r="AD37" s="21">
        <f>IF(AD$1&lt;INDEX('Valo FX'!$Q:$Q,MATCH($A37,'Valo FX'!$A:$A,0)),0,IF(AD$1&lt;INDEX('Valo FX'!$R:$R,MATCH($A37,'Valo FX'!$A:$A,0)),INDEX(Base!$U:$U,MATCH($A37,Base!$A:$A,0)),IF(AD$1=INDEX('Valo FX'!$R:$R,MATCH($A37,'Valo FX'!$A:$A,0)),INDEX(Base!$V:$V,MATCH($A37,Base!$A:$A,0)),0)))</f>
        <v>12.249840000000001</v>
      </c>
      <c r="AE37" s="21">
        <f>IF(AE$1&lt;INDEX('Valo FX'!$Q:$Q,MATCH($A37,'Valo FX'!$A:$A,0)),0,IF(AE$1&lt;INDEX('Valo FX'!$R:$R,MATCH($A37,'Valo FX'!$A:$A,0)),INDEX(Base!$U:$U,MATCH($A37,Base!$A:$A,0)),IF(AE$1=INDEX('Valo FX'!$R:$R,MATCH($A37,'Valo FX'!$A:$A,0)),INDEX(Base!$V:$V,MATCH($A37,Base!$A:$A,0)),0)))</f>
        <v>12.249840000000001</v>
      </c>
      <c r="AF37" s="21">
        <f>IF(AF$1&lt;INDEX('Valo FX'!$Q:$Q,MATCH($A37,'Valo FX'!$A:$A,0)),0,IF(AF$1&lt;INDEX('Valo FX'!$R:$R,MATCH($A37,'Valo FX'!$A:$A,0)),INDEX(Base!$U:$U,MATCH($A37,Base!$A:$A,0)),IF(AF$1=INDEX('Valo FX'!$R:$R,MATCH($A37,'Valo FX'!$A:$A,0)),INDEX(Base!$V:$V,MATCH($A37,Base!$A:$A,0)),0)))</f>
        <v>12.249840000000001</v>
      </c>
      <c r="AG37" s="21">
        <f>IF(AG$1&lt;INDEX('Valo FX'!$Q:$Q,MATCH($A37,'Valo FX'!$A:$A,0)),0,IF(AG$1&lt;INDEX('Valo FX'!$R:$R,MATCH($A37,'Valo FX'!$A:$A,0)),INDEX(Base!$U:$U,MATCH($A37,Base!$A:$A,0)),IF(AG$1=INDEX('Valo FX'!$R:$R,MATCH($A37,'Valo FX'!$A:$A,0)),INDEX(Base!$V:$V,MATCH($A37,Base!$A:$A,0)),0)))</f>
        <v>12.249840000000001</v>
      </c>
      <c r="AH37" s="21">
        <f>IF(AH$1&lt;INDEX('Valo FX'!$Q:$Q,MATCH($A37,'Valo FX'!$A:$A,0)),0,IF(AH$1&lt;INDEX('Valo FX'!$R:$R,MATCH($A37,'Valo FX'!$A:$A,0)),INDEX(Base!$U:$U,MATCH($A37,Base!$A:$A,0)),IF(AH$1=INDEX('Valo FX'!$R:$R,MATCH($A37,'Valo FX'!$A:$A,0)),INDEX(Base!$V:$V,MATCH($A37,Base!$A:$A,0)),0)))</f>
        <v>12.249840000000001</v>
      </c>
      <c r="AI37" s="21">
        <f>IF(AI$1&lt;INDEX('Valo FX'!$Q:$Q,MATCH($A37,'Valo FX'!$A:$A,0)),0,IF(AI$1&lt;INDEX('Valo FX'!$R:$R,MATCH($A37,'Valo FX'!$A:$A,0)),INDEX(Base!$U:$U,MATCH($A37,Base!$A:$A,0)),IF(AI$1=INDEX('Valo FX'!$R:$R,MATCH($A37,'Valo FX'!$A:$A,0)),INDEX(Base!$V:$V,MATCH($A37,Base!$A:$A,0)),0)))</f>
        <v>12.249840000000001</v>
      </c>
      <c r="AJ37" s="21">
        <f>IF(AJ$1&lt;INDEX('Valo FX'!$Q:$Q,MATCH($A37,'Valo FX'!$A:$A,0)),0,IF(AJ$1&lt;INDEX('Valo FX'!$R:$R,MATCH($A37,'Valo FX'!$A:$A,0)),INDEX(Base!$U:$U,MATCH($A37,Base!$A:$A,0)),IF(AJ$1=INDEX('Valo FX'!$R:$R,MATCH($A37,'Valo FX'!$A:$A,0)),INDEX(Base!$V:$V,MATCH($A37,Base!$A:$A,0)),0)))</f>
        <v>12.249840000000001</v>
      </c>
      <c r="AK37" s="21">
        <f>IF(AK$1&lt;INDEX('Valo FX'!$Q:$Q,MATCH($A37,'Valo FX'!$A:$A,0)),0,IF(AK$1&lt;INDEX('Valo FX'!$R:$R,MATCH($A37,'Valo FX'!$A:$A,0)),INDEX(Base!$U:$U,MATCH($A37,Base!$A:$A,0)),IF(AK$1=INDEX('Valo FX'!$R:$R,MATCH($A37,'Valo FX'!$A:$A,0)),INDEX(Base!$V:$V,MATCH($A37,Base!$A:$A,0)),0)))</f>
        <v>12.249840000000001</v>
      </c>
      <c r="AL37" s="21">
        <f>IF(AL$1&lt;INDEX('Valo FX'!$Q:$Q,MATCH($A37,'Valo FX'!$A:$A,0)),0,IF(AL$1&lt;INDEX('Valo FX'!$R:$R,MATCH($A37,'Valo FX'!$A:$A,0)),INDEX(Base!$U:$U,MATCH($A37,Base!$A:$A,0)),IF(AL$1=INDEX('Valo FX'!$R:$R,MATCH($A37,'Valo FX'!$A:$A,0)),INDEX(Base!$V:$V,MATCH($A37,Base!$A:$A,0)),0)))</f>
        <v>12.249840000000001</v>
      </c>
      <c r="AM37" s="21">
        <f>IF(AM$1&lt;INDEX('Valo FX'!$Q:$Q,MATCH($A37,'Valo FX'!$A:$A,0)),0,IF(AM$1&lt;INDEX('Valo FX'!$R:$R,MATCH($A37,'Valo FX'!$A:$A,0)),INDEX(Base!$U:$U,MATCH($A37,Base!$A:$A,0)),IF(AM$1=INDEX('Valo FX'!$R:$R,MATCH($A37,'Valo FX'!$A:$A,0)),INDEX(Base!$V:$V,MATCH($A37,Base!$A:$A,0)),0)))</f>
        <v>12.249840000000001</v>
      </c>
      <c r="AN37" s="21">
        <f>IF(AN$1&lt;INDEX('Valo FX'!$Q:$Q,MATCH($A37,'Valo FX'!$A:$A,0)),0,IF(AN$1&lt;INDEX('Valo FX'!$R:$R,MATCH($A37,'Valo FX'!$A:$A,0)),INDEX(Base!$U:$U,MATCH($A37,Base!$A:$A,0)),IF(AN$1=INDEX('Valo FX'!$R:$R,MATCH($A37,'Valo FX'!$A:$A,0)),INDEX(Base!$V:$V,MATCH($A37,Base!$A:$A,0)),0)))</f>
        <v>12.249840000000001</v>
      </c>
      <c r="AO37" s="21">
        <f>IF(AO$1&lt;INDEX('Valo FX'!$Q:$Q,MATCH($A37,'Valo FX'!$A:$A,0)),0,IF(AO$1&lt;INDEX('Valo FX'!$R:$R,MATCH($A37,'Valo FX'!$A:$A,0)),INDEX(Base!$U:$U,MATCH($A37,Base!$A:$A,0)),IF(AO$1=INDEX('Valo FX'!$R:$R,MATCH($A37,'Valo FX'!$A:$A,0)),INDEX(Base!$V:$V,MATCH($A37,Base!$A:$A,0)),0)))</f>
        <v>12.249840000000001</v>
      </c>
      <c r="AP37" s="21">
        <f>IF(AP$1&lt;INDEX('Valo FX'!$Q:$Q,MATCH($A37,'Valo FX'!$A:$A,0)),0,IF(AP$1&lt;INDEX('Valo FX'!$R:$R,MATCH($A37,'Valo FX'!$A:$A,0)),INDEX(Base!$U:$U,MATCH($A37,Base!$A:$A,0)),IF(AP$1=INDEX('Valo FX'!$R:$R,MATCH($A37,'Valo FX'!$A:$A,0)),INDEX(Base!$V:$V,MATCH($A37,Base!$A:$A,0)),0)))</f>
        <v>12.249840000000001</v>
      </c>
      <c r="AQ37" s="21">
        <f>IF(AQ$1&lt;INDEX('Valo FX'!$Q:$Q,MATCH($A37,'Valo FX'!$A:$A,0)),0,IF(AQ$1&lt;INDEX('Valo FX'!$R:$R,MATCH($A37,'Valo FX'!$A:$A,0)),INDEX(Base!$U:$U,MATCH($A37,Base!$A:$A,0)),IF(AQ$1=INDEX('Valo FX'!$R:$R,MATCH($A37,'Valo FX'!$A:$A,0)),INDEX(Base!$V:$V,MATCH($A37,Base!$A:$A,0)),0)))</f>
        <v>12.249840000000001</v>
      </c>
      <c r="AR37" s="21">
        <f>IF(AR$1&lt;INDEX('Valo FX'!$Q:$Q,MATCH($A37,'Valo FX'!$A:$A,0)),0,IF(AR$1&lt;INDEX('Valo FX'!$R:$R,MATCH($A37,'Valo FX'!$A:$A,0)),INDEX(Base!$U:$U,MATCH($A37,Base!$A:$A,0)),IF(AR$1=INDEX('Valo FX'!$R:$R,MATCH($A37,'Valo FX'!$A:$A,0)),INDEX(Base!$V:$V,MATCH($A37,Base!$A:$A,0)),0)))</f>
        <v>12.249840000000001</v>
      </c>
      <c r="AS37" s="21">
        <f>IF(AS$1&lt;INDEX('Valo FX'!$Q:$Q,MATCH($A37,'Valo FX'!$A:$A,0)),0,IF(AS$1&lt;INDEX('Valo FX'!$R:$R,MATCH($A37,'Valo FX'!$A:$A,0)),INDEX(Base!$U:$U,MATCH($A37,Base!$A:$A,0)),IF(AS$1=INDEX('Valo FX'!$R:$R,MATCH($A37,'Valo FX'!$A:$A,0)),INDEX(Base!$V:$V,MATCH($A37,Base!$A:$A,0)),0)))</f>
        <v>12.249840000000001</v>
      </c>
      <c r="AT37" s="21">
        <f>IF(AT$1&lt;INDEX('Valo FX'!$Q:$Q,MATCH($A37,'Valo FX'!$A:$A,0)),0,IF(AT$1&lt;INDEX('Valo FX'!$R:$R,MATCH($A37,'Valo FX'!$A:$A,0)),INDEX(Base!$U:$U,MATCH($A37,Base!$A:$A,0)),IF(AT$1=INDEX('Valo FX'!$R:$R,MATCH($A37,'Valo FX'!$A:$A,0)),INDEX(Base!$V:$V,MATCH($A37,Base!$A:$A,0)),0)))</f>
        <v>12.249840000000001</v>
      </c>
      <c r="AU37" s="21">
        <f>IF(AU$1&lt;INDEX('Valo FX'!$Q:$Q,MATCH($A37,'Valo FX'!$A:$A,0)),0,IF(AU$1&lt;INDEX('Valo FX'!$R:$R,MATCH($A37,'Valo FX'!$A:$A,0)),INDEX(Base!$U:$U,MATCH($A37,Base!$A:$A,0)),IF(AU$1=INDEX('Valo FX'!$R:$R,MATCH($A37,'Valo FX'!$A:$A,0)),INDEX(Base!$V:$V,MATCH($A37,Base!$A:$A,0)),0)))</f>
        <v>12.249840000000001</v>
      </c>
      <c r="AV37" s="21">
        <f>IF(AV$1&lt;INDEX('Valo FX'!$Q:$Q,MATCH($A37,'Valo FX'!$A:$A,0)),0,IF(AV$1&lt;INDEX('Valo FX'!$R:$R,MATCH($A37,'Valo FX'!$A:$A,0)),INDEX(Base!$U:$U,MATCH($A37,Base!$A:$A,0)),IF(AV$1=INDEX('Valo FX'!$R:$R,MATCH($A37,'Valo FX'!$A:$A,0)),INDEX(Base!$V:$V,MATCH($A37,Base!$A:$A,0)),0)))</f>
        <v>12.249840000000001</v>
      </c>
      <c r="AW37" s="21">
        <f>IF(AW$1&lt;INDEX('Valo FX'!$Q:$Q,MATCH($A37,'Valo FX'!$A:$A,0)),0,IF(AW$1&lt;INDEX('Valo FX'!$R:$R,MATCH($A37,'Valo FX'!$A:$A,0)),INDEX(Base!$U:$U,MATCH($A37,Base!$A:$A,0)),IF(AW$1=INDEX('Valo FX'!$R:$R,MATCH($A37,'Valo FX'!$A:$A,0)),INDEX(Base!$V:$V,MATCH($A37,Base!$A:$A,0)),0)))</f>
        <v>12.249840000000001</v>
      </c>
      <c r="AX37" s="21">
        <f>IF(AX$1&lt;INDEX('Valo FX'!$Q:$Q,MATCH($A37,'Valo FX'!$A:$A,0)),0,IF(AX$1&lt;INDEX('Valo FX'!$R:$R,MATCH($A37,'Valo FX'!$A:$A,0)),INDEX(Base!$U:$U,MATCH($A37,Base!$A:$A,0)),IF(AX$1=INDEX('Valo FX'!$R:$R,MATCH($A37,'Valo FX'!$A:$A,0)),INDEX(Base!$V:$V,MATCH($A37,Base!$A:$A,0)),0)))</f>
        <v>12.249840000000001</v>
      </c>
      <c r="AY37" s="21">
        <f>IF(AY$1&lt;INDEX('Valo FX'!$Q:$Q,MATCH($A37,'Valo FX'!$A:$A,0)),0,IF(AY$1&lt;INDEX('Valo FX'!$R:$R,MATCH($A37,'Valo FX'!$A:$A,0)),INDEX(Base!$U:$U,MATCH($A37,Base!$A:$A,0)),IF(AY$1=INDEX('Valo FX'!$R:$R,MATCH($A37,'Valo FX'!$A:$A,0)),INDEX(Base!$V:$V,MATCH($A37,Base!$A:$A,0)),0)))</f>
        <v>12.249840000000001</v>
      </c>
      <c r="AZ37" s="21">
        <f>IF(AZ$1&lt;INDEX('Valo FX'!$Q:$Q,MATCH($A37,'Valo FX'!$A:$A,0)),0,IF(AZ$1&lt;INDEX('Valo FX'!$R:$R,MATCH($A37,'Valo FX'!$A:$A,0)),INDEX(Base!$U:$U,MATCH($A37,Base!$A:$A,0)),IF(AZ$1=INDEX('Valo FX'!$R:$R,MATCH($A37,'Valo FX'!$A:$A,0)),INDEX(Base!$V:$V,MATCH($A37,Base!$A:$A,0)),0)))</f>
        <v>12.249840000000001</v>
      </c>
      <c r="BA37" s="21">
        <f>IF(BA$1&lt;INDEX('Valo FX'!$Q:$Q,MATCH($A37,'Valo FX'!$A:$A,0)),0,IF(BA$1&lt;INDEX('Valo FX'!$R:$R,MATCH($A37,'Valo FX'!$A:$A,0)),INDEX(Base!$U:$U,MATCH($A37,Base!$A:$A,0)),IF(BA$1=INDEX('Valo FX'!$R:$R,MATCH($A37,'Valo FX'!$A:$A,0)),INDEX(Base!$V:$V,MATCH($A37,Base!$A:$A,0)),0)))</f>
        <v>12.249840000000001</v>
      </c>
      <c r="BB37" s="21">
        <f>IF(BB$1&lt;INDEX('Valo FX'!$Q:$Q,MATCH($A37,'Valo FX'!$A:$A,0)),0,IF(BB$1&lt;INDEX('Valo FX'!$R:$R,MATCH($A37,'Valo FX'!$A:$A,0)),INDEX(Base!$U:$U,MATCH($A37,Base!$A:$A,0)),IF(BB$1=INDEX('Valo FX'!$R:$R,MATCH($A37,'Valo FX'!$A:$A,0)),INDEX(Base!$V:$V,MATCH($A37,Base!$A:$A,0)),0)))</f>
        <v>12.249840000000001</v>
      </c>
      <c r="BC37" s="21">
        <f>IF(BC$1&lt;INDEX('Valo FX'!$Q:$Q,MATCH($A37,'Valo FX'!$A:$A,0)),0,IF(BC$1&lt;INDEX('Valo FX'!$R:$R,MATCH($A37,'Valo FX'!$A:$A,0)),INDEX(Base!$U:$U,MATCH($A37,Base!$A:$A,0)),IF(BC$1=INDEX('Valo FX'!$R:$R,MATCH($A37,'Valo FX'!$A:$A,0)),INDEX(Base!$V:$V,MATCH($A37,Base!$A:$A,0)),0)))</f>
        <v>12.249840000000001</v>
      </c>
      <c r="BD37" s="21">
        <f>IF(BD$1&lt;INDEX('Valo FX'!$Q:$Q,MATCH($A37,'Valo FX'!$A:$A,0)),0,IF(BD$1&lt;INDEX('Valo FX'!$R:$R,MATCH($A37,'Valo FX'!$A:$A,0)),INDEX(Base!$U:$U,MATCH($A37,Base!$A:$A,0)),IF(BD$1=INDEX('Valo FX'!$R:$R,MATCH($A37,'Valo FX'!$A:$A,0)),INDEX(Base!$V:$V,MATCH($A37,Base!$A:$A,0)),0)))</f>
        <v>12.249840000000001</v>
      </c>
      <c r="BE37" s="21">
        <f>IF(BE$1&lt;INDEX('Valo FX'!$Q:$Q,MATCH($A37,'Valo FX'!$A:$A,0)),0,IF(BE$1&lt;INDEX('Valo FX'!$R:$R,MATCH($A37,'Valo FX'!$A:$A,0)),INDEX(Base!$U:$U,MATCH($A37,Base!$A:$A,0)),IF(BE$1=INDEX('Valo FX'!$R:$R,MATCH($A37,'Valo FX'!$A:$A,0)),INDEX(Base!$V:$V,MATCH($A37,Base!$A:$A,0)),0)))</f>
        <v>12.249840000000001</v>
      </c>
      <c r="BF37" s="21">
        <f>IF(BF$1&lt;INDEX('Valo FX'!$Q:$Q,MATCH($A37,'Valo FX'!$A:$A,0)),0,IF(BF$1&lt;INDEX('Valo FX'!$R:$R,MATCH($A37,'Valo FX'!$A:$A,0)),INDEX(Base!$U:$U,MATCH($A37,Base!$A:$A,0)),IF(BF$1=INDEX('Valo FX'!$R:$R,MATCH($A37,'Valo FX'!$A:$A,0)),INDEX(Base!$V:$V,MATCH($A37,Base!$A:$A,0)),0)))</f>
        <v>12.249840000000001</v>
      </c>
      <c r="BG37" s="21">
        <f>IF(BG$1&lt;INDEX('Valo FX'!$Q:$Q,MATCH($A37,'Valo FX'!$A:$A,0)),0,IF(BG$1&lt;INDEX('Valo FX'!$R:$R,MATCH($A37,'Valo FX'!$A:$A,0)),INDEX(Base!$U:$U,MATCH($A37,Base!$A:$A,0)),IF(BG$1=INDEX('Valo FX'!$R:$R,MATCH($A37,'Valo FX'!$A:$A,0)),INDEX(Base!$V:$V,MATCH($A37,Base!$A:$A,0)),0)))</f>
        <v>12.249840000000001</v>
      </c>
      <c r="BH37" s="21">
        <f>IF(BH$1&lt;INDEX('Valo FX'!$Q:$Q,MATCH($A37,'Valo FX'!$A:$A,0)),0,IF(BH$1&lt;INDEX('Valo FX'!$R:$R,MATCH($A37,'Valo FX'!$A:$A,0)),INDEX(Base!$U:$U,MATCH($A37,Base!$A:$A,0)),IF(BH$1=INDEX('Valo FX'!$R:$R,MATCH($A37,'Valo FX'!$A:$A,0)),INDEX(Base!$V:$V,MATCH($A37,Base!$A:$A,0)),0)))</f>
        <v>12.249840000000001</v>
      </c>
      <c r="BI37" s="21">
        <f>IF(BI$1&lt;INDEX('Valo FX'!$Q:$Q,MATCH($A37,'Valo FX'!$A:$A,0)),0,IF(BI$1&lt;INDEX('Valo FX'!$R:$R,MATCH($A37,'Valo FX'!$A:$A,0)),INDEX(Base!$U:$U,MATCH($A37,Base!$A:$A,0)),IF(BI$1=INDEX('Valo FX'!$R:$R,MATCH($A37,'Valo FX'!$A:$A,0)),INDEX(Base!$V:$V,MATCH($A37,Base!$A:$A,0)),0)))</f>
        <v>12.249840000000001</v>
      </c>
      <c r="BJ37" s="21">
        <f>IF(BJ$1&lt;INDEX('Valo FX'!$Q:$Q,MATCH($A37,'Valo FX'!$A:$A,0)),0,IF(BJ$1&lt;INDEX('Valo FX'!$R:$R,MATCH($A37,'Valo FX'!$A:$A,0)),INDEX(Base!$U:$U,MATCH($A37,Base!$A:$A,0)),IF(BJ$1=INDEX('Valo FX'!$R:$R,MATCH($A37,'Valo FX'!$A:$A,0)),INDEX(Base!$V:$V,MATCH($A37,Base!$A:$A,0)),0)))</f>
        <v>12.249840000000001</v>
      </c>
      <c r="BK37" s="21">
        <f>IF(BK$1&lt;INDEX('Valo FX'!$Q:$Q,MATCH($A37,'Valo FX'!$A:$A,0)),0,IF(BK$1&lt;INDEX('Valo FX'!$R:$R,MATCH($A37,'Valo FX'!$A:$A,0)),INDEX(Base!$U:$U,MATCH($A37,Base!$A:$A,0)),IF(BK$1=INDEX('Valo FX'!$R:$R,MATCH($A37,'Valo FX'!$A:$A,0)),INDEX(Base!$V:$V,MATCH($A37,Base!$A:$A,0)),0)))</f>
        <v>12.249840000000001</v>
      </c>
      <c r="BL37" s="21">
        <f>IF(BL$1&lt;INDEX('Valo FX'!$Q:$Q,MATCH($A37,'Valo FX'!$A:$A,0)),0,IF(BL$1&lt;INDEX('Valo FX'!$R:$R,MATCH($A37,'Valo FX'!$A:$A,0)),INDEX(Base!$U:$U,MATCH($A37,Base!$A:$A,0)),IF(BL$1=INDEX('Valo FX'!$R:$R,MATCH($A37,'Valo FX'!$A:$A,0)),INDEX(Base!$V:$V,MATCH($A37,Base!$A:$A,0)),0)))</f>
        <v>12.249840000000001</v>
      </c>
      <c r="BM37" s="21">
        <f>IF(BM$1&lt;INDEX('Valo FX'!$Q:$Q,MATCH($A37,'Valo FX'!$A:$A,0)),0,IF(BM$1&lt;INDEX('Valo FX'!$R:$R,MATCH($A37,'Valo FX'!$A:$A,0)),INDEX(Base!$U:$U,MATCH($A37,Base!$A:$A,0)),IF(BM$1=INDEX('Valo FX'!$R:$R,MATCH($A37,'Valo FX'!$A:$A,0)),INDEX(Base!$V:$V,MATCH($A37,Base!$A:$A,0)),0)))</f>
        <v>12.249840000000001</v>
      </c>
      <c r="BN37" s="21">
        <f>IF(BN$1&lt;INDEX('Valo FX'!$Q:$Q,MATCH($A37,'Valo FX'!$A:$A,0)),0,IF(BN$1&lt;INDEX('Valo FX'!$R:$R,MATCH($A37,'Valo FX'!$A:$A,0)),INDEX(Base!$U:$U,MATCH($A37,Base!$A:$A,0)),IF(BN$1=INDEX('Valo FX'!$R:$R,MATCH($A37,'Valo FX'!$A:$A,0)),INDEX(Base!$V:$V,MATCH($A37,Base!$A:$A,0)),0)))</f>
        <v>12.249840000000001</v>
      </c>
      <c r="BO37" s="21">
        <f>IF(BO$1&lt;INDEX('Valo FX'!$Q:$Q,MATCH($A37,'Valo FX'!$A:$A,0)),0,IF(BO$1&lt;INDEX('Valo FX'!$R:$R,MATCH($A37,'Valo FX'!$A:$A,0)),INDEX(Base!$U:$U,MATCH($A37,Base!$A:$A,0)),IF(BO$1=INDEX('Valo FX'!$R:$R,MATCH($A37,'Valo FX'!$A:$A,0)),INDEX(Base!$V:$V,MATCH($A37,Base!$A:$A,0)),0)))</f>
        <v>12.249840000000001</v>
      </c>
      <c r="BP37" s="21">
        <f>IF(BP$1&lt;INDEX('Valo FX'!$Q:$Q,MATCH($A37,'Valo FX'!$A:$A,0)),0,IF(BP$1&lt;INDEX('Valo FX'!$R:$R,MATCH($A37,'Valo FX'!$A:$A,0)),INDEX(Base!$U:$U,MATCH($A37,Base!$A:$A,0)),IF(BP$1=INDEX('Valo FX'!$R:$R,MATCH($A37,'Valo FX'!$A:$A,0)),INDEX(Base!$V:$V,MATCH($A37,Base!$A:$A,0)),0)))</f>
        <v>12.249840000000001</v>
      </c>
      <c r="BQ37" s="21">
        <f>IF(BQ$1&lt;INDEX('Valo FX'!$Q:$Q,MATCH($A37,'Valo FX'!$A:$A,0)),0,IF(BQ$1&lt;INDEX('Valo FX'!$R:$R,MATCH($A37,'Valo FX'!$A:$A,0)),INDEX(Base!$U:$U,MATCH($A37,Base!$A:$A,0)),IF(BQ$1=INDEX('Valo FX'!$R:$R,MATCH($A37,'Valo FX'!$A:$A,0)),INDEX(Base!$V:$V,MATCH($A37,Base!$A:$A,0)),0)))</f>
        <v>12.249840000000001</v>
      </c>
      <c r="BR37" s="21">
        <f>IF(BR$1&lt;INDEX('Valo FX'!$Q:$Q,MATCH($A37,'Valo FX'!$A:$A,0)),0,IF(BR$1&lt;INDEX('Valo FX'!$R:$R,MATCH($A37,'Valo FX'!$A:$A,0)),INDEX(Base!$U:$U,MATCH($A37,Base!$A:$A,0)),IF(BR$1=INDEX('Valo FX'!$R:$R,MATCH($A37,'Valo FX'!$A:$A,0)),INDEX(Base!$V:$V,MATCH($A37,Base!$A:$A,0)),0)))</f>
        <v>12.249840000000001</v>
      </c>
      <c r="BS37" s="21">
        <f>IF(BS$1&lt;INDEX('Valo FX'!$Q:$Q,MATCH($A37,'Valo FX'!$A:$A,0)),0,IF(BS$1&lt;INDEX('Valo FX'!$R:$R,MATCH($A37,'Valo FX'!$A:$A,0)),INDEX(Base!$U:$U,MATCH($A37,Base!$A:$A,0)),IF(BS$1=INDEX('Valo FX'!$R:$R,MATCH($A37,'Valo FX'!$A:$A,0)),INDEX(Base!$V:$V,MATCH($A37,Base!$A:$A,0)),0)))</f>
        <v>12.249840000000001</v>
      </c>
      <c r="BT37" s="21">
        <f>IF(BT$1&lt;INDEX('Valo FX'!$Q:$Q,MATCH($A37,'Valo FX'!$A:$A,0)),0,IF(BT$1&lt;INDEX('Valo FX'!$R:$R,MATCH($A37,'Valo FX'!$A:$A,0)),INDEX(Base!$U:$U,MATCH($A37,Base!$A:$A,0)),IF(BT$1=INDEX('Valo FX'!$R:$R,MATCH($A37,'Valo FX'!$A:$A,0)),INDEX(Base!$V:$V,MATCH($A37,Base!$A:$A,0)),0)))</f>
        <v>12.249840000000001</v>
      </c>
      <c r="BU37" s="21">
        <f>IF(BU$1&lt;INDEX('Valo FX'!$Q:$Q,MATCH($A37,'Valo FX'!$A:$A,0)),0,IF(BU$1&lt;INDEX('Valo FX'!$R:$R,MATCH($A37,'Valo FX'!$A:$A,0)),INDEX(Base!$U:$U,MATCH($A37,Base!$A:$A,0)),IF(BU$1=INDEX('Valo FX'!$R:$R,MATCH($A37,'Valo FX'!$A:$A,0)),INDEX(Base!$V:$V,MATCH($A37,Base!$A:$A,0)),0)))</f>
        <v>12.249840000000001</v>
      </c>
      <c r="BV37" s="21">
        <f>IF(BV$1&lt;INDEX('Valo FX'!$Q:$Q,MATCH($A37,'Valo FX'!$A:$A,0)),0,IF(BV$1&lt;INDEX('Valo FX'!$R:$R,MATCH($A37,'Valo FX'!$A:$A,0)),INDEX(Base!$U:$U,MATCH($A37,Base!$A:$A,0)),IF(BV$1=INDEX('Valo FX'!$R:$R,MATCH($A37,'Valo FX'!$A:$A,0)),INDEX(Base!$V:$V,MATCH($A37,Base!$A:$A,0)),0)))</f>
        <v>12.249840000000001</v>
      </c>
      <c r="BW37" s="21">
        <f>IF(BW$1&lt;INDEX('Valo FX'!$Q:$Q,MATCH($A37,'Valo FX'!$A:$A,0)),0,IF(BW$1&lt;INDEX('Valo FX'!$R:$R,MATCH($A37,'Valo FX'!$A:$A,0)),INDEX(Base!$U:$U,MATCH($A37,Base!$A:$A,0)),IF(BW$1=INDEX('Valo FX'!$R:$R,MATCH($A37,'Valo FX'!$A:$A,0)),INDEX(Base!$V:$V,MATCH($A37,Base!$A:$A,0)),0)))</f>
        <v>12.249840000000001</v>
      </c>
      <c r="BX37" s="21">
        <f>IF(BX$1&lt;INDEX('Valo FX'!$Q:$Q,MATCH($A37,'Valo FX'!$A:$A,0)),0,IF(BX$1&lt;INDEX('Valo FX'!$R:$R,MATCH($A37,'Valo FX'!$A:$A,0)),INDEX(Base!$U:$U,MATCH($A37,Base!$A:$A,0)),IF(BX$1=INDEX('Valo FX'!$R:$R,MATCH($A37,'Valo FX'!$A:$A,0)),INDEX(Base!$V:$V,MATCH($A37,Base!$A:$A,0)),0)))</f>
        <v>12.249840000000001</v>
      </c>
      <c r="BY37" s="21">
        <f>IF(BY$1&lt;INDEX('Valo FX'!$Q:$Q,MATCH($A37,'Valo FX'!$A:$A,0)),0,IF(BY$1&lt;INDEX('Valo FX'!$R:$R,MATCH($A37,'Valo FX'!$A:$A,0)),INDEX(Base!$U:$U,MATCH($A37,Base!$A:$A,0)),IF(BY$1=INDEX('Valo FX'!$R:$R,MATCH($A37,'Valo FX'!$A:$A,0)),INDEX(Base!$V:$V,MATCH($A37,Base!$A:$A,0)),0)))</f>
        <v>12.249840000000001</v>
      </c>
      <c r="BZ37" s="21">
        <f>IF(BZ$1&lt;INDEX('Valo FX'!$Q:$Q,MATCH($A37,'Valo FX'!$A:$A,0)),0,IF(BZ$1&lt;INDEX('Valo FX'!$R:$R,MATCH($A37,'Valo FX'!$A:$A,0)),INDEX(Base!$U:$U,MATCH($A37,Base!$A:$A,0)),IF(BZ$1=INDEX('Valo FX'!$R:$R,MATCH($A37,'Valo FX'!$A:$A,0)),INDEX(Base!$V:$V,MATCH($A37,Base!$A:$A,0)),0)))</f>
        <v>12.249840000000001</v>
      </c>
      <c r="CA37" s="21">
        <f>IF(CA$1&lt;INDEX('Valo FX'!$Q:$Q,MATCH($A37,'Valo FX'!$A:$A,0)),0,IF(CA$1&lt;INDEX('Valo FX'!$R:$R,MATCH($A37,'Valo FX'!$A:$A,0)),INDEX(Base!$U:$U,MATCH($A37,Base!$A:$A,0)),IF(CA$1=INDEX('Valo FX'!$R:$R,MATCH($A37,'Valo FX'!$A:$A,0)),INDEX(Base!$V:$V,MATCH($A37,Base!$A:$A,0)),0)))</f>
        <v>12.249840000000001</v>
      </c>
      <c r="CB37" s="21">
        <f>IF(CB$1&lt;INDEX('Valo FX'!$Q:$Q,MATCH($A37,'Valo FX'!$A:$A,0)),0,IF(CB$1&lt;INDEX('Valo FX'!$R:$R,MATCH($A37,'Valo FX'!$A:$A,0)),INDEX(Base!$U:$U,MATCH($A37,Base!$A:$A,0)),IF(CB$1=INDEX('Valo FX'!$R:$R,MATCH($A37,'Valo FX'!$A:$A,0)),INDEX(Base!$V:$V,MATCH($A37,Base!$A:$A,0)),0)))</f>
        <v>12.249840000000001</v>
      </c>
      <c r="CC37" s="21">
        <f>IF(CC$1&lt;INDEX('Valo FX'!$Q:$Q,MATCH($A37,'Valo FX'!$A:$A,0)),0,IF(CC$1&lt;INDEX('Valo FX'!$R:$R,MATCH($A37,'Valo FX'!$A:$A,0)),INDEX(Base!$U:$U,MATCH($A37,Base!$A:$A,0)),IF(CC$1=INDEX('Valo FX'!$R:$R,MATCH($A37,'Valo FX'!$A:$A,0)),INDEX(Base!$V:$V,MATCH($A37,Base!$A:$A,0)),0)))</f>
        <v>12.249840000000001</v>
      </c>
      <c r="CD37" s="21">
        <f>IF(CD$1&lt;INDEX('Valo FX'!$Q:$Q,MATCH($A37,'Valo FX'!$A:$A,0)),0,IF(CD$1&lt;INDEX('Valo FX'!$R:$R,MATCH($A37,'Valo FX'!$A:$A,0)),INDEX(Base!$U:$U,MATCH($A37,Base!$A:$A,0)),IF(CD$1=INDEX('Valo FX'!$R:$R,MATCH($A37,'Valo FX'!$A:$A,0)),INDEX(Base!$V:$V,MATCH($A37,Base!$A:$A,0)),0)))</f>
        <v>12.249840000000001</v>
      </c>
      <c r="CE37" s="21">
        <f>IF(CE$1&lt;INDEX('Valo FX'!$Q:$Q,MATCH($A37,'Valo FX'!$A:$A,0)),0,IF(CE$1&lt;INDEX('Valo FX'!$R:$R,MATCH($A37,'Valo FX'!$A:$A,0)),INDEX(Base!$U:$U,MATCH($A37,Base!$A:$A,0)),IF(CE$1=INDEX('Valo FX'!$R:$R,MATCH($A37,'Valo FX'!$A:$A,0)),INDEX(Base!$V:$V,MATCH($A37,Base!$A:$A,0)),0)))</f>
        <v>12.249840000000001</v>
      </c>
      <c r="CF37" s="21">
        <f>IF(CF$1&lt;INDEX('Valo FX'!$Q:$Q,MATCH($A37,'Valo FX'!$A:$A,0)),0,IF(CF$1&lt;INDEX('Valo FX'!$R:$R,MATCH($A37,'Valo FX'!$A:$A,0)),INDEX(Base!$U:$U,MATCH($A37,Base!$A:$A,0)),IF(CF$1=INDEX('Valo FX'!$R:$R,MATCH($A37,'Valo FX'!$A:$A,0)),INDEX(Base!$V:$V,MATCH($A37,Base!$A:$A,0)),0)))</f>
        <v>12.249840000000001</v>
      </c>
      <c r="CG37" s="21">
        <f>IF(CG$1&lt;INDEX('Valo FX'!$Q:$Q,MATCH($A37,'Valo FX'!$A:$A,0)),0,IF(CG$1&lt;INDEX('Valo FX'!$R:$R,MATCH($A37,'Valo FX'!$A:$A,0)),INDEX(Base!$U:$U,MATCH($A37,Base!$A:$A,0)),IF(CG$1=INDEX('Valo FX'!$R:$R,MATCH($A37,'Valo FX'!$A:$A,0)),INDEX(Base!$V:$V,MATCH($A37,Base!$A:$A,0)),0)))</f>
        <v>12.249840000000001</v>
      </c>
      <c r="CH37" s="21">
        <f>IF(CH$1&lt;INDEX('Valo FX'!$Q:$Q,MATCH($A37,'Valo FX'!$A:$A,0)),0,IF(CH$1&lt;INDEX('Valo FX'!$R:$R,MATCH($A37,'Valo FX'!$A:$A,0)),INDEX(Base!$U:$U,MATCH($A37,Base!$A:$A,0)),IF(CH$1=INDEX('Valo FX'!$R:$R,MATCH($A37,'Valo FX'!$A:$A,0)),INDEX(Base!$V:$V,MATCH($A37,Base!$A:$A,0)),0)))</f>
        <v>12.249840000000001</v>
      </c>
      <c r="CI37" s="21">
        <f>IF(CI$1&lt;INDEX('Valo FX'!$Q:$Q,MATCH($A37,'Valo FX'!$A:$A,0)),0,IF(CI$1&lt;INDEX('Valo FX'!$R:$R,MATCH($A37,'Valo FX'!$A:$A,0)),INDEX(Base!$U:$U,MATCH($A37,Base!$A:$A,0)),IF(CI$1=INDEX('Valo FX'!$R:$R,MATCH($A37,'Valo FX'!$A:$A,0)),INDEX(Base!$V:$V,MATCH($A37,Base!$A:$A,0)),0)))</f>
        <v>12.249840000000001</v>
      </c>
      <c r="CJ37" s="21">
        <f>IF(CJ$1&lt;INDEX('Valo FX'!$Q:$Q,MATCH($A37,'Valo FX'!$A:$A,0)),0,IF(CJ$1&lt;INDEX('Valo FX'!$R:$R,MATCH($A37,'Valo FX'!$A:$A,0)),INDEX(Base!$U:$U,MATCH($A37,Base!$A:$A,0)),IF(CJ$1=INDEX('Valo FX'!$R:$R,MATCH($A37,'Valo FX'!$A:$A,0)),INDEX(Base!$V:$V,MATCH($A37,Base!$A:$A,0)),0)))</f>
        <v>12.249840000000001</v>
      </c>
      <c r="CK37" s="21">
        <f>IF(CK$1&lt;INDEX('Valo FX'!$Q:$Q,MATCH($A37,'Valo FX'!$A:$A,0)),0,IF(CK$1&lt;INDEX('Valo FX'!$R:$R,MATCH($A37,'Valo FX'!$A:$A,0)),INDEX(Base!$U:$U,MATCH($A37,Base!$A:$A,0)),IF(CK$1=INDEX('Valo FX'!$R:$R,MATCH($A37,'Valo FX'!$A:$A,0)),INDEX(Base!$V:$V,MATCH($A37,Base!$A:$A,0)),0)))</f>
        <v>12.249840000000001</v>
      </c>
      <c r="CL37" s="21">
        <f>IF(CL$1&lt;INDEX('Valo FX'!$Q:$Q,MATCH($A37,'Valo FX'!$A:$A,0)),0,IF(CL$1&lt;INDEX('Valo FX'!$R:$R,MATCH($A37,'Valo FX'!$A:$A,0)),INDEX(Base!$U:$U,MATCH($A37,Base!$A:$A,0)),IF(CL$1=INDEX('Valo FX'!$R:$R,MATCH($A37,'Valo FX'!$A:$A,0)),INDEX(Base!$V:$V,MATCH($A37,Base!$A:$A,0)),0)))</f>
        <v>12.249840000000001</v>
      </c>
      <c r="CM37" s="21">
        <f>IF(CM$1&lt;INDEX('Valo FX'!$Q:$Q,MATCH($A37,'Valo FX'!$A:$A,0)),0,IF(CM$1&lt;INDEX('Valo FX'!$R:$R,MATCH($A37,'Valo FX'!$A:$A,0)),INDEX(Base!$U:$U,MATCH($A37,Base!$A:$A,0)),IF(CM$1=INDEX('Valo FX'!$R:$R,MATCH($A37,'Valo FX'!$A:$A,0)),INDEX(Base!$V:$V,MATCH($A37,Base!$A:$A,0)),0)))</f>
        <v>12.249840000000001</v>
      </c>
      <c r="CN37" s="21">
        <f>IF(CN$1&lt;INDEX('Valo FX'!$Q:$Q,MATCH($A37,'Valo FX'!$A:$A,0)),0,IF(CN$1&lt;INDEX('Valo FX'!$R:$R,MATCH($A37,'Valo FX'!$A:$A,0)),INDEX(Base!$U:$U,MATCH($A37,Base!$A:$A,0)),IF(CN$1=INDEX('Valo FX'!$R:$R,MATCH($A37,'Valo FX'!$A:$A,0)),INDEX(Base!$V:$V,MATCH($A37,Base!$A:$A,0)),0)))</f>
        <v>12.249840000000001</v>
      </c>
      <c r="CO37" s="21">
        <f>IF(CO$1&lt;INDEX('Valo FX'!$Q:$Q,MATCH($A37,'Valo FX'!$A:$A,0)),0,IF(CO$1&lt;INDEX('Valo FX'!$R:$R,MATCH($A37,'Valo FX'!$A:$A,0)),INDEX(Base!$U:$U,MATCH($A37,Base!$A:$A,0)),IF(CO$1=INDEX('Valo FX'!$R:$R,MATCH($A37,'Valo FX'!$A:$A,0)),INDEX(Base!$V:$V,MATCH($A37,Base!$A:$A,0)),0)))</f>
        <v>12.249840000000001</v>
      </c>
      <c r="CP37" s="21">
        <f>IF(CP$1&lt;INDEX('Valo FX'!$Q:$Q,MATCH($A37,'Valo FX'!$A:$A,0)),0,IF(CP$1&lt;INDEX('Valo FX'!$R:$R,MATCH($A37,'Valo FX'!$A:$A,0)),INDEX(Base!$U:$U,MATCH($A37,Base!$A:$A,0)),IF(CP$1=INDEX('Valo FX'!$R:$R,MATCH($A37,'Valo FX'!$A:$A,0)),INDEX(Base!$V:$V,MATCH($A37,Base!$A:$A,0)),0)))</f>
        <v>12.249840000000001</v>
      </c>
      <c r="CQ37" s="21">
        <f>IF(CQ$1&lt;INDEX('Valo FX'!$Q:$Q,MATCH($A37,'Valo FX'!$A:$A,0)),0,IF(CQ$1&lt;INDEX('Valo FX'!$R:$R,MATCH($A37,'Valo FX'!$A:$A,0)),INDEX(Base!$U:$U,MATCH($A37,Base!$A:$A,0)),IF(CQ$1=INDEX('Valo FX'!$R:$R,MATCH($A37,'Valo FX'!$A:$A,0)),INDEX(Base!$V:$V,MATCH($A37,Base!$A:$A,0)),0)))</f>
        <v>12.249840000000001</v>
      </c>
      <c r="CR37" s="21">
        <f>IF(CR$1&lt;INDEX('Valo FX'!$Q:$Q,MATCH($A37,'Valo FX'!$A:$A,0)),0,IF(CR$1&lt;INDEX('Valo FX'!$R:$R,MATCH($A37,'Valo FX'!$A:$A,0)),INDEX(Base!$U:$U,MATCH($A37,Base!$A:$A,0)),IF(CR$1=INDEX('Valo FX'!$R:$R,MATCH($A37,'Valo FX'!$A:$A,0)),INDEX(Base!$V:$V,MATCH($A37,Base!$A:$A,0)),0)))</f>
        <v>12.249840000000001</v>
      </c>
      <c r="CS37" s="21">
        <f>IF(CS$1&lt;INDEX('Valo FX'!$Q:$Q,MATCH($A37,'Valo FX'!$A:$A,0)),0,IF(CS$1&lt;INDEX('Valo FX'!$R:$R,MATCH($A37,'Valo FX'!$A:$A,0)),INDEX(Base!$U:$U,MATCH($A37,Base!$A:$A,0)),IF(CS$1=INDEX('Valo FX'!$R:$R,MATCH($A37,'Valo FX'!$A:$A,0)),INDEX(Base!$V:$V,MATCH($A37,Base!$A:$A,0)),0)))</f>
        <v>12.249840000000001</v>
      </c>
      <c r="CT37" s="21">
        <f>IF(CT$1&lt;INDEX('Valo FX'!$Q:$Q,MATCH($A37,'Valo FX'!$A:$A,0)),0,IF(CT$1&lt;INDEX('Valo FX'!$R:$R,MATCH($A37,'Valo FX'!$A:$A,0)),INDEX(Base!$U:$U,MATCH($A37,Base!$A:$A,0)),IF(CT$1=INDEX('Valo FX'!$R:$R,MATCH($A37,'Valo FX'!$A:$A,0)),INDEX(Base!$V:$V,MATCH($A37,Base!$A:$A,0)),0)))</f>
        <v>12.249840000000001</v>
      </c>
      <c r="CU37" s="21">
        <f>IF(CU$1&lt;INDEX('Valo FX'!$Q:$Q,MATCH($A37,'Valo FX'!$A:$A,0)),0,IF(CU$1&lt;INDEX('Valo FX'!$R:$R,MATCH($A37,'Valo FX'!$A:$A,0)),INDEX(Base!$U:$U,MATCH($A37,Base!$A:$A,0)),IF(CU$1=INDEX('Valo FX'!$R:$R,MATCH($A37,'Valo FX'!$A:$A,0)),INDEX(Base!$V:$V,MATCH($A37,Base!$A:$A,0)),0)))</f>
        <v>12.249840000000001</v>
      </c>
      <c r="CV37" s="21">
        <f>IF(CV$1&lt;INDEX('Valo FX'!$Q:$Q,MATCH($A37,'Valo FX'!$A:$A,0)),0,IF(CV$1&lt;INDEX('Valo FX'!$R:$R,MATCH($A37,'Valo FX'!$A:$A,0)),INDEX(Base!$U:$U,MATCH($A37,Base!$A:$A,0)),IF(CV$1=INDEX('Valo FX'!$R:$R,MATCH($A37,'Valo FX'!$A:$A,0)),INDEX(Base!$V:$V,MATCH($A37,Base!$A:$A,0)),0)))</f>
        <v>12.249840000000001</v>
      </c>
      <c r="CW37" s="21">
        <f>IF(CW$1&lt;INDEX('Valo FX'!$Q:$Q,MATCH($A37,'Valo FX'!$A:$A,0)),0,IF(CW$1&lt;INDEX('Valo FX'!$R:$R,MATCH($A37,'Valo FX'!$A:$A,0)),INDEX(Base!$U:$U,MATCH($A37,Base!$A:$A,0)),IF(CW$1=INDEX('Valo FX'!$R:$R,MATCH($A37,'Valo FX'!$A:$A,0)),INDEX(Base!$V:$V,MATCH($A37,Base!$A:$A,0)),0)))</f>
        <v>12.249840000000001</v>
      </c>
      <c r="CX37" s="21">
        <f>IF(CX$1&lt;INDEX('Valo FX'!$Q:$Q,MATCH($A37,'Valo FX'!$A:$A,0)),0,IF(CX$1&lt;INDEX('Valo FX'!$R:$R,MATCH($A37,'Valo FX'!$A:$A,0)),INDEX(Base!$U:$U,MATCH($A37,Base!$A:$A,0)),IF(CX$1=INDEX('Valo FX'!$R:$R,MATCH($A37,'Valo FX'!$A:$A,0)),INDEX(Base!$V:$V,MATCH($A37,Base!$A:$A,0)),0)))</f>
        <v>12.249840000000001</v>
      </c>
      <c r="CY37" s="21">
        <f>IF(CY$1&lt;INDEX('Valo FX'!$Q:$Q,MATCH($A37,'Valo FX'!$A:$A,0)),0,IF(CY$1&lt;INDEX('Valo FX'!$R:$R,MATCH($A37,'Valo FX'!$A:$A,0)),INDEX(Base!$U:$U,MATCH($A37,Base!$A:$A,0)),IF(CY$1=INDEX('Valo FX'!$R:$R,MATCH($A37,'Valo FX'!$A:$A,0)),INDEX(Base!$V:$V,MATCH($A37,Base!$A:$A,0)),0)))</f>
        <v>12.249840000000001</v>
      </c>
      <c r="CZ37" s="21">
        <f>IF(CZ$1&lt;INDEX('Valo FX'!$Q:$Q,MATCH($A37,'Valo FX'!$A:$A,0)),0,IF(CZ$1&lt;INDEX('Valo FX'!$R:$R,MATCH($A37,'Valo FX'!$A:$A,0)),INDEX(Base!$U:$U,MATCH($A37,Base!$A:$A,0)),IF(CZ$1=INDEX('Valo FX'!$R:$R,MATCH($A37,'Valo FX'!$A:$A,0)),INDEX(Base!$V:$V,MATCH($A37,Base!$A:$A,0)),0)))</f>
        <v>12.249840000000001</v>
      </c>
      <c r="DA37" s="21">
        <f>IF(DA$1&lt;INDEX('Valo FX'!$Q:$Q,MATCH($A37,'Valo FX'!$A:$A,0)),0,IF(DA$1&lt;INDEX('Valo FX'!$R:$R,MATCH($A37,'Valo FX'!$A:$A,0)),INDEX(Base!$U:$U,MATCH($A37,Base!$A:$A,0)),IF(DA$1=INDEX('Valo FX'!$R:$R,MATCH($A37,'Valo FX'!$A:$A,0)),INDEX(Base!$V:$V,MATCH($A37,Base!$A:$A,0)),0)))</f>
        <v>12.249840000000001</v>
      </c>
      <c r="DB37" s="21">
        <f>IF(DB$1&lt;INDEX('Valo FX'!$Q:$Q,MATCH($A37,'Valo FX'!$A:$A,0)),0,IF(DB$1&lt;INDEX('Valo FX'!$R:$R,MATCH($A37,'Valo FX'!$A:$A,0)),INDEX(Base!$U:$U,MATCH($A37,Base!$A:$A,0)),IF(DB$1=INDEX('Valo FX'!$R:$R,MATCH($A37,'Valo FX'!$A:$A,0)),INDEX(Base!$V:$V,MATCH($A37,Base!$A:$A,0)),0)))</f>
        <v>12.249840000000001</v>
      </c>
      <c r="DC37" s="21">
        <f>IF(DC$1&lt;INDEX('Valo FX'!$Q:$Q,MATCH($A37,'Valo FX'!$A:$A,0)),0,IF(DC$1&lt;INDEX('Valo FX'!$R:$R,MATCH($A37,'Valo FX'!$A:$A,0)),INDEX(Base!$U:$U,MATCH($A37,Base!$A:$A,0)),IF(DC$1=INDEX('Valo FX'!$R:$R,MATCH($A37,'Valo FX'!$A:$A,0)),INDEX(Base!$V:$V,MATCH($A37,Base!$A:$A,0)),0)))</f>
        <v>12.249840000000001</v>
      </c>
      <c r="DD37" s="21">
        <f>IF(DD$1&lt;INDEX('Valo FX'!$Q:$Q,MATCH($A37,'Valo FX'!$A:$A,0)),0,IF(DD$1&lt;INDEX('Valo FX'!$R:$R,MATCH($A37,'Valo FX'!$A:$A,0)),INDEX(Base!$U:$U,MATCH($A37,Base!$A:$A,0)),IF(DD$1=INDEX('Valo FX'!$R:$R,MATCH($A37,'Valo FX'!$A:$A,0)),INDEX(Base!$V:$V,MATCH($A37,Base!$A:$A,0)),0)))</f>
        <v>12.249840000000001</v>
      </c>
      <c r="DE37" s="21">
        <f>IF(DE$1&lt;INDEX('Valo FX'!$Q:$Q,MATCH($A37,'Valo FX'!$A:$A,0)),0,IF(DE$1&lt;INDEX('Valo FX'!$R:$R,MATCH($A37,'Valo FX'!$A:$A,0)),INDEX(Base!$U:$U,MATCH($A37,Base!$A:$A,0)),IF(DE$1=INDEX('Valo FX'!$R:$R,MATCH($A37,'Valo FX'!$A:$A,0)),INDEX(Base!$V:$V,MATCH($A37,Base!$A:$A,0)),0)))</f>
        <v>12.249840000000001</v>
      </c>
      <c r="DF37" s="21">
        <f>IF(DF$1&lt;INDEX('Valo FX'!$Q:$Q,MATCH($A37,'Valo FX'!$A:$A,0)),0,IF(DF$1&lt;INDEX('Valo FX'!$R:$R,MATCH($A37,'Valo FX'!$A:$A,0)),INDEX(Base!$U:$U,MATCH($A37,Base!$A:$A,0)),IF(DF$1=INDEX('Valo FX'!$R:$R,MATCH($A37,'Valo FX'!$A:$A,0)),INDEX(Base!$V:$V,MATCH($A37,Base!$A:$A,0)),0)))</f>
        <v>12.249840000000001</v>
      </c>
      <c r="DG37" s="21">
        <f>IF(DG$1&lt;INDEX('Valo FX'!$Q:$Q,MATCH($A37,'Valo FX'!$A:$A,0)),0,IF(DG$1&lt;INDEX('Valo FX'!$R:$R,MATCH($A37,'Valo FX'!$A:$A,0)),INDEX(Base!$U:$U,MATCH($A37,Base!$A:$A,0)),IF(DG$1=INDEX('Valo FX'!$R:$R,MATCH($A37,'Valo FX'!$A:$A,0)),INDEX(Base!$V:$V,MATCH($A37,Base!$A:$A,0)),0)))</f>
        <v>12.249840000000001</v>
      </c>
      <c r="DH37" s="21">
        <f>IF(DH$1&lt;INDEX('Valo FX'!$Q:$Q,MATCH($A37,'Valo FX'!$A:$A,0)),0,IF(DH$1&lt;INDEX('Valo FX'!$R:$R,MATCH($A37,'Valo FX'!$A:$A,0)),INDEX(Base!$U:$U,MATCH($A37,Base!$A:$A,0)),IF(DH$1=INDEX('Valo FX'!$R:$R,MATCH($A37,'Valo FX'!$A:$A,0)),INDEX(Base!$V:$V,MATCH($A37,Base!$A:$A,0)),0)))</f>
        <v>12.249840000000001</v>
      </c>
      <c r="DI37" s="21">
        <f>IF(DI$1&lt;INDEX('Valo FX'!$Q:$Q,MATCH($A37,'Valo FX'!$A:$A,0)),0,IF(DI$1&lt;INDEX('Valo FX'!$R:$R,MATCH($A37,'Valo FX'!$A:$A,0)),INDEX(Base!$U:$U,MATCH($A37,Base!$A:$A,0)),IF(DI$1=INDEX('Valo FX'!$R:$R,MATCH($A37,'Valo FX'!$A:$A,0)),INDEX(Base!$V:$V,MATCH($A37,Base!$A:$A,0)),0)))</f>
        <v>12.249840000000001</v>
      </c>
      <c r="DJ37" s="21">
        <f>IF(DJ$1&lt;INDEX('Valo FX'!$Q:$Q,MATCH($A37,'Valo FX'!$A:$A,0)),0,IF(DJ$1&lt;INDEX('Valo FX'!$R:$R,MATCH($A37,'Valo FX'!$A:$A,0)),INDEX(Base!$U:$U,MATCH($A37,Base!$A:$A,0)),IF(DJ$1=INDEX('Valo FX'!$R:$R,MATCH($A37,'Valo FX'!$A:$A,0)),INDEX(Base!$V:$V,MATCH($A37,Base!$A:$A,0)),0)))</f>
        <v>12.249840000000001</v>
      </c>
      <c r="DK37" s="21">
        <f>IF(DK$1&lt;INDEX('Valo FX'!$Q:$Q,MATCH($A37,'Valo FX'!$A:$A,0)),0,IF(DK$1&lt;INDEX('Valo FX'!$R:$R,MATCH($A37,'Valo FX'!$A:$A,0)),INDEX(Base!$U:$U,MATCH($A37,Base!$A:$A,0)),IF(DK$1=INDEX('Valo FX'!$R:$R,MATCH($A37,'Valo FX'!$A:$A,0)),INDEX(Base!$V:$V,MATCH($A37,Base!$A:$A,0)),0)))</f>
        <v>12.249840000000001</v>
      </c>
      <c r="DL37" s="21">
        <f>IF(DL$1&lt;INDEX('Valo FX'!$Q:$Q,MATCH($A37,'Valo FX'!$A:$A,0)),0,IF(DL$1&lt;INDEX('Valo FX'!$R:$R,MATCH($A37,'Valo FX'!$A:$A,0)),INDEX(Base!$U:$U,MATCH($A37,Base!$A:$A,0)),IF(DL$1=INDEX('Valo FX'!$R:$R,MATCH($A37,'Valo FX'!$A:$A,0)),INDEX(Base!$V:$V,MATCH($A37,Base!$A:$A,0)),0)))</f>
        <v>12.249840000000001</v>
      </c>
      <c r="DM37" s="21">
        <f>IF(DM$1&lt;INDEX('Valo FX'!$Q:$Q,MATCH($A37,'Valo FX'!$A:$A,0)),0,IF(DM$1&lt;INDEX('Valo FX'!$R:$R,MATCH($A37,'Valo FX'!$A:$A,0)),INDEX(Base!$U:$U,MATCH($A37,Base!$A:$A,0)),IF(DM$1=INDEX('Valo FX'!$R:$R,MATCH($A37,'Valo FX'!$A:$A,0)),INDEX(Base!$V:$V,MATCH($A37,Base!$A:$A,0)),0)))</f>
        <v>12.249840000000001</v>
      </c>
      <c r="DN37" s="21">
        <f>IF(DN$1&lt;INDEX('Valo FX'!$Q:$Q,MATCH($A37,'Valo FX'!$A:$A,0)),0,IF(DN$1&lt;INDEX('Valo FX'!$R:$R,MATCH($A37,'Valo FX'!$A:$A,0)),INDEX(Base!$U:$U,MATCH($A37,Base!$A:$A,0)),IF(DN$1=INDEX('Valo FX'!$R:$R,MATCH($A37,'Valo FX'!$A:$A,0)),INDEX(Base!$V:$V,MATCH($A37,Base!$A:$A,0)),0)))</f>
        <v>12.249840000000001</v>
      </c>
      <c r="DO37" s="21">
        <f>IF(DO$1&lt;INDEX('Valo FX'!$Q:$Q,MATCH($A37,'Valo FX'!$A:$A,0)),0,IF(DO$1&lt;INDEX('Valo FX'!$R:$R,MATCH($A37,'Valo FX'!$A:$A,0)),INDEX(Base!$U:$U,MATCH($A37,Base!$A:$A,0)),IF(DO$1=INDEX('Valo FX'!$R:$R,MATCH($A37,'Valo FX'!$A:$A,0)),INDEX(Base!$V:$V,MATCH($A37,Base!$A:$A,0)),0)))</f>
        <v>12.249840000000001</v>
      </c>
      <c r="DP37" s="21">
        <f>IF(DP$1&lt;INDEX('Valo FX'!$Q:$Q,MATCH($A37,'Valo FX'!$A:$A,0)),0,IF(DP$1&lt;INDEX('Valo FX'!$R:$R,MATCH($A37,'Valo FX'!$A:$A,0)),INDEX(Base!$U:$U,MATCH($A37,Base!$A:$A,0)),IF(DP$1=INDEX('Valo FX'!$R:$R,MATCH($A37,'Valo FX'!$A:$A,0)),INDEX(Base!$V:$V,MATCH($A37,Base!$A:$A,0)),0)))</f>
        <v>12.249840000000001</v>
      </c>
      <c r="DQ37" s="21">
        <f>IF(DQ$1&lt;INDEX('Valo FX'!$Q:$Q,MATCH($A37,'Valo FX'!$A:$A,0)),0,IF(DQ$1&lt;INDEX('Valo FX'!$R:$R,MATCH($A37,'Valo FX'!$A:$A,0)),INDEX(Base!$U:$U,MATCH($A37,Base!$A:$A,0)),IF(DQ$1=INDEX('Valo FX'!$R:$R,MATCH($A37,'Valo FX'!$A:$A,0)),INDEX(Base!$V:$V,MATCH($A37,Base!$A:$A,0)),0)))</f>
        <v>12.249840000000001</v>
      </c>
      <c r="DR37" s="21">
        <f>IF(DR$1&lt;INDEX('Valo FX'!$Q:$Q,MATCH($A37,'Valo FX'!$A:$A,0)),0,IF(DR$1&lt;INDEX('Valo FX'!$R:$R,MATCH($A37,'Valo FX'!$A:$A,0)),INDEX(Base!$U:$U,MATCH($A37,Base!$A:$A,0)),IF(DR$1=INDEX('Valo FX'!$R:$R,MATCH($A37,'Valo FX'!$A:$A,0)),INDEX(Base!$V:$V,MATCH($A37,Base!$A:$A,0)),0)))</f>
        <v>12.249840000000001</v>
      </c>
      <c r="DS37" s="21">
        <f>IF(DS$1&lt;INDEX('Valo FX'!$Q:$Q,MATCH($A37,'Valo FX'!$A:$A,0)),0,IF(DS$1&lt;INDEX('Valo FX'!$R:$R,MATCH($A37,'Valo FX'!$A:$A,0)),INDEX(Base!$U:$U,MATCH($A37,Base!$A:$A,0)),IF(DS$1=INDEX('Valo FX'!$R:$R,MATCH($A37,'Valo FX'!$A:$A,0)),INDEX(Base!$V:$V,MATCH($A37,Base!$A:$A,0)),0)))</f>
        <v>12.249840000000001</v>
      </c>
      <c r="DT37" s="21">
        <f>IF(DT$1&lt;INDEX('Valo FX'!$Q:$Q,MATCH($A37,'Valo FX'!$A:$A,0)),0,IF(DT$1&lt;INDEX('Valo FX'!$R:$R,MATCH($A37,'Valo FX'!$A:$A,0)),INDEX(Base!$U:$U,MATCH($A37,Base!$A:$A,0)),IF(DT$1=INDEX('Valo FX'!$R:$R,MATCH($A37,'Valo FX'!$A:$A,0)),INDEX(Base!$V:$V,MATCH($A37,Base!$A:$A,0)),0)))</f>
        <v>12.249840000000001</v>
      </c>
      <c r="DU37" s="21">
        <f>IF(DU$1&lt;INDEX('Valo FX'!$Q:$Q,MATCH($A37,'Valo FX'!$A:$A,0)),0,IF(DU$1&lt;INDEX('Valo FX'!$R:$R,MATCH($A37,'Valo FX'!$A:$A,0)),INDEX(Base!$U:$U,MATCH($A37,Base!$A:$A,0)),IF(DU$1=INDEX('Valo FX'!$R:$R,MATCH($A37,'Valo FX'!$A:$A,0)),INDEX(Base!$V:$V,MATCH($A37,Base!$A:$A,0)),0)))</f>
        <v>12.249840000000001</v>
      </c>
      <c r="DV37" s="21">
        <f>IF(DV$1&lt;INDEX('Valo FX'!$Q:$Q,MATCH($A37,'Valo FX'!$A:$A,0)),0,IF(DV$1&lt;INDEX('Valo FX'!$R:$R,MATCH($A37,'Valo FX'!$A:$A,0)),INDEX(Base!$U:$U,MATCH($A37,Base!$A:$A,0)),IF(DV$1=INDEX('Valo FX'!$R:$R,MATCH($A37,'Valo FX'!$A:$A,0)),INDEX(Base!$V:$V,MATCH($A37,Base!$A:$A,0)),0)))</f>
        <v>12.249840000000001</v>
      </c>
      <c r="DW37" s="21">
        <f>IF(DW$1&lt;INDEX('Valo FX'!$Q:$Q,MATCH($A37,'Valo FX'!$A:$A,0)),0,IF(DW$1&lt;INDEX('Valo FX'!$R:$R,MATCH($A37,'Valo FX'!$A:$A,0)),INDEX(Base!$U:$U,MATCH($A37,Base!$A:$A,0)),IF(DW$1=INDEX('Valo FX'!$R:$R,MATCH($A37,'Valo FX'!$A:$A,0)),INDEX(Base!$V:$V,MATCH($A37,Base!$A:$A,0)),0)))</f>
        <v>12.249840000000001</v>
      </c>
      <c r="DX37" s="21">
        <f>IF(DX$1&lt;INDEX('Valo FX'!$Q:$Q,MATCH($A37,'Valo FX'!$A:$A,0)),0,IF(DX$1&lt;INDEX('Valo FX'!$R:$R,MATCH($A37,'Valo FX'!$A:$A,0)),INDEX(Base!$U:$U,MATCH($A37,Base!$A:$A,0)),IF(DX$1=INDEX('Valo FX'!$R:$R,MATCH($A37,'Valo FX'!$A:$A,0)),INDEX(Base!$V:$V,MATCH($A37,Base!$A:$A,0)),0)))</f>
        <v>12.249840000000001</v>
      </c>
      <c r="DY37" s="21">
        <f>IF(DY$1&lt;INDEX('Valo FX'!$Q:$Q,MATCH($A37,'Valo FX'!$A:$A,0)),0,IF(DY$1&lt;INDEX('Valo FX'!$R:$R,MATCH($A37,'Valo FX'!$A:$A,0)),INDEX(Base!$U:$U,MATCH($A37,Base!$A:$A,0)),IF(DY$1=INDEX('Valo FX'!$R:$R,MATCH($A37,'Valo FX'!$A:$A,0)),INDEX(Base!$V:$V,MATCH($A37,Base!$A:$A,0)),0)))</f>
        <v>12.249840000000001</v>
      </c>
      <c r="DZ37" s="21">
        <f>IF(DZ$1&lt;INDEX('Valo FX'!$Q:$Q,MATCH($A37,'Valo FX'!$A:$A,0)),0,IF(DZ$1&lt;INDEX('Valo FX'!$R:$R,MATCH($A37,'Valo FX'!$A:$A,0)),INDEX(Base!$U:$U,MATCH($A37,Base!$A:$A,0)),IF(DZ$1=INDEX('Valo FX'!$R:$R,MATCH($A37,'Valo FX'!$A:$A,0)),INDEX(Base!$V:$V,MATCH($A37,Base!$A:$A,0)),0)))</f>
        <v>12.249840000000001</v>
      </c>
      <c r="EA37" s="21">
        <f>IF(EA$1&lt;INDEX('Valo FX'!$Q:$Q,MATCH($A37,'Valo FX'!$A:$A,0)),0,IF(EA$1&lt;INDEX('Valo FX'!$R:$R,MATCH($A37,'Valo FX'!$A:$A,0)),INDEX(Base!$U:$U,MATCH($A37,Base!$A:$A,0)),IF(EA$1=INDEX('Valo FX'!$R:$R,MATCH($A37,'Valo FX'!$A:$A,0)),INDEX(Base!$V:$V,MATCH($A37,Base!$A:$A,0)),0)))</f>
        <v>12.249840000000001</v>
      </c>
      <c r="EB37" s="21">
        <f>IF(EB$1&lt;INDEX('Valo FX'!$Q:$Q,MATCH($A37,'Valo FX'!$A:$A,0)),0,IF(EB$1&lt;INDEX('Valo FX'!$R:$R,MATCH($A37,'Valo FX'!$A:$A,0)),INDEX(Base!$U:$U,MATCH($A37,Base!$A:$A,0)),IF(EB$1=INDEX('Valo FX'!$R:$R,MATCH($A37,'Valo FX'!$A:$A,0)),INDEX(Base!$V:$V,MATCH($A37,Base!$A:$A,0)),0)))</f>
        <v>12.249840000000001</v>
      </c>
      <c r="EC37" s="21">
        <f>IF(EC$1&lt;INDEX('Valo FX'!$Q:$Q,MATCH($A37,'Valo FX'!$A:$A,0)),0,IF(EC$1&lt;INDEX('Valo FX'!$R:$R,MATCH($A37,'Valo FX'!$A:$A,0)),INDEX(Base!$U:$U,MATCH($A37,Base!$A:$A,0)),IF(EC$1=INDEX('Valo FX'!$R:$R,MATCH($A37,'Valo FX'!$A:$A,0)),INDEX(Base!$V:$V,MATCH($A37,Base!$A:$A,0)),0)))</f>
        <v>12.249840000000001</v>
      </c>
      <c r="ED37" s="21">
        <f>IF(ED$1&lt;INDEX('Valo FX'!$Q:$Q,MATCH($A37,'Valo FX'!$A:$A,0)),0,IF(ED$1&lt;INDEX('Valo FX'!$R:$R,MATCH($A37,'Valo FX'!$A:$A,0)),INDEX(Base!$U:$U,MATCH($A37,Base!$A:$A,0)),IF(ED$1=INDEX('Valo FX'!$R:$R,MATCH($A37,'Valo FX'!$A:$A,0)),INDEX(Base!$V:$V,MATCH($A37,Base!$A:$A,0)),0)))</f>
        <v>12.249840000000001</v>
      </c>
      <c r="EE37" s="21">
        <f>IF(EE$1&lt;INDEX('Valo FX'!$Q:$Q,MATCH($A37,'Valo FX'!$A:$A,0)),0,IF(EE$1&lt;INDEX('Valo FX'!$R:$R,MATCH($A37,'Valo FX'!$A:$A,0)),INDEX(Base!$U:$U,MATCH($A37,Base!$A:$A,0)),IF(EE$1=INDEX('Valo FX'!$R:$R,MATCH($A37,'Valo FX'!$A:$A,0)),INDEX(Base!$V:$V,MATCH($A37,Base!$A:$A,0)),0)))</f>
        <v>12.249840000000001</v>
      </c>
      <c r="EF37" s="21">
        <f>IF(EF$1&lt;INDEX('Valo FX'!$Q:$Q,MATCH($A37,'Valo FX'!$A:$A,0)),0,IF(EF$1&lt;INDEX('Valo FX'!$R:$R,MATCH($A37,'Valo FX'!$A:$A,0)),INDEX(Base!$U:$U,MATCH($A37,Base!$A:$A,0)),IF(EF$1=INDEX('Valo FX'!$R:$R,MATCH($A37,'Valo FX'!$A:$A,0)),INDEX(Base!$V:$V,MATCH($A37,Base!$A:$A,0)),0)))</f>
        <v>12.249840000000001</v>
      </c>
      <c r="EG37" s="21">
        <f>IF(EG$1&lt;INDEX('Valo FX'!$Q:$Q,MATCH($A37,'Valo FX'!$A:$A,0)),0,IF(EG$1&lt;INDEX('Valo FX'!$R:$R,MATCH($A37,'Valo FX'!$A:$A,0)),INDEX(Base!$U:$U,MATCH($A37,Base!$A:$A,0)),IF(EG$1=INDEX('Valo FX'!$R:$R,MATCH($A37,'Valo FX'!$A:$A,0)),INDEX(Base!$V:$V,MATCH($A37,Base!$A:$A,0)),0)))</f>
        <v>12.249840000000001</v>
      </c>
      <c r="EH37" s="21">
        <f>IF(EH$1&lt;INDEX('Valo FX'!$Q:$Q,MATCH($A37,'Valo FX'!$A:$A,0)),0,IF(EH$1&lt;INDEX('Valo FX'!$R:$R,MATCH($A37,'Valo FX'!$A:$A,0)),INDEX(Base!$U:$U,MATCH($A37,Base!$A:$A,0)),IF(EH$1=INDEX('Valo FX'!$R:$R,MATCH($A37,'Valo FX'!$A:$A,0)),INDEX(Base!$V:$V,MATCH($A37,Base!$A:$A,0)),0)))</f>
        <v>12.249840000000001</v>
      </c>
      <c r="EI37" s="21">
        <f>IF(EI$1&lt;INDEX('Valo FX'!$Q:$Q,MATCH($A37,'Valo FX'!$A:$A,0)),0,IF(EI$1&lt;INDEX('Valo FX'!$R:$R,MATCH($A37,'Valo FX'!$A:$A,0)),INDEX(Base!$U:$U,MATCH($A37,Base!$A:$A,0)),IF(EI$1=INDEX('Valo FX'!$R:$R,MATCH($A37,'Valo FX'!$A:$A,0)),INDEX(Base!$V:$V,MATCH($A37,Base!$A:$A,0)),0)))</f>
        <v>12.249840000000001</v>
      </c>
      <c r="EJ37" s="21">
        <f>IF(EJ$1&lt;INDEX('Valo FX'!$Q:$Q,MATCH($A37,'Valo FX'!$A:$A,0)),0,IF(EJ$1&lt;INDEX('Valo FX'!$R:$R,MATCH($A37,'Valo FX'!$A:$A,0)),INDEX(Base!$U:$U,MATCH($A37,Base!$A:$A,0)),IF(EJ$1=INDEX('Valo FX'!$R:$R,MATCH($A37,'Valo FX'!$A:$A,0)),INDEX(Base!$V:$V,MATCH($A37,Base!$A:$A,0)),0)))</f>
        <v>12.249840000000001</v>
      </c>
      <c r="EK37" s="21">
        <f>IF(EK$1&lt;INDEX('Valo FX'!$Q:$Q,MATCH($A37,'Valo FX'!$A:$A,0)),0,IF(EK$1&lt;INDEX('Valo FX'!$R:$R,MATCH($A37,'Valo FX'!$A:$A,0)),INDEX(Base!$U:$U,MATCH($A37,Base!$A:$A,0)),IF(EK$1=INDEX('Valo FX'!$R:$R,MATCH($A37,'Valo FX'!$A:$A,0)),INDEX(Base!$V:$V,MATCH($A37,Base!$A:$A,0)),0)))</f>
        <v>12.249840000000001</v>
      </c>
      <c r="EL37" s="21">
        <f>IF(EL$1&lt;INDEX('Valo FX'!$Q:$Q,MATCH($A37,'Valo FX'!$A:$A,0)),0,IF(EL$1&lt;INDEX('Valo FX'!$R:$R,MATCH($A37,'Valo FX'!$A:$A,0)),INDEX(Base!$U:$U,MATCH($A37,Base!$A:$A,0)),IF(EL$1=INDEX('Valo FX'!$R:$R,MATCH($A37,'Valo FX'!$A:$A,0)),INDEX(Base!$V:$V,MATCH($A37,Base!$A:$A,0)),0)))</f>
        <v>12.249840000000001</v>
      </c>
      <c r="EM37" s="21">
        <f>IF(EM$1&lt;INDEX('Valo FX'!$Q:$Q,MATCH($A37,'Valo FX'!$A:$A,0)),0,IF(EM$1&lt;INDEX('Valo FX'!$R:$R,MATCH($A37,'Valo FX'!$A:$A,0)),INDEX(Base!$U:$U,MATCH($A37,Base!$A:$A,0)),IF(EM$1=INDEX('Valo FX'!$R:$R,MATCH($A37,'Valo FX'!$A:$A,0)),INDEX(Base!$V:$V,MATCH($A37,Base!$A:$A,0)),0)))</f>
        <v>12.249840000000001</v>
      </c>
      <c r="EN37" s="21">
        <f>IF(EN$1&lt;INDEX('Valo FX'!$Q:$Q,MATCH($A37,'Valo FX'!$A:$A,0)),0,IF(EN$1&lt;INDEX('Valo FX'!$R:$R,MATCH($A37,'Valo FX'!$A:$A,0)),INDEX(Base!$U:$U,MATCH($A37,Base!$A:$A,0)),IF(EN$1=INDEX('Valo FX'!$R:$R,MATCH($A37,'Valo FX'!$A:$A,0)),INDEX(Base!$V:$V,MATCH($A37,Base!$A:$A,0)),0)))</f>
        <v>12.249840000000001</v>
      </c>
      <c r="EO37" s="21">
        <f>IF(EO$1&lt;INDEX('Valo FX'!$Q:$Q,MATCH($A37,'Valo FX'!$A:$A,0)),0,IF(EO$1&lt;INDEX('Valo FX'!$R:$R,MATCH($A37,'Valo FX'!$A:$A,0)),INDEX(Base!$U:$U,MATCH($A37,Base!$A:$A,0)),IF(EO$1=INDEX('Valo FX'!$R:$R,MATCH($A37,'Valo FX'!$A:$A,0)),INDEX(Base!$V:$V,MATCH($A37,Base!$A:$A,0)),0)))</f>
        <v>12.249840000000001</v>
      </c>
      <c r="EP37" s="21">
        <f>IF(EP$1&lt;INDEX('Valo FX'!$Q:$Q,MATCH($A37,'Valo FX'!$A:$A,0)),0,IF(EP$1&lt;INDEX('Valo FX'!$R:$R,MATCH($A37,'Valo FX'!$A:$A,0)),INDEX(Base!$U:$U,MATCH($A37,Base!$A:$A,0)),IF(EP$1=INDEX('Valo FX'!$R:$R,MATCH($A37,'Valo FX'!$A:$A,0)),INDEX(Base!$V:$V,MATCH($A37,Base!$A:$A,0)),0)))</f>
        <v>12.249840000000001</v>
      </c>
      <c r="EQ37" s="21">
        <f>IF(EQ$1&lt;INDEX('Valo FX'!$Q:$Q,MATCH($A37,'Valo FX'!$A:$A,0)),0,IF(EQ$1&lt;INDEX('Valo FX'!$R:$R,MATCH($A37,'Valo FX'!$A:$A,0)),INDEX(Base!$U:$U,MATCH($A37,Base!$A:$A,0)),IF(EQ$1=INDEX('Valo FX'!$R:$R,MATCH($A37,'Valo FX'!$A:$A,0)),INDEX(Base!$V:$V,MATCH($A37,Base!$A:$A,0)),0)))</f>
        <v>12.249840000000001</v>
      </c>
      <c r="ER37" s="21">
        <f>IF(ER$1&lt;INDEX('Valo FX'!$Q:$Q,MATCH($A37,'Valo FX'!$A:$A,0)),0,IF(ER$1&lt;INDEX('Valo FX'!$R:$R,MATCH($A37,'Valo FX'!$A:$A,0)),INDEX(Base!$U:$U,MATCH($A37,Base!$A:$A,0)),IF(ER$1=INDEX('Valo FX'!$R:$R,MATCH($A37,'Valo FX'!$A:$A,0)),INDEX(Base!$V:$V,MATCH($A37,Base!$A:$A,0)),0)))</f>
        <v>12.249840000000001</v>
      </c>
      <c r="ES37" s="21">
        <f>IF(ES$1&lt;INDEX('Valo FX'!$Q:$Q,MATCH($A37,'Valo FX'!$A:$A,0)),0,IF(ES$1&lt;INDEX('Valo FX'!$R:$R,MATCH($A37,'Valo FX'!$A:$A,0)),INDEX(Base!$U:$U,MATCH($A37,Base!$A:$A,0)),IF(ES$1=INDEX('Valo FX'!$R:$R,MATCH($A37,'Valo FX'!$A:$A,0)),INDEX(Base!$V:$V,MATCH($A37,Base!$A:$A,0)),0)))</f>
        <v>12.249840000000001</v>
      </c>
      <c r="ET37" s="21">
        <f>IF(ET$1&lt;INDEX('Valo FX'!$Q:$Q,MATCH($A37,'Valo FX'!$A:$A,0)),0,IF(ET$1&lt;INDEX('Valo FX'!$R:$R,MATCH($A37,'Valo FX'!$A:$A,0)),INDEX(Base!$U:$U,MATCH($A37,Base!$A:$A,0)),IF(ET$1=INDEX('Valo FX'!$R:$R,MATCH($A37,'Valo FX'!$A:$A,0)),INDEX(Base!$V:$V,MATCH($A37,Base!$A:$A,0)),0)))</f>
        <v>12.249840000000001</v>
      </c>
      <c r="EU37" s="21">
        <f>IF(EU$1&lt;INDEX('Valo FX'!$Q:$Q,MATCH($A37,'Valo FX'!$A:$A,0)),0,IF(EU$1&lt;INDEX('Valo FX'!$R:$R,MATCH($A37,'Valo FX'!$A:$A,0)),INDEX(Base!$U:$U,MATCH($A37,Base!$A:$A,0)),IF(EU$1=INDEX('Valo FX'!$R:$R,MATCH($A37,'Valo FX'!$A:$A,0)),INDEX(Base!$V:$V,MATCH($A37,Base!$A:$A,0)),0)))</f>
        <v>12.249840000000001</v>
      </c>
      <c r="EV37" s="21">
        <f>IF(EV$1&lt;INDEX('Valo FX'!$Q:$Q,MATCH($A37,'Valo FX'!$A:$A,0)),0,IF(EV$1&lt;INDEX('Valo FX'!$R:$R,MATCH($A37,'Valo FX'!$A:$A,0)),INDEX(Base!$U:$U,MATCH($A37,Base!$A:$A,0)),IF(EV$1=INDEX('Valo FX'!$R:$R,MATCH($A37,'Valo FX'!$A:$A,0)),INDEX(Base!$V:$V,MATCH($A37,Base!$A:$A,0)),0)))</f>
        <v>12.249840000000001</v>
      </c>
      <c r="EW37" s="21">
        <f>IF(EW$1&lt;INDEX('Valo FX'!$Q:$Q,MATCH($A37,'Valo FX'!$A:$A,0)),0,IF(EW$1&lt;INDEX('Valo FX'!$R:$R,MATCH($A37,'Valo FX'!$A:$A,0)),INDEX(Base!$U:$U,MATCH($A37,Base!$A:$A,0)),IF(EW$1=INDEX('Valo FX'!$R:$R,MATCH($A37,'Valo FX'!$A:$A,0)),INDEX(Base!$V:$V,MATCH($A37,Base!$A:$A,0)),0)))</f>
        <v>12.249840000000001</v>
      </c>
      <c r="EX37" s="21">
        <f>IF(EX$1&lt;INDEX('Valo FX'!$Q:$Q,MATCH($A37,'Valo FX'!$A:$A,0)),0,IF(EX$1&lt;INDEX('Valo FX'!$R:$R,MATCH($A37,'Valo FX'!$A:$A,0)),INDEX(Base!$U:$U,MATCH($A37,Base!$A:$A,0)),IF(EX$1=INDEX('Valo FX'!$R:$R,MATCH($A37,'Valo FX'!$A:$A,0)),INDEX(Base!$V:$V,MATCH($A37,Base!$A:$A,0)),0)))</f>
        <v>12.249840000000001</v>
      </c>
      <c r="EY37" s="21">
        <f>IF(EY$1&lt;INDEX('Valo FX'!$Q:$Q,MATCH($A37,'Valo FX'!$A:$A,0)),0,IF(EY$1&lt;INDEX('Valo FX'!$R:$R,MATCH($A37,'Valo FX'!$A:$A,0)),INDEX(Base!$U:$U,MATCH($A37,Base!$A:$A,0)),IF(EY$1=INDEX('Valo FX'!$R:$R,MATCH($A37,'Valo FX'!$A:$A,0)),INDEX(Base!$V:$V,MATCH($A37,Base!$A:$A,0)),0)))</f>
        <v>12.249840000000001</v>
      </c>
      <c r="EZ37" s="21">
        <f>IF(EZ$1&lt;INDEX('Valo FX'!$Q:$Q,MATCH($A37,'Valo FX'!$A:$A,0)),0,IF(EZ$1&lt;INDEX('Valo FX'!$R:$R,MATCH($A37,'Valo FX'!$A:$A,0)),INDEX(Base!$U:$U,MATCH($A37,Base!$A:$A,0)),IF(EZ$1=INDEX('Valo FX'!$R:$R,MATCH($A37,'Valo FX'!$A:$A,0)),INDEX(Base!$V:$V,MATCH($A37,Base!$A:$A,0)),0)))</f>
        <v>12.249840000000001</v>
      </c>
      <c r="FA37" s="21">
        <f>IF(FA$1&lt;INDEX('Valo FX'!$Q:$Q,MATCH($A37,'Valo FX'!$A:$A,0)),0,IF(FA$1&lt;INDEX('Valo FX'!$R:$R,MATCH($A37,'Valo FX'!$A:$A,0)),INDEX(Base!$U:$U,MATCH($A37,Base!$A:$A,0)),IF(FA$1=INDEX('Valo FX'!$R:$R,MATCH($A37,'Valo FX'!$A:$A,0)),INDEX(Base!$V:$V,MATCH($A37,Base!$A:$A,0)),0)))</f>
        <v>12.249840000000001</v>
      </c>
      <c r="FB37" s="21">
        <f>IF(FB$1&lt;INDEX('Valo FX'!$Q:$Q,MATCH($A37,'Valo FX'!$A:$A,0)),0,IF(FB$1&lt;INDEX('Valo FX'!$R:$R,MATCH($A37,'Valo FX'!$A:$A,0)),INDEX(Base!$U:$U,MATCH($A37,Base!$A:$A,0)),IF(FB$1=INDEX('Valo FX'!$R:$R,MATCH($A37,'Valo FX'!$A:$A,0)),INDEX(Base!$V:$V,MATCH($A37,Base!$A:$A,0)),0)))</f>
        <v>12.249840000000001</v>
      </c>
      <c r="FC37" s="21">
        <f>IF(FC$1&lt;INDEX('Valo FX'!$Q:$Q,MATCH($A37,'Valo FX'!$A:$A,0)),0,IF(FC$1&lt;INDEX('Valo FX'!$R:$R,MATCH($A37,'Valo FX'!$A:$A,0)),INDEX(Base!$U:$U,MATCH($A37,Base!$A:$A,0)),IF(FC$1=INDEX('Valo FX'!$R:$R,MATCH($A37,'Valo FX'!$A:$A,0)),INDEX(Base!$V:$V,MATCH($A37,Base!$A:$A,0)),0)))</f>
        <v>12.249840000000001</v>
      </c>
      <c r="FD37" s="21">
        <f>IF(FD$1&lt;INDEX('Valo FX'!$Q:$Q,MATCH($A37,'Valo FX'!$A:$A,0)),0,IF(FD$1&lt;INDEX('Valo FX'!$R:$R,MATCH($A37,'Valo FX'!$A:$A,0)),INDEX(Base!$U:$U,MATCH($A37,Base!$A:$A,0)),IF(FD$1=INDEX('Valo FX'!$R:$R,MATCH($A37,'Valo FX'!$A:$A,0)),INDEX(Base!$V:$V,MATCH($A37,Base!$A:$A,0)),0)))</f>
        <v>12.249840000000001</v>
      </c>
      <c r="FE37" s="21">
        <f>IF(FE$1&lt;INDEX('Valo FX'!$Q:$Q,MATCH($A37,'Valo FX'!$A:$A,0)),0,IF(FE$1&lt;INDEX('Valo FX'!$R:$R,MATCH($A37,'Valo FX'!$A:$A,0)),INDEX(Base!$U:$U,MATCH($A37,Base!$A:$A,0)),IF(FE$1=INDEX('Valo FX'!$R:$R,MATCH($A37,'Valo FX'!$A:$A,0)),INDEX(Base!$V:$V,MATCH($A37,Base!$A:$A,0)),0)))</f>
        <v>12.249840000000001</v>
      </c>
      <c r="FF37" s="21">
        <f>IF(FF$1&lt;INDEX('Valo FX'!$Q:$Q,MATCH($A37,'Valo FX'!$A:$A,0)),0,IF(FF$1&lt;INDEX('Valo FX'!$R:$R,MATCH($A37,'Valo FX'!$A:$A,0)),INDEX(Base!$U:$U,MATCH($A37,Base!$A:$A,0)),IF(FF$1=INDEX('Valo FX'!$R:$R,MATCH($A37,'Valo FX'!$A:$A,0)),INDEX(Base!$V:$V,MATCH($A37,Base!$A:$A,0)),0)))</f>
        <v>12.249840000000001</v>
      </c>
      <c r="FG37" s="21">
        <f>IF(FG$1&lt;INDEX('Valo FX'!$Q:$Q,MATCH($A37,'Valo FX'!$A:$A,0)),0,IF(FG$1&lt;INDEX('Valo FX'!$R:$R,MATCH($A37,'Valo FX'!$A:$A,0)),INDEX(Base!$U:$U,MATCH($A37,Base!$A:$A,0)),IF(FG$1=INDEX('Valo FX'!$R:$R,MATCH($A37,'Valo FX'!$A:$A,0)),INDEX(Base!$V:$V,MATCH($A37,Base!$A:$A,0)),0)))</f>
        <v>12.249840000000001</v>
      </c>
      <c r="FH37" s="21">
        <f>IF(FH$1&lt;INDEX('Valo FX'!$Q:$Q,MATCH($A37,'Valo FX'!$A:$A,0)),0,IF(FH$1&lt;INDEX('Valo FX'!$R:$R,MATCH($A37,'Valo FX'!$A:$A,0)),INDEX(Base!$U:$U,MATCH($A37,Base!$A:$A,0)),IF(FH$1=INDEX('Valo FX'!$R:$R,MATCH($A37,'Valo FX'!$A:$A,0)),INDEX(Base!$V:$V,MATCH($A37,Base!$A:$A,0)),0)))</f>
        <v>12.249840000000001</v>
      </c>
      <c r="FI37" s="21">
        <f>IF(FI$1&lt;INDEX('Valo FX'!$Q:$Q,MATCH($A37,'Valo FX'!$A:$A,0)),0,IF(FI$1&lt;INDEX('Valo FX'!$R:$R,MATCH($A37,'Valo FX'!$A:$A,0)),INDEX(Base!$U:$U,MATCH($A37,Base!$A:$A,0)),IF(FI$1=INDEX('Valo FX'!$R:$R,MATCH($A37,'Valo FX'!$A:$A,0)),INDEX(Base!$V:$V,MATCH($A37,Base!$A:$A,0)),0)))</f>
        <v>12.249840000000001</v>
      </c>
      <c r="FJ37" s="21">
        <f>IF(FJ$1&lt;INDEX('Valo FX'!$Q:$Q,MATCH($A37,'Valo FX'!$A:$A,0)),0,IF(FJ$1&lt;INDEX('Valo FX'!$R:$R,MATCH($A37,'Valo FX'!$A:$A,0)),INDEX(Base!$U:$U,MATCH($A37,Base!$A:$A,0)),IF(FJ$1=INDEX('Valo FX'!$R:$R,MATCH($A37,'Valo FX'!$A:$A,0)),INDEX(Base!$V:$V,MATCH($A37,Base!$A:$A,0)),0)))</f>
        <v>12.249840000000001</v>
      </c>
      <c r="FK37" s="21">
        <f>IF(FK$1&lt;INDEX('Valo FX'!$Q:$Q,MATCH($A37,'Valo FX'!$A:$A,0)),0,IF(FK$1&lt;INDEX('Valo FX'!$R:$R,MATCH($A37,'Valo FX'!$A:$A,0)),INDEX(Base!$U:$U,MATCH($A37,Base!$A:$A,0)),IF(FK$1=INDEX('Valo FX'!$R:$R,MATCH($A37,'Valo FX'!$A:$A,0)),INDEX(Base!$V:$V,MATCH($A37,Base!$A:$A,0)),0)))</f>
        <v>12.249840000000001</v>
      </c>
      <c r="FL37" s="21">
        <f>IF(FL$1&lt;INDEX('Valo FX'!$Q:$Q,MATCH($A37,'Valo FX'!$A:$A,0)),0,IF(FL$1&lt;INDEX('Valo FX'!$R:$R,MATCH($A37,'Valo FX'!$A:$A,0)),INDEX(Base!$U:$U,MATCH($A37,Base!$A:$A,0)),IF(FL$1=INDEX('Valo FX'!$R:$R,MATCH($A37,'Valo FX'!$A:$A,0)),INDEX(Base!$V:$V,MATCH($A37,Base!$A:$A,0)),0)))</f>
        <v>12.249840000000001</v>
      </c>
      <c r="FM37" s="21">
        <f>IF(FM$1&lt;INDEX('Valo FX'!$Q:$Q,MATCH($A37,'Valo FX'!$A:$A,0)),0,IF(FM$1&lt;INDEX('Valo FX'!$R:$R,MATCH($A37,'Valo FX'!$A:$A,0)),INDEX(Base!$U:$U,MATCH($A37,Base!$A:$A,0)),IF(FM$1=INDEX('Valo FX'!$R:$R,MATCH($A37,'Valo FX'!$A:$A,0)),INDEX(Base!$V:$V,MATCH($A37,Base!$A:$A,0)),0)))</f>
        <v>12.249840000000001</v>
      </c>
      <c r="FN37" s="21">
        <f>IF(FN$1&lt;INDEX('Valo FX'!$Q:$Q,MATCH($A37,'Valo FX'!$A:$A,0)),0,IF(FN$1&lt;INDEX('Valo FX'!$R:$R,MATCH($A37,'Valo FX'!$A:$A,0)),INDEX(Base!$U:$U,MATCH($A37,Base!$A:$A,0)),IF(FN$1=INDEX('Valo FX'!$R:$R,MATCH($A37,'Valo FX'!$A:$A,0)),INDEX(Base!$V:$V,MATCH($A37,Base!$A:$A,0)),0)))</f>
        <v>12.249840000000001</v>
      </c>
      <c r="FO37" s="21">
        <f>IF(FO$1&lt;INDEX('Valo FX'!$Q:$Q,MATCH($A37,'Valo FX'!$A:$A,0)),0,IF(FO$1&lt;INDEX('Valo FX'!$R:$R,MATCH($A37,'Valo FX'!$A:$A,0)),INDEX(Base!$U:$U,MATCH($A37,Base!$A:$A,0)),IF(FO$1=INDEX('Valo FX'!$R:$R,MATCH($A37,'Valo FX'!$A:$A,0)),INDEX(Base!$V:$V,MATCH($A37,Base!$A:$A,0)),0)))</f>
        <v>12.249840000000001</v>
      </c>
      <c r="FP37" s="21">
        <f>IF(FP$1&lt;INDEX('Valo FX'!$Q:$Q,MATCH($A37,'Valo FX'!$A:$A,0)),0,IF(FP$1&lt;INDEX('Valo FX'!$R:$R,MATCH($A37,'Valo FX'!$A:$A,0)),INDEX(Base!$U:$U,MATCH($A37,Base!$A:$A,0)),IF(FP$1=INDEX('Valo FX'!$R:$R,MATCH($A37,'Valo FX'!$A:$A,0)),INDEX(Base!$V:$V,MATCH($A37,Base!$A:$A,0)),0)))</f>
        <v>12.249840000000001</v>
      </c>
      <c r="FQ37" s="21">
        <f>IF(FQ$1&lt;INDEX('Valo FX'!$Q:$Q,MATCH($A37,'Valo FX'!$A:$A,0)),0,IF(FQ$1&lt;INDEX('Valo FX'!$R:$R,MATCH($A37,'Valo FX'!$A:$A,0)),INDEX(Base!$U:$U,MATCH($A37,Base!$A:$A,0)),IF(FQ$1=INDEX('Valo FX'!$R:$R,MATCH($A37,'Valo FX'!$A:$A,0)),INDEX(Base!$V:$V,MATCH($A37,Base!$A:$A,0)),0)))</f>
        <v>12.249840000000001</v>
      </c>
      <c r="FR37" s="21">
        <f>IF(FR$1&lt;INDEX('Valo FX'!$Q:$Q,MATCH($A37,'Valo FX'!$A:$A,0)),0,IF(FR$1&lt;INDEX('Valo FX'!$R:$R,MATCH($A37,'Valo FX'!$A:$A,0)),INDEX(Base!$U:$U,MATCH($A37,Base!$A:$A,0)),IF(FR$1=INDEX('Valo FX'!$R:$R,MATCH($A37,'Valo FX'!$A:$A,0)),INDEX(Base!$V:$V,MATCH($A37,Base!$A:$A,0)),0)))</f>
        <v>12.249840000000001</v>
      </c>
      <c r="FS37" s="21">
        <f>IF(FS$1&lt;INDEX('Valo FX'!$Q:$Q,MATCH($A37,'Valo FX'!$A:$A,0)),0,IF(FS$1&lt;INDEX('Valo FX'!$R:$R,MATCH($A37,'Valo FX'!$A:$A,0)),INDEX(Base!$U:$U,MATCH($A37,Base!$A:$A,0)),IF(FS$1=INDEX('Valo FX'!$R:$R,MATCH($A37,'Valo FX'!$A:$A,0)),INDEX(Base!$V:$V,MATCH($A37,Base!$A:$A,0)),0)))</f>
        <v>12.249840000000001</v>
      </c>
      <c r="FT37" s="21">
        <f>IF(FT$1&lt;INDEX('Valo FX'!$Q:$Q,MATCH($A37,'Valo FX'!$A:$A,0)),0,IF(FT$1&lt;INDEX('Valo FX'!$R:$R,MATCH($A37,'Valo FX'!$A:$A,0)),INDEX(Base!$U:$U,MATCH($A37,Base!$A:$A,0)),IF(FT$1=INDEX('Valo FX'!$R:$R,MATCH($A37,'Valo FX'!$A:$A,0)),INDEX(Base!$V:$V,MATCH($A37,Base!$A:$A,0)),0)))</f>
        <v>12.249840000000001</v>
      </c>
      <c r="FU37" s="21">
        <f>IF(FU$1&lt;INDEX('Valo FX'!$Q:$Q,MATCH($A37,'Valo FX'!$A:$A,0)),0,IF(FU$1&lt;INDEX('Valo FX'!$R:$R,MATCH($A37,'Valo FX'!$A:$A,0)),INDEX(Base!$U:$U,MATCH($A37,Base!$A:$A,0)),IF(FU$1=INDEX('Valo FX'!$R:$R,MATCH($A37,'Valo FX'!$A:$A,0)),INDEX(Base!$V:$V,MATCH($A37,Base!$A:$A,0)),0)))</f>
        <v>12.249840000000001</v>
      </c>
      <c r="FV37" s="21">
        <f>IF(FV$1&lt;INDEX('Valo FX'!$Q:$Q,MATCH($A37,'Valo FX'!$A:$A,0)),0,IF(FV$1&lt;INDEX('Valo FX'!$R:$R,MATCH($A37,'Valo FX'!$A:$A,0)),INDEX(Base!$U:$U,MATCH($A37,Base!$A:$A,0)),IF(FV$1=INDEX('Valo FX'!$R:$R,MATCH($A37,'Valo FX'!$A:$A,0)),INDEX(Base!$V:$V,MATCH($A37,Base!$A:$A,0)),0)))</f>
        <v>12.249840000000001</v>
      </c>
      <c r="FW37" s="21">
        <f>IF(FW$1&lt;INDEX('Valo FX'!$Q:$Q,MATCH($A37,'Valo FX'!$A:$A,0)),0,IF(FW$1&lt;INDEX('Valo FX'!$R:$R,MATCH($A37,'Valo FX'!$A:$A,0)),INDEX(Base!$U:$U,MATCH($A37,Base!$A:$A,0)),IF(FW$1=INDEX('Valo FX'!$R:$R,MATCH($A37,'Valo FX'!$A:$A,0)),INDEX(Base!$V:$V,MATCH($A37,Base!$A:$A,0)),0)))</f>
        <v>12.249840000000001</v>
      </c>
      <c r="FX37" s="21">
        <f>IF(FX$1&lt;INDEX('Valo FX'!$Q:$Q,MATCH($A37,'Valo FX'!$A:$A,0)),0,IF(FX$1&lt;INDEX('Valo FX'!$R:$R,MATCH($A37,'Valo FX'!$A:$A,0)),INDEX(Base!$U:$U,MATCH($A37,Base!$A:$A,0)),IF(FX$1=INDEX('Valo FX'!$R:$R,MATCH($A37,'Valo FX'!$A:$A,0)),INDEX(Base!$V:$V,MATCH($A37,Base!$A:$A,0)),0)))</f>
        <v>12.249840000000001</v>
      </c>
      <c r="FY37" s="21">
        <f>IF(FY$1&lt;INDEX('Valo FX'!$Q:$Q,MATCH($A37,'Valo FX'!$A:$A,0)),0,IF(FY$1&lt;INDEX('Valo FX'!$R:$R,MATCH($A37,'Valo FX'!$A:$A,0)),INDEX(Base!$U:$U,MATCH($A37,Base!$A:$A,0)),IF(FY$1=INDEX('Valo FX'!$R:$R,MATCH($A37,'Valo FX'!$A:$A,0)),INDEX(Base!$V:$V,MATCH($A37,Base!$A:$A,0)),0)))</f>
        <v>12.249840000000001</v>
      </c>
      <c r="FZ37" s="21">
        <f>IF(FZ$1&lt;INDEX('Valo FX'!$Q:$Q,MATCH($A37,'Valo FX'!$A:$A,0)),0,IF(FZ$1&lt;INDEX('Valo FX'!$R:$R,MATCH($A37,'Valo FX'!$A:$A,0)),INDEX(Base!$U:$U,MATCH($A37,Base!$A:$A,0)),IF(FZ$1=INDEX('Valo FX'!$R:$R,MATCH($A37,'Valo FX'!$A:$A,0)),INDEX(Base!$V:$V,MATCH($A37,Base!$A:$A,0)),0)))</f>
        <v>12.249840000000001</v>
      </c>
      <c r="GA37" s="21">
        <f>IF(GA$1&lt;INDEX('Valo FX'!$Q:$Q,MATCH($A37,'Valo FX'!$A:$A,0)),0,IF(GA$1&lt;INDEX('Valo FX'!$R:$R,MATCH($A37,'Valo FX'!$A:$A,0)),INDEX(Base!$U:$U,MATCH($A37,Base!$A:$A,0)),IF(GA$1=INDEX('Valo FX'!$R:$R,MATCH($A37,'Valo FX'!$A:$A,0)),INDEX(Base!$V:$V,MATCH($A37,Base!$A:$A,0)),0)))</f>
        <v>12.249840000000001</v>
      </c>
      <c r="GB37" s="21">
        <f>IF(GB$1&lt;INDEX('Valo FX'!$Q:$Q,MATCH($A37,'Valo FX'!$A:$A,0)),0,IF(GB$1&lt;INDEX('Valo FX'!$R:$R,MATCH($A37,'Valo FX'!$A:$A,0)),INDEX(Base!$U:$U,MATCH($A37,Base!$A:$A,0)),IF(GB$1=INDEX('Valo FX'!$R:$R,MATCH($A37,'Valo FX'!$A:$A,0)),INDEX(Base!$V:$V,MATCH($A37,Base!$A:$A,0)),0)))</f>
        <v>12.249840000000001</v>
      </c>
      <c r="GC37" s="21">
        <f>IF(GC$1&lt;INDEX('Valo FX'!$Q:$Q,MATCH($A37,'Valo FX'!$A:$A,0)),0,IF(GC$1&lt;INDEX('Valo FX'!$R:$R,MATCH($A37,'Valo FX'!$A:$A,0)),INDEX(Base!$U:$U,MATCH($A37,Base!$A:$A,0)),IF(GC$1=INDEX('Valo FX'!$R:$R,MATCH($A37,'Valo FX'!$A:$A,0)),INDEX(Base!$V:$V,MATCH($A37,Base!$A:$A,0)),0)))</f>
        <v>12.249840000000001</v>
      </c>
      <c r="GD37" s="21">
        <f>IF(GD$1&lt;INDEX('Valo FX'!$Q:$Q,MATCH($A37,'Valo FX'!$A:$A,0)),0,IF(GD$1&lt;INDEX('Valo FX'!$R:$R,MATCH($A37,'Valo FX'!$A:$A,0)),INDEX(Base!$U:$U,MATCH($A37,Base!$A:$A,0)),IF(GD$1=INDEX('Valo FX'!$R:$R,MATCH($A37,'Valo FX'!$A:$A,0)),INDEX(Base!$V:$V,MATCH($A37,Base!$A:$A,0)),0)))</f>
        <v>12.249840000000001</v>
      </c>
      <c r="GE37" s="21">
        <f>IF(GE$1&lt;INDEX('Valo FX'!$Q:$Q,MATCH($A37,'Valo FX'!$A:$A,0)),0,IF(GE$1&lt;INDEX('Valo FX'!$R:$R,MATCH($A37,'Valo FX'!$A:$A,0)),INDEX(Base!$U:$U,MATCH($A37,Base!$A:$A,0)),IF(GE$1=INDEX('Valo FX'!$R:$R,MATCH($A37,'Valo FX'!$A:$A,0)),INDEX(Base!$V:$V,MATCH($A37,Base!$A:$A,0)),0)))</f>
        <v>12.249840000000001</v>
      </c>
      <c r="GF37" s="21">
        <f>IF(GF$1&lt;INDEX('Valo FX'!$Q:$Q,MATCH($A37,'Valo FX'!$A:$A,0)),0,IF(GF$1&lt;INDEX('Valo FX'!$R:$R,MATCH($A37,'Valo FX'!$A:$A,0)),INDEX(Base!$U:$U,MATCH($A37,Base!$A:$A,0)),IF(GF$1=INDEX('Valo FX'!$R:$R,MATCH($A37,'Valo FX'!$A:$A,0)),INDEX(Base!$V:$V,MATCH($A37,Base!$A:$A,0)),0)))</f>
        <v>12.249840000000001</v>
      </c>
      <c r="GG37" s="21">
        <f>IF(GG$1&lt;INDEX('Valo FX'!$Q:$Q,MATCH($A37,'Valo FX'!$A:$A,0)),0,IF(GG$1&lt;INDEX('Valo FX'!$R:$R,MATCH($A37,'Valo FX'!$A:$A,0)),INDEX(Base!$U:$U,MATCH($A37,Base!$A:$A,0)),IF(GG$1=INDEX('Valo FX'!$R:$R,MATCH($A37,'Valo FX'!$A:$A,0)),INDEX(Base!$V:$V,MATCH($A37,Base!$A:$A,0)),0)))</f>
        <v>12.249840000000001</v>
      </c>
      <c r="GH37" s="21">
        <f>IF(GH$1&lt;INDEX('Valo FX'!$Q:$Q,MATCH($A37,'Valo FX'!$A:$A,0)),0,IF(GH$1&lt;INDEX('Valo FX'!$R:$R,MATCH($A37,'Valo FX'!$A:$A,0)),INDEX(Base!$U:$U,MATCH($A37,Base!$A:$A,0)),IF(GH$1=INDEX('Valo FX'!$R:$R,MATCH($A37,'Valo FX'!$A:$A,0)),INDEX(Base!$V:$V,MATCH($A37,Base!$A:$A,0)),0)))</f>
        <v>12.249840000000001</v>
      </c>
      <c r="GI37" s="21">
        <f>IF(GI$1&lt;INDEX('Valo FX'!$Q:$Q,MATCH($A37,'Valo FX'!$A:$A,0)),0,IF(GI$1&lt;INDEX('Valo FX'!$R:$R,MATCH($A37,'Valo FX'!$A:$A,0)),INDEX(Base!$U:$U,MATCH($A37,Base!$A:$A,0)),IF(GI$1=INDEX('Valo FX'!$R:$R,MATCH($A37,'Valo FX'!$A:$A,0)),INDEX(Base!$V:$V,MATCH($A37,Base!$A:$A,0)),0)))</f>
        <v>12.249840000000001</v>
      </c>
      <c r="GJ37" s="21">
        <f>IF(GJ$1&lt;INDEX('Valo FX'!$Q:$Q,MATCH($A37,'Valo FX'!$A:$A,0)),0,IF(GJ$1&lt;INDEX('Valo FX'!$R:$R,MATCH($A37,'Valo FX'!$A:$A,0)),INDEX(Base!$U:$U,MATCH($A37,Base!$A:$A,0)),IF(GJ$1=INDEX('Valo FX'!$R:$R,MATCH($A37,'Valo FX'!$A:$A,0)),INDEX(Base!$V:$V,MATCH($A37,Base!$A:$A,0)),0)))</f>
        <v>12.249840000000001</v>
      </c>
      <c r="GK37" s="21">
        <f>IF(GK$1&lt;INDEX('Valo FX'!$Q:$Q,MATCH($A37,'Valo FX'!$A:$A,0)),0,IF(GK$1&lt;INDEX('Valo FX'!$R:$R,MATCH($A37,'Valo FX'!$A:$A,0)),INDEX(Base!$U:$U,MATCH($A37,Base!$A:$A,0)),IF(GK$1=INDEX('Valo FX'!$R:$R,MATCH($A37,'Valo FX'!$A:$A,0)),INDEX(Base!$V:$V,MATCH($A37,Base!$A:$A,0)),0)))</f>
        <v>12.249840000000001</v>
      </c>
      <c r="GL37" s="21">
        <f>IF(GL$1&lt;INDEX('Valo FX'!$Q:$Q,MATCH($A37,'Valo FX'!$A:$A,0)),0,IF(GL$1&lt;INDEX('Valo FX'!$R:$R,MATCH($A37,'Valo FX'!$A:$A,0)),INDEX(Base!$U:$U,MATCH($A37,Base!$A:$A,0)),IF(GL$1=INDEX('Valo FX'!$R:$R,MATCH($A37,'Valo FX'!$A:$A,0)),INDEX(Base!$V:$V,MATCH($A37,Base!$A:$A,0)),0)))</f>
        <v>12.249840000000001</v>
      </c>
      <c r="GM37" s="21">
        <f>IF(GM$1&lt;INDEX('Valo FX'!$Q:$Q,MATCH($A37,'Valo FX'!$A:$A,0)),0,IF(GM$1&lt;INDEX('Valo FX'!$R:$R,MATCH($A37,'Valo FX'!$A:$A,0)),INDEX(Base!$U:$U,MATCH($A37,Base!$A:$A,0)),IF(GM$1=INDEX('Valo FX'!$R:$R,MATCH($A37,'Valo FX'!$A:$A,0)),INDEX(Base!$V:$V,MATCH($A37,Base!$A:$A,0)),0)))</f>
        <v>12.249840000000001</v>
      </c>
      <c r="GN37" s="21">
        <f>IF(GN$1&lt;INDEX('Valo FX'!$Q:$Q,MATCH($A37,'Valo FX'!$A:$A,0)),0,IF(GN$1&lt;INDEX('Valo FX'!$R:$R,MATCH($A37,'Valo FX'!$A:$A,0)),INDEX(Base!$U:$U,MATCH($A37,Base!$A:$A,0)),IF(GN$1=INDEX('Valo FX'!$R:$R,MATCH($A37,'Valo FX'!$A:$A,0)),INDEX(Base!$V:$V,MATCH($A37,Base!$A:$A,0)),0)))</f>
        <v>12.249840000000001</v>
      </c>
      <c r="GO37" s="21">
        <f>IF(GO$1&lt;INDEX('Valo FX'!$Q:$Q,MATCH($A37,'Valo FX'!$A:$A,0)),0,IF(GO$1&lt;INDEX('Valo FX'!$R:$R,MATCH($A37,'Valo FX'!$A:$A,0)),INDEX(Base!$U:$U,MATCH($A37,Base!$A:$A,0)),IF(GO$1=INDEX('Valo FX'!$R:$R,MATCH($A37,'Valo FX'!$A:$A,0)),INDEX(Base!$V:$V,MATCH($A37,Base!$A:$A,0)),0)))</f>
        <v>12.249840000000001</v>
      </c>
      <c r="GP37" s="21">
        <f>IF(GP$1&lt;INDEX('Valo FX'!$Q:$Q,MATCH($A37,'Valo FX'!$A:$A,0)),0,IF(GP$1&lt;INDEX('Valo FX'!$R:$R,MATCH($A37,'Valo FX'!$A:$A,0)),INDEX(Base!$U:$U,MATCH($A37,Base!$A:$A,0)),IF(GP$1=INDEX('Valo FX'!$R:$R,MATCH($A37,'Valo FX'!$A:$A,0)),INDEX(Base!$V:$V,MATCH($A37,Base!$A:$A,0)),0)))</f>
        <v>12.249840000000001</v>
      </c>
      <c r="GQ37" s="21">
        <f>IF(GQ$1&lt;INDEX('Valo FX'!$Q:$Q,MATCH($A37,'Valo FX'!$A:$A,0)),0,IF(GQ$1&lt;INDEX('Valo FX'!$R:$R,MATCH($A37,'Valo FX'!$A:$A,0)),INDEX(Base!$U:$U,MATCH($A37,Base!$A:$A,0)),IF(GQ$1=INDEX('Valo FX'!$R:$R,MATCH($A37,'Valo FX'!$A:$A,0)),INDEX(Base!$V:$V,MATCH($A37,Base!$A:$A,0)),0)))</f>
        <v>12.249840000000001</v>
      </c>
      <c r="GR37" s="21">
        <f>IF(GR$1&lt;INDEX('Valo FX'!$Q:$Q,MATCH($A37,'Valo FX'!$A:$A,0)),0,IF(GR$1&lt;INDEX('Valo FX'!$R:$R,MATCH($A37,'Valo FX'!$A:$A,0)),INDEX(Base!$U:$U,MATCH($A37,Base!$A:$A,0)),IF(GR$1=INDEX('Valo FX'!$R:$R,MATCH($A37,'Valo FX'!$A:$A,0)),INDEX(Base!$V:$V,MATCH($A37,Base!$A:$A,0)),0)))</f>
        <v>12.249840000000001</v>
      </c>
      <c r="GS37" s="21">
        <f>IF(GS$1&lt;INDEX('Valo FX'!$Q:$Q,MATCH($A37,'Valo FX'!$A:$A,0)),0,IF(GS$1&lt;INDEX('Valo FX'!$R:$R,MATCH($A37,'Valo FX'!$A:$A,0)),INDEX(Base!$U:$U,MATCH($A37,Base!$A:$A,0)),IF(GS$1=INDEX('Valo FX'!$R:$R,MATCH($A37,'Valo FX'!$A:$A,0)),INDEX(Base!$V:$V,MATCH($A37,Base!$A:$A,0)),0)))</f>
        <v>12.249840000000001</v>
      </c>
      <c r="GT37" s="21">
        <f>IF(GT$1&lt;INDEX('Valo FX'!$Q:$Q,MATCH($A37,'Valo FX'!$A:$A,0)),0,IF(GT$1&lt;INDEX('Valo FX'!$R:$R,MATCH($A37,'Valo FX'!$A:$A,0)),INDEX(Base!$U:$U,MATCH($A37,Base!$A:$A,0)),IF(GT$1=INDEX('Valo FX'!$R:$R,MATCH($A37,'Valo FX'!$A:$A,0)),INDEX(Base!$V:$V,MATCH($A37,Base!$A:$A,0)),0)))</f>
        <v>12.249840000000001</v>
      </c>
      <c r="GU37" s="21">
        <f>IF(GU$1&lt;INDEX('Valo FX'!$Q:$Q,MATCH($A37,'Valo FX'!$A:$A,0)),0,IF(GU$1&lt;INDEX('Valo FX'!$R:$R,MATCH($A37,'Valo FX'!$A:$A,0)),INDEX(Base!$U:$U,MATCH($A37,Base!$A:$A,0)),IF(GU$1=INDEX('Valo FX'!$R:$R,MATCH($A37,'Valo FX'!$A:$A,0)),INDEX(Base!$V:$V,MATCH($A37,Base!$A:$A,0)),0)))</f>
        <v>12.249840000000001</v>
      </c>
      <c r="GV37" s="21">
        <f>IF(GV$1&lt;INDEX('Valo FX'!$Q:$Q,MATCH($A37,'Valo FX'!$A:$A,0)),0,IF(GV$1&lt;INDEX('Valo FX'!$R:$R,MATCH($A37,'Valo FX'!$A:$A,0)),INDEX(Base!$U:$U,MATCH($A37,Base!$A:$A,0)),IF(GV$1=INDEX('Valo FX'!$R:$R,MATCH($A37,'Valo FX'!$A:$A,0)),INDEX(Base!$V:$V,MATCH($A37,Base!$A:$A,0)),0)))</f>
        <v>12.249840000000001</v>
      </c>
      <c r="GW37" s="21">
        <f>IF(GW$1&lt;INDEX('Valo FX'!$Q:$Q,MATCH($A37,'Valo FX'!$A:$A,0)),0,IF(GW$1&lt;INDEX('Valo FX'!$R:$R,MATCH($A37,'Valo FX'!$A:$A,0)),INDEX(Base!$U:$U,MATCH($A37,Base!$A:$A,0)),IF(GW$1=INDEX('Valo FX'!$R:$R,MATCH($A37,'Valo FX'!$A:$A,0)),INDEX(Base!$V:$V,MATCH($A37,Base!$A:$A,0)),0)))</f>
        <v>12.249840000000001</v>
      </c>
      <c r="GX37" s="21">
        <f>IF(GX$1&lt;INDEX('Valo FX'!$Q:$Q,MATCH($A37,'Valo FX'!$A:$A,0)),0,IF(GX$1&lt;INDEX('Valo FX'!$R:$R,MATCH($A37,'Valo FX'!$A:$A,0)),INDEX(Base!$U:$U,MATCH($A37,Base!$A:$A,0)),IF(GX$1=INDEX('Valo FX'!$R:$R,MATCH($A37,'Valo FX'!$A:$A,0)),INDEX(Base!$V:$V,MATCH($A37,Base!$A:$A,0)),0)))</f>
        <v>12.249840000000001</v>
      </c>
      <c r="GY37" s="21">
        <f>IF(GY$1&lt;INDEX('Valo FX'!$Q:$Q,MATCH($A37,'Valo FX'!$A:$A,0)),0,IF(GY$1&lt;INDEX('Valo FX'!$R:$R,MATCH($A37,'Valo FX'!$A:$A,0)),INDEX(Base!$U:$U,MATCH($A37,Base!$A:$A,0)),IF(GY$1=INDEX('Valo FX'!$R:$R,MATCH($A37,'Valo FX'!$A:$A,0)),INDEX(Base!$V:$V,MATCH($A37,Base!$A:$A,0)),0)))</f>
        <v>12.249840000000001</v>
      </c>
      <c r="GZ37" s="21">
        <f>IF(GZ$1&lt;INDEX('Valo FX'!$Q:$Q,MATCH($A37,'Valo FX'!$A:$A,0)),0,IF(GZ$1&lt;INDEX('Valo FX'!$R:$R,MATCH($A37,'Valo FX'!$A:$A,0)),INDEX(Base!$U:$U,MATCH($A37,Base!$A:$A,0)),IF(GZ$1=INDEX('Valo FX'!$R:$R,MATCH($A37,'Valo FX'!$A:$A,0)),INDEX(Base!$V:$V,MATCH($A37,Base!$A:$A,0)),0)))</f>
        <v>12.249840000000001</v>
      </c>
      <c r="HA37" s="21">
        <f>IF(HA$1&lt;INDEX('Valo FX'!$Q:$Q,MATCH($A37,'Valo FX'!$A:$A,0)),0,IF(HA$1&lt;INDEX('Valo FX'!$R:$R,MATCH($A37,'Valo FX'!$A:$A,0)),INDEX(Base!$U:$U,MATCH($A37,Base!$A:$A,0)),IF(HA$1=INDEX('Valo FX'!$R:$R,MATCH($A37,'Valo FX'!$A:$A,0)),INDEX(Base!$V:$V,MATCH($A37,Base!$A:$A,0)),0)))</f>
        <v>12.249840000000001</v>
      </c>
      <c r="HB37" s="21">
        <f>IF(HB$1&lt;INDEX('Valo FX'!$Q:$Q,MATCH($A37,'Valo FX'!$A:$A,0)),0,IF(HB$1&lt;INDEX('Valo FX'!$R:$R,MATCH($A37,'Valo FX'!$A:$A,0)),INDEX(Base!$U:$U,MATCH($A37,Base!$A:$A,0)),IF(HB$1=INDEX('Valo FX'!$R:$R,MATCH($A37,'Valo FX'!$A:$A,0)),INDEX(Base!$V:$V,MATCH($A37,Base!$A:$A,0)),0)))</f>
        <v>12.249840000000001</v>
      </c>
      <c r="HC37" s="21">
        <f>IF(HC$1&lt;INDEX('Valo FX'!$Q:$Q,MATCH($A37,'Valo FX'!$A:$A,0)),0,IF(HC$1&lt;INDEX('Valo FX'!$R:$R,MATCH($A37,'Valo FX'!$A:$A,0)),INDEX(Base!$U:$U,MATCH($A37,Base!$A:$A,0)),IF(HC$1=INDEX('Valo FX'!$R:$R,MATCH($A37,'Valo FX'!$A:$A,0)),INDEX(Base!$V:$V,MATCH($A37,Base!$A:$A,0)),0)))</f>
        <v>12.249840000000001</v>
      </c>
      <c r="HD37" s="21">
        <f>IF(HD$1&lt;INDEX('Valo FX'!$Q:$Q,MATCH($A37,'Valo FX'!$A:$A,0)),0,IF(HD$1&lt;INDEX('Valo FX'!$R:$R,MATCH($A37,'Valo FX'!$A:$A,0)),INDEX(Base!$U:$U,MATCH($A37,Base!$A:$A,0)),IF(HD$1=INDEX('Valo FX'!$R:$R,MATCH($A37,'Valo FX'!$A:$A,0)),INDEX(Base!$V:$V,MATCH($A37,Base!$A:$A,0)),0)))</f>
        <v>12.249840000000001</v>
      </c>
      <c r="HE37" s="21">
        <f>IF(HE$1&lt;INDEX('Valo FX'!$Q:$Q,MATCH($A37,'Valo FX'!$A:$A,0)),0,IF(HE$1&lt;INDEX('Valo FX'!$R:$R,MATCH($A37,'Valo FX'!$A:$A,0)),INDEX(Base!$U:$U,MATCH($A37,Base!$A:$A,0)),IF(HE$1=INDEX('Valo FX'!$R:$R,MATCH($A37,'Valo FX'!$A:$A,0)),INDEX(Base!$V:$V,MATCH($A37,Base!$A:$A,0)),0)))</f>
        <v>12.249840000000001</v>
      </c>
      <c r="HF37" s="21">
        <f>IF(HF$1&lt;INDEX('Valo FX'!$Q:$Q,MATCH($A37,'Valo FX'!$A:$A,0)),0,IF(HF$1&lt;INDEX('Valo FX'!$R:$R,MATCH($A37,'Valo FX'!$A:$A,0)),INDEX(Base!$U:$U,MATCH($A37,Base!$A:$A,0)),IF(HF$1=INDEX('Valo FX'!$R:$R,MATCH($A37,'Valo FX'!$A:$A,0)),INDEX(Base!$V:$V,MATCH($A37,Base!$A:$A,0)),0)))</f>
        <v>12.249840000000001</v>
      </c>
      <c r="HG37" s="21">
        <f>IF(HG$1&lt;INDEX('Valo FX'!$Q:$Q,MATCH($A37,'Valo FX'!$A:$A,0)),0,IF(HG$1&lt;INDEX('Valo FX'!$R:$R,MATCH($A37,'Valo FX'!$A:$A,0)),INDEX(Base!$U:$U,MATCH($A37,Base!$A:$A,0)),IF(HG$1=INDEX('Valo FX'!$R:$R,MATCH($A37,'Valo FX'!$A:$A,0)),INDEX(Base!$V:$V,MATCH($A37,Base!$A:$A,0)),0)))</f>
        <v>12.249840000000001</v>
      </c>
      <c r="HH37" s="21">
        <f>IF(HH$1&lt;INDEX('Valo FX'!$Q:$Q,MATCH($A37,'Valo FX'!$A:$A,0)),0,IF(HH$1&lt;INDEX('Valo FX'!$R:$R,MATCH($A37,'Valo FX'!$A:$A,0)),INDEX(Base!$U:$U,MATCH($A37,Base!$A:$A,0)),IF(HH$1=INDEX('Valo FX'!$R:$R,MATCH($A37,'Valo FX'!$A:$A,0)),INDEX(Base!$V:$V,MATCH($A37,Base!$A:$A,0)),0)))</f>
        <v>12.249840000000001</v>
      </c>
      <c r="HI37" s="21">
        <f>IF(HI$1&lt;INDEX('Valo FX'!$Q:$Q,MATCH($A37,'Valo FX'!$A:$A,0)),0,IF(HI$1&lt;INDEX('Valo FX'!$R:$R,MATCH($A37,'Valo FX'!$A:$A,0)),INDEX(Base!$U:$U,MATCH($A37,Base!$A:$A,0)),IF(HI$1=INDEX('Valo FX'!$R:$R,MATCH($A37,'Valo FX'!$A:$A,0)),INDEX(Base!$V:$V,MATCH($A37,Base!$A:$A,0)),0)))</f>
        <v>12.249840000000001</v>
      </c>
      <c r="HJ37" s="21">
        <f>IF(HJ$1&lt;INDEX('Valo FX'!$Q:$Q,MATCH($A37,'Valo FX'!$A:$A,0)),0,IF(HJ$1&lt;INDEX('Valo FX'!$R:$R,MATCH($A37,'Valo FX'!$A:$A,0)),INDEX(Base!$U:$U,MATCH($A37,Base!$A:$A,0)),IF(HJ$1=INDEX('Valo FX'!$R:$R,MATCH($A37,'Valo FX'!$A:$A,0)),INDEX(Base!$V:$V,MATCH($A37,Base!$A:$A,0)),0)))</f>
        <v>12.249840000000001</v>
      </c>
      <c r="HK37" s="21">
        <f>IF(HK$1&lt;INDEX('Valo FX'!$Q:$Q,MATCH($A37,'Valo FX'!$A:$A,0)),0,IF(HK$1&lt;INDEX('Valo FX'!$R:$R,MATCH($A37,'Valo FX'!$A:$A,0)),INDEX(Base!$U:$U,MATCH($A37,Base!$A:$A,0)),IF(HK$1=INDEX('Valo FX'!$R:$R,MATCH($A37,'Valo FX'!$A:$A,0)),INDEX(Base!$V:$V,MATCH($A37,Base!$A:$A,0)),0)))</f>
        <v>12.249840000000001</v>
      </c>
      <c r="HL37" s="21">
        <f>IF(HL$1&lt;INDEX('Valo FX'!$Q:$Q,MATCH($A37,'Valo FX'!$A:$A,0)),0,IF(HL$1&lt;INDEX('Valo FX'!$R:$R,MATCH($A37,'Valo FX'!$A:$A,0)),INDEX(Base!$U:$U,MATCH($A37,Base!$A:$A,0)),IF(HL$1=INDEX('Valo FX'!$R:$R,MATCH($A37,'Valo FX'!$A:$A,0)),INDEX(Base!$V:$V,MATCH($A37,Base!$A:$A,0)),0)))</f>
        <v>12.249840000000001</v>
      </c>
      <c r="HM37" s="21">
        <f>IF(HM$1&lt;INDEX('Valo FX'!$Q:$Q,MATCH($A37,'Valo FX'!$A:$A,0)),0,IF(HM$1&lt;INDEX('Valo FX'!$R:$R,MATCH($A37,'Valo FX'!$A:$A,0)),INDEX(Base!$U:$U,MATCH($A37,Base!$A:$A,0)),IF(HM$1=INDEX('Valo FX'!$R:$R,MATCH($A37,'Valo FX'!$A:$A,0)),INDEX(Base!$V:$V,MATCH($A37,Base!$A:$A,0)),0)))</f>
        <v>12.249840000000001</v>
      </c>
      <c r="HN37" s="21">
        <f>IF(HN$1&lt;INDEX('Valo FX'!$Q:$Q,MATCH($A37,'Valo FX'!$A:$A,0)),0,IF(HN$1&lt;INDEX('Valo FX'!$R:$R,MATCH($A37,'Valo FX'!$A:$A,0)),INDEX(Base!$U:$U,MATCH($A37,Base!$A:$A,0)),IF(HN$1=INDEX('Valo FX'!$R:$R,MATCH($A37,'Valo FX'!$A:$A,0)),INDEX(Base!$V:$V,MATCH($A37,Base!$A:$A,0)),0)))</f>
        <v>12.249840000000001</v>
      </c>
      <c r="HO37" s="21">
        <f>IF(HO$1&lt;INDEX('Valo FX'!$Q:$Q,MATCH($A37,'Valo FX'!$A:$A,0)),0,IF(HO$1&lt;INDEX('Valo FX'!$R:$R,MATCH($A37,'Valo FX'!$A:$A,0)),INDEX(Base!$U:$U,MATCH($A37,Base!$A:$A,0)),IF(HO$1=INDEX('Valo FX'!$R:$R,MATCH($A37,'Valo FX'!$A:$A,0)),INDEX(Base!$V:$V,MATCH($A37,Base!$A:$A,0)),0)))</f>
        <v>12.249840000000001</v>
      </c>
      <c r="HP37" s="21">
        <f>IF(HP$1&lt;INDEX('Valo FX'!$Q:$Q,MATCH($A37,'Valo FX'!$A:$A,0)),0,IF(HP$1&lt;INDEX('Valo FX'!$R:$R,MATCH($A37,'Valo FX'!$A:$A,0)),INDEX(Base!$U:$U,MATCH($A37,Base!$A:$A,0)),IF(HP$1=INDEX('Valo FX'!$R:$R,MATCH($A37,'Valo FX'!$A:$A,0)),INDEX(Base!$V:$V,MATCH($A37,Base!$A:$A,0)),0)))</f>
        <v>12.249840000000001</v>
      </c>
      <c r="HQ37" s="21">
        <f>IF(HQ$1&lt;INDEX('Valo FX'!$Q:$Q,MATCH($A37,'Valo FX'!$A:$A,0)),0,IF(HQ$1&lt;INDEX('Valo FX'!$R:$R,MATCH($A37,'Valo FX'!$A:$A,0)),INDEX(Base!$U:$U,MATCH($A37,Base!$A:$A,0)),IF(HQ$1=INDEX('Valo FX'!$R:$R,MATCH($A37,'Valo FX'!$A:$A,0)),INDEX(Base!$V:$V,MATCH($A37,Base!$A:$A,0)),0)))</f>
        <v>12.249840000000001</v>
      </c>
      <c r="HR37" s="21">
        <f>IF(HR$1&lt;INDEX('Valo FX'!$Q:$Q,MATCH($A37,'Valo FX'!$A:$A,0)),0,IF(HR$1&lt;INDEX('Valo FX'!$R:$R,MATCH($A37,'Valo FX'!$A:$A,0)),INDEX(Base!$U:$U,MATCH($A37,Base!$A:$A,0)),IF(HR$1=INDEX('Valo FX'!$R:$R,MATCH($A37,'Valo FX'!$A:$A,0)),INDEX(Base!$V:$V,MATCH($A37,Base!$A:$A,0)),0)))</f>
        <v>12.249840000000001</v>
      </c>
      <c r="HS37" s="21">
        <f>IF(HS$1&lt;INDEX('Valo FX'!$Q:$Q,MATCH($A37,'Valo FX'!$A:$A,0)),0,IF(HS$1&lt;INDEX('Valo FX'!$R:$R,MATCH($A37,'Valo FX'!$A:$A,0)),INDEX(Base!$U:$U,MATCH($A37,Base!$A:$A,0)),IF(HS$1=INDEX('Valo FX'!$R:$R,MATCH($A37,'Valo FX'!$A:$A,0)),INDEX(Base!$V:$V,MATCH($A37,Base!$A:$A,0)),0)))</f>
        <v>12.249840000000001</v>
      </c>
      <c r="HT37" s="21">
        <f>IF(HT$1&lt;INDEX('Valo FX'!$Q:$Q,MATCH($A37,'Valo FX'!$A:$A,0)),0,IF(HT$1&lt;INDEX('Valo FX'!$R:$R,MATCH($A37,'Valo FX'!$A:$A,0)),INDEX(Base!$U:$U,MATCH($A37,Base!$A:$A,0)),IF(HT$1=INDEX('Valo FX'!$R:$R,MATCH($A37,'Valo FX'!$A:$A,0)),INDEX(Base!$V:$V,MATCH($A37,Base!$A:$A,0)),0)))</f>
        <v>12.249840000000001</v>
      </c>
      <c r="HU37" s="21">
        <f>IF(HU$1&lt;INDEX('Valo FX'!$Q:$Q,MATCH($A37,'Valo FX'!$A:$A,0)),0,IF(HU$1&lt;INDEX('Valo FX'!$R:$R,MATCH($A37,'Valo FX'!$A:$A,0)),INDEX(Base!$U:$U,MATCH($A37,Base!$A:$A,0)),IF(HU$1=INDEX('Valo FX'!$R:$R,MATCH($A37,'Valo FX'!$A:$A,0)),INDEX(Base!$V:$V,MATCH($A37,Base!$A:$A,0)),0)))</f>
        <v>12.249840000000001</v>
      </c>
      <c r="HV37" s="21">
        <f>IF(HV$1&lt;INDEX('Valo FX'!$Q:$Q,MATCH($A37,'Valo FX'!$A:$A,0)),0,IF(HV$1&lt;INDEX('Valo FX'!$R:$R,MATCH($A37,'Valo FX'!$A:$A,0)),INDEX(Base!$U:$U,MATCH($A37,Base!$A:$A,0)),IF(HV$1=INDEX('Valo FX'!$R:$R,MATCH($A37,'Valo FX'!$A:$A,0)),INDEX(Base!$V:$V,MATCH($A37,Base!$A:$A,0)),0)))</f>
        <v>12.249840000000001</v>
      </c>
      <c r="HW37" s="21">
        <f>IF(HW$1&lt;INDEX('Valo FX'!$Q:$Q,MATCH($A37,'Valo FX'!$A:$A,0)),0,IF(HW$1&lt;INDEX('Valo FX'!$R:$R,MATCH($A37,'Valo FX'!$A:$A,0)),INDEX(Base!$U:$U,MATCH($A37,Base!$A:$A,0)),IF(HW$1=INDEX('Valo FX'!$R:$R,MATCH($A37,'Valo FX'!$A:$A,0)),INDEX(Base!$V:$V,MATCH($A37,Base!$A:$A,0)),0)))</f>
        <v>12.249840000000001</v>
      </c>
      <c r="HX37" s="21">
        <f>IF(HX$1&lt;INDEX('Valo FX'!$Q:$Q,MATCH($A37,'Valo FX'!$A:$A,0)),0,IF(HX$1&lt;INDEX('Valo FX'!$R:$R,MATCH($A37,'Valo FX'!$A:$A,0)),INDEX(Base!$U:$U,MATCH($A37,Base!$A:$A,0)),IF(HX$1=INDEX('Valo FX'!$R:$R,MATCH($A37,'Valo FX'!$A:$A,0)),INDEX(Base!$V:$V,MATCH($A37,Base!$A:$A,0)),0)))</f>
        <v>12.249840000000001</v>
      </c>
      <c r="HY37" s="21">
        <f>IF(HY$1&lt;INDEX('Valo FX'!$Q:$Q,MATCH($A37,'Valo FX'!$A:$A,0)),0,IF(HY$1&lt;INDEX('Valo FX'!$R:$R,MATCH($A37,'Valo FX'!$A:$A,0)),INDEX(Base!$U:$U,MATCH($A37,Base!$A:$A,0)),IF(HY$1=INDEX('Valo FX'!$R:$R,MATCH($A37,'Valo FX'!$A:$A,0)),INDEX(Base!$V:$V,MATCH($A37,Base!$A:$A,0)),0)))</f>
        <v>12.249840000000001</v>
      </c>
      <c r="HZ37" s="21">
        <f>IF(HZ$1&lt;INDEX('Valo FX'!$Q:$Q,MATCH($A37,'Valo FX'!$A:$A,0)),0,IF(HZ$1&lt;INDEX('Valo FX'!$R:$R,MATCH($A37,'Valo FX'!$A:$A,0)),INDEX(Base!$U:$U,MATCH($A37,Base!$A:$A,0)),IF(HZ$1=INDEX('Valo FX'!$R:$R,MATCH($A37,'Valo FX'!$A:$A,0)),INDEX(Base!$V:$V,MATCH($A37,Base!$A:$A,0)),0)))</f>
        <v>12.249840000000001</v>
      </c>
      <c r="IA37" s="21">
        <f>IF(IA$1&lt;INDEX('Valo FX'!$Q:$Q,MATCH($A37,'Valo FX'!$A:$A,0)),0,IF(IA$1&lt;INDEX('Valo FX'!$R:$R,MATCH($A37,'Valo FX'!$A:$A,0)),INDEX(Base!$U:$U,MATCH($A37,Base!$A:$A,0)),IF(IA$1=INDEX('Valo FX'!$R:$R,MATCH($A37,'Valo FX'!$A:$A,0)),INDEX(Base!$V:$V,MATCH($A37,Base!$A:$A,0)),0)))</f>
        <v>12.249840000000001</v>
      </c>
      <c r="IB37" s="21">
        <f>IF(IB$1&lt;INDEX('Valo FX'!$Q:$Q,MATCH($A37,'Valo FX'!$A:$A,0)),0,IF(IB$1&lt;INDEX('Valo FX'!$R:$R,MATCH($A37,'Valo FX'!$A:$A,0)),INDEX(Base!$U:$U,MATCH($A37,Base!$A:$A,0)),IF(IB$1=INDEX('Valo FX'!$R:$R,MATCH($A37,'Valo FX'!$A:$A,0)),INDEX(Base!$V:$V,MATCH($A37,Base!$A:$A,0)),0)))</f>
        <v>12.249840000000001</v>
      </c>
      <c r="IC37" s="21">
        <f>IF(IC$1&lt;INDEX('Valo FX'!$Q:$Q,MATCH($A37,'Valo FX'!$A:$A,0)),0,IF(IC$1&lt;INDEX('Valo FX'!$R:$R,MATCH($A37,'Valo FX'!$A:$A,0)),INDEX(Base!$U:$U,MATCH($A37,Base!$A:$A,0)),IF(IC$1=INDEX('Valo FX'!$R:$R,MATCH($A37,'Valo FX'!$A:$A,0)),INDEX(Base!$V:$V,MATCH($A37,Base!$A:$A,0)),0)))</f>
        <v>12.249840000000001</v>
      </c>
      <c r="ID37" s="21">
        <f>IF(ID$1&lt;INDEX('Valo FX'!$Q:$Q,MATCH($A37,'Valo FX'!$A:$A,0)),0,IF(ID$1&lt;INDEX('Valo FX'!$R:$R,MATCH($A37,'Valo FX'!$A:$A,0)),INDEX(Base!$U:$U,MATCH($A37,Base!$A:$A,0)),IF(ID$1=INDEX('Valo FX'!$R:$R,MATCH($A37,'Valo FX'!$A:$A,0)),INDEX(Base!$V:$V,MATCH($A37,Base!$A:$A,0)),0)))</f>
        <v>12.249840000000001</v>
      </c>
      <c r="IE37" s="21">
        <f>IF(IE$1&lt;INDEX('Valo FX'!$Q:$Q,MATCH($A37,'Valo FX'!$A:$A,0)),0,IF(IE$1&lt;INDEX('Valo FX'!$R:$R,MATCH($A37,'Valo FX'!$A:$A,0)),INDEX(Base!$U:$U,MATCH($A37,Base!$A:$A,0)),IF(IE$1=INDEX('Valo FX'!$R:$R,MATCH($A37,'Valo FX'!$A:$A,0)),INDEX(Base!$V:$V,MATCH($A37,Base!$A:$A,0)),0)))</f>
        <v>12.249840000000001</v>
      </c>
      <c r="IF37" s="21">
        <f>IF(IF$1&lt;INDEX('Valo FX'!$Q:$Q,MATCH($A37,'Valo FX'!$A:$A,0)),0,IF(IF$1&lt;INDEX('Valo FX'!$R:$R,MATCH($A37,'Valo FX'!$A:$A,0)),INDEX(Base!$U:$U,MATCH($A37,Base!$A:$A,0)),IF(IF$1=INDEX('Valo FX'!$R:$R,MATCH($A37,'Valo FX'!$A:$A,0)),INDEX(Base!$V:$V,MATCH($A37,Base!$A:$A,0)),0)))</f>
        <v>12.249840000000001</v>
      </c>
      <c r="IG37" s="21">
        <f>IF(IG$1&lt;INDEX('Valo FX'!$Q:$Q,MATCH($A37,'Valo FX'!$A:$A,0)),0,IF(IG$1&lt;INDEX('Valo FX'!$R:$R,MATCH($A37,'Valo FX'!$A:$A,0)),INDEX(Base!$U:$U,MATCH($A37,Base!$A:$A,0)),IF(IG$1=INDEX('Valo FX'!$R:$R,MATCH($A37,'Valo FX'!$A:$A,0)),INDEX(Base!$V:$V,MATCH($A37,Base!$A:$A,0)),0)))</f>
        <v>12.249840000000001</v>
      </c>
      <c r="IH37" s="21">
        <f>IF(IH$1&lt;INDEX('Valo FX'!$Q:$Q,MATCH($A37,'Valo FX'!$A:$A,0)),0,IF(IH$1&lt;INDEX('Valo FX'!$R:$R,MATCH($A37,'Valo FX'!$A:$A,0)),INDEX(Base!$U:$U,MATCH($A37,Base!$A:$A,0)),IF(IH$1=INDEX('Valo FX'!$R:$R,MATCH($A37,'Valo FX'!$A:$A,0)),INDEX(Base!$V:$V,MATCH($A37,Base!$A:$A,0)),0)))</f>
        <v>12.249840000000001</v>
      </c>
      <c r="II37" s="21">
        <f>IF(II$1&lt;INDEX('Valo FX'!$Q:$Q,MATCH($A37,'Valo FX'!$A:$A,0)),0,IF(II$1&lt;INDEX('Valo FX'!$R:$R,MATCH($A37,'Valo FX'!$A:$A,0)),INDEX(Base!$U:$U,MATCH($A37,Base!$A:$A,0)),IF(II$1=INDEX('Valo FX'!$R:$R,MATCH($A37,'Valo FX'!$A:$A,0)),INDEX(Base!$V:$V,MATCH($A37,Base!$A:$A,0)),0)))</f>
        <v>12.249840000000001</v>
      </c>
      <c r="IJ37" s="21">
        <f>IF(IJ$1&lt;INDEX('Valo FX'!$Q:$Q,MATCH($A37,'Valo FX'!$A:$A,0)),0,IF(IJ$1&lt;INDEX('Valo FX'!$R:$R,MATCH($A37,'Valo FX'!$A:$A,0)),INDEX(Base!$U:$U,MATCH($A37,Base!$A:$A,0)),IF(IJ$1=INDEX('Valo FX'!$R:$R,MATCH($A37,'Valo FX'!$A:$A,0)),INDEX(Base!$V:$V,MATCH($A37,Base!$A:$A,0)),0)))</f>
        <v>12.249840000000001</v>
      </c>
      <c r="IK37" s="21">
        <f>IF(IK$1&lt;INDEX('Valo FX'!$Q:$Q,MATCH($A37,'Valo FX'!$A:$A,0)),0,IF(IK$1&lt;INDEX('Valo FX'!$R:$R,MATCH($A37,'Valo FX'!$A:$A,0)),INDEX(Base!$U:$U,MATCH($A37,Base!$A:$A,0)),IF(IK$1=INDEX('Valo FX'!$R:$R,MATCH($A37,'Valo FX'!$A:$A,0)),INDEX(Base!$V:$V,MATCH($A37,Base!$A:$A,0)),0)))</f>
        <v>12.249840000000001</v>
      </c>
      <c r="IL37" s="21">
        <f>IF(IL$1&lt;INDEX('Valo FX'!$Q:$Q,MATCH($A37,'Valo FX'!$A:$A,0)),0,IF(IL$1&lt;INDEX('Valo FX'!$R:$R,MATCH($A37,'Valo FX'!$A:$A,0)),INDEX(Base!$U:$U,MATCH($A37,Base!$A:$A,0)),IF(IL$1=INDEX('Valo FX'!$R:$R,MATCH($A37,'Valo FX'!$A:$A,0)),INDEX(Base!$V:$V,MATCH($A37,Base!$A:$A,0)),0)))</f>
        <v>12.249840000000001</v>
      </c>
      <c r="IM37" s="21">
        <f>IF(IM$1&lt;INDEX('Valo FX'!$Q:$Q,MATCH($A37,'Valo FX'!$A:$A,0)),0,IF(IM$1&lt;INDEX('Valo FX'!$R:$R,MATCH($A37,'Valo FX'!$A:$A,0)),INDEX(Base!$U:$U,MATCH($A37,Base!$A:$A,0)),IF(IM$1=INDEX('Valo FX'!$R:$R,MATCH($A37,'Valo FX'!$A:$A,0)),INDEX(Base!$V:$V,MATCH($A37,Base!$A:$A,0)),0)))</f>
        <v>12.249840000000001</v>
      </c>
      <c r="IN37" s="21">
        <f>IF(IN$1&lt;INDEX('Valo FX'!$Q:$Q,MATCH($A37,'Valo FX'!$A:$A,0)),0,IF(IN$1&lt;INDEX('Valo FX'!$R:$R,MATCH($A37,'Valo FX'!$A:$A,0)),INDEX(Base!$U:$U,MATCH($A37,Base!$A:$A,0)),IF(IN$1=INDEX('Valo FX'!$R:$R,MATCH($A37,'Valo FX'!$A:$A,0)),INDEX(Base!$V:$V,MATCH($A37,Base!$A:$A,0)),0)))</f>
        <v>12.249840000000001</v>
      </c>
      <c r="IO37" s="21">
        <f>IF(IO$1&lt;INDEX('Valo FX'!$Q:$Q,MATCH($A37,'Valo FX'!$A:$A,0)),0,IF(IO$1&lt;INDEX('Valo FX'!$R:$R,MATCH($A37,'Valo FX'!$A:$A,0)),INDEX(Base!$U:$U,MATCH($A37,Base!$A:$A,0)),IF(IO$1=INDEX('Valo FX'!$R:$R,MATCH($A37,'Valo FX'!$A:$A,0)),INDEX(Base!$V:$V,MATCH($A37,Base!$A:$A,0)),0)))</f>
        <v>12.249840000000001</v>
      </c>
      <c r="IP37" s="21">
        <f>IF(IP$1&lt;INDEX('Valo FX'!$Q:$Q,MATCH($A37,'Valo FX'!$A:$A,0)),0,IF(IP$1&lt;INDEX('Valo FX'!$R:$R,MATCH($A37,'Valo FX'!$A:$A,0)),INDEX(Base!$U:$U,MATCH($A37,Base!$A:$A,0)),IF(IP$1=INDEX('Valo FX'!$R:$R,MATCH($A37,'Valo FX'!$A:$A,0)),INDEX(Base!$V:$V,MATCH($A37,Base!$A:$A,0)),0)))</f>
        <v>12.249840000000001</v>
      </c>
      <c r="IQ37" s="21">
        <f>IF(IQ$1&lt;INDEX('Valo FX'!$Q:$Q,MATCH($A37,'Valo FX'!$A:$A,0)),0,IF(IQ$1&lt;INDEX('Valo FX'!$R:$R,MATCH($A37,'Valo FX'!$A:$A,0)),INDEX(Base!$U:$U,MATCH($A37,Base!$A:$A,0)),IF(IQ$1=INDEX('Valo FX'!$R:$R,MATCH($A37,'Valo FX'!$A:$A,0)),INDEX(Base!$V:$V,MATCH($A37,Base!$A:$A,0)),0)))</f>
        <v>12.249840000000001</v>
      </c>
      <c r="IR37" s="21">
        <f>IF(IR$1&lt;INDEX('Valo FX'!$Q:$Q,MATCH($A37,'Valo FX'!$A:$A,0)),0,IF(IR$1&lt;INDEX('Valo FX'!$R:$R,MATCH($A37,'Valo FX'!$A:$A,0)),INDEX(Base!$U:$U,MATCH($A37,Base!$A:$A,0)),IF(IR$1=INDEX('Valo FX'!$R:$R,MATCH($A37,'Valo FX'!$A:$A,0)),INDEX(Base!$V:$V,MATCH($A37,Base!$A:$A,0)),0)))</f>
        <v>12.249840000000001</v>
      </c>
      <c r="IS37" s="21">
        <f>IF(IS$1&lt;INDEX('Valo FX'!$Q:$Q,MATCH($A37,'Valo FX'!$A:$A,0)),0,IF(IS$1&lt;INDEX('Valo FX'!$R:$R,MATCH($A37,'Valo FX'!$A:$A,0)),INDEX(Base!$U:$U,MATCH($A37,Base!$A:$A,0)),IF(IS$1=INDEX('Valo FX'!$R:$R,MATCH($A37,'Valo FX'!$A:$A,0)),INDEX(Base!$V:$V,MATCH($A37,Base!$A:$A,0)),0)))</f>
        <v>12.249840000000001</v>
      </c>
      <c r="IT37" s="21">
        <f>IF(IT$1&lt;INDEX('Valo FX'!$Q:$Q,MATCH($A37,'Valo FX'!$A:$A,0)),0,IF(IT$1&lt;INDEX('Valo FX'!$R:$R,MATCH($A37,'Valo FX'!$A:$A,0)),INDEX(Base!$U:$U,MATCH($A37,Base!$A:$A,0)),IF(IT$1=INDEX('Valo FX'!$R:$R,MATCH($A37,'Valo FX'!$A:$A,0)),INDEX(Base!$V:$V,MATCH($A37,Base!$A:$A,0)),0)))</f>
        <v>12.249840000000001</v>
      </c>
      <c r="IU37" s="21">
        <f>IF(IU$1&lt;INDEX('Valo FX'!$Q:$Q,MATCH($A37,'Valo FX'!$A:$A,0)),0,IF(IU$1&lt;INDEX('Valo FX'!$R:$R,MATCH($A37,'Valo FX'!$A:$A,0)),INDEX(Base!$U:$U,MATCH($A37,Base!$A:$A,0)),IF(IU$1=INDEX('Valo FX'!$R:$R,MATCH($A37,'Valo FX'!$A:$A,0)),INDEX(Base!$V:$V,MATCH($A37,Base!$A:$A,0)),0)))</f>
        <v>12.249840000000001</v>
      </c>
      <c r="IV37" s="21">
        <f>IF(IV$1&lt;INDEX('Valo FX'!$Q:$Q,MATCH($A37,'Valo FX'!$A:$A,0)),0,IF(IV$1&lt;INDEX('Valo FX'!$R:$R,MATCH($A37,'Valo FX'!$A:$A,0)),INDEX(Base!$U:$U,MATCH($A37,Base!$A:$A,0)),IF(IV$1=INDEX('Valo FX'!$R:$R,MATCH($A37,'Valo FX'!$A:$A,0)),INDEX(Base!$V:$V,MATCH($A37,Base!$A:$A,0)),0)))</f>
        <v>12.249840000000001</v>
      </c>
      <c r="IW37" s="21">
        <f>IF(IW$1&lt;INDEX('Valo FX'!$Q:$Q,MATCH($A37,'Valo FX'!$A:$A,0)),0,IF(IW$1&lt;INDEX('Valo FX'!$R:$R,MATCH($A37,'Valo FX'!$A:$A,0)),INDEX(Base!$U:$U,MATCH($A37,Base!$A:$A,0)),IF(IW$1=INDEX('Valo FX'!$R:$R,MATCH($A37,'Valo FX'!$A:$A,0)),INDEX(Base!$V:$V,MATCH($A37,Base!$A:$A,0)),0)))</f>
        <v>12.249840000000001</v>
      </c>
      <c r="IX37" s="21">
        <f>IF(IX$1&lt;INDEX('Valo FX'!$Q:$Q,MATCH($A37,'Valo FX'!$A:$A,0)),0,IF(IX$1&lt;INDEX('Valo FX'!$R:$R,MATCH($A37,'Valo FX'!$A:$A,0)),INDEX(Base!$U:$U,MATCH($A37,Base!$A:$A,0)),IF(IX$1=INDEX('Valo FX'!$R:$R,MATCH($A37,'Valo FX'!$A:$A,0)),INDEX(Base!$V:$V,MATCH($A37,Base!$A:$A,0)),0)))</f>
        <v>12.249840000000001</v>
      </c>
      <c r="IY37" s="21">
        <f>IF(IY$1&lt;INDEX('Valo FX'!$Q:$Q,MATCH($A37,'Valo FX'!$A:$A,0)),0,IF(IY$1&lt;INDEX('Valo FX'!$R:$R,MATCH($A37,'Valo FX'!$A:$A,0)),INDEX(Base!$U:$U,MATCH($A37,Base!$A:$A,0)),IF(IY$1=INDEX('Valo FX'!$R:$R,MATCH($A37,'Valo FX'!$A:$A,0)),INDEX(Base!$V:$V,MATCH($A37,Base!$A:$A,0)),0)))</f>
        <v>12.249840000000001</v>
      </c>
      <c r="IZ37" s="21">
        <f>IF(IZ$1&lt;INDEX('Valo FX'!$Q:$Q,MATCH($A37,'Valo FX'!$A:$A,0)),0,IF(IZ$1&lt;INDEX('Valo FX'!$R:$R,MATCH($A37,'Valo FX'!$A:$A,0)),INDEX(Base!$U:$U,MATCH($A37,Base!$A:$A,0)),IF(IZ$1=INDEX('Valo FX'!$R:$R,MATCH($A37,'Valo FX'!$A:$A,0)),INDEX(Base!$V:$V,MATCH($A37,Base!$A:$A,0)),0)))</f>
        <v>12.249840000000001</v>
      </c>
      <c r="JA37" s="21">
        <f>IF(JA$1&lt;INDEX('Valo FX'!$Q:$Q,MATCH($A37,'Valo FX'!$A:$A,0)),0,IF(JA$1&lt;INDEX('Valo FX'!$R:$R,MATCH($A37,'Valo FX'!$A:$A,0)),INDEX(Base!$U:$U,MATCH($A37,Base!$A:$A,0)),IF(JA$1=INDEX('Valo FX'!$R:$R,MATCH($A37,'Valo FX'!$A:$A,0)),INDEX(Base!$V:$V,MATCH($A37,Base!$A:$A,0)),0)))</f>
        <v>12.249840000000001</v>
      </c>
      <c r="JB37" s="21">
        <f>IF(JB$1&lt;INDEX('Valo FX'!$Q:$Q,MATCH($A37,'Valo FX'!$A:$A,0)),0,IF(JB$1&lt;INDEX('Valo FX'!$R:$R,MATCH($A37,'Valo FX'!$A:$A,0)),INDEX(Base!$U:$U,MATCH($A37,Base!$A:$A,0)),IF(JB$1=INDEX('Valo FX'!$R:$R,MATCH($A37,'Valo FX'!$A:$A,0)),INDEX(Base!$V:$V,MATCH($A37,Base!$A:$A,0)),0)))</f>
        <v>12.249840000000001</v>
      </c>
      <c r="JC37" s="21">
        <f>IF(JC$1&lt;INDEX('Valo FX'!$Q:$Q,MATCH($A37,'Valo FX'!$A:$A,0)),0,IF(JC$1&lt;INDEX('Valo FX'!$R:$R,MATCH($A37,'Valo FX'!$A:$A,0)),INDEX(Base!$U:$U,MATCH($A37,Base!$A:$A,0)),IF(JC$1=INDEX('Valo FX'!$R:$R,MATCH($A37,'Valo FX'!$A:$A,0)),INDEX(Base!$V:$V,MATCH($A37,Base!$A:$A,0)),0)))</f>
        <v>12.249840000000001</v>
      </c>
      <c r="JD37" s="21">
        <f>IF(JD$1&lt;INDEX('Valo FX'!$Q:$Q,MATCH($A37,'Valo FX'!$A:$A,0)),0,IF(JD$1&lt;INDEX('Valo FX'!$R:$R,MATCH($A37,'Valo FX'!$A:$A,0)),INDEX(Base!$U:$U,MATCH($A37,Base!$A:$A,0)),IF(JD$1=INDEX('Valo FX'!$R:$R,MATCH($A37,'Valo FX'!$A:$A,0)),INDEX(Base!$V:$V,MATCH($A37,Base!$A:$A,0)),0)))</f>
        <v>12.249840000000001</v>
      </c>
      <c r="JE37" s="21">
        <f>IF(JE$1&lt;INDEX('Valo FX'!$Q:$Q,MATCH($A37,'Valo FX'!$A:$A,0)),0,IF(JE$1&lt;INDEX('Valo FX'!$R:$R,MATCH($A37,'Valo FX'!$A:$A,0)),INDEX(Base!$U:$U,MATCH($A37,Base!$A:$A,0)),IF(JE$1=INDEX('Valo FX'!$R:$R,MATCH($A37,'Valo FX'!$A:$A,0)),INDEX(Base!$V:$V,MATCH($A37,Base!$A:$A,0)),0)))</f>
        <v>12.249840000000001</v>
      </c>
      <c r="JF37" s="21">
        <f>IF(JF$1&lt;INDEX('Valo FX'!$Q:$Q,MATCH($A37,'Valo FX'!$A:$A,0)),0,IF(JF$1&lt;INDEX('Valo FX'!$R:$R,MATCH($A37,'Valo FX'!$A:$A,0)),INDEX(Base!$U:$U,MATCH($A37,Base!$A:$A,0)),IF(JF$1=INDEX('Valo FX'!$R:$R,MATCH($A37,'Valo FX'!$A:$A,0)),INDEX(Base!$V:$V,MATCH($A37,Base!$A:$A,0)),0)))</f>
        <v>12.249840000000001</v>
      </c>
      <c r="JG37" s="21">
        <f>IF(JG$1&lt;INDEX('Valo FX'!$Q:$Q,MATCH($A37,'Valo FX'!$A:$A,0)),0,IF(JG$1&lt;INDEX('Valo FX'!$R:$R,MATCH($A37,'Valo FX'!$A:$A,0)),INDEX(Base!$U:$U,MATCH($A37,Base!$A:$A,0)),IF(JG$1=INDEX('Valo FX'!$R:$R,MATCH($A37,'Valo FX'!$A:$A,0)),INDEX(Base!$V:$V,MATCH($A37,Base!$A:$A,0)),0)))</f>
        <v>12.249840000000001</v>
      </c>
      <c r="JH37" s="21">
        <f>IF(JH$1&lt;INDEX('Valo FX'!$Q:$Q,MATCH($A37,'Valo FX'!$A:$A,0)),0,IF(JH$1&lt;INDEX('Valo FX'!$R:$R,MATCH($A37,'Valo FX'!$A:$A,0)),INDEX(Base!$U:$U,MATCH($A37,Base!$A:$A,0)),IF(JH$1=INDEX('Valo FX'!$R:$R,MATCH($A37,'Valo FX'!$A:$A,0)),INDEX(Base!$V:$V,MATCH($A37,Base!$A:$A,0)),0)))</f>
        <v>12.249840000000001</v>
      </c>
      <c r="JI37" s="21">
        <f>IF(JI$1&lt;INDEX('Valo FX'!$Q:$Q,MATCH($A37,'Valo FX'!$A:$A,0)),0,IF(JI$1&lt;INDEX('Valo FX'!$R:$R,MATCH($A37,'Valo FX'!$A:$A,0)),INDEX(Base!$U:$U,MATCH($A37,Base!$A:$A,0)),IF(JI$1=INDEX('Valo FX'!$R:$R,MATCH($A37,'Valo FX'!$A:$A,0)),INDEX(Base!$V:$V,MATCH($A37,Base!$A:$A,0)),0)))</f>
        <v>12.249840000000001</v>
      </c>
      <c r="JJ37" s="21">
        <f>IF(JJ$1&lt;INDEX('Valo FX'!$Q:$Q,MATCH($A37,'Valo FX'!$A:$A,0)),0,IF(JJ$1&lt;INDEX('Valo FX'!$R:$R,MATCH($A37,'Valo FX'!$A:$A,0)),INDEX(Base!$U:$U,MATCH($A37,Base!$A:$A,0)),IF(JJ$1=INDEX('Valo FX'!$R:$R,MATCH($A37,'Valo FX'!$A:$A,0)),INDEX(Base!$V:$V,MATCH($A37,Base!$A:$A,0)),0)))</f>
        <v>12.249840000000001</v>
      </c>
      <c r="JK37" s="21">
        <f>IF(JK$1&lt;INDEX('Valo FX'!$Q:$Q,MATCH($A37,'Valo FX'!$A:$A,0)),0,IF(JK$1&lt;INDEX('Valo FX'!$R:$R,MATCH($A37,'Valo FX'!$A:$A,0)),INDEX(Base!$U:$U,MATCH($A37,Base!$A:$A,0)),IF(JK$1=INDEX('Valo FX'!$R:$R,MATCH($A37,'Valo FX'!$A:$A,0)),INDEX(Base!$V:$V,MATCH($A37,Base!$A:$A,0)),0)))</f>
        <v>12.249840000000001</v>
      </c>
      <c r="JL37" s="21">
        <f>IF(JL$1&lt;INDEX('Valo FX'!$Q:$Q,MATCH($A37,'Valo FX'!$A:$A,0)),0,IF(JL$1&lt;INDEX('Valo FX'!$R:$R,MATCH($A37,'Valo FX'!$A:$A,0)),INDEX(Base!$U:$U,MATCH($A37,Base!$A:$A,0)),IF(JL$1=INDEX('Valo FX'!$R:$R,MATCH($A37,'Valo FX'!$A:$A,0)),INDEX(Base!$V:$V,MATCH($A37,Base!$A:$A,0)),0)))</f>
        <v>12.249840000000001</v>
      </c>
      <c r="JM37" s="21">
        <f>IF(JM$1&lt;INDEX('Valo FX'!$Q:$Q,MATCH($A37,'Valo FX'!$A:$A,0)),0,IF(JM$1&lt;INDEX('Valo FX'!$R:$R,MATCH($A37,'Valo FX'!$A:$A,0)),INDEX(Base!$U:$U,MATCH($A37,Base!$A:$A,0)),IF(JM$1=INDEX('Valo FX'!$R:$R,MATCH($A37,'Valo FX'!$A:$A,0)),INDEX(Base!$V:$V,MATCH($A37,Base!$A:$A,0)),0)))</f>
        <v>12.249840000000001</v>
      </c>
      <c r="JN37" s="21">
        <f>IF(JN$1&lt;INDEX('Valo FX'!$Q:$Q,MATCH($A37,'Valo FX'!$A:$A,0)),0,IF(JN$1&lt;INDEX('Valo FX'!$R:$R,MATCH($A37,'Valo FX'!$A:$A,0)),INDEX(Base!$U:$U,MATCH($A37,Base!$A:$A,0)),IF(JN$1=INDEX('Valo FX'!$R:$R,MATCH($A37,'Valo FX'!$A:$A,0)),INDEX(Base!$V:$V,MATCH($A37,Base!$A:$A,0)),0)))</f>
        <v>12.249840000000001</v>
      </c>
      <c r="JO37" s="21">
        <f>IF(JO$1&lt;INDEX('Valo FX'!$Q:$Q,MATCH($A37,'Valo FX'!$A:$A,0)),0,IF(JO$1&lt;INDEX('Valo FX'!$R:$R,MATCH($A37,'Valo FX'!$A:$A,0)),INDEX(Base!$U:$U,MATCH($A37,Base!$A:$A,0)),IF(JO$1=INDEX('Valo FX'!$R:$R,MATCH($A37,'Valo FX'!$A:$A,0)),INDEX(Base!$V:$V,MATCH($A37,Base!$A:$A,0)),0)))</f>
        <v>12.249840000000001</v>
      </c>
      <c r="JP37" s="21">
        <f>IF(JP$1&lt;INDEX('Valo FX'!$Q:$Q,MATCH($A37,'Valo FX'!$A:$A,0)),0,IF(JP$1&lt;INDEX('Valo FX'!$R:$R,MATCH($A37,'Valo FX'!$A:$A,0)),INDEX(Base!$U:$U,MATCH($A37,Base!$A:$A,0)),IF(JP$1=INDEX('Valo FX'!$R:$R,MATCH($A37,'Valo FX'!$A:$A,0)),INDEX(Base!$V:$V,MATCH($A37,Base!$A:$A,0)),0)))</f>
        <v>12.249840000000001</v>
      </c>
      <c r="JQ37" s="21">
        <f>IF(JQ$1&lt;INDEX('Valo FX'!$Q:$Q,MATCH($A37,'Valo FX'!$A:$A,0)),0,IF(JQ$1&lt;INDEX('Valo FX'!$R:$R,MATCH($A37,'Valo FX'!$A:$A,0)),INDEX(Base!$U:$U,MATCH($A37,Base!$A:$A,0)),IF(JQ$1=INDEX('Valo FX'!$R:$R,MATCH($A37,'Valo FX'!$A:$A,0)),INDEX(Base!$V:$V,MATCH($A37,Base!$A:$A,0)),0)))</f>
        <v>12.249840000000001</v>
      </c>
      <c r="JR37" s="21">
        <f>IF(JR$1&lt;INDEX('Valo FX'!$Q:$Q,MATCH($A37,'Valo FX'!$A:$A,0)),0,IF(JR$1&lt;INDEX('Valo FX'!$R:$R,MATCH($A37,'Valo FX'!$A:$A,0)),INDEX(Base!$U:$U,MATCH($A37,Base!$A:$A,0)),IF(JR$1=INDEX('Valo FX'!$R:$R,MATCH($A37,'Valo FX'!$A:$A,0)),INDEX(Base!$V:$V,MATCH($A37,Base!$A:$A,0)),0)))</f>
        <v>12.249840000000001</v>
      </c>
      <c r="JS37" s="21">
        <f>IF(JS$1&lt;INDEX('Valo FX'!$Q:$Q,MATCH($A37,'Valo FX'!$A:$A,0)),0,IF(JS$1&lt;INDEX('Valo FX'!$R:$R,MATCH($A37,'Valo FX'!$A:$A,0)),INDEX(Base!$U:$U,MATCH($A37,Base!$A:$A,0)),IF(JS$1=INDEX('Valo FX'!$R:$R,MATCH($A37,'Valo FX'!$A:$A,0)),INDEX(Base!$V:$V,MATCH($A37,Base!$A:$A,0)),0)))</f>
        <v>12.249840000000001</v>
      </c>
      <c r="JT37" s="21">
        <f>IF(JT$1&lt;INDEX('Valo FX'!$Q:$Q,MATCH($A37,'Valo FX'!$A:$A,0)),0,IF(JT$1&lt;INDEX('Valo FX'!$R:$R,MATCH($A37,'Valo FX'!$A:$A,0)),INDEX(Base!$U:$U,MATCH($A37,Base!$A:$A,0)),IF(JT$1=INDEX('Valo FX'!$R:$R,MATCH($A37,'Valo FX'!$A:$A,0)),INDEX(Base!$V:$V,MATCH($A37,Base!$A:$A,0)),0)))</f>
        <v>12.249840000000001</v>
      </c>
      <c r="JU37" s="21">
        <f>IF(JU$1&lt;INDEX('Valo FX'!$Q:$Q,MATCH($A37,'Valo FX'!$A:$A,0)),0,IF(JU$1&lt;INDEX('Valo FX'!$R:$R,MATCH($A37,'Valo FX'!$A:$A,0)),INDEX(Base!$U:$U,MATCH($A37,Base!$A:$A,0)),IF(JU$1=INDEX('Valo FX'!$R:$R,MATCH($A37,'Valo FX'!$A:$A,0)),INDEX(Base!$V:$V,MATCH($A37,Base!$A:$A,0)),0)))</f>
        <v>12.249840000000001</v>
      </c>
      <c r="JV37" s="21">
        <f>IF(JV$1&lt;INDEX('Valo FX'!$Q:$Q,MATCH($A37,'Valo FX'!$A:$A,0)),0,IF(JV$1&lt;INDEX('Valo FX'!$R:$R,MATCH($A37,'Valo FX'!$A:$A,0)),INDEX(Base!$U:$U,MATCH($A37,Base!$A:$A,0)),IF(JV$1=INDEX('Valo FX'!$R:$R,MATCH($A37,'Valo FX'!$A:$A,0)),INDEX(Base!$V:$V,MATCH($A37,Base!$A:$A,0)),0)))</f>
        <v>12.249840000000001</v>
      </c>
      <c r="JW37" s="21">
        <f>IF(JW$1&lt;INDEX('Valo FX'!$Q:$Q,MATCH($A37,'Valo FX'!$A:$A,0)),0,IF(JW$1&lt;INDEX('Valo FX'!$R:$R,MATCH($A37,'Valo FX'!$A:$A,0)),INDEX(Base!$U:$U,MATCH($A37,Base!$A:$A,0)),IF(JW$1=INDEX('Valo FX'!$R:$R,MATCH($A37,'Valo FX'!$A:$A,0)),INDEX(Base!$V:$V,MATCH($A37,Base!$A:$A,0)),0)))</f>
        <v>12.249840000000001</v>
      </c>
      <c r="JX37" s="21">
        <f>IF(JX$1&lt;INDEX('Valo FX'!$Q:$Q,MATCH($A37,'Valo FX'!$A:$A,0)),0,IF(JX$1&lt;INDEX('Valo FX'!$R:$R,MATCH($A37,'Valo FX'!$A:$A,0)),INDEX(Base!$U:$U,MATCH($A37,Base!$A:$A,0)),IF(JX$1=INDEX('Valo FX'!$R:$R,MATCH($A37,'Valo FX'!$A:$A,0)),INDEX(Base!$V:$V,MATCH($A37,Base!$A:$A,0)),0)))</f>
        <v>12.249840000000001</v>
      </c>
      <c r="JY37" s="21">
        <f>IF(JY$1&lt;INDEX('Valo FX'!$Q:$Q,MATCH($A37,'Valo FX'!$A:$A,0)),0,IF(JY$1&lt;INDEX('Valo FX'!$R:$R,MATCH($A37,'Valo FX'!$A:$A,0)),INDEX(Base!$U:$U,MATCH($A37,Base!$A:$A,0)),IF(JY$1=INDEX('Valo FX'!$R:$R,MATCH($A37,'Valo FX'!$A:$A,0)),INDEX(Base!$V:$V,MATCH($A37,Base!$A:$A,0)),0)))</f>
        <v>12.249840000000001</v>
      </c>
      <c r="JZ37" s="21">
        <f>IF(JZ$1&lt;INDEX('Valo FX'!$Q:$Q,MATCH($A37,'Valo FX'!$A:$A,0)),0,IF(JZ$1&lt;INDEX('Valo FX'!$R:$R,MATCH($A37,'Valo FX'!$A:$A,0)),INDEX(Base!$U:$U,MATCH($A37,Base!$A:$A,0)),IF(JZ$1=INDEX('Valo FX'!$R:$R,MATCH($A37,'Valo FX'!$A:$A,0)),INDEX(Base!$V:$V,MATCH($A37,Base!$A:$A,0)),0)))</f>
        <v>12.249840000000001</v>
      </c>
      <c r="KA37" s="21">
        <f>IF(KA$1&lt;INDEX('Valo FX'!$Q:$Q,MATCH($A37,'Valo FX'!$A:$A,0)),0,IF(KA$1&lt;INDEX('Valo FX'!$R:$R,MATCH($A37,'Valo FX'!$A:$A,0)),INDEX(Base!$U:$U,MATCH($A37,Base!$A:$A,0)),IF(KA$1=INDEX('Valo FX'!$R:$R,MATCH($A37,'Valo FX'!$A:$A,0)),INDEX(Base!$V:$V,MATCH($A37,Base!$A:$A,0)),0)))</f>
        <v>12.249840000000001</v>
      </c>
      <c r="KB37" s="21">
        <f>IF(KB$1&lt;INDEX('Valo FX'!$Q:$Q,MATCH($A37,'Valo FX'!$A:$A,0)),0,IF(KB$1&lt;INDEX('Valo FX'!$R:$R,MATCH($A37,'Valo FX'!$A:$A,0)),INDEX(Base!$U:$U,MATCH($A37,Base!$A:$A,0)),IF(KB$1=INDEX('Valo FX'!$R:$R,MATCH($A37,'Valo FX'!$A:$A,0)),INDEX(Base!$V:$V,MATCH($A37,Base!$A:$A,0)),0)))</f>
        <v>12.249840000000001</v>
      </c>
      <c r="KC37" s="21">
        <f>IF(KC$1&lt;INDEX('Valo FX'!$Q:$Q,MATCH($A37,'Valo FX'!$A:$A,0)),0,IF(KC$1&lt;INDEX('Valo FX'!$R:$R,MATCH($A37,'Valo FX'!$A:$A,0)),INDEX(Base!$U:$U,MATCH($A37,Base!$A:$A,0)),IF(KC$1=INDEX('Valo FX'!$R:$R,MATCH($A37,'Valo FX'!$A:$A,0)),INDEX(Base!$V:$V,MATCH($A37,Base!$A:$A,0)),0)))</f>
        <v>12.249840000000001</v>
      </c>
      <c r="KD37" s="21">
        <f>IF(KD$1&lt;INDEX('Valo FX'!$Q:$Q,MATCH($A37,'Valo FX'!$A:$A,0)),0,IF(KD$1&lt;INDEX('Valo FX'!$R:$R,MATCH($A37,'Valo FX'!$A:$A,0)),INDEX(Base!$U:$U,MATCH($A37,Base!$A:$A,0)),IF(KD$1=INDEX('Valo FX'!$R:$R,MATCH($A37,'Valo FX'!$A:$A,0)),INDEX(Base!$V:$V,MATCH($A37,Base!$A:$A,0)),0)))</f>
        <v>12.249840000000001</v>
      </c>
      <c r="KE37" s="21">
        <f>IF(KE$1&lt;INDEX('Valo FX'!$Q:$Q,MATCH($A37,'Valo FX'!$A:$A,0)),0,IF(KE$1&lt;INDEX('Valo FX'!$R:$R,MATCH($A37,'Valo FX'!$A:$A,0)),INDEX(Base!$U:$U,MATCH($A37,Base!$A:$A,0)),IF(KE$1=INDEX('Valo FX'!$R:$R,MATCH($A37,'Valo FX'!$A:$A,0)),INDEX(Base!$V:$V,MATCH($A37,Base!$A:$A,0)),0)))</f>
        <v>12.249840000000001</v>
      </c>
      <c r="KF37" s="21">
        <f>IF(KF$1&lt;INDEX('Valo FX'!$Q:$Q,MATCH($A37,'Valo FX'!$A:$A,0)),0,IF(KF$1&lt;INDEX('Valo FX'!$R:$R,MATCH($A37,'Valo FX'!$A:$A,0)),INDEX(Base!$U:$U,MATCH($A37,Base!$A:$A,0)),IF(KF$1=INDEX('Valo FX'!$R:$R,MATCH($A37,'Valo FX'!$A:$A,0)),INDEX(Base!$V:$V,MATCH($A37,Base!$A:$A,0)),0)))</f>
        <v>12.249840000000001</v>
      </c>
      <c r="KG37" s="21">
        <f>IF(KG$1&lt;INDEX('Valo FX'!$Q:$Q,MATCH($A37,'Valo FX'!$A:$A,0)),0,IF(KG$1&lt;INDEX('Valo FX'!$R:$R,MATCH($A37,'Valo FX'!$A:$A,0)),INDEX(Base!$U:$U,MATCH($A37,Base!$A:$A,0)),IF(KG$1=INDEX('Valo FX'!$R:$R,MATCH($A37,'Valo FX'!$A:$A,0)),INDEX(Base!$V:$V,MATCH($A37,Base!$A:$A,0)),0)))</f>
        <v>12.249840000000001</v>
      </c>
      <c r="KH37" s="21">
        <f>IF(KH$1&lt;INDEX('Valo FX'!$Q:$Q,MATCH($A37,'Valo FX'!$A:$A,0)),0,IF(KH$1&lt;INDEX('Valo FX'!$R:$R,MATCH($A37,'Valo FX'!$A:$A,0)),INDEX(Base!$U:$U,MATCH($A37,Base!$A:$A,0)),IF(KH$1=INDEX('Valo FX'!$R:$R,MATCH($A37,'Valo FX'!$A:$A,0)),INDEX(Base!$V:$V,MATCH($A37,Base!$A:$A,0)),0)))</f>
        <v>12.249840000000001</v>
      </c>
      <c r="KI37" s="21">
        <f>IF(KI$1&lt;INDEX('Valo FX'!$Q:$Q,MATCH($A37,'Valo FX'!$A:$A,0)),0,IF(KI$1&lt;INDEX('Valo FX'!$R:$R,MATCH($A37,'Valo FX'!$A:$A,0)),INDEX(Base!$U:$U,MATCH($A37,Base!$A:$A,0)),IF(KI$1=INDEX('Valo FX'!$R:$R,MATCH($A37,'Valo FX'!$A:$A,0)),INDEX(Base!$V:$V,MATCH($A37,Base!$A:$A,0)),0)))</f>
        <v>12.249840000000001</v>
      </c>
      <c r="KJ37" s="21">
        <f>IF(KJ$1&lt;INDEX('Valo FX'!$Q:$Q,MATCH($A37,'Valo FX'!$A:$A,0)),0,IF(KJ$1&lt;INDEX('Valo FX'!$R:$R,MATCH($A37,'Valo FX'!$A:$A,0)),INDEX(Base!$U:$U,MATCH($A37,Base!$A:$A,0)),IF(KJ$1=INDEX('Valo FX'!$R:$R,MATCH($A37,'Valo FX'!$A:$A,0)),INDEX(Base!$V:$V,MATCH($A37,Base!$A:$A,0)),0)))</f>
        <v>12.249840000000001</v>
      </c>
      <c r="KK37" s="21">
        <f>IF(KK$1&lt;INDEX('Valo FX'!$Q:$Q,MATCH($A37,'Valo FX'!$A:$A,0)),0,IF(KK$1&lt;INDEX('Valo FX'!$R:$R,MATCH($A37,'Valo FX'!$A:$A,0)),INDEX(Base!$U:$U,MATCH($A37,Base!$A:$A,0)),IF(KK$1=INDEX('Valo FX'!$R:$R,MATCH($A37,'Valo FX'!$A:$A,0)),INDEX(Base!$V:$V,MATCH($A37,Base!$A:$A,0)),0)))</f>
        <v>12.249840000000001</v>
      </c>
      <c r="KL37" s="21">
        <f>IF(KL$1&lt;INDEX('Valo FX'!$Q:$Q,MATCH($A37,'Valo FX'!$A:$A,0)),0,IF(KL$1&lt;INDEX('Valo FX'!$R:$R,MATCH($A37,'Valo FX'!$A:$A,0)),INDEX(Base!$U:$U,MATCH($A37,Base!$A:$A,0)),IF(KL$1=INDEX('Valo FX'!$R:$R,MATCH($A37,'Valo FX'!$A:$A,0)),INDEX(Base!$V:$V,MATCH($A37,Base!$A:$A,0)),0)))</f>
        <v>12.249840000000001</v>
      </c>
      <c r="KM37" s="21">
        <f>IF(KM$1&lt;INDEX('Valo FX'!$Q:$Q,MATCH($A37,'Valo FX'!$A:$A,0)),0,IF(KM$1&lt;INDEX('Valo FX'!$R:$R,MATCH($A37,'Valo FX'!$A:$A,0)),INDEX(Base!$U:$U,MATCH($A37,Base!$A:$A,0)),IF(KM$1=INDEX('Valo FX'!$R:$R,MATCH($A37,'Valo FX'!$A:$A,0)),INDEX(Base!$V:$V,MATCH($A37,Base!$A:$A,0)),0)))</f>
        <v>12.249840000000001</v>
      </c>
      <c r="KN37" s="21">
        <f>IF(KN$1&lt;INDEX('Valo FX'!$Q:$Q,MATCH($A37,'Valo FX'!$A:$A,0)),0,IF(KN$1&lt;INDEX('Valo FX'!$R:$R,MATCH($A37,'Valo FX'!$A:$A,0)),INDEX(Base!$U:$U,MATCH($A37,Base!$A:$A,0)),IF(KN$1=INDEX('Valo FX'!$R:$R,MATCH($A37,'Valo FX'!$A:$A,0)),INDEX(Base!$V:$V,MATCH($A37,Base!$A:$A,0)),0)))</f>
        <v>12.249840000000001</v>
      </c>
      <c r="KO37" s="21">
        <f>IF(KO$1&lt;INDEX('Valo FX'!$Q:$Q,MATCH($A37,'Valo FX'!$A:$A,0)),0,IF(KO$1&lt;INDEX('Valo FX'!$R:$R,MATCH($A37,'Valo FX'!$A:$A,0)),INDEX(Base!$U:$U,MATCH($A37,Base!$A:$A,0)),IF(KO$1=INDEX('Valo FX'!$R:$R,MATCH($A37,'Valo FX'!$A:$A,0)),INDEX(Base!$V:$V,MATCH($A37,Base!$A:$A,0)),0)))</f>
        <v>12.249840000000001</v>
      </c>
      <c r="KP37" s="21">
        <f>IF(KP$1&lt;INDEX('Valo FX'!$Q:$Q,MATCH($A37,'Valo FX'!$A:$A,0)),0,IF(KP$1&lt;INDEX('Valo FX'!$R:$R,MATCH($A37,'Valo FX'!$A:$A,0)),INDEX(Base!$U:$U,MATCH($A37,Base!$A:$A,0)),IF(KP$1=INDEX('Valo FX'!$R:$R,MATCH($A37,'Valo FX'!$A:$A,0)),INDEX(Base!$V:$V,MATCH($A37,Base!$A:$A,0)),0)))</f>
        <v>12.249840000000001</v>
      </c>
      <c r="KQ37" s="21">
        <f>IF(KQ$1&lt;INDEX('Valo FX'!$Q:$Q,MATCH($A37,'Valo FX'!$A:$A,0)),0,IF(KQ$1&lt;INDEX('Valo FX'!$R:$R,MATCH($A37,'Valo FX'!$A:$A,0)),INDEX(Base!$U:$U,MATCH($A37,Base!$A:$A,0)),IF(KQ$1=INDEX('Valo FX'!$R:$R,MATCH($A37,'Valo FX'!$A:$A,0)),INDEX(Base!$V:$V,MATCH($A37,Base!$A:$A,0)),0)))</f>
        <v>12.249840000000001</v>
      </c>
      <c r="KR37" s="21">
        <f>IF(KR$1&lt;INDEX('Valo FX'!$Q:$Q,MATCH($A37,'Valo FX'!$A:$A,0)),0,IF(KR$1&lt;INDEX('Valo FX'!$R:$R,MATCH($A37,'Valo FX'!$A:$A,0)),INDEX(Base!$U:$U,MATCH($A37,Base!$A:$A,0)),IF(KR$1=INDEX('Valo FX'!$R:$R,MATCH($A37,'Valo FX'!$A:$A,0)),INDEX(Base!$V:$V,MATCH($A37,Base!$A:$A,0)),0)))</f>
        <v>12.249840000000001</v>
      </c>
      <c r="KS37" s="21">
        <f>IF(KS$1&lt;INDEX('Valo FX'!$Q:$Q,MATCH($A37,'Valo FX'!$A:$A,0)),0,IF(KS$1&lt;INDEX('Valo FX'!$R:$R,MATCH($A37,'Valo FX'!$A:$A,0)),INDEX(Base!$U:$U,MATCH($A37,Base!$A:$A,0)),IF(KS$1=INDEX('Valo FX'!$R:$R,MATCH($A37,'Valo FX'!$A:$A,0)),INDEX(Base!$V:$V,MATCH($A37,Base!$A:$A,0)),0)))</f>
        <v>12.249840000000001</v>
      </c>
      <c r="KT37" s="21">
        <f>IF(KT$1&lt;INDEX('Valo FX'!$Q:$Q,MATCH($A37,'Valo FX'!$A:$A,0)),0,IF(KT$1&lt;INDEX('Valo FX'!$R:$R,MATCH($A37,'Valo FX'!$A:$A,0)),INDEX(Base!$U:$U,MATCH($A37,Base!$A:$A,0)),IF(KT$1=INDEX('Valo FX'!$R:$R,MATCH($A37,'Valo FX'!$A:$A,0)),INDEX(Base!$V:$V,MATCH($A37,Base!$A:$A,0)),0)))</f>
        <v>12.249840000000001</v>
      </c>
      <c r="KU37" s="21">
        <f>IF(KU$1&lt;INDEX('Valo FX'!$Q:$Q,MATCH($A37,'Valo FX'!$A:$A,0)),0,IF(KU$1&lt;INDEX('Valo FX'!$R:$R,MATCH($A37,'Valo FX'!$A:$A,0)),INDEX(Base!$U:$U,MATCH($A37,Base!$A:$A,0)),IF(KU$1=INDEX('Valo FX'!$R:$R,MATCH($A37,'Valo FX'!$A:$A,0)),INDEX(Base!$V:$V,MATCH($A37,Base!$A:$A,0)),0)))</f>
        <v>12.249840000000001</v>
      </c>
      <c r="KV37" s="21">
        <f>IF(KV$1&lt;INDEX('Valo FX'!$Q:$Q,MATCH($A37,'Valo FX'!$A:$A,0)),0,IF(KV$1&lt;INDEX('Valo FX'!$R:$R,MATCH($A37,'Valo FX'!$A:$A,0)),INDEX(Base!$U:$U,MATCH($A37,Base!$A:$A,0)),IF(KV$1=INDEX('Valo FX'!$R:$R,MATCH($A37,'Valo FX'!$A:$A,0)),INDEX(Base!$V:$V,MATCH($A37,Base!$A:$A,0)),0)))</f>
        <v>12.249840000000001</v>
      </c>
      <c r="KW37" s="21">
        <f>IF(KW$1&lt;INDEX('Valo FX'!$Q:$Q,MATCH($A37,'Valo FX'!$A:$A,0)),0,IF(KW$1&lt;INDEX('Valo FX'!$R:$R,MATCH($A37,'Valo FX'!$A:$A,0)),INDEX(Base!$U:$U,MATCH($A37,Base!$A:$A,0)),IF(KW$1=INDEX('Valo FX'!$R:$R,MATCH($A37,'Valo FX'!$A:$A,0)),INDEX(Base!$V:$V,MATCH($A37,Base!$A:$A,0)),0)))</f>
        <v>12.249840000000001</v>
      </c>
      <c r="KX37" s="21">
        <f>IF(KX$1&lt;INDEX('Valo FX'!$Q:$Q,MATCH($A37,'Valo FX'!$A:$A,0)),0,IF(KX$1&lt;INDEX('Valo FX'!$R:$R,MATCH($A37,'Valo FX'!$A:$A,0)),INDEX(Base!$U:$U,MATCH($A37,Base!$A:$A,0)),IF(KX$1=INDEX('Valo FX'!$R:$R,MATCH($A37,'Valo FX'!$A:$A,0)),INDEX(Base!$V:$V,MATCH($A37,Base!$A:$A,0)),0)))</f>
        <v>12.249840000000001</v>
      </c>
      <c r="KY37" s="21">
        <f>IF(KY$1&lt;INDEX('Valo FX'!$Q:$Q,MATCH($A37,'Valo FX'!$A:$A,0)),0,IF(KY$1&lt;INDEX('Valo FX'!$R:$R,MATCH($A37,'Valo FX'!$A:$A,0)),INDEX(Base!$U:$U,MATCH($A37,Base!$A:$A,0)),IF(KY$1=INDEX('Valo FX'!$R:$R,MATCH($A37,'Valo FX'!$A:$A,0)),INDEX(Base!$V:$V,MATCH($A37,Base!$A:$A,0)),0)))</f>
        <v>12.249840000000001</v>
      </c>
      <c r="KZ37" s="21">
        <f>IF(KZ$1&lt;INDEX('Valo FX'!$Q:$Q,MATCH($A37,'Valo FX'!$A:$A,0)),0,IF(KZ$1&lt;INDEX('Valo FX'!$R:$R,MATCH($A37,'Valo FX'!$A:$A,0)),INDEX(Base!$U:$U,MATCH($A37,Base!$A:$A,0)),IF(KZ$1=INDEX('Valo FX'!$R:$R,MATCH($A37,'Valo FX'!$A:$A,0)),INDEX(Base!$V:$V,MATCH($A37,Base!$A:$A,0)),0)))</f>
        <v>12.249840000000001</v>
      </c>
      <c r="LA37" s="21">
        <f>IF(LA$1&lt;INDEX('Valo FX'!$Q:$Q,MATCH($A37,'Valo FX'!$A:$A,0)),0,IF(LA$1&lt;INDEX('Valo FX'!$R:$R,MATCH($A37,'Valo FX'!$A:$A,0)),INDEX(Base!$U:$U,MATCH($A37,Base!$A:$A,0)),IF(LA$1=INDEX('Valo FX'!$R:$R,MATCH($A37,'Valo FX'!$A:$A,0)),INDEX(Base!$V:$V,MATCH($A37,Base!$A:$A,0)),0)))</f>
        <v>12.249840000000001</v>
      </c>
      <c r="LB37" s="21">
        <f>IF(LB$1&lt;INDEX('Valo FX'!$Q:$Q,MATCH($A37,'Valo FX'!$A:$A,0)),0,IF(LB$1&lt;INDEX('Valo FX'!$R:$R,MATCH($A37,'Valo FX'!$A:$A,0)),INDEX(Base!$U:$U,MATCH($A37,Base!$A:$A,0)),IF(LB$1=INDEX('Valo FX'!$R:$R,MATCH($A37,'Valo FX'!$A:$A,0)),INDEX(Base!$V:$V,MATCH($A37,Base!$A:$A,0)),0)))</f>
        <v>12.249840000000001</v>
      </c>
      <c r="LC37" s="21">
        <f>IF(LC$1&lt;INDEX('Valo FX'!$Q:$Q,MATCH($A37,'Valo FX'!$A:$A,0)),0,IF(LC$1&lt;INDEX('Valo FX'!$R:$R,MATCH($A37,'Valo FX'!$A:$A,0)),INDEX(Base!$U:$U,MATCH($A37,Base!$A:$A,0)),IF(LC$1=INDEX('Valo FX'!$R:$R,MATCH($A37,'Valo FX'!$A:$A,0)),INDEX(Base!$V:$V,MATCH($A37,Base!$A:$A,0)),0)))</f>
        <v>12.249840000000001</v>
      </c>
      <c r="LD37" s="21">
        <f>IF(LD$1&lt;INDEX('Valo FX'!$Q:$Q,MATCH($A37,'Valo FX'!$A:$A,0)),0,IF(LD$1&lt;INDEX('Valo FX'!$R:$R,MATCH($A37,'Valo FX'!$A:$A,0)),INDEX(Base!$U:$U,MATCH($A37,Base!$A:$A,0)),IF(LD$1=INDEX('Valo FX'!$R:$R,MATCH($A37,'Valo FX'!$A:$A,0)),INDEX(Base!$V:$V,MATCH($A37,Base!$A:$A,0)),0)))</f>
        <v>12.249840000000001</v>
      </c>
      <c r="LE37" s="21">
        <f>IF(LE$1&lt;INDEX('Valo FX'!$Q:$Q,MATCH($A37,'Valo FX'!$A:$A,0)),0,IF(LE$1&lt;INDEX('Valo FX'!$R:$R,MATCH($A37,'Valo FX'!$A:$A,0)),INDEX(Base!$U:$U,MATCH($A37,Base!$A:$A,0)),IF(LE$1=INDEX('Valo FX'!$R:$R,MATCH($A37,'Valo FX'!$A:$A,0)),INDEX(Base!$V:$V,MATCH($A37,Base!$A:$A,0)),0)))</f>
        <v>12.249840000000001</v>
      </c>
      <c r="LF37" s="21">
        <f>IF(LF$1&lt;INDEX('Valo FX'!$Q:$Q,MATCH($A37,'Valo FX'!$A:$A,0)),0,IF(LF$1&lt;INDEX('Valo FX'!$R:$R,MATCH($A37,'Valo FX'!$A:$A,0)),INDEX(Base!$U:$U,MATCH($A37,Base!$A:$A,0)),IF(LF$1=INDEX('Valo FX'!$R:$R,MATCH($A37,'Valo FX'!$A:$A,0)),INDEX(Base!$V:$V,MATCH($A37,Base!$A:$A,0)),0)))</f>
        <v>12.249840000000001</v>
      </c>
      <c r="LG37" s="21">
        <f>IF(LG$1&lt;INDEX('Valo FX'!$Q:$Q,MATCH($A37,'Valo FX'!$A:$A,0)),0,IF(LG$1&lt;INDEX('Valo FX'!$R:$R,MATCH($A37,'Valo FX'!$A:$A,0)),INDEX(Base!$U:$U,MATCH($A37,Base!$A:$A,0)),IF(LG$1=INDEX('Valo FX'!$R:$R,MATCH($A37,'Valo FX'!$A:$A,0)),INDEX(Base!$V:$V,MATCH($A37,Base!$A:$A,0)),0)))</f>
        <v>12.249840000000001</v>
      </c>
      <c r="LH37" s="21">
        <f>IF(LH$1&lt;INDEX('Valo FX'!$Q:$Q,MATCH($A37,'Valo FX'!$A:$A,0)),0,IF(LH$1&lt;INDEX('Valo FX'!$R:$R,MATCH($A37,'Valo FX'!$A:$A,0)),INDEX(Base!$U:$U,MATCH($A37,Base!$A:$A,0)),IF(LH$1=INDEX('Valo FX'!$R:$R,MATCH($A37,'Valo FX'!$A:$A,0)),INDEX(Base!$V:$V,MATCH($A37,Base!$A:$A,0)),0)))</f>
        <v>12.249840000000001</v>
      </c>
      <c r="LI37" s="21">
        <f>IF(LI$1&lt;INDEX('Valo FX'!$Q:$Q,MATCH($A37,'Valo FX'!$A:$A,0)),0,IF(LI$1&lt;INDEX('Valo FX'!$R:$R,MATCH($A37,'Valo FX'!$A:$A,0)),INDEX(Base!$U:$U,MATCH($A37,Base!$A:$A,0)),IF(LI$1=INDEX('Valo FX'!$R:$R,MATCH($A37,'Valo FX'!$A:$A,0)),INDEX(Base!$V:$V,MATCH($A37,Base!$A:$A,0)),0)))</f>
        <v>12.249840000000001</v>
      </c>
      <c r="LJ37" s="21">
        <f>IF(LJ$1&lt;INDEX('Valo FX'!$Q:$Q,MATCH($A37,'Valo FX'!$A:$A,0)),0,IF(LJ$1&lt;INDEX('Valo FX'!$R:$R,MATCH($A37,'Valo FX'!$A:$A,0)),INDEX(Base!$U:$U,MATCH($A37,Base!$A:$A,0)),IF(LJ$1=INDEX('Valo FX'!$R:$R,MATCH($A37,'Valo FX'!$A:$A,0)),INDEX(Base!$V:$V,MATCH($A37,Base!$A:$A,0)),0)))</f>
        <v>12.249840000000001</v>
      </c>
      <c r="LK37" s="21">
        <f>IF(LK$1&lt;INDEX('Valo FX'!$Q:$Q,MATCH($A37,'Valo FX'!$A:$A,0)),0,IF(LK$1&lt;INDEX('Valo FX'!$R:$R,MATCH($A37,'Valo FX'!$A:$A,0)),INDEX(Base!$U:$U,MATCH($A37,Base!$A:$A,0)),IF(LK$1=INDEX('Valo FX'!$R:$R,MATCH($A37,'Valo FX'!$A:$A,0)),INDEX(Base!$V:$V,MATCH($A37,Base!$A:$A,0)),0)))</f>
        <v>12.249840000000001</v>
      </c>
      <c r="LL37" s="21">
        <f>IF(LL$1&lt;INDEX('Valo FX'!$Q:$Q,MATCH($A37,'Valo FX'!$A:$A,0)),0,IF(LL$1&lt;INDEX('Valo FX'!$R:$R,MATCH($A37,'Valo FX'!$A:$A,0)),INDEX(Base!$U:$U,MATCH($A37,Base!$A:$A,0)),IF(LL$1=INDEX('Valo FX'!$R:$R,MATCH($A37,'Valo FX'!$A:$A,0)),INDEX(Base!$V:$V,MATCH($A37,Base!$A:$A,0)),0)))</f>
        <v>12.249840000000001</v>
      </c>
      <c r="LM37" s="21">
        <f>IF(LM$1&lt;INDEX('Valo FX'!$Q:$Q,MATCH($A37,'Valo FX'!$A:$A,0)),0,IF(LM$1&lt;INDEX('Valo FX'!$R:$R,MATCH($A37,'Valo FX'!$A:$A,0)),INDEX(Base!$U:$U,MATCH($A37,Base!$A:$A,0)),IF(LM$1=INDEX('Valo FX'!$R:$R,MATCH($A37,'Valo FX'!$A:$A,0)),INDEX(Base!$V:$V,MATCH($A37,Base!$A:$A,0)),0)))</f>
        <v>12.249840000000001</v>
      </c>
      <c r="LN37" s="21">
        <f>IF(LN$1&lt;INDEX('Valo FX'!$Q:$Q,MATCH($A37,'Valo FX'!$A:$A,0)),0,IF(LN$1&lt;INDEX('Valo FX'!$R:$R,MATCH($A37,'Valo FX'!$A:$A,0)),INDEX(Base!$U:$U,MATCH($A37,Base!$A:$A,0)),IF(LN$1=INDEX('Valo FX'!$R:$R,MATCH($A37,'Valo FX'!$A:$A,0)),INDEX(Base!$V:$V,MATCH($A37,Base!$A:$A,0)),0)))</f>
        <v>12.249840000000001</v>
      </c>
      <c r="LO37" s="21">
        <f>IF(LO$1&lt;INDEX('Valo FX'!$Q:$Q,MATCH($A37,'Valo FX'!$A:$A,0)),0,IF(LO$1&lt;INDEX('Valo FX'!$R:$R,MATCH($A37,'Valo FX'!$A:$A,0)),INDEX(Base!$U:$U,MATCH($A37,Base!$A:$A,0)),IF(LO$1=INDEX('Valo FX'!$R:$R,MATCH($A37,'Valo FX'!$A:$A,0)),INDEX(Base!$V:$V,MATCH($A37,Base!$A:$A,0)),0)))</f>
        <v>12.249840000000001</v>
      </c>
      <c r="LP37" s="21">
        <f>IF(LP$1&lt;INDEX('Valo FX'!$Q:$Q,MATCH($A37,'Valo FX'!$A:$A,0)),0,IF(LP$1&lt;INDEX('Valo FX'!$R:$R,MATCH($A37,'Valo FX'!$A:$A,0)),INDEX(Base!$U:$U,MATCH($A37,Base!$A:$A,0)),IF(LP$1=INDEX('Valo FX'!$R:$R,MATCH($A37,'Valo FX'!$A:$A,0)),INDEX(Base!$V:$V,MATCH($A37,Base!$A:$A,0)),0)))</f>
        <v>12.249840000000001</v>
      </c>
      <c r="LQ37" s="21">
        <f>IF(LQ$1&lt;INDEX('Valo FX'!$Q:$Q,MATCH($A37,'Valo FX'!$A:$A,0)),0,IF(LQ$1&lt;INDEX('Valo FX'!$R:$R,MATCH($A37,'Valo FX'!$A:$A,0)),INDEX(Base!$U:$U,MATCH($A37,Base!$A:$A,0)),IF(LQ$1=INDEX('Valo FX'!$R:$R,MATCH($A37,'Valo FX'!$A:$A,0)),INDEX(Base!$V:$V,MATCH($A37,Base!$A:$A,0)),0)))</f>
        <v>12.249840000000001</v>
      </c>
      <c r="LR37" s="21">
        <f>IF(LR$1&lt;INDEX('Valo FX'!$Q:$Q,MATCH($A37,'Valo FX'!$A:$A,0)),0,IF(LR$1&lt;INDEX('Valo FX'!$R:$R,MATCH($A37,'Valo FX'!$A:$A,0)),INDEX(Base!$U:$U,MATCH($A37,Base!$A:$A,0)),IF(LR$1=INDEX('Valo FX'!$R:$R,MATCH($A37,'Valo FX'!$A:$A,0)),INDEX(Base!$V:$V,MATCH($A37,Base!$A:$A,0)),0)))</f>
        <v>12.249840000000001</v>
      </c>
      <c r="LS37" s="21">
        <f>IF(LS$1&lt;INDEX('Valo FX'!$Q:$Q,MATCH($A37,'Valo FX'!$A:$A,0)),0,IF(LS$1&lt;INDEX('Valo FX'!$R:$R,MATCH($A37,'Valo FX'!$A:$A,0)),INDEX(Base!$U:$U,MATCH($A37,Base!$A:$A,0)),IF(LS$1=INDEX('Valo FX'!$R:$R,MATCH($A37,'Valo FX'!$A:$A,0)),INDEX(Base!$V:$V,MATCH($A37,Base!$A:$A,0)),0)))</f>
        <v>12.249840000000001</v>
      </c>
      <c r="LT37" s="21">
        <f>IF(LT$1&lt;INDEX('Valo FX'!$Q:$Q,MATCH($A37,'Valo FX'!$A:$A,0)),0,IF(LT$1&lt;INDEX('Valo FX'!$R:$R,MATCH($A37,'Valo FX'!$A:$A,0)),INDEX(Base!$U:$U,MATCH($A37,Base!$A:$A,0)),IF(LT$1=INDEX('Valo FX'!$R:$R,MATCH($A37,'Valo FX'!$A:$A,0)),INDEX(Base!$V:$V,MATCH($A37,Base!$A:$A,0)),0)))</f>
        <v>12.249840000000001</v>
      </c>
      <c r="LU37" s="21">
        <f>IF(LU$1&lt;INDEX('Valo FX'!$Q:$Q,MATCH($A37,'Valo FX'!$A:$A,0)),0,IF(LU$1&lt;INDEX('Valo FX'!$R:$R,MATCH($A37,'Valo FX'!$A:$A,0)),INDEX(Base!$U:$U,MATCH($A37,Base!$A:$A,0)),IF(LU$1=INDEX('Valo FX'!$R:$R,MATCH($A37,'Valo FX'!$A:$A,0)),INDEX(Base!$V:$V,MATCH($A37,Base!$A:$A,0)),0)))</f>
        <v>12.249840000000001</v>
      </c>
      <c r="LV37" s="21">
        <f>IF(LV$1&lt;INDEX('Valo FX'!$Q:$Q,MATCH($A37,'Valo FX'!$A:$A,0)),0,IF(LV$1&lt;INDEX('Valo FX'!$R:$R,MATCH($A37,'Valo FX'!$A:$A,0)),INDEX(Base!$U:$U,MATCH($A37,Base!$A:$A,0)),IF(LV$1=INDEX('Valo FX'!$R:$R,MATCH($A37,'Valo FX'!$A:$A,0)),INDEX(Base!$V:$V,MATCH($A37,Base!$A:$A,0)),0)))</f>
        <v>12.249840000000001</v>
      </c>
      <c r="LW37" s="21">
        <f>IF(LW$1&lt;INDEX('Valo FX'!$Q:$Q,MATCH($A37,'Valo FX'!$A:$A,0)),0,IF(LW$1&lt;INDEX('Valo FX'!$R:$R,MATCH($A37,'Valo FX'!$A:$A,0)),INDEX(Base!$U:$U,MATCH($A37,Base!$A:$A,0)),IF(LW$1=INDEX('Valo FX'!$R:$R,MATCH($A37,'Valo FX'!$A:$A,0)),INDEX(Base!$V:$V,MATCH($A37,Base!$A:$A,0)),0)))</f>
        <v>12.249840000000001</v>
      </c>
      <c r="LX37" s="21">
        <f>IF(LX$1&lt;INDEX('Valo FX'!$Q:$Q,MATCH($A37,'Valo FX'!$A:$A,0)),0,IF(LX$1&lt;INDEX('Valo FX'!$R:$R,MATCH($A37,'Valo FX'!$A:$A,0)),INDEX(Base!$U:$U,MATCH($A37,Base!$A:$A,0)),IF(LX$1=INDEX('Valo FX'!$R:$R,MATCH($A37,'Valo FX'!$A:$A,0)),INDEX(Base!$V:$V,MATCH($A37,Base!$A:$A,0)),0)))</f>
        <v>12.249840000000001</v>
      </c>
      <c r="LY37" s="21">
        <f>IF(LY$1&lt;INDEX('Valo FX'!$Q:$Q,MATCH($A37,'Valo FX'!$A:$A,0)),0,IF(LY$1&lt;INDEX('Valo FX'!$R:$R,MATCH($A37,'Valo FX'!$A:$A,0)),INDEX(Base!$U:$U,MATCH($A37,Base!$A:$A,0)),IF(LY$1=INDEX('Valo FX'!$R:$R,MATCH($A37,'Valo FX'!$A:$A,0)),INDEX(Base!$V:$V,MATCH($A37,Base!$A:$A,0)),0)))</f>
        <v>12.249840000000001</v>
      </c>
      <c r="LZ37" s="21">
        <f>IF(LZ$1&lt;INDEX('Valo FX'!$Q:$Q,MATCH($A37,'Valo FX'!$A:$A,0)),0,IF(LZ$1&lt;INDEX('Valo FX'!$R:$R,MATCH($A37,'Valo FX'!$A:$A,0)),INDEX(Base!$U:$U,MATCH($A37,Base!$A:$A,0)),IF(LZ$1=INDEX('Valo FX'!$R:$R,MATCH($A37,'Valo FX'!$A:$A,0)),INDEX(Base!$V:$V,MATCH($A37,Base!$A:$A,0)),0)))</f>
        <v>12.249840000000001</v>
      </c>
      <c r="MA37" s="21">
        <f>IF(MA$1&lt;INDEX('Valo FX'!$Q:$Q,MATCH($A37,'Valo FX'!$A:$A,0)),0,IF(MA$1&lt;INDEX('Valo FX'!$R:$R,MATCH($A37,'Valo FX'!$A:$A,0)),INDEX(Base!$U:$U,MATCH($A37,Base!$A:$A,0)),IF(MA$1=INDEX('Valo FX'!$R:$R,MATCH($A37,'Valo FX'!$A:$A,0)),INDEX(Base!$V:$V,MATCH($A37,Base!$A:$A,0)),0)))</f>
        <v>12.249840000000001</v>
      </c>
      <c r="MB37" s="21">
        <f>IF(MB$1&lt;INDEX('Valo FX'!$Q:$Q,MATCH($A37,'Valo FX'!$A:$A,0)),0,IF(MB$1&lt;INDEX('Valo FX'!$R:$R,MATCH($A37,'Valo FX'!$A:$A,0)),INDEX(Base!$U:$U,MATCH($A37,Base!$A:$A,0)),IF(MB$1=INDEX('Valo FX'!$R:$R,MATCH($A37,'Valo FX'!$A:$A,0)),INDEX(Base!$V:$V,MATCH($A37,Base!$A:$A,0)),0)))</f>
        <v>12.249840000000001</v>
      </c>
      <c r="MC37" s="21">
        <f>IF(MC$1&lt;INDEX('Valo FX'!$Q:$Q,MATCH($A37,'Valo FX'!$A:$A,0)),0,IF(MC$1&lt;INDEX('Valo FX'!$R:$R,MATCH($A37,'Valo FX'!$A:$A,0)),INDEX(Base!$U:$U,MATCH($A37,Base!$A:$A,0)),IF(MC$1=INDEX('Valo FX'!$R:$R,MATCH($A37,'Valo FX'!$A:$A,0)),INDEX(Base!$V:$V,MATCH($A37,Base!$A:$A,0)),0)))</f>
        <v>12.249840000000001</v>
      </c>
      <c r="MD37" s="21">
        <f>IF(MD$1&lt;INDEX('Valo FX'!$Q:$Q,MATCH($A37,'Valo FX'!$A:$A,0)),0,IF(MD$1&lt;INDEX('Valo FX'!$R:$R,MATCH($A37,'Valo FX'!$A:$A,0)),INDEX(Base!$U:$U,MATCH($A37,Base!$A:$A,0)),IF(MD$1=INDEX('Valo FX'!$R:$R,MATCH($A37,'Valo FX'!$A:$A,0)),INDEX(Base!$V:$V,MATCH($A37,Base!$A:$A,0)),0)))</f>
        <v>12.249840000000001</v>
      </c>
      <c r="ME37" s="21">
        <f>IF(ME$1&lt;INDEX('Valo FX'!$Q:$Q,MATCH($A37,'Valo FX'!$A:$A,0)),0,IF(ME$1&lt;INDEX('Valo FX'!$R:$R,MATCH($A37,'Valo FX'!$A:$A,0)),INDEX(Base!$U:$U,MATCH($A37,Base!$A:$A,0)),IF(ME$1=INDEX('Valo FX'!$R:$R,MATCH($A37,'Valo FX'!$A:$A,0)),INDEX(Base!$V:$V,MATCH($A37,Base!$A:$A,0)),0)))</f>
        <v>12.249840000000001</v>
      </c>
      <c r="MF37" s="21">
        <f>IF(MF$1&lt;INDEX('Valo FX'!$Q:$Q,MATCH($A37,'Valo FX'!$A:$A,0)),0,IF(MF$1&lt;INDEX('Valo FX'!$R:$R,MATCH($A37,'Valo FX'!$A:$A,0)),INDEX(Base!$U:$U,MATCH($A37,Base!$A:$A,0)),IF(MF$1=INDEX('Valo FX'!$R:$R,MATCH($A37,'Valo FX'!$A:$A,0)),INDEX(Base!$V:$V,MATCH($A37,Base!$A:$A,0)),0)))</f>
        <v>12.249840000000001</v>
      </c>
      <c r="MG37" s="21">
        <f>IF(MG$1&lt;INDEX('Valo FX'!$Q:$Q,MATCH($A37,'Valo FX'!$A:$A,0)),0,IF(MG$1&lt;INDEX('Valo FX'!$R:$R,MATCH($A37,'Valo FX'!$A:$A,0)),INDEX(Base!$U:$U,MATCH($A37,Base!$A:$A,0)),IF(MG$1=INDEX('Valo FX'!$R:$R,MATCH($A37,'Valo FX'!$A:$A,0)),INDEX(Base!$V:$V,MATCH($A37,Base!$A:$A,0)),0)))</f>
        <v>12.249840000000001</v>
      </c>
      <c r="MH37" s="21">
        <f>IF(MH$1&lt;INDEX('Valo FX'!$Q:$Q,MATCH($A37,'Valo FX'!$A:$A,0)),0,IF(MH$1&lt;INDEX('Valo FX'!$R:$R,MATCH($A37,'Valo FX'!$A:$A,0)),INDEX(Base!$U:$U,MATCH($A37,Base!$A:$A,0)),IF(MH$1=INDEX('Valo FX'!$R:$R,MATCH($A37,'Valo FX'!$A:$A,0)),INDEX(Base!$V:$V,MATCH($A37,Base!$A:$A,0)),0)))</f>
        <v>12.249840000000001</v>
      </c>
      <c r="MI37" s="21">
        <f>IF(MI$1&lt;INDEX('Valo FX'!$Q:$Q,MATCH($A37,'Valo FX'!$A:$A,0)),0,IF(MI$1&lt;INDEX('Valo FX'!$R:$R,MATCH($A37,'Valo FX'!$A:$A,0)),INDEX(Base!$U:$U,MATCH($A37,Base!$A:$A,0)),IF(MI$1=INDEX('Valo FX'!$R:$R,MATCH($A37,'Valo FX'!$A:$A,0)),INDEX(Base!$V:$V,MATCH($A37,Base!$A:$A,0)),0)))</f>
        <v>12.249840000000001</v>
      </c>
      <c r="MJ37" s="21">
        <f>IF(MJ$1&lt;INDEX('Valo FX'!$Q:$Q,MATCH($A37,'Valo FX'!$A:$A,0)),0,IF(MJ$1&lt;INDEX('Valo FX'!$R:$R,MATCH($A37,'Valo FX'!$A:$A,0)),INDEX(Base!$U:$U,MATCH($A37,Base!$A:$A,0)),IF(MJ$1=INDEX('Valo FX'!$R:$R,MATCH($A37,'Valo FX'!$A:$A,0)),INDEX(Base!$V:$V,MATCH($A37,Base!$A:$A,0)),0)))</f>
        <v>12.249840000000001</v>
      </c>
      <c r="MK37" s="21">
        <f>IF(MK$1&lt;INDEX('Valo FX'!$Q:$Q,MATCH($A37,'Valo FX'!$A:$A,0)),0,IF(MK$1&lt;INDEX('Valo FX'!$R:$R,MATCH($A37,'Valo FX'!$A:$A,0)),INDEX(Base!$U:$U,MATCH($A37,Base!$A:$A,0)),IF(MK$1=INDEX('Valo FX'!$R:$R,MATCH($A37,'Valo FX'!$A:$A,0)),INDEX(Base!$V:$V,MATCH($A37,Base!$A:$A,0)),0)))</f>
        <v>12.249840000000001</v>
      </c>
      <c r="ML37" s="21">
        <f>IF(ML$1&lt;INDEX('Valo FX'!$Q:$Q,MATCH($A37,'Valo FX'!$A:$A,0)),0,IF(ML$1&lt;INDEX('Valo FX'!$R:$R,MATCH($A37,'Valo FX'!$A:$A,0)),INDEX(Base!$U:$U,MATCH($A37,Base!$A:$A,0)),IF(ML$1=INDEX('Valo FX'!$R:$R,MATCH($A37,'Valo FX'!$A:$A,0)),INDEX(Base!$V:$V,MATCH($A37,Base!$A:$A,0)),0)))</f>
        <v>12.249840000000001</v>
      </c>
      <c r="MM37" s="21">
        <f>IF(MM$1&lt;INDEX('Valo FX'!$Q:$Q,MATCH($A37,'Valo FX'!$A:$A,0)),0,IF(MM$1&lt;INDEX('Valo FX'!$R:$R,MATCH($A37,'Valo FX'!$A:$A,0)),INDEX(Base!$U:$U,MATCH($A37,Base!$A:$A,0)),IF(MM$1=INDEX('Valo FX'!$R:$R,MATCH($A37,'Valo FX'!$A:$A,0)),INDEX(Base!$V:$V,MATCH($A37,Base!$A:$A,0)),0)))</f>
        <v>12.249840000000001</v>
      </c>
      <c r="MN37" s="21">
        <f>IF(MN$1&lt;INDEX('Valo FX'!$Q:$Q,MATCH($A37,'Valo FX'!$A:$A,0)),0,IF(MN$1&lt;INDEX('Valo FX'!$R:$R,MATCH($A37,'Valo FX'!$A:$A,0)),INDEX(Base!$U:$U,MATCH($A37,Base!$A:$A,0)),IF(MN$1=INDEX('Valo FX'!$R:$R,MATCH($A37,'Valo FX'!$A:$A,0)),INDEX(Base!$V:$V,MATCH($A37,Base!$A:$A,0)),0)))</f>
        <v>12.249840000000001</v>
      </c>
      <c r="MO37" s="21">
        <f>IF(MO$1&lt;INDEX('Valo FX'!$Q:$Q,MATCH($A37,'Valo FX'!$A:$A,0)),0,IF(MO$1&lt;INDEX('Valo FX'!$R:$R,MATCH($A37,'Valo FX'!$A:$A,0)),INDEX(Base!$U:$U,MATCH($A37,Base!$A:$A,0)),IF(MO$1=INDEX('Valo FX'!$R:$R,MATCH($A37,'Valo FX'!$A:$A,0)),INDEX(Base!$V:$V,MATCH($A37,Base!$A:$A,0)),0)))</f>
        <v>12.249840000000001</v>
      </c>
      <c r="MP37" s="21">
        <f>IF(MP$1&lt;INDEX('Valo FX'!$Q:$Q,MATCH($A37,'Valo FX'!$A:$A,0)),0,IF(MP$1&lt;INDEX('Valo FX'!$R:$R,MATCH($A37,'Valo FX'!$A:$A,0)),INDEX(Base!$U:$U,MATCH($A37,Base!$A:$A,0)),IF(MP$1=INDEX('Valo FX'!$R:$R,MATCH($A37,'Valo FX'!$A:$A,0)),INDEX(Base!$V:$V,MATCH($A37,Base!$A:$A,0)),0)))</f>
        <v>12.249840000000001</v>
      </c>
      <c r="MQ37" s="21">
        <f>IF(MQ$1&lt;INDEX('Valo FX'!$Q:$Q,MATCH($A37,'Valo FX'!$A:$A,0)),0,IF(MQ$1&lt;INDEX('Valo FX'!$R:$R,MATCH($A37,'Valo FX'!$A:$A,0)),INDEX(Base!$U:$U,MATCH($A37,Base!$A:$A,0)),IF(MQ$1=INDEX('Valo FX'!$R:$R,MATCH($A37,'Valo FX'!$A:$A,0)),INDEX(Base!$V:$V,MATCH($A37,Base!$A:$A,0)),0)))</f>
        <v>12.249840000000001</v>
      </c>
      <c r="MR37" s="21">
        <f>IF(MR$1&lt;INDEX('Valo FX'!$Q:$Q,MATCH($A37,'Valo FX'!$A:$A,0)),0,IF(MR$1&lt;INDEX('Valo FX'!$R:$R,MATCH($A37,'Valo FX'!$A:$A,0)),INDEX(Base!$U:$U,MATCH($A37,Base!$A:$A,0)),IF(MR$1=INDEX('Valo FX'!$R:$R,MATCH($A37,'Valo FX'!$A:$A,0)),INDEX(Base!$V:$V,MATCH($A37,Base!$A:$A,0)),0)))</f>
        <v>12.249840000000001</v>
      </c>
      <c r="MS37" s="21">
        <f>IF(MS$1&lt;INDEX('Valo FX'!$Q:$Q,MATCH($A37,'Valo FX'!$A:$A,0)),0,IF(MS$1&lt;INDEX('Valo FX'!$R:$R,MATCH($A37,'Valo FX'!$A:$A,0)),INDEX(Base!$U:$U,MATCH($A37,Base!$A:$A,0)),IF(MS$1=INDEX('Valo FX'!$R:$R,MATCH($A37,'Valo FX'!$A:$A,0)),INDEX(Base!$V:$V,MATCH($A37,Base!$A:$A,0)),0)))</f>
        <v>12.249840000000001</v>
      </c>
      <c r="MT37" s="21">
        <f>IF(MT$1&lt;INDEX('Valo FX'!$Q:$Q,MATCH($A37,'Valo FX'!$A:$A,0)),0,IF(MT$1&lt;INDEX('Valo FX'!$R:$R,MATCH($A37,'Valo FX'!$A:$A,0)),INDEX(Base!$U:$U,MATCH($A37,Base!$A:$A,0)),IF(MT$1=INDEX('Valo FX'!$R:$R,MATCH($A37,'Valo FX'!$A:$A,0)),INDEX(Base!$V:$V,MATCH($A37,Base!$A:$A,0)),0)))</f>
        <v>12.249840000000001</v>
      </c>
      <c r="MU37" s="21">
        <f>IF(MU$1&lt;INDEX('Valo FX'!$Q:$Q,MATCH($A37,'Valo FX'!$A:$A,0)),0,IF(MU$1&lt;INDEX('Valo FX'!$R:$R,MATCH($A37,'Valo FX'!$A:$A,0)),INDEX(Base!$U:$U,MATCH($A37,Base!$A:$A,0)),IF(MU$1=INDEX('Valo FX'!$R:$R,MATCH($A37,'Valo FX'!$A:$A,0)),INDEX(Base!$V:$V,MATCH($A37,Base!$A:$A,0)),0)))</f>
        <v>12.249840000000001</v>
      </c>
      <c r="MV37" s="21">
        <f>IF(MV$1&lt;INDEX('Valo FX'!$Q:$Q,MATCH($A37,'Valo FX'!$A:$A,0)),0,IF(MV$1&lt;INDEX('Valo FX'!$R:$R,MATCH($A37,'Valo FX'!$A:$A,0)),INDEX(Base!$U:$U,MATCH($A37,Base!$A:$A,0)),IF(MV$1=INDEX('Valo FX'!$R:$R,MATCH($A37,'Valo FX'!$A:$A,0)),INDEX(Base!$V:$V,MATCH($A37,Base!$A:$A,0)),0)))</f>
        <v>12.249840000000001</v>
      </c>
      <c r="MW37" s="21">
        <f>IF(MW$1&lt;INDEX('Valo FX'!$Q:$Q,MATCH($A37,'Valo FX'!$A:$A,0)),0,IF(MW$1&lt;INDEX('Valo FX'!$R:$R,MATCH($A37,'Valo FX'!$A:$A,0)),INDEX(Base!$U:$U,MATCH($A37,Base!$A:$A,0)),IF(MW$1=INDEX('Valo FX'!$R:$R,MATCH($A37,'Valo FX'!$A:$A,0)),INDEX(Base!$V:$V,MATCH($A37,Base!$A:$A,0)),0)))</f>
        <v>12.249840000000001</v>
      </c>
      <c r="MX37" s="21">
        <f>IF(MX$1&lt;INDEX('Valo FX'!$Q:$Q,MATCH($A37,'Valo FX'!$A:$A,0)),0,IF(MX$1&lt;INDEX('Valo FX'!$R:$R,MATCH($A37,'Valo FX'!$A:$A,0)),INDEX(Base!$U:$U,MATCH($A37,Base!$A:$A,0)),IF(MX$1=INDEX('Valo FX'!$R:$R,MATCH($A37,'Valo FX'!$A:$A,0)),INDEX(Base!$V:$V,MATCH($A37,Base!$A:$A,0)),0)))</f>
        <v>12.249840000000001</v>
      </c>
      <c r="MY37" s="21">
        <f>IF(MY$1&lt;INDEX('Valo FX'!$Q:$Q,MATCH($A37,'Valo FX'!$A:$A,0)),0,IF(MY$1&lt;INDEX('Valo FX'!$R:$R,MATCH($A37,'Valo FX'!$A:$A,0)),INDEX(Base!$U:$U,MATCH($A37,Base!$A:$A,0)),IF(MY$1=INDEX('Valo FX'!$R:$R,MATCH($A37,'Valo FX'!$A:$A,0)),INDEX(Base!$V:$V,MATCH($A37,Base!$A:$A,0)),0)))</f>
        <v>12.6334</v>
      </c>
    </row>
    <row r="38" spans="1:363" x14ac:dyDescent="0.25">
      <c r="A38" s="7">
        <f t="shared" si="12"/>
        <v>36</v>
      </c>
      <c r="B38" s="59">
        <f>-'Valo FX'!T39</f>
        <v>-1644.1034747812728</v>
      </c>
      <c r="C38" s="21">
        <f>IF(C$1&lt;INDEX('Valo FX'!$Q:$Q,MATCH($A38,'Valo FX'!$A:$A,0)),0,IF(C$1&lt;INDEX('Valo FX'!$R:$R,MATCH($A38,'Valo FX'!$A:$A,0)),INDEX(Base!$U:$U,MATCH($A38,Base!$A:$A,0)),IF(C$1=INDEX('Valo FX'!$R:$R,MATCH($A38,'Valo FX'!$A:$A,0)),INDEX(Base!$V:$V,MATCH($A38,Base!$A:$A,0)),0)))</f>
        <v>0</v>
      </c>
      <c r="D38" s="21">
        <f>IF(D$1&lt;INDEX('Valo FX'!$Q:$Q,MATCH($A38,'Valo FX'!$A:$A,0)),0,IF(D$1&lt;INDEX('Valo FX'!$R:$R,MATCH($A38,'Valo FX'!$A:$A,0)),INDEX(Base!$U:$U,MATCH($A38,Base!$A:$A,0)),IF(D$1=INDEX('Valo FX'!$R:$R,MATCH($A38,'Valo FX'!$A:$A,0)),INDEX(Base!$V:$V,MATCH($A38,Base!$A:$A,0)),0)))</f>
        <v>0</v>
      </c>
      <c r="E38" s="21">
        <f>IF(E$1&lt;INDEX('Valo FX'!$Q:$Q,MATCH($A38,'Valo FX'!$A:$A,0)),0,IF(E$1&lt;INDEX('Valo FX'!$R:$R,MATCH($A38,'Valo FX'!$A:$A,0)),INDEX(Base!$U:$U,MATCH($A38,Base!$A:$A,0)),IF(E$1=INDEX('Valo FX'!$R:$R,MATCH($A38,'Valo FX'!$A:$A,0)),INDEX(Base!$V:$V,MATCH($A38,Base!$A:$A,0)),0)))</f>
        <v>0</v>
      </c>
      <c r="F38" s="21">
        <f>IF(F$1&lt;INDEX('Valo FX'!$Q:$Q,MATCH($A38,'Valo FX'!$A:$A,0)),0,IF(F$1&lt;INDEX('Valo FX'!$R:$R,MATCH($A38,'Valo FX'!$A:$A,0)),INDEX(Base!$U:$U,MATCH($A38,Base!$A:$A,0)),IF(F$1=INDEX('Valo FX'!$R:$R,MATCH($A38,'Valo FX'!$A:$A,0)),INDEX(Base!$V:$V,MATCH($A38,Base!$A:$A,0)),0)))</f>
        <v>0</v>
      </c>
      <c r="G38" s="21">
        <f>IF(G$1&lt;INDEX('Valo FX'!$Q:$Q,MATCH($A38,'Valo FX'!$A:$A,0)),0,IF(G$1&lt;INDEX('Valo FX'!$R:$R,MATCH($A38,'Valo FX'!$A:$A,0)),INDEX(Base!$U:$U,MATCH($A38,Base!$A:$A,0)),IF(G$1=INDEX('Valo FX'!$R:$R,MATCH($A38,'Valo FX'!$A:$A,0)),INDEX(Base!$V:$V,MATCH($A38,Base!$A:$A,0)),0)))</f>
        <v>0</v>
      </c>
      <c r="H38" s="21">
        <f>IF(H$1&lt;INDEX('Valo FX'!$Q:$Q,MATCH($A38,'Valo FX'!$A:$A,0)),0,IF(H$1&lt;INDEX('Valo FX'!$R:$R,MATCH($A38,'Valo FX'!$A:$A,0)),INDEX(Base!$U:$U,MATCH($A38,Base!$A:$A,0)),IF(H$1=INDEX('Valo FX'!$R:$R,MATCH($A38,'Valo FX'!$A:$A,0)),INDEX(Base!$V:$V,MATCH($A38,Base!$A:$A,0)),0)))</f>
        <v>0</v>
      </c>
      <c r="I38" s="21">
        <f>IF(I$1&lt;INDEX('Valo FX'!$Q:$Q,MATCH($A38,'Valo FX'!$A:$A,0)),0,IF(I$1&lt;INDEX('Valo FX'!$R:$R,MATCH($A38,'Valo FX'!$A:$A,0)),INDEX(Base!$U:$U,MATCH($A38,Base!$A:$A,0)),IF(I$1=INDEX('Valo FX'!$R:$R,MATCH($A38,'Valo FX'!$A:$A,0)),INDEX(Base!$V:$V,MATCH($A38,Base!$A:$A,0)),0)))</f>
        <v>11.264511000000001</v>
      </c>
      <c r="J38" s="21">
        <f>IF(J$1&lt;INDEX('Valo FX'!$Q:$Q,MATCH($A38,'Valo FX'!$A:$A,0)),0,IF(J$1&lt;INDEX('Valo FX'!$R:$R,MATCH($A38,'Valo FX'!$A:$A,0)),INDEX(Base!$U:$U,MATCH($A38,Base!$A:$A,0)),IF(J$1=INDEX('Valo FX'!$R:$R,MATCH($A38,'Valo FX'!$A:$A,0)),INDEX(Base!$V:$V,MATCH($A38,Base!$A:$A,0)),0)))</f>
        <v>11.264511000000001</v>
      </c>
      <c r="K38" s="21">
        <f>IF(K$1&lt;INDEX('Valo FX'!$Q:$Q,MATCH($A38,'Valo FX'!$A:$A,0)),0,IF(K$1&lt;INDEX('Valo FX'!$R:$R,MATCH($A38,'Valo FX'!$A:$A,0)),INDEX(Base!$U:$U,MATCH($A38,Base!$A:$A,0)),IF(K$1=INDEX('Valo FX'!$R:$R,MATCH($A38,'Valo FX'!$A:$A,0)),INDEX(Base!$V:$V,MATCH($A38,Base!$A:$A,0)),0)))</f>
        <v>11.264511000000001</v>
      </c>
      <c r="L38" s="21">
        <f>IF(L$1&lt;INDEX('Valo FX'!$Q:$Q,MATCH($A38,'Valo FX'!$A:$A,0)),0,IF(L$1&lt;INDEX('Valo FX'!$R:$R,MATCH($A38,'Valo FX'!$A:$A,0)),INDEX(Base!$U:$U,MATCH($A38,Base!$A:$A,0)),IF(L$1=INDEX('Valo FX'!$R:$R,MATCH($A38,'Valo FX'!$A:$A,0)),INDEX(Base!$V:$V,MATCH($A38,Base!$A:$A,0)),0)))</f>
        <v>11.264511000000001</v>
      </c>
      <c r="M38" s="21">
        <f>IF(M$1&lt;INDEX('Valo FX'!$Q:$Q,MATCH($A38,'Valo FX'!$A:$A,0)),0,IF(M$1&lt;INDEX('Valo FX'!$R:$R,MATCH($A38,'Valo FX'!$A:$A,0)),INDEX(Base!$U:$U,MATCH($A38,Base!$A:$A,0)),IF(M$1=INDEX('Valo FX'!$R:$R,MATCH($A38,'Valo FX'!$A:$A,0)),INDEX(Base!$V:$V,MATCH($A38,Base!$A:$A,0)),0)))</f>
        <v>11.264511000000001</v>
      </c>
      <c r="N38" s="21">
        <f>IF(N$1&lt;INDEX('Valo FX'!$Q:$Q,MATCH($A38,'Valo FX'!$A:$A,0)),0,IF(N$1&lt;INDEX('Valo FX'!$R:$R,MATCH($A38,'Valo FX'!$A:$A,0)),INDEX(Base!$U:$U,MATCH($A38,Base!$A:$A,0)),IF(N$1=INDEX('Valo FX'!$R:$R,MATCH($A38,'Valo FX'!$A:$A,0)),INDEX(Base!$V:$V,MATCH($A38,Base!$A:$A,0)),0)))</f>
        <v>11.264511000000001</v>
      </c>
      <c r="O38" s="21">
        <f>IF(O$1&lt;INDEX('Valo FX'!$Q:$Q,MATCH($A38,'Valo FX'!$A:$A,0)),0,IF(O$1&lt;INDEX('Valo FX'!$R:$R,MATCH($A38,'Valo FX'!$A:$A,0)),INDEX(Base!$U:$U,MATCH($A38,Base!$A:$A,0)),IF(O$1=INDEX('Valo FX'!$R:$R,MATCH($A38,'Valo FX'!$A:$A,0)),INDEX(Base!$V:$V,MATCH($A38,Base!$A:$A,0)),0)))</f>
        <v>11.264511000000001</v>
      </c>
      <c r="P38" s="21">
        <f>IF(P$1&lt;INDEX('Valo FX'!$Q:$Q,MATCH($A38,'Valo FX'!$A:$A,0)),0,IF(P$1&lt;INDEX('Valo FX'!$R:$R,MATCH($A38,'Valo FX'!$A:$A,0)),INDEX(Base!$U:$U,MATCH($A38,Base!$A:$A,0)),IF(P$1=INDEX('Valo FX'!$R:$R,MATCH($A38,'Valo FX'!$A:$A,0)),INDEX(Base!$V:$V,MATCH($A38,Base!$A:$A,0)),0)))</f>
        <v>11.264511000000001</v>
      </c>
      <c r="Q38" s="21">
        <f>IF(Q$1&lt;INDEX('Valo FX'!$Q:$Q,MATCH($A38,'Valo FX'!$A:$A,0)),0,IF(Q$1&lt;INDEX('Valo FX'!$R:$R,MATCH($A38,'Valo FX'!$A:$A,0)),INDEX(Base!$U:$U,MATCH($A38,Base!$A:$A,0)),IF(Q$1=INDEX('Valo FX'!$R:$R,MATCH($A38,'Valo FX'!$A:$A,0)),INDEX(Base!$V:$V,MATCH($A38,Base!$A:$A,0)),0)))</f>
        <v>11.264511000000001</v>
      </c>
      <c r="R38" s="21">
        <f>IF(R$1&lt;INDEX('Valo FX'!$Q:$Q,MATCH($A38,'Valo FX'!$A:$A,0)),0,IF(R$1&lt;INDEX('Valo FX'!$R:$R,MATCH($A38,'Valo FX'!$A:$A,0)),INDEX(Base!$U:$U,MATCH($A38,Base!$A:$A,0)),IF(R$1=INDEX('Valo FX'!$R:$R,MATCH($A38,'Valo FX'!$A:$A,0)),INDEX(Base!$V:$V,MATCH($A38,Base!$A:$A,0)),0)))</f>
        <v>11.264511000000001</v>
      </c>
      <c r="S38" s="21">
        <f>IF(S$1&lt;INDEX('Valo FX'!$Q:$Q,MATCH($A38,'Valo FX'!$A:$A,0)),0,IF(S$1&lt;INDEX('Valo FX'!$R:$R,MATCH($A38,'Valo FX'!$A:$A,0)),INDEX(Base!$U:$U,MATCH($A38,Base!$A:$A,0)),IF(S$1=INDEX('Valo FX'!$R:$R,MATCH($A38,'Valo FX'!$A:$A,0)),INDEX(Base!$V:$V,MATCH($A38,Base!$A:$A,0)),0)))</f>
        <v>11.264511000000001</v>
      </c>
      <c r="T38" s="21">
        <f>IF(T$1&lt;INDEX('Valo FX'!$Q:$Q,MATCH($A38,'Valo FX'!$A:$A,0)),0,IF(T$1&lt;INDEX('Valo FX'!$R:$R,MATCH($A38,'Valo FX'!$A:$A,0)),INDEX(Base!$U:$U,MATCH($A38,Base!$A:$A,0)),IF(T$1=INDEX('Valo FX'!$R:$R,MATCH($A38,'Valo FX'!$A:$A,0)),INDEX(Base!$V:$V,MATCH($A38,Base!$A:$A,0)),0)))</f>
        <v>11.264511000000001</v>
      </c>
      <c r="U38" s="21">
        <f>IF(U$1&lt;INDEX('Valo FX'!$Q:$Q,MATCH($A38,'Valo FX'!$A:$A,0)),0,IF(U$1&lt;INDEX('Valo FX'!$R:$R,MATCH($A38,'Valo FX'!$A:$A,0)),INDEX(Base!$U:$U,MATCH($A38,Base!$A:$A,0)),IF(U$1=INDEX('Valo FX'!$R:$R,MATCH($A38,'Valo FX'!$A:$A,0)),INDEX(Base!$V:$V,MATCH($A38,Base!$A:$A,0)),0)))</f>
        <v>11.264511000000001</v>
      </c>
      <c r="V38" s="21">
        <f>IF(V$1&lt;INDEX('Valo FX'!$Q:$Q,MATCH($A38,'Valo FX'!$A:$A,0)),0,IF(V$1&lt;INDEX('Valo FX'!$R:$R,MATCH($A38,'Valo FX'!$A:$A,0)),INDEX(Base!$U:$U,MATCH($A38,Base!$A:$A,0)),IF(V$1=INDEX('Valo FX'!$R:$R,MATCH($A38,'Valo FX'!$A:$A,0)),INDEX(Base!$V:$V,MATCH($A38,Base!$A:$A,0)),0)))</f>
        <v>11.264511000000001</v>
      </c>
      <c r="W38" s="21">
        <f>IF(W$1&lt;INDEX('Valo FX'!$Q:$Q,MATCH($A38,'Valo FX'!$A:$A,0)),0,IF(W$1&lt;INDEX('Valo FX'!$R:$R,MATCH($A38,'Valo FX'!$A:$A,0)),INDEX(Base!$U:$U,MATCH($A38,Base!$A:$A,0)),IF(W$1=INDEX('Valo FX'!$R:$R,MATCH($A38,'Valo FX'!$A:$A,0)),INDEX(Base!$V:$V,MATCH($A38,Base!$A:$A,0)),0)))</f>
        <v>11.264511000000001</v>
      </c>
      <c r="X38" s="21">
        <f>IF(X$1&lt;INDEX('Valo FX'!$Q:$Q,MATCH($A38,'Valo FX'!$A:$A,0)),0,IF(X$1&lt;INDEX('Valo FX'!$R:$R,MATCH($A38,'Valo FX'!$A:$A,0)),INDEX(Base!$U:$U,MATCH($A38,Base!$A:$A,0)),IF(X$1=INDEX('Valo FX'!$R:$R,MATCH($A38,'Valo FX'!$A:$A,0)),INDEX(Base!$V:$V,MATCH($A38,Base!$A:$A,0)),0)))</f>
        <v>11.264511000000001</v>
      </c>
      <c r="Y38" s="21">
        <f>IF(Y$1&lt;INDEX('Valo FX'!$Q:$Q,MATCH($A38,'Valo FX'!$A:$A,0)),0,IF(Y$1&lt;INDEX('Valo FX'!$R:$R,MATCH($A38,'Valo FX'!$A:$A,0)),INDEX(Base!$U:$U,MATCH($A38,Base!$A:$A,0)),IF(Y$1=INDEX('Valo FX'!$R:$R,MATCH($A38,'Valo FX'!$A:$A,0)),INDEX(Base!$V:$V,MATCH($A38,Base!$A:$A,0)),0)))</f>
        <v>11.264511000000001</v>
      </c>
      <c r="Z38" s="21">
        <f>IF(Z$1&lt;INDEX('Valo FX'!$Q:$Q,MATCH($A38,'Valo FX'!$A:$A,0)),0,IF(Z$1&lt;INDEX('Valo FX'!$R:$R,MATCH($A38,'Valo FX'!$A:$A,0)),INDEX(Base!$U:$U,MATCH($A38,Base!$A:$A,0)),IF(Z$1=INDEX('Valo FX'!$R:$R,MATCH($A38,'Valo FX'!$A:$A,0)),INDEX(Base!$V:$V,MATCH($A38,Base!$A:$A,0)),0)))</f>
        <v>11.264511000000001</v>
      </c>
      <c r="AA38" s="21">
        <f>IF(AA$1&lt;INDEX('Valo FX'!$Q:$Q,MATCH($A38,'Valo FX'!$A:$A,0)),0,IF(AA$1&lt;INDEX('Valo FX'!$R:$R,MATCH($A38,'Valo FX'!$A:$A,0)),INDEX(Base!$U:$U,MATCH($A38,Base!$A:$A,0)),IF(AA$1=INDEX('Valo FX'!$R:$R,MATCH($A38,'Valo FX'!$A:$A,0)),INDEX(Base!$V:$V,MATCH($A38,Base!$A:$A,0)),0)))</f>
        <v>11.264511000000001</v>
      </c>
      <c r="AB38" s="21">
        <f>IF(AB$1&lt;INDEX('Valo FX'!$Q:$Q,MATCH($A38,'Valo FX'!$A:$A,0)),0,IF(AB$1&lt;INDEX('Valo FX'!$R:$R,MATCH($A38,'Valo FX'!$A:$A,0)),INDEX(Base!$U:$U,MATCH($A38,Base!$A:$A,0)),IF(AB$1=INDEX('Valo FX'!$R:$R,MATCH($A38,'Valo FX'!$A:$A,0)),INDEX(Base!$V:$V,MATCH($A38,Base!$A:$A,0)),0)))</f>
        <v>11.264511000000001</v>
      </c>
      <c r="AC38" s="21">
        <f>IF(AC$1&lt;INDEX('Valo FX'!$Q:$Q,MATCH($A38,'Valo FX'!$A:$A,0)),0,IF(AC$1&lt;INDEX('Valo FX'!$R:$R,MATCH($A38,'Valo FX'!$A:$A,0)),INDEX(Base!$U:$U,MATCH($A38,Base!$A:$A,0)),IF(AC$1=INDEX('Valo FX'!$R:$R,MATCH($A38,'Valo FX'!$A:$A,0)),INDEX(Base!$V:$V,MATCH($A38,Base!$A:$A,0)),0)))</f>
        <v>11.264511000000001</v>
      </c>
      <c r="AD38" s="21">
        <f>IF(AD$1&lt;INDEX('Valo FX'!$Q:$Q,MATCH($A38,'Valo FX'!$A:$A,0)),0,IF(AD$1&lt;INDEX('Valo FX'!$R:$R,MATCH($A38,'Valo FX'!$A:$A,0)),INDEX(Base!$U:$U,MATCH($A38,Base!$A:$A,0)),IF(AD$1=INDEX('Valo FX'!$R:$R,MATCH($A38,'Valo FX'!$A:$A,0)),INDEX(Base!$V:$V,MATCH($A38,Base!$A:$A,0)),0)))</f>
        <v>11.264511000000001</v>
      </c>
      <c r="AE38" s="21">
        <f>IF(AE$1&lt;INDEX('Valo FX'!$Q:$Q,MATCH($A38,'Valo FX'!$A:$A,0)),0,IF(AE$1&lt;INDEX('Valo FX'!$R:$R,MATCH($A38,'Valo FX'!$A:$A,0)),INDEX(Base!$U:$U,MATCH($A38,Base!$A:$A,0)),IF(AE$1=INDEX('Valo FX'!$R:$R,MATCH($A38,'Valo FX'!$A:$A,0)),INDEX(Base!$V:$V,MATCH($A38,Base!$A:$A,0)),0)))</f>
        <v>11.264511000000001</v>
      </c>
      <c r="AF38" s="21">
        <f>IF(AF$1&lt;INDEX('Valo FX'!$Q:$Q,MATCH($A38,'Valo FX'!$A:$A,0)),0,IF(AF$1&lt;INDEX('Valo FX'!$R:$R,MATCH($A38,'Valo FX'!$A:$A,0)),INDEX(Base!$U:$U,MATCH($A38,Base!$A:$A,0)),IF(AF$1=INDEX('Valo FX'!$R:$R,MATCH($A38,'Valo FX'!$A:$A,0)),INDEX(Base!$V:$V,MATCH($A38,Base!$A:$A,0)),0)))</f>
        <v>11.264511000000001</v>
      </c>
      <c r="AG38" s="21">
        <f>IF(AG$1&lt;INDEX('Valo FX'!$Q:$Q,MATCH($A38,'Valo FX'!$A:$A,0)),0,IF(AG$1&lt;INDEX('Valo FX'!$R:$R,MATCH($A38,'Valo FX'!$A:$A,0)),INDEX(Base!$U:$U,MATCH($A38,Base!$A:$A,0)),IF(AG$1=INDEX('Valo FX'!$R:$R,MATCH($A38,'Valo FX'!$A:$A,0)),INDEX(Base!$V:$V,MATCH($A38,Base!$A:$A,0)),0)))</f>
        <v>11.264511000000001</v>
      </c>
      <c r="AH38" s="21">
        <f>IF(AH$1&lt;INDEX('Valo FX'!$Q:$Q,MATCH($A38,'Valo FX'!$A:$A,0)),0,IF(AH$1&lt;INDEX('Valo FX'!$R:$R,MATCH($A38,'Valo FX'!$A:$A,0)),INDEX(Base!$U:$U,MATCH($A38,Base!$A:$A,0)),IF(AH$1=INDEX('Valo FX'!$R:$R,MATCH($A38,'Valo FX'!$A:$A,0)),INDEX(Base!$V:$V,MATCH($A38,Base!$A:$A,0)),0)))</f>
        <v>11.264511000000001</v>
      </c>
      <c r="AI38" s="21">
        <f>IF(AI$1&lt;INDEX('Valo FX'!$Q:$Q,MATCH($A38,'Valo FX'!$A:$A,0)),0,IF(AI$1&lt;INDEX('Valo FX'!$R:$R,MATCH($A38,'Valo FX'!$A:$A,0)),INDEX(Base!$U:$U,MATCH($A38,Base!$A:$A,0)),IF(AI$1=INDEX('Valo FX'!$R:$R,MATCH($A38,'Valo FX'!$A:$A,0)),INDEX(Base!$V:$V,MATCH($A38,Base!$A:$A,0)),0)))</f>
        <v>11.264511000000001</v>
      </c>
      <c r="AJ38" s="21">
        <f>IF(AJ$1&lt;INDEX('Valo FX'!$Q:$Q,MATCH($A38,'Valo FX'!$A:$A,0)),0,IF(AJ$1&lt;INDEX('Valo FX'!$R:$R,MATCH($A38,'Valo FX'!$A:$A,0)),INDEX(Base!$U:$U,MATCH($A38,Base!$A:$A,0)),IF(AJ$1=INDEX('Valo FX'!$R:$R,MATCH($A38,'Valo FX'!$A:$A,0)),INDEX(Base!$V:$V,MATCH($A38,Base!$A:$A,0)),0)))</f>
        <v>11.264511000000001</v>
      </c>
      <c r="AK38" s="21">
        <f>IF(AK$1&lt;INDEX('Valo FX'!$Q:$Q,MATCH($A38,'Valo FX'!$A:$A,0)),0,IF(AK$1&lt;INDEX('Valo FX'!$R:$R,MATCH($A38,'Valo FX'!$A:$A,0)),INDEX(Base!$U:$U,MATCH($A38,Base!$A:$A,0)),IF(AK$1=INDEX('Valo FX'!$R:$R,MATCH($A38,'Valo FX'!$A:$A,0)),INDEX(Base!$V:$V,MATCH($A38,Base!$A:$A,0)),0)))</f>
        <v>11.264511000000001</v>
      </c>
      <c r="AL38" s="21">
        <f>IF(AL$1&lt;INDEX('Valo FX'!$Q:$Q,MATCH($A38,'Valo FX'!$A:$A,0)),0,IF(AL$1&lt;INDEX('Valo FX'!$R:$R,MATCH($A38,'Valo FX'!$A:$A,0)),INDEX(Base!$U:$U,MATCH($A38,Base!$A:$A,0)),IF(AL$1=INDEX('Valo FX'!$R:$R,MATCH($A38,'Valo FX'!$A:$A,0)),INDEX(Base!$V:$V,MATCH($A38,Base!$A:$A,0)),0)))</f>
        <v>11.264511000000001</v>
      </c>
      <c r="AM38" s="21">
        <f>IF(AM$1&lt;INDEX('Valo FX'!$Q:$Q,MATCH($A38,'Valo FX'!$A:$A,0)),0,IF(AM$1&lt;INDEX('Valo FX'!$R:$R,MATCH($A38,'Valo FX'!$A:$A,0)),INDEX(Base!$U:$U,MATCH($A38,Base!$A:$A,0)),IF(AM$1=INDEX('Valo FX'!$R:$R,MATCH($A38,'Valo FX'!$A:$A,0)),INDEX(Base!$V:$V,MATCH($A38,Base!$A:$A,0)),0)))</f>
        <v>11.264511000000001</v>
      </c>
      <c r="AN38" s="21">
        <f>IF(AN$1&lt;INDEX('Valo FX'!$Q:$Q,MATCH($A38,'Valo FX'!$A:$A,0)),0,IF(AN$1&lt;INDEX('Valo FX'!$R:$R,MATCH($A38,'Valo FX'!$A:$A,0)),INDEX(Base!$U:$U,MATCH($A38,Base!$A:$A,0)),IF(AN$1=INDEX('Valo FX'!$R:$R,MATCH($A38,'Valo FX'!$A:$A,0)),INDEX(Base!$V:$V,MATCH($A38,Base!$A:$A,0)),0)))</f>
        <v>11.264511000000001</v>
      </c>
      <c r="AO38" s="21">
        <f>IF(AO$1&lt;INDEX('Valo FX'!$Q:$Q,MATCH($A38,'Valo FX'!$A:$A,0)),0,IF(AO$1&lt;INDEX('Valo FX'!$R:$R,MATCH($A38,'Valo FX'!$A:$A,0)),INDEX(Base!$U:$U,MATCH($A38,Base!$A:$A,0)),IF(AO$1=INDEX('Valo FX'!$R:$R,MATCH($A38,'Valo FX'!$A:$A,0)),INDEX(Base!$V:$V,MATCH($A38,Base!$A:$A,0)),0)))</f>
        <v>11.264511000000001</v>
      </c>
      <c r="AP38" s="21">
        <f>IF(AP$1&lt;INDEX('Valo FX'!$Q:$Q,MATCH($A38,'Valo FX'!$A:$A,0)),0,IF(AP$1&lt;INDEX('Valo FX'!$R:$R,MATCH($A38,'Valo FX'!$A:$A,0)),INDEX(Base!$U:$U,MATCH($A38,Base!$A:$A,0)),IF(AP$1=INDEX('Valo FX'!$R:$R,MATCH($A38,'Valo FX'!$A:$A,0)),INDEX(Base!$V:$V,MATCH($A38,Base!$A:$A,0)),0)))</f>
        <v>11.264511000000001</v>
      </c>
      <c r="AQ38" s="21">
        <f>IF(AQ$1&lt;INDEX('Valo FX'!$Q:$Q,MATCH($A38,'Valo FX'!$A:$A,0)),0,IF(AQ$1&lt;INDEX('Valo FX'!$R:$R,MATCH($A38,'Valo FX'!$A:$A,0)),INDEX(Base!$U:$U,MATCH($A38,Base!$A:$A,0)),IF(AQ$1=INDEX('Valo FX'!$R:$R,MATCH($A38,'Valo FX'!$A:$A,0)),INDEX(Base!$V:$V,MATCH($A38,Base!$A:$A,0)),0)))</f>
        <v>11.264511000000001</v>
      </c>
      <c r="AR38" s="21">
        <f>IF(AR$1&lt;INDEX('Valo FX'!$Q:$Q,MATCH($A38,'Valo FX'!$A:$A,0)),0,IF(AR$1&lt;INDEX('Valo FX'!$R:$R,MATCH($A38,'Valo FX'!$A:$A,0)),INDEX(Base!$U:$U,MATCH($A38,Base!$A:$A,0)),IF(AR$1=INDEX('Valo FX'!$R:$R,MATCH($A38,'Valo FX'!$A:$A,0)),INDEX(Base!$V:$V,MATCH($A38,Base!$A:$A,0)),0)))</f>
        <v>11.264511000000001</v>
      </c>
      <c r="AS38" s="21">
        <f>IF(AS$1&lt;INDEX('Valo FX'!$Q:$Q,MATCH($A38,'Valo FX'!$A:$A,0)),0,IF(AS$1&lt;INDEX('Valo FX'!$R:$R,MATCH($A38,'Valo FX'!$A:$A,0)),INDEX(Base!$U:$U,MATCH($A38,Base!$A:$A,0)),IF(AS$1=INDEX('Valo FX'!$R:$R,MATCH($A38,'Valo FX'!$A:$A,0)),INDEX(Base!$V:$V,MATCH($A38,Base!$A:$A,0)),0)))</f>
        <v>11.264511000000001</v>
      </c>
      <c r="AT38" s="21">
        <f>IF(AT$1&lt;INDEX('Valo FX'!$Q:$Q,MATCH($A38,'Valo FX'!$A:$A,0)),0,IF(AT$1&lt;INDEX('Valo FX'!$R:$R,MATCH($A38,'Valo FX'!$A:$A,0)),INDEX(Base!$U:$U,MATCH($A38,Base!$A:$A,0)),IF(AT$1=INDEX('Valo FX'!$R:$R,MATCH($A38,'Valo FX'!$A:$A,0)),INDEX(Base!$V:$V,MATCH($A38,Base!$A:$A,0)),0)))</f>
        <v>11.264511000000001</v>
      </c>
      <c r="AU38" s="21">
        <f>IF(AU$1&lt;INDEX('Valo FX'!$Q:$Q,MATCH($A38,'Valo FX'!$A:$A,0)),0,IF(AU$1&lt;INDEX('Valo FX'!$R:$R,MATCH($A38,'Valo FX'!$A:$A,0)),INDEX(Base!$U:$U,MATCH($A38,Base!$A:$A,0)),IF(AU$1=INDEX('Valo FX'!$R:$R,MATCH($A38,'Valo FX'!$A:$A,0)),INDEX(Base!$V:$V,MATCH($A38,Base!$A:$A,0)),0)))</f>
        <v>11.264511000000001</v>
      </c>
      <c r="AV38" s="21">
        <f>IF(AV$1&lt;INDEX('Valo FX'!$Q:$Q,MATCH($A38,'Valo FX'!$A:$A,0)),0,IF(AV$1&lt;INDEX('Valo FX'!$R:$R,MATCH($A38,'Valo FX'!$A:$A,0)),INDEX(Base!$U:$U,MATCH($A38,Base!$A:$A,0)),IF(AV$1=INDEX('Valo FX'!$R:$R,MATCH($A38,'Valo FX'!$A:$A,0)),INDEX(Base!$V:$V,MATCH($A38,Base!$A:$A,0)),0)))</f>
        <v>11.264511000000001</v>
      </c>
      <c r="AW38" s="21">
        <f>IF(AW$1&lt;INDEX('Valo FX'!$Q:$Q,MATCH($A38,'Valo FX'!$A:$A,0)),0,IF(AW$1&lt;INDEX('Valo FX'!$R:$R,MATCH($A38,'Valo FX'!$A:$A,0)),INDEX(Base!$U:$U,MATCH($A38,Base!$A:$A,0)),IF(AW$1=INDEX('Valo FX'!$R:$R,MATCH($A38,'Valo FX'!$A:$A,0)),INDEX(Base!$V:$V,MATCH($A38,Base!$A:$A,0)),0)))</f>
        <v>11.264511000000001</v>
      </c>
      <c r="AX38" s="21">
        <f>IF(AX$1&lt;INDEX('Valo FX'!$Q:$Q,MATCH($A38,'Valo FX'!$A:$A,0)),0,IF(AX$1&lt;INDEX('Valo FX'!$R:$R,MATCH($A38,'Valo FX'!$A:$A,0)),INDEX(Base!$U:$U,MATCH($A38,Base!$A:$A,0)),IF(AX$1=INDEX('Valo FX'!$R:$R,MATCH($A38,'Valo FX'!$A:$A,0)),INDEX(Base!$V:$V,MATCH($A38,Base!$A:$A,0)),0)))</f>
        <v>11.264511000000001</v>
      </c>
      <c r="AY38" s="21">
        <f>IF(AY$1&lt;INDEX('Valo FX'!$Q:$Q,MATCH($A38,'Valo FX'!$A:$A,0)),0,IF(AY$1&lt;INDEX('Valo FX'!$R:$R,MATCH($A38,'Valo FX'!$A:$A,0)),INDEX(Base!$U:$U,MATCH($A38,Base!$A:$A,0)),IF(AY$1=INDEX('Valo FX'!$R:$R,MATCH($A38,'Valo FX'!$A:$A,0)),INDEX(Base!$V:$V,MATCH($A38,Base!$A:$A,0)),0)))</f>
        <v>11.264511000000001</v>
      </c>
      <c r="AZ38" s="21">
        <f>IF(AZ$1&lt;INDEX('Valo FX'!$Q:$Q,MATCH($A38,'Valo FX'!$A:$A,0)),0,IF(AZ$1&lt;INDEX('Valo FX'!$R:$R,MATCH($A38,'Valo FX'!$A:$A,0)),INDEX(Base!$U:$U,MATCH($A38,Base!$A:$A,0)),IF(AZ$1=INDEX('Valo FX'!$R:$R,MATCH($A38,'Valo FX'!$A:$A,0)),INDEX(Base!$V:$V,MATCH($A38,Base!$A:$A,0)),0)))</f>
        <v>11.264511000000001</v>
      </c>
      <c r="BA38" s="21">
        <f>IF(BA$1&lt;INDEX('Valo FX'!$Q:$Q,MATCH($A38,'Valo FX'!$A:$A,0)),0,IF(BA$1&lt;INDEX('Valo FX'!$R:$R,MATCH($A38,'Valo FX'!$A:$A,0)),INDEX(Base!$U:$U,MATCH($A38,Base!$A:$A,0)),IF(BA$1=INDEX('Valo FX'!$R:$R,MATCH($A38,'Valo FX'!$A:$A,0)),INDEX(Base!$V:$V,MATCH($A38,Base!$A:$A,0)),0)))</f>
        <v>11.264511000000001</v>
      </c>
      <c r="BB38" s="21">
        <f>IF(BB$1&lt;INDEX('Valo FX'!$Q:$Q,MATCH($A38,'Valo FX'!$A:$A,0)),0,IF(BB$1&lt;INDEX('Valo FX'!$R:$R,MATCH($A38,'Valo FX'!$A:$A,0)),INDEX(Base!$U:$U,MATCH($A38,Base!$A:$A,0)),IF(BB$1=INDEX('Valo FX'!$R:$R,MATCH($A38,'Valo FX'!$A:$A,0)),INDEX(Base!$V:$V,MATCH($A38,Base!$A:$A,0)),0)))</f>
        <v>11.264511000000001</v>
      </c>
      <c r="BC38" s="21">
        <f>IF(BC$1&lt;INDEX('Valo FX'!$Q:$Q,MATCH($A38,'Valo FX'!$A:$A,0)),0,IF(BC$1&lt;INDEX('Valo FX'!$R:$R,MATCH($A38,'Valo FX'!$A:$A,0)),INDEX(Base!$U:$U,MATCH($A38,Base!$A:$A,0)),IF(BC$1=INDEX('Valo FX'!$R:$R,MATCH($A38,'Valo FX'!$A:$A,0)),INDEX(Base!$V:$V,MATCH($A38,Base!$A:$A,0)),0)))</f>
        <v>11.264511000000001</v>
      </c>
      <c r="BD38" s="21">
        <f>IF(BD$1&lt;INDEX('Valo FX'!$Q:$Q,MATCH($A38,'Valo FX'!$A:$A,0)),0,IF(BD$1&lt;INDEX('Valo FX'!$R:$R,MATCH($A38,'Valo FX'!$A:$A,0)),INDEX(Base!$U:$U,MATCH($A38,Base!$A:$A,0)),IF(BD$1=INDEX('Valo FX'!$R:$R,MATCH($A38,'Valo FX'!$A:$A,0)),INDEX(Base!$V:$V,MATCH($A38,Base!$A:$A,0)),0)))</f>
        <v>11.264511000000001</v>
      </c>
      <c r="BE38" s="21">
        <f>IF(BE$1&lt;INDEX('Valo FX'!$Q:$Q,MATCH($A38,'Valo FX'!$A:$A,0)),0,IF(BE$1&lt;INDEX('Valo FX'!$R:$R,MATCH($A38,'Valo FX'!$A:$A,0)),INDEX(Base!$U:$U,MATCH($A38,Base!$A:$A,0)),IF(BE$1=INDEX('Valo FX'!$R:$R,MATCH($A38,'Valo FX'!$A:$A,0)),INDEX(Base!$V:$V,MATCH($A38,Base!$A:$A,0)),0)))</f>
        <v>11.264511000000001</v>
      </c>
      <c r="BF38" s="21">
        <f>IF(BF$1&lt;INDEX('Valo FX'!$Q:$Q,MATCH($A38,'Valo FX'!$A:$A,0)),0,IF(BF$1&lt;INDEX('Valo FX'!$R:$R,MATCH($A38,'Valo FX'!$A:$A,0)),INDEX(Base!$U:$U,MATCH($A38,Base!$A:$A,0)),IF(BF$1=INDEX('Valo FX'!$R:$R,MATCH($A38,'Valo FX'!$A:$A,0)),INDEX(Base!$V:$V,MATCH($A38,Base!$A:$A,0)),0)))</f>
        <v>11.264511000000001</v>
      </c>
      <c r="BG38" s="21">
        <f>IF(BG$1&lt;INDEX('Valo FX'!$Q:$Q,MATCH($A38,'Valo FX'!$A:$A,0)),0,IF(BG$1&lt;INDEX('Valo FX'!$R:$R,MATCH($A38,'Valo FX'!$A:$A,0)),INDEX(Base!$U:$U,MATCH($A38,Base!$A:$A,0)),IF(BG$1=INDEX('Valo FX'!$R:$R,MATCH($A38,'Valo FX'!$A:$A,0)),INDEX(Base!$V:$V,MATCH($A38,Base!$A:$A,0)),0)))</f>
        <v>11.264511000000001</v>
      </c>
      <c r="BH38" s="21">
        <f>IF(BH$1&lt;INDEX('Valo FX'!$Q:$Q,MATCH($A38,'Valo FX'!$A:$A,0)),0,IF(BH$1&lt;INDEX('Valo FX'!$R:$R,MATCH($A38,'Valo FX'!$A:$A,0)),INDEX(Base!$U:$U,MATCH($A38,Base!$A:$A,0)),IF(BH$1=INDEX('Valo FX'!$R:$R,MATCH($A38,'Valo FX'!$A:$A,0)),INDEX(Base!$V:$V,MATCH($A38,Base!$A:$A,0)),0)))</f>
        <v>11.264511000000001</v>
      </c>
      <c r="BI38" s="21">
        <f>IF(BI$1&lt;INDEX('Valo FX'!$Q:$Q,MATCH($A38,'Valo FX'!$A:$A,0)),0,IF(BI$1&lt;INDEX('Valo FX'!$R:$R,MATCH($A38,'Valo FX'!$A:$A,0)),INDEX(Base!$U:$U,MATCH($A38,Base!$A:$A,0)),IF(BI$1=INDEX('Valo FX'!$R:$R,MATCH($A38,'Valo FX'!$A:$A,0)),INDEX(Base!$V:$V,MATCH($A38,Base!$A:$A,0)),0)))</f>
        <v>11.264511000000001</v>
      </c>
      <c r="BJ38" s="21">
        <f>IF(BJ$1&lt;INDEX('Valo FX'!$Q:$Q,MATCH($A38,'Valo FX'!$A:$A,0)),0,IF(BJ$1&lt;INDEX('Valo FX'!$R:$R,MATCH($A38,'Valo FX'!$A:$A,0)),INDEX(Base!$U:$U,MATCH($A38,Base!$A:$A,0)),IF(BJ$1=INDEX('Valo FX'!$R:$R,MATCH($A38,'Valo FX'!$A:$A,0)),INDEX(Base!$V:$V,MATCH($A38,Base!$A:$A,0)),0)))</f>
        <v>11.264511000000001</v>
      </c>
      <c r="BK38" s="21">
        <f>IF(BK$1&lt;INDEX('Valo FX'!$Q:$Q,MATCH($A38,'Valo FX'!$A:$A,0)),0,IF(BK$1&lt;INDEX('Valo FX'!$R:$R,MATCH($A38,'Valo FX'!$A:$A,0)),INDEX(Base!$U:$U,MATCH($A38,Base!$A:$A,0)),IF(BK$1=INDEX('Valo FX'!$R:$R,MATCH($A38,'Valo FX'!$A:$A,0)),INDEX(Base!$V:$V,MATCH($A38,Base!$A:$A,0)),0)))</f>
        <v>11.264511000000001</v>
      </c>
      <c r="BL38" s="21">
        <f>IF(BL$1&lt;INDEX('Valo FX'!$Q:$Q,MATCH($A38,'Valo FX'!$A:$A,0)),0,IF(BL$1&lt;INDEX('Valo FX'!$R:$R,MATCH($A38,'Valo FX'!$A:$A,0)),INDEX(Base!$U:$U,MATCH($A38,Base!$A:$A,0)),IF(BL$1=INDEX('Valo FX'!$R:$R,MATCH($A38,'Valo FX'!$A:$A,0)),INDEX(Base!$V:$V,MATCH($A38,Base!$A:$A,0)),0)))</f>
        <v>11.264511000000001</v>
      </c>
      <c r="BM38" s="21">
        <f>IF(BM$1&lt;INDEX('Valo FX'!$Q:$Q,MATCH($A38,'Valo FX'!$A:$A,0)),0,IF(BM$1&lt;INDEX('Valo FX'!$R:$R,MATCH($A38,'Valo FX'!$A:$A,0)),INDEX(Base!$U:$U,MATCH($A38,Base!$A:$A,0)),IF(BM$1=INDEX('Valo FX'!$R:$R,MATCH($A38,'Valo FX'!$A:$A,0)),INDEX(Base!$V:$V,MATCH($A38,Base!$A:$A,0)),0)))</f>
        <v>11.264511000000001</v>
      </c>
      <c r="BN38" s="21">
        <f>IF(BN$1&lt;INDEX('Valo FX'!$Q:$Q,MATCH($A38,'Valo FX'!$A:$A,0)),0,IF(BN$1&lt;INDEX('Valo FX'!$R:$R,MATCH($A38,'Valo FX'!$A:$A,0)),INDEX(Base!$U:$U,MATCH($A38,Base!$A:$A,0)),IF(BN$1=INDEX('Valo FX'!$R:$R,MATCH($A38,'Valo FX'!$A:$A,0)),INDEX(Base!$V:$V,MATCH($A38,Base!$A:$A,0)),0)))</f>
        <v>11.264511000000001</v>
      </c>
      <c r="BO38" s="21">
        <f>IF(BO$1&lt;INDEX('Valo FX'!$Q:$Q,MATCH($A38,'Valo FX'!$A:$A,0)),0,IF(BO$1&lt;INDEX('Valo FX'!$R:$R,MATCH($A38,'Valo FX'!$A:$A,0)),INDEX(Base!$U:$U,MATCH($A38,Base!$A:$A,0)),IF(BO$1=INDEX('Valo FX'!$R:$R,MATCH($A38,'Valo FX'!$A:$A,0)),INDEX(Base!$V:$V,MATCH($A38,Base!$A:$A,0)),0)))</f>
        <v>11.264511000000001</v>
      </c>
      <c r="BP38" s="21">
        <f>IF(BP$1&lt;INDEX('Valo FX'!$Q:$Q,MATCH($A38,'Valo FX'!$A:$A,0)),0,IF(BP$1&lt;INDEX('Valo FX'!$R:$R,MATCH($A38,'Valo FX'!$A:$A,0)),INDEX(Base!$U:$U,MATCH($A38,Base!$A:$A,0)),IF(BP$1=INDEX('Valo FX'!$R:$R,MATCH($A38,'Valo FX'!$A:$A,0)),INDEX(Base!$V:$V,MATCH($A38,Base!$A:$A,0)),0)))</f>
        <v>11.264511000000001</v>
      </c>
      <c r="BQ38" s="21">
        <f>IF(BQ$1&lt;INDEX('Valo FX'!$Q:$Q,MATCH($A38,'Valo FX'!$A:$A,0)),0,IF(BQ$1&lt;INDEX('Valo FX'!$R:$R,MATCH($A38,'Valo FX'!$A:$A,0)),INDEX(Base!$U:$U,MATCH($A38,Base!$A:$A,0)),IF(BQ$1=INDEX('Valo FX'!$R:$R,MATCH($A38,'Valo FX'!$A:$A,0)),INDEX(Base!$V:$V,MATCH($A38,Base!$A:$A,0)),0)))</f>
        <v>11.264511000000001</v>
      </c>
      <c r="BR38" s="21">
        <f>IF(BR$1&lt;INDEX('Valo FX'!$Q:$Q,MATCH($A38,'Valo FX'!$A:$A,0)),0,IF(BR$1&lt;INDEX('Valo FX'!$R:$R,MATCH($A38,'Valo FX'!$A:$A,0)),INDEX(Base!$U:$U,MATCH($A38,Base!$A:$A,0)),IF(BR$1=INDEX('Valo FX'!$R:$R,MATCH($A38,'Valo FX'!$A:$A,0)),INDEX(Base!$V:$V,MATCH($A38,Base!$A:$A,0)),0)))</f>
        <v>11.264511000000001</v>
      </c>
      <c r="BS38" s="21">
        <f>IF(BS$1&lt;INDEX('Valo FX'!$Q:$Q,MATCH($A38,'Valo FX'!$A:$A,0)),0,IF(BS$1&lt;INDEX('Valo FX'!$R:$R,MATCH($A38,'Valo FX'!$A:$A,0)),INDEX(Base!$U:$U,MATCH($A38,Base!$A:$A,0)),IF(BS$1=INDEX('Valo FX'!$R:$R,MATCH($A38,'Valo FX'!$A:$A,0)),INDEX(Base!$V:$V,MATCH($A38,Base!$A:$A,0)),0)))</f>
        <v>11.264511000000001</v>
      </c>
      <c r="BT38" s="21">
        <f>IF(BT$1&lt;INDEX('Valo FX'!$Q:$Q,MATCH($A38,'Valo FX'!$A:$A,0)),0,IF(BT$1&lt;INDEX('Valo FX'!$R:$R,MATCH($A38,'Valo FX'!$A:$A,0)),INDEX(Base!$U:$U,MATCH($A38,Base!$A:$A,0)),IF(BT$1=INDEX('Valo FX'!$R:$R,MATCH($A38,'Valo FX'!$A:$A,0)),INDEX(Base!$V:$V,MATCH($A38,Base!$A:$A,0)),0)))</f>
        <v>11.264511000000001</v>
      </c>
      <c r="BU38" s="21">
        <f>IF(BU$1&lt;INDEX('Valo FX'!$Q:$Q,MATCH($A38,'Valo FX'!$A:$A,0)),0,IF(BU$1&lt;INDEX('Valo FX'!$R:$R,MATCH($A38,'Valo FX'!$A:$A,0)),INDEX(Base!$U:$U,MATCH($A38,Base!$A:$A,0)),IF(BU$1=INDEX('Valo FX'!$R:$R,MATCH($A38,'Valo FX'!$A:$A,0)),INDEX(Base!$V:$V,MATCH($A38,Base!$A:$A,0)),0)))</f>
        <v>11.264511000000001</v>
      </c>
      <c r="BV38" s="21">
        <f>IF(BV$1&lt;INDEX('Valo FX'!$Q:$Q,MATCH($A38,'Valo FX'!$A:$A,0)),0,IF(BV$1&lt;INDEX('Valo FX'!$R:$R,MATCH($A38,'Valo FX'!$A:$A,0)),INDEX(Base!$U:$U,MATCH($A38,Base!$A:$A,0)),IF(BV$1=INDEX('Valo FX'!$R:$R,MATCH($A38,'Valo FX'!$A:$A,0)),INDEX(Base!$V:$V,MATCH($A38,Base!$A:$A,0)),0)))</f>
        <v>11.264511000000001</v>
      </c>
      <c r="BW38" s="21">
        <f>IF(BW$1&lt;INDEX('Valo FX'!$Q:$Q,MATCH($A38,'Valo FX'!$A:$A,0)),0,IF(BW$1&lt;INDEX('Valo FX'!$R:$R,MATCH($A38,'Valo FX'!$A:$A,0)),INDEX(Base!$U:$U,MATCH($A38,Base!$A:$A,0)),IF(BW$1=INDEX('Valo FX'!$R:$R,MATCH($A38,'Valo FX'!$A:$A,0)),INDEX(Base!$V:$V,MATCH($A38,Base!$A:$A,0)),0)))</f>
        <v>11.264511000000001</v>
      </c>
      <c r="BX38" s="21">
        <f>IF(BX$1&lt;INDEX('Valo FX'!$Q:$Q,MATCH($A38,'Valo FX'!$A:$A,0)),0,IF(BX$1&lt;INDEX('Valo FX'!$R:$R,MATCH($A38,'Valo FX'!$A:$A,0)),INDEX(Base!$U:$U,MATCH($A38,Base!$A:$A,0)),IF(BX$1=INDEX('Valo FX'!$R:$R,MATCH($A38,'Valo FX'!$A:$A,0)),INDEX(Base!$V:$V,MATCH($A38,Base!$A:$A,0)),0)))</f>
        <v>11.264511000000001</v>
      </c>
      <c r="BY38" s="21">
        <f>IF(BY$1&lt;INDEX('Valo FX'!$Q:$Q,MATCH($A38,'Valo FX'!$A:$A,0)),0,IF(BY$1&lt;INDEX('Valo FX'!$R:$R,MATCH($A38,'Valo FX'!$A:$A,0)),INDEX(Base!$U:$U,MATCH($A38,Base!$A:$A,0)),IF(BY$1=INDEX('Valo FX'!$R:$R,MATCH($A38,'Valo FX'!$A:$A,0)),INDEX(Base!$V:$V,MATCH($A38,Base!$A:$A,0)),0)))</f>
        <v>11.264511000000001</v>
      </c>
      <c r="BZ38" s="21">
        <f>IF(BZ$1&lt;INDEX('Valo FX'!$Q:$Q,MATCH($A38,'Valo FX'!$A:$A,0)),0,IF(BZ$1&lt;INDEX('Valo FX'!$R:$R,MATCH($A38,'Valo FX'!$A:$A,0)),INDEX(Base!$U:$U,MATCH($A38,Base!$A:$A,0)),IF(BZ$1=INDEX('Valo FX'!$R:$R,MATCH($A38,'Valo FX'!$A:$A,0)),INDEX(Base!$V:$V,MATCH($A38,Base!$A:$A,0)),0)))</f>
        <v>11.264511000000001</v>
      </c>
      <c r="CA38" s="21">
        <f>IF(CA$1&lt;INDEX('Valo FX'!$Q:$Q,MATCH($A38,'Valo FX'!$A:$A,0)),0,IF(CA$1&lt;INDEX('Valo FX'!$R:$R,MATCH($A38,'Valo FX'!$A:$A,0)),INDEX(Base!$U:$U,MATCH($A38,Base!$A:$A,0)),IF(CA$1=INDEX('Valo FX'!$R:$R,MATCH($A38,'Valo FX'!$A:$A,0)),INDEX(Base!$V:$V,MATCH($A38,Base!$A:$A,0)),0)))</f>
        <v>11.264511000000001</v>
      </c>
      <c r="CB38" s="21">
        <f>IF(CB$1&lt;INDEX('Valo FX'!$Q:$Q,MATCH($A38,'Valo FX'!$A:$A,0)),0,IF(CB$1&lt;INDEX('Valo FX'!$R:$R,MATCH($A38,'Valo FX'!$A:$A,0)),INDEX(Base!$U:$U,MATCH($A38,Base!$A:$A,0)),IF(CB$1=INDEX('Valo FX'!$R:$R,MATCH($A38,'Valo FX'!$A:$A,0)),INDEX(Base!$V:$V,MATCH($A38,Base!$A:$A,0)),0)))</f>
        <v>11.264511000000001</v>
      </c>
      <c r="CC38" s="21">
        <f>IF(CC$1&lt;INDEX('Valo FX'!$Q:$Q,MATCH($A38,'Valo FX'!$A:$A,0)),0,IF(CC$1&lt;INDEX('Valo FX'!$R:$R,MATCH($A38,'Valo FX'!$A:$A,0)),INDEX(Base!$U:$U,MATCH($A38,Base!$A:$A,0)),IF(CC$1=INDEX('Valo FX'!$R:$R,MATCH($A38,'Valo FX'!$A:$A,0)),INDEX(Base!$V:$V,MATCH($A38,Base!$A:$A,0)),0)))</f>
        <v>11.264511000000001</v>
      </c>
      <c r="CD38" s="21">
        <f>IF(CD$1&lt;INDEX('Valo FX'!$Q:$Q,MATCH($A38,'Valo FX'!$A:$A,0)),0,IF(CD$1&lt;INDEX('Valo FX'!$R:$R,MATCH($A38,'Valo FX'!$A:$A,0)),INDEX(Base!$U:$U,MATCH($A38,Base!$A:$A,0)),IF(CD$1=INDEX('Valo FX'!$R:$R,MATCH($A38,'Valo FX'!$A:$A,0)),INDEX(Base!$V:$V,MATCH($A38,Base!$A:$A,0)),0)))</f>
        <v>11.264511000000001</v>
      </c>
      <c r="CE38" s="21">
        <f>IF(CE$1&lt;INDEX('Valo FX'!$Q:$Q,MATCH($A38,'Valo FX'!$A:$A,0)),0,IF(CE$1&lt;INDEX('Valo FX'!$R:$R,MATCH($A38,'Valo FX'!$A:$A,0)),INDEX(Base!$U:$U,MATCH($A38,Base!$A:$A,0)),IF(CE$1=INDEX('Valo FX'!$R:$R,MATCH($A38,'Valo FX'!$A:$A,0)),INDEX(Base!$V:$V,MATCH($A38,Base!$A:$A,0)),0)))</f>
        <v>11.264511000000001</v>
      </c>
      <c r="CF38" s="21">
        <f>IF(CF$1&lt;INDEX('Valo FX'!$Q:$Q,MATCH($A38,'Valo FX'!$A:$A,0)),0,IF(CF$1&lt;INDEX('Valo FX'!$R:$R,MATCH($A38,'Valo FX'!$A:$A,0)),INDEX(Base!$U:$U,MATCH($A38,Base!$A:$A,0)),IF(CF$1=INDEX('Valo FX'!$R:$R,MATCH($A38,'Valo FX'!$A:$A,0)),INDEX(Base!$V:$V,MATCH($A38,Base!$A:$A,0)),0)))</f>
        <v>11.264511000000001</v>
      </c>
      <c r="CG38" s="21">
        <f>IF(CG$1&lt;INDEX('Valo FX'!$Q:$Q,MATCH($A38,'Valo FX'!$A:$A,0)),0,IF(CG$1&lt;INDEX('Valo FX'!$R:$R,MATCH($A38,'Valo FX'!$A:$A,0)),INDEX(Base!$U:$U,MATCH($A38,Base!$A:$A,0)),IF(CG$1=INDEX('Valo FX'!$R:$R,MATCH($A38,'Valo FX'!$A:$A,0)),INDEX(Base!$V:$V,MATCH($A38,Base!$A:$A,0)),0)))</f>
        <v>11.264511000000001</v>
      </c>
      <c r="CH38" s="21">
        <f>IF(CH$1&lt;INDEX('Valo FX'!$Q:$Q,MATCH($A38,'Valo FX'!$A:$A,0)),0,IF(CH$1&lt;INDEX('Valo FX'!$R:$R,MATCH($A38,'Valo FX'!$A:$A,0)),INDEX(Base!$U:$U,MATCH($A38,Base!$A:$A,0)),IF(CH$1=INDEX('Valo FX'!$R:$R,MATCH($A38,'Valo FX'!$A:$A,0)),INDEX(Base!$V:$V,MATCH($A38,Base!$A:$A,0)),0)))</f>
        <v>11.264511000000001</v>
      </c>
      <c r="CI38" s="21">
        <f>IF(CI$1&lt;INDEX('Valo FX'!$Q:$Q,MATCH($A38,'Valo FX'!$A:$A,0)),0,IF(CI$1&lt;INDEX('Valo FX'!$R:$R,MATCH($A38,'Valo FX'!$A:$A,0)),INDEX(Base!$U:$U,MATCH($A38,Base!$A:$A,0)),IF(CI$1=INDEX('Valo FX'!$R:$R,MATCH($A38,'Valo FX'!$A:$A,0)),INDEX(Base!$V:$V,MATCH($A38,Base!$A:$A,0)),0)))</f>
        <v>11.264511000000001</v>
      </c>
      <c r="CJ38" s="21">
        <f>IF(CJ$1&lt;INDEX('Valo FX'!$Q:$Q,MATCH($A38,'Valo FX'!$A:$A,0)),0,IF(CJ$1&lt;INDEX('Valo FX'!$R:$R,MATCH($A38,'Valo FX'!$A:$A,0)),INDEX(Base!$U:$U,MATCH($A38,Base!$A:$A,0)),IF(CJ$1=INDEX('Valo FX'!$R:$R,MATCH($A38,'Valo FX'!$A:$A,0)),INDEX(Base!$V:$V,MATCH($A38,Base!$A:$A,0)),0)))</f>
        <v>11.264511000000001</v>
      </c>
      <c r="CK38" s="21">
        <f>IF(CK$1&lt;INDEX('Valo FX'!$Q:$Q,MATCH($A38,'Valo FX'!$A:$A,0)),0,IF(CK$1&lt;INDEX('Valo FX'!$R:$R,MATCH($A38,'Valo FX'!$A:$A,0)),INDEX(Base!$U:$U,MATCH($A38,Base!$A:$A,0)),IF(CK$1=INDEX('Valo FX'!$R:$R,MATCH($A38,'Valo FX'!$A:$A,0)),INDEX(Base!$V:$V,MATCH($A38,Base!$A:$A,0)),0)))</f>
        <v>11.264511000000001</v>
      </c>
      <c r="CL38" s="21">
        <f>IF(CL$1&lt;INDEX('Valo FX'!$Q:$Q,MATCH($A38,'Valo FX'!$A:$A,0)),0,IF(CL$1&lt;INDEX('Valo FX'!$R:$R,MATCH($A38,'Valo FX'!$A:$A,0)),INDEX(Base!$U:$U,MATCH($A38,Base!$A:$A,0)),IF(CL$1=INDEX('Valo FX'!$R:$R,MATCH($A38,'Valo FX'!$A:$A,0)),INDEX(Base!$V:$V,MATCH($A38,Base!$A:$A,0)),0)))</f>
        <v>11.264511000000001</v>
      </c>
      <c r="CM38" s="21">
        <f>IF(CM$1&lt;INDEX('Valo FX'!$Q:$Q,MATCH($A38,'Valo FX'!$A:$A,0)),0,IF(CM$1&lt;INDEX('Valo FX'!$R:$R,MATCH($A38,'Valo FX'!$A:$A,0)),INDEX(Base!$U:$U,MATCH($A38,Base!$A:$A,0)),IF(CM$1=INDEX('Valo FX'!$R:$R,MATCH($A38,'Valo FX'!$A:$A,0)),INDEX(Base!$V:$V,MATCH($A38,Base!$A:$A,0)),0)))</f>
        <v>11.264511000000001</v>
      </c>
      <c r="CN38" s="21">
        <f>IF(CN$1&lt;INDEX('Valo FX'!$Q:$Q,MATCH($A38,'Valo FX'!$A:$A,0)),0,IF(CN$1&lt;INDEX('Valo FX'!$R:$R,MATCH($A38,'Valo FX'!$A:$A,0)),INDEX(Base!$U:$U,MATCH($A38,Base!$A:$A,0)),IF(CN$1=INDEX('Valo FX'!$R:$R,MATCH($A38,'Valo FX'!$A:$A,0)),INDEX(Base!$V:$V,MATCH($A38,Base!$A:$A,0)),0)))</f>
        <v>11.264511000000001</v>
      </c>
      <c r="CO38" s="21">
        <f>IF(CO$1&lt;INDEX('Valo FX'!$Q:$Q,MATCH($A38,'Valo FX'!$A:$A,0)),0,IF(CO$1&lt;INDEX('Valo FX'!$R:$R,MATCH($A38,'Valo FX'!$A:$A,0)),INDEX(Base!$U:$U,MATCH($A38,Base!$A:$A,0)),IF(CO$1=INDEX('Valo FX'!$R:$R,MATCH($A38,'Valo FX'!$A:$A,0)),INDEX(Base!$V:$V,MATCH($A38,Base!$A:$A,0)),0)))</f>
        <v>11.264511000000001</v>
      </c>
      <c r="CP38" s="21">
        <f>IF(CP$1&lt;INDEX('Valo FX'!$Q:$Q,MATCH($A38,'Valo FX'!$A:$A,0)),0,IF(CP$1&lt;INDEX('Valo FX'!$R:$R,MATCH($A38,'Valo FX'!$A:$A,0)),INDEX(Base!$U:$U,MATCH($A38,Base!$A:$A,0)),IF(CP$1=INDEX('Valo FX'!$R:$R,MATCH($A38,'Valo FX'!$A:$A,0)),INDEX(Base!$V:$V,MATCH($A38,Base!$A:$A,0)),0)))</f>
        <v>11.264511000000001</v>
      </c>
      <c r="CQ38" s="21">
        <f>IF(CQ$1&lt;INDEX('Valo FX'!$Q:$Q,MATCH($A38,'Valo FX'!$A:$A,0)),0,IF(CQ$1&lt;INDEX('Valo FX'!$R:$R,MATCH($A38,'Valo FX'!$A:$A,0)),INDEX(Base!$U:$U,MATCH($A38,Base!$A:$A,0)),IF(CQ$1=INDEX('Valo FX'!$R:$R,MATCH($A38,'Valo FX'!$A:$A,0)),INDEX(Base!$V:$V,MATCH($A38,Base!$A:$A,0)),0)))</f>
        <v>11.264511000000001</v>
      </c>
      <c r="CR38" s="21">
        <f>IF(CR$1&lt;INDEX('Valo FX'!$Q:$Q,MATCH($A38,'Valo FX'!$A:$A,0)),0,IF(CR$1&lt;INDEX('Valo FX'!$R:$R,MATCH($A38,'Valo FX'!$A:$A,0)),INDEX(Base!$U:$U,MATCH($A38,Base!$A:$A,0)),IF(CR$1=INDEX('Valo FX'!$R:$R,MATCH($A38,'Valo FX'!$A:$A,0)),INDEX(Base!$V:$V,MATCH($A38,Base!$A:$A,0)),0)))</f>
        <v>11.264511000000001</v>
      </c>
      <c r="CS38" s="21">
        <f>IF(CS$1&lt;INDEX('Valo FX'!$Q:$Q,MATCH($A38,'Valo FX'!$A:$A,0)),0,IF(CS$1&lt;INDEX('Valo FX'!$R:$R,MATCH($A38,'Valo FX'!$A:$A,0)),INDEX(Base!$U:$U,MATCH($A38,Base!$A:$A,0)),IF(CS$1=INDEX('Valo FX'!$R:$R,MATCH($A38,'Valo FX'!$A:$A,0)),INDEX(Base!$V:$V,MATCH($A38,Base!$A:$A,0)),0)))</f>
        <v>11.264511000000001</v>
      </c>
      <c r="CT38" s="21">
        <f>IF(CT$1&lt;INDEX('Valo FX'!$Q:$Q,MATCH($A38,'Valo FX'!$A:$A,0)),0,IF(CT$1&lt;INDEX('Valo FX'!$R:$R,MATCH($A38,'Valo FX'!$A:$A,0)),INDEX(Base!$U:$U,MATCH($A38,Base!$A:$A,0)),IF(CT$1=INDEX('Valo FX'!$R:$R,MATCH($A38,'Valo FX'!$A:$A,0)),INDEX(Base!$V:$V,MATCH($A38,Base!$A:$A,0)),0)))</f>
        <v>11.264511000000001</v>
      </c>
      <c r="CU38" s="21">
        <f>IF(CU$1&lt;INDEX('Valo FX'!$Q:$Q,MATCH($A38,'Valo FX'!$A:$A,0)),0,IF(CU$1&lt;INDEX('Valo FX'!$R:$R,MATCH($A38,'Valo FX'!$A:$A,0)),INDEX(Base!$U:$U,MATCH($A38,Base!$A:$A,0)),IF(CU$1=INDEX('Valo FX'!$R:$R,MATCH($A38,'Valo FX'!$A:$A,0)),INDEX(Base!$V:$V,MATCH($A38,Base!$A:$A,0)),0)))</f>
        <v>11.264511000000001</v>
      </c>
      <c r="CV38" s="21">
        <f>IF(CV$1&lt;INDEX('Valo FX'!$Q:$Q,MATCH($A38,'Valo FX'!$A:$A,0)),0,IF(CV$1&lt;INDEX('Valo FX'!$R:$R,MATCH($A38,'Valo FX'!$A:$A,0)),INDEX(Base!$U:$U,MATCH($A38,Base!$A:$A,0)),IF(CV$1=INDEX('Valo FX'!$R:$R,MATCH($A38,'Valo FX'!$A:$A,0)),INDEX(Base!$V:$V,MATCH($A38,Base!$A:$A,0)),0)))</f>
        <v>11.264511000000001</v>
      </c>
      <c r="CW38" s="21">
        <f>IF(CW$1&lt;INDEX('Valo FX'!$Q:$Q,MATCH($A38,'Valo FX'!$A:$A,0)),0,IF(CW$1&lt;INDEX('Valo FX'!$R:$R,MATCH($A38,'Valo FX'!$A:$A,0)),INDEX(Base!$U:$U,MATCH($A38,Base!$A:$A,0)),IF(CW$1=INDEX('Valo FX'!$R:$R,MATCH($A38,'Valo FX'!$A:$A,0)),INDEX(Base!$V:$V,MATCH($A38,Base!$A:$A,0)),0)))</f>
        <v>11.264511000000001</v>
      </c>
      <c r="CX38" s="21">
        <f>IF(CX$1&lt;INDEX('Valo FX'!$Q:$Q,MATCH($A38,'Valo FX'!$A:$A,0)),0,IF(CX$1&lt;INDEX('Valo FX'!$R:$R,MATCH($A38,'Valo FX'!$A:$A,0)),INDEX(Base!$U:$U,MATCH($A38,Base!$A:$A,0)),IF(CX$1=INDEX('Valo FX'!$R:$R,MATCH($A38,'Valo FX'!$A:$A,0)),INDEX(Base!$V:$V,MATCH($A38,Base!$A:$A,0)),0)))</f>
        <v>11.264511000000001</v>
      </c>
      <c r="CY38" s="21">
        <f>IF(CY$1&lt;INDEX('Valo FX'!$Q:$Q,MATCH($A38,'Valo FX'!$A:$A,0)),0,IF(CY$1&lt;INDEX('Valo FX'!$R:$R,MATCH($A38,'Valo FX'!$A:$A,0)),INDEX(Base!$U:$U,MATCH($A38,Base!$A:$A,0)),IF(CY$1=INDEX('Valo FX'!$R:$R,MATCH($A38,'Valo FX'!$A:$A,0)),INDEX(Base!$V:$V,MATCH($A38,Base!$A:$A,0)),0)))</f>
        <v>11.264511000000001</v>
      </c>
      <c r="CZ38" s="21">
        <f>IF(CZ$1&lt;INDEX('Valo FX'!$Q:$Q,MATCH($A38,'Valo FX'!$A:$A,0)),0,IF(CZ$1&lt;INDEX('Valo FX'!$R:$R,MATCH($A38,'Valo FX'!$A:$A,0)),INDEX(Base!$U:$U,MATCH($A38,Base!$A:$A,0)),IF(CZ$1=INDEX('Valo FX'!$R:$R,MATCH($A38,'Valo FX'!$A:$A,0)),INDEX(Base!$V:$V,MATCH($A38,Base!$A:$A,0)),0)))</f>
        <v>11.264511000000001</v>
      </c>
      <c r="DA38" s="21">
        <f>IF(DA$1&lt;INDEX('Valo FX'!$Q:$Q,MATCH($A38,'Valo FX'!$A:$A,0)),0,IF(DA$1&lt;INDEX('Valo FX'!$R:$R,MATCH($A38,'Valo FX'!$A:$A,0)),INDEX(Base!$U:$U,MATCH($A38,Base!$A:$A,0)),IF(DA$1=INDEX('Valo FX'!$R:$R,MATCH($A38,'Valo FX'!$A:$A,0)),INDEX(Base!$V:$V,MATCH($A38,Base!$A:$A,0)),0)))</f>
        <v>11.264511000000001</v>
      </c>
      <c r="DB38" s="21">
        <f>IF(DB$1&lt;INDEX('Valo FX'!$Q:$Q,MATCH($A38,'Valo FX'!$A:$A,0)),0,IF(DB$1&lt;INDEX('Valo FX'!$R:$R,MATCH($A38,'Valo FX'!$A:$A,0)),INDEX(Base!$U:$U,MATCH($A38,Base!$A:$A,0)),IF(DB$1=INDEX('Valo FX'!$R:$R,MATCH($A38,'Valo FX'!$A:$A,0)),INDEX(Base!$V:$V,MATCH($A38,Base!$A:$A,0)),0)))</f>
        <v>11.264511000000001</v>
      </c>
      <c r="DC38" s="21">
        <f>IF(DC$1&lt;INDEX('Valo FX'!$Q:$Q,MATCH($A38,'Valo FX'!$A:$A,0)),0,IF(DC$1&lt;INDEX('Valo FX'!$R:$R,MATCH($A38,'Valo FX'!$A:$A,0)),INDEX(Base!$U:$U,MATCH($A38,Base!$A:$A,0)),IF(DC$1=INDEX('Valo FX'!$R:$R,MATCH($A38,'Valo FX'!$A:$A,0)),INDEX(Base!$V:$V,MATCH($A38,Base!$A:$A,0)),0)))</f>
        <v>11.264511000000001</v>
      </c>
      <c r="DD38" s="21">
        <f>IF(DD$1&lt;INDEX('Valo FX'!$Q:$Q,MATCH($A38,'Valo FX'!$A:$A,0)),0,IF(DD$1&lt;INDEX('Valo FX'!$R:$R,MATCH($A38,'Valo FX'!$A:$A,0)),INDEX(Base!$U:$U,MATCH($A38,Base!$A:$A,0)),IF(DD$1=INDEX('Valo FX'!$R:$R,MATCH($A38,'Valo FX'!$A:$A,0)),INDEX(Base!$V:$V,MATCH($A38,Base!$A:$A,0)),0)))</f>
        <v>11.264511000000001</v>
      </c>
      <c r="DE38" s="21">
        <f>IF(DE$1&lt;INDEX('Valo FX'!$Q:$Q,MATCH($A38,'Valo FX'!$A:$A,0)),0,IF(DE$1&lt;INDEX('Valo FX'!$R:$R,MATCH($A38,'Valo FX'!$A:$A,0)),INDEX(Base!$U:$U,MATCH($A38,Base!$A:$A,0)),IF(DE$1=INDEX('Valo FX'!$R:$R,MATCH($A38,'Valo FX'!$A:$A,0)),INDEX(Base!$V:$V,MATCH($A38,Base!$A:$A,0)),0)))</f>
        <v>11.264511000000001</v>
      </c>
      <c r="DF38" s="21">
        <f>IF(DF$1&lt;INDEX('Valo FX'!$Q:$Q,MATCH($A38,'Valo FX'!$A:$A,0)),0,IF(DF$1&lt;INDEX('Valo FX'!$R:$R,MATCH($A38,'Valo FX'!$A:$A,0)),INDEX(Base!$U:$U,MATCH($A38,Base!$A:$A,0)),IF(DF$1=INDEX('Valo FX'!$R:$R,MATCH($A38,'Valo FX'!$A:$A,0)),INDEX(Base!$V:$V,MATCH($A38,Base!$A:$A,0)),0)))</f>
        <v>11.264511000000001</v>
      </c>
      <c r="DG38" s="21">
        <f>IF(DG$1&lt;INDEX('Valo FX'!$Q:$Q,MATCH($A38,'Valo FX'!$A:$A,0)),0,IF(DG$1&lt;INDEX('Valo FX'!$R:$R,MATCH($A38,'Valo FX'!$A:$A,0)),INDEX(Base!$U:$U,MATCH($A38,Base!$A:$A,0)),IF(DG$1=INDEX('Valo FX'!$R:$R,MATCH($A38,'Valo FX'!$A:$A,0)),INDEX(Base!$V:$V,MATCH($A38,Base!$A:$A,0)),0)))</f>
        <v>11.264511000000001</v>
      </c>
      <c r="DH38" s="21">
        <f>IF(DH$1&lt;INDEX('Valo FX'!$Q:$Q,MATCH($A38,'Valo FX'!$A:$A,0)),0,IF(DH$1&lt;INDEX('Valo FX'!$R:$R,MATCH($A38,'Valo FX'!$A:$A,0)),INDEX(Base!$U:$U,MATCH($A38,Base!$A:$A,0)),IF(DH$1=INDEX('Valo FX'!$R:$R,MATCH($A38,'Valo FX'!$A:$A,0)),INDEX(Base!$V:$V,MATCH($A38,Base!$A:$A,0)),0)))</f>
        <v>11.264511000000001</v>
      </c>
      <c r="DI38" s="21">
        <f>IF(DI$1&lt;INDEX('Valo FX'!$Q:$Q,MATCH($A38,'Valo FX'!$A:$A,0)),0,IF(DI$1&lt;INDEX('Valo FX'!$R:$R,MATCH($A38,'Valo FX'!$A:$A,0)),INDEX(Base!$U:$U,MATCH($A38,Base!$A:$A,0)),IF(DI$1=INDEX('Valo FX'!$R:$R,MATCH($A38,'Valo FX'!$A:$A,0)),INDEX(Base!$V:$V,MATCH($A38,Base!$A:$A,0)),0)))</f>
        <v>11.264511000000001</v>
      </c>
      <c r="DJ38" s="21">
        <f>IF(DJ$1&lt;INDEX('Valo FX'!$Q:$Q,MATCH($A38,'Valo FX'!$A:$A,0)),0,IF(DJ$1&lt;INDEX('Valo FX'!$R:$R,MATCH($A38,'Valo FX'!$A:$A,0)),INDEX(Base!$U:$U,MATCH($A38,Base!$A:$A,0)),IF(DJ$1=INDEX('Valo FX'!$R:$R,MATCH($A38,'Valo FX'!$A:$A,0)),INDEX(Base!$V:$V,MATCH($A38,Base!$A:$A,0)),0)))</f>
        <v>11.264511000000001</v>
      </c>
      <c r="DK38" s="21">
        <f>IF(DK$1&lt;INDEX('Valo FX'!$Q:$Q,MATCH($A38,'Valo FX'!$A:$A,0)),0,IF(DK$1&lt;INDEX('Valo FX'!$R:$R,MATCH($A38,'Valo FX'!$A:$A,0)),INDEX(Base!$U:$U,MATCH($A38,Base!$A:$A,0)),IF(DK$1=INDEX('Valo FX'!$R:$R,MATCH($A38,'Valo FX'!$A:$A,0)),INDEX(Base!$V:$V,MATCH($A38,Base!$A:$A,0)),0)))</f>
        <v>11.264511000000001</v>
      </c>
      <c r="DL38" s="21">
        <f>IF(DL$1&lt;INDEX('Valo FX'!$Q:$Q,MATCH($A38,'Valo FX'!$A:$A,0)),0,IF(DL$1&lt;INDEX('Valo FX'!$R:$R,MATCH($A38,'Valo FX'!$A:$A,0)),INDEX(Base!$U:$U,MATCH($A38,Base!$A:$A,0)),IF(DL$1=INDEX('Valo FX'!$R:$R,MATCH($A38,'Valo FX'!$A:$A,0)),INDEX(Base!$V:$V,MATCH($A38,Base!$A:$A,0)),0)))</f>
        <v>11.264511000000001</v>
      </c>
      <c r="DM38" s="21">
        <f>IF(DM$1&lt;INDEX('Valo FX'!$Q:$Q,MATCH($A38,'Valo FX'!$A:$A,0)),0,IF(DM$1&lt;INDEX('Valo FX'!$R:$R,MATCH($A38,'Valo FX'!$A:$A,0)),INDEX(Base!$U:$U,MATCH($A38,Base!$A:$A,0)),IF(DM$1=INDEX('Valo FX'!$R:$R,MATCH($A38,'Valo FX'!$A:$A,0)),INDEX(Base!$V:$V,MATCH($A38,Base!$A:$A,0)),0)))</f>
        <v>11.264511000000001</v>
      </c>
      <c r="DN38" s="21">
        <f>IF(DN$1&lt;INDEX('Valo FX'!$Q:$Q,MATCH($A38,'Valo FX'!$A:$A,0)),0,IF(DN$1&lt;INDEX('Valo FX'!$R:$R,MATCH($A38,'Valo FX'!$A:$A,0)),INDEX(Base!$U:$U,MATCH($A38,Base!$A:$A,0)),IF(DN$1=INDEX('Valo FX'!$R:$R,MATCH($A38,'Valo FX'!$A:$A,0)),INDEX(Base!$V:$V,MATCH($A38,Base!$A:$A,0)),0)))</f>
        <v>11.264511000000001</v>
      </c>
      <c r="DO38" s="21">
        <f>IF(DO$1&lt;INDEX('Valo FX'!$Q:$Q,MATCH($A38,'Valo FX'!$A:$A,0)),0,IF(DO$1&lt;INDEX('Valo FX'!$R:$R,MATCH($A38,'Valo FX'!$A:$A,0)),INDEX(Base!$U:$U,MATCH($A38,Base!$A:$A,0)),IF(DO$1=INDEX('Valo FX'!$R:$R,MATCH($A38,'Valo FX'!$A:$A,0)),INDEX(Base!$V:$V,MATCH($A38,Base!$A:$A,0)),0)))</f>
        <v>11.264511000000001</v>
      </c>
      <c r="DP38" s="21">
        <f>IF(DP$1&lt;INDEX('Valo FX'!$Q:$Q,MATCH($A38,'Valo FX'!$A:$A,0)),0,IF(DP$1&lt;INDEX('Valo FX'!$R:$R,MATCH($A38,'Valo FX'!$A:$A,0)),INDEX(Base!$U:$U,MATCH($A38,Base!$A:$A,0)),IF(DP$1=INDEX('Valo FX'!$R:$R,MATCH($A38,'Valo FX'!$A:$A,0)),INDEX(Base!$V:$V,MATCH($A38,Base!$A:$A,0)),0)))</f>
        <v>11.264511000000001</v>
      </c>
      <c r="DQ38" s="21">
        <f>IF(DQ$1&lt;INDEX('Valo FX'!$Q:$Q,MATCH($A38,'Valo FX'!$A:$A,0)),0,IF(DQ$1&lt;INDEX('Valo FX'!$R:$R,MATCH($A38,'Valo FX'!$A:$A,0)),INDEX(Base!$U:$U,MATCH($A38,Base!$A:$A,0)),IF(DQ$1=INDEX('Valo FX'!$R:$R,MATCH($A38,'Valo FX'!$A:$A,0)),INDEX(Base!$V:$V,MATCH($A38,Base!$A:$A,0)),0)))</f>
        <v>11.264511000000001</v>
      </c>
      <c r="DR38" s="21">
        <f>IF(DR$1&lt;INDEX('Valo FX'!$Q:$Q,MATCH($A38,'Valo FX'!$A:$A,0)),0,IF(DR$1&lt;INDEX('Valo FX'!$R:$R,MATCH($A38,'Valo FX'!$A:$A,0)),INDEX(Base!$U:$U,MATCH($A38,Base!$A:$A,0)),IF(DR$1=INDEX('Valo FX'!$R:$R,MATCH($A38,'Valo FX'!$A:$A,0)),INDEX(Base!$V:$V,MATCH($A38,Base!$A:$A,0)),0)))</f>
        <v>11.264511000000001</v>
      </c>
      <c r="DS38" s="21">
        <f>IF(DS$1&lt;INDEX('Valo FX'!$Q:$Q,MATCH($A38,'Valo FX'!$A:$A,0)),0,IF(DS$1&lt;INDEX('Valo FX'!$R:$R,MATCH($A38,'Valo FX'!$A:$A,0)),INDEX(Base!$U:$U,MATCH($A38,Base!$A:$A,0)),IF(DS$1=INDEX('Valo FX'!$R:$R,MATCH($A38,'Valo FX'!$A:$A,0)),INDEX(Base!$V:$V,MATCH($A38,Base!$A:$A,0)),0)))</f>
        <v>11.264511000000001</v>
      </c>
      <c r="DT38" s="21">
        <f>IF(DT$1&lt;INDEX('Valo FX'!$Q:$Q,MATCH($A38,'Valo FX'!$A:$A,0)),0,IF(DT$1&lt;INDEX('Valo FX'!$R:$R,MATCH($A38,'Valo FX'!$A:$A,0)),INDEX(Base!$U:$U,MATCH($A38,Base!$A:$A,0)),IF(DT$1=INDEX('Valo FX'!$R:$R,MATCH($A38,'Valo FX'!$A:$A,0)),INDEX(Base!$V:$V,MATCH($A38,Base!$A:$A,0)),0)))</f>
        <v>11.264511000000001</v>
      </c>
      <c r="DU38" s="21">
        <f>IF(DU$1&lt;INDEX('Valo FX'!$Q:$Q,MATCH($A38,'Valo FX'!$A:$A,0)),0,IF(DU$1&lt;INDEX('Valo FX'!$R:$R,MATCH($A38,'Valo FX'!$A:$A,0)),INDEX(Base!$U:$U,MATCH($A38,Base!$A:$A,0)),IF(DU$1=INDEX('Valo FX'!$R:$R,MATCH($A38,'Valo FX'!$A:$A,0)),INDEX(Base!$V:$V,MATCH($A38,Base!$A:$A,0)),0)))</f>
        <v>11.264511000000001</v>
      </c>
      <c r="DV38" s="21">
        <f>IF(DV$1&lt;INDEX('Valo FX'!$Q:$Q,MATCH($A38,'Valo FX'!$A:$A,0)),0,IF(DV$1&lt;INDEX('Valo FX'!$R:$R,MATCH($A38,'Valo FX'!$A:$A,0)),INDEX(Base!$U:$U,MATCH($A38,Base!$A:$A,0)),IF(DV$1=INDEX('Valo FX'!$R:$R,MATCH($A38,'Valo FX'!$A:$A,0)),INDEX(Base!$V:$V,MATCH($A38,Base!$A:$A,0)),0)))</f>
        <v>11.264511000000001</v>
      </c>
      <c r="DW38" s="21">
        <f>IF(DW$1&lt;INDEX('Valo FX'!$Q:$Q,MATCH($A38,'Valo FX'!$A:$A,0)),0,IF(DW$1&lt;INDEX('Valo FX'!$R:$R,MATCH($A38,'Valo FX'!$A:$A,0)),INDEX(Base!$U:$U,MATCH($A38,Base!$A:$A,0)),IF(DW$1=INDEX('Valo FX'!$R:$R,MATCH($A38,'Valo FX'!$A:$A,0)),INDEX(Base!$V:$V,MATCH($A38,Base!$A:$A,0)),0)))</f>
        <v>11.264511000000001</v>
      </c>
      <c r="DX38" s="21">
        <f>IF(DX$1&lt;INDEX('Valo FX'!$Q:$Q,MATCH($A38,'Valo FX'!$A:$A,0)),0,IF(DX$1&lt;INDEX('Valo FX'!$R:$R,MATCH($A38,'Valo FX'!$A:$A,0)),INDEX(Base!$U:$U,MATCH($A38,Base!$A:$A,0)),IF(DX$1=INDEX('Valo FX'!$R:$R,MATCH($A38,'Valo FX'!$A:$A,0)),INDEX(Base!$V:$V,MATCH($A38,Base!$A:$A,0)),0)))</f>
        <v>11.264511000000001</v>
      </c>
      <c r="DY38" s="21">
        <f>IF(DY$1&lt;INDEX('Valo FX'!$Q:$Q,MATCH($A38,'Valo FX'!$A:$A,0)),0,IF(DY$1&lt;INDEX('Valo FX'!$R:$R,MATCH($A38,'Valo FX'!$A:$A,0)),INDEX(Base!$U:$U,MATCH($A38,Base!$A:$A,0)),IF(DY$1=INDEX('Valo FX'!$R:$R,MATCH($A38,'Valo FX'!$A:$A,0)),INDEX(Base!$V:$V,MATCH($A38,Base!$A:$A,0)),0)))</f>
        <v>11.264511000000001</v>
      </c>
      <c r="DZ38" s="21">
        <f>IF(DZ$1&lt;INDEX('Valo FX'!$Q:$Q,MATCH($A38,'Valo FX'!$A:$A,0)),0,IF(DZ$1&lt;INDEX('Valo FX'!$R:$R,MATCH($A38,'Valo FX'!$A:$A,0)),INDEX(Base!$U:$U,MATCH($A38,Base!$A:$A,0)),IF(DZ$1=INDEX('Valo FX'!$R:$R,MATCH($A38,'Valo FX'!$A:$A,0)),INDEX(Base!$V:$V,MATCH($A38,Base!$A:$A,0)),0)))</f>
        <v>11.264511000000001</v>
      </c>
      <c r="EA38" s="21">
        <f>IF(EA$1&lt;INDEX('Valo FX'!$Q:$Q,MATCH($A38,'Valo FX'!$A:$A,0)),0,IF(EA$1&lt;INDEX('Valo FX'!$R:$R,MATCH($A38,'Valo FX'!$A:$A,0)),INDEX(Base!$U:$U,MATCH($A38,Base!$A:$A,0)),IF(EA$1=INDEX('Valo FX'!$R:$R,MATCH($A38,'Valo FX'!$A:$A,0)),INDEX(Base!$V:$V,MATCH($A38,Base!$A:$A,0)),0)))</f>
        <v>11.264511000000001</v>
      </c>
      <c r="EB38" s="21">
        <f>IF(EB$1&lt;INDEX('Valo FX'!$Q:$Q,MATCH($A38,'Valo FX'!$A:$A,0)),0,IF(EB$1&lt;INDEX('Valo FX'!$R:$R,MATCH($A38,'Valo FX'!$A:$A,0)),INDEX(Base!$U:$U,MATCH($A38,Base!$A:$A,0)),IF(EB$1=INDEX('Valo FX'!$R:$R,MATCH($A38,'Valo FX'!$A:$A,0)),INDEX(Base!$V:$V,MATCH($A38,Base!$A:$A,0)),0)))</f>
        <v>11.264511000000001</v>
      </c>
      <c r="EC38" s="21">
        <f>IF(EC$1&lt;INDEX('Valo FX'!$Q:$Q,MATCH($A38,'Valo FX'!$A:$A,0)),0,IF(EC$1&lt;INDEX('Valo FX'!$R:$R,MATCH($A38,'Valo FX'!$A:$A,0)),INDEX(Base!$U:$U,MATCH($A38,Base!$A:$A,0)),IF(EC$1=INDEX('Valo FX'!$R:$R,MATCH($A38,'Valo FX'!$A:$A,0)),INDEX(Base!$V:$V,MATCH($A38,Base!$A:$A,0)),0)))</f>
        <v>11.264511000000001</v>
      </c>
      <c r="ED38" s="21">
        <f>IF(ED$1&lt;INDEX('Valo FX'!$Q:$Q,MATCH($A38,'Valo FX'!$A:$A,0)),0,IF(ED$1&lt;INDEX('Valo FX'!$R:$R,MATCH($A38,'Valo FX'!$A:$A,0)),INDEX(Base!$U:$U,MATCH($A38,Base!$A:$A,0)),IF(ED$1=INDEX('Valo FX'!$R:$R,MATCH($A38,'Valo FX'!$A:$A,0)),INDEX(Base!$V:$V,MATCH($A38,Base!$A:$A,0)),0)))</f>
        <v>11.264511000000001</v>
      </c>
      <c r="EE38" s="21">
        <f>IF(EE$1&lt;INDEX('Valo FX'!$Q:$Q,MATCH($A38,'Valo FX'!$A:$A,0)),0,IF(EE$1&lt;INDEX('Valo FX'!$R:$R,MATCH($A38,'Valo FX'!$A:$A,0)),INDEX(Base!$U:$U,MATCH($A38,Base!$A:$A,0)),IF(EE$1=INDEX('Valo FX'!$R:$R,MATCH($A38,'Valo FX'!$A:$A,0)),INDEX(Base!$V:$V,MATCH($A38,Base!$A:$A,0)),0)))</f>
        <v>11.264511000000001</v>
      </c>
      <c r="EF38" s="21">
        <f>IF(EF$1&lt;INDEX('Valo FX'!$Q:$Q,MATCH($A38,'Valo FX'!$A:$A,0)),0,IF(EF$1&lt;INDEX('Valo FX'!$R:$R,MATCH($A38,'Valo FX'!$A:$A,0)),INDEX(Base!$U:$U,MATCH($A38,Base!$A:$A,0)),IF(EF$1=INDEX('Valo FX'!$R:$R,MATCH($A38,'Valo FX'!$A:$A,0)),INDEX(Base!$V:$V,MATCH($A38,Base!$A:$A,0)),0)))</f>
        <v>11.264511000000001</v>
      </c>
      <c r="EG38" s="21">
        <f>IF(EG$1&lt;INDEX('Valo FX'!$Q:$Q,MATCH($A38,'Valo FX'!$A:$A,0)),0,IF(EG$1&lt;INDEX('Valo FX'!$R:$R,MATCH($A38,'Valo FX'!$A:$A,0)),INDEX(Base!$U:$U,MATCH($A38,Base!$A:$A,0)),IF(EG$1=INDEX('Valo FX'!$R:$R,MATCH($A38,'Valo FX'!$A:$A,0)),INDEX(Base!$V:$V,MATCH($A38,Base!$A:$A,0)),0)))</f>
        <v>11.264511000000001</v>
      </c>
      <c r="EH38" s="21">
        <f>IF(EH$1&lt;INDEX('Valo FX'!$Q:$Q,MATCH($A38,'Valo FX'!$A:$A,0)),0,IF(EH$1&lt;INDEX('Valo FX'!$R:$R,MATCH($A38,'Valo FX'!$A:$A,0)),INDEX(Base!$U:$U,MATCH($A38,Base!$A:$A,0)),IF(EH$1=INDEX('Valo FX'!$R:$R,MATCH($A38,'Valo FX'!$A:$A,0)),INDEX(Base!$V:$V,MATCH($A38,Base!$A:$A,0)),0)))</f>
        <v>11.264511000000001</v>
      </c>
      <c r="EI38" s="21">
        <f>IF(EI$1&lt;INDEX('Valo FX'!$Q:$Q,MATCH($A38,'Valo FX'!$A:$A,0)),0,IF(EI$1&lt;INDEX('Valo FX'!$R:$R,MATCH($A38,'Valo FX'!$A:$A,0)),INDEX(Base!$U:$U,MATCH($A38,Base!$A:$A,0)),IF(EI$1=INDEX('Valo FX'!$R:$R,MATCH($A38,'Valo FX'!$A:$A,0)),INDEX(Base!$V:$V,MATCH($A38,Base!$A:$A,0)),0)))</f>
        <v>11.264511000000001</v>
      </c>
      <c r="EJ38" s="21">
        <f>IF(EJ$1&lt;INDEX('Valo FX'!$Q:$Q,MATCH($A38,'Valo FX'!$A:$A,0)),0,IF(EJ$1&lt;INDEX('Valo FX'!$R:$R,MATCH($A38,'Valo FX'!$A:$A,0)),INDEX(Base!$U:$U,MATCH($A38,Base!$A:$A,0)),IF(EJ$1=INDEX('Valo FX'!$R:$R,MATCH($A38,'Valo FX'!$A:$A,0)),INDEX(Base!$V:$V,MATCH($A38,Base!$A:$A,0)),0)))</f>
        <v>11.264511000000001</v>
      </c>
      <c r="EK38" s="21">
        <f>IF(EK$1&lt;INDEX('Valo FX'!$Q:$Q,MATCH($A38,'Valo FX'!$A:$A,0)),0,IF(EK$1&lt;INDEX('Valo FX'!$R:$R,MATCH($A38,'Valo FX'!$A:$A,0)),INDEX(Base!$U:$U,MATCH($A38,Base!$A:$A,0)),IF(EK$1=INDEX('Valo FX'!$R:$R,MATCH($A38,'Valo FX'!$A:$A,0)),INDEX(Base!$V:$V,MATCH($A38,Base!$A:$A,0)),0)))</f>
        <v>11.264511000000001</v>
      </c>
      <c r="EL38" s="21">
        <f>IF(EL$1&lt;INDEX('Valo FX'!$Q:$Q,MATCH($A38,'Valo FX'!$A:$A,0)),0,IF(EL$1&lt;INDEX('Valo FX'!$R:$R,MATCH($A38,'Valo FX'!$A:$A,0)),INDEX(Base!$U:$U,MATCH($A38,Base!$A:$A,0)),IF(EL$1=INDEX('Valo FX'!$R:$R,MATCH($A38,'Valo FX'!$A:$A,0)),INDEX(Base!$V:$V,MATCH($A38,Base!$A:$A,0)),0)))</f>
        <v>11.264511000000001</v>
      </c>
      <c r="EM38" s="21">
        <f>IF(EM$1&lt;INDEX('Valo FX'!$Q:$Q,MATCH($A38,'Valo FX'!$A:$A,0)),0,IF(EM$1&lt;INDEX('Valo FX'!$R:$R,MATCH($A38,'Valo FX'!$A:$A,0)),INDEX(Base!$U:$U,MATCH($A38,Base!$A:$A,0)),IF(EM$1=INDEX('Valo FX'!$R:$R,MATCH($A38,'Valo FX'!$A:$A,0)),INDEX(Base!$V:$V,MATCH($A38,Base!$A:$A,0)),0)))</f>
        <v>11.264511000000001</v>
      </c>
      <c r="EN38" s="21">
        <f>IF(EN$1&lt;INDEX('Valo FX'!$Q:$Q,MATCH($A38,'Valo FX'!$A:$A,0)),0,IF(EN$1&lt;INDEX('Valo FX'!$R:$R,MATCH($A38,'Valo FX'!$A:$A,0)),INDEX(Base!$U:$U,MATCH($A38,Base!$A:$A,0)),IF(EN$1=INDEX('Valo FX'!$R:$R,MATCH($A38,'Valo FX'!$A:$A,0)),INDEX(Base!$V:$V,MATCH($A38,Base!$A:$A,0)),0)))</f>
        <v>11.264511000000001</v>
      </c>
      <c r="EO38" s="21">
        <f>IF(EO$1&lt;INDEX('Valo FX'!$Q:$Q,MATCH($A38,'Valo FX'!$A:$A,0)),0,IF(EO$1&lt;INDEX('Valo FX'!$R:$R,MATCH($A38,'Valo FX'!$A:$A,0)),INDEX(Base!$U:$U,MATCH($A38,Base!$A:$A,0)),IF(EO$1=INDEX('Valo FX'!$R:$R,MATCH($A38,'Valo FX'!$A:$A,0)),INDEX(Base!$V:$V,MATCH($A38,Base!$A:$A,0)),0)))</f>
        <v>11.264511000000001</v>
      </c>
      <c r="EP38" s="21">
        <f>IF(EP$1&lt;INDEX('Valo FX'!$Q:$Q,MATCH($A38,'Valo FX'!$A:$A,0)),0,IF(EP$1&lt;INDEX('Valo FX'!$R:$R,MATCH($A38,'Valo FX'!$A:$A,0)),INDEX(Base!$U:$U,MATCH($A38,Base!$A:$A,0)),IF(EP$1=INDEX('Valo FX'!$R:$R,MATCH($A38,'Valo FX'!$A:$A,0)),INDEX(Base!$V:$V,MATCH($A38,Base!$A:$A,0)),0)))</f>
        <v>11.264511000000001</v>
      </c>
      <c r="EQ38" s="21">
        <f>IF(EQ$1&lt;INDEX('Valo FX'!$Q:$Q,MATCH($A38,'Valo FX'!$A:$A,0)),0,IF(EQ$1&lt;INDEX('Valo FX'!$R:$R,MATCH($A38,'Valo FX'!$A:$A,0)),INDEX(Base!$U:$U,MATCH($A38,Base!$A:$A,0)),IF(EQ$1=INDEX('Valo FX'!$R:$R,MATCH($A38,'Valo FX'!$A:$A,0)),INDEX(Base!$V:$V,MATCH($A38,Base!$A:$A,0)),0)))</f>
        <v>11.264511000000001</v>
      </c>
      <c r="ER38" s="21">
        <f>IF(ER$1&lt;INDEX('Valo FX'!$Q:$Q,MATCH($A38,'Valo FX'!$A:$A,0)),0,IF(ER$1&lt;INDEX('Valo FX'!$R:$R,MATCH($A38,'Valo FX'!$A:$A,0)),INDEX(Base!$U:$U,MATCH($A38,Base!$A:$A,0)),IF(ER$1=INDEX('Valo FX'!$R:$R,MATCH($A38,'Valo FX'!$A:$A,0)),INDEX(Base!$V:$V,MATCH($A38,Base!$A:$A,0)),0)))</f>
        <v>11.264511000000001</v>
      </c>
      <c r="ES38" s="21">
        <f>IF(ES$1&lt;INDEX('Valo FX'!$Q:$Q,MATCH($A38,'Valo FX'!$A:$A,0)),0,IF(ES$1&lt;INDEX('Valo FX'!$R:$R,MATCH($A38,'Valo FX'!$A:$A,0)),INDEX(Base!$U:$U,MATCH($A38,Base!$A:$A,0)),IF(ES$1=INDEX('Valo FX'!$R:$R,MATCH($A38,'Valo FX'!$A:$A,0)),INDEX(Base!$V:$V,MATCH($A38,Base!$A:$A,0)),0)))</f>
        <v>11.264511000000001</v>
      </c>
      <c r="ET38" s="21">
        <f>IF(ET$1&lt;INDEX('Valo FX'!$Q:$Q,MATCH($A38,'Valo FX'!$A:$A,0)),0,IF(ET$1&lt;INDEX('Valo FX'!$R:$R,MATCH($A38,'Valo FX'!$A:$A,0)),INDEX(Base!$U:$U,MATCH($A38,Base!$A:$A,0)),IF(ET$1=INDEX('Valo FX'!$R:$R,MATCH($A38,'Valo FX'!$A:$A,0)),INDEX(Base!$V:$V,MATCH($A38,Base!$A:$A,0)),0)))</f>
        <v>11.264511000000001</v>
      </c>
      <c r="EU38" s="21">
        <f>IF(EU$1&lt;INDEX('Valo FX'!$Q:$Q,MATCH($A38,'Valo FX'!$A:$A,0)),0,IF(EU$1&lt;INDEX('Valo FX'!$R:$R,MATCH($A38,'Valo FX'!$A:$A,0)),INDEX(Base!$U:$U,MATCH($A38,Base!$A:$A,0)),IF(EU$1=INDEX('Valo FX'!$R:$R,MATCH($A38,'Valo FX'!$A:$A,0)),INDEX(Base!$V:$V,MATCH($A38,Base!$A:$A,0)),0)))</f>
        <v>11.264511000000001</v>
      </c>
      <c r="EV38" s="21">
        <f>IF(EV$1&lt;INDEX('Valo FX'!$Q:$Q,MATCH($A38,'Valo FX'!$A:$A,0)),0,IF(EV$1&lt;INDEX('Valo FX'!$R:$R,MATCH($A38,'Valo FX'!$A:$A,0)),INDEX(Base!$U:$U,MATCH($A38,Base!$A:$A,0)),IF(EV$1=INDEX('Valo FX'!$R:$R,MATCH($A38,'Valo FX'!$A:$A,0)),INDEX(Base!$V:$V,MATCH($A38,Base!$A:$A,0)),0)))</f>
        <v>11.264511000000001</v>
      </c>
      <c r="EW38" s="21">
        <f>IF(EW$1&lt;INDEX('Valo FX'!$Q:$Q,MATCH($A38,'Valo FX'!$A:$A,0)),0,IF(EW$1&lt;INDEX('Valo FX'!$R:$R,MATCH($A38,'Valo FX'!$A:$A,0)),INDEX(Base!$U:$U,MATCH($A38,Base!$A:$A,0)),IF(EW$1=INDEX('Valo FX'!$R:$R,MATCH($A38,'Valo FX'!$A:$A,0)),INDEX(Base!$V:$V,MATCH($A38,Base!$A:$A,0)),0)))</f>
        <v>11.264511000000001</v>
      </c>
      <c r="EX38" s="21">
        <f>IF(EX$1&lt;INDEX('Valo FX'!$Q:$Q,MATCH($A38,'Valo FX'!$A:$A,0)),0,IF(EX$1&lt;INDEX('Valo FX'!$R:$R,MATCH($A38,'Valo FX'!$A:$A,0)),INDEX(Base!$U:$U,MATCH($A38,Base!$A:$A,0)),IF(EX$1=INDEX('Valo FX'!$R:$R,MATCH($A38,'Valo FX'!$A:$A,0)),INDEX(Base!$V:$V,MATCH($A38,Base!$A:$A,0)),0)))</f>
        <v>11.264511000000001</v>
      </c>
      <c r="EY38" s="21">
        <f>IF(EY$1&lt;INDEX('Valo FX'!$Q:$Q,MATCH($A38,'Valo FX'!$A:$A,0)),0,IF(EY$1&lt;INDEX('Valo FX'!$R:$R,MATCH($A38,'Valo FX'!$A:$A,0)),INDEX(Base!$U:$U,MATCH($A38,Base!$A:$A,0)),IF(EY$1=INDEX('Valo FX'!$R:$R,MATCH($A38,'Valo FX'!$A:$A,0)),INDEX(Base!$V:$V,MATCH($A38,Base!$A:$A,0)),0)))</f>
        <v>11.264511000000001</v>
      </c>
      <c r="EZ38" s="21">
        <f>IF(EZ$1&lt;INDEX('Valo FX'!$Q:$Q,MATCH($A38,'Valo FX'!$A:$A,0)),0,IF(EZ$1&lt;INDEX('Valo FX'!$R:$R,MATCH($A38,'Valo FX'!$A:$A,0)),INDEX(Base!$U:$U,MATCH($A38,Base!$A:$A,0)),IF(EZ$1=INDEX('Valo FX'!$R:$R,MATCH($A38,'Valo FX'!$A:$A,0)),INDEX(Base!$V:$V,MATCH($A38,Base!$A:$A,0)),0)))</f>
        <v>11.264511000000001</v>
      </c>
      <c r="FA38" s="21">
        <f>IF(FA$1&lt;INDEX('Valo FX'!$Q:$Q,MATCH($A38,'Valo FX'!$A:$A,0)),0,IF(FA$1&lt;INDEX('Valo FX'!$R:$R,MATCH($A38,'Valo FX'!$A:$A,0)),INDEX(Base!$U:$U,MATCH($A38,Base!$A:$A,0)),IF(FA$1=INDEX('Valo FX'!$R:$R,MATCH($A38,'Valo FX'!$A:$A,0)),INDEX(Base!$V:$V,MATCH($A38,Base!$A:$A,0)),0)))</f>
        <v>11.264511000000001</v>
      </c>
      <c r="FB38" s="21">
        <f>IF(FB$1&lt;INDEX('Valo FX'!$Q:$Q,MATCH($A38,'Valo FX'!$A:$A,0)),0,IF(FB$1&lt;INDEX('Valo FX'!$R:$R,MATCH($A38,'Valo FX'!$A:$A,0)),INDEX(Base!$U:$U,MATCH($A38,Base!$A:$A,0)),IF(FB$1=INDEX('Valo FX'!$R:$R,MATCH($A38,'Valo FX'!$A:$A,0)),INDEX(Base!$V:$V,MATCH($A38,Base!$A:$A,0)),0)))</f>
        <v>11.264511000000001</v>
      </c>
      <c r="FC38" s="21">
        <f>IF(FC$1&lt;INDEX('Valo FX'!$Q:$Q,MATCH($A38,'Valo FX'!$A:$A,0)),0,IF(FC$1&lt;INDEX('Valo FX'!$R:$R,MATCH($A38,'Valo FX'!$A:$A,0)),INDEX(Base!$U:$U,MATCH($A38,Base!$A:$A,0)),IF(FC$1=INDEX('Valo FX'!$R:$R,MATCH($A38,'Valo FX'!$A:$A,0)),INDEX(Base!$V:$V,MATCH($A38,Base!$A:$A,0)),0)))</f>
        <v>11.264511000000001</v>
      </c>
      <c r="FD38" s="21">
        <f>IF(FD$1&lt;INDEX('Valo FX'!$Q:$Q,MATCH($A38,'Valo FX'!$A:$A,0)),0,IF(FD$1&lt;INDEX('Valo FX'!$R:$R,MATCH($A38,'Valo FX'!$A:$A,0)),INDEX(Base!$U:$U,MATCH($A38,Base!$A:$A,0)),IF(FD$1=INDEX('Valo FX'!$R:$R,MATCH($A38,'Valo FX'!$A:$A,0)),INDEX(Base!$V:$V,MATCH($A38,Base!$A:$A,0)),0)))</f>
        <v>11.264511000000001</v>
      </c>
      <c r="FE38" s="21">
        <f>IF(FE$1&lt;INDEX('Valo FX'!$Q:$Q,MATCH($A38,'Valo FX'!$A:$A,0)),0,IF(FE$1&lt;INDEX('Valo FX'!$R:$R,MATCH($A38,'Valo FX'!$A:$A,0)),INDEX(Base!$U:$U,MATCH($A38,Base!$A:$A,0)),IF(FE$1=INDEX('Valo FX'!$R:$R,MATCH($A38,'Valo FX'!$A:$A,0)),INDEX(Base!$V:$V,MATCH($A38,Base!$A:$A,0)),0)))</f>
        <v>11.264511000000001</v>
      </c>
      <c r="FF38" s="21">
        <f>IF(FF$1&lt;INDEX('Valo FX'!$Q:$Q,MATCH($A38,'Valo FX'!$A:$A,0)),0,IF(FF$1&lt;INDEX('Valo FX'!$R:$R,MATCH($A38,'Valo FX'!$A:$A,0)),INDEX(Base!$U:$U,MATCH($A38,Base!$A:$A,0)),IF(FF$1=INDEX('Valo FX'!$R:$R,MATCH($A38,'Valo FX'!$A:$A,0)),INDEX(Base!$V:$V,MATCH($A38,Base!$A:$A,0)),0)))</f>
        <v>11.264511000000001</v>
      </c>
      <c r="FG38" s="21">
        <f>IF(FG$1&lt;INDEX('Valo FX'!$Q:$Q,MATCH($A38,'Valo FX'!$A:$A,0)),0,IF(FG$1&lt;INDEX('Valo FX'!$R:$R,MATCH($A38,'Valo FX'!$A:$A,0)),INDEX(Base!$U:$U,MATCH($A38,Base!$A:$A,0)),IF(FG$1=INDEX('Valo FX'!$R:$R,MATCH($A38,'Valo FX'!$A:$A,0)),INDEX(Base!$V:$V,MATCH($A38,Base!$A:$A,0)),0)))</f>
        <v>11.264511000000001</v>
      </c>
      <c r="FH38" s="21">
        <f>IF(FH$1&lt;INDEX('Valo FX'!$Q:$Q,MATCH($A38,'Valo FX'!$A:$A,0)),0,IF(FH$1&lt;INDEX('Valo FX'!$R:$R,MATCH($A38,'Valo FX'!$A:$A,0)),INDEX(Base!$U:$U,MATCH($A38,Base!$A:$A,0)),IF(FH$1=INDEX('Valo FX'!$R:$R,MATCH($A38,'Valo FX'!$A:$A,0)),INDEX(Base!$V:$V,MATCH($A38,Base!$A:$A,0)),0)))</f>
        <v>11.264511000000001</v>
      </c>
      <c r="FI38" s="21">
        <f>IF(FI$1&lt;INDEX('Valo FX'!$Q:$Q,MATCH($A38,'Valo FX'!$A:$A,0)),0,IF(FI$1&lt;INDEX('Valo FX'!$R:$R,MATCH($A38,'Valo FX'!$A:$A,0)),INDEX(Base!$U:$U,MATCH($A38,Base!$A:$A,0)),IF(FI$1=INDEX('Valo FX'!$R:$R,MATCH($A38,'Valo FX'!$A:$A,0)),INDEX(Base!$V:$V,MATCH($A38,Base!$A:$A,0)),0)))</f>
        <v>11.264511000000001</v>
      </c>
      <c r="FJ38" s="21">
        <f>IF(FJ$1&lt;INDEX('Valo FX'!$Q:$Q,MATCH($A38,'Valo FX'!$A:$A,0)),0,IF(FJ$1&lt;INDEX('Valo FX'!$R:$R,MATCH($A38,'Valo FX'!$A:$A,0)),INDEX(Base!$U:$U,MATCH($A38,Base!$A:$A,0)),IF(FJ$1=INDEX('Valo FX'!$R:$R,MATCH($A38,'Valo FX'!$A:$A,0)),INDEX(Base!$V:$V,MATCH($A38,Base!$A:$A,0)),0)))</f>
        <v>11.264511000000001</v>
      </c>
      <c r="FK38" s="21">
        <f>IF(FK$1&lt;INDEX('Valo FX'!$Q:$Q,MATCH($A38,'Valo FX'!$A:$A,0)),0,IF(FK$1&lt;INDEX('Valo FX'!$R:$R,MATCH($A38,'Valo FX'!$A:$A,0)),INDEX(Base!$U:$U,MATCH($A38,Base!$A:$A,0)),IF(FK$1=INDEX('Valo FX'!$R:$R,MATCH($A38,'Valo FX'!$A:$A,0)),INDEX(Base!$V:$V,MATCH($A38,Base!$A:$A,0)),0)))</f>
        <v>11.264511000000001</v>
      </c>
      <c r="FL38" s="21">
        <f>IF(FL$1&lt;INDEX('Valo FX'!$Q:$Q,MATCH($A38,'Valo FX'!$A:$A,0)),0,IF(FL$1&lt;INDEX('Valo FX'!$R:$R,MATCH($A38,'Valo FX'!$A:$A,0)),INDEX(Base!$U:$U,MATCH($A38,Base!$A:$A,0)),IF(FL$1=INDEX('Valo FX'!$R:$R,MATCH($A38,'Valo FX'!$A:$A,0)),INDEX(Base!$V:$V,MATCH($A38,Base!$A:$A,0)),0)))</f>
        <v>11.264511000000001</v>
      </c>
      <c r="FM38" s="21">
        <f>IF(FM$1&lt;INDEX('Valo FX'!$Q:$Q,MATCH($A38,'Valo FX'!$A:$A,0)),0,IF(FM$1&lt;INDEX('Valo FX'!$R:$R,MATCH($A38,'Valo FX'!$A:$A,0)),INDEX(Base!$U:$U,MATCH($A38,Base!$A:$A,0)),IF(FM$1=INDEX('Valo FX'!$R:$R,MATCH($A38,'Valo FX'!$A:$A,0)),INDEX(Base!$V:$V,MATCH($A38,Base!$A:$A,0)),0)))</f>
        <v>11.264511000000001</v>
      </c>
      <c r="FN38" s="21">
        <f>IF(FN$1&lt;INDEX('Valo FX'!$Q:$Q,MATCH($A38,'Valo FX'!$A:$A,0)),0,IF(FN$1&lt;INDEX('Valo FX'!$R:$R,MATCH($A38,'Valo FX'!$A:$A,0)),INDEX(Base!$U:$U,MATCH($A38,Base!$A:$A,0)),IF(FN$1=INDEX('Valo FX'!$R:$R,MATCH($A38,'Valo FX'!$A:$A,0)),INDEX(Base!$V:$V,MATCH($A38,Base!$A:$A,0)),0)))</f>
        <v>11.264511000000001</v>
      </c>
      <c r="FO38" s="21">
        <f>IF(FO$1&lt;INDEX('Valo FX'!$Q:$Q,MATCH($A38,'Valo FX'!$A:$A,0)),0,IF(FO$1&lt;INDEX('Valo FX'!$R:$R,MATCH($A38,'Valo FX'!$A:$A,0)),INDEX(Base!$U:$U,MATCH($A38,Base!$A:$A,0)),IF(FO$1=INDEX('Valo FX'!$R:$R,MATCH($A38,'Valo FX'!$A:$A,0)),INDEX(Base!$V:$V,MATCH($A38,Base!$A:$A,0)),0)))</f>
        <v>11.264511000000001</v>
      </c>
      <c r="FP38" s="21">
        <f>IF(FP$1&lt;INDEX('Valo FX'!$Q:$Q,MATCH($A38,'Valo FX'!$A:$A,0)),0,IF(FP$1&lt;INDEX('Valo FX'!$R:$R,MATCH($A38,'Valo FX'!$A:$A,0)),INDEX(Base!$U:$U,MATCH($A38,Base!$A:$A,0)),IF(FP$1=INDEX('Valo FX'!$R:$R,MATCH($A38,'Valo FX'!$A:$A,0)),INDEX(Base!$V:$V,MATCH($A38,Base!$A:$A,0)),0)))</f>
        <v>11.264511000000001</v>
      </c>
      <c r="FQ38" s="21">
        <f>IF(FQ$1&lt;INDEX('Valo FX'!$Q:$Q,MATCH($A38,'Valo FX'!$A:$A,0)),0,IF(FQ$1&lt;INDEX('Valo FX'!$R:$R,MATCH($A38,'Valo FX'!$A:$A,0)),INDEX(Base!$U:$U,MATCH($A38,Base!$A:$A,0)),IF(FQ$1=INDEX('Valo FX'!$R:$R,MATCH($A38,'Valo FX'!$A:$A,0)),INDEX(Base!$V:$V,MATCH($A38,Base!$A:$A,0)),0)))</f>
        <v>11.264511000000001</v>
      </c>
      <c r="FR38" s="21">
        <f>IF(FR$1&lt;INDEX('Valo FX'!$Q:$Q,MATCH($A38,'Valo FX'!$A:$A,0)),0,IF(FR$1&lt;INDEX('Valo FX'!$R:$R,MATCH($A38,'Valo FX'!$A:$A,0)),INDEX(Base!$U:$U,MATCH($A38,Base!$A:$A,0)),IF(FR$1=INDEX('Valo FX'!$R:$R,MATCH($A38,'Valo FX'!$A:$A,0)),INDEX(Base!$V:$V,MATCH($A38,Base!$A:$A,0)),0)))</f>
        <v>11.264511000000001</v>
      </c>
      <c r="FS38" s="21">
        <f>IF(FS$1&lt;INDEX('Valo FX'!$Q:$Q,MATCH($A38,'Valo FX'!$A:$A,0)),0,IF(FS$1&lt;INDEX('Valo FX'!$R:$R,MATCH($A38,'Valo FX'!$A:$A,0)),INDEX(Base!$U:$U,MATCH($A38,Base!$A:$A,0)),IF(FS$1=INDEX('Valo FX'!$R:$R,MATCH($A38,'Valo FX'!$A:$A,0)),INDEX(Base!$V:$V,MATCH($A38,Base!$A:$A,0)),0)))</f>
        <v>11.264511000000001</v>
      </c>
      <c r="FT38" s="21">
        <f>IF(FT$1&lt;INDEX('Valo FX'!$Q:$Q,MATCH($A38,'Valo FX'!$A:$A,0)),0,IF(FT$1&lt;INDEX('Valo FX'!$R:$R,MATCH($A38,'Valo FX'!$A:$A,0)),INDEX(Base!$U:$U,MATCH($A38,Base!$A:$A,0)),IF(FT$1=INDEX('Valo FX'!$R:$R,MATCH($A38,'Valo FX'!$A:$A,0)),INDEX(Base!$V:$V,MATCH($A38,Base!$A:$A,0)),0)))</f>
        <v>11.264511000000001</v>
      </c>
      <c r="FU38" s="21">
        <f>IF(FU$1&lt;INDEX('Valo FX'!$Q:$Q,MATCH($A38,'Valo FX'!$A:$A,0)),0,IF(FU$1&lt;INDEX('Valo FX'!$R:$R,MATCH($A38,'Valo FX'!$A:$A,0)),INDEX(Base!$U:$U,MATCH($A38,Base!$A:$A,0)),IF(FU$1=INDEX('Valo FX'!$R:$R,MATCH($A38,'Valo FX'!$A:$A,0)),INDEX(Base!$V:$V,MATCH($A38,Base!$A:$A,0)),0)))</f>
        <v>11.264511000000001</v>
      </c>
      <c r="FV38" s="21">
        <f>IF(FV$1&lt;INDEX('Valo FX'!$Q:$Q,MATCH($A38,'Valo FX'!$A:$A,0)),0,IF(FV$1&lt;INDEX('Valo FX'!$R:$R,MATCH($A38,'Valo FX'!$A:$A,0)),INDEX(Base!$U:$U,MATCH($A38,Base!$A:$A,0)),IF(FV$1=INDEX('Valo FX'!$R:$R,MATCH($A38,'Valo FX'!$A:$A,0)),INDEX(Base!$V:$V,MATCH($A38,Base!$A:$A,0)),0)))</f>
        <v>11.264511000000001</v>
      </c>
      <c r="FW38" s="21">
        <f>IF(FW$1&lt;INDEX('Valo FX'!$Q:$Q,MATCH($A38,'Valo FX'!$A:$A,0)),0,IF(FW$1&lt;INDEX('Valo FX'!$R:$R,MATCH($A38,'Valo FX'!$A:$A,0)),INDEX(Base!$U:$U,MATCH($A38,Base!$A:$A,0)),IF(FW$1=INDEX('Valo FX'!$R:$R,MATCH($A38,'Valo FX'!$A:$A,0)),INDEX(Base!$V:$V,MATCH($A38,Base!$A:$A,0)),0)))</f>
        <v>11.264511000000001</v>
      </c>
      <c r="FX38" s="21">
        <f>IF(FX$1&lt;INDEX('Valo FX'!$Q:$Q,MATCH($A38,'Valo FX'!$A:$A,0)),0,IF(FX$1&lt;INDEX('Valo FX'!$R:$R,MATCH($A38,'Valo FX'!$A:$A,0)),INDEX(Base!$U:$U,MATCH($A38,Base!$A:$A,0)),IF(FX$1=INDEX('Valo FX'!$R:$R,MATCH($A38,'Valo FX'!$A:$A,0)),INDEX(Base!$V:$V,MATCH($A38,Base!$A:$A,0)),0)))</f>
        <v>11.264511000000001</v>
      </c>
      <c r="FY38" s="21">
        <f>IF(FY$1&lt;INDEX('Valo FX'!$Q:$Q,MATCH($A38,'Valo FX'!$A:$A,0)),0,IF(FY$1&lt;INDEX('Valo FX'!$R:$R,MATCH($A38,'Valo FX'!$A:$A,0)),INDEX(Base!$U:$U,MATCH($A38,Base!$A:$A,0)),IF(FY$1=INDEX('Valo FX'!$R:$R,MATCH($A38,'Valo FX'!$A:$A,0)),INDEX(Base!$V:$V,MATCH($A38,Base!$A:$A,0)),0)))</f>
        <v>11.264511000000001</v>
      </c>
      <c r="FZ38" s="21">
        <f>IF(FZ$1&lt;INDEX('Valo FX'!$Q:$Q,MATCH($A38,'Valo FX'!$A:$A,0)),0,IF(FZ$1&lt;INDEX('Valo FX'!$R:$R,MATCH($A38,'Valo FX'!$A:$A,0)),INDEX(Base!$U:$U,MATCH($A38,Base!$A:$A,0)),IF(FZ$1=INDEX('Valo FX'!$R:$R,MATCH($A38,'Valo FX'!$A:$A,0)),INDEX(Base!$V:$V,MATCH($A38,Base!$A:$A,0)),0)))</f>
        <v>11.264511000000001</v>
      </c>
      <c r="GA38" s="21">
        <f>IF(GA$1&lt;INDEX('Valo FX'!$Q:$Q,MATCH($A38,'Valo FX'!$A:$A,0)),0,IF(GA$1&lt;INDEX('Valo FX'!$R:$R,MATCH($A38,'Valo FX'!$A:$A,0)),INDEX(Base!$U:$U,MATCH($A38,Base!$A:$A,0)),IF(GA$1=INDEX('Valo FX'!$R:$R,MATCH($A38,'Valo FX'!$A:$A,0)),INDEX(Base!$V:$V,MATCH($A38,Base!$A:$A,0)),0)))</f>
        <v>11.264511000000001</v>
      </c>
      <c r="GB38" s="21">
        <f>IF(GB$1&lt;INDEX('Valo FX'!$Q:$Q,MATCH($A38,'Valo FX'!$A:$A,0)),0,IF(GB$1&lt;INDEX('Valo FX'!$R:$R,MATCH($A38,'Valo FX'!$A:$A,0)),INDEX(Base!$U:$U,MATCH($A38,Base!$A:$A,0)),IF(GB$1=INDEX('Valo FX'!$R:$R,MATCH($A38,'Valo FX'!$A:$A,0)),INDEX(Base!$V:$V,MATCH($A38,Base!$A:$A,0)),0)))</f>
        <v>11.264511000000001</v>
      </c>
      <c r="GC38" s="21">
        <f>IF(GC$1&lt;INDEX('Valo FX'!$Q:$Q,MATCH($A38,'Valo FX'!$A:$A,0)),0,IF(GC$1&lt;INDEX('Valo FX'!$R:$R,MATCH($A38,'Valo FX'!$A:$A,0)),INDEX(Base!$U:$U,MATCH($A38,Base!$A:$A,0)),IF(GC$1=INDEX('Valo FX'!$R:$R,MATCH($A38,'Valo FX'!$A:$A,0)),INDEX(Base!$V:$V,MATCH($A38,Base!$A:$A,0)),0)))</f>
        <v>11.264511000000001</v>
      </c>
      <c r="GD38" s="21">
        <f>IF(GD$1&lt;INDEX('Valo FX'!$Q:$Q,MATCH($A38,'Valo FX'!$A:$A,0)),0,IF(GD$1&lt;INDEX('Valo FX'!$R:$R,MATCH($A38,'Valo FX'!$A:$A,0)),INDEX(Base!$U:$U,MATCH($A38,Base!$A:$A,0)),IF(GD$1=INDEX('Valo FX'!$R:$R,MATCH($A38,'Valo FX'!$A:$A,0)),INDEX(Base!$V:$V,MATCH($A38,Base!$A:$A,0)),0)))</f>
        <v>11.264511000000001</v>
      </c>
      <c r="GE38" s="21">
        <f>IF(GE$1&lt;INDEX('Valo FX'!$Q:$Q,MATCH($A38,'Valo FX'!$A:$A,0)),0,IF(GE$1&lt;INDEX('Valo FX'!$R:$R,MATCH($A38,'Valo FX'!$A:$A,0)),INDEX(Base!$U:$U,MATCH($A38,Base!$A:$A,0)),IF(GE$1=INDEX('Valo FX'!$R:$R,MATCH($A38,'Valo FX'!$A:$A,0)),INDEX(Base!$V:$V,MATCH($A38,Base!$A:$A,0)),0)))</f>
        <v>11.264511000000001</v>
      </c>
      <c r="GF38" s="21">
        <f>IF(GF$1&lt;INDEX('Valo FX'!$Q:$Q,MATCH($A38,'Valo FX'!$A:$A,0)),0,IF(GF$1&lt;INDEX('Valo FX'!$R:$R,MATCH($A38,'Valo FX'!$A:$A,0)),INDEX(Base!$U:$U,MATCH($A38,Base!$A:$A,0)),IF(GF$1=INDEX('Valo FX'!$R:$R,MATCH($A38,'Valo FX'!$A:$A,0)),INDEX(Base!$V:$V,MATCH($A38,Base!$A:$A,0)),0)))</f>
        <v>11.264511000000001</v>
      </c>
      <c r="GG38" s="21">
        <f>IF(GG$1&lt;INDEX('Valo FX'!$Q:$Q,MATCH($A38,'Valo FX'!$A:$A,0)),0,IF(GG$1&lt;INDEX('Valo FX'!$R:$R,MATCH($A38,'Valo FX'!$A:$A,0)),INDEX(Base!$U:$U,MATCH($A38,Base!$A:$A,0)),IF(GG$1=INDEX('Valo FX'!$R:$R,MATCH($A38,'Valo FX'!$A:$A,0)),INDEX(Base!$V:$V,MATCH($A38,Base!$A:$A,0)),0)))</f>
        <v>11.264511000000001</v>
      </c>
      <c r="GH38" s="21">
        <f>IF(GH$1&lt;INDEX('Valo FX'!$Q:$Q,MATCH($A38,'Valo FX'!$A:$A,0)),0,IF(GH$1&lt;INDEX('Valo FX'!$R:$R,MATCH($A38,'Valo FX'!$A:$A,0)),INDEX(Base!$U:$U,MATCH($A38,Base!$A:$A,0)),IF(GH$1=INDEX('Valo FX'!$R:$R,MATCH($A38,'Valo FX'!$A:$A,0)),INDEX(Base!$V:$V,MATCH($A38,Base!$A:$A,0)),0)))</f>
        <v>11.264511000000001</v>
      </c>
      <c r="GI38" s="21">
        <f>IF(GI$1&lt;INDEX('Valo FX'!$Q:$Q,MATCH($A38,'Valo FX'!$A:$A,0)),0,IF(GI$1&lt;INDEX('Valo FX'!$R:$R,MATCH($A38,'Valo FX'!$A:$A,0)),INDEX(Base!$U:$U,MATCH($A38,Base!$A:$A,0)),IF(GI$1=INDEX('Valo FX'!$R:$R,MATCH($A38,'Valo FX'!$A:$A,0)),INDEX(Base!$V:$V,MATCH($A38,Base!$A:$A,0)),0)))</f>
        <v>11.264511000000001</v>
      </c>
      <c r="GJ38" s="21">
        <f>IF(GJ$1&lt;INDEX('Valo FX'!$Q:$Q,MATCH($A38,'Valo FX'!$A:$A,0)),0,IF(GJ$1&lt;INDEX('Valo FX'!$R:$R,MATCH($A38,'Valo FX'!$A:$A,0)),INDEX(Base!$U:$U,MATCH($A38,Base!$A:$A,0)),IF(GJ$1=INDEX('Valo FX'!$R:$R,MATCH($A38,'Valo FX'!$A:$A,0)),INDEX(Base!$V:$V,MATCH($A38,Base!$A:$A,0)),0)))</f>
        <v>11.264511000000001</v>
      </c>
      <c r="GK38" s="21">
        <f>IF(GK$1&lt;INDEX('Valo FX'!$Q:$Q,MATCH($A38,'Valo FX'!$A:$A,0)),0,IF(GK$1&lt;INDEX('Valo FX'!$R:$R,MATCH($A38,'Valo FX'!$A:$A,0)),INDEX(Base!$U:$U,MATCH($A38,Base!$A:$A,0)),IF(GK$1=INDEX('Valo FX'!$R:$R,MATCH($A38,'Valo FX'!$A:$A,0)),INDEX(Base!$V:$V,MATCH($A38,Base!$A:$A,0)),0)))</f>
        <v>11.264511000000001</v>
      </c>
      <c r="GL38" s="21">
        <f>IF(GL$1&lt;INDEX('Valo FX'!$Q:$Q,MATCH($A38,'Valo FX'!$A:$A,0)),0,IF(GL$1&lt;INDEX('Valo FX'!$R:$R,MATCH($A38,'Valo FX'!$A:$A,0)),INDEX(Base!$U:$U,MATCH($A38,Base!$A:$A,0)),IF(GL$1=INDEX('Valo FX'!$R:$R,MATCH($A38,'Valo FX'!$A:$A,0)),INDEX(Base!$V:$V,MATCH($A38,Base!$A:$A,0)),0)))</f>
        <v>11.264511000000001</v>
      </c>
      <c r="GM38" s="21">
        <f>IF(GM$1&lt;INDEX('Valo FX'!$Q:$Q,MATCH($A38,'Valo FX'!$A:$A,0)),0,IF(GM$1&lt;INDEX('Valo FX'!$R:$R,MATCH($A38,'Valo FX'!$A:$A,0)),INDEX(Base!$U:$U,MATCH($A38,Base!$A:$A,0)),IF(GM$1=INDEX('Valo FX'!$R:$R,MATCH($A38,'Valo FX'!$A:$A,0)),INDEX(Base!$V:$V,MATCH($A38,Base!$A:$A,0)),0)))</f>
        <v>11.264511000000001</v>
      </c>
      <c r="GN38" s="21">
        <f>IF(GN$1&lt;INDEX('Valo FX'!$Q:$Q,MATCH($A38,'Valo FX'!$A:$A,0)),0,IF(GN$1&lt;INDEX('Valo FX'!$R:$R,MATCH($A38,'Valo FX'!$A:$A,0)),INDEX(Base!$U:$U,MATCH($A38,Base!$A:$A,0)),IF(GN$1=INDEX('Valo FX'!$R:$R,MATCH($A38,'Valo FX'!$A:$A,0)),INDEX(Base!$V:$V,MATCH($A38,Base!$A:$A,0)),0)))</f>
        <v>11.264511000000001</v>
      </c>
      <c r="GO38" s="21">
        <f>IF(GO$1&lt;INDEX('Valo FX'!$Q:$Q,MATCH($A38,'Valo FX'!$A:$A,0)),0,IF(GO$1&lt;INDEX('Valo FX'!$R:$R,MATCH($A38,'Valo FX'!$A:$A,0)),INDEX(Base!$U:$U,MATCH($A38,Base!$A:$A,0)),IF(GO$1=INDEX('Valo FX'!$R:$R,MATCH($A38,'Valo FX'!$A:$A,0)),INDEX(Base!$V:$V,MATCH($A38,Base!$A:$A,0)),0)))</f>
        <v>11.264511000000001</v>
      </c>
      <c r="GP38" s="21">
        <f>IF(GP$1&lt;INDEX('Valo FX'!$Q:$Q,MATCH($A38,'Valo FX'!$A:$A,0)),0,IF(GP$1&lt;INDEX('Valo FX'!$R:$R,MATCH($A38,'Valo FX'!$A:$A,0)),INDEX(Base!$U:$U,MATCH($A38,Base!$A:$A,0)),IF(GP$1=INDEX('Valo FX'!$R:$R,MATCH($A38,'Valo FX'!$A:$A,0)),INDEX(Base!$V:$V,MATCH($A38,Base!$A:$A,0)),0)))</f>
        <v>11.264511000000001</v>
      </c>
      <c r="GQ38" s="21">
        <f>IF(GQ$1&lt;INDEX('Valo FX'!$Q:$Q,MATCH($A38,'Valo FX'!$A:$A,0)),0,IF(GQ$1&lt;INDEX('Valo FX'!$R:$R,MATCH($A38,'Valo FX'!$A:$A,0)),INDEX(Base!$U:$U,MATCH($A38,Base!$A:$A,0)),IF(GQ$1=INDEX('Valo FX'!$R:$R,MATCH($A38,'Valo FX'!$A:$A,0)),INDEX(Base!$V:$V,MATCH($A38,Base!$A:$A,0)),0)))</f>
        <v>11.264511000000001</v>
      </c>
      <c r="GR38" s="21">
        <f>IF(GR$1&lt;INDEX('Valo FX'!$Q:$Q,MATCH($A38,'Valo FX'!$A:$A,0)),0,IF(GR$1&lt;INDEX('Valo FX'!$R:$R,MATCH($A38,'Valo FX'!$A:$A,0)),INDEX(Base!$U:$U,MATCH($A38,Base!$A:$A,0)),IF(GR$1=INDEX('Valo FX'!$R:$R,MATCH($A38,'Valo FX'!$A:$A,0)),INDEX(Base!$V:$V,MATCH($A38,Base!$A:$A,0)),0)))</f>
        <v>11.264511000000001</v>
      </c>
      <c r="GS38" s="21">
        <f>IF(GS$1&lt;INDEX('Valo FX'!$Q:$Q,MATCH($A38,'Valo FX'!$A:$A,0)),0,IF(GS$1&lt;INDEX('Valo FX'!$R:$R,MATCH($A38,'Valo FX'!$A:$A,0)),INDEX(Base!$U:$U,MATCH($A38,Base!$A:$A,0)),IF(GS$1=INDEX('Valo FX'!$R:$R,MATCH($A38,'Valo FX'!$A:$A,0)),INDEX(Base!$V:$V,MATCH($A38,Base!$A:$A,0)),0)))</f>
        <v>11.264511000000001</v>
      </c>
      <c r="GT38" s="21">
        <f>IF(GT$1&lt;INDEX('Valo FX'!$Q:$Q,MATCH($A38,'Valo FX'!$A:$A,0)),0,IF(GT$1&lt;INDEX('Valo FX'!$R:$R,MATCH($A38,'Valo FX'!$A:$A,0)),INDEX(Base!$U:$U,MATCH($A38,Base!$A:$A,0)),IF(GT$1=INDEX('Valo FX'!$R:$R,MATCH($A38,'Valo FX'!$A:$A,0)),INDEX(Base!$V:$V,MATCH($A38,Base!$A:$A,0)),0)))</f>
        <v>11.264511000000001</v>
      </c>
      <c r="GU38" s="21">
        <f>IF(GU$1&lt;INDEX('Valo FX'!$Q:$Q,MATCH($A38,'Valo FX'!$A:$A,0)),0,IF(GU$1&lt;INDEX('Valo FX'!$R:$R,MATCH($A38,'Valo FX'!$A:$A,0)),INDEX(Base!$U:$U,MATCH($A38,Base!$A:$A,0)),IF(GU$1=INDEX('Valo FX'!$R:$R,MATCH($A38,'Valo FX'!$A:$A,0)),INDEX(Base!$V:$V,MATCH($A38,Base!$A:$A,0)),0)))</f>
        <v>11.264511000000001</v>
      </c>
      <c r="GV38" s="21">
        <f>IF(GV$1&lt;INDEX('Valo FX'!$Q:$Q,MATCH($A38,'Valo FX'!$A:$A,0)),0,IF(GV$1&lt;INDEX('Valo FX'!$R:$R,MATCH($A38,'Valo FX'!$A:$A,0)),INDEX(Base!$U:$U,MATCH($A38,Base!$A:$A,0)),IF(GV$1=INDEX('Valo FX'!$R:$R,MATCH($A38,'Valo FX'!$A:$A,0)),INDEX(Base!$V:$V,MATCH($A38,Base!$A:$A,0)),0)))</f>
        <v>11.264511000000001</v>
      </c>
      <c r="GW38" s="21">
        <f>IF(GW$1&lt;INDEX('Valo FX'!$Q:$Q,MATCH($A38,'Valo FX'!$A:$A,0)),0,IF(GW$1&lt;INDEX('Valo FX'!$R:$R,MATCH($A38,'Valo FX'!$A:$A,0)),INDEX(Base!$U:$U,MATCH($A38,Base!$A:$A,0)),IF(GW$1=INDEX('Valo FX'!$R:$R,MATCH($A38,'Valo FX'!$A:$A,0)),INDEX(Base!$V:$V,MATCH($A38,Base!$A:$A,0)),0)))</f>
        <v>11.264511000000001</v>
      </c>
      <c r="GX38" s="21">
        <f>IF(GX$1&lt;INDEX('Valo FX'!$Q:$Q,MATCH($A38,'Valo FX'!$A:$A,0)),0,IF(GX$1&lt;INDEX('Valo FX'!$R:$R,MATCH($A38,'Valo FX'!$A:$A,0)),INDEX(Base!$U:$U,MATCH($A38,Base!$A:$A,0)),IF(GX$1=INDEX('Valo FX'!$R:$R,MATCH($A38,'Valo FX'!$A:$A,0)),INDEX(Base!$V:$V,MATCH($A38,Base!$A:$A,0)),0)))</f>
        <v>11.264511000000001</v>
      </c>
      <c r="GY38" s="21">
        <f>IF(GY$1&lt;INDEX('Valo FX'!$Q:$Q,MATCH($A38,'Valo FX'!$A:$A,0)),0,IF(GY$1&lt;INDEX('Valo FX'!$R:$R,MATCH($A38,'Valo FX'!$A:$A,0)),INDEX(Base!$U:$U,MATCH($A38,Base!$A:$A,0)),IF(GY$1=INDEX('Valo FX'!$R:$R,MATCH($A38,'Valo FX'!$A:$A,0)),INDEX(Base!$V:$V,MATCH($A38,Base!$A:$A,0)),0)))</f>
        <v>11.264511000000001</v>
      </c>
      <c r="GZ38" s="21">
        <f>IF(GZ$1&lt;INDEX('Valo FX'!$Q:$Q,MATCH($A38,'Valo FX'!$A:$A,0)),0,IF(GZ$1&lt;INDEX('Valo FX'!$R:$R,MATCH($A38,'Valo FX'!$A:$A,0)),INDEX(Base!$U:$U,MATCH($A38,Base!$A:$A,0)),IF(GZ$1=INDEX('Valo FX'!$R:$R,MATCH($A38,'Valo FX'!$A:$A,0)),INDEX(Base!$V:$V,MATCH($A38,Base!$A:$A,0)),0)))</f>
        <v>11.264511000000001</v>
      </c>
      <c r="HA38" s="21">
        <f>IF(HA$1&lt;INDEX('Valo FX'!$Q:$Q,MATCH($A38,'Valo FX'!$A:$A,0)),0,IF(HA$1&lt;INDEX('Valo FX'!$R:$R,MATCH($A38,'Valo FX'!$A:$A,0)),INDEX(Base!$U:$U,MATCH($A38,Base!$A:$A,0)),IF(HA$1=INDEX('Valo FX'!$R:$R,MATCH($A38,'Valo FX'!$A:$A,0)),INDEX(Base!$V:$V,MATCH($A38,Base!$A:$A,0)),0)))</f>
        <v>11.264511000000001</v>
      </c>
      <c r="HB38" s="21">
        <f>IF(HB$1&lt;INDEX('Valo FX'!$Q:$Q,MATCH($A38,'Valo FX'!$A:$A,0)),0,IF(HB$1&lt;INDEX('Valo FX'!$R:$R,MATCH($A38,'Valo FX'!$A:$A,0)),INDEX(Base!$U:$U,MATCH($A38,Base!$A:$A,0)),IF(HB$1=INDEX('Valo FX'!$R:$R,MATCH($A38,'Valo FX'!$A:$A,0)),INDEX(Base!$V:$V,MATCH($A38,Base!$A:$A,0)),0)))</f>
        <v>11.264511000000001</v>
      </c>
      <c r="HC38" s="21">
        <f>IF(HC$1&lt;INDEX('Valo FX'!$Q:$Q,MATCH($A38,'Valo FX'!$A:$A,0)),0,IF(HC$1&lt;INDEX('Valo FX'!$R:$R,MATCH($A38,'Valo FX'!$A:$A,0)),INDEX(Base!$U:$U,MATCH($A38,Base!$A:$A,0)),IF(HC$1=INDEX('Valo FX'!$R:$R,MATCH($A38,'Valo FX'!$A:$A,0)),INDEX(Base!$V:$V,MATCH($A38,Base!$A:$A,0)),0)))</f>
        <v>11.264511000000001</v>
      </c>
      <c r="HD38" s="21">
        <f>IF(HD$1&lt;INDEX('Valo FX'!$Q:$Q,MATCH($A38,'Valo FX'!$A:$A,0)),0,IF(HD$1&lt;INDEX('Valo FX'!$R:$R,MATCH($A38,'Valo FX'!$A:$A,0)),INDEX(Base!$U:$U,MATCH($A38,Base!$A:$A,0)),IF(HD$1=INDEX('Valo FX'!$R:$R,MATCH($A38,'Valo FX'!$A:$A,0)),INDEX(Base!$V:$V,MATCH($A38,Base!$A:$A,0)),0)))</f>
        <v>11.264511000000001</v>
      </c>
      <c r="HE38" s="21">
        <f>IF(HE$1&lt;INDEX('Valo FX'!$Q:$Q,MATCH($A38,'Valo FX'!$A:$A,0)),0,IF(HE$1&lt;INDEX('Valo FX'!$R:$R,MATCH($A38,'Valo FX'!$A:$A,0)),INDEX(Base!$U:$U,MATCH($A38,Base!$A:$A,0)),IF(HE$1=INDEX('Valo FX'!$R:$R,MATCH($A38,'Valo FX'!$A:$A,0)),INDEX(Base!$V:$V,MATCH($A38,Base!$A:$A,0)),0)))</f>
        <v>11.264511000000001</v>
      </c>
      <c r="HF38" s="21">
        <f>IF(HF$1&lt;INDEX('Valo FX'!$Q:$Q,MATCH($A38,'Valo FX'!$A:$A,0)),0,IF(HF$1&lt;INDEX('Valo FX'!$R:$R,MATCH($A38,'Valo FX'!$A:$A,0)),INDEX(Base!$U:$U,MATCH($A38,Base!$A:$A,0)),IF(HF$1=INDEX('Valo FX'!$R:$R,MATCH($A38,'Valo FX'!$A:$A,0)),INDEX(Base!$V:$V,MATCH($A38,Base!$A:$A,0)),0)))</f>
        <v>11.264511000000001</v>
      </c>
      <c r="HG38" s="21">
        <f>IF(HG$1&lt;INDEX('Valo FX'!$Q:$Q,MATCH($A38,'Valo FX'!$A:$A,0)),0,IF(HG$1&lt;INDEX('Valo FX'!$R:$R,MATCH($A38,'Valo FX'!$A:$A,0)),INDEX(Base!$U:$U,MATCH($A38,Base!$A:$A,0)),IF(HG$1=INDEX('Valo FX'!$R:$R,MATCH($A38,'Valo FX'!$A:$A,0)),INDEX(Base!$V:$V,MATCH($A38,Base!$A:$A,0)),0)))</f>
        <v>11.264511000000001</v>
      </c>
      <c r="HH38" s="21">
        <f>IF(HH$1&lt;INDEX('Valo FX'!$Q:$Q,MATCH($A38,'Valo FX'!$A:$A,0)),0,IF(HH$1&lt;INDEX('Valo FX'!$R:$R,MATCH($A38,'Valo FX'!$A:$A,0)),INDEX(Base!$U:$U,MATCH($A38,Base!$A:$A,0)),IF(HH$1=INDEX('Valo FX'!$R:$R,MATCH($A38,'Valo FX'!$A:$A,0)),INDEX(Base!$V:$V,MATCH($A38,Base!$A:$A,0)),0)))</f>
        <v>11.264511000000001</v>
      </c>
      <c r="HI38" s="21">
        <f>IF(HI$1&lt;INDEX('Valo FX'!$Q:$Q,MATCH($A38,'Valo FX'!$A:$A,0)),0,IF(HI$1&lt;INDEX('Valo FX'!$R:$R,MATCH($A38,'Valo FX'!$A:$A,0)),INDEX(Base!$U:$U,MATCH($A38,Base!$A:$A,0)),IF(HI$1=INDEX('Valo FX'!$R:$R,MATCH($A38,'Valo FX'!$A:$A,0)),INDEX(Base!$V:$V,MATCH($A38,Base!$A:$A,0)),0)))</f>
        <v>11.264511000000001</v>
      </c>
      <c r="HJ38" s="21">
        <f>IF(HJ$1&lt;INDEX('Valo FX'!$Q:$Q,MATCH($A38,'Valo FX'!$A:$A,0)),0,IF(HJ$1&lt;INDEX('Valo FX'!$R:$R,MATCH($A38,'Valo FX'!$A:$A,0)),INDEX(Base!$U:$U,MATCH($A38,Base!$A:$A,0)),IF(HJ$1=INDEX('Valo FX'!$R:$R,MATCH($A38,'Valo FX'!$A:$A,0)),INDEX(Base!$V:$V,MATCH($A38,Base!$A:$A,0)),0)))</f>
        <v>11.264511000000001</v>
      </c>
      <c r="HK38" s="21">
        <f>IF(HK$1&lt;INDEX('Valo FX'!$Q:$Q,MATCH($A38,'Valo FX'!$A:$A,0)),0,IF(HK$1&lt;INDEX('Valo FX'!$R:$R,MATCH($A38,'Valo FX'!$A:$A,0)),INDEX(Base!$U:$U,MATCH($A38,Base!$A:$A,0)),IF(HK$1=INDEX('Valo FX'!$R:$R,MATCH($A38,'Valo FX'!$A:$A,0)),INDEX(Base!$V:$V,MATCH($A38,Base!$A:$A,0)),0)))</f>
        <v>11.264511000000001</v>
      </c>
      <c r="HL38" s="21">
        <f>IF(HL$1&lt;INDEX('Valo FX'!$Q:$Q,MATCH($A38,'Valo FX'!$A:$A,0)),0,IF(HL$1&lt;INDEX('Valo FX'!$R:$R,MATCH($A38,'Valo FX'!$A:$A,0)),INDEX(Base!$U:$U,MATCH($A38,Base!$A:$A,0)),IF(HL$1=INDEX('Valo FX'!$R:$R,MATCH($A38,'Valo FX'!$A:$A,0)),INDEX(Base!$V:$V,MATCH($A38,Base!$A:$A,0)),0)))</f>
        <v>11.264511000000001</v>
      </c>
      <c r="HM38" s="21">
        <f>IF(HM$1&lt;INDEX('Valo FX'!$Q:$Q,MATCH($A38,'Valo FX'!$A:$A,0)),0,IF(HM$1&lt;INDEX('Valo FX'!$R:$R,MATCH($A38,'Valo FX'!$A:$A,0)),INDEX(Base!$U:$U,MATCH($A38,Base!$A:$A,0)),IF(HM$1=INDEX('Valo FX'!$R:$R,MATCH($A38,'Valo FX'!$A:$A,0)),INDEX(Base!$V:$V,MATCH($A38,Base!$A:$A,0)),0)))</f>
        <v>11.264511000000001</v>
      </c>
      <c r="HN38" s="21">
        <f>IF(HN$1&lt;INDEX('Valo FX'!$Q:$Q,MATCH($A38,'Valo FX'!$A:$A,0)),0,IF(HN$1&lt;INDEX('Valo FX'!$R:$R,MATCH($A38,'Valo FX'!$A:$A,0)),INDEX(Base!$U:$U,MATCH($A38,Base!$A:$A,0)),IF(HN$1=INDEX('Valo FX'!$R:$R,MATCH($A38,'Valo FX'!$A:$A,0)),INDEX(Base!$V:$V,MATCH($A38,Base!$A:$A,0)),0)))</f>
        <v>11.264511000000001</v>
      </c>
      <c r="HO38" s="21">
        <f>IF(HO$1&lt;INDEX('Valo FX'!$Q:$Q,MATCH($A38,'Valo FX'!$A:$A,0)),0,IF(HO$1&lt;INDEX('Valo FX'!$R:$R,MATCH($A38,'Valo FX'!$A:$A,0)),INDEX(Base!$U:$U,MATCH($A38,Base!$A:$A,0)),IF(HO$1=INDEX('Valo FX'!$R:$R,MATCH($A38,'Valo FX'!$A:$A,0)),INDEX(Base!$V:$V,MATCH($A38,Base!$A:$A,0)),0)))</f>
        <v>11.264511000000001</v>
      </c>
      <c r="HP38" s="21">
        <f>IF(HP$1&lt;INDEX('Valo FX'!$Q:$Q,MATCH($A38,'Valo FX'!$A:$A,0)),0,IF(HP$1&lt;INDEX('Valo FX'!$R:$R,MATCH($A38,'Valo FX'!$A:$A,0)),INDEX(Base!$U:$U,MATCH($A38,Base!$A:$A,0)),IF(HP$1=INDEX('Valo FX'!$R:$R,MATCH($A38,'Valo FX'!$A:$A,0)),INDEX(Base!$V:$V,MATCH($A38,Base!$A:$A,0)),0)))</f>
        <v>11.264511000000001</v>
      </c>
      <c r="HQ38" s="21">
        <f>IF(HQ$1&lt;INDEX('Valo FX'!$Q:$Q,MATCH($A38,'Valo FX'!$A:$A,0)),0,IF(HQ$1&lt;INDEX('Valo FX'!$R:$R,MATCH($A38,'Valo FX'!$A:$A,0)),INDEX(Base!$U:$U,MATCH($A38,Base!$A:$A,0)),IF(HQ$1=INDEX('Valo FX'!$R:$R,MATCH($A38,'Valo FX'!$A:$A,0)),INDEX(Base!$V:$V,MATCH($A38,Base!$A:$A,0)),0)))</f>
        <v>11.264511000000001</v>
      </c>
      <c r="HR38" s="21">
        <f>IF(HR$1&lt;INDEX('Valo FX'!$Q:$Q,MATCH($A38,'Valo FX'!$A:$A,0)),0,IF(HR$1&lt;INDEX('Valo FX'!$R:$R,MATCH($A38,'Valo FX'!$A:$A,0)),INDEX(Base!$U:$U,MATCH($A38,Base!$A:$A,0)),IF(HR$1=INDEX('Valo FX'!$R:$R,MATCH($A38,'Valo FX'!$A:$A,0)),INDEX(Base!$V:$V,MATCH($A38,Base!$A:$A,0)),0)))</f>
        <v>11.264511000000001</v>
      </c>
      <c r="HS38" s="21">
        <f>IF(HS$1&lt;INDEX('Valo FX'!$Q:$Q,MATCH($A38,'Valo FX'!$A:$A,0)),0,IF(HS$1&lt;INDEX('Valo FX'!$R:$R,MATCH($A38,'Valo FX'!$A:$A,0)),INDEX(Base!$U:$U,MATCH($A38,Base!$A:$A,0)),IF(HS$1=INDEX('Valo FX'!$R:$R,MATCH($A38,'Valo FX'!$A:$A,0)),INDEX(Base!$V:$V,MATCH($A38,Base!$A:$A,0)),0)))</f>
        <v>11.264511000000001</v>
      </c>
      <c r="HT38" s="21">
        <f>IF(HT$1&lt;INDEX('Valo FX'!$Q:$Q,MATCH($A38,'Valo FX'!$A:$A,0)),0,IF(HT$1&lt;INDEX('Valo FX'!$R:$R,MATCH($A38,'Valo FX'!$A:$A,0)),INDEX(Base!$U:$U,MATCH($A38,Base!$A:$A,0)),IF(HT$1=INDEX('Valo FX'!$R:$R,MATCH($A38,'Valo FX'!$A:$A,0)),INDEX(Base!$V:$V,MATCH($A38,Base!$A:$A,0)),0)))</f>
        <v>11.264511000000001</v>
      </c>
      <c r="HU38" s="21">
        <f>IF(HU$1&lt;INDEX('Valo FX'!$Q:$Q,MATCH($A38,'Valo FX'!$A:$A,0)),0,IF(HU$1&lt;INDEX('Valo FX'!$R:$R,MATCH($A38,'Valo FX'!$A:$A,0)),INDEX(Base!$U:$U,MATCH($A38,Base!$A:$A,0)),IF(HU$1=INDEX('Valo FX'!$R:$R,MATCH($A38,'Valo FX'!$A:$A,0)),INDEX(Base!$V:$V,MATCH($A38,Base!$A:$A,0)),0)))</f>
        <v>11.264511000000001</v>
      </c>
      <c r="HV38" s="21">
        <f>IF(HV$1&lt;INDEX('Valo FX'!$Q:$Q,MATCH($A38,'Valo FX'!$A:$A,0)),0,IF(HV$1&lt;INDEX('Valo FX'!$R:$R,MATCH($A38,'Valo FX'!$A:$A,0)),INDEX(Base!$U:$U,MATCH($A38,Base!$A:$A,0)),IF(HV$1=INDEX('Valo FX'!$R:$R,MATCH($A38,'Valo FX'!$A:$A,0)),INDEX(Base!$V:$V,MATCH($A38,Base!$A:$A,0)),0)))</f>
        <v>11.264511000000001</v>
      </c>
      <c r="HW38" s="21">
        <f>IF(HW$1&lt;INDEX('Valo FX'!$Q:$Q,MATCH($A38,'Valo FX'!$A:$A,0)),0,IF(HW$1&lt;INDEX('Valo FX'!$R:$R,MATCH($A38,'Valo FX'!$A:$A,0)),INDEX(Base!$U:$U,MATCH($A38,Base!$A:$A,0)),IF(HW$1=INDEX('Valo FX'!$R:$R,MATCH($A38,'Valo FX'!$A:$A,0)),INDEX(Base!$V:$V,MATCH($A38,Base!$A:$A,0)),0)))</f>
        <v>11.264511000000001</v>
      </c>
      <c r="HX38" s="21">
        <f>IF(HX$1&lt;INDEX('Valo FX'!$Q:$Q,MATCH($A38,'Valo FX'!$A:$A,0)),0,IF(HX$1&lt;INDEX('Valo FX'!$R:$R,MATCH($A38,'Valo FX'!$A:$A,0)),INDEX(Base!$U:$U,MATCH($A38,Base!$A:$A,0)),IF(HX$1=INDEX('Valo FX'!$R:$R,MATCH($A38,'Valo FX'!$A:$A,0)),INDEX(Base!$V:$V,MATCH($A38,Base!$A:$A,0)),0)))</f>
        <v>11.264511000000001</v>
      </c>
      <c r="HY38" s="21">
        <f>IF(HY$1&lt;INDEX('Valo FX'!$Q:$Q,MATCH($A38,'Valo FX'!$A:$A,0)),0,IF(HY$1&lt;INDEX('Valo FX'!$R:$R,MATCH($A38,'Valo FX'!$A:$A,0)),INDEX(Base!$U:$U,MATCH($A38,Base!$A:$A,0)),IF(HY$1=INDEX('Valo FX'!$R:$R,MATCH($A38,'Valo FX'!$A:$A,0)),INDEX(Base!$V:$V,MATCH($A38,Base!$A:$A,0)),0)))</f>
        <v>11.264511000000001</v>
      </c>
      <c r="HZ38" s="21">
        <f>IF(HZ$1&lt;INDEX('Valo FX'!$Q:$Q,MATCH($A38,'Valo FX'!$A:$A,0)),0,IF(HZ$1&lt;INDEX('Valo FX'!$R:$R,MATCH($A38,'Valo FX'!$A:$A,0)),INDEX(Base!$U:$U,MATCH($A38,Base!$A:$A,0)),IF(HZ$1=INDEX('Valo FX'!$R:$R,MATCH($A38,'Valo FX'!$A:$A,0)),INDEX(Base!$V:$V,MATCH($A38,Base!$A:$A,0)),0)))</f>
        <v>11.264511000000001</v>
      </c>
      <c r="IA38" s="21">
        <f>IF(IA$1&lt;INDEX('Valo FX'!$Q:$Q,MATCH($A38,'Valo FX'!$A:$A,0)),0,IF(IA$1&lt;INDEX('Valo FX'!$R:$R,MATCH($A38,'Valo FX'!$A:$A,0)),INDEX(Base!$U:$U,MATCH($A38,Base!$A:$A,0)),IF(IA$1=INDEX('Valo FX'!$R:$R,MATCH($A38,'Valo FX'!$A:$A,0)),INDEX(Base!$V:$V,MATCH($A38,Base!$A:$A,0)),0)))</f>
        <v>11.264511000000001</v>
      </c>
      <c r="IB38" s="21">
        <f>IF(IB$1&lt;INDEX('Valo FX'!$Q:$Q,MATCH($A38,'Valo FX'!$A:$A,0)),0,IF(IB$1&lt;INDEX('Valo FX'!$R:$R,MATCH($A38,'Valo FX'!$A:$A,0)),INDEX(Base!$U:$U,MATCH($A38,Base!$A:$A,0)),IF(IB$1=INDEX('Valo FX'!$R:$R,MATCH($A38,'Valo FX'!$A:$A,0)),INDEX(Base!$V:$V,MATCH($A38,Base!$A:$A,0)),0)))</f>
        <v>11.264511000000001</v>
      </c>
      <c r="IC38" s="21">
        <f>IF(IC$1&lt;INDEX('Valo FX'!$Q:$Q,MATCH($A38,'Valo FX'!$A:$A,0)),0,IF(IC$1&lt;INDEX('Valo FX'!$R:$R,MATCH($A38,'Valo FX'!$A:$A,0)),INDEX(Base!$U:$U,MATCH($A38,Base!$A:$A,0)),IF(IC$1=INDEX('Valo FX'!$R:$R,MATCH($A38,'Valo FX'!$A:$A,0)),INDEX(Base!$V:$V,MATCH($A38,Base!$A:$A,0)),0)))</f>
        <v>11.264511000000001</v>
      </c>
      <c r="ID38" s="21">
        <f>IF(ID$1&lt;INDEX('Valo FX'!$Q:$Q,MATCH($A38,'Valo FX'!$A:$A,0)),0,IF(ID$1&lt;INDEX('Valo FX'!$R:$R,MATCH($A38,'Valo FX'!$A:$A,0)),INDEX(Base!$U:$U,MATCH($A38,Base!$A:$A,0)),IF(ID$1=INDEX('Valo FX'!$R:$R,MATCH($A38,'Valo FX'!$A:$A,0)),INDEX(Base!$V:$V,MATCH($A38,Base!$A:$A,0)),0)))</f>
        <v>11.264511000000001</v>
      </c>
      <c r="IE38" s="21">
        <f>IF(IE$1&lt;INDEX('Valo FX'!$Q:$Q,MATCH($A38,'Valo FX'!$A:$A,0)),0,IF(IE$1&lt;INDEX('Valo FX'!$R:$R,MATCH($A38,'Valo FX'!$A:$A,0)),INDEX(Base!$U:$U,MATCH($A38,Base!$A:$A,0)),IF(IE$1=INDEX('Valo FX'!$R:$R,MATCH($A38,'Valo FX'!$A:$A,0)),INDEX(Base!$V:$V,MATCH($A38,Base!$A:$A,0)),0)))</f>
        <v>11.264511000000001</v>
      </c>
      <c r="IF38" s="21">
        <f>IF(IF$1&lt;INDEX('Valo FX'!$Q:$Q,MATCH($A38,'Valo FX'!$A:$A,0)),0,IF(IF$1&lt;INDEX('Valo FX'!$R:$R,MATCH($A38,'Valo FX'!$A:$A,0)),INDEX(Base!$U:$U,MATCH($A38,Base!$A:$A,0)),IF(IF$1=INDEX('Valo FX'!$R:$R,MATCH($A38,'Valo FX'!$A:$A,0)),INDEX(Base!$V:$V,MATCH($A38,Base!$A:$A,0)),0)))</f>
        <v>11.264511000000001</v>
      </c>
      <c r="IG38" s="21">
        <f>IF(IG$1&lt;INDEX('Valo FX'!$Q:$Q,MATCH($A38,'Valo FX'!$A:$A,0)),0,IF(IG$1&lt;INDEX('Valo FX'!$R:$R,MATCH($A38,'Valo FX'!$A:$A,0)),INDEX(Base!$U:$U,MATCH($A38,Base!$A:$A,0)),IF(IG$1=INDEX('Valo FX'!$R:$R,MATCH($A38,'Valo FX'!$A:$A,0)),INDEX(Base!$V:$V,MATCH($A38,Base!$A:$A,0)),0)))</f>
        <v>11.264511000000001</v>
      </c>
      <c r="IH38" s="21">
        <f>IF(IH$1&lt;INDEX('Valo FX'!$Q:$Q,MATCH($A38,'Valo FX'!$A:$A,0)),0,IF(IH$1&lt;INDEX('Valo FX'!$R:$R,MATCH($A38,'Valo FX'!$A:$A,0)),INDEX(Base!$U:$U,MATCH($A38,Base!$A:$A,0)),IF(IH$1=INDEX('Valo FX'!$R:$R,MATCH($A38,'Valo FX'!$A:$A,0)),INDEX(Base!$V:$V,MATCH($A38,Base!$A:$A,0)),0)))</f>
        <v>11.264511000000001</v>
      </c>
      <c r="II38" s="21">
        <f>IF(II$1&lt;INDEX('Valo FX'!$Q:$Q,MATCH($A38,'Valo FX'!$A:$A,0)),0,IF(II$1&lt;INDEX('Valo FX'!$R:$R,MATCH($A38,'Valo FX'!$A:$A,0)),INDEX(Base!$U:$U,MATCH($A38,Base!$A:$A,0)),IF(II$1=INDEX('Valo FX'!$R:$R,MATCH($A38,'Valo FX'!$A:$A,0)),INDEX(Base!$V:$V,MATCH($A38,Base!$A:$A,0)),0)))</f>
        <v>11.264511000000001</v>
      </c>
      <c r="IJ38" s="21">
        <f>IF(IJ$1&lt;INDEX('Valo FX'!$Q:$Q,MATCH($A38,'Valo FX'!$A:$A,0)),0,IF(IJ$1&lt;INDEX('Valo FX'!$R:$R,MATCH($A38,'Valo FX'!$A:$A,0)),INDEX(Base!$U:$U,MATCH($A38,Base!$A:$A,0)),IF(IJ$1=INDEX('Valo FX'!$R:$R,MATCH($A38,'Valo FX'!$A:$A,0)),INDEX(Base!$V:$V,MATCH($A38,Base!$A:$A,0)),0)))</f>
        <v>11.264511000000001</v>
      </c>
      <c r="IK38" s="21">
        <f>IF(IK$1&lt;INDEX('Valo FX'!$Q:$Q,MATCH($A38,'Valo FX'!$A:$A,0)),0,IF(IK$1&lt;INDEX('Valo FX'!$R:$R,MATCH($A38,'Valo FX'!$A:$A,0)),INDEX(Base!$U:$U,MATCH($A38,Base!$A:$A,0)),IF(IK$1=INDEX('Valo FX'!$R:$R,MATCH($A38,'Valo FX'!$A:$A,0)),INDEX(Base!$V:$V,MATCH($A38,Base!$A:$A,0)),0)))</f>
        <v>11.264511000000001</v>
      </c>
      <c r="IL38" s="21">
        <f>IF(IL$1&lt;INDEX('Valo FX'!$Q:$Q,MATCH($A38,'Valo FX'!$A:$A,0)),0,IF(IL$1&lt;INDEX('Valo FX'!$R:$R,MATCH($A38,'Valo FX'!$A:$A,0)),INDEX(Base!$U:$U,MATCH($A38,Base!$A:$A,0)),IF(IL$1=INDEX('Valo FX'!$R:$R,MATCH($A38,'Valo FX'!$A:$A,0)),INDEX(Base!$V:$V,MATCH($A38,Base!$A:$A,0)),0)))</f>
        <v>11.264511000000001</v>
      </c>
      <c r="IM38" s="21">
        <f>IF(IM$1&lt;INDEX('Valo FX'!$Q:$Q,MATCH($A38,'Valo FX'!$A:$A,0)),0,IF(IM$1&lt;INDEX('Valo FX'!$R:$R,MATCH($A38,'Valo FX'!$A:$A,0)),INDEX(Base!$U:$U,MATCH($A38,Base!$A:$A,0)),IF(IM$1=INDEX('Valo FX'!$R:$R,MATCH($A38,'Valo FX'!$A:$A,0)),INDEX(Base!$V:$V,MATCH($A38,Base!$A:$A,0)),0)))</f>
        <v>11.264511000000001</v>
      </c>
      <c r="IN38" s="21">
        <f>IF(IN$1&lt;INDEX('Valo FX'!$Q:$Q,MATCH($A38,'Valo FX'!$A:$A,0)),0,IF(IN$1&lt;INDEX('Valo FX'!$R:$R,MATCH($A38,'Valo FX'!$A:$A,0)),INDEX(Base!$U:$U,MATCH($A38,Base!$A:$A,0)),IF(IN$1=INDEX('Valo FX'!$R:$R,MATCH($A38,'Valo FX'!$A:$A,0)),INDEX(Base!$V:$V,MATCH($A38,Base!$A:$A,0)),0)))</f>
        <v>11.264511000000001</v>
      </c>
      <c r="IO38" s="21">
        <f>IF(IO$1&lt;INDEX('Valo FX'!$Q:$Q,MATCH($A38,'Valo FX'!$A:$A,0)),0,IF(IO$1&lt;INDEX('Valo FX'!$R:$R,MATCH($A38,'Valo FX'!$A:$A,0)),INDEX(Base!$U:$U,MATCH($A38,Base!$A:$A,0)),IF(IO$1=INDEX('Valo FX'!$R:$R,MATCH($A38,'Valo FX'!$A:$A,0)),INDEX(Base!$V:$V,MATCH($A38,Base!$A:$A,0)),0)))</f>
        <v>11.264511000000001</v>
      </c>
      <c r="IP38" s="21">
        <f>IF(IP$1&lt;INDEX('Valo FX'!$Q:$Q,MATCH($A38,'Valo FX'!$A:$A,0)),0,IF(IP$1&lt;INDEX('Valo FX'!$R:$R,MATCH($A38,'Valo FX'!$A:$A,0)),INDEX(Base!$U:$U,MATCH($A38,Base!$A:$A,0)),IF(IP$1=INDEX('Valo FX'!$R:$R,MATCH($A38,'Valo FX'!$A:$A,0)),INDEX(Base!$V:$V,MATCH($A38,Base!$A:$A,0)),0)))</f>
        <v>11.264511000000001</v>
      </c>
      <c r="IQ38" s="21">
        <f>IF(IQ$1&lt;INDEX('Valo FX'!$Q:$Q,MATCH($A38,'Valo FX'!$A:$A,0)),0,IF(IQ$1&lt;INDEX('Valo FX'!$R:$R,MATCH($A38,'Valo FX'!$A:$A,0)),INDEX(Base!$U:$U,MATCH($A38,Base!$A:$A,0)),IF(IQ$1=INDEX('Valo FX'!$R:$R,MATCH($A38,'Valo FX'!$A:$A,0)),INDEX(Base!$V:$V,MATCH($A38,Base!$A:$A,0)),0)))</f>
        <v>11.264511000000001</v>
      </c>
      <c r="IR38" s="21">
        <f>IF(IR$1&lt;INDEX('Valo FX'!$Q:$Q,MATCH($A38,'Valo FX'!$A:$A,0)),0,IF(IR$1&lt;INDEX('Valo FX'!$R:$R,MATCH($A38,'Valo FX'!$A:$A,0)),INDEX(Base!$U:$U,MATCH($A38,Base!$A:$A,0)),IF(IR$1=INDEX('Valo FX'!$R:$R,MATCH($A38,'Valo FX'!$A:$A,0)),INDEX(Base!$V:$V,MATCH($A38,Base!$A:$A,0)),0)))</f>
        <v>11.264511000000001</v>
      </c>
      <c r="IS38" s="21">
        <f>IF(IS$1&lt;INDEX('Valo FX'!$Q:$Q,MATCH($A38,'Valo FX'!$A:$A,0)),0,IF(IS$1&lt;INDEX('Valo FX'!$R:$R,MATCH($A38,'Valo FX'!$A:$A,0)),INDEX(Base!$U:$U,MATCH($A38,Base!$A:$A,0)),IF(IS$1=INDEX('Valo FX'!$R:$R,MATCH($A38,'Valo FX'!$A:$A,0)),INDEX(Base!$V:$V,MATCH($A38,Base!$A:$A,0)),0)))</f>
        <v>11.264511000000001</v>
      </c>
      <c r="IT38" s="21">
        <f>IF(IT$1&lt;INDEX('Valo FX'!$Q:$Q,MATCH($A38,'Valo FX'!$A:$A,0)),0,IF(IT$1&lt;INDEX('Valo FX'!$R:$R,MATCH($A38,'Valo FX'!$A:$A,0)),INDEX(Base!$U:$U,MATCH($A38,Base!$A:$A,0)),IF(IT$1=INDEX('Valo FX'!$R:$R,MATCH($A38,'Valo FX'!$A:$A,0)),INDEX(Base!$V:$V,MATCH($A38,Base!$A:$A,0)),0)))</f>
        <v>11.264511000000001</v>
      </c>
      <c r="IU38" s="21">
        <f>IF(IU$1&lt;INDEX('Valo FX'!$Q:$Q,MATCH($A38,'Valo FX'!$A:$A,0)),0,IF(IU$1&lt;INDEX('Valo FX'!$R:$R,MATCH($A38,'Valo FX'!$A:$A,0)),INDEX(Base!$U:$U,MATCH($A38,Base!$A:$A,0)),IF(IU$1=INDEX('Valo FX'!$R:$R,MATCH($A38,'Valo FX'!$A:$A,0)),INDEX(Base!$V:$V,MATCH($A38,Base!$A:$A,0)),0)))</f>
        <v>11.264511000000001</v>
      </c>
      <c r="IV38" s="21">
        <f>IF(IV$1&lt;INDEX('Valo FX'!$Q:$Q,MATCH($A38,'Valo FX'!$A:$A,0)),0,IF(IV$1&lt;INDEX('Valo FX'!$R:$R,MATCH($A38,'Valo FX'!$A:$A,0)),INDEX(Base!$U:$U,MATCH($A38,Base!$A:$A,0)),IF(IV$1=INDEX('Valo FX'!$R:$R,MATCH($A38,'Valo FX'!$A:$A,0)),INDEX(Base!$V:$V,MATCH($A38,Base!$A:$A,0)),0)))</f>
        <v>11.264511000000001</v>
      </c>
      <c r="IW38" s="21">
        <f>IF(IW$1&lt;INDEX('Valo FX'!$Q:$Q,MATCH($A38,'Valo FX'!$A:$A,0)),0,IF(IW$1&lt;INDEX('Valo FX'!$R:$R,MATCH($A38,'Valo FX'!$A:$A,0)),INDEX(Base!$U:$U,MATCH($A38,Base!$A:$A,0)),IF(IW$1=INDEX('Valo FX'!$R:$R,MATCH($A38,'Valo FX'!$A:$A,0)),INDEX(Base!$V:$V,MATCH($A38,Base!$A:$A,0)),0)))</f>
        <v>11.264511000000001</v>
      </c>
      <c r="IX38" s="21">
        <f>IF(IX$1&lt;INDEX('Valo FX'!$Q:$Q,MATCH($A38,'Valo FX'!$A:$A,0)),0,IF(IX$1&lt;INDEX('Valo FX'!$R:$R,MATCH($A38,'Valo FX'!$A:$A,0)),INDEX(Base!$U:$U,MATCH($A38,Base!$A:$A,0)),IF(IX$1=INDEX('Valo FX'!$R:$R,MATCH($A38,'Valo FX'!$A:$A,0)),INDEX(Base!$V:$V,MATCH($A38,Base!$A:$A,0)),0)))</f>
        <v>11.264511000000001</v>
      </c>
      <c r="IY38" s="21">
        <f>IF(IY$1&lt;INDEX('Valo FX'!$Q:$Q,MATCH($A38,'Valo FX'!$A:$A,0)),0,IF(IY$1&lt;INDEX('Valo FX'!$R:$R,MATCH($A38,'Valo FX'!$A:$A,0)),INDEX(Base!$U:$U,MATCH($A38,Base!$A:$A,0)),IF(IY$1=INDEX('Valo FX'!$R:$R,MATCH($A38,'Valo FX'!$A:$A,0)),INDEX(Base!$V:$V,MATCH($A38,Base!$A:$A,0)),0)))</f>
        <v>11.264511000000001</v>
      </c>
      <c r="IZ38" s="21">
        <f>IF(IZ$1&lt;INDEX('Valo FX'!$Q:$Q,MATCH($A38,'Valo FX'!$A:$A,0)),0,IF(IZ$1&lt;INDEX('Valo FX'!$R:$R,MATCH($A38,'Valo FX'!$A:$A,0)),INDEX(Base!$U:$U,MATCH($A38,Base!$A:$A,0)),IF(IZ$1=INDEX('Valo FX'!$R:$R,MATCH($A38,'Valo FX'!$A:$A,0)),INDEX(Base!$V:$V,MATCH($A38,Base!$A:$A,0)),0)))</f>
        <v>11.264511000000001</v>
      </c>
      <c r="JA38" s="21">
        <f>IF(JA$1&lt;INDEX('Valo FX'!$Q:$Q,MATCH($A38,'Valo FX'!$A:$A,0)),0,IF(JA$1&lt;INDEX('Valo FX'!$R:$R,MATCH($A38,'Valo FX'!$A:$A,0)),INDEX(Base!$U:$U,MATCH($A38,Base!$A:$A,0)),IF(JA$1=INDEX('Valo FX'!$R:$R,MATCH($A38,'Valo FX'!$A:$A,0)),INDEX(Base!$V:$V,MATCH($A38,Base!$A:$A,0)),0)))</f>
        <v>11.264511000000001</v>
      </c>
      <c r="JB38" s="21">
        <f>IF(JB$1&lt;INDEX('Valo FX'!$Q:$Q,MATCH($A38,'Valo FX'!$A:$A,0)),0,IF(JB$1&lt;INDEX('Valo FX'!$R:$R,MATCH($A38,'Valo FX'!$A:$A,0)),INDEX(Base!$U:$U,MATCH($A38,Base!$A:$A,0)),IF(JB$1=INDEX('Valo FX'!$R:$R,MATCH($A38,'Valo FX'!$A:$A,0)),INDEX(Base!$V:$V,MATCH($A38,Base!$A:$A,0)),0)))</f>
        <v>11.264511000000001</v>
      </c>
      <c r="JC38" s="21">
        <f>IF(JC$1&lt;INDEX('Valo FX'!$Q:$Q,MATCH($A38,'Valo FX'!$A:$A,0)),0,IF(JC$1&lt;INDEX('Valo FX'!$R:$R,MATCH($A38,'Valo FX'!$A:$A,0)),INDEX(Base!$U:$U,MATCH($A38,Base!$A:$A,0)),IF(JC$1=INDEX('Valo FX'!$R:$R,MATCH($A38,'Valo FX'!$A:$A,0)),INDEX(Base!$V:$V,MATCH($A38,Base!$A:$A,0)),0)))</f>
        <v>11.264511000000001</v>
      </c>
      <c r="JD38" s="21">
        <f>IF(JD$1&lt;INDEX('Valo FX'!$Q:$Q,MATCH($A38,'Valo FX'!$A:$A,0)),0,IF(JD$1&lt;INDEX('Valo FX'!$R:$R,MATCH($A38,'Valo FX'!$A:$A,0)),INDEX(Base!$U:$U,MATCH($A38,Base!$A:$A,0)),IF(JD$1=INDEX('Valo FX'!$R:$R,MATCH($A38,'Valo FX'!$A:$A,0)),INDEX(Base!$V:$V,MATCH($A38,Base!$A:$A,0)),0)))</f>
        <v>11.264511000000001</v>
      </c>
      <c r="JE38" s="21">
        <f>IF(JE$1&lt;INDEX('Valo FX'!$Q:$Q,MATCH($A38,'Valo FX'!$A:$A,0)),0,IF(JE$1&lt;INDEX('Valo FX'!$R:$R,MATCH($A38,'Valo FX'!$A:$A,0)),INDEX(Base!$U:$U,MATCH($A38,Base!$A:$A,0)),IF(JE$1=INDEX('Valo FX'!$R:$R,MATCH($A38,'Valo FX'!$A:$A,0)),INDEX(Base!$V:$V,MATCH($A38,Base!$A:$A,0)),0)))</f>
        <v>11.264511000000001</v>
      </c>
      <c r="JF38" s="21">
        <f>IF(JF$1&lt;INDEX('Valo FX'!$Q:$Q,MATCH($A38,'Valo FX'!$A:$A,0)),0,IF(JF$1&lt;INDEX('Valo FX'!$R:$R,MATCH($A38,'Valo FX'!$A:$A,0)),INDEX(Base!$U:$U,MATCH($A38,Base!$A:$A,0)),IF(JF$1=INDEX('Valo FX'!$R:$R,MATCH($A38,'Valo FX'!$A:$A,0)),INDEX(Base!$V:$V,MATCH($A38,Base!$A:$A,0)),0)))</f>
        <v>11.264511000000001</v>
      </c>
      <c r="JG38" s="21">
        <f>IF(JG$1&lt;INDEX('Valo FX'!$Q:$Q,MATCH($A38,'Valo FX'!$A:$A,0)),0,IF(JG$1&lt;INDEX('Valo FX'!$R:$R,MATCH($A38,'Valo FX'!$A:$A,0)),INDEX(Base!$U:$U,MATCH($A38,Base!$A:$A,0)),IF(JG$1=INDEX('Valo FX'!$R:$R,MATCH($A38,'Valo FX'!$A:$A,0)),INDEX(Base!$V:$V,MATCH($A38,Base!$A:$A,0)),0)))</f>
        <v>11.264511000000001</v>
      </c>
      <c r="JH38" s="21">
        <f>IF(JH$1&lt;INDEX('Valo FX'!$Q:$Q,MATCH($A38,'Valo FX'!$A:$A,0)),0,IF(JH$1&lt;INDEX('Valo FX'!$R:$R,MATCH($A38,'Valo FX'!$A:$A,0)),INDEX(Base!$U:$U,MATCH($A38,Base!$A:$A,0)),IF(JH$1=INDEX('Valo FX'!$R:$R,MATCH($A38,'Valo FX'!$A:$A,0)),INDEX(Base!$V:$V,MATCH($A38,Base!$A:$A,0)),0)))</f>
        <v>11.264511000000001</v>
      </c>
      <c r="JI38" s="21">
        <f>IF(JI$1&lt;INDEX('Valo FX'!$Q:$Q,MATCH($A38,'Valo FX'!$A:$A,0)),0,IF(JI$1&lt;INDEX('Valo FX'!$R:$R,MATCH($A38,'Valo FX'!$A:$A,0)),INDEX(Base!$U:$U,MATCH($A38,Base!$A:$A,0)),IF(JI$1=INDEX('Valo FX'!$R:$R,MATCH($A38,'Valo FX'!$A:$A,0)),INDEX(Base!$V:$V,MATCH($A38,Base!$A:$A,0)),0)))</f>
        <v>11.264511000000001</v>
      </c>
      <c r="JJ38" s="21">
        <f>IF(JJ$1&lt;INDEX('Valo FX'!$Q:$Q,MATCH($A38,'Valo FX'!$A:$A,0)),0,IF(JJ$1&lt;INDEX('Valo FX'!$R:$R,MATCH($A38,'Valo FX'!$A:$A,0)),INDEX(Base!$U:$U,MATCH($A38,Base!$A:$A,0)),IF(JJ$1=INDEX('Valo FX'!$R:$R,MATCH($A38,'Valo FX'!$A:$A,0)),INDEX(Base!$V:$V,MATCH($A38,Base!$A:$A,0)),0)))</f>
        <v>11.264511000000001</v>
      </c>
      <c r="JK38" s="21">
        <f>IF(JK$1&lt;INDEX('Valo FX'!$Q:$Q,MATCH($A38,'Valo FX'!$A:$A,0)),0,IF(JK$1&lt;INDEX('Valo FX'!$R:$R,MATCH($A38,'Valo FX'!$A:$A,0)),INDEX(Base!$U:$U,MATCH($A38,Base!$A:$A,0)),IF(JK$1=INDEX('Valo FX'!$R:$R,MATCH($A38,'Valo FX'!$A:$A,0)),INDEX(Base!$V:$V,MATCH($A38,Base!$A:$A,0)),0)))</f>
        <v>11.264511000000001</v>
      </c>
      <c r="JL38" s="21">
        <f>IF(JL$1&lt;INDEX('Valo FX'!$Q:$Q,MATCH($A38,'Valo FX'!$A:$A,0)),0,IF(JL$1&lt;INDEX('Valo FX'!$R:$R,MATCH($A38,'Valo FX'!$A:$A,0)),INDEX(Base!$U:$U,MATCH($A38,Base!$A:$A,0)),IF(JL$1=INDEX('Valo FX'!$R:$R,MATCH($A38,'Valo FX'!$A:$A,0)),INDEX(Base!$V:$V,MATCH($A38,Base!$A:$A,0)),0)))</f>
        <v>11.264511000000001</v>
      </c>
      <c r="JM38" s="21">
        <f>IF(JM$1&lt;INDEX('Valo FX'!$Q:$Q,MATCH($A38,'Valo FX'!$A:$A,0)),0,IF(JM$1&lt;INDEX('Valo FX'!$R:$R,MATCH($A38,'Valo FX'!$A:$A,0)),INDEX(Base!$U:$U,MATCH($A38,Base!$A:$A,0)),IF(JM$1=INDEX('Valo FX'!$R:$R,MATCH($A38,'Valo FX'!$A:$A,0)),INDEX(Base!$V:$V,MATCH($A38,Base!$A:$A,0)),0)))</f>
        <v>11.264511000000001</v>
      </c>
      <c r="JN38" s="21">
        <f>IF(JN$1&lt;INDEX('Valo FX'!$Q:$Q,MATCH($A38,'Valo FX'!$A:$A,0)),0,IF(JN$1&lt;INDEX('Valo FX'!$R:$R,MATCH($A38,'Valo FX'!$A:$A,0)),INDEX(Base!$U:$U,MATCH($A38,Base!$A:$A,0)),IF(JN$1=INDEX('Valo FX'!$R:$R,MATCH($A38,'Valo FX'!$A:$A,0)),INDEX(Base!$V:$V,MATCH($A38,Base!$A:$A,0)),0)))</f>
        <v>11.264511000000001</v>
      </c>
      <c r="JO38" s="21">
        <f>IF(JO$1&lt;INDEX('Valo FX'!$Q:$Q,MATCH($A38,'Valo FX'!$A:$A,0)),0,IF(JO$1&lt;INDEX('Valo FX'!$R:$R,MATCH($A38,'Valo FX'!$A:$A,0)),INDEX(Base!$U:$U,MATCH($A38,Base!$A:$A,0)),IF(JO$1=INDEX('Valo FX'!$R:$R,MATCH($A38,'Valo FX'!$A:$A,0)),INDEX(Base!$V:$V,MATCH($A38,Base!$A:$A,0)),0)))</f>
        <v>11.264511000000001</v>
      </c>
      <c r="JP38" s="21">
        <f>IF(JP$1&lt;INDEX('Valo FX'!$Q:$Q,MATCH($A38,'Valo FX'!$A:$A,0)),0,IF(JP$1&lt;INDEX('Valo FX'!$R:$R,MATCH($A38,'Valo FX'!$A:$A,0)),INDEX(Base!$U:$U,MATCH($A38,Base!$A:$A,0)),IF(JP$1=INDEX('Valo FX'!$R:$R,MATCH($A38,'Valo FX'!$A:$A,0)),INDEX(Base!$V:$V,MATCH($A38,Base!$A:$A,0)),0)))</f>
        <v>11.264511000000001</v>
      </c>
      <c r="JQ38" s="21">
        <f>IF(JQ$1&lt;INDEX('Valo FX'!$Q:$Q,MATCH($A38,'Valo FX'!$A:$A,0)),0,IF(JQ$1&lt;INDEX('Valo FX'!$R:$R,MATCH($A38,'Valo FX'!$A:$A,0)),INDEX(Base!$U:$U,MATCH($A38,Base!$A:$A,0)),IF(JQ$1=INDEX('Valo FX'!$R:$R,MATCH($A38,'Valo FX'!$A:$A,0)),INDEX(Base!$V:$V,MATCH($A38,Base!$A:$A,0)),0)))</f>
        <v>11.264511000000001</v>
      </c>
      <c r="JR38" s="21">
        <f>IF(JR$1&lt;INDEX('Valo FX'!$Q:$Q,MATCH($A38,'Valo FX'!$A:$A,0)),0,IF(JR$1&lt;INDEX('Valo FX'!$R:$R,MATCH($A38,'Valo FX'!$A:$A,0)),INDEX(Base!$U:$U,MATCH($A38,Base!$A:$A,0)),IF(JR$1=INDEX('Valo FX'!$R:$R,MATCH($A38,'Valo FX'!$A:$A,0)),INDEX(Base!$V:$V,MATCH($A38,Base!$A:$A,0)),0)))</f>
        <v>11.264511000000001</v>
      </c>
      <c r="JS38" s="21">
        <f>IF(JS$1&lt;INDEX('Valo FX'!$Q:$Q,MATCH($A38,'Valo FX'!$A:$A,0)),0,IF(JS$1&lt;INDEX('Valo FX'!$R:$R,MATCH($A38,'Valo FX'!$A:$A,0)),INDEX(Base!$U:$U,MATCH($A38,Base!$A:$A,0)),IF(JS$1=INDEX('Valo FX'!$R:$R,MATCH($A38,'Valo FX'!$A:$A,0)),INDEX(Base!$V:$V,MATCH($A38,Base!$A:$A,0)),0)))</f>
        <v>11.264511000000001</v>
      </c>
      <c r="JT38" s="21">
        <f>IF(JT$1&lt;INDEX('Valo FX'!$Q:$Q,MATCH($A38,'Valo FX'!$A:$A,0)),0,IF(JT$1&lt;INDEX('Valo FX'!$R:$R,MATCH($A38,'Valo FX'!$A:$A,0)),INDEX(Base!$U:$U,MATCH($A38,Base!$A:$A,0)),IF(JT$1=INDEX('Valo FX'!$R:$R,MATCH($A38,'Valo FX'!$A:$A,0)),INDEX(Base!$V:$V,MATCH($A38,Base!$A:$A,0)),0)))</f>
        <v>11.264511000000001</v>
      </c>
      <c r="JU38" s="21">
        <f>IF(JU$1&lt;INDEX('Valo FX'!$Q:$Q,MATCH($A38,'Valo FX'!$A:$A,0)),0,IF(JU$1&lt;INDEX('Valo FX'!$R:$R,MATCH($A38,'Valo FX'!$A:$A,0)),INDEX(Base!$U:$U,MATCH($A38,Base!$A:$A,0)),IF(JU$1=INDEX('Valo FX'!$R:$R,MATCH($A38,'Valo FX'!$A:$A,0)),INDEX(Base!$V:$V,MATCH($A38,Base!$A:$A,0)),0)))</f>
        <v>11.264511000000001</v>
      </c>
      <c r="JV38" s="21">
        <f>IF(JV$1&lt;INDEX('Valo FX'!$Q:$Q,MATCH($A38,'Valo FX'!$A:$A,0)),0,IF(JV$1&lt;INDEX('Valo FX'!$R:$R,MATCH($A38,'Valo FX'!$A:$A,0)),INDEX(Base!$U:$U,MATCH($A38,Base!$A:$A,0)),IF(JV$1=INDEX('Valo FX'!$R:$R,MATCH($A38,'Valo FX'!$A:$A,0)),INDEX(Base!$V:$V,MATCH($A38,Base!$A:$A,0)),0)))</f>
        <v>11.264511000000001</v>
      </c>
      <c r="JW38" s="21">
        <f>IF(JW$1&lt;INDEX('Valo FX'!$Q:$Q,MATCH($A38,'Valo FX'!$A:$A,0)),0,IF(JW$1&lt;INDEX('Valo FX'!$R:$R,MATCH($A38,'Valo FX'!$A:$A,0)),INDEX(Base!$U:$U,MATCH($A38,Base!$A:$A,0)),IF(JW$1=INDEX('Valo FX'!$R:$R,MATCH($A38,'Valo FX'!$A:$A,0)),INDEX(Base!$V:$V,MATCH($A38,Base!$A:$A,0)),0)))</f>
        <v>11.264511000000001</v>
      </c>
      <c r="JX38" s="21">
        <f>IF(JX$1&lt;INDEX('Valo FX'!$Q:$Q,MATCH($A38,'Valo FX'!$A:$A,0)),0,IF(JX$1&lt;INDEX('Valo FX'!$R:$R,MATCH($A38,'Valo FX'!$A:$A,0)),INDEX(Base!$U:$U,MATCH($A38,Base!$A:$A,0)),IF(JX$1=INDEX('Valo FX'!$R:$R,MATCH($A38,'Valo FX'!$A:$A,0)),INDEX(Base!$V:$V,MATCH($A38,Base!$A:$A,0)),0)))</f>
        <v>11.264511000000001</v>
      </c>
      <c r="JY38" s="21">
        <f>IF(JY$1&lt;INDEX('Valo FX'!$Q:$Q,MATCH($A38,'Valo FX'!$A:$A,0)),0,IF(JY$1&lt;INDEX('Valo FX'!$R:$R,MATCH($A38,'Valo FX'!$A:$A,0)),INDEX(Base!$U:$U,MATCH($A38,Base!$A:$A,0)),IF(JY$1=INDEX('Valo FX'!$R:$R,MATCH($A38,'Valo FX'!$A:$A,0)),INDEX(Base!$V:$V,MATCH($A38,Base!$A:$A,0)),0)))</f>
        <v>11.264511000000001</v>
      </c>
      <c r="JZ38" s="21">
        <f>IF(JZ$1&lt;INDEX('Valo FX'!$Q:$Q,MATCH($A38,'Valo FX'!$A:$A,0)),0,IF(JZ$1&lt;INDEX('Valo FX'!$R:$R,MATCH($A38,'Valo FX'!$A:$A,0)),INDEX(Base!$U:$U,MATCH($A38,Base!$A:$A,0)),IF(JZ$1=INDEX('Valo FX'!$R:$R,MATCH($A38,'Valo FX'!$A:$A,0)),INDEX(Base!$V:$V,MATCH($A38,Base!$A:$A,0)),0)))</f>
        <v>11.264511000000001</v>
      </c>
      <c r="KA38" s="21">
        <f>IF(KA$1&lt;INDEX('Valo FX'!$Q:$Q,MATCH($A38,'Valo FX'!$A:$A,0)),0,IF(KA$1&lt;INDEX('Valo FX'!$R:$R,MATCH($A38,'Valo FX'!$A:$A,0)),INDEX(Base!$U:$U,MATCH($A38,Base!$A:$A,0)),IF(KA$1=INDEX('Valo FX'!$R:$R,MATCH($A38,'Valo FX'!$A:$A,0)),INDEX(Base!$V:$V,MATCH($A38,Base!$A:$A,0)),0)))</f>
        <v>11.264511000000001</v>
      </c>
      <c r="KB38" s="21">
        <f>IF(KB$1&lt;INDEX('Valo FX'!$Q:$Q,MATCH($A38,'Valo FX'!$A:$A,0)),0,IF(KB$1&lt;INDEX('Valo FX'!$R:$R,MATCH($A38,'Valo FX'!$A:$A,0)),INDEX(Base!$U:$U,MATCH($A38,Base!$A:$A,0)),IF(KB$1=INDEX('Valo FX'!$R:$R,MATCH($A38,'Valo FX'!$A:$A,0)),INDEX(Base!$V:$V,MATCH($A38,Base!$A:$A,0)),0)))</f>
        <v>11.264511000000001</v>
      </c>
      <c r="KC38" s="21">
        <f>IF(KC$1&lt;INDEX('Valo FX'!$Q:$Q,MATCH($A38,'Valo FX'!$A:$A,0)),0,IF(KC$1&lt;INDEX('Valo FX'!$R:$R,MATCH($A38,'Valo FX'!$A:$A,0)),INDEX(Base!$U:$U,MATCH($A38,Base!$A:$A,0)),IF(KC$1=INDEX('Valo FX'!$R:$R,MATCH($A38,'Valo FX'!$A:$A,0)),INDEX(Base!$V:$V,MATCH($A38,Base!$A:$A,0)),0)))</f>
        <v>11.264511000000001</v>
      </c>
      <c r="KD38" s="21">
        <f>IF(KD$1&lt;INDEX('Valo FX'!$Q:$Q,MATCH($A38,'Valo FX'!$A:$A,0)),0,IF(KD$1&lt;INDEX('Valo FX'!$R:$R,MATCH($A38,'Valo FX'!$A:$A,0)),INDEX(Base!$U:$U,MATCH($A38,Base!$A:$A,0)),IF(KD$1=INDEX('Valo FX'!$R:$R,MATCH($A38,'Valo FX'!$A:$A,0)),INDEX(Base!$V:$V,MATCH($A38,Base!$A:$A,0)),0)))</f>
        <v>11.264511000000001</v>
      </c>
      <c r="KE38" s="21">
        <f>IF(KE$1&lt;INDEX('Valo FX'!$Q:$Q,MATCH($A38,'Valo FX'!$A:$A,0)),0,IF(KE$1&lt;INDEX('Valo FX'!$R:$R,MATCH($A38,'Valo FX'!$A:$A,0)),INDEX(Base!$U:$U,MATCH($A38,Base!$A:$A,0)),IF(KE$1=INDEX('Valo FX'!$R:$R,MATCH($A38,'Valo FX'!$A:$A,0)),INDEX(Base!$V:$V,MATCH($A38,Base!$A:$A,0)),0)))</f>
        <v>11.264511000000001</v>
      </c>
      <c r="KF38" s="21">
        <f>IF(KF$1&lt;INDEX('Valo FX'!$Q:$Q,MATCH($A38,'Valo FX'!$A:$A,0)),0,IF(KF$1&lt;INDEX('Valo FX'!$R:$R,MATCH($A38,'Valo FX'!$A:$A,0)),INDEX(Base!$U:$U,MATCH($A38,Base!$A:$A,0)),IF(KF$1=INDEX('Valo FX'!$R:$R,MATCH($A38,'Valo FX'!$A:$A,0)),INDEX(Base!$V:$V,MATCH($A38,Base!$A:$A,0)),0)))</f>
        <v>11.264511000000001</v>
      </c>
      <c r="KG38" s="21">
        <f>IF(KG$1&lt;INDEX('Valo FX'!$Q:$Q,MATCH($A38,'Valo FX'!$A:$A,0)),0,IF(KG$1&lt;INDEX('Valo FX'!$R:$R,MATCH($A38,'Valo FX'!$A:$A,0)),INDEX(Base!$U:$U,MATCH($A38,Base!$A:$A,0)),IF(KG$1=INDEX('Valo FX'!$R:$R,MATCH($A38,'Valo FX'!$A:$A,0)),INDEX(Base!$V:$V,MATCH($A38,Base!$A:$A,0)),0)))</f>
        <v>11.264511000000001</v>
      </c>
      <c r="KH38" s="21">
        <f>IF(KH$1&lt;INDEX('Valo FX'!$Q:$Q,MATCH($A38,'Valo FX'!$A:$A,0)),0,IF(KH$1&lt;INDEX('Valo FX'!$R:$R,MATCH($A38,'Valo FX'!$A:$A,0)),INDEX(Base!$U:$U,MATCH($A38,Base!$A:$A,0)),IF(KH$1=INDEX('Valo FX'!$R:$R,MATCH($A38,'Valo FX'!$A:$A,0)),INDEX(Base!$V:$V,MATCH($A38,Base!$A:$A,0)),0)))</f>
        <v>11.264511000000001</v>
      </c>
      <c r="KI38" s="21">
        <f>IF(KI$1&lt;INDEX('Valo FX'!$Q:$Q,MATCH($A38,'Valo FX'!$A:$A,0)),0,IF(KI$1&lt;INDEX('Valo FX'!$R:$R,MATCH($A38,'Valo FX'!$A:$A,0)),INDEX(Base!$U:$U,MATCH($A38,Base!$A:$A,0)),IF(KI$1=INDEX('Valo FX'!$R:$R,MATCH($A38,'Valo FX'!$A:$A,0)),INDEX(Base!$V:$V,MATCH($A38,Base!$A:$A,0)),0)))</f>
        <v>11.264511000000001</v>
      </c>
      <c r="KJ38" s="21">
        <f>IF(KJ$1&lt;INDEX('Valo FX'!$Q:$Q,MATCH($A38,'Valo FX'!$A:$A,0)),0,IF(KJ$1&lt;INDEX('Valo FX'!$R:$R,MATCH($A38,'Valo FX'!$A:$A,0)),INDEX(Base!$U:$U,MATCH($A38,Base!$A:$A,0)),IF(KJ$1=INDEX('Valo FX'!$R:$R,MATCH($A38,'Valo FX'!$A:$A,0)),INDEX(Base!$V:$V,MATCH($A38,Base!$A:$A,0)),0)))</f>
        <v>11.264511000000001</v>
      </c>
      <c r="KK38" s="21">
        <f>IF(KK$1&lt;INDEX('Valo FX'!$Q:$Q,MATCH($A38,'Valo FX'!$A:$A,0)),0,IF(KK$1&lt;INDEX('Valo FX'!$R:$R,MATCH($A38,'Valo FX'!$A:$A,0)),INDEX(Base!$U:$U,MATCH($A38,Base!$A:$A,0)),IF(KK$1=INDEX('Valo FX'!$R:$R,MATCH($A38,'Valo FX'!$A:$A,0)),INDEX(Base!$V:$V,MATCH($A38,Base!$A:$A,0)),0)))</f>
        <v>11.264511000000001</v>
      </c>
      <c r="KL38" s="21">
        <f>IF(KL$1&lt;INDEX('Valo FX'!$Q:$Q,MATCH($A38,'Valo FX'!$A:$A,0)),0,IF(KL$1&lt;INDEX('Valo FX'!$R:$R,MATCH($A38,'Valo FX'!$A:$A,0)),INDEX(Base!$U:$U,MATCH($A38,Base!$A:$A,0)),IF(KL$1=INDEX('Valo FX'!$R:$R,MATCH($A38,'Valo FX'!$A:$A,0)),INDEX(Base!$V:$V,MATCH($A38,Base!$A:$A,0)),0)))</f>
        <v>11.264511000000001</v>
      </c>
      <c r="KM38" s="21">
        <f>IF(KM$1&lt;INDEX('Valo FX'!$Q:$Q,MATCH($A38,'Valo FX'!$A:$A,0)),0,IF(KM$1&lt;INDEX('Valo FX'!$R:$R,MATCH($A38,'Valo FX'!$A:$A,0)),INDEX(Base!$U:$U,MATCH($A38,Base!$A:$A,0)),IF(KM$1=INDEX('Valo FX'!$R:$R,MATCH($A38,'Valo FX'!$A:$A,0)),INDEX(Base!$V:$V,MATCH($A38,Base!$A:$A,0)),0)))</f>
        <v>11.264511000000001</v>
      </c>
      <c r="KN38" s="21">
        <f>IF(KN$1&lt;INDEX('Valo FX'!$Q:$Q,MATCH($A38,'Valo FX'!$A:$A,0)),0,IF(KN$1&lt;INDEX('Valo FX'!$R:$R,MATCH($A38,'Valo FX'!$A:$A,0)),INDEX(Base!$U:$U,MATCH($A38,Base!$A:$A,0)),IF(KN$1=INDEX('Valo FX'!$R:$R,MATCH($A38,'Valo FX'!$A:$A,0)),INDEX(Base!$V:$V,MATCH($A38,Base!$A:$A,0)),0)))</f>
        <v>11.264511000000001</v>
      </c>
      <c r="KO38" s="21">
        <f>IF(KO$1&lt;INDEX('Valo FX'!$Q:$Q,MATCH($A38,'Valo FX'!$A:$A,0)),0,IF(KO$1&lt;INDEX('Valo FX'!$R:$R,MATCH($A38,'Valo FX'!$A:$A,0)),INDEX(Base!$U:$U,MATCH($A38,Base!$A:$A,0)),IF(KO$1=INDEX('Valo FX'!$R:$R,MATCH($A38,'Valo FX'!$A:$A,0)),INDEX(Base!$V:$V,MATCH($A38,Base!$A:$A,0)),0)))</f>
        <v>11.264511000000001</v>
      </c>
      <c r="KP38" s="21">
        <f>IF(KP$1&lt;INDEX('Valo FX'!$Q:$Q,MATCH($A38,'Valo FX'!$A:$A,0)),0,IF(KP$1&lt;INDEX('Valo FX'!$R:$R,MATCH($A38,'Valo FX'!$A:$A,0)),INDEX(Base!$U:$U,MATCH($A38,Base!$A:$A,0)),IF(KP$1=INDEX('Valo FX'!$R:$R,MATCH($A38,'Valo FX'!$A:$A,0)),INDEX(Base!$V:$V,MATCH($A38,Base!$A:$A,0)),0)))</f>
        <v>11.264511000000001</v>
      </c>
      <c r="KQ38" s="21">
        <f>IF(KQ$1&lt;INDEX('Valo FX'!$Q:$Q,MATCH($A38,'Valo FX'!$A:$A,0)),0,IF(KQ$1&lt;INDEX('Valo FX'!$R:$R,MATCH($A38,'Valo FX'!$A:$A,0)),INDEX(Base!$U:$U,MATCH($A38,Base!$A:$A,0)),IF(KQ$1=INDEX('Valo FX'!$R:$R,MATCH($A38,'Valo FX'!$A:$A,0)),INDEX(Base!$V:$V,MATCH($A38,Base!$A:$A,0)),0)))</f>
        <v>11.264511000000001</v>
      </c>
      <c r="KR38" s="21">
        <f>IF(KR$1&lt;INDEX('Valo FX'!$Q:$Q,MATCH($A38,'Valo FX'!$A:$A,0)),0,IF(KR$1&lt;INDEX('Valo FX'!$R:$R,MATCH($A38,'Valo FX'!$A:$A,0)),INDEX(Base!$U:$U,MATCH($A38,Base!$A:$A,0)),IF(KR$1=INDEX('Valo FX'!$R:$R,MATCH($A38,'Valo FX'!$A:$A,0)),INDEX(Base!$V:$V,MATCH($A38,Base!$A:$A,0)),0)))</f>
        <v>11.264511000000001</v>
      </c>
      <c r="KS38" s="21">
        <f>IF(KS$1&lt;INDEX('Valo FX'!$Q:$Q,MATCH($A38,'Valo FX'!$A:$A,0)),0,IF(KS$1&lt;INDEX('Valo FX'!$R:$R,MATCH($A38,'Valo FX'!$A:$A,0)),INDEX(Base!$U:$U,MATCH($A38,Base!$A:$A,0)),IF(KS$1=INDEX('Valo FX'!$R:$R,MATCH($A38,'Valo FX'!$A:$A,0)),INDEX(Base!$V:$V,MATCH($A38,Base!$A:$A,0)),0)))</f>
        <v>11.264511000000001</v>
      </c>
      <c r="KT38" s="21">
        <f>IF(KT$1&lt;INDEX('Valo FX'!$Q:$Q,MATCH($A38,'Valo FX'!$A:$A,0)),0,IF(KT$1&lt;INDEX('Valo FX'!$R:$R,MATCH($A38,'Valo FX'!$A:$A,0)),INDEX(Base!$U:$U,MATCH($A38,Base!$A:$A,0)),IF(KT$1=INDEX('Valo FX'!$R:$R,MATCH($A38,'Valo FX'!$A:$A,0)),INDEX(Base!$V:$V,MATCH($A38,Base!$A:$A,0)),0)))</f>
        <v>11.264511000000001</v>
      </c>
      <c r="KU38" s="21">
        <f>IF(KU$1&lt;INDEX('Valo FX'!$Q:$Q,MATCH($A38,'Valo FX'!$A:$A,0)),0,IF(KU$1&lt;INDEX('Valo FX'!$R:$R,MATCH($A38,'Valo FX'!$A:$A,0)),INDEX(Base!$U:$U,MATCH($A38,Base!$A:$A,0)),IF(KU$1=INDEX('Valo FX'!$R:$R,MATCH($A38,'Valo FX'!$A:$A,0)),INDEX(Base!$V:$V,MATCH($A38,Base!$A:$A,0)),0)))</f>
        <v>11.264511000000001</v>
      </c>
      <c r="KV38" s="21">
        <f>IF(KV$1&lt;INDEX('Valo FX'!$Q:$Q,MATCH($A38,'Valo FX'!$A:$A,0)),0,IF(KV$1&lt;INDEX('Valo FX'!$R:$R,MATCH($A38,'Valo FX'!$A:$A,0)),INDEX(Base!$U:$U,MATCH($A38,Base!$A:$A,0)),IF(KV$1=INDEX('Valo FX'!$R:$R,MATCH($A38,'Valo FX'!$A:$A,0)),INDEX(Base!$V:$V,MATCH($A38,Base!$A:$A,0)),0)))</f>
        <v>11.264511000000001</v>
      </c>
      <c r="KW38" s="21">
        <f>IF(KW$1&lt;INDEX('Valo FX'!$Q:$Q,MATCH($A38,'Valo FX'!$A:$A,0)),0,IF(KW$1&lt;INDEX('Valo FX'!$R:$R,MATCH($A38,'Valo FX'!$A:$A,0)),INDEX(Base!$U:$U,MATCH($A38,Base!$A:$A,0)),IF(KW$1=INDEX('Valo FX'!$R:$R,MATCH($A38,'Valo FX'!$A:$A,0)),INDEX(Base!$V:$V,MATCH($A38,Base!$A:$A,0)),0)))</f>
        <v>11.264511000000001</v>
      </c>
      <c r="KX38" s="21">
        <f>IF(KX$1&lt;INDEX('Valo FX'!$Q:$Q,MATCH($A38,'Valo FX'!$A:$A,0)),0,IF(KX$1&lt;INDEX('Valo FX'!$R:$R,MATCH($A38,'Valo FX'!$A:$A,0)),INDEX(Base!$U:$U,MATCH($A38,Base!$A:$A,0)),IF(KX$1=INDEX('Valo FX'!$R:$R,MATCH($A38,'Valo FX'!$A:$A,0)),INDEX(Base!$V:$V,MATCH($A38,Base!$A:$A,0)),0)))</f>
        <v>11.264511000000001</v>
      </c>
      <c r="KY38" s="21">
        <f>IF(KY$1&lt;INDEX('Valo FX'!$Q:$Q,MATCH($A38,'Valo FX'!$A:$A,0)),0,IF(KY$1&lt;INDEX('Valo FX'!$R:$R,MATCH($A38,'Valo FX'!$A:$A,0)),INDEX(Base!$U:$U,MATCH($A38,Base!$A:$A,0)),IF(KY$1=INDEX('Valo FX'!$R:$R,MATCH($A38,'Valo FX'!$A:$A,0)),INDEX(Base!$V:$V,MATCH($A38,Base!$A:$A,0)),0)))</f>
        <v>11.264511000000001</v>
      </c>
      <c r="KZ38" s="21">
        <f>IF(KZ$1&lt;INDEX('Valo FX'!$Q:$Q,MATCH($A38,'Valo FX'!$A:$A,0)),0,IF(KZ$1&lt;INDEX('Valo FX'!$R:$R,MATCH($A38,'Valo FX'!$A:$A,0)),INDEX(Base!$U:$U,MATCH($A38,Base!$A:$A,0)),IF(KZ$1=INDEX('Valo FX'!$R:$R,MATCH($A38,'Valo FX'!$A:$A,0)),INDEX(Base!$V:$V,MATCH($A38,Base!$A:$A,0)),0)))</f>
        <v>11.264511000000001</v>
      </c>
      <c r="LA38" s="21">
        <f>IF(LA$1&lt;INDEX('Valo FX'!$Q:$Q,MATCH($A38,'Valo FX'!$A:$A,0)),0,IF(LA$1&lt;INDEX('Valo FX'!$R:$R,MATCH($A38,'Valo FX'!$A:$A,0)),INDEX(Base!$U:$U,MATCH($A38,Base!$A:$A,0)),IF(LA$1=INDEX('Valo FX'!$R:$R,MATCH($A38,'Valo FX'!$A:$A,0)),INDEX(Base!$V:$V,MATCH($A38,Base!$A:$A,0)),0)))</f>
        <v>11.264511000000001</v>
      </c>
      <c r="LB38" s="21">
        <f>IF(LB$1&lt;INDEX('Valo FX'!$Q:$Q,MATCH($A38,'Valo FX'!$A:$A,0)),0,IF(LB$1&lt;INDEX('Valo FX'!$R:$R,MATCH($A38,'Valo FX'!$A:$A,0)),INDEX(Base!$U:$U,MATCH($A38,Base!$A:$A,0)),IF(LB$1=INDEX('Valo FX'!$R:$R,MATCH($A38,'Valo FX'!$A:$A,0)),INDEX(Base!$V:$V,MATCH($A38,Base!$A:$A,0)),0)))</f>
        <v>11.264511000000001</v>
      </c>
      <c r="LC38" s="21">
        <f>IF(LC$1&lt;INDEX('Valo FX'!$Q:$Q,MATCH($A38,'Valo FX'!$A:$A,0)),0,IF(LC$1&lt;INDEX('Valo FX'!$R:$R,MATCH($A38,'Valo FX'!$A:$A,0)),INDEX(Base!$U:$U,MATCH($A38,Base!$A:$A,0)),IF(LC$1=INDEX('Valo FX'!$R:$R,MATCH($A38,'Valo FX'!$A:$A,0)),INDEX(Base!$V:$V,MATCH($A38,Base!$A:$A,0)),0)))</f>
        <v>11.264511000000001</v>
      </c>
      <c r="LD38" s="21">
        <f>IF(LD$1&lt;INDEX('Valo FX'!$Q:$Q,MATCH($A38,'Valo FX'!$A:$A,0)),0,IF(LD$1&lt;INDEX('Valo FX'!$R:$R,MATCH($A38,'Valo FX'!$A:$A,0)),INDEX(Base!$U:$U,MATCH($A38,Base!$A:$A,0)),IF(LD$1=INDEX('Valo FX'!$R:$R,MATCH($A38,'Valo FX'!$A:$A,0)),INDEX(Base!$V:$V,MATCH($A38,Base!$A:$A,0)),0)))</f>
        <v>11.264511000000001</v>
      </c>
      <c r="LE38" s="21">
        <f>IF(LE$1&lt;INDEX('Valo FX'!$Q:$Q,MATCH($A38,'Valo FX'!$A:$A,0)),0,IF(LE$1&lt;INDEX('Valo FX'!$R:$R,MATCH($A38,'Valo FX'!$A:$A,0)),INDEX(Base!$U:$U,MATCH($A38,Base!$A:$A,0)),IF(LE$1=INDEX('Valo FX'!$R:$R,MATCH($A38,'Valo FX'!$A:$A,0)),INDEX(Base!$V:$V,MATCH($A38,Base!$A:$A,0)),0)))</f>
        <v>11.264511000000001</v>
      </c>
      <c r="LF38" s="21">
        <f>IF(LF$1&lt;INDEX('Valo FX'!$Q:$Q,MATCH($A38,'Valo FX'!$A:$A,0)),0,IF(LF$1&lt;INDEX('Valo FX'!$R:$R,MATCH($A38,'Valo FX'!$A:$A,0)),INDEX(Base!$U:$U,MATCH($A38,Base!$A:$A,0)),IF(LF$1=INDEX('Valo FX'!$R:$R,MATCH($A38,'Valo FX'!$A:$A,0)),INDEX(Base!$V:$V,MATCH($A38,Base!$A:$A,0)),0)))</f>
        <v>11.264511000000001</v>
      </c>
      <c r="LG38" s="21">
        <f>IF(LG$1&lt;INDEX('Valo FX'!$Q:$Q,MATCH($A38,'Valo FX'!$A:$A,0)),0,IF(LG$1&lt;INDEX('Valo FX'!$R:$R,MATCH($A38,'Valo FX'!$A:$A,0)),INDEX(Base!$U:$U,MATCH($A38,Base!$A:$A,0)),IF(LG$1=INDEX('Valo FX'!$R:$R,MATCH($A38,'Valo FX'!$A:$A,0)),INDEX(Base!$V:$V,MATCH($A38,Base!$A:$A,0)),0)))</f>
        <v>11.264511000000001</v>
      </c>
      <c r="LH38" s="21">
        <f>IF(LH$1&lt;INDEX('Valo FX'!$Q:$Q,MATCH($A38,'Valo FX'!$A:$A,0)),0,IF(LH$1&lt;INDEX('Valo FX'!$R:$R,MATCH($A38,'Valo FX'!$A:$A,0)),INDEX(Base!$U:$U,MATCH($A38,Base!$A:$A,0)),IF(LH$1=INDEX('Valo FX'!$R:$R,MATCH($A38,'Valo FX'!$A:$A,0)),INDEX(Base!$V:$V,MATCH($A38,Base!$A:$A,0)),0)))</f>
        <v>11.264511000000001</v>
      </c>
      <c r="LI38" s="21">
        <f>IF(LI$1&lt;INDEX('Valo FX'!$Q:$Q,MATCH($A38,'Valo FX'!$A:$A,0)),0,IF(LI$1&lt;INDEX('Valo FX'!$R:$R,MATCH($A38,'Valo FX'!$A:$A,0)),INDEX(Base!$U:$U,MATCH($A38,Base!$A:$A,0)),IF(LI$1=INDEX('Valo FX'!$R:$R,MATCH($A38,'Valo FX'!$A:$A,0)),INDEX(Base!$V:$V,MATCH($A38,Base!$A:$A,0)),0)))</f>
        <v>11.264511000000001</v>
      </c>
      <c r="LJ38" s="21">
        <f>IF(LJ$1&lt;INDEX('Valo FX'!$Q:$Q,MATCH($A38,'Valo FX'!$A:$A,0)),0,IF(LJ$1&lt;INDEX('Valo FX'!$R:$R,MATCH($A38,'Valo FX'!$A:$A,0)),INDEX(Base!$U:$U,MATCH($A38,Base!$A:$A,0)),IF(LJ$1=INDEX('Valo FX'!$R:$R,MATCH($A38,'Valo FX'!$A:$A,0)),INDEX(Base!$V:$V,MATCH($A38,Base!$A:$A,0)),0)))</f>
        <v>11.264511000000001</v>
      </c>
      <c r="LK38" s="21">
        <f>IF(LK$1&lt;INDEX('Valo FX'!$Q:$Q,MATCH($A38,'Valo FX'!$A:$A,0)),0,IF(LK$1&lt;INDEX('Valo FX'!$R:$R,MATCH($A38,'Valo FX'!$A:$A,0)),INDEX(Base!$U:$U,MATCH($A38,Base!$A:$A,0)),IF(LK$1=INDEX('Valo FX'!$R:$R,MATCH($A38,'Valo FX'!$A:$A,0)),INDEX(Base!$V:$V,MATCH($A38,Base!$A:$A,0)),0)))</f>
        <v>11.264511000000001</v>
      </c>
      <c r="LL38" s="21">
        <f>IF(LL$1&lt;INDEX('Valo FX'!$Q:$Q,MATCH($A38,'Valo FX'!$A:$A,0)),0,IF(LL$1&lt;INDEX('Valo FX'!$R:$R,MATCH($A38,'Valo FX'!$A:$A,0)),INDEX(Base!$U:$U,MATCH($A38,Base!$A:$A,0)),IF(LL$1=INDEX('Valo FX'!$R:$R,MATCH($A38,'Valo FX'!$A:$A,0)),INDEX(Base!$V:$V,MATCH($A38,Base!$A:$A,0)),0)))</f>
        <v>11.264511000000001</v>
      </c>
      <c r="LM38" s="21">
        <f>IF(LM$1&lt;INDEX('Valo FX'!$Q:$Q,MATCH($A38,'Valo FX'!$A:$A,0)),0,IF(LM$1&lt;INDEX('Valo FX'!$R:$R,MATCH($A38,'Valo FX'!$A:$A,0)),INDEX(Base!$U:$U,MATCH($A38,Base!$A:$A,0)),IF(LM$1=INDEX('Valo FX'!$R:$R,MATCH($A38,'Valo FX'!$A:$A,0)),INDEX(Base!$V:$V,MATCH($A38,Base!$A:$A,0)),0)))</f>
        <v>11.264511000000001</v>
      </c>
      <c r="LN38" s="21">
        <f>IF(LN$1&lt;INDEX('Valo FX'!$Q:$Q,MATCH($A38,'Valo FX'!$A:$A,0)),0,IF(LN$1&lt;INDEX('Valo FX'!$R:$R,MATCH($A38,'Valo FX'!$A:$A,0)),INDEX(Base!$U:$U,MATCH($A38,Base!$A:$A,0)),IF(LN$1=INDEX('Valo FX'!$R:$R,MATCH($A38,'Valo FX'!$A:$A,0)),INDEX(Base!$V:$V,MATCH($A38,Base!$A:$A,0)),0)))</f>
        <v>11.264511000000001</v>
      </c>
      <c r="LO38" s="21">
        <f>IF(LO$1&lt;INDEX('Valo FX'!$Q:$Q,MATCH($A38,'Valo FX'!$A:$A,0)),0,IF(LO$1&lt;INDEX('Valo FX'!$R:$R,MATCH($A38,'Valo FX'!$A:$A,0)),INDEX(Base!$U:$U,MATCH($A38,Base!$A:$A,0)),IF(LO$1=INDEX('Valo FX'!$R:$R,MATCH($A38,'Valo FX'!$A:$A,0)),INDEX(Base!$V:$V,MATCH($A38,Base!$A:$A,0)),0)))</f>
        <v>11.264511000000001</v>
      </c>
      <c r="LP38" s="21">
        <f>IF(LP$1&lt;INDEX('Valo FX'!$Q:$Q,MATCH($A38,'Valo FX'!$A:$A,0)),0,IF(LP$1&lt;INDEX('Valo FX'!$R:$R,MATCH($A38,'Valo FX'!$A:$A,0)),INDEX(Base!$U:$U,MATCH($A38,Base!$A:$A,0)),IF(LP$1=INDEX('Valo FX'!$R:$R,MATCH($A38,'Valo FX'!$A:$A,0)),INDEX(Base!$V:$V,MATCH($A38,Base!$A:$A,0)),0)))</f>
        <v>11.264511000000001</v>
      </c>
      <c r="LQ38" s="21">
        <f>IF(LQ$1&lt;INDEX('Valo FX'!$Q:$Q,MATCH($A38,'Valo FX'!$A:$A,0)),0,IF(LQ$1&lt;INDEX('Valo FX'!$R:$R,MATCH($A38,'Valo FX'!$A:$A,0)),INDEX(Base!$U:$U,MATCH($A38,Base!$A:$A,0)),IF(LQ$1=INDEX('Valo FX'!$R:$R,MATCH($A38,'Valo FX'!$A:$A,0)),INDEX(Base!$V:$V,MATCH($A38,Base!$A:$A,0)),0)))</f>
        <v>11.264511000000001</v>
      </c>
      <c r="LR38" s="21">
        <f>IF(LR$1&lt;INDEX('Valo FX'!$Q:$Q,MATCH($A38,'Valo FX'!$A:$A,0)),0,IF(LR$1&lt;INDEX('Valo FX'!$R:$R,MATCH($A38,'Valo FX'!$A:$A,0)),INDEX(Base!$U:$U,MATCH($A38,Base!$A:$A,0)),IF(LR$1=INDEX('Valo FX'!$R:$R,MATCH($A38,'Valo FX'!$A:$A,0)),INDEX(Base!$V:$V,MATCH($A38,Base!$A:$A,0)),0)))</f>
        <v>11.264511000000001</v>
      </c>
      <c r="LS38" s="21">
        <f>IF(LS$1&lt;INDEX('Valo FX'!$Q:$Q,MATCH($A38,'Valo FX'!$A:$A,0)),0,IF(LS$1&lt;INDEX('Valo FX'!$R:$R,MATCH($A38,'Valo FX'!$A:$A,0)),INDEX(Base!$U:$U,MATCH($A38,Base!$A:$A,0)),IF(LS$1=INDEX('Valo FX'!$R:$R,MATCH($A38,'Valo FX'!$A:$A,0)),INDEX(Base!$V:$V,MATCH($A38,Base!$A:$A,0)),0)))</f>
        <v>11.264511000000001</v>
      </c>
      <c r="LT38" s="21">
        <f>IF(LT$1&lt;INDEX('Valo FX'!$Q:$Q,MATCH($A38,'Valo FX'!$A:$A,0)),0,IF(LT$1&lt;INDEX('Valo FX'!$R:$R,MATCH($A38,'Valo FX'!$A:$A,0)),INDEX(Base!$U:$U,MATCH($A38,Base!$A:$A,0)),IF(LT$1=INDEX('Valo FX'!$R:$R,MATCH($A38,'Valo FX'!$A:$A,0)),INDEX(Base!$V:$V,MATCH($A38,Base!$A:$A,0)),0)))</f>
        <v>11.264511000000001</v>
      </c>
      <c r="LU38" s="21">
        <f>IF(LU$1&lt;INDEX('Valo FX'!$Q:$Q,MATCH($A38,'Valo FX'!$A:$A,0)),0,IF(LU$1&lt;INDEX('Valo FX'!$R:$R,MATCH($A38,'Valo FX'!$A:$A,0)),INDEX(Base!$U:$U,MATCH($A38,Base!$A:$A,0)),IF(LU$1=INDEX('Valo FX'!$R:$R,MATCH($A38,'Valo FX'!$A:$A,0)),INDEX(Base!$V:$V,MATCH($A38,Base!$A:$A,0)),0)))</f>
        <v>11.264511000000001</v>
      </c>
      <c r="LV38" s="21">
        <f>IF(LV$1&lt;INDEX('Valo FX'!$Q:$Q,MATCH($A38,'Valo FX'!$A:$A,0)),0,IF(LV$1&lt;INDEX('Valo FX'!$R:$R,MATCH($A38,'Valo FX'!$A:$A,0)),INDEX(Base!$U:$U,MATCH($A38,Base!$A:$A,0)),IF(LV$1=INDEX('Valo FX'!$R:$R,MATCH($A38,'Valo FX'!$A:$A,0)),INDEX(Base!$V:$V,MATCH($A38,Base!$A:$A,0)),0)))</f>
        <v>11.264511000000001</v>
      </c>
      <c r="LW38" s="21">
        <f>IF(LW$1&lt;INDEX('Valo FX'!$Q:$Q,MATCH($A38,'Valo FX'!$A:$A,0)),0,IF(LW$1&lt;INDEX('Valo FX'!$R:$R,MATCH($A38,'Valo FX'!$A:$A,0)),INDEX(Base!$U:$U,MATCH($A38,Base!$A:$A,0)),IF(LW$1=INDEX('Valo FX'!$R:$R,MATCH($A38,'Valo FX'!$A:$A,0)),INDEX(Base!$V:$V,MATCH($A38,Base!$A:$A,0)),0)))</f>
        <v>11.264511000000001</v>
      </c>
      <c r="LX38" s="21">
        <f>IF(LX$1&lt;INDEX('Valo FX'!$Q:$Q,MATCH($A38,'Valo FX'!$A:$A,0)),0,IF(LX$1&lt;INDEX('Valo FX'!$R:$R,MATCH($A38,'Valo FX'!$A:$A,0)),INDEX(Base!$U:$U,MATCH($A38,Base!$A:$A,0)),IF(LX$1=INDEX('Valo FX'!$R:$R,MATCH($A38,'Valo FX'!$A:$A,0)),INDEX(Base!$V:$V,MATCH($A38,Base!$A:$A,0)),0)))</f>
        <v>11.264511000000001</v>
      </c>
      <c r="LY38" s="21">
        <f>IF(LY$1&lt;INDEX('Valo FX'!$Q:$Q,MATCH($A38,'Valo FX'!$A:$A,0)),0,IF(LY$1&lt;INDEX('Valo FX'!$R:$R,MATCH($A38,'Valo FX'!$A:$A,0)),INDEX(Base!$U:$U,MATCH($A38,Base!$A:$A,0)),IF(LY$1=INDEX('Valo FX'!$R:$R,MATCH($A38,'Valo FX'!$A:$A,0)),INDEX(Base!$V:$V,MATCH($A38,Base!$A:$A,0)),0)))</f>
        <v>11.264511000000001</v>
      </c>
      <c r="LZ38" s="21">
        <f>IF(LZ$1&lt;INDEX('Valo FX'!$Q:$Q,MATCH($A38,'Valo FX'!$A:$A,0)),0,IF(LZ$1&lt;INDEX('Valo FX'!$R:$R,MATCH($A38,'Valo FX'!$A:$A,0)),INDEX(Base!$U:$U,MATCH($A38,Base!$A:$A,0)),IF(LZ$1=INDEX('Valo FX'!$R:$R,MATCH($A38,'Valo FX'!$A:$A,0)),INDEX(Base!$V:$V,MATCH($A38,Base!$A:$A,0)),0)))</f>
        <v>11.264511000000001</v>
      </c>
      <c r="MA38" s="21">
        <f>IF(MA$1&lt;INDEX('Valo FX'!$Q:$Q,MATCH($A38,'Valo FX'!$A:$A,0)),0,IF(MA$1&lt;INDEX('Valo FX'!$R:$R,MATCH($A38,'Valo FX'!$A:$A,0)),INDEX(Base!$U:$U,MATCH($A38,Base!$A:$A,0)),IF(MA$1=INDEX('Valo FX'!$R:$R,MATCH($A38,'Valo FX'!$A:$A,0)),INDEX(Base!$V:$V,MATCH($A38,Base!$A:$A,0)),0)))</f>
        <v>11.264511000000001</v>
      </c>
      <c r="MB38" s="21">
        <f>IF(MB$1&lt;INDEX('Valo FX'!$Q:$Q,MATCH($A38,'Valo FX'!$A:$A,0)),0,IF(MB$1&lt;INDEX('Valo FX'!$R:$R,MATCH($A38,'Valo FX'!$A:$A,0)),INDEX(Base!$U:$U,MATCH($A38,Base!$A:$A,0)),IF(MB$1=INDEX('Valo FX'!$R:$R,MATCH($A38,'Valo FX'!$A:$A,0)),INDEX(Base!$V:$V,MATCH($A38,Base!$A:$A,0)),0)))</f>
        <v>11.264511000000001</v>
      </c>
      <c r="MC38" s="21">
        <f>IF(MC$1&lt;INDEX('Valo FX'!$Q:$Q,MATCH($A38,'Valo FX'!$A:$A,0)),0,IF(MC$1&lt;INDEX('Valo FX'!$R:$R,MATCH($A38,'Valo FX'!$A:$A,0)),INDEX(Base!$U:$U,MATCH($A38,Base!$A:$A,0)),IF(MC$1=INDEX('Valo FX'!$R:$R,MATCH($A38,'Valo FX'!$A:$A,0)),INDEX(Base!$V:$V,MATCH($A38,Base!$A:$A,0)),0)))</f>
        <v>11.264511000000001</v>
      </c>
      <c r="MD38" s="21">
        <f>IF(MD$1&lt;INDEX('Valo FX'!$Q:$Q,MATCH($A38,'Valo FX'!$A:$A,0)),0,IF(MD$1&lt;INDEX('Valo FX'!$R:$R,MATCH($A38,'Valo FX'!$A:$A,0)),INDEX(Base!$U:$U,MATCH($A38,Base!$A:$A,0)),IF(MD$1=INDEX('Valo FX'!$R:$R,MATCH($A38,'Valo FX'!$A:$A,0)),INDEX(Base!$V:$V,MATCH($A38,Base!$A:$A,0)),0)))</f>
        <v>11.264511000000001</v>
      </c>
      <c r="ME38" s="21">
        <f>IF(ME$1&lt;INDEX('Valo FX'!$Q:$Q,MATCH($A38,'Valo FX'!$A:$A,0)),0,IF(ME$1&lt;INDEX('Valo FX'!$R:$R,MATCH($A38,'Valo FX'!$A:$A,0)),INDEX(Base!$U:$U,MATCH($A38,Base!$A:$A,0)),IF(ME$1=INDEX('Valo FX'!$R:$R,MATCH($A38,'Valo FX'!$A:$A,0)),INDEX(Base!$V:$V,MATCH($A38,Base!$A:$A,0)),0)))</f>
        <v>11.264511000000001</v>
      </c>
      <c r="MF38" s="21">
        <f>IF(MF$1&lt;INDEX('Valo FX'!$Q:$Q,MATCH($A38,'Valo FX'!$A:$A,0)),0,IF(MF$1&lt;INDEX('Valo FX'!$R:$R,MATCH($A38,'Valo FX'!$A:$A,0)),INDEX(Base!$U:$U,MATCH($A38,Base!$A:$A,0)),IF(MF$1=INDEX('Valo FX'!$R:$R,MATCH($A38,'Valo FX'!$A:$A,0)),INDEX(Base!$V:$V,MATCH($A38,Base!$A:$A,0)),0)))</f>
        <v>11.264511000000001</v>
      </c>
      <c r="MG38" s="21">
        <f>IF(MG$1&lt;INDEX('Valo FX'!$Q:$Q,MATCH($A38,'Valo FX'!$A:$A,0)),0,IF(MG$1&lt;INDEX('Valo FX'!$R:$R,MATCH($A38,'Valo FX'!$A:$A,0)),INDEX(Base!$U:$U,MATCH($A38,Base!$A:$A,0)),IF(MG$1=INDEX('Valo FX'!$R:$R,MATCH($A38,'Valo FX'!$A:$A,0)),INDEX(Base!$V:$V,MATCH($A38,Base!$A:$A,0)),0)))</f>
        <v>11.264511000000001</v>
      </c>
      <c r="MH38" s="21">
        <f>IF(MH$1&lt;INDEX('Valo FX'!$Q:$Q,MATCH($A38,'Valo FX'!$A:$A,0)),0,IF(MH$1&lt;INDEX('Valo FX'!$R:$R,MATCH($A38,'Valo FX'!$A:$A,0)),INDEX(Base!$U:$U,MATCH($A38,Base!$A:$A,0)),IF(MH$1=INDEX('Valo FX'!$R:$R,MATCH($A38,'Valo FX'!$A:$A,0)),INDEX(Base!$V:$V,MATCH($A38,Base!$A:$A,0)),0)))</f>
        <v>11.264511000000001</v>
      </c>
      <c r="MI38" s="21">
        <f>IF(MI$1&lt;INDEX('Valo FX'!$Q:$Q,MATCH($A38,'Valo FX'!$A:$A,0)),0,IF(MI$1&lt;INDEX('Valo FX'!$R:$R,MATCH($A38,'Valo FX'!$A:$A,0)),INDEX(Base!$U:$U,MATCH($A38,Base!$A:$A,0)),IF(MI$1=INDEX('Valo FX'!$R:$R,MATCH($A38,'Valo FX'!$A:$A,0)),INDEX(Base!$V:$V,MATCH($A38,Base!$A:$A,0)),0)))</f>
        <v>11.264511000000001</v>
      </c>
      <c r="MJ38" s="21">
        <f>IF(MJ$1&lt;INDEX('Valo FX'!$Q:$Q,MATCH($A38,'Valo FX'!$A:$A,0)),0,IF(MJ$1&lt;INDEX('Valo FX'!$R:$R,MATCH($A38,'Valo FX'!$A:$A,0)),INDEX(Base!$U:$U,MATCH($A38,Base!$A:$A,0)),IF(MJ$1=INDEX('Valo FX'!$R:$R,MATCH($A38,'Valo FX'!$A:$A,0)),INDEX(Base!$V:$V,MATCH($A38,Base!$A:$A,0)),0)))</f>
        <v>11.264511000000001</v>
      </c>
      <c r="MK38" s="21">
        <f>IF(MK$1&lt;INDEX('Valo FX'!$Q:$Q,MATCH($A38,'Valo FX'!$A:$A,0)),0,IF(MK$1&lt;INDEX('Valo FX'!$R:$R,MATCH($A38,'Valo FX'!$A:$A,0)),INDEX(Base!$U:$U,MATCH($A38,Base!$A:$A,0)),IF(MK$1=INDEX('Valo FX'!$R:$R,MATCH($A38,'Valo FX'!$A:$A,0)),INDEX(Base!$V:$V,MATCH($A38,Base!$A:$A,0)),0)))</f>
        <v>11.264511000000001</v>
      </c>
      <c r="ML38" s="21">
        <f>IF(ML$1&lt;INDEX('Valo FX'!$Q:$Q,MATCH($A38,'Valo FX'!$A:$A,0)),0,IF(ML$1&lt;INDEX('Valo FX'!$R:$R,MATCH($A38,'Valo FX'!$A:$A,0)),INDEX(Base!$U:$U,MATCH($A38,Base!$A:$A,0)),IF(ML$1=INDEX('Valo FX'!$R:$R,MATCH($A38,'Valo FX'!$A:$A,0)),INDEX(Base!$V:$V,MATCH($A38,Base!$A:$A,0)),0)))</f>
        <v>11.264511000000001</v>
      </c>
      <c r="MM38" s="21">
        <f>IF(MM$1&lt;INDEX('Valo FX'!$Q:$Q,MATCH($A38,'Valo FX'!$A:$A,0)),0,IF(MM$1&lt;INDEX('Valo FX'!$R:$R,MATCH($A38,'Valo FX'!$A:$A,0)),INDEX(Base!$U:$U,MATCH($A38,Base!$A:$A,0)),IF(MM$1=INDEX('Valo FX'!$R:$R,MATCH($A38,'Valo FX'!$A:$A,0)),INDEX(Base!$V:$V,MATCH($A38,Base!$A:$A,0)),0)))</f>
        <v>11.264511000000001</v>
      </c>
      <c r="MN38" s="21">
        <f>IF(MN$1&lt;INDEX('Valo FX'!$Q:$Q,MATCH($A38,'Valo FX'!$A:$A,0)),0,IF(MN$1&lt;INDEX('Valo FX'!$R:$R,MATCH($A38,'Valo FX'!$A:$A,0)),INDEX(Base!$U:$U,MATCH($A38,Base!$A:$A,0)),IF(MN$1=INDEX('Valo FX'!$R:$R,MATCH($A38,'Valo FX'!$A:$A,0)),INDEX(Base!$V:$V,MATCH($A38,Base!$A:$A,0)),0)))</f>
        <v>11.264511000000001</v>
      </c>
      <c r="MO38" s="21">
        <f>IF(MO$1&lt;INDEX('Valo FX'!$Q:$Q,MATCH($A38,'Valo FX'!$A:$A,0)),0,IF(MO$1&lt;INDEX('Valo FX'!$R:$R,MATCH($A38,'Valo FX'!$A:$A,0)),INDEX(Base!$U:$U,MATCH($A38,Base!$A:$A,0)),IF(MO$1=INDEX('Valo FX'!$R:$R,MATCH($A38,'Valo FX'!$A:$A,0)),INDEX(Base!$V:$V,MATCH($A38,Base!$A:$A,0)),0)))</f>
        <v>11.264511000000001</v>
      </c>
      <c r="MP38" s="21">
        <f>IF(MP$1&lt;INDEX('Valo FX'!$Q:$Q,MATCH($A38,'Valo FX'!$A:$A,0)),0,IF(MP$1&lt;INDEX('Valo FX'!$R:$R,MATCH($A38,'Valo FX'!$A:$A,0)),INDEX(Base!$U:$U,MATCH($A38,Base!$A:$A,0)),IF(MP$1=INDEX('Valo FX'!$R:$R,MATCH($A38,'Valo FX'!$A:$A,0)),INDEX(Base!$V:$V,MATCH($A38,Base!$A:$A,0)),0)))</f>
        <v>11.264511000000001</v>
      </c>
      <c r="MQ38" s="21">
        <f>IF(MQ$1&lt;INDEX('Valo FX'!$Q:$Q,MATCH($A38,'Valo FX'!$A:$A,0)),0,IF(MQ$1&lt;INDEX('Valo FX'!$R:$R,MATCH($A38,'Valo FX'!$A:$A,0)),INDEX(Base!$U:$U,MATCH($A38,Base!$A:$A,0)),IF(MQ$1=INDEX('Valo FX'!$R:$R,MATCH($A38,'Valo FX'!$A:$A,0)),INDEX(Base!$V:$V,MATCH($A38,Base!$A:$A,0)),0)))</f>
        <v>11.264511000000001</v>
      </c>
      <c r="MR38" s="21">
        <f>IF(MR$1&lt;INDEX('Valo FX'!$Q:$Q,MATCH($A38,'Valo FX'!$A:$A,0)),0,IF(MR$1&lt;INDEX('Valo FX'!$R:$R,MATCH($A38,'Valo FX'!$A:$A,0)),INDEX(Base!$U:$U,MATCH($A38,Base!$A:$A,0)),IF(MR$1=INDEX('Valo FX'!$R:$R,MATCH($A38,'Valo FX'!$A:$A,0)),INDEX(Base!$V:$V,MATCH($A38,Base!$A:$A,0)),0)))</f>
        <v>11.264511000000001</v>
      </c>
      <c r="MS38" s="21">
        <f>IF(MS$1&lt;INDEX('Valo FX'!$Q:$Q,MATCH($A38,'Valo FX'!$A:$A,0)),0,IF(MS$1&lt;INDEX('Valo FX'!$R:$R,MATCH($A38,'Valo FX'!$A:$A,0)),INDEX(Base!$U:$U,MATCH($A38,Base!$A:$A,0)),IF(MS$1=INDEX('Valo FX'!$R:$R,MATCH($A38,'Valo FX'!$A:$A,0)),INDEX(Base!$V:$V,MATCH($A38,Base!$A:$A,0)),0)))</f>
        <v>11.264511000000001</v>
      </c>
      <c r="MT38" s="21">
        <f>IF(MT$1&lt;INDEX('Valo FX'!$Q:$Q,MATCH($A38,'Valo FX'!$A:$A,0)),0,IF(MT$1&lt;INDEX('Valo FX'!$R:$R,MATCH($A38,'Valo FX'!$A:$A,0)),INDEX(Base!$U:$U,MATCH($A38,Base!$A:$A,0)),IF(MT$1=INDEX('Valo FX'!$R:$R,MATCH($A38,'Valo FX'!$A:$A,0)),INDEX(Base!$V:$V,MATCH($A38,Base!$A:$A,0)),0)))</f>
        <v>11.264511000000001</v>
      </c>
      <c r="MU38" s="21">
        <f>IF(MU$1&lt;INDEX('Valo FX'!$Q:$Q,MATCH($A38,'Valo FX'!$A:$A,0)),0,IF(MU$1&lt;INDEX('Valo FX'!$R:$R,MATCH($A38,'Valo FX'!$A:$A,0)),INDEX(Base!$U:$U,MATCH($A38,Base!$A:$A,0)),IF(MU$1=INDEX('Valo FX'!$R:$R,MATCH($A38,'Valo FX'!$A:$A,0)),INDEX(Base!$V:$V,MATCH($A38,Base!$A:$A,0)),0)))</f>
        <v>11.264511000000001</v>
      </c>
      <c r="MV38" s="21">
        <f>IF(MV$1&lt;INDEX('Valo FX'!$Q:$Q,MATCH($A38,'Valo FX'!$A:$A,0)),0,IF(MV$1&lt;INDEX('Valo FX'!$R:$R,MATCH($A38,'Valo FX'!$A:$A,0)),INDEX(Base!$U:$U,MATCH($A38,Base!$A:$A,0)),IF(MV$1=INDEX('Valo FX'!$R:$R,MATCH($A38,'Valo FX'!$A:$A,0)),INDEX(Base!$V:$V,MATCH($A38,Base!$A:$A,0)),0)))</f>
        <v>11.264511000000001</v>
      </c>
      <c r="MW38" s="21">
        <f>IF(MW$1&lt;INDEX('Valo FX'!$Q:$Q,MATCH($A38,'Valo FX'!$A:$A,0)),0,IF(MW$1&lt;INDEX('Valo FX'!$R:$R,MATCH($A38,'Valo FX'!$A:$A,0)),INDEX(Base!$U:$U,MATCH($A38,Base!$A:$A,0)),IF(MW$1=INDEX('Valo FX'!$R:$R,MATCH($A38,'Valo FX'!$A:$A,0)),INDEX(Base!$V:$V,MATCH($A38,Base!$A:$A,0)),0)))</f>
        <v>11.264511000000001</v>
      </c>
      <c r="MX38" s="21">
        <f>IF(MX$1&lt;INDEX('Valo FX'!$Q:$Q,MATCH($A38,'Valo FX'!$A:$A,0)),0,IF(MX$1&lt;INDEX('Valo FX'!$R:$R,MATCH($A38,'Valo FX'!$A:$A,0)),INDEX(Base!$U:$U,MATCH($A38,Base!$A:$A,0)),IF(MX$1=INDEX('Valo FX'!$R:$R,MATCH($A38,'Valo FX'!$A:$A,0)),INDEX(Base!$V:$V,MATCH($A38,Base!$A:$A,0)),0)))</f>
        <v>11.264511000000001</v>
      </c>
      <c r="MY38" s="21">
        <f>IF(MY$1&lt;INDEX('Valo FX'!$Q:$Q,MATCH($A38,'Valo FX'!$A:$A,0)),0,IF(MY$1&lt;INDEX('Valo FX'!$R:$R,MATCH($A38,'Valo FX'!$A:$A,0)),INDEX(Base!$U:$U,MATCH($A38,Base!$A:$A,0)),IF(MY$1=INDEX('Valo FX'!$R:$R,MATCH($A38,'Valo FX'!$A:$A,0)),INDEX(Base!$V:$V,MATCH($A38,Base!$A:$A,0)),0)))</f>
        <v>11.617219</v>
      </c>
    </row>
    <row r="39" spans="1:363" x14ac:dyDescent="0.25">
      <c r="A39" s="7">
        <f t="shared" si="12"/>
        <v>37</v>
      </c>
      <c r="B39" s="59">
        <f>-'Valo FX'!T40</f>
        <v>-1694.3626815370342</v>
      </c>
      <c r="C39" s="21">
        <f>IF(C$1&lt;INDEX('Valo FX'!$Q:$Q,MATCH($A39,'Valo FX'!$A:$A,0)),0,IF(C$1&lt;INDEX('Valo FX'!$R:$R,MATCH($A39,'Valo FX'!$A:$A,0)),INDEX(Base!$U:$U,MATCH($A39,Base!$A:$A,0)),IF(C$1=INDEX('Valo FX'!$R:$R,MATCH($A39,'Valo FX'!$A:$A,0)),INDEX(Base!$V:$V,MATCH($A39,Base!$A:$A,0)),0)))</f>
        <v>0</v>
      </c>
      <c r="D39" s="21">
        <f>IF(D$1&lt;INDEX('Valo FX'!$Q:$Q,MATCH($A39,'Valo FX'!$A:$A,0)),0,IF(D$1&lt;INDEX('Valo FX'!$R:$R,MATCH($A39,'Valo FX'!$A:$A,0)),INDEX(Base!$U:$U,MATCH($A39,Base!$A:$A,0)),IF(D$1=INDEX('Valo FX'!$R:$R,MATCH($A39,'Valo FX'!$A:$A,0)),INDEX(Base!$V:$V,MATCH($A39,Base!$A:$A,0)),0)))</f>
        <v>0</v>
      </c>
      <c r="E39" s="21">
        <f>IF(E$1&lt;INDEX('Valo FX'!$Q:$Q,MATCH($A39,'Valo FX'!$A:$A,0)),0,IF(E$1&lt;INDEX('Valo FX'!$R:$R,MATCH($A39,'Valo FX'!$A:$A,0)),INDEX(Base!$U:$U,MATCH($A39,Base!$A:$A,0)),IF(E$1=INDEX('Valo FX'!$R:$R,MATCH($A39,'Valo FX'!$A:$A,0)),INDEX(Base!$V:$V,MATCH($A39,Base!$A:$A,0)),0)))</f>
        <v>0</v>
      </c>
      <c r="F39" s="21">
        <f>IF(F$1&lt;INDEX('Valo FX'!$Q:$Q,MATCH($A39,'Valo FX'!$A:$A,0)),0,IF(F$1&lt;INDEX('Valo FX'!$R:$R,MATCH($A39,'Valo FX'!$A:$A,0)),INDEX(Base!$U:$U,MATCH($A39,Base!$A:$A,0)),IF(F$1=INDEX('Valo FX'!$R:$R,MATCH($A39,'Valo FX'!$A:$A,0)),INDEX(Base!$V:$V,MATCH($A39,Base!$A:$A,0)),0)))</f>
        <v>0</v>
      </c>
      <c r="G39" s="21">
        <f>IF(G$1&lt;INDEX('Valo FX'!$Q:$Q,MATCH($A39,'Valo FX'!$A:$A,0)),0,IF(G$1&lt;INDEX('Valo FX'!$R:$R,MATCH($A39,'Valo FX'!$A:$A,0)),INDEX(Base!$U:$U,MATCH($A39,Base!$A:$A,0)),IF(G$1=INDEX('Valo FX'!$R:$R,MATCH($A39,'Valo FX'!$A:$A,0)),INDEX(Base!$V:$V,MATCH($A39,Base!$A:$A,0)),0)))</f>
        <v>0</v>
      </c>
      <c r="H39" s="21">
        <f>IF(H$1&lt;INDEX('Valo FX'!$Q:$Q,MATCH($A39,'Valo FX'!$A:$A,0)),0,IF(H$1&lt;INDEX('Valo FX'!$R:$R,MATCH($A39,'Valo FX'!$A:$A,0)),INDEX(Base!$U:$U,MATCH($A39,Base!$A:$A,0)),IF(H$1=INDEX('Valo FX'!$R:$R,MATCH($A39,'Valo FX'!$A:$A,0)),INDEX(Base!$V:$V,MATCH($A39,Base!$A:$A,0)),0)))</f>
        <v>0</v>
      </c>
      <c r="I39" s="21">
        <f>IF(I$1&lt;INDEX('Valo FX'!$Q:$Q,MATCH($A39,'Valo FX'!$A:$A,0)),0,IF(I$1&lt;INDEX('Valo FX'!$R:$R,MATCH($A39,'Valo FX'!$A:$A,0)),INDEX(Base!$U:$U,MATCH($A39,Base!$A:$A,0)),IF(I$1=INDEX('Valo FX'!$R:$R,MATCH($A39,'Valo FX'!$A:$A,0)),INDEX(Base!$V:$V,MATCH($A39,Base!$A:$A,0)),0)))</f>
        <v>11.60886</v>
      </c>
      <c r="J39" s="21">
        <f>IF(J$1&lt;INDEX('Valo FX'!$Q:$Q,MATCH($A39,'Valo FX'!$A:$A,0)),0,IF(J$1&lt;INDEX('Valo FX'!$R:$R,MATCH($A39,'Valo FX'!$A:$A,0)),INDEX(Base!$U:$U,MATCH($A39,Base!$A:$A,0)),IF(J$1=INDEX('Valo FX'!$R:$R,MATCH($A39,'Valo FX'!$A:$A,0)),INDEX(Base!$V:$V,MATCH($A39,Base!$A:$A,0)),0)))</f>
        <v>11.60886</v>
      </c>
      <c r="K39" s="21">
        <f>IF(K$1&lt;INDEX('Valo FX'!$Q:$Q,MATCH($A39,'Valo FX'!$A:$A,0)),0,IF(K$1&lt;INDEX('Valo FX'!$R:$R,MATCH($A39,'Valo FX'!$A:$A,0)),INDEX(Base!$U:$U,MATCH($A39,Base!$A:$A,0)),IF(K$1=INDEX('Valo FX'!$R:$R,MATCH($A39,'Valo FX'!$A:$A,0)),INDEX(Base!$V:$V,MATCH($A39,Base!$A:$A,0)),0)))</f>
        <v>11.60886</v>
      </c>
      <c r="L39" s="21">
        <f>IF(L$1&lt;INDEX('Valo FX'!$Q:$Q,MATCH($A39,'Valo FX'!$A:$A,0)),0,IF(L$1&lt;INDEX('Valo FX'!$R:$R,MATCH($A39,'Valo FX'!$A:$A,0)),INDEX(Base!$U:$U,MATCH($A39,Base!$A:$A,0)),IF(L$1=INDEX('Valo FX'!$R:$R,MATCH($A39,'Valo FX'!$A:$A,0)),INDEX(Base!$V:$V,MATCH($A39,Base!$A:$A,0)),0)))</f>
        <v>11.60886</v>
      </c>
      <c r="M39" s="21">
        <f>IF(M$1&lt;INDEX('Valo FX'!$Q:$Q,MATCH($A39,'Valo FX'!$A:$A,0)),0,IF(M$1&lt;INDEX('Valo FX'!$R:$R,MATCH($A39,'Valo FX'!$A:$A,0)),INDEX(Base!$U:$U,MATCH($A39,Base!$A:$A,0)),IF(M$1=INDEX('Valo FX'!$R:$R,MATCH($A39,'Valo FX'!$A:$A,0)),INDEX(Base!$V:$V,MATCH($A39,Base!$A:$A,0)),0)))</f>
        <v>11.60886</v>
      </c>
      <c r="N39" s="21">
        <f>IF(N$1&lt;INDEX('Valo FX'!$Q:$Q,MATCH($A39,'Valo FX'!$A:$A,0)),0,IF(N$1&lt;INDEX('Valo FX'!$R:$R,MATCH($A39,'Valo FX'!$A:$A,0)),INDEX(Base!$U:$U,MATCH($A39,Base!$A:$A,0)),IF(N$1=INDEX('Valo FX'!$R:$R,MATCH($A39,'Valo FX'!$A:$A,0)),INDEX(Base!$V:$V,MATCH($A39,Base!$A:$A,0)),0)))</f>
        <v>11.60886</v>
      </c>
      <c r="O39" s="21">
        <f>IF(O$1&lt;INDEX('Valo FX'!$Q:$Q,MATCH($A39,'Valo FX'!$A:$A,0)),0,IF(O$1&lt;INDEX('Valo FX'!$R:$R,MATCH($A39,'Valo FX'!$A:$A,0)),INDEX(Base!$U:$U,MATCH($A39,Base!$A:$A,0)),IF(O$1=INDEX('Valo FX'!$R:$R,MATCH($A39,'Valo FX'!$A:$A,0)),INDEX(Base!$V:$V,MATCH($A39,Base!$A:$A,0)),0)))</f>
        <v>11.60886</v>
      </c>
      <c r="P39" s="21">
        <f>IF(P$1&lt;INDEX('Valo FX'!$Q:$Q,MATCH($A39,'Valo FX'!$A:$A,0)),0,IF(P$1&lt;INDEX('Valo FX'!$R:$R,MATCH($A39,'Valo FX'!$A:$A,0)),INDEX(Base!$U:$U,MATCH($A39,Base!$A:$A,0)),IF(P$1=INDEX('Valo FX'!$R:$R,MATCH($A39,'Valo FX'!$A:$A,0)),INDEX(Base!$V:$V,MATCH($A39,Base!$A:$A,0)),0)))</f>
        <v>11.60886</v>
      </c>
      <c r="Q39" s="21">
        <f>IF(Q$1&lt;INDEX('Valo FX'!$Q:$Q,MATCH($A39,'Valo FX'!$A:$A,0)),0,IF(Q$1&lt;INDEX('Valo FX'!$R:$R,MATCH($A39,'Valo FX'!$A:$A,0)),INDEX(Base!$U:$U,MATCH($A39,Base!$A:$A,0)),IF(Q$1=INDEX('Valo FX'!$R:$R,MATCH($A39,'Valo FX'!$A:$A,0)),INDEX(Base!$V:$V,MATCH($A39,Base!$A:$A,0)),0)))</f>
        <v>11.60886</v>
      </c>
      <c r="R39" s="21">
        <f>IF(R$1&lt;INDEX('Valo FX'!$Q:$Q,MATCH($A39,'Valo FX'!$A:$A,0)),0,IF(R$1&lt;INDEX('Valo FX'!$R:$R,MATCH($A39,'Valo FX'!$A:$A,0)),INDEX(Base!$U:$U,MATCH($A39,Base!$A:$A,0)),IF(R$1=INDEX('Valo FX'!$R:$R,MATCH($A39,'Valo FX'!$A:$A,0)),INDEX(Base!$V:$V,MATCH($A39,Base!$A:$A,0)),0)))</f>
        <v>11.60886</v>
      </c>
      <c r="S39" s="21">
        <f>IF(S$1&lt;INDEX('Valo FX'!$Q:$Q,MATCH($A39,'Valo FX'!$A:$A,0)),0,IF(S$1&lt;INDEX('Valo FX'!$R:$R,MATCH($A39,'Valo FX'!$A:$A,0)),INDEX(Base!$U:$U,MATCH($A39,Base!$A:$A,0)),IF(S$1=INDEX('Valo FX'!$R:$R,MATCH($A39,'Valo FX'!$A:$A,0)),INDEX(Base!$V:$V,MATCH($A39,Base!$A:$A,0)),0)))</f>
        <v>11.60886</v>
      </c>
      <c r="T39" s="21">
        <f>IF(T$1&lt;INDEX('Valo FX'!$Q:$Q,MATCH($A39,'Valo FX'!$A:$A,0)),0,IF(T$1&lt;INDEX('Valo FX'!$R:$R,MATCH($A39,'Valo FX'!$A:$A,0)),INDEX(Base!$U:$U,MATCH($A39,Base!$A:$A,0)),IF(T$1=INDEX('Valo FX'!$R:$R,MATCH($A39,'Valo FX'!$A:$A,0)),INDEX(Base!$V:$V,MATCH($A39,Base!$A:$A,0)),0)))</f>
        <v>11.60886</v>
      </c>
      <c r="U39" s="21">
        <f>IF(U$1&lt;INDEX('Valo FX'!$Q:$Q,MATCH($A39,'Valo FX'!$A:$A,0)),0,IF(U$1&lt;INDEX('Valo FX'!$R:$R,MATCH($A39,'Valo FX'!$A:$A,0)),INDEX(Base!$U:$U,MATCH($A39,Base!$A:$A,0)),IF(U$1=INDEX('Valo FX'!$R:$R,MATCH($A39,'Valo FX'!$A:$A,0)),INDEX(Base!$V:$V,MATCH($A39,Base!$A:$A,0)),0)))</f>
        <v>11.60886</v>
      </c>
      <c r="V39" s="21">
        <f>IF(V$1&lt;INDEX('Valo FX'!$Q:$Q,MATCH($A39,'Valo FX'!$A:$A,0)),0,IF(V$1&lt;INDEX('Valo FX'!$R:$R,MATCH($A39,'Valo FX'!$A:$A,0)),INDEX(Base!$U:$U,MATCH($A39,Base!$A:$A,0)),IF(V$1=INDEX('Valo FX'!$R:$R,MATCH($A39,'Valo FX'!$A:$A,0)),INDEX(Base!$V:$V,MATCH($A39,Base!$A:$A,0)),0)))</f>
        <v>11.60886</v>
      </c>
      <c r="W39" s="21">
        <f>IF(W$1&lt;INDEX('Valo FX'!$Q:$Q,MATCH($A39,'Valo FX'!$A:$A,0)),0,IF(W$1&lt;INDEX('Valo FX'!$R:$R,MATCH($A39,'Valo FX'!$A:$A,0)),INDEX(Base!$U:$U,MATCH($A39,Base!$A:$A,0)),IF(W$1=INDEX('Valo FX'!$R:$R,MATCH($A39,'Valo FX'!$A:$A,0)),INDEX(Base!$V:$V,MATCH($A39,Base!$A:$A,0)),0)))</f>
        <v>11.60886</v>
      </c>
      <c r="X39" s="21">
        <f>IF(X$1&lt;INDEX('Valo FX'!$Q:$Q,MATCH($A39,'Valo FX'!$A:$A,0)),0,IF(X$1&lt;INDEX('Valo FX'!$R:$R,MATCH($A39,'Valo FX'!$A:$A,0)),INDEX(Base!$U:$U,MATCH($A39,Base!$A:$A,0)),IF(X$1=INDEX('Valo FX'!$R:$R,MATCH($A39,'Valo FX'!$A:$A,0)),INDEX(Base!$V:$V,MATCH($A39,Base!$A:$A,0)),0)))</f>
        <v>11.60886</v>
      </c>
      <c r="Y39" s="21">
        <f>IF(Y$1&lt;INDEX('Valo FX'!$Q:$Q,MATCH($A39,'Valo FX'!$A:$A,0)),0,IF(Y$1&lt;INDEX('Valo FX'!$R:$R,MATCH($A39,'Valo FX'!$A:$A,0)),INDEX(Base!$U:$U,MATCH($A39,Base!$A:$A,0)),IF(Y$1=INDEX('Valo FX'!$R:$R,MATCH($A39,'Valo FX'!$A:$A,0)),INDEX(Base!$V:$V,MATCH($A39,Base!$A:$A,0)),0)))</f>
        <v>11.60886</v>
      </c>
      <c r="Z39" s="21">
        <f>IF(Z$1&lt;INDEX('Valo FX'!$Q:$Q,MATCH($A39,'Valo FX'!$A:$A,0)),0,IF(Z$1&lt;INDEX('Valo FX'!$R:$R,MATCH($A39,'Valo FX'!$A:$A,0)),INDEX(Base!$U:$U,MATCH($A39,Base!$A:$A,0)),IF(Z$1=INDEX('Valo FX'!$R:$R,MATCH($A39,'Valo FX'!$A:$A,0)),INDEX(Base!$V:$V,MATCH($A39,Base!$A:$A,0)),0)))</f>
        <v>11.60886</v>
      </c>
      <c r="AA39" s="21">
        <f>IF(AA$1&lt;INDEX('Valo FX'!$Q:$Q,MATCH($A39,'Valo FX'!$A:$A,0)),0,IF(AA$1&lt;INDEX('Valo FX'!$R:$R,MATCH($A39,'Valo FX'!$A:$A,0)),INDEX(Base!$U:$U,MATCH($A39,Base!$A:$A,0)),IF(AA$1=INDEX('Valo FX'!$R:$R,MATCH($A39,'Valo FX'!$A:$A,0)),INDEX(Base!$V:$V,MATCH($A39,Base!$A:$A,0)),0)))</f>
        <v>11.60886</v>
      </c>
      <c r="AB39" s="21">
        <f>IF(AB$1&lt;INDEX('Valo FX'!$Q:$Q,MATCH($A39,'Valo FX'!$A:$A,0)),0,IF(AB$1&lt;INDEX('Valo FX'!$R:$R,MATCH($A39,'Valo FX'!$A:$A,0)),INDEX(Base!$U:$U,MATCH($A39,Base!$A:$A,0)),IF(AB$1=INDEX('Valo FX'!$R:$R,MATCH($A39,'Valo FX'!$A:$A,0)),INDEX(Base!$V:$V,MATCH($A39,Base!$A:$A,0)),0)))</f>
        <v>11.60886</v>
      </c>
      <c r="AC39" s="21">
        <f>IF(AC$1&lt;INDEX('Valo FX'!$Q:$Q,MATCH($A39,'Valo FX'!$A:$A,0)),0,IF(AC$1&lt;INDEX('Valo FX'!$R:$R,MATCH($A39,'Valo FX'!$A:$A,0)),INDEX(Base!$U:$U,MATCH($A39,Base!$A:$A,0)),IF(AC$1=INDEX('Valo FX'!$R:$R,MATCH($A39,'Valo FX'!$A:$A,0)),INDEX(Base!$V:$V,MATCH($A39,Base!$A:$A,0)),0)))</f>
        <v>11.60886</v>
      </c>
      <c r="AD39" s="21">
        <f>IF(AD$1&lt;INDEX('Valo FX'!$Q:$Q,MATCH($A39,'Valo FX'!$A:$A,0)),0,IF(AD$1&lt;INDEX('Valo FX'!$R:$R,MATCH($A39,'Valo FX'!$A:$A,0)),INDEX(Base!$U:$U,MATCH($A39,Base!$A:$A,0)),IF(AD$1=INDEX('Valo FX'!$R:$R,MATCH($A39,'Valo FX'!$A:$A,0)),INDEX(Base!$V:$V,MATCH($A39,Base!$A:$A,0)),0)))</f>
        <v>11.60886</v>
      </c>
      <c r="AE39" s="21">
        <f>IF(AE$1&lt;INDEX('Valo FX'!$Q:$Q,MATCH($A39,'Valo FX'!$A:$A,0)),0,IF(AE$1&lt;INDEX('Valo FX'!$R:$R,MATCH($A39,'Valo FX'!$A:$A,0)),INDEX(Base!$U:$U,MATCH($A39,Base!$A:$A,0)),IF(AE$1=INDEX('Valo FX'!$R:$R,MATCH($A39,'Valo FX'!$A:$A,0)),INDEX(Base!$V:$V,MATCH($A39,Base!$A:$A,0)),0)))</f>
        <v>11.60886</v>
      </c>
      <c r="AF39" s="21">
        <f>IF(AF$1&lt;INDEX('Valo FX'!$Q:$Q,MATCH($A39,'Valo FX'!$A:$A,0)),0,IF(AF$1&lt;INDEX('Valo FX'!$R:$R,MATCH($A39,'Valo FX'!$A:$A,0)),INDEX(Base!$U:$U,MATCH($A39,Base!$A:$A,0)),IF(AF$1=INDEX('Valo FX'!$R:$R,MATCH($A39,'Valo FX'!$A:$A,0)),INDEX(Base!$V:$V,MATCH($A39,Base!$A:$A,0)),0)))</f>
        <v>11.60886</v>
      </c>
      <c r="AG39" s="21">
        <f>IF(AG$1&lt;INDEX('Valo FX'!$Q:$Q,MATCH($A39,'Valo FX'!$A:$A,0)),0,IF(AG$1&lt;INDEX('Valo FX'!$R:$R,MATCH($A39,'Valo FX'!$A:$A,0)),INDEX(Base!$U:$U,MATCH($A39,Base!$A:$A,0)),IF(AG$1=INDEX('Valo FX'!$R:$R,MATCH($A39,'Valo FX'!$A:$A,0)),INDEX(Base!$V:$V,MATCH($A39,Base!$A:$A,0)),0)))</f>
        <v>11.60886</v>
      </c>
      <c r="AH39" s="21">
        <f>IF(AH$1&lt;INDEX('Valo FX'!$Q:$Q,MATCH($A39,'Valo FX'!$A:$A,0)),0,IF(AH$1&lt;INDEX('Valo FX'!$R:$R,MATCH($A39,'Valo FX'!$A:$A,0)),INDEX(Base!$U:$U,MATCH($A39,Base!$A:$A,0)),IF(AH$1=INDEX('Valo FX'!$R:$R,MATCH($A39,'Valo FX'!$A:$A,0)),INDEX(Base!$V:$V,MATCH($A39,Base!$A:$A,0)),0)))</f>
        <v>11.60886</v>
      </c>
      <c r="AI39" s="21">
        <f>IF(AI$1&lt;INDEX('Valo FX'!$Q:$Q,MATCH($A39,'Valo FX'!$A:$A,0)),0,IF(AI$1&lt;INDEX('Valo FX'!$R:$R,MATCH($A39,'Valo FX'!$A:$A,0)),INDEX(Base!$U:$U,MATCH($A39,Base!$A:$A,0)),IF(AI$1=INDEX('Valo FX'!$R:$R,MATCH($A39,'Valo FX'!$A:$A,0)),INDEX(Base!$V:$V,MATCH($A39,Base!$A:$A,0)),0)))</f>
        <v>11.60886</v>
      </c>
      <c r="AJ39" s="21">
        <f>IF(AJ$1&lt;INDEX('Valo FX'!$Q:$Q,MATCH($A39,'Valo FX'!$A:$A,0)),0,IF(AJ$1&lt;INDEX('Valo FX'!$R:$R,MATCH($A39,'Valo FX'!$A:$A,0)),INDEX(Base!$U:$U,MATCH($A39,Base!$A:$A,0)),IF(AJ$1=INDEX('Valo FX'!$R:$R,MATCH($A39,'Valo FX'!$A:$A,0)),INDEX(Base!$V:$V,MATCH($A39,Base!$A:$A,0)),0)))</f>
        <v>11.60886</v>
      </c>
      <c r="AK39" s="21">
        <f>IF(AK$1&lt;INDEX('Valo FX'!$Q:$Q,MATCH($A39,'Valo FX'!$A:$A,0)),0,IF(AK$1&lt;INDEX('Valo FX'!$R:$R,MATCH($A39,'Valo FX'!$A:$A,0)),INDEX(Base!$U:$U,MATCH($A39,Base!$A:$A,0)),IF(AK$1=INDEX('Valo FX'!$R:$R,MATCH($A39,'Valo FX'!$A:$A,0)),INDEX(Base!$V:$V,MATCH($A39,Base!$A:$A,0)),0)))</f>
        <v>11.60886</v>
      </c>
      <c r="AL39" s="21">
        <f>IF(AL$1&lt;INDEX('Valo FX'!$Q:$Q,MATCH($A39,'Valo FX'!$A:$A,0)),0,IF(AL$1&lt;INDEX('Valo FX'!$R:$R,MATCH($A39,'Valo FX'!$A:$A,0)),INDEX(Base!$U:$U,MATCH($A39,Base!$A:$A,0)),IF(AL$1=INDEX('Valo FX'!$R:$R,MATCH($A39,'Valo FX'!$A:$A,0)),INDEX(Base!$V:$V,MATCH($A39,Base!$A:$A,0)),0)))</f>
        <v>11.60886</v>
      </c>
      <c r="AM39" s="21">
        <f>IF(AM$1&lt;INDEX('Valo FX'!$Q:$Q,MATCH($A39,'Valo FX'!$A:$A,0)),0,IF(AM$1&lt;INDEX('Valo FX'!$R:$R,MATCH($A39,'Valo FX'!$A:$A,0)),INDEX(Base!$U:$U,MATCH($A39,Base!$A:$A,0)),IF(AM$1=INDEX('Valo FX'!$R:$R,MATCH($A39,'Valo FX'!$A:$A,0)),INDEX(Base!$V:$V,MATCH($A39,Base!$A:$A,0)),0)))</f>
        <v>11.60886</v>
      </c>
      <c r="AN39" s="21">
        <f>IF(AN$1&lt;INDEX('Valo FX'!$Q:$Q,MATCH($A39,'Valo FX'!$A:$A,0)),0,IF(AN$1&lt;INDEX('Valo FX'!$R:$R,MATCH($A39,'Valo FX'!$A:$A,0)),INDEX(Base!$U:$U,MATCH($A39,Base!$A:$A,0)),IF(AN$1=INDEX('Valo FX'!$R:$R,MATCH($A39,'Valo FX'!$A:$A,0)),INDEX(Base!$V:$V,MATCH($A39,Base!$A:$A,0)),0)))</f>
        <v>11.60886</v>
      </c>
      <c r="AO39" s="21">
        <f>IF(AO$1&lt;INDEX('Valo FX'!$Q:$Q,MATCH($A39,'Valo FX'!$A:$A,0)),0,IF(AO$1&lt;INDEX('Valo FX'!$R:$R,MATCH($A39,'Valo FX'!$A:$A,0)),INDEX(Base!$U:$U,MATCH($A39,Base!$A:$A,0)),IF(AO$1=INDEX('Valo FX'!$R:$R,MATCH($A39,'Valo FX'!$A:$A,0)),INDEX(Base!$V:$V,MATCH($A39,Base!$A:$A,0)),0)))</f>
        <v>11.60886</v>
      </c>
      <c r="AP39" s="21">
        <f>IF(AP$1&lt;INDEX('Valo FX'!$Q:$Q,MATCH($A39,'Valo FX'!$A:$A,0)),0,IF(AP$1&lt;INDEX('Valo FX'!$R:$R,MATCH($A39,'Valo FX'!$A:$A,0)),INDEX(Base!$U:$U,MATCH($A39,Base!$A:$A,0)),IF(AP$1=INDEX('Valo FX'!$R:$R,MATCH($A39,'Valo FX'!$A:$A,0)),INDEX(Base!$V:$V,MATCH($A39,Base!$A:$A,0)),0)))</f>
        <v>11.60886</v>
      </c>
      <c r="AQ39" s="21">
        <f>IF(AQ$1&lt;INDEX('Valo FX'!$Q:$Q,MATCH($A39,'Valo FX'!$A:$A,0)),0,IF(AQ$1&lt;INDEX('Valo FX'!$R:$R,MATCH($A39,'Valo FX'!$A:$A,0)),INDEX(Base!$U:$U,MATCH($A39,Base!$A:$A,0)),IF(AQ$1=INDEX('Valo FX'!$R:$R,MATCH($A39,'Valo FX'!$A:$A,0)),INDEX(Base!$V:$V,MATCH($A39,Base!$A:$A,0)),0)))</f>
        <v>11.60886</v>
      </c>
      <c r="AR39" s="21">
        <f>IF(AR$1&lt;INDEX('Valo FX'!$Q:$Q,MATCH($A39,'Valo FX'!$A:$A,0)),0,IF(AR$1&lt;INDEX('Valo FX'!$R:$R,MATCH($A39,'Valo FX'!$A:$A,0)),INDEX(Base!$U:$U,MATCH($A39,Base!$A:$A,0)),IF(AR$1=INDEX('Valo FX'!$R:$R,MATCH($A39,'Valo FX'!$A:$A,0)),INDEX(Base!$V:$V,MATCH($A39,Base!$A:$A,0)),0)))</f>
        <v>11.60886</v>
      </c>
      <c r="AS39" s="21">
        <f>IF(AS$1&lt;INDEX('Valo FX'!$Q:$Q,MATCH($A39,'Valo FX'!$A:$A,0)),0,IF(AS$1&lt;INDEX('Valo FX'!$R:$R,MATCH($A39,'Valo FX'!$A:$A,0)),INDEX(Base!$U:$U,MATCH($A39,Base!$A:$A,0)),IF(AS$1=INDEX('Valo FX'!$R:$R,MATCH($A39,'Valo FX'!$A:$A,0)),INDEX(Base!$V:$V,MATCH($A39,Base!$A:$A,0)),0)))</f>
        <v>11.60886</v>
      </c>
      <c r="AT39" s="21">
        <f>IF(AT$1&lt;INDEX('Valo FX'!$Q:$Q,MATCH($A39,'Valo FX'!$A:$A,0)),0,IF(AT$1&lt;INDEX('Valo FX'!$R:$R,MATCH($A39,'Valo FX'!$A:$A,0)),INDEX(Base!$U:$U,MATCH($A39,Base!$A:$A,0)),IF(AT$1=INDEX('Valo FX'!$R:$R,MATCH($A39,'Valo FX'!$A:$A,0)),INDEX(Base!$V:$V,MATCH($A39,Base!$A:$A,0)),0)))</f>
        <v>11.60886</v>
      </c>
      <c r="AU39" s="21">
        <f>IF(AU$1&lt;INDEX('Valo FX'!$Q:$Q,MATCH($A39,'Valo FX'!$A:$A,0)),0,IF(AU$1&lt;INDEX('Valo FX'!$R:$R,MATCH($A39,'Valo FX'!$A:$A,0)),INDEX(Base!$U:$U,MATCH($A39,Base!$A:$A,0)),IF(AU$1=INDEX('Valo FX'!$R:$R,MATCH($A39,'Valo FX'!$A:$A,0)),INDEX(Base!$V:$V,MATCH($A39,Base!$A:$A,0)),0)))</f>
        <v>11.60886</v>
      </c>
      <c r="AV39" s="21">
        <f>IF(AV$1&lt;INDEX('Valo FX'!$Q:$Q,MATCH($A39,'Valo FX'!$A:$A,0)),0,IF(AV$1&lt;INDEX('Valo FX'!$R:$R,MATCH($A39,'Valo FX'!$A:$A,0)),INDEX(Base!$U:$U,MATCH($A39,Base!$A:$A,0)),IF(AV$1=INDEX('Valo FX'!$R:$R,MATCH($A39,'Valo FX'!$A:$A,0)),INDEX(Base!$V:$V,MATCH($A39,Base!$A:$A,0)),0)))</f>
        <v>11.60886</v>
      </c>
      <c r="AW39" s="21">
        <f>IF(AW$1&lt;INDEX('Valo FX'!$Q:$Q,MATCH($A39,'Valo FX'!$A:$A,0)),0,IF(AW$1&lt;INDEX('Valo FX'!$R:$R,MATCH($A39,'Valo FX'!$A:$A,0)),INDEX(Base!$U:$U,MATCH($A39,Base!$A:$A,0)),IF(AW$1=INDEX('Valo FX'!$R:$R,MATCH($A39,'Valo FX'!$A:$A,0)),INDEX(Base!$V:$V,MATCH($A39,Base!$A:$A,0)),0)))</f>
        <v>11.60886</v>
      </c>
      <c r="AX39" s="21">
        <f>IF(AX$1&lt;INDEX('Valo FX'!$Q:$Q,MATCH($A39,'Valo FX'!$A:$A,0)),0,IF(AX$1&lt;INDEX('Valo FX'!$R:$R,MATCH($A39,'Valo FX'!$A:$A,0)),INDEX(Base!$U:$U,MATCH($A39,Base!$A:$A,0)),IF(AX$1=INDEX('Valo FX'!$R:$R,MATCH($A39,'Valo FX'!$A:$A,0)),INDEX(Base!$V:$V,MATCH($A39,Base!$A:$A,0)),0)))</f>
        <v>11.60886</v>
      </c>
      <c r="AY39" s="21">
        <f>IF(AY$1&lt;INDEX('Valo FX'!$Q:$Q,MATCH($A39,'Valo FX'!$A:$A,0)),0,IF(AY$1&lt;INDEX('Valo FX'!$R:$R,MATCH($A39,'Valo FX'!$A:$A,0)),INDEX(Base!$U:$U,MATCH($A39,Base!$A:$A,0)),IF(AY$1=INDEX('Valo FX'!$R:$R,MATCH($A39,'Valo FX'!$A:$A,0)),INDEX(Base!$V:$V,MATCH($A39,Base!$A:$A,0)),0)))</f>
        <v>11.60886</v>
      </c>
      <c r="AZ39" s="21">
        <f>IF(AZ$1&lt;INDEX('Valo FX'!$Q:$Q,MATCH($A39,'Valo FX'!$A:$A,0)),0,IF(AZ$1&lt;INDEX('Valo FX'!$R:$R,MATCH($A39,'Valo FX'!$A:$A,0)),INDEX(Base!$U:$U,MATCH($A39,Base!$A:$A,0)),IF(AZ$1=INDEX('Valo FX'!$R:$R,MATCH($A39,'Valo FX'!$A:$A,0)),INDEX(Base!$V:$V,MATCH($A39,Base!$A:$A,0)),0)))</f>
        <v>11.60886</v>
      </c>
      <c r="BA39" s="21">
        <f>IF(BA$1&lt;INDEX('Valo FX'!$Q:$Q,MATCH($A39,'Valo FX'!$A:$A,0)),0,IF(BA$1&lt;INDEX('Valo FX'!$R:$R,MATCH($A39,'Valo FX'!$A:$A,0)),INDEX(Base!$U:$U,MATCH($A39,Base!$A:$A,0)),IF(BA$1=INDEX('Valo FX'!$R:$R,MATCH($A39,'Valo FX'!$A:$A,0)),INDEX(Base!$V:$V,MATCH($A39,Base!$A:$A,0)),0)))</f>
        <v>11.60886</v>
      </c>
      <c r="BB39" s="21">
        <f>IF(BB$1&lt;INDEX('Valo FX'!$Q:$Q,MATCH($A39,'Valo FX'!$A:$A,0)),0,IF(BB$1&lt;INDEX('Valo FX'!$R:$R,MATCH($A39,'Valo FX'!$A:$A,0)),INDEX(Base!$U:$U,MATCH($A39,Base!$A:$A,0)),IF(BB$1=INDEX('Valo FX'!$R:$R,MATCH($A39,'Valo FX'!$A:$A,0)),INDEX(Base!$V:$V,MATCH($A39,Base!$A:$A,0)),0)))</f>
        <v>11.60886</v>
      </c>
      <c r="BC39" s="21">
        <f>IF(BC$1&lt;INDEX('Valo FX'!$Q:$Q,MATCH($A39,'Valo FX'!$A:$A,0)),0,IF(BC$1&lt;INDEX('Valo FX'!$R:$R,MATCH($A39,'Valo FX'!$A:$A,0)),INDEX(Base!$U:$U,MATCH($A39,Base!$A:$A,0)),IF(BC$1=INDEX('Valo FX'!$R:$R,MATCH($A39,'Valo FX'!$A:$A,0)),INDEX(Base!$V:$V,MATCH($A39,Base!$A:$A,0)),0)))</f>
        <v>11.60886</v>
      </c>
      <c r="BD39" s="21">
        <f>IF(BD$1&lt;INDEX('Valo FX'!$Q:$Q,MATCH($A39,'Valo FX'!$A:$A,0)),0,IF(BD$1&lt;INDEX('Valo FX'!$R:$R,MATCH($A39,'Valo FX'!$A:$A,0)),INDEX(Base!$U:$U,MATCH($A39,Base!$A:$A,0)),IF(BD$1=INDEX('Valo FX'!$R:$R,MATCH($A39,'Valo FX'!$A:$A,0)),INDEX(Base!$V:$V,MATCH($A39,Base!$A:$A,0)),0)))</f>
        <v>11.60886</v>
      </c>
      <c r="BE39" s="21">
        <f>IF(BE$1&lt;INDEX('Valo FX'!$Q:$Q,MATCH($A39,'Valo FX'!$A:$A,0)),0,IF(BE$1&lt;INDEX('Valo FX'!$R:$R,MATCH($A39,'Valo FX'!$A:$A,0)),INDEX(Base!$U:$U,MATCH($A39,Base!$A:$A,0)),IF(BE$1=INDEX('Valo FX'!$R:$R,MATCH($A39,'Valo FX'!$A:$A,0)),INDEX(Base!$V:$V,MATCH($A39,Base!$A:$A,0)),0)))</f>
        <v>11.60886</v>
      </c>
      <c r="BF39" s="21">
        <f>IF(BF$1&lt;INDEX('Valo FX'!$Q:$Q,MATCH($A39,'Valo FX'!$A:$A,0)),0,IF(BF$1&lt;INDEX('Valo FX'!$R:$R,MATCH($A39,'Valo FX'!$A:$A,0)),INDEX(Base!$U:$U,MATCH($A39,Base!$A:$A,0)),IF(BF$1=INDEX('Valo FX'!$R:$R,MATCH($A39,'Valo FX'!$A:$A,0)),INDEX(Base!$V:$V,MATCH($A39,Base!$A:$A,0)),0)))</f>
        <v>11.60886</v>
      </c>
      <c r="BG39" s="21">
        <f>IF(BG$1&lt;INDEX('Valo FX'!$Q:$Q,MATCH($A39,'Valo FX'!$A:$A,0)),0,IF(BG$1&lt;INDEX('Valo FX'!$R:$R,MATCH($A39,'Valo FX'!$A:$A,0)),INDEX(Base!$U:$U,MATCH($A39,Base!$A:$A,0)),IF(BG$1=INDEX('Valo FX'!$R:$R,MATCH($A39,'Valo FX'!$A:$A,0)),INDEX(Base!$V:$V,MATCH($A39,Base!$A:$A,0)),0)))</f>
        <v>11.60886</v>
      </c>
      <c r="BH39" s="21">
        <f>IF(BH$1&lt;INDEX('Valo FX'!$Q:$Q,MATCH($A39,'Valo FX'!$A:$A,0)),0,IF(BH$1&lt;INDEX('Valo FX'!$R:$R,MATCH($A39,'Valo FX'!$A:$A,0)),INDEX(Base!$U:$U,MATCH($A39,Base!$A:$A,0)),IF(BH$1=INDEX('Valo FX'!$R:$R,MATCH($A39,'Valo FX'!$A:$A,0)),INDEX(Base!$V:$V,MATCH($A39,Base!$A:$A,0)),0)))</f>
        <v>11.60886</v>
      </c>
      <c r="BI39" s="21">
        <f>IF(BI$1&lt;INDEX('Valo FX'!$Q:$Q,MATCH($A39,'Valo FX'!$A:$A,0)),0,IF(BI$1&lt;INDEX('Valo FX'!$R:$R,MATCH($A39,'Valo FX'!$A:$A,0)),INDEX(Base!$U:$U,MATCH($A39,Base!$A:$A,0)),IF(BI$1=INDEX('Valo FX'!$R:$R,MATCH($A39,'Valo FX'!$A:$A,0)),INDEX(Base!$V:$V,MATCH($A39,Base!$A:$A,0)),0)))</f>
        <v>11.60886</v>
      </c>
      <c r="BJ39" s="21">
        <f>IF(BJ$1&lt;INDEX('Valo FX'!$Q:$Q,MATCH($A39,'Valo FX'!$A:$A,0)),0,IF(BJ$1&lt;INDEX('Valo FX'!$R:$R,MATCH($A39,'Valo FX'!$A:$A,0)),INDEX(Base!$U:$U,MATCH($A39,Base!$A:$A,0)),IF(BJ$1=INDEX('Valo FX'!$R:$R,MATCH($A39,'Valo FX'!$A:$A,0)),INDEX(Base!$V:$V,MATCH($A39,Base!$A:$A,0)),0)))</f>
        <v>11.60886</v>
      </c>
      <c r="BK39" s="21">
        <f>IF(BK$1&lt;INDEX('Valo FX'!$Q:$Q,MATCH($A39,'Valo FX'!$A:$A,0)),0,IF(BK$1&lt;INDEX('Valo FX'!$R:$R,MATCH($A39,'Valo FX'!$A:$A,0)),INDEX(Base!$U:$U,MATCH($A39,Base!$A:$A,0)),IF(BK$1=INDEX('Valo FX'!$R:$R,MATCH($A39,'Valo FX'!$A:$A,0)),INDEX(Base!$V:$V,MATCH($A39,Base!$A:$A,0)),0)))</f>
        <v>11.60886</v>
      </c>
      <c r="BL39" s="21">
        <f>IF(BL$1&lt;INDEX('Valo FX'!$Q:$Q,MATCH($A39,'Valo FX'!$A:$A,0)),0,IF(BL$1&lt;INDEX('Valo FX'!$R:$R,MATCH($A39,'Valo FX'!$A:$A,0)),INDEX(Base!$U:$U,MATCH($A39,Base!$A:$A,0)),IF(BL$1=INDEX('Valo FX'!$R:$R,MATCH($A39,'Valo FX'!$A:$A,0)),INDEX(Base!$V:$V,MATCH($A39,Base!$A:$A,0)),0)))</f>
        <v>11.60886</v>
      </c>
      <c r="BM39" s="21">
        <f>IF(BM$1&lt;INDEX('Valo FX'!$Q:$Q,MATCH($A39,'Valo FX'!$A:$A,0)),0,IF(BM$1&lt;INDEX('Valo FX'!$R:$R,MATCH($A39,'Valo FX'!$A:$A,0)),INDEX(Base!$U:$U,MATCH($A39,Base!$A:$A,0)),IF(BM$1=INDEX('Valo FX'!$R:$R,MATCH($A39,'Valo FX'!$A:$A,0)),INDEX(Base!$V:$V,MATCH($A39,Base!$A:$A,0)),0)))</f>
        <v>11.60886</v>
      </c>
      <c r="BN39" s="21">
        <f>IF(BN$1&lt;INDEX('Valo FX'!$Q:$Q,MATCH($A39,'Valo FX'!$A:$A,0)),0,IF(BN$1&lt;INDEX('Valo FX'!$R:$R,MATCH($A39,'Valo FX'!$A:$A,0)),INDEX(Base!$U:$U,MATCH($A39,Base!$A:$A,0)),IF(BN$1=INDEX('Valo FX'!$R:$R,MATCH($A39,'Valo FX'!$A:$A,0)),INDEX(Base!$V:$V,MATCH($A39,Base!$A:$A,0)),0)))</f>
        <v>11.60886</v>
      </c>
      <c r="BO39" s="21">
        <f>IF(BO$1&lt;INDEX('Valo FX'!$Q:$Q,MATCH($A39,'Valo FX'!$A:$A,0)),0,IF(BO$1&lt;INDEX('Valo FX'!$R:$R,MATCH($A39,'Valo FX'!$A:$A,0)),INDEX(Base!$U:$U,MATCH($A39,Base!$A:$A,0)),IF(BO$1=INDEX('Valo FX'!$R:$R,MATCH($A39,'Valo FX'!$A:$A,0)),INDEX(Base!$V:$V,MATCH($A39,Base!$A:$A,0)),0)))</f>
        <v>11.60886</v>
      </c>
      <c r="BP39" s="21">
        <f>IF(BP$1&lt;INDEX('Valo FX'!$Q:$Q,MATCH($A39,'Valo FX'!$A:$A,0)),0,IF(BP$1&lt;INDEX('Valo FX'!$R:$R,MATCH($A39,'Valo FX'!$A:$A,0)),INDEX(Base!$U:$U,MATCH($A39,Base!$A:$A,0)),IF(BP$1=INDEX('Valo FX'!$R:$R,MATCH($A39,'Valo FX'!$A:$A,0)),INDEX(Base!$V:$V,MATCH($A39,Base!$A:$A,0)),0)))</f>
        <v>11.60886</v>
      </c>
      <c r="BQ39" s="21">
        <f>IF(BQ$1&lt;INDEX('Valo FX'!$Q:$Q,MATCH($A39,'Valo FX'!$A:$A,0)),0,IF(BQ$1&lt;INDEX('Valo FX'!$R:$R,MATCH($A39,'Valo FX'!$A:$A,0)),INDEX(Base!$U:$U,MATCH($A39,Base!$A:$A,0)),IF(BQ$1=INDEX('Valo FX'!$R:$R,MATCH($A39,'Valo FX'!$A:$A,0)),INDEX(Base!$V:$V,MATCH($A39,Base!$A:$A,0)),0)))</f>
        <v>11.60886</v>
      </c>
      <c r="BR39" s="21">
        <f>IF(BR$1&lt;INDEX('Valo FX'!$Q:$Q,MATCH($A39,'Valo FX'!$A:$A,0)),0,IF(BR$1&lt;INDEX('Valo FX'!$R:$R,MATCH($A39,'Valo FX'!$A:$A,0)),INDEX(Base!$U:$U,MATCH($A39,Base!$A:$A,0)),IF(BR$1=INDEX('Valo FX'!$R:$R,MATCH($A39,'Valo FX'!$A:$A,0)),INDEX(Base!$V:$V,MATCH($A39,Base!$A:$A,0)),0)))</f>
        <v>11.60886</v>
      </c>
      <c r="BS39" s="21">
        <f>IF(BS$1&lt;INDEX('Valo FX'!$Q:$Q,MATCH($A39,'Valo FX'!$A:$A,0)),0,IF(BS$1&lt;INDEX('Valo FX'!$R:$R,MATCH($A39,'Valo FX'!$A:$A,0)),INDEX(Base!$U:$U,MATCH($A39,Base!$A:$A,0)),IF(BS$1=INDEX('Valo FX'!$R:$R,MATCH($A39,'Valo FX'!$A:$A,0)),INDEX(Base!$V:$V,MATCH($A39,Base!$A:$A,0)),0)))</f>
        <v>11.60886</v>
      </c>
      <c r="BT39" s="21">
        <f>IF(BT$1&lt;INDEX('Valo FX'!$Q:$Q,MATCH($A39,'Valo FX'!$A:$A,0)),0,IF(BT$1&lt;INDEX('Valo FX'!$R:$R,MATCH($A39,'Valo FX'!$A:$A,0)),INDEX(Base!$U:$U,MATCH($A39,Base!$A:$A,0)),IF(BT$1=INDEX('Valo FX'!$R:$R,MATCH($A39,'Valo FX'!$A:$A,0)),INDEX(Base!$V:$V,MATCH($A39,Base!$A:$A,0)),0)))</f>
        <v>11.60886</v>
      </c>
      <c r="BU39" s="21">
        <f>IF(BU$1&lt;INDEX('Valo FX'!$Q:$Q,MATCH($A39,'Valo FX'!$A:$A,0)),0,IF(BU$1&lt;INDEX('Valo FX'!$R:$R,MATCH($A39,'Valo FX'!$A:$A,0)),INDEX(Base!$U:$U,MATCH($A39,Base!$A:$A,0)),IF(BU$1=INDEX('Valo FX'!$R:$R,MATCH($A39,'Valo FX'!$A:$A,0)),INDEX(Base!$V:$V,MATCH($A39,Base!$A:$A,0)),0)))</f>
        <v>11.60886</v>
      </c>
      <c r="BV39" s="21">
        <f>IF(BV$1&lt;INDEX('Valo FX'!$Q:$Q,MATCH($A39,'Valo FX'!$A:$A,0)),0,IF(BV$1&lt;INDEX('Valo FX'!$R:$R,MATCH($A39,'Valo FX'!$A:$A,0)),INDEX(Base!$U:$U,MATCH($A39,Base!$A:$A,0)),IF(BV$1=INDEX('Valo FX'!$R:$R,MATCH($A39,'Valo FX'!$A:$A,0)),INDEX(Base!$V:$V,MATCH($A39,Base!$A:$A,0)),0)))</f>
        <v>11.60886</v>
      </c>
      <c r="BW39" s="21">
        <f>IF(BW$1&lt;INDEX('Valo FX'!$Q:$Q,MATCH($A39,'Valo FX'!$A:$A,0)),0,IF(BW$1&lt;INDEX('Valo FX'!$R:$R,MATCH($A39,'Valo FX'!$A:$A,0)),INDEX(Base!$U:$U,MATCH($A39,Base!$A:$A,0)),IF(BW$1=INDEX('Valo FX'!$R:$R,MATCH($A39,'Valo FX'!$A:$A,0)),INDEX(Base!$V:$V,MATCH($A39,Base!$A:$A,0)),0)))</f>
        <v>11.60886</v>
      </c>
      <c r="BX39" s="21">
        <f>IF(BX$1&lt;INDEX('Valo FX'!$Q:$Q,MATCH($A39,'Valo FX'!$A:$A,0)),0,IF(BX$1&lt;INDEX('Valo FX'!$R:$R,MATCH($A39,'Valo FX'!$A:$A,0)),INDEX(Base!$U:$U,MATCH($A39,Base!$A:$A,0)),IF(BX$1=INDEX('Valo FX'!$R:$R,MATCH($A39,'Valo FX'!$A:$A,0)),INDEX(Base!$V:$V,MATCH($A39,Base!$A:$A,0)),0)))</f>
        <v>11.60886</v>
      </c>
      <c r="BY39" s="21">
        <f>IF(BY$1&lt;INDEX('Valo FX'!$Q:$Q,MATCH($A39,'Valo FX'!$A:$A,0)),0,IF(BY$1&lt;INDEX('Valo FX'!$R:$R,MATCH($A39,'Valo FX'!$A:$A,0)),INDEX(Base!$U:$U,MATCH($A39,Base!$A:$A,0)),IF(BY$1=INDEX('Valo FX'!$R:$R,MATCH($A39,'Valo FX'!$A:$A,0)),INDEX(Base!$V:$V,MATCH($A39,Base!$A:$A,0)),0)))</f>
        <v>11.60886</v>
      </c>
      <c r="BZ39" s="21">
        <f>IF(BZ$1&lt;INDEX('Valo FX'!$Q:$Q,MATCH($A39,'Valo FX'!$A:$A,0)),0,IF(BZ$1&lt;INDEX('Valo FX'!$R:$R,MATCH($A39,'Valo FX'!$A:$A,0)),INDEX(Base!$U:$U,MATCH($A39,Base!$A:$A,0)),IF(BZ$1=INDEX('Valo FX'!$R:$R,MATCH($A39,'Valo FX'!$A:$A,0)),INDEX(Base!$V:$V,MATCH($A39,Base!$A:$A,0)),0)))</f>
        <v>11.60886</v>
      </c>
      <c r="CA39" s="21">
        <f>IF(CA$1&lt;INDEX('Valo FX'!$Q:$Q,MATCH($A39,'Valo FX'!$A:$A,0)),0,IF(CA$1&lt;INDEX('Valo FX'!$R:$R,MATCH($A39,'Valo FX'!$A:$A,0)),INDEX(Base!$U:$U,MATCH($A39,Base!$A:$A,0)),IF(CA$1=INDEX('Valo FX'!$R:$R,MATCH($A39,'Valo FX'!$A:$A,0)),INDEX(Base!$V:$V,MATCH($A39,Base!$A:$A,0)),0)))</f>
        <v>11.60886</v>
      </c>
      <c r="CB39" s="21">
        <f>IF(CB$1&lt;INDEX('Valo FX'!$Q:$Q,MATCH($A39,'Valo FX'!$A:$A,0)),0,IF(CB$1&lt;INDEX('Valo FX'!$R:$R,MATCH($A39,'Valo FX'!$A:$A,0)),INDEX(Base!$U:$U,MATCH($A39,Base!$A:$A,0)),IF(CB$1=INDEX('Valo FX'!$R:$R,MATCH($A39,'Valo FX'!$A:$A,0)),INDEX(Base!$V:$V,MATCH($A39,Base!$A:$A,0)),0)))</f>
        <v>11.60886</v>
      </c>
      <c r="CC39" s="21">
        <f>IF(CC$1&lt;INDEX('Valo FX'!$Q:$Q,MATCH($A39,'Valo FX'!$A:$A,0)),0,IF(CC$1&lt;INDEX('Valo FX'!$R:$R,MATCH($A39,'Valo FX'!$A:$A,0)),INDEX(Base!$U:$U,MATCH($A39,Base!$A:$A,0)),IF(CC$1=INDEX('Valo FX'!$R:$R,MATCH($A39,'Valo FX'!$A:$A,0)),INDEX(Base!$V:$V,MATCH($A39,Base!$A:$A,0)),0)))</f>
        <v>11.60886</v>
      </c>
      <c r="CD39" s="21">
        <f>IF(CD$1&lt;INDEX('Valo FX'!$Q:$Q,MATCH($A39,'Valo FX'!$A:$A,0)),0,IF(CD$1&lt;INDEX('Valo FX'!$R:$R,MATCH($A39,'Valo FX'!$A:$A,0)),INDEX(Base!$U:$U,MATCH($A39,Base!$A:$A,0)),IF(CD$1=INDEX('Valo FX'!$R:$R,MATCH($A39,'Valo FX'!$A:$A,0)),INDEX(Base!$V:$V,MATCH($A39,Base!$A:$A,0)),0)))</f>
        <v>11.60886</v>
      </c>
      <c r="CE39" s="21">
        <f>IF(CE$1&lt;INDEX('Valo FX'!$Q:$Q,MATCH($A39,'Valo FX'!$A:$A,0)),0,IF(CE$1&lt;INDEX('Valo FX'!$R:$R,MATCH($A39,'Valo FX'!$A:$A,0)),INDEX(Base!$U:$U,MATCH($A39,Base!$A:$A,0)),IF(CE$1=INDEX('Valo FX'!$R:$R,MATCH($A39,'Valo FX'!$A:$A,0)),INDEX(Base!$V:$V,MATCH($A39,Base!$A:$A,0)),0)))</f>
        <v>11.60886</v>
      </c>
      <c r="CF39" s="21">
        <f>IF(CF$1&lt;INDEX('Valo FX'!$Q:$Q,MATCH($A39,'Valo FX'!$A:$A,0)),0,IF(CF$1&lt;INDEX('Valo FX'!$R:$R,MATCH($A39,'Valo FX'!$A:$A,0)),INDEX(Base!$U:$U,MATCH($A39,Base!$A:$A,0)),IF(CF$1=INDEX('Valo FX'!$R:$R,MATCH($A39,'Valo FX'!$A:$A,0)),INDEX(Base!$V:$V,MATCH($A39,Base!$A:$A,0)),0)))</f>
        <v>11.60886</v>
      </c>
      <c r="CG39" s="21">
        <f>IF(CG$1&lt;INDEX('Valo FX'!$Q:$Q,MATCH($A39,'Valo FX'!$A:$A,0)),0,IF(CG$1&lt;INDEX('Valo FX'!$R:$R,MATCH($A39,'Valo FX'!$A:$A,0)),INDEX(Base!$U:$U,MATCH($A39,Base!$A:$A,0)),IF(CG$1=INDEX('Valo FX'!$R:$R,MATCH($A39,'Valo FX'!$A:$A,0)),INDEX(Base!$V:$V,MATCH($A39,Base!$A:$A,0)),0)))</f>
        <v>11.60886</v>
      </c>
      <c r="CH39" s="21">
        <f>IF(CH$1&lt;INDEX('Valo FX'!$Q:$Q,MATCH($A39,'Valo FX'!$A:$A,0)),0,IF(CH$1&lt;INDEX('Valo FX'!$R:$R,MATCH($A39,'Valo FX'!$A:$A,0)),INDEX(Base!$U:$U,MATCH($A39,Base!$A:$A,0)),IF(CH$1=INDEX('Valo FX'!$R:$R,MATCH($A39,'Valo FX'!$A:$A,0)),INDEX(Base!$V:$V,MATCH($A39,Base!$A:$A,0)),0)))</f>
        <v>11.60886</v>
      </c>
      <c r="CI39" s="21">
        <f>IF(CI$1&lt;INDEX('Valo FX'!$Q:$Q,MATCH($A39,'Valo FX'!$A:$A,0)),0,IF(CI$1&lt;INDEX('Valo FX'!$R:$R,MATCH($A39,'Valo FX'!$A:$A,0)),INDEX(Base!$U:$U,MATCH($A39,Base!$A:$A,0)),IF(CI$1=INDEX('Valo FX'!$R:$R,MATCH($A39,'Valo FX'!$A:$A,0)),INDEX(Base!$V:$V,MATCH($A39,Base!$A:$A,0)),0)))</f>
        <v>11.60886</v>
      </c>
      <c r="CJ39" s="21">
        <f>IF(CJ$1&lt;INDEX('Valo FX'!$Q:$Q,MATCH($A39,'Valo FX'!$A:$A,0)),0,IF(CJ$1&lt;INDEX('Valo FX'!$R:$R,MATCH($A39,'Valo FX'!$A:$A,0)),INDEX(Base!$U:$U,MATCH($A39,Base!$A:$A,0)),IF(CJ$1=INDEX('Valo FX'!$R:$R,MATCH($A39,'Valo FX'!$A:$A,0)),INDEX(Base!$V:$V,MATCH($A39,Base!$A:$A,0)),0)))</f>
        <v>11.60886</v>
      </c>
      <c r="CK39" s="21">
        <f>IF(CK$1&lt;INDEX('Valo FX'!$Q:$Q,MATCH($A39,'Valo FX'!$A:$A,0)),0,IF(CK$1&lt;INDEX('Valo FX'!$R:$R,MATCH($A39,'Valo FX'!$A:$A,0)),INDEX(Base!$U:$U,MATCH($A39,Base!$A:$A,0)),IF(CK$1=INDEX('Valo FX'!$R:$R,MATCH($A39,'Valo FX'!$A:$A,0)),INDEX(Base!$V:$V,MATCH($A39,Base!$A:$A,0)),0)))</f>
        <v>11.60886</v>
      </c>
      <c r="CL39" s="21">
        <f>IF(CL$1&lt;INDEX('Valo FX'!$Q:$Q,MATCH($A39,'Valo FX'!$A:$A,0)),0,IF(CL$1&lt;INDEX('Valo FX'!$R:$R,MATCH($A39,'Valo FX'!$A:$A,0)),INDEX(Base!$U:$U,MATCH($A39,Base!$A:$A,0)),IF(CL$1=INDEX('Valo FX'!$R:$R,MATCH($A39,'Valo FX'!$A:$A,0)),INDEX(Base!$V:$V,MATCH($A39,Base!$A:$A,0)),0)))</f>
        <v>11.60886</v>
      </c>
      <c r="CM39" s="21">
        <f>IF(CM$1&lt;INDEX('Valo FX'!$Q:$Q,MATCH($A39,'Valo FX'!$A:$A,0)),0,IF(CM$1&lt;INDEX('Valo FX'!$R:$R,MATCH($A39,'Valo FX'!$A:$A,0)),INDEX(Base!$U:$U,MATCH($A39,Base!$A:$A,0)),IF(CM$1=INDEX('Valo FX'!$R:$R,MATCH($A39,'Valo FX'!$A:$A,0)),INDEX(Base!$V:$V,MATCH($A39,Base!$A:$A,0)),0)))</f>
        <v>11.60886</v>
      </c>
      <c r="CN39" s="21">
        <f>IF(CN$1&lt;INDEX('Valo FX'!$Q:$Q,MATCH($A39,'Valo FX'!$A:$A,0)),0,IF(CN$1&lt;INDEX('Valo FX'!$R:$R,MATCH($A39,'Valo FX'!$A:$A,0)),INDEX(Base!$U:$U,MATCH($A39,Base!$A:$A,0)),IF(CN$1=INDEX('Valo FX'!$R:$R,MATCH($A39,'Valo FX'!$A:$A,0)),INDEX(Base!$V:$V,MATCH($A39,Base!$A:$A,0)),0)))</f>
        <v>11.60886</v>
      </c>
      <c r="CO39" s="21">
        <f>IF(CO$1&lt;INDEX('Valo FX'!$Q:$Q,MATCH($A39,'Valo FX'!$A:$A,0)),0,IF(CO$1&lt;INDEX('Valo FX'!$R:$R,MATCH($A39,'Valo FX'!$A:$A,0)),INDEX(Base!$U:$U,MATCH($A39,Base!$A:$A,0)),IF(CO$1=INDEX('Valo FX'!$R:$R,MATCH($A39,'Valo FX'!$A:$A,0)),INDEX(Base!$V:$V,MATCH($A39,Base!$A:$A,0)),0)))</f>
        <v>11.60886</v>
      </c>
      <c r="CP39" s="21">
        <f>IF(CP$1&lt;INDEX('Valo FX'!$Q:$Q,MATCH($A39,'Valo FX'!$A:$A,0)),0,IF(CP$1&lt;INDEX('Valo FX'!$R:$R,MATCH($A39,'Valo FX'!$A:$A,0)),INDEX(Base!$U:$U,MATCH($A39,Base!$A:$A,0)),IF(CP$1=INDEX('Valo FX'!$R:$R,MATCH($A39,'Valo FX'!$A:$A,0)),INDEX(Base!$V:$V,MATCH($A39,Base!$A:$A,0)),0)))</f>
        <v>11.60886</v>
      </c>
      <c r="CQ39" s="21">
        <f>IF(CQ$1&lt;INDEX('Valo FX'!$Q:$Q,MATCH($A39,'Valo FX'!$A:$A,0)),0,IF(CQ$1&lt;INDEX('Valo FX'!$R:$R,MATCH($A39,'Valo FX'!$A:$A,0)),INDEX(Base!$U:$U,MATCH($A39,Base!$A:$A,0)),IF(CQ$1=INDEX('Valo FX'!$R:$R,MATCH($A39,'Valo FX'!$A:$A,0)),INDEX(Base!$V:$V,MATCH($A39,Base!$A:$A,0)),0)))</f>
        <v>11.60886</v>
      </c>
      <c r="CR39" s="21">
        <f>IF(CR$1&lt;INDEX('Valo FX'!$Q:$Q,MATCH($A39,'Valo FX'!$A:$A,0)),0,IF(CR$1&lt;INDEX('Valo FX'!$R:$R,MATCH($A39,'Valo FX'!$A:$A,0)),INDEX(Base!$U:$U,MATCH($A39,Base!$A:$A,0)),IF(CR$1=INDEX('Valo FX'!$R:$R,MATCH($A39,'Valo FX'!$A:$A,0)),INDEX(Base!$V:$V,MATCH($A39,Base!$A:$A,0)),0)))</f>
        <v>11.60886</v>
      </c>
      <c r="CS39" s="21">
        <f>IF(CS$1&lt;INDEX('Valo FX'!$Q:$Q,MATCH($A39,'Valo FX'!$A:$A,0)),0,IF(CS$1&lt;INDEX('Valo FX'!$R:$R,MATCH($A39,'Valo FX'!$A:$A,0)),INDEX(Base!$U:$U,MATCH($A39,Base!$A:$A,0)),IF(CS$1=INDEX('Valo FX'!$R:$R,MATCH($A39,'Valo FX'!$A:$A,0)),INDEX(Base!$V:$V,MATCH($A39,Base!$A:$A,0)),0)))</f>
        <v>11.60886</v>
      </c>
      <c r="CT39" s="21">
        <f>IF(CT$1&lt;INDEX('Valo FX'!$Q:$Q,MATCH($A39,'Valo FX'!$A:$A,0)),0,IF(CT$1&lt;INDEX('Valo FX'!$R:$R,MATCH($A39,'Valo FX'!$A:$A,0)),INDEX(Base!$U:$U,MATCH($A39,Base!$A:$A,0)),IF(CT$1=INDEX('Valo FX'!$R:$R,MATCH($A39,'Valo FX'!$A:$A,0)),INDEX(Base!$V:$V,MATCH($A39,Base!$A:$A,0)),0)))</f>
        <v>11.60886</v>
      </c>
      <c r="CU39" s="21">
        <f>IF(CU$1&lt;INDEX('Valo FX'!$Q:$Q,MATCH($A39,'Valo FX'!$A:$A,0)),0,IF(CU$1&lt;INDEX('Valo FX'!$R:$R,MATCH($A39,'Valo FX'!$A:$A,0)),INDEX(Base!$U:$U,MATCH($A39,Base!$A:$A,0)),IF(CU$1=INDEX('Valo FX'!$R:$R,MATCH($A39,'Valo FX'!$A:$A,0)),INDEX(Base!$V:$V,MATCH($A39,Base!$A:$A,0)),0)))</f>
        <v>11.60886</v>
      </c>
      <c r="CV39" s="21">
        <f>IF(CV$1&lt;INDEX('Valo FX'!$Q:$Q,MATCH($A39,'Valo FX'!$A:$A,0)),0,IF(CV$1&lt;INDEX('Valo FX'!$R:$R,MATCH($A39,'Valo FX'!$A:$A,0)),INDEX(Base!$U:$U,MATCH($A39,Base!$A:$A,0)),IF(CV$1=INDEX('Valo FX'!$R:$R,MATCH($A39,'Valo FX'!$A:$A,0)),INDEX(Base!$V:$V,MATCH($A39,Base!$A:$A,0)),0)))</f>
        <v>11.60886</v>
      </c>
      <c r="CW39" s="21">
        <f>IF(CW$1&lt;INDEX('Valo FX'!$Q:$Q,MATCH($A39,'Valo FX'!$A:$A,0)),0,IF(CW$1&lt;INDEX('Valo FX'!$R:$R,MATCH($A39,'Valo FX'!$A:$A,0)),INDEX(Base!$U:$U,MATCH($A39,Base!$A:$A,0)),IF(CW$1=INDEX('Valo FX'!$R:$R,MATCH($A39,'Valo FX'!$A:$A,0)),INDEX(Base!$V:$V,MATCH($A39,Base!$A:$A,0)),0)))</f>
        <v>11.60886</v>
      </c>
      <c r="CX39" s="21">
        <f>IF(CX$1&lt;INDEX('Valo FX'!$Q:$Q,MATCH($A39,'Valo FX'!$A:$A,0)),0,IF(CX$1&lt;INDEX('Valo FX'!$R:$R,MATCH($A39,'Valo FX'!$A:$A,0)),INDEX(Base!$U:$U,MATCH($A39,Base!$A:$A,0)),IF(CX$1=INDEX('Valo FX'!$R:$R,MATCH($A39,'Valo FX'!$A:$A,0)),INDEX(Base!$V:$V,MATCH($A39,Base!$A:$A,0)),0)))</f>
        <v>11.60886</v>
      </c>
      <c r="CY39" s="21">
        <f>IF(CY$1&lt;INDEX('Valo FX'!$Q:$Q,MATCH($A39,'Valo FX'!$A:$A,0)),0,IF(CY$1&lt;INDEX('Valo FX'!$R:$R,MATCH($A39,'Valo FX'!$A:$A,0)),INDEX(Base!$U:$U,MATCH($A39,Base!$A:$A,0)),IF(CY$1=INDEX('Valo FX'!$R:$R,MATCH($A39,'Valo FX'!$A:$A,0)),INDEX(Base!$V:$V,MATCH($A39,Base!$A:$A,0)),0)))</f>
        <v>11.60886</v>
      </c>
      <c r="CZ39" s="21">
        <f>IF(CZ$1&lt;INDEX('Valo FX'!$Q:$Q,MATCH($A39,'Valo FX'!$A:$A,0)),0,IF(CZ$1&lt;INDEX('Valo FX'!$R:$R,MATCH($A39,'Valo FX'!$A:$A,0)),INDEX(Base!$U:$U,MATCH($A39,Base!$A:$A,0)),IF(CZ$1=INDEX('Valo FX'!$R:$R,MATCH($A39,'Valo FX'!$A:$A,0)),INDEX(Base!$V:$V,MATCH($A39,Base!$A:$A,0)),0)))</f>
        <v>11.60886</v>
      </c>
      <c r="DA39" s="21">
        <f>IF(DA$1&lt;INDEX('Valo FX'!$Q:$Q,MATCH($A39,'Valo FX'!$A:$A,0)),0,IF(DA$1&lt;INDEX('Valo FX'!$R:$R,MATCH($A39,'Valo FX'!$A:$A,0)),INDEX(Base!$U:$U,MATCH($A39,Base!$A:$A,0)),IF(DA$1=INDEX('Valo FX'!$R:$R,MATCH($A39,'Valo FX'!$A:$A,0)),INDEX(Base!$V:$V,MATCH($A39,Base!$A:$A,0)),0)))</f>
        <v>11.60886</v>
      </c>
      <c r="DB39" s="21">
        <f>IF(DB$1&lt;INDEX('Valo FX'!$Q:$Q,MATCH($A39,'Valo FX'!$A:$A,0)),0,IF(DB$1&lt;INDEX('Valo FX'!$R:$R,MATCH($A39,'Valo FX'!$A:$A,0)),INDEX(Base!$U:$U,MATCH($A39,Base!$A:$A,0)),IF(DB$1=INDEX('Valo FX'!$R:$R,MATCH($A39,'Valo FX'!$A:$A,0)),INDEX(Base!$V:$V,MATCH($A39,Base!$A:$A,0)),0)))</f>
        <v>11.60886</v>
      </c>
      <c r="DC39" s="21">
        <f>IF(DC$1&lt;INDEX('Valo FX'!$Q:$Q,MATCH($A39,'Valo FX'!$A:$A,0)),0,IF(DC$1&lt;INDEX('Valo FX'!$R:$R,MATCH($A39,'Valo FX'!$A:$A,0)),INDEX(Base!$U:$U,MATCH($A39,Base!$A:$A,0)),IF(DC$1=INDEX('Valo FX'!$R:$R,MATCH($A39,'Valo FX'!$A:$A,0)),INDEX(Base!$V:$V,MATCH($A39,Base!$A:$A,0)),0)))</f>
        <v>11.60886</v>
      </c>
      <c r="DD39" s="21">
        <f>IF(DD$1&lt;INDEX('Valo FX'!$Q:$Q,MATCH($A39,'Valo FX'!$A:$A,0)),0,IF(DD$1&lt;INDEX('Valo FX'!$R:$R,MATCH($A39,'Valo FX'!$A:$A,0)),INDEX(Base!$U:$U,MATCH($A39,Base!$A:$A,0)),IF(DD$1=INDEX('Valo FX'!$R:$R,MATCH($A39,'Valo FX'!$A:$A,0)),INDEX(Base!$V:$V,MATCH($A39,Base!$A:$A,0)),0)))</f>
        <v>11.60886</v>
      </c>
      <c r="DE39" s="21">
        <f>IF(DE$1&lt;INDEX('Valo FX'!$Q:$Q,MATCH($A39,'Valo FX'!$A:$A,0)),0,IF(DE$1&lt;INDEX('Valo FX'!$R:$R,MATCH($A39,'Valo FX'!$A:$A,0)),INDEX(Base!$U:$U,MATCH($A39,Base!$A:$A,0)),IF(DE$1=INDEX('Valo FX'!$R:$R,MATCH($A39,'Valo FX'!$A:$A,0)),INDEX(Base!$V:$V,MATCH($A39,Base!$A:$A,0)),0)))</f>
        <v>11.60886</v>
      </c>
      <c r="DF39" s="21">
        <f>IF(DF$1&lt;INDEX('Valo FX'!$Q:$Q,MATCH($A39,'Valo FX'!$A:$A,0)),0,IF(DF$1&lt;INDEX('Valo FX'!$R:$R,MATCH($A39,'Valo FX'!$A:$A,0)),INDEX(Base!$U:$U,MATCH($A39,Base!$A:$A,0)),IF(DF$1=INDEX('Valo FX'!$R:$R,MATCH($A39,'Valo FX'!$A:$A,0)),INDEX(Base!$V:$V,MATCH($A39,Base!$A:$A,0)),0)))</f>
        <v>11.60886</v>
      </c>
      <c r="DG39" s="21">
        <f>IF(DG$1&lt;INDEX('Valo FX'!$Q:$Q,MATCH($A39,'Valo FX'!$A:$A,0)),0,IF(DG$1&lt;INDEX('Valo FX'!$R:$R,MATCH($A39,'Valo FX'!$A:$A,0)),INDEX(Base!$U:$U,MATCH($A39,Base!$A:$A,0)),IF(DG$1=INDEX('Valo FX'!$R:$R,MATCH($A39,'Valo FX'!$A:$A,0)),INDEX(Base!$V:$V,MATCH($A39,Base!$A:$A,0)),0)))</f>
        <v>11.60886</v>
      </c>
      <c r="DH39" s="21">
        <f>IF(DH$1&lt;INDEX('Valo FX'!$Q:$Q,MATCH($A39,'Valo FX'!$A:$A,0)),0,IF(DH$1&lt;INDEX('Valo FX'!$R:$R,MATCH($A39,'Valo FX'!$A:$A,0)),INDEX(Base!$U:$U,MATCH($A39,Base!$A:$A,0)),IF(DH$1=INDEX('Valo FX'!$R:$R,MATCH($A39,'Valo FX'!$A:$A,0)),INDEX(Base!$V:$V,MATCH($A39,Base!$A:$A,0)),0)))</f>
        <v>11.60886</v>
      </c>
      <c r="DI39" s="21">
        <f>IF(DI$1&lt;INDEX('Valo FX'!$Q:$Q,MATCH($A39,'Valo FX'!$A:$A,0)),0,IF(DI$1&lt;INDEX('Valo FX'!$R:$R,MATCH($A39,'Valo FX'!$A:$A,0)),INDEX(Base!$U:$U,MATCH($A39,Base!$A:$A,0)),IF(DI$1=INDEX('Valo FX'!$R:$R,MATCH($A39,'Valo FX'!$A:$A,0)),INDEX(Base!$V:$V,MATCH($A39,Base!$A:$A,0)),0)))</f>
        <v>11.60886</v>
      </c>
      <c r="DJ39" s="21">
        <f>IF(DJ$1&lt;INDEX('Valo FX'!$Q:$Q,MATCH($A39,'Valo FX'!$A:$A,0)),0,IF(DJ$1&lt;INDEX('Valo FX'!$R:$R,MATCH($A39,'Valo FX'!$A:$A,0)),INDEX(Base!$U:$U,MATCH($A39,Base!$A:$A,0)),IF(DJ$1=INDEX('Valo FX'!$R:$R,MATCH($A39,'Valo FX'!$A:$A,0)),INDEX(Base!$V:$V,MATCH($A39,Base!$A:$A,0)),0)))</f>
        <v>11.60886</v>
      </c>
      <c r="DK39" s="21">
        <f>IF(DK$1&lt;INDEX('Valo FX'!$Q:$Q,MATCH($A39,'Valo FX'!$A:$A,0)),0,IF(DK$1&lt;INDEX('Valo FX'!$R:$R,MATCH($A39,'Valo FX'!$A:$A,0)),INDEX(Base!$U:$U,MATCH($A39,Base!$A:$A,0)),IF(DK$1=INDEX('Valo FX'!$R:$R,MATCH($A39,'Valo FX'!$A:$A,0)),INDEX(Base!$V:$V,MATCH($A39,Base!$A:$A,0)),0)))</f>
        <v>11.60886</v>
      </c>
      <c r="DL39" s="21">
        <f>IF(DL$1&lt;INDEX('Valo FX'!$Q:$Q,MATCH($A39,'Valo FX'!$A:$A,0)),0,IF(DL$1&lt;INDEX('Valo FX'!$R:$R,MATCH($A39,'Valo FX'!$A:$A,0)),INDEX(Base!$U:$U,MATCH($A39,Base!$A:$A,0)),IF(DL$1=INDEX('Valo FX'!$R:$R,MATCH($A39,'Valo FX'!$A:$A,0)),INDEX(Base!$V:$V,MATCH($A39,Base!$A:$A,0)),0)))</f>
        <v>11.60886</v>
      </c>
      <c r="DM39" s="21">
        <f>IF(DM$1&lt;INDEX('Valo FX'!$Q:$Q,MATCH($A39,'Valo FX'!$A:$A,0)),0,IF(DM$1&lt;INDEX('Valo FX'!$R:$R,MATCH($A39,'Valo FX'!$A:$A,0)),INDEX(Base!$U:$U,MATCH($A39,Base!$A:$A,0)),IF(DM$1=INDEX('Valo FX'!$R:$R,MATCH($A39,'Valo FX'!$A:$A,0)),INDEX(Base!$V:$V,MATCH($A39,Base!$A:$A,0)),0)))</f>
        <v>11.60886</v>
      </c>
      <c r="DN39" s="21">
        <f>IF(DN$1&lt;INDEX('Valo FX'!$Q:$Q,MATCH($A39,'Valo FX'!$A:$A,0)),0,IF(DN$1&lt;INDEX('Valo FX'!$R:$R,MATCH($A39,'Valo FX'!$A:$A,0)),INDEX(Base!$U:$U,MATCH($A39,Base!$A:$A,0)),IF(DN$1=INDEX('Valo FX'!$R:$R,MATCH($A39,'Valo FX'!$A:$A,0)),INDEX(Base!$V:$V,MATCH($A39,Base!$A:$A,0)),0)))</f>
        <v>11.60886</v>
      </c>
      <c r="DO39" s="21">
        <f>IF(DO$1&lt;INDEX('Valo FX'!$Q:$Q,MATCH($A39,'Valo FX'!$A:$A,0)),0,IF(DO$1&lt;INDEX('Valo FX'!$R:$R,MATCH($A39,'Valo FX'!$A:$A,0)),INDEX(Base!$U:$U,MATCH($A39,Base!$A:$A,0)),IF(DO$1=INDEX('Valo FX'!$R:$R,MATCH($A39,'Valo FX'!$A:$A,0)),INDEX(Base!$V:$V,MATCH($A39,Base!$A:$A,0)),0)))</f>
        <v>11.60886</v>
      </c>
      <c r="DP39" s="21">
        <f>IF(DP$1&lt;INDEX('Valo FX'!$Q:$Q,MATCH($A39,'Valo FX'!$A:$A,0)),0,IF(DP$1&lt;INDEX('Valo FX'!$R:$R,MATCH($A39,'Valo FX'!$A:$A,0)),INDEX(Base!$U:$U,MATCH($A39,Base!$A:$A,0)),IF(DP$1=INDEX('Valo FX'!$R:$R,MATCH($A39,'Valo FX'!$A:$A,0)),INDEX(Base!$V:$V,MATCH($A39,Base!$A:$A,0)),0)))</f>
        <v>11.60886</v>
      </c>
      <c r="DQ39" s="21">
        <f>IF(DQ$1&lt;INDEX('Valo FX'!$Q:$Q,MATCH($A39,'Valo FX'!$A:$A,0)),0,IF(DQ$1&lt;INDEX('Valo FX'!$R:$R,MATCH($A39,'Valo FX'!$A:$A,0)),INDEX(Base!$U:$U,MATCH($A39,Base!$A:$A,0)),IF(DQ$1=INDEX('Valo FX'!$R:$R,MATCH($A39,'Valo FX'!$A:$A,0)),INDEX(Base!$V:$V,MATCH($A39,Base!$A:$A,0)),0)))</f>
        <v>11.60886</v>
      </c>
      <c r="DR39" s="21">
        <f>IF(DR$1&lt;INDEX('Valo FX'!$Q:$Q,MATCH($A39,'Valo FX'!$A:$A,0)),0,IF(DR$1&lt;INDEX('Valo FX'!$R:$R,MATCH($A39,'Valo FX'!$A:$A,0)),INDEX(Base!$U:$U,MATCH($A39,Base!$A:$A,0)),IF(DR$1=INDEX('Valo FX'!$R:$R,MATCH($A39,'Valo FX'!$A:$A,0)),INDEX(Base!$V:$V,MATCH($A39,Base!$A:$A,0)),0)))</f>
        <v>11.60886</v>
      </c>
      <c r="DS39" s="21">
        <f>IF(DS$1&lt;INDEX('Valo FX'!$Q:$Q,MATCH($A39,'Valo FX'!$A:$A,0)),0,IF(DS$1&lt;INDEX('Valo FX'!$R:$R,MATCH($A39,'Valo FX'!$A:$A,0)),INDEX(Base!$U:$U,MATCH($A39,Base!$A:$A,0)),IF(DS$1=INDEX('Valo FX'!$R:$R,MATCH($A39,'Valo FX'!$A:$A,0)),INDEX(Base!$V:$V,MATCH($A39,Base!$A:$A,0)),0)))</f>
        <v>11.60886</v>
      </c>
      <c r="DT39" s="21">
        <f>IF(DT$1&lt;INDEX('Valo FX'!$Q:$Q,MATCH($A39,'Valo FX'!$A:$A,0)),0,IF(DT$1&lt;INDEX('Valo FX'!$R:$R,MATCH($A39,'Valo FX'!$A:$A,0)),INDEX(Base!$U:$U,MATCH($A39,Base!$A:$A,0)),IF(DT$1=INDEX('Valo FX'!$R:$R,MATCH($A39,'Valo FX'!$A:$A,0)),INDEX(Base!$V:$V,MATCH($A39,Base!$A:$A,0)),0)))</f>
        <v>11.60886</v>
      </c>
      <c r="DU39" s="21">
        <f>IF(DU$1&lt;INDEX('Valo FX'!$Q:$Q,MATCH($A39,'Valo FX'!$A:$A,0)),0,IF(DU$1&lt;INDEX('Valo FX'!$R:$R,MATCH($A39,'Valo FX'!$A:$A,0)),INDEX(Base!$U:$U,MATCH($A39,Base!$A:$A,0)),IF(DU$1=INDEX('Valo FX'!$R:$R,MATCH($A39,'Valo FX'!$A:$A,0)),INDEX(Base!$V:$V,MATCH($A39,Base!$A:$A,0)),0)))</f>
        <v>11.60886</v>
      </c>
      <c r="DV39" s="21">
        <f>IF(DV$1&lt;INDEX('Valo FX'!$Q:$Q,MATCH($A39,'Valo FX'!$A:$A,0)),0,IF(DV$1&lt;INDEX('Valo FX'!$R:$R,MATCH($A39,'Valo FX'!$A:$A,0)),INDEX(Base!$U:$U,MATCH($A39,Base!$A:$A,0)),IF(DV$1=INDEX('Valo FX'!$R:$R,MATCH($A39,'Valo FX'!$A:$A,0)),INDEX(Base!$V:$V,MATCH($A39,Base!$A:$A,0)),0)))</f>
        <v>11.60886</v>
      </c>
      <c r="DW39" s="21">
        <f>IF(DW$1&lt;INDEX('Valo FX'!$Q:$Q,MATCH($A39,'Valo FX'!$A:$A,0)),0,IF(DW$1&lt;INDEX('Valo FX'!$R:$R,MATCH($A39,'Valo FX'!$A:$A,0)),INDEX(Base!$U:$U,MATCH($A39,Base!$A:$A,0)),IF(DW$1=INDEX('Valo FX'!$R:$R,MATCH($A39,'Valo FX'!$A:$A,0)),INDEX(Base!$V:$V,MATCH($A39,Base!$A:$A,0)),0)))</f>
        <v>11.60886</v>
      </c>
      <c r="DX39" s="21">
        <f>IF(DX$1&lt;INDEX('Valo FX'!$Q:$Q,MATCH($A39,'Valo FX'!$A:$A,0)),0,IF(DX$1&lt;INDEX('Valo FX'!$R:$R,MATCH($A39,'Valo FX'!$A:$A,0)),INDEX(Base!$U:$U,MATCH($A39,Base!$A:$A,0)),IF(DX$1=INDEX('Valo FX'!$R:$R,MATCH($A39,'Valo FX'!$A:$A,0)),INDEX(Base!$V:$V,MATCH($A39,Base!$A:$A,0)),0)))</f>
        <v>11.60886</v>
      </c>
      <c r="DY39" s="21">
        <f>IF(DY$1&lt;INDEX('Valo FX'!$Q:$Q,MATCH($A39,'Valo FX'!$A:$A,0)),0,IF(DY$1&lt;INDEX('Valo FX'!$R:$R,MATCH($A39,'Valo FX'!$A:$A,0)),INDEX(Base!$U:$U,MATCH($A39,Base!$A:$A,0)),IF(DY$1=INDEX('Valo FX'!$R:$R,MATCH($A39,'Valo FX'!$A:$A,0)),INDEX(Base!$V:$V,MATCH($A39,Base!$A:$A,0)),0)))</f>
        <v>11.60886</v>
      </c>
      <c r="DZ39" s="21">
        <f>IF(DZ$1&lt;INDEX('Valo FX'!$Q:$Q,MATCH($A39,'Valo FX'!$A:$A,0)),0,IF(DZ$1&lt;INDEX('Valo FX'!$R:$R,MATCH($A39,'Valo FX'!$A:$A,0)),INDEX(Base!$U:$U,MATCH($A39,Base!$A:$A,0)),IF(DZ$1=INDEX('Valo FX'!$R:$R,MATCH($A39,'Valo FX'!$A:$A,0)),INDEX(Base!$V:$V,MATCH($A39,Base!$A:$A,0)),0)))</f>
        <v>11.60886</v>
      </c>
      <c r="EA39" s="21">
        <f>IF(EA$1&lt;INDEX('Valo FX'!$Q:$Q,MATCH($A39,'Valo FX'!$A:$A,0)),0,IF(EA$1&lt;INDEX('Valo FX'!$R:$R,MATCH($A39,'Valo FX'!$A:$A,0)),INDEX(Base!$U:$U,MATCH($A39,Base!$A:$A,0)),IF(EA$1=INDEX('Valo FX'!$R:$R,MATCH($A39,'Valo FX'!$A:$A,0)),INDEX(Base!$V:$V,MATCH($A39,Base!$A:$A,0)),0)))</f>
        <v>11.60886</v>
      </c>
      <c r="EB39" s="21">
        <f>IF(EB$1&lt;INDEX('Valo FX'!$Q:$Q,MATCH($A39,'Valo FX'!$A:$A,0)),0,IF(EB$1&lt;INDEX('Valo FX'!$R:$R,MATCH($A39,'Valo FX'!$A:$A,0)),INDEX(Base!$U:$U,MATCH($A39,Base!$A:$A,0)),IF(EB$1=INDEX('Valo FX'!$R:$R,MATCH($A39,'Valo FX'!$A:$A,0)),INDEX(Base!$V:$V,MATCH($A39,Base!$A:$A,0)),0)))</f>
        <v>11.60886</v>
      </c>
      <c r="EC39" s="21">
        <f>IF(EC$1&lt;INDEX('Valo FX'!$Q:$Q,MATCH($A39,'Valo FX'!$A:$A,0)),0,IF(EC$1&lt;INDEX('Valo FX'!$R:$R,MATCH($A39,'Valo FX'!$A:$A,0)),INDEX(Base!$U:$U,MATCH($A39,Base!$A:$A,0)),IF(EC$1=INDEX('Valo FX'!$R:$R,MATCH($A39,'Valo FX'!$A:$A,0)),INDEX(Base!$V:$V,MATCH($A39,Base!$A:$A,0)),0)))</f>
        <v>11.60886</v>
      </c>
      <c r="ED39" s="21">
        <f>IF(ED$1&lt;INDEX('Valo FX'!$Q:$Q,MATCH($A39,'Valo FX'!$A:$A,0)),0,IF(ED$1&lt;INDEX('Valo FX'!$R:$R,MATCH($A39,'Valo FX'!$A:$A,0)),INDEX(Base!$U:$U,MATCH($A39,Base!$A:$A,0)),IF(ED$1=INDEX('Valo FX'!$R:$R,MATCH($A39,'Valo FX'!$A:$A,0)),INDEX(Base!$V:$V,MATCH($A39,Base!$A:$A,0)),0)))</f>
        <v>11.60886</v>
      </c>
      <c r="EE39" s="21">
        <f>IF(EE$1&lt;INDEX('Valo FX'!$Q:$Q,MATCH($A39,'Valo FX'!$A:$A,0)),0,IF(EE$1&lt;INDEX('Valo FX'!$R:$R,MATCH($A39,'Valo FX'!$A:$A,0)),INDEX(Base!$U:$U,MATCH($A39,Base!$A:$A,0)),IF(EE$1=INDEX('Valo FX'!$R:$R,MATCH($A39,'Valo FX'!$A:$A,0)),INDEX(Base!$V:$V,MATCH($A39,Base!$A:$A,0)),0)))</f>
        <v>11.60886</v>
      </c>
      <c r="EF39" s="21">
        <f>IF(EF$1&lt;INDEX('Valo FX'!$Q:$Q,MATCH($A39,'Valo FX'!$A:$A,0)),0,IF(EF$1&lt;INDEX('Valo FX'!$R:$R,MATCH($A39,'Valo FX'!$A:$A,0)),INDEX(Base!$U:$U,MATCH($A39,Base!$A:$A,0)),IF(EF$1=INDEX('Valo FX'!$R:$R,MATCH($A39,'Valo FX'!$A:$A,0)),INDEX(Base!$V:$V,MATCH($A39,Base!$A:$A,0)),0)))</f>
        <v>11.60886</v>
      </c>
      <c r="EG39" s="21">
        <f>IF(EG$1&lt;INDEX('Valo FX'!$Q:$Q,MATCH($A39,'Valo FX'!$A:$A,0)),0,IF(EG$1&lt;INDEX('Valo FX'!$R:$R,MATCH($A39,'Valo FX'!$A:$A,0)),INDEX(Base!$U:$U,MATCH($A39,Base!$A:$A,0)),IF(EG$1=INDEX('Valo FX'!$R:$R,MATCH($A39,'Valo FX'!$A:$A,0)),INDEX(Base!$V:$V,MATCH($A39,Base!$A:$A,0)),0)))</f>
        <v>11.60886</v>
      </c>
      <c r="EH39" s="21">
        <f>IF(EH$1&lt;INDEX('Valo FX'!$Q:$Q,MATCH($A39,'Valo FX'!$A:$A,0)),0,IF(EH$1&lt;INDEX('Valo FX'!$R:$R,MATCH($A39,'Valo FX'!$A:$A,0)),INDEX(Base!$U:$U,MATCH($A39,Base!$A:$A,0)),IF(EH$1=INDEX('Valo FX'!$R:$R,MATCH($A39,'Valo FX'!$A:$A,0)),INDEX(Base!$V:$V,MATCH($A39,Base!$A:$A,0)),0)))</f>
        <v>11.60886</v>
      </c>
      <c r="EI39" s="21">
        <f>IF(EI$1&lt;INDEX('Valo FX'!$Q:$Q,MATCH($A39,'Valo FX'!$A:$A,0)),0,IF(EI$1&lt;INDEX('Valo FX'!$R:$R,MATCH($A39,'Valo FX'!$A:$A,0)),INDEX(Base!$U:$U,MATCH($A39,Base!$A:$A,0)),IF(EI$1=INDEX('Valo FX'!$R:$R,MATCH($A39,'Valo FX'!$A:$A,0)),INDEX(Base!$V:$V,MATCH($A39,Base!$A:$A,0)),0)))</f>
        <v>11.60886</v>
      </c>
      <c r="EJ39" s="21">
        <f>IF(EJ$1&lt;INDEX('Valo FX'!$Q:$Q,MATCH($A39,'Valo FX'!$A:$A,0)),0,IF(EJ$1&lt;INDEX('Valo FX'!$R:$R,MATCH($A39,'Valo FX'!$A:$A,0)),INDEX(Base!$U:$U,MATCH($A39,Base!$A:$A,0)),IF(EJ$1=INDEX('Valo FX'!$R:$R,MATCH($A39,'Valo FX'!$A:$A,0)),INDEX(Base!$V:$V,MATCH($A39,Base!$A:$A,0)),0)))</f>
        <v>11.60886</v>
      </c>
      <c r="EK39" s="21">
        <f>IF(EK$1&lt;INDEX('Valo FX'!$Q:$Q,MATCH($A39,'Valo FX'!$A:$A,0)),0,IF(EK$1&lt;INDEX('Valo FX'!$R:$R,MATCH($A39,'Valo FX'!$A:$A,0)),INDEX(Base!$U:$U,MATCH($A39,Base!$A:$A,0)),IF(EK$1=INDEX('Valo FX'!$R:$R,MATCH($A39,'Valo FX'!$A:$A,0)),INDEX(Base!$V:$V,MATCH($A39,Base!$A:$A,0)),0)))</f>
        <v>11.60886</v>
      </c>
      <c r="EL39" s="21">
        <f>IF(EL$1&lt;INDEX('Valo FX'!$Q:$Q,MATCH($A39,'Valo FX'!$A:$A,0)),0,IF(EL$1&lt;INDEX('Valo FX'!$R:$R,MATCH($A39,'Valo FX'!$A:$A,0)),INDEX(Base!$U:$U,MATCH($A39,Base!$A:$A,0)),IF(EL$1=INDEX('Valo FX'!$R:$R,MATCH($A39,'Valo FX'!$A:$A,0)),INDEX(Base!$V:$V,MATCH($A39,Base!$A:$A,0)),0)))</f>
        <v>11.60886</v>
      </c>
      <c r="EM39" s="21">
        <f>IF(EM$1&lt;INDEX('Valo FX'!$Q:$Q,MATCH($A39,'Valo FX'!$A:$A,0)),0,IF(EM$1&lt;INDEX('Valo FX'!$R:$R,MATCH($A39,'Valo FX'!$A:$A,0)),INDEX(Base!$U:$U,MATCH($A39,Base!$A:$A,0)),IF(EM$1=INDEX('Valo FX'!$R:$R,MATCH($A39,'Valo FX'!$A:$A,0)),INDEX(Base!$V:$V,MATCH($A39,Base!$A:$A,0)),0)))</f>
        <v>11.60886</v>
      </c>
      <c r="EN39" s="21">
        <f>IF(EN$1&lt;INDEX('Valo FX'!$Q:$Q,MATCH($A39,'Valo FX'!$A:$A,0)),0,IF(EN$1&lt;INDEX('Valo FX'!$R:$R,MATCH($A39,'Valo FX'!$A:$A,0)),INDEX(Base!$U:$U,MATCH($A39,Base!$A:$A,0)),IF(EN$1=INDEX('Valo FX'!$R:$R,MATCH($A39,'Valo FX'!$A:$A,0)),INDEX(Base!$V:$V,MATCH($A39,Base!$A:$A,0)),0)))</f>
        <v>11.60886</v>
      </c>
      <c r="EO39" s="21">
        <f>IF(EO$1&lt;INDEX('Valo FX'!$Q:$Q,MATCH($A39,'Valo FX'!$A:$A,0)),0,IF(EO$1&lt;INDEX('Valo FX'!$R:$R,MATCH($A39,'Valo FX'!$A:$A,0)),INDEX(Base!$U:$U,MATCH($A39,Base!$A:$A,0)),IF(EO$1=INDEX('Valo FX'!$R:$R,MATCH($A39,'Valo FX'!$A:$A,0)),INDEX(Base!$V:$V,MATCH($A39,Base!$A:$A,0)),0)))</f>
        <v>11.60886</v>
      </c>
      <c r="EP39" s="21">
        <f>IF(EP$1&lt;INDEX('Valo FX'!$Q:$Q,MATCH($A39,'Valo FX'!$A:$A,0)),0,IF(EP$1&lt;INDEX('Valo FX'!$R:$R,MATCH($A39,'Valo FX'!$A:$A,0)),INDEX(Base!$U:$U,MATCH($A39,Base!$A:$A,0)),IF(EP$1=INDEX('Valo FX'!$R:$R,MATCH($A39,'Valo FX'!$A:$A,0)),INDEX(Base!$V:$V,MATCH($A39,Base!$A:$A,0)),0)))</f>
        <v>11.60886</v>
      </c>
      <c r="EQ39" s="21">
        <f>IF(EQ$1&lt;INDEX('Valo FX'!$Q:$Q,MATCH($A39,'Valo FX'!$A:$A,0)),0,IF(EQ$1&lt;INDEX('Valo FX'!$R:$R,MATCH($A39,'Valo FX'!$A:$A,0)),INDEX(Base!$U:$U,MATCH($A39,Base!$A:$A,0)),IF(EQ$1=INDEX('Valo FX'!$R:$R,MATCH($A39,'Valo FX'!$A:$A,0)),INDEX(Base!$V:$V,MATCH($A39,Base!$A:$A,0)),0)))</f>
        <v>11.60886</v>
      </c>
      <c r="ER39" s="21">
        <f>IF(ER$1&lt;INDEX('Valo FX'!$Q:$Q,MATCH($A39,'Valo FX'!$A:$A,0)),0,IF(ER$1&lt;INDEX('Valo FX'!$R:$R,MATCH($A39,'Valo FX'!$A:$A,0)),INDEX(Base!$U:$U,MATCH($A39,Base!$A:$A,0)),IF(ER$1=INDEX('Valo FX'!$R:$R,MATCH($A39,'Valo FX'!$A:$A,0)),INDEX(Base!$V:$V,MATCH($A39,Base!$A:$A,0)),0)))</f>
        <v>11.60886</v>
      </c>
      <c r="ES39" s="21">
        <f>IF(ES$1&lt;INDEX('Valo FX'!$Q:$Q,MATCH($A39,'Valo FX'!$A:$A,0)),0,IF(ES$1&lt;INDEX('Valo FX'!$R:$R,MATCH($A39,'Valo FX'!$A:$A,0)),INDEX(Base!$U:$U,MATCH($A39,Base!$A:$A,0)),IF(ES$1=INDEX('Valo FX'!$R:$R,MATCH($A39,'Valo FX'!$A:$A,0)),INDEX(Base!$V:$V,MATCH($A39,Base!$A:$A,0)),0)))</f>
        <v>11.60886</v>
      </c>
      <c r="ET39" s="21">
        <f>IF(ET$1&lt;INDEX('Valo FX'!$Q:$Q,MATCH($A39,'Valo FX'!$A:$A,0)),0,IF(ET$1&lt;INDEX('Valo FX'!$R:$R,MATCH($A39,'Valo FX'!$A:$A,0)),INDEX(Base!$U:$U,MATCH($A39,Base!$A:$A,0)),IF(ET$1=INDEX('Valo FX'!$R:$R,MATCH($A39,'Valo FX'!$A:$A,0)),INDEX(Base!$V:$V,MATCH($A39,Base!$A:$A,0)),0)))</f>
        <v>11.60886</v>
      </c>
      <c r="EU39" s="21">
        <f>IF(EU$1&lt;INDEX('Valo FX'!$Q:$Q,MATCH($A39,'Valo FX'!$A:$A,0)),0,IF(EU$1&lt;INDEX('Valo FX'!$R:$R,MATCH($A39,'Valo FX'!$A:$A,0)),INDEX(Base!$U:$U,MATCH($A39,Base!$A:$A,0)),IF(EU$1=INDEX('Valo FX'!$R:$R,MATCH($A39,'Valo FX'!$A:$A,0)),INDEX(Base!$V:$V,MATCH($A39,Base!$A:$A,0)),0)))</f>
        <v>11.60886</v>
      </c>
      <c r="EV39" s="21">
        <f>IF(EV$1&lt;INDEX('Valo FX'!$Q:$Q,MATCH($A39,'Valo FX'!$A:$A,0)),0,IF(EV$1&lt;INDEX('Valo FX'!$R:$R,MATCH($A39,'Valo FX'!$A:$A,0)),INDEX(Base!$U:$U,MATCH($A39,Base!$A:$A,0)),IF(EV$1=INDEX('Valo FX'!$R:$R,MATCH($A39,'Valo FX'!$A:$A,0)),INDEX(Base!$V:$V,MATCH($A39,Base!$A:$A,0)),0)))</f>
        <v>11.60886</v>
      </c>
      <c r="EW39" s="21">
        <f>IF(EW$1&lt;INDEX('Valo FX'!$Q:$Q,MATCH($A39,'Valo FX'!$A:$A,0)),0,IF(EW$1&lt;INDEX('Valo FX'!$R:$R,MATCH($A39,'Valo FX'!$A:$A,0)),INDEX(Base!$U:$U,MATCH($A39,Base!$A:$A,0)),IF(EW$1=INDEX('Valo FX'!$R:$R,MATCH($A39,'Valo FX'!$A:$A,0)),INDEX(Base!$V:$V,MATCH($A39,Base!$A:$A,0)),0)))</f>
        <v>11.60886</v>
      </c>
      <c r="EX39" s="21">
        <f>IF(EX$1&lt;INDEX('Valo FX'!$Q:$Q,MATCH($A39,'Valo FX'!$A:$A,0)),0,IF(EX$1&lt;INDEX('Valo FX'!$R:$R,MATCH($A39,'Valo FX'!$A:$A,0)),INDEX(Base!$U:$U,MATCH($A39,Base!$A:$A,0)),IF(EX$1=INDEX('Valo FX'!$R:$R,MATCH($A39,'Valo FX'!$A:$A,0)),INDEX(Base!$V:$V,MATCH($A39,Base!$A:$A,0)),0)))</f>
        <v>11.60886</v>
      </c>
      <c r="EY39" s="21">
        <f>IF(EY$1&lt;INDEX('Valo FX'!$Q:$Q,MATCH($A39,'Valo FX'!$A:$A,0)),0,IF(EY$1&lt;INDEX('Valo FX'!$R:$R,MATCH($A39,'Valo FX'!$A:$A,0)),INDEX(Base!$U:$U,MATCH($A39,Base!$A:$A,0)),IF(EY$1=INDEX('Valo FX'!$R:$R,MATCH($A39,'Valo FX'!$A:$A,0)),INDEX(Base!$V:$V,MATCH($A39,Base!$A:$A,0)),0)))</f>
        <v>11.60886</v>
      </c>
      <c r="EZ39" s="21">
        <f>IF(EZ$1&lt;INDEX('Valo FX'!$Q:$Q,MATCH($A39,'Valo FX'!$A:$A,0)),0,IF(EZ$1&lt;INDEX('Valo FX'!$R:$R,MATCH($A39,'Valo FX'!$A:$A,0)),INDEX(Base!$U:$U,MATCH($A39,Base!$A:$A,0)),IF(EZ$1=INDEX('Valo FX'!$R:$R,MATCH($A39,'Valo FX'!$A:$A,0)),INDEX(Base!$V:$V,MATCH($A39,Base!$A:$A,0)),0)))</f>
        <v>11.60886</v>
      </c>
      <c r="FA39" s="21">
        <f>IF(FA$1&lt;INDEX('Valo FX'!$Q:$Q,MATCH($A39,'Valo FX'!$A:$A,0)),0,IF(FA$1&lt;INDEX('Valo FX'!$R:$R,MATCH($A39,'Valo FX'!$A:$A,0)),INDEX(Base!$U:$U,MATCH($A39,Base!$A:$A,0)),IF(FA$1=INDEX('Valo FX'!$R:$R,MATCH($A39,'Valo FX'!$A:$A,0)),INDEX(Base!$V:$V,MATCH($A39,Base!$A:$A,0)),0)))</f>
        <v>11.60886</v>
      </c>
      <c r="FB39" s="21">
        <f>IF(FB$1&lt;INDEX('Valo FX'!$Q:$Q,MATCH($A39,'Valo FX'!$A:$A,0)),0,IF(FB$1&lt;INDEX('Valo FX'!$R:$R,MATCH($A39,'Valo FX'!$A:$A,0)),INDEX(Base!$U:$U,MATCH($A39,Base!$A:$A,0)),IF(FB$1=INDEX('Valo FX'!$R:$R,MATCH($A39,'Valo FX'!$A:$A,0)),INDEX(Base!$V:$V,MATCH($A39,Base!$A:$A,0)),0)))</f>
        <v>11.60886</v>
      </c>
      <c r="FC39" s="21">
        <f>IF(FC$1&lt;INDEX('Valo FX'!$Q:$Q,MATCH($A39,'Valo FX'!$A:$A,0)),0,IF(FC$1&lt;INDEX('Valo FX'!$R:$R,MATCH($A39,'Valo FX'!$A:$A,0)),INDEX(Base!$U:$U,MATCH($A39,Base!$A:$A,0)),IF(FC$1=INDEX('Valo FX'!$R:$R,MATCH($A39,'Valo FX'!$A:$A,0)),INDEX(Base!$V:$V,MATCH($A39,Base!$A:$A,0)),0)))</f>
        <v>11.60886</v>
      </c>
      <c r="FD39" s="21">
        <f>IF(FD$1&lt;INDEX('Valo FX'!$Q:$Q,MATCH($A39,'Valo FX'!$A:$A,0)),0,IF(FD$1&lt;INDEX('Valo FX'!$R:$R,MATCH($A39,'Valo FX'!$A:$A,0)),INDEX(Base!$U:$U,MATCH($A39,Base!$A:$A,0)),IF(FD$1=INDEX('Valo FX'!$R:$R,MATCH($A39,'Valo FX'!$A:$A,0)),INDEX(Base!$V:$V,MATCH($A39,Base!$A:$A,0)),0)))</f>
        <v>11.60886</v>
      </c>
      <c r="FE39" s="21">
        <f>IF(FE$1&lt;INDEX('Valo FX'!$Q:$Q,MATCH($A39,'Valo FX'!$A:$A,0)),0,IF(FE$1&lt;INDEX('Valo FX'!$R:$R,MATCH($A39,'Valo FX'!$A:$A,0)),INDEX(Base!$U:$U,MATCH($A39,Base!$A:$A,0)),IF(FE$1=INDEX('Valo FX'!$R:$R,MATCH($A39,'Valo FX'!$A:$A,0)),INDEX(Base!$V:$V,MATCH($A39,Base!$A:$A,0)),0)))</f>
        <v>11.60886</v>
      </c>
      <c r="FF39" s="21">
        <f>IF(FF$1&lt;INDEX('Valo FX'!$Q:$Q,MATCH($A39,'Valo FX'!$A:$A,0)),0,IF(FF$1&lt;INDEX('Valo FX'!$R:$R,MATCH($A39,'Valo FX'!$A:$A,0)),INDEX(Base!$U:$U,MATCH($A39,Base!$A:$A,0)),IF(FF$1=INDEX('Valo FX'!$R:$R,MATCH($A39,'Valo FX'!$A:$A,0)),INDEX(Base!$V:$V,MATCH($A39,Base!$A:$A,0)),0)))</f>
        <v>11.60886</v>
      </c>
      <c r="FG39" s="21">
        <f>IF(FG$1&lt;INDEX('Valo FX'!$Q:$Q,MATCH($A39,'Valo FX'!$A:$A,0)),0,IF(FG$1&lt;INDEX('Valo FX'!$R:$R,MATCH($A39,'Valo FX'!$A:$A,0)),INDEX(Base!$U:$U,MATCH($A39,Base!$A:$A,0)),IF(FG$1=INDEX('Valo FX'!$R:$R,MATCH($A39,'Valo FX'!$A:$A,0)),INDEX(Base!$V:$V,MATCH($A39,Base!$A:$A,0)),0)))</f>
        <v>11.60886</v>
      </c>
      <c r="FH39" s="21">
        <f>IF(FH$1&lt;INDEX('Valo FX'!$Q:$Q,MATCH($A39,'Valo FX'!$A:$A,0)),0,IF(FH$1&lt;INDEX('Valo FX'!$R:$R,MATCH($A39,'Valo FX'!$A:$A,0)),INDEX(Base!$U:$U,MATCH($A39,Base!$A:$A,0)),IF(FH$1=INDEX('Valo FX'!$R:$R,MATCH($A39,'Valo FX'!$A:$A,0)),INDEX(Base!$V:$V,MATCH($A39,Base!$A:$A,0)),0)))</f>
        <v>11.60886</v>
      </c>
      <c r="FI39" s="21">
        <f>IF(FI$1&lt;INDEX('Valo FX'!$Q:$Q,MATCH($A39,'Valo FX'!$A:$A,0)),0,IF(FI$1&lt;INDEX('Valo FX'!$R:$R,MATCH($A39,'Valo FX'!$A:$A,0)),INDEX(Base!$U:$U,MATCH($A39,Base!$A:$A,0)),IF(FI$1=INDEX('Valo FX'!$R:$R,MATCH($A39,'Valo FX'!$A:$A,0)),INDEX(Base!$V:$V,MATCH($A39,Base!$A:$A,0)),0)))</f>
        <v>11.60886</v>
      </c>
      <c r="FJ39" s="21">
        <f>IF(FJ$1&lt;INDEX('Valo FX'!$Q:$Q,MATCH($A39,'Valo FX'!$A:$A,0)),0,IF(FJ$1&lt;INDEX('Valo FX'!$R:$R,MATCH($A39,'Valo FX'!$A:$A,0)),INDEX(Base!$U:$U,MATCH($A39,Base!$A:$A,0)),IF(FJ$1=INDEX('Valo FX'!$R:$R,MATCH($A39,'Valo FX'!$A:$A,0)),INDEX(Base!$V:$V,MATCH($A39,Base!$A:$A,0)),0)))</f>
        <v>11.60886</v>
      </c>
      <c r="FK39" s="21">
        <f>IF(FK$1&lt;INDEX('Valo FX'!$Q:$Q,MATCH($A39,'Valo FX'!$A:$A,0)),0,IF(FK$1&lt;INDEX('Valo FX'!$R:$R,MATCH($A39,'Valo FX'!$A:$A,0)),INDEX(Base!$U:$U,MATCH($A39,Base!$A:$A,0)),IF(FK$1=INDEX('Valo FX'!$R:$R,MATCH($A39,'Valo FX'!$A:$A,0)),INDEX(Base!$V:$V,MATCH($A39,Base!$A:$A,0)),0)))</f>
        <v>11.60886</v>
      </c>
      <c r="FL39" s="21">
        <f>IF(FL$1&lt;INDEX('Valo FX'!$Q:$Q,MATCH($A39,'Valo FX'!$A:$A,0)),0,IF(FL$1&lt;INDEX('Valo FX'!$R:$R,MATCH($A39,'Valo FX'!$A:$A,0)),INDEX(Base!$U:$U,MATCH($A39,Base!$A:$A,0)),IF(FL$1=INDEX('Valo FX'!$R:$R,MATCH($A39,'Valo FX'!$A:$A,0)),INDEX(Base!$V:$V,MATCH($A39,Base!$A:$A,0)),0)))</f>
        <v>11.60886</v>
      </c>
      <c r="FM39" s="21">
        <f>IF(FM$1&lt;INDEX('Valo FX'!$Q:$Q,MATCH($A39,'Valo FX'!$A:$A,0)),0,IF(FM$1&lt;INDEX('Valo FX'!$R:$R,MATCH($A39,'Valo FX'!$A:$A,0)),INDEX(Base!$U:$U,MATCH($A39,Base!$A:$A,0)),IF(FM$1=INDEX('Valo FX'!$R:$R,MATCH($A39,'Valo FX'!$A:$A,0)),INDEX(Base!$V:$V,MATCH($A39,Base!$A:$A,0)),0)))</f>
        <v>11.60886</v>
      </c>
      <c r="FN39" s="21">
        <f>IF(FN$1&lt;INDEX('Valo FX'!$Q:$Q,MATCH($A39,'Valo FX'!$A:$A,0)),0,IF(FN$1&lt;INDEX('Valo FX'!$R:$R,MATCH($A39,'Valo FX'!$A:$A,0)),INDEX(Base!$U:$U,MATCH($A39,Base!$A:$A,0)),IF(FN$1=INDEX('Valo FX'!$R:$R,MATCH($A39,'Valo FX'!$A:$A,0)),INDEX(Base!$V:$V,MATCH($A39,Base!$A:$A,0)),0)))</f>
        <v>11.60886</v>
      </c>
      <c r="FO39" s="21">
        <f>IF(FO$1&lt;INDEX('Valo FX'!$Q:$Q,MATCH($A39,'Valo FX'!$A:$A,0)),0,IF(FO$1&lt;INDEX('Valo FX'!$R:$R,MATCH($A39,'Valo FX'!$A:$A,0)),INDEX(Base!$U:$U,MATCH($A39,Base!$A:$A,0)),IF(FO$1=INDEX('Valo FX'!$R:$R,MATCH($A39,'Valo FX'!$A:$A,0)),INDEX(Base!$V:$V,MATCH($A39,Base!$A:$A,0)),0)))</f>
        <v>11.60886</v>
      </c>
      <c r="FP39" s="21">
        <f>IF(FP$1&lt;INDEX('Valo FX'!$Q:$Q,MATCH($A39,'Valo FX'!$A:$A,0)),0,IF(FP$1&lt;INDEX('Valo FX'!$R:$R,MATCH($A39,'Valo FX'!$A:$A,0)),INDEX(Base!$U:$U,MATCH($A39,Base!$A:$A,0)),IF(FP$1=INDEX('Valo FX'!$R:$R,MATCH($A39,'Valo FX'!$A:$A,0)),INDEX(Base!$V:$V,MATCH($A39,Base!$A:$A,0)),0)))</f>
        <v>11.60886</v>
      </c>
      <c r="FQ39" s="21">
        <f>IF(FQ$1&lt;INDEX('Valo FX'!$Q:$Q,MATCH($A39,'Valo FX'!$A:$A,0)),0,IF(FQ$1&lt;INDEX('Valo FX'!$R:$R,MATCH($A39,'Valo FX'!$A:$A,0)),INDEX(Base!$U:$U,MATCH($A39,Base!$A:$A,0)),IF(FQ$1=INDEX('Valo FX'!$R:$R,MATCH($A39,'Valo FX'!$A:$A,0)),INDEX(Base!$V:$V,MATCH($A39,Base!$A:$A,0)),0)))</f>
        <v>11.60886</v>
      </c>
      <c r="FR39" s="21">
        <f>IF(FR$1&lt;INDEX('Valo FX'!$Q:$Q,MATCH($A39,'Valo FX'!$A:$A,0)),0,IF(FR$1&lt;INDEX('Valo FX'!$R:$R,MATCH($A39,'Valo FX'!$A:$A,0)),INDEX(Base!$U:$U,MATCH($A39,Base!$A:$A,0)),IF(FR$1=INDEX('Valo FX'!$R:$R,MATCH($A39,'Valo FX'!$A:$A,0)),INDEX(Base!$V:$V,MATCH($A39,Base!$A:$A,0)),0)))</f>
        <v>11.60886</v>
      </c>
      <c r="FS39" s="21">
        <f>IF(FS$1&lt;INDEX('Valo FX'!$Q:$Q,MATCH($A39,'Valo FX'!$A:$A,0)),0,IF(FS$1&lt;INDEX('Valo FX'!$R:$R,MATCH($A39,'Valo FX'!$A:$A,0)),INDEX(Base!$U:$U,MATCH($A39,Base!$A:$A,0)),IF(FS$1=INDEX('Valo FX'!$R:$R,MATCH($A39,'Valo FX'!$A:$A,0)),INDEX(Base!$V:$V,MATCH($A39,Base!$A:$A,0)),0)))</f>
        <v>11.60886</v>
      </c>
      <c r="FT39" s="21">
        <f>IF(FT$1&lt;INDEX('Valo FX'!$Q:$Q,MATCH($A39,'Valo FX'!$A:$A,0)),0,IF(FT$1&lt;INDEX('Valo FX'!$R:$R,MATCH($A39,'Valo FX'!$A:$A,0)),INDEX(Base!$U:$U,MATCH($A39,Base!$A:$A,0)),IF(FT$1=INDEX('Valo FX'!$R:$R,MATCH($A39,'Valo FX'!$A:$A,0)),INDEX(Base!$V:$V,MATCH($A39,Base!$A:$A,0)),0)))</f>
        <v>11.60886</v>
      </c>
      <c r="FU39" s="21">
        <f>IF(FU$1&lt;INDEX('Valo FX'!$Q:$Q,MATCH($A39,'Valo FX'!$A:$A,0)),0,IF(FU$1&lt;INDEX('Valo FX'!$R:$R,MATCH($A39,'Valo FX'!$A:$A,0)),INDEX(Base!$U:$U,MATCH($A39,Base!$A:$A,0)),IF(FU$1=INDEX('Valo FX'!$R:$R,MATCH($A39,'Valo FX'!$A:$A,0)),INDEX(Base!$V:$V,MATCH($A39,Base!$A:$A,0)),0)))</f>
        <v>11.60886</v>
      </c>
      <c r="FV39" s="21">
        <f>IF(FV$1&lt;INDEX('Valo FX'!$Q:$Q,MATCH($A39,'Valo FX'!$A:$A,0)),0,IF(FV$1&lt;INDEX('Valo FX'!$R:$R,MATCH($A39,'Valo FX'!$A:$A,0)),INDEX(Base!$U:$U,MATCH($A39,Base!$A:$A,0)),IF(FV$1=INDEX('Valo FX'!$R:$R,MATCH($A39,'Valo FX'!$A:$A,0)),INDEX(Base!$V:$V,MATCH($A39,Base!$A:$A,0)),0)))</f>
        <v>11.60886</v>
      </c>
      <c r="FW39" s="21">
        <f>IF(FW$1&lt;INDEX('Valo FX'!$Q:$Q,MATCH($A39,'Valo FX'!$A:$A,0)),0,IF(FW$1&lt;INDEX('Valo FX'!$R:$R,MATCH($A39,'Valo FX'!$A:$A,0)),INDEX(Base!$U:$U,MATCH($A39,Base!$A:$A,0)),IF(FW$1=INDEX('Valo FX'!$R:$R,MATCH($A39,'Valo FX'!$A:$A,0)),INDEX(Base!$V:$V,MATCH($A39,Base!$A:$A,0)),0)))</f>
        <v>11.60886</v>
      </c>
      <c r="FX39" s="21">
        <f>IF(FX$1&lt;INDEX('Valo FX'!$Q:$Q,MATCH($A39,'Valo FX'!$A:$A,0)),0,IF(FX$1&lt;INDEX('Valo FX'!$R:$R,MATCH($A39,'Valo FX'!$A:$A,0)),INDEX(Base!$U:$U,MATCH($A39,Base!$A:$A,0)),IF(FX$1=INDEX('Valo FX'!$R:$R,MATCH($A39,'Valo FX'!$A:$A,0)),INDEX(Base!$V:$V,MATCH($A39,Base!$A:$A,0)),0)))</f>
        <v>11.60886</v>
      </c>
      <c r="FY39" s="21">
        <f>IF(FY$1&lt;INDEX('Valo FX'!$Q:$Q,MATCH($A39,'Valo FX'!$A:$A,0)),0,IF(FY$1&lt;INDEX('Valo FX'!$R:$R,MATCH($A39,'Valo FX'!$A:$A,0)),INDEX(Base!$U:$U,MATCH($A39,Base!$A:$A,0)),IF(FY$1=INDEX('Valo FX'!$R:$R,MATCH($A39,'Valo FX'!$A:$A,0)),INDEX(Base!$V:$V,MATCH($A39,Base!$A:$A,0)),0)))</f>
        <v>11.60886</v>
      </c>
      <c r="FZ39" s="21">
        <f>IF(FZ$1&lt;INDEX('Valo FX'!$Q:$Q,MATCH($A39,'Valo FX'!$A:$A,0)),0,IF(FZ$1&lt;INDEX('Valo FX'!$R:$R,MATCH($A39,'Valo FX'!$A:$A,0)),INDEX(Base!$U:$U,MATCH($A39,Base!$A:$A,0)),IF(FZ$1=INDEX('Valo FX'!$R:$R,MATCH($A39,'Valo FX'!$A:$A,0)),INDEX(Base!$V:$V,MATCH($A39,Base!$A:$A,0)),0)))</f>
        <v>11.60886</v>
      </c>
      <c r="GA39" s="21">
        <f>IF(GA$1&lt;INDEX('Valo FX'!$Q:$Q,MATCH($A39,'Valo FX'!$A:$A,0)),0,IF(GA$1&lt;INDEX('Valo FX'!$R:$R,MATCH($A39,'Valo FX'!$A:$A,0)),INDEX(Base!$U:$U,MATCH($A39,Base!$A:$A,0)),IF(GA$1=INDEX('Valo FX'!$R:$R,MATCH($A39,'Valo FX'!$A:$A,0)),INDEX(Base!$V:$V,MATCH($A39,Base!$A:$A,0)),0)))</f>
        <v>11.60886</v>
      </c>
      <c r="GB39" s="21">
        <f>IF(GB$1&lt;INDEX('Valo FX'!$Q:$Q,MATCH($A39,'Valo FX'!$A:$A,0)),0,IF(GB$1&lt;INDEX('Valo FX'!$R:$R,MATCH($A39,'Valo FX'!$A:$A,0)),INDEX(Base!$U:$U,MATCH($A39,Base!$A:$A,0)),IF(GB$1=INDEX('Valo FX'!$R:$R,MATCH($A39,'Valo FX'!$A:$A,0)),INDEX(Base!$V:$V,MATCH($A39,Base!$A:$A,0)),0)))</f>
        <v>11.60886</v>
      </c>
      <c r="GC39" s="21">
        <f>IF(GC$1&lt;INDEX('Valo FX'!$Q:$Q,MATCH($A39,'Valo FX'!$A:$A,0)),0,IF(GC$1&lt;INDEX('Valo FX'!$R:$R,MATCH($A39,'Valo FX'!$A:$A,0)),INDEX(Base!$U:$U,MATCH($A39,Base!$A:$A,0)),IF(GC$1=INDEX('Valo FX'!$R:$R,MATCH($A39,'Valo FX'!$A:$A,0)),INDEX(Base!$V:$V,MATCH($A39,Base!$A:$A,0)),0)))</f>
        <v>11.60886</v>
      </c>
      <c r="GD39" s="21">
        <f>IF(GD$1&lt;INDEX('Valo FX'!$Q:$Q,MATCH($A39,'Valo FX'!$A:$A,0)),0,IF(GD$1&lt;INDEX('Valo FX'!$R:$R,MATCH($A39,'Valo FX'!$A:$A,0)),INDEX(Base!$U:$U,MATCH($A39,Base!$A:$A,0)),IF(GD$1=INDEX('Valo FX'!$R:$R,MATCH($A39,'Valo FX'!$A:$A,0)),INDEX(Base!$V:$V,MATCH($A39,Base!$A:$A,0)),0)))</f>
        <v>11.60886</v>
      </c>
      <c r="GE39" s="21">
        <f>IF(GE$1&lt;INDEX('Valo FX'!$Q:$Q,MATCH($A39,'Valo FX'!$A:$A,0)),0,IF(GE$1&lt;INDEX('Valo FX'!$R:$R,MATCH($A39,'Valo FX'!$A:$A,0)),INDEX(Base!$U:$U,MATCH($A39,Base!$A:$A,0)),IF(GE$1=INDEX('Valo FX'!$R:$R,MATCH($A39,'Valo FX'!$A:$A,0)),INDEX(Base!$V:$V,MATCH($A39,Base!$A:$A,0)),0)))</f>
        <v>11.60886</v>
      </c>
      <c r="GF39" s="21">
        <f>IF(GF$1&lt;INDEX('Valo FX'!$Q:$Q,MATCH($A39,'Valo FX'!$A:$A,0)),0,IF(GF$1&lt;INDEX('Valo FX'!$R:$R,MATCH($A39,'Valo FX'!$A:$A,0)),INDEX(Base!$U:$U,MATCH($A39,Base!$A:$A,0)),IF(GF$1=INDEX('Valo FX'!$R:$R,MATCH($A39,'Valo FX'!$A:$A,0)),INDEX(Base!$V:$V,MATCH($A39,Base!$A:$A,0)),0)))</f>
        <v>11.60886</v>
      </c>
      <c r="GG39" s="21">
        <f>IF(GG$1&lt;INDEX('Valo FX'!$Q:$Q,MATCH($A39,'Valo FX'!$A:$A,0)),0,IF(GG$1&lt;INDEX('Valo FX'!$R:$R,MATCH($A39,'Valo FX'!$A:$A,0)),INDEX(Base!$U:$U,MATCH($A39,Base!$A:$A,0)),IF(GG$1=INDEX('Valo FX'!$R:$R,MATCH($A39,'Valo FX'!$A:$A,0)),INDEX(Base!$V:$V,MATCH($A39,Base!$A:$A,0)),0)))</f>
        <v>11.60886</v>
      </c>
      <c r="GH39" s="21">
        <f>IF(GH$1&lt;INDEX('Valo FX'!$Q:$Q,MATCH($A39,'Valo FX'!$A:$A,0)),0,IF(GH$1&lt;INDEX('Valo FX'!$R:$R,MATCH($A39,'Valo FX'!$A:$A,0)),INDEX(Base!$U:$U,MATCH($A39,Base!$A:$A,0)),IF(GH$1=INDEX('Valo FX'!$R:$R,MATCH($A39,'Valo FX'!$A:$A,0)),INDEX(Base!$V:$V,MATCH($A39,Base!$A:$A,0)),0)))</f>
        <v>11.60886</v>
      </c>
      <c r="GI39" s="21">
        <f>IF(GI$1&lt;INDEX('Valo FX'!$Q:$Q,MATCH($A39,'Valo FX'!$A:$A,0)),0,IF(GI$1&lt;INDEX('Valo FX'!$R:$R,MATCH($A39,'Valo FX'!$A:$A,0)),INDEX(Base!$U:$U,MATCH($A39,Base!$A:$A,0)),IF(GI$1=INDEX('Valo FX'!$R:$R,MATCH($A39,'Valo FX'!$A:$A,0)),INDEX(Base!$V:$V,MATCH($A39,Base!$A:$A,0)),0)))</f>
        <v>11.60886</v>
      </c>
      <c r="GJ39" s="21">
        <f>IF(GJ$1&lt;INDEX('Valo FX'!$Q:$Q,MATCH($A39,'Valo FX'!$A:$A,0)),0,IF(GJ$1&lt;INDEX('Valo FX'!$R:$R,MATCH($A39,'Valo FX'!$A:$A,0)),INDEX(Base!$U:$U,MATCH($A39,Base!$A:$A,0)),IF(GJ$1=INDEX('Valo FX'!$R:$R,MATCH($A39,'Valo FX'!$A:$A,0)),INDEX(Base!$V:$V,MATCH($A39,Base!$A:$A,0)),0)))</f>
        <v>11.60886</v>
      </c>
      <c r="GK39" s="21">
        <f>IF(GK$1&lt;INDEX('Valo FX'!$Q:$Q,MATCH($A39,'Valo FX'!$A:$A,0)),0,IF(GK$1&lt;INDEX('Valo FX'!$R:$R,MATCH($A39,'Valo FX'!$A:$A,0)),INDEX(Base!$U:$U,MATCH($A39,Base!$A:$A,0)),IF(GK$1=INDEX('Valo FX'!$R:$R,MATCH($A39,'Valo FX'!$A:$A,0)),INDEX(Base!$V:$V,MATCH($A39,Base!$A:$A,0)),0)))</f>
        <v>11.60886</v>
      </c>
      <c r="GL39" s="21">
        <f>IF(GL$1&lt;INDEX('Valo FX'!$Q:$Q,MATCH($A39,'Valo FX'!$A:$A,0)),0,IF(GL$1&lt;INDEX('Valo FX'!$R:$R,MATCH($A39,'Valo FX'!$A:$A,0)),INDEX(Base!$U:$U,MATCH($A39,Base!$A:$A,0)),IF(GL$1=INDEX('Valo FX'!$R:$R,MATCH($A39,'Valo FX'!$A:$A,0)),INDEX(Base!$V:$V,MATCH($A39,Base!$A:$A,0)),0)))</f>
        <v>11.60886</v>
      </c>
      <c r="GM39" s="21">
        <f>IF(GM$1&lt;INDEX('Valo FX'!$Q:$Q,MATCH($A39,'Valo FX'!$A:$A,0)),0,IF(GM$1&lt;INDEX('Valo FX'!$R:$R,MATCH($A39,'Valo FX'!$A:$A,0)),INDEX(Base!$U:$U,MATCH($A39,Base!$A:$A,0)),IF(GM$1=INDEX('Valo FX'!$R:$R,MATCH($A39,'Valo FX'!$A:$A,0)),INDEX(Base!$V:$V,MATCH($A39,Base!$A:$A,0)),0)))</f>
        <v>11.60886</v>
      </c>
      <c r="GN39" s="21">
        <f>IF(GN$1&lt;INDEX('Valo FX'!$Q:$Q,MATCH($A39,'Valo FX'!$A:$A,0)),0,IF(GN$1&lt;INDEX('Valo FX'!$R:$R,MATCH($A39,'Valo FX'!$A:$A,0)),INDEX(Base!$U:$U,MATCH($A39,Base!$A:$A,0)),IF(GN$1=INDEX('Valo FX'!$R:$R,MATCH($A39,'Valo FX'!$A:$A,0)),INDEX(Base!$V:$V,MATCH($A39,Base!$A:$A,0)),0)))</f>
        <v>11.60886</v>
      </c>
      <c r="GO39" s="21">
        <f>IF(GO$1&lt;INDEX('Valo FX'!$Q:$Q,MATCH($A39,'Valo FX'!$A:$A,0)),0,IF(GO$1&lt;INDEX('Valo FX'!$R:$R,MATCH($A39,'Valo FX'!$A:$A,0)),INDEX(Base!$U:$U,MATCH($A39,Base!$A:$A,0)),IF(GO$1=INDEX('Valo FX'!$R:$R,MATCH($A39,'Valo FX'!$A:$A,0)),INDEX(Base!$V:$V,MATCH($A39,Base!$A:$A,0)),0)))</f>
        <v>11.60886</v>
      </c>
      <c r="GP39" s="21">
        <f>IF(GP$1&lt;INDEX('Valo FX'!$Q:$Q,MATCH($A39,'Valo FX'!$A:$A,0)),0,IF(GP$1&lt;INDEX('Valo FX'!$R:$R,MATCH($A39,'Valo FX'!$A:$A,0)),INDEX(Base!$U:$U,MATCH($A39,Base!$A:$A,0)),IF(GP$1=INDEX('Valo FX'!$R:$R,MATCH($A39,'Valo FX'!$A:$A,0)),INDEX(Base!$V:$V,MATCH($A39,Base!$A:$A,0)),0)))</f>
        <v>11.60886</v>
      </c>
      <c r="GQ39" s="21">
        <f>IF(GQ$1&lt;INDEX('Valo FX'!$Q:$Q,MATCH($A39,'Valo FX'!$A:$A,0)),0,IF(GQ$1&lt;INDEX('Valo FX'!$R:$R,MATCH($A39,'Valo FX'!$A:$A,0)),INDEX(Base!$U:$U,MATCH($A39,Base!$A:$A,0)),IF(GQ$1=INDEX('Valo FX'!$R:$R,MATCH($A39,'Valo FX'!$A:$A,0)),INDEX(Base!$V:$V,MATCH($A39,Base!$A:$A,0)),0)))</f>
        <v>11.60886</v>
      </c>
      <c r="GR39" s="21">
        <f>IF(GR$1&lt;INDEX('Valo FX'!$Q:$Q,MATCH($A39,'Valo FX'!$A:$A,0)),0,IF(GR$1&lt;INDEX('Valo FX'!$R:$R,MATCH($A39,'Valo FX'!$A:$A,0)),INDEX(Base!$U:$U,MATCH($A39,Base!$A:$A,0)),IF(GR$1=INDEX('Valo FX'!$R:$R,MATCH($A39,'Valo FX'!$A:$A,0)),INDEX(Base!$V:$V,MATCH($A39,Base!$A:$A,0)),0)))</f>
        <v>11.60886</v>
      </c>
      <c r="GS39" s="21">
        <f>IF(GS$1&lt;INDEX('Valo FX'!$Q:$Q,MATCH($A39,'Valo FX'!$A:$A,0)),0,IF(GS$1&lt;INDEX('Valo FX'!$R:$R,MATCH($A39,'Valo FX'!$A:$A,0)),INDEX(Base!$U:$U,MATCH($A39,Base!$A:$A,0)),IF(GS$1=INDEX('Valo FX'!$R:$R,MATCH($A39,'Valo FX'!$A:$A,0)),INDEX(Base!$V:$V,MATCH($A39,Base!$A:$A,0)),0)))</f>
        <v>11.60886</v>
      </c>
      <c r="GT39" s="21">
        <f>IF(GT$1&lt;INDEX('Valo FX'!$Q:$Q,MATCH($A39,'Valo FX'!$A:$A,0)),0,IF(GT$1&lt;INDEX('Valo FX'!$R:$R,MATCH($A39,'Valo FX'!$A:$A,0)),INDEX(Base!$U:$U,MATCH($A39,Base!$A:$A,0)),IF(GT$1=INDEX('Valo FX'!$R:$R,MATCH($A39,'Valo FX'!$A:$A,0)),INDEX(Base!$V:$V,MATCH($A39,Base!$A:$A,0)),0)))</f>
        <v>11.60886</v>
      </c>
      <c r="GU39" s="21">
        <f>IF(GU$1&lt;INDEX('Valo FX'!$Q:$Q,MATCH($A39,'Valo FX'!$A:$A,0)),0,IF(GU$1&lt;INDEX('Valo FX'!$R:$R,MATCH($A39,'Valo FX'!$A:$A,0)),INDEX(Base!$U:$U,MATCH($A39,Base!$A:$A,0)),IF(GU$1=INDEX('Valo FX'!$R:$R,MATCH($A39,'Valo FX'!$A:$A,0)),INDEX(Base!$V:$V,MATCH($A39,Base!$A:$A,0)),0)))</f>
        <v>11.60886</v>
      </c>
      <c r="GV39" s="21">
        <f>IF(GV$1&lt;INDEX('Valo FX'!$Q:$Q,MATCH($A39,'Valo FX'!$A:$A,0)),0,IF(GV$1&lt;INDEX('Valo FX'!$R:$R,MATCH($A39,'Valo FX'!$A:$A,0)),INDEX(Base!$U:$U,MATCH($A39,Base!$A:$A,0)),IF(GV$1=INDEX('Valo FX'!$R:$R,MATCH($A39,'Valo FX'!$A:$A,0)),INDEX(Base!$V:$V,MATCH($A39,Base!$A:$A,0)),0)))</f>
        <v>11.60886</v>
      </c>
      <c r="GW39" s="21">
        <f>IF(GW$1&lt;INDEX('Valo FX'!$Q:$Q,MATCH($A39,'Valo FX'!$A:$A,0)),0,IF(GW$1&lt;INDEX('Valo FX'!$R:$R,MATCH($A39,'Valo FX'!$A:$A,0)),INDEX(Base!$U:$U,MATCH($A39,Base!$A:$A,0)),IF(GW$1=INDEX('Valo FX'!$R:$R,MATCH($A39,'Valo FX'!$A:$A,0)),INDEX(Base!$V:$V,MATCH($A39,Base!$A:$A,0)),0)))</f>
        <v>11.60886</v>
      </c>
      <c r="GX39" s="21">
        <f>IF(GX$1&lt;INDEX('Valo FX'!$Q:$Q,MATCH($A39,'Valo FX'!$A:$A,0)),0,IF(GX$1&lt;INDEX('Valo FX'!$R:$R,MATCH($A39,'Valo FX'!$A:$A,0)),INDEX(Base!$U:$U,MATCH($A39,Base!$A:$A,0)),IF(GX$1=INDEX('Valo FX'!$R:$R,MATCH($A39,'Valo FX'!$A:$A,0)),INDEX(Base!$V:$V,MATCH($A39,Base!$A:$A,0)),0)))</f>
        <v>11.60886</v>
      </c>
      <c r="GY39" s="21">
        <f>IF(GY$1&lt;INDEX('Valo FX'!$Q:$Q,MATCH($A39,'Valo FX'!$A:$A,0)),0,IF(GY$1&lt;INDEX('Valo FX'!$R:$R,MATCH($A39,'Valo FX'!$A:$A,0)),INDEX(Base!$U:$U,MATCH($A39,Base!$A:$A,0)),IF(GY$1=INDEX('Valo FX'!$R:$R,MATCH($A39,'Valo FX'!$A:$A,0)),INDEX(Base!$V:$V,MATCH($A39,Base!$A:$A,0)),0)))</f>
        <v>11.60886</v>
      </c>
      <c r="GZ39" s="21">
        <f>IF(GZ$1&lt;INDEX('Valo FX'!$Q:$Q,MATCH($A39,'Valo FX'!$A:$A,0)),0,IF(GZ$1&lt;INDEX('Valo FX'!$R:$R,MATCH($A39,'Valo FX'!$A:$A,0)),INDEX(Base!$U:$U,MATCH($A39,Base!$A:$A,0)),IF(GZ$1=INDEX('Valo FX'!$R:$R,MATCH($A39,'Valo FX'!$A:$A,0)),INDEX(Base!$V:$V,MATCH($A39,Base!$A:$A,0)),0)))</f>
        <v>11.60886</v>
      </c>
      <c r="HA39" s="21">
        <f>IF(HA$1&lt;INDEX('Valo FX'!$Q:$Q,MATCH($A39,'Valo FX'!$A:$A,0)),0,IF(HA$1&lt;INDEX('Valo FX'!$R:$R,MATCH($A39,'Valo FX'!$A:$A,0)),INDEX(Base!$U:$U,MATCH($A39,Base!$A:$A,0)),IF(HA$1=INDEX('Valo FX'!$R:$R,MATCH($A39,'Valo FX'!$A:$A,0)),INDEX(Base!$V:$V,MATCH($A39,Base!$A:$A,0)),0)))</f>
        <v>11.60886</v>
      </c>
      <c r="HB39" s="21">
        <f>IF(HB$1&lt;INDEX('Valo FX'!$Q:$Q,MATCH($A39,'Valo FX'!$A:$A,0)),0,IF(HB$1&lt;INDEX('Valo FX'!$R:$R,MATCH($A39,'Valo FX'!$A:$A,0)),INDEX(Base!$U:$U,MATCH($A39,Base!$A:$A,0)),IF(HB$1=INDEX('Valo FX'!$R:$R,MATCH($A39,'Valo FX'!$A:$A,0)),INDEX(Base!$V:$V,MATCH($A39,Base!$A:$A,0)),0)))</f>
        <v>11.60886</v>
      </c>
      <c r="HC39" s="21">
        <f>IF(HC$1&lt;INDEX('Valo FX'!$Q:$Q,MATCH($A39,'Valo FX'!$A:$A,0)),0,IF(HC$1&lt;INDEX('Valo FX'!$R:$R,MATCH($A39,'Valo FX'!$A:$A,0)),INDEX(Base!$U:$U,MATCH($A39,Base!$A:$A,0)),IF(HC$1=INDEX('Valo FX'!$R:$R,MATCH($A39,'Valo FX'!$A:$A,0)),INDEX(Base!$V:$V,MATCH($A39,Base!$A:$A,0)),0)))</f>
        <v>11.60886</v>
      </c>
      <c r="HD39" s="21">
        <f>IF(HD$1&lt;INDEX('Valo FX'!$Q:$Q,MATCH($A39,'Valo FX'!$A:$A,0)),0,IF(HD$1&lt;INDEX('Valo FX'!$R:$R,MATCH($A39,'Valo FX'!$A:$A,0)),INDEX(Base!$U:$U,MATCH($A39,Base!$A:$A,0)),IF(HD$1=INDEX('Valo FX'!$R:$R,MATCH($A39,'Valo FX'!$A:$A,0)),INDEX(Base!$V:$V,MATCH($A39,Base!$A:$A,0)),0)))</f>
        <v>11.60886</v>
      </c>
      <c r="HE39" s="21">
        <f>IF(HE$1&lt;INDEX('Valo FX'!$Q:$Q,MATCH($A39,'Valo FX'!$A:$A,0)),0,IF(HE$1&lt;INDEX('Valo FX'!$R:$R,MATCH($A39,'Valo FX'!$A:$A,0)),INDEX(Base!$U:$U,MATCH($A39,Base!$A:$A,0)),IF(HE$1=INDEX('Valo FX'!$R:$R,MATCH($A39,'Valo FX'!$A:$A,0)),INDEX(Base!$V:$V,MATCH($A39,Base!$A:$A,0)),0)))</f>
        <v>11.60886</v>
      </c>
      <c r="HF39" s="21">
        <f>IF(HF$1&lt;INDEX('Valo FX'!$Q:$Q,MATCH($A39,'Valo FX'!$A:$A,0)),0,IF(HF$1&lt;INDEX('Valo FX'!$R:$R,MATCH($A39,'Valo FX'!$A:$A,0)),INDEX(Base!$U:$U,MATCH($A39,Base!$A:$A,0)),IF(HF$1=INDEX('Valo FX'!$R:$R,MATCH($A39,'Valo FX'!$A:$A,0)),INDEX(Base!$V:$V,MATCH($A39,Base!$A:$A,0)),0)))</f>
        <v>11.60886</v>
      </c>
      <c r="HG39" s="21">
        <f>IF(HG$1&lt;INDEX('Valo FX'!$Q:$Q,MATCH($A39,'Valo FX'!$A:$A,0)),0,IF(HG$1&lt;INDEX('Valo FX'!$R:$R,MATCH($A39,'Valo FX'!$A:$A,0)),INDEX(Base!$U:$U,MATCH($A39,Base!$A:$A,0)),IF(HG$1=INDEX('Valo FX'!$R:$R,MATCH($A39,'Valo FX'!$A:$A,0)),INDEX(Base!$V:$V,MATCH($A39,Base!$A:$A,0)),0)))</f>
        <v>11.60886</v>
      </c>
      <c r="HH39" s="21">
        <f>IF(HH$1&lt;INDEX('Valo FX'!$Q:$Q,MATCH($A39,'Valo FX'!$A:$A,0)),0,IF(HH$1&lt;INDEX('Valo FX'!$R:$R,MATCH($A39,'Valo FX'!$A:$A,0)),INDEX(Base!$U:$U,MATCH($A39,Base!$A:$A,0)),IF(HH$1=INDEX('Valo FX'!$R:$R,MATCH($A39,'Valo FX'!$A:$A,0)),INDEX(Base!$V:$V,MATCH($A39,Base!$A:$A,0)),0)))</f>
        <v>11.60886</v>
      </c>
      <c r="HI39" s="21">
        <f>IF(HI$1&lt;INDEX('Valo FX'!$Q:$Q,MATCH($A39,'Valo FX'!$A:$A,0)),0,IF(HI$1&lt;INDEX('Valo FX'!$R:$R,MATCH($A39,'Valo FX'!$A:$A,0)),INDEX(Base!$U:$U,MATCH($A39,Base!$A:$A,0)),IF(HI$1=INDEX('Valo FX'!$R:$R,MATCH($A39,'Valo FX'!$A:$A,0)),INDEX(Base!$V:$V,MATCH($A39,Base!$A:$A,0)),0)))</f>
        <v>11.60886</v>
      </c>
      <c r="HJ39" s="21">
        <f>IF(HJ$1&lt;INDEX('Valo FX'!$Q:$Q,MATCH($A39,'Valo FX'!$A:$A,0)),0,IF(HJ$1&lt;INDEX('Valo FX'!$R:$R,MATCH($A39,'Valo FX'!$A:$A,0)),INDEX(Base!$U:$U,MATCH($A39,Base!$A:$A,0)),IF(HJ$1=INDEX('Valo FX'!$R:$R,MATCH($A39,'Valo FX'!$A:$A,0)),INDEX(Base!$V:$V,MATCH($A39,Base!$A:$A,0)),0)))</f>
        <v>11.60886</v>
      </c>
      <c r="HK39" s="21">
        <f>IF(HK$1&lt;INDEX('Valo FX'!$Q:$Q,MATCH($A39,'Valo FX'!$A:$A,0)),0,IF(HK$1&lt;INDEX('Valo FX'!$R:$R,MATCH($A39,'Valo FX'!$A:$A,0)),INDEX(Base!$U:$U,MATCH($A39,Base!$A:$A,0)),IF(HK$1=INDEX('Valo FX'!$R:$R,MATCH($A39,'Valo FX'!$A:$A,0)),INDEX(Base!$V:$V,MATCH($A39,Base!$A:$A,0)),0)))</f>
        <v>11.60886</v>
      </c>
      <c r="HL39" s="21">
        <f>IF(HL$1&lt;INDEX('Valo FX'!$Q:$Q,MATCH($A39,'Valo FX'!$A:$A,0)),0,IF(HL$1&lt;INDEX('Valo FX'!$R:$R,MATCH($A39,'Valo FX'!$A:$A,0)),INDEX(Base!$U:$U,MATCH($A39,Base!$A:$A,0)),IF(HL$1=INDEX('Valo FX'!$R:$R,MATCH($A39,'Valo FX'!$A:$A,0)),INDEX(Base!$V:$V,MATCH($A39,Base!$A:$A,0)),0)))</f>
        <v>11.60886</v>
      </c>
      <c r="HM39" s="21">
        <f>IF(HM$1&lt;INDEX('Valo FX'!$Q:$Q,MATCH($A39,'Valo FX'!$A:$A,0)),0,IF(HM$1&lt;INDEX('Valo FX'!$R:$R,MATCH($A39,'Valo FX'!$A:$A,0)),INDEX(Base!$U:$U,MATCH($A39,Base!$A:$A,0)),IF(HM$1=INDEX('Valo FX'!$R:$R,MATCH($A39,'Valo FX'!$A:$A,0)),INDEX(Base!$V:$V,MATCH($A39,Base!$A:$A,0)),0)))</f>
        <v>11.60886</v>
      </c>
      <c r="HN39" s="21">
        <f>IF(HN$1&lt;INDEX('Valo FX'!$Q:$Q,MATCH($A39,'Valo FX'!$A:$A,0)),0,IF(HN$1&lt;INDEX('Valo FX'!$R:$R,MATCH($A39,'Valo FX'!$A:$A,0)),INDEX(Base!$U:$U,MATCH($A39,Base!$A:$A,0)),IF(HN$1=INDEX('Valo FX'!$R:$R,MATCH($A39,'Valo FX'!$A:$A,0)),INDEX(Base!$V:$V,MATCH($A39,Base!$A:$A,0)),0)))</f>
        <v>11.60886</v>
      </c>
      <c r="HO39" s="21">
        <f>IF(HO$1&lt;INDEX('Valo FX'!$Q:$Q,MATCH($A39,'Valo FX'!$A:$A,0)),0,IF(HO$1&lt;INDEX('Valo FX'!$R:$R,MATCH($A39,'Valo FX'!$A:$A,0)),INDEX(Base!$U:$U,MATCH($A39,Base!$A:$A,0)),IF(HO$1=INDEX('Valo FX'!$R:$R,MATCH($A39,'Valo FX'!$A:$A,0)),INDEX(Base!$V:$V,MATCH($A39,Base!$A:$A,0)),0)))</f>
        <v>11.60886</v>
      </c>
      <c r="HP39" s="21">
        <f>IF(HP$1&lt;INDEX('Valo FX'!$Q:$Q,MATCH($A39,'Valo FX'!$A:$A,0)),0,IF(HP$1&lt;INDEX('Valo FX'!$R:$R,MATCH($A39,'Valo FX'!$A:$A,0)),INDEX(Base!$U:$U,MATCH($A39,Base!$A:$A,0)),IF(HP$1=INDEX('Valo FX'!$R:$R,MATCH($A39,'Valo FX'!$A:$A,0)),INDEX(Base!$V:$V,MATCH($A39,Base!$A:$A,0)),0)))</f>
        <v>11.60886</v>
      </c>
      <c r="HQ39" s="21">
        <f>IF(HQ$1&lt;INDEX('Valo FX'!$Q:$Q,MATCH($A39,'Valo FX'!$A:$A,0)),0,IF(HQ$1&lt;INDEX('Valo FX'!$R:$R,MATCH($A39,'Valo FX'!$A:$A,0)),INDEX(Base!$U:$U,MATCH($A39,Base!$A:$A,0)),IF(HQ$1=INDEX('Valo FX'!$R:$R,MATCH($A39,'Valo FX'!$A:$A,0)),INDEX(Base!$V:$V,MATCH($A39,Base!$A:$A,0)),0)))</f>
        <v>11.60886</v>
      </c>
      <c r="HR39" s="21">
        <f>IF(HR$1&lt;INDEX('Valo FX'!$Q:$Q,MATCH($A39,'Valo FX'!$A:$A,0)),0,IF(HR$1&lt;INDEX('Valo FX'!$R:$R,MATCH($A39,'Valo FX'!$A:$A,0)),INDEX(Base!$U:$U,MATCH($A39,Base!$A:$A,0)),IF(HR$1=INDEX('Valo FX'!$R:$R,MATCH($A39,'Valo FX'!$A:$A,0)),INDEX(Base!$V:$V,MATCH($A39,Base!$A:$A,0)),0)))</f>
        <v>11.60886</v>
      </c>
      <c r="HS39" s="21">
        <f>IF(HS$1&lt;INDEX('Valo FX'!$Q:$Q,MATCH($A39,'Valo FX'!$A:$A,0)),0,IF(HS$1&lt;INDEX('Valo FX'!$R:$R,MATCH($A39,'Valo FX'!$A:$A,0)),INDEX(Base!$U:$U,MATCH($A39,Base!$A:$A,0)),IF(HS$1=INDEX('Valo FX'!$R:$R,MATCH($A39,'Valo FX'!$A:$A,0)),INDEX(Base!$V:$V,MATCH($A39,Base!$A:$A,0)),0)))</f>
        <v>11.60886</v>
      </c>
      <c r="HT39" s="21">
        <f>IF(HT$1&lt;INDEX('Valo FX'!$Q:$Q,MATCH($A39,'Valo FX'!$A:$A,0)),0,IF(HT$1&lt;INDEX('Valo FX'!$R:$R,MATCH($A39,'Valo FX'!$A:$A,0)),INDEX(Base!$U:$U,MATCH($A39,Base!$A:$A,0)),IF(HT$1=INDEX('Valo FX'!$R:$R,MATCH($A39,'Valo FX'!$A:$A,0)),INDEX(Base!$V:$V,MATCH($A39,Base!$A:$A,0)),0)))</f>
        <v>11.60886</v>
      </c>
      <c r="HU39" s="21">
        <f>IF(HU$1&lt;INDEX('Valo FX'!$Q:$Q,MATCH($A39,'Valo FX'!$A:$A,0)),0,IF(HU$1&lt;INDEX('Valo FX'!$R:$R,MATCH($A39,'Valo FX'!$A:$A,0)),INDEX(Base!$U:$U,MATCH($A39,Base!$A:$A,0)),IF(HU$1=INDEX('Valo FX'!$R:$R,MATCH($A39,'Valo FX'!$A:$A,0)),INDEX(Base!$V:$V,MATCH($A39,Base!$A:$A,0)),0)))</f>
        <v>11.60886</v>
      </c>
      <c r="HV39" s="21">
        <f>IF(HV$1&lt;INDEX('Valo FX'!$Q:$Q,MATCH($A39,'Valo FX'!$A:$A,0)),0,IF(HV$1&lt;INDEX('Valo FX'!$R:$R,MATCH($A39,'Valo FX'!$A:$A,0)),INDEX(Base!$U:$U,MATCH($A39,Base!$A:$A,0)),IF(HV$1=INDEX('Valo FX'!$R:$R,MATCH($A39,'Valo FX'!$A:$A,0)),INDEX(Base!$V:$V,MATCH($A39,Base!$A:$A,0)),0)))</f>
        <v>11.60886</v>
      </c>
      <c r="HW39" s="21">
        <f>IF(HW$1&lt;INDEX('Valo FX'!$Q:$Q,MATCH($A39,'Valo FX'!$A:$A,0)),0,IF(HW$1&lt;INDEX('Valo FX'!$R:$R,MATCH($A39,'Valo FX'!$A:$A,0)),INDEX(Base!$U:$U,MATCH($A39,Base!$A:$A,0)),IF(HW$1=INDEX('Valo FX'!$R:$R,MATCH($A39,'Valo FX'!$A:$A,0)),INDEX(Base!$V:$V,MATCH($A39,Base!$A:$A,0)),0)))</f>
        <v>11.60886</v>
      </c>
      <c r="HX39" s="21">
        <f>IF(HX$1&lt;INDEX('Valo FX'!$Q:$Q,MATCH($A39,'Valo FX'!$A:$A,0)),0,IF(HX$1&lt;INDEX('Valo FX'!$R:$R,MATCH($A39,'Valo FX'!$A:$A,0)),INDEX(Base!$U:$U,MATCH($A39,Base!$A:$A,0)),IF(HX$1=INDEX('Valo FX'!$R:$R,MATCH($A39,'Valo FX'!$A:$A,0)),INDEX(Base!$V:$V,MATCH($A39,Base!$A:$A,0)),0)))</f>
        <v>11.60886</v>
      </c>
      <c r="HY39" s="21">
        <f>IF(HY$1&lt;INDEX('Valo FX'!$Q:$Q,MATCH($A39,'Valo FX'!$A:$A,0)),0,IF(HY$1&lt;INDEX('Valo FX'!$R:$R,MATCH($A39,'Valo FX'!$A:$A,0)),INDEX(Base!$U:$U,MATCH($A39,Base!$A:$A,0)),IF(HY$1=INDEX('Valo FX'!$R:$R,MATCH($A39,'Valo FX'!$A:$A,0)),INDEX(Base!$V:$V,MATCH($A39,Base!$A:$A,0)),0)))</f>
        <v>11.60886</v>
      </c>
      <c r="HZ39" s="21">
        <f>IF(HZ$1&lt;INDEX('Valo FX'!$Q:$Q,MATCH($A39,'Valo FX'!$A:$A,0)),0,IF(HZ$1&lt;INDEX('Valo FX'!$R:$R,MATCH($A39,'Valo FX'!$A:$A,0)),INDEX(Base!$U:$U,MATCH($A39,Base!$A:$A,0)),IF(HZ$1=INDEX('Valo FX'!$R:$R,MATCH($A39,'Valo FX'!$A:$A,0)),INDEX(Base!$V:$V,MATCH($A39,Base!$A:$A,0)),0)))</f>
        <v>11.60886</v>
      </c>
      <c r="IA39" s="21">
        <f>IF(IA$1&lt;INDEX('Valo FX'!$Q:$Q,MATCH($A39,'Valo FX'!$A:$A,0)),0,IF(IA$1&lt;INDEX('Valo FX'!$R:$R,MATCH($A39,'Valo FX'!$A:$A,0)),INDEX(Base!$U:$U,MATCH($A39,Base!$A:$A,0)),IF(IA$1=INDEX('Valo FX'!$R:$R,MATCH($A39,'Valo FX'!$A:$A,0)),INDEX(Base!$V:$V,MATCH($A39,Base!$A:$A,0)),0)))</f>
        <v>11.60886</v>
      </c>
      <c r="IB39" s="21">
        <f>IF(IB$1&lt;INDEX('Valo FX'!$Q:$Q,MATCH($A39,'Valo FX'!$A:$A,0)),0,IF(IB$1&lt;INDEX('Valo FX'!$R:$R,MATCH($A39,'Valo FX'!$A:$A,0)),INDEX(Base!$U:$U,MATCH($A39,Base!$A:$A,0)),IF(IB$1=INDEX('Valo FX'!$R:$R,MATCH($A39,'Valo FX'!$A:$A,0)),INDEX(Base!$V:$V,MATCH($A39,Base!$A:$A,0)),0)))</f>
        <v>11.60886</v>
      </c>
      <c r="IC39" s="21">
        <f>IF(IC$1&lt;INDEX('Valo FX'!$Q:$Q,MATCH($A39,'Valo FX'!$A:$A,0)),0,IF(IC$1&lt;INDEX('Valo FX'!$R:$R,MATCH($A39,'Valo FX'!$A:$A,0)),INDEX(Base!$U:$U,MATCH($A39,Base!$A:$A,0)),IF(IC$1=INDEX('Valo FX'!$R:$R,MATCH($A39,'Valo FX'!$A:$A,0)),INDEX(Base!$V:$V,MATCH($A39,Base!$A:$A,0)),0)))</f>
        <v>11.60886</v>
      </c>
      <c r="ID39" s="21">
        <f>IF(ID$1&lt;INDEX('Valo FX'!$Q:$Q,MATCH($A39,'Valo FX'!$A:$A,0)),0,IF(ID$1&lt;INDEX('Valo FX'!$R:$R,MATCH($A39,'Valo FX'!$A:$A,0)),INDEX(Base!$U:$U,MATCH($A39,Base!$A:$A,0)),IF(ID$1=INDEX('Valo FX'!$R:$R,MATCH($A39,'Valo FX'!$A:$A,0)),INDEX(Base!$V:$V,MATCH($A39,Base!$A:$A,0)),0)))</f>
        <v>11.60886</v>
      </c>
      <c r="IE39" s="21">
        <f>IF(IE$1&lt;INDEX('Valo FX'!$Q:$Q,MATCH($A39,'Valo FX'!$A:$A,0)),0,IF(IE$1&lt;INDEX('Valo FX'!$R:$R,MATCH($A39,'Valo FX'!$A:$A,0)),INDEX(Base!$U:$U,MATCH($A39,Base!$A:$A,0)),IF(IE$1=INDEX('Valo FX'!$R:$R,MATCH($A39,'Valo FX'!$A:$A,0)),INDEX(Base!$V:$V,MATCH($A39,Base!$A:$A,0)),0)))</f>
        <v>11.60886</v>
      </c>
      <c r="IF39" s="21">
        <f>IF(IF$1&lt;INDEX('Valo FX'!$Q:$Q,MATCH($A39,'Valo FX'!$A:$A,0)),0,IF(IF$1&lt;INDEX('Valo FX'!$R:$R,MATCH($A39,'Valo FX'!$A:$A,0)),INDEX(Base!$U:$U,MATCH($A39,Base!$A:$A,0)),IF(IF$1=INDEX('Valo FX'!$R:$R,MATCH($A39,'Valo FX'!$A:$A,0)),INDEX(Base!$V:$V,MATCH($A39,Base!$A:$A,0)),0)))</f>
        <v>11.60886</v>
      </c>
      <c r="IG39" s="21">
        <f>IF(IG$1&lt;INDEX('Valo FX'!$Q:$Q,MATCH($A39,'Valo FX'!$A:$A,0)),0,IF(IG$1&lt;INDEX('Valo FX'!$R:$R,MATCH($A39,'Valo FX'!$A:$A,0)),INDEX(Base!$U:$U,MATCH($A39,Base!$A:$A,0)),IF(IG$1=INDEX('Valo FX'!$R:$R,MATCH($A39,'Valo FX'!$A:$A,0)),INDEX(Base!$V:$V,MATCH($A39,Base!$A:$A,0)),0)))</f>
        <v>11.60886</v>
      </c>
      <c r="IH39" s="21">
        <f>IF(IH$1&lt;INDEX('Valo FX'!$Q:$Q,MATCH($A39,'Valo FX'!$A:$A,0)),0,IF(IH$1&lt;INDEX('Valo FX'!$R:$R,MATCH($A39,'Valo FX'!$A:$A,0)),INDEX(Base!$U:$U,MATCH($A39,Base!$A:$A,0)),IF(IH$1=INDEX('Valo FX'!$R:$R,MATCH($A39,'Valo FX'!$A:$A,0)),INDEX(Base!$V:$V,MATCH($A39,Base!$A:$A,0)),0)))</f>
        <v>11.60886</v>
      </c>
      <c r="II39" s="21">
        <f>IF(II$1&lt;INDEX('Valo FX'!$Q:$Q,MATCH($A39,'Valo FX'!$A:$A,0)),0,IF(II$1&lt;INDEX('Valo FX'!$R:$R,MATCH($A39,'Valo FX'!$A:$A,0)),INDEX(Base!$U:$U,MATCH($A39,Base!$A:$A,0)),IF(II$1=INDEX('Valo FX'!$R:$R,MATCH($A39,'Valo FX'!$A:$A,0)),INDEX(Base!$V:$V,MATCH($A39,Base!$A:$A,0)),0)))</f>
        <v>11.60886</v>
      </c>
      <c r="IJ39" s="21">
        <f>IF(IJ$1&lt;INDEX('Valo FX'!$Q:$Q,MATCH($A39,'Valo FX'!$A:$A,0)),0,IF(IJ$1&lt;INDEX('Valo FX'!$R:$R,MATCH($A39,'Valo FX'!$A:$A,0)),INDEX(Base!$U:$U,MATCH($A39,Base!$A:$A,0)),IF(IJ$1=INDEX('Valo FX'!$R:$R,MATCH($A39,'Valo FX'!$A:$A,0)),INDEX(Base!$V:$V,MATCH($A39,Base!$A:$A,0)),0)))</f>
        <v>11.60886</v>
      </c>
      <c r="IK39" s="21">
        <f>IF(IK$1&lt;INDEX('Valo FX'!$Q:$Q,MATCH($A39,'Valo FX'!$A:$A,0)),0,IF(IK$1&lt;INDEX('Valo FX'!$R:$R,MATCH($A39,'Valo FX'!$A:$A,0)),INDEX(Base!$U:$U,MATCH($A39,Base!$A:$A,0)),IF(IK$1=INDEX('Valo FX'!$R:$R,MATCH($A39,'Valo FX'!$A:$A,0)),INDEX(Base!$V:$V,MATCH($A39,Base!$A:$A,0)),0)))</f>
        <v>11.60886</v>
      </c>
      <c r="IL39" s="21">
        <f>IF(IL$1&lt;INDEX('Valo FX'!$Q:$Q,MATCH($A39,'Valo FX'!$A:$A,0)),0,IF(IL$1&lt;INDEX('Valo FX'!$R:$R,MATCH($A39,'Valo FX'!$A:$A,0)),INDEX(Base!$U:$U,MATCH($A39,Base!$A:$A,0)),IF(IL$1=INDEX('Valo FX'!$R:$R,MATCH($A39,'Valo FX'!$A:$A,0)),INDEX(Base!$V:$V,MATCH($A39,Base!$A:$A,0)),0)))</f>
        <v>11.60886</v>
      </c>
      <c r="IM39" s="21">
        <f>IF(IM$1&lt;INDEX('Valo FX'!$Q:$Q,MATCH($A39,'Valo FX'!$A:$A,0)),0,IF(IM$1&lt;INDEX('Valo FX'!$R:$R,MATCH($A39,'Valo FX'!$A:$A,0)),INDEX(Base!$U:$U,MATCH($A39,Base!$A:$A,0)),IF(IM$1=INDEX('Valo FX'!$R:$R,MATCH($A39,'Valo FX'!$A:$A,0)),INDEX(Base!$V:$V,MATCH($A39,Base!$A:$A,0)),0)))</f>
        <v>11.60886</v>
      </c>
      <c r="IN39" s="21">
        <f>IF(IN$1&lt;INDEX('Valo FX'!$Q:$Q,MATCH($A39,'Valo FX'!$A:$A,0)),0,IF(IN$1&lt;INDEX('Valo FX'!$R:$R,MATCH($A39,'Valo FX'!$A:$A,0)),INDEX(Base!$U:$U,MATCH($A39,Base!$A:$A,0)),IF(IN$1=INDEX('Valo FX'!$R:$R,MATCH($A39,'Valo FX'!$A:$A,0)),INDEX(Base!$V:$V,MATCH($A39,Base!$A:$A,0)),0)))</f>
        <v>11.60886</v>
      </c>
      <c r="IO39" s="21">
        <f>IF(IO$1&lt;INDEX('Valo FX'!$Q:$Q,MATCH($A39,'Valo FX'!$A:$A,0)),0,IF(IO$1&lt;INDEX('Valo FX'!$R:$R,MATCH($A39,'Valo FX'!$A:$A,0)),INDEX(Base!$U:$U,MATCH($A39,Base!$A:$A,0)),IF(IO$1=INDEX('Valo FX'!$R:$R,MATCH($A39,'Valo FX'!$A:$A,0)),INDEX(Base!$V:$V,MATCH($A39,Base!$A:$A,0)),0)))</f>
        <v>11.60886</v>
      </c>
      <c r="IP39" s="21">
        <f>IF(IP$1&lt;INDEX('Valo FX'!$Q:$Q,MATCH($A39,'Valo FX'!$A:$A,0)),0,IF(IP$1&lt;INDEX('Valo FX'!$R:$R,MATCH($A39,'Valo FX'!$A:$A,0)),INDEX(Base!$U:$U,MATCH($A39,Base!$A:$A,0)),IF(IP$1=INDEX('Valo FX'!$R:$R,MATCH($A39,'Valo FX'!$A:$A,0)),INDEX(Base!$V:$V,MATCH($A39,Base!$A:$A,0)),0)))</f>
        <v>11.60886</v>
      </c>
      <c r="IQ39" s="21">
        <f>IF(IQ$1&lt;INDEX('Valo FX'!$Q:$Q,MATCH($A39,'Valo FX'!$A:$A,0)),0,IF(IQ$1&lt;INDEX('Valo FX'!$R:$R,MATCH($A39,'Valo FX'!$A:$A,0)),INDEX(Base!$U:$U,MATCH($A39,Base!$A:$A,0)),IF(IQ$1=INDEX('Valo FX'!$R:$R,MATCH($A39,'Valo FX'!$A:$A,0)),INDEX(Base!$V:$V,MATCH($A39,Base!$A:$A,0)),0)))</f>
        <v>11.60886</v>
      </c>
      <c r="IR39" s="21">
        <f>IF(IR$1&lt;INDEX('Valo FX'!$Q:$Q,MATCH($A39,'Valo FX'!$A:$A,0)),0,IF(IR$1&lt;INDEX('Valo FX'!$R:$R,MATCH($A39,'Valo FX'!$A:$A,0)),INDEX(Base!$U:$U,MATCH($A39,Base!$A:$A,0)),IF(IR$1=INDEX('Valo FX'!$R:$R,MATCH($A39,'Valo FX'!$A:$A,0)),INDEX(Base!$V:$V,MATCH($A39,Base!$A:$A,0)),0)))</f>
        <v>11.60886</v>
      </c>
      <c r="IS39" s="21">
        <f>IF(IS$1&lt;INDEX('Valo FX'!$Q:$Q,MATCH($A39,'Valo FX'!$A:$A,0)),0,IF(IS$1&lt;INDEX('Valo FX'!$R:$R,MATCH($A39,'Valo FX'!$A:$A,0)),INDEX(Base!$U:$U,MATCH($A39,Base!$A:$A,0)),IF(IS$1=INDEX('Valo FX'!$R:$R,MATCH($A39,'Valo FX'!$A:$A,0)),INDEX(Base!$V:$V,MATCH($A39,Base!$A:$A,0)),0)))</f>
        <v>11.60886</v>
      </c>
      <c r="IT39" s="21">
        <f>IF(IT$1&lt;INDEX('Valo FX'!$Q:$Q,MATCH($A39,'Valo FX'!$A:$A,0)),0,IF(IT$1&lt;INDEX('Valo FX'!$R:$R,MATCH($A39,'Valo FX'!$A:$A,0)),INDEX(Base!$U:$U,MATCH($A39,Base!$A:$A,0)),IF(IT$1=INDEX('Valo FX'!$R:$R,MATCH($A39,'Valo FX'!$A:$A,0)),INDEX(Base!$V:$V,MATCH($A39,Base!$A:$A,0)),0)))</f>
        <v>11.60886</v>
      </c>
      <c r="IU39" s="21">
        <f>IF(IU$1&lt;INDEX('Valo FX'!$Q:$Q,MATCH($A39,'Valo FX'!$A:$A,0)),0,IF(IU$1&lt;INDEX('Valo FX'!$R:$R,MATCH($A39,'Valo FX'!$A:$A,0)),INDEX(Base!$U:$U,MATCH($A39,Base!$A:$A,0)),IF(IU$1=INDEX('Valo FX'!$R:$R,MATCH($A39,'Valo FX'!$A:$A,0)),INDEX(Base!$V:$V,MATCH($A39,Base!$A:$A,0)),0)))</f>
        <v>11.60886</v>
      </c>
      <c r="IV39" s="21">
        <f>IF(IV$1&lt;INDEX('Valo FX'!$Q:$Q,MATCH($A39,'Valo FX'!$A:$A,0)),0,IF(IV$1&lt;INDEX('Valo FX'!$R:$R,MATCH($A39,'Valo FX'!$A:$A,0)),INDEX(Base!$U:$U,MATCH($A39,Base!$A:$A,0)),IF(IV$1=INDEX('Valo FX'!$R:$R,MATCH($A39,'Valo FX'!$A:$A,0)),INDEX(Base!$V:$V,MATCH($A39,Base!$A:$A,0)),0)))</f>
        <v>11.60886</v>
      </c>
      <c r="IW39" s="21">
        <f>IF(IW$1&lt;INDEX('Valo FX'!$Q:$Q,MATCH($A39,'Valo FX'!$A:$A,0)),0,IF(IW$1&lt;INDEX('Valo FX'!$R:$R,MATCH($A39,'Valo FX'!$A:$A,0)),INDEX(Base!$U:$U,MATCH($A39,Base!$A:$A,0)),IF(IW$1=INDEX('Valo FX'!$R:$R,MATCH($A39,'Valo FX'!$A:$A,0)),INDEX(Base!$V:$V,MATCH($A39,Base!$A:$A,0)),0)))</f>
        <v>11.60886</v>
      </c>
      <c r="IX39" s="21">
        <f>IF(IX$1&lt;INDEX('Valo FX'!$Q:$Q,MATCH($A39,'Valo FX'!$A:$A,0)),0,IF(IX$1&lt;INDEX('Valo FX'!$R:$R,MATCH($A39,'Valo FX'!$A:$A,0)),INDEX(Base!$U:$U,MATCH($A39,Base!$A:$A,0)),IF(IX$1=INDEX('Valo FX'!$R:$R,MATCH($A39,'Valo FX'!$A:$A,0)),INDEX(Base!$V:$V,MATCH($A39,Base!$A:$A,0)),0)))</f>
        <v>11.60886</v>
      </c>
      <c r="IY39" s="21">
        <f>IF(IY$1&lt;INDEX('Valo FX'!$Q:$Q,MATCH($A39,'Valo FX'!$A:$A,0)),0,IF(IY$1&lt;INDEX('Valo FX'!$R:$R,MATCH($A39,'Valo FX'!$A:$A,0)),INDEX(Base!$U:$U,MATCH($A39,Base!$A:$A,0)),IF(IY$1=INDEX('Valo FX'!$R:$R,MATCH($A39,'Valo FX'!$A:$A,0)),INDEX(Base!$V:$V,MATCH($A39,Base!$A:$A,0)),0)))</f>
        <v>11.60886</v>
      </c>
      <c r="IZ39" s="21">
        <f>IF(IZ$1&lt;INDEX('Valo FX'!$Q:$Q,MATCH($A39,'Valo FX'!$A:$A,0)),0,IF(IZ$1&lt;INDEX('Valo FX'!$R:$R,MATCH($A39,'Valo FX'!$A:$A,0)),INDEX(Base!$U:$U,MATCH($A39,Base!$A:$A,0)),IF(IZ$1=INDEX('Valo FX'!$R:$R,MATCH($A39,'Valo FX'!$A:$A,0)),INDEX(Base!$V:$V,MATCH($A39,Base!$A:$A,0)),0)))</f>
        <v>11.60886</v>
      </c>
      <c r="JA39" s="21">
        <f>IF(JA$1&lt;INDEX('Valo FX'!$Q:$Q,MATCH($A39,'Valo FX'!$A:$A,0)),0,IF(JA$1&lt;INDEX('Valo FX'!$R:$R,MATCH($A39,'Valo FX'!$A:$A,0)),INDEX(Base!$U:$U,MATCH($A39,Base!$A:$A,0)),IF(JA$1=INDEX('Valo FX'!$R:$R,MATCH($A39,'Valo FX'!$A:$A,0)),INDEX(Base!$V:$V,MATCH($A39,Base!$A:$A,0)),0)))</f>
        <v>11.60886</v>
      </c>
      <c r="JB39" s="21">
        <f>IF(JB$1&lt;INDEX('Valo FX'!$Q:$Q,MATCH($A39,'Valo FX'!$A:$A,0)),0,IF(JB$1&lt;INDEX('Valo FX'!$R:$R,MATCH($A39,'Valo FX'!$A:$A,0)),INDEX(Base!$U:$U,MATCH($A39,Base!$A:$A,0)),IF(JB$1=INDEX('Valo FX'!$R:$R,MATCH($A39,'Valo FX'!$A:$A,0)),INDEX(Base!$V:$V,MATCH($A39,Base!$A:$A,0)),0)))</f>
        <v>11.60886</v>
      </c>
      <c r="JC39" s="21">
        <f>IF(JC$1&lt;INDEX('Valo FX'!$Q:$Q,MATCH($A39,'Valo FX'!$A:$A,0)),0,IF(JC$1&lt;INDEX('Valo FX'!$R:$R,MATCH($A39,'Valo FX'!$A:$A,0)),INDEX(Base!$U:$U,MATCH($A39,Base!$A:$A,0)),IF(JC$1=INDEX('Valo FX'!$R:$R,MATCH($A39,'Valo FX'!$A:$A,0)),INDEX(Base!$V:$V,MATCH($A39,Base!$A:$A,0)),0)))</f>
        <v>11.60886</v>
      </c>
      <c r="JD39" s="21">
        <f>IF(JD$1&lt;INDEX('Valo FX'!$Q:$Q,MATCH($A39,'Valo FX'!$A:$A,0)),0,IF(JD$1&lt;INDEX('Valo FX'!$R:$R,MATCH($A39,'Valo FX'!$A:$A,0)),INDEX(Base!$U:$U,MATCH($A39,Base!$A:$A,0)),IF(JD$1=INDEX('Valo FX'!$R:$R,MATCH($A39,'Valo FX'!$A:$A,0)),INDEX(Base!$V:$V,MATCH($A39,Base!$A:$A,0)),0)))</f>
        <v>11.60886</v>
      </c>
      <c r="JE39" s="21">
        <f>IF(JE$1&lt;INDEX('Valo FX'!$Q:$Q,MATCH($A39,'Valo FX'!$A:$A,0)),0,IF(JE$1&lt;INDEX('Valo FX'!$R:$R,MATCH($A39,'Valo FX'!$A:$A,0)),INDEX(Base!$U:$U,MATCH($A39,Base!$A:$A,0)),IF(JE$1=INDEX('Valo FX'!$R:$R,MATCH($A39,'Valo FX'!$A:$A,0)),INDEX(Base!$V:$V,MATCH($A39,Base!$A:$A,0)),0)))</f>
        <v>11.60886</v>
      </c>
      <c r="JF39" s="21">
        <f>IF(JF$1&lt;INDEX('Valo FX'!$Q:$Q,MATCH($A39,'Valo FX'!$A:$A,0)),0,IF(JF$1&lt;INDEX('Valo FX'!$R:$R,MATCH($A39,'Valo FX'!$A:$A,0)),INDEX(Base!$U:$U,MATCH($A39,Base!$A:$A,0)),IF(JF$1=INDEX('Valo FX'!$R:$R,MATCH($A39,'Valo FX'!$A:$A,0)),INDEX(Base!$V:$V,MATCH($A39,Base!$A:$A,0)),0)))</f>
        <v>11.60886</v>
      </c>
      <c r="JG39" s="21">
        <f>IF(JG$1&lt;INDEX('Valo FX'!$Q:$Q,MATCH($A39,'Valo FX'!$A:$A,0)),0,IF(JG$1&lt;INDEX('Valo FX'!$R:$R,MATCH($A39,'Valo FX'!$A:$A,0)),INDEX(Base!$U:$U,MATCH($A39,Base!$A:$A,0)),IF(JG$1=INDEX('Valo FX'!$R:$R,MATCH($A39,'Valo FX'!$A:$A,0)),INDEX(Base!$V:$V,MATCH($A39,Base!$A:$A,0)),0)))</f>
        <v>11.60886</v>
      </c>
      <c r="JH39" s="21">
        <f>IF(JH$1&lt;INDEX('Valo FX'!$Q:$Q,MATCH($A39,'Valo FX'!$A:$A,0)),0,IF(JH$1&lt;INDEX('Valo FX'!$R:$R,MATCH($A39,'Valo FX'!$A:$A,0)),INDEX(Base!$U:$U,MATCH($A39,Base!$A:$A,0)),IF(JH$1=INDEX('Valo FX'!$R:$R,MATCH($A39,'Valo FX'!$A:$A,0)),INDEX(Base!$V:$V,MATCH($A39,Base!$A:$A,0)),0)))</f>
        <v>11.60886</v>
      </c>
      <c r="JI39" s="21">
        <f>IF(JI$1&lt;INDEX('Valo FX'!$Q:$Q,MATCH($A39,'Valo FX'!$A:$A,0)),0,IF(JI$1&lt;INDEX('Valo FX'!$R:$R,MATCH($A39,'Valo FX'!$A:$A,0)),INDEX(Base!$U:$U,MATCH($A39,Base!$A:$A,0)),IF(JI$1=INDEX('Valo FX'!$R:$R,MATCH($A39,'Valo FX'!$A:$A,0)),INDEX(Base!$V:$V,MATCH($A39,Base!$A:$A,0)),0)))</f>
        <v>11.60886</v>
      </c>
      <c r="JJ39" s="21">
        <f>IF(JJ$1&lt;INDEX('Valo FX'!$Q:$Q,MATCH($A39,'Valo FX'!$A:$A,0)),0,IF(JJ$1&lt;INDEX('Valo FX'!$R:$R,MATCH($A39,'Valo FX'!$A:$A,0)),INDEX(Base!$U:$U,MATCH($A39,Base!$A:$A,0)),IF(JJ$1=INDEX('Valo FX'!$R:$R,MATCH($A39,'Valo FX'!$A:$A,0)),INDEX(Base!$V:$V,MATCH($A39,Base!$A:$A,0)),0)))</f>
        <v>11.60886</v>
      </c>
      <c r="JK39" s="21">
        <f>IF(JK$1&lt;INDEX('Valo FX'!$Q:$Q,MATCH($A39,'Valo FX'!$A:$A,0)),0,IF(JK$1&lt;INDEX('Valo FX'!$R:$R,MATCH($A39,'Valo FX'!$A:$A,0)),INDEX(Base!$U:$U,MATCH($A39,Base!$A:$A,0)),IF(JK$1=INDEX('Valo FX'!$R:$R,MATCH($A39,'Valo FX'!$A:$A,0)),INDEX(Base!$V:$V,MATCH($A39,Base!$A:$A,0)),0)))</f>
        <v>11.60886</v>
      </c>
      <c r="JL39" s="21">
        <f>IF(JL$1&lt;INDEX('Valo FX'!$Q:$Q,MATCH($A39,'Valo FX'!$A:$A,0)),0,IF(JL$1&lt;INDEX('Valo FX'!$R:$R,MATCH($A39,'Valo FX'!$A:$A,0)),INDEX(Base!$U:$U,MATCH($A39,Base!$A:$A,0)),IF(JL$1=INDEX('Valo FX'!$R:$R,MATCH($A39,'Valo FX'!$A:$A,0)),INDEX(Base!$V:$V,MATCH($A39,Base!$A:$A,0)),0)))</f>
        <v>11.60886</v>
      </c>
      <c r="JM39" s="21">
        <f>IF(JM$1&lt;INDEX('Valo FX'!$Q:$Q,MATCH($A39,'Valo FX'!$A:$A,0)),0,IF(JM$1&lt;INDEX('Valo FX'!$R:$R,MATCH($A39,'Valo FX'!$A:$A,0)),INDEX(Base!$U:$U,MATCH($A39,Base!$A:$A,0)),IF(JM$1=INDEX('Valo FX'!$R:$R,MATCH($A39,'Valo FX'!$A:$A,0)),INDEX(Base!$V:$V,MATCH($A39,Base!$A:$A,0)),0)))</f>
        <v>11.60886</v>
      </c>
      <c r="JN39" s="21">
        <f>IF(JN$1&lt;INDEX('Valo FX'!$Q:$Q,MATCH($A39,'Valo FX'!$A:$A,0)),0,IF(JN$1&lt;INDEX('Valo FX'!$R:$R,MATCH($A39,'Valo FX'!$A:$A,0)),INDEX(Base!$U:$U,MATCH($A39,Base!$A:$A,0)),IF(JN$1=INDEX('Valo FX'!$R:$R,MATCH($A39,'Valo FX'!$A:$A,0)),INDEX(Base!$V:$V,MATCH($A39,Base!$A:$A,0)),0)))</f>
        <v>11.60886</v>
      </c>
      <c r="JO39" s="21">
        <f>IF(JO$1&lt;INDEX('Valo FX'!$Q:$Q,MATCH($A39,'Valo FX'!$A:$A,0)),0,IF(JO$1&lt;INDEX('Valo FX'!$R:$R,MATCH($A39,'Valo FX'!$A:$A,0)),INDEX(Base!$U:$U,MATCH($A39,Base!$A:$A,0)),IF(JO$1=INDEX('Valo FX'!$R:$R,MATCH($A39,'Valo FX'!$A:$A,0)),INDEX(Base!$V:$V,MATCH($A39,Base!$A:$A,0)),0)))</f>
        <v>11.60886</v>
      </c>
      <c r="JP39" s="21">
        <f>IF(JP$1&lt;INDEX('Valo FX'!$Q:$Q,MATCH($A39,'Valo FX'!$A:$A,0)),0,IF(JP$1&lt;INDEX('Valo FX'!$R:$R,MATCH($A39,'Valo FX'!$A:$A,0)),INDEX(Base!$U:$U,MATCH($A39,Base!$A:$A,0)),IF(JP$1=INDEX('Valo FX'!$R:$R,MATCH($A39,'Valo FX'!$A:$A,0)),INDEX(Base!$V:$V,MATCH($A39,Base!$A:$A,0)),0)))</f>
        <v>11.60886</v>
      </c>
      <c r="JQ39" s="21">
        <f>IF(JQ$1&lt;INDEX('Valo FX'!$Q:$Q,MATCH($A39,'Valo FX'!$A:$A,0)),0,IF(JQ$1&lt;INDEX('Valo FX'!$R:$R,MATCH($A39,'Valo FX'!$A:$A,0)),INDEX(Base!$U:$U,MATCH($A39,Base!$A:$A,0)),IF(JQ$1=INDEX('Valo FX'!$R:$R,MATCH($A39,'Valo FX'!$A:$A,0)),INDEX(Base!$V:$V,MATCH($A39,Base!$A:$A,0)),0)))</f>
        <v>11.60886</v>
      </c>
      <c r="JR39" s="21">
        <f>IF(JR$1&lt;INDEX('Valo FX'!$Q:$Q,MATCH($A39,'Valo FX'!$A:$A,0)),0,IF(JR$1&lt;INDEX('Valo FX'!$R:$R,MATCH($A39,'Valo FX'!$A:$A,0)),INDEX(Base!$U:$U,MATCH($A39,Base!$A:$A,0)),IF(JR$1=INDEX('Valo FX'!$R:$R,MATCH($A39,'Valo FX'!$A:$A,0)),INDEX(Base!$V:$V,MATCH($A39,Base!$A:$A,0)),0)))</f>
        <v>11.60886</v>
      </c>
      <c r="JS39" s="21">
        <f>IF(JS$1&lt;INDEX('Valo FX'!$Q:$Q,MATCH($A39,'Valo FX'!$A:$A,0)),0,IF(JS$1&lt;INDEX('Valo FX'!$R:$R,MATCH($A39,'Valo FX'!$A:$A,0)),INDEX(Base!$U:$U,MATCH($A39,Base!$A:$A,0)),IF(JS$1=INDEX('Valo FX'!$R:$R,MATCH($A39,'Valo FX'!$A:$A,0)),INDEX(Base!$V:$V,MATCH($A39,Base!$A:$A,0)),0)))</f>
        <v>11.60886</v>
      </c>
      <c r="JT39" s="21">
        <f>IF(JT$1&lt;INDEX('Valo FX'!$Q:$Q,MATCH($A39,'Valo FX'!$A:$A,0)),0,IF(JT$1&lt;INDEX('Valo FX'!$R:$R,MATCH($A39,'Valo FX'!$A:$A,0)),INDEX(Base!$U:$U,MATCH($A39,Base!$A:$A,0)),IF(JT$1=INDEX('Valo FX'!$R:$R,MATCH($A39,'Valo FX'!$A:$A,0)),INDEX(Base!$V:$V,MATCH($A39,Base!$A:$A,0)),0)))</f>
        <v>11.60886</v>
      </c>
      <c r="JU39" s="21">
        <f>IF(JU$1&lt;INDEX('Valo FX'!$Q:$Q,MATCH($A39,'Valo FX'!$A:$A,0)),0,IF(JU$1&lt;INDEX('Valo FX'!$R:$R,MATCH($A39,'Valo FX'!$A:$A,0)),INDEX(Base!$U:$U,MATCH($A39,Base!$A:$A,0)),IF(JU$1=INDEX('Valo FX'!$R:$R,MATCH($A39,'Valo FX'!$A:$A,0)),INDEX(Base!$V:$V,MATCH($A39,Base!$A:$A,0)),0)))</f>
        <v>11.60886</v>
      </c>
      <c r="JV39" s="21">
        <f>IF(JV$1&lt;INDEX('Valo FX'!$Q:$Q,MATCH($A39,'Valo FX'!$A:$A,0)),0,IF(JV$1&lt;INDEX('Valo FX'!$R:$R,MATCH($A39,'Valo FX'!$A:$A,0)),INDEX(Base!$U:$U,MATCH($A39,Base!$A:$A,0)),IF(JV$1=INDEX('Valo FX'!$R:$R,MATCH($A39,'Valo FX'!$A:$A,0)),INDEX(Base!$V:$V,MATCH($A39,Base!$A:$A,0)),0)))</f>
        <v>11.60886</v>
      </c>
      <c r="JW39" s="21">
        <f>IF(JW$1&lt;INDEX('Valo FX'!$Q:$Q,MATCH($A39,'Valo FX'!$A:$A,0)),0,IF(JW$1&lt;INDEX('Valo FX'!$R:$R,MATCH($A39,'Valo FX'!$A:$A,0)),INDEX(Base!$U:$U,MATCH($A39,Base!$A:$A,0)),IF(JW$1=INDEX('Valo FX'!$R:$R,MATCH($A39,'Valo FX'!$A:$A,0)),INDEX(Base!$V:$V,MATCH($A39,Base!$A:$A,0)),0)))</f>
        <v>11.60886</v>
      </c>
      <c r="JX39" s="21">
        <f>IF(JX$1&lt;INDEX('Valo FX'!$Q:$Q,MATCH($A39,'Valo FX'!$A:$A,0)),0,IF(JX$1&lt;INDEX('Valo FX'!$R:$R,MATCH($A39,'Valo FX'!$A:$A,0)),INDEX(Base!$U:$U,MATCH($A39,Base!$A:$A,0)),IF(JX$1=INDEX('Valo FX'!$R:$R,MATCH($A39,'Valo FX'!$A:$A,0)),INDEX(Base!$V:$V,MATCH($A39,Base!$A:$A,0)),0)))</f>
        <v>11.60886</v>
      </c>
      <c r="JY39" s="21">
        <f>IF(JY$1&lt;INDEX('Valo FX'!$Q:$Q,MATCH($A39,'Valo FX'!$A:$A,0)),0,IF(JY$1&lt;INDEX('Valo FX'!$R:$R,MATCH($A39,'Valo FX'!$A:$A,0)),INDEX(Base!$U:$U,MATCH($A39,Base!$A:$A,0)),IF(JY$1=INDEX('Valo FX'!$R:$R,MATCH($A39,'Valo FX'!$A:$A,0)),INDEX(Base!$V:$V,MATCH($A39,Base!$A:$A,0)),0)))</f>
        <v>11.60886</v>
      </c>
      <c r="JZ39" s="21">
        <f>IF(JZ$1&lt;INDEX('Valo FX'!$Q:$Q,MATCH($A39,'Valo FX'!$A:$A,0)),0,IF(JZ$1&lt;INDEX('Valo FX'!$R:$R,MATCH($A39,'Valo FX'!$A:$A,0)),INDEX(Base!$U:$U,MATCH($A39,Base!$A:$A,0)),IF(JZ$1=INDEX('Valo FX'!$R:$R,MATCH($A39,'Valo FX'!$A:$A,0)),INDEX(Base!$V:$V,MATCH($A39,Base!$A:$A,0)),0)))</f>
        <v>11.60886</v>
      </c>
      <c r="KA39" s="21">
        <f>IF(KA$1&lt;INDEX('Valo FX'!$Q:$Q,MATCH($A39,'Valo FX'!$A:$A,0)),0,IF(KA$1&lt;INDEX('Valo FX'!$R:$R,MATCH($A39,'Valo FX'!$A:$A,0)),INDEX(Base!$U:$U,MATCH($A39,Base!$A:$A,0)),IF(KA$1=INDEX('Valo FX'!$R:$R,MATCH($A39,'Valo FX'!$A:$A,0)),INDEX(Base!$V:$V,MATCH($A39,Base!$A:$A,0)),0)))</f>
        <v>11.60886</v>
      </c>
      <c r="KB39" s="21">
        <f>IF(KB$1&lt;INDEX('Valo FX'!$Q:$Q,MATCH($A39,'Valo FX'!$A:$A,0)),0,IF(KB$1&lt;INDEX('Valo FX'!$R:$R,MATCH($A39,'Valo FX'!$A:$A,0)),INDEX(Base!$U:$U,MATCH($A39,Base!$A:$A,0)),IF(KB$1=INDEX('Valo FX'!$R:$R,MATCH($A39,'Valo FX'!$A:$A,0)),INDEX(Base!$V:$V,MATCH($A39,Base!$A:$A,0)),0)))</f>
        <v>11.60886</v>
      </c>
      <c r="KC39" s="21">
        <f>IF(KC$1&lt;INDEX('Valo FX'!$Q:$Q,MATCH($A39,'Valo FX'!$A:$A,0)),0,IF(KC$1&lt;INDEX('Valo FX'!$R:$R,MATCH($A39,'Valo FX'!$A:$A,0)),INDEX(Base!$U:$U,MATCH($A39,Base!$A:$A,0)),IF(KC$1=INDEX('Valo FX'!$R:$R,MATCH($A39,'Valo FX'!$A:$A,0)),INDEX(Base!$V:$V,MATCH($A39,Base!$A:$A,0)),0)))</f>
        <v>11.60886</v>
      </c>
      <c r="KD39" s="21">
        <f>IF(KD$1&lt;INDEX('Valo FX'!$Q:$Q,MATCH($A39,'Valo FX'!$A:$A,0)),0,IF(KD$1&lt;INDEX('Valo FX'!$R:$R,MATCH($A39,'Valo FX'!$A:$A,0)),INDEX(Base!$U:$U,MATCH($A39,Base!$A:$A,0)),IF(KD$1=INDEX('Valo FX'!$R:$R,MATCH($A39,'Valo FX'!$A:$A,0)),INDEX(Base!$V:$V,MATCH($A39,Base!$A:$A,0)),0)))</f>
        <v>11.60886</v>
      </c>
      <c r="KE39" s="21">
        <f>IF(KE$1&lt;INDEX('Valo FX'!$Q:$Q,MATCH($A39,'Valo FX'!$A:$A,0)),0,IF(KE$1&lt;INDEX('Valo FX'!$R:$R,MATCH($A39,'Valo FX'!$A:$A,0)),INDEX(Base!$U:$U,MATCH($A39,Base!$A:$A,0)),IF(KE$1=INDEX('Valo FX'!$R:$R,MATCH($A39,'Valo FX'!$A:$A,0)),INDEX(Base!$V:$V,MATCH($A39,Base!$A:$A,0)),0)))</f>
        <v>11.60886</v>
      </c>
      <c r="KF39" s="21">
        <f>IF(KF$1&lt;INDEX('Valo FX'!$Q:$Q,MATCH($A39,'Valo FX'!$A:$A,0)),0,IF(KF$1&lt;INDEX('Valo FX'!$R:$R,MATCH($A39,'Valo FX'!$A:$A,0)),INDEX(Base!$U:$U,MATCH($A39,Base!$A:$A,0)),IF(KF$1=INDEX('Valo FX'!$R:$R,MATCH($A39,'Valo FX'!$A:$A,0)),INDEX(Base!$V:$V,MATCH($A39,Base!$A:$A,0)),0)))</f>
        <v>11.60886</v>
      </c>
      <c r="KG39" s="21">
        <f>IF(KG$1&lt;INDEX('Valo FX'!$Q:$Q,MATCH($A39,'Valo FX'!$A:$A,0)),0,IF(KG$1&lt;INDEX('Valo FX'!$R:$R,MATCH($A39,'Valo FX'!$A:$A,0)),INDEX(Base!$U:$U,MATCH($A39,Base!$A:$A,0)),IF(KG$1=INDEX('Valo FX'!$R:$R,MATCH($A39,'Valo FX'!$A:$A,0)),INDEX(Base!$V:$V,MATCH($A39,Base!$A:$A,0)),0)))</f>
        <v>11.60886</v>
      </c>
      <c r="KH39" s="21">
        <f>IF(KH$1&lt;INDEX('Valo FX'!$Q:$Q,MATCH($A39,'Valo FX'!$A:$A,0)),0,IF(KH$1&lt;INDEX('Valo FX'!$R:$R,MATCH($A39,'Valo FX'!$A:$A,0)),INDEX(Base!$U:$U,MATCH($A39,Base!$A:$A,0)),IF(KH$1=INDEX('Valo FX'!$R:$R,MATCH($A39,'Valo FX'!$A:$A,0)),INDEX(Base!$V:$V,MATCH($A39,Base!$A:$A,0)),0)))</f>
        <v>11.60886</v>
      </c>
      <c r="KI39" s="21">
        <f>IF(KI$1&lt;INDEX('Valo FX'!$Q:$Q,MATCH($A39,'Valo FX'!$A:$A,0)),0,IF(KI$1&lt;INDEX('Valo FX'!$R:$R,MATCH($A39,'Valo FX'!$A:$A,0)),INDEX(Base!$U:$U,MATCH($A39,Base!$A:$A,0)),IF(KI$1=INDEX('Valo FX'!$R:$R,MATCH($A39,'Valo FX'!$A:$A,0)),INDEX(Base!$V:$V,MATCH($A39,Base!$A:$A,0)),0)))</f>
        <v>11.60886</v>
      </c>
      <c r="KJ39" s="21">
        <f>IF(KJ$1&lt;INDEX('Valo FX'!$Q:$Q,MATCH($A39,'Valo FX'!$A:$A,0)),0,IF(KJ$1&lt;INDEX('Valo FX'!$R:$R,MATCH($A39,'Valo FX'!$A:$A,0)),INDEX(Base!$U:$U,MATCH($A39,Base!$A:$A,0)),IF(KJ$1=INDEX('Valo FX'!$R:$R,MATCH($A39,'Valo FX'!$A:$A,0)),INDEX(Base!$V:$V,MATCH($A39,Base!$A:$A,0)),0)))</f>
        <v>11.60886</v>
      </c>
      <c r="KK39" s="21">
        <f>IF(KK$1&lt;INDEX('Valo FX'!$Q:$Q,MATCH($A39,'Valo FX'!$A:$A,0)),0,IF(KK$1&lt;INDEX('Valo FX'!$R:$R,MATCH($A39,'Valo FX'!$A:$A,0)),INDEX(Base!$U:$U,MATCH($A39,Base!$A:$A,0)),IF(KK$1=INDEX('Valo FX'!$R:$R,MATCH($A39,'Valo FX'!$A:$A,0)),INDEX(Base!$V:$V,MATCH($A39,Base!$A:$A,0)),0)))</f>
        <v>11.60886</v>
      </c>
      <c r="KL39" s="21">
        <f>IF(KL$1&lt;INDEX('Valo FX'!$Q:$Q,MATCH($A39,'Valo FX'!$A:$A,0)),0,IF(KL$1&lt;INDEX('Valo FX'!$R:$R,MATCH($A39,'Valo FX'!$A:$A,0)),INDEX(Base!$U:$U,MATCH($A39,Base!$A:$A,0)),IF(KL$1=INDEX('Valo FX'!$R:$R,MATCH($A39,'Valo FX'!$A:$A,0)),INDEX(Base!$V:$V,MATCH($A39,Base!$A:$A,0)),0)))</f>
        <v>11.60886</v>
      </c>
      <c r="KM39" s="21">
        <f>IF(KM$1&lt;INDEX('Valo FX'!$Q:$Q,MATCH($A39,'Valo FX'!$A:$A,0)),0,IF(KM$1&lt;INDEX('Valo FX'!$R:$R,MATCH($A39,'Valo FX'!$A:$A,0)),INDEX(Base!$U:$U,MATCH($A39,Base!$A:$A,0)),IF(KM$1=INDEX('Valo FX'!$R:$R,MATCH($A39,'Valo FX'!$A:$A,0)),INDEX(Base!$V:$V,MATCH($A39,Base!$A:$A,0)),0)))</f>
        <v>11.60886</v>
      </c>
      <c r="KN39" s="21">
        <f>IF(KN$1&lt;INDEX('Valo FX'!$Q:$Q,MATCH($A39,'Valo FX'!$A:$A,0)),0,IF(KN$1&lt;INDEX('Valo FX'!$R:$R,MATCH($A39,'Valo FX'!$A:$A,0)),INDEX(Base!$U:$U,MATCH($A39,Base!$A:$A,0)),IF(KN$1=INDEX('Valo FX'!$R:$R,MATCH($A39,'Valo FX'!$A:$A,0)),INDEX(Base!$V:$V,MATCH($A39,Base!$A:$A,0)),0)))</f>
        <v>11.60886</v>
      </c>
      <c r="KO39" s="21">
        <f>IF(KO$1&lt;INDEX('Valo FX'!$Q:$Q,MATCH($A39,'Valo FX'!$A:$A,0)),0,IF(KO$1&lt;INDEX('Valo FX'!$R:$R,MATCH($A39,'Valo FX'!$A:$A,0)),INDEX(Base!$U:$U,MATCH($A39,Base!$A:$A,0)),IF(KO$1=INDEX('Valo FX'!$R:$R,MATCH($A39,'Valo FX'!$A:$A,0)),INDEX(Base!$V:$V,MATCH($A39,Base!$A:$A,0)),0)))</f>
        <v>11.60886</v>
      </c>
      <c r="KP39" s="21">
        <f>IF(KP$1&lt;INDEX('Valo FX'!$Q:$Q,MATCH($A39,'Valo FX'!$A:$A,0)),0,IF(KP$1&lt;INDEX('Valo FX'!$R:$R,MATCH($A39,'Valo FX'!$A:$A,0)),INDEX(Base!$U:$U,MATCH($A39,Base!$A:$A,0)),IF(KP$1=INDEX('Valo FX'!$R:$R,MATCH($A39,'Valo FX'!$A:$A,0)),INDEX(Base!$V:$V,MATCH($A39,Base!$A:$A,0)),0)))</f>
        <v>11.60886</v>
      </c>
      <c r="KQ39" s="21">
        <f>IF(KQ$1&lt;INDEX('Valo FX'!$Q:$Q,MATCH($A39,'Valo FX'!$A:$A,0)),0,IF(KQ$1&lt;INDEX('Valo FX'!$R:$R,MATCH($A39,'Valo FX'!$A:$A,0)),INDEX(Base!$U:$U,MATCH($A39,Base!$A:$A,0)),IF(KQ$1=INDEX('Valo FX'!$R:$R,MATCH($A39,'Valo FX'!$A:$A,0)),INDEX(Base!$V:$V,MATCH($A39,Base!$A:$A,0)),0)))</f>
        <v>11.60886</v>
      </c>
      <c r="KR39" s="21">
        <f>IF(KR$1&lt;INDEX('Valo FX'!$Q:$Q,MATCH($A39,'Valo FX'!$A:$A,0)),0,IF(KR$1&lt;INDEX('Valo FX'!$R:$R,MATCH($A39,'Valo FX'!$A:$A,0)),INDEX(Base!$U:$U,MATCH($A39,Base!$A:$A,0)),IF(KR$1=INDEX('Valo FX'!$R:$R,MATCH($A39,'Valo FX'!$A:$A,0)),INDEX(Base!$V:$V,MATCH($A39,Base!$A:$A,0)),0)))</f>
        <v>11.60886</v>
      </c>
      <c r="KS39" s="21">
        <f>IF(KS$1&lt;INDEX('Valo FX'!$Q:$Q,MATCH($A39,'Valo FX'!$A:$A,0)),0,IF(KS$1&lt;INDEX('Valo FX'!$R:$R,MATCH($A39,'Valo FX'!$A:$A,0)),INDEX(Base!$U:$U,MATCH($A39,Base!$A:$A,0)),IF(KS$1=INDEX('Valo FX'!$R:$R,MATCH($A39,'Valo FX'!$A:$A,0)),INDEX(Base!$V:$V,MATCH($A39,Base!$A:$A,0)),0)))</f>
        <v>11.60886</v>
      </c>
      <c r="KT39" s="21">
        <f>IF(KT$1&lt;INDEX('Valo FX'!$Q:$Q,MATCH($A39,'Valo FX'!$A:$A,0)),0,IF(KT$1&lt;INDEX('Valo FX'!$R:$R,MATCH($A39,'Valo FX'!$A:$A,0)),INDEX(Base!$U:$U,MATCH($A39,Base!$A:$A,0)),IF(KT$1=INDEX('Valo FX'!$R:$R,MATCH($A39,'Valo FX'!$A:$A,0)),INDEX(Base!$V:$V,MATCH($A39,Base!$A:$A,0)),0)))</f>
        <v>11.60886</v>
      </c>
      <c r="KU39" s="21">
        <f>IF(KU$1&lt;INDEX('Valo FX'!$Q:$Q,MATCH($A39,'Valo FX'!$A:$A,0)),0,IF(KU$1&lt;INDEX('Valo FX'!$R:$R,MATCH($A39,'Valo FX'!$A:$A,0)),INDEX(Base!$U:$U,MATCH($A39,Base!$A:$A,0)),IF(KU$1=INDEX('Valo FX'!$R:$R,MATCH($A39,'Valo FX'!$A:$A,0)),INDEX(Base!$V:$V,MATCH($A39,Base!$A:$A,0)),0)))</f>
        <v>11.60886</v>
      </c>
      <c r="KV39" s="21">
        <f>IF(KV$1&lt;INDEX('Valo FX'!$Q:$Q,MATCH($A39,'Valo FX'!$A:$A,0)),0,IF(KV$1&lt;INDEX('Valo FX'!$R:$R,MATCH($A39,'Valo FX'!$A:$A,0)),INDEX(Base!$U:$U,MATCH($A39,Base!$A:$A,0)),IF(KV$1=INDEX('Valo FX'!$R:$R,MATCH($A39,'Valo FX'!$A:$A,0)),INDEX(Base!$V:$V,MATCH($A39,Base!$A:$A,0)),0)))</f>
        <v>11.60886</v>
      </c>
      <c r="KW39" s="21">
        <f>IF(KW$1&lt;INDEX('Valo FX'!$Q:$Q,MATCH($A39,'Valo FX'!$A:$A,0)),0,IF(KW$1&lt;INDEX('Valo FX'!$R:$R,MATCH($A39,'Valo FX'!$A:$A,0)),INDEX(Base!$U:$U,MATCH($A39,Base!$A:$A,0)),IF(KW$1=INDEX('Valo FX'!$R:$R,MATCH($A39,'Valo FX'!$A:$A,0)),INDEX(Base!$V:$V,MATCH($A39,Base!$A:$A,0)),0)))</f>
        <v>11.60886</v>
      </c>
      <c r="KX39" s="21">
        <f>IF(KX$1&lt;INDEX('Valo FX'!$Q:$Q,MATCH($A39,'Valo FX'!$A:$A,0)),0,IF(KX$1&lt;INDEX('Valo FX'!$R:$R,MATCH($A39,'Valo FX'!$A:$A,0)),INDEX(Base!$U:$U,MATCH($A39,Base!$A:$A,0)),IF(KX$1=INDEX('Valo FX'!$R:$R,MATCH($A39,'Valo FX'!$A:$A,0)),INDEX(Base!$V:$V,MATCH($A39,Base!$A:$A,0)),0)))</f>
        <v>11.60886</v>
      </c>
      <c r="KY39" s="21">
        <f>IF(KY$1&lt;INDEX('Valo FX'!$Q:$Q,MATCH($A39,'Valo FX'!$A:$A,0)),0,IF(KY$1&lt;INDEX('Valo FX'!$R:$R,MATCH($A39,'Valo FX'!$A:$A,0)),INDEX(Base!$U:$U,MATCH($A39,Base!$A:$A,0)),IF(KY$1=INDEX('Valo FX'!$R:$R,MATCH($A39,'Valo FX'!$A:$A,0)),INDEX(Base!$V:$V,MATCH($A39,Base!$A:$A,0)),0)))</f>
        <v>11.60886</v>
      </c>
      <c r="KZ39" s="21">
        <f>IF(KZ$1&lt;INDEX('Valo FX'!$Q:$Q,MATCH($A39,'Valo FX'!$A:$A,0)),0,IF(KZ$1&lt;INDEX('Valo FX'!$R:$R,MATCH($A39,'Valo FX'!$A:$A,0)),INDEX(Base!$U:$U,MATCH($A39,Base!$A:$A,0)),IF(KZ$1=INDEX('Valo FX'!$R:$R,MATCH($A39,'Valo FX'!$A:$A,0)),INDEX(Base!$V:$V,MATCH($A39,Base!$A:$A,0)),0)))</f>
        <v>11.60886</v>
      </c>
      <c r="LA39" s="21">
        <f>IF(LA$1&lt;INDEX('Valo FX'!$Q:$Q,MATCH($A39,'Valo FX'!$A:$A,0)),0,IF(LA$1&lt;INDEX('Valo FX'!$R:$R,MATCH($A39,'Valo FX'!$A:$A,0)),INDEX(Base!$U:$U,MATCH($A39,Base!$A:$A,0)),IF(LA$1=INDEX('Valo FX'!$R:$R,MATCH($A39,'Valo FX'!$A:$A,0)),INDEX(Base!$V:$V,MATCH($A39,Base!$A:$A,0)),0)))</f>
        <v>11.60886</v>
      </c>
      <c r="LB39" s="21">
        <f>IF(LB$1&lt;INDEX('Valo FX'!$Q:$Q,MATCH($A39,'Valo FX'!$A:$A,0)),0,IF(LB$1&lt;INDEX('Valo FX'!$R:$R,MATCH($A39,'Valo FX'!$A:$A,0)),INDEX(Base!$U:$U,MATCH($A39,Base!$A:$A,0)),IF(LB$1=INDEX('Valo FX'!$R:$R,MATCH($A39,'Valo FX'!$A:$A,0)),INDEX(Base!$V:$V,MATCH($A39,Base!$A:$A,0)),0)))</f>
        <v>11.60886</v>
      </c>
      <c r="LC39" s="21">
        <f>IF(LC$1&lt;INDEX('Valo FX'!$Q:$Q,MATCH($A39,'Valo FX'!$A:$A,0)),0,IF(LC$1&lt;INDEX('Valo FX'!$R:$R,MATCH($A39,'Valo FX'!$A:$A,0)),INDEX(Base!$U:$U,MATCH($A39,Base!$A:$A,0)),IF(LC$1=INDEX('Valo FX'!$R:$R,MATCH($A39,'Valo FX'!$A:$A,0)),INDEX(Base!$V:$V,MATCH($A39,Base!$A:$A,0)),0)))</f>
        <v>11.60886</v>
      </c>
      <c r="LD39" s="21">
        <f>IF(LD$1&lt;INDEX('Valo FX'!$Q:$Q,MATCH($A39,'Valo FX'!$A:$A,0)),0,IF(LD$1&lt;INDEX('Valo FX'!$R:$R,MATCH($A39,'Valo FX'!$A:$A,0)),INDEX(Base!$U:$U,MATCH($A39,Base!$A:$A,0)),IF(LD$1=INDEX('Valo FX'!$R:$R,MATCH($A39,'Valo FX'!$A:$A,0)),INDEX(Base!$V:$V,MATCH($A39,Base!$A:$A,0)),0)))</f>
        <v>11.60886</v>
      </c>
      <c r="LE39" s="21">
        <f>IF(LE$1&lt;INDEX('Valo FX'!$Q:$Q,MATCH($A39,'Valo FX'!$A:$A,0)),0,IF(LE$1&lt;INDEX('Valo FX'!$R:$R,MATCH($A39,'Valo FX'!$A:$A,0)),INDEX(Base!$U:$U,MATCH($A39,Base!$A:$A,0)),IF(LE$1=INDEX('Valo FX'!$R:$R,MATCH($A39,'Valo FX'!$A:$A,0)),INDEX(Base!$V:$V,MATCH($A39,Base!$A:$A,0)),0)))</f>
        <v>11.60886</v>
      </c>
      <c r="LF39" s="21">
        <f>IF(LF$1&lt;INDEX('Valo FX'!$Q:$Q,MATCH($A39,'Valo FX'!$A:$A,0)),0,IF(LF$1&lt;INDEX('Valo FX'!$R:$R,MATCH($A39,'Valo FX'!$A:$A,0)),INDEX(Base!$U:$U,MATCH($A39,Base!$A:$A,0)),IF(LF$1=INDEX('Valo FX'!$R:$R,MATCH($A39,'Valo FX'!$A:$A,0)),INDEX(Base!$V:$V,MATCH($A39,Base!$A:$A,0)),0)))</f>
        <v>11.60886</v>
      </c>
      <c r="LG39" s="21">
        <f>IF(LG$1&lt;INDEX('Valo FX'!$Q:$Q,MATCH($A39,'Valo FX'!$A:$A,0)),0,IF(LG$1&lt;INDEX('Valo FX'!$R:$R,MATCH($A39,'Valo FX'!$A:$A,0)),INDEX(Base!$U:$U,MATCH($A39,Base!$A:$A,0)),IF(LG$1=INDEX('Valo FX'!$R:$R,MATCH($A39,'Valo FX'!$A:$A,0)),INDEX(Base!$V:$V,MATCH($A39,Base!$A:$A,0)),0)))</f>
        <v>11.60886</v>
      </c>
      <c r="LH39" s="21">
        <f>IF(LH$1&lt;INDEX('Valo FX'!$Q:$Q,MATCH($A39,'Valo FX'!$A:$A,0)),0,IF(LH$1&lt;INDEX('Valo FX'!$R:$R,MATCH($A39,'Valo FX'!$A:$A,0)),INDEX(Base!$U:$U,MATCH($A39,Base!$A:$A,0)),IF(LH$1=INDEX('Valo FX'!$R:$R,MATCH($A39,'Valo FX'!$A:$A,0)),INDEX(Base!$V:$V,MATCH($A39,Base!$A:$A,0)),0)))</f>
        <v>11.60886</v>
      </c>
      <c r="LI39" s="21">
        <f>IF(LI$1&lt;INDEX('Valo FX'!$Q:$Q,MATCH($A39,'Valo FX'!$A:$A,0)),0,IF(LI$1&lt;INDEX('Valo FX'!$R:$R,MATCH($A39,'Valo FX'!$A:$A,0)),INDEX(Base!$U:$U,MATCH($A39,Base!$A:$A,0)),IF(LI$1=INDEX('Valo FX'!$R:$R,MATCH($A39,'Valo FX'!$A:$A,0)),INDEX(Base!$V:$V,MATCH($A39,Base!$A:$A,0)),0)))</f>
        <v>11.60886</v>
      </c>
      <c r="LJ39" s="21">
        <f>IF(LJ$1&lt;INDEX('Valo FX'!$Q:$Q,MATCH($A39,'Valo FX'!$A:$A,0)),0,IF(LJ$1&lt;INDEX('Valo FX'!$R:$R,MATCH($A39,'Valo FX'!$A:$A,0)),INDEX(Base!$U:$U,MATCH($A39,Base!$A:$A,0)),IF(LJ$1=INDEX('Valo FX'!$R:$R,MATCH($A39,'Valo FX'!$A:$A,0)),INDEX(Base!$V:$V,MATCH($A39,Base!$A:$A,0)),0)))</f>
        <v>11.60886</v>
      </c>
      <c r="LK39" s="21">
        <f>IF(LK$1&lt;INDEX('Valo FX'!$Q:$Q,MATCH($A39,'Valo FX'!$A:$A,0)),0,IF(LK$1&lt;INDEX('Valo FX'!$R:$R,MATCH($A39,'Valo FX'!$A:$A,0)),INDEX(Base!$U:$U,MATCH($A39,Base!$A:$A,0)),IF(LK$1=INDEX('Valo FX'!$R:$R,MATCH($A39,'Valo FX'!$A:$A,0)),INDEX(Base!$V:$V,MATCH($A39,Base!$A:$A,0)),0)))</f>
        <v>11.60886</v>
      </c>
      <c r="LL39" s="21">
        <f>IF(LL$1&lt;INDEX('Valo FX'!$Q:$Q,MATCH($A39,'Valo FX'!$A:$A,0)),0,IF(LL$1&lt;INDEX('Valo FX'!$R:$R,MATCH($A39,'Valo FX'!$A:$A,0)),INDEX(Base!$U:$U,MATCH($A39,Base!$A:$A,0)),IF(LL$1=INDEX('Valo FX'!$R:$R,MATCH($A39,'Valo FX'!$A:$A,0)),INDEX(Base!$V:$V,MATCH($A39,Base!$A:$A,0)),0)))</f>
        <v>11.60886</v>
      </c>
      <c r="LM39" s="21">
        <f>IF(LM$1&lt;INDEX('Valo FX'!$Q:$Q,MATCH($A39,'Valo FX'!$A:$A,0)),0,IF(LM$1&lt;INDEX('Valo FX'!$R:$R,MATCH($A39,'Valo FX'!$A:$A,0)),INDEX(Base!$U:$U,MATCH($A39,Base!$A:$A,0)),IF(LM$1=INDEX('Valo FX'!$R:$R,MATCH($A39,'Valo FX'!$A:$A,0)),INDEX(Base!$V:$V,MATCH($A39,Base!$A:$A,0)),0)))</f>
        <v>11.60886</v>
      </c>
      <c r="LN39" s="21">
        <f>IF(LN$1&lt;INDEX('Valo FX'!$Q:$Q,MATCH($A39,'Valo FX'!$A:$A,0)),0,IF(LN$1&lt;INDEX('Valo FX'!$R:$R,MATCH($A39,'Valo FX'!$A:$A,0)),INDEX(Base!$U:$U,MATCH($A39,Base!$A:$A,0)),IF(LN$1=INDEX('Valo FX'!$R:$R,MATCH($A39,'Valo FX'!$A:$A,0)),INDEX(Base!$V:$V,MATCH($A39,Base!$A:$A,0)),0)))</f>
        <v>11.60886</v>
      </c>
      <c r="LO39" s="21">
        <f>IF(LO$1&lt;INDEX('Valo FX'!$Q:$Q,MATCH($A39,'Valo FX'!$A:$A,0)),0,IF(LO$1&lt;INDEX('Valo FX'!$R:$R,MATCH($A39,'Valo FX'!$A:$A,0)),INDEX(Base!$U:$U,MATCH($A39,Base!$A:$A,0)),IF(LO$1=INDEX('Valo FX'!$R:$R,MATCH($A39,'Valo FX'!$A:$A,0)),INDEX(Base!$V:$V,MATCH($A39,Base!$A:$A,0)),0)))</f>
        <v>11.60886</v>
      </c>
      <c r="LP39" s="21">
        <f>IF(LP$1&lt;INDEX('Valo FX'!$Q:$Q,MATCH($A39,'Valo FX'!$A:$A,0)),0,IF(LP$1&lt;INDEX('Valo FX'!$R:$R,MATCH($A39,'Valo FX'!$A:$A,0)),INDEX(Base!$U:$U,MATCH($A39,Base!$A:$A,0)),IF(LP$1=INDEX('Valo FX'!$R:$R,MATCH($A39,'Valo FX'!$A:$A,0)),INDEX(Base!$V:$V,MATCH($A39,Base!$A:$A,0)),0)))</f>
        <v>11.60886</v>
      </c>
      <c r="LQ39" s="21">
        <f>IF(LQ$1&lt;INDEX('Valo FX'!$Q:$Q,MATCH($A39,'Valo FX'!$A:$A,0)),0,IF(LQ$1&lt;INDEX('Valo FX'!$R:$R,MATCH($A39,'Valo FX'!$A:$A,0)),INDEX(Base!$U:$U,MATCH($A39,Base!$A:$A,0)),IF(LQ$1=INDEX('Valo FX'!$R:$R,MATCH($A39,'Valo FX'!$A:$A,0)),INDEX(Base!$V:$V,MATCH($A39,Base!$A:$A,0)),0)))</f>
        <v>11.60886</v>
      </c>
      <c r="LR39" s="21">
        <f>IF(LR$1&lt;INDEX('Valo FX'!$Q:$Q,MATCH($A39,'Valo FX'!$A:$A,0)),0,IF(LR$1&lt;INDEX('Valo FX'!$R:$R,MATCH($A39,'Valo FX'!$A:$A,0)),INDEX(Base!$U:$U,MATCH($A39,Base!$A:$A,0)),IF(LR$1=INDEX('Valo FX'!$R:$R,MATCH($A39,'Valo FX'!$A:$A,0)),INDEX(Base!$V:$V,MATCH($A39,Base!$A:$A,0)),0)))</f>
        <v>11.60886</v>
      </c>
      <c r="LS39" s="21">
        <f>IF(LS$1&lt;INDEX('Valo FX'!$Q:$Q,MATCH($A39,'Valo FX'!$A:$A,0)),0,IF(LS$1&lt;INDEX('Valo FX'!$R:$R,MATCH($A39,'Valo FX'!$A:$A,0)),INDEX(Base!$U:$U,MATCH($A39,Base!$A:$A,0)),IF(LS$1=INDEX('Valo FX'!$R:$R,MATCH($A39,'Valo FX'!$A:$A,0)),INDEX(Base!$V:$V,MATCH($A39,Base!$A:$A,0)),0)))</f>
        <v>11.60886</v>
      </c>
      <c r="LT39" s="21">
        <f>IF(LT$1&lt;INDEX('Valo FX'!$Q:$Q,MATCH($A39,'Valo FX'!$A:$A,0)),0,IF(LT$1&lt;INDEX('Valo FX'!$R:$R,MATCH($A39,'Valo FX'!$A:$A,0)),INDEX(Base!$U:$U,MATCH($A39,Base!$A:$A,0)),IF(LT$1=INDEX('Valo FX'!$R:$R,MATCH($A39,'Valo FX'!$A:$A,0)),INDEX(Base!$V:$V,MATCH($A39,Base!$A:$A,0)),0)))</f>
        <v>11.60886</v>
      </c>
      <c r="LU39" s="21">
        <f>IF(LU$1&lt;INDEX('Valo FX'!$Q:$Q,MATCH($A39,'Valo FX'!$A:$A,0)),0,IF(LU$1&lt;INDEX('Valo FX'!$R:$R,MATCH($A39,'Valo FX'!$A:$A,0)),INDEX(Base!$U:$U,MATCH($A39,Base!$A:$A,0)),IF(LU$1=INDEX('Valo FX'!$R:$R,MATCH($A39,'Valo FX'!$A:$A,0)),INDEX(Base!$V:$V,MATCH($A39,Base!$A:$A,0)),0)))</f>
        <v>11.60886</v>
      </c>
      <c r="LV39" s="21">
        <f>IF(LV$1&lt;INDEX('Valo FX'!$Q:$Q,MATCH($A39,'Valo FX'!$A:$A,0)),0,IF(LV$1&lt;INDEX('Valo FX'!$R:$R,MATCH($A39,'Valo FX'!$A:$A,0)),INDEX(Base!$U:$U,MATCH($A39,Base!$A:$A,0)),IF(LV$1=INDEX('Valo FX'!$R:$R,MATCH($A39,'Valo FX'!$A:$A,0)),INDEX(Base!$V:$V,MATCH($A39,Base!$A:$A,0)),0)))</f>
        <v>11.60886</v>
      </c>
      <c r="LW39" s="21">
        <f>IF(LW$1&lt;INDEX('Valo FX'!$Q:$Q,MATCH($A39,'Valo FX'!$A:$A,0)),0,IF(LW$1&lt;INDEX('Valo FX'!$R:$R,MATCH($A39,'Valo FX'!$A:$A,0)),INDEX(Base!$U:$U,MATCH($A39,Base!$A:$A,0)),IF(LW$1=INDEX('Valo FX'!$R:$R,MATCH($A39,'Valo FX'!$A:$A,0)),INDEX(Base!$V:$V,MATCH($A39,Base!$A:$A,0)),0)))</f>
        <v>11.60886</v>
      </c>
      <c r="LX39" s="21">
        <f>IF(LX$1&lt;INDEX('Valo FX'!$Q:$Q,MATCH($A39,'Valo FX'!$A:$A,0)),0,IF(LX$1&lt;INDEX('Valo FX'!$R:$R,MATCH($A39,'Valo FX'!$A:$A,0)),INDEX(Base!$U:$U,MATCH($A39,Base!$A:$A,0)),IF(LX$1=INDEX('Valo FX'!$R:$R,MATCH($A39,'Valo FX'!$A:$A,0)),INDEX(Base!$V:$V,MATCH($A39,Base!$A:$A,0)),0)))</f>
        <v>11.60886</v>
      </c>
      <c r="LY39" s="21">
        <f>IF(LY$1&lt;INDEX('Valo FX'!$Q:$Q,MATCH($A39,'Valo FX'!$A:$A,0)),0,IF(LY$1&lt;INDEX('Valo FX'!$R:$R,MATCH($A39,'Valo FX'!$A:$A,0)),INDEX(Base!$U:$U,MATCH($A39,Base!$A:$A,0)),IF(LY$1=INDEX('Valo FX'!$R:$R,MATCH($A39,'Valo FX'!$A:$A,0)),INDEX(Base!$V:$V,MATCH($A39,Base!$A:$A,0)),0)))</f>
        <v>11.60886</v>
      </c>
      <c r="LZ39" s="21">
        <f>IF(LZ$1&lt;INDEX('Valo FX'!$Q:$Q,MATCH($A39,'Valo FX'!$A:$A,0)),0,IF(LZ$1&lt;INDEX('Valo FX'!$R:$R,MATCH($A39,'Valo FX'!$A:$A,0)),INDEX(Base!$U:$U,MATCH($A39,Base!$A:$A,0)),IF(LZ$1=INDEX('Valo FX'!$R:$R,MATCH($A39,'Valo FX'!$A:$A,0)),INDEX(Base!$V:$V,MATCH($A39,Base!$A:$A,0)),0)))</f>
        <v>11.60886</v>
      </c>
      <c r="MA39" s="21">
        <f>IF(MA$1&lt;INDEX('Valo FX'!$Q:$Q,MATCH($A39,'Valo FX'!$A:$A,0)),0,IF(MA$1&lt;INDEX('Valo FX'!$R:$R,MATCH($A39,'Valo FX'!$A:$A,0)),INDEX(Base!$U:$U,MATCH($A39,Base!$A:$A,0)),IF(MA$1=INDEX('Valo FX'!$R:$R,MATCH($A39,'Valo FX'!$A:$A,0)),INDEX(Base!$V:$V,MATCH($A39,Base!$A:$A,0)),0)))</f>
        <v>11.60886</v>
      </c>
      <c r="MB39" s="21">
        <f>IF(MB$1&lt;INDEX('Valo FX'!$Q:$Q,MATCH($A39,'Valo FX'!$A:$A,0)),0,IF(MB$1&lt;INDEX('Valo FX'!$R:$R,MATCH($A39,'Valo FX'!$A:$A,0)),INDEX(Base!$U:$U,MATCH($A39,Base!$A:$A,0)),IF(MB$1=INDEX('Valo FX'!$R:$R,MATCH($A39,'Valo FX'!$A:$A,0)),INDEX(Base!$V:$V,MATCH($A39,Base!$A:$A,0)),0)))</f>
        <v>11.60886</v>
      </c>
      <c r="MC39" s="21">
        <f>IF(MC$1&lt;INDEX('Valo FX'!$Q:$Q,MATCH($A39,'Valo FX'!$A:$A,0)),0,IF(MC$1&lt;INDEX('Valo FX'!$R:$R,MATCH($A39,'Valo FX'!$A:$A,0)),INDEX(Base!$U:$U,MATCH($A39,Base!$A:$A,0)),IF(MC$1=INDEX('Valo FX'!$R:$R,MATCH($A39,'Valo FX'!$A:$A,0)),INDEX(Base!$V:$V,MATCH($A39,Base!$A:$A,0)),0)))</f>
        <v>11.60886</v>
      </c>
      <c r="MD39" s="21">
        <f>IF(MD$1&lt;INDEX('Valo FX'!$Q:$Q,MATCH($A39,'Valo FX'!$A:$A,0)),0,IF(MD$1&lt;INDEX('Valo FX'!$R:$R,MATCH($A39,'Valo FX'!$A:$A,0)),INDEX(Base!$U:$U,MATCH($A39,Base!$A:$A,0)),IF(MD$1=INDEX('Valo FX'!$R:$R,MATCH($A39,'Valo FX'!$A:$A,0)),INDEX(Base!$V:$V,MATCH($A39,Base!$A:$A,0)),0)))</f>
        <v>11.60886</v>
      </c>
      <c r="ME39" s="21">
        <f>IF(ME$1&lt;INDEX('Valo FX'!$Q:$Q,MATCH($A39,'Valo FX'!$A:$A,0)),0,IF(ME$1&lt;INDEX('Valo FX'!$R:$R,MATCH($A39,'Valo FX'!$A:$A,0)),INDEX(Base!$U:$U,MATCH($A39,Base!$A:$A,0)),IF(ME$1=INDEX('Valo FX'!$R:$R,MATCH($A39,'Valo FX'!$A:$A,0)),INDEX(Base!$V:$V,MATCH($A39,Base!$A:$A,0)),0)))</f>
        <v>11.60886</v>
      </c>
      <c r="MF39" s="21">
        <f>IF(MF$1&lt;INDEX('Valo FX'!$Q:$Q,MATCH($A39,'Valo FX'!$A:$A,0)),0,IF(MF$1&lt;INDEX('Valo FX'!$R:$R,MATCH($A39,'Valo FX'!$A:$A,0)),INDEX(Base!$U:$U,MATCH($A39,Base!$A:$A,0)),IF(MF$1=INDEX('Valo FX'!$R:$R,MATCH($A39,'Valo FX'!$A:$A,0)),INDEX(Base!$V:$V,MATCH($A39,Base!$A:$A,0)),0)))</f>
        <v>11.60886</v>
      </c>
      <c r="MG39" s="21">
        <f>IF(MG$1&lt;INDEX('Valo FX'!$Q:$Q,MATCH($A39,'Valo FX'!$A:$A,0)),0,IF(MG$1&lt;INDEX('Valo FX'!$R:$R,MATCH($A39,'Valo FX'!$A:$A,0)),INDEX(Base!$U:$U,MATCH($A39,Base!$A:$A,0)),IF(MG$1=INDEX('Valo FX'!$R:$R,MATCH($A39,'Valo FX'!$A:$A,0)),INDEX(Base!$V:$V,MATCH($A39,Base!$A:$A,0)),0)))</f>
        <v>11.60886</v>
      </c>
      <c r="MH39" s="21">
        <f>IF(MH$1&lt;INDEX('Valo FX'!$Q:$Q,MATCH($A39,'Valo FX'!$A:$A,0)),0,IF(MH$1&lt;INDEX('Valo FX'!$R:$R,MATCH($A39,'Valo FX'!$A:$A,0)),INDEX(Base!$U:$U,MATCH($A39,Base!$A:$A,0)),IF(MH$1=INDEX('Valo FX'!$R:$R,MATCH($A39,'Valo FX'!$A:$A,0)),INDEX(Base!$V:$V,MATCH($A39,Base!$A:$A,0)),0)))</f>
        <v>11.60886</v>
      </c>
      <c r="MI39" s="21">
        <f>IF(MI$1&lt;INDEX('Valo FX'!$Q:$Q,MATCH($A39,'Valo FX'!$A:$A,0)),0,IF(MI$1&lt;INDEX('Valo FX'!$R:$R,MATCH($A39,'Valo FX'!$A:$A,0)),INDEX(Base!$U:$U,MATCH($A39,Base!$A:$A,0)),IF(MI$1=INDEX('Valo FX'!$R:$R,MATCH($A39,'Valo FX'!$A:$A,0)),INDEX(Base!$V:$V,MATCH($A39,Base!$A:$A,0)),0)))</f>
        <v>11.60886</v>
      </c>
      <c r="MJ39" s="21">
        <f>IF(MJ$1&lt;INDEX('Valo FX'!$Q:$Q,MATCH($A39,'Valo FX'!$A:$A,0)),0,IF(MJ$1&lt;INDEX('Valo FX'!$R:$R,MATCH($A39,'Valo FX'!$A:$A,0)),INDEX(Base!$U:$U,MATCH($A39,Base!$A:$A,0)),IF(MJ$1=INDEX('Valo FX'!$R:$R,MATCH($A39,'Valo FX'!$A:$A,0)),INDEX(Base!$V:$V,MATCH($A39,Base!$A:$A,0)),0)))</f>
        <v>11.60886</v>
      </c>
      <c r="MK39" s="21">
        <f>IF(MK$1&lt;INDEX('Valo FX'!$Q:$Q,MATCH($A39,'Valo FX'!$A:$A,0)),0,IF(MK$1&lt;INDEX('Valo FX'!$R:$R,MATCH($A39,'Valo FX'!$A:$A,0)),INDEX(Base!$U:$U,MATCH($A39,Base!$A:$A,0)),IF(MK$1=INDEX('Valo FX'!$R:$R,MATCH($A39,'Valo FX'!$A:$A,0)),INDEX(Base!$V:$V,MATCH($A39,Base!$A:$A,0)),0)))</f>
        <v>11.60886</v>
      </c>
      <c r="ML39" s="21">
        <f>IF(ML$1&lt;INDEX('Valo FX'!$Q:$Q,MATCH($A39,'Valo FX'!$A:$A,0)),0,IF(ML$1&lt;INDEX('Valo FX'!$R:$R,MATCH($A39,'Valo FX'!$A:$A,0)),INDEX(Base!$U:$U,MATCH($A39,Base!$A:$A,0)),IF(ML$1=INDEX('Valo FX'!$R:$R,MATCH($A39,'Valo FX'!$A:$A,0)),INDEX(Base!$V:$V,MATCH($A39,Base!$A:$A,0)),0)))</f>
        <v>11.60886</v>
      </c>
      <c r="MM39" s="21">
        <f>IF(MM$1&lt;INDEX('Valo FX'!$Q:$Q,MATCH($A39,'Valo FX'!$A:$A,0)),0,IF(MM$1&lt;INDEX('Valo FX'!$R:$R,MATCH($A39,'Valo FX'!$A:$A,0)),INDEX(Base!$U:$U,MATCH($A39,Base!$A:$A,0)),IF(MM$1=INDEX('Valo FX'!$R:$R,MATCH($A39,'Valo FX'!$A:$A,0)),INDEX(Base!$V:$V,MATCH($A39,Base!$A:$A,0)),0)))</f>
        <v>11.60886</v>
      </c>
      <c r="MN39" s="21">
        <f>IF(MN$1&lt;INDEX('Valo FX'!$Q:$Q,MATCH($A39,'Valo FX'!$A:$A,0)),0,IF(MN$1&lt;INDEX('Valo FX'!$R:$R,MATCH($A39,'Valo FX'!$A:$A,0)),INDEX(Base!$U:$U,MATCH($A39,Base!$A:$A,0)),IF(MN$1=INDEX('Valo FX'!$R:$R,MATCH($A39,'Valo FX'!$A:$A,0)),INDEX(Base!$V:$V,MATCH($A39,Base!$A:$A,0)),0)))</f>
        <v>11.60886</v>
      </c>
      <c r="MO39" s="21">
        <f>IF(MO$1&lt;INDEX('Valo FX'!$Q:$Q,MATCH($A39,'Valo FX'!$A:$A,0)),0,IF(MO$1&lt;INDEX('Valo FX'!$R:$R,MATCH($A39,'Valo FX'!$A:$A,0)),INDEX(Base!$U:$U,MATCH($A39,Base!$A:$A,0)),IF(MO$1=INDEX('Valo FX'!$R:$R,MATCH($A39,'Valo FX'!$A:$A,0)),INDEX(Base!$V:$V,MATCH($A39,Base!$A:$A,0)),0)))</f>
        <v>11.60886</v>
      </c>
      <c r="MP39" s="21">
        <f>IF(MP$1&lt;INDEX('Valo FX'!$Q:$Q,MATCH($A39,'Valo FX'!$A:$A,0)),0,IF(MP$1&lt;INDEX('Valo FX'!$R:$R,MATCH($A39,'Valo FX'!$A:$A,0)),INDEX(Base!$U:$U,MATCH($A39,Base!$A:$A,0)),IF(MP$1=INDEX('Valo FX'!$R:$R,MATCH($A39,'Valo FX'!$A:$A,0)),INDEX(Base!$V:$V,MATCH($A39,Base!$A:$A,0)),0)))</f>
        <v>11.60886</v>
      </c>
      <c r="MQ39" s="21">
        <f>IF(MQ$1&lt;INDEX('Valo FX'!$Q:$Q,MATCH($A39,'Valo FX'!$A:$A,0)),0,IF(MQ$1&lt;INDEX('Valo FX'!$R:$R,MATCH($A39,'Valo FX'!$A:$A,0)),INDEX(Base!$U:$U,MATCH($A39,Base!$A:$A,0)),IF(MQ$1=INDEX('Valo FX'!$R:$R,MATCH($A39,'Valo FX'!$A:$A,0)),INDEX(Base!$V:$V,MATCH($A39,Base!$A:$A,0)),0)))</f>
        <v>11.60886</v>
      </c>
      <c r="MR39" s="21">
        <f>IF(MR$1&lt;INDEX('Valo FX'!$Q:$Q,MATCH($A39,'Valo FX'!$A:$A,0)),0,IF(MR$1&lt;INDEX('Valo FX'!$R:$R,MATCH($A39,'Valo FX'!$A:$A,0)),INDEX(Base!$U:$U,MATCH($A39,Base!$A:$A,0)),IF(MR$1=INDEX('Valo FX'!$R:$R,MATCH($A39,'Valo FX'!$A:$A,0)),INDEX(Base!$V:$V,MATCH($A39,Base!$A:$A,0)),0)))</f>
        <v>11.60886</v>
      </c>
      <c r="MS39" s="21">
        <f>IF(MS$1&lt;INDEX('Valo FX'!$Q:$Q,MATCH($A39,'Valo FX'!$A:$A,0)),0,IF(MS$1&lt;INDEX('Valo FX'!$R:$R,MATCH($A39,'Valo FX'!$A:$A,0)),INDEX(Base!$U:$U,MATCH($A39,Base!$A:$A,0)),IF(MS$1=INDEX('Valo FX'!$R:$R,MATCH($A39,'Valo FX'!$A:$A,0)),INDEX(Base!$V:$V,MATCH($A39,Base!$A:$A,0)),0)))</f>
        <v>11.60886</v>
      </c>
      <c r="MT39" s="21">
        <f>IF(MT$1&lt;INDEX('Valo FX'!$Q:$Q,MATCH($A39,'Valo FX'!$A:$A,0)),0,IF(MT$1&lt;INDEX('Valo FX'!$R:$R,MATCH($A39,'Valo FX'!$A:$A,0)),INDEX(Base!$U:$U,MATCH($A39,Base!$A:$A,0)),IF(MT$1=INDEX('Valo FX'!$R:$R,MATCH($A39,'Valo FX'!$A:$A,0)),INDEX(Base!$V:$V,MATCH($A39,Base!$A:$A,0)),0)))</f>
        <v>11.60886</v>
      </c>
      <c r="MU39" s="21">
        <f>IF(MU$1&lt;INDEX('Valo FX'!$Q:$Q,MATCH($A39,'Valo FX'!$A:$A,0)),0,IF(MU$1&lt;INDEX('Valo FX'!$R:$R,MATCH($A39,'Valo FX'!$A:$A,0)),INDEX(Base!$U:$U,MATCH($A39,Base!$A:$A,0)),IF(MU$1=INDEX('Valo FX'!$R:$R,MATCH($A39,'Valo FX'!$A:$A,0)),INDEX(Base!$V:$V,MATCH($A39,Base!$A:$A,0)),0)))</f>
        <v>11.60886</v>
      </c>
      <c r="MV39" s="21">
        <f>IF(MV$1&lt;INDEX('Valo FX'!$Q:$Q,MATCH($A39,'Valo FX'!$A:$A,0)),0,IF(MV$1&lt;INDEX('Valo FX'!$R:$R,MATCH($A39,'Valo FX'!$A:$A,0)),INDEX(Base!$U:$U,MATCH($A39,Base!$A:$A,0)),IF(MV$1=INDEX('Valo FX'!$R:$R,MATCH($A39,'Valo FX'!$A:$A,0)),INDEX(Base!$V:$V,MATCH($A39,Base!$A:$A,0)),0)))</f>
        <v>11.60886</v>
      </c>
      <c r="MW39" s="21">
        <f>IF(MW$1&lt;INDEX('Valo FX'!$Q:$Q,MATCH($A39,'Valo FX'!$A:$A,0)),0,IF(MW$1&lt;INDEX('Valo FX'!$R:$R,MATCH($A39,'Valo FX'!$A:$A,0)),INDEX(Base!$U:$U,MATCH($A39,Base!$A:$A,0)),IF(MW$1=INDEX('Valo FX'!$R:$R,MATCH($A39,'Valo FX'!$A:$A,0)),INDEX(Base!$V:$V,MATCH($A39,Base!$A:$A,0)),0)))</f>
        <v>11.60886</v>
      </c>
      <c r="MX39" s="21">
        <f>IF(MX$1&lt;INDEX('Valo FX'!$Q:$Q,MATCH($A39,'Valo FX'!$A:$A,0)),0,IF(MX$1&lt;INDEX('Valo FX'!$R:$R,MATCH($A39,'Valo FX'!$A:$A,0)),INDEX(Base!$U:$U,MATCH($A39,Base!$A:$A,0)),IF(MX$1=INDEX('Valo FX'!$R:$R,MATCH($A39,'Valo FX'!$A:$A,0)),INDEX(Base!$V:$V,MATCH($A39,Base!$A:$A,0)),0)))</f>
        <v>11.60886</v>
      </c>
      <c r="MY39" s="21">
        <f>IF(MY$1&lt;INDEX('Valo FX'!$Q:$Q,MATCH($A39,'Valo FX'!$A:$A,0)),0,IF(MY$1&lt;INDEX('Valo FX'!$R:$R,MATCH($A39,'Valo FX'!$A:$A,0)),INDEX(Base!$U:$U,MATCH($A39,Base!$A:$A,0)),IF(MY$1=INDEX('Valo FX'!$R:$R,MATCH($A39,'Valo FX'!$A:$A,0)),INDEX(Base!$V:$V,MATCH($A39,Base!$A:$A,0)),0)))</f>
        <v>11.97235</v>
      </c>
    </row>
    <row r="40" spans="1:363" x14ac:dyDescent="0.25">
      <c r="A40" s="7">
        <f t="shared" si="12"/>
        <v>38</v>
      </c>
      <c r="B40" s="59">
        <f>-'Valo FX'!T41</f>
        <v>-929.98200725177469</v>
      </c>
      <c r="C40" s="21">
        <f>IF(C$1&lt;INDEX('Valo FX'!$Q:$Q,MATCH($A40,'Valo FX'!$A:$A,0)),0,IF(C$1&lt;INDEX('Valo FX'!$R:$R,MATCH($A40,'Valo FX'!$A:$A,0)),INDEX(Base!$U:$U,MATCH($A40,Base!$A:$A,0)),IF(C$1=INDEX('Valo FX'!$R:$R,MATCH($A40,'Valo FX'!$A:$A,0)),INDEX(Base!$V:$V,MATCH($A40,Base!$A:$A,0)),0)))</f>
        <v>0</v>
      </c>
      <c r="D40" s="21">
        <f>IF(D$1&lt;INDEX('Valo FX'!$Q:$Q,MATCH($A40,'Valo FX'!$A:$A,0)),0,IF(D$1&lt;INDEX('Valo FX'!$R:$R,MATCH($A40,'Valo FX'!$A:$A,0)),INDEX(Base!$U:$U,MATCH($A40,Base!$A:$A,0)),IF(D$1=INDEX('Valo FX'!$R:$R,MATCH($A40,'Valo FX'!$A:$A,0)),INDEX(Base!$V:$V,MATCH($A40,Base!$A:$A,0)),0)))</f>
        <v>0</v>
      </c>
      <c r="E40" s="21">
        <f>IF(E$1&lt;INDEX('Valo FX'!$Q:$Q,MATCH($A40,'Valo FX'!$A:$A,0)),0,IF(E$1&lt;INDEX('Valo FX'!$R:$R,MATCH($A40,'Valo FX'!$A:$A,0)),INDEX(Base!$U:$U,MATCH($A40,Base!$A:$A,0)),IF(E$1=INDEX('Valo FX'!$R:$R,MATCH($A40,'Valo FX'!$A:$A,0)),INDEX(Base!$V:$V,MATCH($A40,Base!$A:$A,0)),0)))</f>
        <v>0</v>
      </c>
      <c r="F40" s="21">
        <f>IF(F$1&lt;INDEX('Valo FX'!$Q:$Q,MATCH($A40,'Valo FX'!$A:$A,0)),0,IF(F$1&lt;INDEX('Valo FX'!$R:$R,MATCH($A40,'Valo FX'!$A:$A,0)),INDEX(Base!$U:$U,MATCH($A40,Base!$A:$A,0)),IF(F$1=INDEX('Valo FX'!$R:$R,MATCH($A40,'Valo FX'!$A:$A,0)),INDEX(Base!$V:$V,MATCH($A40,Base!$A:$A,0)),0)))</f>
        <v>0</v>
      </c>
      <c r="G40" s="21">
        <f>IF(G$1&lt;INDEX('Valo FX'!$Q:$Q,MATCH($A40,'Valo FX'!$A:$A,0)),0,IF(G$1&lt;INDEX('Valo FX'!$R:$R,MATCH($A40,'Valo FX'!$A:$A,0)),INDEX(Base!$U:$U,MATCH($A40,Base!$A:$A,0)),IF(G$1=INDEX('Valo FX'!$R:$R,MATCH($A40,'Valo FX'!$A:$A,0)),INDEX(Base!$V:$V,MATCH($A40,Base!$A:$A,0)),0)))</f>
        <v>0</v>
      </c>
      <c r="H40" s="21">
        <f>IF(H$1&lt;INDEX('Valo FX'!$Q:$Q,MATCH($A40,'Valo FX'!$A:$A,0)),0,IF(H$1&lt;INDEX('Valo FX'!$R:$R,MATCH($A40,'Valo FX'!$A:$A,0)),INDEX(Base!$U:$U,MATCH($A40,Base!$A:$A,0)),IF(H$1=INDEX('Valo FX'!$R:$R,MATCH($A40,'Valo FX'!$A:$A,0)),INDEX(Base!$V:$V,MATCH($A40,Base!$A:$A,0)),0)))</f>
        <v>0</v>
      </c>
      <c r="I40" s="21">
        <f>IF(I$1&lt;INDEX('Valo FX'!$Q:$Q,MATCH($A40,'Valo FX'!$A:$A,0)),0,IF(I$1&lt;INDEX('Valo FX'!$R:$R,MATCH($A40,'Valo FX'!$A:$A,0)),INDEX(Base!$U:$U,MATCH($A40,Base!$A:$A,0)),IF(I$1=INDEX('Valo FX'!$R:$R,MATCH($A40,'Valo FX'!$A:$A,0)),INDEX(Base!$V:$V,MATCH($A40,Base!$A:$A,0)),0)))</f>
        <v>6.5148159999999997</v>
      </c>
      <c r="J40" s="21">
        <f>IF(J$1&lt;INDEX('Valo FX'!$Q:$Q,MATCH($A40,'Valo FX'!$A:$A,0)),0,IF(J$1&lt;INDEX('Valo FX'!$R:$R,MATCH($A40,'Valo FX'!$A:$A,0)),INDEX(Base!$U:$U,MATCH($A40,Base!$A:$A,0)),IF(J$1=INDEX('Valo FX'!$R:$R,MATCH($A40,'Valo FX'!$A:$A,0)),INDEX(Base!$V:$V,MATCH($A40,Base!$A:$A,0)),0)))</f>
        <v>6.5148159999999997</v>
      </c>
      <c r="K40" s="21">
        <f>IF(K$1&lt;INDEX('Valo FX'!$Q:$Q,MATCH($A40,'Valo FX'!$A:$A,0)),0,IF(K$1&lt;INDEX('Valo FX'!$R:$R,MATCH($A40,'Valo FX'!$A:$A,0)),INDEX(Base!$U:$U,MATCH($A40,Base!$A:$A,0)),IF(K$1=INDEX('Valo FX'!$R:$R,MATCH($A40,'Valo FX'!$A:$A,0)),INDEX(Base!$V:$V,MATCH($A40,Base!$A:$A,0)),0)))</f>
        <v>6.5148159999999997</v>
      </c>
      <c r="L40" s="21">
        <f>IF(L$1&lt;INDEX('Valo FX'!$Q:$Q,MATCH($A40,'Valo FX'!$A:$A,0)),0,IF(L$1&lt;INDEX('Valo FX'!$R:$R,MATCH($A40,'Valo FX'!$A:$A,0)),INDEX(Base!$U:$U,MATCH($A40,Base!$A:$A,0)),IF(L$1=INDEX('Valo FX'!$R:$R,MATCH($A40,'Valo FX'!$A:$A,0)),INDEX(Base!$V:$V,MATCH($A40,Base!$A:$A,0)),0)))</f>
        <v>6.5148159999999997</v>
      </c>
      <c r="M40" s="21">
        <f>IF(M$1&lt;INDEX('Valo FX'!$Q:$Q,MATCH($A40,'Valo FX'!$A:$A,0)),0,IF(M$1&lt;INDEX('Valo FX'!$R:$R,MATCH($A40,'Valo FX'!$A:$A,0)),INDEX(Base!$U:$U,MATCH($A40,Base!$A:$A,0)),IF(M$1=INDEX('Valo FX'!$R:$R,MATCH($A40,'Valo FX'!$A:$A,0)),INDEX(Base!$V:$V,MATCH($A40,Base!$A:$A,0)),0)))</f>
        <v>6.5148159999999997</v>
      </c>
      <c r="N40" s="21">
        <f>IF(N$1&lt;INDEX('Valo FX'!$Q:$Q,MATCH($A40,'Valo FX'!$A:$A,0)),0,IF(N$1&lt;INDEX('Valo FX'!$R:$R,MATCH($A40,'Valo FX'!$A:$A,0)),INDEX(Base!$U:$U,MATCH($A40,Base!$A:$A,0)),IF(N$1=INDEX('Valo FX'!$R:$R,MATCH($A40,'Valo FX'!$A:$A,0)),INDEX(Base!$V:$V,MATCH($A40,Base!$A:$A,0)),0)))</f>
        <v>6.5148159999999997</v>
      </c>
      <c r="O40" s="21">
        <f>IF(O$1&lt;INDEX('Valo FX'!$Q:$Q,MATCH($A40,'Valo FX'!$A:$A,0)),0,IF(O$1&lt;INDEX('Valo FX'!$R:$R,MATCH($A40,'Valo FX'!$A:$A,0)),INDEX(Base!$U:$U,MATCH($A40,Base!$A:$A,0)),IF(O$1=INDEX('Valo FX'!$R:$R,MATCH($A40,'Valo FX'!$A:$A,0)),INDEX(Base!$V:$V,MATCH($A40,Base!$A:$A,0)),0)))</f>
        <v>6.5148159999999997</v>
      </c>
      <c r="P40" s="21">
        <f>IF(P$1&lt;INDEX('Valo FX'!$Q:$Q,MATCH($A40,'Valo FX'!$A:$A,0)),0,IF(P$1&lt;INDEX('Valo FX'!$R:$R,MATCH($A40,'Valo FX'!$A:$A,0)),INDEX(Base!$U:$U,MATCH($A40,Base!$A:$A,0)),IF(P$1=INDEX('Valo FX'!$R:$R,MATCH($A40,'Valo FX'!$A:$A,0)),INDEX(Base!$V:$V,MATCH($A40,Base!$A:$A,0)),0)))</f>
        <v>6.5148159999999997</v>
      </c>
      <c r="Q40" s="21">
        <f>IF(Q$1&lt;INDEX('Valo FX'!$Q:$Q,MATCH($A40,'Valo FX'!$A:$A,0)),0,IF(Q$1&lt;INDEX('Valo FX'!$R:$R,MATCH($A40,'Valo FX'!$A:$A,0)),INDEX(Base!$U:$U,MATCH($A40,Base!$A:$A,0)),IF(Q$1=INDEX('Valo FX'!$R:$R,MATCH($A40,'Valo FX'!$A:$A,0)),INDEX(Base!$V:$V,MATCH($A40,Base!$A:$A,0)),0)))</f>
        <v>6.5148159999999997</v>
      </c>
      <c r="R40" s="21">
        <f>IF(R$1&lt;INDEX('Valo FX'!$Q:$Q,MATCH($A40,'Valo FX'!$A:$A,0)),0,IF(R$1&lt;INDEX('Valo FX'!$R:$R,MATCH($A40,'Valo FX'!$A:$A,0)),INDEX(Base!$U:$U,MATCH($A40,Base!$A:$A,0)),IF(R$1=INDEX('Valo FX'!$R:$R,MATCH($A40,'Valo FX'!$A:$A,0)),INDEX(Base!$V:$V,MATCH($A40,Base!$A:$A,0)),0)))</f>
        <v>6.5148159999999997</v>
      </c>
      <c r="S40" s="21">
        <f>IF(S$1&lt;INDEX('Valo FX'!$Q:$Q,MATCH($A40,'Valo FX'!$A:$A,0)),0,IF(S$1&lt;INDEX('Valo FX'!$R:$R,MATCH($A40,'Valo FX'!$A:$A,0)),INDEX(Base!$U:$U,MATCH($A40,Base!$A:$A,0)),IF(S$1=INDEX('Valo FX'!$R:$R,MATCH($A40,'Valo FX'!$A:$A,0)),INDEX(Base!$V:$V,MATCH($A40,Base!$A:$A,0)),0)))</f>
        <v>6.5148159999999997</v>
      </c>
      <c r="T40" s="21">
        <f>IF(T$1&lt;INDEX('Valo FX'!$Q:$Q,MATCH($A40,'Valo FX'!$A:$A,0)),0,IF(T$1&lt;INDEX('Valo FX'!$R:$R,MATCH($A40,'Valo FX'!$A:$A,0)),INDEX(Base!$U:$U,MATCH($A40,Base!$A:$A,0)),IF(T$1=INDEX('Valo FX'!$R:$R,MATCH($A40,'Valo FX'!$A:$A,0)),INDEX(Base!$V:$V,MATCH($A40,Base!$A:$A,0)),0)))</f>
        <v>6.5148159999999997</v>
      </c>
      <c r="U40" s="21">
        <f>IF(U$1&lt;INDEX('Valo FX'!$Q:$Q,MATCH($A40,'Valo FX'!$A:$A,0)),0,IF(U$1&lt;INDEX('Valo FX'!$R:$R,MATCH($A40,'Valo FX'!$A:$A,0)),INDEX(Base!$U:$U,MATCH($A40,Base!$A:$A,0)),IF(U$1=INDEX('Valo FX'!$R:$R,MATCH($A40,'Valo FX'!$A:$A,0)),INDEX(Base!$V:$V,MATCH($A40,Base!$A:$A,0)),0)))</f>
        <v>6.5148159999999997</v>
      </c>
      <c r="V40" s="21">
        <f>IF(V$1&lt;INDEX('Valo FX'!$Q:$Q,MATCH($A40,'Valo FX'!$A:$A,0)),0,IF(V$1&lt;INDEX('Valo FX'!$R:$R,MATCH($A40,'Valo FX'!$A:$A,0)),INDEX(Base!$U:$U,MATCH($A40,Base!$A:$A,0)),IF(V$1=INDEX('Valo FX'!$R:$R,MATCH($A40,'Valo FX'!$A:$A,0)),INDEX(Base!$V:$V,MATCH($A40,Base!$A:$A,0)),0)))</f>
        <v>6.5148159999999997</v>
      </c>
      <c r="W40" s="21">
        <f>IF(W$1&lt;INDEX('Valo FX'!$Q:$Q,MATCH($A40,'Valo FX'!$A:$A,0)),0,IF(W$1&lt;INDEX('Valo FX'!$R:$R,MATCH($A40,'Valo FX'!$A:$A,0)),INDEX(Base!$U:$U,MATCH($A40,Base!$A:$A,0)),IF(W$1=INDEX('Valo FX'!$R:$R,MATCH($A40,'Valo FX'!$A:$A,0)),INDEX(Base!$V:$V,MATCH($A40,Base!$A:$A,0)),0)))</f>
        <v>6.5148159999999997</v>
      </c>
      <c r="X40" s="21">
        <f>IF(X$1&lt;INDEX('Valo FX'!$Q:$Q,MATCH($A40,'Valo FX'!$A:$A,0)),0,IF(X$1&lt;INDEX('Valo FX'!$R:$R,MATCH($A40,'Valo FX'!$A:$A,0)),INDEX(Base!$U:$U,MATCH($A40,Base!$A:$A,0)),IF(X$1=INDEX('Valo FX'!$R:$R,MATCH($A40,'Valo FX'!$A:$A,0)),INDEX(Base!$V:$V,MATCH($A40,Base!$A:$A,0)),0)))</f>
        <v>6.5148159999999997</v>
      </c>
      <c r="Y40" s="21">
        <f>IF(Y$1&lt;INDEX('Valo FX'!$Q:$Q,MATCH($A40,'Valo FX'!$A:$A,0)),0,IF(Y$1&lt;INDEX('Valo FX'!$R:$R,MATCH($A40,'Valo FX'!$A:$A,0)),INDEX(Base!$U:$U,MATCH($A40,Base!$A:$A,0)),IF(Y$1=INDEX('Valo FX'!$R:$R,MATCH($A40,'Valo FX'!$A:$A,0)),INDEX(Base!$V:$V,MATCH($A40,Base!$A:$A,0)),0)))</f>
        <v>6.5148159999999997</v>
      </c>
      <c r="Z40" s="21">
        <f>IF(Z$1&lt;INDEX('Valo FX'!$Q:$Q,MATCH($A40,'Valo FX'!$A:$A,0)),0,IF(Z$1&lt;INDEX('Valo FX'!$R:$R,MATCH($A40,'Valo FX'!$A:$A,0)),INDEX(Base!$U:$U,MATCH($A40,Base!$A:$A,0)),IF(Z$1=INDEX('Valo FX'!$R:$R,MATCH($A40,'Valo FX'!$A:$A,0)),INDEX(Base!$V:$V,MATCH($A40,Base!$A:$A,0)),0)))</f>
        <v>6.5148159999999997</v>
      </c>
      <c r="AA40" s="21">
        <f>IF(AA$1&lt;INDEX('Valo FX'!$Q:$Q,MATCH($A40,'Valo FX'!$A:$A,0)),0,IF(AA$1&lt;INDEX('Valo FX'!$R:$R,MATCH($A40,'Valo FX'!$A:$A,0)),INDEX(Base!$U:$U,MATCH($A40,Base!$A:$A,0)),IF(AA$1=INDEX('Valo FX'!$R:$R,MATCH($A40,'Valo FX'!$A:$A,0)),INDEX(Base!$V:$V,MATCH($A40,Base!$A:$A,0)),0)))</f>
        <v>6.5148159999999997</v>
      </c>
      <c r="AB40" s="21">
        <f>IF(AB$1&lt;INDEX('Valo FX'!$Q:$Q,MATCH($A40,'Valo FX'!$A:$A,0)),0,IF(AB$1&lt;INDEX('Valo FX'!$R:$R,MATCH($A40,'Valo FX'!$A:$A,0)),INDEX(Base!$U:$U,MATCH($A40,Base!$A:$A,0)),IF(AB$1=INDEX('Valo FX'!$R:$R,MATCH($A40,'Valo FX'!$A:$A,0)),INDEX(Base!$V:$V,MATCH($A40,Base!$A:$A,0)),0)))</f>
        <v>6.5148159999999997</v>
      </c>
      <c r="AC40" s="21">
        <f>IF(AC$1&lt;INDEX('Valo FX'!$Q:$Q,MATCH($A40,'Valo FX'!$A:$A,0)),0,IF(AC$1&lt;INDEX('Valo FX'!$R:$R,MATCH($A40,'Valo FX'!$A:$A,0)),INDEX(Base!$U:$U,MATCH($A40,Base!$A:$A,0)),IF(AC$1=INDEX('Valo FX'!$R:$R,MATCH($A40,'Valo FX'!$A:$A,0)),INDEX(Base!$V:$V,MATCH($A40,Base!$A:$A,0)),0)))</f>
        <v>6.5148159999999997</v>
      </c>
      <c r="AD40" s="21">
        <f>IF(AD$1&lt;INDEX('Valo FX'!$Q:$Q,MATCH($A40,'Valo FX'!$A:$A,0)),0,IF(AD$1&lt;INDEX('Valo FX'!$R:$R,MATCH($A40,'Valo FX'!$A:$A,0)),INDEX(Base!$U:$U,MATCH($A40,Base!$A:$A,0)),IF(AD$1=INDEX('Valo FX'!$R:$R,MATCH($A40,'Valo FX'!$A:$A,0)),INDEX(Base!$V:$V,MATCH($A40,Base!$A:$A,0)),0)))</f>
        <v>6.5148159999999997</v>
      </c>
      <c r="AE40" s="21">
        <f>IF(AE$1&lt;INDEX('Valo FX'!$Q:$Q,MATCH($A40,'Valo FX'!$A:$A,0)),0,IF(AE$1&lt;INDEX('Valo FX'!$R:$R,MATCH($A40,'Valo FX'!$A:$A,0)),INDEX(Base!$U:$U,MATCH($A40,Base!$A:$A,0)),IF(AE$1=INDEX('Valo FX'!$R:$R,MATCH($A40,'Valo FX'!$A:$A,0)),INDEX(Base!$V:$V,MATCH($A40,Base!$A:$A,0)),0)))</f>
        <v>6.5148159999999997</v>
      </c>
      <c r="AF40" s="21">
        <f>IF(AF$1&lt;INDEX('Valo FX'!$Q:$Q,MATCH($A40,'Valo FX'!$A:$A,0)),0,IF(AF$1&lt;INDEX('Valo FX'!$R:$R,MATCH($A40,'Valo FX'!$A:$A,0)),INDEX(Base!$U:$U,MATCH($A40,Base!$A:$A,0)),IF(AF$1=INDEX('Valo FX'!$R:$R,MATCH($A40,'Valo FX'!$A:$A,0)),INDEX(Base!$V:$V,MATCH($A40,Base!$A:$A,0)),0)))</f>
        <v>6.5148159999999997</v>
      </c>
      <c r="AG40" s="21">
        <f>IF(AG$1&lt;INDEX('Valo FX'!$Q:$Q,MATCH($A40,'Valo FX'!$A:$A,0)),0,IF(AG$1&lt;INDEX('Valo FX'!$R:$R,MATCH($A40,'Valo FX'!$A:$A,0)),INDEX(Base!$U:$U,MATCH($A40,Base!$A:$A,0)),IF(AG$1=INDEX('Valo FX'!$R:$R,MATCH($A40,'Valo FX'!$A:$A,0)),INDEX(Base!$V:$V,MATCH($A40,Base!$A:$A,0)),0)))</f>
        <v>6.5148159999999997</v>
      </c>
      <c r="AH40" s="21">
        <f>IF(AH$1&lt;INDEX('Valo FX'!$Q:$Q,MATCH($A40,'Valo FX'!$A:$A,0)),0,IF(AH$1&lt;INDEX('Valo FX'!$R:$R,MATCH($A40,'Valo FX'!$A:$A,0)),INDEX(Base!$U:$U,MATCH($A40,Base!$A:$A,0)),IF(AH$1=INDEX('Valo FX'!$R:$R,MATCH($A40,'Valo FX'!$A:$A,0)),INDEX(Base!$V:$V,MATCH($A40,Base!$A:$A,0)),0)))</f>
        <v>6.5148159999999997</v>
      </c>
      <c r="AI40" s="21">
        <f>IF(AI$1&lt;INDEX('Valo FX'!$Q:$Q,MATCH($A40,'Valo FX'!$A:$A,0)),0,IF(AI$1&lt;INDEX('Valo FX'!$R:$R,MATCH($A40,'Valo FX'!$A:$A,0)),INDEX(Base!$U:$U,MATCH($A40,Base!$A:$A,0)),IF(AI$1=INDEX('Valo FX'!$R:$R,MATCH($A40,'Valo FX'!$A:$A,0)),INDEX(Base!$V:$V,MATCH($A40,Base!$A:$A,0)),0)))</f>
        <v>6.5148159999999997</v>
      </c>
      <c r="AJ40" s="21">
        <f>IF(AJ$1&lt;INDEX('Valo FX'!$Q:$Q,MATCH($A40,'Valo FX'!$A:$A,0)),0,IF(AJ$1&lt;INDEX('Valo FX'!$R:$R,MATCH($A40,'Valo FX'!$A:$A,0)),INDEX(Base!$U:$U,MATCH($A40,Base!$A:$A,0)),IF(AJ$1=INDEX('Valo FX'!$R:$R,MATCH($A40,'Valo FX'!$A:$A,0)),INDEX(Base!$V:$V,MATCH($A40,Base!$A:$A,0)),0)))</f>
        <v>6.5148159999999997</v>
      </c>
      <c r="AK40" s="21">
        <f>IF(AK$1&lt;INDEX('Valo FX'!$Q:$Q,MATCH($A40,'Valo FX'!$A:$A,0)),0,IF(AK$1&lt;INDEX('Valo FX'!$R:$R,MATCH($A40,'Valo FX'!$A:$A,0)),INDEX(Base!$U:$U,MATCH($A40,Base!$A:$A,0)),IF(AK$1=INDEX('Valo FX'!$R:$R,MATCH($A40,'Valo FX'!$A:$A,0)),INDEX(Base!$V:$V,MATCH($A40,Base!$A:$A,0)),0)))</f>
        <v>6.5148159999999997</v>
      </c>
      <c r="AL40" s="21">
        <f>IF(AL$1&lt;INDEX('Valo FX'!$Q:$Q,MATCH($A40,'Valo FX'!$A:$A,0)),0,IF(AL$1&lt;INDEX('Valo FX'!$R:$R,MATCH($A40,'Valo FX'!$A:$A,0)),INDEX(Base!$U:$U,MATCH($A40,Base!$A:$A,0)),IF(AL$1=INDEX('Valo FX'!$R:$R,MATCH($A40,'Valo FX'!$A:$A,0)),INDEX(Base!$V:$V,MATCH($A40,Base!$A:$A,0)),0)))</f>
        <v>6.5148159999999997</v>
      </c>
      <c r="AM40" s="21">
        <f>IF(AM$1&lt;INDEX('Valo FX'!$Q:$Q,MATCH($A40,'Valo FX'!$A:$A,0)),0,IF(AM$1&lt;INDEX('Valo FX'!$R:$R,MATCH($A40,'Valo FX'!$A:$A,0)),INDEX(Base!$U:$U,MATCH($A40,Base!$A:$A,0)),IF(AM$1=INDEX('Valo FX'!$R:$R,MATCH($A40,'Valo FX'!$A:$A,0)),INDEX(Base!$V:$V,MATCH($A40,Base!$A:$A,0)),0)))</f>
        <v>6.5148159999999997</v>
      </c>
      <c r="AN40" s="21">
        <f>IF(AN$1&lt;INDEX('Valo FX'!$Q:$Q,MATCH($A40,'Valo FX'!$A:$A,0)),0,IF(AN$1&lt;INDEX('Valo FX'!$R:$R,MATCH($A40,'Valo FX'!$A:$A,0)),INDEX(Base!$U:$U,MATCH($A40,Base!$A:$A,0)),IF(AN$1=INDEX('Valo FX'!$R:$R,MATCH($A40,'Valo FX'!$A:$A,0)),INDEX(Base!$V:$V,MATCH($A40,Base!$A:$A,0)),0)))</f>
        <v>6.5148159999999997</v>
      </c>
      <c r="AO40" s="21">
        <f>IF(AO$1&lt;INDEX('Valo FX'!$Q:$Q,MATCH($A40,'Valo FX'!$A:$A,0)),0,IF(AO$1&lt;INDEX('Valo FX'!$R:$R,MATCH($A40,'Valo FX'!$A:$A,0)),INDEX(Base!$U:$U,MATCH($A40,Base!$A:$A,0)),IF(AO$1=INDEX('Valo FX'!$R:$R,MATCH($A40,'Valo FX'!$A:$A,0)),INDEX(Base!$V:$V,MATCH($A40,Base!$A:$A,0)),0)))</f>
        <v>6.5148159999999997</v>
      </c>
      <c r="AP40" s="21">
        <f>IF(AP$1&lt;INDEX('Valo FX'!$Q:$Q,MATCH($A40,'Valo FX'!$A:$A,0)),0,IF(AP$1&lt;INDEX('Valo FX'!$R:$R,MATCH($A40,'Valo FX'!$A:$A,0)),INDEX(Base!$U:$U,MATCH($A40,Base!$A:$A,0)),IF(AP$1=INDEX('Valo FX'!$R:$R,MATCH($A40,'Valo FX'!$A:$A,0)),INDEX(Base!$V:$V,MATCH($A40,Base!$A:$A,0)),0)))</f>
        <v>6.5148159999999997</v>
      </c>
      <c r="AQ40" s="21">
        <f>IF(AQ$1&lt;INDEX('Valo FX'!$Q:$Q,MATCH($A40,'Valo FX'!$A:$A,0)),0,IF(AQ$1&lt;INDEX('Valo FX'!$R:$R,MATCH($A40,'Valo FX'!$A:$A,0)),INDEX(Base!$U:$U,MATCH($A40,Base!$A:$A,0)),IF(AQ$1=INDEX('Valo FX'!$R:$R,MATCH($A40,'Valo FX'!$A:$A,0)),INDEX(Base!$V:$V,MATCH($A40,Base!$A:$A,0)),0)))</f>
        <v>6.5148159999999997</v>
      </c>
      <c r="AR40" s="21">
        <f>IF(AR$1&lt;INDEX('Valo FX'!$Q:$Q,MATCH($A40,'Valo FX'!$A:$A,0)),0,IF(AR$1&lt;INDEX('Valo FX'!$R:$R,MATCH($A40,'Valo FX'!$A:$A,0)),INDEX(Base!$U:$U,MATCH($A40,Base!$A:$A,0)),IF(AR$1=INDEX('Valo FX'!$R:$R,MATCH($A40,'Valo FX'!$A:$A,0)),INDEX(Base!$V:$V,MATCH($A40,Base!$A:$A,0)),0)))</f>
        <v>6.5148159999999997</v>
      </c>
      <c r="AS40" s="21">
        <f>IF(AS$1&lt;INDEX('Valo FX'!$Q:$Q,MATCH($A40,'Valo FX'!$A:$A,0)),0,IF(AS$1&lt;INDEX('Valo FX'!$R:$R,MATCH($A40,'Valo FX'!$A:$A,0)),INDEX(Base!$U:$U,MATCH($A40,Base!$A:$A,0)),IF(AS$1=INDEX('Valo FX'!$R:$R,MATCH($A40,'Valo FX'!$A:$A,0)),INDEX(Base!$V:$V,MATCH($A40,Base!$A:$A,0)),0)))</f>
        <v>6.5148159999999997</v>
      </c>
      <c r="AT40" s="21">
        <f>IF(AT$1&lt;INDEX('Valo FX'!$Q:$Q,MATCH($A40,'Valo FX'!$A:$A,0)),0,IF(AT$1&lt;INDEX('Valo FX'!$R:$R,MATCH($A40,'Valo FX'!$A:$A,0)),INDEX(Base!$U:$U,MATCH($A40,Base!$A:$A,0)),IF(AT$1=INDEX('Valo FX'!$R:$R,MATCH($A40,'Valo FX'!$A:$A,0)),INDEX(Base!$V:$V,MATCH($A40,Base!$A:$A,0)),0)))</f>
        <v>6.5148159999999997</v>
      </c>
      <c r="AU40" s="21">
        <f>IF(AU$1&lt;INDEX('Valo FX'!$Q:$Q,MATCH($A40,'Valo FX'!$A:$A,0)),0,IF(AU$1&lt;INDEX('Valo FX'!$R:$R,MATCH($A40,'Valo FX'!$A:$A,0)),INDEX(Base!$U:$U,MATCH($A40,Base!$A:$A,0)),IF(AU$1=INDEX('Valo FX'!$R:$R,MATCH($A40,'Valo FX'!$A:$A,0)),INDEX(Base!$V:$V,MATCH($A40,Base!$A:$A,0)),0)))</f>
        <v>6.5148159999999997</v>
      </c>
      <c r="AV40" s="21">
        <f>IF(AV$1&lt;INDEX('Valo FX'!$Q:$Q,MATCH($A40,'Valo FX'!$A:$A,0)),0,IF(AV$1&lt;INDEX('Valo FX'!$R:$R,MATCH($A40,'Valo FX'!$A:$A,0)),INDEX(Base!$U:$U,MATCH($A40,Base!$A:$A,0)),IF(AV$1=INDEX('Valo FX'!$R:$R,MATCH($A40,'Valo FX'!$A:$A,0)),INDEX(Base!$V:$V,MATCH($A40,Base!$A:$A,0)),0)))</f>
        <v>6.5148159999999997</v>
      </c>
      <c r="AW40" s="21">
        <f>IF(AW$1&lt;INDEX('Valo FX'!$Q:$Q,MATCH($A40,'Valo FX'!$A:$A,0)),0,IF(AW$1&lt;INDEX('Valo FX'!$R:$R,MATCH($A40,'Valo FX'!$A:$A,0)),INDEX(Base!$U:$U,MATCH($A40,Base!$A:$A,0)),IF(AW$1=INDEX('Valo FX'!$R:$R,MATCH($A40,'Valo FX'!$A:$A,0)),INDEX(Base!$V:$V,MATCH($A40,Base!$A:$A,0)),0)))</f>
        <v>6.5148159999999997</v>
      </c>
      <c r="AX40" s="21">
        <f>IF(AX$1&lt;INDEX('Valo FX'!$Q:$Q,MATCH($A40,'Valo FX'!$A:$A,0)),0,IF(AX$1&lt;INDEX('Valo FX'!$R:$R,MATCH($A40,'Valo FX'!$A:$A,0)),INDEX(Base!$U:$U,MATCH($A40,Base!$A:$A,0)),IF(AX$1=INDEX('Valo FX'!$R:$R,MATCH($A40,'Valo FX'!$A:$A,0)),INDEX(Base!$V:$V,MATCH($A40,Base!$A:$A,0)),0)))</f>
        <v>6.5148159999999997</v>
      </c>
      <c r="AY40" s="21">
        <f>IF(AY$1&lt;INDEX('Valo FX'!$Q:$Q,MATCH($A40,'Valo FX'!$A:$A,0)),0,IF(AY$1&lt;INDEX('Valo FX'!$R:$R,MATCH($A40,'Valo FX'!$A:$A,0)),INDEX(Base!$U:$U,MATCH($A40,Base!$A:$A,0)),IF(AY$1=INDEX('Valo FX'!$R:$R,MATCH($A40,'Valo FX'!$A:$A,0)),INDEX(Base!$V:$V,MATCH($A40,Base!$A:$A,0)),0)))</f>
        <v>6.5148159999999997</v>
      </c>
      <c r="AZ40" s="21">
        <f>IF(AZ$1&lt;INDEX('Valo FX'!$Q:$Q,MATCH($A40,'Valo FX'!$A:$A,0)),0,IF(AZ$1&lt;INDEX('Valo FX'!$R:$R,MATCH($A40,'Valo FX'!$A:$A,0)),INDEX(Base!$U:$U,MATCH($A40,Base!$A:$A,0)),IF(AZ$1=INDEX('Valo FX'!$R:$R,MATCH($A40,'Valo FX'!$A:$A,0)),INDEX(Base!$V:$V,MATCH($A40,Base!$A:$A,0)),0)))</f>
        <v>6.5148159999999997</v>
      </c>
      <c r="BA40" s="21">
        <f>IF(BA$1&lt;INDEX('Valo FX'!$Q:$Q,MATCH($A40,'Valo FX'!$A:$A,0)),0,IF(BA$1&lt;INDEX('Valo FX'!$R:$R,MATCH($A40,'Valo FX'!$A:$A,0)),INDEX(Base!$U:$U,MATCH($A40,Base!$A:$A,0)),IF(BA$1=INDEX('Valo FX'!$R:$R,MATCH($A40,'Valo FX'!$A:$A,0)),INDEX(Base!$V:$V,MATCH($A40,Base!$A:$A,0)),0)))</f>
        <v>6.5148159999999997</v>
      </c>
      <c r="BB40" s="21">
        <f>IF(BB$1&lt;INDEX('Valo FX'!$Q:$Q,MATCH($A40,'Valo FX'!$A:$A,0)),0,IF(BB$1&lt;INDEX('Valo FX'!$R:$R,MATCH($A40,'Valo FX'!$A:$A,0)),INDEX(Base!$U:$U,MATCH($A40,Base!$A:$A,0)),IF(BB$1=INDEX('Valo FX'!$R:$R,MATCH($A40,'Valo FX'!$A:$A,0)),INDEX(Base!$V:$V,MATCH($A40,Base!$A:$A,0)),0)))</f>
        <v>6.5148159999999997</v>
      </c>
      <c r="BC40" s="21">
        <f>IF(BC$1&lt;INDEX('Valo FX'!$Q:$Q,MATCH($A40,'Valo FX'!$A:$A,0)),0,IF(BC$1&lt;INDEX('Valo FX'!$R:$R,MATCH($A40,'Valo FX'!$A:$A,0)),INDEX(Base!$U:$U,MATCH($A40,Base!$A:$A,0)),IF(BC$1=INDEX('Valo FX'!$R:$R,MATCH($A40,'Valo FX'!$A:$A,0)),INDEX(Base!$V:$V,MATCH($A40,Base!$A:$A,0)),0)))</f>
        <v>6.5148159999999997</v>
      </c>
      <c r="BD40" s="21">
        <f>IF(BD$1&lt;INDEX('Valo FX'!$Q:$Q,MATCH($A40,'Valo FX'!$A:$A,0)),0,IF(BD$1&lt;INDEX('Valo FX'!$R:$R,MATCH($A40,'Valo FX'!$A:$A,0)),INDEX(Base!$U:$U,MATCH($A40,Base!$A:$A,0)),IF(BD$1=INDEX('Valo FX'!$R:$R,MATCH($A40,'Valo FX'!$A:$A,0)),INDEX(Base!$V:$V,MATCH($A40,Base!$A:$A,0)),0)))</f>
        <v>6.5148159999999997</v>
      </c>
      <c r="BE40" s="21">
        <f>IF(BE$1&lt;INDEX('Valo FX'!$Q:$Q,MATCH($A40,'Valo FX'!$A:$A,0)),0,IF(BE$1&lt;INDEX('Valo FX'!$R:$R,MATCH($A40,'Valo FX'!$A:$A,0)),INDEX(Base!$U:$U,MATCH($A40,Base!$A:$A,0)),IF(BE$1=INDEX('Valo FX'!$R:$R,MATCH($A40,'Valo FX'!$A:$A,0)),INDEX(Base!$V:$V,MATCH($A40,Base!$A:$A,0)),0)))</f>
        <v>6.5148159999999997</v>
      </c>
      <c r="BF40" s="21">
        <f>IF(BF$1&lt;INDEX('Valo FX'!$Q:$Q,MATCH($A40,'Valo FX'!$A:$A,0)),0,IF(BF$1&lt;INDEX('Valo FX'!$R:$R,MATCH($A40,'Valo FX'!$A:$A,0)),INDEX(Base!$U:$U,MATCH($A40,Base!$A:$A,0)),IF(BF$1=INDEX('Valo FX'!$R:$R,MATCH($A40,'Valo FX'!$A:$A,0)),INDEX(Base!$V:$V,MATCH($A40,Base!$A:$A,0)),0)))</f>
        <v>6.5148159999999997</v>
      </c>
      <c r="BG40" s="21">
        <f>IF(BG$1&lt;INDEX('Valo FX'!$Q:$Q,MATCH($A40,'Valo FX'!$A:$A,0)),0,IF(BG$1&lt;INDEX('Valo FX'!$R:$R,MATCH($A40,'Valo FX'!$A:$A,0)),INDEX(Base!$U:$U,MATCH($A40,Base!$A:$A,0)),IF(BG$1=INDEX('Valo FX'!$R:$R,MATCH($A40,'Valo FX'!$A:$A,0)),INDEX(Base!$V:$V,MATCH($A40,Base!$A:$A,0)),0)))</f>
        <v>6.5148159999999997</v>
      </c>
      <c r="BH40" s="21">
        <f>IF(BH$1&lt;INDEX('Valo FX'!$Q:$Q,MATCH($A40,'Valo FX'!$A:$A,0)),0,IF(BH$1&lt;INDEX('Valo FX'!$R:$R,MATCH($A40,'Valo FX'!$A:$A,0)),INDEX(Base!$U:$U,MATCH($A40,Base!$A:$A,0)),IF(BH$1=INDEX('Valo FX'!$R:$R,MATCH($A40,'Valo FX'!$A:$A,0)),INDEX(Base!$V:$V,MATCH($A40,Base!$A:$A,0)),0)))</f>
        <v>6.5148159999999997</v>
      </c>
      <c r="BI40" s="21">
        <f>IF(BI$1&lt;INDEX('Valo FX'!$Q:$Q,MATCH($A40,'Valo FX'!$A:$A,0)),0,IF(BI$1&lt;INDEX('Valo FX'!$R:$R,MATCH($A40,'Valo FX'!$A:$A,0)),INDEX(Base!$U:$U,MATCH($A40,Base!$A:$A,0)),IF(BI$1=INDEX('Valo FX'!$R:$R,MATCH($A40,'Valo FX'!$A:$A,0)),INDEX(Base!$V:$V,MATCH($A40,Base!$A:$A,0)),0)))</f>
        <v>6.5148159999999997</v>
      </c>
      <c r="BJ40" s="21">
        <f>IF(BJ$1&lt;INDEX('Valo FX'!$Q:$Q,MATCH($A40,'Valo FX'!$A:$A,0)),0,IF(BJ$1&lt;INDEX('Valo FX'!$R:$R,MATCH($A40,'Valo FX'!$A:$A,0)),INDEX(Base!$U:$U,MATCH($A40,Base!$A:$A,0)),IF(BJ$1=INDEX('Valo FX'!$R:$R,MATCH($A40,'Valo FX'!$A:$A,0)),INDEX(Base!$V:$V,MATCH($A40,Base!$A:$A,0)),0)))</f>
        <v>6.5148159999999997</v>
      </c>
      <c r="BK40" s="21">
        <f>IF(BK$1&lt;INDEX('Valo FX'!$Q:$Q,MATCH($A40,'Valo FX'!$A:$A,0)),0,IF(BK$1&lt;INDEX('Valo FX'!$R:$R,MATCH($A40,'Valo FX'!$A:$A,0)),INDEX(Base!$U:$U,MATCH($A40,Base!$A:$A,0)),IF(BK$1=INDEX('Valo FX'!$R:$R,MATCH($A40,'Valo FX'!$A:$A,0)),INDEX(Base!$V:$V,MATCH($A40,Base!$A:$A,0)),0)))</f>
        <v>6.5148159999999997</v>
      </c>
      <c r="BL40" s="21">
        <f>IF(BL$1&lt;INDEX('Valo FX'!$Q:$Q,MATCH($A40,'Valo FX'!$A:$A,0)),0,IF(BL$1&lt;INDEX('Valo FX'!$R:$R,MATCH($A40,'Valo FX'!$A:$A,0)),INDEX(Base!$U:$U,MATCH($A40,Base!$A:$A,0)),IF(BL$1=INDEX('Valo FX'!$R:$R,MATCH($A40,'Valo FX'!$A:$A,0)),INDEX(Base!$V:$V,MATCH($A40,Base!$A:$A,0)),0)))</f>
        <v>6.5148159999999997</v>
      </c>
      <c r="BM40" s="21">
        <f>IF(BM$1&lt;INDEX('Valo FX'!$Q:$Q,MATCH($A40,'Valo FX'!$A:$A,0)),0,IF(BM$1&lt;INDEX('Valo FX'!$R:$R,MATCH($A40,'Valo FX'!$A:$A,0)),INDEX(Base!$U:$U,MATCH($A40,Base!$A:$A,0)),IF(BM$1=INDEX('Valo FX'!$R:$R,MATCH($A40,'Valo FX'!$A:$A,0)),INDEX(Base!$V:$V,MATCH($A40,Base!$A:$A,0)),0)))</f>
        <v>6.5148159999999997</v>
      </c>
      <c r="BN40" s="21">
        <f>IF(BN$1&lt;INDEX('Valo FX'!$Q:$Q,MATCH($A40,'Valo FX'!$A:$A,0)),0,IF(BN$1&lt;INDEX('Valo FX'!$R:$R,MATCH($A40,'Valo FX'!$A:$A,0)),INDEX(Base!$U:$U,MATCH($A40,Base!$A:$A,0)),IF(BN$1=INDEX('Valo FX'!$R:$R,MATCH($A40,'Valo FX'!$A:$A,0)),INDEX(Base!$V:$V,MATCH($A40,Base!$A:$A,0)),0)))</f>
        <v>6.5148159999999997</v>
      </c>
      <c r="BO40" s="21">
        <f>IF(BO$1&lt;INDEX('Valo FX'!$Q:$Q,MATCH($A40,'Valo FX'!$A:$A,0)),0,IF(BO$1&lt;INDEX('Valo FX'!$R:$R,MATCH($A40,'Valo FX'!$A:$A,0)),INDEX(Base!$U:$U,MATCH($A40,Base!$A:$A,0)),IF(BO$1=INDEX('Valo FX'!$R:$R,MATCH($A40,'Valo FX'!$A:$A,0)),INDEX(Base!$V:$V,MATCH($A40,Base!$A:$A,0)),0)))</f>
        <v>6.5148159999999997</v>
      </c>
      <c r="BP40" s="21">
        <f>IF(BP$1&lt;INDEX('Valo FX'!$Q:$Q,MATCH($A40,'Valo FX'!$A:$A,0)),0,IF(BP$1&lt;INDEX('Valo FX'!$R:$R,MATCH($A40,'Valo FX'!$A:$A,0)),INDEX(Base!$U:$U,MATCH($A40,Base!$A:$A,0)),IF(BP$1=INDEX('Valo FX'!$R:$R,MATCH($A40,'Valo FX'!$A:$A,0)),INDEX(Base!$V:$V,MATCH($A40,Base!$A:$A,0)),0)))</f>
        <v>6.5148159999999997</v>
      </c>
      <c r="BQ40" s="21">
        <f>IF(BQ$1&lt;INDEX('Valo FX'!$Q:$Q,MATCH($A40,'Valo FX'!$A:$A,0)),0,IF(BQ$1&lt;INDEX('Valo FX'!$R:$R,MATCH($A40,'Valo FX'!$A:$A,0)),INDEX(Base!$U:$U,MATCH($A40,Base!$A:$A,0)),IF(BQ$1=INDEX('Valo FX'!$R:$R,MATCH($A40,'Valo FX'!$A:$A,0)),INDEX(Base!$V:$V,MATCH($A40,Base!$A:$A,0)),0)))</f>
        <v>6.5148159999999997</v>
      </c>
      <c r="BR40" s="21">
        <f>IF(BR$1&lt;INDEX('Valo FX'!$Q:$Q,MATCH($A40,'Valo FX'!$A:$A,0)),0,IF(BR$1&lt;INDEX('Valo FX'!$R:$R,MATCH($A40,'Valo FX'!$A:$A,0)),INDEX(Base!$U:$U,MATCH($A40,Base!$A:$A,0)),IF(BR$1=INDEX('Valo FX'!$R:$R,MATCH($A40,'Valo FX'!$A:$A,0)),INDEX(Base!$V:$V,MATCH($A40,Base!$A:$A,0)),0)))</f>
        <v>6.5148159999999997</v>
      </c>
      <c r="BS40" s="21">
        <f>IF(BS$1&lt;INDEX('Valo FX'!$Q:$Q,MATCH($A40,'Valo FX'!$A:$A,0)),0,IF(BS$1&lt;INDEX('Valo FX'!$R:$R,MATCH($A40,'Valo FX'!$A:$A,0)),INDEX(Base!$U:$U,MATCH($A40,Base!$A:$A,0)),IF(BS$1=INDEX('Valo FX'!$R:$R,MATCH($A40,'Valo FX'!$A:$A,0)),INDEX(Base!$V:$V,MATCH($A40,Base!$A:$A,0)),0)))</f>
        <v>6.5148159999999997</v>
      </c>
      <c r="BT40" s="21">
        <f>IF(BT$1&lt;INDEX('Valo FX'!$Q:$Q,MATCH($A40,'Valo FX'!$A:$A,0)),0,IF(BT$1&lt;INDEX('Valo FX'!$R:$R,MATCH($A40,'Valo FX'!$A:$A,0)),INDEX(Base!$U:$U,MATCH($A40,Base!$A:$A,0)),IF(BT$1=INDEX('Valo FX'!$R:$R,MATCH($A40,'Valo FX'!$A:$A,0)),INDEX(Base!$V:$V,MATCH($A40,Base!$A:$A,0)),0)))</f>
        <v>6.5148159999999997</v>
      </c>
      <c r="BU40" s="21">
        <f>IF(BU$1&lt;INDEX('Valo FX'!$Q:$Q,MATCH($A40,'Valo FX'!$A:$A,0)),0,IF(BU$1&lt;INDEX('Valo FX'!$R:$R,MATCH($A40,'Valo FX'!$A:$A,0)),INDEX(Base!$U:$U,MATCH($A40,Base!$A:$A,0)),IF(BU$1=INDEX('Valo FX'!$R:$R,MATCH($A40,'Valo FX'!$A:$A,0)),INDEX(Base!$V:$V,MATCH($A40,Base!$A:$A,0)),0)))</f>
        <v>6.5148159999999997</v>
      </c>
      <c r="BV40" s="21">
        <f>IF(BV$1&lt;INDEX('Valo FX'!$Q:$Q,MATCH($A40,'Valo FX'!$A:$A,0)),0,IF(BV$1&lt;INDEX('Valo FX'!$R:$R,MATCH($A40,'Valo FX'!$A:$A,0)),INDEX(Base!$U:$U,MATCH($A40,Base!$A:$A,0)),IF(BV$1=INDEX('Valo FX'!$R:$R,MATCH($A40,'Valo FX'!$A:$A,0)),INDEX(Base!$V:$V,MATCH($A40,Base!$A:$A,0)),0)))</f>
        <v>6.5148159999999997</v>
      </c>
      <c r="BW40" s="21">
        <f>IF(BW$1&lt;INDEX('Valo FX'!$Q:$Q,MATCH($A40,'Valo FX'!$A:$A,0)),0,IF(BW$1&lt;INDEX('Valo FX'!$R:$R,MATCH($A40,'Valo FX'!$A:$A,0)),INDEX(Base!$U:$U,MATCH($A40,Base!$A:$A,0)),IF(BW$1=INDEX('Valo FX'!$R:$R,MATCH($A40,'Valo FX'!$A:$A,0)),INDEX(Base!$V:$V,MATCH($A40,Base!$A:$A,0)),0)))</f>
        <v>6.5148159999999997</v>
      </c>
      <c r="BX40" s="21">
        <f>IF(BX$1&lt;INDEX('Valo FX'!$Q:$Q,MATCH($A40,'Valo FX'!$A:$A,0)),0,IF(BX$1&lt;INDEX('Valo FX'!$R:$R,MATCH($A40,'Valo FX'!$A:$A,0)),INDEX(Base!$U:$U,MATCH($A40,Base!$A:$A,0)),IF(BX$1=INDEX('Valo FX'!$R:$R,MATCH($A40,'Valo FX'!$A:$A,0)),INDEX(Base!$V:$V,MATCH($A40,Base!$A:$A,0)),0)))</f>
        <v>6.5148159999999997</v>
      </c>
      <c r="BY40" s="21">
        <f>IF(BY$1&lt;INDEX('Valo FX'!$Q:$Q,MATCH($A40,'Valo FX'!$A:$A,0)),0,IF(BY$1&lt;INDEX('Valo FX'!$R:$R,MATCH($A40,'Valo FX'!$A:$A,0)),INDEX(Base!$U:$U,MATCH($A40,Base!$A:$A,0)),IF(BY$1=INDEX('Valo FX'!$R:$R,MATCH($A40,'Valo FX'!$A:$A,0)),INDEX(Base!$V:$V,MATCH($A40,Base!$A:$A,0)),0)))</f>
        <v>6.5148159999999997</v>
      </c>
      <c r="BZ40" s="21">
        <f>IF(BZ$1&lt;INDEX('Valo FX'!$Q:$Q,MATCH($A40,'Valo FX'!$A:$A,0)),0,IF(BZ$1&lt;INDEX('Valo FX'!$R:$R,MATCH($A40,'Valo FX'!$A:$A,0)),INDEX(Base!$U:$U,MATCH($A40,Base!$A:$A,0)),IF(BZ$1=INDEX('Valo FX'!$R:$R,MATCH($A40,'Valo FX'!$A:$A,0)),INDEX(Base!$V:$V,MATCH($A40,Base!$A:$A,0)),0)))</f>
        <v>6.5148159999999997</v>
      </c>
      <c r="CA40" s="21">
        <f>IF(CA$1&lt;INDEX('Valo FX'!$Q:$Q,MATCH($A40,'Valo FX'!$A:$A,0)),0,IF(CA$1&lt;INDEX('Valo FX'!$R:$R,MATCH($A40,'Valo FX'!$A:$A,0)),INDEX(Base!$U:$U,MATCH($A40,Base!$A:$A,0)),IF(CA$1=INDEX('Valo FX'!$R:$R,MATCH($A40,'Valo FX'!$A:$A,0)),INDEX(Base!$V:$V,MATCH($A40,Base!$A:$A,0)),0)))</f>
        <v>6.5148159999999997</v>
      </c>
      <c r="CB40" s="21">
        <f>IF(CB$1&lt;INDEX('Valo FX'!$Q:$Q,MATCH($A40,'Valo FX'!$A:$A,0)),0,IF(CB$1&lt;INDEX('Valo FX'!$R:$R,MATCH($A40,'Valo FX'!$A:$A,0)),INDEX(Base!$U:$U,MATCH($A40,Base!$A:$A,0)),IF(CB$1=INDEX('Valo FX'!$R:$R,MATCH($A40,'Valo FX'!$A:$A,0)),INDEX(Base!$V:$V,MATCH($A40,Base!$A:$A,0)),0)))</f>
        <v>6.5148159999999997</v>
      </c>
      <c r="CC40" s="21">
        <f>IF(CC$1&lt;INDEX('Valo FX'!$Q:$Q,MATCH($A40,'Valo FX'!$A:$A,0)),0,IF(CC$1&lt;INDEX('Valo FX'!$R:$R,MATCH($A40,'Valo FX'!$A:$A,0)),INDEX(Base!$U:$U,MATCH($A40,Base!$A:$A,0)),IF(CC$1=INDEX('Valo FX'!$R:$R,MATCH($A40,'Valo FX'!$A:$A,0)),INDEX(Base!$V:$V,MATCH($A40,Base!$A:$A,0)),0)))</f>
        <v>6.5148159999999997</v>
      </c>
      <c r="CD40" s="21">
        <f>IF(CD$1&lt;INDEX('Valo FX'!$Q:$Q,MATCH($A40,'Valo FX'!$A:$A,0)),0,IF(CD$1&lt;INDEX('Valo FX'!$R:$R,MATCH($A40,'Valo FX'!$A:$A,0)),INDEX(Base!$U:$U,MATCH($A40,Base!$A:$A,0)),IF(CD$1=INDEX('Valo FX'!$R:$R,MATCH($A40,'Valo FX'!$A:$A,0)),INDEX(Base!$V:$V,MATCH($A40,Base!$A:$A,0)),0)))</f>
        <v>6.5148159999999997</v>
      </c>
      <c r="CE40" s="21">
        <f>IF(CE$1&lt;INDEX('Valo FX'!$Q:$Q,MATCH($A40,'Valo FX'!$A:$A,0)),0,IF(CE$1&lt;INDEX('Valo FX'!$R:$R,MATCH($A40,'Valo FX'!$A:$A,0)),INDEX(Base!$U:$U,MATCH($A40,Base!$A:$A,0)),IF(CE$1=INDEX('Valo FX'!$R:$R,MATCH($A40,'Valo FX'!$A:$A,0)),INDEX(Base!$V:$V,MATCH($A40,Base!$A:$A,0)),0)))</f>
        <v>6.5148159999999997</v>
      </c>
      <c r="CF40" s="21">
        <f>IF(CF$1&lt;INDEX('Valo FX'!$Q:$Q,MATCH($A40,'Valo FX'!$A:$A,0)),0,IF(CF$1&lt;INDEX('Valo FX'!$R:$R,MATCH($A40,'Valo FX'!$A:$A,0)),INDEX(Base!$U:$U,MATCH($A40,Base!$A:$A,0)),IF(CF$1=INDEX('Valo FX'!$R:$R,MATCH($A40,'Valo FX'!$A:$A,0)),INDEX(Base!$V:$V,MATCH($A40,Base!$A:$A,0)),0)))</f>
        <v>6.5148159999999997</v>
      </c>
      <c r="CG40" s="21">
        <f>IF(CG$1&lt;INDEX('Valo FX'!$Q:$Q,MATCH($A40,'Valo FX'!$A:$A,0)),0,IF(CG$1&lt;INDEX('Valo FX'!$R:$R,MATCH($A40,'Valo FX'!$A:$A,0)),INDEX(Base!$U:$U,MATCH($A40,Base!$A:$A,0)),IF(CG$1=INDEX('Valo FX'!$R:$R,MATCH($A40,'Valo FX'!$A:$A,0)),INDEX(Base!$V:$V,MATCH($A40,Base!$A:$A,0)),0)))</f>
        <v>6.5148159999999997</v>
      </c>
      <c r="CH40" s="21">
        <f>IF(CH$1&lt;INDEX('Valo FX'!$Q:$Q,MATCH($A40,'Valo FX'!$A:$A,0)),0,IF(CH$1&lt;INDEX('Valo FX'!$R:$R,MATCH($A40,'Valo FX'!$A:$A,0)),INDEX(Base!$U:$U,MATCH($A40,Base!$A:$A,0)),IF(CH$1=INDEX('Valo FX'!$R:$R,MATCH($A40,'Valo FX'!$A:$A,0)),INDEX(Base!$V:$V,MATCH($A40,Base!$A:$A,0)),0)))</f>
        <v>6.5148159999999997</v>
      </c>
      <c r="CI40" s="21">
        <f>IF(CI$1&lt;INDEX('Valo FX'!$Q:$Q,MATCH($A40,'Valo FX'!$A:$A,0)),0,IF(CI$1&lt;INDEX('Valo FX'!$R:$R,MATCH($A40,'Valo FX'!$A:$A,0)),INDEX(Base!$U:$U,MATCH($A40,Base!$A:$A,0)),IF(CI$1=INDEX('Valo FX'!$R:$R,MATCH($A40,'Valo FX'!$A:$A,0)),INDEX(Base!$V:$V,MATCH($A40,Base!$A:$A,0)),0)))</f>
        <v>6.5148159999999997</v>
      </c>
      <c r="CJ40" s="21">
        <f>IF(CJ$1&lt;INDEX('Valo FX'!$Q:$Q,MATCH($A40,'Valo FX'!$A:$A,0)),0,IF(CJ$1&lt;INDEX('Valo FX'!$R:$R,MATCH($A40,'Valo FX'!$A:$A,0)),INDEX(Base!$U:$U,MATCH($A40,Base!$A:$A,0)),IF(CJ$1=INDEX('Valo FX'!$R:$R,MATCH($A40,'Valo FX'!$A:$A,0)),INDEX(Base!$V:$V,MATCH($A40,Base!$A:$A,0)),0)))</f>
        <v>6.5148159999999997</v>
      </c>
      <c r="CK40" s="21">
        <f>IF(CK$1&lt;INDEX('Valo FX'!$Q:$Q,MATCH($A40,'Valo FX'!$A:$A,0)),0,IF(CK$1&lt;INDEX('Valo FX'!$R:$R,MATCH($A40,'Valo FX'!$A:$A,0)),INDEX(Base!$U:$U,MATCH($A40,Base!$A:$A,0)),IF(CK$1=INDEX('Valo FX'!$R:$R,MATCH($A40,'Valo FX'!$A:$A,0)),INDEX(Base!$V:$V,MATCH($A40,Base!$A:$A,0)),0)))</f>
        <v>6.5148159999999997</v>
      </c>
      <c r="CL40" s="21">
        <f>IF(CL$1&lt;INDEX('Valo FX'!$Q:$Q,MATCH($A40,'Valo FX'!$A:$A,0)),0,IF(CL$1&lt;INDEX('Valo FX'!$R:$R,MATCH($A40,'Valo FX'!$A:$A,0)),INDEX(Base!$U:$U,MATCH($A40,Base!$A:$A,0)),IF(CL$1=INDEX('Valo FX'!$R:$R,MATCH($A40,'Valo FX'!$A:$A,0)),INDEX(Base!$V:$V,MATCH($A40,Base!$A:$A,0)),0)))</f>
        <v>6.5148159999999997</v>
      </c>
      <c r="CM40" s="21">
        <f>IF(CM$1&lt;INDEX('Valo FX'!$Q:$Q,MATCH($A40,'Valo FX'!$A:$A,0)),0,IF(CM$1&lt;INDEX('Valo FX'!$R:$R,MATCH($A40,'Valo FX'!$A:$A,0)),INDEX(Base!$U:$U,MATCH($A40,Base!$A:$A,0)),IF(CM$1=INDEX('Valo FX'!$R:$R,MATCH($A40,'Valo FX'!$A:$A,0)),INDEX(Base!$V:$V,MATCH($A40,Base!$A:$A,0)),0)))</f>
        <v>6.5148159999999997</v>
      </c>
      <c r="CN40" s="21">
        <f>IF(CN$1&lt;INDEX('Valo FX'!$Q:$Q,MATCH($A40,'Valo FX'!$A:$A,0)),0,IF(CN$1&lt;INDEX('Valo FX'!$R:$R,MATCH($A40,'Valo FX'!$A:$A,0)),INDEX(Base!$U:$U,MATCH($A40,Base!$A:$A,0)),IF(CN$1=INDEX('Valo FX'!$R:$R,MATCH($A40,'Valo FX'!$A:$A,0)),INDEX(Base!$V:$V,MATCH($A40,Base!$A:$A,0)),0)))</f>
        <v>6.5148159999999997</v>
      </c>
      <c r="CO40" s="21">
        <f>IF(CO$1&lt;INDEX('Valo FX'!$Q:$Q,MATCH($A40,'Valo FX'!$A:$A,0)),0,IF(CO$1&lt;INDEX('Valo FX'!$R:$R,MATCH($A40,'Valo FX'!$A:$A,0)),INDEX(Base!$U:$U,MATCH($A40,Base!$A:$A,0)),IF(CO$1=INDEX('Valo FX'!$R:$R,MATCH($A40,'Valo FX'!$A:$A,0)),INDEX(Base!$V:$V,MATCH($A40,Base!$A:$A,0)),0)))</f>
        <v>6.5148159999999997</v>
      </c>
      <c r="CP40" s="21">
        <f>IF(CP$1&lt;INDEX('Valo FX'!$Q:$Q,MATCH($A40,'Valo FX'!$A:$A,0)),0,IF(CP$1&lt;INDEX('Valo FX'!$R:$R,MATCH($A40,'Valo FX'!$A:$A,0)),INDEX(Base!$U:$U,MATCH($A40,Base!$A:$A,0)),IF(CP$1=INDEX('Valo FX'!$R:$R,MATCH($A40,'Valo FX'!$A:$A,0)),INDEX(Base!$V:$V,MATCH($A40,Base!$A:$A,0)),0)))</f>
        <v>6.5148159999999997</v>
      </c>
      <c r="CQ40" s="21">
        <f>IF(CQ$1&lt;INDEX('Valo FX'!$Q:$Q,MATCH($A40,'Valo FX'!$A:$A,0)),0,IF(CQ$1&lt;INDEX('Valo FX'!$R:$R,MATCH($A40,'Valo FX'!$A:$A,0)),INDEX(Base!$U:$U,MATCH($A40,Base!$A:$A,0)),IF(CQ$1=INDEX('Valo FX'!$R:$R,MATCH($A40,'Valo FX'!$A:$A,0)),INDEX(Base!$V:$V,MATCH($A40,Base!$A:$A,0)),0)))</f>
        <v>6.5148159999999997</v>
      </c>
      <c r="CR40" s="21">
        <f>IF(CR$1&lt;INDEX('Valo FX'!$Q:$Q,MATCH($A40,'Valo FX'!$A:$A,0)),0,IF(CR$1&lt;INDEX('Valo FX'!$R:$R,MATCH($A40,'Valo FX'!$A:$A,0)),INDEX(Base!$U:$U,MATCH($A40,Base!$A:$A,0)),IF(CR$1=INDEX('Valo FX'!$R:$R,MATCH($A40,'Valo FX'!$A:$A,0)),INDEX(Base!$V:$V,MATCH($A40,Base!$A:$A,0)),0)))</f>
        <v>6.5148159999999997</v>
      </c>
      <c r="CS40" s="21">
        <f>IF(CS$1&lt;INDEX('Valo FX'!$Q:$Q,MATCH($A40,'Valo FX'!$A:$A,0)),0,IF(CS$1&lt;INDEX('Valo FX'!$R:$R,MATCH($A40,'Valo FX'!$A:$A,0)),INDEX(Base!$U:$U,MATCH($A40,Base!$A:$A,0)),IF(CS$1=INDEX('Valo FX'!$R:$R,MATCH($A40,'Valo FX'!$A:$A,0)),INDEX(Base!$V:$V,MATCH($A40,Base!$A:$A,0)),0)))</f>
        <v>6.5148159999999997</v>
      </c>
      <c r="CT40" s="21">
        <f>IF(CT$1&lt;INDEX('Valo FX'!$Q:$Q,MATCH($A40,'Valo FX'!$A:$A,0)),0,IF(CT$1&lt;INDEX('Valo FX'!$R:$R,MATCH($A40,'Valo FX'!$A:$A,0)),INDEX(Base!$U:$U,MATCH($A40,Base!$A:$A,0)),IF(CT$1=INDEX('Valo FX'!$R:$R,MATCH($A40,'Valo FX'!$A:$A,0)),INDEX(Base!$V:$V,MATCH($A40,Base!$A:$A,0)),0)))</f>
        <v>6.5148159999999997</v>
      </c>
      <c r="CU40" s="21">
        <f>IF(CU$1&lt;INDEX('Valo FX'!$Q:$Q,MATCH($A40,'Valo FX'!$A:$A,0)),0,IF(CU$1&lt;INDEX('Valo FX'!$R:$R,MATCH($A40,'Valo FX'!$A:$A,0)),INDEX(Base!$U:$U,MATCH($A40,Base!$A:$A,0)),IF(CU$1=INDEX('Valo FX'!$R:$R,MATCH($A40,'Valo FX'!$A:$A,0)),INDEX(Base!$V:$V,MATCH($A40,Base!$A:$A,0)),0)))</f>
        <v>6.5148159999999997</v>
      </c>
      <c r="CV40" s="21">
        <f>IF(CV$1&lt;INDEX('Valo FX'!$Q:$Q,MATCH($A40,'Valo FX'!$A:$A,0)),0,IF(CV$1&lt;INDEX('Valo FX'!$R:$R,MATCH($A40,'Valo FX'!$A:$A,0)),INDEX(Base!$U:$U,MATCH($A40,Base!$A:$A,0)),IF(CV$1=INDEX('Valo FX'!$R:$R,MATCH($A40,'Valo FX'!$A:$A,0)),INDEX(Base!$V:$V,MATCH($A40,Base!$A:$A,0)),0)))</f>
        <v>6.5148159999999997</v>
      </c>
      <c r="CW40" s="21">
        <f>IF(CW$1&lt;INDEX('Valo FX'!$Q:$Q,MATCH($A40,'Valo FX'!$A:$A,0)),0,IF(CW$1&lt;INDEX('Valo FX'!$R:$R,MATCH($A40,'Valo FX'!$A:$A,0)),INDEX(Base!$U:$U,MATCH($A40,Base!$A:$A,0)),IF(CW$1=INDEX('Valo FX'!$R:$R,MATCH($A40,'Valo FX'!$A:$A,0)),INDEX(Base!$V:$V,MATCH($A40,Base!$A:$A,0)),0)))</f>
        <v>6.5148159999999997</v>
      </c>
      <c r="CX40" s="21">
        <f>IF(CX$1&lt;INDEX('Valo FX'!$Q:$Q,MATCH($A40,'Valo FX'!$A:$A,0)),0,IF(CX$1&lt;INDEX('Valo FX'!$R:$R,MATCH($A40,'Valo FX'!$A:$A,0)),INDEX(Base!$U:$U,MATCH($A40,Base!$A:$A,0)),IF(CX$1=INDEX('Valo FX'!$R:$R,MATCH($A40,'Valo FX'!$A:$A,0)),INDEX(Base!$V:$V,MATCH($A40,Base!$A:$A,0)),0)))</f>
        <v>6.5148159999999997</v>
      </c>
      <c r="CY40" s="21">
        <f>IF(CY$1&lt;INDEX('Valo FX'!$Q:$Q,MATCH($A40,'Valo FX'!$A:$A,0)),0,IF(CY$1&lt;INDEX('Valo FX'!$R:$R,MATCH($A40,'Valo FX'!$A:$A,0)),INDEX(Base!$U:$U,MATCH($A40,Base!$A:$A,0)),IF(CY$1=INDEX('Valo FX'!$R:$R,MATCH($A40,'Valo FX'!$A:$A,0)),INDEX(Base!$V:$V,MATCH($A40,Base!$A:$A,0)),0)))</f>
        <v>6.5148159999999997</v>
      </c>
      <c r="CZ40" s="21">
        <f>IF(CZ$1&lt;INDEX('Valo FX'!$Q:$Q,MATCH($A40,'Valo FX'!$A:$A,0)),0,IF(CZ$1&lt;INDEX('Valo FX'!$R:$R,MATCH($A40,'Valo FX'!$A:$A,0)),INDEX(Base!$U:$U,MATCH($A40,Base!$A:$A,0)),IF(CZ$1=INDEX('Valo FX'!$R:$R,MATCH($A40,'Valo FX'!$A:$A,0)),INDEX(Base!$V:$V,MATCH($A40,Base!$A:$A,0)),0)))</f>
        <v>6.5148159999999997</v>
      </c>
      <c r="DA40" s="21">
        <f>IF(DA$1&lt;INDEX('Valo FX'!$Q:$Q,MATCH($A40,'Valo FX'!$A:$A,0)),0,IF(DA$1&lt;INDEX('Valo FX'!$R:$R,MATCH($A40,'Valo FX'!$A:$A,0)),INDEX(Base!$U:$U,MATCH($A40,Base!$A:$A,0)),IF(DA$1=INDEX('Valo FX'!$R:$R,MATCH($A40,'Valo FX'!$A:$A,0)),INDEX(Base!$V:$V,MATCH($A40,Base!$A:$A,0)),0)))</f>
        <v>6.5148159999999997</v>
      </c>
      <c r="DB40" s="21">
        <f>IF(DB$1&lt;INDEX('Valo FX'!$Q:$Q,MATCH($A40,'Valo FX'!$A:$A,0)),0,IF(DB$1&lt;INDEX('Valo FX'!$R:$R,MATCH($A40,'Valo FX'!$A:$A,0)),INDEX(Base!$U:$U,MATCH($A40,Base!$A:$A,0)),IF(DB$1=INDEX('Valo FX'!$R:$R,MATCH($A40,'Valo FX'!$A:$A,0)),INDEX(Base!$V:$V,MATCH($A40,Base!$A:$A,0)),0)))</f>
        <v>6.5148159999999997</v>
      </c>
      <c r="DC40" s="21">
        <f>IF(DC$1&lt;INDEX('Valo FX'!$Q:$Q,MATCH($A40,'Valo FX'!$A:$A,0)),0,IF(DC$1&lt;INDEX('Valo FX'!$R:$R,MATCH($A40,'Valo FX'!$A:$A,0)),INDEX(Base!$U:$U,MATCH($A40,Base!$A:$A,0)),IF(DC$1=INDEX('Valo FX'!$R:$R,MATCH($A40,'Valo FX'!$A:$A,0)),INDEX(Base!$V:$V,MATCH($A40,Base!$A:$A,0)),0)))</f>
        <v>6.5148159999999997</v>
      </c>
      <c r="DD40" s="21">
        <f>IF(DD$1&lt;INDEX('Valo FX'!$Q:$Q,MATCH($A40,'Valo FX'!$A:$A,0)),0,IF(DD$1&lt;INDEX('Valo FX'!$R:$R,MATCH($A40,'Valo FX'!$A:$A,0)),INDEX(Base!$U:$U,MATCH($A40,Base!$A:$A,0)),IF(DD$1=INDEX('Valo FX'!$R:$R,MATCH($A40,'Valo FX'!$A:$A,0)),INDEX(Base!$V:$V,MATCH($A40,Base!$A:$A,0)),0)))</f>
        <v>6.5148159999999997</v>
      </c>
      <c r="DE40" s="21">
        <f>IF(DE$1&lt;INDEX('Valo FX'!$Q:$Q,MATCH($A40,'Valo FX'!$A:$A,0)),0,IF(DE$1&lt;INDEX('Valo FX'!$R:$R,MATCH($A40,'Valo FX'!$A:$A,0)),INDEX(Base!$U:$U,MATCH($A40,Base!$A:$A,0)),IF(DE$1=INDEX('Valo FX'!$R:$R,MATCH($A40,'Valo FX'!$A:$A,0)),INDEX(Base!$V:$V,MATCH($A40,Base!$A:$A,0)),0)))</f>
        <v>6.5148159999999997</v>
      </c>
      <c r="DF40" s="21">
        <f>IF(DF$1&lt;INDEX('Valo FX'!$Q:$Q,MATCH($A40,'Valo FX'!$A:$A,0)),0,IF(DF$1&lt;INDEX('Valo FX'!$R:$R,MATCH($A40,'Valo FX'!$A:$A,0)),INDEX(Base!$U:$U,MATCH($A40,Base!$A:$A,0)),IF(DF$1=INDEX('Valo FX'!$R:$R,MATCH($A40,'Valo FX'!$A:$A,0)),INDEX(Base!$V:$V,MATCH($A40,Base!$A:$A,0)),0)))</f>
        <v>6.5148159999999997</v>
      </c>
      <c r="DG40" s="21">
        <f>IF(DG$1&lt;INDEX('Valo FX'!$Q:$Q,MATCH($A40,'Valo FX'!$A:$A,0)),0,IF(DG$1&lt;INDEX('Valo FX'!$R:$R,MATCH($A40,'Valo FX'!$A:$A,0)),INDEX(Base!$U:$U,MATCH($A40,Base!$A:$A,0)),IF(DG$1=INDEX('Valo FX'!$R:$R,MATCH($A40,'Valo FX'!$A:$A,0)),INDEX(Base!$V:$V,MATCH($A40,Base!$A:$A,0)),0)))</f>
        <v>6.5148159999999997</v>
      </c>
      <c r="DH40" s="21">
        <f>IF(DH$1&lt;INDEX('Valo FX'!$Q:$Q,MATCH($A40,'Valo FX'!$A:$A,0)),0,IF(DH$1&lt;INDEX('Valo FX'!$R:$R,MATCH($A40,'Valo FX'!$A:$A,0)),INDEX(Base!$U:$U,MATCH($A40,Base!$A:$A,0)),IF(DH$1=INDEX('Valo FX'!$R:$R,MATCH($A40,'Valo FX'!$A:$A,0)),INDEX(Base!$V:$V,MATCH($A40,Base!$A:$A,0)),0)))</f>
        <v>6.5148159999999997</v>
      </c>
      <c r="DI40" s="21">
        <f>IF(DI$1&lt;INDEX('Valo FX'!$Q:$Q,MATCH($A40,'Valo FX'!$A:$A,0)),0,IF(DI$1&lt;INDEX('Valo FX'!$R:$R,MATCH($A40,'Valo FX'!$A:$A,0)),INDEX(Base!$U:$U,MATCH($A40,Base!$A:$A,0)),IF(DI$1=INDEX('Valo FX'!$R:$R,MATCH($A40,'Valo FX'!$A:$A,0)),INDEX(Base!$V:$V,MATCH($A40,Base!$A:$A,0)),0)))</f>
        <v>6.5148159999999997</v>
      </c>
      <c r="DJ40" s="21">
        <f>IF(DJ$1&lt;INDEX('Valo FX'!$Q:$Q,MATCH($A40,'Valo FX'!$A:$A,0)),0,IF(DJ$1&lt;INDEX('Valo FX'!$R:$R,MATCH($A40,'Valo FX'!$A:$A,0)),INDEX(Base!$U:$U,MATCH($A40,Base!$A:$A,0)),IF(DJ$1=INDEX('Valo FX'!$R:$R,MATCH($A40,'Valo FX'!$A:$A,0)),INDEX(Base!$V:$V,MATCH($A40,Base!$A:$A,0)),0)))</f>
        <v>6.5148159999999997</v>
      </c>
      <c r="DK40" s="21">
        <f>IF(DK$1&lt;INDEX('Valo FX'!$Q:$Q,MATCH($A40,'Valo FX'!$A:$A,0)),0,IF(DK$1&lt;INDEX('Valo FX'!$R:$R,MATCH($A40,'Valo FX'!$A:$A,0)),INDEX(Base!$U:$U,MATCH($A40,Base!$A:$A,0)),IF(DK$1=INDEX('Valo FX'!$R:$R,MATCH($A40,'Valo FX'!$A:$A,0)),INDEX(Base!$V:$V,MATCH($A40,Base!$A:$A,0)),0)))</f>
        <v>6.5148159999999997</v>
      </c>
      <c r="DL40" s="21">
        <f>IF(DL$1&lt;INDEX('Valo FX'!$Q:$Q,MATCH($A40,'Valo FX'!$A:$A,0)),0,IF(DL$1&lt;INDEX('Valo FX'!$R:$R,MATCH($A40,'Valo FX'!$A:$A,0)),INDEX(Base!$U:$U,MATCH($A40,Base!$A:$A,0)),IF(DL$1=INDEX('Valo FX'!$R:$R,MATCH($A40,'Valo FX'!$A:$A,0)),INDEX(Base!$V:$V,MATCH($A40,Base!$A:$A,0)),0)))</f>
        <v>6.5148159999999997</v>
      </c>
      <c r="DM40" s="21">
        <f>IF(DM$1&lt;INDEX('Valo FX'!$Q:$Q,MATCH($A40,'Valo FX'!$A:$A,0)),0,IF(DM$1&lt;INDEX('Valo FX'!$R:$R,MATCH($A40,'Valo FX'!$A:$A,0)),INDEX(Base!$U:$U,MATCH($A40,Base!$A:$A,0)),IF(DM$1=INDEX('Valo FX'!$R:$R,MATCH($A40,'Valo FX'!$A:$A,0)),INDEX(Base!$V:$V,MATCH($A40,Base!$A:$A,0)),0)))</f>
        <v>6.5148159999999997</v>
      </c>
      <c r="DN40" s="21">
        <f>IF(DN$1&lt;INDEX('Valo FX'!$Q:$Q,MATCH($A40,'Valo FX'!$A:$A,0)),0,IF(DN$1&lt;INDEX('Valo FX'!$R:$R,MATCH($A40,'Valo FX'!$A:$A,0)),INDEX(Base!$U:$U,MATCH($A40,Base!$A:$A,0)),IF(DN$1=INDEX('Valo FX'!$R:$R,MATCH($A40,'Valo FX'!$A:$A,0)),INDEX(Base!$V:$V,MATCH($A40,Base!$A:$A,0)),0)))</f>
        <v>6.5148159999999997</v>
      </c>
      <c r="DO40" s="21">
        <f>IF(DO$1&lt;INDEX('Valo FX'!$Q:$Q,MATCH($A40,'Valo FX'!$A:$A,0)),0,IF(DO$1&lt;INDEX('Valo FX'!$R:$R,MATCH($A40,'Valo FX'!$A:$A,0)),INDEX(Base!$U:$U,MATCH($A40,Base!$A:$A,0)),IF(DO$1=INDEX('Valo FX'!$R:$R,MATCH($A40,'Valo FX'!$A:$A,0)),INDEX(Base!$V:$V,MATCH($A40,Base!$A:$A,0)),0)))</f>
        <v>6.5148159999999997</v>
      </c>
      <c r="DP40" s="21">
        <f>IF(DP$1&lt;INDEX('Valo FX'!$Q:$Q,MATCH($A40,'Valo FX'!$A:$A,0)),0,IF(DP$1&lt;INDEX('Valo FX'!$R:$R,MATCH($A40,'Valo FX'!$A:$A,0)),INDEX(Base!$U:$U,MATCH($A40,Base!$A:$A,0)),IF(DP$1=INDEX('Valo FX'!$R:$R,MATCH($A40,'Valo FX'!$A:$A,0)),INDEX(Base!$V:$V,MATCH($A40,Base!$A:$A,0)),0)))</f>
        <v>6.5148159999999997</v>
      </c>
      <c r="DQ40" s="21">
        <f>IF(DQ$1&lt;INDEX('Valo FX'!$Q:$Q,MATCH($A40,'Valo FX'!$A:$A,0)),0,IF(DQ$1&lt;INDEX('Valo FX'!$R:$R,MATCH($A40,'Valo FX'!$A:$A,0)),INDEX(Base!$U:$U,MATCH($A40,Base!$A:$A,0)),IF(DQ$1=INDEX('Valo FX'!$R:$R,MATCH($A40,'Valo FX'!$A:$A,0)),INDEX(Base!$V:$V,MATCH($A40,Base!$A:$A,0)),0)))</f>
        <v>6.5148159999999997</v>
      </c>
      <c r="DR40" s="21">
        <f>IF(DR$1&lt;INDEX('Valo FX'!$Q:$Q,MATCH($A40,'Valo FX'!$A:$A,0)),0,IF(DR$1&lt;INDEX('Valo FX'!$R:$R,MATCH($A40,'Valo FX'!$A:$A,0)),INDEX(Base!$U:$U,MATCH($A40,Base!$A:$A,0)),IF(DR$1=INDEX('Valo FX'!$R:$R,MATCH($A40,'Valo FX'!$A:$A,0)),INDEX(Base!$V:$V,MATCH($A40,Base!$A:$A,0)),0)))</f>
        <v>6.5148159999999997</v>
      </c>
      <c r="DS40" s="21">
        <f>IF(DS$1&lt;INDEX('Valo FX'!$Q:$Q,MATCH($A40,'Valo FX'!$A:$A,0)),0,IF(DS$1&lt;INDEX('Valo FX'!$R:$R,MATCH($A40,'Valo FX'!$A:$A,0)),INDEX(Base!$U:$U,MATCH($A40,Base!$A:$A,0)),IF(DS$1=INDEX('Valo FX'!$R:$R,MATCH($A40,'Valo FX'!$A:$A,0)),INDEX(Base!$V:$V,MATCH($A40,Base!$A:$A,0)),0)))</f>
        <v>6.5148159999999997</v>
      </c>
      <c r="DT40" s="21">
        <f>IF(DT$1&lt;INDEX('Valo FX'!$Q:$Q,MATCH($A40,'Valo FX'!$A:$A,0)),0,IF(DT$1&lt;INDEX('Valo FX'!$R:$R,MATCH($A40,'Valo FX'!$A:$A,0)),INDEX(Base!$U:$U,MATCH($A40,Base!$A:$A,0)),IF(DT$1=INDEX('Valo FX'!$R:$R,MATCH($A40,'Valo FX'!$A:$A,0)),INDEX(Base!$V:$V,MATCH($A40,Base!$A:$A,0)),0)))</f>
        <v>6.5148159999999997</v>
      </c>
      <c r="DU40" s="21">
        <f>IF(DU$1&lt;INDEX('Valo FX'!$Q:$Q,MATCH($A40,'Valo FX'!$A:$A,0)),0,IF(DU$1&lt;INDEX('Valo FX'!$R:$R,MATCH($A40,'Valo FX'!$A:$A,0)),INDEX(Base!$U:$U,MATCH($A40,Base!$A:$A,0)),IF(DU$1=INDEX('Valo FX'!$R:$R,MATCH($A40,'Valo FX'!$A:$A,0)),INDEX(Base!$V:$V,MATCH($A40,Base!$A:$A,0)),0)))</f>
        <v>6.5148159999999997</v>
      </c>
      <c r="DV40" s="21">
        <f>IF(DV$1&lt;INDEX('Valo FX'!$Q:$Q,MATCH($A40,'Valo FX'!$A:$A,0)),0,IF(DV$1&lt;INDEX('Valo FX'!$R:$R,MATCH($A40,'Valo FX'!$A:$A,0)),INDEX(Base!$U:$U,MATCH($A40,Base!$A:$A,0)),IF(DV$1=INDEX('Valo FX'!$R:$R,MATCH($A40,'Valo FX'!$A:$A,0)),INDEX(Base!$V:$V,MATCH($A40,Base!$A:$A,0)),0)))</f>
        <v>6.5148159999999997</v>
      </c>
      <c r="DW40" s="21">
        <f>IF(DW$1&lt;INDEX('Valo FX'!$Q:$Q,MATCH($A40,'Valo FX'!$A:$A,0)),0,IF(DW$1&lt;INDEX('Valo FX'!$R:$R,MATCH($A40,'Valo FX'!$A:$A,0)),INDEX(Base!$U:$U,MATCH($A40,Base!$A:$A,0)),IF(DW$1=INDEX('Valo FX'!$R:$R,MATCH($A40,'Valo FX'!$A:$A,0)),INDEX(Base!$V:$V,MATCH($A40,Base!$A:$A,0)),0)))</f>
        <v>6.5148159999999997</v>
      </c>
      <c r="DX40" s="21">
        <f>IF(DX$1&lt;INDEX('Valo FX'!$Q:$Q,MATCH($A40,'Valo FX'!$A:$A,0)),0,IF(DX$1&lt;INDEX('Valo FX'!$R:$R,MATCH($A40,'Valo FX'!$A:$A,0)),INDEX(Base!$U:$U,MATCH($A40,Base!$A:$A,0)),IF(DX$1=INDEX('Valo FX'!$R:$R,MATCH($A40,'Valo FX'!$A:$A,0)),INDEX(Base!$V:$V,MATCH($A40,Base!$A:$A,0)),0)))</f>
        <v>6.5148159999999997</v>
      </c>
      <c r="DY40" s="21">
        <f>IF(DY$1&lt;INDEX('Valo FX'!$Q:$Q,MATCH($A40,'Valo FX'!$A:$A,0)),0,IF(DY$1&lt;INDEX('Valo FX'!$R:$R,MATCH($A40,'Valo FX'!$A:$A,0)),INDEX(Base!$U:$U,MATCH($A40,Base!$A:$A,0)),IF(DY$1=INDEX('Valo FX'!$R:$R,MATCH($A40,'Valo FX'!$A:$A,0)),INDEX(Base!$V:$V,MATCH($A40,Base!$A:$A,0)),0)))</f>
        <v>6.5148159999999997</v>
      </c>
      <c r="DZ40" s="21">
        <f>IF(DZ$1&lt;INDEX('Valo FX'!$Q:$Q,MATCH($A40,'Valo FX'!$A:$A,0)),0,IF(DZ$1&lt;INDEX('Valo FX'!$R:$R,MATCH($A40,'Valo FX'!$A:$A,0)),INDEX(Base!$U:$U,MATCH($A40,Base!$A:$A,0)),IF(DZ$1=INDEX('Valo FX'!$R:$R,MATCH($A40,'Valo FX'!$A:$A,0)),INDEX(Base!$V:$V,MATCH($A40,Base!$A:$A,0)),0)))</f>
        <v>6.5148159999999997</v>
      </c>
      <c r="EA40" s="21">
        <f>IF(EA$1&lt;INDEX('Valo FX'!$Q:$Q,MATCH($A40,'Valo FX'!$A:$A,0)),0,IF(EA$1&lt;INDEX('Valo FX'!$R:$R,MATCH($A40,'Valo FX'!$A:$A,0)),INDEX(Base!$U:$U,MATCH($A40,Base!$A:$A,0)),IF(EA$1=INDEX('Valo FX'!$R:$R,MATCH($A40,'Valo FX'!$A:$A,0)),INDEX(Base!$V:$V,MATCH($A40,Base!$A:$A,0)),0)))</f>
        <v>6.5148159999999997</v>
      </c>
      <c r="EB40" s="21">
        <f>IF(EB$1&lt;INDEX('Valo FX'!$Q:$Q,MATCH($A40,'Valo FX'!$A:$A,0)),0,IF(EB$1&lt;INDEX('Valo FX'!$R:$R,MATCH($A40,'Valo FX'!$A:$A,0)),INDEX(Base!$U:$U,MATCH($A40,Base!$A:$A,0)),IF(EB$1=INDEX('Valo FX'!$R:$R,MATCH($A40,'Valo FX'!$A:$A,0)),INDEX(Base!$V:$V,MATCH($A40,Base!$A:$A,0)),0)))</f>
        <v>6.5148159999999997</v>
      </c>
      <c r="EC40" s="21">
        <f>IF(EC$1&lt;INDEX('Valo FX'!$Q:$Q,MATCH($A40,'Valo FX'!$A:$A,0)),0,IF(EC$1&lt;INDEX('Valo FX'!$R:$R,MATCH($A40,'Valo FX'!$A:$A,0)),INDEX(Base!$U:$U,MATCH($A40,Base!$A:$A,0)),IF(EC$1=INDEX('Valo FX'!$R:$R,MATCH($A40,'Valo FX'!$A:$A,0)),INDEX(Base!$V:$V,MATCH($A40,Base!$A:$A,0)),0)))</f>
        <v>6.5148159999999997</v>
      </c>
      <c r="ED40" s="21">
        <f>IF(ED$1&lt;INDEX('Valo FX'!$Q:$Q,MATCH($A40,'Valo FX'!$A:$A,0)),0,IF(ED$1&lt;INDEX('Valo FX'!$R:$R,MATCH($A40,'Valo FX'!$A:$A,0)),INDEX(Base!$U:$U,MATCH($A40,Base!$A:$A,0)),IF(ED$1=INDEX('Valo FX'!$R:$R,MATCH($A40,'Valo FX'!$A:$A,0)),INDEX(Base!$V:$V,MATCH($A40,Base!$A:$A,0)),0)))</f>
        <v>6.5148159999999997</v>
      </c>
      <c r="EE40" s="21">
        <f>IF(EE$1&lt;INDEX('Valo FX'!$Q:$Q,MATCH($A40,'Valo FX'!$A:$A,0)),0,IF(EE$1&lt;INDEX('Valo FX'!$R:$R,MATCH($A40,'Valo FX'!$A:$A,0)),INDEX(Base!$U:$U,MATCH($A40,Base!$A:$A,0)),IF(EE$1=INDEX('Valo FX'!$R:$R,MATCH($A40,'Valo FX'!$A:$A,0)),INDEX(Base!$V:$V,MATCH($A40,Base!$A:$A,0)),0)))</f>
        <v>6.5148159999999997</v>
      </c>
      <c r="EF40" s="21">
        <f>IF(EF$1&lt;INDEX('Valo FX'!$Q:$Q,MATCH($A40,'Valo FX'!$A:$A,0)),0,IF(EF$1&lt;INDEX('Valo FX'!$R:$R,MATCH($A40,'Valo FX'!$A:$A,0)),INDEX(Base!$U:$U,MATCH($A40,Base!$A:$A,0)),IF(EF$1=INDEX('Valo FX'!$R:$R,MATCH($A40,'Valo FX'!$A:$A,0)),INDEX(Base!$V:$V,MATCH($A40,Base!$A:$A,0)),0)))</f>
        <v>6.5148159999999997</v>
      </c>
      <c r="EG40" s="21">
        <f>IF(EG$1&lt;INDEX('Valo FX'!$Q:$Q,MATCH($A40,'Valo FX'!$A:$A,0)),0,IF(EG$1&lt;INDEX('Valo FX'!$R:$R,MATCH($A40,'Valo FX'!$A:$A,0)),INDEX(Base!$U:$U,MATCH($A40,Base!$A:$A,0)),IF(EG$1=INDEX('Valo FX'!$R:$R,MATCH($A40,'Valo FX'!$A:$A,0)),INDEX(Base!$V:$V,MATCH($A40,Base!$A:$A,0)),0)))</f>
        <v>6.5148159999999997</v>
      </c>
      <c r="EH40" s="21">
        <f>IF(EH$1&lt;INDEX('Valo FX'!$Q:$Q,MATCH($A40,'Valo FX'!$A:$A,0)),0,IF(EH$1&lt;INDEX('Valo FX'!$R:$R,MATCH($A40,'Valo FX'!$A:$A,0)),INDEX(Base!$U:$U,MATCH($A40,Base!$A:$A,0)),IF(EH$1=INDEX('Valo FX'!$R:$R,MATCH($A40,'Valo FX'!$A:$A,0)),INDEX(Base!$V:$V,MATCH($A40,Base!$A:$A,0)),0)))</f>
        <v>6.5148159999999997</v>
      </c>
      <c r="EI40" s="21">
        <f>IF(EI$1&lt;INDEX('Valo FX'!$Q:$Q,MATCH($A40,'Valo FX'!$A:$A,0)),0,IF(EI$1&lt;INDEX('Valo FX'!$R:$R,MATCH($A40,'Valo FX'!$A:$A,0)),INDEX(Base!$U:$U,MATCH($A40,Base!$A:$A,0)),IF(EI$1=INDEX('Valo FX'!$R:$R,MATCH($A40,'Valo FX'!$A:$A,0)),INDEX(Base!$V:$V,MATCH($A40,Base!$A:$A,0)),0)))</f>
        <v>6.5148159999999997</v>
      </c>
      <c r="EJ40" s="21">
        <f>IF(EJ$1&lt;INDEX('Valo FX'!$Q:$Q,MATCH($A40,'Valo FX'!$A:$A,0)),0,IF(EJ$1&lt;INDEX('Valo FX'!$R:$R,MATCH($A40,'Valo FX'!$A:$A,0)),INDEX(Base!$U:$U,MATCH($A40,Base!$A:$A,0)),IF(EJ$1=INDEX('Valo FX'!$R:$R,MATCH($A40,'Valo FX'!$A:$A,0)),INDEX(Base!$V:$V,MATCH($A40,Base!$A:$A,0)),0)))</f>
        <v>6.5148159999999997</v>
      </c>
      <c r="EK40" s="21">
        <f>IF(EK$1&lt;INDEX('Valo FX'!$Q:$Q,MATCH($A40,'Valo FX'!$A:$A,0)),0,IF(EK$1&lt;INDEX('Valo FX'!$R:$R,MATCH($A40,'Valo FX'!$A:$A,0)),INDEX(Base!$U:$U,MATCH($A40,Base!$A:$A,0)),IF(EK$1=INDEX('Valo FX'!$R:$R,MATCH($A40,'Valo FX'!$A:$A,0)),INDEX(Base!$V:$V,MATCH($A40,Base!$A:$A,0)),0)))</f>
        <v>6.5148159999999997</v>
      </c>
      <c r="EL40" s="21">
        <f>IF(EL$1&lt;INDEX('Valo FX'!$Q:$Q,MATCH($A40,'Valo FX'!$A:$A,0)),0,IF(EL$1&lt;INDEX('Valo FX'!$R:$R,MATCH($A40,'Valo FX'!$A:$A,0)),INDEX(Base!$U:$U,MATCH($A40,Base!$A:$A,0)),IF(EL$1=INDEX('Valo FX'!$R:$R,MATCH($A40,'Valo FX'!$A:$A,0)),INDEX(Base!$V:$V,MATCH($A40,Base!$A:$A,0)),0)))</f>
        <v>6.5148159999999997</v>
      </c>
      <c r="EM40" s="21">
        <f>IF(EM$1&lt;INDEX('Valo FX'!$Q:$Q,MATCH($A40,'Valo FX'!$A:$A,0)),0,IF(EM$1&lt;INDEX('Valo FX'!$R:$R,MATCH($A40,'Valo FX'!$A:$A,0)),INDEX(Base!$U:$U,MATCH($A40,Base!$A:$A,0)),IF(EM$1=INDEX('Valo FX'!$R:$R,MATCH($A40,'Valo FX'!$A:$A,0)),INDEX(Base!$V:$V,MATCH($A40,Base!$A:$A,0)),0)))</f>
        <v>6.5148159999999997</v>
      </c>
      <c r="EN40" s="21">
        <f>IF(EN$1&lt;INDEX('Valo FX'!$Q:$Q,MATCH($A40,'Valo FX'!$A:$A,0)),0,IF(EN$1&lt;INDEX('Valo FX'!$R:$R,MATCH($A40,'Valo FX'!$A:$A,0)),INDEX(Base!$U:$U,MATCH($A40,Base!$A:$A,0)),IF(EN$1=INDEX('Valo FX'!$R:$R,MATCH($A40,'Valo FX'!$A:$A,0)),INDEX(Base!$V:$V,MATCH($A40,Base!$A:$A,0)),0)))</f>
        <v>6.5148159999999997</v>
      </c>
      <c r="EO40" s="21">
        <f>IF(EO$1&lt;INDEX('Valo FX'!$Q:$Q,MATCH($A40,'Valo FX'!$A:$A,0)),0,IF(EO$1&lt;INDEX('Valo FX'!$R:$R,MATCH($A40,'Valo FX'!$A:$A,0)),INDEX(Base!$U:$U,MATCH($A40,Base!$A:$A,0)),IF(EO$1=INDEX('Valo FX'!$R:$R,MATCH($A40,'Valo FX'!$A:$A,0)),INDEX(Base!$V:$V,MATCH($A40,Base!$A:$A,0)),0)))</f>
        <v>6.5148159999999997</v>
      </c>
      <c r="EP40" s="21">
        <f>IF(EP$1&lt;INDEX('Valo FX'!$Q:$Q,MATCH($A40,'Valo FX'!$A:$A,0)),0,IF(EP$1&lt;INDEX('Valo FX'!$R:$R,MATCH($A40,'Valo FX'!$A:$A,0)),INDEX(Base!$U:$U,MATCH($A40,Base!$A:$A,0)),IF(EP$1=INDEX('Valo FX'!$R:$R,MATCH($A40,'Valo FX'!$A:$A,0)),INDEX(Base!$V:$V,MATCH($A40,Base!$A:$A,0)),0)))</f>
        <v>6.5148159999999997</v>
      </c>
      <c r="EQ40" s="21">
        <f>IF(EQ$1&lt;INDEX('Valo FX'!$Q:$Q,MATCH($A40,'Valo FX'!$A:$A,0)),0,IF(EQ$1&lt;INDEX('Valo FX'!$R:$R,MATCH($A40,'Valo FX'!$A:$A,0)),INDEX(Base!$U:$U,MATCH($A40,Base!$A:$A,0)),IF(EQ$1=INDEX('Valo FX'!$R:$R,MATCH($A40,'Valo FX'!$A:$A,0)),INDEX(Base!$V:$V,MATCH($A40,Base!$A:$A,0)),0)))</f>
        <v>6.5148159999999997</v>
      </c>
      <c r="ER40" s="21">
        <f>IF(ER$1&lt;INDEX('Valo FX'!$Q:$Q,MATCH($A40,'Valo FX'!$A:$A,0)),0,IF(ER$1&lt;INDEX('Valo FX'!$R:$R,MATCH($A40,'Valo FX'!$A:$A,0)),INDEX(Base!$U:$U,MATCH($A40,Base!$A:$A,0)),IF(ER$1=INDEX('Valo FX'!$R:$R,MATCH($A40,'Valo FX'!$A:$A,0)),INDEX(Base!$V:$V,MATCH($A40,Base!$A:$A,0)),0)))</f>
        <v>6.5148159999999997</v>
      </c>
      <c r="ES40" s="21">
        <f>IF(ES$1&lt;INDEX('Valo FX'!$Q:$Q,MATCH($A40,'Valo FX'!$A:$A,0)),0,IF(ES$1&lt;INDEX('Valo FX'!$R:$R,MATCH($A40,'Valo FX'!$A:$A,0)),INDEX(Base!$U:$U,MATCH($A40,Base!$A:$A,0)),IF(ES$1=INDEX('Valo FX'!$R:$R,MATCH($A40,'Valo FX'!$A:$A,0)),INDEX(Base!$V:$V,MATCH($A40,Base!$A:$A,0)),0)))</f>
        <v>6.5148159999999997</v>
      </c>
      <c r="ET40" s="21">
        <f>IF(ET$1&lt;INDEX('Valo FX'!$Q:$Q,MATCH($A40,'Valo FX'!$A:$A,0)),0,IF(ET$1&lt;INDEX('Valo FX'!$R:$R,MATCH($A40,'Valo FX'!$A:$A,0)),INDEX(Base!$U:$U,MATCH($A40,Base!$A:$A,0)),IF(ET$1=INDEX('Valo FX'!$R:$R,MATCH($A40,'Valo FX'!$A:$A,0)),INDEX(Base!$V:$V,MATCH($A40,Base!$A:$A,0)),0)))</f>
        <v>6.5148159999999997</v>
      </c>
      <c r="EU40" s="21">
        <f>IF(EU$1&lt;INDEX('Valo FX'!$Q:$Q,MATCH($A40,'Valo FX'!$A:$A,0)),0,IF(EU$1&lt;INDEX('Valo FX'!$R:$R,MATCH($A40,'Valo FX'!$A:$A,0)),INDEX(Base!$U:$U,MATCH($A40,Base!$A:$A,0)),IF(EU$1=INDEX('Valo FX'!$R:$R,MATCH($A40,'Valo FX'!$A:$A,0)),INDEX(Base!$V:$V,MATCH($A40,Base!$A:$A,0)),0)))</f>
        <v>6.5148159999999997</v>
      </c>
      <c r="EV40" s="21">
        <f>IF(EV$1&lt;INDEX('Valo FX'!$Q:$Q,MATCH($A40,'Valo FX'!$A:$A,0)),0,IF(EV$1&lt;INDEX('Valo FX'!$R:$R,MATCH($A40,'Valo FX'!$A:$A,0)),INDEX(Base!$U:$U,MATCH($A40,Base!$A:$A,0)),IF(EV$1=INDEX('Valo FX'!$R:$R,MATCH($A40,'Valo FX'!$A:$A,0)),INDEX(Base!$V:$V,MATCH($A40,Base!$A:$A,0)),0)))</f>
        <v>6.5148159999999997</v>
      </c>
      <c r="EW40" s="21">
        <f>IF(EW$1&lt;INDEX('Valo FX'!$Q:$Q,MATCH($A40,'Valo FX'!$A:$A,0)),0,IF(EW$1&lt;INDEX('Valo FX'!$R:$R,MATCH($A40,'Valo FX'!$A:$A,0)),INDEX(Base!$U:$U,MATCH($A40,Base!$A:$A,0)),IF(EW$1=INDEX('Valo FX'!$R:$R,MATCH($A40,'Valo FX'!$A:$A,0)),INDEX(Base!$V:$V,MATCH($A40,Base!$A:$A,0)),0)))</f>
        <v>6.5148159999999997</v>
      </c>
      <c r="EX40" s="21">
        <f>IF(EX$1&lt;INDEX('Valo FX'!$Q:$Q,MATCH($A40,'Valo FX'!$A:$A,0)),0,IF(EX$1&lt;INDEX('Valo FX'!$R:$R,MATCH($A40,'Valo FX'!$A:$A,0)),INDEX(Base!$U:$U,MATCH($A40,Base!$A:$A,0)),IF(EX$1=INDEX('Valo FX'!$R:$R,MATCH($A40,'Valo FX'!$A:$A,0)),INDEX(Base!$V:$V,MATCH($A40,Base!$A:$A,0)),0)))</f>
        <v>6.5148159999999997</v>
      </c>
      <c r="EY40" s="21">
        <f>IF(EY$1&lt;INDEX('Valo FX'!$Q:$Q,MATCH($A40,'Valo FX'!$A:$A,0)),0,IF(EY$1&lt;INDEX('Valo FX'!$R:$R,MATCH($A40,'Valo FX'!$A:$A,0)),INDEX(Base!$U:$U,MATCH($A40,Base!$A:$A,0)),IF(EY$1=INDEX('Valo FX'!$R:$R,MATCH($A40,'Valo FX'!$A:$A,0)),INDEX(Base!$V:$V,MATCH($A40,Base!$A:$A,0)),0)))</f>
        <v>6.5148159999999997</v>
      </c>
      <c r="EZ40" s="21">
        <f>IF(EZ$1&lt;INDEX('Valo FX'!$Q:$Q,MATCH($A40,'Valo FX'!$A:$A,0)),0,IF(EZ$1&lt;INDEX('Valo FX'!$R:$R,MATCH($A40,'Valo FX'!$A:$A,0)),INDEX(Base!$U:$U,MATCH($A40,Base!$A:$A,0)),IF(EZ$1=INDEX('Valo FX'!$R:$R,MATCH($A40,'Valo FX'!$A:$A,0)),INDEX(Base!$V:$V,MATCH($A40,Base!$A:$A,0)),0)))</f>
        <v>6.5148159999999997</v>
      </c>
      <c r="FA40" s="21">
        <f>IF(FA$1&lt;INDEX('Valo FX'!$Q:$Q,MATCH($A40,'Valo FX'!$A:$A,0)),0,IF(FA$1&lt;INDEX('Valo FX'!$R:$R,MATCH($A40,'Valo FX'!$A:$A,0)),INDEX(Base!$U:$U,MATCH($A40,Base!$A:$A,0)),IF(FA$1=INDEX('Valo FX'!$R:$R,MATCH($A40,'Valo FX'!$A:$A,0)),INDEX(Base!$V:$V,MATCH($A40,Base!$A:$A,0)),0)))</f>
        <v>6.5148159999999997</v>
      </c>
      <c r="FB40" s="21">
        <f>IF(FB$1&lt;INDEX('Valo FX'!$Q:$Q,MATCH($A40,'Valo FX'!$A:$A,0)),0,IF(FB$1&lt;INDEX('Valo FX'!$R:$R,MATCH($A40,'Valo FX'!$A:$A,0)),INDEX(Base!$U:$U,MATCH($A40,Base!$A:$A,0)),IF(FB$1=INDEX('Valo FX'!$R:$R,MATCH($A40,'Valo FX'!$A:$A,0)),INDEX(Base!$V:$V,MATCH($A40,Base!$A:$A,0)),0)))</f>
        <v>6.5148159999999997</v>
      </c>
      <c r="FC40" s="21">
        <f>IF(FC$1&lt;INDEX('Valo FX'!$Q:$Q,MATCH($A40,'Valo FX'!$A:$A,0)),0,IF(FC$1&lt;INDEX('Valo FX'!$R:$R,MATCH($A40,'Valo FX'!$A:$A,0)),INDEX(Base!$U:$U,MATCH($A40,Base!$A:$A,0)),IF(FC$1=INDEX('Valo FX'!$R:$R,MATCH($A40,'Valo FX'!$A:$A,0)),INDEX(Base!$V:$V,MATCH($A40,Base!$A:$A,0)),0)))</f>
        <v>6.5148159999999997</v>
      </c>
      <c r="FD40" s="21">
        <f>IF(FD$1&lt;INDEX('Valo FX'!$Q:$Q,MATCH($A40,'Valo FX'!$A:$A,0)),0,IF(FD$1&lt;INDEX('Valo FX'!$R:$R,MATCH($A40,'Valo FX'!$A:$A,0)),INDEX(Base!$U:$U,MATCH($A40,Base!$A:$A,0)),IF(FD$1=INDEX('Valo FX'!$R:$R,MATCH($A40,'Valo FX'!$A:$A,0)),INDEX(Base!$V:$V,MATCH($A40,Base!$A:$A,0)),0)))</f>
        <v>6.5148159999999997</v>
      </c>
      <c r="FE40" s="21">
        <f>IF(FE$1&lt;INDEX('Valo FX'!$Q:$Q,MATCH($A40,'Valo FX'!$A:$A,0)),0,IF(FE$1&lt;INDEX('Valo FX'!$R:$R,MATCH($A40,'Valo FX'!$A:$A,0)),INDEX(Base!$U:$U,MATCH($A40,Base!$A:$A,0)),IF(FE$1=INDEX('Valo FX'!$R:$R,MATCH($A40,'Valo FX'!$A:$A,0)),INDEX(Base!$V:$V,MATCH($A40,Base!$A:$A,0)),0)))</f>
        <v>6.5148159999999997</v>
      </c>
      <c r="FF40" s="21">
        <f>IF(FF$1&lt;INDEX('Valo FX'!$Q:$Q,MATCH($A40,'Valo FX'!$A:$A,0)),0,IF(FF$1&lt;INDEX('Valo FX'!$R:$R,MATCH($A40,'Valo FX'!$A:$A,0)),INDEX(Base!$U:$U,MATCH($A40,Base!$A:$A,0)),IF(FF$1=INDEX('Valo FX'!$R:$R,MATCH($A40,'Valo FX'!$A:$A,0)),INDEX(Base!$V:$V,MATCH($A40,Base!$A:$A,0)),0)))</f>
        <v>6.5148159999999997</v>
      </c>
      <c r="FG40" s="21">
        <f>IF(FG$1&lt;INDEX('Valo FX'!$Q:$Q,MATCH($A40,'Valo FX'!$A:$A,0)),0,IF(FG$1&lt;INDEX('Valo FX'!$R:$R,MATCH($A40,'Valo FX'!$A:$A,0)),INDEX(Base!$U:$U,MATCH($A40,Base!$A:$A,0)),IF(FG$1=INDEX('Valo FX'!$R:$R,MATCH($A40,'Valo FX'!$A:$A,0)),INDEX(Base!$V:$V,MATCH($A40,Base!$A:$A,0)),0)))</f>
        <v>6.5148159999999997</v>
      </c>
      <c r="FH40" s="21">
        <f>IF(FH$1&lt;INDEX('Valo FX'!$Q:$Q,MATCH($A40,'Valo FX'!$A:$A,0)),0,IF(FH$1&lt;INDEX('Valo FX'!$R:$R,MATCH($A40,'Valo FX'!$A:$A,0)),INDEX(Base!$U:$U,MATCH($A40,Base!$A:$A,0)),IF(FH$1=INDEX('Valo FX'!$R:$R,MATCH($A40,'Valo FX'!$A:$A,0)),INDEX(Base!$V:$V,MATCH($A40,Base!$A:$A,0)),0)))</f>
        <v>6.5148159999999997</v>
      </c>
      <c r="FI40" s="21">
        <f>IF(FI$1&lt;INDEX('Valo FX'!$Q:$Q,MATCH($A40,'Valo FX'!$A:$A,0)),0,IF(FI$1&lt;INDEX('Valo FX'!$R:$R,MATCH($A40,'Valo FX'!$A:$A,0)),INDEX(Base!$U:$U,MATCH($A40,Base!$A:$A,0)),IF(FI$1=INDEX('Valo FX'!$R:$R,MATCH($A40,'Valo FX'!$A:$A,0)),INDEX(Base!$V:$V,MATCH($A40,Base!$A:$A,0)),0)))</f>
        <v>6.5148159999999997</v>
      </c>
      <c r="FJ40" s="21">
        <f>IF(FJ$1&lt;INDEX('Valo FX'!$Q:$Q,MATCH($A40,'Valo FX'!$A:$A,0)),0,IF(FJ$1&lt;INDEX('Valo FX'!$R:$R,MATCH($A40,'Valo FX'!$A:$A,0)),INDEX(Base!$U:$U,MATCH($A40,Base!$A:$A,0)),IF(FJ$1=INDEX('Valo FX'!$R:$R,MATCH($A40,'Valo FX'!$A:$A,0)),INDEX(Base!$V:$V,MATCH($A40,Base!$A:$A,0)),0)))</f>
        <v>6.5148159999999997</v>
      </c>
      <c r="FK40" s="21">
        <f>IF(FK$1&lt;INDEX('Valo FX'!$Q:$Q,MATCH($A40,'Valo FX'!$A:$A,0)),0,IF(FK$1&lt;INDEX('Valo FX'!$R:$R,MATCH($A40,'Valo FX'!$A:$A,0)),INDEX(Base!$U:$U,MATCH($A40,Base!$A:$A,0)),IF(FK$1=INDEX('Valo FX'!$R:$R,MATCH($A40,'Valo FX'!$A:$A,0)),INDEX(Base!$V:$V,MATCH($A40,Base!$A:$A,0)),0)))</f>
        <v>6.5148159999999997</v>
      </c>
      <c r="FL40" s="21">
        <f>IF(FL$1&lt;INDEX('Valo FX'!$Q:$Q,MATCH($A40,'Valo FX'!$A:$A,0)),0,IF(FL$1&lt;INDEX('Valo FX'!$R:$R,MATCH($A40,'Valo FX'!$A:$A,0)),INDEX(Base!$U:$U,MATCH($A40,Base!$A:$A,0)),IF(FL$1=INDEX('Valo FX'!$R:$R,MATCH($A40,'Valo FX'!$A:$A,0)),INDEX(Base!$V:$V,MATCH($A40,Base!$A:$A,0)),0)))</f>
        <v>6.5148159999999997</v>
      </c>
      <c r="FM40" s="21">
        <f>IF(FM$1&lt;INDEX('Valo FX'!$Q:$Q,MATCH($A40,'Valo FX'!$A:$A,0)),0,IF(FM$1&lt;INDEX('Valo FX'!$R:$R,MATCH($A40,'Valo FX'!$A:$A,0)),INDEX(Base!$U:$U,MATCH($A40,Base!$A:$A,0)),IF(FM$1=INDEX('Valo FX'!$R:$R,MATCH($A40,'Valo FX'!$A:$A,0)),INDEX(Base!$V:$V,MATCH($A40,Base!$A:$A,0)),0)))</f>
        <v>6.5148159999999997</v>
      </c>
      <c r="FN40" s="21">
        <f>IF(FN$1&lt;INDEX('Valo FX'!$Q:$Q,MATCH($A40,'Valo FX'!$A:$A,0)),0,IF(FN$1&lt;INDEX('Valo FX'!$R:$R,MATCH($A40,'Valo FX'!$A:$A,0)),INDEX(Base!$U:$U,MATCH($A40,Base!$A:$A,0)),IF(FN$1=INDEX('Valo FX'!$R:$R,MATCH($A40,'Valo FX'!$A:$A,0)),INDEX(Base!$V:$V,MATCH($A40,Base!$A:$A,0)),0)))</f>
        <v>6.5148159999999997</v>
      </c>
      <c r="FO40" s="21">
        <f>IF(FO$1&lt;INDEX('Valo FX'!$Q:$Q,MATCH($A40,'Valo FX'!$A:$A,0)),0,IF(FO$1&lt;INDEX('Valo FX'!$R:$R,MATCH($A40,'Valo FX'!$A:$A,0)),INDEX(Base!$U:$U,MATCH($A40,Base!$A:$A,0)),IF(FO$1=INDEX('Valo FX'!$R:$R,MATCH($A40,'Valo FX'!$A:$A,0)),INDEX(Base!$V:$V,MATCH($A40,Base!$A:$A,0)),0)))</f>
        <v>6.5148159999999997</v>
      </c>
      <c r="FP40" s="21">
        <f>IF(FP$1&lt;INDEX('Valo FX'!$Q:$Q,MATCH($A40,'Valo FX'!$A:$A,0)),0,IF(FP$1&lt;INDEX('Valo FX'!$R:$R,MATCH($A40,'Valo FX'!$A:$A,0)),INDEX(Base!$U:$U,MATCH($A40,Base!$A:$A,0)),IF(FP$1=INDEX('Valo FX'!$R:$R,MATCH($A40,'Valo FX'!$A:$A,0)),INDEX(Base!$V:$V,MATCH($A40,Base!$A:$A,0)),0)))</f>
        <v>6.5148159999999997</v>
      </c>
      <c r="FQ40" s="21">
        <f>IF(FQ$1&lt;INDEX('Valo FX'!$Q:$Q,MATCH($A40,'Valo FX'!$A:$A,0)),0,IF(FQ$1&lt;INDEX('Valo FX'!$R:$R,MATCH($A40,'Valo FX'!$A:$A,0)),INDEX(Base!$U:$U,MATCH($A40,Base!$A:$A,0)),IF(FQ$1=INDEX('Valo FX'!$R:$R,MATCH($A40,'Valo FX'!$A:$A,0)),INDEX(Base!$V:$V,MATCH($A40,Base!$A:$A,0)),0)))</f>
        <v>6.5148159999999997</v>
      </c>
      <c r="FR40" s="21">
        <f>IF(FR$1&lt;INDEX('Valo FX'!$Q:$Q,MATCH($A40,'Valo FX'!$A:$A,0)),0,IF(FR$1&lt;INDEX('Valo FX'!$R:$R,MATCH($A40,'Valo FX'!$A:$A,0)),INDEX(Base!$U:$U,MATCH($A40,Base!$A:$A,0)),IF(FR$1=INDEX('Valo FX'!$R:$R,MATCH($A40,'Valo FX'!$A:$A,0)),INDEX(Base!$V:$V,MATCH($A40,Base!$A:$A,0)),0)))</f>
        <v>6.5148159999999997</v>
      </c>
      <c r="FS40" s="21">
        <f>IF(FS$1&lt;INDEX('Valo FX'!$Q:$Q,MATCH($A40,'Valo FX'!$A:$A,0)),0,IF(FS$1&lt;INDEX('Valo FX'!$R:$R,MATCH($A40,'Valo FX'!$A:$A,0)),INDEX(Base!$U:$U,MATCH($A40,Base!$A:$A,0)),IF(FS$1=INDEX('Valo FX'!$R:$R,MATCH($A40,'Valo FX'!$A:$A,0)),INDEX(Base!$V:$V,MATCH($A40,Base!$A:$A,0)),0)))</f>
        <v>6.5148159999999997</v>
      </c>
      <c r="FT40" s="21">
        <f>IF(FT$1&lt;INDEX('Valo FX'!$Q:$Q,MATCH($A40,'Valo FX'!$A:$A,0)),0,IF(FT$1&lt;INDEX('Valo FX'!$R:$R,MATCH($A40,'Valo FX'!$A:$A,0)),INDEX(Base!$U:$U,MATCH($A40,Base!$A:$A,0)),IF(FT$1=INDEX('Valo FX'!$R:$R,MATCH($A40,'Valo FX'!$A:$A,0)),INDEX(Base!$V:$V,MATCH($A40,Base!$A:$A,0)),0)))</f>
        <v>6.5148159999999997</v>
      </c>
      <c r="FU40" s="21">
        <f>IF(FU$1&lt;INDEX('Valo FX'!$Q:$Q,MATCH($A40,'Valo FX'!$A:$A,0)),0,IF(FU$1&lt;INDEX('Valo FX'!$R:$R,MATCH($A40,'Valo FX'!$A:$A,0)),INDEX(Base!$U:$U,MATCH($A40,Base!$A:$A,0)),IF(FU$1=INDEX('Valo FX'!$R:$R,MATCH($A40,'Valo FX'!$A:$A,0)),INDEX(Base!$V:$V,MATCH($A40,Base!$A:$A,0)),0)))</f>
        <v>6.5148159999999997</v>
      </c>
      <c r="FV40" s="21">
        <f>IF(FV$1&lt;INDEX('Valo FX'!$Q:$Q,MATCH($A40,'Valo FX'!$A:$A,0)),0,IF(FV$1&lt;INDEX('Valo FX'!$R:$R,MATCH($A40,'Valo FX'!$A:$A,0)),INDEX(Base!$U:$U,MATCH($A40,Base!$A:$A,0)),IF(FV$1=INDEX('Valo FX'!$R:$R,MATCH($A40,'Valo FX'!$A:$A,0)),INDEX(Base!$V:$V,MATCH($A40,Base!$A:$A,0)),0)))</f>
        <v>6.5148159999999997</v>
      </c>
      <c r="FW40" s="21">
        <f>IF(FW$1&lt;INDEX('Valo FX'!$Q:$Q,MATCH($A40,'Valo FX'!$A:$A,0)),0,IF(FW$1&lt;INDEX('Valo FX'!$R:$R,MATCH($A40,'Valo FX'!$A:$A,0)),INDEX(Base!$U:$U,MATCH($A40,Base!$A:$A,0)),IF(FW$1=INDEX('Valo FX'!$R:$R,MATCH($A40,'Valo FX'!$A:$A,0)),INDEX(Base!$V:$V,MATCH($A40,Base!$A:$A,0)),0)))</f>
        <v>6.5148159999999997</v>
      </c>
      <c r="FX40" s="21">
        <f>IF(FX$1&lt;INDEX('Valo FX'!$Q:$Q,MATCH($A40,'Valo FX'!$A:$A,0)),0,IF(FX$1&lt;INDEX('Valo FX'!$R:$R,MATCH($A40,'Valo FX'!$A:$A,0)),INDEX(Base!$U:$U,MATCH($A40,Base!$A:$A,0)),IF(FX$1=INDEX('Valo FX'!$R:$R,MATCH($A40,'Valo FX'!$A:$A,0)),INDEX(Base!$V:$V,MATCH($A40,Base!$A:$A,0)),0)))</f>
        <v>6.5148159999999997</v>
      </c>
      <c r="FY40" s="21">
        <f>IF(FY$1&lt;INDEX('Valo FX'!$Q:$Q,MATCH($A40,'Valo FX'!$A:$A,0)),0,IF(FY$1&lt;INDEX('Valo FX'!$R:$R,MATCH($A40,'Valo FX'!$A:$A,0)),INDEX(Base!$U:$U,MATCH($A40,Base!$A:$A,0)),IF(FY$1=INDEX('Valo FX'!$R:$R,MATCH($A40,'Valo FX'!$A:$A,0)),INDEX(Base!$V:$V,MATCH($A40,Base!$A:$A,0)),0)))</f>
        <v>6.5148159999999997</v>
      </c>
      <c r="FZ40" s="21">
        <f>IF(FZ$1&lt;INDEX('Valo FX'!$Q:$Q,MATCH($A40,'Valo FX'!$A:$A,0)),0,IF(FZ$1&lt;INDEX('Valo FX'!$R:$R,MATCH($A40,'Valo FX'!$A:$A,0)),INDEX(Base!$U:$U,MATCH($A40,Base!$A:$A,0)),IF(FZ$1=INDEX('Valo FX'!$R:$R,MATCH($A40,'Valo FX'!$A:$A,0)),INDEX(Base!$V:$V,MATCH($A40,Base!$A:$A,0)),0)))</f>
        <v>6.5148159999999997</v>
      </c>
      <c r="GA40" s="21">
        <f>IF(GA$1&lt;INDEX('Valo FX'!$Q:$Q,MATCH($A40,'Valo FX'!$A:$A,0)),0,IF(GA$1&lt;INDEX('Valo FX'!$R:$R,MATCH($A40,'Valo FX'!$A:$A,0)),INDEX(Base!$U:$U,MATCH($A40,Base!$A:$A,0)),IF(GA$1=INDEX('Valo FX'!$R:$R,MATCH($A40,'Valo FX'!$A:$A,0)),INDEX(Base!$V:$V,MATCH($A40,Base!$A:$A,0)),0)))</f>
        <v>6.5148159999999997</v>
      </c>
      <c r="GB40" s="21">
        <f>IF(GB$1&lt;INDEX('Valo FX'!$Q:$Q,MATCH($A40,'Valo FX'!$A:$A,0)),0,IF(GB$1&lt;INDEX('Valo FX'!$R:$R,MATCH($A40,'Valo FX'!$A:$A,0)),INDEX(Base!$U:$U,MATCH($A40,Base!$A:$A,0)),IF(GB$1=INDEX('Valo FX'!$R:$R,MATCH($A40,'Valo FX'!$A:$A,0)),INDEX(Base!$V:$V,MATCH($A40,Base!$A:$A,0)),0)))</f>
        <v>6.5148159999999997</v>
      </c>
      <c r="GC40" s="21">
        <f>IF(GC$1&lt;INDEX('Valo FX'!$Q:$Q,MATCH($A40,'Valo FX'!$A:$A,0)),0,IF(GC$1&lt;INDEX('Valo FX'!$R:$R,MATCH($A40,'Valo FX'!$A:$A,0)),INDEX(Base!$U:$U,MATCH($A40,Base!$A:$A,0)),IF(GC$1=INDEX('Valo FX'!$R:$R,MATCH($A40,'Valo FX'!$A:$A,0)),INDEX(Base!$V:$V,MATCH($A40,Base!$A:$A,0)),0)))</f>
        <v>6.5148159999999997</v>
      </c>
      <c r="GD40" s="21">
        <f>IF(GD$1&lt;INDEX('Valo FX'!$Q:$Q,MATCH($A40,'Valo FX'!$A:$A,0)),0,IF(GD$1&lt;INDEX('Valo FX'!$R:$R,MATCH($A40,'Valo FX'!$A:$A,0)),INDEX(Base!$U:$U,MATCH($A40,Base!$A:$A,0)),IF(GD$1=INDEX('Valo FX'!$R:$R,MATCH($A40,'Valo FX'!$A:$A,0)),INDEX(Base!$V:$V,MATCH($A40,Base!$A:$A,0)),0)))</f>
        <v>6.5148159999999997</v>
      </c>
      <c r="GE40" s="21">
        <f>IF(GE$1&lt;INDEX('Valo FX'!$Q:$Q,MATCH($A40,'Valo FX'!$A:$A,0)),0,IF(GE$1&lt;INDEX('Valo FX'!$R:$R,MATCH($A40,'Valo FX'!$A:$A,0)),INDEX(Base!$U:$U,MATCH($A40,Base!$A:$A,0)),IF(GE$1=INDEX('Valo FX'!$R:$R,MATCH($A40,'Valo FX'!$A:$A,0)),INDEX(Base!$V:$V,MATCH($A40,Base!$A:$A,0)),0)))</f>
        <v>6.5148159999999997</v>
      </c>
      <c r="GF40" s="21">
        <f>IF(GF$1&lt;INDEX('Valo FX'!$Q:$Q,MATCH($A40,'Valo FX'!$A:$A,0)),0,IF(GF$1&lt;INDEX('Valo FX'!$R:$R,MATCH($A40,'Valo FX'!$A:$A,0)),INDEX(Base!$U:$U,MATCH($A40,Base!$A:$A,0)),IF(GF$1=INDEX('Valo FX'!$R:$R,MATCH($A40,'Valo FX'!$A:$A,0)),INDEX(Base!$V:$V,MATCH($A40,Base!$A:$A,0)),0)))</f>
        <v>6.5148159999999997</v>
      </c>
      <c r="GG40" s="21">
        <f>IF(GG$1&lt;INDEX('Valo FX'!$Q:$Q,MATCH($A40,'Valo FX'!$A:$A,0)),0,IF(GG$1&lt;INDEX('Valo FX'!$R:$R,MATCH($A40,'Valo FX'!$A:$A,0)),INDEX(Base!$U:$U,MATCH($A40,Base!$A:$A,0)),IF(GG$1=INDEX('Valo FX'!$R:$R,MATCH($A40,'Valo FX'!$A:$A,0)),INDEX(Base!$V:$V,MATCH($A40,Base!$A:$A,0)),0)))</f>
        <v>6.5148159999999997</v>
      </c>
      <c r="GH40" s="21">
        <f>IF(GH$1&lt;INDEX('Valo FX'!$Q:$Q,MATCH($A40,'Valo FX'!$A:$A,0)),0,IF(GH$1&lt;INDEX('Valo FX'!$R:$R,MATCH($A40,'Valo FX'!$A:$A,0)),INDEX(Base!$U:$U,MATCH($A40,Base!$A:$A,0)),IF(GH$1=INDEX('Valo FX'!$R:$R,MATCH($A40,'Valo FX'!$A:$A,0)),INDEX(Base!$V:$V,MATCH($A40,Base!$A:$A,0)),0)))</f>
        <v>6.5148159999999997</v>
      </c>
      <c r="GI40" s="21">
        <f>IF(GI$1&lt;INDEX('Valo FX'!$Q:$Q,MATCH($A40,'Valo FX'!$A:$A,0)),0,IF(GI$1&lt;INDEX('Valo FX'!$R:$R,MATCH($A40,'Valo FX'!$A:$A,0)),INDEX(Base!$U:$U,MATCH($A40,Base!$A:$A,0)),IF(GI$1=INDEX('Valo FX'!$R:$R,MATCH($A40,'Valo FX'!$A:$A,0)),INDEX(Base!$V:$V,MATCH($A40,Base!$A:$A,0)),0)))</f>
        <v>6.5148159999999997</v>
      </c>
      <c r="GJ40" s="21">
        <f>IF(GJ$1&lt;INDEX('Valo FX'!$Q:$Q,MATCH($A40,'Valo FX'!$A:$A,0)),0,IF(GJ$1&lt;INDEX('Valo FX'!$R:$R,MATCH($A40,'Valo FX'!$A:$A,0)),INDEX(Base!$U:$U,MATCH($A40,Base!$A:$A,0)),IF(GJ$1=INDEX('Valo FX'!$R:$R,MATCH($A40,'Valo FX'!$A:$A,0)),INDEX(Base!$V:$V,MATCH($A40,Base!$A:$A,0)),0)))</f>
        <v>6.5148159999999997</v>
      </c>
      <c r="GK40" s="21">
        <f>IF(GK$1&lt;INDEX('Valo FX'!$Q:$Q,MATCH($A40,'Valo FX'!$A:$A,0)),0,IF(GK$1&lt;INDEX('Valo FX'!$R:$R,MATCH($A40,'Valo FX'!$A:$A,0)),INDEX(Base!$U:$U,MATCH($A40,Base!$A:$A,0)),IF(GK$1=INDEX('Valo FX'!$R:$R,MATCH($A40,'Valo FX'!$A:$A,0)),INDEX(Base!$V:$V,MATCH($A40,Base!$A:$A,0)),0)))</f>
        <v>6.5148159999999997</v>
      </c>
      <c r="GL40" s="21">
        <f>IF(GL$1&lt;INDEX('Valo FX'!$Q:$Q,MATCH($A40,'Valo FX'!$A:$A,0)),0,IF(GL$1&lt;INDEX('Valo FX'!$R:$R,MATCH($A40,'Valo FX'!$A:$A,0)),INDEX(Base!$U:$U,MATCH($A40,Base!$A:$A,0)),IF(GL$1=INDEX('Valo FX'!$R:$R,MATCH($A40,'Valo FX'!$A:$A,0)),INDEX(Base!$V:$V,MATCH($A40,Base!$A:$A,0)),0)))</f>
        <v>6.5148159999999997</v>
      </c>
      <c r="GM40" s="21">
        <f>IF(GM$1&lt;INDEX('Valo FX'!$Q:$Q,MATCH($A40,'Valo FX'!$A:$A,0)),0,IF(GM$1&lt;INDEX('Valo FX'!$R:$R,MATCH($A40,'Valo FX'!$A:$A,0)),INDEX(Base!$U:$U,MATCH($A40,Base!$A:$A,0)),IF(GM$1=INDEX('Valo FX'!$R:$R,MATCH($A40,'Valo FX'!$A:$A,0)),INDEX(Base!$V:$V,MATCH($A40,Base!$A:$A,0)),0)))</f>
        <v>6.5148159999999997</v>
      </c>
      <c r="GN40" s="21">
        <f>IF(GN$1&lt;INDEX('Valo FX'!$Q:$Q,MATCH($A40,'Valo FX'!$A:$A,0)),0,IF(GN$1&lt;INDEX('Valo FX'!$R:$R,MATCH($A40,'Valo FX'!$A:$A,0)),INDEX(Base!$U:$U,MATCH($A40,Base!$A:$A,0)),IF(GN$1=INDEX('Valo FX'!$R:$R,MATCH($A40,'Valo FX'!$A:$A,0)),INDEX(Base!$V:$V,MATCH($A40,Base!$A:$A,0)),0)))</f>
        <v>6.5148159999999997</v>
      </c>
      <c r="GO40" s="21">
        <f>IF(GO$1&lt;INDEX('Valo FX'!$Q:$Q,MATCH($A40,'Valo FX'!$A:$A,0)),0,IF(GO$1&lt;INDEX('Valo FX'!$R:$R,MATCH($A40,'Valo FX'!$A:$A,0)),INDEX(Base!$U:$U,MATCH($A40,Base!$A:$A,0)),IF(GO$1=INDEX('Valo FX'!$R:$R,MATCH($A40,'Valo FX'!$A:$A,0)),INDEX(Base!$V:$V,MATCH($A40,Base!$A:$A,0)),0)))</f>
        <v>6.5148159999999997</v>
      </c>
      <c r="GP40" s="21">
        <f>IF(GP$1&lt;INDEX('Valo FX'!$Q:$Q,MATCH($A40,'Valo FX'!$A:$A,0)),0,IF(GP$1&lt;INDEX('Valo FX'!$R:$R,MATCH($A40,'Valo FX'!$A:$A,0)),INDEX(Base!$U:$U,MATCH($A40,Base!$A:$A,0)),IF(GP$1=INDEX('Valo FX'!$R:$R,MATCH($A40,'Valo FX'!$A:$A,0)),INDEX(Base!$V:$V,MATCH($A40,Base!$A:$A,0)),0)))</f>
        <v>6.5148159999999997</v>
      </c>
      <c r="GQ40" s="21">
        <f>IF(GQ$1&lt;INDEX('Valo FX'!$Q:$Q,MATCH($A40,'Valo FX'!$A:$A,0)),0,IF(GQ$1&lt;INDEX('Valo FX'!$R:$R,MATCH($A40,'Valo FX'!$A:$A,0)),INDEX(Base!$U:$U,MATCH($A40,Base!$A:$A,0)),IF(GQ$1=INDEX('Valo FX'!$R:$R,MATCH($A40,'Valo FX'!$A:$A,0)),INDEX(Base!$V:$V,MATCH($A40,Base!$A:$A,0)),0)))</f>
        <v>6.5148159999999997</v>
      </c>
      <c r="GR40" s="21">
        <f>IF(GR$1&lt;INDEX('Valo FX'!$Q:$Q,MATCH($A40,'Valo FX'!$A:$A,0)),0,IF(GR$1&lt;INDEX('Valo FX'!$R:$R,MATCH($A40,'Valo FX'!$A:$A,0)),INDEX(Base!$U:$U,MATCH($A40,Base!$A:$A,0)),IF(GR$1=INDEX('Valo FX'!$R:$R,MATCH($A40,'Valo FX'!$A:$A,0)),INDEX(Base!$V:$V,MATCH($A40,Base!$A:$A,0)),0)))</f>
        <v>6.5148159999999997</v>
      </c>
      <c r="GS40" s="21">
        <f>IF(GS$1&lt;INDEX('Valo FX'!$Q:$Q,MATCH($A40,'Valo FX'!$A:$A,0)),0,IF(GS$1&lt;INDEX('Valo FX'!$R:$R,MATCH($A40,'Valo FX'!$A:$A,0)),INDEX(Base!$U:$U,MATCH($A40,Base!$A:$A,0)),IF(GS$1=INDEX('Valo FX'!$R:$R,MATCH($A40,'Valo FX'!$A:$A,0)),INDEX(Base!$V:$V,MATCH($A40,Base!$A:$A,0)),0)))</f>
        <v>6.5148159999999997</v>
      </c>
      <c r="GT40" s="21">
        <f>IF(GT$1&lt;INDEX('Valo FX'!$Q:$Q,MATCH($A40,'Valo FX'!$A:$A,0)),0,IF(GT$1&lt;INDEX('Valo FX'!$R:$R,MATCH($A40,'Valo FX'!$A:$A,0)),INDEX(Base!$U:$U,MATCH($A40,Base!$A:$A,0)),IF(GT$1=INDEX('Valo FX'!$R:$R,MATCH($A40,'Valo FX'!$A:$A,0)),INDEX(Base!$V:$V,MATCH($A40,Base!$A:$A,0)),0)))</f>
        <v>6.5148159999999997</v>
      </c>
      <c r="GU40" s="21">
        <f>IF(GU$1&lt;INDEX('Valo FX'!$Q:$Q,MATCH($A40,'Valo FX'!$A:$A,0)),0,IF(GU$1&lt;INDEX('Valo FX'!$R:$R,MATCH($A40,'Valo FX'!$A:$A,0)),INDEX(Base!$U:$U,MATCH($A40,Base!$A:$A,0)),IF(GU$1=INDEX('Valo FX'!$R:$R,MATCH($A40,'Valo FX'!$A:$A,0)),INDEX(Base!$V:$V,MATCH($A40,Base!$A:$A,0)),0)))</f>
        <v>6.5148159999999997</v>
      </c>
      <c r="GV40" s="21">
        <f>IF(GV$1&lt;INDEX('Valo FX'!$Q:$Q,MATCH($A40,'Valo FX'!$A:$A,0)),0,IF(GV$1&lt;INDEX('Valo FX'!$R:$R,MATCH($A40,'Valo FX'!$A:$A,0)),INDEX(Base!$U:$U,MATCH($A40,Base!$A:$A,0)),IF(GV$1=INDEX('Valo FX'!$R:$R,MATCH($A40,'Valo FX'!$A:$A,0)),INDEX(Base!$V:$V,MATCH($A40,Base!$A:$A,0)),0)))</f>
        <v>6.5148159999999997</v>
      </c>
      <c r="GW40" s="21">
        <f>IF(GW$1&lt;INDEX('Valo FX'!$Q:$Q,MATCH($A40,'Valo FX'!$A:$A,0)),0,IF(GW$1&lt;INDEX('Valo FX'!$R:$R,MATCH($A40,'Valo FX'!$A:$A,0)),INDEX(Base!$U:$U,MATCH($A40,Base!$A:$A,0)),IF(GW$1=INDEX('Valo FX'!$R:$R,MATCH($A40,'Valo FX'!$A:$A,0)),INDEX(Base!$V:$V,MATCH($A40,Base!$A:$A,0)),0)))</f>
        <v>6.5148159999999997</v>
      </c>
      <c r="GX40" s="21">
        <f>IF(GX$1&lt;INDEX('Valo FX'!$Q:$Q,MATCH($A40,'Valo FX'!$A:$A,0)),0,IF(GX$1&lt;INDEX('Valo FX'!$R:$R,MATCH($A40,'Valo FX'!$A:$A,0)),INDEX(Base!$U:$U,MATCH($A40,Base!$A:$A,0)),IF(GX$1=INDEX('Valo FX'!$R:$R,MATCH($A40,'Valo FX'!$A:$A,0)),INDEX(Base!$V:$V,MATCH($A40,Base!$A:$A,0)),0)))</f>
        <v>6.5148159999999997</v>
      </c>
      <c r="GY40" s="21">
        <f>IF(GY$1&lt;INDEX('Valo FX'!$Q:$Q,MATCH($A40,'Valo FX'!$A:$A,0)),0,IF(GY$1&lt;INDEX('Valo FX'!$R:$R,MATCH($A40,'Valo FX'!$A:$A,0)),INDEX(Base!$U:$U,MATCH($A40,Base!$A:$A,0)),IF(GY$1=INDEX('Valo FX'!$R:$R,MATCH($A40,'Valo FX'!$A:$A,0)),INDEX(Base!$V:$V,MATCH($A40,Base!$A:$A,0)),0)))</f>
        <v>6.5148159999999997</v>
      </c>
      <c r="GZ40" s="21">
        <f>IF(GZ$1&lt;INDEX('Valo FX'!$Q:$Q,MATCH($A40,'Valo FX'!$A:$A,0)),0,IF(GZ$1&lt;INDEX('Valo FX'!$R:$R,MATCH($A40,'Valo FX'!$A:$A,0)),INDEX(Base!$U:$U,MATCH($A40,Base!$A:$A,0)),IF(GZ$1=INDEX('Valo FX'!$R:$R,MATCH($A40,'Valo FX'!$A:$A,0)),INDEX(Base!$V:$V,MATCH($A40,Base!$A:$A,0)),0)))</f>
        <v>6.5148159999999997</v>
      </c>
      <c r="HA40" s="21">
        <f>IF(HA$1&lt;INDEX('Valo FX'!$Q:$Q,MATCH($A40,'Valo FX'!$A:$A,0)),0,IF(HA$1&lt;INDEX('Valo FX'!$R:$R,MATCH($A40,'Valo FX'!$A:$A,0)),INDEX(Base!$U:$U,MATCH($A40,Base!$A:$A,0)),IF(HA$1=INDEX('Valo FX'!$R:$R,MATCH($A40,'Valo FX'!$A:$A,0)),INDEX(Base!$V:$V,MATCH($A40,Base!$A:$A,0)),0)))</f>
        <v>6.5148159999999997</v>
      </c>
      <c r="HB40" s="21">
        <f>IF(HB$1&lt;INDEX('Valo FX'!$Q:$Q,MATCH($A40,'Valo FX'!$A:$A,0)),0,IF(HB$1&lt;INDEX('Valo FX'!$R:$R,MATCH($A40,'Valo FX'!$A:$A,0)),INDEX(Base!$U:$U,MATCH($A40,Base!$A:$A,0)),IF(HB$1=INDEX('Valo FX'!$R:$R,MATCH($A40,'Valo FX'!$A:$A,0)),INDEX(Base!$V:$V,MATCH($A40,Base!$A:$A,0)),0)))</f>
        <v>6.5148159999999997</v>
      </c>
      <c r="HC40" s="21">
        <f>IF(HC$1&lt;INDEX('Valo FX'!$Q:$Q,MATCH($A40,'Valo FX'!$A:$A,0)),0,IF(HC$1&lt;INDEX('Valo FX'!$R:$R,MATCH($A40,'Valo FX'!$A:$A,0)),INDEX(Base!$U:$U,MATCH($A40,Base!$A:$A,0)),IF(HC$1=INDEX('Valo FX'!$R:$R,MATCH($A40,'Valo FX'!$A:$A,0)),INDEX(Base!$V:$V,MATCH($A40,Base!$A:$A,0)),0)))</f>
        <v>6.5148159999999997</v>
      </c>
      <c r="HD40" s="21">
        <f>IF(HD$1&lt;INDEX('Valo FX'!$Q:$Q,MATCH($A40,'Valo FX'!$A:$A,0)),0,IF(HD$1&lt;INDEX('Valo FX'!$R:$R,MATCH($A40,'Valo FX'!$A:$A,0)),INDEX(Base!$U:$U,MATCH($A40,Base!$A:$A,0)),IF(HD$1=INDEX('Valo FX'!$R:$R,MATCH($A40,'Valo FX'!$A:$A,0)),INDEX(Base!$V:$V,MATCH($A40,Base!$A:$A,0)),0)))</f>
        <v>6.5148159999999997</v>
      </c>
      <c r="HE40" s="21">
        <f>IF(HE$1&lt;INDEX('Valo FX'!$Q:$Q,MATCH($A40,'Valo FX'!$A:$A,0)),0,IF(HE$1&lt;INDEX('Valo FX'!$R:$R,MATCH($A40,'Valo FX'!$A:$A,0)),INDEX(Base!$U:$U,MATCH($A40,Base!$A:$A,0)),IF(HE$1=INDEX('Valo FX'!$R:$R,MATCH($A40,'Valo FX'!$A:$A,0)),INDEX(Base!$V:$V,MATCH($A40,Base!$A:$A,0)),0)))</f>
        <v>6.5148159999999997</v>
      </c>
      <c r="HF40" s="21">
        <f>IF(HF$1&lt;INDEX('Valo FX'!$Q:$Q,MATCH($A40,'Valo FX'!$A:$A,0)),0,IF(HF$1&lt;INDEX('Valo FX'!$R:$R,MATCH($A40,'Valo FX'!$A:$A,0)),INDEX(Base!$U:$U,MATCH($A40,Base!$A:$A,0)),IF(HF$1=INDEX('Valo FX'!$R:$R,MATCH($A40,'Valo FX'!$A:$A,0)),INDEX(Base!$V:$V,MATCH($A40,Base!$A:$A,0)),0)))</f>
        <v>6.5148159999999997</v>
      </c>
      <c r="HG40" s="21">
        <f>IF(HG$1&lt;INDEX('Valo FX'!$Q:$Q,MATCH($A40,'Valo FX'!$A:$A,0)),0,IF(HG$1&lt;INDEX('Valo FX'!$R:$R,MATCH($A40,'Valo FX'!$A:$A,0)),INDEX(Base!$U:$U,MATCH($A40,Base!$A:$A,0)),IF(HG$1=INDEX('Valo FX'!$R:$R,MATCH($A40,'Valo FX'!$A:$A,0)),INDEX(Base!$V:$V,MATCH($A40,Base!$A:$A,0)),0)))</f>
        <v>6.5148159999999997</v>
      </c>
      <c r="HH40" s="21">
        <f>IF(HH$1&lt;INDEX('Valo FX'!$Q:$Q,MATCH($A40,'Valo FX'!$A:$A,0)),0,IF(HH$1&lt;INDEX('Valo FX'!$R:$R,MATCH($A40,'Valo FX'!$A:$A,0)),INDEX(Base!$U:$U,MATCH($A40,Base!$A:$A,0)),IF(HH$1=INDEX('Valo FX'!$R:$R,MATCH($A40,'Valo FX'!$A:$A,0)),INDEX(Base!$V:$V,MATCH($A40,Base!$A:$A,0)),0)))</f>
        <v>6.5148159999999997</v>
      </c>
      <c r="HI40" s="21">
        <f>IF(HI$1&lt;INDEX('Valo FX'!$Q:$Q,MATCH($A40,'Valo FX'!$A:$A,0)),0,IF(HI$1&lt;INDEX('Valo FX'!$R:$R,MATCH($A40,'Valo FX'!$A:$A,0)),INDEX(Base!$U:$U,MATCH($A40,Base!$A:$A,0)),IF(HI$1=INDEX('Valo FX'!$R:$R,MATCH($A40,'Valo FX'!$A:$A,0)),INDEX(Base!$V:$V,MATCH($A40,Base!$A:$A,0)),0)))</f>
        <v>6.5148159999999997</v>
      </c>
      <c r="HJ40" s="21">
        <f>IF(HJ$1&lt;INDEX('Valo FX'!$Q:$Q,MATCH($A40,'Valo FX'!$A:$A,0)),0,IF(HJ$1&lt;INDEX('Valo FX'!$R:$R,MATCH($A40,'Valo FX'!$A:$A,0)),INDEX(Base!$U:$U,MATCH($A40,Base!$A:$A,0)),IF(HJ$1=INDEX('Valo FX'!$R:$R,MATCH($A40,'Valo FX'!$A:$A,0)),INDEX(Base!$V:$V,MATCH($A40,Base!$A:$A,0)),0)))</f>
        <v>6.5148159999999997</v>
      </c>
      <c r="HK40" s="21">
        <f>IF(HK$1&lt;INDEX('Valo FX'!$Q:$Q,MATCH($A40,'Valo FX'!$A:$A,0)),0,IF(HK$1&lt;INDEX('Valo FX'!$R:$R,MATCH($A40,'Valo FX'!$A:$A,0)),INDEX(Base!$U:$U,MATCH($A40,Base!$A:$A,0)),IF(HK$1=INDEX('Valo FX'!$R:$R,MATCH($A40,'Valo FX'!$A:$A,0)),INDEX(Base!$V:$V,MATCH($A40,Base!$A:$A,0)),0)))</f>
        <v>6.5148159999999997</v>
      </c>
      <c r="HL40" s="21">
        <f>IF(HL$1&lt;INDEX('Valo FX'!$Q:$Q,MATCH($A40,'Valo FX'!$A:$A,0)),0,IF(HL$1&lt;INDEX('Valo FX'!$R:$R,MATCH($A40,'Valo FX'!$A:$A,0)),INDEX(Base!$U:$U,MATCH($A40,Base!$A:$A,0)),IF(HL$1=INDEX('Valo FX'!$R:$R,MATCH($A40,'Valo FX'!$A:$A,0)),INDEX(Base!$V:$V,MATCH($A40,Base!$A:$A,0)),0)))</f>
        <v>6.5148159999999997</v>
      </c>
      <c r="HM40" s="21">
        <f>IF(HM$1&lt;INDEX('Valo FX'!$Q:$Q,MATCH($A40,'Valo FX'!$A:$A,0)),0,IF(HM$1&lt;INDEX('Valo FX'!$R:$R,MATCH($A40,'Valo FX'!$A:$A,0)),INDEX(Base!$U:$U,MATCH($A40,Base!$A:$A,0)),IF(HM$1=INDEX('Valo FX'!$R:$R,MATCH($A40,'Valo FX'!$A:$A,0)),INDEX(Base!$V:$V,MATCH($A40,Base!$A:$A,0)),0)))</f>
        <v>6.5148159999999997</v>
      </c>
      <c r="HN40" s="21">
        <f>IF(HN$1&lt;INDEX('Valo FX'!$Q:$Q,MATCH($A40,'Valo FX'!$A:$A,0)),0,IF(HN$1&lt;INDEX('Valo FX'!$R:$R,MATCH($A40,'Valo FX'!$A:$A,0)),INDEX(Base!$U:$U,MATCH($A40,Base!$A:$A,0)),IF(HN$1=INDEX('Valo FX'!$R:$R,MATCH($A40,'Valo FX'!$A:$A,0)),INDEX(Base!$V:$V,MATCH($A40,Base!$A:$A,0)),0)))</f>
        <v>6.5148159999999997</v>
      </c>
      <c r="HO40" s="21">
        <f>IF(HO$1&lt;INDEX('Valo FX'!$Q:$Q,MATCH($A40,'Valo FX'!$A:$A,0)),0,IF(HO$1&lt;INDEX('Valo FX'!$R:$R,MATCH($A40,'Valo FX'!$A:$A,0)),INDEX(Base!$U:$U,MATCH($A40,Base!$A:$A,0)),IF(HO$1=INDEX('Valo FX'!$R:$R,MATCH($A40,'Valo FX'!$A:$A,0)),INDEX(Base!$V:$V,MATCH($A40,Base!$A:$A,0)),0)))</f>
        <v>6.5148159999999997</v>
      </c>
      <c r="HP40" s="21">
        <f>IF(HP$1&lt;INDEX('Valo FX'!$Q:$Q,MATCH($A40,'Valo FX'!$A:$A,0)),0,IF(HP$1&lt;INDEX('Valo FX'!$R:$R,MATCH($A40,'Valo FX'!$A:$A,0)),INDEX(Base!$U:$U,MATCH($A40,Base!$A:$A,0)),IF(HP$1=INDEX('Valo FX'!$R:$R,MATCH($A40,'Valo FX'!$A:$A,0)),INDEX(Base!$V:$V,MATCH($A40,Base!$A:$A,0)),0)))</f>
        <v>6.5148159999999997</v>
      </c>
      <c r="HQ40" s="21">
        <f>IF(HQ$1&lt;INDEX('Valo FX'!$Q:$Q,MATCH($A40,'Valo FX'!$A:$A,0)),0,IF(HQ$1&lt;INDEX('Valo FX'!$R:$R,MATCH($A40,'Valo FX'!$A:$A,0)),INDEX(Base!$U:$U,MATCH($A40,Base!$A:$A,0)),IF(HQ$1=INDEX('Valo FX'!$R:$R,MATCH($A40,'Valo FX'!$A:$A,0)),INDEX(Base!$V:$V,MATCH($A40,Base!$A:$A,0)),0)))</f>
        <v>6.5148159999999997</v>
      </c>
      <c r="HR40" s="21">
        <f>IF(HR$1&lt;INDEX('Valo FX'!$Q:$Q,MATCH($A40,'Valo FX'!$A:$A,0)),0,IF(HR$1&lt;INDEX('Valo FX'!$R:$R,MATCH($A40,'Valo FX'!$A:$A,0)),INDEX(Base!$U:$U,MATCH($A40,Base!$A:$A,0)),IF(HR$1=INDEX('Valo FX'!$R:$R,MATCH($A40,'Valo FX'!$A:$A,0)),INDEX(Base!$V:$V,MATCH($A40,Base!$A:$A,0)),0)))</f>
        <v>6.5148159999999997</v>
      </c>
      <c r="HS40" s="21">
        <f>IF(HS$1&lt;INDEX('Valo FX'!$Q:$Q,MATCH($A40,'Valo FX'!$A:$A,0)),0,IF(HS$1&lt;INDEX('Valo FX'!$R:$R,MATCH($A40,'Valo FX'!$A:$A,0)),INDEX(Base!$U:$U,MATCH($A40,Base!$A:$A,0)),IF(HS$1=INDEX('Valo FX'!$R:$R,MATCH($A40,'Valo FX'!$A:$A,0)),INDEX(Base!$V:$V,MATCH($A40,Base!$A:$A,0)),0)))</f>
        <v>6.5148159999999997</v>
      </c>
      <c r="HT40" s="21">
        <f>IF(HT$1&lt;INDEX('Valo FX'!$Q:$Q,MATCH($A40,'Valo FX'!$A:$A,0)),0,IF(HT$1&lt;INDEX('Valo FX'!$R:$R,MATCH($A40,'Valo FX'!$A:$A,0)),INDEX(Base!$U:$U,MATCH($A40,Base!$A:$A,0)),IF(HT$1=INDEX('Valo FX'!$R:$R,MATCH($A40,'Valo FX'!$A:$A,0)),INDEX(Base!$V:$V,MATCH($A40,Base!$A:$A,0)),0)))</f>
        <v>6.5148159999999997</v>
      </c>
      <c r="HU40" s="21">
        <f>IF(HU$1&lt;INDEX('Valo FX'!$Q:$Q,MATCH($A40,'Valo FX'!$A:$A,0)),0,IF(HU$1&lt;INDEX('Valo FX'!$R:$R,MATCH($A40,'Valo FX'!$A:$A,0)),INDEX(Base!$U:$U,MATCH($A40,Base!$A:$A,0)),IF(HU$1=INDEX('Valo FX'!$R:$R,MATCH($A40,'Valo FX'!$A:$A,0)),INDEX(Base!$V:$V,MATCH($A40,Base!$A:$A,0)),0)))</f>
        <v>6.5148159999999997</v>
      </c>
      <c r="HV40" s="21">
        <f>IF(HV$1&lt;INDEX('Valo FX'!$Q:$Q,MATCH($A40,'Valo FX'!$A:$A,0)),0,IF(HV$1&lt;INDEX('Valo FX'!$R:$R,MATCH($A40,'Valo FX'!$A:$A,0)),INDEX(Base!$U:$U,MATCH($A40,Base!$A:$A,0)),IF(HV$1=INDEX('Valo FX'!$R:$R,MATCH($A40,'Valo FX'!$A:$A,0)),INDEX(Base!$V:$V,MATCH($A40,Base!$A:$A,0)),0)))</f>
        <v>6.5148159999999997</v>
      </c>
      <c r="HW40" s="21">
        <f>IF(HW$1&lt;INDEX('Valo FX'!$Q:$Q,MATCH($A40,'Valo FX'!$A:$A,0)),0,IF(HW$1&lt;INDEX('Valo FX'!$R:$R,MATCH($A40,'Valo FX'!$A:$A,0)),INDEX(Base!$U:$U,MATCH($A40,Base!$A:$A,0)),IF(HW$1=INDEX('Valo FX'!$R:$R,MATCH($A40,'Valo FX'!$A:$A,0)),INDEX(Base!$V:$V,MATCH($A40,Base!$A:$A,0)),0)))</f>
        <v>6.5148159999999997</v>
      </c>
      <c r="HX40" s="21">
        <f>IF(HX$1&lt;INDEX('Valo FX'!$Q:$Q,MATCH($A40,'Valo FX'!$A:$A,0)),0,IF(HX$1&lt;INDEX('Valo FX'!$R:$R,MATCH($A40,'Valo FX'!$A:$A,0)),INDEX(Base!$U:$U,MATCH($A40,Base!$A:$A,0)),IF(HX$1=INDEX('Valo FX'!$R:$R,MATCH($A40,'Valo FX'!$A:$A,0)),INDEX(Base!$V:$V,MATCH($A40,Base!$A:$A,0)),0)))</f>
        <v>6.5148159999999997</v>
      </c>
      <c r="HY40" s="21">
        <f>IF(HY$1&lt;INDEX('Valo FX'!$Q:$Q,MATCH($A40,'Valo FX'!$A:$A,0)),0,IF(HY$1&lt;INDEX('Valo FX'!$R:$R,MATCH($A40,'Valo FX'!$A:$A,0)),INDEX(Base!$U:$U,MATCH($A40,Base!$A:$A,0)),IF(HY$1=INDEX('Valo FX'!$R:$R,MATCH($A40,'Valo FX'!$A:$A,0)),INDEX(Base!$V:$V,MATCH($A40,Base!$A:$A,0)),0)))</f>
        <v>6.5148159999999997</v>
      </c>
      <c r="HZ40" s="21">
        <f>IF(HZ$1&lt;INDEX('Valo FX'!$Q:$Q,MATCH($A40,'Valo FX'!$A:$A,0)),0,IF(HZ$1&lt;INDEX('Valo FX'!$R:$R,MATCH($A40,'Valo FX'!$A:$A,0)),INDEX(Base!$U:$U,MATCH($A40,Base!$A:$A,0)),IF(HZ$1=INDEX('Valo FX'!$R:$R,MATCH($A40,'Valo FX'!$A:$A,0)),INDEX(Base!$V:$V,MATCH($A40,Base!$A:$A,0)),0)))</f>
        <v>6.5148159999999997</v>
      </c>
      <c r="IA40" s="21">
        <f>IF(IA$1&lt;INDEX('Valo FX'!$Q:$Q,MATCH($A40,'Valo FX'!$A:$A,0)),0,IF(IA$1&lt;INDEX('Valo FX'!$R:$R,MATCH($A40,'Valo FX'!$A:$A,0)),INDEX(Base!$U:$U,MATCH($A40,Base!$A:$A,0)),IF(IA$1=INDEX('Valo FX'!$R:$R,MATCH($A40,'Valo FX'!$A:$A,0)),INDEX(Base!$V:$V,MATCH($A40,Base!$A:$A,0)),0)))</f>
        <v>6.5148159999999997</v>
      </c>
      <c r="IB40" s="21">
        <f>IF(IB$1&lt;INDEX('Valo FX'!$Q:$Q,MATCH($A40,'Valo FX'!$A:$A,0)),0,IF(IB$1&lt;INDEX('Valo FX'!$R:$R,MATCH($A40,'Valo FX'!$A:$A,0)),INDEX(Base!$U:$U,MATCH($A40,Base!$A:$A,0)),IF(IB$1=INDEX('Valo FX'!$R:$R,MATCH($A40,'Valo FX'!$A:$A,0)),INDEX(Base!$V:$V,MATCH($A40,Base!$A:$A,0)),0)))</f>
        <v>6.5148159999999997</v>
      </c>
      <c r="IC40" s="21">
        <f>IF(IC$1&lt;INDEX('Valo FX'!$Q:$Q,MATCH($A40,'Valo FX'!$A:$A,0)),0,IF(IC$1&lt;INDEX('Valo FX'!$R:$R,MATCH($A40,'Valo FX'!$A:$A,0)),INDEX(Base!$U:$U,MATCH($A40,Base!$A:$A,0)),IF(IC$1=INDEX('Valo FX'!$R:$R,MATCH($A40,'Valo FX'!$A:$A,0)),INDEX(Base!$V:$V,MATCH($A40,Base!$A:$A,0)),0)))</f>
        <v>6.5148159999999997</v>
      </c>
      <c r="ID40" s="21">
        <f>IF(ID$1&lt;INDEX('Valo FX'!$Q:$Q,MATCH($A40,'Valo FX'!$A:$A,0)),0,IF(ID$1&lt;INDEX('Valo FX'!$R:$R,MATCH($A40,'Valo FX'!$A:$A,0)),INDEX(Base!$U:$U,MATCH($A40,Base!$A:$A,0)),IF(ID$1=INDEX('Valo FX'!$R:$R,MATCH($A40,'Valo FX'!$A:$A,0)),INDEX(Base!$V:$V,MATCH($A40,Base!$A:$A,0)),0)))</f>
        <v>6.5148159999999997</v>
      </c>
      <c r="IE40" s="21">
        <f>IF(IE$1&lt;INDEX('Valo FX'!$Q:$Q,MATCH($A40,'Valo FX'!$A:$A,0)),0,IF(IE$1&lt;INDEX('Valo FX'!$R:$R,MATCH($A40,'Valo FX'!$A:$A,0)),INDEX(Base!$U:$U,MATCH($A40,Base!$A:$A,0)),IF(IE$1=INDEX('Valo FX'!$R:$R,MATCH($A40,'Valo FX'!$A:$A,0)),INDEX(Base!$V:$V,MATCH($A40,Base!$A:$A,0)),0)))</f>
        <v>6.5148159999999997</v>
      </c>
      <c r="IF40" s="21">
        <f>IF(IF$1&lt;INDEX('Valo FX'!$Q:$Q,MATCH($A40,'Valo FX'!$A:$A,0)),0,IF(IF$1&lt;INDEX('Valo FX'!$R:$R,MATCH($A40,'Valo FX'!$A:$A,0)),INDEX(Base!$U:$U,MATCH($A40,Base!$A:$A,0)),IF(IF$1=INDEX('Valo FX'!$R:$R,MATCH($A40,'Valo FX'!$A:$A,0)),INDEX(Base!$V:$V,MATCH($A40,Base!$A:$A,0)),0)))</f>
        <v>6.5148159999999997</v>
      </c>
      <c r="IG40" s="21">
        <f>IF(IG$1&lt;INDEX('Valo FX'!$Q:$Q,MATCH($A40,'Valo FX'!$A:$A,0)),0,IF(IG$1&lt;INDEX('Valo FX'!$R:$R,MATCH($A40,'Valo FX'!$A:$A,0)),INDEX(Base!$U:$U,MATCH($A40,Base!$A:$A,0)),IF(IG$1=INDEX('Valo FX'!$R:$R,MATCH($A40,'Valo FX'!$A:$A,0)),INDEX(Base!$V:$V,MATCH($A40,Base!$A:$A,0)),0)))</f>
        <v>6.5148159999999997</v>
      </c>
      <c r="IH40" s="21">
        <f>IF(IH$1&lt;INDEX('Valo FX'!$Q:$Q,MATCH($A40,'Valo FX'!$A:$A,0)),0,IF(IH$1&lt;INDEX('Valo FX'!$R:$R,MATCH($A40,'Valo FX'!$A:$A,0)),INDEX(Base!$U:$U,MATCH($A40,Base!$A:$A,0)),IF(IH$1=INDEX('Valo FX'!$R:$R,MATCH($A40,'Valo FX'!$A:$A,0)),INDEX(Base!$V:$V,MATCH($A40,Base!$A:$A,0)),0)))</f>
        <v>6.5148159999999997</v>
      </c>
      <c r="II40" s="21">
        <f>IF(II$1&lt;INDEX('Valo FX'!$Q:$Q,MATCH($A40,'Valo FX'!$A:$A,0)),0,IF(II$1&lt;INDEX('Valo FX'!$R:$R,MATCH($A40,'Valo FX'!$A:$A,0)),INDEX(Base!$U:$U,MATCH($A40,Base!$A:$A,0)),IF(II$1=INDEX('Valo FX'!$R:$R,MATCH($A40,'Valo FX'!$A:$A,0)),INDEX(Base!$V:$V,MATCH($A40,Base!$A:$A,0)),0)))</f>
        <v>6.5148159999999997</v>
      </c>
      <c r="IJ40" s="21">
        <f>IF(IJ$1&lt;INDEX('Valo FX'!$Q:$Q,MATCH($A40,'Valo FX'!$A:$A,0)),0,IF(IJ$1&lt;INDEX('Valo FX'!$R:$R,MATCH($A40,'Valo FX'!$A:$A,0)),INDEX(Base!$U:$U,MATCH($A40,Base!$A:$A,0)),IF(IJ$1=INDEX('Valo FX'!$R:$R,MATCH($A40,'Valo FX'!$A:$A,0)),INDEX(Base!$V:$V,MATCH($A40,Base!$A:$A,0)),0)))</f>
        <v>6.5148159999999997</v>
      </c>
      <c r="IK40" s="21">
        <f>IF(IK$1&lt;INDEX('Valo FX'!$Q:$Q,MATCH($A40,'Valo FX'!$A:$A,0)),0,IF(IK$1&lt;INDEX('Valo FX'!$R:$R,MATCH($A40,'Valo FX'!$A:$A,0)),INDEX(Base!$U:$U,MATCH($A40,Base!$A:$A,0)),IF(IK$1=INDEX('Valo FX'!$R:$R,MATCH($A40,'Valo FX'!$A:$A,0)),INDEX(Base!$V:$V,MATCH($A40,Base!$A:$A,0)),0)))</f>
        <v>6.5148159999999997</v>
      </c>
      <c r="IL40" s="21">
        <f>IF(IL$1&lt;INDEX('Valo FX'!$Q:$Q,MATCH($A40,'Valo FX'!$A:$A,0)),0,IF(IL$1&lt;INDEX('Valo FX'!$R:$R,MATCH($A40,'Valo FX'!$A:$A,0)),INDEX(Base!$U:$U,MATCH($A40,Base!$A:$A,0)),IF(IL$1=INDEX('Valo FX'!$R:$R,MATCH($A40,'Valo FX'!$A:$A,0)),INDEX(Base!$V:$V,MATCH($A40,Base!$A:$A,0)),0)))</f>
        <v>6.5148159999999997</v>
      </c>
      <c r="IM40" s="21">
        <f>IF(IM$1&lt;INDEX('Valo FX'!$Q:$Q,MATCH($A40,'Valo FX'!$A:$A,0)),0,IF(IM$1&lt;INDEX('Valo FX'!$R:$R,MATCH($A40,'Valo FX'!$A:$A,0)),INDEX(Base!$U:$U,MATCH($A40,Base!$A:$A,0)),IF(IM$1=INDEX('Valo FX'!$R:$R,MATCH($A40,'Valo FX'!$A:$A,0)),INDEX(Base!$V:$V,MATCH($A40,Base!$A:$A,0)),0)))</f>
        <v>6.5148159999999997</v>
      </c>
      <c r="IN40" s="21">
        <f>IF(IN$1&lt;INDEX('Valo FX'!$Q:$Q,MATCH($A40,'Valo FX'!$A:$A,0)),0,IF(IN$1&lt;INDEX('Valo FX'!$R:$R,MATCH($A40,'Valo FX'!$A:$A,0)),INDEX(Base!$U:$U,MATCH($A40,Base!$A:$A,0)),IF(IN$1=INDEX('Valo FX'!$R:$R,MATCH($A40,'Valo FX'!$A:$A,0)),INDEX(Base!$V:$V,MATCH($A40,Base!$A:$A,0)),0)))</f>
        <v>6.5148159999999997</v>
      </c>
      <c r="IO40" s="21">
        <f>IF(IO$1&lt;INDEX('Valo FX'!$Q:$Q,MATCH($A40,'Valo FX'!$A:$A,0)),0,IF(IO$1&lt;INDEX('Valo FX'!$R:$R,MATCH($A40,'Valo FX'!$A:$A,0)),INDEX(Base!$U:$U,MATCH($A40,Base!$A:$A,0)),IF(IO$1=INDEX('Valo FX'!$R:$R,MATCH($A40,'Valo FX'!$A:$A,0)),INDEX(Base!$V:$V,MATCH($A40,Base!$A:$A,0)),0)))</f>
        <v>6.5148159999999997</v>
      </c>
      <c r="IP40" s="21">
        <f>IF(IP$1&lt;INDEX('Valo FX'!$Q:$Q,MATCH($A40,'Valo FX'!$A:$A,0)),0,IF(IP$1&lt;INDEX('Valo FX'!$R:$R,MATCH($A40,'Valo FX'!$A:$A,0)),INDEX(Base!$U:$U,MATCH($A40,Base!$A:$A,0)),IF(IP$1=INDEX('Valo FX'!$R:$R,MATCH($A40,'Valo FX'!$A:$A,0)),INDEX(Base!$V:$V,MATCH($A40,Base!$A:$A,0)),0)))</f>
        <v>6.5148159999999997</v>
      </c>
      <c r="IQ40" s="21">
        <f>IF(IQ$1&lt;INDEX('Valo FX'!$Q:$Q,MATCH($A40,'Valo FX'!$A:$A,0)),0,IF(IQ$1&lt;INDEX('Valo FX'!$R:$R,MATCH($A40,'Valo FX'!$A:$A,0)),INDEX(Base!$U:$U,MATCH($A40,Base!$A:$A,0)),IF(IQ$1=INDEX('Valo FX'!$R:$R,MATCH($A40,'Valo FX'!$A:$A,0)),INDEX(Base!$V:$V,MATCH($A40,Base!$A:$A,0)),0)))</f>
        <v>6.5148159999999997</v>
      </c>
      <c r="IR40" s="21">
        <f>IF(IR$1&lt;INDEX('Valo FX'!$Q:$Q,MATCH($A40,'Valo FX'!$A:$A,0)),0,IF(IR$1&lt;INDEX('Valo FX'!$R:$R,MATCH($A40,'Valo FX'!$A:$A,0)),INDEX(Base!$U:$U,MATCH($A40,Base!$A:$A,0)),IF(IR$1=INDEX('Valo FX'!$R:$R,MATCH($A40,'Valo FX'!$A:$A,0)),INDEX(Base!$V:$V,MATCH($A40,Base!$A:$A,0)),0)))</f>
        <v>6.5148159999999997</v>
      </c>
      <c r="IS40" s="21">
        <f>IF(IS$1&lt;INDEX('Valo FX'!$Q:$Q,MATCH($A40,'Valo FX'!$A:$A,0)),0,IF(IS$1&lt;INDEX('Valo FX'!$R:$R,MATCH($A40,'Valo FX'!$A:$A,0)),INDEX(Base!$U:$U,MATCH($A40,Base!$A:$A,0)),IF(IS$1=INDEX('Valo FX'!$R:$R,MATCH($A40,'Valo FX'!$A:$A,0)),INDEX(Base!$V:$V,MATCH($A40,Base!$A:$A,0)),0)))</f>
        <v>6.5148159999999997</v>
      </c>
      <c r="IT40" s="21">
        <f>IF(IT$1&lt;INDEX('Valo FX'!$Q:$Q,MATCH($A40,'Valo FX'!$A:$A,0)),0,IF(IT$1&lt;INDEX('Valo FX'!$R:$R,MATCH($A40,'Valo FX'!$A:$A,0)),INDEX(Base!$U:$U,MATCH($A40,Base!$A:$A,0)),IF(IT$1=INDEX('Valo FX'!$R:$R,MATCH($A40,'Valo FX'!$A:$A,0)),INDEX(Base!$V:$V,MATCH($A40,Base!$A:$A,0)),0)))</f>
        <v>6.5148159999999997</v>
      </c>
      <c r="IU40" s="21">
        <f>IF(IU$1&lt;INDEX('Valo FX'!$Q:$Q,MATCH($A40,'Valo FX'!$A:$A,0)),0,IF(IU$1&lt;INDEX('Valo FX'!$R:$R,MATCH($A40,'Valo FX'!$A:$A,0)),INDEX(Base!$U:$U,MATCH($A40,Base!$A:$A,0)),IF(IU$1=INDEX('Valo FX'!$R:$R,MATCH($A40,'Valo FX'!$A:$A,0)),INDEX(Base!$V:$V,MATCH($A40,Base!$A:$A,0)),0)))</f>
        <v>6.5148159999999997</v>
      </c>
      <c r="IV40" s="21">
        <f>IF(IV$1&lt;INDEX('Valo FX'!$Q:$Q,MATCH($A40,'Valo FX'!$A:$A,0)),0,IF(IV$1&lt;INDEX('Valo FX'!$R:$R,MATCH($A40,'Valo FX'!$A:$A,0)),INDEX(Base!$U:$U,MATCH($A40,Base!$A:$A,0)),IF(IV$1=INDEX('Valo FX'!$R:$R,MATCH($A40,'Valo FX'!$A:$A,0)),INDEX(Base!$V:$V,MATCH($A40,Base!$A:$A,0)),0)))</f>
        <v>6.5148159999999997</v>
      </c>
      <c r="IW40" s="21">
        <f>IF(IW$1&lt;INDEX('Valo FX'!$Q:$Q,MATCH($A40,'Valo FX'!$A:$A,0)),0,IF(IW$1&lt;INDEX('Valo FX'!$R:$R,MATCH($A40,'Valo FX'!$A:$A,0)),INDEX(Base!$U:$U,MATCH($A40,Base!$A:$A,0)),IF(IW$1=INDEX('Valo FX'!$R:$R,MATCH($A40,'Valo FX'!$A:$A,0)),INDEX(Base!$V:$V,MATCH($A40,Base!$A:$A,0)),0)))</f>
        <v>6.5148159999999997</v>
      </c>
      <c r="IX40" s="21">
        <f>IF(IX$1&lt;INDEX('Valo FX'!$Q:$Q,MATCH($A40,'Valo FX'!$A:$A,0)),0,IF(IX$1&lt;INDEX('Valo FX'!$R:$R,MATCH($A40,'Valo FX'!$A:$A,0)),INDEX(Base!$U:$U,MATCH($A40,Base!$A:$A,0)),IF(IX$1=INDEX('Valo FX'!$R:$R,MATCH($A40,'Valo FX'!$A:$A,0)),INDEX(Base!$V:$V,MATCH($A40,Base!$A:$A,0)),0)))</f>
        <v>6.5148159999999997</v>
      </c>
      <c r="IY40" s="21">
        <f>IF(IY$1&lt;INDEX('Valo FX'!$Q:$Q,MATCH($A40,'Valo FX'!$A:$A,0)),0,IF(IY$1&lt;INDEX('Valo FX'!$R:$R,MATCH($A40,'Valo FX'!$A:$A,0)),INDEX(Base!$U:$U,MATCH($A40,Base!$A:$A,0)),IF(IY$1=INDEX('Valo FX'!$R:$R,MATCH($A40,'Valo FX'!$A:$A,0)),INDEX(Base!$V:$V,MATCH($A40,Base!$A:$A,0)),0)))</f>
        <v>6.5148159999999997</v>
      </c>
      <c r="IZ40" s="21">
        <f>IF(IZ$1&lt;INDEX('Valo FX'!$Q:$Q,MATCH($A40,'Valo FX'!$A:$A,0)),0,IF(IZ$1&lt;INDEX('Valo FX'!$R:$R,MATCH($A40,'Valo FX'!$A:$A,0)),INDEX(Base!$U:$U,MATCH($A40,Base!$A:$A,0)),IF(IZ$1=INDEX('Valo FX'!$R:$R,MATCH($A40,'Valo FX'!$A:$A,0)),INDEX(Base!$V:$V,MATCH($A40,Base!$A:$A,0)),0)))</f>
        <v>6.5148159999999997</v>
      </c>
      <c r="JA40" s="21">
        <f>IF(JA$1&lt;INDEX('Valo FX'!$Q:$Q,MATCH($A40,'Valo FX'!$A:$A,0)),0,IF(JA$1&lt;INDEX('Valo FX'!$R:$R,MATCH($A40,'Valo FX'!$A:$A,0)),INDEX(Base!$U:$U,MATCH($A40,Base!$A:$A,0)),IF(JA$1=INDEX('Valo FX'!$R:$R,MATCH($A40,'Valo FX'!$A:$A,0)),INDEX(Base!$V:$V,MATCH($A40,Base!$A:$A,0)),0)))</f>
        <v>6.5148159999999997</v>
      </c>
      <c r="JB40" s="21">
        <f>IF(JB$1&lt;INDEX('Valo FX'!$Q:$Q,MATCH($A40,'Valo FX'!$A:$A,0)),0,IF(JB$1&lt;INDEX('Valo FX'!$R:$R,MATCH($A40,'Valo FX'!$A:$A,0)),INDEX(Base!$U:$U,MATCH($A40,Base!$A:$A,0)),IF(JB$1=INDEX('Valo FX'!$R:$R,MATCH($A40,'Valo FX'!$A:$A,0)),INDEX(Base!$V:$V,MATCH($A40,Base!$A:$A,0)),0)))</f>
        <v>6.5148159999999997</v>
      </c>
      <c r="JC40" s="21">
        <f>IF(JC$1&lt;INDEX('Valo FX'!$Q:$Q,MATCH($A40,'Valo FX'!$A:$A,0)),0,IF(JC$1&lt;INDEX('Valo FX'!$R:$R,MATCH($A40,'Valo FX'!$A:$A,0)),INDEX(Base!$U:$U,MATCH($A40,Base!$A:$A,0)),IF(JC$1=INDEX('Valo FX'!$R:$R,MATCH($A40,'Valo FX'!$A:$A,0)),INDEX(Base!$V:$V,MATCH($A40,Base!$A:$A,0)),0)))</f>
        <v>6.5148159999999997</v>
      </c>
      <c r="JD40" s="21">
        <f>IF(JD$1&lt;INDEX('Valo FX'!$Q:$Q,MATCH($A40,'Valo FX'!$A:$A,0)),0,IF(JD$1&lt;INDEX('Valo FX'!$R:$R,MATCH($A40,'Valo FX'!$A:$A,0)),INDEX(Base!$U:$U,MATCH($A40,Base!$A:$A,0)),IF(JD$1=INDEX('Valo FX'!$R:$R,MATCH($A40,'Valo FX'!$A:$A,0)),INDEX(Base!$V:$V,MATCH($A40,Base!$A:$A,0)),0)))</f>
        <v>6.5148159999999997</v>
      </c>
      <c r="JE40" s="21">
        <f>IF(JE$1&lt;INDEX('Valo FX'!$Q:$Q,MATCH($A40,'Valo FX'!$A:$A,0)),0,IF(JE$1&lt;INDEX('Valo FX'!$R:$R,MATCH($A40,'Valo FX'!$A:$A,0)),INDEX(Base!$U:$U,MATCH($A40,Base!$A:$A,0)),IF(JE$1=INDEX('Valo FX'!$R:$R,MATCH($A40,'Valo FX'!$A:$A,0)),INDEX(Base!$V:$V,MATCH($A40,Base!$A:$A,0)),0)))</f>
        <v>6.5148159999999997</v>
      </c>
      <c r="JF40" s="21">
        <f>IF(JF$1&lt;INDEX('Valo FX'!$Q:$Q,MATCH($A40,'Valo FX'!$A:$A,0)),0,IF(JF$1&lt;INDEX('Valo FX'!$R:$R,MATCH($A40,'Valo FX'!$A:$A,0)),INDEX(Base!$U:$U,MATCH($A40,Base!$A:$A,0)),IF(JF$1=INDEX('Valo FX'!$R:$R,MATCH($A40,'Valo FX'!$A:$A,0)),INDEX(Base!$V:$V,MATCH($A40,Base!$A:$A,0)),0)))</f>
        <v>6.5148159999999997</v>
      </c>
      <c r="JG40" s="21">
        <f>IF(JG$1&lt;INDEX('Valo FX'!$Q:$Q,MATCH($A40,'Valo FX'!$A:$A,0)),0,IF(JG$1&lt;INDEX('Valo FX'!$R:$R,MATCH($A40,'Valo FX'!$A:$A,0)),INDEX(Base!$U:$U,MATCH($A40,Base!$A:$A,0)),IF(JG$1=INDEX('Valo FX'!$R:$R,MATCH($A40,'Valo FX'!$A:$A,0)),INDEX(Base!$V:$V,MATCH($A40,Base!$A:$A,0)),0)))</f>
        <v>6.5148159999999997</v>
      </c>
      <c r="JH40" s="21">
        <f>IF(JH$1&lt;INDEX('Valo FX'!$Q:$Q,MATCH($A40,'Valo FX'!$A:$A,0)),0,IF(JH$1&lt;INDEX('Valo FX'!$R:$R,MATCH($A40,'Valo FX'!$A:$A,0)),INDEX(Base!$U:$U,MATCH($A40,Base!$A:$A,0)),IF(JH$1=INDEX('Valo FX'!$R:$R,MATCH($A40,'Valo FX'!$A:$A,0)),INDEX(Base!$V:$V,MATCH($A40,Base!$A:$A,0)),0)))</f>
        <v>6.5148159999999997</v>
      </c>
      <c r="JI40" s="21">
        <f>IF(JI$1&lt;INDEX('Valo FX'!$Q:$Q,MATCH($A40,'Valo FX'!$A:$A,0)),0,IF(JI$1&lt;INDEX('Valo FX'!$R:$R,MATCH($A40,'Valo FX'!$A:$A,0)),INDEX(Base!$U:$U,MATCH($A40,Base!$A:$A,0)),IF(JI$1=INDEX('Valo FX'!$R:$R,MATCH($A40,'Valo FX'!$A:$A,0)),INDEX(Base!$V:$V,MATCH($A40,Base!$A:$A,0)),0)))</f>
        <v>6.5148159999999997</v>
      </c>
      <c r="JJ40" s="21">
        <f>IF(JJ$1&lt;INDEX('Valo FX'!$Q:$Q,MATCH($A40,'Valo FX'!$A:$A,0)),0,IF(JJ$1&lt;INDEX('Valo FX'!$R:$R,MATCH($A40,'Valo FX'!$A:$A,0)),INDEX(Base!$U:$U,MATCH($A40,Base!$A:$A,0)),IF(JJ$1=INDEX('Valo FX'!$R:$R,MATCH($A40,'Valo FX'!$A:$A,0)),INDEX(Base!$V:$V,MATCH($A40,Base!$A:$A,0)),0)))</f>
        <v>6.5148159999999997</v>
      </c>
      <c r="JK40" s="21">
        <f>IF(JK$1&lt;INDEX('Valo FX'!$Q:$Q,MATCH($A40,'Valo FX'!$A:$A,0)),0,IF(JK$1&lt;INDEX('Valo FX'!$R:$R,MATCH($A40,'Valo FX'!$A:$A,0)),INDEX(Base!$U:$U,MATCH($A40,Base!$A:$A,0)),IF(JK$1=INDEX('Valo FX'!$R:$R,MATCH($A40,'Valo FX'!$A:$A,0)),INDEX(Base!$V:$V,MATCH($A40,Base!$A:$A,0)),0)))</f>
        <v>6.5148159999999997</v>
      </c>
      <c r="JL40" s="21">
        <f>IF(JL$1&lt;INDEX('Valo FX'!$Q:$Q,MATCH($A40,'Valo FX'!$A:$A,0)),0,IF(JL$1&lt;INDEX('Valo FX'!$R:$R,MATCH($A40,'Valo FX'!$A:$A,0)),INDEX(Base!$U:$U,MATCH($A40,Base!$A:$A,0)),IF(JL$1=INDEX('Valo FX'!$R:$R,MATCH($A40,'Valo FX'!$A:$A,0)),INDEX(Base!$V:$V,MATCH($A40,Base!$A:$A,0)),0)))</f>
        <v>6.5148159999999997</v>
      </c>
      <c r="JM40" s="21">
        <f>IF(JM$1&lt;INDEX('Valo FX'!$Q:$Q,MATCH($A40,'Valo FX'!$A:$A,0)),0,IF(JM$1&lt;INDEX('Valo FX'!$R:$R,MATCH($A40,'Valo FX'!$A:$A,0)),INDEX(Base!$U:$U,MATCH($A40,Base!$A:$A,0)),IF(JM$1=INDEX('Valo FX'!$R:$R,MATCH($A40,'Valo FX'!$A:$A,0)),INDEX(Base!$V:$V,MATCH($A40,Base!$A:$A,0)),0)))</f>
        <v>6.5148159999999997</v>
      </c>
      <c r="JN40" s="21">
        <f>IF(JN$1&lt;INDEX('Valo FX'!$Q:$Q,MATCH($A40,'Valo FX'!$A:$A,0)),0,IF(JN$1&lt;INDEX('Valo FX'!$R:$R,MATCH($A40,'Valo FX'!$A:$A,0)),INDEX(Base!$U:$U,MATCH($A40,Base!$A:$A,0)),IF(JN$1=INDEX('Valo FX'!$R:$R,MATCH($A40,'Valo FX'!$A:$A,0)),INDEX(Base!$V:$V,MATCH($A40,Base!$A:$A,0)),0)))</f>
        <v>6.5148159999999997</v>
      </c>
      <c r="JO40" s="21">
        <f>IF(JO$1&lt;INDEX('Valo FX'!$Q:$Q,MATCH($A40,'Valo FX'!$A:$A,0)),0,IF(JO$1&lt;INDEX('Valo FX'!$R:$R,MATCH($A40,'Valo FX'!$A:$A,0)),INDEX(Base!$U:$U,MATCH($A40,Base!$A:$A,0)),IF(JO$1=INDEX('Valo FX'!$R:$R,MATCH($A40,'Valo FX'!$A:$A,0)),INDEX(Base!$V:$V,MATCH($A40,Base!$A:$A,0)),0)))</f>
        <v>6.5148159999999997</v>
      </c>
      <c r="JP40" s="21">
        <f>IF(JP$1&lt;INDEX('Valo FX'!$Q:$Q,MATCH($A40,'Valo FX'!$A:$A,0)),0,IF(JP$1&lt;INDEX('Valo FX'!$R:$R,MATCH($A40,'Valo FX'!$A:$A,0)),INDEX(Base!$U:$U,MATCH($A40,Base!$A:$A,0)),IF(JP$1=INDEX('Valo FX'!$R:$R,MATCH($A40,'Valo FX'!$A:$A,0)),INDEX(Base!$V:$V,MATCH($A40,Base!$A:$A,0)),0)))</f>
        <v>6.5148159999999997</v>
      </c>
      <c r="JQ40" s="21">
        <f>IF(JQ$1&lt;INDEX('Valo FX'!$Q:$Q,MATCH($A40,'Valo FX'!$A:$A,0)),0,IF(JQ$1&lt;INDEX('Valo FX'!$R:$R,MATCH($A40,'Valo FX'!$A:$A,0)),INDEX(Base!$U:$U,MATCH($A40,Base!$A:$A,0)),IF(JQ$1=INDEX('Valo FX'!$R:$R,MATCH($A40,'Valo FX'!$A:$A,0)),INDEX(Base!$V:$V,MATCH($A40,Base!$A:$A,0)),0)))</f>
        <v>6.5148159999999997</v>
      </c>
      <c r="JR40" s="21">
        <f>IF(JR$1&lt;INDEX('Valo FX'!$Q:$Q,MATCH($A40,'Valo FX'!$A:$A,0)),0,IF(JR$1&lt;INDEX('Valo FX'!$R:$R,MATCH($A40,'Valo FX'!$A:$A,0)),INDEX(Base!$U:$U,MATCH($A40,Base!$A:$A,0)),IF(JR$1=INDEX('Valo FX'!$R:$R,MATCH($A40,'Valo FX'!$A:$A,0)),INDEX(Base!$V:$V,MATCH($A40,Base!$A:$A,0)),0)))</f>
        <v>6.5148159999999997</v>
      </c>
      <c r="JS40" s="21">
        <f>IF(JS$1&lt;INDEX('Valo FX'!$Q:$Q,MATCH($A40,'Valo FX'!$A:$A,0)),0,IF(JS$1&lt;INDEX('Valo FX'!$R:$R,MATCH($A40,'Valo FX'!$A:$A,0)),INDEX(Base!$U:$U,MATCH($A40,Base!$A:$A,0)),IF(JS$1=INDEX('Valo FX'!$R:$R,MATCH($A40,'Valo FX'!$A:$A,0)),INDEX(Base!$V:$V,MATCH($A40,Base!$A:$A,0)),0)))</f>
        <v>6.5148159999999997</v>
      </c>
      <c r="JT40" s="21">
        <f>IF(JT$1&lt;INDEX('Valo FX'!$Q:$Q,MATCH($A40,'Valo FX'!$A:$A,0)),0,IF(JT$1&lt;INDEX('Valo FX'!$R:$R,MATCH($A40,'Valo FX'!$A:$A,0)),INDEX(Base!$U:$U,MATCH($A40,Base!$A:$A,0)),IF(JT$1=INDEX('Valo FX'!$R:$R,MATCH($A40,'Valo FX'!$A:$A,0)),INDEX(Base!$V:$V,MATCH($A40,Base!$A:$A,0)),0)))</f>
        <v>6.5148159999999997</v>
      </c>
      <c r="JU40" s="21">
        <f>IF(JU$1&lt;INDEX('Valo FX'!$Q:$Q,MATCH($A40,'Valo FX'!$A:$A,0)),0,IF(JU$1&lt;INDEX('Valo FX'!$R:$R,MATCH($A40,'Valo FX'!$A:$A,0)),INDEX(Base!$U:$U,MATCH($A40,Base!$A:$A,0)),IF(JU$1=INDEX('Valo FX'!$R:$R,MATCH($A40,'Valo FX'!$A:$A,0)),INDEX(Base!$V:$V,MATCH($A40,Base!$A:$A,0)),0)))</f>
        <v>6.5148159999999997</v>
      </c>
      <c r="JV40" s="21">
        <f>IF(JV$1&lt;INDEX('Valo FX'!$Q:$Q,MATCH($A40,'Valo FX'!$A:$A,0)),0,IF(JV$1&lt;INDEX('Valo FX'!$R:$R,MATCH($A40,'Valo FX'!$A:$A,0)),INDEX(Base!$U:$U,MATCH($A40,Base!$A:$A,0)),IF(JV$1=INDEX('Valo FX'!$R:$R,MATCH($A40,'Valo FX'!$A:$A,0)),INDEX(Base!$V:$V,MATCH($A40,Base!$A:$A,0)),0)))</f>
        <v>6.5148159999999997</v>
      </c>
      <c r="JW40" s="21">
        <f>IF(JW$1&lt;INDEX('Valo FX'!$Q:$Q,MATCH($A40,'Valo FX'!$A:$A,0)),0,IF(JW$1&lt;INDEX('Valo FX'!$R:$R,MATCH($A40,'Valo FX'!$A:$A,0)),INDEX(Base!$U:$U,MATCH($A40,Base!$A:$A,0)),IF(JW$1=INDEX('Valo FX'!$R:$R,MATCH($A40,'Valo FX'!$A:$A,0)),INDEX(Base!$V:$V,MATCH($A40,Base!$A:$A,0)),0)))</f>
        <v>6.5148159999999997</v>
      </c>
      <c r="JX40" s="21">
        <f>IF(JX$1&lt;INDEX('Valo FX'!$Q:$Q,MATCH($A40,'Valo FX'!$A:$A,0)),0,IF(JX$1&lt;INDEX('Valo FX'!$R:$R,MATCH($A40,'Valo FX'!$A:$A,0)),INDEX(Base!$U:$U,MATCH($A40,Base!$A:$A,0)),IF(JX$1=INDEX('Valo FX'!$R:$R,MATCH($A40,'Valo FX'!$A:$A,0)),INDEX(Base!$V:$V,MATCH($A40,Base!$A:$A,0)),0)))</f>
        <v>6.5148159999999997</v>
      </c>
      <c r="JY40" s="21">
        <f>IF(JY$1&lt;INDEX('Valo FX'!$Q:$Q,MATCH($A40,'Valo FX'!$A:$A,0)),0,IF(JY$1&lt;INDEX('Valo FX'!$R:$R,MATCH($A40,'Valo FX'!$A:$A,0)),INDEX(Base!$U:$U,MATCH($A40,Base!$A:$A,0)),IF(JY$1=INDEX('Valo FX'!$R:$R,MATCH($A40,'Valo FX'!$A:$A,0)),INDEX(Base!$V:$V,MATCH($A40,Base!$A:$A,0)),0)))</f>
        <v>6.5148159999999997</v>
      </c>
      <c r="JZ40" s="21">
        <f>IF(JZ$1&lt;INDEX('Valo FX'!$Q:$Q,MATCH($A40,'Valo FX'!$A:$A,0)),0,IF(JZ$1&lt;INDEX('Valo FX'!$R:$R,MATCH($A40,'Valo FX'!$A:$A,0)),INDEX(Base!$U:$U,MATCH($A40,Base!$A:$A,0)),IF(JZ$1=INDEX('Valo FX'!$R:$R,MATCH($A40,'Valo FX'!$A:$A,0)),INDEX(Base!$V:$V,MATCH($A40,Base!$A:$A,0)),0)))</f>
        <v>6.5148159999999997</v>
      </c>
      <c r="KA40" s="21">
        <f>IF(KA$1&lt;INDEX('Valo FX'!$Q:$Q,MATCH($A40,'Valo FX'!$A:$A,0)),0,IF(KA$1&lt;INDEX('Valo FX'!$R:$R,MATCH($A40,'Valo FX'!$A:$A,0)),INDEX(Base!$U:$U,MATCH($A40,Base!$A:$A,0)),IF(KA$1=INDEX('Valo FX'!$R:$R,MATCH($A40,'Valo FX'!$A:$A,0)),INDEX(Base!$V:$V,MATCH($A40,Base!$A:$A,0)),0)))</f>
        <v>6.5148159999999997</v>
      </c>
      <c r="KB40" s="21">
        <f>IF(KB$1&lt;INDEX('Valo FX'!$Q:$Q,MATCH($A40,'Valo FX'!$A:$A,0)),0,IF(KB$1&lt;INDEX('Valo FX'!$R:$R,MATCH($A40,'Valo FX'!$A:$A,0)),INDEX(Base!$U:$U,MATCH($A40,Base!$A:$A,0)),IF(KB$1=INDEX('Valo FX'!$R:$R,MATCH($A40,'Valo FX'!$A:$A,0)),INDEX(Base!$V:$V,MATCH($A40,Base!$A:$A,0)),0)))</f>
        <v>6.5148159999999997</v>
      </c>
      <c r="KC40" s="21">
        <f>IF(KC$1&lt;INDEX('Valo FX'!$Q:$Q,MATCH($A40,'Valo FX'!$A:$A,0)),0,IF(KC$1&lt;INDEX('Valo FX'!$R:$R,MATCH($A40,'Valo FX'!$A:$A,0)),INDEX(Base!$U:$U,MATCH($A40,Base!$A:$A,0)),IF(KC$1=INDEX('Valo FX'!$R:$R,MATCH($A40,'Valo FX'!$A:$A,0)),INDEX(Base!$V:$V,MATCH($A40,Base!$A:$A,0)),0)))</f>
        <v>6.5148159999999997</v>
      </c>
      <c r="KD40" s="21">
        <f>IF(KD$1&lt;INDEX('Valo FX'!$Q:$Q,MATCH($A40,'Valo FX'!$A:$A,0)),0,IF(KD$1&lt;INDEX('Valo FX'!$R:$R,MATCH($A40,'Valo FX'!$A:$A,0)),INDEX(Base!$U:$U,MATCH($A40,Base!$A:$A,0)),IF(KD$1=INDEX('Valo FX'!$R:$R,MATCH($A40,'Valo FX'!$A:$A,0)),INDEX(Base!$V:$V,MATCH($A40,Base!$A:$A,0)),0)))</f>
        <v>6.5148159999999997</v>
      </c>
      <c r="KE40" s="21">
        <f>IF(KE$1&lt;INDEX('Valo FX'!$Q:$Q,MATCH($A40,'Valo FX'!$A:$A,0)),0,IF(KE$1&lt;INDEX('Valo FX'!$R:$R,MATCH($A40,'Valo FX'!$A:$A,0)),INDEX(Base!$U:$U,MATCH($A40,Base!$A:$A,0)),IF(KE$1=INDEX('Valo FX'!$R:$R,MATCH($A40,'Valo FX'!$A:$A,0)),INDEX(Base!$V:$V,MATCH($A40,Base!$A:$A,0)),0)))</f>
        <v>6.5148159999999997</v>
      </c>
      <c r="KF40" s="21">
        <f>IF(KF$1&lt;INDEX('Valo FX'!$Q:$Q,MATCH($A40,'Valo FX'!$A:$A,0)),0,IF(KF$1&lt;INDEX('Valo FX'!$R:$R,MATCH($A40,'Valo FX'!$A:$A,0)),INDEX(Base!$U:$U,MATCH($A40,Base!$A:$A,0)),IF(KF$1=INDEX('Valo FX'!$R:$R,MATCH($A40,'Valo FX'!$A:$A,0)),INDEX(Base!$V:$V,MATCH($A40,Base!$A:$A,0)),0)))</f>
        <v>6.5148159999999997</v>
      </c>
      <c r="KG40" s="21">
        <f>IF(KG$1&lt;INDEX('Valo FX'!$Q:$Q,MATCH($A40,'Valo FX'!$A:$A,0)),0,IF(KG$1&lt;INDEX('Valo FX'!$R:$R,MATCH($A40,'Valo FX'!$A:$A,0)),INDEX(Base!$U:$U,MATCH($A40,Base!$A:$A,0)),IF(KG$1=INDEX('Valo FX'!$R:$R,MATCH($A40,'Valo FX'!$A:$A,0)),INDEX(Base!$V:$V,MATCH($A40,Base!$A:$A,0)),0)))</f>
        <v>6.5148159999999997</v>
      </c>
      <c r="KH40" s="21">
        <f>IF(KH$1&lt;INDEX('Valo FX'!$Q:$Q,MATCH($A40,'Valo FX'!$A:$A,0)),0,IF(KH$1&lt;INDEX('Valo FX'!$R:$R,MATCH($A40,'Valo FX'!$A:$A,0)),INDEX(Base!$U:$U,MATCH($A40,Base!$A:$A,0)),IF(KH$1=INDEX('Valo FX'!$R:$R,MATCH($A40,'Valo FX'!$A:$A,0)),INDEX(Base!$V:$V,MATCH($A40,Base!$A:$A,0)),0)))</f>
        <v>6.5148159999999997</v>
      </c>
      <c r="KI40" s="21">
        <f>IF(KI$1&lt;INDEX('Valo FX'!$Q:$Q,MATCH($A40,'Valo FX'!$A:$A,0)),0,IF(KI$1&lt;INDEX('Valo FX'!$R:$R,MATCH($A40,'Valo FX'!$A:$A,0)),INDEX(Base!$U:$U,MATCH($A40,Base!$A:$A,0)),IF(KI$1=INDEX('Valo FX'!$R:$R,MATCH($A40,'Valo FX'!$A:$A,0)),INDEX(Base!$V:$V,MATCH($A40,Base!$A:$A,0)),0)))</f>
        <v>6.5148159999999997</v>
      </c>
      <c r="KJ40" s="21">
        <f>IF(KJ$1&lt;INDEX('Valo FX'!$Q:$Q,MATCH($A40,'Valo FX'!$A:$A,0)),0,IF(KJ$1&lt;INDEX('Valo FX'!$R:$R,MATCH($A40,'Valo FX'!$A:$A,0)),INDEX(Base!$U:$U,MATCH($A40,Base!$A:$A,0)),IF(KJ$1=INDEX('Valo FX'!$R:$R,MATCH($A40,'Valo FX'!$A:$A,0)),INDEX(Base!$V:$V,MATCH($A40,Base!$A:$A,0)),0)))</f>
        <v>6.5148159999999997</v>
      </c>
      <c r="KK40" s="21">
        <f>IF(KK$1&lt;INDEX('Valo FX'!$Q:$Q,MATCH($A40,'Valo FX'!$A:$A,0)),0,IF(KK$1&lt;INDEX('Valo FX'!$R:$R,MATCH($A40,'Valo FX'!$A:$A,0)),INDEX(Base!$U:$U,MATCH($A40,Base!$A:$A,0)),IF(KK$1=INDEX('Valo FX'!$R:$R,MATCH($A40,'Valo FX'!$A:$A,0)),INDEX(Base!$V:$V,MATCH($A40,Base!$A:$A,0)),0)))</f>
        <v>6.5148159999999997</v>
      </c>
      <c r="KL40" s="21">
        <f>IF(KL$1&lt;INDEX('Valo FX'!$Q:$Q,MATCH($A40,'Valo FX'!$A:$A,0)),0,IF(KL$1&lt;INDEX('Valo FX'!$R:$R,MATCH($A40,'Valo FX'!$A:$A,0)),INDEX(Base!$U:$U,MATCH($A40,Base!$A:$A,0)),IF(KL$1=INDEX('Valo FX'!$R:$R,MATCH($A40,'Valo FX'!$A:$A,0)),INDEX(Base!$V:$V,MATCH($A40,Base!$A:$A,0)),0)))</f>
        <v>6.5148159999999997</v>
      </c>
      <c r="KM40" s="21">
        <f>IF(KM$1&lt;INDEX('Valo FX'!$Q:$Q,MATCH($A40,'Valo FX'!$A:$A,0)),0,IF(KM$1&lt;INDEX('Valo FX'!$R:$R,MATCH($A40,'Valo FX'!$A:$A,0)),INDEX(Base!$U:$U,MATCH($A40,Base!$A:$A,0)),IF(KM$1=INDEX('Valo FX'!$R:$R,MATCH($A40,'Valo FX'!$A:$A,0)),INDEX(Base!$V:$V,MATCH($A40,Base!$A:$A,0)),0)))</f>
        <v>6.5148159999999997</v>
      </c>
      <c r="KN40" s="21">
        <f>IF(KN$1&lt;INDEX('Valo FX'!$Q:$Q,MATCH($A40,'Valo FX'!$A:$A,0)),0,IF(KN$1&lt;INDEX('Valo FX'!$R:$R,MATCH($A40,'Valo FX'!$A:$A,0)),INDEX(Base!$U:$U,MATCH($A40,Base!$A:$A,0)),IF(KN$1=INDEX('Valo FX'!$R:$R,MATCH($A40,'Valo FX'!$A:$A,0)),INDEX(Base!$V:$V,MATCH($A40,Base!$A:$A,0)),0)))</f>
        <v>6.5148159999999997</v>
      </c>
      <c r="KO40" s="21">
        <f>IF(KO$1&lt;INDEX('Valo FX'!$Q:$Q,MATCH($A40,'Valo FX'!$A:$A,0)),0,IF(KO$1&lt;INDEX('Valo FX'!$R:$R,MATCH($A40,'Valo FX'!$A:$A,0)),INDEX(Base!$U:$U,MATCH($A40,Base!$A:$A,0)),IF(KO$1=INDEX('Valo FX'!$R:$R,MATCH($A40,'Valo FX'!$A:$A,0)),INDEX(Base!$V:$V,MATCH($A40,Base!$A:$A,0)),0)))</f>
        <v>6.5148159999999997</v>
      </c>
      <c r="KP40" s="21">
        <f>IF(KP$1&lt;INDEX('Valo FX'!$Q:$Q,MATCH($A40,'Valo FX'!$A:$A,0)),0,IF(KP$1&lt;INDEX('Valo FX'!$R:$R,MATCH($A40,'Valo FX'!$A:$A,0)),INDEX(Base!$U:$U,MATCH($A40,Base!$A:$A,0)),IF(KP$1=INDEX('Valo FX'!$R:$R,MATCH($A40,'Valo FX'!$A:$A,0)),INDEX(Base!$V:$V,MATCH($A40,Base!$A:$A,0)),0)))</f>
        <v>6.5148159999999997</v>
      </c>
      <c r="KQ40" s="21">
        <f>IF(KQ$1&lt;INDEX('Valo FX'!$Q:$Q,MATCH($A40,'Valo FX'!$A:$A,0)),0,IF(KQ$1&lt;INDEX('Valo FX'!$R:$R,MATCH($A40,'Valo FX'!$A:$A,0)),INDEX(Base!$U:$U,MATCH($A40,Base!$A:$A,0)),IF(KQ$1=INDEX('Valo FX'!$R:$R,MATCH($A40,'Valo FX'!$A:$A,0)),INDEX(Base!$V:$V,MATCH($A40,Base!$A:$A,0)),0)))</f>
        <v>6.5148159999999997</v>
      </c>
      <c r="KR40" s="21">
        <f>IF(KR$1&lt;INDEX('Valo FX'!$Q:$Q,MATCH($A40,'Valo FX'!$A:$A,0)),0,IF(KR$1&lt;INDEX('Valo FX'!$R:$R,MATCH($A40,'Valo FX'!$A:$A,0)),INDEX(Base!$U:$U,MATCH($A40,Base!$A:$A,0)),IF(KR$1=INDEX('Valo FX'!$R:$R,MATCH($A40,'Valo FX'!$A:$A,0)),INDEX(Base!$V:$V,MATCH($A40,Base!$A:$A,0)),0)))</f>
        <v>6.5148159999999997</v>
      </c>
      <c r="KS40" s="21">
        <f>IF(KS$1&lt;INDEX('Valo FX'!$Q:$Q,MATCH($A40,'Valo FX'!$A:$A,0)),0,IF(KS$1&lt;INDEX('Valo FX'!$R:$R,MATCH($A40,'Valo FX'!$A:$A,0)),INDEX(Base!$U:$U,MATCH($A40,Base!$A:$A,0)),IF(KS$1=INDEX('Valo FX'!$R:$R,MATCH($A40,'Valo FX'!$A:$A,0)),INDEX(Base!$V:$V,MATCH($A40,Base!$A:$A,0)),0)))</f>
        <v>6.5148159999999997</v>
      </c>
      <c r="KT40" s="21">
        <f>IF(KT$1&lt;INDEX('Valo FX'!$Q:$Q,MATCH($A40,'Valo FX'!$A:$A,0)),0,IF(KT$1&lt;INDEX('Valo FX'!$R:$R,MATCH($A40,'Valo FX'!$A:$A,0)),INDEX(Base!$U:$U,MATCH($A40,Base!$A:$A,0)),IF(KT$1=INDEX('Valo FX'!$R:$R,MATCH($A40,'Valo FX'!$A:$A,0)),INDEX(Base!$V:$V,MATCH($A40,Base!$A:$A,0)),0)))</f>
        <v>6.5148159999999997</v>
      </c>
      <c r="KU40" s="21">
        <f>IF(KU$1&lt;INDEX('Valo FX'!$Q:$Q,MATCH($A40,'Valo FX'!$A:$A,0)),0,IF(KU$1&lt;INDEX('Valo FX'!$R:$R,MATCH($A40,'Valo FX'!$A:$A,0)),INDEX(Base!$U:$U,MATCH($A40,Base!$A:$A,0)),IF(KU$1=INDEX('Valo FX'!$R:$R,MATCH($A40,'Valo FX'!$A:$A,0)),INDEX(Base!$V:$V,MATCH($A40,Base!$A:$A,0)),0)))</f>
        <v>6.5148159999999997</v>
      </c>
      <c r="KV40" s="21">
        <f>IF(KV$1&lt;INDEX('Valo FX'!$Q:$Q,MATCH($A40,'Valo FX'!$A:$A,0)),0,IF(KV$1&lt;INDEX('Valo FX'!$R:$R,MATCH($A40,'Valo FX'!$A:$A,0)),INDEX(Base!$U:$U,MATCH($A40,Base!$A:$A,0)),IF(KV$1=INDEX('Valo FX'!$R:$R,MATCH($A40,'Valo FX'!$A:$A,0)),INDEX(Base!$V:$V,MATCH($A40,Base!$A:$A,0)),0)))</f>
        <v>6.5148159999999997</v>
      </c>
      <c r="KW40" s="21">
        <f>IF(KW$1&lt;INDEX('Valo FX'!$Q:$Q,MATCH($A40,'Valo FX'!$A:$A,0)),0,IF(KW$1&lt;INDEX('Valo FX'!$R:$R,MATCH($A40,'Valo FX'!$A:$A,0)),INDEX(Base!$U:$U,MATCH($A40,Base!$A:$A,0)),IF(KW$1=INDEX('Valo FX'!$R:$R,MATCH($A40,'Valo FX'!$A:$A,0)),INDEX(Base!$V:$V,MATCH($A40,Base!$A:$A,0)),0)))</f>
        <v>6.5148159999999997</v>
      </c>
      <c r="KX40" s="21">
        <f>IF(KX$1&lt;INDEX('Valo FX'!$Q:$Q,MATCH($A40,'Valo FX'!$A:$A,0)),0,IF(KX$1&lt;INDEX('Valo FX'!$R:$R,MATCH($A40,'Valo FX'!$A:$A,0)),INDEX(Base!$U:$U,MATCH($A40,Base!$A:$A,0)),IF(KX$1=INDEX('Valo FX'!$R:$R,MATCH($A40,'Valo FX'!$A:$A,0)),INDEX(Base!$V:$V,MATCH($A40,Base!$A:$A,0)),0)))</f>
        <v>6.5148159999999997</v>
      </c>
      <c r="KY40" s="21">
        <f>IF(KY$1&lt;INDEX('Valo FX'!$Q:$Q,MATCH($A40,'Valo FX'!$A:$A,0)),0,IF(KY$1&lt;INDEX('Valo FX'!$R:$R,MATCH($A40,'Valo FX'!$A:$A,0)),INDEX(Base!$U:$U,MATCH($A40,Base!$A:$A,0)),IF(KY$1=INDEX('Valo FX'!$R:$R,MATCH($A40,'Valo FX'!$A:$A,0)),INDEX(Base!$V:$V,MATCH($A40,Base!$A:$A,0)),0)))</f>
        <v>6.5148159999999997</v>
      </c>
      <c r="KZ40" s="21">
        <f>IF(KZ$1&lt;INDEX('Valo FX'!$Q:$Q,MATCH($A40,'Valo FX'!$A:$A,0)),0,IF(KZ$1&lt;INDEX('Valo FX'!$R:$R,MATCH($A40,'Valo FX'!$A:$A,0)),INDEX(Base!$U:$U,MATCH($A40,Base!$A:$A,0)),IF(KZ$1=INDEX('Valo FX'!$R:$R,MATCH($A40,'Valo FX'!$A:$A,0)),INDEX(Base!$V:$V,MATCH($A40,Base!$A:$A,0)),0)))</f>
        <v>6.5148159999999997</v>
      </c>
      <c r="LA40" s="21">
        <f>IF(LA$1&lt;INDEX('Valo FX'!$Q:$Q,MATCH($A40,'Valo FX'!$A:$A,0)),0,IF(LA$1&lt;INDEX('Valo FX'!$R:$R,MATCH($A40,'Valo FX'!$A:$A,0)),INDEX(Base!$U:$U,MATCH($A40,Base!$A:$A,0)),IF(LA$1=INDEX('Valo FX'!$R:$R,MATCH($A40,'Valo FX'!$A:$A,0)),INDEX(Base!$V:$V,MATCH($A40,Base!$A:$A,0)),0)))</f>
        <v>6.5148159999999997</v>
      </c>
      <c r="LB40" s="21">
        <f>IF(LB$1&lt;INDEX('Valo FX'!$Q:$Q,MATCH($A40,'Valo FX'!$A:$A,0)),0,IF(LB$1&lt;INDEX('Valo FX'!$R:$R,MATCH($A40,'Valo FX'!$A:$A,0)),INDEX(Base!$U:$U,MATCH($A40,Base!$A:$A,0)),IF(LB$1=INDEX('Valo FX'!$R:$R,MATCH($A40,'Valo FX'!$A:$A,0)),INDEX(Base!$V:$V,MATCH($A40,Base!$A:$A,0)),0)))</f>
        <v>6.5148159999999997</v>
      </c>
      <c r="LC40" s="21">
        <f>IF(LC$1&lt;INDEX('Valo FX'!$Q:$Q,MATCH($A40,'Valo FX'!$A:$A,0)),0,IF(LC$1&lt;INDEX('Valo FX'!$R:$R,MATCH($A40,'Valo FX'!$A:$A,0)),INDEX(Base!$U:$U,MATCH($A40,Base!$A:$A,0)),IF(LC$1=INDEX('Valo FX'!$R:$R,MATCH($A40,'Valo FX'!$A:$A,0)),INDEX(Base!$V:$V,MATCH($A40,Base!$A:$A,0)),0)))</f>
        <v>6.5148159999999997</v>
      </c>
      <c r="LD40" s="21">
        <f>IF(LD$1&lt;INDEX('Valo FX'!$Q:$Q,MATCH($A40,'Valo FX'!$A:$A,0)),0,IF(LD$1&lt;INDEX('Valo FX'!$R:$R,MATCH($A40,'Valo FX'!$A:$A,0)),INDEX(Base!$U:$U,MATCH($A40,Base!$A:$A,0)),IF(LD$1=INDEX('Valo FX'!$R:$R,MATCH($A40,'Valo FX'!$A:$A,0)),INDEX(Base!$V:$V,MATCH($A40,Base!$A:$A,0)),0)))</f>
        <v>6.5148159999999997</v>
      </c>
      <c r="LE40" s="21">
        <f>IF(LE$1&lt;INDEX('Valo FX'!$Q:$Q,MATCH($A40,'Valo FX'!$A:$A,0)),0,IF(LE$1&lt;INDEX('Valo FX'!$R:$R,MATCH($A40,'Valo FX'!$A:$A,0)),INDEX(Base!$U:$U,MATCH($A40,Base!$A:$A,0)),IF(LE$1=INDEX('Valo FX'!$R:$R,MATCH($A40,'Valo FX'!$A:$A,0)),INDEX(Base!$V:$V,MATCH($A40,Base!$A:$A,0)),0)))</f>
        <v>6.5148159999999997</v>
      </c>
      <c r="LF40" s="21">
        <f>IF(LF$1&lt;INDEX('Valo FX'!$Q:$Q,MATCH($A40,'Valo FX'!$A:$A,0)),0,IF(LF$1&lt;INDEX('Valo FX'!$R:$R,MATCH($A40,'Valo FX'!$A:$A,0)),INDEX(Base!$U:$U,MATCH($A40,Base!$A:$A,0)),IF(LF$1=INDEX('Valo FX'!$R:$R,MATCH($A40,'Valo FX'!$A:$A,0)),INDEX(Base!$V:$V,MATCH($A40,Base!$A:$A,0)),0)))</f>
        <v>6.5148159999999997</v>
      </c>
      <c r="LG40" s="21">
        <f>IF(LG$1&lt;INDEX('Valo FX'!$Q:$Q,MATCH($A40,'Valo FX'!$A:$A,0)),0,IF(LG$1&lt;INDEX('Valo FX'!$R:$R,MATCH($A40,'Valo FX'!$A:$A,0)),INDEX(Base!$U:$U,MATCH($A40,Base!$A:$A,0)),IF(LG$1=INDEX('Valo FX'!$R:$R,MATCH($A40,'Valo FX'!$A:$A,0)),INDEX(Base!$V:$V,MATCH($A40,Base!$A:$A,0)),0)))</f>
        <v>6.5148159999999997</v>
      </c>
      <c r="LH40" s="21">
        <f>IF(LH$1&lt;INDEX('Valo FX'!$Q:$Q,MATCH($A40,'Valo FX'!$A:$A,0)),0,IF(LH$1&lt;INDEX('Valo FX'!$R:$R,MATCH($A40,'Valo FX'!$A:$A,0)),INDEX(Base!$U:$U,MATCH($A40,Base!$A:$A,0)),IF(LH$1=INDEX('Valo FX'!$R:$R,MATCH($A40,'Valo FX'!$A:$A,0)),INDEX(Base!$V:$V,MATCH($A40,Base!$A:$A,0)),0)))</f>
        <v>6.5148159999999997</v>
      </c>
      <c r="LI40" s="21">
        <f>IF(LI$1&lt;INDEX('Valo FX'!$Q:$Q,MATCH($A40,'Valo FX'!$A:$A,0)),0,IF(LI$1&lt;INDEX('Valo FX'!$R:$R,MATCH($A40,'Valo FX'!$A:$A,0)),INDEX(Base!$U:$U,MATCH($A40,Base!$A:$A,0)),IF(LI$1=INDEX('Valo FX'!$R:$R,MATCH($A40,'Valo FX'!$A:$A,0)),INDEX(Base!$V:$V,MATCH($A40,Base!$A:$A,0)),0)))</f>
        <v>6.5148159999999997</v>
      </c>
      <c r="LJ40" s="21">
        <f>IF(LJ$1&lt;INDEX('Valo FX'!$Q:$Q,MATCH($A40,'Valo FX'!$A:$A,0)),0,IF(LJ$1&lt;INDEX('Valo FX'!$R:$R,MATCH($A40,'Valo FX'!$A:$A,0)),INDEX(Base!$U:$U,MATCH($A40,Base!$A:$A,0)),IF(LJ$1=INDEX('Valo FX'!$R:$R,MATCH($A40,'Valo FX'!$A:$A,0)),INDEX(Base!$V:$V,MATCH($A40,Base!$A:$A,0)),0)))</f>
        <v>6.5148159999999997</v>
      </c>
      <c r="LK40" s="21">
        <f>IF(LK$1&lt;INDEX('Valo FX'!$Q:$Q,MATCH($A40,'Valo FX'!$A:$A,0)),0,IF(LK$1&lt;INDEX('Valo FX'!$R:$R,MATCH($A40,'Valo FX'!$A:$A,0)),INDEX(Base!$U:$U,MATCH($A40,Base!$A:$A,0)),IF(LK$1=INDEX('Valo FX'!$R:$R,MATCH($A40,'Valo FX'!$A:$A,0)),INDEX(Base!$V:$V,MATCH($A40,Base!$A:$A,0)),0)))</f>
        <v>6.5148159999999997</v>
      </c>
      <c r="LL40" s="21">
        <f>IF(LL$1&lt;INDEX('Valo FX'!$Q:$Q,MATCH($A40,'Valo FX'!$A:$A,0)),0,IF(LL$1&lt;INDEX('Valo FX'!$R:$R,MATCH($A40,'Valo FX'!$A:$A,0)),INDEX(Base!$U:$U,MATCH($A40,Base!$A:$A,0)),IF(LL$1=INDEX('Valo FX'!$R:$R,MATCH($A40,'Valo FX'!$A:$A,0)),INDEX(Base!$V:$V,MATCH($A40,Base!$A:$A,0)),0)))</f>
        <v>6.5148159999999997</v>
      </c>
      <c r="LM40" s="21">
        <f>IF(LM$1&lt;INDEX('Valo FX'!$Q:$Q,MATCH($A40,'Valo FX'!$A:$A,0)),0,IF(LM$1&lt;INDEX('Valo FX'!$R:$R,MATCH($A40,'Valo FX'!$A:$A,0)),INDEX(Base!$U:$U,MATCH($A40,Base!$A:$A,0)),IF(LM$1=INDEX('Valo FX'!$R:$R,MATCH($A40,'Valo FX'!$A:$A,0)),INDEX(Base!$V:$V,MATCH($A40,Base!$A:$A,0)),0)))</f>
        <v>6.5148159999999997</v>
      </c>
      <c r="LN40" s="21">
        <f>IF(LN$1&lt;INDEX('Valo FX'!$Q:$Q,MATCH($A40,'Valo FX'!$A:$A,0)),0,IF(LN$1&lt;INDEX('Valo FX'!$R:$R,MATCH($A40,'Valo FX'!$A:$A,0)),INDEX(Base!$U:$U,MATCH($A40,Base!$A:$A,0)),IF(LN$1=INDEX('Valo FX'!$R:$R,MATCH($A40,'Valo FX'!$A:$A,0)),INDEX(Base!$V:$V,MATCH($A40,Base!$A:$A,0)),0)))</f>
        <v>6.5148159999999997</v>
      </c>
      <c r="LO40" s="21">
        <f>IF(LO$1&lt;INDEX('Valo FX'!$Q:$Q,MATCH($A40,'Valo FX'!$A:$A,0)),0,IF(LO$1&lt;INDEX('Valo FX'!$R:$R,MATCH($A40,'Valo FX'!$A:$A,0)),INDEX(Base!$U:$U,MATCH($A40,Base!$A:$A,0)),IF(LO$1=INDEX('Valo FX'!$R:$R,MATCH($A40,'Valo FX'!$A:$A,0)),INDEX(Base!$V:$V,MATCH($A40,Base!$A:$A,0)),0)))</f>
        <v>6.5148159999999997</v>
      </c>
      <c r="LP40" s="21">
        <f>IF(LP$1&lt;INDEX('Valo FX'!$Q:$Q,MATCH($A40,'Valo FX'!$A:$A,0)),0,IF(LP$1&lt;INDEX('Valo FX'!$R:$R,MATCH($A40,'Valo FX'!$A:$A,0)),INDEX(Base!$U:$U,MATCH($A40,Base!$A:$A,0)),IF(LP$1=INDEX('Valo FX'!$R:$R,MATCH($A40,'Valo FX'!$A:$A,0)),INDEX(Base!$V:$V,MATCH($A40,Base!$A:$A,0)),0)))</f>
        <v>6.5148159999999997</v>
      </c>
      <c r="LQ40" s="21">
        <f>IF(LQ$1&lt;INDEX('Valo FX'!$Q:$Q,MATCH($A40,'Valo FX'!$A:$A,0)),0,IF(LQ$1&lt;INDEX('Valo FX'!$R:$R,MATCH($A40,'Valo FX'!$A:$A,0)),INDEX(Base!$U:$U,MATCH($A40,Base!$A:$A,0)),IF(LQ$1=INDEX('Valo FX'!$R:$R,MATCH($A40,'Valo FX'!$A:$A,0)),INDEX(Base!$V:$V,MATCH($A40,Base!$A:$A,0)),0)))</f>
        <v>6.5148159999999997</v>
      </c>
      <c r="LR40" s="21">
        <f>IF(LR$1&lt;INDEX('Valo FX'!$Q:$Q,MATCH($A40,'Valo FX'!$A:$A,0)),0,IF(LR$1&lt;INDEX('Valo FX'!$R:$R,MATCH($A40,'Valo FX'!$A:$A,0)),INDEX(Base!$U:$U,MATCH($A40,Base!$A:$A,0)),IF(LR$1=INDEX('Valo FX'!$R:$R,MATCH($A40,'Valo FX'!$A:$A,0)),INDEX(Base!$V:$V,MATCH($A40,Base!$A:$A,0)),0)))</f>
        <v>6.5148159999999997</v>
      </c>
      <c r="LS40" s="21">
        <f>IF(LS$1&lt;INDEX('Valo FX'!$Q:$Q,MATCH($A40,'Valo FX'!$A:$A,0)),0,IF(LS$1&lt;INDEX('Valo FX'!$R:$R,MATCH($A40,'Valo FX'!$A:$A,0)),INDEX(Base!$U:$U,MATCH($A40,Base!$A:$A,0)),IF(LS$1=INDEX('Valo FX'!$R:$R,MATCH($A40,'Valo FX'!$A:$A,0)),INDEX(Base!$V:$V,MATCH($A40,Base!$A:$A,0)),0)))</f>
        <v>6.5148159999999997</v>
      </c>
      <c r="LT40" s="21">
        <f>IF(LT$1&lt;INDEX('Valo FX'!$Q:$Q,MATCH($A40,'Valo FX'!$A:$A,0)),0,IF(LT$1&lt;INDEX('Valo FX'!$R:$R,MATCH($A40,'Valo FX'!$A:$A,0)),INDEX(Base!$U:$U,MATCH($A40,Base!$A:$A,0)),IF(LT$1=INDEX('Valo FX'!$R:$R,MATCH($A40,'Valo FX'!$A:$A,0)),INDEX(Base!$V:$V,MATCH($A40,Base!$A:$A,0)),0)))</f>
        <v>6.5148159999999997</v>
      </c>
      <c r="LU40" s="21">
        <f>IF(LU$1&lt;INDEX('Valo FX'!$Q:$Q,MATCH($A40,'Valo FX'!$A:$A,0)),0,IF(LU$1&lt;INDEX('Valo FX'!$R:$R,MATCH($A40,'Valo FX'!$A:$A,0)),INDEX(Base!$U:$U,MATCH($A40,Base!$A:$A,0)),IF(LU$1=INDEX('Valo FX'!$R:$R,MATCH($A40,'Valo FX'!$A:$A,0)),INDEX(Base!$V:$V,MATCH($A40,Base!$A:$A,0)),0)))</f>
        <v>6.5148159999999997</v>
      </c>
      <c r="LV40" s="21">
        <f>IF(LV$1&lt;INDEX('Valo FX'!$Q:$Q,MATCH($A40,'Valo FX'!$A:$A,0)),0,IF(LV$1&lt;INDEX('Valo FX'!$R:$R,MATCH($A40,'Valo FX'!$A:$A,0)),INDEX(Base!$U:$U,MATCH($A40,Base!$A:$A,0)),IF(LV$1=INDEX('Valo FX'!$R:$R,MATCH($A40,'Valo FX'!$A:$A,0)),INDEX(Base!$V:$V,MATCH($A40,Base!$A:$A,0)),0)))</f>
        <v>6.5148159999999997</v>
      </c>
      <c r="LW40" s="21">
        <f>IF(LW$1&lt;INDEX('Valo FX'!$Q:$Q,MATCH($A40,'Valo FX'!$A:$A,0)),0,IF(LW$1&lt;INDEX('Valo FX'!$R:$R,MATCH($A40,'Valo FX'!$A:$A,0)),INDEX(Base!$U:$U,MATCH($A40,Base!$A:$A,0)),IF(LW$1=INDEX('Valo FX'!$R:$R,MATCH($A40,'Valo FX'!$A:$A,0)),INDEX(Base!$V:$V,MATCH($A40,Base!$A:$A,0)),0)))</f>
        <v>6.5148159999999997</v>
      </c>
      <c r="LX40" s="21">
        <f>IF(LX$1&lt;INDEX('Valo FX'!$Q:$Q,MATCH($A40,'Valo FX'!$A:$A,0)),0,IF(LX$1&lt;INDEX('Valo FX'!$R:$R,MATCH($A40,'Valo FX'!$A:$A,0)),INDEX(Base!$U:$U,MATCH($A40,Base!$A:$A,0)),IF(LX$1=INDEX('Valo FX'!$R:$R,MATCH($A40,'Valo FX'!$A:$A,0)),INDEX(Base!$V:$V,MATCH($A40,Base!$A:$A,0)),0)))</f>
        <v>6.5148159999999997</v>
      </c>
      <c r="LY40" s="21">
        <f>IF(LY$1&lt;INDEX('Valo FX'!$Q:$Q,MATCH($A40,'Valo FX'!$A:$A,0)),0,IF(LY$1&lt;INDEX('Valo FX'!$R:$R,MATCH($A40,'Valo FX'!$A:$A,0)),INDEX(Base!$U:$U,MATCH($A40,Base!$A:$A,0)),IF(LY$1=INDEX('Valo FX'!$R:$R,MATCH($A40,'Valo FX'!$A:$A,0)),INDEX(Base!$V:$V,MATCH($A40,Base!$A:$A,0)),0)))</f>
        <v>6.5148159999999997</v>
      </c>
      <c r="LZ40" s="21">
        <f>IF(LZ$1&lt;INDEX('Valo FX'!$Q:$Q,MATCH($A40,'Valo FX'!$A:$A,0)),0,IF(LZ$1&lt;INDEX('Valo FX'!$R:$R,MATCH($A40,'Valo FX'!$A:$A,0)),INDEX(Base!$U:$U,MATCH($A40,Base!$A:$A,0)),IF(LZ$1=INDEX('Valo FX'!$R:$R,MATCH($A40,'Valo FX'!$A:$A,0)),INDEX(Base!$V:$V,MATCH($A40,Base!$A:$A,0)),0)))</f>
        <v>6.5148159999999997</v>
      </c>
      <c r="MA40" s="21">
        <f>IF(MA$1&lt;INDEX('Valo FX'!$Q:$Q,MATCH($A40,'Valo FX'!$A:$A,0)),0,IF(MA$1&lt;INDEX('Valo FX'!$R:$R,MATCH($A40,'Valo FX'!$A:$A,0)),INDEX(Base!$U:$U,MATCH($A40,Base!$A:$A,0)),IF(MA$1=INDEX('Valo FX'!$R:$R,MATCH($A40,'Valo FX'!$A:$A,0)),INDEX(Base!$V:$V,MATCH($A40,Base!$A:$A,0)),0)))</f>
        <v>6.3347199999999999</v>
      </c>
      <c r="MB40" s="21">
        <f>IF(MB$1&lt;INDEX('Valo FX'!$Q:$Q,MATCH($A40,'Valo FX'!$A:$A,0)),0,IF(MB$1&lt;INDEX('Valo FX'!$R:$R,MATCH($A40,'Valo FX'!$A:$A,0)),INDEX(Base!$U:$U,MATCH($A40,Base!$A:$A,0)),IF(MB$1=INDEX('Valo FX'!$R:$R,MATCH($A40,'Valo FX'!$A:$A,0)),INDEX(Base!$V:$V,MATCH($A40,Base!$A:$A,0)),0)))</f>
        <v>0</v>
      </c>
      <c r="MC40" s="21">
        <f>IF(MC$1&lt;INDEX('Valo FX'!$Q:$Q,MATCH($A40,'Valo FX'!$A:$A,0)),0,IF(MC$1&lt;INDEX('Valo FX'!$R:$R,MATCH($A40,'Valo FX'!$A:$A,0)),INDEX(Base!$U:$U,MATCH($A40,Base!$A:$A,0)),IF(MC$1=INDEX('Valo FX'!$R:$R,MATCH($A40,'Valo FX'!$A:$A,0)),INDEX(Base!$V:$V,MATCH($A40,Base!$A:$A,0)),0)))</f>
        <v>0</v>
      </c>
      <c r="MD40" s="21">
        <f>IF(MD$1&lt;INDEX('Valo FX'!$Q:$Q,MATCH($A40,'Valo FX'!$A:$A,0)),0,IF(MD$1&lt;INDEX('Valo FX'!$R:$R,MATCH($A40,'Valo FX'!$A:$A,0)),INDEX(Base!$U:$U,MATCH($A40,Base!$A:$A,0)),IF(MD$1=INDEX('Valo FX'!$R:$R,MATCH($A40,'Valo FX'!$A:$A,0)),INDEX(Base!$V:$V,MATCH($A40,Base!$A:$A,0)),0)))</f>
        <v>0</v>
      </c>
      <c r="ME40" s="21">
        <f>IF(ME$1&lt;INDEX('Valo FX'!$Q:$Q,MATCH($A40,'Valo FX'!$A:$A,0)),0,IF(ME$1&lt;INDEX('Valo FX'!$R:$R,MATCH($A40,'Valo FX'!$A:$A,0)),INDEX(Base!$U:$U,MATCH($A40,Base!$A:$A,0)),IF(ME$1=INDEX('Valo FX'!$R:$R,MATCH($A40,'Valo FX'!$A:$A,0)),INDEX(Base!$V:$V,MATCH($A40,Base!$A:$A,0)),0)))</f>
        <v>0</v>
      </c>
      <c r="MF40" s="21">
        <f>IF(MF$1&lt;INDEX('Valo FX'!$Q:$Q,MATCH($A40,'Valo FX'!$A:$A,0)),0,IF(MF$1&lt;INDEX('Valo FX'!$R:$R,MATCH($A40,'Valo FX'!$A:$A,0)),INDEX(Base!$U:$U,MATCH($A40,Base!$A:$A,0)),IF(MF$1=INDEX('Valo FX'!$R:$R,MATCH($A40,'Valo FX'!$A:$A,0)),INDEX(Base!$V:$V,MATCH($A40,Base!$A:$A,0)),0)))</f>
        <v>0</v>
      </c>
      <c r="MG40" s="21">
        <f>IF(MG$1&lt;INDEX('Valo FX'!$Q:$Q,MATCH($A40,'Valo FX'!$A:$A,0)),0,IF(MG$1&lt;INDEX('Valo FX'!$R:$R,MATCH($A40,'Valo FX'!$A:$A,0)),INDEX(Base!$U:$U,MATCH($A40,Base!$A:$A,0)),IF(MG$1=INDEX('Valo FX'!$R:$R,MATCH($A40,'Valo FX'!$A:$A,0)),INDEX(Base!$V:$V,MATCH($A40,Base!$A:$A,0)),0)))</f>
        <v>0</v>
      </c>
      <c r="MH40" s="21">
        <f>IF(MH$1&lt;INDEX('Valo FX'!$Q:$Q,MATCH($A40,'Valo FX'!$A:$A,0)),0,IF(MH$1&lt;INDEX('Valo FX'!$R:$R,MATCH($A40,'Valo FX'!$A:$A,0)),INDEX(Base!$U:$U,MATCH($A40,Base!$A:$A,0)),IF(MH$1=INDEX('Valo FX'!$R:$R,MATCH($A40,'Valo FX'!$A:$A,0)),INDEX(Base!$V:$V,MATCH($A40,Base!$A:$A,0)),0)))</f>
        <v>0</v>
      </c>
      <c r="MI40" s="21">
        <f>IF(MI$1&lt;INDEX('Valo FX'!$Q:$Q,MATCH($A40,'Valo FX'!$A:$A,0)),0,IF(MI$1&lt;INDEX('Valo FX'!$R:$R,MATCH($A40,'Valo FX'!$A:$A,0)),INDEX(Base!$U:$U,MATCH($A40,Base!$A:$A,0)),IF(MI$1=INDEX('Valo FX'!$R:$R,MATCH($A40,'Valo FX'!$A:$A,0)),INDEX(Base!$V:$V,MATCH($A40,Base!$A:$A,0)),0)))</f>
        <v>0</v>
      </c>
      <c r="MJ40" s="21">
        <f>IF(MJ$1&lt;INDEX('Valo FX'!$Q:$Q,MATCH($A40,'Valo FX'!$A:$A,0)),0,IF(MJ$1&lt;INDEX('Valo FX'!$R:$R,MATCH($A40,'Valo FX'!$A:$A,0)),INDEX(Base!$U:$U,MATCH($A40,Base!$A:$A,0)),IF(MJ$1=INDEX('Valo FX'!$R:$R,MATCH($A40,'Valo FX'!$A:$A,0)),INDEX(Base!$V:$V,MATCH($A40,Base!$A:$A,0)),0)))</f>
        <v>0</v>
      </c>
      <c r="MK40" s="21">
        <f>IF(MK$1&lt;INDEX('Valo FX'!$Q:$Q,MATCH($A40,'Valo FX'!$A:$A,0)),0,IF(MK$1&lt;INDEX('Valo FX'!$R:$R,MATCH($A40,'Valo FX'!$A:$A,0)),INDEX(Base!$U:$U,MATCH($A40,Base!$A:$A,0)),IF(MK$1=INDEX('Valo FX'!$R:$R,MATCH($A40,'Valo FX'!$A:$A,0)),INDEX(Base!$V:$V,MATCH($A40,Base!$A:$A,0)),0)))</f>
        <v>0</v>
      </c>
      <c r="ML40" s="21">
        <f>IF(ML$1&lt;INDEX('Valo FX'!$Q:$Q,MATCH($A40,'Valo FX'!$A:$A,0)),0,IF(ML$1&lt;INDEX('Valo FX'!$R:$R,MATCH($A40,'Valo FX'!$A:$A,0)),INDEX(Base!$U:$U,MATCH($A40,Base!$A:$A,0)),IF(ML$1=INDEX('Valo FX'!$R:$R,MATCH($A40,'Valo FX'!$A:$A,0)),INDEX(Base!$V:$V,MATCH($A40,Base!$A:$A,0)),0)))</f>
        <v>0</v>
      </c>
      <c r="MM40" s="21">
        <f>IF(MM$1&lt;INDEX('Valo FX'!$Q:$Q,MATCH($A40,'Valo FX'!$A:$A,0)),0,IF(MM$1&lt;INDEX('Valo FX'!$R:$R,MATCH($A40,'Valo FX'!$A:$A,0)),INDEX(Base!$U:$U,MATCH($A40,Base!$A:$A,0)),IF(MM$1=INDEX('Valo FX'!$R:$R,MATCH($A40,'Valo FX'!$A:$A,0)),INDEX(Base!$V:$V,MATCH($A40,Base!$A:$A,0)),0)))</f>
        <v>0</v>
      </c>
      <c r="MN40" s="21">
        <f>IF(MN$1&lt;INDEX('Valo FX'!$Q:$Q,MATCH($A40,'Valo FX'!$A:$A,0)),0,IF(MN$1&lt;INDEX('Valo FX'!$R:$R,MATCH($A40,'Valo FX'!$A:$A,0)),INDEX(Base!$U:$U,MATCH($A40,Base!$A:$A,0)),IF(MN$1=INDEX('Valo FX'!$R:$R,MATCH($A40,'Valo FX'!$A:$A,0)),INDEX(Base!$V:$V,MATCH($A40,Base!$A:$A,0)),0)))</f>
        <v>0</v>
      </c>
      <c r="MO40" s="21">
        <f>IF(MO$1&lt;INDEX('Valo FX'!$Q:$Q,MATCH($A40,'Valo FX'!$A:$A,0)),0,IF(MO$1&lt;INDEX('Valo FX'!$R:$R,MATCH($A40,'Valo FX'!$A:$A,0)),INDEX(Base!$U:$U,MATCH($A40,Base!$A:$A,0)),IF(MO$1=INDEX('Valo FX'!$R:$R,MATCH($A40,'Valo FX'!$A:$A,0)),INDEX(Base!$V:$V,MATCH($A40,Base!$A:$A,0)),0)))</f>
        <v>0</v>
      </c>
      <c r="MP40" s="21">
        <f>IF(MP$1&lt;INDEX('Valo FX'!$Q:$Q,MATCH($A40,'Valo FX'!$A:$A,0)),0,IF(MP$1&lt;INDEX('Valo FX'!$R:$R,MATCH($A40,'Valo FX'!$A:$A,0)),INDEX(Base!$U:$U,MATCH($A40,Base!$A:$A,0)),IF(MP$1=INDEX('Valo FX'!$R:$R,MATCH($A40,'Valo FX'!$A:$A,0)),INDEX(Base!$V:$V,MATCH($A40,Base!$A:$A,0)),0)))</f>
        <v>0</v>
      </c>
      <c r="MQ40" s="21">
        <f>IF(MQ$1&lt;INDEX('Valo FX'!$Q:$Q,MATCH($A40,'Valo FX'!$A:$A,0)),0,IF(MQ$1&lt;INDEX('Valo FX'!$R:$R,MATCH($A40,'Valo FX'!$A:$A,0)),INDEX(Base!$U:$U,MATCH($A40,Base!$A:$A,0)),IF(MQ$1=INDEX('Valo FX'!$R:$R,MATCH($A40,'Valo FX'!$A:$A,0)),INDEX(Base!$V:$V,MATCH($A40,Base!$A:$A,0)),0)))</f>
        <v>0</v>
      </c>
      <c r="MR40" s="21">
        <f>IF(MR$1&lt;INDEX('Valo FX'!$Q:$Q,MATCH($A40,'Valo FX'!$A:$A,0)),0,IF(MR$1&lt;INDEX('Valo FX'!$R:$R,MATCH($A40,'Valo FX'!$A:$A,0)),INDEX(Base!$U:$U,MATCH($A40,Base!$A:$A,0)),IF(MR$1=INDEX('Valo FX'!$R:$R,MATCH($A40,'Valo FX'!$A:$A,0)),INDEX(Base!$V:$V,MATCH($A40,Base!$A:$A,0)),0)))</f>
        <v>0</v>
      </c>
      <c r="MS40" s="21">
        <f>IF(MS$1&lt;INDEX('Valo FX'!$Q:$Q,MATCH($A40,'Valo FX'!$A:$A,0)),0,IF(MS$1&lt;INDEX('Valo FX'!$R:$R,MATCH($A40,'Valo FX'!$A:$A,0)),INDEX(Base!$U:$U,MATCH($A40,Base!$A:$A,0)),IF(MS$1=INDEX('Valo FX'!$R:$R,MATCH($A40,'Valo FX'!$A:$A,0)),INDEX(Base!$V:$V,MATCH($A40,Base!$A:$A,0)),0)))</f>
        <v>0</v>
      </c>
      <c r="MT40" s="21">
        <f>IF(MT$1&lt;INDEX('Valo FX'!$Q:$Q,MATCH($A40,'Valo FX'!$A:$A,0)),0,IF(MT$1&lt;INDEX('Valo FX'!$R:$R,MATCH($A40,'Valo FX'!$A:$A,0)),INDEX(Base!$U:$U,MATCH($A40,Base!$A:$A,0)),IF(MT$1=INDEX('Valo FX'!$R:$R,MATCH($A40,'Valo FX'!$A:$A,0)),INDEX(Base!$V:$V,MATCH($A40,Base!$A:$A,0)),0)))</f>
        <v>0</v>
      </c>
      <c r="MU40" s="21">
        <f>IF(MU$1&lt;INDEX('Valo FX'!$Q:$Q,MATCH($A40,'Valo FX'!$A:$A,0)),0,IF(MU$1&lt;INDEX('Valo FX'!$R:$R,MATCH($A40,'Valo FX'!$A:$A,0)),INDEX(Base!$U:$U,MATCH($A40,Base!$A:$A,0)),IF(MU$1=INDEX('Valo FX'!$R:$R,MATCH($A40,'Valo FX'!$A:$A,0)),INDEX(Base!$V:$V,MATCH($A40,Base!$A:$A,0)),0)))</f>
        <v>0</v>
      </c>
      <c r="MV40" s="21">
        <f>IF(MV$1&lt;INDEX('Valo FX'!$Q:$Q,MATCH($A40,'Valo FX'!$A:$A,0)),0,IF(MV$1&lt;INDEX('Valo FX'!$R:$R,MATCH($A40,'Valo FX'!$A:$A,0)),INDEX(Base!$U:$U,MATCH($A40,Base!$A:$A,0)),IF(MV$1=INDEX('Valo FX'!$R:$R,MATCH($A40,'Valo FX'!$A:$A,0)),INDEX(Base!$V:$V,MATCH($A40,Base!$A:$A,0)),0)))</f>
        <v>0</v>
      </c>
      <c r="MW40" s="21">
        <f>IF(MW$1&lt;INDEX('Valo FX'!$Q:$Q,MATCH($A40,'Valo FX'!$A:$A,0)),0,IF(MW$1&lt;INDEX('Valo FX'!$R:$R,MATCH($A40,'Valo FX'!$A:$A,0)),INDEX(Base!$U:$U,MATCH($A40,Base!$A:$A,0)),IF(MW$1=INDEX('Valo FX'!$R:$R,MATCH($A40,'Valo FX'!$A:$A,0)),INDEX(Base!$V:$V,MATCH($A40,Base!$A:$A,0)),0)))</f>
        <v>0</v>
      </c>
      <c r="MX40" s="21">
        <f>IF(MX$1&lt;INDEX('Valo FX'!$Q:$Q,MATCH($A40,'Valo FX'!$A:$A,0)),0,IF(MX$1&lt;INDEX('Valo FX'!$R:$R,MATCH($A40,'Valo FX'!$A:$A,0)),INDEX(Base!$U:$U,MATCH($A40,Base!$A:$A,0)),IF(MX$1=INDEX('Valo FX'!$R:$R,MATCH($A40,'Valo FX'!$A:$A,0)),INDEX(Base!$V:$V,MATCH($A40,Base!$A:$A,0)),0)))</f>
        <v>0</v>
      </c>
      <c r="MY40" s="21">
        <f>IF(MY$1&lt;INDEX('Valo FX'!$Q:$Q,MATCH($A40,'Valo FX'!$A:$A,0)),0,IF(MY$1&lt;INDEX('Valo FX'!$R:$R,MATCH($A40,'Valo FX'!$A:$A,0)),INDEX(Base!$U:$U,MATCH($A40,Base!$A:$A,0)),IF(MY$1=INDEX('Valo FX'!$R:$R,MATCH($A40,'Valo FX'!$A:$A,0)),INDEX(Base!$V:$V,MATCH($A40,Base!$A:$A,0)),0)))</f>
        <v>0</v>
      </c>
    </row>
    <row r="41" spans="1:363" x14ac:dyDescent="0.25">
      <c r="A41" s="7">
        <f t="shared" si="12"/>
        <v>39</v>
      </c>
      <c r="B41" s="59">
        <f>-'Valo FX'!T42</f>
        <v>-893.95822461463138</v>
      </c>
      <c r="C41" s="21">
        <f>IF(C$1&lt;INDEX('Valo FX'!$Q:$Q,MATCH($A41,'Valo FX'!$A:$A,0)),0,IF(C$1&lt;INDEX('Valo FX'!$R:$R,MATCH($A41,'Valo FX'!$A:$A,0)),INDEX(Base!$U:$U,MATCH($A41,Base!$A:$A,0)),IF(C$1=INDEX('Valo FX'!$R:$R,MATCH($A41,'Valo FX'!$A:$A,0)),INDEX(Base!$V:$V,MATCH($A41,Base!$A:$A,0)),0)))</f>
        <v>0</v>
      </c>
      <c r="D41" s="21">
        <f>IF(D$1&lt;INDEX('Valo FX'!$Q:$Q,MATCH($A41,'Valo FX'!$A:$A,0)),0,IF(D$1&lt;INDEX('Valo FX'!$R:$R,MATCH($A41,'Valo FX'!$A:$A,0)),INDEX(Base!$U:$U,MATCH($A41,Base!$A:$A,0)),IF(D$1=INDEX('Valo FX'!$R:$R,MATCH($A41,'Valo FX'!$A:$A,0)),INDEX(Base!$V:$V,MATCH($A41,Base!$A:$A,0)),0)))</f>
        <v>0</v>
      </c>
      <c r="E41" s="21">
        <f>IF(E$1&lt;INDEX('Valo FX'!$Q:$Q,MATCH($A41,'Valo FX'!$A:$A,0)),0,IF(E$1&lt;INDEX('Valo FX'!$R:$R,MATCH($A41,'Valo FX'!$A:$A,0)),INDEX(Base!$U:$U,MATCH($A41,Base!$A:$A,0)),IF(E$1=INDEX('Valo FX'!$R:$R,MATCH($A41,'Valo FX'!$A:$A,0)),INDEX(Base!$V:$V,MATCH($A41,Base!$A:$A,0)),0)))</f>
        <v>0</v>
      </c>
      <c r="F41" s="21">
        <f>IF(F$1&lt;INDEX('Valo FX'!$Q:$Q,MATCH($A41,'Valo FX'!$A:$A,0)),0,IF(F$1&lt;INDEX('Valo FX'!$R:$R,MATCH($A41,'Valo FX'!$A:$A,0)),INDEX(Base!$U:$U,MATCH($A41,Base!$A:$A,0)),IF(F$1=INDEX('Valo FX'!$R:$R,MATCH($A41,'Valo FX'!$A:$A,0)),INDEX(Base!$V:$V,MATCH($A41,Base!$A:$A,0)),0)))</f>
        <v>0</v>
      </c>
      <c r="G41" s="21">
        <f>IF(G$1&lt;INDEX('Valo FX'!$Q:$Q,MATCH($A41,'Valo FX'!$A:$A,0)),0,IF(G$1&lt;INDEX('Valo FX'!$R:$R,MATCH($A41,'Valo FX'!$A:$A,0)),INDEX(Base!$U:$U,MATCH($A41,Base!$A:$A,0)),IF(G$1=INDEX('Valo FX'!$R:$R,MATCH($A41,'Valo FX'!$A:$A,0)),INDEX(Base!$V:$V,MATCH($A41,Base!$A:$A,0)),0)))</f>
        <v>0</v>
      </c>
      <c r="H41" s="21">
        <f>IF(H$1&lt;INDEX('Valo FX'!$Q:$Q,MATCH($A41,'Valo FX'!$A:$A,0)),0,IF(H$1&lt;INDEX('Valo FX'!$R:$R,MATCH($A41,'Valo FX'!$A:$A,0)),INDEX(Base!$U:$U,MATCH($A41,Base!$A:$A,0)),IF(H$1=INDEX('Valo FX'!$R:$R,MATCH($A41,'Valo FX'!$A:$A,0)),INDEX(Base!$V:$V,MATCH($A41,Base!$A:$A,0)),0)))</f>
        <v>0</v>
      </c>
      <c r="I41" s="21">
        <f>IF(I$1&lt;INDEX('Valo FX'!$Q:$Q,MATCH($A41,'Valo FX'!$A:$A,0)),0,IF(I$1&lt;INDEX('Valo FX'!$R:$R,MATCH($A41,'Valo FX'!$A:$A,0)),INDEX(Base!$U:$U,MATCH($A41,Base!$A:$A,0)),IF(I$1=INDEX('Valo FX'!$R:$R,MATCH($A41,'Valo FX'!$A:$A,0)),INDEX(Base!$V:$V,MATCH($A41,Base!$A:$A,0)),0)))</f>
        <v>6.1249200000000004</v>
      </c>
      <c r="J41" s="21">
        <f>IF(J$1&lt;INDEX('Valo FX'!$Q:$Q,MATCH($A41,'Valo FX'!$A:$A,0)),0,IF(J$1&lt;INDEX('Valo FX'!$R:$R,MATCH($A41,'Valo FX'!$A:$A,0)),INDEX(Base!$U:$U,MATCH($A41,Base!$A:$A,0)),IF(J$1=INDEX('Valo FX'!$R:$R,MATCH($A41,'Valo FX'!$A:$A,0)),INDEX(Base!$V:$V,MATCH($A41,Base!$A:$A,0)),0)))</f>
        <v>6.1249200000000004</v>
      </c>
      <c r="K41" s="21">
        <f>IF(K$1&lt;INDEX('Valo FX'!$Q:$Q,MATCH($A41,'Valo FX'!$A:$A,0)),0,IF(K$1&lt;INDEX('Valo FX'!$R:$R,MATCH($A41,'Valo FX'!$A:$A,0)),INDEX(Base!$U:$U,MATCH($A41,Base!$A:$A,0)),IF(K$1=INDEX('Valo FX'!$R:$R,MATCH($A41,'Valo FX'!$A:$A,0)),INDEX(Base!$V:$V,MATCH($A41,Base!$A:$A,0)),0)))</f>
        <v>6.1249200000000004</v>
      </c>
      <c r="L41" s="21">
        <f>IF(L$1&lt;INDEX('Valo FX'!$Q:$Q,MATCH($A41,'Valo FX'!$A:$A,0)),0,IF(L$1&lt;INDEX('Valo FX'!$R:$R,MATCH($A41,'Valo FX'!$A:$A,0)),INDEX(Base!$U:$U,MATCH($A41,Base!$A:$A,0)),IF(L$1=INDEX('Valo FX'!$R:$R,MATCH($A41,'Valo FX'!$A:$A,0)),INDEX(Base!$V:$V,MATCH($A41,Base!$A:$A,0)),0)))</f>
        <v>6.1249200000000004</v>
      </c>
      <c r="M41" s="21">
        <f>IF(M$1&lt;INDEX('Valo FX'!$Q:$Q,MATCH($A41,'Valo FX'!$A:$A,0)),0,IF(M$1&lt;INDEX('Valo FX'!$R:$R,MATCH($A41,'Valo FX'!$A:$A,0)),INDEX(Base!$U:$U,MATCH($A41,Base!$A:$A,0)),IF(M$1=INDEX('Valo FX'!$R:$R,MATCH($A41,'Valo FX'!$A:$A,0)),INDEX(Base!$V:$V,MATCH($A41,Base!$A:$A,0)),0)))</f>
        <v>6.1249200000000004</v>
      </c>
      <c r="N41" s="21">
        <f>IF(N$1&lt;INDEX('Valo FX'!$Q:$Q,MATCH($A41,'Valo FX'!$A:$A,0)),0,IF(N$1&lt;INDEX('Valo FX'!$R:$R,MATCH($A41,'Valo FX'!$A:$A,0)),INDEX(Base!$U:$U,MATCH($A41,Base!$A:$A,0)),IF(N$1=INDEX('Valo FX'!$R:$R,MATCH($A41,'Valo FX'!$A:$A,0)),INDEX(Base!$V:$V,MATCH($A41,Base!$A:$A,0)),0)))</f>
        <v>6.1249200000000004</v>
      </c>
      <c r="O41" s="21">
        <f>IF(O$1&lt;INDEX('Valo FX'!$Q:$Q,MATCH($A41,'Valo FX'!$A:$A,0)),0,IF(O$1&lt;INDEX('Valo FX'!$R:$R,MATCH($A41,'Valo FX'!$A:$A,0)),INDEX(Base!$U:$U,MATCH($A41,Base!$A:$A,0)),IF(O$1=INDEX('Valo FX'!$R:$R,MATCH($A41,'Valo FX'!$A:$A,0)),INDEX(Base!$V:$V,MATCH($A41,Base!$A:$A,0)),0)))</f>
        <v>6.1249200000000004</v>
      </c>
      <c r="P41" s="21">
        <f>IF(P$1&lt;INDEX('Valo FX'!$Q:$Q,MATCH($A41,'Valo FX'!$A:$A,0)),0,IF(P$1&lt;INDEX('Valo FX'!$R:$R,MATCH($A41,'Valo FX'!$A:$A,0)),INDEX(Base!$U:$U,MATCH($A41,Base!$A:$A,0)),IF(P$1=INDEX('Valo FX'!$R:$R,MATCH($A41,'Valo FX'!$A:$A,0)),INDEX(Base!$V:$V,MATCH($A41,Base!$A:$A,0)),0)))</f>
        <v>6.1249200000000004</v>
      </c>
      <c r="Q41" s="21">
        <f>IF(Q$1&lt;INDEX('Valo FX'!$Q:$Q,MATCH($A41,'Valo FX'!$A:$A,0)),0,IF(Q$1&lt;INDEX('Valo FX'!$R:$R,MATCH($A41,'Valo FX'!$A:$A,0)),INDEX(Base!$U:$U,MATCH($A41,Base!$A:$A,0)),IF(Q$1=INDEX('Valo FX'!$R:$R,MATCH($A41,'Valo FX'!$A:$A,0)),INDEX(Base!$V:$V,MATCH($A41,Base!$A:$A,0)),0)))</f>
        <v>6.1249200000000004</v>
      </c>
      <c r="R41" s="21">
        <f>IF(R$1&lt;INDEX('Valo FX'!$Q:$Q,MATCH($A41,'Valo FX'!$A:$A,0)),0,IF(R$1&lt;INDEX('Valo FX'!$R:$R,MATCH($A41,'Valo FX'!$A:$A,0)),INDEX(Base!$U:$U,MATCH($A41,Base!$A:$A,0)),IF(R$1=INDEX('Valo FX'!$R:$R,MATCH($A41,'Valo FX'!$A:$A,0)),INDEX(Base!$V:$V,MATCH($A41,Base!$A:$A,0)),0)))</f>
        <v>6.1249200000000004</v>
      </c>
      <c r="S41" s="21">
        <f>IF(S$1&lt;INDEX('Valo FX'!$Q:$Q,MATCH($A41,'Valo FX'!$A:$A,0)),0,IF(S$1&lt;INDEX('Valo FX'!$R:$R,MATCH($A41,'Valo FX'!$A:$A,0)),INDEX(Base!$U:$U,MATCH($A41,Base!$A:$A,0)),IF(S$1=INDEX('Valo FX'!$R:$R,MATCH($A41,'Valo FX'!$A:$A,0)),INDEX(Base!$V:$V,MATCH($A41,Base!$A:$A,0)),0)))</f>
        <v>6.1249200000000004</v>
      </c>
      <c r="T41" s="21">
        <f>IF(T$1&lt;INDEX('Valo FX'!$Q:$Q,MATCH($A41,'Valo FX'!$A:$A,0)),0,IF(T$1&lt;INDEX('Valo FX'!$R:$R,MATCH($A41,'Valo FX'!$A:$A,0)),INDEX(Base!$U:$U,MATCH($A41,Base!$A:$A,0)),IF(T$1=INDEX('Valo FX'!$R:$R,MATCH($A41,'Valo FX'!$A:$A,0)),INDEX(Base!$V:$V,MATCH($A41,Base!$A:$A,0)),0)))</f>
        <v>6.1249200000000004</v>
      </c>
      <c r="U41" s="21">
        <f>IF(U$1&lt;INDEX('Valo FX'!$Q:$Q,MATCH($A41,'Valo FX'!$A:$A,0)),0,IF(U$1&lt;INDEX('Valo FX'!$R:$R,MATCH($A41,'Valo FX'!$A:$A,0)),INDEX(Base!$U:$U,MATCH($A41,Base!$A:$A,0)),IF(U$1=INDEX('Valo FX'!$R:$R,MATCH($A41,'Valo FX'!$A:$A,0)),INDEX(Base!$V:$V,MATCH($A41,Base!$A:$A,0)),0)))</f>
        <v>6.1249200000000004</v>
      </c>
      <c r="V41" s="21">
        <f>IF(V$1&lt;INDEX('Valo FX'!$Q:$Q,MATCH($A41,'Valo FX'!$A:$A,0)),0,IF(V$1&lt;INDEX('Valo FX'!$R:$R,MATCH($A41,'Valo FX'!$A:$A,0)),INDEX(Base!$U:$U,MATCH($A41,Base!$A:$A,0)),IF(V$1=INDEX('Valo FX'!$R:$R,MATCH($A41,'Valo FX'!$A:$A,0)),INDEX(Base!$V:$V,MATCH($A41,Base!$A:$A,0)),0)))</f>
        <v>6.1249200000000004</v>
      </c>
      <c r="W41" s="21">
        <f>IF(W$1&lt;INDEX('Valo FX'!$Q:$Q,MATCH($A41,'Valo FX'!$A:$A,0)),0,IF(W$1&lt;INDEX('Valo FX'!$R:$R,MATCH($A41,'Valo FX'!$A:$A,0)),INDEX(Base!$U:$U,MATCH($A41,Base!$A:$A,0)),IF(W$1=INDEX('Valo FX'!$R:$R,MATCH($A41,'Valo FX'!$A:$A,0)),INDEX(Base!$V:$V,MATCH($A41,Base!$A:$A,0)),0)))</f>
        <v>6.1249200000000004</v>
      </c>
      <c r="X41" s="21">
        <f>IF(X$1&lt;INDEX('Valo FX'!$Q:$Q,MATCH($A41,'Valo FX'!$A:$A,0)),0,IF(X$1&lt;INDEX('Valo FX'!$R:$R,MATCH($A41,'Valo FX'!$A:$A,0)),INDEX(Base!$U:$U,MATCH($A41,Base!$A:$A,0)),IF(X$1=INDEX('Valo FX'!$R:$R,MATCH($A41,'Valo FX'!$A:$A,0)),INDEX(Base!$V:$V,MATCH($A41,Base!$A:$A,0)),0)))</f>
        <v>6.1249200000000004</v>
      </c>
      <c r="Y41" s="21">
        <f>IF(Y$1&lt;INDEX('Valo FX'!$Q:$Q,MATCH($A41,'Valo FX'!$A:$A,0)),0,IF(Y$1&lt;INDEX('Valo FX'!$R:$R,MATCH($A41,'Valo FX'!$A:$A,0)),INDEX(Base!$U:$U,MATCH($A41,Base!$A:$A,0)),IF(Y$1=INDEX('Valo FX'!$R:$R,MATCH($A41,'Valo FX'!$A:$A,0)),INDEX(Base!$V:$V,MATCH($A41,Base!$A:$A,0)),0)))</f>
        <v>6.1249200000000004</v>
      </c>
      <c r="Z41" s="21">
        <f>IF(Z$1&lt;INDEX('Valo FX'!$Q:$Q,MATCH($A41,'Valo FX'!$A:$A,0)),0,IF(Z$1&lt;INDEX('Valo FX'!$R:$R,MATCH($A41,'Valo FX'!$A:$A,0)),INDEX(Base!$U:$U,MATCH($A41,Base!$A:$A,0)),IF(Z$1=INDEX('Valo FX'!$R:$R,MATCH($A41,'Valo FX'!$A:$A,0)),INDEX(Base!$V:$V,MATCH($A41,Base!$A:$A,0)),0)))</f>
        <v>6.1249200000000004</v>
      </c>
      <c r="AA41" s="21">
        <f>IF(AA$1&lt;INDEX('Valo FX'!$Q:$Q,MATCH($A41,'Valo FX'!$A:$A,0)),0,IF(AA$1&lt;INDEX('Valo FX'!$R:$R,MATCH($A41,'Valo FX'!$A:$A,0)),INDEX(Base!$U:$U,MATCH($A41,Base!$A:$A,0)),IF(AA$1=INDEX('Valo FX'!$R:$R,MATCH($A41,'Valo FX'!$A:$A,0)),INDEX(Base!$V:$V,MATCH($A41,Base!$A:$A,0)),0)))</f>
        <v>6.1249200000000004</v>
      </c>
      <c r="AB41" s="21">
        <f>IF(AB$1&lt;INDEX('Valo FX'!$Q:$Q,MATCH($A41,'Valo FX'!$A:$A,0)),0,IF(AB$1&lt;INDEX('Valo FX'!$R:$R,MATCH($A41,'Valo FX'!$A:$A,0)),INDEX(Base!$U:$U,MATCH($A41,Base!$A:$A,0)),IF(AB$1=INDEX('Valo FX'!$R:$R,MATCH($A41,'Valo FX'!$A:$A,0)),INDEX(Base!$V:$V,MATCH($A41,Base!$A:$A,0)),0)))</f>
        <v>6.1249200000000004</v>
      </c>
      <c r="AC41" s="21">
        <f>IF(AC$1&lt;INDEX('Valo FX'!$Q:$Q,MATCH($A41,'Valo FX'!$A:$A,0)),0,IF(AC$1&lt;INDEX('Valo FX'!$R:$R,MATCH($A41,'Valo FX'!$A:$A,0)),INDEX(Base!$U:$U,MATCH($A41,Base!$A:$A,0)),IF(AC$1=INDEX('Valo FX'!$R:$R,MATCH($A41,'Valo FX'!$A:$A,0)),INDEX(Base!$V:$V,MATCH($A41,Base!$A:$A,0)),0)))</f>
        <v>6.1249200000000004</v>
      </c>
      <c r="AD41" s="21">
        <f>IF(AD$1&lt;INDEX('Valo FX'!$Q:$Q,MATCH($A41,'Valo FX'!$A:$A,0)),0,IF(AD$1&lt;INDEX('Valo FX'!$R:$R,MATCH($A41,'Valo FX'!$A:$A,0)),INDEX(Base!$U:$U,MATCH($A41,Base!$A:$A,0)),IF(AD$1=INDEX('Valo FX'!$R:$R,MATCH($A41,'Valo FX'!$A:$A,0)),INDEX(Base!$V:$V,MATCH($A41,Base!$A:$A,0)),0)))</f>
        <v>6.1249200000000004</v>
      </c>
      <c r="AE41" s="21">
        <f>IF(AE$1&lt;INDEX('Valo FX'!$Q:$Q,MATCH($A41,'Valo FX'!$A:$A,0)),0,IF(AE$1&lt;INDEX('Valo FX'!$R:$R,MATCH($A41,'Valo FX'!$A:$A,0)),INDEX(Base!$U:$U,MATCH($A41,Base!$A:$A,0)),IF(AE$1=INDEX('Valo FX'!$R:$R,MATCH($A41,'Valo FX'!$A:$A,0)),INDEX(Base!$V:$V,MATCH($A41,Base!$A:$A,0)),0)))</f>
        <v>6.1249200000000004</v>
      </c>
      <c r="AF41" s="21">
        <f>IF(AF$1&lt;INDEX('Valo FX'!$Q:$Q,MATCH($A41,'Valo FX'!$A:$A,0)),0,IF(AF$1&lt;INDEX('Valo FX'!$R:$R,MATCH($A41,'Valo FX'!$A:$A,0)),INDEX(Base!$U:$U,MATCH($A41,Base!$A:$A,0)),IF(AF$1=INDEX('Valo FX'!$R:$R,MATCH($A41,'Valo FX'!$A:$A,0)),INDEX(Base!$V:$V,MATCH($A41,Base!$A:$A,0)),0)))</f>
        <v>6.1249200000000004</v>
      </c>
      <c r="AG41" s="21">
        <f>IF(AG$1&lt;INDEX('Valo FX'!$Q:$Q,MATCH($A41,'Valo FX'!$A:$A,0)),0,IF(AG$1&lt;INDEX('Valo FX'!$R:$R,MATCH($A41,'Valo FX'!$A:$A,0)),INDEX(Base!$U:$U,MATCH($A41,Base!$A:$A,0)),IF(AG$1=INDEX('Valo FX'!$R:$R,MATCH($A41,'Valo FX'!$A:$A,0)),INDEX(Base!$V:$V,MATCH($A41,Base!$A:$A,0)),0)))</f>
        <v>6.1249200000000004</v>
      </c>
      <c r="AH41" s="21">
        <f>IF(AH$1&lt;INDEX('Valo FX'!$Q:$Q,MATCH($A41,'Valo FX'!$A:$A,0)),0,IF(AH$1&lt;INDEX('Valo FX'!$R:$R,MATCH($A41,'Valo FX'!$A:$A,0)),INDEX(Base!$U:$U,MATCH($A41,Base!$A:$A,0)),IF(AH$1=INDEX('Valo FX'!$R:$R,MATCH($A41,'Valo FX'!$A:$A,0)),INDEX(Base!$V:$V,MATCH($A41,Base!$A:$A,0)),0)))</f>
        <v>6.1249200000000004</v>
      </c>
      <c r="AI41" s="21">
        <f>IF(AI$1&lt;INDEX('Valo FX'!$Q:$Q,MATCH($A41,'Valo FX'!$A:$A,0)),0,IF(AI$1&lt;INDEX('Valo FX'!$R:$R,MATCH($A41,'Valo FX'!$A:$A,0)),INDEX(Base!$U:$U,MATCH($A41,Base!$A:$A,0)),IF(AI$1=INDEX('Valo FX'!$R:$R,MATCH($A41,'Valo FX'!$A:$A,0)),INDEX(Base!$V:$V,MATCH($A41,Base!$A:$A,0)),0)))</f>
        <v>6.1249200000000004</v>
      </c>
      <c r="AJ41" s="21">
        <f>IF(AJ$1&lt;INDEX('Valo FX'!$Q:$Q,MATCH($A41,'Valo FX'!$A:$A,0)),0,IF(AJ$1&lt;INDEX('Valo FX'!$R:$R,MATCH($A41,'Valo FX'!$A:$A,0)),INDEX(Base!$U:$U,MATCH($A41,Base!$A:$A,0)),IF(AJ$1=INDEX('Valo FX'!$R:$R,MATCH($A41,'Valo FX'!$A:$A,0)),INDEX(Base!$V:$V,MATCH($A41,Base!$A:$A,0)),0)))</f>
        <v>6.1249200000000004</v>
      </c>
      <c r="AK41" s="21">
        <f>IF(AK$1&lt;INDEX('Valo FX'!$Q:$Q,MATCH($A41,'Valo FX'!$A:$A,0)),0,IF(AK$1&lt;INDEX('Valo FX'!$R:$R,MATCH($A41,'Valo FX'!$A:$A,0)),INDEX(Base!$U:$U,MATCH($A41,Base!$A:$A,0)),IF(AK$1=INDEX('Valo FX'!$R:$R,MATCH($A41,'Valo FX'!$A:$A,0)),INDEX(Base!$V:$V,MATCH($A41,Base!$A:$A,0)),0)))</f>
        <v>6.1249200000000004</v>
      </c>
      <c r="AL41" s="21">
        <f>IF(AL$1&lt;INDEX('Valo FX'!$Q:$Q,MATCH($A41,'Valo FX'!$A:$A,0)),0,IF(AL$1&lt;INDEX('Valo FX'!$R:$R,MATCH($A41,'Valo FX'!$A:$A,0)),INDEX(Base!$U:$U,MATCH($A41,Base!$A:$A,0)),IF(AL$1=INDEX('Valo FX'!$R:$R,MATCH($A41,'Valo FX'!$A:$A,0)),INDEX(Base!$V:$V,MATCH($A41,Base!$A:$A,0)),0)))</f>
        <v>6.1249200000000004</v>
      </c>
      <c r="AM41" s="21">
        <f>IF(AM$1&lt;INDEX('Valo FX'!$Q:$Q,MATCH($A41,'Valo FX'!$A:$A,0)),0,IF(AM$1&lt;INDEX('Valo FX'!$R:$R,MATCH($A41,'Valo FX'!$A:$A,0)),INDEX(Base!$U:$U,MATCH($A41,Base!$A:$A,0)),IF(AM$1=INDEX('Valo FX'!$R:$R,MATCH($A41,'Valo FX'!$A:$A,0)),INDEX(Base!$V:$V,MATCH($A41,Base!$A:$A,0)),0)))</f>
        <v>6.1249200000000004</v>
      </c>
      <c r="AN41" s="21">
        <f>IF(AN$1&lt;INDEX('Valo FX'!$Q:$Q,MATCH($A41,'Valo FX'!$A:$A,0)),0,IF(AN$1&lt;INDEX('Valo FX'!$R:$R,MATCH($A41,'Valo FX'!$A:$A,0)),INDEX(Base!$U:$U,MATCH($A41,Base!$A:$A,0)),IF(AN$1=INDEX('Valo FX'!$R:$R,MATCH($A41,'Valo FX'!$A:$A,0)),INDEX(Base!$V:$V,MATCH($A41,Base!$A:$A,0)),0)))</f>
        <v>6.1249200000000004</v>
      </c>
      <c r="AO41" s="21">
        <f>IF(AO$1&lt;INDEX('Valo FX'!$Q:$Q,MATCH($A41,'Valo FX'!$A:$A,0)),0,IF(AO$1&lt;INDEX('Valo FX'!$R:$R,MATCH($A41,'Valo FX'!$A:$A,0)),INDEX(Base!$U:$U,MATCH($A41,Base!$A:$A,0)),IF(AO$1=INDEX('Valo FX'!$R:$R,MATCH($A41,'Valo FX'!$A:$A,0)),INDEX(Base!$V:$V,MATCH($A41,Base!$A:$A,0)),0)))</f>
        <v>6.1249200000000004</v>
      </c>
      <c r="AP41" s="21">
        <f>IF(AP$1&lt;INDEX('Valo FX'!$Q:$Q,MATCH($A41,'Valo FX'!$A:$A,0)),0,IF(AP$1&lt;INDEX('Valo FX'!$R:$R,MATCH($A41,'Valo FX'!$A:$A,0)),INDEX(Base!$U:$U,MATCH($A41,Base!$A:$A,0)),IF(AP$1=INDEX('Valo FX'!$R:$R,MATCH($A41,'Valo FX'!$A:$A,0)),INDEX(Base!$V:$V,MATCH($A41,Base!$A:$A,0)),0)))</f>
        <v>6.1249200000000004</v>
      </c>
      <c r="AQ41" s="21">
        <f>IF(AQ$1&lt;INDEX('Valo FX'!$Q:$Q,MATCH($A41,'Valo FX'!$A:$A,0)),0,IF(AQ$1&lt;INDEX('Valo FX'!$R:$R,MATCH($A41,'Valo FX'!$A:$A,0)),INDEX(Base!$U:$U,MATCH($A41,Base!$A:$A,0)),IF(AQ$1=INDEX('Valo FX'!$R:$R,MATCH($A41,'Valo FX'!$A:$A,0)),INDEX(Base!$V:$V,MATCH($A41,Base!$A:$A,0)),0)))</f>
        <v>6.1249200000000004</v>
      </c>
      <c r="AR41" s="21">
        <f>IF(AR$1&lt;INDEX('Valo FX'!$Q:$Q,MATCH($A41,'Valo FX'!$A:$A,0)),0,IF(AR$1&lt;INDEX('Valo FX'!$R:$R,MATCH($A41,'Valo FX'!$A:$A,0)),INDEX(Base!$U:$U,MATCH($A41,Base!$A:$A,0)),IF(AR$1=INDEX('Valo FX'!$R:$R,MATCH($A41,'Valo FX'!$A:$A,0)),INDEX(Base!$V:$V,MATCH($A41,Base!$A:$A,0)),0)))</f>
        <v>6.1249200000000004</v>
      </c>
      <c r="AS41" s="21">
        <f>IF(AS$1&lt;INDEX('Valo FX'!$Q:$Q,MATCH($A41,'Valo FX'!$A:$A,0)),0,IF(AS$1&lt;INDEX('Valo FX'!$R:$R,MATCH($A41,'Valo FX'!$A:$A,0)),INDEX(Base!$U:$U,MATCH($A41,Base!$A:$A,0)),IF(AS$1=INDEX('Valo FX'!$R:$R,MATCH($A41,'Valo FX'!$A:$A,0)),INDEX(Base!$V:$V,MATCH($A41,Base!$A:$A,0)),0)))</f>
        <v>6.1249200000000004</v>
      </c>
      <c r="AT41" s="21">
        <f>IF(AT$1&lt;INDEX('Valo FX'!$Q:$Q,MATCH($A41,'Valo FX'!$A:$A,0)),0,IF(AT$1&lt;INDEX('Valo FX'!$R:$R,MATCH($A41,'Valo FX'!$A:$A,0)),INDEX(Base!$U:$U,MATCH($A41,Base!$A:$A,0)),IF(AT$1=INDEX('Valo FX'!$R:$R,MATCH($A41,'Valo FX'!$A:$A,0)),INDEX(Base!$V:$V,MATCH($A41,Base!$A:$A,0)),0)))</f>
        <v>6.1249200000000004</v>
      </c>
      <c r="AU41" s="21">
        <f>IF(AU$1&lt;INDEX('Valo FX'!$Q:$Q,MATCH($A41,'Valo FX'!$A:$A,0)),0,IF(AU$1&lt;INDEX('Valo FX'!$R:$R,MATCH($A41,'Valo FX'!$A:$A,0)),INDEX(Base!$U:$U,MATCH($A41,Base!$A:$A,0)),IF(AU$1=INDEX('Valo FX'!$R:$R,MATCH($A41,'Valo FX'!$A:$A,0)),INDEX(Base!$V:$V,MATCH($A41,Base!$A:$A,0)),0)))</f>
        <v>6.1249200000000004</v>
      </c>
      <c r="AV41" s="21">
        <f>IF(AV$1&lt;INDEX('Valo FX'!$Q:$Q,MATCH($A41,'Valo FX'!$A:$A,0)),0,IF(AV$1&lt;INDEX('Valo FX'!$R:$R,MATCH($A41,'Valo FX'!$A:$A,0)),INDEX(Base!$U:$U,MATCH($A41,Base!$A:$A,0)),IF(AV$1=INDEX('Valo FX'!$R:$R,MATCH($A41,'Valo FX'!$A:$A,0)),INDEX(Base!$V:$V,MATCH($A41,Base!$A:$A,0)),0)))</f>
        <v>6.1249200000000004</v>
      </c>
      <c r="AW41" s="21">
        <f>IF(AW$1&lt;INDEX('Valo FX'!$Q:$Q,MATCH($A41,'Valo FX'!$A:$A,0)),0,IF(AW$1&lt;INDEX('Valo FX'!$R:$R,MATCH($A41,'Valo FX'!$A:$A,0)),INDEX(Base!$U:$U,MATCH($A41,Base!$A:$A,0)),IF(AW$1=INDEX('Valo FX'!$R:$R,MATCH($A41,'Valo FX'!$A:$A,0)),INDEX(Base!$V:$V,MATCH($A41,Base!$A:$A,0)),0)))</f>
        <v>6.1249200000000004</v>
      </c>
      <c r="AX41" s="21">
        <f>IF(AX$1&lt;INDEX('Valo FX'!$Q:$Q,MATCH($A41,'Valo FX'!$A:$A,0)),0,IF(AX$1&lt;INDEX('Valo FX'!$R:$R,MATCH($A41,'Valo FX'!$A:$A,0)),INDEX(Base!$U:$U,MATCH($A41,Base!$A:$A,0)),IF(AX$1=INDEX('Valo FX'!$R:$R,MATCH($A41,'Valo FX'!$A:$A,0)),INDEX(Base!$V:$V,MATCH($A41,Base!$A:$A,0)),0)))</f>
        <v>6.1249200000000004</v>
      </c>
      <c r="AY41" s="21">
        <f>IF(AY$1&lt;INDEX('Valo FX'!$Q:$Q,MATCH($A41,'Valo FX'!$A:$A,0)),0,IF(AY$1&lt;INDEX('Valo FX'!$R:$R,MATCH($A41,'Valo FX'!$A:$A,0)),INDEX(Base!$U:$U,MATCH($A41,Base!$A:$A,0)),IF(AY$1=INDEX('Valo FX'!$R:$R,MATCH($A41,'Valo FX'!$A:$A,0)),INDEX(Base!$V:$V,MATCH($A41,Base!$A:$A,0)),0)))</f>
        <v>6.1249200000000004</v>
      </c>
      <c r="AZ41" s="21">
        <f>IF(AZ$1&lt;INDEX('Valo FX'!$Q:$Q,MATCH($A41,'Valo FX'!$A:$A,0)),0,IF(AZ$1&lt;INDEX('Valo FX'!$R:$R,MATCH($A41,'Valo FX'!$A:$A,0)),INDEX(Base!$U:$U,MATCH($A41,Base!$A:$A,0)),IF(AZ$1=INDEX('Valo FX'!$R:$R,MATCH($A41,'Valo FX'!$A:$A,0)),INDEX(Base!$V:$V,MATCH($A41,Base!$A:$A,0)),0)))</f>
        <v>6.1249200000000004</v>
      </c>
      <c r="BA41" s="21">
        <f>IF(BA$1&lt;INDEX('Valo FX'!$Q:$Q,MATCH($A41,'Valo FX'!$A:$A,0)),0,IF(BA$1&lt;INDEX('Valo FX'!$R:$R,MATCH($A41,'Valo FX'!$A:$A,0)),INDEX(Base!$U:$U,MATCH($A41,Base!$A:$A,0)),IF(BA$1=INDEX('Valo FX'!$R:$R,MATCH($A41,'Valo FX'!$A:$A,0)),INDEX(Base!$V:$V,MATCH($A41,Base!$A:$A,0)),0)))</f>
        <v>6.1249200000000004</v>
      </c>
      <c r="BB41" s="21">
        <f>IF(BB$1&lt;INDEX('Valo FX'!$Q:$Q,MATCH($A41,'Valo FX'!$A:$A,0)),0,IF(BB$1&lt;INDEX('Valo FX'!$R:$R,MATCH($A41,'Valo FX'!$A:$A,0)),INDEX(Base!$U:$U,MATCH($A41,Base!$A:$A,0)),IF(BB$1=INDEX('Valo FX'!$R:$R,MATCH($A41,'Valo FX'!$A:$A,0)),INDEX(Base!$V:$V,MATCH($A41,Base!$A:$A,0)),0)))</f>
        <v>6.1249200000000004</v>
      </c>
      <c r="BC41" s="21">
        <f>IF(BC$1&lt;INDEX('Valo FX'!$Q:$Q,MATCH($A41,'Valo FX'!$A:$A,0)),0,IF(BC$1&lt;INDEX('Valo FX'!$R:$R,MATCH($A41,'Valo FX'!$A:$A,0)),INDEX(Base!$U:$U,MATCH($A41,Base!$A:$A,0)),IF(BC$1=INDEX('Valo FX'!$R:$R,MATCH($A41,'Valo FX'!$A:$A,0)),INDEX(Base!$V:$V,MATCH($A41,Base!$A:$A,0)),0)))</f>
        <v>6.1249200000000004</v>
      </c>
      <c r="BD41" s="21">
        <f>IF(BD$1&lt;INDEX('Valo FX'!$Q:$Q,MATCH($A41,'Valo FX'!$A:$A,0)),0,IF(BD$1&lt;INDEX('Valo FX'!$R:$R,MATCH($A41,'Valo FX'!$A:$A,0)),INDEX(Base!$U:$U,MATCH($A41,Base!$A:$A,0)),IF(BD$1=INDEX('Valo FX'!$R:$R,MATCH($A41,'Valo FX'!$A:$A,0)),INDEX(Base!$V:$V,MATCH($A41,Base!$A:$A,0)),0)))</f>
        <v>6.1249200000000004</v>
      </c>
      <c r="BE41" s="21">
        <f>IF(BE$1&lt;INDEX('Valo FX'!$Q:$Q,MATCH($A41,'Valo FX'!$A:$A,0)),0,IF(BE$1&lt;INDEX('Valo FX'!$R:$R,MATCH($A41,'Valo FX'!$A:$A,0)),INDEX(Base!$U:$U,MATCH($A41,Base!$A:$A,0)),IF(BE$1=INDEX('Valo FX'!$R:$R,MATCH($A41,'Valo FX'!$A:$A,0)),INDEX(Base!$V:$V,MATCH($A41,Base!$A:$A,0)),0)))</f>
        <v>6.1249200000000004</v>
      </c>
      <c r="BF41" s="21">
        <f>IF(BF$1&lt;INDEX('Valo FX'!$Q:$Q,MATCH($A41,'Valo FX'!$A:$A,0)),0,IF(BF$1&lt;INDEX('Valo FX'!$R:$R,MATCH($A41,'Valo FX'!$A:$A,0)),INDEX(Base!$U:$U,MATCH($A41,Base!$A:$A,0)),IF(BF$1=INDEX('Valo FX'!$R:$R,MATCH($A41,'Valo FX'!$A:$A,0)),INDEX(Base!$V:$V,MATCH($A41,Base!$A:$A,0)),0)))</f>
        <v>6.1249200000000004</v>
      </c>
      <c r="BG41" s="21">
        <f>IF(BG$1&lt;INDEX('Valo FX'!$Q:$Q,MATCH($A41,'Valo FX'!$A:$A,0)),0,IF(BG$1&lt;INDEX('Valo FX'!$R:$R,MATCH($A41,'Valo FX'!$A:$A,0)),INDEX(Base!$U:$U,MATCH($A41,Base!$A:$A,0)),IF(BG$1=INDEX('Valo FX'!$R:$R,MATCH($A41,'Valo FX'!$A:$A,0)),INDEX(Base!$V:$V,MATCH($A41,Base!$A:$A,0)),0)))</f>
        <v>6.1249200000000004</v>
      </c>
      <c r="BH41" s="21">
        <f>IF(BH$1&lt;INDEX('Valo FX'!$Q:$Q,MATCH($A41,'Valo FX'!$A:$A,0)),0,IF(BH$1&lt;INDEX('Valo FX'!$R:$R,MATCH($A41,'Valo FX'!$A:$A,0)),INDEX(Base!$U:$U,MATCH($A41,Base!$A:$A,0)),IF(BH$1=INDEX('Valo FX'!$R:$R,MATCH($A41,'Valo FX'!$A:$A,0)),INDEX(Base!$V:$V,MATCH($A41,Base!$A:$A,0)),0)))</f>
        <v>6.1249200000000004</v>
      </c>
      <c r="BI41" s="21">
        <f>IF(BI$1&lt;INDEX('Valo FX'!$Q:$Q,MATCH($A41,'Valo FX'!$A:$A,0)),0,IF(BI$1&lt;INDEX('Valo FX'!$R:$R,MATCH($A41,'Valo FX'!$A:$A,0)),INDEX(Base!$U:$U,MATCH($A41,Base!$A:$A,0)),IF(BI$1=INDEX('Valo FX'!$R:$R,MATCH($A41,'Valo FX'!$A:$A,0)),INDEX(Base!$V:$V,MATCH($A41,Base!$A:$A,0)),0)))</f>
        <v>6.1249200000000004</v>
      </c>
      <c r="BJ41" s="21">
        <f>IF(BJ$1&lt;INDEX('Valo FX'!$Q:$Q,MATCH($A41,'Valo FX'!$A:$A,0)),0,IF(BJ$1&lt;INDEX('Valo FX'!$R:$R,MATCH($A41,'Valo FX'!$A:$A,0)),INDEX(Base!$U:$U,MATCH($A41,Base!$A:$A,0)),IF(BJ$1=INDEX('Valo FX'!$R:$R,MATCH($A41,'Valo FX'!$A:$A,0)),INDEX(Base!$V:$V,MATCH($A41,Base!$A:$A,0)),0)))</f>
        <v>6.1249200000000004</v>
      </c>
      <c r="BK41" s="21">
        <f>IF(BK$1&lt;INDEX('Valo FX'!$Q:$Q,MATCH($A41,'Valo FX'!$A:$A,0)),0,IF(BK$1&lt;INDEX('Valo FX'!$R:$R,MATCH($A41,'Valo FX'!$A:$A,0)),INDEX(Base!$U:$U,MATCH($A41,Base!$A:$A,0)),IF(BK$1=INDEX('Valo FX'!$R:$R,MATCH($A41,'Valo FX'!$A:$A,0)),INDEX(Base!$V:$V,MATCH($A41,Base!$A:$A,0)),0)))</f>
        <v>6.1249200000000004</v>
      </c>
      <c r="BL41" s="21">
        <f>IF(BL$1&lt;INDEX('Valo FX'!$Q:$Q,MATCH($A41,'Valo FX'!$A:$A,0)),0,IF(BL$1&lt;INDEX('Valo FX'!$R:$R,MATCH($A41,'Valo FX'!$A:$A,0)),INDEX(Base!$U:$U,MATCH($A41,Base!$A:$A,0)),IF(BL$1=INDEX('Valo FX'!$R:$R,MATCH($A41,'Valo FX'!$A:$A,0)),INDEX(Base!$V:$V,MATCH($A41,Base!$A:$A,0)),0)))</f>
        <v>6.1249200000000004</v>
      </c>
      <c r="BM41" s="21">
        <f>IF(BM$1&lt;INDEX('Valo FX'!$Q:$Q,MATCH($A41,'Valo FX'!$A:$A,0)),0,IF(BM$1&lt;INDEX('Valo FX'!$R:$R,MATCH($A41,'Valo FX'!$A:$A,0)),INDEX(Base!$U:$U,MATCH($A41,Base!$A:$A,0)),IF(BM$1=INDEX('Valo FX'!$R:$R,MATCH($A41,'Valo FX'!$A:$A,0)),INDEX(Base!$V:$V,MATCH($A41,Base!$A:$A,0)),0)))</f>
        <v>6.1249200000000004</v>
      </c>
      <c r="BN41" s="21">
        <f>IF(BN$1&lt;INDEX('Valo FX'!$Q:$Q,MATCH($A41,'Valo FX'!$A:$A,0)),0,IF(BN$1&lt;INDEX('Valo FX'!$R:$R,MATCH($A41,'Valo FX'!$A:$A,0)),INDEX(Base!$U:$U,MATCH($A41,Base!$A:$A,0)),IF(BN$1=INDEX('Valo FX'!$R:$R,MATCH($A41,'Valo FX'!$A:$A,0)),INDEX(Base!$V:$V,MATCH($A41,Base!$A:$A,0)),0)))</f>
        <v>6.1249200000000004</v>
      </c>
      <c r="BO41" s="21">
        <f>IF(BO$1&lt;INDEX('Valo FX'!$Q:$Q,MATCH($A41,'Valo FX'!$A:$A,0)),0,IF(BO$1&lt;INDEX('Valo FX'!$R:$R,MATCH($A41,'Valo FX'!$A:$A,0)),INDEX(Base!$U:$U,MATCH($A41,Base!$A:$A,0)),IF(BO$1=INDEX('Valo FX'!$R:$R,MATCH($A41,'Valo FX'!$A:$A,0)),INDEX(Base!$V:$V,MATCH($A41,Base!$A:$A,0)),0)))</f>
        <v>6.1249200000000004</v>
      </c>
      <c r="BP41" s="21">
        <f>IF(BP$1&lt;INDEX('Valo FX'!$Q:$Q,MATCH($A41,'Valo FX'!$A:$A,0)),0,IF(BP$1&lt;INDEX('Valo FX'!$R:$R,MATCH($A41,'Valo FX'!$A:$A,0)),INDEX(Base!$U:$U,MATCH($A41,Base!$A:$A,0)),IF(BP$1=INDEX('Valo FX'!$R:$R,MATCH($A41,'Valo FX'!$A:$A,0)),INDEX(Base!$V:$V,MATCH($A41,Base!$A:$A,0)),0)))</f>
        <v>6.1249200000000004</v>
      </c>
      <c r="BQ41" s="21">
        <f>IF(BQ$1&lt;INDEX('Valo FX'!$Q:$Q,MATCH($A41,'Valo FX'!$A:$A,0)),0,IF(BQ$1&lt;INDEX('Valo FX'!$R:$R,MATCH($A41,'Valo FX'!$A:$A,0)),INDEX(Base!$U:$U,MATCH($A41,Base!$A:$A,0)),IF(BQ$1=INDEX('Valo FX'!$R:$R,MATCH($A41,'Valo FX'!$A:$A,0)),INDEX(Base!$V:$V,MATCH($A41,Base!$A:$A,0)),0)))</f>
        <v>6.1249200000000004</v>
      </c>
      <c r="BR41" s="21">
        <f>IF(BR$1&lt;INDEX('Valo FX'!$Q:$Q,MATCH($A41,'Valo FX'!$A:$A,0)),0,IF(BR$1&lt;INDEX('Valo FX'!$R:$R,MATCH($A41,'Valo FX'!$A:$A,0)),INDEX(Base!$U:$U,MATCH($A41,Base!$A:$A,0)),IF(BR$1=INDEX('Valo FX'!$R:$R,MATCH($A41,'Valo FX'!$A:$A,0)),INDEX(Base!$V:$V,MATCH($A41,Base!$A:$A,0)),0)))</f>
        <v>6.1249200000000004</v>
      </c>
      <c r="BS41" s="21">
        <f>IF(BS$1&lt;INDEX('Valo FX'!$Q:$Q,MATCH($A41,'Valo FX'!$A:$A,0)),0,IF(BS$1&lt;INDEX('Valo FX'!$R:$R,MATCH($A41,'Valo FX'!$A:$A,0)),INDEX(Base!$U:$U,MATCH($A41,Base!$A:$A,0)),IF(BS$1=INDEX('Valo FX'!$R:$R,MATCH($A41,'Valo FX'!$A:$A,0)),INDEX(Base!$V:$V,MATCH($A41,Base!$A:$A,0)),0)))</f>
        <v>6.1249200000000004</v>
      </c>
      <c r="BT41" s="21">
        <f>IF(BT$1&lt;INDEX('Valo FX'!$Q:$Q,MATCH($A41,'Valo FX'!$A:$A,0)),0,IF(BT$1&lt;INDEX('Valo FX'!$R:$R,MATCH($A41,'Valo FX'!$A:$A,0)),INDEX(Base!$U:$U,MATCH($A41,Base!$A:$A,0)),IF(BT$1=INDEX('Valo FX'!$R:$R,MATCH($A41,'Valo FX'!$A:$A,0)),INDEX(Base!$V:$V,MATCH($A41,Base!$A:$A,0)),0)))</f>
        <v>6.1249200000000004</v>
      </c>
      <c r="BU41" s="21">
        <f>IF(BU$1&lt;INDEX('Valo FX'!$Q:$Q,MATCH($A41,'Valo FX'!$A:$A,0)),0,IF(BU$1&lt;INDEX('Valo FX'!$R:$R,MATCH($A41,'Valo FX'!$A:$A,0)),INDEX(Base!$U:$U,MATCH($A41,Base!$A:$A,0)),IF(BU$1=INDEX('Valo FX'!$R:$R,MATCH($A41,'Valo FX'!$A:$A,0)),INDEX(Base!$V:$V,MATCH($A41,Base!$A:$A,0)),0)))</f>
        <v>6.1249200000000004</v>
      </c>
      <c r="BV41" s="21">
        <f>IF(BV$1&lt;INDEX('Valo FX'!$Q:$Q,MATCH($A41,'Valo FX'!$A:$A,0)),0,IF(BV$1&lt;INDEX('Valo FX'!$R:$R,MATCH($A41,'Valo FX'!$A:$A,0)),INDEX(Base!$U:$U,MATCH($A41,Base!$A:$A,0)),IF(BV$1=INDEX('Valo FX'!$R:$R,MATCH($A41,'Valo FX'!$A:$A,0)),INDEX(Base!$V:$V,MATCH($A41,Base!$A:$A,0)),0)))</f>
        <v>6.1249200000000004</v>
      </c>
      <c r="BW41" s="21">
        <f>IF(BW$1&lt;INDEX('Valo FX'!$Q:$Q,MATCH($A41,'Valo FX'!$A:$A,0)),0,IF(BW$1&lt;INDEX('Valo FX'!$R:$R,MATCH($A41,'Valo FX'!$A:$A,0)),INDEX(Base!$U:$U,MATCH($A41,Base!$A:$A,0)),IF(BW$1=INDEX('Valo FX'!$R:$R,MATCH($A41,'Valo FX'!$A:$A,0)),INDEX(Base!$V:$V,MATCH($A41,Base!$A:$A,0)),0)))</f>
        <v>6.1249200000000004</v>
      </c>
      <c r="BX41" s="21">
        <f>IF(BX$1&lt;INDEX('Valo FX'!$Q:$Q,MATCH($A41,'Valo FX'!$A:$A,0)),0,IF(BX$1&lt;INDEX('Valo FX'!$R:$R,MATCH($A41,'Valo FX'!$A:$A,0)),INDEX(Base!$U:$U,MATCH($A41,Base!$A:$A,0)),IF(BX$1=INDEX('Valo FX'!$R:$R,MATCH($A41,'Valo FX'!$A:$A,0)),INDEX(Base!$V:$V,MATCH($A41,Base!$A:$A,0)),0)))</f>
        <v>6.1249200000000004</v>
      </c>
      <c r="BY41" s="21">
        <f>IF(BY$1&lt;INDEX('Valo FX'!$Q:$Q,MATCH($A41,'Valo FX'!$A:$A,0)),0,IF(BY$1&lt;INDEX('Valo FX'!$R:$R,MATCH($A41,'Valo FX'!$A:$A,0)),INDEX(Base!$U:$U,MATCH($A41,Base!$A:$A,0)),IF(BY$1=INDEX('Valo FX'!$R:$R,MATCH($A41,'Valo FX'!$A:$A,0)),INDEX(Base!$V:$V,MATCH($A41,Base!$A:$A,0)),0)))</f>
        <v>6.1249200000000004</v>
      </c>
      <c r="BZ41" s="21">
        <f>IF(BZ$1&lt;INDEX('Valo FX'!$Q:$Q,MATCH($A41,'Valo FX'!$A:$A,0)),0,IF(BZ$1&lt;INDEX('Valo FX'!$R:$R,MATCH($A41,'Valo FX'!$A:$A,0)),INDEX(Base!$U:$U,MATCH($A41,Base!$A:$A,0)),IF(BZ$1=INDEX('Valo FX'!$R:$R,MATCH($A41,'Valo FX'!$A:$A,0)),INDEX(Base!$V:$V,MATCH($A41,Base!$A:$A,0)),0)))</f>
        <v>6.1249200000000004</v>
      </c>
      <c r="CA41" s="21">
        <f>IF(CA$1&lt;INDEX('Valo FX'!$Q:$Q,MATCH($A41,'Valo FX'!$A:$A,0)),0,IF(CA$1&lt;INDEX('Valo FX'!$R:$R,MATCH($A41,'Valo FX'!$A:$A,0)),INDEX(Base!$U:$U,MATCH($A41,Base!$A:$A,0)),IF(CA$1=INDEX('Valo FX'!$R:$R,MATCH($A41,'Valo FX'!$A:$A,0)),INDEX(Base!$V:$V,MATCH($A41,Base!$A:$A,0)),0)))</f>
        <v>6.1249200000000004</v>
      </c>
      <c r="CB41" s="21">
        <f>IF(CB$1&lt;INDEX('Valo FX'!$Q:$Q,MATCH($A41,'Valo FX'!$A:$A,0)),0,IF(CB$1&lt;INDEX('Valo FX'!$R:$R,MATCH($A41,'Valo FX'!$A:$A,0)),INDEX(Base!$U:$U,MATCH($A41,Base!$A:$A,0)),IF(CB$1=INDEX('Valo FX'!$R:$R,MATCH($A41,'Valo FX'!$A:$A,0)),INDEX(Base!$V:$V,MATCH($A41,Base!$A:$A,0)),0)))</f>
        <v>6.1249200000000004</v>
      </c>
      <c r="CC41" s="21">
        <f>IF(CC$1&lt;INDEX('Valo FX'!$Q:$Q,MATCH($A41,'Valo FX'!$A:$A,0)),0,IF(CC$1&lt;INDEX('Valo FX'!$R:$R,MATCH($A41,'Valo FX'!$A:$A,0)),INDEX(Base!$U:$U,MATCH($A41,Base!$A:$A,0)),IF(CC$1=INDEX('Valo FX'!$R:$R,MATCH($A41,'Valo FX'!$A:$A,0)),INDEX(Base!$V:$V,MATCH($A41,Base!$A:$A,0)),0)))</f>
        <v>6.1249200000000004</v>
      </c>
      <c r="CD41" s="21">
        <f>IF(CD$1&lt;INDEX('Valo FX'!$Q:$Q,MATCH($A41,'Valo FX'!$A:$A,0)),0,IF(CD$1&lt;INDEX('Valo FX'!$R:$R,MATCH($A41,'Valo FX'!$A:$A,0)),INDEX(Base!$U:$U,MATCH($A41,Base!$A:$A,0)),IF(CD$1=INDEX('Valo FX'!$R:$R,MATCH($A41,'Valo FX'!$A:$A,0)),INDEX(Base!$V:$V,MATCH($A41,Base!$A:$A,0)),0)))</f>
        <v>6.1249200000000004</v>
      </c>
      <c r="CE41" s="21">
        <f>IF(CE$1&lt;INDEX('Valo FX'!$Q:$Q,MATCH($A41,'Valo FX'!$A:$A,0)),0,IF(CE$1&lt;INDEX('Valo FX'!$R:$R,MATCH($A41,'Valo FX'!$A:$A,0)),INDEX(Base!$U:$U,MATCH($A41,Base!$A:$A,0)),IF(CE$1=INDEX('Valo FX'!$R:$R,MATCH($A41,'Valo FX'!$A:$A,0)),INDEX(Base!$V:$V,MATCH($A41,Base!$A:$A,0)),0)))</f>
        <v>6.1249200000000004</v>
      </c>
      <c r="CF41" s="21">
        <f>IF(CF$1&lt;INDEX('Valo FX'!$Q:$Q,MATCH($A41,'Valo FX'!$A:$A,0)),0,IF(CF$1&lt;INDEX('Valo FX'!$R:$R,MATCH($A41,'Valo FX'!$A:$A,0)),INDEX(Base!$U:$U,MATCH($A41,Base!$A:$A,0)),IF(CF$1=INDEX('Valo FX'!$R:$R,MATCH($A41,'Valo FX'!$A:$A,0)),INDEX(Base!$V:$V,MATCH($A41,Base!$A:$A,0)),0)))</f>
        <v>6.1249200000000004</v>
      </c>
      <c r="CG41" s="21">
        <f>IF(CG$1&lt;INDEX('Valo FX'!$Q:$Q,MATCH($A41,'Valo FX'!$A:$A,0)),0,IF(CG$1&lt;INDEX('Valo FX'!$R:$R,MATCH($A41,'Valo FX'!$A:$A,0)),INDEX(Base!$U:$U,MATCH($A41,Base!$A:$A,0)),IF(CG$1=INDEX('Valo FX'!$R:$R,MATCH($A41,'Valo FX'!$A:$A,0)),INDEX(Base!$V:$V,MATCH($A41,Base!$A:$A,0)),0)))</f>
        <v>6.1249200000000004</v>
      </c>
      <c r="CH41" s="21">
        <f>IF(CH$1&lt;INDEX('Valo FX'!$Q:$Q,MATCH($A41,'Valo FX'!$A:$A,0)),0,IF(CH$1&lt;INDEX('Valo FX'!$R:$R,MATCH($A41,'Valo FX'!$A:$A,0)),INDEX(Base!$U:$U,MATCH($A41,Base!$A:$A,0)),IF(CH$1=INDEX('Valo FX'!$R:$R,MATCH($A41,'Valo FX'!$A:$A,0)),INDEX(Base!$V:$V,MATCH($A41,Base!$A:$A,0)),0)))</f>
        <v>6.1249200000000004</v>
      </c>
      <c r="CI41" s="21">
        <f>IF(CI$1&lt;INDEX('Valo FX'!$Q:$Q,MATCH($A41,'Valo FX'!$A:$A,0)),0,IF(CI$1&lt;INDEX('Valo FX'!$R:$R,MATCH($A41,'Valo FX'!$A:$A,0)),INDEX(Base!$U:$U,MATCH($A41,Base!$A:$A,0)),IF(CI$1=INDEX('Valo FX'!$R:$R,MATCH($A41,'Valo FX'!$A:$A,0)),INDEX(Base!$V:$V,MATCH($A41,Base!$A:$A,0)),0)))</f>
        <v>6.1249200000000004</v>
      </c>
      <c r="CJ41" s="21">
        <f>IF(CJ$1&lt;INDEX('Valo FX'!$Q:$Q,MATCH($A41,'Valo FX'!$A:$A,0)),0,IF(CJ$1&lt;INDEX('Valo FX'!$R:$R,MATCH($A41,'Valo FX'!$A:$A,0)),INDEX(Base!$U:$U,MATCH($A41,Base!$A:$A,0)),IF(CJ$1=INDEX('Valo FX'!$R:$R,MATCH($A41,'Valo FX'!$A:$A,0)),INDEX(Base!$V:$V,MATCH($A41,Base!$A:$A,0)),0)))</f>
        <v>6.1249200000000004</v>
      </c>
      <c r="CK41" s="21">
        <f>IF(CK$1&lt;INDEX('Valo FX'!$Q:$Q,MATCH($A41,'Valo FX'!$A:$A,0)),0,IF(CK$1&lt;INDEX('Valo FX'!$R:$R,MATCH($A41,'Valo FX'!$A:$A,0)),INDEX(Base!$U:$U,MATCH($A41,Base!$A:$A,0)),IF(CK$1=INDEX('Valo FX'!$R:$R,MATCH($A41,'Valo FX'!$A:$A,0)),INDEX(Base!$V:$V,MATCH($A41,Base!$A:$A,0)),0)))</f>
        <v>6.1249200000000004</v>
      </c>
      <c r="CL41" s="21">
        <f>IF(CL$1&lt;INDEX('Valo FX'!$Q:$Q,MATCH($A41,'Valo FX'!$A:$A,0)),0,IF(CL$1&lt;INDEX('Valo FX'!$R:$R,MATCH($A41,'Valo FX'!$A:$A,0)),INDEX(Base!$U:$U,MATCH($A41,Base!$A:$A,0)),IF(CL$1=INDEX('Valo FX'!$R:$R,MATCH($A41,'Valo FX'!$A:$A,0)),INDEX(Base!$V:$V,MATCH($A41,Base!$A:$A,0)),0)))</f>
        <v>6.1249200000000004</v>
      </c>
      <c r="CM41" s="21">
        <f>IF(CM$1&lt;INDEX('Valo FX'!$Q:$Q,MATCH($A41,'Valo FX'!$A:$A,0)),0,IF(CM$1&lt;INDEX('Valo FX'!$R:$R,MATCH($A41,'Valo FX'!$A:$A,0)),INDEX(Base!$U:$U,MATCH($A41,Base!$A:$A,0)),IF(CM$1=INDEX('Valo FX'!$R:$R,MATCH($A41,'Valo FX'!$A:$A,0)),INDEX(Base!$V:$V,MATCH($A41,Base!$A:$A,0)),0)))</f>
        <v>6.1249200000000004</v>
      </c>
      <c r="CN41" s="21">
        <f>IF(CN$1&lt;INDEX('Valo FX'!$Q:$Q,MATCH($A41,'Valo FX'!$A:$A,0)),0,IF(CN$1&lt;INDEX('Valo FX'!$R:$R,MATCH($A41,'Valo FX'!$A:$A,0)),INDEX(Base!$U:$U,MATCH($A41,Base!$A:$A,0)),IF(CN$1=INDEX('Valo FX'!$R:$R,MATCH($A41,'Valo FX'!$A:$A,0)),INDEX(Base!$V:$V,MATCH($A41,Base!$A:$A,0)),0)))</f>
        <v>6.1249200000000004</v>
      </c>
      <c r="CO41" s="21">
        <f>IF(CO$1&lt;INDEX('Valo FX'!$Q:$Q,MATCH($A41,'Valo FX'!$A:$A,0)),0,IF(CO$1&lt;INDEX('Valo FX'!$R:$R,MATCH($A41,'Valo FX'!$A:$A,0)),INDEX(Base!$U:$U,MATCH($A41,Base!$A:$A,0)),IF(CO$1=INDEX('Valo FX'!$R:$R,MATCH($A41,'Valo FX'!$A:$A,0)),INDEX(Base!$V:$V,MATCH($A41,Base!$A:$A,0)),0)))</f>
        <v>6.1249200000000004</v>
      </c>
      <c r="CP41" s="21">
        <f>IF(CP$1&lt;INDEX('Valo FX'!$Q:$Q,MATCH($A41,'Valo FX'!$A:$A,0)),0,IF(CP$1&lt;INDEX('Valo FX'!$R:$R,MATCH($A41,'Valo FX'!$A:$A,0)),INDEX(Base!$U:$U,MATCH($A41,Base!$A:$A,0)),IF(CP$1=INDEX('Valo FX'!$R:$R,MATCH($A41,'Valo FX'!$A:$A,0)),INDEX(Base!$V:$V,MATCH($A41,Base!$A:$A,0)),0)))</f>
        <v>6.1249200000000004</v>
      </c>
      <c r="CQ41" s="21">
        <f>IF(CQ$1&lt;INDEX('Valo FX'!$Q:$Q,MATCH($A41,'Valo FX'!$A:$A,0)),0,IF(CQ$1&lt;INDEX('Valo FX'!$R:$R,MATCH($A41,'Valo FX'!$A:$A,0)),INDEX(Base!$U:$U,MATCH($A41,Base!$A:$A,0)),IF(CQ$1=INDEX('Valo FX'!$R:$R,MATCH($A41,'Valo FX'!$A:$A,0)),INDEX(Base!$V:$V,MATCH($A41,Base!$A:$A,0)),0)))</f>
        <v>6.1249200000000004</v>
      </c>
      <c r="CR41" s="21">
        <f>IF(CR$1&lt;INDEX('Valo FX'!$Q:$Q,MATCH($A41,'Valo FX'!$A:$A,0)),0,IF(CR$1&lt;INDEX('Valo FX'!$R:$R,MATCH($A41,'Valo FX'!$A:$A,0)),INDEX(Base!$U:$U,MATCH($A41,Base!$A:$A,0)),IF(CR$1=INDEX('Valo FX'!$R:$R,MATCH($A41,'Valo FX'!$A:$A,0)),INDEX(Base!$V:$V,MATCH($A41,Base!$A:$A,0)),0)))</f>
        <v>6.1249200000000004</v>
      </c>
      <c r="CS41" s="21">
        <f>IF(CS$1&lt;INDEX('Valo FX'!$Q:$Q,MATCH($A41,'Valo FX'!$A:$A,0)),0,IF(CS$1&lt;INDEX('Valo FX'!$R:$R,MATCH($A41,'Valo FX'!$A:$A,0)),INDEX(Base!$U:$U,MATCH($A41,Base!$A:$A,0)),IF(CS$1=INDEX('Valo FX'!$R:$R,MATCH($A41,'Valo FX'!$A:$A,0)),INDEX(Base!$V:$V,MATCH($A41,Base!$A:$A,0)),0)))</f>
        <v>6.1249200000000004</v>
      </c>
      <c r="CT41" s="21">
        <f>IF(CT$1&lt;INDEX('Valo FX'!$Q:$Q,MATCH($A41,'Valo FX'!$A:$A,0)),0,IF(CT$1&lt;INDEX('Valo FX'!$R:$R,MATCH($A41,'Valo FX'!$A:$A,0)),INDEX(Base!$U:$U,MATCH($A41,Base!$A:$A,0)),IF(CT$1=INDEX('Valo FX'!$R:$R,MATCH($A41,'Valo FX'!$A:$A,0)),INDEX(Base!$V:$V,MATCH($A41,Base!$A:$A,0)),0)))</f>
        <v>6.1249200000000004</v>
      </c>
      <c r="CU41" s="21">
        <f>IF(CU$1&lt;INDEX('Valo FX'!$Q:$Q,MATCH($A41,'Valo FX'!$A:$A,0)),0,IF(CU$1&lt;INDEX('Valo FX'!$R:$R,MATCH($A41,'Valo FX'!$A:$A,0)),INDEX(Base!$U:$U,MATCH($A41,Base!$A:$A,0)),IF(CU$1=INDEX('Valo FX'!$R:$R,MATCH($A41,'Valo FX'!$A:$A,0)),INDEX(Base!$V:$V,MATCH($A41,Base!$A:$A,0)),0)))</f>
        <v>6.1249200000000004</v>
      </c>
      <c r="CV41" s="21">
        <f>IF(CV$1&lt;INDEX('Valo FX'!$Q:$Q,MATCH($A41,'Valo FX'!$A:$A,0)),0,IF(CV$1&lt;INDEX('Valo FX'!$R:$R,MATCH($A41,'Valo FX'!$A:$A,0)),INDEX(Base!$U:$U,MATCH($A41,Base!$A:$A,0)),IF(CV$1=INDEX('Valo FX'!$R:$R,MATCH($A41,'Valo FX'!$A:$A,0)),INDEX(Base!$V:$V,MATCH($A41,Base!$A:$A,0)),0)))</f>
        <v>6.1249200000000004</v>
      </c>
      <c r="CW41" s="21">
        <f>IF(CW$1&lt;INDEX('Valo FX'!$Q:$Q,MATCH($A41,'Valo FX'!$A:$A,0)),0,IF(CW$1&lt;INDEX('Valo FX'!$R:$R,MATCH($A41,'Valo FX'!$A:$A,0)),INDEX(Base!$U:$U,MATCH($A41,Base!$A:$A,0)),IF(CW$1=INDEX('Valo FX'!$R:$R,MATCH($A41,'Valo FX'!$A:$A,0)),INDEX(Base!$V:$V,MATCH($A41,Base!$A:$A,0)),0)))</f>
        <v>6.1249200000000004</v>
      </c>
      <c r="CX41" s="21">
        <f>IF(CX$1&lt;INDEX('Valo FX'!$Q:$Q,MATCH($A41,'Valo FX'!$A:$A,0)),0,IF(CX$1&lt;INDEX('Valo FX'!$R:$R,MATCH($A41,'Valo FX'!$A:$A,0)),INDEX(Base!$U:$U,MATCH($A41,Base!$A:$A,0)),IF(CX$1=INDEX('Valo FX'!$R:$R,MATCH($A41,'Valo FX'!$A:$A,0)),INDEX(Base!$V:$V,MATCH($A41,Base!$A:$A,0)),0)))</f>
        <v>6.1249200000000004</v>
      </c>
      <c r="CY41" s="21">
        <f>IF(CY$1&lt;INDEX('Valo FX'!$Q:$Q,MATCH($A41,'Valo FX'!$A:$A,0)),0,IF(CY$1&lt;INDEX('Valo FX'!$R:$R,MATCH($A41,'Valo FX'!$A:$A,0)),INDEX(Base!$U:$U,MATCH($A41,Base!$A:$A,0)),IF(CY$1=INDEX('Valo FX'!$R:$R,MATCH($A41,'Valo FX'!$A:$A,0)),INDEX(Base!$V:$V,MATCH($A41,Base!$A:$A,0)),0)))</f>
        <v>6.1249200000000004</v>
      </c>
      <c r="CZ41" s="21">
        <f>IF(CZ$1&lt;INDEX('Valo FX'!$Q:$Q,MATCH($A41,'Valo FX'!$A:$A,0)),0,IF(CZ$1&lt;INDEX('Valo FX'!$R:$R,MATCH($A41,'Valo FX'!$A:$A,0)),INDEX(Base!$U:$U,MATCH($A41,Base!$A:$A,0)),IF(CZ$1=INDEX('Valo FX'!$R:$R,MATCH($A41,'Valo FX'!$A:$A,0)),INDEX(Base!$V:$V,MATCH($A41,Base!$A:$A,0)),0)))</f>
        <v>6.1249200000000004</v>
      </c>
      <c r="DA41" s="21">
        <f>IF(DA$1&lt;INDEX('Valo FX'!$Q:$Q,MATCH($A41,'Valo FX'!$A:$A,0)),0,IF(DA$1&lt;INDEX('Valo FX'!$R:$R,MATCH($A41,'Valo FX'!$A:$A,0)),INDEX(Base!$U:$U,MATCH($A41,Base!$A:$A,0)),IF(DA$1=INDEX('Valo FX'!$R:$R,MATCH($A41,'Valo FX'!$A:$A,0)),INDEX(Base!$V:$V,MATCH($A41,Base!$A:$A,0)),0)))</f>
        <v>6.1249200000000004</v>
      </c>
      <c r="DB41" s="21">
        <f>IF(DB$1&lt;INDEX('Valo FX'!$Q:$Q,MATCH($A41,'Valo FX'!$A:$A,0)),0,IF(DB$1&lt;INDEX('Valo FX'!$R:$R,MATCH($A41,'Valo FX'!$A:$A,0)),INDEX(Base!$U:$U,MATCH($A41,Base!$A:$A,0)),IF(DB$1=INDEX('Valo FX'!$R:$R,MATCH($A41,'Valo FX'!$A:$A,0)),INDEX(Base!$V:$V,MATCH($A41,Base!$A:$A,0)),0)))</f>
        <v>6.1249200000000004</v>
      </c>
      <c r="DC41" s="21">
        <f>IF(DC$1&lt;INDEX('Valo FX'!$Q:$Q,MATCH($A41,'Valo FX'!$A:$A,0)),0,IF(DC$1&lt;INDEX('Valo FX'!$R:$R,MATCH($A41,'Valo FX'!$A:$A,0)),INDEX(Base!$U:$U,MATCH($A41,Base!$A:$A,0)),IF(DC$1=INDEX('Valo FX'!$R:$R,MATCH($A41,'Valo FX'!$A:$A,0)),INDEX(Base!$V:$V,MATCH($A41,Base!$A:$A,0)),0)))</f>
        <v>6.1249200000000004</v>
      </c>
      <c r="DD41" s="21">
        <f>IF(DD$1&lt;INDEX('Valo FX'!$Q:$Q,MATCH($A41,'Valo FX'!$A:$A,0)),0,IF(DD$1&lt;INDEX('Valo FX'!$R:$R,MATCH($A41,'Valo FX'!$A:$A,0)),INDEX(Base!$U:$U,MATCH($A41,Base!$A:$A,0)),IF(DD$1=INDEX('Valo FX'!$R:$R,MATCH($A41,'Valo FX'!$A:$A,0)),INDEX(Base!$V:$V,MATCH($A41,Base!$A:$A,0)),0)))</f>
        <v>6.1249200000000004</v>
      </c>
      <c r="DE41" s="21">
        <f>IF(DE$1&lt;INDEX('Valo FX'!$Q:$Q,MATCH($A41,'Valo FX'!$A:$A,0)),0,IF(DE$1&lt;INDEX('Valo FX'!$R:$R,MATCH($A41,'Valo FX'!$A:$A,0)),INDEX(Base!$U:$U,MATCH($A41,Base!$A:$A,0)),IF(DE$1=INDEX('Valo FX'!$R:$R,MATCH($A41,'Valo FX'!$A:$A,0)),INDEX(Base!$V:$V,MATCH($A41,Base!$A:$A,0)),0)))</f>
        <v>6.1249200000000004</v>
      </c>
      <c r="DF41" s="21">
        <f>IF(DF$1&lt;INDEX('Valo FX'!$Q:$Q,MATCH($A41,'Valo FX'!$A:$A,0)),0,IF(DF$1&lt;INDEX('Valo FX'!$R:$R,MATCH($A41,'Valo FX'!$A:$A,0)),INDEX(Base!$U:$U,MATCH($A41,Base!$A:$A,0)),IF(DF$1=INDEX('Valo FX'!$R:$R,MATCH($A41,'Valo FX'!$A:$A,0)),INDEX(Base!$V:$V,MATCH($A41,Base!$A:$A,0)),0)))</f>
        <v>6.1249200000000004</v>
      </c>
      <c r="DG41" s="21">
        <f>IF(DG$1&lt;INDEX('Valo FX'!$Q:$Q,MATCH($A41,'Valo FX'!$A:$A,0)),0,IF(DG$1&lt;INDEX('Valo FX'!$R:$R,MATCH($A41,'Valo FX'!$A:$A,0)),INDEX(Base!$U:$U,MATCH($A41,Base!$A:$A,0)),IF(DG$1=INDEX('Valo FX'!$R:$R,MATCH($A41,'Valo FX'!$A:$A,0)),INDEX(Base!$V:$V,MATCH($A41,Base!$A:$A,0)),0)))</f>
        <v>6.1249200000000004</v>
      </c>
      <c r="DH41" s="21">
        <f>IF(DH$1&lt;INDEX('Valo FX'!$Q:$Q,MATCH($A41,'Valo FX'!$A:$A,0)),0,IF(DH$1&lt;INDEX('Valo FX'!$R:$R,MATCH($A41,'Valo FX'!$A:$A,0)),INDEX(Base!$U:$U,MATCH($A41,Base!$A:$A,0)),IF(DH$1=INDEX('Valo FX'!$R:$R,MATCH($A41,'Valo FX'!$A:$A,0)),INDEX(Base!$V:$V,MATCH($A41,Base!$A:$A,0)),0)))</f>
        <v>6.1249200000000004</v>
      </c>
      <c r="DI41" s="21">
        <f>IF(DI$1&lt;INDEX('Valo FX'!$Q:$Q,MATCH($A41,'Valo FX'!$A:$A,0)),0,IF(DI$1&lt;INDEX('Valo FX'!$R:$R,MATCH($A41,'Valo FX'!$A:$A,0)),INDEX(Base!$U:$U,MATCH($A41,Base!$A:$A,0)),IF(DI$1=INDEX('Valo FX'!$R:$R,MATCH($A41,'Valo FX'!$A:$A,0)),INDEX(Base!$V:$V,MATCH($A41,Base!$A:$A,0)),0)))</f>
        <v>6.1249200000000004</v>
      </c>
      <c r="DJ41" s="21">
        <f>IF(DJ$1&lt;INDEX('Valo FX'!$Q:$Q,MATCH($A41,'Valo FX'!$A:$A,0)),0,IF(DJ$1&lt;INDEX('Valo FX'!$R:$R,MATCH($A41,'Valo FX'!$A:$A,0)),INDEX(Base!$U:$U,MATCH($A41,Base!$A:$A,0)),IF(DJ$1=INDEX('Valo FX'!$R:$R,MATCH($A41,'Valo FX'!$A:$A,0)),INDEX(Base!$V:$V,MATCH($A41,Base!$A:$A,0)),0)))</f>
        <v>6.1249200000000004</v>
      </c>
      <c r="DK41" s="21">
        <f>IF(DK$1&lt;INDEX('Valo FX'!$Q:$Q,MATCH($A41,'Valo FX'!$A:$A,0)),0,IF(DK$1&lt;INDEX('Valo FX'!$R:$R,MATCH($A41,'Valo FX'!$A:$A,0)),INDEX(Base!$U:$U,MATCH($A41,Base!$A:$A,0)),IF(DK$1=INDEX('Valo FX'!$R:$R,MATCH($A41,'Valo FX'!$A:$A,0)),INDEX(Base!$V:$V,MATCH($A41,Base!$A:$A,0)),0)))</f>
        <v>6.1249200000000004</v>
      </c>
      <c r="DL41" s="21">
        <f>IF(DL$1&lt;INDEX('Valo FX'!$Q:$Q,MATCH($A41,'Valo FX'!$A:$A,0)),0,IF(DL$1&lt;INDEX('Valo FX'!$R:$R,MATCH($A41,'Valo FX'!$A:$A,0)),INDEX(Base!$U:$U,MATCH($A41,Base!$A:$A,0)),IF(DL$1=INDEX('Valo FX'!$R:$R,MATCH($A41,'Valo FX'!$A:$A,0)),INDEX(Base!$V:$V,MATCH($A41,Base!$A:$A,0)),0)))</f>
        <v>6.1249200000000004</v>
      </c>
      <c r="DM41" s="21">
        <f>IF(DM$1&lt;INDEX('Valo FX'!$Q:$Q,MATCH($A41,'Valo FX'!$A:$A,0)),0,IF(DM$1&lt;INDEX('Valo FX'!$R:$R,MATCH($A41,'Valo FX'!$A:$A,0)),INDEX(Base!$U:$U,MATCH($A41,Base!$A:$A,0)),IF(DM$1=INDEX('Valo FX'!$R:$R,MATCH($A41,'Valo FX'!$A:$A,0)),INDEX(Base!$V:$V,MATCH($A41,Base!$A:$A,0)),0)))</f>
        <v>6.1249200000000004</v>
      </c>
      <c r="DN41" s="21">
        <f>IF(DN$1&lt;INDEX('Valo FX'!$Q:$Q,MATCH($A41,'Valo FX'!$A:$A,0)),0,IF(DN$1&lt;INDEX('Valo FX'!$R:$R,MATCH($A41,'Valo FX'!$A:$A,0)),INDEX(Base!$U:$U,MATCH($A41,Base!$A:$A,0)),IF(DN$1=INDEX('Valo FX'!$R:$R,MATCH($A41,'Valo FX'!$A:$A,0)),INDEX(Base!$V:$V,MATCH($A41,Base!$A:$A,0)),0)))</f>
        <v>6.1249200000000004</v>
      </c>
      <c r="DO41" s="21">
        <f>IF(DO$1&lt;INDEX('Valo FX'!$Q:$Q,MATCH($A41,'Valo FX'!$A:$A,0)),0,IF(DO$1&lt;INDEX('Valo FX'!$R:$R,MATCH($A41,'Valo FX'!$A:$A,0)),INDEX(Base!$U:$U,MATCH($A41,Base!$A:$A,0)),IF(DO$1=INDEX('Valo FX'!$R:$R,MATCH($A41,'Valo FX'!$A:$A,0)),INDEX(Base!$V:$V,MATCH($A41,Base!$A:$A,0)),0)))</f>
        <v>6.1249200000000004</v>
      </c>
      <c r="DP41" s="21">
        <f>IF(DP$1&lt;INDEX('Valo FX'!$Q:$Q,MATCH($A41,'Valo FX'!$A:$A,0)),0,IF(DP$1&lt;INDEX('Valo FX'!$R:$R,MATCH($A41,'Valo FX'!$A:$A,0)),INDEX(Base!$U:$U,MATCH($A41,Base!$A:$A,0)),IF(DP$1=INDEX('Valo FX'!$R:$R,MATCH($A41,'Valo FX'!$A:$A,0)),INDEX(Base!$V:$V,MATCH($A41,Base!$A:$A,0)),0)))</f>
        <v>6.1249200000000004</v>
      </c>
      <c r="DQ41" s="21">
        <f>IF(DQ$1&lt;INDEX('Valo FX'!$Q:$Q,MATCH($A41,'Valo FX'!$A:$A,0)),0,IF(DQ$1&lt;INDEX('Valo FX'!$R:$R,MATCH($A41,'Valo FX'!$A:$A,0)),INDEX(Base!$U:$U,MATCH($A41,Base!$A:$A,0)),IF(DQ$1=INDEX('Valo FX'!$R:$R,MATCH($A41,'Valo FX'!$A:$A,0)),INDEX(Base!$V:$V,MATCH($A41,Base!$A:$A,0)),0)))</f>
        <v>6.1249200000000004</v>
      </c>
      <c r="DR41" s="21">
        <f>IF(DR$1&lt;INDEX('Valo FX'!$Q:$Q,MATCH($A41,'Valo FX'!$A:$A,0)),0,IF(DR$1&lt;INDEX('Valo FX'!$R:$R,MATCH($A41,'Valo FX'!$A:$A,0)),INDEX(Base!$U:$U,MATCH($A41,Base!$A:$A,0)),IF(DR$1=INDEX('Valo FX'!$R:$R,MATCH($A41,'Valo FX'!$A:$A,0)),INDEX(Base!$V:$V,MATCH($A41,Base!$A:$A,0)),0)))</f>
        <v>6.1249200000000004</v>
      </c>
      <c r="DS41" s="21">
        <f>IF(DS$1&lt;INDEX('Valo FX'!$Q:$Q,MATCH($A41,'Valo FX'!$A:$A,0)),0,IF(DS$1&lt;INDEX('Valo FX'!$R:$R,MATCH($A41,'Valo FX'!$A:$A,0)),INDEX(Base!$U:$U,MATCH($A41,Base!$A:$A,0)),IF(DS$1=INDEX('Valo FX'!$R:$R,MATCH($A41,'Valo FX'!$A:$A,0)),INDEX(Base!$V:$V,MATCH($A41,Base!$A:$A,0)),0)))</f>
        <v>6.1249200000000004</v>
      </c>
      <c r="DT41" s="21">
        <f>IF(DT$1&lt;INDEX('Valo FX'!$Q:$Q,MATCH($A41,'Valo FX'!$A:$A,0)),0,IF(DT$1&lt;INDEX('Valo FX'!$R:$R,MATCH($A41,'Valo FX'!$A:$A,0)),INDEX(Base!$U:$U,MATCH($A41,Base!$A:$A,0)),IF(DT$1=INDEX('Valo FX'!$R:$R,MATCH($A41,'Valo FX'!$A:$A,0)),INDEX(Base!$V:$V,MATCH($A41,Base!$A:$A,0)),0)))</f>
        <v>6.1249200000000004</v>
      </c>
      <c r="DU41" s="21">
        <f>IF(DU$1&lt;INDEX('Valo FX'!$Q:$Q,MATCH($A41,'Valo FX'!$A:$A,0)),0,IF(DU$1&lt;INDEX('Valo FX'!$R:$R,MATCH($A41,'Valo FX'!$A:$A,0)),INDEX(Base!$U:$U,MATCH($A41,Base!$A:$A,0)),IF(DU$1=INDEX('Valo FX'!$R:$R,MATCH($A41,'Valo FX'!$A:$A,0)),INDEX(Base!$V:$V,MATCH($A41,Base!$A:$A,0)),0)))</f>
        <v>6.1249200000000004</v>
      </c>
      <c r="DV41" s="21">
        <f>IF(DV$1&lt;INDEX('Valo FX'!$Q:$Q,MATCH($A41,'Valo FX'!$A:$A,0)),0,IF(DV$1&lt;INDEX('Valo FX'!$R:$R,MATCH($A41,'Valo FX'!$A:$A,0)),INDEX(Base!$U:$U,MATCH($A41,Base!$A:$A,0)),IF(DV$1=INDEX('Valo FX'!$R:$R,MATCH($A41,'Valo FX'!$A:$A,0)),INDEX(Base!$V:$V,MATCH($A41,Base!$A:$A,0)),0)))</f>
        <v>6.1249200000000004</v>
      </c>
      <c r="DW41" s="21">
        <f>IF(DW$1&lt;INDEX('Valo FX'!$Q:$Q,MATCH($A41,'Valo FX'!$A:$A,0)),0,IF(DW$1&lt;INDEX('Valo FX'!$R:$R,MATCH($A41,'Valo FX'!$A:$A,0)),INDEX(Base!$U:$U,MATCH($A41,Base!$A:$A,0)),IF(DW$1=INDEX('Valo FX'!$R:$R,MATCH($A41,'Valo FX'!$A:$A,0)),INDEX(Base!$V:$V,MATCH($A41,Base!$A:$A,0)),0)))</f>
        <v>6.1249200000000004</v>
      </c>
      <c r="DX41" s="21">
        <f>IF(DX$1&lt;INDEX('Valo FX'!$Q:$Q,MATCH($A41,'Valo FX'!$A:$A,0)),0,IF(DX$1&lt;INDEX('Valo FX'!$R:$R,MATCH($A41,'Valo FX'!$A:$A,0)),INDEX(Base!$U:$U,MATCH($A41,Base!$A:$A,0)),IF(DX$1=INDEX('Valo FX'!$R:$R,MATCH($A41,'Valo FX'!$A:$A,0)),INDEX(Base!$V:$V,MATCH($A41,Base!$A:$A,0)),0)))</f>
        <v>6.1249200000000004</v>
      </c>
      <c r="DY41" s="21">
        <f>IF(DY$1&lt;INDEX('Valo FX'!$Q:$Q,MATCH($A41,'Valo FX'!$A:$A,0)),0,IF(DY$1&lt;INDEX('Valo FX'!$R:$R,MATCH($A41,'Valo FX'!$A:$A,0)),INDEX(Base!$U:$U,MATCH($A41,Base!$A:$A,0)),IF(DY$1=INDEX('Valo FX'!$R:$R,MATCH($A41,'Valo FX'!$A:$A,0)),INDEX(Base!$V:$V,MATCH($A41,Base!$A:$A,0)),0)))</f>
        <v>6.1249200000000004</v>
      </c>
      <c r="DZ41" s="21">
        <f>IF(DZ$1&lt;INDEX('Valo FX'!$Q:$Q,MATCH($A41,'Valo FX'!$A:$A,0)),0,IF(DZ$1&lt;INDEX('Valo FX'!$R:$R,MATCH($A41,'Valo FX'!$A:$A,0)),INDEX(Base!$U:$U,MATCH($A41,Base!$A:$A,0)),IF(DZ$1=INDEX('Valo FX'!$R:$R,MATCH($A41,'Valo FX'!$A:$A,0)),INDEX(Base!$V:$V,MATCH($A41,Base!$A:$A,0)),0)))</f>
        <v>6.1249200000000004</v>
      </c>
      <c r="EA41" s="21">
        <f>IF(EA$1&lt;INDEX('Valo FX'!$Q:$Q,MATCH($A41,'Valo FX'!$A:$A,0)),0,IF(EA$1&lt;INDEX('Valo FX'!$R:$R,MATCH($A41,'Valo FX'!$A:$A,0)),INDEX(Base!$U:$U,MATCH($A41,Base!$A:$A,0)),IF(EA$1=INDEX('Valo FX'!$R:$R,MATCH($A41,'Valo FX'!$A:$A,0)),INDEX(Base!$V:$V,MATCH($A41,Base!$A:$A,0)),0)))</f>
        <v>6.1249200000000004</v>
      </c>
      <c r="EB41" s="21">
        <f>IF(EB$1&lt;INDEX('Valo FX'!$Q:$Q,MATCH($A41,'Valo FX'!$A:$A,0)),0,IF(EB$1&lt;INDEX('Valo FX'!$R:$R,MATCH($A41,'Valo FX'!$A:$A,0)),INDEX(Base!$U:$U,MATCH($A41,Base!$A:$A,0)),IF(EB$1=INDEX('Valo FX'!$R:$R,MATCH($A41,'Valo FX'!$A:$A,0)),INDEX(Base!$V:$V,MATCH($A41,Base!$A:$A,0)),0)))</f>
        <v>6.1249200000000004</v>
      </c>
      <c r="EC41" s="21">
        <f>IF(EC$1&lt;INDEX('Valo FX'!$Q:$Q,MATCH($A41,'Valo FX'!$A:$A,0)),0,IF(EC$1&lt;INDEX('Valo FX'!$R:$R,MATCH($A41,'Valo FX'!$A:$A,0)),INDEX(Base!$U:$U,MATCH($A41,Base!$A:$A,0)),IF(EC$1=INDEX('Valo FX'!$R:$R,MATCH($A41,'Valo FX'!$A:$A,0)),INDEX(Base!$V:$V,MATCH($A41,Base!$A:$A,0)),0)))</f>
        <v>6.1249200000000004</v>
      </c>
      <c r="ED41" s="21">
        <f>IF(ED$1&lt;INDEX('Valo FX'!$Q:$Q,MATCH($A41,'Valo FX'!$A:$A,0)),0,IF(ED$1&lt;INDEX('Valo FX'!$R:$R,MATCH($A41,'Valo FX'!$A:$A,0)),INDEX(Base!$U:$U,MATCH($A41,Base!$A:$A,0)),IF(ED$1=INDEX('Valo FX'!$R:$R,MATCH($A41,'Valo FX'!$A:$A,0)),INDEX(Base!$V:$V,MATCH($A41,Base!$A:$A,0)),0)))</f>
        <v>6.1249200000000004</v>
      </c>
      <c r="EE41" s="21">
        <f>IF(EE$1&lt;INDEX('Valo FX'!$Q:$Q,MATCH($A41,'Valo FX'!$A:$A,0)),0,IF(EE$1&lt;INDEX('Valo FX'!$R:$R,MATCH($A41,'Valo FX'!$A:$A,0)),INDEX(Base!$U:$U,MATCH($A41,Base!$A:$A,0)),IF(EE$1=INDEX('Valo FX'!$R:$R,MATCH($A41,'Valo FX'!$A:$A,0)),INDEX(Base!$V:$V,MATCH($A41,Base!$A:$A,0)),0)))</f>
        <v>6.1249200000000004</v>
      </c>
      <c r="EF41" s="21">
        <f>IF(EF$1&lt;INDEX('Valo FX'!$Q:$Q,MATCH($A41,'Valo FX'!$A:$A,0)),0,IF(EF$1&lt;INDEX('Valo FX'!$R:$R,MATCH($A41,'Valo FX'!$A:$A,0)),INDEX(Base!$U:$U,MATCH($A41,Base!$A:$A,0)),IF(EF$1=INDEX('Valo FX'!$R:$R,MATCH($A41,'Valo FX'!$A:$A,0)),INDEX(Base!$V:$V,MATCH($A41,Base!$A:$A,0)),0)))</f>
        <v>6.1249200000000004</v>
      </c>
      <c r="EG41" s="21">
        <f>IF(EG$1&lt;INDEX('Valo FX'!$Q:$Q,MATCH($A41,'Valo FX'!$A:$A,0)),0,IF(EG$1&lt;INDEX('Valo FX'!$R:$R,MATCH($A41,'Valo FX'!$A:$A,0)),INDEX(Base!$U:$U,MATCH($A41,Base!$A:$A,0)),IF(EG$1=INDEX('Valo FX'!$R:$R,MATCH($A41,'Valo FX'!$A:$A,0)),INDEX(Base!$V:$V,MATCH($A41,Base!$A:$A,0)),0)))</f>
        <v>6.1249200000000004</v>
      </c>
      <c r="EH41" s="21">
        <f>IF(EH$1&lt;INDEX('Valo FX'!$Q:$Q,MATCH($A41,'Valo FX'!$A:$A,0)),0,IF(EH$1&lt;INDEX('Valo FX'!$R:$R,MATCH($A41,'Valo FX'!$A:$A,0)),INDEX(Base!$U:$U,MATCH($A41,Base!$A:$A,0)),IF(EH$1=INDEX('Valo FX'!$R:$R,MATCH($A41,'Valo FX'!$A:$A,0)),INDEX(Base!$V:$V,MATCH($A41,Base!$A:$A,0)),0)))</f>
        <v>6.1249200000000004</v>
      </c>
      <c r="EI41" s="21">
        <f>IF(EI$1&lt;INDEX('Valo FX'!$Q:$Q,MATCH($A41,'Valo FX'!$A:$A,0)),0,IF(EI$1&lt;INDEX('Valo FX'!$R:$R,MATCH($A41,'Valo FX'!$A:$A,0)),INDEX(Base!$U:$U,MATCH($A41,Base!$A:$A,0)),IF(EI$1=INDEX('Valo FX'!$R:$R,MATCH($A41,'Valo FX'!$A:$A,0)),INDEX(Base!$V:$V,MATCH($A41,Base!$A:$A,0)),0)))</f>
        <v>6.1249200000000004</v>
      </c>
      <c r="EJ41" s="21">
        <f>IF(EJ$1&lt;INDEX('Valo FX'!$Q:$Q,MATCH($A41,'Valo FX'!$A:$A,0)),0,IF(EJ$1&lt;INDEX('Valo FX'!$R:$R,MATCH($A41,'Valo FX'!$A:$A,0)),INDEX(Base!$U:$U,MATCH($A41,Base!$A:$A,0)),IF(EJ$1=INDEX('Valo FX'!$R:$R,MATCH($A41,'Valo FX'!$A:$A,0)),INDEX(Base!$V:$V,MATCH($A41,Base!$A:$A,0)),0)))</f>
        <v>6.1249200000000004</v>
      </c>
      <c r="EK41" s="21">
        <f>IF(EK$1&lt;INDEX('Valo FX'!$Q:$Q,MATCH($A41,'Valo FX'!$A:$A,0)),0,IF(EK$1&lt;INDEX('Valo FX'!$R:$R,MATCH($A41,'Valo FX'!$A:$A,0)),INDEX(Base!$U:$U,MATCH($A41,Base!$A:$A,0)),IF(EK$1=INDEX('Valo FX'!$R:$R,MATCH($A41,'Valo FX'!$A:$A,0)),INDEX(Base!$V:$V,MATCH($A41,Base!$A:$A,0)),0)))</f>
        <v>6.1249200000000004</v>
      </c>
      <c r="EL41" s="21">
        <f>IF(EL$1&lt;INDEX('Valo FX'!$Q:$Q,MATCH($A41,'Valo FX'!$A:$A,0)),0,IF(EL$1&lt;INDEX('Valo FX'!$R:$R,MATCH($A41,'Valo FX'!$A:$A,0)),INDEX(Base!$U:$U,MATCH($A41,Base!$A:$A,0)),IF(EL$1=INDEX('Valo FX'!$R:$R,MATCH($A41,'Valo FX'!$A:$A,0)),INDEX(Base!$V:$V,MATCH($A41,Base!$A:$A,0)),0)))</f>
        <v>6.1249200000000004</v>
      </c>
      <c r="EM41" s="21">
        <f>IF(EM$1&lt;INDEX('Valo FX'!$Q:$Q,MATCH($A41,'Valo FX'!$A:$A,0)),0,IF(EM$1&lt;INDEX('Valo FX'!$R:$R,MATCH($A41,'Valo FX'!$A:$A,0)),INDEX(Base!$U:$U,MATCH($A41,Base!$A:$A,0)),IF(EM$1=INDEX('Valo FX'!$R:$R,MATCH($A41,'Valo FX'!$A:$A,0)),INDEX(Base!$V:$V,MATCH($A41,Base!$A:$A,0)),0)))</f>
        <v>6.1249200000000004</v>
      </c>
      <c r="EN41" s="21">
        <f>IF(EN$1&lt;INDEX('Valo FX'!$Q:$Q,MATCH($A41,'Valo FX'!$A:$A,0)),0,IF(EN$1&lt;INDEX('Valo FX'!$R:$R,MATCH($A41,'Valo FX'!$A:$A,0)),INDEX(Base!$U:$U,MATCH($A41,Base!$A:$A,0)),IF(EN$1=INDEX('Valo FX'!$R:$R,MATCH($A41,'Valo FX'!$A:$A,0)),INDEX(Base!$V:$V,MATCH($A41,Base!$A:$A,0)),0)))</f>
        <v>6.1249200000000004</v>
      </c>
      <c r="EO41" s="21">
        <f>IF(EO$1&lt;INDEX('Valo FX'!$Q:$Q,MATCH($A41,'Valo FX'!$A:$A,0)),0,IF(EO$1&lt;INDEX('Valo FX'!$R:$R,MATCH($A41,'Valo FX'!$A:$A,0)),INDEX(Base!$U:$U,MATCH($A41,Base!$A:$A,0)),IF(EO$1=INDEX('Valo FX'!$R:$R,MATCH($A41,'Valo FX'!$A:$A,0)),INDEX(Base!$V:$V,MATCH($A41,Base!$A:$A,0)),0)))</f>
        <v>6.1249200000000004</v>
      </c>
      <c r="EP41" s="21">
        <f>IF(EP$1&lt;INDEX('Valo FX'!$Q:$Q,MATCH($A41,'Valo FX'!$A:$A,0)),0,IF(EP$1&lt;INDEX('Valo FX'!$R:$R,MATCH($A41,'Valo FX'!$A:$A,0)),INDEX(Base!$U:$U,MATCH($A41,Base!$A:$A,0)),IF(EP$1=INDEX('Valo FX'!$R:$R,MATCH($A41,'Valo FX'!$A:$A,0)),INDEX(Base!$V:$V,MATCH($A41,Base!$A:$A,0)),0)))</f>
        <v>6.1249200000000004</v>
      </c>
      <c r="EQ41" s="21">
        <f>IF(EQ$1&lt;INDEX('Valo FX'!$Q:$Q,MATCH($A41,'Valo FX'!$A:$A,0)),0,IF(EQ$1&lt;INDEX('Valo FX'!$R:$R,MATCH($A41,'Valo FX'!$A:$A,0)),INDEX(Base!$U:$U,MATCH($A41,Base!$A:$A,0)),IF(EQ$1=INDEX('Valo FX'!$R:$R,MATCH($A41,'Valo FX'!$A:$A,0)),INDEX(Base!$V:$V,MATCH($A41,Base!$A:$A,0)),0)))</f>
        <v>6.1249200000000004</v>
      </c>
      <c r="ER41" s="21">
        <f>IF(ER$1&lt;INDEX('Valo FX'!$Q:$Q,MATCH($A41,'Valo FX'!$A:$A,0)),0,IF(ER$1&lt;INDEX('Valo FX'!$R:$R,MATCH($A41,'Valo FX'!$A:$A,0)),INDEX(Base!$U:$U,MATCH($A41,Base!$A:$A,0)),IF(ER$1=INDEX('Valo FX'!$R:$R,MATCH($A41,'Valo FX'!$A:$A,0)),INDEX(Base!$V:$V,MATCH($A41,Base!$A:$A,0)),0)))</f>
        <v>6.1249200000000004</v>
      </c>
      <c r="ES41" s="21">
        <f>IF(ES$1&lt;INDEX('Valo FX'!$Q:$Q,MATCH($A41,'Valo FX'!$A:$A,0)),0,IF(ES$1&lt;INDEX('Valo FX'!$R:$R,MATCH($A41,'Valo FX'!$A:$A,0)),INDEX(Base!$U:$U,MATCH($A41,Base!$A:$A,0)),IF(ES$1=INDEX('Valo FX'!$R:$R,MATCH($A41,'Valo FX'!$A:$A,0)),INDEX(Base!$V:$V,MATCH($A41,Base!$A:$A,0)),0)))</f>
        <v>6.1249200000000004</v>
      </c>
      <c r="ET41" s="21">
        <f>IF(ET$1&lt;INDEX('Valo FX'!$Q:$Q,MATCH($A41,'Valo FX'!$A:$A,0)),0,IF(ET$1&lt;INDEX('Valo FX'!$R:$R,MATCH($A41,'Valo FX'!$A:$A,0)),INDEX(Base!$U:$U,MATCH($A41,Base!$A:$A,0)),IF(ET$1=INDEX('Valo FX'!$R:$R,MATCH($A41,'Valo FX'!$A:$A,0)),INDEX(Base!$V:$V,MATCH($A41,Base!$A:$A,0)),0)))</f>
        <v>6.1249200000000004</v>
      </c>
      <c r="EU41" s="21">
        <f>IF(EU$1&lt;INDEX('Valo FX'!$Q:$Q,MATCH($A41,'Valo FX'!$A:$A,0)),0,IF(EU$1&lt;INDEX('Valo FX'!$R:$R,MATCH($A41,'Valo FX'!$A:$A,0)),INDEX(Base!$U:$U,MATCH($A41,Base!$A:$A,0)),IF(EU$1=INDEX('Valo FX'!$R:$R,MATCH($A41,'Valo FX'!$A:$A,0)),INDEX(Base!$V:$V,MATCH($A41,Base!$A:$A,0)),0)))</f>
        <v>6.1249200000000004</v>
      </c>
      <c r="EV41" s="21">
        <f>IF(EV$1&lt;INDEX('Valo FX'!$Q:$Q,MATCH($A41,'Valo FX'!$A:$A,0)),0,IF(EV$1&lt;INDEX('Valo FX'!$R:$R,MATCH($A41,'Valo FX'!$A:$A,0)),INDEX(Base!$U:$U,MATCH($A41,Base!$A:$A,0)),IF(EV$1=INDEX('Valo FX'!$R:$R,MATCH($A41,'Valo FX'!$A:$A,0)),INDEX(Base!$V:$V,MATCH($A41,Base!$A:$A,0)),0)))</f>
        <v>6.1249200000000004</v>
      </c>
      <c r="EW41" s="21">
        <f>IF(EW$1&lt;INDEX('Valo FX'!$Q:$Q,MATCH($A41,'Valo FX'!$A:$A,0)),0,IF(EW$1&lt;INDEX('Valo FX'!$R:$R,MATCH($A41,'Valo FX'!$A:$A,0)),INDEX(Base!$U:$U,MATCH($A41,Base!$A:$A,0)),IF(EW$1=INDEX('Valo FX'!$R:$R,MATCH($A41,'Valo FX'!$A:$A,0)),INDEX(Base!$V:$V,MATCH($A41,Base!$A:$A,0)),0)))</f>
        <v>6.1249200000000004</v>
      </c>
      <c r="EX41" s="21">
        <f>IF(EX$1&lt;INDEX('Valo FX'!$Q:$Q,MATCH($A41,'Valo FX'!$A:$A,0)),0,IF(EX$1&lt;INDEX('Valo FX'!$R:$R,MATCH($A41,'Valo FX'!$A:$A,0)),INDEX(Base!$U:$U,MATCH($A41,Base!$A:$A,0)),IF(EX$1=INDEX('Valo FX'!$R:$R,MATCH($A41,'Valo FX'!$A:$A,0)),INDEX(Base!$V:$V,MATCH($A41,Base!$A:$A,0)),0)))</f>
        <v>6.1249200000000004</v>
      </c>
      <c r="EY41" s="21">
        <f>IF(EY$1&lt;INDEX('Valo FX'!$Q:$Q,MATCH($A41,'Valo FX'!$A:$A,0)),0,IF(EY$1&lt;INDEX('Valo FX'!$R:$R,MATCH($A41,'Valo FX'!$A:$A,0)),INDEX(Base!$U:$U,MATCH($A41,Base!$A:$A,0)),IF(EY$1=INDEX('Valo FX'!$R:$R,MATCH($A41,'Valo FX'!$A:$A,0)),INDEX(Base!$V:$V,MATCH($A41,Base!$A:$A,0)),0)))</f>
        <v>6.1249200000000004</v>
      </c>
      <c r="EZ41" s="21">
        <f>IF(EZ$1&lt;INDEX('Valo FX'!$Q:$Q,MATCH($A41,'Valo FX'!$A:$A,0)),0,IF(EZ$1&lt;INDEX('Valo FX'!$R:$R,MATCH($A41,'Valo FX'!$A:$A,0)),INDEX(Base!$U:$U,MATCH($A41,Base!$A:$A,0)),IF(EZ$1=INDEX('Valo FX'!$R:$R,MATCH($A41,'Valo FX'!$A:$A,0)),INDEX(Base!$V:$V,MATCH($A41,Base!$A:$A,0)),0)))</f>
        <v>6.1249200000000004</v>
      </c>
      <c r="FA41" s="21">
        <f>IF(FA$1&lt;INDEX('Valo FX'!$Q:$Q,MATCH($A41,'Valo FX'!$A:$A,0)),0,IF(FA$1&lt;INDEX('Valo FX'!$R:$R,MATCH($A41,'Valo FX'!$A:$A,0)),INDEX(Base!$U:$U,MATCH($A41,Base!$A:$A,0)),IF(FA$1=INDEX('Valo FX'!$R:$R,MATCH($A41,'Valo FX'!$A:$A,0)),INDEX(Base!$V:$V,MATCH($A41,Base!$A:$A,0)),0)))</f>
        <v>6.1249200000000004</v>
      </c>
      <c r="FB41" s="21">
        <f>IF(FB$1&lt;INDEX('Valo FX'!$Q:$Q,MATCH($A41,'Valo FX'!$A:$A,0)),0,IF(FB$1&lt;INDEX('Valo FX'!$R:$R,MATCH($A41,'Valo FX'!$A:$A,0)),INDEX(Base!$U:$U,MATCH($A41,Base!$A:$A,0)),IF(FB$1=INDEX('Valo FX'!$R:$R,MATCH($A41,'Valo FX'!$A:$A,0)),INDEX(Base!$V:$V,MATCH($A41,Base!$A:$A,0)),0)))</f>
        <v>6.1249200000000004</v>
      </c>
      <c r="FC41" s="21">
        <f>IF(FC$1&lt;INDEX('Valo FX'!$Q:$Q,MATCH($A41,'Valo FX'!$A:$A,0)),0,IF(FC$1&lt;INDEX('Valo FX'!$R:$R,MATCH($A41,'Valo FX'!$A:$A,0)),INDEX(Base!$U:$U,MATCH($A41,Base!$A:$A,0)),IF(FC$1=INDEX('Valo FX'!$R:$R,MATCH($A41,'Valo FX'!$A:$A,0)),INDEX(Base!$V:$V,MATCH($A41,Base!$A:$A,0)),0)))</f>
        <v>6.1249200000000004</v>
      </c>
      <c r="FD41" s="21">
        <f>IF(FD$1&lt;INDEX('Valo FX'!$Q:$Q,MATCH($A41,'Valo FX'!$A:$A,0)),0,IF(FD$1&lt;INDEX('Valo FX'!$R:$R,MATCH($A41,'Valo FX'!$A:$A,0)),INDEX(Base!$U:$U,MATCH($A41,Base!$A:$A,0)),IF(FD$1=INDEX('Valo FX'!$R:$R,MATCH($A41,'Valo FX'!$A:$A,0)),INDEX(Base!$V:$V,MATCH($A41,Base!$A:$A,0)),0)))</f>
        <v>6.1249200000000004</v>
      </c>
      <c r="FE41" s="21">
        <f>IF(FE$1&lt;INDEX('Valo FX'!$Q:$Q,MATCH($A41,'Valo FX'!$A:$A,0)),0,IF(FE$1&lt;INDEX('Valo FX'!$R:$R,MATCH($A41,'Valo FX'!$A:$A,0)),INDEX(Base!$U:$U,MATCH($A41,Base!$A:$A,0)),IF(FE$1=INDEX('Valo FX'!$R:$R,MATCH($A41,'Valo FX'!$A:$A,0)),INDEX(Base!$V:$V,MATCH($A41,Base!$A:$A,0)),0)))</f>
        <v>6.1249200000000004</v>
      </c>
      <c r="FF41" s="21">
        <f>IF(FF$1&lt;INDEX('Valo FX'!$Q:$Q,MATCH($A41,'Valo FX'!$A:$A,0)),0,IF(FF$1&lt;INDEX('Valo FX'!$R:$R,MATCH($A41,'Valo FX'!$A:$A,0)),INDEX(Base!$U:$U,MATCH($A41,Base!$A:$A,0)),IF(FF$1=INDEX('Valo FX'!$R:$R,MATCH($A41,'Valo FX'!$A:$A,0)),INDEX(Base!$V:$V,MATCH($A41,Base!$A:$A,0)),0)))</f>
        <v>6.1249200000000004</v>
      </c>
      <c r="FG41" s="21">
        <f>IF(FG$1&lt;INDEX('Valo FX'!$Q:$Q,MATCH($A41,'Valo FX'!$A:$A,0)),0,IF(FG$1&lt;INDEX('Valo FX'!$R:$R,MATCH($A41,'Valo FX'!$A:$A,0)),INDEX(Base!$U:$U,MATCH($A41,Base!$A:$A,0)),IF(FG$1=INDEX('Valo FX'!$R:$R,MATCH($A41,'Valo FX'!$A:$A,0)),INDEX(Base!$V:$V,MATCH($A41,Base!$A:$A,0)),0)))</f>
        <v>6.1249200000000004</v>
      </c>
      <c r="FH41" s="21">
        <f>IF(FH$1&lt;INDEX('Valo FX'!$Q:$Q,MATCH($A41,'Valo FX'!$A:$A,0)),0,IF(FH$1&lt;INDEX('Valo FX'!$R:$R,MATCH($A41,'Valo FX'!$A:$A,0)),INDEX(Base!$U:$U,MATCH($A41,Base!$A:$A,0)),IF(FH$1=INDEX('Valo FX'!$R:$R,MATCH($A41,'Valo FX'!$A:$A,0)),INDEX(Base!$V:$V,MATCH($A41,Base!$A:$A,0)),0)))</f>
        <v>6.1249200000000004</v>
      </c>
      <c r="FI41" s="21">
        <f>IF(FI$1&lt;INDEX('Valo FX'!$Q:$Q,MATCH($A41,'Valo FX'!$A:$A,0)),0,IF(FI$1&lt;INDEX('Valo FX'!$R:$R,MATCH($A41,'Valo FX'!$A:$A,0)),INDEX(Base!$U:$U,MATCH($A41,Base!$A:$A,0)),IF(FI$1=INDEX('Valo FX'!$R:$R,MATCH($A41,'Valo FX'!$A:$A,0)),INDEX(Base!$V:$V,MATCH($A41,Base!$A:$A,0)),0)))</f>
        <v>6.1249200000000004</v>
      </c>
      <c r="FJ41" s="21">
        <f>IF(FJ$1&lt;INDEX('Valo FX'!$Q:$Q,MATCH($A41,'Valo FX'!$A:$A,0)),0,IF(FJ$1&lt;INDEX('Valo FX'!$R:$R,MATCH($A41,'Valo FX'!$A:$A,0)),INDEX(Base!$U:$U,MATCH($A41,Base!$A:$A,0)),IF(FJ$1=INDEX('Valo FX'!$R:$R,MATCH($A41,'Valo FX'!$A:$A,0)),INDEX(Base!$V:$V,MATCH($A41,Base!$A:$A,0)),0)))</f>
        <v>6.1249200000000004</v>
      </c>
      <c r="FK41" s="21">
        <f>IF(FK$1&lt;INDEX('Valo FX'!$Q:$Q,MATCH($A41,'Valo FX'!$A:$A,0)),0,IF(FK$1&lt;INDEX('Valo FX'!$R:$R,MATCH($A41,'Valo FX'!$A:$A,0)),INDEX(Base!$U:$U,MATCH($A41,Base!$A:$A,0)),IF(FK$1=INDEX('Valo FX'!$R:$R,MATCH($A41,'Valo FX'!$A:$A,0)),INDEX(Base!$V:$V,MATCH($A41,Base!$A:$A,0)),0)))</f>
        <v>6.1249200000000004</v>
      </c>
      <c r="FL41" s="21">
        <f>IF(FL$1&lt;INDEX('Valo FX'!$Q:$Q,MATCH($A41,'Valo FX'!$A:$A,0)),0,IF(FL$1&lt;INDEX('Valo FX'!$R:$R,MATCH($A41,'Valo FX'!$A:$A,0)),INDEX(Base!$U:$U,MATCH($A41,Base!$A:$A,0)),IF(FL$1=INDEX('Valo FX'!$R:$R,MATCH($A41,'Valo FX'!$A:$A,0)),INDEX(Base!$V:$V,MATCH($A41,Base!$A:$A,0)),0)))</f>
        <v>6.1249200000000004</v>
      </c>
      <c r="FM41" s="21">
        <f>IF(FM$1&lt;INDEX('Valo FX'!$Q:$Q,MATCH($A41,'Valo FX'!$A:$A,0)),0,IF(FM$1&lt;INDEX('Valo FX'!$R:$R,MATCH($A41,'Valo FX'!$A:$A,0)),INDEX(Base!$U:$U,MATCH($A41,Base!$A:$A,0)),IF(FM$1=INDEX('Valo FX'!$R:$R,MATCH($A41,'Valo FX'!$A:$A,0)),INDEX(Base!$V:$V,MATCH($A41,Base!$A:$A,0)),0)))</f>
        <v>6.1249200000000004</v>
      </c>
      <c r="FN41" s="21">
        <f>IF(FN$1&lt;INDEX('Valo FX'!$Q:$Q,MATCH($A41,'Valo FX'!$A:$A,0)),0,IF(FN$1&lt;INDEX('Valo FX'!$R:$R,MATCH($A41,'Valo FX'!$A:$A,0)),INDEX(Base!$U:$U,MATCH($A41,Base!$A:$A,0)),IF(FN$1=INDEX('Valo FX'!$R:$R,MATCH($A41,'Valo FX'!$A:$A,0)),INDEX(Base!$V:$V,MATCH($A41,Base!$A:$A,0)),0)))</f>
        <v>6.1249200000000004</v>
      </c>
      <c r="FO41" s="21">
        <f>IF(FO$1&lt;INDEX('Valo FX'!$Q:$Q,MATCH($A41,'Valo FX'!$A:$A,0)),0,IF(FO$1&lt;INDEX('Valo FX'!$R:$R,MATCH($A41,'Valo FX'!$A:$A,0)),INDEX(Base!$U:$U,MATCH($A41,Base!$A:$A,0)),IF(FO$1=INDEX('Valo FX'!$R:$R,MATCH($A41,'Valo FX'!$A:$A,0)),INDEX(Base!$V:$V,MATCH($A41,Base!$A:$A,0)),0)))</f>
        <v>6.1249200000000004</v>
      </c>
      <c r="FP41" s="21">
        <f>IF(FP$1&lt;INDEX('Valo FX'!$Q:$Q,MATCH($A41,'Valo FX'!$A:$A,0)),0,IF(FP$1&lt;INDEX('Valo FX'!$R:$R,MATCH($A41,'Valo FX'!$A:$A,0)),INDEX(Base!$U:$U,MATCH($A41,Base!$A:$A,0)),IF(FP$1=INDEX('Valo FX'!$R:$R,MATCH($A41,'Valo FX'!$A:$A,0)),INDEX(Base!$V:$V,MATCH($A41,Base!$A:$A,0)),0)))</f>
        <v>6.1249200000000004</v>
      </c>
      <c r="FQ41" s="21">
        <f>IF(FQ$1&lt;INDEX('Valo FX'!$Q:$Q,MATCH($A41,'Valo FX'!$A:$A,0)),0,IF(FQ$1&lt;INDEX('Valo FX'!$R:$R,MATCH($A41,'Valo FX'!$A:$A,0)),INDEX(Base!$U:$U,MATCH($A41,Base!$A:$A,0)),IF(FQ$1=INDEX('Valo FX'!$R:$R,MATCH($A41,'Valo FX'!$A:$A,0)),INDEX(Base!$V:$V,MATCH($A41,Base!$A:$A,0)),0)))</f>
        <v>6.1249200000000004</v>
      </c>
      <c r="FR41" s="21">
        <f>IF(FR$1&lt;INDEX('Valo FX'!$Q:$Q,MATCH($A41,'Valo FX'!$A:$A,0)),0,IF(FR$1&lt;INDEX('Valo FX'!$R:$R,MATCH($A41,'Valo FX'!$A:$A,0)),INDEX(Base!$U:$U,MATCH($A41,Base!$A:$A,0)),IF(FR$1=INDEX('Valo FX'!$R:$R,MATCH($A41,'Valo FX'!$A:$A,0)),INDEX(Base!$V:$V,MATCH($A41,Base!$A:$A,0)),0)))</f>
        <v>6.1249200000000004</v>
      </c>
      <c r="FS41" s="21">
        <f>IF(FS$1&lt;INDEX('Valo FX'!$Q:$Q,MATCH($A41,'Valo FX'!$A:$A,0)),0,IF(FS$1&lt;INDEX('Valo FX'!$R:$R,MATCH($A41,'Valo FX'!$A:$A,0)),INDEX(Base!$U:$U,MATCH($A41,Base!$A:$A,0)),IF(FS$1=INDEX('Valo FX'!$R:$R,MATCH($A41,'Valo FX'!$A:$A,0)),INDEX(Base!$V:$V,MATCH($A41,Base!$A:$A,0)),0)))</f>
        <v>6.1249200000000004</v>
      </c>
      <c r="FT41" s="21">
        <f>IF(FT$1&lt;INDEX('Valo FX'!$Q:$Q,MATCH($A41,'Valo FX'!$A:$A,0)),0,IF(FT$1&lt;INDEX('Valo FX'!$R:$R,MATCH($A41,'Valo FX'!$A:$A,0)),INDEX(Base!$U:$U,MATCH($A41,Base!$A:$A,0)),IF(FT$1=INDEX('Valo FX'!$R:$R,MATCH($A41,'Valo FX'!$A:$A,0)),INDEX(Base!$V:$V,MATCH($A41,Base!$A:$A,0)),0)))</f>
        <v>6.1249200000000004</v>
      </c>
      <c r="FU41" s="21">
        <f>IF(FU$1&lt;INDEX('Valo FX'!$Q:$Q,MATCH($A41,'Valo FX'!$A:$A,0)),0,IF(FU$1&lt;INDEX('Valo FX'!$R:$R,MATCH($A41,'Valo FX'!$A:$A,0)),INDEX(Base!$U:$U,MATCH($A41,Base!$A:$A,0)),IF(FU$1=INDEX('Valo FX'!$R:$R,MATCH($A41,'Valo FX'!$A:$A,0)),INDEX(Base!$V:$V,MATCH($A41,Base!$A:$A,0)),0)))</f>
        <v>6.1249200000000004</v>
      </c>
      <c r="FV41" s="21">
        <f>IF(FV$1&lt;INDEX('Valo FX'!$Q:$Q,MATCH($A41,'Valo FX'!$A:$A,0)),0,IF(FV$1&lt;INDEX('Valo FX'!$R:$R,MATCH($A41,'Valo FX'!$A:$A,0)),INDEX(Base!$U:$U,MATCH($A41,Base!$A:$A,0)),IF(FV$1=INDEX('Valo FX'!$R:$R,MATCH($A41,'Valo FX'!$A:$A,0)),INDEX(Base!$V:$V,MATCH($A41,Base!$A:$A,0)),0)))</f>
        <v>6.1249200000000004</v>
      </c>
      <c r="FW41" s="21">
        <f>IF(FW$1&lt;INDEX('Valo FX'!$Q:$Q,MATCH($A41,'Valo FX'!$A:$A,0)),0,IF(FW$1&lt;INDEX('Valo FX'!$R:$R,MATCH($A41,'Valo FX'!$A:$A,0)),INDEX(Base!$U:$U,MATCH($A41,Base!$A:$A,0)),IF(FW$1=INDEX('Valo FX'!$R:$R,MATCH($A41,'Valo FX'!$A:$A,0)),INDEX(Base!$V:$V,MATCH($A41,Base!$A:$A,0)),0)))</f>
        <v>6.1249200000000004</v>
      </c>
      <c r="FX41" s="21">
        <f>IF(FX$1&lt;INDEX('Valo FX'!$Q:$Q,MATCH($A41,'Valo FX'!$A:$A,0)),0,IF(FX$1&lt;INDEX('Valo FX'!$R:$R,MATCH($A41,'Valo FX'!$A:$A,0)),INDEX(Base!$U:$U,MATCH($A41,Base!$A:$A,0)),IF(FX$1=INDEX('Valo FX'!$R:$R,MATCH($A41,'Valo FX'!$A:$A,0)),INDEX(Base!$V:$V,MATCH($A41,Base!$A:$A,0)),0)))</f>
        <v>6.1249200000000004</v>
      </c>
      <c r="FY41" s="21">
        <f>IF(FY$1&lt;INDEX('Valo FX'!$Q:$Q,MATCH($A41,'Valo FX'!$A:$A,0)),0,IF(FY$1&lt;INDEX('Valo FX'!$R:$R,MATCH($A41,'Valo FX'!$A:$A,0)),INDEX(Base!$U:$U,MATCH($A41,Base!$A:$A,0)),IF(FY$1=INDEX('Valo FX'!$R:$R,MATCH($A41,'Valo FX'!$A:$A,0)),INDEX(Base!$V:$V,MATCH($A41,Base!$A:$A,0)),0)))</f>
        <v>6.1249200000000004</v>
      </c>
      <c r="FZ41" s="21">
        <f>IF(FZ$1&lt;INDEX('Valo FX'!$Q:$Q,MATCH($A41,'Valo FX'!$A:$A,0)),0,IF(FZ$1&lt;INDEX('Valo FX'!$R:$R,MATCH($A41,'Valo FX'!$A:$A,0)),INDEX(Base!$U:$U,MATCH($A41,Base!$A:$A,0)),IF(FZ$1=INDEX('Valo FX'!$R:$R,MATCH($A41,'Valo FX'!$A:$A,0)),INDEX(Base!$V:$V,MATCH($A41,Base!$A:$A,0)),0)))</f>
        <v>6.1249200000000004</v>
      </c>
      <c r="GA41" s="21">
        <f>IF(GA$1&lt;INDEX('Valo FX'!$Q:$Q,MATCH($A41,'Valo FX'!$A:$A,0)),0,IF(GA$1&lt;INDEX('Valo FX'!$R:$R,MATCH($A41,'Valo FX'!$A:$A,0)),INDEX(Base!$U:$U,MATCH($A41,Base!$A:$A,0)),IF(GA$1=INDEX('Valo FX'!$R:$R,MATCH($A41,'Valo FX'!$A:$A,0)),INDEX(Base!$V:$V,MATCH($A41,Base!$A:$A,0)),0)))</f>
        <v>6.1249200000000004</v>
      </c>
      <c r="GB41" s="21">
        <f>IF(GB$1&lt;INDEX('Valo FX'!$Q:$Q,MATCH($A41,'Valo FX'!$A:$A,0)),0,IF(GB$1&lt;INDEX('Valo FX'!$R:$R,MATCH($A41,'Valo FX'!$A:$A,0)),INDEX(Base!$U:$U,MATCH($A41,Base!$A:$A,0)),IF(GB$1=INDEX('Valo FX'!$R:$R,MATCH($A41,'Valo FX'!$A:$A,0)),INDEX(Base!$V:$V,MATCH($A41,Base!$A:$A,0)),0)))</f>
        <v>6.1249200000000004</v>
      </c>
      <c r="GC41" s="21">
        <f>IF(GC$1&lt;INDEX('Valo FX'!$Q:$Q,MATCH($A41,'Valo FX'!$A:$A,0)),0,IF(GC$1&lt;INDEX('Valo FX'!$R:$R,MATCH($A41,'Valo FX'!$A:$A,0)),INDEX(Base!$U:$U,MATCH($A41,Base!$A:$A,0)),IF(GC$1=INDEX('Valo FX'!$R:$R,MATCH($A41,'Valo FX'!$A:$A,0)),INDEX(Base!$V:$V,MATCH($A41,Base!$A:$A,0)),0)))</f>
        <v>6.1249200000000004</v>
      </c>
      <c r="GD41" s="21">
        <f>IF(GD$1&lt;INDEX('Valo FX'!$Q:$Q,MATCH($A41,'Valo FX'!$A:$A,0)),0,IF(GD$1&lt;INDEX('Valo FX'!$R:$R,MATCH($A41,'Valo FX'!$A:$A,0)),INDEX(Base!$U:$U,MATCH($A41,Base!$A:$A,0)),IF(GD$1=INDEX('Valo FX'!$R:$R,MATCH($A41,'Valo FX'!$A:$A,0)),INDEX(Base!$V:$V,MATCH($A41,Base!$A:$A,0)),0)))</f>
        <v>6.1249200000000004</v>
      </c>
      <c r="GE41" s="21">
        <f>IF(GE$1&lt;INDEX('Valo FX'!$Q:$Q,MATCH($A41,'Valo FX'!$A:$A,0)),0,IF(GE$1&lt;INDEX('Valo FX'!$R:$R,MATCH($A41,'Valo FX'!$A:$A,0)),INDEX(Base!$U:$U,MATCH($A41,Base!$A:$A,0)),IF(GE$1=INDEX('Valo FX'!$R:$R,MATCH($A41,'Valo FX'!$A:$A,0)),INDEX(Base!$V:$V,MATCH($A41,Base!$A:$A,0)),0)))</f>
        <v>6.1249200000000004</v>
      </c>
      <c r="GF41" s="21">
        <f>IF(GF$1&lt;INDEX('Valo FX'!$Q:$Q,MATCH($A41,'Valo FX'!$A:$A,0)),0,IF(GF$1&lt;INDEX('Valo FX'!$R:$R,MATCH($A41,'Valo FX'!$A:$A,0)),INDEX(Base!$U:$U,MATCH($A41,Base!$A:$A,0)),IF(GF$1=INDEX('Valo FX'!$R:$R,MATCH($A41,'Valo FX'!$A:$A,0)),INDEX(Base!$V:$V,MATCH($A41,Base!$A:$A,0)),0)))</f>
        <v>6.1249200000000004</v>
      </c>
      <c r="GG41" s="21">
        <f>IF(GG$1&lt;INDEX('Valo FX'!$Q:$Q,MATCH($A41,'Valo FX'!$A:$A,0)),0,IF(GG$1&lt;INDEX('Valo FX'!$R:$R,MATCH($A41,'Valo FX'!$A:$A,0)),INDEX(Base!$U:$U,MATCH($A41,Base!$A:$A,0)),IF(GG$1=INDEX('Valo FX'!$R:$R,MATCH($A41,'Valo FX'!$A:$A,0)),INDEX(Base!$V:$V,MATCH($A41,Base!$A:$A,0)),0)))</f>
        <v>6.1249200000000004</v>
      </c>
      <c r="GH41" s="21">
        <f>IF(GH$1&lt;INDEX('Valo FX'!$Q:$Q,MATCH($A41,'Valo FX'!$A:$A,0)),0,IF(GH$1&lt;INDEX('Valo FX'!$R:$R,MATCH($A41,'Valo FX'!$A:$A,0)),INDEX(Base!$U:$U,MATCH($A41,Base!$A:$A,0)),IF(GH$1=INDEX('Valo FX'!$R:$R,MATCH($A41,'Valo FX'!$A:$A,0)),INDEX(Base!$V:$V,MATCH($A41,Base!$A:$A,0)),0)))</f>
        <v>6.1249200000000004</v>
      </c>
      <c r="GI41" s="21">
        <f>IF(GI$1&lt;INDEX('Valo FX'!$Q:$Q,MATCH($A41,'Valo FX'!$A:$A,0)),0,IF(GI$1&lt;INDEX('Valo FX'!$R:$R,MATCH($A41,'Valo FX'!$A:$A,0)),INDEX(Base!$U:$U,MATCH($A41,Base!$A:$A,0)),IF(GI$1=INDEX('Valo FX'!$R:$R,MATCH($A41,'Valo FX'!$A:$A,0)),INDEX(Base!$V:$V,MATCH($A41,Base!$A:$A,0)),0)))</f>
        <v>6.1249200000000004</v>
      </c>
      <c r="GJ41" s="21">
        <f>IF(GJ$1&lt;INDEX('Valo FX'!$Q:$Q,MATCH($A41,'Valo FX'!$A:$A,0)),0,IF(GJ$1&lt;INDEX('Valo FX'!$R:$R,MATCH($A41,'Valo FX'!$A:$A,0)),INDEX(Base!$U:$U,MATCH($A41,Base!$A:$A,0)),IF(GJ$1=INDEX('Valo FX'!$R:$R,MATCH($A41,'Valo FX'!$A:$A,0)),INDEX(Base!$V:$V,MATCH($A41,Base!$A:$A,0)),0)))</f>
        <v>6.1249200000000004</v>
      </c>
      <c r="GK41" s="21">
        <f>IF(GK$1&lt;INDEX('Valo FX'!$Q:$Q,MATCH($A41,'Valo FX'!$A:$A,0)),0,IF(GK$1&lt;INDEX('Valo FX'!$R:$R,MATCH($A41,'Valo FX'!$A:$A,0)),INDEX(Base!$U:$U,MATCH($A41,Base!$A:$A,0)),IF(GK$1=INDEX('Valo FX'!$R:$R,MATCH($A41,'Valo FX'!$A:$A,0)),INDEX(Base!$V:$V,MATCH($A41,Base!$A:$A,0)),0)))</f>
        <v>6.1249200000000004</v>
      </c>
      <c r="GL41" s="21">
        <f>IF(GL$1&lt;INDEX('Valo FX'!$Q:$Q,MATCH($A41,'Valo FX'!$A:$A,0)),0,IF(GL$1&lt;INDEX('Valo FX'!$R:$R,MATCH($A41,'Valo FX'!$A:$A,0)),INDEX(Base!$U:$U,MATCH($A41,Base!$A:$A,0)),IF(GL$1=INDEX('Valo FX'!$R:$R,MATCH($A41,'Valo FX'!$A:$A,0)),INDEX(Base!$V:$V,MATCH($A41,Base!$A:$A,0)),0)))</f>
        <v>6.1249200000000004</v>
      </c>
      <c r="GM41" s="21">
        <f>IF(GM$1&lt;INDEX('Valo FX'!$Q:$Q,MATCH($A41,'Valo FX'!$A:$A,0)),0,IF(GM$1&lt;INDEX('Valo FX'!$R:$R,MATCH($A41,'Valo FX'!$A:$A,0)),INDEX(Base!$U:$U,MATCH($A41,Base!$A:$A,0)),IF(GM$1=INDEX('Valo FX'!$R:$R,MATCH($A41,'Valo FX'!$A:$A,0)),INDEX(Base!$V:$V,MATCH($A41,Base!$A:$A,0)),0)))</f>
        <v>6.1249200000000004</v>
      </c>
      <c r="GN41" s="21">
        <f>IF(GN$1&lt;INDEX('Valo FX'!$Q:$Q,MATCH($A41,'Valo FX'!$A:$A,0)),0,IF(GN$1&lt;INDEX('Valo FX'!$R:$R,MATCH($A41,'Valo FX'!$A:$A,0)),INDEX(Base!$U:$U,MATCH($A41,Base!$A:$A,0)),IF(GN$1=INDEX('Valo FX'!$R:$R,MATCH($A41,'Valo FX'!$A:$A,0)),INDEX(Base!$V:$V,MATCH($A41,Base!$A:$A,0)),0)))</f>
        <v>6.1249200000000004</v>
      </c>
      <c r="GO41" s="21">
        <f>IF(GO$1&lt;INDEX('Valo FX'!$Q:$Q,MATCH($A41,'Valo FX'!$A:$A,0)),0,IF(GO$1&lt;INDEX('Valo FX'!$R:$R,MATCH($A41,'Valo FX'!$A:$A,0)),INDEX(Base!$U:$U,MATCH($A41,Base!$A:$A,0)),IF(GO$1=INDEX('Valo FX'!$R:$R,MATCH($A41,'Valo FX'!$A:$A,0)),INDEX(Base!$V:$V,MATCH($A41,Base!$A:$A,0)),0)))</f>
        <v>6.1249200000000004</v>
      </c>
      <c r="GP41" s="21">
        <f>IF(GP$1&lt;INDEX('Valo FX'!$Q:$Q,MATCH($A41,'Valo FX'!$A:$A,0)),0,IF(GP$1&lt;INDEX('Valo FX'!$R:$R,MATCH($A41,'Valo FX'!$A:$A,0)),INDEX(Base!$U:$U,MATCH($A41,Base!$A:$A,0)),IF(GP$1=INDEX('Valo FX'!$R:$R,MATCH($A41,'Valo FX'!$A:$A,0)),INDEX(Base!$V:$V,MATCH($A41,Base!$A:$A,0)),0)))</f>
        <v>6.1249200000000004</v>
      </c>
      <c r="GQ41" s="21">
        <f>IF(GQ$1&lt;INDEX('Valo FX'!$Q:$Q,MATCH($A41,'Valo FX'!$A:$A,0)),0,IF(GQ$1&lt;INDEX('Valo FX'!$R:$R,MATCH($A41,'Valo FX'!$A:$A,0)),INDEX(Base!$U:$U,MATCH($A41,Base!$A:$A,0)),IF(GQ$1=INDEX('Valo FX'!$R:$R,MATCH($A41,'Valo FX'!$A:$A,0)),INDEX(Base!$V:$V,MATCH($A41,Base!$A:$A,0)),0)))</f>
        <v>6.1249200000000004</v>
      </c>
      <c r="GR41" s="21">
        <f>IF(GR$1&lt;INDEX('Valo FX'!$Q:$Q,MATCH($A41,'Valo FX'!$A:$A,0)),0,IF(GR$1&lt;INDEX('Valo FX'!$R:$R,MATCH($A41,'Valo FX'!$A:$A,0)),INDEX(Base!$U:$U,MATCH($A41,Base!$A:$A,0)),IF(GR$1=INDEX('Valo FX'!$R:$R,MATCH($A41,'Valo FX'!$A:$A,0)),INDEX(Base!$V:$V,MATCH($A41,Base!$A:$A,0)),0)))</f>
        <v>6.1249200000000004</v>
      </c>
      <c r="GS41" s="21">
        <f>IF(GS$1&lt;INDEX('Valo FX'!$Q:$Q,MATCH($A41,'Valo FX'!$A:$A,0)),0,IF(GS$1&lt;INDEX('Valo FX'!$R:$R,MATCH($A41,'Valo FX'!$A:$A,0)),INDEX(Base!$U:$U,MATCH($A41,Base!$A:$A,0)),IF(GS$1=INDEX('Valo FX'!$R:$R,MATCH($A41,'Valo FX'!$A:$A,0)),INDEX(Base!$V:$V,MATCH($A41,Base!$A:$A,0)),0)))</f>
        <v>6.1249200000000004</v>
      </c>
      <c r="GT41" s="21">
        <f>IF(GT$1&lt;INDEX('Valo FX'!$Q:$Q,MATCH($A41,'Valo FX'!$A:$A,0)),0,IF(GT$1&lt;INDEX('Valo FX'!$R:$R,MATCH($A41,'Valo FX'!$A:$A,0)),INDEX(Base!$U:$U,MATCH($A41,Base!$A:$A,0)),IF(GT$1=INDEX('Valo FX'!$R:$R,MATCH($A41,'Valo FX'!$A:$A,0)),INDEX(Base!$V:$V,MATCH($A41,Base!$A:$A,0)),0)))</f>
        <v>6.1249200000000004</v>
      </c>
      <c r="GU41" s="21">
        <f>IF(GU$1&lt;INDEX('Valo FX'!$Q:$Q,MATCH($A41,'Valo FX'!$A:$A,0)),0,IF(GU$1&lt;INDEX('Valo FX'!$R:$R,MATCH($A41,'Valo FX'!$A:$A,0)),INDEX(Base!$U:$U,MATCH($A41,Base!$A:$A,0)),IF(GU$1=INDEX('Valo FX'!$R:$R,MATCH($A41,'Valo FX'!$A:$A,0)),INDEX(Base!$V:$V,MATCH($A41,Base!$A:$A,0)),0)))</f>
        <v>6.1249200000000004</v>
      </c>
      <c r="GV41" s="21">
        <f>IF(GV$1&lt;INDEX('Valo FX'!$Q:$Q,MATCH($A41,'Valo FX'!$A:$A,0)),0,IF(GV$1&lt;INDEX('Valo FX'!$R:$R,MATCH($A41,'Valo FX'!$A:$A,0)),INDEX(Base!$U:$U,MATCH($A41,Base!$A:$A,0)),IF(GV$1=INDEX('Valo FX'!$R:$R,MATCH($A41,'Valo FX'!$A:$A,0)),INDEX(Base!$V:$V,MATCH($A41,Base!$A:$A,0)),0)))</f>
        <v>6.1249200000000004</v>
      </c>
      <c r="GW41" s="21">
        <f>IF(GW$1&lt;INDEX('Valo FX'!$Q:$Q,MATCH($A41,'Valo FX'!$A:$A,0)),0,IF(GW$1&lt;INDEX('Valo FX'!$R:$R,MATCH($A41,'Valo FX'!$A:$A,0)),INDEX(Base!$U:$U,MATCH($A41,Base!$A:$A,0)),IF(GW$1=INDEX('Valo FX'!$R:$R,MATCH($A41,'Valo FX'!$A:$A,0)),INDEX(Base!$V:$V,MATCH($A41,Base!$A:$A,0)),0)))</f>
        <v>6.1249200000000004</v>
      </c>
      <c r="GX41" s="21">
        <f>IF(GX$1&lt;INDEX('Valo FX'!$Q:$Q,MATCH($A41,'Valo FX'!$A:$A,0)),0,IF(GX$1&lt;INDEX('Valo FX'!$R:$R,MATCH($A41,'Valo FX'!$A:$A,0)),INDEX(Base!$U:$U,MATCH($A41,Base!$A:$A,0)),IF(GX$1=INDEX('Valo FX'!$R:$R,MATCH($A41,'Valo FX'!$A:$A,0)),INDEX(Base!$V:$V,MATCH($A41,Base!$A:$A,0)),0)))</f>
        <v>6.1249200000000004</v>
      </c>
      <c r="GY41" s="21">
        <f>IF(GY$1&lt;INDEX('Valo FX'!$Q:$Q,MATCH($A41,'Valo FX'!$A:$A,0)),0,IF(GY$1&lt;INDEX('Valo FX'!$R:$R,MATCH($A41,'Valo FX'!$A:$A,0)),INDEX(Base!$U:$U,MATCH($A41,Base!$A:$A,0)),IF(GY$1=INDEX('Valo FX'!$R:$R,MATCH($A41,'Valo FX'!$A:$A,0)),INDEX(Base!$V:$V,MATCH($A41,Base!$A:$A,0)),0)))</f>
        <v>6.1249200000000004</v>
      </c>
      <c r="GZ41" s="21">
        <f>IF(GZ$1&lt;INDEX('Valo FX'!$Q:$Q,MATCH($A41,'Valo FX'!$A:$A,0)),0,IF(GZ$1&lt;INDEX('Valo FX'!$R:$R,MATCH($A41,'Valo FX'!$A:$A,0)),INDEX(Base!$U:$U,MATCH($A41,Base!$A:$A,0)),IF(GZ$1=INDEX('Valo FX'!$R:$R,MATCH($A41,'Valo FX'!$A:$A,0)),INDEX(Base!$V:$V,MATCH($A41,Base!$A:$A,0)),0)))</f>
        <v>6.1249200000000004</v>
      </c>
      <c r="HA41" s="21">
        <f>IF(HA$1&lt;INDEX('Valo FX'!$Q:$Q,MATCH($A41,'Valo FX'!$A:$A,0)),0,IF(HA$1&lt;INDEX('Valo FX'!$R:$R,MATCH($A41,'Valo FX'!$A:$A,0)),INDEX(Base!$U:$U,MATCH($A41,Base!$A:$A,0)),IF(HA$1=INDEX('Valo FX'!$R:$R,MATCH($A41,'Valo FX'!$A:$A,0)),INDEX(Base!$V:$V,MATCH($A41,Base!$A:$A,0)),0)))</f>
        <v>6.1249200000000004</v>
      </c>
      <c r="HB41" s="21">
        <f>IF(HB$1&lt;INDEX('Valo FX'!$Q:$Q,MATCH($A41,'Valo FX'!$A:$A,0)),0,IF(HB$1&lt;INDEX('Valo FX'!$R:$R,MATCH($A41,'Valo FX'!$A:$A,0)),INDEX(Base!$U:$U,MATCH($A41,Base!$A:$A,0)),IF(HB$1=INDEX('Valo FX'!$R:$R,MATCH($A41,'Valo FX'!$A:$A,0)),INDEX(Base!$V:$V,MATCH($A41,Base!$A:$A,0)),0)))</f>
        <v>6.1249200000000004</v>
      </c>
      <c r="HC41" s="21">
        <f>IF(HC$1&lt;INDEX('Valo FX'!$Q:$Q,MATCH($A41,'Valo FX'!$A:$A,0)),0,IF(HC$1&lt;INDEX('Valo FX'!$R:$R,MATCH($A41,'Valo FX'!$A:$A,0)),INDEX(Base!$U:$U,MATCH($A41,Base!$A:$A,0)),IF(HC$1=INDEX('Valo FX'!$R:$R,MATCH($A41,'Valo FX'!$A:$A,0)),INDEX(Base!$V:$V,MATCH($A41,Base!$A:$A,0)),0)))</f>
        <v>6.1249200000000004</v>
      </c>
      <c r="HD41" s="21">
        <f>IF(HD$1&lt;INDEX('Valo FX'!$Q:$Q,MATCH($A41,'Valo FX'!$A:$A,0)),0,IF(HD$1&lt;INDEX('Valo FX'!$R:$R,MATCH($A41,'Valo FX'!$A:$A,0)),INDEX(Base!$U:$U,MATCH($A41,Base!$A:$A,0)),IF(HD$1=INDEX('Valo FX'!$R:$R,MATCH($A41,'Valo FX'!$A:$A,0)),INDEX(Base!$V:$V,MATCH($A41,Base!$A:$A,0)),0)))</f>
        <v>6.1249200000000004</v>
      </c>
      <c r="HE41" s="21">
        <f>IF(HE$1&lt;INDEX('Valo FX'!$Q:$Q,MATCH($A41,'Valo FX'!$A:$A,0)),0,IF(HE$1&lt;INDEX('Valo FX'!$R:$R,MATCH($A41,'Valo FX'!$A:$A,0)),INDEX(Base!$U:$U,MATCH($A41,Base!$A:$A,0)),IF(HE$1=INDEX('Valo FX'!$R:$R,MATCH($A41,'Valo FX'!$A:$A,0)),INDEX(Base!$V:$V,MATCH($A41,Base!$A:$A,0)),0)))</f>
        <v>6.1249200000000004</v>
      </c>
      <c r="HF41" s="21">
        <f>IF(HF$1&lt;INDEX('Valo FX'!$Q:$Q,MATCH($A41,'Valo FX'!$A:$A,0)),0,IF(HF$1&lt;INDEX('Valo FX'!$R:$R,MATCH($A41,'Valo FX'!$A:$A,0)),INDEX(Base!$U:$U,MATCH($A41,Base!$A:$A,0)),IF(HF$1=INDEX('Valo FX'!$R:$R,MATCH($A41,'Valo FX'!$A:$A,0)),INDEX(Base!$V:$V,MATCH($A41,Base!$A:$A,0)),0)))</f>
        <v>6.1249200000000004</v>
      </c>
      <c r="HG41" s="21">
        <f>IF(HG$1&lt;INDEX('Valo FX'!$Q:$Q,MATCH($A41,'Valo FX'!$A:$A,0)),0,IF(HG$1&lt;INDEX('Valo FX'!$R:$R,MATCH($A41,'Valo FX'!$A:$A,0)),INDEX(Base!$U:$U,MATCH($A41,Base!$A:$A,0)),IF(HG$1=INDEX('Valo FX'!$R:$R,MATCH($A41,'Valo FX'!$A:$A,0)),INDEX(Base!$V:$V,MATCH($A41,Base!$A:$A,0)),0)))</f>
        <v>6.1249200000000004</v>
      </c>
      <c r="HH41" s="21">
        <f>IF(HH$1&lt;INDEX('Valo FX'!$Q:$Q,MATCH($A41,'Valo FX'!$A:$A,0)),0,IF(HH$1&lt;INDEX('Valo FX'!$R:$R,MATCH($A41,'Valo FX'!$A:$A,0)),INDEX(Base!$U:$U,MATCH($A41,Base!$A:$A,0)),IF(HH$1=INDEX('Valo FX'!$R:$R,MATCH($A41,'Valo FX'!$A:$A,0)),INDEX(Base!$V:$V,MATCH($A41,Base!$A:$A,0)),0)))</f>
        <v>6.1249200000000004</v>
      </c>
      <c r="HI41" s="21">
        <f>IF(HI$1&lt;INDEX('Valo FX'!$Q:$Q,MATCH($A41,'Valo FX'!$A:$A,0)),0,IF(HI$1&lt;INDEX('Valo FX'!$R:$R,MATCH($A41,'Valo FX'!$A:$A,0)),INDEX(Base!$U:$U,MATCH($A41,Base!$A:$A,0)),IF(HI$1=INDEX('Valo FX'!$R:$R,MATCH($A41,'Valo FX'!$A:$A,0)),INDEX(Base!$V:$V,MATCH($A41,Base!$A:$A,0)),0)))</f>
        <v>6.1249200000000004</v>
      </c>
      <c r="HJ41" s="21">
        <f>IF(HJ$1&lt;INDEX('Valo FX'!$Q:$Q,MATCH($A41,'Valo FX'!$A:$A,0)),0,IF(HJ$1&lt;INDEX('Valo FX'!$R:$R,MATCH($A41,'Valo FX'!$A:$A,0)),INDEX(Base!$U:$U,MATCH($A41,Base!$A:$A,0)),IF(HJ$1=INDEX('Valo FX'!$R:$R,MATCH($A41,'Valo FX'!$A:$A,0)),INDEX(Base!$V:$V,MATCH($A41,Base!$A:$A,0)),0)))</f>
        <v>6.1249200000000004</v>
      </c>
      <c r="HK41" s="21">
        <f>IF(HK$1&lt;INDEX('Valo FX'!$Q:$Q,MATCH($A41,'Valo FX'!$A:$A,0)),0,IF(HK$1&lt;INDEX('Valo FX'!$R:$R,MATCH($A41,'Valo FX'!$A:$A,0)),INDEX(Base!$U:$U,MATCH($A41,Base!$A:$A,0)),IF(HK$1=INDEX('Valo FX'!$R:$R,MATCH($A41,'Valo FX'!$A:$A,0)),INDEX(Base!$V:$V,MATCH($A41,Base!$A:$A,0)),0)))</f>
        <v>6.1249200000000004</v>
      </c>
      <c r="HL41" s="21">
        <f>IF(HL$1&lt;INDEX('Valo FX'!$Q:$Q,MATCH($A41,'Valo FX'!$A:$A,0)),0,IF(HL$1&lt;INDEX('Valo FX'!$R:$R,MATCH($A41,'Valo FX'!$A:$A,0)),INDEX(Base!$U:$U,MATCH($A41,Base!$A:$A,0)),IF(HL$1=INDEX('Valo FX'!$R:$R,MATCH($A41,'Valo FX'!$A:$A,0)),INDEX(Base!$V:$V,MATCH($A41,Base!$A:$A,0)),0)))</f>
        <v>6.1249200000000004</v>
      </c>
      <c r="HM41" s="21">
        <f>IF(HM$1&lt;INDEX('Valo FX'!$Q:$Q,MATCH($A41,'Valo FX'!$A:$A,0)),0,IF(HM$1&lt;INDEX('Valo FX'!$R:$R,MATCH($A41,'Valo FX'!$A:$A,0)),INDEX(Base!$U:$U,MATCH($A41,Base!$A:$A,0)),IF(HM$1=INDEX('Valo FX'!$R:$R,MATCH($A41,'Valo FX'!$A:$A,0)),INDEX(Base!$V:$V,MATCH($A41,Base!$A:$A,0)),0)))</f>
        <v>6.1249200000000004</v>
      </c>
      <c r="HN41" s="21">
        <f>IF(HN$1&lt;INDEX('Valo FX'!$Q:$Q,MATCH($A41,'Valo FX'!$A:$A,0)),0,IF(HN$1&lt;INDEX('Valo FX'!$R:$R,MATCH($A41,'Valo FX'!$A:$A,0)),INDEX(Base!$U:$U,MATCH($A41,Base!$A:$A,0)),IF(HN$1=INDEX('Valo FX'!$R:$R,MATCH($A41,'Valo FX'!$A:$A,0)),INDEX(Base!$V:$V,MATCH($A41,Base!$A:$A,0)),0)))</f>
        <v>6.1249200000000004</v>
      </c>
      <c r="HO41" s="21">
        <f>IF(HO$1&lt;INDEX('Valo FX'!$Q:$Q,MATCH($A41,'Valo FX'!$A:$A,0)),0,IF(HO$1&lt;INDEX('Valo FX'!$R:$R,MATCH($A41,'Valo FX'!$A:$A,0)),INDEX(Base!$U:$U,MATCH($A41,Base!$A:$A,0)),IF(HO$1=INDEX('Valo FX'!$R:$R,MATCH($A41,'Valo FX'!$A:$A,0)),INDEX(Base!$V:$V,MATCH($A41,Base!$A:$A,0)),0)))</f>
        <v>6.1249200000000004</v>
      </c>
      <c r="HP41" s="21">
        <f>IF(HP$1&lt;INDEX('Valo FX'!$Q:$Q,MATCH($A41,'Valo FX'!$A:$A,0)),0,IF(HP$1&lt;INDEX('Valo FX'!$R:$R,MATCH($A41,'Valo FX'!$A:$A,0)),INDEX(Base!$U:$U,MATCH($A41,Base!$A:$A,0)),IF(HP$1=INDEX('Valo FX'!$R:$R,MATCH($A41,'Valo FX'!$A:$A,0)),INDEX(Base!$V:$V,MATCH($A41,Base!$A:$A,0)),0)))</f>
        <v>6.1249200000000004</v>
      </c>
      <c r="HQ41" s="21">
        <f>IF(HQ$1&lt;INDEX('Valo FX'!$Q:$Q,MATCH($A41,'Valo FX'!$A:$A,0)),0,IF(HQ$1&lt;INDEX('Valo FX'!$R:$R,MATCH($A41,'Valo FX'!$A:$A,0)),INDEX(Base!$U:$U,MATCH($A41,Base!$A:$A,0)),IF(HQ$1=INDEX('Valo FX'!$R:$R,MATCH($A41,'Valo FX'!$A:$A,0)),INDEX(Base!$V:$V,MATCH($A41,Base!$A:$A,0)),0)))</f>
        <v>6.1249200000000004</v>
      </c>
      <c r="HR41" s="21">
        <f>IF(HR$1&lt;INDEX('Valo FX'!$Q:$Q,MATCH($A41,'Valo FX'!$A:$A,0)),0,IF(HR$1&lt;INDEX('Valo FX'!$R:$R,MATCH($A41,'Valo FX'!$A:$A,0)),INDEX(Base!$U:$U,MATCH($A41,Base!$A:$A,0)),IF(HR$1=INDEX('Valo FX'!$R:$R,MATCH($A41,'Valo FX'!$A:$A,0)),INDEX(Base!$V:$V,MATCH($A41,Base!$A:$A,0)),0)))</f>
        <v>6.1249200000000004</v>
      </c>
      <c r="HS41" s="21">
        <f>IF(HS$1&lt;INDEX('Valo FX'!$Q:$Q,MATCH($A41,'Valo FX'!$A:$A,0)),0,IF(HS$1&lt;INDEX('Valo FX'!$R:$R,MATCH($A41,'Valo FX'!$A:$A,0)),INDEX(Base!$U:$U,MATCH($A41,Base!$A:$A,0)),IF(HS$1=INDEX('Valo FX'!$R:$R,MATCH($A41,'Valo FX'!$A:$A,0)),INDEX(Base!$V:$V,MATCH($A41,Base!$A:$A,0)),0)))</f>
        <v>6.1249200000000004</v>
      </c>
      <c r="HT41" s="21">
        <f>IF(HT$1&lt;INDEX('Valo FX'!$Q:$Q,MATCH($A41,'Valo FX'!$A:$A,0)),0,IF(HT$1&lt;INDEX('Valo FX'!$R:$R,MATCH($A41,'Valo FX'!$A:$A,0)),INDEX(Base!$U:$U,MATCH($A41,Base!$A:$A,0)),IF(HT$1=INDEX('Valo FX'!$R:$R,MATCH($A41,'Valo FX'!$A:$A,0)),INDEX(Base!$V:$V,MATCH($A41,Base!$A:$A,0)),0)))</f>
        <v>6.1249200000000004</v>
      </c>
      <c r="HU41" s="21">
        <f>IF(HU$1&lt;INDEX('Valo FX'!$Q:$Q,MATCH($A41,'Valo FX'!$A:$A,0)),0,IF(HU$1&lt;INDEX('Valo FX'!$R:$R,MATCH($A41,'Valo FX'!$A:$A,0)),INDEX(Base!$U:$U,MATCH($A41,Base!$A:$A,0)),IF(HU$1=INDEX('Valo FX'!$R:$R,MATCH($A41,'Valo FX'!$A:$A,0)),INDEX(Base!$V:$V,MATCH($A41,Base!$A:$A,0)),0)))</f>
        <v>6.1249200000000004</v>
      </c>
      <c r="HV41" s="21">
        <f>IF(HV$1&lt;INDEX('Valo FX'!$Q:$Q,MATCH($A41,'Valo FX'!$A:$A,0)),0,IF(HV$1&lt;INDEX('Valo FX'!$R:$R,MATCH($A41,'Valo FX'!$A:$A,0)),INDEX(Base!$U:$U,MATCH($A41,Base!$A:$A,0)),IF(HV$1=INDEX('Valo FX'!$R:$R,MATCH($A41,'Valo FX'!$A:$A,0)),INDEX(Base!$V:$V,MATCH($A41,Base!$A:$A,0)),0)))</f>
        <v>6.1249200000000004</v>
      </c>
      <c r="HW41" s="21">
        <f>IF(HW$1&lt;INDEX('Valo FX'!$Q:$Q,MATCH($A41,'Valo FX'!$A:$A,0)),0,IF(HW$1&lt;INDEX('Valo FX'!$R:$R,MATCH($A41,'Valo FX'!$A:$A,0)),INDEX(Base!$U:$U,MATCH($A41,Base!$A:$A,0)),IF(HW$1=INDEX('Valo FX'!$R:$R,MATCH($A41,'Valo FX'!$A:$A,0)),INDEX(Base!$V:$V,MATCH($A41,Base!$A:$A,0)),0)))</f>
        <v>6.1249200000000004</v>
      </c>
      <c r="HX41" s="21">
        <f>IF(HX$1&lt;INDEX('Valo FX'!$Q:$Q,MATCH($A41,'Valo FX'!$A:$A,0)),0,IF(HX$1&lt;INDEX('Valo FX'!$R:$R,MATCH($A41,'Valo FX'!$A:$A,0)),INDEX(Base!$U:$U,MATCH($A41,Base!$A:$A,0)),IF(HX$1=INDEX('Valo FX'!$R:$R,MATCH($A41,'Valo FX'!$A:$A,0)),INDEX(Base!$V:$V,MATCH($A41,Base!$A:$A,0)),0)))</f>
        <v>6.1249200000000004</v>
      </c>
      <c r="HY41" s="21">
        <f>IF(HY$1&lt;INDEX('Valo FX'!$Q:$Q,MATCH($A41,'Valo FX'!$A:$A,0)),0,IF(HY$1&lt;INDEX('Valo FX'!$R:$R,MATCH($A41,'Valo FX'!$A:$A,0)),INDEX(Base!$U:$U,MATCH($A41,Base!$A:$A,0)),IF(HY$1=INDEX('Valo FX'!$R:$R,MATCH($A41,'Valo FX'!$A:$A,0)),INDEX(Base!$V:$V,MATCH($A41,Base!$A:$A,0)),0)))</f>
        <v>6.1249200000000004</v>
      </c>
      <c r="HZ41" s="21">
        <f>IF(HZ$1&lt;INDEX('Valo FX'!$Q:$Q,MATCH($A41,'Valo FX'!$A:$A,0)),0,IF(HZ$1&lt;INDEX('Valo FX'!$R:$R,MATCH($A41,'Valo FX'!$A:$A,0)),INDEX(Base!$U:$U,MATCH($A41,Base!$A:$A,0)),IF(HZ$1=INDEX('Valo FX'!$R:$R,MATCH($A41,'Valo FX'!$A:$A,0)),INDEX(Base!$V:$V,MATCH($A41,Base!$A:$A,0)),0)))</f>
        <v>6.1249200000000004</v>
      </c>
      <c r="IA41" s="21">
        <f>IF(IA$1&lt;INDEX('Valo FX'!$Q:$Q,MATCH($A41,'Valo FX'!$A:$A,0)),0,IF(IA$1&lt;INDEX('Valo FX'!$R:$R,MATCH($A41,'Valo FX'!$A:$A,0)),INDEX(Base!$U:$U,MATCH($A41,Base!$A:$A,0)),IF(IA$1=INDEX('Valo FX'!$R:$R,MATCH($A41,'Valo FX'!$A:$A,0)),INDEX(Base!$V:$V,MATCH($A41,Base!$A:$A,0)),0)))</f>
        <v>6.1249200000000004</v>
      </c>
      <c r="IB41" s="21">
        <f>IF(IB$1&lt;INDEX('Valo FX'!$Q:$Q,MATCH($A41,'Valo FX'!$A:$A,0)),0,IF(IB$1&lt;INDEX('Valo FX'!$R:$R,MATCH($A41,'Valo FX'!$A:$A,0)),INDEX(Base!$U:$U,MATCH($A41,Base!$A:$A,0)),IF(IB$1=INDEX('Valo FX'!$R:$R,MATCH($A41,'Valo FX'!$A:$A,0)),INDEX(Base!$V:$V,MATCH($A41,Base!$A:$A,0)),0)))</f>
        <v>6.1249200000000004</v>
      </c>
      <c r="IC41" s="21">
        <f>IF(IC$1&lt;INDEX('Valo FX'!$Q:$Q,MATCH($A41,'Valo FX'!$A:$A,0)),0,IF(IC$1&lt;INDEX('Valo FX'!$R:$R,MATCH($A41,'Valo FX'!$A:$A,0)),INDEX(Base!$U:$U,MATCH($A41,Base!$A:$A,0)),IF(IC$1=INDEX('Valo FX'!$R:$R,MATCH($A41,'Valo FX'!$A:$A,0)),INDEX(Base!$V:$V,MATCH($A41,Base!$A:$A,0)),0)))</f>
        <v>6.1249200000000004</v>
      </c>
      <c r="ID41" s="21">
        <f>IF(ID$1&lt;INDEX('Valo FX'!$Q:$Q,MATCH($A41,'Valo FX'!$A:$A,0)),0,IF(ID$1&lt;INDEX('Valo FX'!$R:$R,MATCH($A41,'Valo FX'!$A:$A,0)),INDEX(Base!$U:$U,MATCH($A41,Base!$A:$A,0)),IF(ID$1=INDEX('Valo FX'!$R:$R,MATCH($A41,'Valo FX'!$A:$A,0)),INDEX(Base!$V:$V,MATCH($A41,Base!$A:$A,0)),0)))</f>
        <v>6.1249200000000004</v>
      </c>
      <c r="IE41" s="21">
        <f>IF(IE$1&lt;INDEX('Valo FX'!$Q:$Q,MATCH($A41,'Valo FX'!$A:$A,0)),0,IF(IE$1&lt;INDEX('Valo FX'!$R:$R,MATCH($A41,'Valo FX'!$A:$A,0)),INDEX(Base!$U:$U,MATCH($A41,Base!$A:$A,0)),IF(IE$1=INDEX('Valo FX'!$R:$R,MATCH($A41,'Valo FX'!$A:$A,0)),INDEX(Base!$V:$V,MATCH($A41,Base!$A:$A,0)),0)))</f>
        <v>6.1249200000000004</v>
      </c>
      <c r="IF41" s="21">
        <f>IF(IF$1&lt;INDEX('Valo FX'!$Q:$Q,MATCH($A41,'Valo FX'!$A:$A,0)),0,IF(IF$1&lt;INDEX('Valo FX'!$R:$R,MATCH($A41,'Valo FX'!$A:$A,0)),INDEX(Base!$U:$U,MATCH($A41,Base!$A:$A,0)),IF(IF$1=INDEX('Valo FX'!$R:$R,MATCH($A41,'Valo FX'!$A:$A,0)),INDEX(Base!$V:$V,MATCH($A41,Base!$A:$A,0)),0)))</f>
        <v>6.1249200000000004</v>
      </c>
      <c r="IG41" s="21">
        <f>IF(IG$1&lt;INDEX('Valo FX'!$Q:$Q,MATCH($A41,'Valo FX'!$A:$A,0)),0,IF(IG$1&lt;INDEX('Valo FX'!$R:$R,MATCH($A41,'Valo FX'!$A:$A,0)),INDEX(Base!$U:$U,MATCH($A41,Base!$A:$A,0)),IF(IG$1=INDEX('Valo FX'!$R:$R,MATCH($A41,'Valo FX'!$A:$A,0)),INDEX(Base!$V:$V,MATCH($A41,Base!$A:$A,0)),0)))</f>
        <v>6.1249200000000004</v>
      </c>
      <c r="IH41" s="21">
        <f>IF(IH$1&lt;INDEX('Valo FX'!$Q:$Q,MATCH($A41,'Valo FX'!$A:$A,0)),0,IF(IH$1&lt;INDEX('Valo FX'!$R:$R,MATCH($A41,'Valo FX'!$A:$A,0)),INDEX(Base!$U:$U,MATCH($A41,Base!$A:$A,0)),IF(IH$1=INDEX('Valo FX'!$R:$R,MATCH($A41,'Valo FX'!$A:$A,0)),INDEX(Base!$V:$V,MATCH($A41,Base!$A:$A,0)),0)))</f>
        <v>6.1249200000000004</v>
      </c>
      <c r="II41" s="21">
        <f>IF(II$1&lt;INDEX('Valo FX'!$Q:$Q,MATCH($A41,'Valo FX'!$A:$A,0)),0,IF(II$1&lt;INDEX('Valo FX'!$R:$R,MATCH($A41,'Valo FX'!$A:$A,0)),INDEX(Base!$U:$U,MATCH($A41,Base!$A:$A,0)),IF(II$1=INDEX('Valo FX'!$R:$R,MATCH($A41,'Valo FX'!$A:$A,0)),INDEX(Base!$V:$V,MATCH($A41,Base!$A:$A,0)),0)))</f>
        <v>6.1249200000000004</v>
      </c>
      <c r="IJ41" s="21">
        <f>IF(IJ$1&lt;INDEX('Valo FX'!$Q:$Q,MATCH($A41,'Valo FX'!$A:$A,0)),0,IF(IJ$1&lt;INDEX('Valo FX'!$R:$R,MATCH($A41,'Valo FX'!$A:$A,0)),INDEX(Base!$U:$U,MATCH($A41,Base!$A:$A,0)),IF(IJ$1=INDEX('Valo FX'!$R:$R,MATCH($A41,'Valo FX'!$A:$A,0)),INDEX(Base!$V:$V,MATCH($A41,Base!$A:$A,0)),0)))</f>
        <v>6.1249200000000004</v>
      </c>
      <c r="IK41" s="21">
        <f>IF(IK$1&lt;INDEX('Valo FX'!$Q:$Q,MATCH($A41,'Valo FX'!$A:$A,0)),0,IF(IK$1&lt;INDEX('Valo FX'!$R:$R,MATCH($A41,'Valo FX'!$A:$A,0)),INDEX(Base!$U:$U,MATCH($A41,Base!$A:$A,0)),IF(IK$1=INDEX('Valo FX'!$R:$R,MATCH($A41,'Valo FX'!$A:$A,0)),INDEX(Base!$V:$V,MATCH($A41,Base!$A:$A,0)),0)))</f>
        <v>6.1249200000000004</v>
      </c>
      <c r="IL41" s="21">
        <f>IF(IL$1&lt;INDEX('Valo FX'!$Q:$Q,MATCH($A41,'Valo FX'!$A:$A,0)),0,IF(IL$1&lt;INDEX('Valo FX'!$R:$R,MATCH($A41,'Valo FX'!$A:$A,0)),INDEX(Base!$U:$U,MATCH($A41,Base!$A:$A,0)),IF(IL$1=INDEX('Valo FX'!$R:$R,MATCH($A41,'Valo FX'!$A:$A,0)),INDEX(Base!$V:$V,MATCH($A41,Base!$A:$A,0)),0)))</f>
        <v>6.1249200000000004</v>
      </c>
      <c r="IM41" s="21">
        <f>IF(IM$1&lt;INDEX('Valo FX'!$Q:$Q,MATCH($A41,'Valo FX'!$A:$A,0)),0,IF(IM$1&lt;INDEX('Valo FX'!$R:$R,MATCH($A41,'Valo FX'!$A:$A,0)),INDEX(Base!$U:$U,MATCH($A41,Base!$A:$A,0)),IF(IM$1=INDEX('Valo FX'!$R:$R,MATCH($A41,'Valo FX'!$A:$A,0)),INDEX(Base!$V:$V,MATCH($A41,Base!$A:$A,0)),0)))</f>
        <v>6.1249200000000004</v>
      </c>
      <c r="IN41" s="21">
        <f>IF(IN$1&lt;INDEX('Valo FX'!$Q:$Q,MATCH($A41,'Valo FX'!$A:$A,0)),0,IF(IN$1&lt;INDEX('Valo FX'!$R:$R,MATCH($A41,'Valo FX'!$A:$A,0)),INDEX(Base!$U:$U,MATCH($A41,Base!$A:$A,0)),IF(IN$1=INDEX('Valo FX'!$R:$R,MATCH($A41,'Valo FX'!$A:$A,0)),INDEX(Base!$V:$V,MATCH($A41,Base!$A:$A,0)),0)))</f>
        <v>6.1249200000000004</v>
      </c>
      <c r="IO41" s="21">
        <f>IF(IO$1&lt;INDEX('Valo FX'!$Q:$Q,MATCH($A41,'Valo FX'!$A:$A,0)),0,IF(IO$1&lt;INDEX('Valo FX'!$R:$R,MATCH($A41,'Valo FX'!$A:$A,0)),INDEX(Base!$U:$U,MATCH($A41,Base!$A:$A,0)),IF(IO$1=INDEX('Valo FX'!$R:$R,MATCH($A41,'Valo FX'!$A:$A,0)),INDEX(Base!$V:$V,MATCH($A41,Base!$A:$A,0)),0)))</f>
        <v>6.1249200000000004</v>
      </c>
      <c r="IP41" s="21">
        <f>IF(IP$1&lt;INDEX('Valo FX'!$Q:$Q,MATCH($A41,'Valo FX'!$A:$A,0)),0,IF(IP$1&lt;INDEX('Valo FX'!$R:$R,MATCH($A41,'Valo FX'!$A:$A,0)),INDEX(Base!$U:$U,MATCH($A41,Base!$A:$A,0)),IF(IP$1=INDEX('Valo FX'!$R:$R,MATCH($A41,'Valo FX'!$A:$A,0)),INDEX(Base!$V:$V,MATCH($A41,Base!$A:$A,0)),0)))</f>
        <v>6.1249200000000004</v>
      </c>
      <c r="IQ41" s="21">
        <f>IF(IQ$1&lt;INDEX('Valo FX'!$Q:$Q,MATCH($A41,'Valo FX'!$A:$A,0)),0,IF(IQ$1&lt;INDEX('Valo FX'!$R:$R,MATCH($A41,'Valo FX'!$A:$A,0)),INDEX(Base!$U:$U,MATCH($A41,Base!$A:$A,0)),IF(IQ$1=INDEX('Valo FX'!$R:$R,MATCH($A41,'Valo FX'!$A:$A,0)),INDEX(Base!$V:$V,MATCH($A41,Base!$A:$A,0)),0)))</f>
        <v>6.1249200000000004</v>
      </c>
      <c r="IR41" s="21">
        <f>IF(IR$1&lt;INDEX('Valo FX'!$Q:$Q,MATCH($A41,'Valo FX'!$A:$A,0)),0,IF(IR$1&lt;INDEX('Valo FX'!$R:$R,MATCH($A41,'Valo FX'!$A:$A,0)),INDEX(Base!$U:$U,MATCH($A41,Base!$A:$A,0)),IF(IR$1=INDEX('Valo FX'!$R:$R,MATCH($A41,'Valo FX'!$A:$A,0)),INDEX(Base!$V:$V,MATCH($A41,Base!$A:$A,0)),0)))</f>
        <v>6.1249200000000004</v>
      </c>
      <c r="IS41" s="21">
        <f>IF(IS$1&lt;INDEX('Valo FX'!$Q:$Q,MATCH($A41,'Valo FX'!$A:$A,0)),0,IF(IS$1&lt;INDEX('Valo FX'!$R:$R,MATCH($A41,'Valo FX'!$A:$A,0)),INDEX(Base!$U:$U,MATCH($A41,Base!$A:$A,0)),IF(IS$1=INDEX('Valo FX'!$R:$R,MATCH($A41,'Valo FX'!$A:$A,0)),INDEX(Base!$V:$V,MATCH($A41,Base!$A:$A,0)),0)))</f>
        <v>6.1249200000000004</v>
      </c>
      <c r="IT41" s="21">
        <f>IF(IT$1&lt;INDEX('Valo FX'!$Q:$Q,MATCH($A41,'Valo FX'!$A:$A,0)),0,IF(IT$1&lt;INDEX('Valo FX'!$R:$R,MATCH($A41,'Valo FX'!$A:$A,0)),INDEX(Base!$U:$U,MATCH($A41,Base!$A:$A,0)),IF(IT$1=INDEX('Valo FX'!$R:$R,MATCH($A41,'Valo FX'!$A:$A,0)),INDEX(Base!$V:$V,MATCH($A41,Base!$A:$A,0)),0)))</f>
        <v>6.1249200000000004</v>
      </c>
      <c r="IU41" s="21">
        <f>IF(IU$1&lt;INDEX('Valo FX'!$Q:$Q,MATCH($A41,'Valo FX'!$A:$A,0)),0,IF(IU$1&lt;INDEX('Valo FX'!$R:$R,MATCH($A41,'Valo FX'!$A:$A,0)),INDEX(Base!$U:$U,MATCH($A41,Base!$A:$A,0)),IF(IU$1=INDEX('Valo FX'!$R:$R,MATCH($A41,'Valo FX'!$A:$A,0)),INDEX(Base!$V:$V,MATCH($A41,Base!$A:$A,0)),0)))</f>
        <v>6.1249200000000004</v>
      </c>
      <c r="IV41" s="21">
        <f>IF(IV$1&lt;INDEX('Valo FX'!$Q:$Q,MATCH($A41,'Valo FX'!$A:$A,0)),0,IF(IV$1&lt;INDEX('Valo FX'!$R:$R,MATCH($A41,'Valo FX'!$A:$A,0)),INDEX(Base!$U:$U,MATCH($A41,Base!$A:$A,0)),IF(IV$1=INDEX('Valo FX'!$R:$R,MATCH($A41,'Valo FX'!$A:$A,0)),INDEX(Base!$V:$V,MATCH($A41,Base!$A:$A,0)),0)))</f>
        <v>6.1249200000000004</v>
      </c>
      <c r="IW41" s="21">
        <f>IF(IW$1&lt;INDEX('Valo FX'!$Q:$Q,MATCH($A41,'Valo FX'!$A:$A,0)),0,IF(IW$1&lt;INDEX('Valo FX'!$R:$R,MATCH($A41,'Valo FX'!$A:$A,0)),INDEX(Base!$U:$U,MATCH($A41,Base!$A:$A,0)),IF(IW$1=INDEX('Valo FX'!$R:$R,MATCH($A41,'Valo FX'!$A:$A,0)),INDEX(Base!$V:$V,MATCH($A41,Base!$A:$A,0)),0)))</f>
        <v>6.1249200000000004</v>
      </c>
      <c r="IX41" s="21">
        <f>IF(IX$1&lt;INDEX('Valo FX'!$Q:$Q,MATCH($A41,'Valo FX'!$A:$A,0)),0,IF(IX$1&lt;INDEX('Valo FX'!$R:$R,MATCH($A41,'Valo FX'!$A:$A,0)),INDEX(Base!$U:$U,MATCH($A41,Base!$A:$A,0)),IF(IX$1=INDEX('Valo FX'!$R:$R,MATCH($A41,'Valo FX'!$A:$A,0)),INDEX(Base!$V:$V,MATCH($A41,Base!$A:$A,0)),0)))</f>
        <v>6.1249200000000004</v>
      </c>
      <c r="IY41" s="21">
        <f>IF(IY$1&lt;INDEX('Valo FX'!$Q:$Q,MATCH($A41,'Valo FX'!$A:$A,0)),0,IF(IY$1&lt;INDEX('Valo FX'!$R:$R,MATCH($A41,'Valo FX'!$A:$A,0)),INDEX(Base!$U:$U,MATCH($A41,Base!$A:$A,0)),IF(IY$1=INDEX('Valo FX'!$R:$R,MATCH($A41,'Valo FX'!$A:$A,0)),INDEX(Base!$V:$V,MATCH($A41,Base!$A:$A,0)),0)))</f>
        <v>6.1249200000000004</v>
      </c>
      <c r="IZ41" s="21">
        <f>IF(IZ$1&lt;INDEX('Valo FX'!$Q:$Q,MATCH($A41,'Valo FX'!$A:$A,0)),0,IF(IZ$1&lt;INDEX('Valo FX'!$R:$R,MATCH($A41,'Valo FX'!$A:$A,0)),INDEX(Base!$U:$U,MATCH($A41,Base!$A:$A,0)),IF(IZ$1=INDEX('Valo FX'!$R:$R,MATCH($A41,'Valo FX'!$A:$A,0)),INDEX(Base!$V:$V,MATCH($A41,Base!$A:$A,0)),0)))</f>
        <v>6.1249200000000004</v>
      </c>
      <c r="JA41" s="21">
        <f>IF(JA$1&lt;INDEX('Valo FX'!$Q:$Q,MATCH($A41,'Valo FX'!$A:$A,0)),0,IF(JA$1&lt;INDEX('Valo FX'!$R:$R,MATCH($A41,'Valo FX'!$A:$A,0)),INDEX(Base!$U:$U,MATCH($A41,Base!$A:$A,0)),IF(JA$1=INDEX('Valo FX'!$R:$R,MATCH($A41,'Valo FX'!$A:$A,0)),INDEX(Base!$V:$V,MATCH($A41,Base!$A:$A,0)),0)))</f>
        <v>6.1249200000000004</v>
      </c>
      <c r="JB41" s="21">
        <f>IF(JB$1&lt;INDEX('Valo FX'!$Q:$Q,MATCH($A41,'Valo FX'!$A:$A,0)),0,IF(JB$1&lt;INDEX('Valo FX'!$R:$R,MATCH($A41,'Valo FX'!$A:$A,0)),INDEX(Base!$U:$U,MATCH($A41,Base!$A:$A,0)),IF(JB$1=INDEX('Valo FX'!$R:$R,MATCH($A41,'Valo FX'!$A:$A,0)),INDEX(Base!$V:$V,MATCH($A41,Base!$A:$A,0)),0)))</f>
        <v>6.1249200000000004</v>
      </c>
      <c r="JC41" s="21">
        <f>IF(JC$1&lt;INDEX('Valo FX'!$Q:$Q,MATCH($A41,'Valo FX'!$A:$A,0)),0,IF(JC$1&lt;INDEX('Valo FX'!$R:$R,MATCH($A41,'Valo FX'!$A:$A,0)),INDEX(Base!$U:$U,MATCH($A41,Base!$A:$A,0)),IF(JC$1=INDEX('Valo FX'!$R:$R,MATCH($A41,'Valo FX'!$A:$A,0)),INDEX(Base!$V:$V,MATCH($A41,Base!$A:$A,0)),0)))</f>
        <v>6.1249200000000004</v>
      </c>
      <c r="JD41" s="21">
        <f>IF(JD$1&lt;INDEX('Valo FX'!$Q:$Q,MATCH($A41,'Valo FX'!$A:$A,0)),0,IF(JD$1&lt;INDEX('Valo FX'!$R:$R,MATCH($A41,'Valo FX'!$A:$A,0)),INDEX(Base!$U:$U,MATCH($A41,Base!$A:$A,0)),IF(JD$1=INDEX('Valo FX'!$R:$R,MATCH($A41,'Valo FX'!$A:$A,0)),INDEX(Base!$V:$V,MATCH($A41,Base!$A:$A,0)),0)))</f>
        <v>6.1249200000000004</v>
      </c>
      <c r="JE41" s="21">
        <f>IF(JE$1&lt;INDEX('Valo FX'!$Q:$Q,MATCH($A41,'Valo FX'!$A:$A,0)),0,IF(JE$1&lt;INDEX('Valo FX'!$R:$R,MATCH($A41,'Valo FX'!$A:$A,0)),INDEX(Base!$U:$U,MATCH($A41,Base!$A:$A,0)),IF(JE$1=INDEX('Valo FX'!$R:$R,MATCH($A41,'Valo FX'!$A:$A,0)),INDEX(Base!$V:$V,MATCH($A41,Base!$A:$A,0)),0)))</f>
        <v>6.1249200000000004</v>
      </c>
      <c r="JF41" s="21">
        <f>IF(JF$1&lt;INDEX('Valo FX'!$Q:$Q,MATCH($A41,'Valo FX'!$A:$A,0)),0,IF(JF$1&lt;INDEX('Valo FX'!$R:$R,MATCH($A41,'Valo FX'!$A:$A,0)),INDEX(Base!$U:$U,MATCH($A41,Base!$A:$A,0)),IF(JF$1=INDEX('Valo FX'!$R:$R,MATCH($A41,'Valo FX'!$A:$A,0)),INDEX(Base!$V:$V,MATCH($A41,Base!$A:$A,0)),0)))</f>
        <v>6.1249200000000004</v>
      </c>
      <c r="JG41" s="21">
        <f>IF(JG$1&lt;INDEX('Valo FX'!$Q:$Q,MATCH($A41,'Valo FX'!$A:$A,0)),0,IF(JG$1&lt;INDEX('Valo FX'!$R:$R,MATCH($A41,'Valo FX'!$A:$A,0)),INDEX(Base!$U:$U,MATCH($A41,Base!$A:$A,0)),IF(JG$1=INDEX('Valo FX'!$R:$R,MATCH($A41,'Valo FX'!$A:$A,0)),INDEX(Base!$V:$V,MATCH($A41,Base!$A:$A,0)),0)))</f>
        <v>6.1249200000000004</v>
      </c>
      <c r="JH41" s="21">
        <f>IF(JH$1&lt;INDEX('Valo FX'!$Q:$Q,MATCH($A41,'Valo FX'!$A:$A,0)),0,IF(JH$1&lt;INDEX('Valo FX'!$R:$R,MATCH($A41,'Valo FX'!$A:$A,0)),INDEX(Base!$U:$U,MATCH($A41,Base!$A:$A,0)),IF(JH$1=INDEX('Valo FX'!$R:$R,MATCH($A41,'Valo FX'!$A:$A,0)),INDEX(Base!$V:$V,MATCH($A41,Base!$A:$A,0)),0)))</f>
        <v>6.1249200000000004</v>
      </c>
      <c r="JI41" s="21">
        <f>IF(JI$1&lt;INDEX('Valo FX'!$Q:$Q,MATCH($A41,'Valo FX'!$A:$A,0)),0,IF(JI$1&lt;INDEX('Valo FX'!$R:$R,MATCH($A41,'Valo FX'!$A:$A,0)),INDEX(Base!$U:$U,MATCH($A41,Base!$A:$A,0)),IF(JI$1=INDEX('Valo FX'!$R:$R,MATCH($A41,'Valo FX'!$A:$A,0)),INDEX(Base!$V:$V,MATCH($A41,Base!$A:$A,0)),0)))</f>
        <v>6.1249200000000004</v>
      </c>
      <c r="JJ41" s="21">
        <f>IF(JJ$1&lt;INDEX('Valo FX'!$Q:$Q,MATCH($A41,'Valo FX'!$A:$A,0)),0,IF(JJ$1&lt;INDEX('Valo FX'!$R:$R,MATCH($A41,'Valo FX'!$A:$A,0)),INDEX(Base!$U:$U,MATCH($A41,Base!$A:$A,0)),IF(JJ$1=INDEX('Valo FX'!$R:$R,MATCH($A41,'Valo FX'!$A:$A,0)),INDEX(Base!$V:$V,MATCH($A41,Base!$A:$A,0)),0)))</f>
        <v>6.1249200000000004</v>
      </c>
      <c r="JK41" s="21">
        <f>IF(JK$1&lt;INDEX('Valo FX'!$Q:$Q,MATCH($A41,'Valo FX'!$A:$A,0)),0,IF(JK$1&lt;INDEX('Valo FX'!$R:$R,MATCH($A41,'Valo FX'!$A:$A,0)),INDEX(Base!$U:$U,MATCH($A41,Base!$A:$A,0)),IF(JK$1=INDEX('Valo FX'!$R:$R,MATCH($A41,'Valo FX'!$A:$A,0)),INDEX(Base!$V:$V,MATCH($A41,Base!$A:$A,0)),0)))</f>
        <v>6.1249200000000004</v>
      </c>
      <c r="JL41" s="21">
        <f>IF(JL$1&lt;INDEX('Valo FX'!$Q:$Q,MATCH($A41,'Valo FX'!$A:$A,0)),0,IF(JL$1&lt;INDEX('Valo FX'!$R:$R,MATCH($A41,'Valo FX'!$A:$A,0)),INDEX(Base!$U:$U,MATCH($A41,Base!$A:$A,0)),IF(JL$1=INDEX('Valo FX'!$R:$R,MATCH($A41,'Valo FX'!$A:$A,0)),INDEX(Base!$V:$V,MATCH($A41,Base!$A:$A,0)),0)))</f>
        <v>6.1249200000000004</v>
      </c>
      <c r="JM41" s="21">
        <f>IF(JM$1&lt;INDEX('Valo FX'!$Q:$Q,MATCH($A41,'Valo FX'!$A:$A,0)),0,IF(JM$1&lt;INDEX('Valo FX'!$R:$R,MATCH($A41,'Valo FX'!$A:$A,0)),INDEX(Base!$U:$U,MATCH($A41,Base!$A:$A,0)),IF(JM$1=INDEX('Valo FX'!$R:$R,MATCH($A41,'Valo FX'!$A:$A,0)),INDEX(Base!$V:$V,MATCH($A41,Base!$A:$A,0)),0)))</f>
        <v>6.1249200000000004</v>
      </c>
      <c r="JN41" s="21">
        <f>IF(JN$1&lt;INDEX('Valo FX'!$Q:$Q,MATCH($A41,'Valo FX'!$A:$A,0)),0,IF(JN$1&lt;INDEX('Valo FX'!$R:$R,MATCH($A41,'Valo FX'!$A:$A,0)),INDEX(Base!$U:$U,MATCH($A41,Base!$A:$A,0)),IF(JN$1=INDEX('Valo FX'!$R:$R,MATCH($A41,'Valo FX'!$A:$A,0)),INDEX(Base!$V:$V,MATCH($A41,Base!$A:$A,0)),0)))</f>
        <v>6.1249200000000004</v>
      </c>
      <c r="JO41" s="21">
        <f>IF(JO$1&lt;INDEX('Valo FX'!$Q:$Q,MATCH($A41,'Valo FX'!$A:$A,0)),0,IF(JO$1&lt;INDEX('Valo FX'!$R:$R,MATCH($A41,'Valo FX'!$A:$A,0)),INDEX(Base!$U:$U,MATCH($A41,Base!$A:$A,0)),IF(JO$1=INDEX('Valo FX'!$R:$R,MATCH($A41,'Valo FX'!$A:$A,0)),INDEX(Base!$V:$V,MATCH($A41,Base!$A:$A,0)),0)))</f>
        <v>6.1249200000000004</v>
      </c>
      <c r="JP41" s="21">
        <f>IF(JP$1&lt;INDEX('Valo FX'!$Q:$Q,MATCH($A41,'Valo FX'!$A:$A,0)),0,IF(JP$1&lt;INDEX('Valo FX'!$R:$R,MATCH($A41,'Valo FX'!$A:$A,0)),INDEX(Base!$U:$U,MATCH($A41,Base!$A:$A,0)),IF(JP$1=INDEX('Valo FX'!$R:$R,MATCH($A41,'Valo FX'!$A:$A,0)),INDEX(Base!$V:$V,MATCH($A41,Base!$A:$A,0)),0)))</f>
        <v>6.1249200000000004</v>
      </c>
      <c r="JQ41" s="21">
        <f>IF(JQ$1&lt;INDEX('Valo FX'!$Q:$Q,MATCH($A41,'Valo FX'!$A:$A,0)),0,IF(JQ$1&lt;INDEX('Valo FX'!$R:$R,MATCH($A41,'Valo FX'!$A:$A,0)),INDEX(Base!$U:$U,MATCH($A41,Base!$A:$A,0)),IF(JQ$1=INDEX('Valo FX'!$R:$R,MATCH($A41,'Valo FX'!$A:$A,0)),INDEX(Base!$V:$V,MATCH($A41,Base!$A:$A,0)),0)))</f>
        <v>6.1249200000000004</v>
      </c>
      <c r="JR41" s="21">
        <f>IF(JR$1&lt;INDEX('Valo FX'!$Q:$Q,MATCH($A41,'Valo FX'!$A:$A,0)),0,IF(JR$1&lt;INDEX('Valo FX'!$R:$R,MATCH($A41,'Valo FX'!$A:$A,0)),INDEX(Base!$U:$U,MATCH($A41,Base!$A:$A,0)),IF(JR$1=INDEX('Valo FX'!$R:$R,MATCH($A41,'Valo FX'!$A:$A,0)),INDEX(Base!$V:$V,MATCH($A41,Base!$A:$A,0)),0)))</f>
        <v>6.1249200000000004</v>
      </c>
      <c r="JS41" s="21">
        <f>IF(JS$1&lt;INDEX('Valo FX'!$Q:$Q,MATCH($A41,'Valo FX'!$A:$A,0)),0,IF(JS$1&lt;INDEX('Valo FX'!$R:$R,MATCH($A41,'Valo FX'!$A:$A,0)),INDEX(Base!$U:$U,MATCH($A41,Base!$A:$A,0)),IF(JS$1=INDEX('Valo FX'!$R:$R,MATCH($A41,'Valo FX'!$A:$A,0)),INDEX(Base!$V:$V,MATCH($A41,Base!$A:$A,0)),0)))</f>
        <v>6.1249200000000004</v>
      </c>
      <c r="JT41" s="21">
        <f>IF(JT$1&lt;INDEX('Valo FX'!$Q:$Q,MATCH($A41,'Valo FX'!$A:$A,0)),0,IF(JT$1&lt;INDEX('Valo FX'!$R:$R,MATCH($A41,'Valo FX'!$A:$A,0)),INDEX(Base!$U:$U,MATCH($A41,Base!$A:$A,0)),IF(JT$1=INDEX('Valo FX'!$R:$R,MATCH($A41,'Valo FX'!$A:$A,0)),INDEX(Base!$V:$V,MATCH($A41,Base!$A:$A,0)),0)))</f>
        <v>6.1249200000000004</v>
      </c>
      <c r="JU41" s="21">
        <f>IF(JU$1&lt;INDEX('Valo FX'!$Q:$Q,MATCH($A41,'Valo FX'!$A:$A,0)),0,IF(JU$1&lt;INDEX('Valo FX'!$R:$R,MATCH($A41,'Valo FX'!$A:$A,0)),INDEX(Base!$U:$U,MATCH($A41,Base!$A:$A,0)),IF(JU$1=INDEX('Valo FX'!$R:$R,MATCH($A41,'Valo FX'!$A:$A,0)),INDEX(Base!$V:$V,MATCH($A41,Base!$A:$A,0)),0)))</f>
        <v>6.1249200000000004</v>
      </c>
      <c r="JV41" s="21">
        <f>IF(JV$1&lt;INDEX('Valo FX'!$Q:$Q,MATCH($A41,'Valo FX'!$A:$A,0)),0,IF(JV$1&lt;INDEX('Valo FX'!$R:$R,MATCH($A41,'Valo FX'!$A:$A,0)),INDEX(Base!$U:$U,MATCH($A41,Base!$A:$A,0)),IF(JV$1=INDEX('Valo FX'!$R:$R,MATCH($A41,'Valo FX'!$A:$A,0)),INDEX(Base!$V:$V,MATCH($A41,Base!$A:$A,0)),0)))</f>
        <v>6.1249200000000004</v>
      </c>
      <c r="JW41" s="21">
        <f>IF(JW$1&lt;INDEX('Valo FX'!$Q:$Q,MATCH($A41,'Valo FX'!$A:$A,0)),0,IF(JW$1&lt;INDEX('Valo FX'!$R:$R,MATCH($A41,'Valo FX'!$A:$A,0)),INDEX(Base!$U:$U,MATCH($A41,Base!$A:$A,0)),IF(JW$1=INDEX('Valo FX'!$R:$R,MATCH($A41,'Valo FX'!$A:$A,0)),INDEX(Base!$V:$V,MATCH($A41,Base!$A:$A,0)),0)))</f>
        <v>6.1249200000000004</v>
      </c>
      <c r="JX41" s="21">
        <f>IF(JX$1&lt;INDEX('Valo FX'!$Q:$Q,MATCH($A41,'Valo FX'!$A:$A,0)),0,IF(JX$1&lt;INDEX('Valo FX'!$R:$R,MATCH($A41,'Valo FX'!$A:$A,0)),INDEX(Base!$U:$U,MATCH($A41,Base!$A:$A,0)),IF(JX$1=INDEX('Valo FX'!$R:$R,MATCH($A41,'Valo FX'!$A:$A,0)),INDEX(Base!$V:$V,MATCH($A41,Base!$A:$A,0)),0)))</f>
        <v>6.1249200000000004</v>
      </c>
      <c r="JY41" s="21">
        <f>IF(JY$1&lt;INDEX('Valo FX'!$Q:$Q,MATCH($A41,'Valo FX'!$A:$A,0)),0,IF(JY$1&lt;INDEX('Valo FX'!$R:$R,MATCH($A41,'Valo FX'!$A:$A,0)),INDEX(Base!$U:$U,MATCH($A41,Base!$A:$A,0)),IF(JY$1=INDEX('Valo FX'!$R:$R,MATCH($A41,'Valo FX'!$A:$A,0)),INDEX(Base!$V:$V,MATCH($A41,Base!$A:$A,0)),0)))</f>
        <v>6.1249200000000004</v>
      </c>
      <c r="JZ41" s="21">
        <f>IF(JZ$1&lt;INDEX('Valo FX'!$Q:$Q,MATCH($A41,'Valo FX'!$A:$A,0)),0,IF(JZ$1&lt;INDEX('Valo FX'!$R:$R,MATCH($A41,'Valo FX'!$A:$A,0)),INDEX(Base!$U:$U,MATCH($A41,Base!$A:$A,0)),IF(JZ$1=INDEX('Valo FX'!$R:$R,MATCH($A41,'Valo FX'!$A:$A,0)),INDEX(Base!$V:$V,MATCH($A41,Base!$A:$A,0)),0)))</f>
        <v>6.1249200000000004</v>
      </c>
      <c r="KA41" s="21">
        <f>IF(KA$1&lt;INDEX('Valo FX'!$Q:$Q,MATCH($A41,'Valo FX'!$A:$A,0)),0,IF(KA$1&lt;INDEX('Valo FX'!$R:$R,MATCH($A41,'Valo FX'!$A:$A,0)),INDEX(Base!$U:$U,MATCH($A41,Base!$A:$A,0)),IF(KA$1=INDEX('Valo FX'!$R:$R,MATCH($A41,'Valo FX'!$A:$A,0)),INDEX(Base!$V:$V,MATCH($A41,Base!$A:$A,0)),0)))</f>
        <v>6.1249200000000004</v>
      </c>
      <c r="KB41" s="21">
        <f>IF(KB$1&lt;INDEX('Valo FX'!$Q:$Q,MATCH($A41,'Valo FX'!$A:$A,0)),0,IF(KB$1&lt;INDEX('Valo FX'!$R:$R,MATCH($A41,'Valo FX'!$A:$A,0)),INDEX(Base!$U:$U,MATCH($A41,Base!$A:$A,0)),IF(KB$1=INDEX('Valo FX'!$R:$R,MATCH($A41,'Valo FX'!$A:$A,0)),INDEX(Base!$V:$V,MATCH($A41,Base!$A:$A,0)),0)))</f>
        <v>6.1249200000000004</v>
      </c>
      <c r="KC41" s="21">
        <f>IF(KC$1&lt;INDEX('Valo FX'!$Q:$Q,MATCH($A41,'Valo FX'!$A:$A,0)),0,IF(KC$1&lt;INDEX('Valo FX'!$R:$R,MATCH($A41,'Valo FX'!$A:$A,0)),INDEX(Base!$U:$U,MATCH($A41,Base!$A:$A,0)),IF(KC$1=INDEX('Valo FX'!$R:$R,MATCH($A41,'Valo FX'!$A:$A,0)),INDEX(Base!$V:$V,MATCH($A41,Base!$A:$A,0)),0)))</f>
        <v>6.1249200000000004</v>
      </c>
      <c r="KD41" s="21">
        <f>IF(KD$1&lt;INDEX('Valo FX'!$Q:$Q,MATCH($A41,'Valo FX'!$A:$A,0)),0,IF(KD$1&lt;INDEX('Valo FX'!$R:$R,MATCH($A41,'Valo FX'!$A:$A,0)),INDEX(Base!$U:$U,MATCH($A41,Base!$A:$A,0)),IF(KD$1=INDEX('Valo FX'!$R:$R,MATCH($A41,'Valo FX'!$A:$A,0)),INDEX(Base!$V:$V,MATCH($A41,Base!$A:$A,0)),0)))</f>
        <v>6.1249200000000004</v>
      </c>
      <c r="KE41" s="21">
        <f>IF(KE$1&lt;INDEX('Valo FX'!$Q:$Q,MATCH($A41,'Valo FX'!$A:$A,0)),0,IF(KE$1&lt;INDEX('Valo FX'!$R:$R,MATCH($A41,'Valo FX'!$A:$A,0)),INDEX(Base!$U:$U,MATCH($A41,Base!$A:$A,0)),IF(KE$1=INDEX('Valo FX'!$R:$R,MATCH($A41,'Valo FX'!$A:$A,0)),INDEX(Base!$V:$V,MATCH($A41,Base!$A:$A,0)),0)))</f>
        <v>6.1249200000000004</v>
      </c>
      <c r="KF41" s="21">
        <f>IF(KF$1&lt;INDEX('Valo FX'!$Q:$Q,MATCH($A41,'Valo FX'!$A:$A,0)),0,IF(KF$1&lt;INDEX('Valo FX'!$R:$R,MATCH($A41,'Valo FX'!$A:$A,0)),INDEX(Base!$U:$U,MATCH($A41,Base!$A:$A,0)),IF(KF$1=INDEX('Valo FX'!$R:$R,MATCH($A41,'Valo FX'!$A:$A,0)),INDEX(Base!$V:$V,MATCH($A41,Base!$A:$A,0)),0)))</f>
        <v>6.1249200000000004</v>
      </c>
      <c r="KG41" s="21">
        <f>IF(KG$1&lt;INDEX('Valo FX'!$Q:$Q,MATCH($A41,'Valo FX'!$A:$A,0)),0,IF(KG$1&lt;INDEX('Valo FX'!$R:$R,MATCH($A41,'Valo FX'!$A:$A,0)),INDEX(Base!$U:$U,MATCH($A41,Base!$A:$A,0)),IF(KG$1=INDEX('Valo FX'!$R:$R,MATCH($A41,'Valo FX'!$A:$A,0)),INDEX(Base!$V:$V,MATCH($A41,Base!$A:$A,0)),0)))</f>
        <v>6.1249200000000004</v>
      </c>
      <c r="KH41" s="21">
        <f>IF(KH$1&lt;INDEX('Valo FX'!$Q:$Q,MATCH($A41,'Valo FX'!$A:$A,0)),0,IF(KH$1&lt;INDEX('Valo FX'!$R:$R,MATCH($A41,'Valo FX'!$A:$A,0)),INDEX(Base!$U:$U,MATCH($A41,Base!$A:$A,0)),IF(KH$1=INDEX('Valo FX'!$R:$R,MATCH($A41,'Valo FX'!$A:$A,0)),INDEX(Base!$V:$V,MATCH($A41,Base!$A:$A,0)),0)))</f>
        <v>6.1249200000000004</v>
      </c>
      <c r="KI41" s="21">
        <f>IF(KI$1&lt;INDEX('Valo FX'!$Q:$Q,MATCH($A41,'Valo FX'!$A:$A,0)),0,IF(KI$1&lt;INDEX('Valo FX'!$R:$R,MATCH($A41,'Valo FX'!$A:$A,0)),INDEX(Base!$U:$U,MATCH($A41,Base!$A:$A,0)),IF(KI$1=INDEX('Valo FX'!$R:$R,MATCH($A41,'Valo FX'!$A:$A,0)),INDEX(Base!$V:$V,MATCH($A41,Base!$A:$A,0)),0)))</f>
        <v>6.1249200000000004</v>
      </c>
      <c r="KJ41" s="21">
        <f>IF(KJ$1&lt;INDEX('Valo FX'!$Q:$Q,MATCH($A41,'Valo FX'!$A:$A,0)),0,IF(KJ$1&lt;INDEX('Valo FX'!$R:$R,MATCH($A41,'Valo FX'!$A:$A,0)),INDEX(Base!$U:$U,MATCH($A41,Base!$A:$A,0)),IF(KJ$1=INDEX('Valo FX'!$R:$R,MATCH($A41,'Valo FX'!$A:$A,0)),INDEX(Base!$V:$V,MATCH($A41,Base!$A:$A,0)),0)))</f>
        <v>6.1249200000000004</v>
      </c>
      <c r="KK41" s="21">
        <f>IF(KK$1&lt;INDEX('Valo FX'!$Q:$Q,MATCH($A41,'Valo FX'!$A:$A,0)),0,IF(KK$1&lt;INDEX('Valo FX'!$R:$R,MATCH($A41,'Valo FX'!$A:$A,0)),INDEX(Base!$U:$U,MATCH($A41,Base!$A:$A,0)),IF(KK$1=INDEX('Valo FX'!$R:$R,MATCH($A41,'Valo FX'!$A:$A,0)),INDEX(Base!$V:$V,MATCH($A41,Base!$A:$A,0)),0)))</f>
        <v>6.1249200000000004</v>
      </c>
      <c r="KL41" s="21">
        <f>IF(KL$1&lt;INDEX('Valo FX'!$Q:$Q,MATCH($A41,'Valo FX'!$A:$A,0)),0,IF(KL$1&lt;INDEX('Valo FX'!$R:$R,MATCH($A41,'Valo FX'!$A:$A,0)),INDEX(Base!$U:$U,MATCH($A41,Base!$A:$A,0)),IF(KL$1=INDEX('Valo FX'!$R:$R,MATCH($A41,'Valo FX'!$A:$A,0)),INDEX(Base!$V:$V,MATCH($A41,Base!$A:$A,0)),0)))</f>
        <v>6.1249200000000004</v>
      </c>
      <c r="KM41" s="21">
        <f>IF(KM$1&lt;INDEX('Valo FX'!$Q:$Q,MATCH($A41,'Valo FX'!$A:$A,0)),0,IF(KM$1&lt;INDEX('Valo FX'!$R:$R,MATCH($A41,'Valo FX'!$A:$A,0)),INDEX(Base!$U:$U,MATCH($A41,Base!$A:$A,0)),IF(KM$1=INDEX('Valo FX'!$R:$R,MATCH($A41,'Valo FX'!$A:$A,0)),INDEX(Base!$V:$V,MATCH($A41,Base!$A:$A,0)),0)))</f>
        <v>6.1249200000000004</v>
      </c>
      <c r="KN41" s="21">
        <f>IF(KN$1&lt;INDEX('Valo FX'!$Q:$Q,MATCH($A41,'Valo FX'!$A:$A,0)),0,IF(KN$1&lt;INDEX('Valo FX'!$R:$R,MATCH($A41,'Valo FX'!$A:$A,0)),INDEX(Base!$U:$U,MATCH($A41,Base!$A:$A,0)),IF(KN$1=INDEX('Valo FX'!$R:$R,MATCH($A41,'Valo FX'!$A:$A,0)),INDEX(Base!$V:$V,MATCH($A41,Base!$A:$A,0)),0)))</f>
        <v>6.1249200000000004</v>
      </c>
      <c r="KO41" s="21">
        <f>IF(KO$1&lt;INDEX('Valo FX'!$Q:$Q,MATCH($A41,'Valo FX'!$A:$A,0)),0,IF(KO$1&lt;INDEX('Valo FX'!$R:$R,MATCH($A41,'Valo FX'!$A:$A,0)),INDEX(Base!$U:$U,MATCH($A41,Base!$A:$A,0)),IF(KO$1=INDEX('Valo FX'!$R:$R,MATCH($A41,'Valo FX'!$A:$A,0)),INDEX(Base!$V:$V,MATCH($A41,Base!$A:$A,0)),0)))</f>
        <v>6.1249200000000004</v>
      </c>
      <c r="KP41" s="21">
        <f>IF(KP$1&lt;INDEX('Valo FX'!$Q:$Q,MATCH($A41,'Valo FX'!$A:$A,0)),0,IF(KP$1&lt;INDEX('Valo FX'!$R:$R,MATCH($A41,'Valo FX'!$A:$A,0)),INDEX(Base!$U:$U,MATCH($A41,Base!$A:$A,0)),IF(KP$1=INDEX('Valo FX'!$R:$R,MATCH($A41,'Valo FX'!$A:$A,0)),INDEX(Base!$V:$V,MATCH($A41,Base!$A:$A,0)),0)))</f>
        <v>6.1249200000000004</v>
      </c>
      <c r="KQ41" s="21">
        <f>IF(KQ$1&lt;INDEX('Valo FX'!$Q:$Q,MATCH($A41,'Valo FX'!$A:$A,0)),0,IF(KQ$1&lt;INDEX('Valo FX'!$R:$R,MATCH($A41,'Valo FX'!$A:$A,0)),INDEX(Base!$U:$U,MATCH($A41,Base!$A:$A,0)),IF(KQ$1=INDEX('Valo FX'!$R:$R,MATCH($A41,'Valo FX'!$A:$A,0)),INDEX(Base!$V:$V,MATCH($A41,Base!$A:$A,0)),0)))</f>
        <v>6.1249200000000004</v>
      </c>
      <c r="KR41" s="21">
        <f>IF(KR$1&lt;INDEX('Valo FX'!$Q:$Q,MATCH($A41,'Valo FX'!$A:$A,0)),0,IF(KR$1&lt;INDEX('Valo FX'!$R:$R,MATCH($A41,'Valo FX'!$A:$A,0)),INDEX(Base!$U:$U,MATCH($A41,Base!$A:$A,0)),IF(KR$1=INDEX('Valo FX'!$R:$R,MATCH($A41,'Valo FX'!$A:$A,0)),INDEX(Base!$V:$V,MATCH($A41,Base!$A:$A,0)),0)))</f>
        <v>6.1249200000000004</v>
      </c>
      <c r="KS41" s="21">
        <f>IF(KS$1&lt;INDEX('Valo FX'!$Q:$Q,MATCH($A41,'Valo FX'!$A:$A,0)),0,IF(KS$1&lt;INDEX('Valo FX'!$R:$R,MATCH($A41,'Valo FX'!$A:$A,0)),INDEX(Base!$U:$U,MATCH($A41,Base!$A:$A,0)),IF(KS$1=INDEX('Valo FX'!$R:$R,MATCH($A41,'Valo FX'!$A:$A,0)),INDEX(Base!$V:$V,MATCH($A41,Base!$A:$A,0)),0)))</f>
        <v>6.1249200000000004</v>
      </c>
      <c r="KT41" s="21">
        <f>IF(KT$1&lt;INDEX('Valo FX'!$Q:$Q,MATCH($A41,'Valo FX'!$A:$A,0)),0,IF(KT$1&lt;INDEX('Valo FX'!$R:$R,MATCH($A41,'Valo FX'!$A:$A,0)),INDEX(Base!$U:$U,MATCH($A41,Base!$A:$A,0)),IF(KT$1=INDEX('Valo FX'!$R:$R,MATCH($A41,'Valo FX'!$A:$A,0)),INDEX(Base!$V:$V,MATCH($A41,Base!$A:$A,0)),0)))</f>
        <v>6.1249200000000004</v>
      </c>
      <c r="KU41" s="21">
        <f>IF(KU$1&lt;INDEX('Valo FX'!$Q:$Q,MATCH($A41,'Valo FX'!$A:$A,0)),0,IF(KU$1&lt;INDEX('Valo FX'!$R:$R,MATCH($A41,'Valo FX'!$A:$A,0)),INDEX(Base!$U:$U,MATCH($A41,Base!$A:$A,0)),IF(KU$1=INDEX('Valo FX'!$R:$R,MATCH($A41,'Valo FX'!$A:$A,0)),INDEX(Base!$V:$V,MATCH($A41,Base!$A:$A,0)),0)))</f>
        <v>6.1249200000000004</v>
      </c>
      <c r="KV41" s="21">
        <f>IF(KV$1&lt;INDEX('Valo FX'!$Q:$Q,MATCH($A41,'Valo FX'!$A:$A,0)),0,IF(KV$1&lt;INDEX('Valo FX'!$R:$R,MATCH($A41,'Valo FX'!$A:$A,0)),INDEX(Base!$U:$U,MATCH($A41,Base!$A:$A,0)),IF(KV$1=INDEX('Valo FX'!$R:$R,MATCH($A41,'Valo FX'!$A:$A,0)),INDEX(Base!$V:$V,MATCH($A41,Base!$A:$A,0)),0)))</f>
        <v>6.1249200000000004</v>
      </c>
      <c r="KW41" s="21">
        <f>IF(KW$1&lt;INDEX('Valo FX'!$Q:$Q,MATCH($A41,'Valo FX'!$A:$A,0)),0,IF(KW$1&lt;INDEX('Valo FX'!$R:$R,MATCH($A41,'Valo FX'!$A:$A,0)),INDEX(Base!$U:$U,MATCH($A41,Base!$A:$A,0)),IF(KW$1=INDEX('Valo FX'!$R:$R,MATCH($A41,'Valo FX'!$A:$A,0)),INDEX(Base!$V:$V,MATCH($A41,Base!$A:$A,0)),0)))</f>
        <v>6.1249200000000004</v>
      </c>
      <c r="KX41" s="21">
        <f>IF(KX$1&lt;INDEX('Valo FX'!$Q:$Q,MATCH($A41,'Valo FX'!$A:$A,0)),0,IF(KX$1&lt;INDEX('Valo FX'!$R:$R,MATCH($A41,'Valo FX'!$A:$A,0)),INDEX(Base!$U:$U,MATCH($A41,Base!$A:$A,0)),IF(KX$1=INDEX('Valo FX'!$R:$R,MATCH($A41,'Valo FX'!$A:$A,0)),INDEX(Base!$V:$V,MATCH($A41,Base!$A:$A,0)),0)))</f>
        <v>6.1249200000000004</v>
      </c>
      <c r="KY41" s="21">
        <f>IF(KY$1&lt;INDEX('Valo FX'!$Q:$Q,MATCH($A41,'Valo FX'!$A:$A,0)),0,IF(KY$1&lt;INDEX('Valo FX'!$R:$R,MATCH($A41,'Valo FX'!$A:$A,0)),INDEX(Base!$U:$U,MATCH($A41,Base!$A:$A,0)),IF(KY$1=INDEX('Valo FX'!$R:$R,MATCH($A41,'Valo FX'!$A:$A,0)),INDEX(Base!$V:$V,MATCH($A41,Base!$A:$A,0)),0)))</f>
        <v>6.1249200000000004</v>
      </c>
      <c r="KZ41" s="21">
        <f>IF(KZ$1&lt;INDEX('Valo FX'!$Q:$Q,MATCH($A41,'Valo FX'!$A:$A,0)),0,IF(KZ$1&lt;INDEX('Valo FX'!$R:$R,MATCH($A41,'Valo FX'!$A:$A,0)),INDEX(Base!$U:$U,MATCH($A41,Base!$A:$A,0)),IF(KZ$1=INDEX('Valo FX'!$R:$R,MATCH($A41,'Valo FX'!$A:$A,0)),INDEX(Base!$V:$V,MATCH($A41,Base!$A:$A,0)),0)))</f>
        <v>6.1249200000000004</v>
      </c>
      <c r="LA41" s="21">
        <f>IF(LA$1&lt;INDEX('Valo FX'!$Q:$Q,MATCH($A41,'Valo FX'!$A:$A,0)),0,IF(LA$1&lt;INDEX('Valo FX'!$R:$R,MATCH($A41,'Valo FX'!$A:$A,0)),INDEX(Base!$U:$U,MATCH($A41,Base!$A:$A,0)),IF(LA$1=INDEX('Valo FX'!$R:$R,MATCH($A41,'Valo FX'!$A:$A,0)),INDEX(Base!$V:$V,MATCH($A41,Base!$A:$A,0)),0)))</f>
        <v>6.1249200000000004</v>
      </c>
      <c r="LB41" s="21">
        <f>IF(LB$1&lt;INDEX('Valo FX'!$Q:$Q,MATCH($A41,'Valo FX'!$A:$A,0)),0,IF(LB$1&lt;INDEX('Valo FX'!$R:$R,MATCH($A41,'Valo FX'!$A:$A,0)),INDEX(Base!$U:$U,MATCH($A41,Base!$A:$A,0)),IF(LB$1=INDEX('Valo FX'!$R:$R,MATCH($A41,'Valo FX'!$A:$A,0)),INDEX(Base!$V:$V,MATCH($A41,Base!$A:$A,0)),0)))</f>
        <v>6.1249200000000004</v>
      </c>
      <c r="LC41" s="21">
        <f>IF(LC$1&lt;INDEX('Valo FX'!$Q:$Q,MATCH($A41,'Valo FX'!$A:$A,0)),0,IF(LC$1&lt;INDEX('Valo FX'!$R:$R,MATCH($A41,'Valo FX'!$A:$A,0)),INDEX(Base!$U:$U,MATCH($A41,Base!$A:$A,0)),IF(LC$1=INDEX('Valo FX'!$R:$R,MATCH($A41,'Valo FX'!$A:$A,0)),INDEX(Base!$V:$V,MATCH($A41,Base!$A:$A,0)),0)))</f>
        <v>6.1249200000000004</v>
      </c>
      <c r="LD41" s="21">
        <f>IF(LD$1&lt;INDEX('Valo FX'!$Q:$Q,MATCH($A41,'Valo FX'!$A:$A,0)),0,IF(LD$1&lt;INDEX('Valo FX'!$R:$R,MATCH($A41,'Valo FX'!$A:$A,0)),INDEX(Base!$U:$U,MATCH($A41,Base!$A:$A,0)),IF(LD$1=INDEX('Valo FX'!$R:$R,MATCH($A41,'Valo FX'!$A:$A,0)),INDEX(Base!$V:$V,MATCH($A41,Base!$A:$A,0)),0)))</f>
        <v>6.1249200000000004</v>
      </c>
      <c r="LE41" s="21">
        <f>IF(LE$1&lt;INDEX('Valo FX'!$Q:$Q,MATCH($A41,'Valo FX'!$A:$A,0)),0,IF(LE$1&lt;INDEX('Valo FX'!$R:$R,MATCH($A41,'Valo FX'!$A:$A,0)),INDEX(Base!$U:$U,MATCH($A41,Base!$A:$A,0)),IF(LE$1=INDEX('Valo FX'!$R:$R,MATCH($A41,'Valo FX'!$A:$A,0)),INDEX(Base!$V:$V,MATCH($A41,Base!$A:$A,0)),0)))</f>
        <v>6.1249200000000004</v>
      </c>
      <c r="LF41" s="21">
        <f>IF(LF$1&lt;INDEX('Valo FX'!$Q:$Q,MATCH($A41,'Valo FX'!$A:$A,0)),0,IF(LF$1&lt;INDEX('Valo FX'!$R:$R,MATCH($A41,'Valo FX'!$A:$A,0)),INDEX(Base!$U:$U,MATCH($A41,Base!$A:$A,0)),IF(LF$1=INDEX('Valo FX'!$R:$R,MATCH($A41,'Valo FX'!$A:$A,0)),INDEX(Base!$V:$V,MATCH($A41,Base!$A:$A,0)),0)))</f>
        <v>6.1249200000000004</v>
      </c>
      <c r="LG41" s="21">
        <f>IF(LG$1&lt;INDEX('Valo FX'!$Q:$Q,MATCH($A41,'Valo FX'!$A:$A,0)),0,IF(LG$1&lt;INDEX('Valo FX'!$R:$R,MATCH($A41,'Valo FX'!$A:$A,0)),INDEX(Base!$U:$U,MATCH($A41,Base!$A:$A,0)),IF(LG$1=INDEX('Valo FX'!$R:$R,MATCH($A41,'Valo FX'!$A:$A,0)),INDEX(Base!$V:$V,MATCH($A41,Base!$A:$A,0)),0)))</f>
        <v>6.1249200000000004</v>
      </c>
      <c r="LH41" s="21">
        <f>IF(LH$1&lt;INDEX('Valo FX'!$Q:$Q,MATCH($A41,'Valo FX'!$A:$A,0)),0,IF(LH$1&lt;INDEX('Valo FX'!$R:$R,MATCH($A41,'Valo FX'!$A:$A,0)),INDEX(Base!$U:$U,MATCH($A41,Base!$A:$A,0)),IF(LH$1=INDEX('Valo FX'!$R:$R,MATCH($A41,'Valo FX'!$A:$A,0)),INDEX(Base!$V:$V,MATCH($A41,Base!$A:$A,0)),0)))</f>
        <v>6.1249200000000004</v>
      </c>
      <c r="LI41" s="21">
        <f>IF(LI$1&lt;INDEX('Valo FX'!$Q:$Q,MATCH($A41,'Valo FX'!$A:$A,0)),0,IF(LI$1&lt;INDEX('Valo FX'!$R:$R,MATCH($A41,'Valo FX'!$A:$A,0)),INDEX(Base!$U:$U,MATCH($A41,Base!$A:$A,0)),IF(LI$1=INDEX('Valo FX'!$R:$R,MATCH($A41,'Valo FX'!$A:$A,0)),INDEX(Base!$V:$V,MATCH($A41,Base!$A:$A,0)),0)))</f>
        <v>6.1249200000000004</v>
      </c>
      <c r="LJ41" s="21">
        <f>IF(LJ$1&lt;INDEX('Valo FX'!$Q:$Q,MATCH($A41,'Valo FX'!$A:$A,0)),0,IF(LJ$1&lt;INDEX('Valo FX'!$R:$R,MATCH($A41,'Valo FX'!$A:$A,0)),INDEX(Base!$U:$U,MATCH($A41,Base!$A:$A,0)),IF(LJ$1=INDEX('Valo FX'!$R:$R,MATCH($A41,'Valo FX'!$A:$A,0)),INDEX(Base!$V:$V,MATCH($A41,Base!$A:$A,0)),0)))</f>
        <v>6.1249200000000004</v>
      </c>
      <c r="LK41" s="21">
        <f>IF(LK$1&lt;INDEX('Valo FX'!$Q:$Q,MATCH($A41,'Valo FX'!$A:$A,0)),0,IF(LK$1&lt;INDEX('Valo FX'!$R:$R,MATCH($A41,'Valo FX'!$A:$A,0)),INDEX(Base!$U:$U,MATCH($A41,Base!$A:$A,0)),IF(LK$1=INDEX('Valo FX'!$R:$R,MATCH($A41,'Valo FX'!$A:$A,0)),INDEX(Base!$V:$V,MATCH($A41,Base!$A:$A,0)),0)))</f>
        <v>6.1249200000000004</v>
      </c>
      <c r="LL41" s="21">
        <f>IF(LL$1&lt;INDEX('Valo FX'!$Q:$Q,MATCH($A41,'Valo FX'!$A:$A,0)),0,IF(LL$1&lt;INDEX('Valo FX'!$R:$R,MATCH($A41,'Valo FX'!$A:$A,0)),INDEX(Base!$U:$U,MATCH($A41,Base!$A:$A,0)),IF(LL$1=INDEX('Valo FX'!$R:$R,MATCH($A41,'Valo FX'!$A:$A,0)),INDEX(Base!$V:$V,MATCH($A41,Base!$A:$A,0)),0)))</f>
        <v>6.1249200000000004</v>
      </c>
      <c r="LM41" s="21">
        <f>IF(LM$1&lt;INDEX('Valo FX'!$Q:$Q,MATCH($A41,'Valo FX'!$A:$A,0)),0,IF(LM$1&lt;INDEX('Valo FX'!$R:$R,MATCH($A41,'Valo FX'!$A:$A,0)),INDEX(Base!$U:$U,MATCH($A41,Base!$A:$A,0)),IF(LM$1=INDEX('Valo FX'!$R:$R,MATCH($A41,'Valo FX'!$A:$A,0)),INDEX(Base!$V:$V,MATCH($A41,Base!$A:$A,0)),0)))</f>
        <v>6.1249200000000004</v>
      </c>
      <c r="LN41" s="21">
        <f>IF(LN$1&lt;INDEX('Valo FX'!$Q:$Q,MATCH($A41,'Valo FX'!$A:$A,0)),0,IF(LN$1&lt;INDEX('Valo FX'!$R:$R,MATCH($A41,'Valo FX'!$A:$A,0)),INDEX(Base!$U:$U,MATCH($A41,Base!$A:$A,0)),IF(LN$1=INDEX('Valo FX'!$R:$R,MATCH($A41,'Valo FX'!$A:$A,0)),INDEX(Base!$V:$V,MATCH($A41,Base!$A:$A,0)),0)))</f>
        <v>6.1249200000000004</v>
      </c>
      <c r="LO41" s="21">
        <f>IF(LO$1&lt;INDEX('Valo FX'!$Q:$Q,MATCH($A41,'Valo FX'!$A:$A,0)),0,IF(LO$1&lt;INDEX('Valo FX'!$R:$R,MATCH($A41,'Valo FX'!$A:$A,0)),INDEX(Base!$U:$U,MATCH($A41,Base!$A:$A,0)),IF(LO$1=INDEX('Valo FX'!$R:$R,MATCH($A41,'Valo FX'!$A:$A,0)),INDEX(Base!$V:$V,MATCH($A41,Base!$A:$A,0)),0)))</f>
        <v>6.1249200000000004</v>
      </c>
      <c r="LP41" s="21">
        <f>IF(LP$1&lt;INDEX('Valo FX'!$Q:$Q,MATCH($A41,'Valo FX'!$A:$A,0)),0,IF(LP$1&lt;INDEX('Valo FX'!$R:$R,MATCH($A41,'Valo FX'!$A:$A,0)),INDEX(Base!$U:$U,MATCH($A41,Base!$A:$A,0)),IF(LP$1=INDEX('Valo FX'!$R:$R,MATCH($A41,'Valo FX'!$A:$A,0)),INDEX(Base!$V:$V,MATCH($A41,Base!$A:$A,0)),0)))</f>
        <v>6.1249200000000004</v>
      </c>
      <c r="LQ41" s="21">
        <f>IF(LQ$1&lt;INDEX('Valo FX'!$Q:$Q,MATCH($A41,'Valo FX'!$A:$A,0)),0,IF(LQ$1&lt;INDEX('Valo FX'!$R:$R,MATCH($A41,'Valo FX'!$A:$A,0)),INDEX(Base!$U:$U,MATCH($A41,Base!$A:$A,0)),IF(LQ$1=INDEX('Valo FX'!$R:$R,MATCH($A41,'Valo FX'!$A:$A,0)),INDEX(Base!$V:$V,MATCH($A41,Base!$A:$A,0)),0)))</f>
        <v>6.1249200000000004</v>
      </c>
      <c r="LR41" s="21">
        <f>IF(LR$1&lt;INDEX('Valo FX'!$Q:$Q,MATCH($A41,'Valo FX'!$A:$A,0)),0,IF(LR$1&lt;INDEX('Valo FX'!$R:$R,MATCH($A41,'Valo FX'!$A:$A,0)),INDEX(Base!$U:$U,MATCH($A41,Base!$A:$A,0)),IF(LR$1=INDEX('Valo FX'!$R:$R,MATCH($A41,'Valo FX'!$A:$A,0)),INDEX(Base!$V:$V,MATCH($A41,Base!$A:$A,0)),0)))</f>
        <v>6.1249200000000004</v>
      </c>
      <c r="LS41" s="21">
        <f>IF(LS$1&lt;INDEX('Valo FX'!$Q:$Q,MATCH($A41,'Valo FX'!$A:$A,0)),0,IF(LS$1&lt;INDEX('Valo FX'!$R:$R,MATCH($A41,'Valo FX'!$A:$A,0)),INDEX(Base!$U:$U,MATCH($A41,Base!$A:$A,0)),IF(LS$1=INDEX('Valo FX'!$R:$R,MATCH($A41,'Valo FX'!$A:$A,0)),INDEX(Base!$V:$V,MATCH($A41,Base!$A:$A,0)),0)))</f>
        <v>6.1249200000000004</v>
      </c>
      <c r="LT41" s="21">
        <f>IF(LT$1&lt;INDEX('Valo FX'!$Q:$Q,MATCH($A41,'Valo FX'!$A:$A,0)),0,IF(LT$1&lt;INDEX('Valo FX'!$R:$R,MATCH($A41,'Valo FX'!$A:$A,0)),INDEX(Base!$U:$U,MATCH($A41,Base!$A:$A,0)),IF(LT$1=INDEX('Valo FX'!$R:$R,MATCH($A41,'Valo FX'!$A:$A,0)),INDEX(Base!$V:$V,MATCH($A41,Base!$A:$A,0)),0)))</f>
        <v>6.1249200000000004</v>
      </c>
      <c r="LU41" s="21">
        <f>IF(LU$1&lt;INDEX('Valo FX'!$Q:$Q,MATCH($A41,'Valo FX'!$A:$A,0)),0,IF(LU$1&lt;INDEX('Valo FX'!$R:$R,MATCH($A41,'Valo FX'!$A:$A,0)),INDEX(Base!$U:$U,MATCH($A41,Base!$A:$A,0)),IF(LU$1=INDEX('Valo FX'!$R:$R,MATCH($A41,'Valo FX'!$A:$A,0)),INDEX(Base!$V:$V,MATCH($A41,Base!$A:$A,0)),0)))</f>
        <v>6.1249200000000004</v>
      </c>
      <c r="LV41" s="21">
        <f>IF(LV$1&lt;INDEX('Valo FX'!$Q:$Q,MATCH($A41,'Valo FX'!$A:$A,0)),0,IF(LV$1&lt;INDEX('Valo FX'!$R:$R,MATCH($A41,'Valo FX'!$A:$A,0)),INDEX(Base!$U:$U,MATCH($A41,Base!$A:$A,0)),IF(LV$1=INDEX('Valo FX'!$R:$R,MATCH($A41,'Valo FX'!$A:$A,0)),INDEX(Base!$V:$V,MATCH($A41,Base!$A:$A,0)),0)))</f>
        <v>6.1249200000000004</v>
      </c>
      <c r="LW41" s="21">
        <f>IF(LW$1&lt;INDEX('Valo FX'!$Q:$Q,MATCH($A41,'Valo FX'!$A:$A,0)),0,IF(LW$1&lt;INDEX('Valo FX'!$R:$R,MATCH($A41,'Valo FX'!$A:$A,0)),INDEX(Base!$U:$U,MATCH($A41,Base!$A:$A,0)),IF(LW$1=INDEX('Valo FX'!$R:$R,MATCH($A41,'Valo FX'!$A:$A,0)),INDEX(Base!$V:$V,MATCH($A41,Base!$A:$A,0)),0)))</f>
        <v>6.1249200000000004</v>
      </c>
      <c r="LX41" s="21">
        <f>IF(LX$1&lt;INDEX('Valo FX'!$Q:$Q,MATCH($A41,'Valo FX'!$A:$A,0)),0,IF(LX$1&lt;INDEX('Valo FX'!$R:$R,MATCH($A41,'Valo FX'!$A:$A,0)),INDEX(Base!$U:$U,MATCH($A41,Base!$A:$A,0)),IF(LX$1=INDEX('Valo FX'!$R:$R,MATCH($A41,'Valo FX'!$A:$A,0)),INDEX(Base!$V:$V,MATCH($A41,Base!$A:$A,0)),0)))</f>
        <v>6.1249200000000004</v>
      </c>
      <c r="LY41" s="21">
        <f>IF(LY$1&lt;INDEX('Valo FX'!$Q:$Q,MATCH($A41,'Valo FX'!$A:$A,0)),0,IF(LY$1&lt;INDEX('Valo FX'!$R:$R,MATCH($A41,'Valo FX'!$A:$A,0)),INDEX(Base!$U:$U,MATCH($A41,Base!$A:$A,0)),IF(LY$1=INDEX('Valo FX'!$R:$R,MATCH($A41,'Valo FX'!$A:$A,0)),INDEX(Base!$V:$V,MATCH($A41,Base!$A:$A,0)),0)))</f>
        <v>6.1249200000000004</v>
      </c>
      <c r="LZ41" s="21">
        <f>IF(LZ$1&lt;INDEX('Valo FX'!$Q:$Q,MATCH($A41,'Valo FX'!$A:$A,0)),0,IF(LZ$1&lt;INDEX('Valo FX'!$R:$R,MATCH($A41,'Valo FX'!$A:$A,0)),INDEX(Base!$U:$U,MATCH($A41,Base!$A:$A,0)),IF(LZ$1=INDEX('Valo FX'!$R:$R,MATCH($A41,'Valo FX'!$A:$A,0)),INDEX(Base!$V:$V,MATCH($A41,Base!$A:$A,0)),0)))</f>
        <v>6.1249200000000004</v>
      </c>
      <c r="MA41" s="21">
        <f>IF(MA$1&lt;INDEX('Valo FX'!$Q:$Q,MATCH($A41,'Valo FX'!$A:$A,0)),0,IF(MA$1&lt;INDEX('Valo FX'!$R:$R,MATCH($A41,'Valo FX'!$A:$A,0)),INDEX(Base!$U:$U,MATCH($A41,Base!$A:$A,0)),IF(MA$1=INDEX('Valo FX'!$R:$R,MATCH($A41,'Valo FX'!$A:$A,0)),INDEX(Base!$V:$V,MATCH($A41,Base!$A:$A,0)),0)))</f>
        <v>6.1249200000000004</v>
      </c>
      <c r="MB41" s="21">
        <f>IF(MB$1&lt;INDEX('Valo FX'!$Q:$Q,MATCH($A41,'Valo FX'!$A:$A,0)),0,IF(MB$1&lt;INDEX('Valo FX'!$R:$R,MATCH($A41,'Valo FX'!$A:$A,0)),INDEX(Base!$U:$U,MATCH($A41,Base!$A:$A,0)),IF(MB$1=INDEX('Valo FX'!$R:$R,MATCH($A41,'Valo FX'!$A:$A,0)),INDEX(Base!$V:$V,MATCH($A41,Base!$A:$A,0)),0)))</f>
        <v>6.1249200000000004</v>
      </c>
      <c r="MC41" s="21">
        <f>IF(MC$1&lt;INDEX('Valo FX'!$Q:$Q,MATCH($A41,'Valo FX'!$A:$A,0)),0,IF(MC$1&lt;INDEX('Valo FX'!$R:$R,MATCH($A41,'Valo FX'!$A:$A,0)),INDEX(Base!$U:$U,MATCH($A41,Base!$A:$A,0)),IF(MC$1=INDEX('Valo FX'!$R:$R,MATCH($A41,'Valo FX'!$A:$A,0)),INDEX(Base!$V:$V,MATCH($A41,Base!$A:$A,0)),0)))</f>
        <v>6.1249200000000004</v>
      </c>
      <c r="MD41" s="21">
        <f>IF(MD$1&lt;INDEX('Valo FX'!$Q:$Q,MATCH($A41,'Valo FX'!$A:$A,0)),0,IF(MD$1&lt;INDEX('Valo FX'!$R:$R,MATCH($A41,'Valo FX'!$A:$A,0)),INDEX(Base!$U:$U,MATCH($A41,Base!$A:$A,0)),IF(MD$1=INDEX('Valo FX'!$R:$R,MATCH($A41,'Valo FX'!$A:$A,0)),INDEX(Base!$V:$V,MATCH($A41,Base!$A:$A,0)),0)))</f>
        <v>6.1249200000000004</v>
      </c>
      <c r="ME41" s="21">
        <f>IF(ME$1&lt;INDEX('Valo FX'!$Q:$Q,MATCH($A41,'Valo FX'!$A:$A,0)),0,IF(ME$1&lt;INDEX('Valo FX'!$R:$R,MATCH($A41,'Valo FX'!$A:$A,0)),INDEX(Base!$U:$U,MATCH($A41,Base!$A:$A,0)),IF(ME$1=INDEX('Valo FX'!$R:$R,MATCH($A41,'Valo FX'!$A:$A,0)),INDEX(Base!$V:$V,MATCH($A41,Base!$A:$A,0)),0)))</f>
        <v>6.1249200000000004</v>
      </c>
      <c r="MF41" s="21">
        <f>IF(MF$1&lt;INDEX('Valo FX'!$Q:$Q,MATCH($A41,'Valo FX'!$A:$A,0)),0,IF(MF$1&lt;INDEX('Valo FX'!$R:$R,MATCH($A41,'Valo FX'!$A:$A,0)),INDEX(Base!$U:$U,MATCH($A41,Base!$A:$A,0)),IF(MF$1=INDEX('Valo FX'!$R:$R,MATCH($A41,'Valo FX'!$A:$A,0)),INDEX(Base!$V:$V,MATCH($A41,Base!$A:$A,0)),0)))</f>
        <v>6.1249200000000004</v>
      </c>
      <c r="MG41" s="21">
        <f>IF(MG$1&lt;INDEX('Valo FX'!$Q:$Q,MATCH($A41,'Valo FX'!$A:$A,0)),0,IF(MG$1&lt;INDEX('Valo FX'!$R:$R,MATCH($A41,'Valo FX'!$A:$A,0)),INDEX(Base!$U:$U,MATCH($A41,Base!$A:$A,0)),IF(MG$1=INDEX('Valo FX'!$R:$R,MATCH($A41,'Valo FX'!$A:$A,0)),INDEX(Base!$V:$V,MATCH($A41,Base!$A:$A,0)),0)))</f>
        <v>6.1249200000000004</v>
      </c>
      <c r="MH41" s="21">
        <f>IF(MH$1&lt;INDEX('Valo FX'!$Q:$Q,MATCH($A41,'Valo FX'!$A:$A,0)),0,IF(MH$1&lt;INDEX('Valo FX'!$R:$R,MATCH($A41,'Valo FX'!$A:$A,0)),INDEX(Base!$U:$U,MATCH($A41,Base!$A:$A,0)),IF(MH$1=INDEX('Valo FX'!$R:$R,MATCH($A41,'Valo FX'!$A:$A,0)),INDEX(Base!$V:$V,MATCH($A41,Base!$A:$A,0)),0)))</f>
        <v>6.1249200000000004</v>
      </c>
      <c r="MI41" s="21">
        <f>IF(MI$1&lt;INDEX('Valo FX'!$Q:$Q,MATCH($A41,'Valo FX'!$A:$A,0)),0,IF(MI$1&lt;INDEX('Valo FX'!$R:$R,MATCH($A41,'Valo FX'!$A:$A,0)),INDEX(Base!$U:$U,MATCH($A41,Base!$A:$A,0)),IF(MI$1=INDEX('Valo FX'!$R:$R,MATCH($A41,'Valo FX'!$A:$A,0)),INDEX(Base!$V:$V,MATCH($A41,Base!$A:$A,0)),0)))</f>
        <v>6.1249200000000004</v>
      </c>
      <c r="MJ41" s="21">
        <f>IF(MJ$1&lt;INDEX('Valo FX'!$Q:$Q,MATCH($A41,'Valo FX'!$A:$A,0)),0,IF(MJ$1&lt;INDEX('Valo FX'!$R:$R,MATCH($A41,'Valo FX'!$A:$A,0)),INDEX(Base!$U:$U,MATCH($A41,Base!$A:$A,0)),IF(MJ$1=INDEX('Valo FX'!$R:$R,MATCH($A41,'Valo FX'!$A:$A,0)),INDEX(Base!$V:$V,MATCH($A41,Base!$A:$A,0)),0)))</f>
        <v>6.1249200000000004</v>
      </c>
      <c r="MK41" s="21">
        <f>IF(MK$1&lt;INDEX('Valo FX'!$Q:$Q,MATCH($A41,'Valo FX'!$A:$A,0)),0,IF(MK$1&lt;INDEX('Valo FX'!$R:$R,MATCH($A41,'Valo FX'!$A:$A,0)),INDEX(Base!$U:$U,MATCH($A41,Base!$A:$A,0)),IF(MK$1=INDEX('Valo FX'!$R:$R,MATCH($A41,'Valo FX'!$A:$A,0)),INDEX(Base!$V:$V,MATCH($A41,Base!$A:$A,0)),0)))</f>
        <v>6.1249200000000004</v>
      </c>
      <c r="ML41" s="21">
        <f>IF(ML$1&lt;INDEX('Valo FX'!$Q:$Q,MATCH($A41,'Valo FX'!$A:$A,0)),0,IF(ML$1&lt;INDEX('Valo FX'!$R:$R,MATCH($A41,'Valo FX'!$A:$A,0)),INDEX(Base!$U:$U,MATCH($A41,Base!$A:$A,0)),IF(ML$1=INDEX('Valo FX'!$R:$R,MATCH($A41,'Valo FX'!$A:$A,0)),INDEX(Base!$V:$V,MATCH($A41,Base!$A:$A,0)),0)))</f>
        <v>6.1249200000000004</v>
      </c>
      <c r="MM41" s="21">
        <f>IF(MM$1&lt;INDEX('Valo FX'!$Q:$Q,MATCH($A41,'Valo FX'!$A:$A,0)),0,IF(MM$1&lt;INDEX('Valo FX'!$R:$R,MATCH($A41,'Valo FX'!$A:$A,0)),INDEX(Base!$U:$U,MATCH($A41,Base!$A:$A,0)),IF(MM$1=INDEX('Valo FX'!$R:$R,MATCH($A41,'Valo FX'!$A:$A,0)),INDEX(Base!$V:$V,MATCH($A41,Base!$A:$A,0)),0)))</f>
        <v>6.1249200000000004</v>
      </c>
      <c r="MN41" s="21">
        <f>IF(MN$1&lt;INDEX('Valo FX'!$Q:$Q,MATCH($A41,'Valo FX'!$A:$A,0)),0,IF(MN$1&lt;INDEX('Valo FX'!$R:$R,MATCH($A41,'Valo FX'!$A:$A,0)),INDEX(Base!$U:$U,MATCH($A41,Base!$A:$A,0)),IF(MN$1=INDEX('Valo FX'!$R:$R,MATCH($A41,'Valo FX'!$A:$A,0)),INDEX(Base!$V:$V,MATCH($A41,Base!$A:$A,0)),0)))</f>
        <v>6.1249200000000004</v>
      </c>
      <c r="MO41" s="21">
        <f>IF(MO$1&lt;INDEX('Valo FX'!$Q:$Q,MATCH($A41,'Valo FX'!$A:$A,0)),0,IF(MO$1&lt;INDEX('Valo FX'!$R:$R,MATCH($A41,'Valo FX'!$A:$A,0)),INDEX(Base!$U:$U,MATCH($A41,Base!$A:$A,0)),IF(MO$1=INDEX('Valo FX'!$R:$R,MATCH($A41,'Valo FX'!$A:$A,0)),INDEX(Base!$V:$V,MATCH($A41,Base!$A:$A,0)),0)))</f>
        <v>6.1249200000000004</v>
      </c>
      <c r="MP41" s="21">
        <f>IF(MP$1&lt;INDEX('Valo FX'!$Q:$Q,MATCH($A41,'Valo FX'!$A:$A,0)),0,IF(MP$1&lt;INDEX('Valo FX'!$R:$R,MATCH($A41,'Valo FX'!$A:$A,0)),INDEX(Base!$U:$U,MATCH($A41,Base!$A:$A,0)),IF(MP$1=INDEX('Valo FX'!$R:$R,MATCH($A41,'Valo FX'!$A:$A,0)),INDEX(Base!$V:$V,MATCH($A41,Base!$A:$A,0)),0)))</f>
        <v>6.1249200000000004</v>
      </c>
      <c r="MQ41" s="21">
        <f>IF(MQ$1&lt;INDEX('Valo FX'!$Q:$Q,MATCH($A41,'Valo FX'!$A:$A,0)),0,IF(MQ$1&lt;INDEX('Valo FX'!$R:$R,MATCH($A41,'Valo FX'!$A:$A,0)),INDEX(Base!$U:$U,MATCH($A41,Base!$A:$A,0)),IF(MQ$1=INDEX('Valo FX'!$R:$R,MATCH($A41,'Valo FX'!$A:$A,0)),INDEX(Base!$V:$V,MATCH($A41,Base!$A:$A,0)),0)))</f>
        <v>6.1249200000000004</v>
      </c>
      <c r="MR41" s="21">
        <f>IF(MR$1&lt;INDEX('Valo FX'!$Q:$Q,MATCH($A41,'Valo FX'!$A:$A,0)),0,IF(MR$1&lt;INDEX('Valo FX'!$R:$R,MATCH($A41,'Valo FX'!$A:$A,0)),INDEX(Base!$U:$U,MATCH($A41,Base!$A:$A,0)),IF(MR$1=INDEX('Valo FX'!$R:$R,MATCH($A41,'Valo FX'!$A:$A,0)),INDEX(Base!$V:$V,MATCH($A41,Base!$A:$A,0)),0)))</f>
        <v>6.1249200000000004</v>
      </c>
      <c r="MS41" s="21">
        <f>IF(MS$1&lt;INDEX('Valo FX'!$Q:$Q,MATCH($A41,'Valo FX'!$A:$A,0)),0,IF(MS$1&lt;INDEX('Valo FX'!$R:$R,MATCH($A41,'Valo FX'!$A:$A,0)),INDEX(Base!$U:$U,MATCH($A41,Base!$A:$A,0)),IF(MS$1=INDEX('Valo FX'!$R:$R,MATCH($A41,'Valo FX'!$A:$A,0)),INDEX(Base!$V:$V,MATCH($A41,Base!$A:$A,0)),0)))</f>
        <v>6.1249200000000004</v>
      </c>
      <c r="MT41" s="21">
        <f>IF(MT$1&lt;INDEX('Valo FX'!$Q:$Q,MATCH($A41,'Valo FX'!$A:$A,0)),0,IF(MT$1&lt;INDEX('Valo FX'!$R:$R,MATCH($A41,'Valo FX'!$A:$A,0)),INDEX(Base!$U:$U,MATCH($A41,Base!$A:$A,0)),IF(MT$1=INDEX('Valo FX'!$R:$R,MATCH($A41,'Valo FX'!$A:$A,0)),INDEX(Base!$V:$V,MATCH($A41,Base!$A:$A,0)),0)))</f>
        <v>6.1249200000000004</v>
      </c>
      <c r="MU41" s="21">
        <f>IF(MU$1&lt;INDEX('Valo FX'!$Q:$Q,MATCH($A41,'Valo FX'!$A:$A,0)),0,IF(MU$1&lt;INDEX('Valo FX'!$R:$R,MATCH($A41,'Valo FX'!$A:$A,0)),INDEX(Base!$U:$U,MATCH($A41,Base!$A:$A,0)),IF(MU$1=INDEX('Valo FX'!$R:$R,MATCH($A41,'Valo FX'!$A:$A,0)),INDEX(Base!$V:$V,MATCH($A41,Base!$A:$A,0)),0)))</f>
        <v>6.1249200000000004</v>
      </c>
      <c r="MV41" s="21">
        <f>IF(MV$1&lt;INDEX('Valo FX'!$Q:$Q,MATCH($A41,'Valo FX'!$A:$A,0)),0,IF(MV$1&lt;INDEX('Valo FX'!$R:$R,MATCH($A41,'Valo FX'!$A:$A,0)),INDEX(Base!$U:$U,MATCH($A41,Base!$A:$A,0)),IF(MV$1=INDEX('Valo FX'!$R:$R,MATCH($A41,'Valo FX'!$A:$A,0)),INDEX(Base!$V:$V,MATCH($A41,Base!$A:$A,0)),0)))</f>
        <v>6.1249200000000004</v>
      </c>
      <c r="MW41" s="21">
        <f>IF(MW$1&lt;INDEX('Valo FX'!$Q:$Q,MATCH($A41,'Valo FX'!$A:$A,0)),0,IF(MW$1&lt;INDEX('Valo FX'!$R:$R,MATCH($A41,'Valo FX'!$A:$A,0)),INDEX(Base!$U:$U,MATCH($A41,Base!$A:$A,0)),IF(MW$1=INDEX('Valo FX'!$R:$R,MATCH($A41,'Valo FX'!$A:$A,0)),INDEX(Base!$V:$V,MATCH($A41,Base!$A:$A,0)),0)))</f>
        <v>6.1249200000000004</v>
      </c>
      <c r="MX41" s="21">
        <f>IF(MX$1&lt;INDEX('Valo FX'!$Q:$Q,MATCH($A41,'Valo FX'!$A:$A,0)),0,IF(MX$1&lt;INDEX('Valo FX'!$R:$R,MATCH($A41,'Valo FX'!$A:$A,0)),INDEX(Base!$U:$U,MATCH($A41,Base!$A:$A,0)),IF(MX$1=INDEX('Valo FX'!$R:$R,MATCH($A41,'Valo FX'!$A:$A,0)),INDEX(Base!$V:$V,MATCH($A41,Base!$A:$A,0)),0)))</f>
        <v>6.1249200000000004</v>
      </c>
      <c r="MY41" s="21">
        <f>IF(MY$1&lt;INDEX('Valo FX'!$Q:$Q,MATCH($A41,'Valo FX'!$A:$A,0)),0,IF(MY$1&lt;INDEX('Valo FX'!$R:$R,MATCH($A41,'Valo FX'!$A:$A,0)),INDEX(Base!$U:$U,MATCH($A41,Base!$A:$A,0)),IF(MY$1=INDEX('Valo FX'!$R:$R,MATCH($A41,'Valo FX'!$A:$A,0)),INDEX(Base!$V:$V,MATCH($A41,Base!$A:$A,0)),0)))</f>
        <v>6.3167</v>
      </c>
    </row>
    <row r="42" spans="1:363" x14ac:dyDescent="0.25">
      <c r="A42" s="7">
        <f t="shared" si="12"/>
        <v>40</v>
      </c>
      <c r="B42" s="59">
        <f>-'Valo FX'!T43</f>
        <v>-1257.7784323066335</v>
      </c>
      <c r="C42" s="21">
        <f>IF(C$1&lt;INDEX('Valo FX'!$Q:$Q,MATCH($A42,'Valo FX'!$A:$A,0)),0,IF(C$1&lt;INDEX('Valo FX'!$R:$R,MATCH($A42,'Valo FX'!$A:$A,0)),INDEX(Base!$U:$U,MATCH($A42,Base!$A:$A,0)),IF(C$1=INDEX('Valo FX'!$R:$R,MATCH($A42,'Valo FX'!$A:$A,0)),INDEX(Base!$V:$V,MATCH($A42,Base!$A:$A,0)),0)))</f>
        <v>0</v>
      </c>
      <c r="D42" s="21">
        <f>IF(D$1&lt;INDEX('Valo FX'!$Q:$Q,MATCH($A42,'Valo FX'!$A:$A,0)),0,IF(D$1&lt;INDEX('Valo FX'!$R:$R,MATCH($A42,'Valo FX'!$A:$A,0)),INDEX(Base!$U:$U,MATCH($A42,Base!$A:$A,0)),IF(D$1=INDEX('Valo FX'!$R:$R,MATCH($A42,'Valo FX'!$A:$A,0)),INDEX(Base!$V:$V,MATCH($A42,Base!$A:$A,0)),0)))</f>
        <v>0</v>
      </c>
      <c r="E42" s="21">
        <f>IF(E$1&lt;INDEX('Valo FX'!$Q:$Q,MATCH($A42,'Valo FX'!$A:$A,0)),0,IF(E$1&lt;INDEX('Valo FX'!$R:$R,MATCH($A42,'Valo FX'!$A:$A,0)),INDEX(Base!$U:$U,MATCH($A42,Base!$A:$A,0)),IF(E$1=INDEX('Valo FX'!$R:$R,MATCH($A42,'Valo FX'!$A:$A,0)),INDEX(Base!$V:$V,MATCH($A42,Base!$A:$A,0)),0)))</f>
        <v>0</v>
      </c>
      <c r="F42" s="21">
        <f>IF(F$1&lt;INDEX('Valo FX'!$Q:$Q,MATCH($A42,'Valo FX'!$A:$A,0)),0,IF(F$1&lt;INDEX('Valo FX'!$R:$R,MATCH($A42,'Valo FX'!$A:$A,0)),INDEX(Base!$U:$U,MATCH($A42,Base!$A:$A,0)),IF(F$1=INDEX('Valo FX'!$R:$R,MATCH($A42,'Valo FX'!$A:$A,0)),INDEX(Base!$V:$V,MATCH($A42,Base!$A:$A,0)),0)))</f>
        <v>0</v>
      </c>
      <c r="G42" s="21">
        <f>IF(G$1&lt;INDEX('Valo FX'!$Q:$Q,MATCH($A42,'Valo FX'!$A:$A,0)),0,IF(G$1&lt;INDEX('Valo FX'!$R:$R,MATCH($A42,'Valo FX'!$A:$A,0)),INDEX(Base!$U:$U,MATCH($A42,Base!$A:$A,0)),IF(G$1=INDEX('Valo FX'!$R:$R,MATCH($A42,'Valo FX'!$A:$A,0)),INDEX(Base!$V:$V,MATCH($A42,Base!$A:$A,0)),0)))</f>
        <v>0</v>
      </c>
      <c r="H42" s="21">
        <f>IF(H$1&lt;INDEX('Valo FX'!$Q:$Q,MATCH($A42,'Valo FX'!$A:$A,0)),0,IF(H$1&lt;INDEX('Valo FX'!$R:$R,MATCH($A42,'Valo FX'!$A:$A,0)),INDEX(Base!$U:$U,MATCH($A42,Base!$A:$A,0)),IF(H$1=INDEX('Valo FX'!$R:$R,MATCH($A42,'Valo FX'!$A:$A,0)),INDEX(Base!$V:$V,MATCH($A42,Base!$A:$A,0)),0)))</f>
        <v>0</v>
      </c>
      <c r="I42" s="21">
        <f>IF(I$1&lt;INDEX('Valo FX'!$Q:$Q,MATCH($A42,'Valo FX'!$A:$A,0)),0,IF(I$1&lt;INDEX('Valo FX'!$R:$R,MATCH($A42,'Valo FX'!$A:$A,0)),INDEX(Base!$U:$U,MATCH($A42,Base!$A:$A,0)),IF(I$1=INDEX('Valo FX'!$R:$R,MATCH($A42,'Valo FX'!$A:$A,0)),INDEX(Base!$V:$V,MATCH($A42,Base!$A:$A,0)),0)))</f>
        <v>8.6176200000000005</v>
      </c>
      <c r="J42" s="21">
        <f>IF(J$1&lt;INDEX('Valo FX'!$Q:$Q,MATCH($A42,'Valo FX'!$A:$A,0)),0,IF(J$1&lt;INDEX('Valo FX'!$R:$R,MATCH($A42,'Valo FX'!$A:$A,0)),INDEX(Base!$U:$U,MATCH($A42,Base!$A:$A,0)),IF(J$1=INDEX('Valo FX'!$R:$R,MATCH($A42,'Valo FX'!$A:$A,0)),INDEX(Base!$V:$V,MATCH($A42,Base!$A:$A,0)),0)))</f>
        <v>8.6176200000000005</v>
      </c>
      <c r="K42" s="21">
        <f>IF(K$1&lt;INDEX('Valo FX'!$Q:$Q,MATCH($A42,'Valo FX'!$A:$A,0)),0,IF(K$1&lt;INDEX('Valo FX'!$R:$R,MATCH($A42,'Valo FX'!$A:$A,0)),INDEX(Base!$U:$U,MATCH($A42,Base!$A:$A,0)),IF(K$1=INDEX('Valo FX'!$R:$R,MATCH($A42,'Valo FX'!$A:$A,0)),INDEX(Base!$V:$V,MATCH($A42,Base!$A:$A,0)),0)))</f>
        <v>8.6176200000000005</v>
      </c>
      <c r="L42" s="21">
        <f>IF(L$1&lt;INDEX('Valo FX'!$Q:$Q,MATCH($A42,'Valo FX'!$A:$A,0)),0,IF(L$1&lt;INDEX('Valo FX'!$R:$R,MATCH($A42,'Valo FX'!$A:$A,0)),INDEX(Base!$U:$U,MATCH($A42,Base!$A:$A,0)),IF(L$1=INDEX('Valo FX'!$R:$R,MATCH($A42,'Valo FX'!$A:$A,0)),INDEX(Base!$V:$V,MATCH($A42,Base!$A:$A,0)),0)))</f>
        <v>8.6176200000000005</v>
      </c>
      <c r="M42" s="21">
        <f>IF(M$1&lt;INDEX('Valo FX'!$Q:$Q,MATCH($A42,'Valo FX'!$A:$A,0)),0,IF(M$1&lt;INDEX('Valo FX'!$R:$R,MATCH($A42,'Valo FX'!$A:$A,0)),INDEX(Base!$U:$U,MATCH($A42,Base!$A:$A,0)),IF(M$1=INDEX('Valo FX'!$R:$R,MATCH($A42,'Valo FX'!$A:$A,0)),INDEX(Base!$V:$V,MATCH($A42,Base!$A:$A,0)),0)))</f>
        <v>8.6176200000000005</v>
      </c>
      <c r="N42" s="21">
        <f>IF(N$1&lt;INDEX('Valo FX'!$Q:$Q,MATCH($A42,'Valo FX'!$A:$A,0)),0,IF(N$1&lt;INDEX('Valo FX'!$R:$R,MATCH($A42,'Valo FX'!$A:$A,0)),INDEX(Base!$U:$U,MATCH($A42,Base!$A:$A,0)),IF(N$1=INDEX('Valo FX'!$R:$R,MATCH($A42,'Valo FX'!$A:$A,0)),INDEX(Base!$V:$V,MATCH($A42,Base!$A:$A,0)),0)))</f>
        <v>8.6176200000000005</v>
      </c>
      <c r="O42" s="21">
        <f>IF(O$1&lt;INDEX('Valo FX'!$Q:$Q,MATCH($A42,'Valo FX'!$A:$A,0)),0,IF(O$1&lt;INDEX('Valo FX'!$R:$R,MATCH($A42,'Valo FX'!$A:$A,0)),INDEX(Base!$U:$U,MATCH($A42,Base!$A:$A,0)),IF(O$1=INDEX('Valo FX'!$R:$R,MATCH($A42,'Valo FX'!$A:$A,0)),INDEX(Base!$V:$V,MATCH($A42,Base!$A:$A,0)),0)))</f>
        <v>8.6176200000000005</v>
      </c>
      <c r="P42" s="21">
        <f>IF(P$1&lt;INDEX('Valo FX'!$Q:$Q,MATCH($A42,'Valo FX'!$A:$A,0)),0,IF(P$1&lt;INDEX('Valo FX'!$R:$R,MATCH($A42,'Valo FX'!$A:$A,0)),INDEX(Base!$U:$U,MATCH($A42,Base!$A:$A,0)),IF(P$1=INDEX('Valo FX'!$R:$R,MATCH($A42,'Valo FX'!$A:$A,0)),INDEX(Base!$V:$V,MATCH($A42,Base!$A:$A,0)),0)))</f>
        <v>8.6176200000000005</v>
      </c>
      <c r="Q42" s="21">
        <f>IF(Q$1&lt;INDEX('Valo FX'!$Q:$Q,MATCH($A42,'Valo FX'!$A:$A,0)),0,IF(Q$1&lt;INDEX('Valo FX'!$R:$R,MATCH($A42,'Valo FX'!$A:$A,0)),INDEX(Base!$U:$U,MATCH($A42,Base!$A:$A,0)),IF(Q$1=INDEX('Valo FX'!$R:$R,MATCH($A42,'Valo FX'!$A:$A,0)),INDEX(Base!$V:$V,MATCH($A42,Base!$A:$A,0)),0)))</f>
        <v>8.6176200000000005</v>
      </c>
      <c r="R42" s="21">
        <f>IF(R$1&lt;INDEX('Valo FX'!$Q:$Q,MATCH($A42,'Valo FX'!$A:$A,0)),0,IF(R$1&lt;INDEX('Valo FX'!$R:$R,MATCH($A42,'Valo FX'!$A:$A,0)),INDEX(Base!$U:$U,MATCH($A42,Base!$A:$A,0)),IF(R$1=INDEX('Valo FX'!$R:$R,MATCH($A42,'Valo FX'!$A:$A,0)),INDEX(Base!$V:$V,MATCH($A42,Base!$A:$A,0)),0)))</f>
        <v>8.6176200000000005</v>
      </c>
      <c r="S42" s="21">
        <f>IF(S$1&lt;INDEX('Valo FX'!$Q:$Q,MATCH($A42,'Valo FX'!$A:$A,0)),0,IF(S$1&lt;INDEX('Valo FX'!$R:$R,MATCH($A42,'Valo FX'!$A:$A,0)),INDEX(Base!$U:$U,MATCH($A42,Base!$A:$A,0)),IF(S$1=INDEX('Valo FX'!$R:$R,MATCH($A42,'Valo FX'!$A:$A,0)),INDEX(Base!$V:$V,MATCH($A42,Base!$A:$A,0)),0)))</f>
        <v>8.6176200000000005</v>
      </c>
      <c r="T42" s="21">
        <f>IF(T$1&lt;INDEX('Valo FX'!$Q:$Q,MATCH($A42,'Valo FX'!$A:$A,0)),0,IF(T$1&lt;INDEX('Valo FX'!$R:$R,MATCH($A42,'Valo FX'!$A:$A,0)),INDEX(Base!$U:$U,MATCH($A42,Base!$A:$A,0)),IF(T$1=INDEX('Valo FX'!$R:$R,MATCH($A42,'Valo FX'!$A:$A,0)),INDEX(Base!$V:$V,MATCH($A42,Base!$A:$A,0)),0)))</f>
        <v>8.6176200000000005</v>
      </c>
      <c r="U42" s="21">
        <f>IF(U$1&lt;INDEX('Valo FX'!$Q:$Q,MATCH($A42,'Valo FX'!$A:$A,0)),0,IF(U$1&lt;INDEX('Valo FX'!$R:$R,MATCH($A42,'Valo FX'!$A:$A,0)),INDEX(Base!$U:$U,MATCH($A42,Base!$A:$A,0)),IF(U$1=INDEX('Valo FX'!$R:$R,MATCH($A42,'Valo FX'!$A:$A,0)),INDEX(Base!$V:$V,MATCH($A42,Base!$A:$A,0)),0)))</f>
        <v>8.6176200000000005</v>
      </c>
      <c r="V42" s="21">
        <f>IF(V$1&lt;INDEX('Valo FX'!$Q:$Q,MATCH($A42,'Valo FX'!$A:$A,0)),0,IF(V$1&lt;INDEX('Valo FX'!$R:$R,MATCH($A42,'Valo FX'!$A:$A,0)),INDEX(Base!$U:$U,MATCH($A42,Base!$A:$A,0)),IF(V$1=INDEX('Valo FX'!$R:$R,MATCH($A42,'Valo FX'!$A:$A,0)),INDEX(Base!$V:$V,MATCH($A42,Base!$A:$A,0)),0)))</f>
        <v>8.6176200000000005</v>
      </c>
      <c r="W42" s="21">
        <f>IF(W$1&lt;INDEX('Valo FX'!$Q:$Q,MATCH($A42,'Valo FX'!$A:$A,0)),0,IF(W$1&lt;INDEX('Valo FX'!$R:$R,MATCH($A42,'Valo FX'!$A:$A,0)),INDEX(Base!$U:$U,MATCH($A42,Base!$A:$A,0)),IF(W$1=INDEX('Valo FX'!$R:$R,MATCH($A42,'Valo FX'!$A:$A,0)),INDEX(Base!$V:$V,MATCH($A42,Base!$A:$A,0)),0)))</f>
        <v>8.6176200000000005</v>
      </c>
      <c r="X42" s="21">
        <f>IF(X$1&lt;INDEX('Valo FX'!$Q:$Q,MATCH($A42,'Valo FX'!$A:$A,0)),0,IF(X$1&lt;INDEX('Valo FX'!$R:$R,MATCH($A42,'Valo FX'!$A:$A,0)),INDEX(Base!$U:$U,MATCH($A42,Base!$A:$A,0)),IF(X$1=INDEX('Valo FX'!$R:$R,MATCH($A42,'Valo FX'!$A:$A,0)),INDEX(Base!$V:$V,MATCH($A42,Base!$A:$A,0)),0)))</f>
        <v>8.6176200000000005</v>
      </c>
      <c r="Y42" s="21">
        <f>IF(Y$1&lt;INDEX('Valo FX'!$Q:$Q,MATCH($A42,'Valo FX'!$A:$A,0)),0,IF(Y$1&lt;INDEX('Valo FX'!$R:$R,MATCH($A42,'Valo FX'!$A:$A,0)),INDEX(Base!$U:$U,MATCH($A42,Base!$A:$A,0)),IF(Y$1=INDEX('Valo FX'!$R:$R,MATCH($A42,'Valo FX'!$A:$A,0)),INDEX(Base!$V:$V,MATCH($A42,Base!$A:$A,0)),0)))</f>
        <v>8.6176200000000005</v>
      </c>
      <c r="Z42" s="21">
        <f>IF(Z$1&lt;INDEX('Valo FX'!$Q:$Q,MATCH($A42,'Valo FX'!$A:$A,0)),0,IF(Z$1&lt;INDEX('Valo FX'!$R:$R,MATCH($A42,'Valo FX'!$A:$A,0)),INDEX(Base!$U:$U,MATCH($A42,Base!$A:$A,0)),IF(Z$1=INDEX('Valo FX'!$R:$R,MATCH($A42,'Valo FX'!$A:$A,0)),INDEX(Base!$V:$V,MATCH($A42,Base!$A:$A,0)),0)))</f>
        <v>8.6176200000000005</v>
      </c>
      <c r="AA42" s="21">
        <f>IF(AA$1&lt;INDEX('Valo FX'!$Q:$Q,MATCH($A42,'Valo FX'!$A:$A,0)),0,IF(AA$1&lt;INDEX('Valo FX'!$R:$R,MATCH($A42,'Valo FX'!$A:$A,0)),INDEX(Base!$U:$U,MATCH($A42,Base!$A:$A,0)),IF(AA$1=INDEX('Valo FX'!$R:$R,MATCH($A42,'Valo FX'!$A:$A,0)),INDEX(Base!$V:$V,MATCH($A42,Base!$A:$A,0)),0)))</f>
        <v>8.6176200000000005</v>
      </c>
      <c r="AB42" s="21">
        <f>IF(AB$1&lt;INDEX('Valo FX'!$Q:$Q,MATCH($A42,'Valo FX'!$A:$A,0)),0,IF(AB$1&lt;INDEX('Valo FX'!$R:$R,MATCH($A42,'Valo FX'!$A:$A,0)),INDEX(Base!$U:$U,MATCH($A42,Base!$A:$A,0)),IF(AB$1=INDEX('Valo FX'!$R:$R,MATCH($A42,'Valo FX'!$A:$A,0)),INDEX(Base!$V:$V,MATCH($A42,Base!$A:$A,0)),0)))</f>
        <v>8.6176200000000005</v>
      </c>
      <c r="AC42" s="21">
        <f>IF(AC$1&lt;INDEX('Valo FX'!$Q:$Q,MATCH($A42,'Valo FX'!$A:$A,0)),0,IF(AC$1&lt;INDEX('Valo FX'!$R:$R,MATCH($A42,'Valo FX'!$A:$A,0)),INDEX(Base!$U:$U,MATCH($A42,Base!$A:$A,0)),IF(AC$1=INDEX('Valo FX'!$R:$R,MATCH($A42,'Valo FX'!$A:$A,0)),INDEX(Base!$V:$V,MATCH($A42,Base!$A:$A,0)),0)))</f>
        <v>8.6176200000000005</v>
      </c>
      <c r="AD42" s="21">
        <f>IF(AD$1&lt;INDEX('Valo FX'!$Q:$Q,MATCH($A42,'Valo FX'!$A:$A,0)),0,IF(AD$1&lt;INDEX('Valo FX'!$R:$R,MATCH($A42,'Valo FX'!$A:$A,0)),INDEX(Base!$U:$U,MATCH($A42,Base!$A:$A,0)),IF(AD$1=INDEX('Valo FX'!$R:$R,MATCH($A42,'Valo FX'!$A:$A,0)),INDEX(Base!$V:$V,MATCH($A42,Base!$A:$A,0)),0)))</f>
        <v>8.6176200000000005</v>
      </c>
      <c r="AE42" s="21">
        <f>IF(AE$1&lt;INDEX('Valo FX'!$Q:$Q,MATCH($A42,'Valo FX'!$A:$A,0)),0,IF(AE$1&lt;INDEX('Valo FX'!$R:$R,MATCH($A42,'Valo FX'!$A:$A,0)),INDEX(Base!$U:$U,MATCH($A42,Base!$A:$A,0)),IF(AE$1=INDEX('Valo FX'!$R:$R,MATCH($A42,'Valo FX'!$A:$A,0)),INDEX(Base!$V:$V,MATCH($A42,Base!$A:$A,0)),0)))</f>
        <v>8.6176200000000005</v>
      </c>
      <c r="AF42" s="21">
        <f>IF(AF$1&lt;INDEX('Valo FX'!$Q:$Q,MATCH($A42,'Valo FX'!$A:$A,0)),0,IF(AF$1&lt;INDEX('Valo FX'!$R:$R,MATCH($A42,'Valo FX'!$A:$A,0)),INDEX(Base!$U:$U,MATCH($A42,Base!$A:$A,0)),IF(AF$1=INDEX('Valo FX'!$R:$R,MATCH($A42,'Valo FX'!$A:$A,0)),INDEX(Base!$V:$V,MATCH($A42,Base!$A:$A,0)),0)))</f>
        <v>8.6176200000000005</v>
      </c>
      <c r="AG42" s="21">
        <f>IF(AG$1&lt;INDEX('Valo FX'!$Q:$Q,MATCH($A42,'Valo FX'!$A:$A,0)),0,IF(AG$1&lt;INDEX('Valo FX'!$R:$R,MATCH($A42,'Valo FX'!$A:$A,0)),INDEX(Base!$U:$U,MATCH($A42,Base!$A:$A,0)),IF(AG$1=INDEX('Valo FX'!$R:$R,MATCH($A42,'Valo FX'!$A:$A,0)),INDEX(Base!$V:$V,MATCH($A42,Base!$A:$A,0)),0)))</f>
        <v>8.6176200000000005</v>
      </c>
      <c r="AH42" s="21">
        <f>IF(AH$1&lt;INDEX('Valo FX'!$Q:$Q,MATCH($A42,'Valo FX'!$A:$A,0)),0,IF(AH$1&lt;INDEX('Valo FX'!$R:$R,MATCH($A42,'Valo FX'!$A:$A,0)),INDEX(Base!$U:$U,MATCH($A42,Base!$A:$A,0)),IF(AH$1=INDEX('Valo FX'!$R:$R,MATCH($A42,'Valo FX'!$A:$A,0)),INDEX(Base!$V:$V,MATCH($A42,Base!$A:$A,0)),0)))</f>
        <v>8.6176200000000005</v>
      </c>
      <c r="AI42" s="21">
        <f>IF(AI$1&lt;INDEX('Valo FX'!$Q:$Q,MATCH($A42,'Valo FX'!$A:$A,0)),0,IF(AI$1&lt;INDEX('Valo FX'!$R:$R,MATCH($A42,'Valo FX'!$A:$A,0)),INDEX(Base!$U:$U,MATCH($A42,Base!$A:$A,0)),IF(AI$1=INDEX('Valo FX'!$R:$R,MATCH($A42,'Valo FX'!$A:$A,0)),INDEX(Base!$V:$V,MATCH($A42,Base!$A:$A,0)),0)))</f>
        <v>8.6176200000000005</v>
      </c>
      <c r="AJ42" s="21">
        <f>IF(AJ$1&lt;INDEX('Valo FX'!$Q:$Q,MATCH($A42,'Valo FX'!$A:$A,0)),0,IF(AJ$1&lt;INDEX('Valo FX'!$R:$R,MATCH($A42,'Valo FX'!$A:$A,0)),INDEX(Base!$U:$U,MATCH($A42,Base!$A:$A,0)),IF(AJ$1=INDEX('Valo FX'!$R:$R,MATCH($A42,'Valo FX'!$A:$A,0)),INDEX(Base!$V:$V,MATCH($A42,Base!$A:$A,0)),0)))</f>
        <v>8.6176200000000005</v>
      </c>
      <c r="AK42" s="21">
        <f>IF(AK$1&lt;INDEX('Valo FX'!$Q:$Q,MATCH($A42,'Valo FX'!$A:$A,0)),0,IF(AK$1&lt;INDEX('Valo FX'!$R:$R,MATCH($A42,'Valo FX'!$A:$A,0)),INDEX(Base!$U:$U,MATCH($A42,Base!$A:$A,0)),IF(AK$1=INDEX('Valo FX'!$R:$R,MATCH($A42,'Valo FX'!$A:$A,0)),INDEX(Base!$V:$V,MATCH($A42,Base!$A:$A,0)),0)))</f>
        <v>8.6176200000000005</v>
      </c>
      <c r="AL42" s="21">
        <f>IF(AL$1&lt;INDEX('Valo FX'!$Q:$Q,MATCH($A42,'Valo FX'!$A:$A,0)),0,IF(AL$1&lt;INDEX('Valo FX'!$R:$R,MATCH($A42,'Valo FX'!$A:$A,0)),INDEX(Base!$U:$U,MATCH($A42,Base!$A:$A,0)),IF(AL$1=INDEX('Valo FX'!$R:$R,MATCH($A42,'Valo FX'!$A:$A,0)),INDEX(Base!$V:$V,MATCH($A42,Base!$A:$A,0)),0)))</f>
        <v>8.6176200000000005</v>
      </c>
      <c r="AM42" s="21">
        <f>IF(AM$1&lt;INDEX('Valo FX'!$Q:$Q,MATCH($A42,'Valo FX'!$A:$A,0)),0,IF(AM$1&lt;INDEX('Valo FX'!$R:$R,MATCH($A42,'Valo FX'!$A:$A,0)),INDEX(Base!$U:$U,MATCH($A42,Base!$A:$A,0)),IF(AM$1=INDEX('Valo FX'!$R:$R,MATCH($A42,'Valo FX'!$A:$A,0)),INDEX(Base!$V:$V,MATCH($A42,Base!$A:$A,0)),0)))</f>
        <v>8.6176200000000005</v>
      </c>
      <c r="AN42" s="21">
        <f>IF(AN$1&lt;INDEX('Valo FX'!$Q:$Q,MATCH($A42,'Valo FX'!$A:$A,0)),0,IF(AN$1&lt;INDEX('Valo FX'!$R:$R,MATCH($A42,'Valo FX'!$A:$A,0)),INDEX(Base!$U:$U,MATCH($A42,Base!$A:$A,0)),IF(AN$1=INDEX('Valo FX'!$R:$R,MATCH($A42,'Valo FX'!$A:$A,0)),INDEX(Base!$V:$V,MATCH($A42,Base!$A:$A,0)),0)))</f>
        <v>8.6176200000000005</v>
      </c>
      <c r="AO42" s="21">
        <f>IF(AO$1&lt;INDEX('Valo FX'!$Q:$Q,MATCH($A42,'Valo FX'!$A:$A,0)),0,IF(AO$1&lt;INDEX('Valo FX'!$R:$R,MATCH($A42,'Valo FX'!$A:$A,0)),INDEX(Base!$U:$U,MATCH($A42,Base!$A:$A,0)),IF(AO$1=INDEX('Valo FX'!$R:$R,MATCH($A42,'Valo FX'!$A:$A,0)),INDEX(Base!$V:$V,MATCH($A42,Base!$A:$A,0)),0)))</f>
        <v>8.6176200000000005</v>
      </c>
      <c r="AP42" s="21">
        <f>IF(AP$1&lt;INDEX('Valo FX'!$Q:$Q,MATCH($A42,'Valo FX'!$A:$A,0)),0,IF(AP$1&lt;INDEX('Valo FX'!$R:$R,MATCH($A42,'Valo FX'!$A:$A,0)),INDEX(Base!$U:$U,MATCH($A42,Base!$A:$A,0)),IF(AP$1=INDEX('Valo FX'!$R:$R,MATCH($A42,'Valo FX'!$A:$A,0)),INDEX(Base!$V:$V,MATCH($A42,Base!$A:$A,0)),0)))</f>
        <v>8.6176200000000005</v>
      </c>
      <c r="AQ42" s="21">
        <f>IF(AQ$1&lt;INDEX('Valo FX'!$Q:$Q,MATCH($A42,'Valo FX'!$A:$A,0)),0,IF(AQ$1&lt;INDEX('Valo FX'!$R:$R,MATCH($A42,'Valo FX'!$A:$A,0)),INDEX(Base!$U:$U,MATCH($A42,Base!$A:$A,0)),IF(AQ$1=INDEX('Valo FX'!$R:$R,MATCH($A42,'Valo FX'!$A:$A,0)),INDEX(Base!$V:$V,MATCH($A42,Base!$A:$A,0)),0)))</f>
        <v>8.6176200000000005</v>
      </c>
      <c r="AR42" s="21">
        <f>IF(AR$1&lt;INDEX('Valo FX'!$Q:$Q,MATCH($A42,'Valo FX'!$A:$A,0)),0,IF(AR$1&lt;INDEX('Valo FX'!$R:$R,MATCH($A42,'Valo FX'!$A:$A,0)),INDEX(Base!$U:$U,MATCH($A42,Base!$A:$A,0)),IF(AR$1=INDEX('Valo FX'!$R:$R,MATCH($A42,'Valo FX'!$A:$A,0)),INDEX(Base!$V:$V,MATCH($A42,Base!$A:$A,0)),0)))</f>
        <v>8.6176200000000005</v>
      </c>
      <c r="AS42" s="21">
        <f>IF(AS$1&lt;INDEX('Valo FX'!$Q:$Q,MATCH($A42,'Valo FX'!$A:$A,0)),0,IF(AS$1&lt;INDEX('Valo FX'!$R:$R,MATCH($A42,'Valo FX'!$A:$A,0)),INDEX(Base!$U:$U,MATCH($A42,Base!$A:$A,0)),IF(AS$1=INDEX('Valo FX'!$R:$R,MATCH($A42,'Valo FX'!$A:$A,0)),INDEX(Base!$V:$V,MATCH($A42,Base!$A:$A,0)),0)))</f>
        <v>8.6176200000000005</v>
      </c>
      <c r="AT42" s="21">
        <f>IF(AT$1&lt;INDEX('Valo FX'!$Q:$Q,MATCH($A42,'Valo FX'!$A:$A,0)),0,IF(AT$1&lt;INDEX('Valo FX'!$R:$R,MATCH($A42,'Valo FX'!$A:$A,0)),INDEX(Base!$U:$U,MATCH($A42,Base!$A:$A,0)),IF(AT$1=INDEX('Valo FX'!$R:$R,MATCH($A42,'Valo FX'!$A:$A,0)),INDEX(Base!$V:$V,MATCH($A42,Base!$A:$A,0)),0)))</f>
        <v>8.6176200000000005</v>
      </c>
      <c r="AU42" s="21">
        <f>IF(AU$1&lt;INDEX('Valo FX'!$Q:$Q,MATCH($A42,'Valo FX'!$A:$A,0)),0,IF(AU$1&lt;INDEX('Valo FX'!$R:$R,MATCH($A42,'Valo FX'!$A:$A,0)),INDEX(Base!$U:$U,MATCH($A42,Base!$A:$A,0)),IF(AU$1=INDEX('Valo FX'!$R:$R,MATCH($A42,'Valo FX'!$A:$A,0)),INDEX(Base!$V:$V,MATCH($A42,Base!$A:$A,0)),0)))</f>
        <v>8.6176200000000005</v>
      </c>
      <c r="AV42" s="21">
        <f>IF(AV$1&lt;INDEX('Valo FX'!$Q:$Q,MATCH($A42,'Valo FX'!$A:$A,0)),0,IF(AV$1&lt;INDEX('Valo FX'!$R:$R,MATCH($A42,'Valo FX'!$A:$A,0)),INDEX(Base!$U:$U,MATCH($A42,Base!$A:$A,0)),IF(AV$1=INDEX('Valo FX'!$R:$R,MATCH($A42,'Valo FX'!$A:$A,0)),INDEX(Base!$V:$V,MATCH($A42,Base!$A:$A,0)),0)))</f>
        <v>8.6176200000000005</v>
      </c>
      <c r="AW42" s="21">
        <f>IF(AW$1&lt;INDEX('Valo FX'!$Q:$Q,MATCH($A42,'Valo FX'!$A:$A,0)),0,IF(AW$1&lt;INDEX('Valo FX'!$R:$R,MATCH($A42,'Valo FX'!$A:$A,0)),INDEX(Base!$U:$U,MATCH($A42,Base!$A:$A,0)),IF(AW$1=INDEX('Valo FX'!$R:$R,MATCH($A42,'Valo FX'!$A:$A,0)),INDEX(Base!$V:$V,MATCH($A42,Base!$A:$A,0)),0)))</f>
        <v>8.6176200000000005</v>
      </c>
      <c r="AX42" s="21">
        <f>IF(AX$1&lt;INDEX('Valo FX'!$Q:$Q,MATCH($A42,'Valo FX'!$A:$A,0)),0,IF(AX$1&lt;INDEX('Valo FX'!$R:$R,MATCH($A42,'Valo FX'!$A:$A,0)),INDEX(Base!$U:$U,MATCH($A42,Base!$A:$A,0)),IF(AX$1=INDEX('Valo FX'!$R:$R,MATCH($A42,'Valo FX'!$A:$A,0)),INDEX(Base!$V:$V,MATCH($A42,Base!$A:$A,0)),0)))</f>
        <v>8.6176200000000005</v>
      </c>
      <c r="AY42" s="21">
        <f>IF(AY$1&lt;INDEX('Valo FX'!$Q:$Q,MATCH($A42,'Valo FX'!$A:$A,0)),0,IF(AY$1&lt;INDEX('Valo FX'!$R:$R,MATCH($A42,'Valo FX'!$A:$A,0)),INDEX(Base!$U:$U,MATCH($A42,Base!$A:$A,0)),IF(AY$1=INDEX('Valo FX'!$R:$R,MATCH($A42,'Valo FX'!$A:$A,0)),INDEX(Base!$V:$V,MATCH($A42,Base!$A:$A,0)),0)))</f>
        <v>8.6176200000000005</v>
      </c>
      <c r="AZ42" s="21">
        <f>IF(AZ$1&lt;INDEX('Valo FX'!$Q:$Q,MATCH($A42,'Valo FX'!$A:$A,0)),0,IF(AZ$1&lt;INDEX('Valo FX'!$R:$R,MATCH($A42,'Valo FX'!$A:$A,0)),INDEX(Base!$U:$U,MATCH($A42,Base!$A:$A,0)),IF(AZ$1=INDEX('Valo FX'!$R:$R,MATCH($A42,'Valo FX'!$A:$A,0)),INDEX(Base!$V:$V,MATCH($A42,Base!$A:$A,0)),0)))</f>
        <v>8.6176200000000005</v>
      </c>
      <c r="BA42" s="21">
        <f>IF(BA$1&lt;INDEX('Valo FX'!$Q:$Q,MATCH($A42,'Valo FX'!$A:$A,0)),0,IF(BA$1&lt;INDEX('Valo FX'!$R:$R,MATCH($A42,'Valo FX'!$A:$A,0)),INDEX(Base!$U:$U,MATCH($A42,Base!$A:$A,0)),IF(BA$1=INDEX('Valo FX'!$R:$R,MATCH($A42,'Valo FX'!$A:$A,0)),INDEX(Base!$V:$V,MATCH($A42,Base!$A:$A,0)),0)))</f>
        <v>8.6176200000000005</v>
      </c>
      <c r="BB42" s="21">
        <f>IF(BB$1&lt;INDEX('Valo FX'!$Q:$Q,MATCH($A42,'Valo FX'!$A:$A,0)),0,IF(BB$1&lt;INDEX('Valo FX'!$R:$R,MATCH($A42,'Valo FX'!$A:$A,0)),INDEX(Base!$U:$U,MATCH($A42,Base!$A:$A,0)),IF(BB$1=INDEX('Valo FX'!$R:$R,MATCH($A42,'Valo FX'!$A:$A,0)),INDEX(Base!$V:$V,MATCH($A42,Base!$A:$A,0)),0)))</f>
        <v>8.6176200000000005</v>
      </c>
      <c r="BC42" s="21">
        <f>IF(BC$1&lt;INDEX('Valo FX'!$Q:$Q,MATCH($A42,'Valo FX'!$A:$A,0)),0,IF(BC$1&lt;INDEX('Valo FX'!$R:$R,MATCH($A42,'Valo FX'!$A:$A,0)),INDEX(Base!$U:$U,MATCH($A42,Base!$A:$A,0)),IF(BC$1=INDEX('Valo FX'!$R:$R,MATCH($A42,'Valo FX'!$A:$A,0)),INDEX(Base!$V:$V,MATCH($A42,Base!$A:$A,0)),0)))</f>
        <v>8.6176200000000005</v>
      </c>
      <c r="BD42" s="21">
        <f>IF(BD$1&lt;INDEX('Valo FX'!$Q:$Q,MATCH($A42,'Valo FX'!$A:$A,0)),0,IF(BD$1&lt;INDEX('Valo FX'!$R:$R,MATCH($A42,'Valo FX'!$A:$A,0)),INDEX(Base!$U:$U,MATCH($A42,Base!$A:$A,0)),IF(BD$1=INDEX('Valo FX'!$R:$R,MATCH($A42,'Valo FX'!$A:$A,0)),INDEX(Base!$V:$V,MATCH($A42,Base!$A:$A,0)),0)))</f>
        <v>8.6176200000000005</v>
      </c>
      <c r="BE42" s="21">
        <f>IF(BE$1&lt;INDEX('Valo FX'!$Q:$Q,MATCH($A42,'Valo FX'!$A:$A,0)),0,IF(BE$1&lt;INDEX('Valo FX'!$R:$R,MATCH($A42,'Valo FX'!$A:$A,0)),INDEX(Base!$U:$U,MATCH($A42,Base!$A:$A,0)),IF(BE$1=INDEX('Valo FX'!$R:$R,MATCH($A42,'Valo FX'!$A:$A,0)),INDEX(Base!$V:$V,MATCH($A42,Base!$A:$A,0)),0)))</f>
        <v>8.6176200000000005</v>
      </c>
      <c r="BF42" s="21">
        <f>IF(BF$1&lt;INDEX('Valo FX'!$Q:$Q,MATCH($A42,'Valo FX'!$A:$A,0)),0,IF(BF$1&lt;INDEX('Valo FX'!$R:$R,MATCH($A42,'Valo FX'!$A:$A,0)),INDEX(Base!$U:$U,MATCH($A42,Base!$A:$A,0)),IF(BF$1=INDEX('Valo FX'!$R:$R,MATCH($A42,'Valo FX'!$A:$A,0)),INDEX(Base!$V:$V,MATCH($A42,Base!$A:$A,0)),0)))</f>
        <v>8.6176200000000005</v>
      </c>
      <c r="BG42" s="21">
        <f>IF(BG$1&lt;INDEX('Valo FX'!$Q:$Q,MATCH($A42,'Valo FX'!$A:$A,0)),0,IF(BG$1&lt;INDEX('Valo FX'!$R:$R,MATCH($A42,'Valo FX'!$A:$A,0)),INDEX(Base!$U:$U,MATCH($A42,Base!$A:$A,0)),IF(BG$1=INDEX('Valo FX'!$R:$R,MATCH($A42,'Valo FX'!$A:$A,0)),INDEX(Base!$V:$V,MATCH($A42,Base!$A:$A,0)),0)))</f>
        <v>8.6176200000000005</v>
      </c>
      <c r="BH42" s="21">
        <f>IF(BH$1&lt;INDEX('Valo FX'!$Q:$Q,MATCH($A42,'Valo FX'!$A:$A,0)),0,IF(BH$1&lt;INDEX('Valo FX'!$R:$R,MATCH($A42,'Valo FX'!$A:$A,0)),INDEX(Base!$U:$U,MATCH($A42,Base!$A:$A,0)),IF(BH$1=INDEX('Valo FX'!$R:$R,MATCH($A42,'Valo FX'!$A:$A,0)),INDEX(Base!$V:$V,MATCH($A42,Base!$A:$A,0)),0)))</f>
        <v>8.6176200000000005</v>
      </c>
      <c r="BI42" s="21">
        <f>IF(BI$1&lt;INDEX('Valo FX'!$Q:$Q,MATCH($A42,'Valo FX'!$A:$A,0)),0,IF(BI$1&lt;INDEX('Valo FX'!$R:$R,MATCH($A42,'Valo FX'!$A:$A,0)),INDEX(Base!$U:$U,MATCH($A42,Base!$A:$A,0)),IF(BI$1=INDEX('Valo FX'!$R:$R,MATCH($A42,'Valo FX'!$A:$A,0)),INDEX(Base!$V:$V,MATCH($A42,Base!$A:$A,0)),0)))</f>
        <v>8.6176200000000005</v>
      </c>
      <c r="BJ42" s="21">
        <f>IF(BJ$1&lt;INDEX('Valo FX'!$Q:$Q,MATCH($A42,'Valo FX'!$A:$A,0)),0,IF(BJ$1&lt;INDEX('Valo FX'!$R:$R,MATCH($A42,'Valo FX'!$A:$A,0)),INDEX(Base!$U:$U,MATCH($A42,Base!$A:$A,0)),IF(BJ$1=INDEX('Valo FX'!$R:$R,MATCH($A42,'Valo FX'!$A:$A,0)),INDEX(Base!$V:$V,MATCH($A42,Base!$A:$A,0)),0)))</f>
        <v>8.6176200000000005</v>
      </c>
      <c r="BK42" s="21">
        <f>IF(BK$1&lt;INDEX('Valo FX'!$Q:$Q,MATCH($A42,'Valo FX'!$A:$A,0)),0,IF(BK$1&lt;INDEX('Valo FX'!$R:$R,MATCH($A42,'Valo FX'!$A:$A,0)),INDEX(Base!$U:$U,MATCH($A42,Base!$A:$A,0)),IF(BK$1=INDEX('Valo FX'!$R:$R,MATCH($A42,'Valo FX'!$A:$A,0)),INDEX(Base!$V:$V,MATCH($A42,Base!$A:$A,0)),0)))</f>
        <v>8.6176200000000005</v>
      </c>
      <c r="BL42" s="21">
        <f>IF(BL$1&lt;INDEX('Valo FX'!$Q:$Q,MATCH($A42,'Valo FX'!$A:$A,0)),0,IF(BL$1&lt;INDEX('Valo FX'!$R:$R,MATCH($A42,'Valo FX'!$A:$A,0)),INDEX(Base!$U:$U,MATCH($A42,Base!$A:$A,0)),IF(BL$1=INDEX('Valo FX'!$R:$R,MATCH($A42,'Valo FX'!$A:$A,0)),INDEX(Base!$V:$V,MATCH($A42,Base!$A:$A,0)),0)))</f>
        <v>8.6176200000000005</v>
      </c>
      <c r="BM42" s="21">
        <f>IF(BM$1&lt;INDEX('Valo FX'!$Q:$Q,MATCH($A42,'Valo FX'!$A:$A,0)),0,IF(BM$1&lt;INDEX('Valo FX'!$R:$R,MATCH($A42,'Valo FX'!$A:$A,0)),INDEX(Base!$U:$U,MATCH($A42,Base!$A:$A,0)),IF(BM$1=INDEX('Valo FX'!$R:$R,MATCH($A42,'Valo FX'!$A:$A,0)),INDEX(Base!$V:$V,MATCH($A42,Base!$A:$A,0)),0)))</f>
        <v>8.6176200000000005</v>
      </c>
      <c r="BN42" s="21">
        <f>IF(BN$1&lt;INDEX('Valo FX'!$Q:$Q,MATCH($A42,'Valo FX'!$A:$A,0)),0,IF(BN$1&lt;INDEX('Valo FX'!$R:$R,MATCH($A42,'Valo FX'!$A:$A,0)),INDEX(Base!$U:$U,MATCH($A42,Base!$A:$A,0)),IF(BN$1=INDEX('Valo FX'!$R:$R,MATCH($A42,'Valo FX'!$A:$A,0)),INDEX(Base!$V:$V,MATCH($A42,Base!$A:$A,0)),0)))</f>
        <v>8.6176200000000005</v>
      </c>
      <c r="BO42" s="21">
        <f>IF(BO$1&lt;INDEX('Valo FX'!$Q:$Q,MATCH($A42,'Valo FX'!$A:$A,0)),0,IF(BO$1&lt;INDEX('Valo FX'!$R:$R,MATCH($A42,'Valo FX'!$A:$A,0)),INDEX(Base!$U:$U,MATCH($A42,Base!$A:$A,0)),IF(BO$1=INDEX('Valo FX'!$R:$R,MATCH($A42,'Valo FX'!$A:$A,0)),INDEX(Base!$V:$V,MATCH($A42,Base!$A:$A,0)),0)))</f>
        <v>8.6176200000000005</v>
      </c>
      <c r="BP42" s="21">
        <f>IF(BP$1&lt;INDEX('Valo FX'!$Q:$Q,MATCH($A42,'Valo FX'!$A:$A,0)),0,IF(BP$1&lt;INDEX('Valo FX'!$R:$R,MATCH($A42,'Valo FX'!$A:$A,0)),INDEX(Base!$U:$U,MATCH($A42,Base!$A:$A,0)),IF(BP$1=INDEX('Valo FX'!$R:$R,MATCH($A42,'Valo FX'!$A:$A,0)),INDEX(Base!$V:$V,MATCH($A42,Base!$A:$A,0)),0)))</f>
        <v>8.6176200000000005</v>
      </c>
      <c r="BQ42" s="21">
        <f>IF(BQ$1&lt;INDEX('Valo FX'!$Q:$Q,MATCH($A42,'Valo FX'!$A:$A,0)),0,IF(BQ$1&lt;INDEX('Valo FX'!$R:$R,MATCH($A42,'Valo FX'!$A:$A,0)),INDEX(Base!$U:$U,MATCH($A42,Base!$A:$A,0)),IF(BQ$1=INDEX('Valo FX'!$R:$R,MATCH($A42,'Valo FX'!$A:$A,0)),INDEX(Base!$V:$V,MATCH($A42,Base!$A:$A,0)),0)))</f>
        <v>8.6176200000000005</v>
      </c>
      <c r="BR42" s="21">
        <f>IF(BR$1&lt;INDEX('Valo FX'!$Q:$Q,MATCH($A42,'Valo FX'!$A:$A,0)),0,IF(BR$1&lt;INDEX('Valo FX'!$R:$R,MATCH($A42,'Valo FX'!$A:$A,0)),INDEX(Base!$U:$U,MATCH($A42,Base!$A:$A,0)),IF(BR$1=INDEX('Valo FX'!$R:$R,MATCH($A42,'Valo FX'!$A:$A,0)),INDEX(Base!$V:$V,MATCH($A42,Base!$A:$A,0)),0)))</f>
        <v>8.6176200000000005</v>
      </c>
      <c r="BS42" s="21">
        <f>IF(BS$1&lt;INDEX('Valo FX'!$Q:$Q,MATCH($A42,'Valo FX'!$A:$A,0)),0,IF(BS$1&lt;INDEX('Valo FX'!$R:$R,MATCH($A42,'Valo FX'!$A:$A,0)),INDEX(Base!$U:$U,MATCH($A42,Base!$A:$A,0)),IF(BS$1=INDEX('Valo FX'!$R:$R,MATCH($A42,'Valo FX'!$A:$A,0)),INDEX(Base!$V:$V,MATCH($A42,Base!$A:$A,0)),0)))</f>
        <v>8.6176200000000005</v>
      </c>
      <c r="BT42" s="21">
        <f>IF(BT$1&lt;INDEX('Valo FX'!$Q:$Q,MATCH($A42,'Valo FX'!$A:$A,0)),0,IF(BT$1&lt;INDEX('Valo FX'!$R:$R,MATCH($A42,'Valo FX'!$A:$A,0)),INDEX(Base!$U:$U,MATCH($A42,Base!$A:$A,0)),IF(BT$1=INDEX('Valo FX'!$R:$R,MATCH($A42,'Valo FX'!$A:$A,0)),INDEX(Base!$V:$V,MATCH($A42,Base!$A:$A,0)),0)))</f>
        <v>8.6176200000000005</v>
      </c>
      <c r="BU42" s="21">
        <f>IF(BU$1&lt;INDEX('Valo FX'!$Q:$Q,MATCH($A42,'Valo FX'!$A:$A,0)),0,IF(BU$1&lt;INDEX('Valo FX'!$R:$R,MATCH($A42,'Valo FX'!$A:$A,0)),INDEX(Base!$U:$U,MATCH($A42,Base!$A:$A,0)),IF(BU$1=INDEX('Valo FX'!$R:$R,MATCH($A42,'Valo FX'!$A:$A,0)),INDEX(Base!$V:$V,MATCH($A42,Base!$A:$A,0)),0)))</f>
        <v>8.6176200000000005</v>
      </c>
      <c r="BV42" s="21">
        <f>IF(BV$1&lt;INDEX('Valo FX'!$Q:$Q,MATCH($A42,'Valo FX'!$A:$A,0)),0,IF(BV$1&lt;INDEX('Valo FX'!$R:$R,MATCH($A42,'Valo FX'!$A:$A,0)),INDEX(Base!$U:$U,MATCH($A42,Base!$A:$A,0)),IF(BV$1=INDEX('Valo FX'!$R:$R,MATCH($A42,'Valo FX'!$A:$A,0)),INDEX(Base!$V:$V,MATCH($A42,Base!$A:$A,0)),0)))</f>
        <v>8.6176200000000005</v>
      </c>
      <c r="BW42" s="21">
        <f>IF(BW$1&lt;INDEX('Valo FX'!$Q:$Q,MATCH($A42,'Valo FX'!$A:$A,0)),0,IF(BW$1&lt;INDEX('Valo FX'!$R:$R,MATCH($A42,'Valo FX'!$A:$A,0)),INDEX(Base!$U:$U,MATCH($A42,Base!$A:$A,0)),IF(BW$1=INDEX('Valo FX'!$R:$R,MATCH($A42,'Valo FX'!$A:$A,0)),INDEX(Base!$V:$V,MATCH($A42,Base!$A:$A,0)),0)))</f>
        <v>8.6176200000000005</v>
      </c>
      <c r="BX42" s="21">
        <f>IF(BX$1&lt;INDEX('Valo FX'!$Q:$Q,MATCH($A42,'Valo FX'!$A:$A,0)),0,IF(BX$1&lt;INDEX('Valo FX'!$R:$R,MATCH($A42,'Valo FX'!$A:$A,0)),INDEX(Base!$U:$U,MATCH($A42,Base!$A:$A,0)),IF(BX$1=INDEX('Valo FX'!$R:$R,MATCH($A42,'Valo FX'!$A:$A,0)),INDEX(Base!$V:$V,MATCH($A42,Base!$A:$A,0)),0)))</f>
        <v>8.6176200000000005</v>
      </c>
      <c r="BY42" s="21">
        <f>IF(BY$1&lt;INDEX('Valo FX'!$Q:$Q,MATCH($A42,'Valo FX'!$A:$A,0)),0,IF(BY$1&lt;INDEX('Valo FX'!$R:$R,MATCH($A42,'Valo FX'!$A:$A,0)),INDEX(Base!$U:$U,MATCH($A42,Base!$A:$A,0)),IF(BY$1=INDEX('Valo FX'!$R:$R,MATCH($A42,'Valo FX'!$A:$A,0)),INDEX(Base!$V:$V,MATCH($A42,Base!$A:$A,0)),0)))</f>
        <v>8.6176200000000005</v>
      </c>
      <c r="BZ42" s="21">
        <f>IF(BZ$1&lt;INDEX('Valo FX'!$Q:$Q,MATCH($A42,'Valo FX'!$A:$A,0)),0,IF(BZ$1&lt;INDEX('Valo FX'!$R:$R,MATCH($A42,'Valo FX'!$A:$A,0)),INDEX(Base!$U:$U,MATCH($A42,Base!$A:$A,0)),IF(BZ$1=INDEX('Valo FX'!$R:$R,MATCH($A42,'Valo FX'!$A:$A,0)),INDEX(Base!$V:$V,MATCH($A42,Base!$A:$A,0)),0)))</f>
        <v>8.6176200000000005</v>
      </c>
      <c r="CA42" s="21">
        <f>IF(CA$1&lt;INDEX('Valo FX'!$Q:$Q,MATCH($A42,'Valo FX'!$A:$A,0)),0,IF(CA$1&lt;INDEX('Valo FX'!$R:$R,MATCH($A42,'Valo FX'!$A:$A,0)),INDEX(Base!$U:$U,MATCH($A42,Base!$A:$A,0)),IF(CA$1=INDEX('Valo FX'!$R:$R,MATCH($A42,'Valo FX'!$A:$A,0)),INDEX(Base!$V:$V,MATCH($A42,Base!$A:$A,0)),0)))</f>
        <v>8.6176200000000005</v>
      </c>
      <c r="CB42" s="21">
        <f>IF(CB$1&lt;INDEX('Valo FX'!$Q:$Q,MATCH($A42,'Valo FX'!$A:$A,0)),0,IF(CB$1&lt;INDEX('Valo FX'!$R:$R,MATCH($A42,'Valo FX'!$A:$A,0)),INDEX(Base!$U:$U,MATCH($A42,Base!$A:$A,0)),IF(CB$1=INDEX('Valo FX'!$R:$R,MATCH($A42,'Valo FX'!$A:$A,0)),INDEX(Base!$V:$V,MATCH($A42,Base!$A:$A,0)),0)))</f>
        <v>8.6176200000000005</v>
      </c>
      <c r="CC42" s="21">
        <f>IF(CC$1&lt;INDEX('Valo FX'!$Q:$Q,MATCH($A42,'Valo FX'!$A:$A,0)),0,IF(CC$1&lt;INDEX('Valo FX'!$R:$R,MATCH($A42,'Valo FX'!$A:$A,0)),INDEX(Base!$U:$U,MATCH($A42,Base!$A:$A,0)),IF(CC$1=INDEX('Valo FX'!$R:$R,MATCH($A42,'Valo FX'!$A:$A,0)),INDEX(Base!$V:$V,MATCH($A42,Base!$A:$A,0)),0)))</f>
        <v>8.6176200000000005</v>
      </c>
      <c r="CD42" s="21">
        <f>IF(CD$1&lt;INDEX('Valo FX'!$Q:$Q,MATCH($A42,'Valo FX'!$A:$A,0)),0,IF(CD$1&lt;INDEX('Valo FX'!$R:$R,MATCH($A42,'Valo FX'!$A:$A,0)),INDEX(Base!$U:$U,MATCH($A42,Base!$A:$A,0)),IF(CD$1=INDEX('Valo FX'!$R:$R,MATCH($A42,'Valo FX'!$A:$A,0)),INDEX(Base!$V:$V,MATCH($A42,Base!$A:$A,0)),0)))</f>
        <v>8.6176200000000005</v>
      </c>
      <c r="CE42" s="21">
        <f>IF(CE$1&lt;INDEX('Valo FX'!$Q:$Q,MATCH($A42,'Valo FX'!$A:$A,0)),0,IF(CE$1&lt;INDEX('Valo FX'!$R:$R,MATCH($A42,'Valo FX'!$A:$A,0)),INDEX(Base!$U:$U,MATCH($A42,Base!$A:$A,0)),IF(CE$1=INDEX('Valo FX'!$R:$R,MATCH($A42,'Valo FX'!$A:$A,0)),INDEX(Base!$V:$V,MATCH($A42,Base!$A:$A,0)),0)))</f>
        <v>8.6176200000000005</v>
      </c>
      <c r="CF42" s="21">
        <f>IF(CF$1&lt;INDEX('Valo FX'!$Q:$Q,MATCH($A42,'Valo FX'!$A:$A,0)),0,IF(CF$1&lt;INDEX('Valo FX'!$R:$R,MATCH($A42,'Valo FX'!$A:$A,0)),INDEX(Base!$U:$U,MATCH($A42,Base!$A:$A,0)),IF(CF$1=INDEX('Valo FX'!$R:$R,MATCH($A42,'Valo FX'!$A:$A,0)),INDEX(Base!$V:$V,MATCH($A42,Base!$A:$A,0)),0)))</f>
        <v>8.6176200000000005</v>
      </c>
      <c r="CG42" s="21">
        <f>IF(CG$1&lt;INDEX('Valo FX'!$Q:$Q,MATCH($A42,'Valo FX'!$A:$A,0)),0,IF(CG$1&lt;INDEX('Valo FX'!$R:$R,MATCH($A42,'Valo FX'!$A:$A,0)),INDEX(Base!$U:$U,MATCH($A42,Base!$A:$A,0)),IF(CG$1=INDEX('Valo FX'!$R:$R,MATCH($A42,'Valo FX'!$A:$A,0)),INDEX(Base!$V:$V,MATCH($A42,Base!$A:$A,0)),0)))</f>
        <v>8.6176200000000005</v>
      </c>
      <c r="CH42" s="21">
        <f>IF(CH$1&lt;INDEX('Valo FX'!$Q:$Q,MATCH($A42,'Valo FX'!$A:$A,0)),0,IF(CH$1&lt;INDEX('Valo FX'!$R:$R,MATCH($A42,'Valo FX'!$A:$A,0)),INDEX(Base!$U:$U,MATCH($A42,Base!$A:$A,0)),IF(CH$1=INDEX('Valo FX'!$R:$R,MATCH($A42,'Valo FX'!$A:$A,0)),INDEX(Base!$V:$V,MATCH($A42,Base!$A:$A,0)),0)))</f>
        <v>8.6176200000000005</v>
      </c>
      <c r="CI42" s="21">
        <f>IF(CI$1&lt;INDEX('Valo FX'!$Q:$Q,MATCH($A42,'Valo FX'!$A:$A,0)),0,IF(CI$1&lt;INDEX('Valo FX'!$R:$R,MATCH($A42,'Valo FX'!$A:$A,0)),INDEX(Base!$U:$U,MATCH($A42,Base!$A:$A,0)),IF(CI$1=INDEX('Valo FX'!$R:$R,MATCH($A42,'Valo FX'!$A:$A,0)),INDEX(Base!$V:$V,MATCH($A42,Base!$A:$A,0)),0)))</f>
        <v>8.6176200000000005</v>
      </c>
      <c r="CJ42" s="21">
        <f>IF(CJ$1&lt;INDEX('Valo FX'!$Q:$Q,MATCH($A42,'Valo FX'!$A:$A,0)),0,IF(CJ$1&lt;INDEX('Valo FX'!$R:$R,MATCH($A42,'Valo FX'!$A:$A,0)),INDEX(Base!$U:$U,MATCH($A42,Base!$A:$A,0)),IF(CJ$1=INDEX('Valo FX'!$R:$R,MATCH($A42,'Valo FX'!$A:$A,0)),INDEX(Base!$V:$V,MATCH($A42,Base!$A:$A,0)),0)))</f>
        <v>8.6176200000000005</v>
      </c>
      <c r="CK42" s="21">
        <f>IF(CK$1&lt;INDEX('Valo FX'!$Q:$Q,MATCH($A42,'Valo FX'!$A:$A,0)),0,IF(CK$1&lt;INDEX('Valo FX'!$R:$R,MATCH($A42,'Valo FX'!$A:$A,0)),INDEX(Base!$U:$U,MATCH($A42,Base!$A:$A,0)),IF(CK$1=INDEX('Valo FX'!$R:$R,MATCH($A42,'Valo FX'!$A:$A,0)),INDEX(Base!$V:$V,MATCH($A42,Base!$A:$A,0)),0)))</f>
        <v>8.6176200000000005</v>
      </c>
      <c r="CL42" s="21">
        <f>IF(CL$1&lt;INDEX('Valo FX'!$Q:$Q,MATCH($A42,'Valo FX'!$A:$A,0)),0,IF(CL$1&lt;INDEX('Valo FX'!$R:$R,MATCH($A42,'Valo FX'!$A:$A,0)),INDEX(Base!$U:$U,MATCH($A42,Base!$A:$A,0)),IF(CL$1=INDEX('Valo FX'!$R:$R,MATCH($A42,'Valo FX'!$A:$A,0)),INDEX(Base!$V:$V,MATCH($A42,Base!$A:$A,0)),0)))</f>
        <v>8.6176200000000005</v>
      </c>
      <c r="CM42" s="21">
        <f>IF(CM$1&lt;INDEX('Valo FX'!$Q:$Q,MATCH($A42,'Valo FX'!$A:$A,0)),0,IF(CM$1&lt;INDEX('Valo FX'!$R:$R,MATCH($A42,'Valo FX'!$A:$A,0)),INDEX(Base!$U:$U,MATCH($A42,Base!$A:$A,0)),IF(CM$1=INDEX('Valo FX'!$R:$R,MATCH($A42,'Valo FX'!$A:$A,0)),INDEX(Base!$V:$V,MATCH($A42,Base!$A:$A,0)),0)))</f>
        <v>8.6176200000000005</v>
      </c>
      <c r="CN42" s="21">
        <f>IF(CN$1&lt;INDEX('Valo FX'!$Q:$Q,MATCH($A42,'Valo FX'!$A:$A,0)),0,IF(CN$1&lt;INDEX('Valo FX'!$R:$R,MATCH($A42,'Valo FX'!$A:$A,0)),INDEX(Base!$U:$U,MATCH($A42,Base!$A:$A,0)),IF(CN$1=INDEX('Valo FX'!$R:$R,MATCH($A42,'Valo FX'!$A:$A,0)),INDEX(Base!$V:$V,MATCH($A42,Base!$A:$A,0)),0)))</f>
        <v>8.6176200000000005</v>
      </c>
      <c r="CO42" s="21">
        <f>IF(CO$1&lt;INDEX('Valo FX'!$Q:$Q,MATCH($A42,'Valo FX'!$A:$A,0)),0,IF(CO$1&lt;INDEX('Valo FX'!$R:$R,MATCH($A42,'Valo FX'!$A:$A,0)),INDEX(Base!$U:$U,MATCH($A42,Base!$A:$A,0)),IF(CO$1=INDEX('Valo FX'!$R:$R,MATCH($A42,'Valo FX'!$A:$A,0)),INDEX(Base!$V:$V,MATCH($A42,Base!$A:$A,0)),0)))</f>
        <v>8.6176200000000005</v>
      </c>
      <c r="CP42" s="21">
        <f>IF(CP$1&lt;INDEX('Valo FX'!$Q:$Q,MATCH($A42,'Valo FX'!$A:$A,0)),0,IF(CP$1&lt;INDEX('Valo FX'!$R:$R,MATCH($A42,'Valo FX'!$A:$A,0)),INDEX(Base!$U:$U,MATCH($A42,Base!$A:$A,0)),IF(CP$1=INDEX('Valo FX'!$R:$R,MATCH($A42,'Valo FX'!$A:$A,0)),INDEX(Base!$V:$V,MATCH($A42,Base!$A:$A,0)),0)))</f>
        <v>8.6176200000000005</v>
      </c>
      <c r="CQ42" s="21">
        <f>IF(CQ$1&lt;INDEX('Valo FX'!$Q:$Q,MATCH($A42,'Valo FX'!$A:$A,0)),0,IF(CQ$1&lt;INDEX('Valo FX'!$R:$R,MATCH($A42,'Valo FX'!$A:$A,0)),INDEX(Base!$U:$U,MATCH($A42,Base!$A:$A,0)),IF(CQ$1=INDEX('Valo FX'!$R:$R,MATCH($A42,'Valo FX'!$A:$A,0)),INDEX(Base!$V:$V,MATCH($A42,Base!$A:$A,0)),0)))</f>
        <v>8.6176200000000005</v>
      </c>
      <c r="CR42" s="21">
        <f>IF(CR$1&lt;INDEX('Valo FX'!$Q:$Q,MATCH($A42,'Valo FX'!$A:$A,0)),0,IF(CR$1&lt;INDEX('Valo FX'!$R:$R,MATCH($A42,'Valo FX'!$A:$A,0)),INDEX(Base!$U:$U,MATCH($A42,Base!$A:$A,0)),IF(CR$1=INDEX('Valo FX'!$R:$R,MATCH($A42,'Valo FX'!$A:$A,0)),INDEX(Base!$V:$V,MATCH($A42,Base!$A:$A,0)),0)))</f>
        <v>8.6176200000000005</v>
      </c>
      <c r="CS42" s="21">
        <f>IF(CS$1&lt;INDEX('Valo FX'!$Q:$Q,MATCH($A42,'Valo FX'!$A:$A,0)),0,IF(CS$1&lt;INDEX('Valo FX'!$R:$R,MATCH($A42,'Valo FX'!$A:$A,0)),INDEX(Base!$U:$U,MATCH($A42,Base!$A:$A,0)),IF(CS$1=INDEX('Valo FX'!$R:$R,MATCH($A42,'Valo FX'!$A:$A,0)),INDEX(Base!$V:$V,MATCH($A42,Base!$A:$A,0)),0)))</f>
        <v>8.6176200000000005</v>
      </c>
      <c r="CT42" s="21">
        <f>IF(CT$1&lt;INDEX('Valo FX'!$Q:$Q,MATCH($A42,'Valo FX'!$A:$A,0)),0,IF(CT$1&lt;INDEX('Valo FX'!$R:$R,MATCH($A42,'Valo FX'!$A:$A,0)),INDEX(Base!$U:$U,MATCH($A42,Base!$A:$A,0)),IF(CT$1=INDEX('Valo FX'!$R:$R,MATCH($A42,'Valo FX'!$A:$A,0)),INDEX(Base!$V:$V,MATCH($A42,Base!$A:$A,0)),0)))</f>
        <v>8.6176200000000005</v>
      </c>
      <c r="CU42" s="21">
        <f>IF(CU$1&lt;INDEX('Valo FX'!$Q:$Q,MATCH($A42,'Valo FX'!$A:$A,0)),0,IF(CU$1&lt;INDEX('Valo FX'!$R:$R,MATCH($A42,'Valo FX'!$A:$A,0)),INDEX(Base!$U:$U,MATCH($A42,Base!$A:$A,0)),IF(CU$1=INDEX('Valo FX'!$R:$R,MATCH($A42,'Valo FX'!$A:$A,0)),INDEX(Base!$V:$V,MATCH($A42,Base!$A:$A,0)),0)))</f>
        <v>8.6176200000000005</v>
      </c>
      <c r="CV42" s="21">
        <f>IF(CV$1&lt;INDEX('Valo FX'!$Q:$Q,MATCH($A42,'Valo FX'!$A:$A,0)),0,IF(CV$1&lt;INDEX('Valo FX'!$R:$R,MATCH($A42,'Valo FX'!$A:$A,0)),INDEX(Base!$U:$U,MATCH($A42,Base!$A:$A,0)),IF(CV$1=INDEX('Valo FX'!$R:$R,MATCH($A42,'Valo FX'!$A:$A,0)),INDEX(Base!$V:$V,MATCH($A42,Base!$A:$A,0)),0)))</f>
        <v>8.6176200000000005</v>
      </c>
      <c r="CW42" s="21">
        <f>IF(CW$1&lt;INDEX('Valo FX'!$Q:$Q,MATCH($A42,'Valo FX'!$A:$A,0)),0,IF(CW$1&lt;INDEX('Valo FX'!$R:$R,MATCH($A42,'Valo FX'!$A:$A,0)),INDEX(Base!$U:$U,MATCH($A42,Base!$A:$A,0)),IF(CW$1=INDEX('Valo FX'!$R:$R,MATCH($A42,'Valo FX'!$A:$A,0)),INDEX(Base!$V:$V,MATCH($A42,Base!$A:$A,0)),0)))</f>
        <v>8.6176200000000005</v>
      </c>
      <c r="CX42" s="21">
        <f>IF(CX$1&lt;INDEX('Valo FX'!$Q:$Q,MATCH($A42,'Valo FX'!$A:$A,0)),0,IF(CX$1&lt;INDEX('Valo FX'!$R:$R,MATCH($A42,'Valo FX'!$A:$A,0)),INDEX(Base!$U:$U,MATCH($A42,Base!$A:$A,0)),IF(CX$1=INDEX('Valo FX'!$R:$R,MATCH($A42,'Valo FX'!$A:$A,0)),INDEX(Base!$V:$V,MATCH($A42,Base!$A:$A,0)),0)))</f>
        <v>8.6176200000000005</v>
      </c>
      <c r="CY42" s="21">
        <f>IF(CY$1&lt;INDEX('Valo FX'!$Q:$Q,MATCH($A42,'Valo FX'!$A:$A,0)),0,IF(CY$1&lt;INDEX('Valo FX'!$R:$R,MATCH($A42,'Valo FX'!$A:$A,0)),INDEX(Base!$U:$U,MATCH($A42,Base!$A:$A,0)),IF(CY$1=INDEX('Valo FX'!$R:$R,MATCH($A42,'Valo FX'!$A:$A,0)),INDEX(Base!$V:$V,MATCH($A42,Base!$A:$A,0)),0)))</f>
        <v>8.6176200000000005</v>
      </c>
      <c r="CZ42" s="21">
        <f>IF(CZ$1&lt;INDEX('Valo FX'!$Q:$Q,MATCH($A42,'Valo FX'!$A:$A,0)),0,IF(CZ$1&lt;INDEX('Valo FX'!$R:$R,MATCH($A42,'Valo FX'!$A:$A,0)),INDEX(Base!$U:$U,MATCH($A42,Base!$A:$A,0)),IF(CZ$1=INDEX('Valo FX'!$R:$R,MATCH($A42,'Valo FX'!$A:$A,0)),INDEX(Base!$V:$V,MATCH($A42,Base!$A:$A,0)),0)))</f>
        <v>8.6176200000000005</v>
      </c>
      <c r="DA42" s="21">
        <f>IF(DA$1&lt;INDEX('Valo FX'!$Q:$Q,MATCH($A42,'Valo FX'!$A:$A,0)),0,IF(DA$1&lt;INDEX('Valo FX'!$R:$R,MATCH($A42,'Valo FX'!$A:$A,0)),INDEX(Base!$U:$U,MATCH($A42,Base!$A:$A,0)),IF(DA$1=INDEX('Valo FX'!$R:$R,MATCH($A42,'Valo FX'!$A:$A,0)),INDEX(Base!$V:$V,MATCH($A42,Base!$A:$A,0)),0)))</f>
        <v>8.6176200000000005</v>
      </c>
      <c r="DB42" s="21">
        <f>IF(DB$1&lt;INDEX('Valo FX'!$Q:$Q,MATCH($A42,'Valo FX'!$A:$A,0)),0,IF(DB$1&lt;INDEX('Valo FX'!$R:$R,MATCH($A42,'Valo FX'!$A:$A,0)),INDEX(Base!$U:$U,MATCH($A42,Base!$A:$A,0)),IF(DB$1=INDEX('Valo FX'!$R:$R,MATCH($A42,'Valo FX'!$A:$A,0)),INDEX(Base!$V:$V,MATCH($A42,Base!$A:$A,0)),0)))</f>
        <v>8.6176200000000005</v>
      </c>
      <c r="DC42" s="21">
        <f>IF(DC$1&lt;INDEX('Valo FX'!$Q:$Q,MATCH($A42,'Valo FX'!$A:$A,0)),0,IF(DC$1&lt;INDEX('Valo FX'!$R:$R,MATCH($A42,'Valo FX'!$A:$A,0)),INDEX(Base!$U:$U,MATCH($A42,Base!$A:$A,0)),IF(DC$1=INDEX('Valo FX'!$R:$R,MATCH($A42,'Valo FX'!$A:$A,0)),INDEX(Base!$V:$V,MATCH($A42,Base!$A:$A,0)),0)))</f>
        <v>8.6176200000000005</v>
      </c>
      <c r="DD42" s="21">
        <f>IF(DD$1&lt;INDEX('Valo FX'!$Q:$Q,MATCH($A42,'Valo FX'!$A:$A,0)),0,IF(DD$1&lt;INDEX('Valo FX'!$R:$R,MATCH($A42,'Valo FX'!$A:$A,0)),INDEX(Base!$U:$U,MATCH($A42,Base!$A:$A,0)),IF(DD$1=INDEX('Valo FX'!$R:$R,MATCH($A42,'Valo FX'!$A:$A,0)),INDEX(Base!$V:$V,MATCH($A42,Base!$A:$A,0)),0)))</f>
        <v>8.6176200000000005</v>
      </c>
      <c r="DE42" s="21">
        <f>IF(DE$1&lt;INDEX('Valo FX'!$Q:$Q,MATCH($A42,'Valo FX'!$A:$A,0)),0,IF(DE$1&lt;INDEX('Valo FX'!$R:$R,MATCH($A42,'Valo FX'!$A:$A,0)),INDEX(Base!$U:$U,MATCH($A42,Base!$A:$A,0)),IF(DE$1=INDEX('Valo FX'!$R:$R,MATCH($A42,'Valo FX'!$A:$A,0)),INDEX(Base!$V:$V,MATCH($A42,Base!$A:$A,0)),0)))</f>
        <v>8.6176200000000005</v>
      </c>
      <c r="DF42" s="21">
        <f>IF(DF$1&lt;INDEX('Valo FX'!$Q:$Q,MATCH($A42,'Valo FX'!$A:$A,0)),0,IF(DF$1&lt;INDEX('Valo FX'!$R:$R,MATCH($A42,'Valo FX'!$A:$A,0)),INDEX(Base!$U:$U,MATCH($A42,Base!$A:$A,0)),IF(DF$1=INDEX('Valo FX'!$R:$R,MATCH($A42,'Valo FX'!$A:$A,0)),INDEX(Base!$V:$V,MATCH($A42,Base!$A:$A,0)),0)))</f>
        <v>8.6176200000000005</v>
      </c>
      <c r="DG42" s="21">
        <f>IF(DG$1&lt;INDEX('Valo FX'!$Q:$Q,MATCH($A42,'Valo FX'!$A:$A,0)),0,IF(DG$1&lt;INDEX('Valo FX'!$R:$R,MATCH($A42,'Valo FX'!$A:$A,0)),INDEX(Base!$U:$U,MATCH($A42,Base!$A:$A,0)),IF(DG$1=INDEX('Valo FX'!$R:$R,MATCH($A42,'Valo FX'!$A:$A,0)),INDEX(Base!$V:$V,MATCH($A42,Base!$A:$A,0)),0)))</f>
        <v>8.6176200000000005</v>
      </c>
      <c r="DH42" s="21">
        <f>IF(DH$1&lt;INDEX('Valo FX'!$Q:$Q,MATCH($A42,'Valo FX'!$A:$A,0)),0,IF(DH$1&lt;INDEX('Valo FX'!$R:$R,MATCH($A42,'Valo FX'!$A:$A,0)),INDEX(Base!$U:$U,MATCH($A42,Base!$A:$A,0)),IF(DH$1=INDEX('Valo FX'!$R:$R,MATCH($A42,'Valo FX'!$A:$A,0)),INDEX(Base!$V:$V,MATCH($A42,Base!$A:$A,0)),0)))</f>
        <v>8.6176200000000005</v>
      </c>
      <c r="DI42" s="21">
        <f>IF(DI$1&lt;INDEX('Valo FX'!$Q:$Q,MATCH($A42,'Valo FX'!$A:$A,0)),0,IF(DI$1&lt;INDEX('Valo FX'!$R:$R,MATCH($A42,'Valo FX'!$A:$A,0)),INDEX(Base!$U:$U,MATCH($A42,Base!$A:$A,0)),IF(DI$1=INDEX('Valo FX'!$R:$R,MATCH($A42,'Valo FX'!$A:$A,0)),INDEX(Base!$V:$V,MATCH($A42,Base!$A:$A,0)),0)))</f>
        <v>8.6176200000000005</v>
      </c>
      <c r="DJ42" s="21">
        <f>IF(DJ$1&lt;INDEX('Valo FX'!$Q:$Q,MATCH($A42,'Valo FX'!$A:$A,0)),0,IF(DJ$1&lt;INDEX('Valo FX'!$R:$R,MATCH($A42,'Valo FX'!$A:$A,0)),INDEX(Base!$U:$U,MATCH($A42,Base!$A:$A,0)),IF(DJ$1=INDEX('Valo FX'!$R:$R,MATCH($A42,'Valo FX'!$A:$A,0)),INDEX(Base!$V:$V,MATCH($A42,Base!$A:$A,0)),0)))</f>
        <v>8.6176200000000005</v>
      </c>
      <c r="DK42" s="21">
        <f>IF(DK$1&lt;INDEX('Valo FX'!$Q:$Q,MATCH($A42,'Valo FX'!$A:$A,0)),0,IF(DK$1&lt;INDEX('Valo FX'!$R:$R,MATCH($A42,'Valo FX'!$A:$A,0)),INDEX(Base!$U:$U,MATCH($A42,Base!$A:$A,0)),IF(DK$1=INDEX('Valo FX'!$R:$R,MATCH($A42,'Valo FX'!$A:$A,0)),INDEX(Base!$V:$V,MATCH($A42,Base!$A:$A,0)),0)))</f>
        <v>8.6176200000000005</v>
      </c>
      <c r="DL42" s="21">
        <f>IF(DL$1&lt;INDEX('Valo FX'!$Q:$Q,MATCH($A42,'Valo FX'!$A:$A,0)),0,IF(DL$1&lt;INDEX('Valo FX'!$R:$R,MATCH($A42,'Valo FX'!$A:$A,0)),INDEX(Base!$U:$U,MATCH($A42,Base!$A:$A,0)),IF(DL$1=INDEX('Valo FX'!$R:$R,MATCH($A42,'Valo FX'!$A:$A,0)),INDEX(Base!$V:$V,MATCH($A42,Base!$A:$A,0)),0)))</f>
        <v>8.6176200000000005</v>
      </c>
      <c r="DM42" s="21">
        <f>IF(DM$1&lt;INDEX('Valo FX'!$Q:$Q,MATCH($A42,'Valo FX'!$A:$A,0)),0,IF(DM$1&lt;INDEX('Valo FX'!$R:$R,MATCH($A42,'Valo FX'!$A:$A,0)),INDEX(Base!$U:$U,MATCH($A42,Base!$A:$A,0)),IF(DM$1=INDEX('Valo FX'!$R:$R,MATCH($A42,'Valo FX'!$A:$A,0)),INDEX(Base!$V:$V,MATCH($A42,Base!$A:$A,0)),0)))</f>
        <v>8.6176200000000005</v>
      </c>
      <c r="DN42" s="21">
        <f>IF(DN$1&lt;INDEX('Valo FX'!$Q:$Q,MATCH($A42,'Valo FX'!$A:$A,0)),0,IF(DN$1&lt;INDEX('Valo FX'!$R:$R,MATCH($A42,'Valo FX'!$A:$A,0)),INDEX(Base!$U:$U,MATCH($A42,Base!$A:$A,0)),IF(DN$1=INDEX('Valo FX'!$R:$R,MATCH($A42,'Valo FX'!$A:$A,0)),INDEX(Base!$V:$V,MATCH($A42,Base!$A:$A,0)),0)))</f>
        <v>8.6176200000000005</v>
      </c>
      <c r="DO42" s="21">
        <f>IF(DO$1&lt;INDEX('Valo FX'!$Q:$Q,MATCH($A42,'Valo FX'!$A:$A,0)),0,IF(DO$1&lt;INDEX('Valo FX'!$R:$R,MATCH($A42,'Valo FX'!$A:$A,0)),INDEX(Base!$U:$U,MATCH($A42,Base!$A:$A,0)),IF(DO$1=INDEX('Valo FX'!$R:$R,MATCH($A42,'Valo FX'!$A:$A,0)),INDEX(Base!$V:$V,MATCH($A42,Base!$A:$A,0)),0)))</f>
        <v>8.6176200000000005</v>
      </c>
      <c r="DP42" s="21">
        <f>IF(DP$1&lt;INDEX('Valo FX'!$Q:$Q,MATCH($A42,'Valo FX'!$A:$A,0)),0,IF(DP$1&lt;INDEX('Valo FX'!$R:$R,MATCH($A42,'Valo FX'!$A:$A,0)),INDEX(Base!$U:$U,MATCH($A42,Base!$A:$A,0)),IF(DP$1=INDEX('Valo FX'!$R:$R,MATCH($A42,'Valo FX'!$A:$A,0)),INDEX(Base!$V:$V,MATCH($A42,Base!$A:$A,0)),0)))</f>
        <v>8.6176200000000005</v>
      </c>
      <c r="DQ42" s="21">
        <f>IF(DQ$1&lt;INDEX('Valo FX'!$Q:$Q,MATCH($A42,'Valo FX'!$A:$A,0)),0,IF(DQ$1&lt;INDEX('Valo FX'!$R:$R,MATCH($A42,'Valo FX'!$A:$A,0)),INDEX(Base!$U:$U,MATCH($A42,Base!$A:$A,0)),IF(DQ$1=INDEX('Valo FX'!$R:$R,MATCH($A42,'Valo FX'!$A:$A,0)),INDEX(Base!$V:$V,MATCH($A42,Base!$A:$A,0)),0)))</f>
        <v>8.6176200000000005</v>
      </c>
      <c r="DR42" s="21">
        <f>IF(DR$1&lt;INDEX('Valo FX'!$Q:$Q,MATCH($A42,'Valo FX'!$A:$A,0)),0,IF(DR$1&lt;INDEX('Valo FX'!$R:$R,MATCH($A42,'Valo FX'!$A:$A,0)),INDEX(Base!$U:$U,MATCH($A42,Base!$A:$A,0)),IF(DR$1=INDEX('Valo FX'!$R:$R,MATCH($A42,'Valo FX'!$A:$A,0)),INDEX(Base!$V:$V,MATCH($A42,Base!$A:$A,0)),0)))</f>
        <v>8.6176200000000005</v>
      </c>
      <c r="DS42" s="21">
        <f>IF(DS$1&lt;INDEX('Valo FX'!$Q:$Q,MATCH($A42,'Valo FX'!$A:$A,0)),0,IF(DS$1&lt;INDEX('Valo FX'!$R:$R,MATCH($A42,'Valo FX'!$A:$A,0)),INDEX(Base!$U:$U,MATCH($A42,Base!$A:$A,0)),IF(DS$1=INDEX('Valo FX'!$R:$R,MATCH($A42,'Valo FX'!$A:$A,0)),INDEX(Base!$V:$V,MATCH($A42,Base!$A:$A,0)),0)))</f>
        <v>8.6176200000000005</v>
      </c>
      <c r="DT42" s="21">
        <f>IF(DT$1&lt;INDEX('Valo FX'!$Q:$Q,MATCH($A42,'Valo FX'!$A:$A,0)),0,IF(DT$1&lt;INDEX('Valo FX'!$R:$R,MATCH($A42,'Valo FX'!$A:$A,0)),INDEX(Base!$U:$U,MATCH($A42,Base!$A:$A,0)),IF(DT$1=INDEX('Valo FX'!$R:$R,MATCH($A42,'Valo FX'!$A:$A,0)),INDEX(Base!$V:$V,MATCH($A42,Base!$A:$A,0)),0)))</f>
        <v>8.6176200000000005</v>
      </c>
      <c r="DU42" s="21">
        <f>IF(DU$1&lt;INDEX('Valo FX'!$Q:$Q,MATCH($A42,'Valo FX'!$A:$A,0)),0,IF(DU$1&lt;INDEX('Valo FX'!$R:$R,MATCH($A42,'Valo FX'!$A:$A,0)),INDEX(Base!$U:$U,MATCH($A42,Base!$A:$A,0)),IF(DU$1=INDEX('Valo FX'!$R:$R,MATCH($A42,'Valo FX'!$A:$A,0)),INDEX(Base!$V:$V,MATCH($A42,Base!$A:$A,0)),0)))</f>
        <v>8.6176200000000005</v>
      </c>
      <c r="DV42" s="21">
        <f>IF(DV$1&lt;INDEX('Valo FX'!$Q:$Q,MATCH($A42,'Valo FX'!$A:$A,0)),0,IF(DV$1&lt;INDEX('Valo FX'!$R:$R,MATCH($A42,'Valo FX'!$A:$A,0)),INDEX(Base!$U:$U,MATCH($A42,Base!$A:$A,0)),IF(DV$1=INDEX('Valo FX'!$R:$R,MATCH($A42,'Valo FX'!$A:$A,0)),INDEX(Base!$V:$V,MATCH($A42,Base!$A:$A,0)),0)))</f>
        <v>8.6176200000000005</v>
      </c>
      <c r="DW42" s="21">
        <f>IF(DW$1&lt;INDEX('Valo FX'!$Q:$Q,MATCH($A42,'Valo FX'!$A:$A,0)),0,IF(DW$1&lt;INDEX('Valo FX'!$R:$R,MATCH($A42,'Valo FX'!$A:$A,0)),INDEX(Base!$U:$U,MATCH($A42,Base!$A:$A,0)),IF(DW$1=INDEX('Valo FX'!$R:$R,MATCH($A42,'Valo FX'!$A:$A,0)),INDEX(Base!$V:$V,MATCH($A42,Base!$A:$A,0)),0)))</f>
        <v>8.6176200000000005</v>
      </c>
      <c r="DX42" s="21">
        <f>IF(DX$1&lt;INDEX('Valo FX'!$Q:$Q,MATCH($A42,'Valo FX'!$A:$A,0)),0,IF(DX$1&lt;INDEX('Valo FX'!$R:$R,MATCH($A42,'Valo FX'!$A:$A,0)),INDEX(Base!$U:$U,MATCH($A42,Base!$A:$A,0)),IF(DX$1=INDEX('Valo FX'!$R:$R,MATCH($A42,'Valo FX'!$A:$A,0)),INDEX(Base!$V:$V,MATCH($A42,Base!$A:$A,0)),0)))</f>
        <v>8.6176200000000005</v>
      </c>
      <c r="DY42" s="21">
        <f>IF(DY$1&lt;INDEX('Valo FX'!$Q:$Q,MATCH($A42,'Valo FX'!$A:$A,0)),0,IF(DY$1&lt;INDEX('Valo FX'!$R:$R,MATCH($A42,'Valo FX'!$A:$A,0)),INDEX(Base!$U:$U,MATCH($A42,Base!$A:$A,0)),IF(DY$1=INDEX('Valo FX'!$R:$R,MATCH($A42,'Valo FX'!$A:$A,0)),INDEX(Base!$V:$V,MATCH($A42,Base!$A:$A,0)),0)))</f>
        <v>8.6176200000000005</v>
      </c>
      <c r="DZ42" s="21">
        <f>IF(DZ$1&lt;INDEX('Valo FX'!$Q:$Q,MATCH($A42,'Valo FX'!$A:$A,0)),0,IF(DZ$1&lt;INDEX('Valo FX'!$R:$R,MATCH($A42,'Valo FX'!$A:$A,0)),INDEX(Base!$U:$U,MATCH($A42,Base!$A:$A,0)),IF(DZ$1=INDEX('Valo FX'!$R:$R,MATCH($A42,'Valo FX'!$A:$A,0)),INDEX(Base!$V:$V,MATCH($A42,Base!$A:$A,0)),0)))</f>
        <v>8.6176200000000005</v>
      </c>
      <c r="EA42" s="21">
        <f>IF(EA$1&lt;INDEX('Valo FX'!$Q:$Q,MATCH($A42,'Valo FX'!$A:$A,0)),0,IF(EA$1&lt;INDEX('Valo FX'!$R:$R,MATCH($A42,'Valo FX'!$A:$A,0)),INDEX(Base!$U:$U,MATCH($A42,Base!$A:$A,0)),IF(EA$1=INDEX('Valo FX'!$R:$R,MATCH($A42,'Valo FX'!$A:$A,0)),INDEX(Base!$V:$V,MATCH($A42,Base!$A:$A,0)),0)))</f>
        <v>8.6176200000000005</v>
      </c>
      <c r="EB42" s="21">
        <f>IF(EB$1&lt;INDEX('Valo FX'!$Q:$Q,MATCH($A42,'Valo FX'!$A:$A,0)),0,IF(EB$1&lt;INDEX('Valo FX'!$R:$R,MATCH($A42,'Valo FX'!$A:$A,0)),INDEX(Base!$U:$U,MATCH($A42,Base!$A:$A,0)),IF(EB$1=INDEX('Valo FX'!$R:$R,MATCH($A42,'Valo FX'!$A:$A,0)),INDEX(Base!$V:$V,MATCH($A42,Base!$A:$A,0)),0)))</f>
        <v>8.6176200000000005</v>
      </c>
      <c r="EC42" s="21">
        <f>IF(EC$1&lt;INDEX('Valo FX'!$Q:$Q,MATCH($A42,'Valo FX'!$A:$A,0)),0,IF(EC$1&lt;INDEX('Valo FX'!$R:$R,MATCH($A42,'Valo FX'!$A:$A,0)),INDEX(Base!$U:$U,MATCH($A42,Base!$A:$A,0)),IF(EC$1=INDEX('Valo FX'!$R:$R,MATCH($A42,'Valo FX'!$A:$A,0)),INDEX(Base!$V:$V,MATCH($A42,Base!$A:$A,0)),0)))</f>
        <v>8.6176200000000005</v>
      </c>
      <c r="ED42" s="21">
        <f>IF(ED$1&lt;INDEX('Valo FX'!$Q:$Q,MATCH($A42,'Valo FX'!$A:$A,0)),0,IF(ED$1&lt;INDEX('Valo FX'!$R:$R,MATCH($A42,'Valo FX'!$A:$A,0)),INDEX(Base!$U:$U,MATCH($A42,Base!$A:$A,0)),IF(ED$1=INDEX('Valo FX'!$R:$R,MATCH($A42,'Valo FX'!$A:$A,0)),INDEX(Base!$V:$V,MATCH($A42,Base!$A:$A,0)),0)))</f>
        <v>8.6176200000000005</v>
      </c>
      <c r="EE42" s="21">
        <f>IF(EE$1&lt;INDEX('Valo FX'!$Q:$Q,MATCH($A42,'Valo FX'!$A:$A,0)),0,IF(EE$1&lt;INDEX('Valo FX'!$R:$R,MATCH($A42,'Valo FX'!$A:$A,0)),INDEX(Base!$U:$U,MATCH($A42,Base!$A:$A,0)),IF(EE$1=INDEX('Valo FX'!$R:$R,MATCH($A42,'Valo FX'!$A:$A,0)),INDEX(Base!$V:$V,MATCH($A42,Base!$A:$A,0)),0)))</f>
        <v>8.6176200000000005</v>
      </c>
      <c r="EF42" s="21">
        <f>IF(EF$1&lt;INDEX('Valo FX'!$Q:$Q,MATCH($A42,'Valo FX'!$A:$A,0)),0,IF(EF$1&lt;INDEX('Valo FX'!$R:$R,MATCH($A42,'Valo FX'!$A:$A,0)),INDEX(Base!$U:$U,MATCH($A42,Base!$A:$A,0)),IF(EF$1=INDEX('Valo FX'!$R:$R,MATCH($A42,'Valo FX'!$A:$A,0)),INDEX(Base!$V:$V,MATCH($A42,Base!$A:$A,0)),0)))</f>
        <v>8.6176200000000005</v>
      </c>
      <c r="EG42" s="21">
        <f>IF(EG$1&lt;INDEX('Valo FX'!$Q:$Q,MATCH($A42,'Valo FX'!$A:$A,0)),0,IF(EG$1&lt;INDEX('Valo FX'!$R:$R,MATCH($A42,'Valo FX'!$A:$A,0)),INDEX(Base!$U:$U,MATCH($A42,Base!$A:$A,0)),IF(EG$1=INDEX('Valo FX'!$R:$R,MATCH($A42,'Valo FX'!$A:$A,0)),INDEX(Base!$V:$V,MATCH($A42,Base!$A:$A,0)),0)))</f>
        <v>8.6176200000000005</v>
      </c>
      <c r="EH42" s="21">
        <f>IF(EH$1&lt;INDEX('Valo FX'!$Q:$Q,MATCH($A42,'Valo FX'!$A:$A,0)),0,IF(EH$1&lt;INDEX('Valo FX'!$R:$R,MATCH($A42,'Valo FX'!$A:$A,0)),INDEX(Base!$U:$U,MATCH($A42,Base!$A:$A,0)),IF(EH$1=INDEX('Valo FX'!$R:$R,MATCH($A42,'Valo FX'!$A:$A,0)),INDEX(Base!$V:$V,MATCH($A42,Base!$A:$A,0)),0)))</f>
        <v>8.6176200000000005</v>
      </c>
      <c r="EI42" s="21">
        <f>IF(EI$1&lt;INDEX('Valo FX'!$Q:$Q,MATCH($A42,'Valo FX'!$A:$A,0)),0,IF(EI$1&lt;INDEX('Valo FX'!$R:$R,MATCH($A42,'Valo FX'!$A:$A,0)),INDEX(Base!$U:$U,MATCH($A42,Base!$A:$A,0)),IF(EI$1=INDEX('Valo FX'!$R:$R,MATCH($A42,'Valo FX'!$A:$A,0)),INDEX(Base!$V:$V,MATCH($A42,Base!$A:$A,0)),0)))</f>
        <v>8.6176200000000005</v>
      </c>
      <c r="EJ42" s="21">
        <f>IF(EJ$1&lt;INDEX('Valo FX'!$Q:$Q,MATCH($A42,'Valo FX'!$A:$A,0)),0,IF(EJ$1&lt;INDEX('Valo FX'!$R:$R,MATCH($A42,'Valo FX'!$A:$A,0)),INDEX(Base!$U:$U,MATCH($A42,Base!$A:$A,0)),IF(EJ$1=INDEX('Valo FX'!$R:$R,MATCH($A42,'Valo FX'!$A:$A,0)),INDEX(Base!$V:$V,MATCH($A42,Base!$A:$A,0)),0)))</f>
        <v>8.6176200000000005</v>
      </c>
      <c r="EK42" s="21">
        <f>IF(EK$1&lt;INDEX('Valo FX'!$Q:$Q,MATCH($A42,'Valo FX'!$A:$A,0)),0,IF(EK$1&lt;INDEX('Valo FX'!$R:$R,MATCH($A42,'Valo FX'!$A:$A,0)),INDEX(Base!$U:$U,MATCH($A42,Base!$A:$A,0)),IF(EK$1=INDEX('Valo FX'!$R:$R,MATCH($A42,'Valo FX'!$A:$A,0)),INDEX(Base!$V:$V,MATCH($A42,Base!$A:$A,0)),0)))</f>
        <v>8.6176200000000005</v>
      </c>
      <c r="EL42" s="21">
        <f>IF(EL$1&lt;INDEX('Valo FX'!$Q:$Q,MATCH($A42,'Valo FX'!$A:$A,0)),0,IF(EL$1&lt;INDEX('Valo FX'!$R:$R,MATCH($A42,'Valo FX'!$A:$A,0)),INDEX(Base!$U:$U,MATCH($A42,Base!$A:$A,0)),IF(EL$1=INDEX('Valo FX'!$R:$R,MATCH($A42,'Valo FX'!$A:$A,0)),INDEX(Base!$V:$V,MATCH($A42,Base!$A:$A,0)),0)))</f>
        <v>8.6176200000000005</v>
      </c>
      <c r="EM42" s="21">
        <f>IF(EM$1&lt;INDEX('Valo FX'!$Q:$Q,MATCH($A42,'Valo FX'!$A:$A,0)),0,IF(EM$1&lt;INDEX('Valo FX'!$R:$R,MATCH($A42,'Valo FX'!$A:$A,0)),INDEX(Base!$U:$U,MATCH($A42,Base!$A:$A,0)),IF(EM$1=INDEX('Valo FX'!$R:$R,MATCH($A42,'Valo FX'!$A:$A,0)),INDEX(Base!$V:$V,MATCH($A42,Base!$A:$A,0)),0)))</f>
        <v>8.6176200000000005</v>
      </c>
      <c r="EN42" s="21">
        <f>IF(EN$1&lt;INDEX('Valo FX'!$Q:$Q,MATCH($A42,'Valo FX'!$A:$A,0)),0,IF(EN$1&lt;INDEX('Valo FX'!$R:$R,MATCH($A42,'Valo FX'!$A:$A,0)),INDEX(Base!$U:$U,MATCH($A42,Base!$A:$A,0)),IF(EN$1=INDEX('Valo FX'!$R:$R,MATCH($A42,'Valo FX'!$A:$A,0)),INDEX(Base!$V:$V,MATCH($A42,Base!$A:$A,0)),0)))</f>
        <v>8.6176200000000005</v>
      </c>
      <c r="EO42" s="21">
        <f>IF(EO$1&lt;INDEX('Valo FX'!$Q:$Q,MATCH($A42,'Valo FX'!$A:$A,0)),0,IF(EO$1&lt;INDEX('Valo FX'!$R:$R,MATCH($A42,'Valo FX'!$A:$A,0)),INDEX(Base!$U:$U,MATCH($A42,Base!$A:$A,0)),IF(EO$1=INDEX('Valo FX'!$R:$R,MATCH($A42,'Valo FX'!$A:$A,0)),INDEX(Base!$V:$V,MATCH($A42,Base!$A:$A,0)),0)))</f>
        <v>8.6176200000000005</v>
      </c>
      <c r="EP42" s="21">
        <f>IF(EP$1&lt;INDEX('Valo FX'!$Q:$Q,MATCH($A42,'Valo FX'!$A:$A,0)),0,IF(EP$1&lt;INDEX('Valo FX'!$R:$R,MATCH($A42,'Valo FX'!$A:$A,0)),INDEX(Base!$U:$U,MATCH($A42,Base!$A:$A,0)),IF(EP$1=INDEX('Valo FX'!$R:$R,MATCH($A42,'Valo FX'!$A:$A,0)),INDEX(Base!$V:$V,MATCH($A42,Base!$A:$A,0)),0)))</f>
        <v>8.6176200000000005</v>
      </c>
      <c r="EQ42" s="21">
        <f>IF(EQ$1&lt;INDEX('Valo FX'!$Q:$Q,MATCH($A42,'Valo FX'!$A:$A,0)),0,IF(EQ$1&lt;INDEX('Valo FX'!$R:$R,MATCH($A42,'Valo FX'!$A:$A,0)),INDEX(Base!$U:$U,MATCH($A42,Base!$A:$A,0)),IF(EQ$1=INDEX('Valo FX'!$R:$R,MATCH($A42,'Valo FX'!$A:$A,0)),INDEX(Base!$V:$V,MATCH($A42,Base!$A:$A,0)),0)))</f>
        <v>8.6176200000000005</v>
      </c>
      <c r="ER42" s="21">
        <f>IF(ER$1&lt;INDEX('Valo FX'!$Q:$Q,MATCH($A42,'Valo FX'!$A:$A,0)),0,IF(ER$1&lt;INDEX('Valo FX'!$R:$R,MATCH($A42,'Valo FX'!$A:$A,0)),INDEX(Base!$U:$U,MATCH($A42,Base!$A:$A,0)),IF(ER$1=INDEX('Valo FX'!$R:$R,MATCH($A42,'Valo FX'!$A:$A,0)),INDEX(Base!$V:$V,MATCH($A42,Base!$A:$A,0)),0)))</f>
        <v>8.6176200000000005</v>
      </c>
      <c r="ES42" s="21">
        <f>IF(ES$1&lt;INDEX('Valo FX'!$Q:$Q,MATCH($A42,'Valo FX'!$A:$A,0)),0,IF(ES$1&lt;INDEX('Valo FX'!$R:$R,MATCH($A42,'Valo FX'!$A:$A,0)),INDEX(Base!$U:$U,MATCH($A42,Base!$A:$A,0)),IF(ES$1=INDEX('Valo FX'!$R:$R,MATCH($A42,'Valo FX'!$A:$A,0)),INDEX(Base!$V:$V,MATCH($A42,Base!$A:$A,0)),0)))</f>
        <v>8.6176200000000005</v>
      </c>
      <c r="ET42" s="21">
        <f>IF(ET$1&lt;INDEX('Valo FX'!$Q:$Q,MATCH($A42,'Valo FX'!$A:$A,0)),0,IF(ET$1&lt;INDEX('Valo FX'!$R:$R,MATCH($A42,'Valo FX'!$A:$A,0)),INDEX(Base!$U:$U,MATCH($A42,Base!$A:$A,0)),IF(ET$1=INDEX('Valo FX'!$R:$R,MATCH($A42,'Valo FX'!$A:$A,0)),INDEX(Base!$V:$V,MATCH($A42,Base!$A:$A,0)),0)))</f>
        <v>8.6176200000000005</v>
      </c>
      <c r="EU42" s="21">
        <f>IF(EU$1&lt;INDEX('Valo FX'!$Q:$Q,MATCH($A42,'Valo FX'!$A:$A,0)),0,IF(EU$1&lt;INDEX('Valo FX'!$R:$R,MATCH($A42,'Valo FX'!$A:$A,0)),INDEX(Base!$U:$U,MATCH($A42,Base!$A:$A,0)),IF(EU$1=INDEX('Valo FX'!$R:$R,MATCH($A42,'Valo FX'!$A:$A,0)),INDEX(Base!$V:$V,MATCH($A42,Base!$A:$A,0)),0)))</f>
        <v>8.6176200000000005</v>
      </c>
      <c r="EV42" s="21">
        <f>IF(EV$1&lt;INDEX('Valo FX'!$Q:$Q,MATCH($A42,'Valo FX'!$A:$A,0)),0,IF(EV$1&lt;INDEX('Valo FX'!$R:$R,MATCH($A42,'Valo FX'!$A:$A,0)),INDEX(Base!$U:$U,MATCH($A42,Base!$A:$A,0)),IF(EV$1=INDEX('Valo FX'!$R:$R,MATCH($A42,'Valo FX'!$A:$A,0)),INDEX(Base!$V:$V,MATCH($A42,Base!$A:$A,0)),0)))</f>
        <v>8.6176200000000005</v>
      </c>
      <c r="EW42" s="21">
        <f>IF(EW$1&lt;INDEX('Valo FX'!$Q:$Q,MATCH($A42,'Valo FX'!$A:$A,0)),0,IF(EW$1&lt;INDEX('Valo FX'!$R:$R,MATCH($A42,'Valo FX'!$A:$A,0)),INDEX(Base!$U:$U,MATCH($A42,Base!$A:$A,0)),IF(EW$1=INDEX('Valo FX'!$R:$R,MATCH($A42,'Valo FX'!$A:$A,0)),INDEX(Base!$V:$V,MATCH($A42,Base!$A:$A,0)),0)))</f>
        <v>8.6176200000000005</v>
      </c>
      <c r="EX42" s="21">
        <f>IF(EX$1&lt;INDEX('Valo FX'!$Q:$Q,MATCH($A42,'Valo FX'!$A:$A,0)),0,IF(EX$1&lt;INDEX('Valo FX'!$R:$R,MATCH($A42,'Valo FX'!$A:$A,0)),INDEX(Base!$U:$U,MATCH($A42,Base!$A:$A,0)),IF(EX$1=INDEX('Valo FX'!$R:$R,MATCH($A42,'Valo FX'!$A:$A,0)),INDEX(Base!$V:$V,MATCH($A42,Base!$A:$A,0)),0)))</f>
        <v>8.6176200000000005</v>
      </c>
      <c r="EY42" s="21">
        <f>IF(EY$1&lt;INDEX('Valo FX'!$Q:$Q,MATCH($A42,'Valo FX'!$A:$A,0)),0,IF(EY$1&lt;INDEX('Valo FX'!$R:$R,MATCH($A42,'Valo FX'!$A:$A,0)),INDEX(Base!$U:$U,MATCH($A42,Base!$A:$A,0)),IF(EY$1=INDEX('Valo FX'!$R:$R,MATCH($A42,'Valo FX'!$A:$A,0)),INDEX(Base!$V:$V,MATCH($A42,Base!$A:$A,0)),0)))</f>
        <v>8.6176200000000005</v>
      </c>
      <c r="EZ42" s="21">
        <f>IF(EZ$1&lt;INDEX('Valo FX'!$Q:$Q,MATCH($A42,'Valo FX'!$A:$A,0)),0,IF(EZ$1&lt;INDEX('Valo FX'!$R:$R,MATCH($A42,'Valo FX'!$A:$A,0)),INDEX(Base!$U:$U,MATCH($A42,Base!$A:$A,0)),IF(EZ$1=INDEX('Valo FX'!$R:$R,MATCH($A42,'Valo FX'!$A:$A,0)),INDEX(Base!$V:$V,MATCH($A42,Base!$A:$A,0)),0)))</f>
        <v>8.6176200000000005</v>
      </c>
      <c r="FA42" s="21">
        <f>IF(FA$1&lt;INDEX('Valo FX'!$Q:$Q,MATCH($A42,'Valo FX'!$A:$A,0)),0,IF(FA$1&lt;INDEX('Valo FX'!$R:$R,MATCH($A42,'Valo FX'!$A:$A,0)),INDEX(Base!$U:$U,MATCH($A42,Base!$A:$A,0)),IF(FA$1=INDEX('Valo FX'!$R:$R,MATCH($A42,'Valo FX'!$A:$A,0)),INDEX(Base!$V:$V,MATCH($A42,Base!$A:$A,0)),0)))</f>
        <v>8.6176200000000005</v>
      </c>
      <c r="FB42" s="21">
        <f>IF(FB$1&lt;INDEX('Valo FX'!$Q:$Q,MATCH($A42,'Valo FX'!$A:$A,0)),0,IF(FB$1&lt;INDEX('Valo FX'!$R:$R,MATCH($A42,'Valo FX'!$A:$A,0)),INDEX(Base!$U:$U,MATCH($A42,Base!$A:$A,0)),IF(FB$1=INDEX('Valo FX'!$R:$R,MATCH($A42,'Valo FX'!$A:$A,0)),INDEX(Base!$V:$V,MATCH($A42,Base!$A:$A,0)),0)))</f>
        <v>8.6176200000000005</v>
      </c>
      <c r="FC42" s="21">
        <f>IF(FC$1&lt;INDEX('Valo FX'!$Q:$Q,MATCH($A42,'Valo FX'!$A:$A,0)),0,IF(FC$1&lt;INDEX('Valo FX'!$R:$R,MATCH($A42,'Valo FX'!$A:$A,0)),INDEX(Base!$U:$U,MATCH($A42,Base!$A:$A,0)),IF(FC$1=INDEX('Valo FX'!$R:$R,MATCH($A42,'Valo FX'!$A:$A,0)),INDEX(Base!$V:$V,MATCH($A42,Base!$A:$A,0)),0)))</f>
        <v>8.6176200000000005</v>
      </c>
      <c r="FD42" s="21">
        <f>IF(FD$1&lt;INDEX('Valo FX'!$Q:$Q,MATCH($A42,'Valo FX'!$A:$A,0)),0,IF(FD$1&lt;INDEX('Valo FX'!$R:$R,MATCH($A42,'Valo FX'!$A:$A,0)),INDEX(Base!$U:$U,MATCH($A42,Base!$A:$A,0)),IF(FD$1=INDEX('Valo FX'!$R:$R,MATCH($A42,'Valo FX'!$A:$A,0)),INDEX(Base!$V:$V,MATCH($A42,Base!$A:$A,0)),0)))</f>
        <v>8.6176200000000005</v>
      </c>
      <c r="FE42" s="21">
        <f>IF(FE$1&lt;INDEX('Valo FX'!$Q:$Q,MATCH($A42,'Valo FX'!$A:$A,0)),0,IF(FE$1&lt;INDEX('Valo FX'!$R:$R,MATCH($A42,'Valo FX'!$A:$A,0)),INDEX(Base!$U:$U,MATCH($A42,Base!$A:$A,0)),IF(FE$1=INDEX('Valo FX'!$R:$R,MATCH($A42,'Valo FX'!$A:$A,0)),INDEX(Base!$V:$V,MATCH($A42,Base!$A:$A,0)),0)))</f>
        <v>8.6176200000000005</v>
      </c>
      <c r="FF42" s="21">
        <f>IF(FF$1&lt;INDEX('Valo FX'!$Q:$Q,MATCH($A42,'Valo FX'!$A:$A,0)),0,IF(FF$1&lt;INDEX('Valo FX'!$R:$R,MATCH($A42,'Valo FX'!$A:$A,0)),INDEX(Base!$U:$U,MATCH($A42,Base!$A:$A,0)),IF(FF$1=INDEX('Valo FX'!$R:$R,MATCH($A42,'Valo FX'!$A:$A,0)),INDEX(Base!$V:$V,MATCH($A42,Base!$A:$A,0)),0)))</f>
        <v>8.6176200000000005</v>
      </c>
      <c r="FG42" s="21">
        <f>IF(FG$1&lt;INDEX('Valo FX'!$Q:$Q,MATCH($A42,'Valo FX'!$A:$A,0)),0,IF(FG$1&lt;INDEX('Valo FX'!$R:$R,MATCH($A42,'Valo FX'!$A:$A,0)),INDEX(Base!$U:$U,MATCH($A42,Base!$A:$A,0)),IF(FG$1=INDEX('Valo FX'!$R:$R,MATCH($A42,'Valo FX'!$A:$A,0)),INDEX(Base!$V:$V,MATCH($A42,Base!$A:$A,0)),0)))</f>
        <v>8.6176200000000005</v>
      </c>
      <c r="FH42" s="21">
        <f>IF(FH$1&lt;INDEX('Valo FX'!$Q:$Q,MATCH($A42,'Valo FX'!$A:$A,0)),0,IF(FH$1&lt;INDEX('Valo FX'!$R:$R,MATCH($A42,'Valo FX'!$A:$A,0)),INDEX(Base!$U:$U,MATCH($A42,Base!$A:$A,0)),IF(FH$1=INDEX('Valo FX'!$R:$R,MATCH($A42,'Valo FX'!$A:$A,0)),INDEX(Base!$V:$V,MATCH($A42,Base!$A:$A,0)),0)))</f>
        <v>8.6176200000000005</v>
      </c>
      <c r="FI42" s="21">
        <f>IF(FI$1&lt;INDEX('Valo FX'!$Q:$Q,MATCH($A42,'Valo FX'!$A:$A,0)),0,IF(FI$1&lt;INDEX('Valo FX'!$R:$R,MATCH($A42,'Valo FX'!$A:$A,0)),INDEX(Base!$U:$U,MATCH($A42,Base!$A:$A,0)),IF(FI$1=INDEX('Valo FX'!$R:$R,MATCH($A42,'Valo FX'!$A:$A,0)),INDEX(Base!$V:$V,MATCH($A42,Base!$A:$A,0)),0)))</f>
        <v>8.6176200000000005</v>
      </c>
      <c r="FJ42" s="21">
        <f>IF(FJ$1&lt;INDEX('Valo FX'!$Q:$Q,MATCH($A42,'Valo FX'!$A:$A,0)),0,IF(FJ$1&lt;INDEX('Valo FX'!$R:$R,MATCH($A42,'Valo FX'!$A:$A,0)),INDEX(Base!$U:$U,MATCH($A42,Base!$A:$A,0)),IF(FJ$1=INDEX('Valo FX'!$R:$R,MATCH($A42,'Valo FX'!$A:$A,0)),INDEX(Base!$V:$V,MATCH($A42,Base!$A:$A,0)),0)))</f>
        <v>8.6176200000000005</v>
      </c>
      <c r="FK42" s="21">
        <f>IF(FK$1&lt;INDEX('Valo FX'!$Q:$Q,MATCH($A42,'Valo FX'!$A:$A,0)),0,IF(FK$1&lt;INDEX('Valo FX'!$R:$R,MATCH($A42,'Valo FX'!$A:$A,0)),INDEX(Base!$U:$U,MATCH($A42,Base!$A:$A,0)),IF(FK$1=INDEX('Valo FX'!$R:$R,MATCH($A42,'Valo FX'!$A:$A,0)),INDEX(Base!$V:$V,MATCH($A42,Base!$A:$A,0)),0)))</f>
        <v>8.6176200000000005</v>
      </c>
      <c r="FL42" s="21">
        <f>IF(FL$1&lt;INDEX('Valo FX'!$Q:$Q,MATCH($A42,'Valo FX'!$A:$A,0)),0,IF(FL$1&lt;INDEX('Valo FX'!$R:$R,MATCH($A42,'Valo FX'!$A:$A,0)),INDEX(Base!$U:$U,MATCH($A42,Base!$A:$A,0)),IF(FL$1=INDEX('Valo FX'!$R:$R,MATCH($A42,'Valo FX'!$A:$A,0)),INDEX(Base!$V:$V,MATCH($A42,Base!$A:$A,0)),0)))</f>
        <v>8.6176200000000005</v>
      </c>
      <c r="FM42" s="21">
        <f>IF(FM$1&lt;INDEX('Valo FX'!$Q:$Q,MATCH($A42,'Valo FX'!$A:$A,0)),0,IF(FM$1&lt;INDEX('Valo FX'!$R:$R,MATCH($A42,'Valo FX'!$A:$A,0)),INDEX(Base!$U:$U,MATCH($A42,Base!$A:$A,0)),IF(FM$1=INDEX('Valo FX'!$R:$R,MATCH($A42,'Valo FX'!$A:$A,0)),INDEX(Base!$V:$V,MATCH($A42,Base!$A:$A,0)),0)))</f>
        <v>8.6176200000000005</v>
      </c>
      <c r="FN42" s="21">
        <f>IF(FN$1&lt;INDEX('Valo FX'!$Q:$Q,MATCH($A42,'Valo FX'!$A:$A,0)),0,IF(FN$1&lt;INDEX('Valo FX'!$R:$R,MATCH($A42,'Valo FX'!$A:$A,0)),INDEX(Base!$U:$U,MATCH($A42,Base!$A:$A,0)),IF(FN$1=INDEX('Valo FX'!$R:$R,MATCH($A42,'Valo FX'!$A:$A,0)),INDEX(Base!$V:$V,MATCH($A42,Base!$A:$A,0)),0)))</f>
        <v>8.6176200000000005</v>
      </c>
      <c r="FO42" s="21">
        <f>IF(FO$1&lt;INDEX('Valo FX'!$Q:$Q,MATCH($A42,'Valo FX'!$A:$A,0)),0,IF(FO$1&lt;INDEX('Valo FX'!$R:$R,MATCH($A42,'Valo FX'!$A:$A,0)),INDEX(Base!$U:$U,MATCH($A42,Base!$A:$A,0)),IF(FO$1=INDEX('Valo FX'!$R:$R,MATCH($A42,'Valo FX'!$A:$A,0)),INDEX(Base!$V:$V,MATCH($A42,Base!$A:$A,0)),0)))</f>
        <v>8.6176200000000005</v>
      </c>
      <c r="FP42" s="21">
        <f>IF(FP$1&lt;INDEX('Valo FX'!$Q:$Q,MATCH($A42,'Valo FX'!$A:$A,0)),0,IF(FP$1&lt;INDEX('Valo FX'!$R:$R,MATCH($A42,'Valo FX'!$A:$A,0)),INDEX(Base!$U:$U,MATCH($A42,Base!$A:$A,0)),IF(FP$1=INDEX('Valo FX'!$R:$R,MATCH($A42,'Valo FX'!$A:$A,0)),INDEX(Base!$V:$V,MATCH($A42,Base!$A:$A,0)),0)))</f>
        <v>8.6176200000000005</v>
      </c>
      <c r="FQ42" s="21">
        <f>IF(FQ$1&lt;INDEX('Valo FX'!$Q:$Q,MATCH($A42,'Valo FX'!$A:$A,0)),0,IF(FQ$1&lt;INDEX('Valo FX'!$R:$R,MATCH($A42,'Valo FX'!$A:$A,0)),INDEX(Base!$U:$U,MATCH($A42,Base!$A:$A,0)),IF(FQ$1=INDEX('Valo FX'!$R:$R,MATCH($A42,'Valo FX'!$A:$A,0)),INDEX(Base!$V:$V,MATCH($A42,Base!$A:$A,0)),0)))</f>
        <v>8.6176200000000005</v>
      </c>
      <c r="FR42" s="21">
        <f>IF(FR$1&lt;INDEX('Valo FX'!$Q:$Q,MATCH($A42,'Valo FX'!$A:$A,0)),0,IF(FR$1&lt;INDEX('Valo FX'!$R:$R,MATCH($A42,'Valo FX'!$A:$A,0)),INDEX(Base!$U:$U,MATCH($A42,Base!$A:$A,0)),IF(FR$1=INDEX('Valo FX'!$R:$R,MATCH($A42,'Valo FX'!$A:$A,0)),INDEX(Base!$V:$V,MATCH($A42,Base!$A:$A,0)),0)))</f>
        <v>8.6176200000000005</v>
      </c>
      <c r="FS42" s="21">
        <f>IF(FS$1&lt;INDEX('Valo FX'!$Q:$Q,MATCH($A42,'Valo FX'!$A:$A,0)),0,IF(FS$1&lt;INDEX('Valo FX'!$R:$R,MATCH($A42,'Valo FX'!$A:$A,0)),INDEX(Base!$U:$U,MATCH($A42,Base!$A:$A,0)),IF(FS$1=INDEX('Valo FX'!$R:$R,MATCH($A42,'Valo FX'!$A:$A,0)),INDEX(Base!$V:$V,MATCH($A42,Base!$A:$A,0)),0)))</f>
        <v>8.6176200000000005</v>
      </c>
      <c r="FT42" s="21">
        <f>IF(FT$1&lt;INDEX('Valo FX'!$Q:$Q,MATCH($A42,'Valo FX'!$A:$A,0)),0,IF(FT$1&lt;INDEX('Valo FX'!$R:$R,MATCH($A42,'Valo FX'!$A:$A,0)),INDEX(Base!$U:$U,MATCH($A42,Base!$A:$A,0)),IF(FT$1=INDEX('Valo FX'!$R:$R,MATCH($A42,'Valo FX'!$A:$A,0)),INDEX(Base!$V:$V,MATCH($A42,Base!$A:$A,0)),0)))</f>
        <v>8.6176200000000005</v>
      </c>
      <c r="FU42" s="21">
        <f>IF(FU$1&lt;INDEX('Valo FX'!$Q:$Q,MATCH($A42,'Valo FX'!$A:$A,0)),0,IF(FU$1&lt;INDEX('Valo FX'!$R:$R,MATCH($A42,'Valo FX'!$A:$A,0)),INDEX(Base!$U:$U,MATCH($A42,Base!$A:$A,0)),IF(FU$1=INDEX('Valo FX'!$R:$R,MATCH($A42,'Valo FX'!$A:$A,0)),INDEX(Base!$V:$V,MATCH($A42,Base!$A:$A,0)),0)))</f>
        <v>8.6176200000000005</v>
      </c>
      <c r="FV42" s="21">
        <f>IF(FV$1&lt;INDEX('Valo FX'!$Q:$Q,MATCH($A42,'Valo FX'!$A:$A,0)),0,IF(FV$1&lt;INDEX('Valo FX'!$R:$R,MATCH($A42,'Valo FX'!$A:$A,0)),INDEX(Base!$U:$U,MATCH($A42,Base!$A:$A,0)),IF(FV$1=INDEX('Valo FX'!$R:$R,MATCH($A42,'Valo FX'!$A:$A,0)),INDEX(Base!$V:$V,MATCH($A42,Base!$A:$A,0)),0)))</f>
        <v>8.6176200000000005</v>
      </c>
      <c r="FW42" s="21">
        <f>IF(FW$1&lt;INDEX('Valo FX'!$Q:$Q,MATCH($A42,'Valo FX'!$A:$A,0)),0,IF(FW$1&lt;INDEX('Valo FX'!$R:$R,MATCH($A42,'Valo FX'!$A:$A,0)),INDEX(Base!$U:$U,MATCH($A42,Base!$A:$A,0)),IF(FW$1=INDEX('Valo FX'!$R:$R,MATCH($A42,'Valo FX'!$A:$A,0)),INDEX(Base!$V:$V,MATCH($A42,Base!$A:$A,0)),0)))</f>
        <v>8.6176200000000005</v>
      </c>
      <c r="FX42" s="21">
        <f>IF(FX$1&lt;INDEX('Valo FX'!$Q:$Q,MATCH($A42,'Valo FX'!$A:$A,0)),0,IF(FX$1&lt;INDEX('Valo FX'!$R:$R,MATCH($A42,'Valo FX'!$A:$A,0)),INDEX(Base!$U:$U,MATCH($A42,Base!$A:$A,0)),IF(FX$1=INDEX('Valo FX'!$R:$R,MATCH($A42,'Valo FX'!$A:$A,0)),INDEX(Base!$V:$V,MATCH($A42,Base!$A:$A,0)),0)))</f>
        <v>8.6176200000000005</v>
      </c>
      <c r="FY42" s="21">
        <f>IF(FY$1&lt;INDEX('Valo FX'!$Q:$Q,MATCH($A42,'Valo FX'!$A:$A,0)),0,IF(FY$1&lt;INDEX('Valo FX'!$R:$R,MATCH($A42,'Valo FX'!$A:$A,0)),INDEX(Base!$U:$U,MATCH($A42,Base!$A:$A,0)),IF(FY$1=INDEX('Valo FX'!$R:$R,MATCH($A42,'Valo FX'!$A:$A,0)),INDEX(Base!$V:$V,MATCH($A42,Base!$A:$A,0)),0)))</f>
        <v>8.6176200000000005</v>
      </c>
      <c r="FZ42" s="21">
        <f>IF(FZ$1&lt;INDEX('Valo FX'!$Q:$Q,MATCH($A42,'Valo FX'!$A:$A,0)),0,IF(FZ$1&lt;INDEX('Valo FX'!$R:$R,MATCH($A42,'Valo FX'!$A:$A,0)),INDEX(Base!$U:$U,MATCH($A42,Base!$A:$A,0)),IF(FZ$1=INDEX('Valo FX'!$R:$R,MATCH($A42,'Valo FX'!$A:$A,0)),INDEX(Base!$V:$V,MATCH($A42,Base!$A:$A,0)),0)))</f>
        <v>8.6176200000000005</v>
      </c>
      <c r="GA42" s="21">
        <f>IF(GA$1&lt;INDEX('Valo FX'!$Q:$Q,MATCH($A42,'Valo FX'!$A:$A,0)),0,IF(GA$1&lt;INDEX('Valo FX'!$R:$R,MATCH($A42,'Valo FX'!$A:$A,0)),INDEX(Base!$U:$U,MATCH($A42,Base!$A:$A,0)),IF(GA$1=INDEX('Valo FX'!$R:$R,MATCH($A42,'Valo FX'!$A:$A,0)),INDEX(Base!$V:$V,MATCH($A42,Base!$A:$A,0)),0)))</f>
        <v>8.6176200000000005</v>
      </c>
      <c r="GB42" s="21">
        <f>IF(GB$1&lt;INDEX('Valo FX'!$Q:$Q,MATCH($A42,'Valo FX'!$A:$A,0)),0,IF(GB$1&lt;INDEX('Valo FX'!$R:$R,MATCH($A42,'Valo FX'!$A:$A,0)),INDEX(Base!$U:$U,MATCH($A42,Base!$A:$A,0)),IF(GB$1=INDEX('Valo FX'!$R:$R,MATCH($A42,'Valo FX'!$A:$A,0)),INDEX(Base!$V:$V,MATCH($A42,Base!$A:$A,0)),0)))</f>
        <v>8.6176200000000005</v>
      </c>
      <c r="GC42" s="21">
        <f>IF(GC$1&lt;INDEX('Valo FX'!$Q:$Q,MATCH($A42,'Valo FX'!$A:$A,0)),0,IF(GC$1&lt;INDEX('Valo FX'!$R:$R,MATCH($A42,'Valo FX'!$A:$A,0)),INDEX(Base!$U:$U,MATCH($A42,Base!$A:$A,0)),IF(GC$1=INDEX('Valo FX'!$R:$R,MATCH($A42,'Valo FX'!$A:$A,0)),INDEX(Base!$V:$V,MATCH($A42,Base!$A:$A,0)),0)))</f>
        <v>8.6176200000000005</v>
      </c>
      <c r="GD42" s="21">
        <f>IF(GD$1&lt;INDEX('Valo FX'!$Q:$Q,MATCH($A42,'Valo FX'!$A:$A,0)),0,IF(GD$1&lt;INDEX('Valo FX'!$R:$R,MATCH($A42,'Valo FX'!$A:$A,0)),INDEX(Base!$U:$U,MATCH($A42,Base!$A:$A,0)),IF(GD$1=INDEX('Valo FX'!$R:$R,MATCH($A42,'Valo FX'!$A:$A,0)),INDEX(Base!$V:$V,MATCH($A42,Base!$A:$A,0)),0)))</f>
        <v>8.6176200000000005</v>
      </c>
      <c r="GE42" s="21">
        <f>IF(GE$1&lt;INDEX('Valo FX'!$Q:$Q,MATCH($A42,'Valo FX'!$A:$A,0)),0,IF(GE$1&lt;INDEX('Valo FX'!$R:$R,MATCH($A42,'Valo FX'!$A:$A,0)),INDEX(Base!$U:$U,MATCH($A42,Base!$A:$A,0)),IF(GE$1=INDEX('Valo FX'!$R:$R,MATCH($A42,'Valo FX'!$A:$A,0)),INDEX(Base!$V:$V,MATCH($A42,Base!$A:$A,0)),0)))</f>
        <v>8.6176200000000005</v>
      </c>
      <c r="GF42" s="21">
        <f>IF(GF$1&lt;INDEX('Valo FX'!$Q:$Q,MATCH($A42,'Valo FX'!$A:$A,0)),0,IF(GF$1&lt;INDEX('Valo FX'!$R:$R,MATCH($A42,'Valo FX'!$A:$A,0)),INDEX(Base!$U:$U,MATCH($A42,Base!$A:$A,0)),IF(GF$1=INDEX('Valo FX'!$R:$R,MATCH($A42,'Valo FX'!$A:$A,0)),INDEX(Base!$V:$V,MATCH($A42,Base!$A:$A,0)),0)))</f>
        <v>8.6176200000000005</v>
      </c>
      <c r="GG42" s="21">
        <f>IF(GG$1&lt;INDEX('Valo FX'!$Q:$Q,MATCH($A42,'Valo FX'!$A:$A,0)),0,IF(GG$1&lt;INDEX('Valo FX'!$R:$R,MATCH($A42,'Valo FX'!$A:$A,0)),INDEX(Base!$U:$U,MATCH($A42,Base!$A:$A,0)),IF(GG$1=INDEX('Valo FX'!$R:$R,MATCH($A42,'Valo FX'!$A:$A,0)),INDEX(Base!$V:$V,MATCH($A42,Base!$A:$A,0)),0)))</f>
        <v>8.6176200000000005</v>
      </c>
      <c r="GH42" s="21">
        <f>IF(GH$1&lt;INDEX('Valo FX'!$Q:$Q,MATCH($A42,'Valo FX'!$A:$A,0)),0,IF(GH$1&lt;INDEX('Valo FX'!$R:$R,MATCH($A42,'Valo FX'!$A:$A,0)),INDEX(Base!$U:$U,MATCH($A42,Base!$A:$A,0)),IF(GH$1=INDEX('Valo FX'!$R:$R,MATCH($A42,'Valo FX'!$A:$A,0)),INDEX(Base!$V:$V,MATCH($A42,Base!$A:$A,0)),0)))</f>
        <v>8.6176200000000005</v>
      </c>
      <c r="GI42" s="21">
        <f>IF(GI$1&lt;INDEX('Valo FX'!$Q:$Q,MATCH($A42,'Valo FX'!$A:$A,0)),0,IF(GI$1&lt;INDEX('Valo FX'!$R:$R,MATCH($A42,'Valo FX'!$A:$A,0)),INDEX(Base!$U:$U,MATCH($A42,Base!$A:$A,0)),IF(GI$1=INDEX('Valo FX'!$R:$R,MATCH($A42,'Valo FX'!$A:$A,0)),INDEX(Base!$V:$V,MATCH($A42,Base!$A:$A,0)),0)))</f>
        <v>8.6176200000000005</v>
      </c>
      <c r="GJ42" s="21">
        <f>IF(GJ$1&lt;INDEX('Valo FX'!$Q:$Q,MATCH($A42,'Valo FX'!$A:$A,0)),0,IF(GJ$1&lt;INDEX('Valo FX'!$R:$R,MATCH($A42,'Valo FX'!$A:$A,0)),INDEX(Base!$U:$U,MATCH($A42,Base!$A:$A,0)),IF(GJ$1=INDEX('Valo FX'!$R:$R,MATCH($A42,'Valo FX'!$A:$A,0)),INDEX(Base!$V:$V,MATCH($A42,Base!$A:$A,0)),0)))</f>
        <v>8.6176200000000005</v>
      </c>
      <c r="GK42" s="21">
        <f>IF(GK$1&lt;INDEX('Valo FX'!$Q:$Q,MATCH($A42,'Valo FX'!$A:$A,0)),0,IF(GK$1&lt;INDEX('Valo FX'!$R:$R,MATCH($A42,'Valo FX'!$A:$A,0)),INDEX(Base!$U:$U,MATCH($A42,Base!$A:$A,0)),IF(GK$1=INDEX('Valo FX'!$R:$R,MATCH($A42,'Valo FX'!$A:$A,0)),INDEX(Base!$V:$V,MATCH($A42,Base!$A:$A,0)),0)))</f>
        <v>8.6176200000000005</v>
      </c>
      <c r="GL42" s="21">
        <f>IF(GL$1&lt;INDEX('Valo FX'!$Q:$Q,MATCH($A42,'Valo FX'!$A:$A,0)),0,IF(GL$1&lt;INDEX('Valo FX'!$R:$R,MATCH($A42,'Valo FX'!$A:$A,0)),INDEX(Base!$U:$U,MATCH($A42,Base!$A:$A,0)),IF(GL$1=INDEX('Valo FX'!$R:$R,MATCH($A42,'Valo FX'!$A:$A,0)),INDEX(Base!$V:$V,MATCH($A42,Base!$A:$A,0)),0)))</f>
        <v>8.6176200000000005</v>
      </c>
      <c r="GM42" s="21">
        <f>IF(GM$1&lt;INDEX('Valo FX'!$Q:$Q,MATCH($A42,'Valo FX'!$A:$A,0)),0,IF(GM$1&lt;INDEX('Valo FX'!$R:$R,MATCH($A42,'Valo FX'!$A:$A,0)),INDEX(Base!$U:$U,MATCH($A42,Base!$A:$A,0)),IF(GM$1=INDEX('Valo FX'!$R:$R,MATCH($A42,'Valo FX'!$A:$A,0)),INDEX(Base!$V:$V,MATCH($A42,Base!$A:$A,0)),0)))</f>
        <v>8.6176200000000005</v>
      </c>
      <c r="GN42" s="21">
        <f>IF(GN$1&lt;INDEX('Valo FX'!$Q:$Q,MATCH($A42,'Valo FX'!$A:$A,0)),0,IF(GN$1&lt;INDEX('Valo FX'!$R:$R,MATCH($A42,'Valo FX'!$A:$A,0)),INDEX(Base!$U:$U,MATCH($A42,Base!$A:$A,0)),IF(GN$1=INDEX('Valo FX'!$R:$R,MATCH($A42,'Valo FX'!$A:$A,0)),INDEX(Base!$V:$V,MATCH($A42,Base!$A:$A,0)),0)))</f>
        <v>8.6176200000000005</v>
      </c>
      <c r="GO42" s="21">
        <f>IF(GO$1&lt;INDEX('Valo FX'!$Q:$Q,MATCH($A42,'Valo FX'!$A:$A,0)),0,IF(GO$1&lt;INDEX('Valo FX'!$R:$R,MATCH($A42,'Valo FX'!$A:$A,0)),INDEX(Base!$U:$U,MATCH($A42,Base!$A:$A,0)),IF(GO$1=INDEX('Valo FX'!$R:$R,MATCH($A42,'Valo FX'!$A:$A,0)),INDEX(Base!$V:$V,MATCH($A42,Base!$A:$A,0)),0)))</f>
        <v>8.6176200000000005</v>
      </c>
      <c r="GP42" s="21">
        <f>IF(GP$1&lt;INDEX('Valo FX'!$Q:$Q,MATCH($A42,'Valo FX'!$A:$A,0)),0,IF(GP$1&lt;INDEX('Valo FX'!$R:$R,MATCH($A42,'Valo FX'!$A:$A,0)),INDEX(Base!$U:$U,MATCH($A42,Base!$A:$A,0)),IF(GP$1=INDEX('Valo FX'!$R:$R,MATCH($A42,'Valo FX'!$A:$A,0)),INDEX(Base!$V:$V,MATCH($A42,Base!$A:$A,0)),0)))</f>
        <v>8.6176200000000005</v>
      </c>
      <c r="GQ42" s="21">
        <f>IF(GQ$1&lt;INDEX('Valo FX'!$Q:$Q,MATCH($A42,'Valo FX'!$A:$A,0)),0,IF(GQ$1&lt;INDEX('Valo FX'!$R:$R,MATCH($A42,'Valo FX'!$A:$A,0)),INDEX(Base!$U:$U,MATCH($A42,Base!$A:$A,0)),IF(GQ$1=INDEX('Valo FX'!$R:$R,MATCH($A42,'Valo FX'!$A:$A,0)),INDEX(Base!$V:$V,MATCH($A42,Base!$A:$A,0)),0)))</f>
        <v>8.6176200000000005</v>
      </c>
      <c r="GR42" s="21">
        <f>IF(GR$1&lt;INDEX('Valo FX'!$Q:$Q,MATCH($A42,'Valo FX'!$A:$A,0)),0,IF(GR$1&lt;INDEX('Valo FX'!$R:$R,MATCH($A42,'Valo FX'!$A:$A,0)),INDEX(Base!$U:$U,MATCH($A42,Base!$A:$A,0)),IF(GR$1=INDEX('Valo FX'!$R:$R,MATCH($A42,'Valo FX'!$A:$A,0)),INDEX(Base!$V:$V,MATCH($A42,Base!$A:$A,0)),0)))</f>
        <v>8.6176200000000005</v>
      </c>
      <c r="GS42" s="21">
        <f>IF(GS$1&lt;INDEX('Valo FX'!$Q:$Q,MATCH($A42,'Valo FX'!$A:$A,0)),0,IF(GS$1&lt;INDEX('Valo FX'!$R:$R,MATCH($A42,'Valo FX'!$A:$A,0)),INDEX(Base!$U:$U,MATCH($A42,Base!$A:$A,0)),IF(GS$1=INDEX('Valo FX'!$R:$R,MATCH($A42,'Valo FX'!$A:$A,0)),INDEX(Base!$V:$V,MATCH($A42,Base!$A:$A,0)),0)))</f>
        <v>8.6176200000000005</v>
      </c>
      <c r="GT42" s="21">
        <f>IF(GT$1&lt;INDEX('Valo FX'!$Q:$Q,MATCH($A42,'Valo FX'!$A:$A,0)),0,IF(GT$1&lt;INDEX('Valo FX'!$R:$R,MATCH($A42,'Valo FX'!$A:$A,0)),INDEX(Base!$U:$U,MATCH($A42,Base!$A:$A,0)),IF(GT$1=INDEX('Valo FX'!$R:$R,MATCH($A42,'Valo FX'!$A:$A,0)),INDEX(Base!$V:$V,MATCH($A42,Base!$A:$A,0)),0)))</f>
        <v>8.6176200000000005</v>
      </c>
      <c r="GU42" s="21">
        <f>IF(GU$1&lt;INDEX('Valo FX'!$Q:$Q,MATCH($A42,'Valo FX'!$A:$A,0)),0,IF(GU$1&lt;INDEX('Valo FX'!$R:$R,MATCH($A42,'Valo FX'!$A:$A,0)),INDEX(Base!$U:$U,MATCH($A42,Base!$A:$A,0)),IF(GU$1=INDEX('Valo FX'!$R:$R,MATCH($A42,'Valo FX'!$A:$A,0)),INDEX(Base!$V:$V,MATCH($A42,Base!$A:$A,0)),0)))</f>
        <v>8.6176200000000005</v>
      </c>
      <c r="GV42" s="21">
        <f>IF(GV$1&lt;INDEX('Valo FX'!$Q:$Q,MATCH($A42,'Valo FX'!$A:$A,0)),0,IF(GV$1&lt;INDEX('Valo FX'!$R:$R,MATCH($A42,'Valo FX'!$A:$A,0)),INDEX(Base!$U:$U,MATCH($A42,Base!$A:$A,0)),IF(GV$1=INDEX('Valo FX'!$R:$R,MATCH($A42,'Valo FX'!$A:$A,0)),INDEX(Base!$V:$V,MATCH($A42,Base!$A:$A,0)),0)))</f>
        <v>8.6176200000000005</v>
      </c>
      <c r="GW42" s="21">
        <f>IF(GW$1&lt;INDEX('Valo FX'!$Q:$Q,MATCH($A42,'Valo FX'!$A:$A,0)),0,IF(GW$1&lt;INDEX('Valo FX'!$R:$R,MATCH($A42,'Valo FX'!$A:$A,0)),INDEX(Base!$U:$U,MATCH($A42,Base!$A:$A,0)),IF(GW$1=INDEX('Valo FX'!$R:$R,MATCH($A42,'Valo FX'!$A:$A,0)),INDEX(Base!$V:$V,MATCH($A42,Base!$A:$A,0)),0)))</f>
        <v>8.6176200000000005</v>
      </c>
      <c r="GX42" s="21">
        <f>IF(GX$1&lt;INDEX('Valo FX'!$Q:$Q,MATCH($A42,'Valo FX'!$A:$A,0)),0,IF(GX$1&lt;INDEX('Valo FX'!$R:$R,MATCH($A42,'Valo FX'!$A:$A,0)),INDEX(Base!$U:$U,MATCH($A42,Base!$A:$A,0)),IF(GX$1=INDEX('Valo FX'!$R:$R,MATCH($A42,'Valo FX'!$A:$A,0)),INDEX(Base!$V:$V,MATCH($A42,Base!$A:$A,0)),0)))</f>
        <v>8.6176200000000005</v>
      </c>
      <c r="GY42" s="21">
        <f>IF(GY$1&lt;INDEX('Valo FX'!$Q:$Q,MATCH($A42,'Valo FX'!$A:$A,0)),0,IF(GY$1&lt;INDEX('Valo FX'!$R:$R,MATCH($A42,'Valo FX'!$A:$A,0)),INDEX(Base!$U:$U,MATCH($A42,Base!$A:$A,0)),IF(GY$1=INDEX('Valo FX'!$R:$R,MATCH($A42,'Valo FX'!$A:$A,0)),INDEX(Base!$V:$V,MATCH($A42,Base!$A:$A,0)),0)))</f>
        <v>8.6176200000000005</v>
      </c>
      <c r="GZ42" s="21">
        <f>IF(GZ$1&lt;INDEX('Valo FX'!$Q:$Q,MATCH($A42,'Valo FX'!$A:$A,0)),0,IF(GZ$1&lt;INDEX('Valo FX'!$R:$R,MATCH($A42,'Valo FX'!$A:$A,0)),INDEX(Base!$U:$U,MATCH($A42,Base!$A:$A,0)),IF(GZ$1=INDEX('Valo FX'!$R:$R,MATCH($A42,'Valo FX'!$A:$A,0)),INDEX(Base!$V:$V,MATCH($A42,Base!$A:$A,0)),0)))</f>
        <v>8.6176200000000005</v>
      </c>
      <c r="HA42" s="21">
        <f>IF(HA$1&lt;INDEX('Valo FX'!$Q:$Q,MATCH($A42,'Valo FX'!$A:$A,0)),0,IF(HA$1&lt;INDEX('Valo FX'!$R:$R,MATCH($A42,'Valo FX'!$A:$A,0)),INDEX(Base!$U:$U,MATCH($A42,Base!$A:$A,0)),IF(HA$1=INDEX('Valo FX'!$R:$R,MATCH($A42,'Valo FX'!$A:$A,0)),INDEX(Base!$V:$V,MATCH($A42,Base!$A:$A,0)),0)))</f>
        <v>8.6176200000000005</v>
      </c>
      <c r="HB42" s="21">
        <f>IF(HB$1&lt;INDEX('Valo FX'!$Q:$Q,MATCH($A42,'Valo FX'!$A:$A,0)),0,IF(HB$1&lt;INDEX('Valo FX'!$R:$R,MATCH($A42,'Valo FX'!$A:$A,0)),INDEX(Base!$U:$U,MATCH($A42,Base!$A:$A,0)),IF(HB$1=INDEX('Valo FX'!$R:$R,MATCH($A42,'Valo FX'!$A:$A,0)),INDEX(Base!$V:$V,MATCH($A42,Base!$A:$A,0)),0)))</f>
        <v>8.6176200000000005</v>
      </c>
      <c r="HC42" s="21">
        <f>IF(HC$1&lt;INDEX('Valo FX'!$Q:$Q,MATCH($A42,'Valo FX'!$A:$A,0)),0,IF(HC$1&lt;INDEX('Valo FX'!$R:$R,MATCH($A42,'Valo FX'!$A:$A,0)),INDEX(Base!$U:$U,MATCH($A42,Base!$A:$A,0)),IF(HC$1=INDEX('Valo FX'!$R:$R,MATCH($A42,'Valo FX'!$A:$A,0)),INDEX(Base!$V:$V,MATCH($A42,Base!$A:$A,0)),0)))</f>
        <v>8.6176200000000005</v>
      </c>
      <c r="HD42" s="21">
        <f>IF(HD$1&lt;INDEX('Valo FX'!$Q:$Q,MATCH($A42,'Valo FX'!$A:$A,0)),0,IF(HD$1&lt;INDEX('Valo FX'!$R:$R,MATCH($A42,'Valo FX'!$A:$A,0)),INDEX(Base!$U:$U,MATCH($A42,Base!$A:$A,0)),IF(HD$1=INDEX('Valo FX'!$R:$R,MATCH($A42,'Valo FX'!$A:$A,0)),INDEX(Base!$V:$V,MATCH($A42,Base!$A:$A,0)),0)))</f>
        <v>8.6176200000000005</v>
      </c>
      <c r="HE42" s="21">
        <f>IF(HE$1&lt;INDEX('Valo FX'!$Q:$Q,MATCH($A42,'Valo FX'!$A:$A,0)),0,IF(HE$1&lt;INDEX('Valo FX'!$R:$R,MATCH($A42,'Valo FX'!$A:$A,0)),INDEX(Base!$U:$U,MATCH($A42,Base!$A:$A,0)),IF(HE$1=INDEX('Valo FX'!$R:$R,MATCH($A42,'Valo FX'!$A:$A,0)),INDEX(Base!$V:$V,MATCH($A42,Base!$A:$A,0)),0)))</f>
        <v>8.6176200000000005</v>
      </c>
      <c r="HF42" s="21">
        <f>IF(HF$1&lt;INDEX('Valo FX'!$Q:$Q,MATCH($A42,'Valo FX'!$A:$A,0)),0,IF(HF$1&lt;INDEX('Valo FX'!$R:$R,MATCH($A42,'Valo FX'!$A:$A,0)),INDEX(Base!$U:$U,MATCH($A42,Base!$A:$A,0)),IF(HF$1=INDEX('Valo FX'!$R:$R,MATCH($A42,'Valo FX'!$A:$A,0)),INDEX(Base!$V:$V,MATCH($A42,Base!$A:$A,0)),0)))</f>
        <v>8.6176200000000005</v>
      </c>
      <c r="HG42" s="21">
        <f>IF(HG$1&lt;INDEX('Valo FX'!$Q:$Q,MATCH($A42,'Valo FX'!$A:$A,0)),0,IF(HG$1&lt;INDEX('Valo FX'!$R:$R,MATCH($A42,'Valo FX'!$A:$A,0)),INDEX(Base!$U:$U,MATCH($A42,Base!$A:$A,0)),IF(HG$1=INDEX('Valo FX'!$R:$R,MATCH($A42,'Valo FX'!$A:$A,0)),INDEX(Base!$V:$V,MATCH($A42,Base!$A:$A,0)),0)))</f>
        <v>8.6176200000000005</v>
      </c>
      <c r="HH42" s="21">
        <f>IF(HH$1&lt;INDEX('Valo FX'!$Q:$Q,MATCH($A42,'Valo FX'!$A:$A,0)),0,IF(HH$1&lt;INDEX('Valo FX'!$R:$R,MATCH($A42,'Valo FX'!$A:$A,0)),INDEX(Base!$U:$U,MATCH($A42,Base!$A:$A,0)),IF(HH$1=INDEX('Valo FX'!$R:$R,MATCH($A42,'Valo FX'!$A:$A,0)),INDEX(Base!$V:$V,MATCH($A42,Base!$A:$A,0)),0)))</f>
        <v>8.6176200000000005</v>
      </c>
      <c r="HI42" s="21">
        <f>IF(HI$1&lt;INDEX('Valo FX'!$Q:$Q,MATCH($A42,'Valo FX'!$A:$A,0)),0,IF(HI$1&lt;INDEX('Valo FX'!$R:$R,MATCH($A42,'Valo FX'!$A:$A,0)),INDEX(Base!$U:$U,MATCH($A42,Base!$A:$A,0)),IF(HI$1=INDEX('Valo FX'!$R:$R,MATCH($A42,'Valo FX'!$A:$A,0)),INDEX(Base!$V:$V,MATCH($A42,Base!$A:$A,0)),0)))</f>
        <v>8.6176200000000005</v>
      </c>
      <c r="HJ42" s="21">
        <f>IF(HJ$1&lt;INDEX('Valo FX'!$Q:$Q,MATCH($A42,'Valo FX'!$A:$A,0)),0,IF(HJ$1&lt;INDEX('Valo FX'!$R:$R,MATCH($A42,'Valo FX'!$A:$A,0)),INDEX(Base!$U:$U,MATCH($A42,Base!$A:$A,0)),IF(HJ$1=INDEX('Valo FX'!$R:$R,MATCH($A42,'Valo FX'!$A:$A,0)),INDEX(Base!$V:$V,MATCH($A42,Base!$A:$A,0)),0)))</f>
        <v>8.6176200000000005</v>
      </c>
      <c r="HK42" s="21">
        <f>IF(HK$1&lt;INDEX('Valo FX'!$Q:$Q,MATCH($A42,'Valo FX'!$A:$A,0)),0,IF(HK$1&lt;INDEX('Valo FX'!$R:$R,MATCH($A42,'Valo FX'!$A:$A,0)),INDEX(Base!$U:$U,MATCH($A42,Base!$A:$A,0)),IF(HK$1=INDEX('Valo FX'!$R:$R,MATCH($A42,'Valo FX'!$A:$A,0)),INDEX(Base!$V:$V,MATCH($A42,Base!$A:$A,0)),0)))</f>
        <v>8.6176200000000005</v>
      </c>
      <c r="HL42" s="21">
        <f>IF(HL$1&lt;INDEX('Valo FX'!$Q:$Q,MATCH($A42,'Valo FX'!$A:$A,0)),0,IF(HL$1&lt;INDEX('Valo FX'!$R:$R,MATCH($A42,'Valo FX'!$A:$A,0)),INDEX(Base!$U:$U,MATCH($A42,Base!$A:$A,0)),IF(HL$1=INDEX('Valo FX'!$R:$R,MATCH($A42,'Valo FX'!$A:$A,0)),INDEX(Base!$V:$V,MATCH($A42,Base!$A:$A,0)),0)))</f>
        <v>8.6176200000000005</v>
      </c>
      <c r="HM42" s="21">
        <f>IF(HM$1&lt;INDEX('Valo FX'!$Q:$Q,MATCH($A42,'Valo FX'!$A:$A,0)),0,IF(HM$1&lt;INDEX('Valo FX'!$R:$R,MATCH($A42,'Valo FX'!$A:$A,0)),INDEX(Base!$U:$U,MATCH($A42,Base!$A:$A,0)),IF(HM$1=INDEX('Valo FX'!$R:$R,MATCH($A42,'Valo FX'!$A:$A,0)),INDEX(Base!$V:$V,MATCH($A42,Base!$A:$A,0)),0)))</f>
        <v>8.6176200000000005</v>
      </c>
      <c r="HN42" s="21">
        <f>IF(HN$1&lt;INDEX('Valo FX'!$Q:$Q,MATCH($A42,'Valo FX'!$A:$A,0)),0,IF(HN$1&lt;INDEX('Valo FX'!$R:$R,MATCH($A42,'Valo FX'!$A:$A,0)),INDEX(Base!$U:$U,MATCH($A42,Base!$A:$A,0)),IF(HN$1=INDEX('Valo FX'!$R:$R,MATCH($A42,'Valo FX'!$A:$A,0)),INDEX(Base!$V:$V,MATCH($A42,Base!$A:$A,0)),0)))</f>
        <v>8.6176200000000005</v>
      </c>
      <c r="HO42" s="21">
        <f>IF(HO$1&lt;INDEX('Valo FX'!$Q:$Q,MATCH($A42,'Valo FX'!$A:$A,0)),0,IF(HO$1&lt;INDEX('Valo FX'!$R:$R,MATCH($A42,'Valo FX'!$A:$A,0)),INDEX(Base!$U:$U,MATCH($A42,Base!$A:$A,0)),IF(HO$1=INDEX('Valo FX'!$R:$R,MATCH($A42,'Valo FX'!$A:$A,0)),INDEX(Base!$V:$V,MATCH($A42,Base!$A:$A,0)),0)))</f>
        <v>8.6176200000000005</v>
      </c>
      <c r="HP42" s="21">
        <f>IF(HP$1&lt;INDEX('Valo FX'!$Q:$Q,MATCH($A42,'Valo FX'!$A:$A,0)),0,IF(HP$1&lt;INDEX('Valo FX'!$R:$R,MATCH($A42,'Valo FX'!$A:$A,0)),INDEX(Base!$U:$U,MATCH($A42,Base!$A:$A,0)),IF(HP$1=INDEX('Valo FX'!$R:$R,MATCH($A42,'Valo FX'!$A:$A,0)),INDEX(Base!$V:$V,MATCH($A42,Base!$A:$A,0)),0)))</f>
        <v>8.6176200000000005</v>
      </c>
      <c r="HQ42" s="21">
        <f>IF(HQ$1&lt;INDEX('Valo FX'!$Q:$Q,MATCH($A42,'Valo FX'!$A:$A,0)),0,IF(HQ$1&lt;INDEX('Valo FX'!$R:$R,MATCH($A42,'Valo FX'!$A:$A,0)),INDEX(Base!$U:$U,MATCH($A42,Base!$A:$A,0)),IF(HQ$1=INDEX('Valo FX'!$R:$R,MATCH($A42,'Valo FX'!$A:$A,0)),INDEX(Base!$V:$V,MATCH($A42,Base!$A:$A,0)),0)))</f>
        <v>8.6176200000000005</v>
      </c>
      <c r="HR42" s="21">
        <f>IF(HR$1&lt;INDEX('Valo FX'!$Q:$Q,MATCH($A42,'Valo FX'!$A:$A,0)),0,IF(HR$1&lt;INDEX('Valo FX'!$R:$R,MATCH($A42,'Valo FX'!$A:$A,0)),INDEX(Base!$U:$U,MATCH($A42,Base!$A:$A,0)),IF(HR$1=INDEX('Valo FX'!$R:$R,MATCH($A42,'Valo FX'!$A:$A,0)),INDEX(Base!$V:$V,MATCH($A42,Base!$A:$A,0)),0)))</f>
        <v>8.6176200000000005</v>
      </c>
      <c r="HS42" s="21">
        <f>IF(HS$1&lt;INDEX('Valo FX'!$Q:$Q,MATCH($A42,'Valo FX'!$A:$A,0)),0,IF(HS$1&lt;INDEX('Valo FX'!$R:$R,MATCH($A42,'Valo FX'!$A:$A,0)),INDEX(Base!$U:$U,MATCH($A42,Base!$A:$A,0)),IF(HS$1=INDEX('Valo FX'!$R:$R,MATCH($A42,'Valo FX'!$A:$A,0)),INDEX(Base!$V:$V,MATCH($A42,Base!$A:$A,0)),0)))</f>
        <v>8.6176200000000005</v>
      </c>
      <c r="HT42" s="21">
        <f>IF(HT$1&lt;INDEX('Valo FX'!$Q:$Q,MATCH($A42,'Valo FX'!$A:$A,0)),0,IF(HT$1&lt;INDEX('Valo FX'!$R:$R,MATCH($A42,'Valo FX'!$A:$A,0)),INDEX(Base!$U:$U,MATCH($A42,Base!$A:$A,0)),IF(HT$1=INDEX('Valo FX'!$R:$R,MATCH($A42,'Valo FX'!$A:$A,0)),INDEX(Base!$V:$V,MATCH($A42,Base!$A:$A,0)),0)))</f>
        <v>8.6176200000000005</v>
      </c>
      <c r="HU42" s="21">
        <f>IF(HU$1&lt;INDEX('Valo FX'!$Q:$Q,MATCH($A42,'Valo FX'!$A:$A,0)),0,IF(HU$1&lt;INDEX('Valo FX'!$R:$R,MATCH($A42,'Valo FX'!$A:$A,0)),INDEX(Base!$U:$U,MATCH($A42,Base!$A:$A,0)),IF(HU$1=INDEX('Valo FX'!$R:$R,MATCH($A42,'Valo FX'!$A:$A,0)),INDEX(Base!$V:$V,MATCH($A42,Base!$A:$A,0)),0)))</f>
        <v>8.6176200000000005</v>
      </c>
      <c r="HV42" s="21">
        <f>IF(HV$1&lt;INDEX('Valo FX'!$Q:$Q,MATCH($A42,'Valo FX'!$A:$A,0)),0,IF(HV$1&lt;INDEX('Valo FX'!$R:$R,MATCH($A42,'Valo FX'!$A:$A,0)),INDEX(Base!$U:$U,MATCH($A42,Base!$A:$A,0)),IF(HV$1=INDEX('Valo FX'!$R:$R,MATCH($A42,'Valo FX'!$A:$A,0)),INDEX(Base!$V:$V,MATCH($A42,Base!$A:$A,0)),0)))</f>
        <v>8.6176200000000005</v>
      </c>
      <c r="HW42" s="21">
        <f>IF(HW$1&lt;INDEX('Valo FX'!$Q:$Q,MATCH($A42,'Valo FX'!$A:$A,0)),0,IF(HW$1&lt;INDEX('Valo FX'!$R:$R,MATCH($A42,'Valo FX'!$A:$A,0)),INDEX(Base!$U:$U,MATCH($A42,Base!$A:$A,0)),IF(HW$1=INDEX('Valo FX'!$R:$R,MATCH($A42,'Valo FX'!$A:$A,0)),INDEX(Base!$V:$V,MATCH($A42,Base!$A:$A,0)),0)))</f>
        <v>8.6176200000000005</v>
      </c>
      <c r="HX42" s="21">
        <f>IF(HX$1&lt;INDEX('Valo FX'!$Q:$Q,MATCH($A42,'Valo FX'!$A:$A,0)),0,IF(HX$1&lt;INDEX('Valo FX'!$R:$R,MATCH($A42,'Valo FX'!$A:$A,0)),INDEX(Base!$U:$U,MATCH($A42,Base!$A:$A,0)),IF(HX$1=INDEX('Valo FX'!$R:$R,MATCH($A42,'Valo FX'!$A:$A,0)),INDEX(Base!$V:$V,MATCH($A42,Base!$A:$A,0)),0)))</f>
        <v>8.6176200000000005</v>
      </c>
      <c r="HY42" s="21">
        <f>IF(HY$1&lt;INDEX('Valo FX'!$Q:$Q,MATCH($A42,'Valo FX'!$A:$A,0)),0,IF(HY$1&lt;INDEX('Valo FX'!$R:$R,MATCH($A42,'Valo FX'!$A:$A,0)),INDEX(Base!$U:$U,MATCH($A42,Base!$A:$A,0)),IF(HY$1=INDEX('Valo FX'!$R:$R,MATCH($A42,'Valo FX'!$A:$A,0)),INDEX(Base!$V:$V,MATCH($A42,Base!$A:$A,0)),0)))</f>
        <v>8.6176200000000005</v>
      </c>
      <c r="HZ42" s="21">
        <f>IF(HZ$1&lt;INDEX('Valo FX'!$Q:$Q,MATCH($A42,'Valo FX'!$A:$A,0)),0,IF(HZ$1&lt;INDEX('Valo FX'!$R:$R,MATCH($A42,'Valo FX'!$A:$A,0)),INDEX(Base!$U:$U,MATCH($A42,Base!$A:$A,0)),IF(HZ$1=INDEX('Valo FX'!$R:$R,MATCH($A42,'Valo FX'!$A:$A,0)),INDEX(Base!$V:$V,MATCH($A42,Base!$A:$A,0)),0)))</f>
        <v>8.6176200000000005</v>
      </c>
      <c r="IA42" s="21">
        <f>IF(IA$1&lt;INDEX('Valo FX'!$Q:$Q,MATCH($A42,'Valo FX'!$A:$A,0)),0,IF(IA$1&lt;INDEX('Valo FX'!$R:$R,MATCH($A42,'Valo FX'!$A:$A,0)),INDEX(Base!$U:$U,MATCH($A42,Base!$A:$A,0)),IF(IA$1=INDEX('Valo FX'!$R:$R,MATCH($A42,'Valo FX'!$A:$A,0)),INDEX(Base!$V:$V,MATCH($A42,Base!$A:$A,0)),0)))</f>
        <v>8.6176200000000005</v>
      </c>
      <c r="IB42" s="21">
        <f>IF(IB$1&lt;INDEX('Valo FX'!$Q:$Q,MATCH($A42,'Valo FX'!$A:$A,0)),0,IF(IB$1&lt;INDEX('Valo FX'!$R:$R,MATCH($A42,'Valo FX'!$A:$A,0)),INDEX(Base!$U:$U,MATCH($A42,Base!$A:$A,0)),IF(IB$1=INDEX('Valo FX'!$R:$R,MATCH($A42,'Valo FX'!$A:$A,0)),INDEX(Base!$V:$V,MATCH($A42,Base!$A:$A,0)),0)))</f>
        <v>8.6176200000000005</v>
      </c>
      <c r="IC42" s="21">
        <f>IF(IC$1&lt;INDEX('Valo FX'!$Q:$Q,MATCH($A42,'Valo FX'!$A:$A,0)),0,IF(IC$1&lt;INDEX('Valo FX'!$R:$R,MATCH($A42,'Valo FX'!$A:$A,0)),INDEX(Base!$U:$U,MATCH($A42,Base!$A:$A,0)),IF(IC$1=INDEX('Valo FX'!$R:$R,MATCH($A42,'Valo FX'!$A:$A,0)),INDEX(Base!$V:$V,MATCH($A42,Base!$A:$A,0)),0)))</f>
        <v>8.6176200000000005</v>
      </c>
      <c r="ID42" s="21">
        <f>IF(ID$1&lt;INDEX('Valo FX'!$Q:$Q,MATCH($A42,'Valo FX'!$A:$A,0)),0,IF(ID$1&lt;INDEX('Valo FX'!$R:$R,MATCH($A42,'Valo FX'!$A:$A,0)),INDEX(Base!$U:$U,MATCH($A42,Base!$A:$A,0)),IF(ID$1=INDEX('Valo FX'!$R:$R,MATCH($A42,'Valo FX'!$A:$A,0)),INDEX(Base!$V:$V,MATCH($A42,Base!$A:$A,0)),0)))</f>
        <v>8.6176200000000005</v>
      </c>
      <c r="IE42" s="21">
        <f>IF(IE$1&lt;INDEX('Valo FX'!$Q:$Q,MATCH($A42,'Valo FX'!$A:$A,0)),0,IF(IE$1&lt;INDEX('Valo FX'!$R:$R,MATCH($A42,'Valo FX'!$A:$A,0)),INDEX(Base!$U:$U,MATCH($A42,Base!$A:$A,0)),IF(IE$1=INDEX('Valo FX'!$R:$R,MATCH($A42,'Valo FX'!$A:$A,0)),INDEX(Base!$V:$V,MATCH($A42,Base!$A:$A,0)),0)))</f>
        <v>8.6176200000000005</v>
      </c>
      <c r="IF42" s="21">
        <f>IF(IF$1&lt;INDEX('Valo FX'!$Q:$Q,MATCH($A42,'Valo FX'!$A:$A,0)),0,IF(IF$1&lt;INDEX('Valo FX'!$R:$R,MATCH($A42,'Valo FX'!$A:$A,0)),INDEX(Base!$U:$U,MATCH($A42,Base!$A:$A,0)),IF(IF$1=INDEX('Valo FX'!$R:$R,MATCH($A42,'Valo FX'!$A:$A,0)),INDEX(Base!$V:$V,MATCH($A42,Base!$A:$A,0)),0)))</f>
        <v>8.6176200000000005</v>
      </c>
      <c r="IG42" s="21">
        <f>IF(IG$1&lt;INDEX('Valo FX'!$Q:$Q,MATCH($A42,'Valo FX'!$A:$A,0)),0,IF(IG$1&lt;INDEX('Valo FX'!$R:$R,MATCH($A42,'Valo FX'!$A:$A,0)),INDEX(Base!$U:$U,MATCH($A42,Base!$A:$A,0)),IF(IG$1=INDEX('Valo FX'!$R:$R,MATCH($A42,'Valo FX'!$A:$A,0)),INDEX(Base!$V:$V,MATCH($A42,Base!$A:$A,0)),0)))</f>
        <v>8.6176200000000005</v>
      </c>
      <c r="IH42" s="21">
        <f>IF(IH$1&lt;INDEX('Valo FX'!$Q:$Q,MATCH($A42,'Valo FX'!$A:$A,0)),0,IF(IH$1&lt;INDEX('Valo FX'!$R:$R,MATCH($A42,'Valo FX'!$A:$A,0)),INDEX(Base!$U:$U,MATCH($A42,Base!$A:$A,0)),IF(IH$1=INDEX('Valo FX'!$R:$R,MATCH($A42,'Valo FX'!$A:$A,0)),INDEX(Base!$V:$V,MATCH($A42,Base!$A:$A,0)),0)))</f>
        <v>8.6176200000000005</v>
      </c>
      <c r="II42" s="21">
        <f>IF(II$1&lt;INDEX('Valo FX'!$Q:$Q,MATCH($A42,'Valo FX'!$A:$A,0)),0,IF(II$1&lt;INDEX('Valo FX'!$R:$R,MATCH($A42,'Valo FX'!$A:$A,0)),INDEX(Base!$U:$U,MATCH($A42,Base!$A:$A,0)),IF(II$1=INDEX('Valo FX'!$R:$R,MATCH($A42,'Valo FX'!$A:$A,0)),INDEX(Base!$V:$V,MATCH($A42,Base!$A:$A,0)),0)))</f>
        <v>8.6176200000000005</v>
      </c>
      <c r="IJ42" s="21">
        <f>IF(IJ$1&lt;INDEX('Valo FX'!$Q:$Q,MATCH($A42,'Valo FX'!$A:$A,0)),0,IF(IJ$1&lt;INDEX('Valo FX'!$R:$R,MATCH($A42,'Valo FX'!$A:$A,0)),INDEX(Base!$U:$U,MATCH($A42,Base!$A:$A,0)),IF(IJ$1=INDEX('Valo FX'!$R:$R,MATCH($A42,'Valo FX'!$A:$A,0)),INDEX(Base!$V:$V,MATCH($A42,Base!$A:$A,0)),0)))</f>
        <v>8.6176200000000005</v>
      </c>
      <c r="IK42" s="21">
        <f>IF(IK$1&lt;INDEX('Valo FX'!$Q:$Q,MATCH($A42,'Valo FX'!$A:$A,0)),0,IF(IK$1&lt;INDEX('Valo FX'!$R:$R,MATCH($A42,'Valo FX'!$A:$A,0)),INDEX(Base!$U:$U,MATCH($A42,Base!$A:$A,0)),IF(IK$1=INDEX('Valo FX'!$R:$R,MATCH($A42,'Valo FX'!$A:$A,0)),INDEX(Base!$V:$V,MATCH($A42,Base!$A:$A,0)),0)))</f>
        <v>8.6176200000000005</v>
      </c>
      <c r="IL42" s="21">
        <f>IF(IL$1&lt;INDEX('Valo FX'!$Q:$Q,MATCH($A42,'Valo FX'!$A:$A,0)),0,IF(IL$1&lt;INDEX('Valo FX'!$R:$R,MATCH($A42,'Valo FX'!$A:$A,0)),INDEX(Base!$U:$U,MATCH($A42,Base!$A:$A,0)),IF(IL$1=INDEX('Valo FX'!$R:$R,MATCH($A42,'Valo FX'!$A:$A,0)),INDEX(Base!$V:$V,MATCH($A42,Base!$A:$A,0)),0)))</f>
        <v>8.6176200000000005</v>
      </c>
      <c r="IM42" s="21">
        <f>IF(IM$1&lt;INDEX('Valo FX'!$Q:$Q,MATCH($A42,'Valo FX'!$A:$A,0)),0,IF(IM$1&lt;INDEX('Valo FX'!$R:$R,MATCH($A42,'Valo FX'!$A:$A,0)),INDEX(Base!$U:$U,MATCH($A42,Base!$A:$A,0)),IF(IM$1=INDEX('Valo FX'!$R:$R,MATCH($A42,'Valo FX'!$A:$A,0)),INDEX(Base!$V:$V,MATCH($A42,Base!$A:$A,0)),0)))</f>
        <v>8.6176200000000005</v>
      </c>
      <c r="IN42" s="21">
        <f>IF(IN$1&lt;INDEX('Valo FX'!$Q:$Q,MATCH($A42,'Valo FX'!$A:$A,0)),0,IF(IN$1&lt;INDEX('Valo FX'!$R:$R,MATCH($A42,'Valo FX'!$A:$A,0)),INDEX(Base!$U:$U,MATCH($A42,Base!$A:$A,0)),IF(IN$1=INDEX('Valo FX'!$R:$R,MATCH($A42,'Valo FX'!$A:$A,0)),INDEX(Base!$V:$V,MATCH($A42,Base!$A:$A,0)),0)))</f>
        <v>8.6176200000000005</v>
      </c>
      <c r="IO42" s="21">
        <f>IF(IO$1&lt;INDEX('Valo FX'!$Q:$Q,MATCH($A42,'Valo FX'!$A:$A,0)),0,IF(IO$1&lt;INDEX('Valo FX'!$R:$R,MATCH($A42,'Valo FX'!$A:$A,0)),INDEX(Base!$U:$U,MATCH($A42,Base!$A:$A,0)),IF(IO$1=INDEX('Valo FX'!$R:$R,MATCH($A42,'Valo FX'!$A:$A,0)),INDEX(Base!$V:$V,MATCH($A42,Base!$A:$A,0)),0)))</f>
        <v>8.6176200000000005</v>
      </c>
      <c r="IP42" s="21">
        <f>IF(IP$1&lt;INDEX('Valo FX'!$Q:$Q,MATCH($A42,'Valo FX'!$A:$A,0)),0,IF(IP$1&lt;INDEX('Valo FX'!$R:$R,MATCH($A42,'Valo FX'!$A:$A,0)),INDEX(Base!$U:$U,MATCH($A42,Base!$A:$A,0)),IF(IP$1=INDEX('Valo FX'!$R:$R,MATCH($A42,'Valo FX'!$A:$A,0)),INDEX(Base!$V:$V,MATCH($A42,Base!$A:$A,0)),0)))</f>
        <v>8.6176200000000005</v>
      </c>
      <c r="IQ42" s="21">
        <f>IF(IQ$1&lt;INDEX('Valo FX'!$Q:$Q,MATCH($A42,'Valo FX'!$A:$A,0)),0,IF(IQ$1&lt;INDEX('Valo FX'!$R:$R,MATCH($A42,'Valo FX'!$A:$A,0)),INDEX(Base!$U:$U,MATCH($A42,Base!$A:$A,0)),IF(IQ$1=INDEX('Valo FX'!$R:$R,MATCH($A42,'Valo FX'!$A:$A,0)),INDEX(Base!$V:$V,MATCH($A42,Base!$A:$A,0)),0)))</f>
        <v>8.6176200000000005</v>
      </c>
      <c r="IR42" s="21">
        <f>IF(IR$1&lt;INDEX('Valo FX'!$Q:$Q,MATCH($A42,'Valo FX'!$A:$A,0)),0,IF(IR$1&lt;INDEX('Valo FX'!$R:$R,MATCH($A42,'Valo FX'!$A:$A,0)),INDEX(Base!$U:$U,MATCH($A42,Base!$A:$A,0)),IF(IR$1=INDEX('Valo FX'!$R:$R,MATCH($A42,'Valo FX'!$A:$A,0)),INDEX(Base!$V:$V,MATCH($A42,Base!$A:$A,0)),0)))</f>
        <v>8.6176200000000005</v>
      </c>
      <c r="IS42" s="21">
        <f>IF(IS$1&lt;INDEX('Valo FX'!$Q:$Q,MATCH($A42,'Valo FX'!$A:$A,0)),0,IF(IS$1&lt;INDEX('Valo FX'!$R:$R,MATCH($A42,'Valo FX'!$A:$A,0)),INDEX(Base!$U:$U,MATCH($A42,Base!$A:$A,0)),IF(IS$1=INDEX('Valo FX'!$R:$R,MATCH($A42,'Valo FX'!$A:$A,0)),INDEX(Base!$V:$V,MATCH($A42,Base!$A:$A,0)),0)))</f>
        <v>8.6176200000000005</v>
      </c>
      <c r="IT42" s="21">
        <f>IF(IT$1&lt;INDEX('Valo FX'!$Q:$Q,MATCH($A42,'Valo FX'!$A:$A,0)),0,IF(IT$1&lt;INDEX('Valo FX'!$R:$R,MATCH($A42,'Valo FX'!$A:$A,0)),INDEX(Base!$U:$U,MATCH($A42,Base!$A:$A,0)),IF(IT$1=INDEX('Valo FX'!$R:$R,MATCH($A42,'Valo FX'!$A:$A,0)),INDEX(Base!$V:$V,MATCH($A42,Base!$A:$A,0)),0)))</f>
        <v>8.6176200000000005</v>
      </c>
      <c r="IU42" s="21">
        <f>IF(IU$1&lt;INDEX('Valo FX'!$Q:$Q,MATCH($A42,'Valo FX'!$A:$A,0)),0,IF(IU$1&lt;INDEX('Valo FX'!$R:$R,MATCH($A42,'Valo FX'!$A:$A,0)),INDEX(Base!$U:$U,MATCH($A42,Base!$A:$A,0)),IF(IU$1=INDEX('Valo FX'!$R:$R,MATCH($A42,'Valo FX'!$A:$A,0)),INDEX(Base!$V:$V,MATCH($A42,Base!$A:$A,0)),0)))</f>
        <v>8.6176200000000005</v>
      </c>
      <c r="IV42" s="21">
        <f>IF(IV$1&lt;INDEX('Valo FX'!$Q:$Q,MATCH($A42,'Valo FX'!$A:$A,0)),0,IF(IV$1&lt;INDEX('Valo FX'!$R:$R,MATCH($A42,'Valo FX'!$A:$A,0)),INDEX(Base!$U:$U,MATCH($A42,Base!$A:$A,0)),IF(IV$1=INDEX('Valo FX'!$R:$R,MATCH($A42,'Valo FX'!$A:$A,0)),INDEX(Base!$V:$V,MATCH($A42,Base!$A:$A,0)),0)))</f>
        <v>8.6176200000000005</v>
      </c>
      <c r="IW42" s="21">
        <f>IF(IW$1&lt;INDEX('Valo FX'!$Q:$Q,MATCH($A42,'Valo FX'!$A:$A,0)),0,IF(IW$1&lt;INDEX('Valo FX'!$R:$R,MATCH($A42,'Valo FX'!$A:$A,0)),INDEX(Base!$U:$U,MATCH($A42,Base!$A:$A,0)),IF(IW$1=INDEX('Valo FX'!$R:$R,MATCH($A42,'Valo FX'!$A:$A,0)),INDEX(Base!$V:$V,MATCH($A42,Base!$A:$A,0)),0)))</f>
        <v>8.6176200000000005</v>
      </c>
      <c r="IX42" s="21">
        <f>IF(IX$1&lt;INDEX('Valo FX'!$Q:$Q,MATCH($A42,'Valo FX'!$A:$A,0)),0,IF(IX$1&lt;INDEX('Valo FX'!$R:$R,MATCH($A42,'Valo FX'!$A:$A,0)),INDEX(Base!$U:$U,MATCH($A42,Base!$A:$A,0)),IF(IX$1=INDEX('Valo FX'!$R:$R,MATCH($A42,'Valo FX'!$A:$A,0)),INDEX(Base!$V:$V,MATCH($A42,Base!$A:$A,0)),0)))</f>
        <v>8.6176200000000005</v>
      </c>
      <c r="IY42" s="21">
        <f>IF(IY$1&lt;INDEX('Valo FX'!$Q:$Q,MATCH($A42,'Valo FX'!$A:$A,0)),0,IF(IY$1&lt;INDEX('Valo FX'!$R:$R,MATCH($A42,'Valo FX'!$A:$A,0)),INDEX(Base!$U:$U,MATCH($A42,Base!$A:$A,0)),IF(IY$1=INDEX('Valo FX'!$R:$R,MATCH($A42,'Valo FX'!$A:$A,0)),INDEX(Base!$V:$V,MATCH($A42,Base!$A:$A,0)),0)))</f>
        <v>8.6176200000000005</v>
      </c>
      <c r="IZ42" s="21">
        <f>IF(IZ$1&lt;INDEX('Valo FX'!$Q:$Q,MATCH($A42,'Valo FX'!$A:$A,0)),0,IF(IZ$1&lt;INDEX('Valo FX'!$R:$R,MATCH($A42,'Valo FX'!$A:$A,0)),INDEX(Base!$U:$U,MATCH($A42,Base!$A:$A,0)),IF(IZ$1=INDEX('Valo FX'!$R:$R,MATCH($A42,'Valo FX'!$A:$A,0)),INDEX(Base!$V:$V,MATCH($A42,Base!$A:$A,0)),0)))</f>
        <v>8.6176200000000005</v>
      </c>
      <c r="JA42" s="21">
        <f>IF(JA$1&lt;INDEX('Valo FX'!$Q:$Q,MATCH($A42,'Valo FX'!$A:$A,0)),0,IF(JA$1&lt;INDEX('Valo FX'!$R:$R,MATCH($A42,'Valo FX'!$A:$A,0)),INDEX(Base!$U:$U,MATCH($A42,Base!$A:$A,0)),IF(JA$1=INDEX('Valo FX'!$R:$R,MATCH($A42,'Valo FX'!$A:$A,0)),INDEX(Base!$V:$V,MATCH($A42,Base!$A:$A,0)),0)))</f>
        <v>8.6176200000000005</v>
      </c>
      <c r="JB42" s="21">
        <f>IF(JB$1&lt;INDEX('Valo FX'!$Q:$Q,MATCH($A42,'Valo FX'!$A:$A,0)),0,IF(JB$1&lt;INDEX('Valo FX'!$R:$R,MATCH($A42,'Valo FX'!$A:$A,0)),INDEX(Base!$U:$U,MATCH($A42,Base!$A:$A,0)),IF(JB$1=INDEX('Valo FX'!$R:$R,MATCH($A42,'Valo FX'!$A:$A,0)),INDEX(Base!$V:$V,MATCH($A42,Base!$A:$A,0)),0)))</f>
        <v>8.6176200000000005</v>
      </c>
      <c r="JC42" s="21">
        <f>IF(JC$1&lt;INDEX('Valo FX'!$Q:$Q,MATCH($A42,'Valo FX'!$A:$A,0)),0,IF(JC$1&lt;INDEX('Valo FX'!$R:$R,MATCH($A42,'Valo FX'!$A:$A,0)),INDEX(Base!$U:$U,MATCH($A42,Base!$A:$A,0)),IF(JC$1=INDEX('Valo FX'!$R:$R,MATCH($A42,'Valo FX'!$A:$A,0)),INDEX(Base!$V:$V,MATCH($A42,Base!$A:$A,0)),0)))</f>
        <v>8.6176200000000005</v>
      </c>
      <c r="JD42" s="21">
        <f>IF(JD$1&lt;INDEX('Valo FX'!$Q:$Q,MATCH($A42,'Valo FX'!$A:$A,0)),0,IF(JD$1&lt;INDEX('Valo FX'!$R:$R,MATCH($A42,'Valo FX'!$A:$A,0)),INDEX(Base!$U:$U,MATCH($A42,Base!$A:$A,0)),IF(JD$1=INDEX('Valo FX'!$R:$R,MATCH($A42,'Valo FX'!$A:$A,0)),INDEX(Base!$V:$V,MATCH($A42,Base!$A:$A,0)),0)))</f>
        <v>8.6176200000000005</v>
      </c>
      <c r="JE42" s="21">
        <f>IF(JE$1&lt;INDEX('Valo FX'!$Q:$Q,MATCH($A42,'Valo FX'!$A:$A,0)),0,IF(JE$1&lt;INDEX('Valo FX'!$R:$R,MATCH($A42,'Valo FX'!$A:$A,0)),INDEX(Base!$U:$U,MATCH($A42,Base!$A:$A,0)),IF(JE$1=INDEX('Valo FX'!$R:$R,MATCH($A42,'Valo FX'!$A:$A,0)),INDEX(Base!$V:$V,MATCH($A42,Base!$A:$A,0)),0)))</f>
        <v>8.6176200000000005</v>
      </c>
      <c r="JF42" s="21">
        <f>IF(JF$1&lt;INDEX('Valo FX'!$Q:$Q,MATCH($A42,'Valo FX'!$A:$A,0)),0,IF(JF$1&lt;INDEX('Valo FX'!$R:$R,MATCH($A42,'Valo FX'!$A:$A,0)),INDEX(Base!$U:$U,MATCH($A42,Base!$A:$A,0)),IF(JF$1=INDEX('Valo FX'!$R:$R,MATCH($A42,'Valo FX'!$A:$A,0)),INDEX(Base!$V:$V,MATCH($A42,Base!$A:$A,0)),0)))</f>
        <v>8.6176200000000005</v>
      </c>
      <c r="JG42" s="21">
        <f>IF(JG$1&lt;INDEX('Valo FX'!$Q:$Q,MATCH($A42,'Valo FX'!$A:$A,0)),0,IF(JG$1&lt;INDEX('Valo FX'!$R:$R,MATCH($A42,'Valo FX'!$A:$A,0)),INDEX(Base!$U:$U,MATCH($A42,Base!$A:$A,0)),IF(JG$1=INDEX('Valo FX'!$R:$R,MATCH($A42,'Valo FX'!$A:$A,0)),INDEX(Base!$V:$V,MATCH($A42,Base!$A:$A,0)),0)))</f>
        <v>8.6176200000000005</v>
      </c>
      <c r="JH42" s="21">
        <f>IF(JH$1&lt;INDEX('Valo FX'!$Q:$Q,MATCH($A42,'Valo FX'!$A:$A,0)),0,IF(JH$1&lt;INDEX('Valo FX'!$R:$R,MATCH($A42,'Valo FX'!$A:$A,0)),INDEX(Base!$U:$U,MATCH($A42,Base!$A:$A,0)),IF(JH$1=INDEX('Valo FX'!$R:$R,MATCH($A42,'Valo FX'!$A:$A,0)),INDEX(Base!$V:$V,MATCH($A42,Base!$A:$A,0)),0)))</f>
        <v>8.6176200000000005</v>
      </c>
      <c r="JI42" s="21">
        <f>IF(JI$1&lt;INDEX('Valo FX'!$Q:$Q,MATCH($A42,'Valo FX'!$A:$A,0)),0,IF(JI$1&lt;INDEX('Valo FX'!$R:$R,MATCH($A42,'Valo FX'!$A:$A,0)),INDEX(Base!$U:$U,MATCH($A42,Base!$A:$A,0)),IF(JI$1=INDEX('Valo FX'!$R:$R,MATCH($A42,'Valo FX'!$A:$A,0)),INDEX(Base!$V:$V,MATCH($A42,Base!$A:$A,0)),0)))</f>
        <v>8.6176200000000005</v>
      </c>
      <c r="JJ42" s="21">
        <f>IF(JJ$1&lt;INDEX('Valo FX'!$Q:$Q,MATCH($A42,'Valo FX'!$A:$A,0)),0,IF(JJ$1&lt;INDEX('Valo FX'!$R:$R,MATCH($A42,'Valo FX'!$A:$A,0)),INDEX(Base!$U:$U,MATCH($A42,Base!$A:$A,0)),IF(JJ$1=INDEX('Valo FX'!$R:$R,MATCH($A42,'Valo FX'!$A:$A,0)),INDEX(Base!$V:$V,MATCH($A42,Base!$A:$A,0)),0)))</f>
        <v>8.6176200000000005</v>
      </c>
      <c r="JK42" s="21">
        <f>IF(JK$1&lt;INDEX('Valo FX'!$Q:$Q,MATCH($A42,'Valo FX'!$A:$A,0)),0,IF(JK$1&lt;INDEX('Valo FX'!$R:$R,MATCH($A42,'Valo FX'!$A:$A,0)),INDEX(Base!$U:$U,MATCH($A42,Base!$A:$A,0)),IF(JK$1=INDEX('Valo FX'!$R:$R,MATCH($A42,'Valo FX'!$A:$A,0)),INDEX(Base!$V:$V,MATCH($A42,Base!$A:$A,0)),0)))</f>
        <v>8.6176200000000005</v>
      </c>
      <c r="JL42" s="21">
        <f>IF(JL$1&lt;INDEX('Valo FX'!$Q:$Q,MATCH($A42,'Valo FX'!$A:$A,0)),0,IF(JL$1&lt;INDEX('Valo FX'!$R:$R,MATCH($A42,'Valo FX'!$A:$A,0)),INDEX(Base!$U:$U,MATCH($A42,Base!$A:$A,0)),IF(JL$1=INDEX('Valo FX'!$R:$R,MATCH($A42,'Valo FX'!$A:$A,0)),INDEX(Base!$V:$V,MATCH($A42,Base!$A:$A,0)),0)))</f>
        <v>8.6176200000000005</v>
      </c>
      <c r="JM42" s="21">
        <f>IF(JM$1&lt;INDEX('Valo FX'!$Q:$Q,MATCH($A42,'Valo FX'!$A:$A,0)),0,IF(JM$1&lt;INDEX('Valo FX'!$R:$R,MATCH($A42,'Valo FX'!$A:$A,0)),INDEX(Base!$U:$U,MATCH($A42,Base!$A:$A,0)),IF(JM$1=INDEX('Valo FX'!$R:$R,MATCH($A42,'Valo FX'!$A:$A,0)),INDEX(Base!$V:$V,MATCH($A42,Base!$A:$A,0)),0)))</f>
        <v>8.6176200000000005</v>
      </c>
      <c r="JN42" s="21">
        <f>IF(JN$1&lt;INDEX('Valo FX'!$Q:$Q,MATCH($A42,'Valo FX'!$A:$A,0)),0,IF(JN$1&lt;INDEX('Valo FX'!$R:$R,MATCH($A42,'Valo FX'!$A:$A,0)),INDEX(Base!$U:$U,MATCH($A42,Base!$A:$A,0)),IF(JN$1=INDEX('Valo FX'!$R:$R,MATCH($A42,'Valo FX'!$A:$A,0)),INDEX(Base!$V:$V,MATCH($A42,Base!$A:$A,0)),0)))</f>
        <v>8.6176200000000005</v>
      </c>
      <c r="JO42" s="21">
        <f>IF(JO$1&lt;INDEX('Valo FX'!$Q:$Q,MATCH($A42,'Valo FX'!$A:$A,0)),0,IF(JO$1&lt;INDEX('Valo FX'!$R:$R,MATCH($A42,'Valo FX'!$A:$A,0)),INDEX(Base!$U:$U,MATCH($A42,Base!$A:$A,0)),IF(JO$1=INDEX('Valo FX'!$R:$R,MATCH($A42,'Valo FX'!$A:$A,0)),INDEX(Base!$V:$V,MATCH($A42,Base!$A:$A,0)),0)))</f>
        <v>8.6176200000000005</v>
      </c>
      <c r="JP42" s="21">
        <f>IF(JP$1&lt;INDEX('Valo FX'!$Q:$Q,MATCH($A42,'Valo FX'!$A:$A,0)),0,IF(JP$1&lt;INDEX('Valo FX'!$R:$R,MATCH($A42,'Valo FX'!$A:$A,0)),INDEX(Base!$U:$U,MATCH($A42,Base!$A:$A,0)),IF(JP$1=INDEX('Valo FX'!$R:$R,MATCH($A42,'Valo FX'!$A:$A,0)),INDEX(Base!$V:$V,MATCH($A42,Base!$A:$A,0)),0)))</f>
        <v>8.6176200000000005</v>
      </c>
      <c r="JQ42" s="21">
        <f>IF(JQ$1&lt;INDEX('Valo FX'!$Q:$Q,MATCH($A42,'Valo FX'!$A:$A,0)),0,IF(JQ$1&lt;INDEX('Valo FX'!$R:$R,MATCH($A42,'Valo FX'!$A:$A,0)),INDEX(Base!$U:$U,MATCH($A42,Base!$A:$A,0)),IF(JQ$1=INDEX('Valo FX'!$R:$R,MATCH($A42,'Valo FX'!$A:$A,0)),INDEX(Base!$V:$V,MATCH($A42,Base!$A:$A,0)),0)))</f>
        <v>8.6176200000000005</v>
      </c>
      <c r="JR42" s="21">
        <f>IF(JR$1&lt;INDEX('Valo FX'!$Q:$Q,MATCH($A42,'Valo FX'!$A:$A,0)),0,IF(JR$1&lt;INDEX('Valo FX'!$R:$R,MATCH($A42,'Valo FX'!$A:$A,0)),INDEX(Base!$U:$U,MATCH($A42,Base!$A:$A,0)),IF(JR$1=INDEX('Valo FX'!$R:$R,MATCH($A42,'Valo FX'!$A:$A,0)),INDEX(Base!$V:$V,MATCH($A42,Base!$A:$A,0)),0)))</f>
        <v>8.6176200000000005</v>
      </c>
      <c r="JS42" s="21">
        <f>IF(JS$1&lt;INDEX('Valo FX'!$Q:$Q,MATCH($A42,'Valo FX'!$A:$A,0)),0,IF(JS$1&lt;INDEX('Valo FX'!$R:$R,MATCH($A42,'Valo FX'!$A:$A,0)),INDEX(Base!$U:$U,MATCH($A42,Base!$A:$A,0)),IF(JS$1=INDEX('Valo FX'!$R:$R,MATCH($A42,'Valo FX'!$A:$A,0)),INDEX(Base!$V:$V,MATCH($A42,Base!$A:$A,0)),0)))</f>
        <v>8.6176200000000005</v>
      </c>
      <c r="JT42" s="21">
        <f>IF(JT$1&lt;INDEX('Valo FX'!$Q:$Q,MATCH($A42,'Valo FX'!$A:$A,0)),0,IF(JT$1&lt;INDEX('Valo FX'!$R:$R,MATCH($A42,'Valo FX'!$A:$A,0)),INDEX(Base!$U:$U,MATCH($A42,Base!$A:$A,0)),IF(JT$1=INDEX('Valo FX'!$R:$R,MATCH($A42,'Valo FX'!$A:$A,0)),INDEX(Base!$V:$V,MATCH($A42,Base!$A:$A,0)),0)))</f>
        <v>8.6176200000000005</v>
      </c>
      <c r="JU42" s="21">
        <f>IF(JU$1&lt;INDEX('Valo FX'!$Q:$Q,MATCH($A42,'Valo FX'!$A:$A,0)),0,IF(JU$1&lt;INDEX('Valo FX'!$R:$R,MATCH($A42,'Valo FX'!$A:$A,0)),INDEX(Base!$U:$U,MATCH($A42,Base!$A:$A,0)),IF(JU$1=INDEX('Valo FX'!$R:$R,MATCH($A42,'Valo FX'!$A:$A,0)),INDEX(Base!$V:$V,MATCH($A42,Base!$A:$A,0)),0)))</f>
        <v>8.6176200000000005</v>
      </c>
      <c r="JV42" s="21">
        <f>IF(JV$1&lt;INDEX('Valo FX'!$Q:$Q,MATCH($A42,'Valo FX'!$A:$A,0)),0,IF(JV$1&lt;INDEX('Valo FX'!$R:$R,MATCH($A42,'Valo FX'!$A:$A,0)),INDEX(Base!$U:$U,MATCH($A42,Base!$A:$A,0)),IF(JV$1=INDEX('Valo FX'!$R:$R,MATCH($A42,'Valo FX'!$A:$A,0)),INDEX(Base!$V:$V,MATCH($A42,Base!$A:$A,0)),0)))</f>
        <v>8.6176200000000005</v>
      </c>
      <c r="JW42" s="21">
        <f>IF(JW$1&lt;INDEX('Valo FX'!$Q:$Q,MATCH($A42,'Valo FX'!$A:$A,0)),0,IF(JW$1&lt;INDEX('Valo FX'!$R:$R,MATCH($A42,'Valo FX'!$A:$A,0)),INDEX(Base!$U:$U,MATCH($A42,Base!$A:$A,0)),IF(JW$1=INDEX('Valo FX'!$R:$R,MATCH($A42,'Valo FX'!$A:$A,0)),INDEX(Base!$V:$V,MATCH($A42,Base!$A:$A,0)),0)))</f>
        <v>8.6176200000000005</v>
      </c>
      <c r="JX42" s="21">
        <f>IF(JX$1&lt;INDEX('Valo FX'!$Q:$Q,MATCH($A42,'Valo FX'!$A:$A,0)),0,IF(JX$1&lt;INDEX('Valo FX'!$R:$R,MATCH($A42,'Valo FX'!$A:$A,0)),INDEX(Base!$U:$U,MATCH($A42,Base!$A:$A,0)),IF(JX$1=INDEX('Valo FX'!$R:$R,MATCH($A42,'Valo FX'!$A:$A,0)),INDEX(Base!$V:$V,MATCH($A42,Base!$A:$A,0)),0)))</f>
        <v>8.6176200000000005</v>
      </c>
      <c r="JY42" s="21">
        <f>IF(JY$1&lt;INDEX('Valo FX'!$Q:$Q,MATCH($A42,'Valo FX'!$A:$A,0)),0,IF(JY$1&lt;INDEX('Valo FX'!$R:$R,MATCH($A42,'Valo FX'!$A:$A,0)),INDEX(Base!$U:$U,MATCH($A42,Base!$A:$A,0)),IF(JY$1=INDEX('Valo FX'!$R:$R,MATCH($A42,'Valo FX'!$A:$A,0)),INDEX(Base!$V:$V,MATCH($A42,Base!$A:$A,0)),0)))</f>
        <v>8.6176200000000005</v>
      </c>
      <c r="JZ42" s="21">
        <f>IF(JZ$1&lt;INDEX('Valo FX'!$Q:$Q,MATCH($A42,'Valo FX'!$A:$A,0)),0,IF(JZ$1&lt;INDEX('Valo FX'!$R:$R,MATCH($A42,'Valo FX'!$A:$A,0)),INDEX(Base!$U:$U,MATCH($A42,Base!$A:$A,0)),IF(JZ$1=INDEX('Valo FX'!$R:$R,MATCH($A42,'Valo FX'!$A:$A,0)),INDEX(Base!$V:$V,MATCH($A42,Base!$A:$A,0)),0)))</f>
        <v>8.6176200000000005</v>
      </c>
      <c r="KA42" s="21">
        <f>IF(KA$1&lt;INDEX('Valo FX'!$Q:$Q,MATCH($A42,'Valo FX'!$A:$A,0)),0,IF(KA$1&lt;INDEX('Valo FX'!$R:$R,MATCH($A42,'Valo FX'!$A:$A,0)),INDEX(Base!$U:$U,MATCH($A42,Base!$A:$A,0)),IF(KA$1=INDEX('Valo FX'!$R:$R,MATCH($A42,'Valo FX'!$A:$A,0)),INDEX(Base!$V:$V,MATCH($A42,Base!$A:$A,0)),0)))</f>
        <v>8.6176200000000005</v>
      </c>
      <c r="KB42" s="21">
        <f>IF(KB$1&lt;INDEX('Valo FX'!$Q:$Q,MATCH($A42,'Valo FX'!$A:$A,0)),0,IF(KB$1&lt;INDEX('Valo FX'!$R:$R,MATCH($A42,'Valo FX'!$A:$A,0)),INDEX(Base!$U:$U,MATCH($A42,Base!$A:$A,0)),IF(KB$1=INDEX('Valo FX'!$R:$R,MATCH($A42,'Valo FX'!$A:$A,0)),INDEX(Base!$V:$V,MATCH($A42,Base!$A:$A,0)),0)))</f>
        <v>8.6176200000000005</v>
      </c>
      <c r="KC42" s="21">
        <f>IF(KC$1&lt;INDEX('Valo FX'!$Q:$Q,MATCH($A42,'Valo FX'!$A:$A,0)),0,IF(KC$1&lt;INDEX('Valo FX'!$R:$R,MATCH($A42,'Valo FX'!$A:$A,0)),INDEX(Base!$U:$U,MATCH($A42,Base!$A:$A,0)),IF(KC$1=INDEX('Valo FX'!$R:$R,MATCH($A42,'Valo FX'!$A:$A,0)),INDEX(Base!$V:$V,MATCH($A42,Base!$A:$A,0)),0)))</f>
        <v>8.6176200000000005</v>
      </c>
      <c r="KD42" s="21">
        <f>IF(KD$1&lt;INDEX('Valo FX'!$Q:$Q,MATCH($A42,'Valo FX'!$A:$A,0)),0,IF(KD$1&lt;INDEX('Valo FX'!$R:$R,MATCH($A42,'Valo FX'!$A:$A,0)),INDEX(Base!$U:$U,MATCH($A42,Base!$A:$A,0)),IF(KD$1=INDEX('Valo FX'!$R:$R,MATCH($A42,'Valo FX'!$A:$A,0)),INDEX(Base!$V:$V,MATCH($A42,Base!$A:$A,0)),0)))</f>
        <v>8.6176200000000005</v>
      </c>
      <c r="KE42" s="21">
        <f>IF(KE$1&lt;INDEX('Valo FX'!$Q:$Q,MATCH($A42,'Valo FX'!$A:$A,0)),0,IF(KE$1&lt;INDEX('Valo FX'!$R:$R,MATCH($A42,'Valo FX'!$A:$A,0)),INDEX(Base!$U:$U,MATCH($A42,Base!$A:$A,0)),IF(KE$1=INDEX('Valo FX'!$R:$R,MATCH($A42,'Valo FX'!$A:$A,0)),INDEX(Base!$V:$V,MATCH($A42,Base!$A:$A,0)),0)))</f>
        <v>8.6176200000000005</v>
      </c>
      <c r="KF42" s="21">
        <f>IF(KF$1&lt;INDEX('Valo FX'!$Q:$Q,MATCH($A42,'Valo FX'!$A:$A,0)),0,IF(KF$1&lt;INDEX('Valo FX'!$R:$R,MATCH($A42,'Valo FX'!$A:$A,0)),INDEX(Base!$U:$U,MATCH($A42,Base!$A:$A,0)),IF(KF$1=INDEX('Valo FX'!$R:$R,MATCH($A42,'Valo FX'!$A:$A,0)),INDEX(Base!$V:$V,MATCH($A42,Base!$A:$A,0)),0)))</f>
        <v>8.6176200000000005</v>
      </c>
      <c r="KG42" s="21">
        <f>IF(KG$1&lt;INDEX('Valo FX'!$Q:$Q,MATCH($A42,'Valo FX'!$A:$A,0)),0,IF(KG$1&lt;INDEX('Valo FX'!$R:$R,MATCH($A42,'Valo FX'!$A:$A,0)),INDEX(Base!$U:$U,MATCH($A42,Base!$A:$A,0)),IF(KG$1=INDEX('Valo FX'!$R:$R,MATCH($A42,'Valo FX'!$A:$A,0)),INDEX(Base!$V:$V,MATCH($A42,Base!$A:$A,0)),0)))</f>
        <v>8.6176200000000005</v>
      </c>
      <c r="KH42" s="21">
        <f>IF(KH$1&lt;INDEX('Valo FX'!$Q:$Q,MATCH($A42,'Valo FX'!$A:$A,0)),0,IF(KH$1&lt;INDEX('Valo FX'!$R:$R,MATCH($A42,'Valo FX'!$A:$A,0)),INDEX(Base!$U:$U,MATCH($A42,Base!$A:$A,0)),IF(KH$1=INDEX('Valo FX'!$R:$R,MATCH($A42,'Valo FX'!$A:$A,0)),INDEX(Base!$V:$V,MATCH($A42,Base!$A:$A,0)),0)))</f>
        <v>8.6176200000000005</v>
      </c>
      <c r="KI42" s="21">
        <f>IF(KI$1&lt;INDEX('Valo FX'!$Q:$Q,MATCH($A42,'Valo FX'!$A:$A,0)),0,IF(KI$1&lt;INDEX('Valo FX'!$R:$R,MATCH($A42,'Valo FX'!$A:$A,0)),INDEX(Base!$U:$U,MATCH($A42,Base!$A:$A,0)),IF(KI$1=INDEX('Valo FX'!$R:$R,MATCH($A42,'Valo FX'!$A:$A,0)),INDEX(Base!$V:$V,MATCH($A42,Base!$A:$A,0)),0)))</f>
        <v>8.6176200000000005</v>
      </c>
      <c r="KJ42" s="21">
        <f>IF(KJ$1&lt;INDEX('Valo FX'!$Q:$Q,MATCH($A42,'Valo FX'!$A:$A,0)),0,IF(KJ$1&lt;INDEX('Valo FX'!$R:$R,MATCH($A42,'Valo FX'!$A:$A,0)),INDEX(Base!$U:$U,MATCH($A42,Base!$A:$A,0)),IF(KJ$1=INDEX('Valo FX'!$R:$R,MATCH($A42,'Valo FX'!$A:$A,0)),INDEX(Base!$V:$V,MATCH($A42,Base!$A:$A,0)),0)))</f>
        <v>8.6176200000000005</v>
      </c>
      <c r="KK42" s="21">
        <f>IF(KK$1&lt;INDEX('Valo FX'!$Q:$Q,MATCH($A42,'Valo FX'!$A:$A,0)),0,IF(KK$1&lt;INDEX('Valo FX'!$R:$R,MATCH($A42,'Valo FX'!$A:$A,0)),INDEX(Base!$U:$U,MATCH($A42,Base!$A:$A,0)),IF(KK$1=INDEX('Valo FX'!$R:$R,MATCH($A42,'Valo FX'!$A:$A,0)),INDEX(Base!$V:$V,MATCH($A42,Base!$A:$A,0)),0)))</f>
        <v>8.6176200000000005</v>
      </c>
      <c r="KL42" s="21">
        <f>IF(KL$1&lt;INDEX('Valo FX'!$Q:$Q,MATCH($A42,'Valo FX'!$A:$A,0)),0,IF(KL$1&lt;INDEX('Valo FX'!$R:$R,MATCH($A42,'Valo FX'!$A:$A,0)),INDEX(Base!$U:$U,MATCH($A42,Base!$A:$A,0)),IF(KL$1=INDEX('Valo FX'!$R:$R,MATCH($A42,'Valo FX'!$A:$A,0)),INDEX(Base!$V:$V,MATCH($A42,Base!$A:$A,0)),0)))</f>
        <v>8.6176200000000005</v>
      </c>
      <c r="KM42" s="21">
        <f>IF(KM$1&lt;INDEX('Valo FX'!$Q:$Q,MATCH($A42,'Valo FX'!$A:$A,0)),0,IF(KM$1&lt;INDEX('Valo FX'!$R:$R,MATCH($A42,'Valo FX'!$A:$A,0)),INDEX(Base!$U:$U,MATCH($A42,Base!$A:$A,0)),IF(KM$1=INDEX('Valo FX'!$R:$R,MATCH($A42,'Valo FX'!$A:$A,0)),INDEX(Base!$V:$V,MATCH($A42,Base!$A:$A,0)),0)))</f>
        <v>8.6176200000000005</v>
      </c>
      <c r="KN42" s="21">
        <f>IF(KN$1&lt;INDEX('Valo FX'!$Q:$Q,MATCH($A42,'Valo FX'!$A:$A,0)),0,IF(KN$1&lt;INDEX('Valo FX'!$R:$R,MATCH($A42,'Valo FX'!$A:$A,0)),INDEX(Base!$U:$U,MATCH($A42,Base!$A:$A,0)),IF(KN$1=INDEX('Valo FX'!$R:$R,MATCH($A42,'Valo FX'!$A:$A,0)),INDEX(Base!$V:$V,MATCH($A42,Base!$A:$A,0)),0)))</f>
        <v>8.6176200000000005</v>
      </c>
      <c r="KO42" s="21">
        <f>IF(KO$1&lt;INDEX('Valo FX'!$Q:$Q,MATCH($A42,'Valo FX'!$A:$A,0)),0,IF(KO$1&lt;INDEX('Valo FX'!$R:$R,MATCH($A42,'Valo FX'!$A:$A,0)),INDEX(Base!$U:$U,MATCH($A42,Base!$A:$A,0)),IF(KO$1=INDEX('Valo FX'!$R:$R,MATCH($A42,'Valo FX'!$A:$A,0)),INDEX(Base!$V:$V,MATCH($A42,Base!$A:$A,0)),0)))</f>
        <v>8.6176200000000005</v>
      </c>
      <c r="KP42" s="21">
        <f>IF(KP$1&lt;INDEX('Valo FX'!$Q:$Q,MATCH($A42,'Valo FX'!$A:$A,0)),0,IF(KP$1&lt;INDEX('Valo FX'!$R:$R,MATCH($A42,'Valo FX'!$A:$A,0)),INDEX(Base!$U:$U,MATCH($A42,Base!$A:$A,0)),IF(KP$1=INDEX('Valo FX'!$R:$R,MATCH($A42,'Valo FX'!$A:$A,0)),INDEX(Base!$V:$V,MATCH($A42,Base!$A:$A,0)),0)))</f>
        <v>8.6176200000000005</v>
      </c>
      <c r="KQ42" s="21">
        <f>IF(KQ$1&lt;INDEX('Valo FX'!$Q:$Q,MATCH($A42,'Valo FX'!$A:$A,0)),0,IF(KQ$1&lt;INDEX('Valo FX'!$R:$R,MATCH($A42,'Valo FX'!$A:$A,0)),INDEX(Base!$U:$U,MATCH($A42,Base!$A:$A,0)),IF(KQ$1=INDEX('Valo FX'!$R:$R,MATCH($A42,'Valo FX'!$A:$A,0)),INDEX(Base!$V:$V,MATCH($A42,Base!$A:$A,0)),0)))</f>
        <v>8.6176200000000005</v>
      </c>
      <c r="KR42" s="21">
        <f>IF(KR$1&lt;INDEX('Valo FX'!$Q:$Q,MATCH($A42,'Valo FX'!$A:$A,0)),0,IF(KR$1&lt;INDEX('Valo FX'!$R:$R,MATCH($A42,'Valo FX'!$A:$A,0)),INDEX(Base!$U:$U,MATCH($A42,Base!$A:$A,0)),IF(KR$1=INDEX('Valo FX'!$R:$R,MATCH($A42,'Valo FX'!$A:$A,0)),INDEX(Base!$V:$V,MATCH($A42,Base!$A:$A,0)),0)))</f>
        <v>8.6176200000000005</v>
      </c>
      <c r="KS42" s="21">
        <f>IF(KS$1&lt;INDEX('Valo FX'!$Q:$Q,MATCH($A42,'Valo FX'!$A:$A,0)),0,IF(KS$1&lt;INDEX('Valo FX'!$R:$R,MATCH($A42,'Valo FX'!$A:$A,0)),INDEX(Base!$U:$U,MATCH($A42,Base!$A:$A,0)),IF(KS$1=INDEX('Valo FX'!$R:$R,MATCH($A42,'Valo FX'!$A:$A,0)),INDEX(Base!$V:$V,MATCH($A42,Base!$A:$A,0)),0)))</f>
        <v>8.6176200000000005</v>
      </c>
      <c r="KT42" s="21">
        <f>IF(KT$1&lt;INDEX('Valo FX'!$Q:$Q,MATCH($A42,'Valo FX'!$A:$A,0)),0,IF(KT$1&lt;INDEX('Valo FX'!$R:$R,MATCH($A42,'Valo FX'!$A:$A,0)),INDEX(Base!$U:$U,MATCH($A42,Base!$A:$A,0)),IF(KT$1=INDEX('Valo FX'!$R:$R,MATCH($A42,'Valo FX'!$A:$A,0)),INDEX(Base!$V:$V,MATCH($A42,Base!$A:$A,0)),0)))</f>
        <v>8.6176200000000005</v>
      </c>
      <c r="KU42" s="21">
        <f>IF(KU$1&lt;INDEX('Valo FX'!$Q:$Q,MATCH($A42,'Valo FX'!$A:$A,0)),0,IF(KU$1&lt;INDEX('Valo FX'!$R:$R,MATCH($A42,'Valo FX'!$A:$A,0)),INDEX(Base!$U:$U,MATCH($A42,Base!$A:$A,0)),IF(KU$1=INDEX('Valo FX'!$R:$R,MATCH($A42,'Valo FX'!$A:$A,0)),INDEX(Base!$V:$V,MATCH($A42,Base!$A:$A,0)),0)))</f>
        <v>8.6176200000000005</v>
      </c>
      <c r="KV42" s="21">
        <f>IF(KV$1&lt;INDEX('Valo FX'!$Q:$Q,MATCH($A42,'Valo FX'!$A:$A,0)),0,IF(KV$1&lt;INDEX('Valo FX'!$R:$R,MATCH($A42,'Valo FX'!$A:$A,0)),INDEX(Base!$U:$U,MATCH($A42,Base!$A:$A,0)),IF(KV$1=INDEX('Valo FX'!$R:$R,MATCH($A42,'Valo FX'!$A:$A,0)),INDEX(Base!$V:$V,MATCH($A42,Base!$A:$A,0)),0)))</f>
        <v>8.6176200000000005</v>
      </c>
      <c r="KW42" s="21">
        <f>IF(KW$1&lt;INDEX('Valo FX'!$Q:$Q,MATCH($A42,'Valo FX'!$A:$A,0)),0,IF(KW$1&lt;INDEX('Valo FX'!$R:$R,MATCH($A42,'Valo FX'!$A:$A,0)),INDEX(Base!$U:$U,MATCH($A42,Base!$A:$A,0)),IF(KW$1=INDEX('Valo FX'!$R:$R,MATCH($A42,'Valo FX'!$A:$A,0)),INDEX(Base!$V:$V,MATCH($A42,Base!$A:$A,0)),0)))</f>
        <v>8.6176200000000005</v>
      </c>
      <c r="KX42" s="21">
        <f>IF(KX$1&lt;INDEX('Valo FX'!$Q:$Q,MATCH($A42,'Valo FX'!$A:$A,0)),0,IF(KX$1&lt;INDEX('Valo FX'!$R:$R,MATCH($A42,'Valo FX'!$A:$A,0)),INDEX(Base!$U:$U,MATCH($A42,Base!$A:$A,0)),IF(KX$1=INDEX('Valo FX'!$R:$R,MATCH($A42,'Valo FX'!$A:$A,0)),INDEX(Base!$V:$V,MATCH($A42,Base!$A:$A,0)),0)))</f>
        <v>8.6176200000000005</v>
      </c>
      <c r="KY42" s="21">
        <f>IF(KY$1&lt;INDEX('Valo FX'!$Q:$Q,MATCH($A42,'Valo FX'!$A:$A,0)),0,IF(KY$1&lt;INDEX('Valo FX'!$R:$R,MATCH($A42,'Valo FX'!$A:$A,0)),INDEX(Base!$U:$U,MATCH($A42,Base!$A:$A,0)),IF(KY$1=INDEX('Valo FX'!$R:$R,MATCH($A42,'Valo FX'!$A:$A,0)),INDEX(Base!$V:$V,MATCH($A42,Base!$A:$A,0)),0)))</f>
        <v>8.6176200000000005</v>
      </c>
      <c r="KZ42" s="21">
        <f>IF(KZ$1&lt;INDEX('Valo FX'!$Q:$Q,MATCH($A42,'Valo FX'!$A:$A,0)),0,IF(KZ$1&lt;INDEX('Valo FX'!$R:$R,MATCH($A42,'Valo FX'!$A:$A,0)),INDEX(Base!$U:$U,MATCH($A42,Base!$A:$A,0)),IF(KZ$1=INDEX('Valo FX'!$R:$R,MATCH($A42,'Valo FX'!$A:$A,0)),INDEX(Base!$V:$V,MATCH($A42,Base!$A:$A,0)),0)))</f>
        <v>8.6176200000000005</v>
      </c>
      <c r="LA42" s="21">
        <f>IF(LA$1&lt;INDEX('Valo FX'!$Q:$Q,MATCH($A42,'Valo FX'!$A:$A,0)),0,IF(LA$1&lt;INDEX('Valo FX'!$R:$R,MATCH($A42,'Valo FX'!$A:$A,0)),INDEX(Base!$U:$U,MATCH($A42,Base!$A:$A,0)),IF(LA$1=INDEX('Valo FX'!$R:$R,MATCH($A42,'Valo FX'!$A:$A,0)),INDEX(Base!$V:$V,MATCH($A42,Base!$A:$A,0)),0)))</f>
        <v>8.6176200000000005</v>
      </c>
      <c r="LB42" s="21">
        <f>IF(LB$1&lt;INDEX('Valo FX'!$Q:$Q,MATCH($A42,'Valo FX'!$A:$A,0)),0,IF(LB$1&lt;INDEX('Valo FX'!$R:$R,MATCH($A42,'Valo FX'!$A:$A,0)),INDEX(Base!$U:$U,MATCH($A42,Base!$A:$A,0)),IF(LB$1=INDEX('Valo FX'!$R:$R,MATCH($A42,'Valo FX'!$A:$A,0)),INDEX(Base!$V:$V,MATCH($A42,Base!$A:$A,0)),0)))</f>
        <v>8.6176200000000005</v>
      </c>
      <c r="LC42" s="21">
        <f>IF(LC$1&lt;INDEX('Valo FX'!$Q:$Q,MATCH($A42,'Valo FX'!$A:$A,0)),0,IF(LC$1&lt;INDEX('Valo FX'!$R:$R,MATCH($A42,'Valo FX'!$A:$A,0)),INDEX(Base!$U:$U,MATCH($A42,Base!$A:$A,0)),IF(LC$1=INDEX('Valo FX'!$R:$R,MATCH($A42,'Valo FX'!$A:$A,0)),INDEX(Base!$V:$V,MATCH($A42,Base!$A:$A,0)),0)))</f>
        <v>8.6176200000000005</v>
      </c>
      <c r="LD42" s="21">
        <f>IF(LD$1&lt;INDEX('Valo FX'!$Q:$Q,MATCH($A42,'Valo FX'!$A:$A,0)),0,IF(LD$1&lt;INDEX('Valo FX'!$R:$R,MATCH($A42,'Valo FX'!$A:$A,0)),INDEX(Base!$U:$U,MATCH($A42,Base!$A:$A,0)),IF(LD$1=INDEX('Valo FX'!$R:$R,MATCH($A42,'Valo FX'!$A:$A,0)),INDEX(Base!$V:$V,MATCH($A42,Base!$A:$A,0)),0)))</f>
        <v>8.6176200000000005</v>
      </c>
      <c r="LE42" s="21">
        <f>IF(LE$1&lt;INDEX('Valo FX'!$Q:$Q,MATCH($A42,'Valo FX'!$A:$A,0)),0,IF(LE$1&lt;INDEX('Valo FX'!$R:$R,MATCH($A42,'Valo FX'!$A:$A,0)),INDEX(Base!$U:$U,MATCH($A42,Base!$A:$A,0)),IF(LE$1=INDEX('Valo FX'!$R:$R,MATCH($A42,'Valo FX'!$A:$A,0)),INDEX(Base!$V:$V,MATCH($A42,Base!$A:$A,0)),0)))</f>
        <v>8.6176200000000005</v>
      </c>
      <c r="LF42" s="21">
        <f>IF(LF$1&lt;INDEX('Valo FX'!$Q:$Q,MATCH($A42,'Valo FX'!$A:$A,0)),0,IF(LF$1&lt;INDEX('Valo FX'!$R:$R,MATCH($A42,'Valo FX'!$A:$A,0)),INDEX(Base!$U:$U,MATCH($A42,Base!$A:$A,0)),IF(LF$1=INDEX('Valo FX'!$R:$R,MATCH($A42,'Valo FX'!$A:$A,0)),INDEX(Base!$V:$V,MATCH($A42,Base!$A:$A,0)),0)))</f>
        <v>8.6176200000000005</v>
      </c>
      <c r="LG42" s="21">
        <f>IF(LG$1&lt;INDEX('Valo FX'!$Q:$Q,MATCH($A42,'Valo FX'!$A:$A,0)),0,IF(LG$1&lt;INDEX('Valo FX'!$R:$R,MATCH($A42,'Valo FX'!$A:$A,0)),INDEX(Base!$U:$U,MATCH($A42,Base!$A:$A,0)),IF(LG$1=INDEX('Valo FX'!$R:$R,MATCH($A42,'Valo FX'!$A:$A,0)),INDEX(Base!$V:$V,MATCH($A42,Base!$A:$A,0)),0)))</f>
        <v>8.6176200000000005</v>
      </c>
      <c r="LH42" s="21">
        <f>IF(LH$1&lt;INDEX('Valo FX'!$Q:$Q,MATCH($A42,'Valo FX'!$A:$A,0)),0,IF(LH$1&lt;INDEX('Valo FX'!$R:$R,MATCH($A42,'Valo FX'!$A:$A,0)),INDEX(Base!$U:$U,MATCH($A42,Base!$A:$A,0)),IF(LH$1=INDEX('Valo FX'!$R:$R,MATCH($A42,'Valo FX'!$A:$A,0)),INDEX(Base!$V:$V,MATCH($A42,Base!$A:$A,0)),0)))</f>
        <v>8.6176200000000005</v>
      </c>
      <c r="LI42" s="21">
        <f>IF(LI$1&lt;INDEX('Valo FX'!$Q:$Q,MATCH($A42,'Valo FX'!$A:$A,0)),0,IF(LI$1&lt;INDEX('Valo FX'!$R:$R,MATCH($A42,'Valo FX'!$A:$A,0)),INDEX(Base!$U:$U,MATCH($A42,Base!$A:$A,0)),IF(LI$1=INDEX('Valo FX'!$R:$R,MATCH($A42,'Valo FX'!$A:$A,0)),INDEX(Base!$V:$V,MATCH($A42,Base!$A:$A,0)),0)))</f>
        <v>8.6176200000000005</v>
      </c>
      <c r="LJ42" s="21">
        <f>IF(LJ$1&lt;INDEX('Valo FX'!$Q:$Q,MATCH($A42,'Valo FX'!$A:$A,0)),0,IF(LJ$1&lt;INDEX('Valo FX'!$R:$R,MATCH($A42,'Valo FX'!$A:$A,0)),INDEX(Base!$U:$U,MATCH($A42,Base!$A:$A,0)),IF(LJ$1=INDEX('Valo FX'!$R:$R,MATCH($A42,'Valo FX'!$A:$A,0)),INDEX(Base!$V:$V,MATCH($A42,Base!$A:$A,0)),0)))</f>
        <v>8.6176200000000005</v>
      </c>
      <c r="LK42" s="21">
        <f>IF(LK$1&lt;INDEX('Valo FX'!$Q:$Q,MATCH($A42,'Valo FX'!$A:$A,0)),0,IF(LK$1&lt;INDEX('Valo FX'!$R:$R,MATCH($A42,'Valo FX'!$A:$A,0)),INDEX(Base!$U:$U,MATCH($A42,Base!$A:$A,0)),IF(LK$1=INDEX('Valo FX'!$R:$R,MATCH($A42,'Valo FX'!$A:$A,0)),INDEX(Base!$V:$V,MATCH($A42,Base!$A:$A,0)),0)))</f>
        <v>8.6176200000000005</v>
      </c>
      <c r="LL42" s="21">
        <f>IF(LL$1&lt;INDEX('Valo FX'!$Q:$Q,MATCH($A42,'Valo FX'!$A:$A,0)),0,IF(LL$1&lt;INDEX('Valo FX'!$R:$R,MATCH($A42,'Valo FX'!$A:$A,0)),INDEX(Base!$U:$U,MATCH($A42,Base!$A:$A,0)),IF(LL$1=INDEX('Valo FX'!$R:$R,MATCH($A42,'Valo FX'!$A:$A,0)),INDEX(Base!$V:$V,MATCH($A42,Base!$A:$A,0)),0)))</f>
        <v>8.6176200000000005</v>
      </c>
      <c r="LM42" s="21">
        <f>IF(LM$1&lt;INDEX('Valo FX'!$Q:$Q,MATCH($A42,'Valo FX'!$A:$A,0)),0,IF(LM$1&lt;INDEX('Valo FX'!$R:$R,MATCH($A42,'Valo FX'!$A:$A,0)),INDEX(Base!$U:$U,MATCH($A42,Base!$A:$A,0)),IF(LM$1=INDEX('Valo FX'!$R:$R,MATCH($A42,'Valo FX'!$A:$A,0)),INDEX(Base!$V:$V,MATCH($A42,Base!$A:$A,0)),0)))</f>
        <v>8.6176200000000005</v>
      </c>
      <c r="LN42" s="21">
        <f>IF(LN$1&lt;INDEX('Valo FX'!$Q:$Q,MATCH($A42,'Valo FX'!$A:$A,0)),0,IF(LN$1&lt;INDEX('Valo FX'!$R:$R,MATCH($A42,'Valo FX'!$A:$A,0)),INDEX(Base!$U:$U,MATCH($A42,Base!$A:$A,0)),IF(LN$1=INDEX('Valo FX'!$R:$R,MATCH($A42,'Valo FX'!$A:$A,0)),INDEX(Base!$V:$V,MATCH($A42,Base!$A:$A,0)),0)))</f>
        <v>8.6176200000000005</v>
      </c>
      <c r="LO42" s="21">
        <f>IF(LO$1&lt;INDEX('Valo FX'!$Q:$Q,MATCH($A42,'Valo FX'!$A:$A,0)),0,IF(LO$1&lt;INDEX('Valo FX'!$R:$R,MATCH($A42,'Valo FX'!$A:$A,0)),INDEX(Base!$U:$U,MATCH($A42,Base!$A:$A,0)),IF(LO$1=INDEX('Valo FX'!$R:$R,MATCH($A42,'Valo FX'!$A:$A,0)),INDEX(Base!$V:$V,MATCH($A42,Base!$A:$A,0)),0)))</f>
        <v>8.6176200000000005</v>
      </c>
      <c r="LP42" s="21">
        <f>IF(LP$1&lt;INDEX('Valo FX'!$Q:$Q,MATCH($A42,'Valo FX'!$A:$A,0)),0,IF(LP$1&lt;INDEX('Valo FX'!$R:$R,MATCH($A42,'Valo FX'!$A:$A,0)),INDEX(Base!$U:$U,MATCH($A42,Base!$A:$A,0)),IF(LP$1=INDEX('Valo FX'!$R:$R,MATCH($A42,'Valo FX'!$A:$A,0)),INDEX(Base!$V:$V,MATCH($A42,Base!$A:$A,0)),0)))</f>
        <v>8.6176200000000005</v>
      </c>
      <c r="LQ42" s="21">
        <f>IF(LQ$1&lt;INDEX('Valo FX'!$Q:$Q,MATCH($A42,'Valo FX'!$A:$A,0)),0,IF(LQ$1&lt;INDEX('Valo FX'!$R:$R,MATCH($A42,'Valo FX'!$A:$A,0)),INDEX(Base!$U:$U,MATCH($A42,Base!$A:$A,0)),IF(LQ$1=INDEX('Valo FX'!$R:$R,MATCH($A42,'Valo FX'!$A:$A,0)),INDEX(Base!$V:$V,MATCH($A42,Base!$A:$A,0)),0)))</f>
        <v>8.6176200000000005</v>
      </c>
      <c r="LR42" s="21">
        <f>IF(LR$1&lt;INDEX('Valo FX'!$Q:$Q,MATCH($A42,'Valo FX'!$A:$A,0)),0,IF(LR$1&lt;INDEX('Valo FX'!$R:$R,MATCH($A42,'Valo FX'!$A:$A,0)),INDEX(Base!$U:$U,MATCH($A42,Base!$A:$A,0)),IF(LR$1=INDEX('Valo FX'!$R:$R,MATCH($A42,'Valo FX'!$A:$A,0)),INDEX(Base!$V:$V,MATCH($A42,Base!$A:$A,0)),0)))</f>
        <v>8.6176200000000005</v>
      </c>
      <c r="LS42" s="21">
        <f>IF(LS$1&lt;INDEX('Valo FX'!$Q:$Q,MATCH($A42,'Valo FX'!$A:$A,0)),0,IF(LS$1&lt;INDEX('Valo FX'!$R:$R,MATCH($A42,'Valo FX'!$A:$A,0)),INDEX(Base!$U:$U,MATCH($A42,Base!$A:$A,0)),IF(LS$1=INDEX('Valo FX'!$R:$R,MATCH($A42,'Valo FX'!$A:$A,0)),INDEX(Base!$V:$V,MATCH($A42,Base!$A:$A,0)),0)))</f>
        <v>8.6176200000000005</v>
      </c>
      <c r="LT42" s="21">
        <f>IF(LT$1&lt;INDEX('Valo FX'!$Q:$Q,MATCH($A42,'Valo FX'!$A:$A,0)),0,IF(LT$1&lt;INDEX('Valo FX'!$R:$R,MATCH($A42,'Valo FX'!$A:$A,0)),INDEX(Base!$U:$U,MATCH($A42,Base!$A:$A,0)),IF(LT$1=INDEX('Valo FX'!$R:$R,MATCH($A42,'Valo FX'!$A:$A,0)),INDEX(Base!$V:$V,MATCH($A42,Base!$A:$A,0)),0)))</f>
        <v>8.6176200000000005</v>
      </c>
      <c r="LU42" s="21">
        <f>IF(LU$1&lt;INDEX('Valo FX'!$Q:$Q,MATCH($A42,'Valo FX'!$A:$A,0)),0,IF(LU$1&lt;INDEX('Valo FX'!$R:$R,MATCH($A42,'Valo FX'!$A:$A,0)),INDEX(Base!$U:$U,MATCH($A42,Base!$A:$A,0)),IF(LU$1=INDEX('Valo FX'!$R:$R,MATCH($A42,'Valo FX'!$A:$A,0)),INDEX(Base!$V:$V,MATCH($A42,Base!$A:$A,0)),0)))</f>
        <v>8.6176200000000005</v>
      </c>
      <c r="LV42" s="21">
        <f>IF(LV$1&lt;INDEX('Valo FX'!$Q:$Q,MATCH($A42,'Valo FX'!$A:$A,0)),0,IF(LV$1&lt;INDEX('Valo FX'!$R:$R,MATCH($A42,'Valo FX'!$A:$A,0)),INDEX(Base!$U:$U,MATCH($A42,Base!$A:$A,0)),IF(LV$1=INDEX('Valo FX'!$R:$R,MATCH($A42,'Valo FX'!$A:$A,0)),INDEX(Base!$V:$V,MATCH($A42,Base!$A:$A,0)),0)))</f>
        <v>8.6176200000000005</v>
      </c>
      <c r="LW42" s="21">
        <f>IF(LW$1&lt;INDEX('Valo FX'!$Q:$Q,MATCH($A42,'Valo FX'!$A:$A,0)),0,IF(LW$1&lt;INDEX('Valo FX'!$R:$R,MATCH($A42,'Valo FX'!$A:$A,0)),INDEX(Base!$U:$U,MATCH($A42,Base!$A:$A,0)),IF(LW$1=INDEX('Valo FX'!$R:$R,MATCH($A42,'Valo FX'!$A:$A,0)),INDEX(Base!$V:$V,MATCH($A42,Base!$A:$A,0)),0)))</f>
        <v>8.6176200000000005</v>
      </c>
      <c r="LX42" s="21">
        <f>IF(LX$1&lt;INDEX('Valo FX'!$Q:$Q,MATCH($A42,'Valo FX'!$A:$A,0)),0,IF(LX$1&lt;INDEX('Valo FX'!$R:$R,MATCH($A42,'Valo FX'!$A:$A,0)),INDEX(Base!$U:$U,MATCH($A42,Base!$A:$A,0)),IF(LX$1=INDEX('Valo FX'!$R:$R,MATCH($A42,'Valo FX'!$A:$A,0)),INDEX(Base!$V:$V,MATCH($A42,Base!$A:$A,0)),0)))</f>
        <v>8.6176200000000005</v>
      </c>
      <c r="LY42" s="21">
        <f>IF(LY$1&lt;INDEX('Valo FX'!$Q:$Q,MATCH($A42,'Valo FX'!$A:$A,0)),0,IF(LY$1&lt;INDEX('Valo FX'!$R:$R,MATCH($A42,'Valo FX'!$A:$A,0)),INDEX(Base!$U:$U,MATCH($A42,Base!$A:$A,0)),IF(LY$1=INDEX('Valo FX'!$R:$R,MATCH($A42,'Valo FX'!$A:$A,0)),INDEX(Base!$V:$V,MATCH($A42,Base!$A:$A,0)),0)))</f>
        <v>8.6176200000000005</v>
      </c>
      <c r="LZ42" s="21">
        <f>IF(LZ$1&lt;INDEX('Valo FX'!$Q:$Q,MATCH($A42,'Valo FX'!$A:$A,0)),0,IF(LZ$1&lt;INDEX('Valo FX'!$R:$R,MATCH($A42,'Valo FX'!$A:$A,0)),INDEX(Base!$U:$U,MATCH($A42,Base!$A:$A,0)),IF(LZ$1=INDEX('Valo FX'!$R:$R,MATCH($A42,'Valo FX'!$A:$A,0)),INDEX(Base!$V:$V,MATCH($A42,Base!$A:$A,0)),0)))</f>
        <v>8.6176200000000005</v>
      </c>
      <c r="MA42" s="21">
        <f>IF(MA$1&lt;INDEX('Valo FX'!$Q:$Q,MATCH($A42,'Valo FX'!$A:$A,0)),0,IF(MA$1&lt;INDEX('Valo FX'!$R:$R,MATCH($A42,'Valo FX'!$A:$A,0)),INDEX(Base!$U:$U,MATCH($A42,Base!$A:$A,0)),IF(MA$1=INDEX('Valo FX'!$R:$R,MATCH($A42,'Valo FX'!$A:$A,0)),INDEX(Base!$V:$V,MATCH($A42,Base!$A:$A,0)),0)))</f>
        <v>8.6176200000000005</v>
      </c>
      <c r="MB42" s="21">
        <f>IF(MB$1&lt;INDEX('Valo FX'!$Q:$Q,MATCH($A42,'Valo FX'!$A:$A,0)),0,IF(MB$1&lt;INDEX('Valo FX'!$R:$R,MATCH($A42,'Valo FX'!$A:$A,0)),INDEX(Base!$U:$U,MATCH($A42,Base!$A:$A,0)),IF(MB$1=INDEX('Valo FX'!$R:$R,MATCH($A42,'Valo FX'!$A:$A,0)),INDEX(Base!$V:$V,MATCH($A42,Base!$A:$A,0)),0)))</f>
        <v>8.6176200000000005</v>
      </c>
      <c r="MC42" s="21">
        <f>IF(MC$1&lt;INDEX('Valo FX'!$Q:$Q,MATCH($A42,'Valo FX'!$A:$A,0)),0,IF(MC$1&lt;INDEX('Valo FX'!$R:$R,MATCH($A42,'Valo FX'!$A:$A,0)),INDEX(Base!$U:$U,MATCH($A42,Base!$A:$A,0)),IF(MC$1=INDEX('Valo FX'!$R:$R,MATCH($A42,'Valo FX'!$A:$A,0)),INDEX(Base!$V:$V,MATCH($A42,Base!$A:$A,0)),0)))</f>
        <v>8.6176200000000005</v>
      </c>
      <c r="MD42" s="21">
        <f>IF(MD$1&lt;INDEX('Valo FX'!$Q:$Q,MATCH($A42,'Valo FX'!$A:$A,0)),0,IF(MD$1&lt;INDEX('Valo FX'!$R:$R,MATCH($A42,'Valo FX'!$A:$A,0)),INDEX(Base!$U:$U,MATCH($A42,Base!$A:$A,0)),IF(MD$1=INDEX('Valo FX'!$R:$R,MATCH($A42,'Valo FX'!$A:$A,0)),INDEX(Base!$V:$V,MATCH($A42,Base!$A:$A,0)),0)))</f>
        <v>8.6176200000000005</v>
      </c>
      <c r="ME42" s="21">
        <f>IF(ME$1&lt;INDEX('Valo FX'!$Q:$Q,MATCH($A42,'Valo FX'!$A:$A,0)),0,IF(ME$1&lt;INDEX('Valo FX'!$R:$R,MATCH($A42,'Valo FX'!$A:$A,0)),INDEX(Base!$U:$U,MATCH($A42,Base!$A:$A,0)),IF(ME$1=INDEX('Valo FX'!$R:$R,MATCH($A42,'Valo FX'!$A:$A,0)),INDEX(Base!$V:$V,MATCH($A42,Base!$A:$A,0)),0)))</f>
        <v>8.6176200000000005</v>
      </c>
      <c r="MF42" s="21">
        <f>IF(MF$1&lt;INDEX('Valo FX'!$Q:$Q,MATCH($A42,'Valo FX'!$A:$A,0)),0,IF(MF$1&lt;INDEX('Valo FX'!$R:$R,MATCH($A42,'Valo FX'!$A:$A,0)),INDEX(Base!$U:$U,MATCH($A42,Base!$A:$A,0)),IF(MF$1=INDEX('Valo FX'!$R:$R,MATCH($A42,'Valo FX'!$A:$A,0)),INDEX(Base!$V:$V,MATCH($A42,Base!$A:$A,0)),0)))</f>
        <v>8.6176200000000005</v>
      </c>
      <c r="MG42" s="21">
        <f>IF(MG$1&lt;INDEX('Valo FX'!$Q:$Q,MATCH($A42,'Valo FX'!$A:$A,0)),0,IF(MG$1&lt;INDEX('Valo FX'!$R:$R,MATCH($A42,'Valo FX'!$A:$A,0)),INDEX(Base!$U:$U,MATCH($A42,Base!$A:$A,0)),IF(MG$1=INDEX('Valo FX'!$R:$R,MATCH($A42,'Valo FX'!$A:$A,0)),INDEX(Base!$V:$V,MATCH($A42,Base!$A:$A,0)),0)))</f>
        <v>8.6176200000000005</v>
      </c>
      <c r="MH42" s="21">
        <f>IF(MH$1&lt;INDEX('Valo FX'!$Q:$Q,MATCH($A42,'Valo FX'!$A:$A,0)),0,IF(MH$1&lt;INDEX('Valo FX'!$R:$R,MATCH($A42,'Valo FX'!$A:$A,0)),INDEX(Base!$U:$U,MATCH($A42,Base!$A:$A,0)),IF(MH$1=INDEX('Valo FX'!$R:$R,MATCH($A42,'Valo FX'!$A:$A,0)),INDEX(Base!$V:$V,MATCH($A42,Base!$A:$A,0)),0)))</f>
        <v>8.6176200000000005</v>
      </c>
      <c r="MI42" s="21">
        <f>IF(MI$1&lt;INDEX('Valo FX'!$Q:$Q,MATCH($A42,'Valo FX'!$A:$A,0)),0,IF(MI$1&lt;INDEX('Valo FX'!$R:$R,MATCH($A42,'Valo FX'!$A:$A,0)),INDEX(Base!$U:$U,MATCH($A42,Base!$A:$A,0)),IF(MI$1=INDEX('Valo FX'!$R:$R,MATCH($A42,'Valo FX'!$A:$A,0)),INDEX(Base!$V:$V,MATCH($A42,Base!$A:$A,0)),0)))</f>
        <v>8.6176200000000005</v>
      </c>
      <c r="MJ42" s="21">
        <f>IF(MJ$1&lt;INDEX('Valo FX'!$Q:$Q,MATCH($A42,'Valo FX'!$A:$A,0)),0,IF(MJ$1&lt;INDEX('Valo FX'!$R:$R,MATCH($A42,'Valo FX'!$A:$A,0)),INDEX(Base!$U:$U,MATCH($A42,Base!$A:$A,0)),IF(MJ$1=INDEX('Valo FX'!$R:$R,MATCH($A42,'Valo FX'!$A:$A,0)),INDEX(Base!$V:$V,MATCH($A42,Base!$A:$A,0)),0)))</f>
        <v>8.6176200000000005</v>
      </c>
      <c r="MK42" s="21">
        <f>IF(MK$1&lt;INDEX('Valo FX'!$Q:$Q,MATCH($A42,'Valo FX'!$A:$A,0)),0,IF(MK$1&lt;INDEX('Valo FX'!$R:$R,MATCH($A42,'Valo FX'!$A:$A,0)),INDEX(Base!$U:$U,MATCH($A42,Base!$A:$A,0)),IF(MK$1=INDEX('Valo FX'!$R:$R,MATCH($A42,'Valo FX'!$A:$A,0)),INDEX(Base!$V:$V,MATCH($A42,Base!$A:$A,0)),0)))</f>
        <v>8.6176200000000005</v>
      </c>
      <c r="ML42" s="21">
        <f>IF(ML$1&lt;INDEX('Valo FX'!$Q:$Q,MATCH($A42,'Valo FX'!$A:$A,0)),0,IF(ML$1&lt;INDEX('Valo FX'!$R:$R,MATCH($A42,'Valo FX'!$A:$A,0)),INDEX(Base!$U:$U,MATCH($A42,Base!$A:$A,0)),IF(ML$1=INDEX('Valo FX'!$R:$R,MATCH($A42,'Valo FX'!$A:$A,0)),INDEX(Base!$V:$V,MATCH($A42,Base!$A:$A,0)),0)))</f>
        <v>8.6176200000000005</v>
      </c>
      <c r="MM42" s="21">
        <f>IF(MM$1&lt;INDEX('Valo FX'!$Q:$Q,MATCH($A42,'Valo FX'!$A:$A,0)),0,IF(MM$1&lt;INDEX('Valo FX'!$R:$R,MATCH($A42,'Valo FX'!$A:$A,0)),INDEX(Base!$U:$U,MATCH($A42,Base!$A:$A,0)),IF(MM$1=INDEX('Valo FX'!$R:$R,MATCH($A42,'Valo FX'!$A:$A,0)),INDEX(Base!$V:$V,MATCH($A42,Base!$A:$A,0)),0)))</f>
        <v>8.6176200000000005</v>
      </c>
      <c r="MN42" s="21">
        <f>IF(MN$1&lt;INDEX('Valo FX'!$Q:$Q,MATCH($A42,'Valo FX'!$A:$A,0)),0,IF(MN$1&lt;INDEX('Valo FX'!$R:$R,MATCH($A42,'Valo FX'!$A:$A,0)),INDEX(Base!$U:$U,MATCH($A42,Base!$A:$A,0)),IF(MN$1=INDEX('Valo FX'!$R:$R,MATCH($A42,'Valo FX'!$A:$A,0)),INDEX(Base!$V:$V,MATCH($A42,Base!$A:$A,0)),0)))</f>
        <v>8.6176200000000005</v>
      </c>
      <c r="MO42" s="21">
        <f>IF(MO$1&lt;INDEX('Valo FX'!$Q:$Q,MATCH($A42,'Valo FX'!$A:$A,0)),0,IF(MO$1&lt;INDEX('Valo FX'!$R:$R,MATCH($A42,'Valo FX'!$A:$A,0)),INDEX(Base!$U:$U,MATCH($A42,Base!$A:$A,0)),IF(MO$1=INDEX('Valo FX'!$R:$R,MATCH($A42,'Valo FX'!$A:$A,0)),INDEX(Base!$V:$V,MATCH($A42,Base!$A:$A,0)),0)))</f>
        <v>8.6176200000000005</v>
      </c>
      <c r="MP42" s="21">
        <f>IF(MP$1&lt;INDEX('Valo FX'!$Q:$Q,MATCH($A42,'Valo FX'!$A:$A,0)),0,IF(MP$1&lt;INDEX('Valo FX'!$R:$R,MATCH($A42,'Valo FX'!$A:$A,0)),INDEX(Base!$U:$U,MATCH($A42,Base!$A:$A,0)),IF(MP$1=INDEX('Valo FX'!$R:$R,MATCH($A42,'Valo FX'!$A:$A,0)),INDEX(Base!$V:$V,MATCH($A42,Base!$A:$A,0)),0)))</f>
        <v>8.6176200000000005</v>
      </c>
      <c r="MQ42" s="21">
        <f>IF(MQ$1&lt;INDEX('Valo FX'!$Q:$Q,MATCH($A42,'Valo FX'!$A:$A,0)),0,IF(MQ$1&lt;INDEX('Valo FX'!$R:$R,MATCH($A42,'Valo FX'!$A:$A,0)),INDEX(Base!$U:$U,MATCH($A42,Base!$A:$A,0)),IF(MQ$1=INDEX('Valo FX'!$R:$R,MATCH($A42,'Valo FX'!$A:$A,0)),INDEX(Base!$V:$V,MATCH($A42,Base!$A:$A,0)),0)))</f>
        <v>8.6176200000000005</v>
      </c>
      <c r="MR42" s="21">
        <f>IF(MR$1&lt;INDEX('Valo FX'!$Q:$Q,MATCH($A42,'Valo FX'!$A:$A,0)),0,IF(MR$1&lt;INDEX('Valo FX'!$R:$R,MATCH($A42,'Valo FX'!$A:$A,0)),INDEX(Base!$U:$U,MATCH($A42,Base!$A:$A,0)),IF(MR$1=INDEX('Valo FX'!$R:$R,MATCH($A42,'Valo FX'!$A:$A,0)),INDEX(Base!$V:$V,MATCH($A42,Base!$A:$A,0)),0)))</f>
        <v>8.6176200000000005</v>
      </c>
      <c r="MS42" s="21">
        <f>IF(MS$1&lt;INDEX('Valo FX'!$Q:$Q,MATCH($A42,'Valo FX'!$A:$A,0)),0,IF(MS$1&lt;INDEX('Valo FX'!$R:$R,MATCH($A42,'Valo FX'!$A:$A,0)),INDEX(Base!$U:$U,MATCH($A42,Base!$A:$A,0)),IF(MS$1=INDEX('Valo FX'!$R:$R,MATCH($A42,'Valo FX'!$A:$A,0)),INDEX(Base!$V:$V,MATCH($A42,Base!$A:$A,0)),0)))</f>
        <v>8.6176200000000005</v>
      </c>
      <c r="MT42" s="21">
        <f>IF(MT$1&lt;INDEX('Valo FX'!$Q:$Q,MATCH($A42,'Valo FX'!$A:$A,0)),0,IF(MT$1&lt;INDEX('Valo FX'!$R:$R,MATCH($A42,'Valo FX'!$A:$A,0)),INDEX(Base!$U:$U,MATCH($A42,Base!$A:$A,0)),IF(MT$1=INDEX('Valo FX'!$R:$R,MATCH($A42,'Valo FX'!$A:$A,0)),INDEX(Base!$V:$V,MATCH($A42,Base!$A:$A,0)),0)))</f>
        <v>8.6176200000000005</v>
      </c>
      <c r="MU42" s="21">
        <f>IF(MU$1&lt;INDEX('Valo FX'!$Q:$Q,MATCH($A42,'Valo FX'!$A:$A,0)),0,IF(MU$1&lt;INDEX('Valo FX'!$R:$R,MATCH($A42,'Valo FX'!$A:$A,0)),INDEX(Base!$U:$U,MATCH($A42,Base!$A:$A,0)),IF(MU$1=INDEX('Valo FX'!$R:$R,MATCH($A42,'Valo FX'!$A:$A,0)),INDEX(Base!$V:$V,MATCH($A42,Base!$A:$A,0)),0)))</f>
        <v>8.6176200000000005</v>
      </c>
      <c r="MV42" s="21">
        <f>IF(MV$1&lt;INDEX('Valo FX'!$Q:$Q,MATCH($A42,'Valo FX'!$A:$A,0)),0,IF(MV$1&lt;INDEX('Valo FX'!$R:$R,MATCH($A42,'Valo FX'!$A:$A,0)),INDEX(Base!$U:$U,MATCH($A42,Base!$A:$A,0)),IF(MV$1=INDEX('Valo FX'!$R:$R,MATCH($A42,'Valo FX'!$A:$A,0)),INDEX(Base!$V:$V,MATCH($A42,Base!$A:$A,0)),0)))</f>
        <v>8.6176200000000005</v>
      </c>
      <c r="MW42" s="21">
        <f>IF(MW$1&lt;INDEX('Valo FX'!$Q:$Q,MATCH($A42,'Valo FX'!$A:$A,0)),0,IF(MW$1&lt;INDEX('Valo FX'!$R:$R,MATCH($A42,'Valo FX'!$A:$A,0)),INDEX(Base!$U:$U,MATCH($A42,Base!$A:$A,0)),IF(MW$1=INDEX('Valo FX'!$R:$R,MATCH($A42,'Valo FX'!$A:$A,0)),INDEX(Base!$V:$V,MATCH($A42,Base!$A:$A,0)),0)))</f>
        <v>8.6176200000000005</v>
      </c>
      <c r="MX42" s="21">
        <f>IF(MX$1&lt;INDEX('Valo FX'!$Q:$Q,MATCH($A42,'Valo FX'!$A:$A,0)),0,IF(MX$1&lt;INDEX('Valo FX'!$R:$R,MATCH($A42,'Valo FX'!$A:$A,0)),INDEX(Base!$U:$U,MATCH($A42,Base!$A:$A,0)),IF(MX$1=INDEX('Valo FX'!$R:$R,MATCH($A42,'Valo FX'!$A:$A,0)),INDEX(Base!$V:$V,MATCH($A42,Base!$A:$A,0)),0)))</f>
        <v>8.6176200000000005</v>
      </c>
      <c r="MY42" s="21">
        <f>IF(MY$1&lt;INDEX('Valo FX'!$Q:$Q,MATCH($A42,'Valo FX'!$A:$A,0)),0,IF(MY$1&lt;INDEX('Valo FX'!$R:$R,MATCH($A42,'Valo FX'!$A:$A,0)),INDEX(Base!$U:$U,MATCH($A42,Base!$A:$A,0)),IF(MY$1=INDEX('Valo FX'!$R:$R,MATCH($A42,'Valo FX'!$A:$A,0)),INDEX(Base!$V:$V,MATCH($A42,Base!$A:$A,0)),0)))</f>
        <v>8.8874499999999994</v>
      </c>
    </row>
    <row r="43" spans="1:363" x14ac:dyDescent="0.25">
      <c r="A43" s="7">
        <f t="shared" si="12"/>
        <v>41</v>
      </c>
      <c r="B43" s="59">
        <f>-'Valo FX'!T44</f>
        <v>-1787.9164492292628</v>
      </c>
      <c r="C43" s="21">
        <f>IF(C$1&lt;INDEX('Valo FX'!$Q:$Q,MATCH($A43,'Valo FX'!$A:$A,0)),0,IF(C$1&lt;INDEX('Valo FX'!$R:$R,MATCH($A43,'Valo FX'!$A:$A,0)),INDEX(Base!$U:$U,MATCH($A43,Base!$A:$A,0)),IF(C$1=INDEX('Valo FX'!$R:$R,MATCH($A43,'Valo FX'!$A:$A,0)),INDEX(Base!$V:$V,MATCH($A43,Base!$A:$A,0)),0)))</f>
        <v>0</v>
      </c>
      <c r="D43" s="21">
        <f>IF(D$1&lt;INDEX('Valo FX'!$Q:$Q,MATCH($A43,'Valo FX'!$A:$A,0)),0,IF(D$1&lt;INDEX('Valo FX'!$R:$R,MATCH($A43,'Valo FX'!$A:$A,0)),INDEX(Base!$U:$U,MATCH($A43,Base!$A:$A,0)),IF(D$1=INDEX('Valo FX'!$R:$R,MATCH($A43,'Valo FX'!$A:$A,0)),INDEX(Base!$V:$V,MATCH($A43,Base!$A:$A,0)),0)))</f>
        <v>0</v>
      </c>
      <c r="E43" s="21">
        <f>IF(E$1&lt;INDEX('Valo FX'!$Q:$Q,MATCH($A43,'Valo FX'!$A:$A,0)),0,IF(E$1&lt;INDEX('Valo FX'!$R:$R,MATCH($A43,'Valo FX'!$A:$A,0)),INDEX(Base!$U:$U,MATCH($A43,Base!$A:$A,0)),IF(E$1=INDEX('Valo FX'!$R:$R,MATCH($A43,'Valo FX'!$A:$A,0)),INDEX(Base!$V:$V,MATCH($A43,Base!$A:$A,0)),0)))</f>
        <v>0</v>
      </c>
      <c r="F43" s="21">
        <f>IF(F$1&lt;INDEX('Valo FX'!$Q:$Q,MATCH($A43,'Valo FX'!$A:$A,0)),0,IF(F$1&lt;INDEX('Valo FX'!$R:$R,MATCH($A43,'Valo FX'!$A:$A,0)),INDEX(Base!$U:$U,MATCH($A43,Base!$A:$A,0)),IF(F$1=INDEX('Valo FX'!$R:$R,MATCH($A43,'Valo FX'!$A:$A,0)),INDEX(Base!$V:$V,MATCH($A43,Base!$A:$A,0)),0)))</f>
        <v>0</v>
      </c>
      <c r="G43" s="21">
        <f>IF(G$1&lt;INDEX('Valo FX'!$Q:$Q,MATCH($A43,'Valo FX'!$A:$A,0)),0,IF(G$1&lt;INDEX('Valo FX'!$R:$R,MATCH($A43,'Valo FX'!$A:$A,0)),INDEX(Base!$U:$U,MATCH($A43,Base!$A:$A,0)),IF(G$1=INDEX('Valo FX'!$R:$R,MATCH($A43,'Valo FX'!$A:$A,0)),INDEX(Base!$V:$V,MATCH($A43,Base!$A:$A,0)),0)))</f>
        <v>0</v>
      </c>
      <c r="H43" s="21">
        <f>IF(H$1&lt;INDEX('Valo FX'!$Q:$Q,MATCH($A43,'Valo FX'!$A:$A,0)),0,IF(H$1&lt;INDEX('Valo FX'!$R:$R,MATCH($A43,'Valo FX'!$A:$A,0)),INDEX(Base!$U:$U,MATCH($A43,Base!$A:$A,0)),IF(H$1=INDEX('Valo FX'!$R:$R,MATCH($A43,'Valo FX'!$A:$A,0)),INDEX(Base!$V:$V,MATCH($A43,Base!$A:$A,0)),0)))</f>
        <v>0</v>
      </c>
      <c r="I43" s="21">
        <f>IF(I$1&lt;INDEX('Valo FX'!$Q:$Q,MATCH($A43,'Valo FX'!$A:$A,0)),0,IF(I$1&lt;INDEX('Valo FX'!$R:$R,MATCH($A43,'Valo FX'!$A:$A,0)),INDEX(Base!$U:$U,MATCH($A43,Base!$A:$A,0)),IF(I$1=INDEX('Valo FX'!$R:$R,MATCH($A43,'Valo FX'!$A:$A,0)),INDEX(Base!$V:$V,MATCH($A43,Base!$A:$A,0)),0)))</f>
        <v>12.249840000000001</v>
      </c>
      <c r="J43" s="21">
        <f>IF(J$1&lt;INDEX('Valo FX'!$Q:$Q,MATCH($A43,'Valo FX'!$A:$A,0)),0,IF(J$1&lt;INDEX('Valo FX'!$R:$R,MATCH($A43,'Valo FX'!$A:$A,0)),INDEX(Base!$U:$U,MATCH($A43,Base!$A:$A,0)),IF(J$1=INDEX('Valo FX'!$R:$R,MATCH($A43,'Valo FX'!$A:$A,0)),INDEX(Base!$V:$V,MATCH($A43,Base!$A:$A,0)),0)))</f>
        <v>12.249840000000001</v>
      </c>
      <c r="K43" s="21">
        <f>IF(K$1&lt;INDEX('Valo FX'!$Q:$Q,MATCH($A43,'Valo FX'!$A:$A,0)),0,IF(K$1&lt;INDEX('Valo FX'!$R:$R,MATCH($A43,'Valo FX'!$A:$A,0)),INDEX(Base!$U:$U,MATCH($A43,Base!$A:$A,0)),IF(K$1=INDEX('Valo FX'!$R:$R,MATCH($A43,'Valo FX'!$A:$A,0)),INDEX(Base!$V:$V,MATCH($A43,Base!$A:$A,0)),0)))</f>
        <v>12.249840000000001</v>
      </c>
      <c r="L43" s="21">
        <f>IF(L$1&lt;INDEX('Valo FX'!$Q:$Q,MATCH($A43,'Valo FX'!$A:$A,0)),0,IF(L$1&lt;INDEX('Valo FX'!$R:$R,MATCH($A43,'Valo FX'!$A:$A,0)),INDEX(Base!$U:$U,MATCH($A43,Base!$A:$A,0)),IF(L$1=INDEX('Valo FX'!$R:$R,MATCH($A43,'Valo FX'!$A:$A,0)),INDEX(Base!$V:$V,MATCH($A43,Base!$A:$A,0)),0)))</f>
        <v>12.249840000000001</v>
      </c>
      <c r="M43" s="21">
        <f>IF(M$1&lt;INDEX('Valo FX'!$Q:$Q,MATCH($A43,'Valo FX'!$A:$A,0)),0,IF(M$1&lt;INDEX('Valo FX'!$R:$R,MATCH($A43,'Valo FX'!$A:$A,0)),INDEX(Base!$U:$U,MATCH($A43,Base!$A:$A,0)),IF(M$1=INDEX('Valo FX'!$R:$R,MATCH($A43,'Valo FX'!$A:$A,0)),INDEX(Base!$V:$V,MATCH($A43,Base!$A:$A,0)),0)))</f>
        <v>12.249840000000001</v>
      </c>
      <c r="N43" s="21">
        <f>IF(N$1&lt;INDEX('Valo FX'!$Q:$Q,MATCH($A43,'Valo FX'!$A:$A,0)),0,IF(N$1&lt;INDEX('Valo FX'!$R:$R,MATCH($A43,'Valo FX'!$A:$A,0)),INDEX(Base!$U:$U,MATCH($A43,Base!$A:$A,0)),IF(N$1=INDEX('Valo FX'!$R:$R,MATCH($A43,'Valo FX'!$A:$A,0)),INDEX(Base!$V:$V,MATCH($A43,Base!$A:$A,0)),0)))</f>
        <v>12.249840000000001</v>
      </c>
      <c r="O43" s="21">
        <f>IF(O$1&lt;INDEX('Valo FX'!$Q:$Q,MATCH($A43,'Valo FX'!$A:$A,0)),0,IF(O$1&lt;INDEX('Valo FX'!$R:$R,MATCH($A43,'Valo FX'!$A:$A,0)),INDEX(Base!$U:$U,MATCH($A43,Base!$A:$A,0)),IF(O$1=INDEX('Valo FX'!$R:$R,MATCH($A43,'Valo FX'!$A:$A,0)),INDEX(Base!$V:$V,MATCH($A43,Base!$A:$A,0)),0)))</f>
        <v>12.249840000000001</v>
      </c>
      <c r="P43" s="21">
        <f>IF(P$1&lt;INDEX('Valo FX'!$Q:$Q,MATCH($A43,'Valo FX'!$A:$A,0)),0,IF(P$1&lt;INDEX('Valo FX'!$R:$R,MATCH($A43,'Valo FX'!$A:$A,0)),INDEX(Base!$U:$U,MATCH($A43,Base!$A:$A,0)),IF(P$1=INDEX('Valo FX'!$R:$R,MATCH($A43,'Valo FX'!$A:$A,0)),INDEX(Base!$V:$V,MATCH($A43,Base!$A:$A,0)),0)))</f>
        <v>12.249840000000001</v>
      </c>
      <c r="Q43" s="21">
        <f>IF(Q$1&lt;INDEX('Valo FX'!$Q:$Q,MATCH($A43,'Valo FX'!$A:$A,0)),0,IF(Q$1&lt;INDEX('Valo FX'!$R:$R,MATCH($A43,'Valo FX'!$A:$A,0)),INDEX(Base!$U:$U,MATCH($A43,Base!$A:$A,0)),IF(Q$1=INDEX('Valo FX'!$R:$R,MATCH($A43,'Valo FX'!$A:$A,0)),INDEX(Base!$V:$V,MATCH($A43,Base!$A:$A,0)),0)))</f>
        <v>12.249840000000001</v>
      </c>
      <c r="R43" s="21">
        <f>IF(R$1&lt;INDEX('Valo FX'!$Q:$Q,MATCH($A43,'Valo FX'!$A:$A,0)),0,IF(R$1&lt;INDEX('Valo FX'!$R:$R,MATCH($A43,'Valo FX'!$A:$A,0)),INDEX(Base!$U:$U,MATCH($A43,Base!$A:$A,0)),IF(R$1=INDEX('Valo FX'!$R:$R,MATCH($A43,'Valo FX'!$A:$A,0)),INDEX(Base!$V:$V,MATCH($A43,Base!$A:$A,0)),0)))</f>
        <v>12.249840000000001</v>
      </c>
      <c r="S43" s="21">
        <f>IF(S$1&lt;INDEX('Valo FX'!$Q:$Q,MATCH($A43,'Valo FX'!$A:$A,0)),0,IF(S$1&lt;INDEX('Valo FX'!$R:$R,MATCH($A43,'Valo FX'!$A:$A,0)),INDEX(Base!$U:$U,MATCH($A43,Base!$A:$A,0)),IF(S$1=INDEX('Valo FX'!$R:$R,MATCH($A43,'Valo FX'!$A:$A,0)),INDEX(Base!$V:$V,MATCH($A43,Base!$A:$A,0)),0)))</f>
        <v>12.249840000000001</v>
      </c>
      <c r="T43" s="21">
        <f>IF(T$1&lt;INDEX('Valo FX'!$Q:$Q,MATCH($A43,'Valo FX'!$A:$A,0)),0,IF(T$1&lt;INDEX('Valo FX'!$R:$R,MATCH($A43,'Valo FX'!$A:$A,0)),INDEX(Base!$U:$U,MATCH($A43,Base!$A:$A,0)),IF(T$1=INDEX('Valo FX'!$R:$R,MATCH($A43,'Valo FX'!$A:$A,0)),INDEX(Base!$V:$V,MATCH($A43,Base!$A:$A,0)),0)))</f>
        <v>12.249840000000001</v>
      </c>
      <c r="U43" s="21">
        <f>IF(U$1&lt;INDEX('Valo FX'!$Q:$Q,MATCH($A43,'Valo FX'!$A:$A,0)),0,IF(U$1&lt;INDEX('Valo FX'!$R:$R,MATCH($A43,'Valo FX'!$A:$A,0)),INDEX(Base!$U:$U,MATCH($A43,Base!$A:$A,0)),IF(U$1=INDEX('Valo FX'!$R:$R,MATCH($A43,'Valo FX'!$A:$A,0)),INDEX(Base!$V:$V,MATCH($A43,Base!$A:$A,0)),0)))</f>
        <v>12.249840000000001</v>
      </c>
      <c r="V43" s="21">
        <f>IF(V$1&lt;INDEX('Valo FX'!$Q:$Q,MATCH($A43,'Valo FX'!$A:$A,0)),0,IF(V$1&lt;INDEX('Valo FX'!$R:$R,MATCH($A43,'Valo FX'!$A:$A,0)),INDEX(Base!$U:$U,MATCH($A43,Base!$A:$A,0)),IF(V$1=INDEX('Valo FX'!$R:$R,MATCH($A43,'Valo FX'!$A:$A,0)),INDEX(Base!$V:$V,MATCH($A43,Base!$A:$A,0)),0)))</f>
        <v>12.249840000000001</v>
      </c>
      <c r="W43" s="21">
        <f>IF(W$1&lt;INDEX('Valo FX'!$Q:$Q,MATCH($A43,'Valo FX'!$A:$A,0)),0,IF(W$1&lt;INDEX('Valo FX'!$R:$R,MATCH($A43,'Valo FX'!$A:$A,0)),INDEX(Base!$U:$U,MATCH($A43,Base!$A:$A,0)),IF(W$1=INDEX('Valo FX'!$R:$R,MATCH($A43,'Valo FX'!$A:$A,0)),INDEX(Base!$V:$V,MATCH($A43,Base!$A:$A,0)),0)))</f>
        <v>12.249840000000001</v>
      </c>
      <c r="X43" s="21">
        <f>IF(X$1&lt;INDEX('Valo FX'!$Q:$Q,MATCH($A43,'Valo FX'!$A:$A,0)),0,IF(X$1&lt;INDEX('Valo FX'!$R:$R,MATCH($A43,'Valo FX'!$A:$A,0)),INDEX(Base!$U:$U,MATCH($A43,Base!$A:$A,0)),IF(X$1=INDEX('Valo FX'!$R:$R,MATCH($A43,'Valo FX'!$A:$A,0)),INDEX(Base!$V:$V,MATCH($A43,Base!$A:$A,0)),0)))</f>
        <v>12.249840000000001</v>
      </c>
      <c r="Y43" s="21">
        <f>IF(Y$1&lt;INDEX('Valo FX'!$Q:$Q,MATCH($A43,'Valo FX'!$A:$A,0)),0,IF(Y$1&lt;INDEX('Valo FX'!$R:$R,MATCH($A43,'Valo FX'!$A:$A,0)),INDEX(Base!$U:$U,MATCH($A43,Base!$A:$A,0)),IF(Y$1=INDEX('Valo FX'!$R:$R,MATCH($A43,'Valo FX'!$A:$A,0)),INDEX(Base!$V:$V,MATCH($A43,Base!$A:$A,0)),0)))</f>
        <v>12.249840000000001</v>
      </c>
      <c r="Z43" s="21">
        <f>IF(Z$1&lt;INDEX('Valo FX'!$Q:$Q,MATCH($A43,'Valo FX'!$A:$A,0)),0,IF(Z$1&lt;INDEX('Valo FX'!$R:$R,MATCH($A43,'Valo FX'!$A:$A,0)),INDEX(Base!$U:$U,MATCH($A43,Base!$A:$A,0)),IF(Z$1=INDEX('Valo FX'!$R:$R,MATCH($A43,'Valo FX'!$A:$A,0)),INDEX(Base!$V:$V,MATCH($A43,Base!$A:$A,0)),0)))</f>
        <v>12.249840000000001</v>
      </c>
      <c r="AA43" s="21">
        <f>IF(AA$1&lt;INDEX('Valo FX'!$Q:$Q,MATCH($A43,'Valo FX'!$A:$A,0)),0,IF(AA$1&lt;INDEX('Valo FX'!$R:$R,MATCH($A43,'Valo FX'!$A:$A,0)),INDEX(Base!$U:$U,MATCH($A43,Base!$A:$A,0)),IF(AA$1=INDEX('Valo FX'!$R:$R,MATCH($A43,'Valo FX'!$A:$A,0)),INDEX(Base!$V:$V,MATCH($A43,Base!$A:$A,0)),0)))</f>
        <v>12.249840000000001</v>
      </c>
      <c r="AB43" s="21">
        <f>IF(AB$1&lt;INDEX('Valo FX'!$Q:$Q,MATCH($A43,'Valo FX'!$A:$A,0)),0,IF(AB$1&lt;INDEX('Valo FX'!$R:$R,MATCH($A43,'Valo FX'!$A:$A,0)),INDEX(Base!$U:$U,MATCH($A43,Base!$A:$A,0)),IF(AB$1=INDEX('Valo FX'!$R:$R,MATCH($A43,'Valo FX'!$A:$A,0)),INDEX(Base!$V:$V,MATCH($A43,Base!$A:$A,0)),0)))</f>
        <v>12.249840000000001</v>
      </c>
      <c r="AC43" s="21">
        <f>IF(AC$1&lt;INDEX('Valo FX'!$Q:$Q,MATCH($A43,'Valo FX'!$A:$A,0)),0,IF(AC$1&lt;INDEX('Valo FX'!$R:$R,MATCH($A43,'Valo FX'!$A:$A,0)),INDEX(Base!$U:$U,MATCH($A43,Base!$A:$A,0)),IF(AC$1=INDEX('Valo FX'!$R:$R,MATCH($A43,'Valo FX'!$A:$A,0)),INDEX(Base!$V:$V,MATCH($A43,Base!$A:$A,0)),0)))</f>
        <v>12.249840000000001</v>
      </c>
      <c r="AD43" s="21">
        <f>IF(AD$1&lt;INDEX('Valo FX'!$Q:$Q,MATCH($A43,'Valo FX'!$A:$A,0)),0,IF(AD$1&lt;INDEX('Valo FX'!$R:$R,MATCH($A43,'Valo FX'!$A:$A,0)),INDEX(Base!$U:$U,MATCH($A43,Base!$A:$A,0)),IF(AD$1=INDEX('Valo FX'!$R:$R,MATCH($A43,'Valo FX'!$A:$A,0)),INDEX(Base!$V:$V,MATCH($A43,Base!$A:$A,0)),0)))</f>
        <v>12.249840000000001</v>
      </c>
      <c r="AE43" s="21">
        <f>IF(AE$1&lt;INDEX('Valo FX'!$Q:$Q,MATCH($A43,'Valo FX'!$A:$A,0)),0,IF(AE$1&lt;INDEX('Valo FX'!$R:$R,MATCH($A43,'Valo FX'!$A:$A,0)),INDEX(Base!$U:$U,MATCH($A43,Base!$A:$A,0)),IF(AE$1=INDEX('Valo FX'!$R:$R,MATCH($A43,'Valo FX'!$A:$A,0)),INDEX(Base!$V:$V,MATCH($A43,Base!$A:$A,0)),0)))</f>
        <v>12.249840000000001</v>
      </c>
      <c r="AF43" s="21">
        <f>IF(AF$1&lt;INDEX('Valo FX'!$Q:$Q,MATCH($A43,'Valo FX'!$A:$A,0)),0,IF(AF$1&lt;INDEX('Valo FX'!$R:$R,MATCH($A43,'Valo FX'!$A:$A,0)),INDEX(Base!$U:$U,MATCH($A43,Base!$A:$A,0)),IF(AF$1=INDEX('Valo FX'!$R:$R,MATCH($A43,'Valo FX'!$A:$A,0)),INDEX(Base!$V:$V,MATCH($A43,Base!$A:$A,0)),0)))</f>
        <v>12.249840000000001</v>
      </c>
      <c r="AG43" s="21">
        <f>IF(AG$1&lt;INDEX('Valo FX'!$Q:$Q,MATCH($A43,'Valo FX'!$A:$A,0)),0,IF(AG$1&lt;INDEX('Valo FX'!$R:$R,MATCH($A43,'Valo FX'!$A:$A,0)),INDEX(Base!$U:$U,MATCH($A43,Base!$A:$A,0)),IF(AG$1=INDEX('Valo FX'!$R:$R,MATCH($A43,'Valo FX'!$A:$A,0)),INDEX(Base!$V:$V,MATCH($A43,Base!$A:$A,0)),0)))</f>
        <v>12.249840000000001</v>
      </c>
      <c r="AH43" s="21">
        <f>IF(AH$1&lt;INDEX('Valo FX'!$Q:$Q,MATCH($A43,'Valo FX'!$A:$A,0)),0,IF(AH$1&lt;INDEX('Valo FX'!$R:$R,MATCH($A43,'Valo FX'!$A:$A,0)),INDEX(Base!$U:$U,MATCH($A43,Base!$A:$A,0)),IF(AH$1=INDEX('Valo FX'!$R:$R,MATCH($A43,'Valo FX'!$A:$A,0)),INDEX(Base!$V:$V,MATCH($A43,Base!$A:$A,0)),0)))</f>
        <v>12.249840000000001</v>
      </c>
      <c r="AI43" s="21">
        <f>IF(AI$1&lt;INDEX('Valo FX'!$Q:$Q,MATCH($A43,'Valo FX'!$A:$A,0)),0,IF(AI$1&lt;INDEX('Valo FX'!$R:$R,MATCH($A43,'Valo FX'!$A:$A,0)),INDEX(Base!$U:$U,MATCH($A43,Base!$A:$A,0)),IF(AI$1=INDEX('Valo FX'!$R:$R,MATCH($A43,'Valo FX'!$A:$A,0)),INDEX(Base!$V:$V,MATCH($A43,Base!$A:$A,0)),0)))</f>
        <v>12.249840000000001</v>
      </c>
      <c r="AJ43" s="21">
        <f>IF(AJ$1&lt;INDEX('Valo FX'!$Q:$Q,MATCH($A43,'Valo FX'!$A:$A,0)),0,IF(AJ$1&lt;INDEX('Valo FX'!$R:$R,MATCH($A43,'Valo FX'!$A:$A,0)),INDEX(Base!$U:$U,MATCH($A43,Base!$A:$A,0)),IF(AJ$1=INDEX('Valo FX'!$R:$R,MATCH($A43,'Valo FX'!$A:$A,0)),INDEX(Base!$V:$V,MATCH($A43,Base!$A:$A,0)),0)))</f>
        <v>12.249840000000001</v>
      </c>
      <c r="AK43" s="21">
        <f>IF(AK$1&lt;INDEX('Valo FX'!$Q:$Q,MATCH($A43,'Valo FX'!$A:$A,0)),0,IF(AK$1&lt;INDEX('Valo FX'!$R:$R,MATCH($A43,'Valo FX'!$A:$A,0)),INDEX(Base!$U:$U,MATCH($A43,Base!$A:$A,0)),IF(AK$1=INDEX('Valo FX'!$R:$R,MATCH($A43,'Valo FX'!$A:$A,0)),INDEX(Base!$V:$V,MATCH($A43,Base!$A:$A,0)),0)))</f>
        <v>12.249840000000001</v>
      </c>
      <c r="AL43" s="21">
        <f>IF(AL$1&lt;INDEX('Valo FX'!$Q:$Q,MATCH($A43,'Valo FX'!$A:$A,0)),0,IF(AL$1&lt;INDEX('Valo FX'!$R:$R,MATCH($A43,'Valo FX'!$A:$A,0)),INDEX(Base!$U:$U,MATCH($A43,Base!$A:$A,0)),IF(AL$1=INDEX('Valo FX'!$R:$R,MATCH($A43,'Valo FX'!$A:$A,0)),INDEX(Base!$V:$V,MATCH($A43,Base!$A:$A,0)),0)))</f>
        <v>12.249840000000001</v>
      </c>
      <c r="AM43" s="21">
        <f>IF(AM$1&lt;INDEX('Valo FX'!$Q:$Q,MATCH($A43,'Valo FX'!$A:$A,0)),0,IF(AM$1&lt;INDEX('Valo FX'!$R:$R,MATCH($A43,'Valo FX'!$A:$A,0)),INDEX(Base!$U:$U,MATCH($A43,Base!$A:$A,0)),IF(AM$1=INDEX('Valo FX'!$R:$R,MATCH($A43,'Valo FX'!$A:$A,0)),INDEX(Base!$V:$V,MATCH($A43,Base!$A:$A,0)),0)))</f>
        <v>12.249840000000001</v>
      </c>
      <c r="AN43" s="21">
        <f>IF(AN$1&lt;INDEX('Valo FX'!$Q:$Q,MATCH($A43,'Valo FX'!$A:$A,0)),0,IF(AN$1&lt;INDEX('Valo FX'!$R:$R,MATCH($A43,'Valo FX'!$A:$A,0)),INDEX(Base!$U:$U,MATCH($A43,Base!$A:$A,0)),IF(AN$1=INDEX('Valo FX'!$R:$R,MATCH($A43,'Valo FX'!$A:$A,0)),INDEX(Base!$V:$V,MATCH($A43,Base!$A:$A,0)),0)))</f>
        <v>12.249840000000001</v>
      </c>
      <c r="AO43" s="21">
        <f>IF(AO$1&lt;INDEX('Valo FX'!$Q:$Q,MATCH($A43,'Valo FX'!$A:$A,0)),0,IF(AO$1&lt;INDEX('Valo FX'!$R:$R,MATCH($A43,'Valo FX'!$A:$A,0)),INDEX(Base!$U:$U,MATCH($A43,Base!$A:$A,0)),IF(AO$1=INDEX('Valo FX'!$R:$R,MATCH($A43,'Valo FX'!$A:$A,0)),INDEX(Base!$V:$V,MATCH($A43,Base!$A:$A,0)),0)))</f>
        <v>12.249840000000001</v>
      </c>
      <c r="AP43" s="21">
        <f>IF(AP$1&lt;INDEX('Valo FX'!$Q:$Q,MATCH($A43,'Valo FX'!$A:$A,0)),0,IF(AP$1&lt;INDEX('Valo FX'!$R:$R,MATCH($A43,'Valo FX'!$A:$A,0)),INDEX(Base!$U:$U,MATCH($A43,Base!$A:$A,0)),IF(AP$1=INDEX('Valo FX'!$R:$R,MATCH($A43,'Valo FX'!$A:$A,0)),INDEX(Base!$V:$V,MATCH($A43,Base!$A:$A,0)),0)))</f>
        <v>12.249840000000001</v>
      </c>
      <c r="AQ43" s="21">
        <f>IF(AQ$1&lt;INDEX('Valo FX'!$Q:$Q,MATCH($A43,'Valo FX'!$A:$A,0)),0,IF(AQ$1&lt;INDEX('Valo FX'!$R:$R,MATCH($A43,'Valo FX'!$A:$A,0)),INDEX(Base!$U:$U,MATCH($A43,Base!$A:$A,0)),IF(AQ$1=INDEX('Valo FX'!$R:$R,MATCH($A43,'Valo FX'!$A:$A,0)),INDEX(Base!$V:$V,MATCH($A43,Base!$A:$A,0)),0)))</f>
        <v>12.249840000000001</v>
      </c>
      <c r="AR43" s="21">
        <f>IF(AR$1&lt;INDEX('Valo FX'!$Q:$Q,MATCH($A43,'Valo FX'!$A:$A,0)),0,IF(AR$1&lt;INDEX('Valo FX'!$R:$R,MATCH($A43,'Valo FX'!$A:$A,0)),INDEX(Base!$U:$U,MATCH($A43,Base!$A:$A,0)),IF(AR$1=INDEX('Valo FX'!$R:$R,MATCH($A43,'Valo FX'!$A:$A,0)),INDEX(Base!$V:$V,MATCH($A43,Base!$A:$A,0)),0)))</f>
        <v>12.249840000000001</v>
      </c>
      <c r="AS43" s="21">
        <f>IF(AS$1&lt;INDEX('Valo FX'!$Q:$Q,MATCH($A43,'Valo FX'!$A:$A,0)),0,IF(AS$1&lt;INDEX('Valo FX'!$R:$R,MATCH($A43,'Valo FX'!$A:$A,0)),INDEX(Base!$U:$U,MATCH($A43,Base!$A:$A,0)),IF(AS$1=INDEX('Valo FX'!$R:$R,MATCH($A43,'Valo FX'!$A:$A,0)),INDEX(Base!$V:$V,MATCH($A43,Base!$A:$A,0)),0)))</f>
        <v>12.249840000000001</v>
      </c>
      <c r="AT43" s="21">
        <f>IF(AT$1&lt;INDEX('Valo FX'!$Q:$Q,MATCH($A43,'Valo FX'!$A:$A,0)),0,IF(AT$1&lt;INDEX('Valo FX'!$R:$R,MATCH($A43,'Valo FX'!$A:$A,0)),INDEX(Base!$U:$U,MATCH($A43,Base!$A:$A,0)),IF(AT$1=INDEX('Valo FX'!$R:$R,MATCH($A43,'Valo FX'!$A:$A,0)),INDEX(Base!$V:$V,MATCH($A43,Base!$A:$A,0)),0)))</f>
        <v>12.249840000000001</v>
      </c>
      <c r="AU43" s="21">
        <f>IF(AU$1&lt;INDEX('Valo FX'!$Q:$Q,MATCH($A43,'Valo FX'!$A:$A,0)),0,IF(AU$1&lt;INDEX('Valo FX'!$R:$R,MATCH($A43,'Valo FX'!$A:$A,0)),INDEX(Base!$U:$U,MATCH($A43,Base!$A:$A,0)),IF(AU$1=INDEX('Valo FX'!$R:$R,MATCH($A43,'Valo FX'!$A:$A,0)),INDEX(Base!$V:$V,MATCH($A43,Base!$A:$A,0)),0)))</f>
        <v>12.249840000000001</v>
      </c>
      <c r="AV43" s="21">
        <f>IF(AV$1&lt;INDEX('Valo FX'!$Q:$Q,MATCH($A43,'Valo FX'!$A:$A,0)),0,IF(AV$1&lt;INDEX('Valo FX'!$R:$R,MATCH($A43,'Valo FX'!$A:$A,0)),INDEX(Base!$U:$U,MATCH($A43,Base!$A:$A,0)),IF(AV$1=INDEX('Valo FX'!$R:$R,MATCH($A43,'Valo FX'!$A:$A,0)),INDEX(Base!$V:$V,MATCH($A43,Base!$A:$A,0)),0)))</f>
        <v>12.249840000000001</v>
      </c>
      <c r="AW43" s="21">
        <f>IF(AW$1&lt;INDEX('Valo FX'!$Q:$Q,MATCH($A43,'Valo FX'!$A:$A,0)),0,IF(AW$1&lt;INDEX('Valo FX'!$R:$R,MATCH($A43,'Valo FX'!$A:$A,0)),INDEX(Base!$U:$U,MATCH($A43,Base!$A:$A,0)),IF(AW$1=INDEX('Valo FX'!$R:$R,MATCH($A43,'Valo FX'!$A:$A,0)),INDEX(Base!$V:$V,MATCH($A43,Base!$A:$A,0)),0)))</f>
        <v>12.249840000000001</v>
      </c>
      <c r="AX43" s="21">
        <f>IF(AX$1&lt;INDEX('Valo FX'!$Q:$Q,MATCH($A43,'Valo FX'!$A:$A,0)),0,IF(AX$1&lt;INDEX('Valo FX'!$R:$R,MATCH($A43,'Valo FX'!$A:$A,0)),INDEX(Base!$U:$U,MATCH($A43,Base!$A:$A,0)),IF(AX$1=INDEX('Valo FX'!$R:$R,MATCH($A43,'Valo FX'!$A:$A,0)),INDEX(Base!$V:$V,MATCH($A43,Base!$A:$A,0)),0)))</f>
        <v>12.249840000000001</v>
      </c>
      <c r="AY43" s="21">
        <f>IF(AY$1&lt;INDEX('Valo FX'!$Q:$Q,MATCH($A43,'Valo FX'!$A:$A,0)),0,IF(AY$1&lt;INDEX('Valo FX'!$R:$R,MATCH($A43,'Valo FX'!$A:$A,0)),INDEX(Base!$U:$U,MATCH($A43,Base!$A:$A,0)),IF(AY$1=INDEX('Valo FX'!$R:$R,MATCH($A43,'Valo FX'!$A:$A,0)),INDEX(Base!$V:$V,MATCH($A43,Base!$A:$A,0)),0)))</f>
        <v>12.249840000000001</v>
      </c>
      <c r="AZ43" s="21">
        <f>IF(AZ$1&lt;INDEX('Valo FX'!$Q:$Q,MATCH($A43,'Valo FX'!$A:$A,0)),0,IF(AZ$1&lt;INDEX('Valo FX'!$R:$R,MATCH($A43,'Valo FX'!$A:$A,0)),INDEX(Base!$U:$U,MATCH($A43,Base!$A:$A,0)),IF(AZ$1=INDEX('Valo FX'!$R:$R,MATCH($A43,'Valo FX'!$A:$A,0)),INDEX(Base!$V:$V,MATCH($A43,Base!$A:$A,0)),0)))</f>
        <v>12.249840000000001</v>
      </c>
      <c r="BA43" s="21">
        <f>IF(BA$1&lt;INDEX('Valo FX'!$Q:$Q,MATCH($A43,'Valo FX'!$A:$A,0)),0,IF(BA$1&lt;INDEX('Valo FX'!$R:$R,MATCH($A43,'Valo FX'!$A:$A,0)),INDEX(Base!$U:$U,MATCH($A43,Base!$A:$A,0)),IF(BA$1=INDEX('Valo FX'!$R:$R,MATCH($A43,'Valo FX'!$A:$A,0)),INDEX(Base!$V:$V,MATCH($A43,Base!$A:$A,0)),0)))</f>
        <v>12.249840000000001</v>
      </c>
      <c r="BB43" s="21">
        <f>IF(BB$1&lt;INDEX('Valo FX'!$Q:$Q,MATCH($A43,'Valo FX'!$A:$A,0)),0,IF(BB$1&lt;INDEX('Valo FX'!$R:$R,MATCH($A43,'Valo FX'!$A:$A,0)),INDEX(Base!$U:$U,MATCH($A43,Base!$A:$A,0)),IF(BB$1=INDEX('Valo FX'!$R:$R,MATCH($A43,'Valo FX'!$A:$A,0)),INDEX(Base!$V:$V,MATCH($A43,Base!$A:$A,0)),0)))</f>
        <v>12.249840000000001</v>
      </c>
      <c r="BC43" s="21">
        <f>IF(BC$1&lt;INDEX('Valo FX'!$Q:$Q,MATCH($A43,'Valo FX'!$A:$A,0)),0,IF(BC$1&lt;INDEX('Valo FX'!$R:$R,MATCH($A43,'Valo FX'!$A:$A,0)),INDEX(Base!$U:$U,MATCH($A43,Base!$A:$A,0)),IF(BC$1=INDEX('Valo FX'!$R:$R,MATCH($A43,'Valo FX'!$A:$A,0)),INDEX(Base!$V:$V,MATCH($A43,Base!$A:$A,0)),0)))</f>
        <v>12.249840000000001</v>
      </c>
      <c r="BD43" s="21">
        <f>IF(BD$1&lt;INDEX('Valo FX'!$Q:$Q,MATCH($A43,'Valo FX'!$A:$A,0)),0,IF(BD$1&lt;INDEX('Valo FX'!$R:$R,MATCH($A43,'Valo FX'!$A:$A,0)),INDEX(Base!$U:$U,MATCH($A43,Base!$A:$A,0)),IF(BD$1=INDEX('Valo FX'!$R:$R,MATCH($A43,'Valo FX'!$A:$A,0)),INDEX(Base!$V:$V,MATCH($A43,Base!$A:$A,0)),0)))</f>
        <v>12.249840000000001</v>
      </c>
      <c r="BE43" s="21">
        <f>IF(BE$1&lt;INDEX('Valo FX'!$Q:$Q,MATCH($A43,'Valo FX'!$A:$A,0)),0,IF(BE$1&lt;INDEX('Valo FX'!$R:$R,MATCH($A43,'Valo FX'!$A:$A,0)),INDEX(Base!$U:$U,MATCH($A43,Base!$A:$A,0)),IF(BE$1=INDEX('Valo FX'!$R:$R,MATCH($A43,'Valo FX'!$A:$A,0)),INDEX(Base!$V:$V,MATCH($A43,Base!$A:$A,0)),0)))</f>
        <v>12.249840000000001</v>
      </c>
      <c r="BF43" s="21">
        <f>IF(BF$1&lt;INDEX('Valo FX'!$Q:$Q,MATCH($A43,'Valo FX'!$A:$A,0)),0,IF(BF$1&lt;INDEX('Valo FX'!$R:$R,MATCH($A43,'Valo FX'!$A:$A,0)),INDEX(Base!$U:$U,MATCH($A43,Base!$A:$A,0)),IF(BF$1=INDEX('Valo FX'!$R:$R,MATCH($A43,'Valo FX'!$A:$A,0)),INDEX(Base!$V:$V,MATCH($A43,Base!$A:$A,0)),0)))</f>
        <v>12.249840000000001</v>
      </c>
      <c r="BG43" s="21">
        <f>IF(BG$1&lt;INDEX('Valo FX'!$Q:$Q,MATCH($A43,'Valo FX'!$A:$A,0)),0,IF(BG$1&lt;INDEX('Valo FX'!$R:$R,MATCH($A43,'Valo FX'!$A:$A,0)),INDEX(Base!$U:$U,MATCH($A43,Base!$A:$A,0)),IF(BG$1=INDEX('Valo FX'!$R:$R,MATCH($A43,'Valo FX'!$A:$A,0)),INDEX(Base!$V:$V,MATCH($A43,Base!$A:$A,0)),0)))</f>
        <v>12.249840000000001</v>
      </c>
      <c r="BH43" s="21">
        <f>IF(BH$1&lt;INDEX('Valo FX'!$Q:$Q,MATCH($A43,'Valo FX'!$A:$A,0)),0,IF(BH$1&lt;INDEX('Valo FX'!$R:$R,MATCH($A43,'Valo FX'!$A:$A,0)),INDEX(Base!$U:$U,MATCH($A43,Base!$A:$A,0)),IF(BH$1=INDEX('Valo FX'!$R:$R,MATCH($A43,'Valo FX'!$A:$A,0)),INDEX(Base!$V:$V,MATCH($A43,Base!$A:$A,0)),0)))</f>
        <v>12.249840000000001</v>
      </c>
      <c r="BI43" s="21">
        <f>IF(BI$1&lt;INDEX('Valo FX'!$Q:$Q,MATCH($A43,'Valo FX'!$A:$A,0)),0,IF(BI$1&lt;INDEX('Valo FX'!$R:$R,MATCH($A43,'Valo FX'!$A:$A,0)),INDEX(Base!$U:$U,MATCH($A43,Base!$A:$A,0)),IF(BI$1=INDEX('Valo FX'!$R:$R,MATCH($A43,'Valo FX'!$A:$A,0)),INDEX(Base!$V:$V,MATCH($A43,Base!$A:$A,0)),0)))</f>
        <v>12.249840000000001</v>
      </c>
      <c r="BJ43" s="21">
        <f>IF(BJ$1&lt;INDEX('Valo FX'!$Q:$Q,MATCH($A43,'Valo FX'!$A:$A,0)),0,IF(BJ$1&lt;INDEX('Valo FX'!$R:$R,MATCH($A43,'Valo FX'!$A:$A,0)),INDEX(Base!$U:$U,MATCH($A43,Base!$A:$A,0)),IF(BJ$1=INDEX('Valo FX'!$R:$R,MATCH($A43,'Valo FX'!$A:$A,0)),INDEX(Base!$V:$V,MATCH($A43,Base!$A:$A,0)),0)))</f>
        <v>12.249840000000001</v>
      </c>
      <c r="BK43" s="21">
        <f>IF(BK$1&lt;INDEX('Valo FX'!$Q:$Q,MATCH($A43,'Valo FX'!$A:$A,0)),0,IF(BK$1&lt;INDEX('Valo FX'!$R:$R,MATCH($A43,'Valo FX'!$A:$A,0)),INDEX(Base!$U:$U,MATCH($A43,Base!$A:$A,0)),IF(BK$1=INDEX('Valo FX'!$R:$R,MATCH($A43,'Valo FX'!$A:$A,0)),INDEX(Base!$V:$V,MATCH($A43,Base!$A:$A,0)),0)))</f>
        <v>12.249840000000001</v>
      </c>
      <c r="BL43" s="21">
        <f>IF(BL$1&lt;INDEX('Valo FX'!$Q:$Q,MATCH($A43,'Valo FX'!$A:$A,0)),0,IF(BL$1&lt;INDEX('Valo FX'!$R:$R,MATCH($A43,'Valo FX'!$A:$A,0)),INDEX(Base!$U:$U,MATCH($A43,Base!$A:$A,0)),IF(BL$1=INDEX('Valo FX'!$R:$R,MATCH($A43,'Valo FX'!$A:$A,0)),INDEX(Base!$V:$V,MATCH($A43,Base!$A:$A,0)),0)))</f>
        <v>12.249840000000001</v>
      </c>
      <c r="BM43" s="21">
        <f>IF(BM$1&lt;INDEX('Valo FX'!$Q:$Q,MATCH($A43,'Valo FX'!$A:$A,0)),0,IF(BM$1&lt;INDEX('Valo FX'!$R:$R,MATCH($A43,'Valo FX'!$A:$A,0)),INDEX(Base!$U:$U,MATCH($A43,Base!$A:$A,0)),IF(BM$1=INDEX('Valo FX'!$R:$R,MATCH($A43,'Valo FX'!$A:$A,0)),INDEX(Base!$V:$V,MATCH($A43,Base!$A:$A,0)),0)))</f>
        <v>12.249840000000001</v>
      </c>
      <c r="BN43" s="21">
        <f>IF(BN$1&lt;INDEX('Valo FX'!$Q:$Q,MATCH($A43,'Valo FX'!$A:$A,0)),0,IF(BN$1&lt;INDEX('Valo FX'!$R:$R,MATCH($A43,'Valo FX'!$A:$A,0)),INDEX(Base!$U:$U,MATCH($A43,Base!$A:$A,0)),IF(BN$1=INDEX('Valo FX'!$R:$R,MATCH($A43,'Valo FX'!$A:$A,0)),INDEX(Base!$V:$V,MATCH($A43,Base!$A:$A,0)),0)))</f>
        <v>12.249840000000001</v>
      </c>
      <c r="BO43" s="21">
        <f>IF(BO$1&lt;INDEX('Valo FX'!$Q:$Q,MATCH($A43,'Valo FX'!$A:$A,0)),0,IF(BO$1&lt;INDEX('Valo FX'!$R:$R,MATCH($A43,'Valo FX'!$A:$A,0)),INDEX(Base!$U:$U,MATCH($A43,Base!$A:$A,0)),IF(BO$1=INDEX('Valo FX'!$R:$R,MATCH($A43,'Valo FX'!$A:$A,0)),INDEX(Base!$V:$V,MATCH($A43,Base!$A:$A,0)),0)))</f>
        <v>12.249840000000001</v>
      </c>
      <c r="BP43" s="21">
        <f>IF(BP$1&lt;INDEX('Valo FX'!$Q:$Q,MATCH($A43,'Valo FX'!$A:$A,0)),0,IF(BP$1&lt;INDEX('Valo FX'!$R:$R,MATCH($A43,'Valo FX'!$A:$A,0)),INDEX(Base!$U:$U,MATCH($A43,Base!$A:$A,0)),IF(BP$1=INDEX('Valo FX'!$R:$R,MATCH($A43,'Valo FX'!$A:$A,0)),INDEX(Base!$V:$V,MATCH($A43,Base!$A:$A,0)),0)))</f>
        <v>12.249840000000001</v>
      </c>
      <c r="BQ43" s="21">
        <f>IF(BQ$1&lt;INDEX('Valo FX'!$Q:$Q,MATCH($A43,'Valo FX'!$A:$A,0)),0,IF(BQ$1&lt;INDEX('Valo FX'!$R:$R,MATCH($A43,'Valo FX'!$A:$A,0)),INDEX(Base!$U:$U,MATCH($A43,Base!$A:$A,0)),IF(BQ$1=INDEX('Valo FX'!$R:$R,MATCH($A43,'Valo FX'!$A:$A,0)),INDEX(Base!$V:$V,MATCH($A43,Base!$A:$A,0)),0)))</f>
        <v>12.249840000000001</v>
      </c>
      <c r="BR43" s="21">
        <f>IF(BR$1&lt;INDEX('Valo FX'!$Q:$Q,MATCH($A43,'Valo FX'!$A:$A,0)),0,IF(BR$1&lt;INDEX('Valo FX'!$R:$R,MATCH($A43,'Valo FX'!$A:$A,0)),INDEX(Base!$U:$U,MATCH($A43,Base!$A:$A,0)),IF(BR$1=INDEX('Valo FX'!$R:$R,MATCH($A43,'Valo FX'!$A:$A,0)),INDEX(Base!$V:$V,MATCH($A43,Base!$A:$A,0)),0)))</f>
        <v>12.249840000000001</v>
      </c>
      <c r="BS43" s="21">
        <f>IF(BS$1&lt;INDEX('Valo FX'!$Q:$Q,MATCH($A43,'Valo FX'!$A:$A,0)),0,IF(BS$1&lt;INDEX('Valo FX'!$R:$R,MATCH($A43,'Valo FX'!$A:$A,0)),INDEX(Base!$U:$U,MATCH($A43,Base!$A:$A,0)),IF(BS$1=INDEX('Valo FX'!$R:$R,MATCH($A43,'Valo FX'!$A:$A,0)),INDEX(Base!$V:$V,MATCH($A43,Base!$A:$A,0)),0)))</f>
        <v>12.249840000000001</v>
      </c>
      <c r="BT43" s="21">
        <f>IF(BT$1&lt;INDEX('Valo FX'!$Q:$Q,MATCH($A43,'Valo FX'!$A:$A,0)),0,IF(BT$1&lt;INDEX('Valo FX'!$R:$R,MATCH($A43,'Valo FX'!$A:$A,0)),INDEX(Base!$U:$U,MATCH($A43,Base!$A:$A,0)),IF(BT$1=INDEX('Valo FX'!$R:$R,MATCH($A43,'Valo FX'!$A:$A,0)),INDEX(Base!$V:$V,MATCH($A43,Base!$A:$A,0)),0)))</f>
        <v>12.249840000000001</v>
      </c>
      <c r="BU43" s="21">
        <f>IF(BU$1&lt;INDEX('Valo FX'!$Q:$Q,MATCH($A43,'Valo FX'!$A:$A,0)),0,IF(BU$1&lt;INDEX('Valo FX'!$R:$R,MATCH($A43,'Valo FX'!$A:$A,0)),INDEX(Base!$U:$U,MATCH($A43,Base!$A:$A,0)),IF(BU$1=INDEX('Valo FX'!$R:$R,MATCH($A43,'Valo FX'!$A:$A,0)),INDEX(Base!$V:$V,MATCH($A43,Base!$A:$A,0)),0)))</f>
        <v>12.249840000000001</v>
      </c>
      <c r="BV43" s="21">
        <f>IF(BV$1&lt;INDEX('Valo FX'!$Q:$Q,MATCH($A43,'Valo FX'!$A:$A,0)),0,IF(BV$1&lt;INDEX('Valo FX'!$R:$R,MATCH($A43,'Valo FX'!$A:$A,0)),INDEX(Base!$U:$U,MATCH($A43,Base!$A:$A,0)),IF(BV$1=INDEX('Valo FX'!$R:$R,MATCH($A43,'Valo FX'!$A:$A,0)),INDEX(Base!$V:$V,MATCH($A43,Base!$A:$A,0)),0)))</f>
        <v>12.249840000000001</v>
      </c>
      <c r="BW43" s="21">
        <f>IF(BW$1&lt;INDEX('Valo FX'!$Q:$Q,MATCH($A43,'Valo FX'!$A:$A,0)),0,IF(BW$1&lt;INDEX('Valo FX'!$R:$R,MATCH($A43,'Valo FX'!$A:$A,0)),INDEX(Base!$U:$U,MATCH($A43,Base!$A:$A,0)),IF(BW$1=INDEX('Valo FX'!$R:$R,MATCH($A43,'Valo FX'!$A:$A,0)),INDEX(Base!$V:$V,MATCH($A43,Base!$A:$A,0)),0)))</f>
        <v>12.249840000000001</v>
      </c>
      <c r="BX43" s="21">
        <f>IF(BX$1&lt;INDEX('Valo FX'!$Q:$Q,MATCH($A43,'Valo FX'!$A:$A,0)),0,IF(BX$1&lt;INDEX('Valo FX'!$R:$R,MATCH($A43,'Valo FX'!$A:$A,0)),INDEX(Base!$U:$U,MATCH($A43,Base!$A:$A,0)),IF(BX$1=INDEX('Valo FX'!$R:$R,MATCH($A43,'Valo FX'!$A:$A,0)),INDEX(Base!$V:$V,MATCH($A43,Base!$A:$A,0)),0)))</f>
        <v>12.249840000000001</v>
      </c>
      <c r="BY43" s="21">
        <f>IF(BY$1&lt;INDEX('Valo FX'!$Q:$Q,MATCH($A43,'Valo FX'!$A:$A,0)),0,IF(BY$1&lt;INDEX('Valo FX'!$R:$R,MATCH($A43,'Valo FX'!$A:$A,0)),INDEX(Base!$U:$U,MATCH($A43,Base!$A:$A,0)),IF(BY$1=INDEX('Valo FX'!$R:$R,MATCH($A43,'Valo FX'!$A:$A,0)),INDEX(Base!$V:$V,MATCH($A43,Base!$A:$A,0)),0)))</f>
        <v>12.249840000000001</v>
      </c>
      <c r="BZ43" s="21">
        <f>IF(BZ$1&lt;INDEX('Valo FX'!$Q:$Q,MATCH($A43,'Valo FX'!$A:$A,0)),0,IF(BZ$1&lt;INDEX('Valo FX'!$R:$R,MATCH($A43,'Valo FX'!$A:$A,0)),INDEX(Base!$U:$U,MATCH($A43,Base!$A:$A,0)),IF(BZ$1=INDEX('Valo FX'!$R:$R,MATCH($A43,'Valo FX'!$A:$A,0)),INDEX(Base!$V:$V,MATCH($A43,Base!$A:$A,0)),0)))</f>
        <v>12.249840000000001</v>
      </c>
      <c r="CA43" s="21">
        <f>IF(CA$1&lt;INDEX('Valo FX'!$Q:$Q,MATCH($A43,'Valo FX'!$A:$A,0)),0,IF(CA$1&lt;INDEX('Valo FX'!$R:$R,MATCH($A43,'Valo FX'!$A:$A,0)),INDEX(Base!$U:$U,MATCH($A43,Base!$A:$A,0)),IF(CA$1=INDEX('Valo FX'!$R:$R,MATCH($A43,'Valo FX'!$A:$A,0)),INDEX(Base!$V:$V,MATCH($A43,Base!$A:$A,0)),0)))</f>
        <v>12.249840000000001</v>
      </c>
      <c r="CB43" s="21">
        <f>IF(CB$1&lt;INDEX('Valo FX'!$Q:$Q,MATCH($A43,'Valo FX'!$A:$A,0)),0,IF(CB$1&lt;INDEX('Valo FX'!$R:$R,MATCH($A43,'Valo FX'!$A:$A,0)),INDEX(Base!$U:$U,MATCH($A43,Base!$A:$A,0)),IF(CB$1=INDEX('Valo FX'!$R:$R,MATCH($A43,'Valo FX'!$A:$A,0)),INDEX(Base!$V:$V,MATCH($A43,Base!$A:$A,0)),0)))</f>
        <v>12.249840000000001</v>
      </c>
      <c r="CC43" s="21">
        <f>IF(CC$1&lt;INDEX('Valo FX'!$Q:$Q,MATCH($A43,'Valo FX'!$A:$A,0)),0,IF(CC$1&lt;INDEX('Valo FX'!$R:$R,MATCH($A43,'Valo FX'!$A:$A,0)),INDEX(Base!$U:$U,MATCH($A43,Base!$A:$A,0)),IF(CC$1=INDEX('Valo FX'!$R:$R,MATCH($A43,'Valo FX'!$A:$A,0)),INDEX(Base!$V:$V,MATCH($A43,Base!$A:$A,0)),0)))</f>
        <v>12.249840000000001</v>
      </c>
      <c r="CD43" s="21">
        <f>IF(CD$1&lt;INDEX('Valo FX'!$Q:$Q,MATCH($A43,'Valo FX'!$A:$A,0)),0,IF(CD$1&lt;INDEX('Valo FX'!$R:$R,MATCH($A43,'Valo FX'!$A:$A,0)),INDEX(Base!$U:$U,MATCH($A43,Base!$A:$A,0)),IF(CD$1=INDEX('Valo FX'!$R:$R,MATCH($A43,'Valo FX'!$A:$A,0)),INDEX(Base!$V:$V,MATCH($A43,Base!$A:$A,0)),0)))</f>
        <v>12.249840000000001</v>
      </c>
      <c r="CE43" s="21">
        <f>IF(CE$1&lt;INDEX('Valo FX'!$Q:$Q,MATCH($A43,'Valo FX'!$A:$A,0)),0,IF(CE$1&lt;INDEX('Valo FX'!$R:$R,MATCH($A43,'Valo FX'!$A:$A,0)),INDEX(Base!$U:$U,MATCH($A43,Base!$A:$A,0)),IF(CE$1=INDEX('Valo FX'!$R:$R,MATCH($A43,'Valo FX'!$A:$A,0)),INDEX(Base!$V:$V,MATCH($A43,Base!$A:$A,0)),0)))</f>
        <v>12.249840000000001</v>
      </c>
      <c r="CF43" s="21">
        <f>IF(CF$1&lt;INDEX('Valo FX'!$Q:$Q,MATCH($A43,'Valo FX'!$A:$A,0)),0,IF(CF$1&lt;INDEX('Valo FX'!$R:$R,MATCH($A43,'Valo FX'!$A:$A,0)),INDEX(Base!$U:$U,MATCH($A43,Base!$A:$A,0)),IF(CF$1=INDEX('Valo FX'!$R:$R,MATCH($A43,'Valo FX'!$A:$A,0)),INDEX(Base!$V:$V,MATCH($A43,Base!$A:$A,0)),0)))</f>
        <v>12.249840000000001</v>
      </c>
      <c r="CG43" s="21">
        <f>IF(CG$1&lt;INDEX('Valo FX'!$Q:$Q,MATCH($A43,'Valo FX'!$A:$A,0)),0,IF(CG$1&lt;INDEX('Valo FX'!$R:$R,MATCH($A43,'Valo FX'!$A:$A,0)),INDEX(Base!$U:$U,MATCH($A43,Base!$A:$A,0)),IF(CG$1=INDEX('Valo FX'!$R:$R,MATCH($A43,'Valo FX'!$A:$A,0)),INDEX(Base!$V:$V,MATCH($A43,Base!$A:$A,0)),0)))</f>
        <v>12.249840000000001</v>
      </c>
      <c r="CH43" s="21">
        <f>IF(CH$1&lt;INDEX('Valo FX'!$Q:$Q,MATCH($A43,'Valo FX'!$A:$A,0)),0,IF(CH$1&lt;INDEX('Valo FX'!$R:$R,MATCH($A43,'Valo FX'!$A:$A,0)),INDEX(Base!$U:$U,MATCH($A43,Base!$A:$A,0)),IF(CH$1=INDEX('Valo FX'!$R:$R,MATCH($A43,'Valo FX'!$A:$A,0)),INDEX(Base!$V:$V,MATCH($A43,Base!$A:$A,0)),0)))</f>
        <v>12.249840000000001</v>
      </c>
      <c r="CI43" s="21">
        <f>IF(CI$1&lt;INDEX('Valo FX'!$Q:$Q,MATCH($A43,'Valo FX'!$A:$A,0)),0,IF(CI$1&lt;INDEX('Valo FX'!$R:$R,MATCH($A43,'Valo FX'!$A:$A,0)),INDEX(Base!$U:$U,MATCH($A43,Base!$A:$A,0)),IF(CI$1=INDEX('Valo FX'!$R:$R,MATCH($A43,'Valo FX'!$A:$A,0)),INDEX(Base!$V:$V,MATCH($A43,Base!$A:$A,0)),0)))</f>
        <v>12.249840000000001</v>
      </c>
      <c r="CJ43" s="21">
        <f>IF(CJ$1&lt;INDEX('Valo FX'!$Q:$Q,MATCH($A43,'Valo FX'!$A:$A,0)),0,IF(CJ$1&lt;INDEX('Valo FX'!$R:$R,MATCH($A43,'Valo FX'!$A:$A,0)),INDEX(Base!$U:$U,MATCH($A43,Base!$A:$A,0)),IF(CJ$1=INDEX('Valo FX'!$R:$R,MATCH($A43,'Valo FX'!$A:$A,0)),INDEX(Base!$V:$V,MATCH($A43,Base!$A:$A,0)),0)))</f>
        <v>12.249840000000001</v>
      </c>
      <c r="CK43" s="21">
        <f>IF(CK$1&lt;INDEX('Valo FX'!$Q:$Q,MATCH($A43,'Valo FX'!$A:$A,0)),0,IF(CK$1&lt;INDEX('Valo FX'!$R:$R,MATCH($A43,'Valo FX'!$A:$A,0)),INDEX(Base!$U:$U,MATCH($A43,Base!$A:$A,0)),IF(CK$1=INDEX('Valo FX'!$R:$R,MATCH($A43,'Valo FX'!$A:$A,0)),INDEX(Base!$V:$V,MATCH($A43,Base!$A:$A,0)),0)))</f>
        <v>12.249840000000001</v>
      </c>
      <c r="CL43" s="21">
        <f>IF(CL$1&lt;INDEX('Valo FX'!$Q:$Q,MATCH($A43,'Valo FX'!$A:$A,0)),0,IF(CL$1&lt;INDEX('Valo FX'!$R:$R,MATCH($A43,'Valo FX'!$A:$A,0)),INDEX(Base!$U:$U,MATCH($A43,Base!$A:$A,0)),IF(CL$1=INDEX('Valo FX'!$R:$R,MATCH($A43,'Valo FX'!$A:$A,0)),INDEX(Base!$V:$V,MATCH($A43,Base!$A:$A,0)),0)))</f>
        <v>12.249840000000001</v>
      </c>
      <c r="CM43" s="21">
        <f>IF(CM$1&lt;INDEX('Valo FX'!$Q:$Q,MATCH($A43,'Valo FX'!$A:$A,0)),0,IF(CM$1&lt;INDEX('Valo FX'!$R:$R,MATCH($A43,'Valo FX'!$A:$A,0)),INDEX(Base!$U:$U,MATCH($A43,Base!$A:$A,0)),IF(CM$1=INDEX('Valo FX'!$R:$R,MATCH($A43,'Valo FX'!$A:$A,0)),INDEX(Base!$V:$V,MATCH($A43,Base!$A:$A,0)),0)))</f>
        <v>12.249840000000001</v>
      </c>
      <c r="CN43" s="21">
        <f>IF(CN$1&lt;INDEX('Valo FX'!$Q:$Q,MATCH($A43,'Valo FX'!$A:$A,0)),0,IF(CN$1&lt;INDEX('Valo FX'!$R:$R,MATCH($A43,'Valo FX'!$A:$A,0)),INDEX(Base!$U:$U,MATCH($A43,Base!$A:$A,0)),IF(CN$1=INDEX('Valo FX'!$R:$R,MATCH($A43,'Valo FX'!$A:$A,0)),INDEX(Base!$V:$V,MATCH($A43,Base!$A:$A,0)),0)))</f>
        <v>12.249840000000001</v>
      </c>
      <c r="CO43" s="21">
        <f>IF(CO$1&lt;INDEX('Valo FX'!$Q:$Q,MATCH($A43,'Valo FX'!$A:$A,0)),0,IF(CO$1&lt;INDEX('Valo FX'!$R:$R,MATCH($A43,'Valo FX'!$A:$A,0)),INDEX(Base!$U:$U,MATCH($A43,Base!$A:$A,0)),IF(CO$1=INDEX('Valo FX'!$R:$R,MATCH($A43,'Valo FX'!$A:$A,0)),INDEX(Base!$V:$V,MATCH($A43,Base!$A:$A,0)),0)))</f>
        <v>12.249840000000001</v>
      </c>
      <c r="CP43" s="21">
        <f>IF(CP$1&lt;INDEX('Valo FX'!$Q:$Q,MATCH($A43,'Valo FX'!$A:$A,0)),0,IF(CP$1&lt;INDEX('Valo FX'!$R:$R,MATCH($A43,'Valo FX'!$A:$A,0)),INDEX(Base!$U:$U,MATCH($A43,Base!$A:$A,0)),IF(CP$1=INDEX('Valo FX'!$R:$R,MATCH($A43,'Valo FX'!$A:$A,0)),INDEX(Base!$V:$V,MATCH($A43,Base!$A:$A,0)),0)))</f>
        <v>12.249840000000001</v>
      </c>
      <c r="CQ43" s="21">
        <f>IF(CQ$1&lt;INDEX('Valo FX'!$Q:$Q,MATCH($A43,'Valo FX'!$A:$A,0)),0,IF(CQ$1&lt;INDEX('Valo FX'!$R:$R,MATCH($A43,'Valo FX'!$A:$A,0)),INDEX(Base!$U:$U,MATCH($A43,Base!$A:$A,0)),IF(CQ$1=INDEX('Valo FX'!$R:$R,MATCH($A43,'Valo FX'!$A:$A,0)),INDEX(Base!$V:$V,MATCH($A43,Base!$A:$A,0)),0)))</f>
        <v>12.249840000000001</v>
      </c>
      <c r="CR43" s="21">
        <f>IF(CR$1&lt;INDEX('Valo FX'!$Q:$Q,MATCH($A43,'Valo FX'!$A:$A,0)),0,IF(CR$1&lt;INDEX('Valo FX'!$R:$R,MATCH($A43,'Valo FX'!$A:$A,0)),INDEX(Base!$U:$U,MATCH($A43,Base!$A:$A,0)),IF(CR$1=INDEX('Valo FX'!$R:$R,MATCH($A43,'Valo FX'!$A:$A,0)),INDEX(Base!$V:$V,MATCH($A43,Base!$A:$A,0)),0)))</f>
        <v>12.249840000000001</v>
      </c>
      <c r="CS43" s="21">
        <f>IF(CS$1&lt;INDEX('Valo FX'!$Q:$Q,MATCH($A43,'Valo FX'!$A:$A,0)),0,IF(CS$1&lt;INDEX('Valo FX'!$R:$R,MATCH($A43,'Valo FX'!$A:$A,0)),INDEX(Base!$U:$U,MATCH($A43,Base!$A:$A,0)),IF(CS$1=INDEX('Valo FX'!$R:$R,MATCH($A43,'Valo FX'!$A:$A,0)),INDEX(Base!$V:$V,MATCH($A43,Base!$A:$A,0)),0)))</f>
        <v>12.249840000000001</v>
      </c>
      <c r="CT43" s="21">
        <f>IF(CT$1&lt;INDEX('Valo FX'!$Q:$Q,MATCH($A43,'Valo FX'!$A:$A,0)),0,IF(CT$1&lt;INDEX('Valo FX'!$R:$R,MATCH($A43,'Valo FX'!$A:$A,0)),INDEX(Base!$U:$U,MATCH($A43,Base!$A:$A,0)),IF(CT$1=INDEX('Valo FX'!$R:$R,MATCH($A43,'Valo FX'!$A:$A,0)),INDEX(Base!$V:$V,MATCH($A43,Base!$A:$A,0)),0)))</f>
        <v>12.249840000000001</v>
      </c>
      <c r="CU43" s="21">
        <f>IF(CU$1&lt;INDEX('Valo FX'!$Q:$Q,MATCH($A43,'Valo FX'!$A:$A,0)),0,IF(CU$1&lt;INDEX('Valo FX'!$R:$R,MATCH($A43,'Valo FX'!$A:$A,0)),INDEX(Base!$U:$U,MATCH($A43,Base!$A:$A,0)),IF(CU$1=INDEX('Valo FX'!$R:$R,MATCH($A43,'Valo FX'!$A:$A,0)),INDEX(Base!$V:$V,MATCH($A43,Base!$A:$A,0)),0)))</f>
        <v>12.249840000000001</v>
      </c>
      <c r="CV43" s="21">
        <f>IF(CV$1&lt;INDEX('Valo FX'!$Q:$Q,MATCH($A43,'Valo FX'!$A:$A,0)),0,IF(CV$1&lt;INDEX('Valo FX'!$R:$R,MATCH($A43,'Valo FX'!$A:$A,0)),INDEX(Base!$U:$U,MATCH($A43,Base!$A:$A,0)),IF(CV$1=INDEX('Valo FX'!$R:$R,MATCH($A43,'Valo FX'!$A:$A,0)),INDEX(Base!$V:$V,MATCH($A43,Base!$A:$A,0)),0)))</f>
        <v>12.249840000000001</v>
      </c>
      <c r="CW43" s="21">
        <f>IF(CW$1&lt;INDEX('Valo FX'!$Q:$Q,MATCH($A43,'Valo FX'!$A:$A,0)),0,IF(CW$1&lt;INDEX('Valo FX'!$R:$R,MATCH($A43,'Valo FX'!$A:$A,0)),INDEX(Base!$U:$U,MATCH($A43,Base!$A:$A,0)),IF(CW$1=INDEX('Valo FX'!$R:$R,MATCH($A43,'Valo FX'!$A:$A,0)),INDEX(Base!$V:$V,MATCH($A43,Base!$A:$A,0)),0)))</f>
        <v>12.249840000000001</v>
      </c>
      <c r="CX43" s="21">
        <f>IF(CX$1&lt;INDEX('Valo FX'!$Q:$Q,MATCH($A43,'Valo FX'!$A:$A,0)),0,IF(CX$1&lt;INDEX('Valo FX'!$R:$R,MATCH($A43,'Valo FX'!$A:$A,0)),INDEX(Base!$U:$U,MATCH($A43,Base!$A:$A,0)),IF(CX$1=INDEX('Valo FX'!$R:$R,MATCH($A43,'Valo FX'!$A:$A,0)),INDEX(Base!$V:$V,MATCH($A43,Base!$A:$A,0)),0)))</f>
        <v>12.249840000000001</v>
      </c>
      <c r="CY43" s="21">
        <f>IF(CY$1&lt;INDEX('Valo FX'!$Q:$Q,MATCH($A43,'Valo FX'!$A:$A,0)),0,IF(CY$1&lt;INDEX('Valo FX'!$R:$R,MATCH($A43,'Valo FX'!$A:$A,0)),INDEX(Base!$U:$U,MATCH($A43,Base!$A:$A,0)),IF(CY$1=INDEX('Valo FX'!$R:$R,MATCH($A43,'Valo FX'!$A:$A,0)),INDEX(Base!$V:$V,MATCH($A43,Base!$A:$A,0)),0)))</f>
        <v>12.249840000000001</v>
      </c>
      <c r="CZ43" s="21">
        <f>IF(CZ$1&lt;INDEX('Valo FX'!$Q:$Q,MATCH($A43,'Valo FX'!$A:$A,0)),0,IF(CZ$1&lt;INDEX('Valo FX'!$R:$R,MATCH($A43,'Valo FX'!$A:$A,0)),INDEX(Base!$U:$U,MATCH($A43,Base!$A:$A,0)),IF(CZ$1=INDEX('Valo FX'!$R:$R,MATCH($A43,'Valo FX'!$A:$A,0)),INDEX(Base!$V:$V,MATCH($A43,Base!$A:$A,0)),0)))</f>
        <v>12.249840000000001</v>
      </c>
      <c r="DA43" s="21">
        <f>IF(DA$1&lt;INDEX('Valo FX'!$Q:$Q,MATCH($A43,'Valo FX'!$A:$A,0)),0,IF(DA$1&lt;INDEX('Valo FX'!$R:$R,MATCH($A43,'Valo FX'!$A:$A,0)),INDEX(Base!$U:$U,MATCH($A43,Base!$A:$A,0)),IF(DA$1=INDEX('Valo FX'!$R:$R,MATCH($A43,'Valo FX'!$A:$A,0)),INDEX(Base!$V:$V,MATCH($A43,Base!$A:$A,0)),0)))</f>
        <v>12.249840000000001</v>
      </c>
      <c r="DB43" s="21">
        <f>IF(DB$1&lt;INDEX('Valo FX'!$Q:$Q,MATCH($A43,'Valo FX'!$A:$A,0)),0,IF(DB$1&lt;INDEX('Valo FX'!$R:$R,MATCH($A43,'Valo FX'!$A:$A,0)),INDEX(Base!$U:$U,MATCH($A43,Base!$A:$A,0)),IF(DB$1=INDEX('Valo FX'!$R:$R,MATCH($A43,'Valo FX'!$A:$A,0)),INDEX(Base!$V:$V,MATCH($A43,Base!$A:$A,0)),0)))</f>
        <v>12.249840000000001</v>
      </c>
      <c r="DC43" s="21">
        <f>IF(DC$1&lt;INDEX('Valo FX'!$Q:$Q,MATCH($A43,'Valo FX'!$A:$A,0)),0,IF(DC$1&lt;INDEX('Valo FX'!$R:$R,MATCH($A43,'Valo FX'!$A:$A,0)),INDEX(Base!$U:$U,MATCH($A43,Base!$A:$A,0)),IF(DC$1=INDEX('Valo FX'!$R:$R,MATCH($A43,'Valo FX'!$A:$A,0)),INDEX(Base!$V:$V,MATCH($A43,Base!$A:$A,0)),0)))</f>
        <v>12.249840000000001</v>
      </c>
      <c r="DD43" s="21">
        <f>IF(DD$1&lt;INDEX('Valo FX'!$Q:$Q,MATCH($A43,'Valo FX'!$A:$A,0)),0,IF(DD$1&lt;INDEX('Valo FX'!$R:$R,MATCH($A43,'Valo FX'!$A:$A,0)),INDEX(Base!$U:$U,MATCH($A43,Base!$A:$A,0)),IF(DD$1=INDEX('Valo FX'!$R:$R,MATCH($A43,'Valo FX'!$A:$A,0)),INDEX(Base!$V:$V,MATCH($A43,Base!$A:$A,0)),0)))</f>
        <v>12.249840000000001</v>
      </c>
      <c r="DE43" s="21">
        <f>IF(DE$1&lt;INDEX('Valo FX'!$Q:$Q,MATCH($A43,'Valo FX'!$A:$A,0)),0,IF(DE$1&lt;INDEX('Valo FX'!$R:$R,MATCH($A43,'Valo FX'!$A:$A,0)),INDEX(Base!$U:$U,MATCH($A43,Base!$A:$A,0)),IF(DE$1=INDEX('Valo FX'!$R:$R,MATCH($A43,'Valo FX'!$A:$A,0)),INDEX(Base!$V:$V,MATCH($A43,Base!$A:$A,0)),0)))</f>
        <v>12.249840000000001</v>
      </c>
      <c r="DF43" s="21">
        <f>IF(DF$1&lt;INDEX('Valo FX'!$Q:$Q,MATCH($A43,'Valo FX'!$A:$A,0)),0,IF(DF$1&lt;INDEX('Valo FX'!$R:$R,MATCH($A43,'Valo FX'!$A:$A,0)),INDEX(Base!$U:$U,MATCH($A43,Base!$A:$A,0)),IF(DF$1=INDEX('Valo FX'!$R:$R,MATCH($A43,'Valo FX'!$A:$A,0)),INDEX(Base!$V:$V,MATCH($A43,Base!$A:$A,0)),0)))</f>
        <v>12.249840000000001</v>
      </c>
      <c r="DG43" s="21">
        <f>IF(DG$1&lt;INDEX('Valo FX'!$Q:$Q,MATCH($A43,'Valo FX'!$A:$A,0)),0,IF(DG$1&lt;INDEX('Valo FX'!$R:$R,MATCH($A43,'Valo FX'!$A:$A,0)),INDEX(Base!$U:$U,MATCH($A43,Base!$A:$A,0)),IF(DG$1=INDEX('Valo FX'!$R:$R,MATCH($A43,'Valo FX'!$A:$A,0)),INDEX(Base!$V:$V,MATCH($A43,Base!$A:$A,0)),0)))</f>
        <v>12.249840000000001</v>
      </c>
      <c r="DH43" s="21">
        <f>IF(DH$1&lt;INDEX('Valo FX'!$Q:$Q,MATCH($A43,'Valo FX'!$A:$A,0)),0,IF(DH$1&lt;INDEX('Valo FX'!$R:$R,MATCH($A43,'Valo FX'!$A:$A,0)),INDEX(Base!$U:$U,MATCH($A43,Base!$A:$A,0)),IF(DH$1=INDEX('Valo FX'!$R:$R,MATCH($A43,'Valo FX'!$A:$A,0)),INDEX(Base!$V:$V,MATCH($A43,Base!$A:$A,0)),0)))</f>
        <v>12.249840000000001</v>
      </c>
      <c r="DI43" s="21">
        <f>IF(DI$1&lt;INDEX('Valo FX'!$Q:$Q,MATCH($A43,'Valo FX'!$A:$A,0)),0,IF(DI$1&lt;INDEX('Valo FX'!$R:$R,MATCH($A43,'Valo FX'!$A:$A,0)),INDEX(Base!$U:$U,MATCH($A43,Base!$A:$A,0)),IF(DI$1=INDEX('Valo FX'!$R:$R,MATCH($A43,'Valo FX'!$A:$A,0)),INDEX(Base!$V:$V,MATCH($A43,Base!$A:$A,0)),0)))</f>
        <v>12.249840000000001</v>
      </c>
      <c r="DJ43" s="21">
        <f>IF(DJ$1&lt;INDEX('Valo FX'!$Q:$Q,MATCH($A43,'Valo FX'!$A:$A,0)),0,IF(DJ$1&lt;INDEX('Valo FX'!$R:$R,MATCH($A43,'Valo FX'!$A:$A,0)),INDEX(Base!$U:$U,MATCH($A43,Base!$A:$A,0)),IF(DJ$1=INDEX('Valo FX'!$R:$R,MATCH($A43,'Valo FX'!$A:$A,0)),INDEX(Base!$V:$V,MATCH($A43,Base!$A:$A,0)),0)))</f>
        <v>12.249840000000001</v>
      </c>
      <c r="DK43" s="21">
        <f>IF(DK$1&lt;INDEX('Valo FX'!$Q:$Q,MATCH($A43,'Valo FX'!$A:$A,0)),0,IF(DK$1&lt;INDEX('Valo FX'!$R:$R,MATCH($A43,'Valo FX'!$A:$A,0)),INDEX(Base!$U:$U,MATCH($A43,Base!$A:$A,0)),IF(DK$1=INDEX('Valo FX'!$R:$R,MATCH($A43,'Valo FX'!$A:$A,0)),INDEX(Base!$V:$V,MATCH($A43,Base!$A:$A,0)),0)))</f>
        <v>12.249840000000001</v>
      </c>
      <c r="DL43" s="21">
        <f>IF(DL$1&lt;INDEX('Valo FX'!$Q:$Q,MATCH($A43,'Valo FX'!$A:$A,0)),0,IF(DL$1&lt;INDEX('Valo FX'!$R:$R,MATCH($A43,'Valo FX'!$A:$A,0)),INDEX(Base!$U:$U,MATCH($A43,Base!$A:$A,0)),IF(DL$1=INDEX('Valo FX'!$R:$R,MATCH($A43,'Valo FX'!$A:$A,0)),INDEX(Base!$V:$V,MATCH($A43,Base!$A:$A,0)),0)))</f>
        <v>12.249840000000001</v>
      </c>
      <c r="DM43" s="21">
        <f>IF(DM$1&lt;INDEX('Valo FX'!$Q:$Q,MATCH($A43,'Valo FX'!$A:$A,0)),0,IF(DM$1&lt;INDEX('Valo FX'!$R:$R,MATCH($A43,'Valo FX'!$A:$A,0)),INDEX(Base!$U:$U,MATCH($A43,Base!$A:$A,0)),IF(DM$1=INDEX('Valo FX'!$R:$R,MATCH($A43,'Valo FX'!$A:$A,0)),INDEX(Base!$V:$V,MATCH($A43,Base!$A:$A,0)),0)))</f>
        <v>12.249840000000001</v>
      </c>
      <c r="DN43" s="21">
        <f>IF(DN$1&lt;INDEX('Valo FX'!$Q:$Q,MATCH($A43,'Valo FX'!$A:$A,0)),0,IF(DN$1&lt;INDEX('Valo FX'!$R:$R,MATCH($A43,'Valo FX'!$A:$A,0)),INDEX(Base!$U:$U,MATCH($A43,Base!$A:$A,0)),IF(DN$1=INDEX('Valo FX'!$R:$R,MATCH($A43,'Valo FX'!$A:$A,0)),INDEX(Base!$V:$V,MATCH($A43,Base!$A:$A,0)),0)))</f>
        <v>12.249840000000001</v>
      </c>
      <c r="DO43" s="21">
        <f>IF(DO$1&lt;INDEX('Valo FX'!$Q:$Q,MATCH($A43,'Valo FX'!$A:$A,0)),0,IF(DO$1&lt;INDEX('Valo FX'!$R:$R,MATCH($A43,'Valo FX'!$A:$A,0)),INDEX(Base!$U:$U,MATCH($A43,Base!$A:$A,0)),IF(DO$1=INDEX('Valo FX'!$R:$R,MATCH($A43,'Valo FX'!$A:$A,0)),INDEX(Base!$V:$V,MATCH($A43,Base!$A:$A,0)),0)))</f>
        <v>12.249840000000001</v>
      </c>
      <c r="DP43" s="21">
        <f>IF(DP$1&lt;INDEX('Valo FX'!$Q:$Q,MATCH($A43,'Valo FX'!$A:$A,0)),0,IF(DP$1&lt;INDEX('Valo FX'!$R:$R,MATCH($A43,'Valo FX'!$A:$A,0)),INDEX(Base!$U:$U,MATCH($A43,Base!$A:$A,0)),IF(DP$1=INDEX('Valo FX'!$R:$R,MATCH($A43,'Valo FX'!$A:$A,0)),INDEX(Base!$V:$V,MATCH($A43,Base!$A:$A,0)),0)))</f>
        <v>12.249840000000001</v>
      </c>
      <c r="DQ43" s="21">
        <f>IF(DQ$1&lt;INDEX('Valo FX'!$Q:$Q,MATCH($A43,'Valo FX'!$A:$A,0)),0,IF(DQ$1&lt;INDEX('Valo FX'!$R:$R,MATCH($A43,'Valo FX'!$A:$A,0)),INDEX(Base!$U:$U,MATCH($A43,Base!$A:$A,0)),IF(DQ$1=INDEX('Valo FX'!$R:$R,MATCH($A43,'Valo FX'!$A:$A,0)),INDEX(Base!$V:$V,MATCH($A43,Base!$A:$A,0)),0)))</f>
        <v>12.249840000000001</v>
      </c>
      <c r="DR43" s="21">
        <f>IF(DR$1&lt;INDEX('Valo FX'!$Q:$Q,MATCH($A43,'Valo FX'!$A:$A,0)),0,IF(DR$1&lt;INDEX('Valo FX'!$R:$R,MATCH($A43,'Valo FX'!$A:$A,0)),INDEX(Base!$U:$U,MATCH($A43,Base!$A:$A,0)),IF(DR$1=INDEX('Valo FX'!$R:$R,MATCH($A43,'Valo FX'!$A:$A,0)),INDEX(Base!$V:$V,MATCH($A43,Base!$A:$A,0)),0)))</f>
        <v>12.249840000000001</v>
      </c>
      <c r="DS43" s="21">
        <f>IF(DS$1&lt;INDEX('Valo FX'!$Q:$Q,MATCH($A43,'Valo FX'!$A:$A,0)),0,IF(DS$1&lt;INDEX('Valo FX'!$R:$R,MATCH($A43,'Valo FX'!$A:$A,0)),INDEX(Base!$U:$U,MATCH($A43,Base!$A:$A,0)),IF(DS$1=INDEX('Valo FX'!$R:$R,MATCH($A43,'Valo FX'!$A:$A,0)),INDEX(Base!$V:$V,MATCH($A43,Base!$A:$A,0)),0)))</f>
        <v>12.249840000000001</v>
      </c>
      <c r="DT43" s="21">
        <f>IF(DT$1&lt;INDEX('Valo FX'!$Q:$Q,MATCH($A43,'Valo FX'!$A:$A,0)),0,IF(DT$1&lt;INDEX('Valo FX'!$R:$R,MATCH($A43,'Valo FX'!$A:$A,0)),INDEX(Base!$U:$U,MATCH($A43,Base!$A:$A,0)),IF(DT$1=INDEX('Valo FX'!$R:$R,MATCH($A43,'Valo FX'!$A:$A,0)),INDEX(Base!$V:$V,MATCH($A43,Base!$A:$A,0)),0)))</f>
        <v>12.249840000000001</v>
      </c>
      <c r="DU43" s="21">
        <f>IF(DU$1&lt;INDEX('Valo FX'!$Q:$Q,MATCH($A43,'Valo FX'!$A:$A,0)),0,IF(DU$1&lt;INDEX('Valo FX'!$R:$R,MATCH($A43,'Valo FX'!$A:$A,0)),INDEX(Base!$U:$U,MATCH($A43,Base!$A:$A,0)),IF(DU$1=INDEX('Valo FX'!$R:$R,MATCH($A43,'Valo FX'!$A:$A,0)),INDEX(Base!$V:$V,MATCH($A43,Base!$A:$A,0)),0)))</f>
        <v>12.249840000000001</v>
      </c>
      <c r="DV43" s="21">
        <f>IF(DV$1&lt;INDEX('Valo FX'!$Q:$Q,MATCH($A43,'Valo FX'!$A:$A,0)),0,IF(DV$1&lt;INDEX('Valo FX'!$R:$R,MATCH($A43,'Valo FX'!$A:$A,0)),INDEX(Base!$U:$U,MATCH($A43,Base!$A:$A,0)),IF(DV$1=INDEX('Valo FX'!$R:$R,MATCH($A43,'Valo FX'!$A:$A,0)),INDEX(Base!$V:$V,MATCH($A43,Base!$A:$A,0)),0)))</f>
        <v>12.249840000000001</v>
      </c>
      <c r="DW43" s="21">
        <f>IF(DW$1&lt;INDEX('Valo FX'!$Q:$Q,MATCH($A43,'Valo FX'!$A:$A,0)),0,IF(DW$1&lt;INDEX('Valo FX'!$R:$R,MATCH($A43,'Valo FX'!$A:$A,0)),INDEX(Base!$U:$U,MATCH($A43,Base!$A:$A,0)),IF(DW$1=INDEX('Valo FX'!$R:$R,MATCH($A43,'Valo FX'!$A:$A,0)),INDEX(Base!$V:$V,MATCH($A43,Base!$A:$A,0)),0)))</f>
        <v>12.249840000000001</v>
      </c>
      <c r="DX43" s="21">
        <f>IF(DX$1&lt;INDEX('Valo FX'!$Q:$Q,MATCH($A43,'Valo FX'!$A:$A,0)),0,IF(DX$1&lt;INDEX('Valo FX'!$R:$R,MATCH($A43,'Valo FX'!$A:$A,0)),INDEX(Base!$U:$U,MATCH($A43,Base!$A:$A,0)),IF(DX$1=INDEX('Valo FX'!$R:$R,MATCH($A43,'Valo FX'!$A:$A,0)),INDEX(Base!$V:$V,MATCH($A43,Base!$A:$A,0)),0)))</f>
        <v>12.249840000000001</v>
      </c>
      <c r="DY43" s="21">
        <f>IF(DY$1&lt;INDEX('Valo FX'!$Q:$Q,MATCH($A43,'Valo FX'!$A:$A,0)),0,IF(DY$1&lt;INDEX('Valo FX'!$R:$R,MATCH($A43,'Valo FX'!$A:$A,0)),INDEX(Base!$U:$U,MATCH($A43,Base!$A:$A,0)),IF(DY$1=INDEX('Valo FX'!$R:$R,MATCH($A43,'Valo FX'!$A:$A,0)),INDEX(Base!$V:$V,MATCH($A43,Base!$A:$A,0)),0)))</f>
        <v>12.249840000000001</v>
      </c>
      <c r="DZ43" s="21">
        <f>IF(DZ$1&lt;INDEX('Valo FX'!$Q:$Q,MATCH($A43,'Valo FX'!$A:$A,0)),0,IF(DZ$1&lt;INDEX('Valo FX'!$R:$R,MATCH($A43,'Valo FX'!$A:$A,0)),INDEX(Base!$U:$U,MATCH($A43,Base!$A:$A,0)),IF(DZ$1=INDEX('Valo FX'!$R:$R,MATCH($A43,'Valo FX'!$A:$A,0)),INDEX(Base!$V:$V,MATCH($A43,Base!$A:$A,0)),0)))</f>
        <v>12.249840000000001</v>
      </c>
      <c r="EA43" s="21">
        <f>IF(EA$1&lt;INDEX('Valo FX'!$Q:$Q,MATCH($A43,'Valo FX'!$A:$A,0)),0,IF(EA$1&lt;INDEX('Valo FX'!$R:$R,MATCH($A43,'Valo FX'!$A:$A,0)),INDEX(Base!$U:$U,MATCH($A43,Base!$A:$A,0)),IF(EA$1=INDEX('Valo FX'!$R:$R,MATCH($A43,'Valo FX'!$A:$A,0)),INDEX(Base!$V:$V,MATCH($A43,Base!$A:$A,0)),0)))</f>
        <v>12.249840000000001</v>
      </c>
      <c r="EB43" s="21">
        <f>IF(EB$1&lt;INDEX('Valo FX'!$Q:$Q,MATCH($A43,'Valo FX'!$A:$A,0)),0,IF(EB$1&lt;INDEX('Valo FX'!$R:$R,MATCH($A43,'Valo FX'!$A:$A,0)),INDEX(Base!$U:$U,MATCH($A43,Base!$A:$A,0)),IF(EB$1=INDEX('Valo FX'!$R:$R,MATCH($A43,'Valo FX'!$A:$A,0)),INDEX(Base!$V:$V,MATCH($A43,Base!$A:$A,0)),0)))</f>
        <v>12.249840000000001</v>
      </c>
      <c r="EC43" s="21">
        <f>IF(EC$1&lt;INDEX('Valo FX'!$Q:$Q,MATCH($A43,'Valo FX'!$A:$A,0)),0,IF(EC$1&lt;INDEX('Valo FX'!$R:$R,MATCH($A43,'Valo FX'!$A:$A,0)),INDEX(Base!$U:$U,MATCH($A43,Base!$A:$A,0)),IF(EC$1=INDEX('Valo FX'!$R:$R,MATCH($A43,'Valo FX'!$A:$A,0)),INDEX(Base!$V:$V,MATCH($A43,Base!$A:$A,0)),0)))</f>
        <v>12.249840000000001</v>
      </c>
      <c r="ED43" s="21">
        <f>IF(ED$1&lt;INDEX('Valo FX'!$Q:$Q,MATCH($A43,'Valo FX'!$A:$A,0)),0,IF(ED$1&lt;INDEX('Valo FX'!$R:$R,MATCH($A43,'Valo FX'!$A:$A,0)),INDEX(Base!$U:$U,MATCH($A43,Base!$A:$A,0)),IF(ED$1=INDEX('Valo FX'!$R:$R,MATCH($A43,'Valo FX'!$A:$A,0)),INDEX(Base!$V:$V,MATCH($A43,Base!$A:$A,0)),0)))</f>
        <v>12.249840000000001</v>
      </c>
      <c r="EE43" s="21">
        <f>IF(EE$1&lt;INDEX('Valo FX'!$Q:$Q,MATCH($A43,'Valo FX'!$A:$A,0)),0,IF(EE$1&lt;INDEX('Valo FX'!$R:$R,MATCH($A43,'Valo FX'!$A:$A,0)),INDEX(Base!$U:$U,MATCH($A43,Base!$A:$A,0)),IF(EE$1=INDEX('Valo FX'!$R:$R,MATCH($A43,'Valo FX'!$A:$A,0)),INDEX(Base!$V:$V,MATCH($A43,Base!$A:$A,0)),0)))</f>
        <v>12.249840000000001</v>
      </c>
      <c r="EF43" s="21">
        <f>IF(EF$1&lt;INDEX('Valo FX'!$Q:$Q,MATCH($A43,'Valo FX'!$A:$A,0)),0,IF(EF$1&lt;INDEX('Valo FX'!$R:$R,MATCH($A43,'Valo FX'!$A:$A,0)),INDEX(Base!$U:$U,MATCH($A43,Base!$A:$A,0)),IF(EF$1=INDEX('Valo FX'!$R:$R,MATCH($A43,'Valo FX'!$A:$A,0)),INDEX(Base!$V:$V,MATCH($A43,Base!$A:$A,0)),0)))</f>
        <v>12.249840000000001</v>
      </c>
      <c r="EG43" s="21">
        <f>IF(EG$1&lt;INDEX('Valo FX'!$Q:$Q,MATCH($A43,'Valo FX'!$A:$A,0)),0,IF(EG$1&lt;INDEX('Valo FX'!$R:$R,MATCH($A43,'Valo FX'!$A:$A,0)),INDEX(Base!$U:$U,MATCH($A43,Base!$A:$A,0)),IF(EG$1=INDEX('Valo FX'!$R:$R,MATCH($A43,'Valo FX'!$A:$A,0)),INDEX(Base!$V:$V,MATCH($A43,Base!$A:$A,0)),0)))</f>
        <v>12.249840000000001</v>
      </c>
      <c r="EH43" s="21">
        <f>IF(EH$1&lt;INDEX('Valo FX'!$Q:$Q,MATCH($A43,'Valo FX'!$A:$A,0)),0,IF(EH$1&lt;INDEX('Valo FX'!$R:$R,MATCH($A43,'Valo FX'!$A:$A,0)),INDEX(Base!$U:$U,MATCH($A43,Base!$A:$A,0)),IF(EH$1=INDEX('Valo FX'!$R:$R,MATCH($A43,'Valo FX'!$A:$A,0)),INDEX(Base!$V:$V,MATCH($A43,Base!$A:$A,0)),0)))</f>
        <v>12.249840000000001</v>
      </c>
      <c r="EI43" s="21">
        <f>IF(EI$1&lt;INDEX('Valo FX'!$Q:$Q,MATCH($A43,'Valo FX'!$A:$A,0)),0,IF(EI$1&lt;INDEX('Valo FX'!$R:$R,MATCH($A43,'Valo FX'!$A:$A,0)),INDEX(Base!$U:$U,MATCH($A43,Base!$A:$A,0)),IF(EI$1=INDEX('Valo FX'!$R:$R,MATCH($A43,'Valo FX'!$A:$A,0)),INDEX(Base!$V:$V,MATCH($A43,Base!$A:$A,0)),0)))</f>
        <v>12.249840000000001</v>
      </c>
      <c r="EJ43" s="21">
        <f>IF(EJ$1&lt;INDEX('Valo FX'!$Q:$Q,MATCH($A43,'Valo FX'!$A:$A,0)),0,IF(EJ$1&lt;INDEX('Valo FX'!$R:$R,MATCH($A43,'Valo FX'!$A:$A,0)),INDEX(Base!$U:$U,MATCH($A43,Base!$A:$A,0)),IF(EJ$1=INDEX('Valo FX'!$R:$R,MATCH($A43,'Valo FX'!$A:$A,0)),INDEX(Base!$V:$V,MATCH($A43,Base!$A:$A,0)),0)))</f>
        <v>12.249840000000001</v>
      </c>
      <c r="EK43" s="21">
        <f>IF(EK$1&lt;INDEX('Valo FX'!$Q:$Q,MATCH($A43,'Valo FX'!$A:$A,0)),0,IF(EK$1&lt;INDEX('Valo FX'!$R:$R,MATCH($A43,'Valo FX'!$A:$A,0)),INDEX(Base!$U:$U,MATCH($A43,Base!$A:$A,0)),IF(EK$1=INDEX('Valo FX'!$R:$R,MATCH($A43,'Valo FX'!$A:$A,0)),INDEX(Base!$V:$V,MATCH($A43,Base!$A:$A,0)),0)))</f>
        <v>12.249840000000001</v>
      </c>
      <c r="EL43" s="21">
        <f>IF(EL$1&lt;INDEX('Valo FX'!$Q:$Q,MATCH($A43,'Valo FX'!$A:$A,0)),0,IF(EL$1&lt;INDEX('Valo FX'!$R:$R,MATCH($A43,'Valo FX'!$A:$A,0)),INDEX(Base!$U:$U,MATCH($A43,Base!$A:$A,0)),IF(EL$1=INDEX('Valo FX'!$R:$R,MATCH($A43,'Valo FX'!$A:$A,0)),INDEX(Base!$V:$V,MATCH($A43,Base!$A:$A,0)),0)))</f>
        <v>12.249840000000001</v>
      </c>
      <c r="EM43" s="21">
        <f>IF(EM$1&lt;INDEX('Valo FX'!$Q:$Q,MATCH($A43,'Valo FX'!$A:$A,0)),0,IF(EM$1&lt;INDEX('Valo FX'!$R:$R,MATCH($A43,'Valo FX'!$A:$A,0)),INDEX(Base!$U:$U,MATCH($A43,Base!$A:$A,0)),IF(EM$1=INDEX('Valo FX'!$R:$R,MATCH($A43,'Valo FX'!$A:$A,0)),INDEX(Base!$V:$V,MATCH($A43,Base!$A:$A,0)),0)))</f>
        <v>12.249840000000001</v>
      </c>
      <c r="EN43" s="21">
        <f>IF(EN$1&lt;INDEX('Valo FX'!$Q:$Q,MATCH($A43,'Valo FX'!$A:$A,0)),0,IF(EN$1&lt;INDEX('Valo FX'!$R:$R,MATCH($A43,'Valo FX'!$A:$A,0)),INDEX(Base!$U:$U,MATCH($A43,Base!$A:$A,0)),IF(EN$1=INDEX('Valo FX'!$R:$R,MATCH($A43,'Valo FX'!$A:$A,0)),INDEX(Base!$V:$V,MATCH($A43,Base!$A:$A,0)),0)))</f>
        <v>12.249840000000001</v>
      </c>
      <c r="EO43" s="21">
        <f>IF(EO$1&lt;INDEX('Valo FX'!$Q:$Q,MATCH($A43,'Valo FX'!$A:$A,0)),0,IF(EO$1&lt;INDEX('Valo FX'!$R:$R,MATCH($A43,'Valo FX'!$A:$A,0)),INDEX(Base!$U:$U,MATCH($A43,Base!$A:$A,0)),IF(EO$1=INDEX('Valo FX'!$R:$R,MATCH($A43,'Valo FX'!$A:$A,0)),INDEX(Base!$V:$V,MATCH($A43,Base!$A:$A,0)),0)))</f>
        <v>12.249840000000001</v>
      </c>
      <c r="EP43" s="21">
        <f>IF(EP$1&lt;INDEX('Valo FX'!$Q:$Q,MATCH($A43,'Valo FX'!$A:$A,0)),0,IF(EP$1&lt;INDEX('Valo FX'!$R:$R,MATCH($A43,'Valo FX'!$A:$A,0)),INDEX(Base!$U:$U,MATCH($A43,Base!$A:$A,0)),IF(EP$1=INDEX('Valo FX'!$R:$R,MATCH($A43,'Valo FX'!$A:$A,0)),INDEX(Base!$V:$V,MATCH($A43,Base!$A:$A,0)),0)))</f>
        <v>12.249840000000001</v>
      </c>
      <c r="EQ43" s="21">
        <f>IF(EQ$1&lt;INDEX('Valo FX'!$Q:$Q,MATCH($A43,'Valo FX'!$A:$A,0)),0,IF(EQ$1&lt;INDEX('Valo FX'!$R:$R,MATCH($A43,'Valo FX'!$A:$A,0)),INDEX(Base!$U:$U,MATCH($A43,Base!$A:$A,0)),IF(EQ$1=INDEX('Valo FX'!$R:$R,MATCH($A43,'Valo FX'!$A:$A,0)),INDEX(Base!$V:$V,MATCH($A43,Base!$A:$A,0)),0)))</f>
        <v>12.249840000000001</v>
      </c>
      <c r="ER43" s="21">
        <f>IF(ER$1&lt;INDEX('Valo FX'!$Q:$Q,MATCH($A43,'Valo FX'!$A:$A,0)),0,IF(ER$1&lt;INDEX('Valo FX'!$R:$R,MATCH($A43,'Valo FX'!$A:$A,0)),INDEX(Base!$U:$U,MATCH($A43,Base!$A:$A,0)),IF(ER$1=INDEX('Valo FX'!$R:$R,MATCH($A43,'Valo FX'!$A:$A,0)),INDEX(Base!$V:$V,MATCH($A43,Base!$A:$A,0)),0)))</f>
        <v>12.249840000000001</v>
      </c>
      <c r="ES43" s="21">
        <f>IF(ES$1&lt;INDEX('Valo FX'!$Q:$Q,MATCH($A43,'Valo FX'!$A:$A,0)),0,IF(ES$1&lt;INDEX('Valo FX'!$R:$R,MATCH($A43,'Valo FX'!$A:$A,0)),INDEX(Base!$U:$U,MATCH($A43,Base!$A:$A,0)),IF(ES$1=INDEX('Valo FX'!$R:$R,MATCH($A43,'Valo FX'!$A:$A,0)),INDEX(Base!$V:$V,MATCH($A43,Base!$A:$A,0)),0)))</f>
        <v>12.249840000000001</v>
      </c>
      <c r="ET43" s="21">
        <f>IF(ET$1&lt;INDEX('Valo FX'!$Q:$Q,MATCH($A43,'Valo FX'!$A:$A,0)),0,IF(ET$1&lt;INDEX('Valo FX'!$R:$R,MATCH($A43,'Valo FX'!$A:$A,0)),INDEX(Base!$U:$U,MATCH($A43,Base!$A:$A,0)),IF(ET$1=INDEX('Valo FX'!$R:$R,MATCH($A43,'Valo FX'!$A:$A,0)),INDEX(Base!$V:$V,MATCH($A43,Base!$A:$A,0)),0)))</f>
        <v>12.249840000000001</v>
      </c>
      <c r="EU43" s="21">
        <f>IF(EU$1&lt;INDEX('Valo FX'!$Q:$Q,MATCH($A43,'Valo FX'!$A:$A,0)),0,IF(EU$1&lt;INDEX('Valo FX'!$R:$R,MATCH($A43,'Valo FX'!$A:$A,0)),INDEX(Base!$U:$U,MATCH($A43,Base!$A:$A,0)),IF(EU$1=INDEX('Valo FX'!$R:$R,MATCH($A43,'Valo FX'!$A:$A,0)),INDEX(Base!$V:$V,MATCH($A43,Base!$A:$A,0)),0)))</f>
        <v>12.249840000000001</v>
      </c>
      <c r="EV43" s="21">
        <f>IF(EV$1&lt;INDEX('Valo FX'!$Q:$Q,MATCH($A43,'Valo FX'!$A:$A,0)),0,IF(EV$1&lt;INDEX('Valo FX'!$R:$R,MATCH($A43,'Valo FX'!$A:$A,0)),INDEX(Base!$U:$U,MATCH($A43,Base!$A:$A,0)),IF(EV$1=INDEX('Valo FX'!$R:$R,MATCH($A43,'Valo FX'!$A:$A,0)),INDEX(Base!$V:$V,MATCH($A43,Base!$A:$A,0)),0)))</f>
        <v>12.249840000000001</v>
      </c>
      <c r="EW43" s="21">
        <f>IF(EW$1&lt;INDEX('Valo FX'!$Q:$Q,MATCH($A43,'Valo FX'!$A:$A,0)),0,IF(EW$1&lt;INDEX('Valo FX'!$R:$R,MATCH($A43,'Valo FX'!$A:$A,0)),INDEX(Base!$U:$U,MATCH($A43,Base!$A:$A,0)),IF(EW$1=INDEX('Valo FX'!$R:$R,MATCH($A43,'Valo FX'!$A:$A,0)),INDEX(Base!$V:$V,MATCH($A43,Base!$A:$A,0)),0)))</f>
        <v>12.249840000000001</v>
      </c>
      <c r="EX43" s="21">
        <f>IF(EX$1&lt;INDEX('Valo FX'!$Q:$Q,MATCH($A43,'Valo FX'!$A:$A,0)),0,IF(EX$1&lt;INDEX('Valo FX'!$R:$R,MATCH($A43,'Valo FX'!$A:$A,0)),INDEX(Base!$U:$U,MATCH($A43,Base!$A:$A,0)),IF(EX$1=INDEX('Valo FX'!$R:$R,MATCH($A43,'Valo FX'!$A:$A,0)),INDEX(Base!$V:$V,MATCH($A43,Base!$A:$A,0)),0)))</f>
        <v>12.249840000000001</v>
      </c>
      <c r="EY43" s="21">
        <f>IF(EY$1&lt;INDEX('Valo FX'!$Q:$Q,MATCH($A43,'Valo FX'!$A:$A,0)),0,IF(EY$1&lt;INDEX('Valo FX'!$R:$R,MATCH($A43,'Valo FX'!$A:$A,0)),INDEX(Base!$U:$U,MATCH($A43,Base!$A:$A,0)),IF(EY$1=INDEX('Valo FX'!$R:$R,MATCH($A43,'Valo FX'!$A:$A,0)),INDEX(Base!$V:$V,MATCH($A43,Base!$A:$A,0)),0)))</f>
        <v>12.249840000000001</v>
      </c>
      <c r="EZ43" s="21">
        <f>IF(EZ$1&lt;INDEX('Valo FX'!$Q:$Q,MATCH($A43,'Valo FX'!$A:$A,0)),0,IF(EZ$1&lt;INDEX('Valo FX'!$R:$R,MATCH($A43,'Valo FX'!$A:$A,0)),INDEX(Base!$U:$U,MATCH($A43,Base!$A:$A,0)),IF(EZ$1=INDEX('Valo FX'!$R:$R,MATCH($A43,'Valo FX'!$A:$A,0)),INDEX(Base!$V:$V,MATCH($A43,Base!$A:$A,0)),0)))</f>
        <v>12.249840000000001</v>
      </c>
      <c r="FA43" s="21">
        <f>IF(FA$1&lt;INDEX('Valo FX'!$Q:$Q,MATCH($A43,'Valo FX'!$A:$A,0)),0,IF(FA$1&lt;INDEX('Valo FX'!$R:$R,MATCH($A43,'Valo FX'!$A:$A,0)),INDEX(Base!$U:$U,MATCH($A43,Base!$A:$A,0)),IF(FA$1=INDEX('Valo FX'!$R:$R,MATCH($A43,'Valo FX'!$A:$A,0)),INDEX(Base!$V:$V,MATCH($A43,Base!$A:$A,0)),0)))</f>
        <v>12.249840000000001</v>
      </c>
      <c r="FB43" s="21">
        <f>IF(FB$1&lt;INDEX('Valo FX'!$Q:$Q,MATCH($A43,'Valo FX'!$A:$A,0)),0,IF(FB$1&lt;INDEX('Valo FX'!$R:$R,MATCH($A43,'Valo FX'!$A:$A,0)),INDEX(Base!$U:$U,MATCH($A43,Base!$A:$A,0)),IF(FB$1=INDEX('Valo FX'!$R:$R,MATCH($A43,'Valo FX'!$A:$A,0)),INDEX(Base!$V:$V,MATCH($A43,Base!$A:$A,0)),0)))</f>
        <v>12.249840000000001</v>
      </c>
      <c r="FC43" s="21">
        <f>IF(FC$1&lt;INDEX('Valo FX'!$Q:$Q,MATCH($A43,'Valo FX'!$A:$A,0)),0,IF(FC$1&lt;INDEX('Valo FX'!$R:$R,MATCH($A43,'Valo FX'!$A:$A,0)),INDEX(Base!$U:$U,MATCH($A43,Base!$A:$A,0)),IF(FC$1=INDEX('Valo FX'!$R:$R,MATCH($A43,'Valo FX'!$A:$A,0)),INDEX(Base!$V:$V,MATCH($A43,Base!$A:$A,0)),0)))</f>
        <v>12.249840000000001</v>
      </c>
      <c r="FD43" s="21">
        <f>IF(FD$1&lt;INDEX('Valo FX'!$Q:$Q,MATCH($A43,'Valo FX'!$A:$A,0)),0,IF(FD$1&lt;INDEX('Valo FX'!$R:$R,MATCH($A43,'Valo FX'!$A:$A,0)),INDEX(Base!$U:$U,MATCH($A43,Base!$A:$A,0)),IF(FD$1=INDEX('Valo FX'!$R:$R,MATCH($A43,'Valo FX'!$A:$A,0)),INDEX(Base!$V:$V,MATCH($A43,Base!$A:$A,0)),0)))</f>
        <v>12.249840000000001</v>
      </c>
      <c r="FE43" s="21">
        <f>IF(FE$1&lt;INDEX('Valo FX'!$Q:$Q,MATCH($A43,'Valo FX'!$A:$A,0)),0,IF(FE$1&lt;INDEX('Valo FX'!$R:$R,MATCH($A43,'Valo FX'!$A:$A,0)),INDEX(Base!$U:$U,MATCH($A43,Base!$A:$A,0)),IF(FE$1=INDEX('Valo FX'!$R:$R,MATCH($A43,'Valo FX'!$A:$A,0)),INDEX(Base!$V:$V,MATCH($A43,Base!$A:$A,0)),0)))</f>
        <v>12.249840000000001</v>
      </c>
      <c r="FF43" s="21">
        <f>IF(FF$1&lt;INDEX('Valo FX'!$Q:$Q,MATCH($A43,'Valo FX'!$A:$A,0)),0,IF(FF$1&lt;INDEX('Valo FX'!$R:$R,MATCH($A43,'Valo FX'!$A:$A,0)),INDEX(Base!$U:$U,MATCH($A43,Base!$A:$A,0)),IF(FF$1=INDEX('Valo FX'!$R:$R,MATCH($A43,'Valo FX'!$A:$A,0)),INDEX(Base!$V:$V,MATCH($A43,Base!$A:$A,0)),0)))</f>
        <v>12.249840000000001</v>
      </c>
      <c r="FG43" s="21">
        <f>IF(FG$1&lt;INDEX('Valo FX'!$Q:$Q,MATCH($A43,'Valo FX'!$A:$A,0)),0,IF(FG$1&lt;INDEX('Valo FX'!$R:$R,MATCH($A43,'Valo FX'!$A:$A,0)),INDEX(Base!$U:$U,MATCH($A43,Base!$A:$A,0)),IF(FG$1=INDEX('Valo FX'!$R:$R,MATCH($A43,'Valo FX'!$A:$A,0)),INDEX(Base!$V:$V,MATCH($A43,Base!$A:$A,0)),0)))</f>
        <v>12.249840000000001</v>
      </c>
      <c r="FH43" s="21">
        <f>IF(FH$1&lt;INDEX('Valo FX'!$Q:$Q,MATCH($A43,'Valo FX'!$A:$A,0)),0,IF(FH$1&lt;INDEX('Valo FX'!$R:$R,MATCH($A43,'Valo FX'!$A:$A,0)),INDEX(Base!$U:$U,MATCH($A43,Base!$A:$A,0)),IF(FH$1=INDEX('Valo FX'!$R:$R,MATCH($A43,'Valo FX'!$A:$A,0)),INDEX(Base!$V:$V,MATCH($A43,Base!$A:$A,0)),0)))</f>
        <v>12.249840000000001</v>
      </c>
      <c r="FI43" s="21">
        <f>IF(FI$1&lt;INDEX('Valo FX'!$Q:$Q,MATCH($A43,'Valo FX'!$A:$A,0)),0,IF(FI$1&lt;INDEX('Valo FX'!$R:$R,MATCH($A43,'Valo FX'!$A:$A,0)),INDEX(Base!$U:$U,MATCH($A43,Base!$A:$A,0)),IF(FI$1=INDEX('Valo FX'!$R:$R,MATCH($A43,'Valo FX'!$A:$A,0)),INDEX(Base!$V:$V,MATCH($A43,Base!$A:$A,0)),0)))</f>
        <v>12.249840000000001</v>
      </c>
      <c r="FJ43" s="21">
        <f>IF(FJ$1&lt;INDEX('Valo FX'!$Q:$Q,MATCH($A43,'Valo FX'!$A:$A,0)),0,IF(FJ$1&lt;INDEX('Valo FX'!$R:$R,MATCH($A43,'Valo FX'!$A:$A,0)),INDEX(Base!$U:$U,MATCH($A43,Base!$A:$A,0)),IF(FJ$1=INDEX('Valo FX'!$R:$R,MATCH($A43,'Valo FX'!$A:$A,0)),INDEX(Base!$V:$V,MATCH($A43,Base!$A:$A,0)),0)))</f>
        <v>12.249840000000001</v>
      </c>
      <c r="FK43" s="21">
        <f>IF(FK$1&lt;INDEX('Valo FX'!$Q:$Q,MATCH($A43,'Valo FX'!$A:$A,0)),0,IF(FK$1&lt;INDEX('Valo FX'!$R:$R,MATCH($A43,'Valo FX'!$A:$A,0)),INDEX(Base!$U:$U,MATCH($A43,Base!$A:$A,0)),IF(FK$1=INDEX('Valo FX'!$R:$R,MATCH($A43,'Valo FX'!$A:$A,0)),INDEX(Base!$V:$V,MATCH($A43,Base!$A:$A,0)),0)))</f>
        <v>12.249840000000001</v>
      </c>
      <c r="FL43" s="21">
        <f>IF(FL$1&lt;INDEX('Valo FX'!$Q:$Q,MATCH($A43,'Valo FX'!$A:$A,0)),0,IF(FL$1&lt;INDEX('Valo FX'!$R:$R,MATCH($A43,'Valo FX'!$A:$A,0)),INDEX(Base!$U:$U,MATCH($A43,Base!$A:$A,0)),IF(FL$1=INDEX('Valo FX'!$R:$R,MATCH($A43,'Valo FX'!$A:$A,0)),INDEX(Base!$V:$V,MATCH($A43,Base!$A:$A,0)),0)))</f>
        <v>12.249840000000001</v>
      </c>
      <c r="FM43" s="21">
        <f>IF(FM$1&lt;INDEX('Valo FX'!$Q:$Q,MATCH($A43,'Valo FX'!$A:$A,0)),0,IF(FM$1&lt;INDEX('Valo FX'!$R:$R,MATCH($A43,'Valo FX'!$A:$A,0)),INDEX(Base!$U:$U,MATCH($A43,Base!$A:$A,0)),IF(FM$1=INDEX('Valo FX'!$R:$R,MATCH($A43,'Valo FX'!$A:$A,0)),INDEX(Base!$V:$V,MATCH($A43,Base!$A:$A,0)),0)))</f>
        <v>12.249840000000001</v>
      </c>
      <c r="FN43" s="21">
        <f>IF(FN$1&lt;INDEX('Valo FX'!$Q:$Q,MATCH($A43,'Valo FX'!$A:$A,0)),0,IF(FN$1&lt;INDEX('Valo FX'!$R:$R,MATCH($A43,'Valo FX'!$A:$A,0)),INDEX(Base!$U:$U,MATCH($A43,Base!$A:$A,0)),IF(FN$1=INDEX('Valo FX'!$R:$R,MATCH($A43,'Valo FX'!$A:$A,0)),INDEX(Base!$V:$V,MATCH($A43,Base!$A:$A,0)),0)))</f>
        <v>12.249840000000001</v>
      </c>
      <c r="FO43" s="21">
        <f>IF(FO$1&lt;INDEX('Valo FX'!$Q:$Q,MATCH($A43,'Valo FX'!$A:$A,0)),0,IF(FO$1&lt;INDEX('Valo FX'!$R:$R,MATCH($A43,'Valo FX'!$A:$A,0)),INDEX(Base!$U:$U,MATCH($A43,Base!$A:$A,0)),IF(FO$1=INDEX('Valo FX'!$R:$R,MATCH($A43,'Valo FX'!$A:$A,0)),INDEX(Base!$V:$V,MATCH($A43,Base!$A:$A,0)),0)))</f>
        <v>12.249840000000001</v>
      </c>
      <c r="FP43" s="21">
        <f>IF(FP$1&lt;INDEX('Valo FX'!$Q:$Q,MATCH($A43,'Valo FX'!$A:$A,0)),0,IF(FP$1&lt;INDEX('Valo FX'!$R:$R,MATCH($A43,'Valo FX'!$A:$A,0)),INDEX(Base!$U:$U,MATCH($A43,Base!$A:$A,0)),IF(FP$1=INDEX('Valo FX'!$R:$R,MATCH($A43,'Valo FX'!$A:$A,0)),INDEX(Base!$V:$V,MATCH($A43,Base!$A:$A,0)),0)))</f>
        <v>12.249840000000001</v>
      </c>
      <c r="FQ43" s="21">
        <f>IF(FQ$1&lt;INDEX('Valo FX'!$Q:$Q,MATCH($A43,'Valo FX'!$A:$A,0)),0,IF(FQ$1&lt;INDEX('Valo FX'!$R:$R,MATCH($A43,'Valo FX'!$A:$A,0)),INDEX(Base!$U:$U,MATCH($A43,Base!$A:$A,0)),IF(FQ$1=INDEX('Valo FX'!$R:$R,MATCH($A43,'Valo FX'!$A:$A,0)),INDEX(Base!$V:$V,MATCH($A43,Base!$A:$A,0)),0)))</f>
        <v>12.249840000000001</v>
      </c>
      <c r="FR43" s="21">
        <f>IF(FR$1&lt;INDEX('Valo FX'!$Q:$Q,MATCH($A43,'Valo FX'!$A:$A,0)),0,IF(FR$1&lt;INDEX('Valo FX'!$R:$R,MATCH($A43,'Valo FX'!$A:$A,0)),INDEX(Base!$U:$U,MATCH($A43,Base!$A:$A,0)),IF(FR$1=INDEX('Valo FX'!$R:$R,MATCH($A43,'Valo FX'!$A:$A,0)),INDEX(Base!$V:$V,MATCH($A43,Base!$A:$A,0)),0)))</f>
        <v>12.249840000000001</v>
      </c>
      <c r="FS43" s="21">
        <f>IF(FS$1&lt;INDEX('Valo FX'!$Q:$Q,MATCH($A43,'Valo FX'!$A:$A,0)),0,IF(FS$1&lt;INDEX('Valo FX'!$R:$R,MATCH($A43,'Valo FX'!$A:$A,0)),INDEX(Base!$U:$U,MATCH($A43,Base!$A:$A,0)),IF(FS$1=INDEX('Valo FX'!$R:$R,MATCH($A43,'Valo FX'!$A:$A,0)),INDEX(Base!$V:$V,MATCH($A43,Base!$A:$A,0)),0)))</f>
        <v>12.249840000000001</v>
      </c>
      <c r="FT43" s="21">
        <f>IF(FT$1&lt;INDEX('Valo FX'!$Q:$Q,MATCH($A43,'Valo FX'!$A:$A,0)),0,IF(FT$1&lt;INDEX('Valo FX'!$R:$R,MATCH($A43,'Valo FX'!$A:$A,0)),INDEX(Base!$U:$U,MATCH($A43,Base!$A:$A,0)),IF(FT$1=INDEX('Valo FX'!$R:$R,MATCH($A43,'Valo FX'!$A:$A,0)),INDEX(Base!$V:$V,MATCH($A43,Base!$A:$A,0)),0)))</f>
        <v>12.249840000000001</v>
      </c>
      <c r="FU43" s="21">
        <f>IF(FU$1&lt;INDEX('Valo FX'!$Q:$Q,MATCH($A43,'Valo FX'!$A:$A,0)),0,IF(FU$1&lt;INDEX('Valo FX'!$R:$R,MATCH($A43,'Valo FX'!$A:$A,0)),INDEX(Base!$U:$U,MATCH($A43,Base!$A:$A,0)),IF(FU$1=INDEX('Valo FX'!$R:$R,MATCH($A43,'Valo FX'!$A:$A,0)),INDEX(Base!$V:$V,MATCH($A43,Base!$A:$A,0)),0)))</f>
        <v>12.249840000000001</v>
      </c>
      <c r="FV43" s="21">
        <f>IF(FV$1&lt;INDEX('Valo FX'!$Q:$Q,MATCH($A43,'Valo FX'!$A:$A,0)),0,IF(FV$1&lt;INDEX('Valo FX'!$R:$R,MATCH($A43,'Valo FX'!$A:$A,0)),INDEX(Base!$U:$U,MATCH($A43,Base!$A:$A,0)),IF(FV$1=INDEX('Valo FX'!$R:$R,MATCH($A43,'Valo FX'!$A:$A,0)),INDEX(Base!$V:$V,MATCH($A43,Base!$A:$A,0)),0)))</f>
        <v>12.249840000000001</v>
      </c>
      <c r="FW43" s="21">
        <f>IF(FW$1&lt;INDEX('Valo FX'!$Q:$Q,MATCH($A43,'Valo FX'!$A:$A,0)),0,IF(FW$1&lt;INDEX('Valo FX'!$R:$R,MATCH($A43,'Valo FX'!$A:$A,0)),INDEX(Base!$U:$U,MATCH($A43,Base!$A:$A,0)),IF(FW$1=INDEX('Valo FX'!$R:$R,MATCH($A43,'Valo FX'!$A:$A,0)),INDEX(Base!$V:$V,MATCH($A43,Base!$A:$A,0)),0)))</f>
        <v>12.249840000000001</v>
      </c>
      <c r="FX43" s="21">
        <f>IF(FX$1&lt;INDEX('Valo FX'!$Q:$Q,MATCH($A43,'Valo FX'!$A:$A,0)),0,IF(FX$1&lt;INDEX('Valo FX'!$R:$R,MATCH($A43,'Valo FX'!$A:$A,0)),INDEX(Base!$U:$U,MATCH($A43,Base!$A:$A,0)),IF(FX$1=INDEX('Valo FX'!$R:$R,MATCH($A43,'Valo FX'!$A:$A,0)),INDEX(Base!$V:$V,MATCH($A43,Base!$A:$A,0)),0)))</f>
        <v>12.249840000000001</v>
      </c>
      <c r="FY43" s="21">
        <f>IF(FY$1&lt;INDEX('Valo FX'!$Q:$Q,MATCH($A43,'Valo FX'!$A:$A,0)),0,IF(FY$1&lt;INDEX('Valo FX'!$R:$R,MATCH($A43,'Valo FX'!$A:$A,0)),INDEX(Base!$U:$U,MATCH($A43,Base!$A:$A,0)),IF(FY$1=INDEX('Valo FX'!$R:$R,MATCH($A43,'Valo FX'!$A:$A,0)),INDEX(Base!$V:$V,MATCH($A43,Base!$A:$A,0)),0)))</f>
        <v>12.249840000000001</v>
      </c>
      <c r="FZ43" s="21">
        <f>IF(FZ$1&lt;INDEX('Valo FX'!$Q:$Q,MATCH($A43,'Valo FX'!$A:$A,0)),0,IF(FZ$1&lt;INDEX('Valo FX'!$R:$R,MATCH($A43,'Valo FX'!$A:$A,0)),INDEX(Base!$U:$U,MATCH($A43,Base!$A:$A,0)),IF(FZ$1=INDEX('Valo FX'!$R:$R,MATCH($A43,'Valo FX'!$A:$A,0)),INDEX(Base!$V:$V,MATCH($A43,Base!$A:$A,0)),0)))</f>
        <v>12.249840000000001</v>
      </c>
      <c r="GA43" s="21">
        <f>IF(GA$1&lt;INDEX('Valo FX'!$Q:$Q,MATCH($A43,'Valo FX'!$A:$A,0)),0,IF(GA$1&lt;INDEX('Valo FX'!$R:$R,MATCH($A43,'Valo FX'!$A:$A,0)),INDEX(Base!$U:$U,MATCH($A43,Base!$A:$A,0)),IF(GA$1=INDEX('Valo FX'!$R:$R,MATCH($A43,'Valo FX'!$A:$A,0)),INDEX(Base!$V:$V,MATCH($A43,Base!$A:$A,0)),0)))</f>
        <v>12.249840000000001</v>
      </c>
      <c r="GB43" s="21">
        <f>IF(GB$1&lt;INDEX('Valo FX'!$Q:$Q,MATCH($A43,'Valo FX'!$A:$A,0)),0,IF(GB$1&lt;INDEX('Valo FX'!$R:$R,MATCH($A43,'Valo FX'!$A:$A,0)),INDEX(Base!$U:$U,MATCH($A43,Base!$A:$A,0)),IF(GB$1=INDEX('Valo FX'!$R:$R,MATCH($A43,'Valo FX'!$A:$A,0)),INDEX(Base!$V:$V,MATCH($A43,Base!$A:$A,0)),0)))</f>
        <v>12.249840000000001</v>
      </c>
      <c r="GC43" s="21">
        <f>IF(GC$1&lt;INDEX('Valo FX'!$Q:$Q,MATCH($A43,'Valo FX'!$A:$A,0)),0,IF(GC$1&lt;INDEX('Valo FX'!$R:$R,MATCH($A43,'Valo FX'!$A:$A,0)),INDEX(Base!$U:$U,MATCH($A43,Base!$A:$A,0)),IF(GC$1=INDEX('Valo FX'!$R:$R,MATCH($A43,'Valo FX'!$A:$A,0)),INDEX(Base!$V:$V,MATCH($A43,Base!$A:$A,0)),0)))</f>
        <v>12.249840000000001</v>
      </c>
      <c r="GD43" s="21">
        <f>IF(GD$1&lt;INDEX('Valo FX'!$Q:$Q,MATCH($A43,'Valo FX'!$A:$A,0)),0,IF(GD$1&lt;INDEX('Valo FX'!$R:$R,MATCH($A43,'Valo FX'!$A:$A,0)),INDEX(Base!$U:$U,MATCH($A43,Base!$A:$A,0)),IF(GD$1=INDEX('Valo FX'!$R:$R,MATCH($A43,'Valo FX'!$A:$A,0)),INDEX(Base!$V:$V,MATCH($A43,Base!$A:$A,0)),0)))</f>
        <v>12.249840000000001</v>
      </c>
      <c r="GE43" s="21">
        <f>IF(GE$1&lt;INDEX('Valo FX'!$Q:$Q,MATCH($A43,'Valo FX'!$A:$A,0)),0,IF(GE$1&lt;INDEX('Valo FX'!$R:$R,MATCH($A43,'Valo FX'!$A:$A,0)),INDEX(Base!$U:$U,MATCH($A43,Base!$A:$A,0)),IF(GE$1=INDEX('Valo FX'!$R:$R,MATCH($A43,'Valo FX'!$A:$A,0)),INDEX(Base!$V:$V,MATCH($A43,Base!$A:$A,0)),0)))</f>
        <v>12.249840000000001</v>
      </c>
      <c r="GF43" s="21">
        <f>IF(GF$1&lt;INDEX('Valo FX'!$Q:$Q,MATCH($A43,'Valo FX'!$A:$A,0)),0,IF(GF$1&lt;INDEX('Valo FX'!$R:$R,MATCH($A43,'Valo FX'!$A:$A,0)),INDEX(Base!$U:$U,MATCH($A43,Base!$A:$A,0)),IF(GF$1=INDEX('Valo FX'!$R:$R,MATCH($A43,'Valo FX'!$A:$A,0)),INDEX(Base!$V:$V,MATCH($A43,Base!$A:$A,0)),0)))</f>
        <v>12.249840000000001</v>
      </c>
      <c r="GG43" s="21">
        <f>IF(GG$1&lt;INDEX('Valo FX'!$Q:$Q,MATCH($A43,'Valo FX'!$A:$A,0)),0,IF(GG$1&lt;INDEX('Valo FX'!$R:$R,MATCH($A43,'Valo FX'!$A:$A,0)),INDEX(Base!$U:$U,MATCH($A43,Base!$A:$A,0)),IF(GG$1=INDEX('Valo FX'!$R:$R,MATCH($A43,'Valo FX'!$A:$A,0)),INDEX(Base!$V:$V,MATCH($A43,Base!$A:$A,0)),0)))</f>
        <v>12.249840000000001</v>
      </c>
      <c r="GH43" s="21">
        <f>IF(GH$1&lt;INDEX('Valo FX'!$Q:$Q,MATCH($A43,'Valo FX'!$A:$A,0)),0,IF(GH$1&lt;INDEX('Valo FX'!$R:$R,MATCH($A43,'Valo FX'!$A:$A,0)),INDEX(Base!$U:$U,MATCH($A43,Base!$A:$A,0)),IF(GH$1=INDEX('Valo FX'!$R:$R,MATCH($A43,'Valo FX'!$A:$A,0)),INDEX(Base!$V:$V,MATCH($A43,Base!$A:$A,0)),0)))</f>
        <v>12.249840000000001</v>
      </c>
      <c r="GI43" s="21">
        <f>IF(GI$1&lt;INDEX('Valo FX'!$Q:$Q,MATCH($A43,'Valo FX'!$A:$A,0)),0,IF(GI$1&lt;INDEX('Valo FX'!$R:$R,MATCH($A43,'Valo FX'!$A:$A,0)),INDEX(Base!$U:$U,MATCH($A43,Base!$A:$A,0)),IF(GI$1=INDEX('Valo FX'!$R:$R,MATCH($A43,'Valo FX'!$A:$A,0)),INDEX(Base!$V:$V,MATCH($A43,Base!$A:$A,0)),0)))</f>
        <v>12.249840000000001</v>
      </c>
      <c r="GJ43" s="21">
        <f>IF(GJ$1&lt;INDEX('Valo FX'!$Q:$Q,MATCH($A43,'Valo FX'!$A:$A,0)),0,IF(GJ$1&lt;INDEX('Valo FX'!$R:$R,MATCH($A43,'Valo FX'!$A:$A,0)),INDEX(Base!$U:$U,MATCH($A43,Base!$A:$A,0)),IF(GJ$1=INDEX('Valo FX'!$R:$R,MATCH($A43,'Valo FX'!$A:$A,0)),INDEX(Base!$V:$V,MATCH($A43,Base!$A:$A,0)),0)))</f>
        <v>12.249840000000001</v>
      </c>
      <c r="GK43" s="21">
        <f>IF(GK$1&lt;INDEX('Valo FX'!$Q:$Q,MATCH($A43,'Valo FX'!$A:$A,0)),0,IF(GK$1&lt;INDEX('Valo FX'!$R:$R,MATCH($A43,'Valo FX'!$A:$A,0)),INDEX(Base!$U:$U,MATCH($A43,Base!$A:$A,0)),IF(GK$1=INDEX('Valo FX'!$R:$R,MATCH($A43,'Valo FX'!$A:$A,0)),INDEX(Base!$V:$V,MATCH($A43,Base!$A:$A,0)),0)))</f>
        <v>12.249840000000001</v>
      </c>
      <c r="GL43" s="21">
        <f>IF(GL$1&lt;INDEX('Valo FX'!$Q:$Q,MATCH($A43,'Valo FX'!$A:$A,0)),0,IF(GL$1&lt;INDEX('Valo FX'!$R:$R,MATCH($A43,'Valo FX'!$A:$A,0)),INDEX(Base!$U:$U,MATCH($A43,Base!$A:$A,0)),IF(GL$1=INDEX('Valo FX'!$R:$R,MATCH($A43,'Valo FX'!$A:$A,0)),INDEX(Base!$V:$V,MATCH($A43,Base!$A:$A,0)),0)))</f>
        <v>12.249840000000001</v>
      </c>
      <c r="GM43" s="21">
        <f>IF(GM$1&lt;INDEX('Valo FX'!$Q:$Q,MATCH($A43,'Valo FX'!$A:$A,0)),0,IF(GM$1&lt;INDEX('Valo FX'!$R:$R,MATCH($A43,'Valo FX'!$A:$A,0)),INDEX(Base!$U:$U,MATCH($A43,Base!$A:$A,0)),IF(GM$1=INDEX('Valo FX'!$R:$R,MATCH($A43,'Valo FX'!$A:$A,0)),INDEX(Base!$V:$V,MATCH($A43,Base!$A:$A,0)),0)))</f>
        <v>12.249840000000001</v>
      </c>
      <c r="GN43" s="21">
        <f>IF(GN$1&lt;INDEX('Valo FX'!$Q:$Q,MATCH($A43,'Valo FX'!$A:$A,0)),0,IF(GN$1&lt;INDEX('Valo FX'!$R:$R,MATCH($A43,'Valo FX'!$A:$A,0)),INDEX(Base!$U:$U,MATCH($A43,Base!$A:$A,0)),IF(GN$1=INDEX('Valo FX'!$R:$R,MATCH($A43,'Valo FX'!$A:$A,0)),INDEX(Base!$V:$V,MATCH($A43,Base!$A:$A,0)),0)))</f>
        <v>12.249840000000001</v>
      </c>
      <c r="GO43" s="21">
        <f>IF(GO$1&lt;INDEX('Valo FX'!$Q:$Q,MATCH($A43,'Valo FX'!$A:$A,0)),0,IF(GO$1&lt;INDEX('Valo FX'!$R:$R,MATCH($A43,'Valo FX'!$A:$A,0)),INDEX(Base!$U:$U,MATCH($A43,Base!$A:$A,0)),IF(GO$1=INDEX('Valo FX'!$R:$R,MATCH($A43,'Valo FX'!$A:$A,0)),INDEX(Base!$V:$V,MATCH($A43,Base!$A:$A,0)),0)))</f>
        <v>12.249840000000001</v>
      </c>
      <c r="GP43" s="21">
        <f>IF(GP$1&lt;INDEX('Valo FX'!$Q:$Q,MATCH($A43,'Valo FX'!$A:$A,0)),0,IF(GP$1&lt;INDEX('Valo FX'!$R:$R,MATCH($A43,'Valo FX'!$A:$A,0)),INDEX(Base!$U:$U,MATCH($A43,Base!$A:$A,0)),IF(GP$1=INDEX('Valo FX'!$R:$R,MATCH($A43,'Valo FX'!$A:$A,0)),INDEX(Base!$V:$V,MATCH($A43,Base!$A:$A,0)),0)))</f>
        <v>12.249840000000001</v>
      </c>
      <c r="GQ43" s="21">
        <f>IF(GQ$1&lt;INDEX('Valo FX'!$Q:$Q,MATCH($A43,'Valo FX'!$A:$A,0)),0,IF(GQ$1&lt;INDEX('Valo FX'!$R:$R,MATCH($A43,'Valo FX'!$A:$A,0)),INDEX(Base!$U:$U,MATCH($A43,Base!$A:$A,0)),IF(GQ$1=INDEX('Valo FX'!$R:$R,MATCH($A43,'Valo FX'!$A:$A,0)),INDEX(Base!$V:$V,MATCH($A43,Base!$A:$A,0)),0)))</f>
        <v>12.249840000000001</v>
      </c>
      <c r="GR43" s="21">
        <f>IF(GR$1&lt;INDEX('Valo FX'!$Q:$Q,MATCH($A43,'Valo FX'!$A:$A,0)),0,IF(GR$1&lt;INDEX('Valo FX'!$R:$R,MATCH($A43,'Valo FX'!$A:$A,0)),INDEX(Base!$U:$U,MATCH($A43,Base!$A:$A,0)),IF(GR$1=INDEX('Valo FX'!$R:$R,MATCH($A43,'Valo FX'!$A:$A,0)),INDEX(Base!$V:$V,MATCH($A43,Base!$A:$A,0)),0)))</f>
        <v>12.249840000000001</v>
      </c>
      <c r="GS43" s="21">
        <f>IF(GS$1&lt;INDEX('Valo FX'!$Q:$Q,MATCH($A43,'Valo FX'!$A:$A,0)),0,IF(GS$1&lt;INDEX('Valo FX'!$R:$R,MATCH($A43,'Valo FX'!$A:$A,0)),INDEX(Base!$U:$U,MATCH($A43,Base!$A:$A,0)),IF(GS$1=INDEX('Valo FX'!$R:$R,MATCH($A43,'Valo FX'!$A:$A,0)),INDEX(Base!$V:$V,MATCH($A43,Base!$A:$A,0)),0)))</f>
        <v>12.249840000000001</v>
      </c>
      <c r="GT43" s="21">
        <f>IF(GT$1&lt;INDEX('Valo FX'!$Q:$Q,MATCH($A43,'Valo FX'!$A:$A,0)),0,IF(GT$1&lt;INDEX('Valo FX'!$R:$R,MATCH($A43,'Valo FX'!$A:$A,0)),INDEX(Base!$U:$U,MATCH($A43,Base!$A:$A,0)),IF(GT$1=INDEX('Valo FX'!$R:$R,MATCH($A43,'Valo FX'!$A:$A,0)),INDEX(Base!$V:$V,MATCH($A43,Base!$A:$A,0)),0)))</f>
        <v>12.249840000000001</v>
      </c>
      <c r="GU43" s="21">
        <f>IF(GU$1&lt;INDEX('Valo FX'!$Q:$Q,MATCH($A43,'Valo FX'!$A:$A,0)),0,IF(GU$1&lt;INDEX('Valo FX'!$R:$R,MATCH($A43,'Valo FX'!$A:$A,0)),INDEX(Base!$U:$U,MATCH($A43,Base!$A:$A,0)),IF(GU$1=INDEX('Valo FX'!$R:$R,MATCH($A43,'Valo FX'!$A:$A,0)),INDEX(Base!$V:$V,MATCH($A43,Base!$A:$A,0)),0)))</f>
        <v>12.249840000000001</v>
      </c>
      <c r="GV43" s="21">
        <f>IF(GV$1&lt;INDEX('Valo FX'!$Q:$Q,MATCH($A43,'Valo FX'!$A:$A,0)),0,IF(GV$1&lt;INDEX('Valo FX'!$R:$R,MATCH($A43,'Valo FX'!$A:$A,0)),INDEX(Base!$U:$U,MATCH($A43,Base!$A:$A,0)),IF(GV$1=INDEX('Valo FX'!$R:$R,MATCH($A43,'Valo FX'!$A:$A,0)),INDEX(Base!$V:$V,MATCH($A43,Base!$A:$A,0)),0)))</f>
        <v>12.249840000000001</v>
      </c>
      <c r="GW43" s="21">
        <f>IF(GW$1&lt;INDEX('Valo FX'!$Q:$Q,MATCH($A43,'Valo FX'!$A:$A,0)),0,IF(GW$1&lt;INDEX('Valo FX'!$R:$R,MATCH($A43,'Valo FX'!$A:$A,0)),INDEX(Base!$U:$U,MATCH($A43,Base!$A:$A,0)),IF(GW$1=INDEX('Valo FX'!$R:$R,MATCH($A43,'Valo FX'!$A:$A,0)),INDEX(Base!$V:$V,MATCH($A43,Base!$A:$A,0)),0)))</f>
        <v>12.249840000000001</v>
      </c>
      <c r="GX43" s="21">
        <f>IF(GX$1&lt;INDEX('Valo FX'!$Q:$Q,MATCH($A43,'Valo FX'!$A:$A,0)),0,IF(GX$1&lt;INDEX('Valo FX'!$R:$R,MATCH($A43,'Valo FX'!$A:$A,0)),INDEX(Base!$U:$U,MATCH($A43,Base!$A:$A,0)),IF(GX$1=INDEX('Valo FX'!$R:$R,MATCH($A43,'Valo FX'!$A:$A,0)),INDEX(Base!$V:$V,MATCH($A43,Base!$A:$A,0)),0)))</f>
        <v>12.249840000000001</v>
      </c>
      <c r="GY43" s="21">
        <f>IF(GY$1&lt;INDEX('Valo FX'!$Q:$Q,MATCH($A43,'Valo FX'!$A:$A,0)),0,IF(GY$1&lt;INDEX('Valo FX'!$R:$R,MATCH($A43,'Valo FX'!$A:$A,0)),INDEX(Base!$U:$U,MATCH($A43,Base!$A:$A,0)),IF(GY$1=INDEX('Valo FX'!$R:$R,MATCH($A43,'Valo FX'!$A:$A,0)),INDEX(Base!$V:$V,MATCH($A43,Base!$A:$A,0)),0)))</f>
        <v>12.249840000000001</v>
      </c>
      <c r="GZ43" s="21">
        <f>IF(GZ$1&lt;INDEX('Valo FX'!$Q:$Q,MATCH($A43,'Valo FX'!$A:$A,0)),0,IF(GZ$1&lt;INDEX('Valo FX'!$R:$R,MATCH($A43,'Valo FX'!$A:$A,0)),INDEX(Base!$U:$U,MATCH($A43,Base!$A:$A,0)),IF(GZ$1=INDEX('Valo FX'!$R:$R,MATCH($A43,'Valo FX'!$A:$A,0)),INDEX(Base!$V:$V,MATCH($A43,Base!$A:$A,0)),0)))</f>
        <v>12.249840000000001</v>
      </c>
      <c r="HA43" s="21">
        <f>IF(HA$1&lt;INDEX('Valo FX'!$Q:$Q,MATCH($A43,'Valo FX'!$A:$A,0)),0,IF(HA$1&lt;INDEX('Valo FX'!$R:$R,MATCH($A43,'Valo FX'!$A:$A,0)),INDEX(Base!$U:$U,MATCH($A43,Base!$A:$A,0)),IF(HA$1=INDEX('Valo FX'!$R:$R,MATCH($A43,'Valo FX'!$A:$A,0)),INDEX(Base!$V:$V,MATCH($A43,Base!$A:$A,0)),0)))</f>
        <v>12.249840000000001</v>
      </c>
      <c r="HB43" s="21">
        <f>IF(HB$1&lt;INDEX('Valo FX'!$Q:$Q,MATCH($A43,'Valo FX'!$A:$A,0)),0,IF(HB$1&lt;INDEX('Valo FX'!$R:$R,MATCH($A43,'Valo FX'!$A:$A,0)),INDEX(Base!$U:$U,MATCH($A43,Base!$A:$A,0)),IF(HB$1=INDEX('Valo FX'!$R:$R,MATCH($A43,'Valo FX'!$A:$A,0)),INDEX(Base!$V:$V,MATCH($A43,Base!$A:$A,0)),0)))</f>
        <v>12.249840000000001</v>
      </c>
      <c r="HC43" s="21">
        <f>IF(HC$1&lt;INDEX('Valo FX'!$Q:$Q,MATCH($A43,'Valo FX'!$A:$A,0)),0,IF(HC$1&lt;INDEX('Valo FX'!$R:$R,MATCH($A43,'Valo FX'!$A:$A,0)),INDEX(Base!$U:$U,MATCH($A43,Base!$A:$A,0)),IF(HC$1=INDEX('Valo FX'!$R:$R,MATCH($A43,'Valo FX'!$A:$A,0)),INDEX(Base!$V:$V,MATCH($A43,Base!$A:$A,0)),0)))</f>
        <v>12.249840000000001</v>
      </c>
      <c r="HD43" s="21">
        <f>IF(HD$1&lt;INDEX('Valo FX'!$Q:$Q,MATCH($A43,'Valo FX'!$A:$A,0)),0,IF(HD$1&lt;INDEX('Valo FX'!$R:$R,MATCH($A43,'Valo FX'!$A:$A,0)),INDEX(Base!$U:$U,MATCH($A43,Base!$A:$A,0)),IF(HD$1=INDEX('Valo FX'!$R:$R,MATCH($A43,'Valo FX'!$A:$A,0)),INDEX(Base!$V:$V,MATCH($A43,Base!$A:$A,0)),0)))</f>
        <v>12.249840000000001</v>
      </c>
      <c r="HE43" s="21">
        <f>IF(HE$1&lt;INDEX('Valo FX'!$Q:$Q,MATCH($A43,'Valo FX'!$A:$A,0)),0,IF(HE$1&lt;INDEX('Valo FX'!$R:$R,MATCH($A43,'Valo FX'!$A:$A,0)),INDEX(Base!$U:$U,MATCH($A43,Base!$A:$A,0)),IF(HE$1=INDEX('Valo FX'!$R:$R,MATCH($A43,'Valo FX'!$A:$A,0)),INDEX(Base!$V:$V,MATCH($A43,Base!$A:$A,0)),0)))</f>
        <v>12.249840000000001</v>
      </c>
      <c r="HF43" s="21">
        <f>IF(HF$1&lt;INDEX('Valo FX'!$Q:$Q,MATCH($A43,'Valo FX'!$A:$A,0)),0,IF(HF$1&lt;INDEX('Valo FX'!$R:$R,MATCH($A43,'Valo FX'!$A:$A,0)),INDEX(Base!$U:$U,MATCH($A43,Base!$A:$A,0)),IF(HF$1=INDEX('Valo FX'!$R:$R,MATCH($A43,'Valo FX'!$A:$A,0)),INDEX(Base!$V:$V,MATCH($A43,Base!$A:$A,0)),0)))</f>
        <v>12.249840000000001</v>
      </c>
      <c r="HG43" s="21">
        <f>IF(HG$1&lt;INDEX('Valo FX'!$Q:$Q,MATCH($A43,'Valo FX'!$A:$A,0)),0,IF(HG$1&lt;INDEX('Valo FX'!$R:$R,MATCH($A43,'Valo FX'!$A:$A,0)),INDEX(Base!$U:$U,MATCH($A43,Base!$A:$A,0)),IF(HG$1=INDEX('Valo FX'!$R:$R,MATCH($A43,'Valo FX'!$A:$A,0)),INDEX(Base!$V:$V,MATCH($A43,Base!$A:$A,0)),0)))</f>
        <v>12.249840000000001</v>
      </c>
      <c r="HH43" s="21">
        <f>IF(HH$1&lt;INDEX('Valo FX'!$Q:$Q,MATCH($A43,'Valo FX'!$A:$A,0)),0,IF(HH$1&lt;INDEX('Valo FX'!$R:$R,MATCH($A43,'Valo FX'!$A:$A,0)),INDEX(Base!$U:$U,MATCH($A43,Base!$A:$A,0)),IF(HH$1=INDEX('Valo FX'!$R:$R,MATCH($A43,'Valo FX'!$A:$A,0)),INDEX(Base!$V:$V,MATCH($A43,Base!$A:$A,0)),0)))</f>
        <v>12.249840000000001</v>
      </c>
      <c r="HI43" s="21">
        <f>IF(HI$1&lt;INDEX('Valo FX'!$Q:$Q,MATCH($A43,'Valo FX'!$A:$A,0)),0,IF(HI$1&lt;INDEX('Valo FX'!$R:$R,MATCH($A43,'Valo FX'!$A:$A,0)),INDEX(Base!$U:$U,MATCH($A43,Base!$A:$A,0)),IF(HI$1=INDEX('Valo FX'!$R:$R,MATCH($A43,'Valo FX'!$A:$A,0)),INDEX(Base!$V:$V,MATCH($A43,Base!$A:$A,0)),0)))</f>
        <v>12.249840000000001</v>
      </c>
      <c r="HJ43" s="21">
        <f>IF(HJ$1&lt;INDEX('Valo FX'!$Q:$Q,MATCH($A43,'Valo FX'!$A:$A,0)),0,IF(HJ$1&lt;INDEX('Valo FX'!$R:$R,MATCH($A43,'Valo FX'!$A:$A,0)),INDEX(Base!$U:$U,MATCH($A43,Base!$A:$A,0)),IF(HJ$1=INDEX('Valo FX'!$R:$R,MATCH($A43,'Valo FX'!$A:$A,0)),INDEX(Base!$V:$V,MATCH($A43,Base!$A:$A,0)),0)))</f>
        <v>12.249840000000001</v>
      </c>
      <c r="HK43" s="21">
        <f>IF(HK$1&lt;INDEX('Valo FX'!$Q:$Q,MATCH($A43,'Valo FX'!$A:$A,0)),0,IF(HK$1&lt;INDEX('Valo FX'!$R:$R,MATCH($A43,'Valo FX'!$A:$A,0)),INDEX(Base!$U:$U,MATCH($A43,Base!$A:$A,0)),IF(HK$1=INDEX('Valo FX'!$R:$R,MATCH($A43,'Valo FX'!$A:$A,0)),INDEX(Base!$V:$V,MATCH($A43,Base!$A:$A,0)),0)))</f>
        <v>12.249840000000001</v>
      </c>
      <c r="HL43" s="21">
        <f>IF(HL$1&lt;INDEX('Valo FX'!$Q:$Q,MATCH($A43,'Valo FX'!$A:$A,0)),0,IF(HL$1&lt;INDEX('Valo FX'!$R:$R,MATCH($A43,'Valo FX'!$A:$A,0)),INDEX(Base!$U:$U,MATCH($A43,Base!$A:$A,0)),IF(HL$1=INDEX('Valo FX'!$R:$R,MATCH($A43,'Valo FX'!$A:$A,0)),INDEX(Base!$V:$V,MATCH($A43,Base!$A:$A,0)),0)))</f>
        <v>12.249840000000001</v>
      </c>
      <c r="HM43" s="21">
        <f>IF(HM$1&lt;INDEX('Valo FX'!$Q:$Q,MATCH($A43,'Valo FX'!$A:$A,0)),0,IF(HM$1&lt;INDEX('Valo FX'!$R:$R,MATCH($A43,'Valo FX'!$A:$A,0)),INDEX(Base!$U:$U,MATCH($A43,Base!$A:$A,0)),IF(HM$1=INDEX('Valo FX'!$R:$R,MATCH($A43,'Valo FX'!$A:$A,0)),INDEX(Base!$V:$V,MATCH($A43,Base!$A:$A,0)),0)))</f>
        <v>12.249840000000001</v>
      </c>
      <c r="HN43" s="21">
        <f>IF(HN$1&lt;INDEX('Valo FX'!$Q:$Q,MATCH($A43,'Valo FX'!$A:$A,0)),0,IF(HN$1&lt;INDEX('Valo FX'!$R:$R,MATCH($A43,'Valo FX'!$A:$A,0)),INDEX(Base!$U:$U,MATCH($A43,Base!$A:$A,0)),IF(HN$1=INDEX('Valo FX'!$R:$R,MATCH($A43,'Valo FX'!$A:$A,0)),INDEX(Base!$V:$V,MATCH($A43,Base!$A:$A,0)),0)))</f>
        <v>12.249840000000001</v>
      </c>
      <c r="HO43" s="21">
        <f>IF(HO$1&lt;INDEX('Valo FX'!$Q:$Q,MATCH($A43,'Valo FX'!$A:$A,0)),0,IF(HO$1&lt;INDEX('Valo FX'!$R:$R,MATCH($A43,'Valo FX'!$A:$A,0)),INDEX(Base!$U:$U,MATCH($A43,Base!$A:$A,0)),IF(HO$1=INDEX('Valo FX'!$R:$R,MATCH($A43,'Valo FX'!$A:$A,0)),INDEX(Base!$V:$V,MATCH($A43,Base!$A:$A,0)),0)))</f>
        <v>12.249840000000001</v>
      </c>
      <c r="HP43" s="21">
        <f>IF(HP$1&lt;INDEX('Valo FX'!$Q:$Q,MATCH($A43,'Valo FX'!$A:$A,0)),0,IF(HP$1&lt;INDEX('Valo FX'!$R:$R,MATCH($A43,'Valo FX'!$A:$A,0)),INDEX(Base!$U:$U,MATCH($A43,Base!$A:$A,0)),IF(HP$1=INDEX('Valo FX'!$R:$R,MATCH($A43,'Valo FX'!$A:$A,0)),INDEX(Base!$V:$V,MATCH($A43,Base!$A:$A,0)),0)))</f>
        <v>12.249840000000001</v>
      </c>
      <c r="HQ43" s="21">
        <f>IF(HQ$1&lt;INDEX('Valo FX'!$Q:$Q,MATCH($A43,'Valo FX'!$A:$A,0)),0,IF(HQ$1&lt;INDEX('Valo FX'!$R:$R,MATCH($A43,'Valo FX'!$A:$A,0)),INDEX(Base!$U:$U,MATCH($A43,Base!$A:$A,0)),IF(HQ$1=INDEX('Valo FX'!$R:$R,MATCH($A43,'Valo FX'!$A:$A,0)),INDEX(Base!$V:$V,MATCH($A43,Base!$A:$A,0)),0)))</f>
        <v>12.249840000000001</v>
      </c>
      <c r="HR43" s="21">
        <f>IF(HR$1&lt;INDEX('Valo FX'!$Q:$Q,MATCH($A43,'Valo FX'!$A:$A,0)),0,IF(HR$1&lt;INDEX('Valo FX'!$R:$R,MATCH($A43,'Valo FX'!$A:$A,0)),INDEX(Base!$U:$U,MATCH($A43,Base!$A:$A,0)),IF(HR$1=INDEX('Valo FX'!$R:$R,MATCH($A43,'Valo FX'!$A:$A,0)),INDEX(Base!$V:$V,MATCH($A43,Base!$A:$A,0)),0)))</f>
        <v>12.249840000000001</v>
      </c>
      <c r="HS43" s="21">
        <f>IF(HS$1&lt;INDEX('Valo FX'!$Q:$Q,MATCH($A43,'Valo FX'!$A:$A,0)),0,IF(HS$1&lt;INDEX('Valo FX'!$R:$R,MATCH($A43,'Valo FX'!$A:$A,0)),INDEX(Base!$U:$U,MATCH($A43,Base!$A:$A,0)),IF(HS$1=INDEX('Valo FX'!$R:$R,MATCH($A43,'Valo FX'!$A:$A,0)),INDEX(Base!$V:$V,MATCH($A43,Base!$A:$A,0)),0)))</f>
        <v>12.249840000000001</v>
      </c>
      <c r="HT43" s="21">
        <f>IF(HT$1&lt;INDEX('Valo FX'!$Q:$Q,MATCH($A43,'Valo FX'!$A:$A,0)),0,IF(HT$1&lt;INDEX('Valo FX'!$R:$R,MATCH($A43,'Valo FX'!$A:$A,0)),INDEX(Base!$U:$U,MATCH($A43,Base!$A:$A,0)),IF(HT$1=INDEX('Valo FX'!$R:$R,MATCH($A43,'Valo FX'!$A:$A,0)),INDEX(Base!$V:$V,MATCH($A43,Base!$A:$A,0)),0)))</f>
        <v>12.249840000000001</v>
      </c>
      <c r="HU43" s="21">
        <f>IF(HU$1&lt;INDEX('Valo FX'!$Q:$Q,MATCH($A43,'Valo FX'!$A:$A,0)),0,IF(HU$1&lt;INDEX('Valo FX'!$R:$R,MATCH($A43,'Valo FX'!$A:$A,0)),INDEX(Base!$U:$U,MATCH($A43,Base!$A:$A,0)),IF(HU$1=INDEX('Valo FX'!$R:$R,MATCH($A43,'Valo FX'!$A:$A,0)),INDEX(Base!$V:$V,MATCH($A43,Base!$A:$A,0)),0)))</f>
        <v>12.249840000000001</v>
      </c>
      <c r="HV43" s="21">
        <f>IF(HV$1&lt;INDEX('Valo FX'!$Q:$Q,MATCH($A43,'Valo FX'!$A:$A,0)),0,IF(HV$1&lt;INDEX('Valo FX'!$R:$R,MATCH($A43,'Valo FX'!$A:$A,0)),INDEX(Base!$U:$U,MATCH($A43,Base!$A:$A,0)),IF(HV$1=INDEX('Valo FX'!$R:$R,MATCH($A43,'Valo FX'!$A:$A,0)),INDEX(Base!$V:$V,MATCH($A43,Base!$A:$A,0)),0)))</f>
        <v>12.249840000000001</v>
      </c>
      <c r="HW43" s="21">
        <f>IF(HW$1&lt;INDEX('Valo FX'!$Q:$Q,MATCH($A43,'Valo FX'!$A:$A,0)),0,IF(HW$1&lt;INDEX('Valo FX'!$R:$R,MATCH($A43,'Valo FX'!$A:$A,0)),INDEX(Base!$U:$U,MATCH($A43,Base!$A:$A,0)),IF(HW$1=INDEX('Valo FX'!$R:$R,MATCH($A43,'Valo FX'!$A:$A,0)),INDEX(Base!$V:$V,MATCH($A43,Base!$A:$A,0)),0)))</f>
        <v>12.249840000000001</v>
      </c>
      <c r="HX43" s="21">
        <f>IF(HX$1&lt;INDEX('Valo FX'!$Q:$Q,MATCH($A43,'Valo FX'!$A:$A,0)),0,IF(HX$1&lt;INDEX('Valo FX'!$R:$R,MATCH($A43,'Valo FX'!$A:$A,0)),INDEX(Base!$U:$U,MATCH($A43,Base!$A:$A,0)),IF(HX$1=INDEX('Valo FX'!$R:$R,MATCH($A43,'Valo FX'!$A:$A,0)),INDEX(Base!$V:$V,MATCH($A43,Base!$A:$A,0)),0)))</f>
        <v>12.249840000000001</v>
      </c>
      <c r="HY43" s="21">
        <f>IF(HY$1&lt;INDEX('Valo FX'!$Q:$Q,MATCH($A43,'Valo FX'!$A:$A,0)),0,IF(HY$1&lt;INDEX('Valo FX'!$R:$R,MATCH($A43,'Valo FX'!$A:$A,0)),INDEX(Base!$U:$U,MATCH($A43,Base!$A:$A,0)),IF(HY$1=INDEX('Valo FX'!$R:$R,MATCH($A43,'Valo FX'!$A:$A,0)),INDEX(Base!$V:$V,MATCH($A43,Base!$A:$A,0)),0)))</f>
        <v>12.249840000000001</v>
      </c>
      <c r="HZ43" s="21">
        <f>IF(HZ$1&lt;INDEX('Valo FX'!$Q:$Q,MATCH($A43,'Valo FX'!$A:$A,0)),0,IF(HZ$1&lt;INDEX('Valo FX'!$R:$R,MATCH($A43,'Valo FX'!$A:$A,0)),INDEX(Base!$U:$U,MATCH($A43,Base!$A:$A,0)),IF(HZ$1=INDEX('Valo FX'!$R:$R,MATCH($A43,'Valo FX'!$A:$A,0)),INDEX(Base!$V:$V,MATCH($A43,Base!$A:$A,0)),0)))</f>
        <v>12.249840000000001</v>
      </c>
      <c r="IA43" s="21">
        <f>IF(IA$1&lt;INDEX('Valo FX'!$Q:$Q,MATCH($A43,'Valo FX'!$A:$A,0)),0,IF(IA$1&lt;INDEX('Valo FX'!$R:$R,MATCH($A43,'Valo FX'!$A:$A,0)),INDEX(Base!$U:$U,MATCH($A43,Base!$A:$A,0)),IF(IA$1=INDEX('Valo FX'!$R:$R,MATCH($A43,'Valo FX'!$A:$A,0)),INDEX(Base!$V:$V,MATCH($A43,Base!$A:$A,0)),0)))</f>
        <v>12.249840000000001</v>
      </c>
      <c r="IB43" s="21">
        <f>IF(IB$1&lt;INDEX('Valo FX'!$Q:$Q,MATCH($A43,'Valo FX'!$A:$A,0)),0,IF(IB$1&lt;INDEX('Valo FX'!$R:$R,MATCH($A43,'Valo FX'!$A:$A,0)),INDEX(Base!$U:$U,MATCH($A43,Base!$A:$A,0)),IF(IB$1=INDEX('Valo FX'!$R:$R,MATCH($A43,'Valo FX'!$A:$A,0)),INDEX(Base!$V:$V,MATCH($A43,Base!$A:$A,0)),0)))</f>
        <v>12.249840000000001</v>
      </c>
      <c r="IC43" s="21">
        <f>IF(IC$1&lt;INDEX('Valo FX'!$Q:$Q,MATCH($A43,'Valo FX'!$A:$A,0)),0,IF(IC$1&lt;INDEX('Valo FX'!$R:$R,MATCH($A43,'Valo FX'!$A:$A,0)),INDEX(Base!$U:$U,MATCH($A43,Base!$A:$A,0)),IF(IC$1=INDEX('Valo FX'!$R:$R,MATCH($A43,'Valo FX'!$A:$A,0)),INDEX(Base!$V:$V,MATCH($A43,Base!$A:$A,0)),0)))</f>
        <v>12.249840000000001</v>
      </c>
      <c r="ID43" s="21">
        <f>IF(ID$1&lt;INDEX('Valo FX'!$Q:$Q,MATCH($A43,'Valo FX'!$A:$A,0)),0,IF(ID$1&lt;INDEX('Valo FX'!$R:$R,MATCH($A43,'Valo FX'!$A:$A,0)),INDEX(Base!$U:$U,MATCH($A43,Base!$A:$A,0)),IF(ID$1=INDEX('Valo FX'!$R:$R,MATCH($A43,'Valo FX'!$A:$A,0)),INDEX(Base!$V:$V,MATCH($A43,Base!$A:$A,0)),0)))</f>
        <v>12.249840000000001</v>
      </c>
      <c r="IE43" s="21">
        <f>IF(IE$1&lt;INDEX('Valo FX'!$Q:$Q,MATCH($A43,'Valo FX'!$A:$A,0)),0,IF(IE$1&lt;INDEX('Valo FX'!$R:$R,MATCH($A43,'Valo FX'!$A:$A,0)),INDEX(Base!$U:$U,MATCH($A43,Base!$A:$A,0)),IF(IE$1=INDEX('Valo FX'!$R:$R,MATCH($A43,'Valo FX'!$A:$A,0)),INDEX(Base!$V:$V,MATCH($A43,Base!$A:$A,0)),0)))</f>
        <v>12.249840000000001</v>
      </c>
      <c r="IF43" s="21">
        <f>IF(IF$1&lt;INDEX('Valo FX'!$Q:$Q,MATCH($A43,'Valo FX'!$A:$A,0)),0,IF(IF$1&lt;INDEX('Valo FX'!$R:$R,MATCH($A43,'Valo FX'!$A:$A,0)),INDEX(Base!$U:$U,MATCH($A43,Base!$A:$A,0)),IF(IF$1=INDEX('Valo FX'!$R:$R,MATCH($A43,'Valo FX'!$A:$A,0)),INDEX(Base!$V:$V,MATCH($A43,Base!$A:$A,0)),0)))</f>
        <v>12.249840000000001</v>
      </c>
      <c r="IG43" s="21">
        <f>IF(IG$1&lt;INDEX('Valo FX'!$Q:$Q,MATCH($A43,'Valo FX'!$A:$A,0)),0,IF(IG$1&lt;INDEX('Valo FX'!$R:$R,MATCH($A43,'Valo FX'!$A:$A,0)),INDEX(Base!$U:$U,MATCH($A43,Base!$A:$A,0)),IF(IG$1=INDEX('Valo FX'!$R:$R,MATCH($A43,'Valo FX'!$A:$A,0)),INDEX(Base!$V:$V,MATCH($A43,Base!$A:$A,0)),0)))</f>
        <v>12.249840000000001</v>
      </c>
      <c r="IH43" s="21">
        <f>IF(IH$1&lt;INDEX('Valo FX'!$Q:$Q,MATCH($A43,'Valo FX'!$A:$A,0)),0,IF(IH$1&lt;INDEX('Valo FX'!$R:$R,MATCH($A43,'Valo FX'!$A:$A,0)),INDEX(Base!$U:$U,MATCH($A43,Base!$A:$A,0)),IF(IH$1=INDEX('Valo FX'!$R:$R,MATCH($A43,'Valo FX'!$A:$A,0)),INDEX(Base!$V:$V,MATCH($A43,Base!$A:$A,0)),0)))</f>
        <v>12.249840000000001</v>
      </c>
      <c r="II43" s="21">
        <f>IF(II$1&lt;INDEX('Valo FX'!$Q:$Q,MATCH($A43,'Valo FX'!$A:$A,0)),0,IF(II$1&lt;INDEX('Valo FX'!$R:$R,MATCH($A43,'Valo FX'!$A:$A,0)),INDEX(Base!$U:$U,MATCH($A43,Base!$A:$A,0)),IF(II$1=INDEX('Valo FX'!$R:$R,MATCH($A43,'Valo FX'!$A:$A,0)),INDEX(Base!$V:$V,MATCH($A43,Base!$A:$A,0)),0)))</f>
        <v>12.249840000000001</v>
      </c>
      <c r="IJ43" s="21">
        <f>IF(IJ$1&lt;INDEX('Valo FX'!$Q:$Q,MATCH($A43,'Valo FX'!$A:$A,0)),0,IF(IJ$1&lt;INDEX('Valo FX'!$R:$R,MATCH($A43,'Valo FX'!$A:$A,0)),INDEX(Base!$U:$U,MATCH($A43,Base!$A:$A,0)),IF(IJ$1=INDEX('Valo FX'!$R:$R,MATCH($A43,'Valo FX'!$A:$A,0)),INDEX(Base!$V:$V,MATCH($A43,Base!$A:$A,0)),0)))</f>
        <v>12.249840000000001</v>
      </c>
      <c r="IK43" s="21">
        <f>IF(IK$1&lt;INDEX('Valo FX'!$Q:$Q,MATCH($A43,'Valo FX'!$A:$A,0)),0,IF(IK$1&lt;INDEX('Valo FX'!$R:$R,MATCH($A43,'Valo FX'!$A:$A,0)),INDEX(Base!$U:$U,MATCH($A43,Base!$A:$A,0)),IF(IK$1=INDEX('Valo FX'!$R:$R,MATCH($A43,'Valo FX'!$A:$A,0)),INDEX(Base!$V:$V,MATCH($A43,Base!$A:$A,0)),0)))</f>
        <v>12.249840000000001</v>
      </c>
      <c r="IL43" s="21">
        <f>IF(IL$1&lt;INDEX('Valo FX'!$Q:$Q,MATCH($A43,'Valo FX'!$A:$A,0)),0,IF(IL$1&lt;INDEX('Valo FX'!$R:$R,MATCH($A43,'Valo FX'!$A:$A,0)),INDEX(Base!$U:$U,MATCH($A43,Base!$A:$A,0)),IF(IL$1=INDEX('Valo FX'!$R:$R,MATCH($A43,'Valo FX'!$A:$A,0)),INDEX(Base!$V:$V,MATCH($A43,Base!$A:$A,0)),0)))</f>
        <v>12.249840000000001</v>
      </c>
      <c r="IM43" s="21">
        <f>IF(IM$1&lt;INDEX('Valo FX'!$Q:$Q,MATCH($A43,'Valo FX'!$A:$A,0)),0,IF(IM$1&lt;INDEX('Valo FX'!$R:$R,MATCH($A43,'Valo FX'!$A:$A,0)),INDEX(Base!$U:$U,MATCH($A43,Base!$A:$A,0)),IF(IM$1=INDEX('Valo FX'!$R:$R,MATCH($A43,'Valo FX'!$A:$A,0)),INDEX(Base!$V:$V,MATCH($A43,Base!$A:$A,0)),0)))</f>
        <v>12.249840000000001</v>
      </c>
      <c r="IN43" s="21">
        <f>IF(IN$1&lt;INDEX('Valo FX'!$Q:$Q,MATCH($A43,'Valo FX'!$A:$A,0)),0,IF(IN$1&lt;INDEX('Valo FX'!$R:$R,MATCH($A43,'Valo FX'!$A:$A,0)),INDEX(Base!$U:$U,MATCH($A43,Base!$A:$A,0)),IF(IN$1=INDEX('Valo FX'!$R:$R,MATCH($A43,'Valo FX'!$A:$A,0)),INDEX(Base!$V:$V,MATCH($A43,Base!$A:$A,0)),0)))</f>
        <v>12.249840000000001</v>
      </c>
      <c r="IO43" s="21">
        <f>IF(IO$1&lt;INDEX('Valo FX'!$Q:$Q,MATCH($A43,'Valo FX'!$A:$A,0)),0,IF(IO$1&lt;INDEX('Valo FX'!$R:$R,MATCH($A43,'Valo FX'!$A:$A,0)),INDEX(Base!$U:$U,MATCH($A43,Base!$A:$A,0)),IF(IO$1=INDEX('Valo FX'!$R:$R,MATCH($A43,'Valo FX'!$A:$A,0)),INDEX(Base!$V:$V,MATCH($A43,Base!$A:$A,0)),0)))</f>
        <v>12.249840000000001</v>
      </c>
      <c r="IP43" s="21">
        <f>IF(IP$1&lt;INDEX('Valo FX'!$Q:$Q,MATCH($A43,'Valo FX'!$A:$A,0)),0,IF(IP$1&lt;INDEX('Valo FX'!$R:$R,MATCH($A43,'Valo FX'!$A:$A,0)),INDEX(Base!$U:$U,MATCH($A43,Base!$A:$A,0)),IF(IP$1=INDEX('Valo FX'!$R:$R,MATCH($A43,'Valo FX'!$A:$A,0)),INDEX(Base!$V:$V,MATCH($A43,Base!$A:$A,0)),0)))</f>
        <v>12.249840000000001</v>
      </c>
      <c r="IQ43" s="21">
        <f>IF(IQ$1&lt;INDEX('Valo FX'!$Q:$Q,MATCH($A43,'Valo FX'!$A:$A,0)),0,IF(IQ$1&lt;INDEX('Valo FX'!$R:$R,MATCH($A43,'Valo FX'!$A:$A,0)),INDEX(Base!$U:$U,MATCH($A43,Base!$A:$A,0)),IF(IQ$1=INDEX('Valo FX'!$R:$R,MATCH($A43,'Valo FX'!$A:$A,0)),INDEX(Base!$V:$V,MATCH($A43,Base!$A:$A,0)),0)))</f>
        <v>12.249840000000001</v>
      </c>
      <c r="IR43" s="21">
        <f>IF(IR$1&lt;INDEX('Valo FX'!$Q:$Q,MATCH($A43,'Valo FX'!$A:$A,0)),0,IF(IR$1&lt;INDEX('Valo FX'!$R:$R,MATCH($A43,'Valo FX'!$A:$A,0)),INDEX(Base!$U:$U,MATCH($A43,Base!$A:$A,0)),IF(IR$1=INDEX('Valo FX'!$R:$R,MATCH($A43,'Valo FX'!$A:$A,0)),INDEX(Base!$V:$V,MATCH($A43,Base!$A:$A,0)),0)))</f>
        <v>12.249840000000001</v>
      </c>
      <c r="IS43" s="21">
        <f>IF(IS$1&lt;INDEX('Valo FX'!$Q:$Q,MATCH($A43,'Valo FX'!$A:$A,0)),0,IF(IS$1&lt;INDEX('Valo FX'!$R:$R,MATCH($A43,'Valo FX'!$A:$A,0)),INDEX(Base!$U:$U,MATCH($A43,Base!$A:$A,0)),IF(IS$1=INDEX('Valo FX'!$R:$R,MATCH($A43,'Valo FX'!$A:$A,0)),INDEX(Base!$V:$V,MATCH($A43,Base!$A:$A,0)),0)))</f>
        <v>12.249840000000001</v>
      </c>
      <c r="IT43" s="21">
        <f>IF(IT$1&lt;INDEX('Valo FX'!$Q:$Q,MATCH($A43,'Valo FX'!$A:$A,0)),0,IF(IT$1&lt;INDEX('Valo FX'!$R:$R,MATCH($A43,'Valo FX'!$A:$A,0)),INDEX(Base!$U:$U,MATCH($A43,Base!$A:$A,0)),IF(IT$1=INDEX('Valo FX'!$R:$R,MATCH($A43,'Valo FX'!$A:$A,0)),INDEX(Base!$V:$V,MATCH($A43,Base!$A:$A,0)),0)))</f>
        <v>12.249840000000001</v>
      </c>
      <c r="IU43" s="21">
        <f>IF(IU$1&lt;INDEX('Valo FX'!$Q:$Q,MATCH($A43,'Valo FX'!$A:$A,0)),0,IF(IU$1&lt;INDEX('Valo FX'!$R:$R,MATCH($A43,'Valo FX'!$A:$A,0)),INDEX(Base!$U:$U,MATCH($A43,Base!$A:$A,0)),IF(IU$1=INDEX('Valo FX'!$R:$R,MATCH($A43,'Valo FX'!$A:$A,0)),INDEX(Base!$V:$V,MATCH($A43,Base!$A:$A,0)),0)))</f>
        <v>12.249840000000001</v>
      </c>
      <c r="IV43" s="21">
        <f>IF(IV$1&lt;INDEX('Valo FX'!$Q:$Q,MATCH($A43,'Valo FX'!$A:$A,0)),0,IF(IV$1&lt;INDEX('Valo FX'!$R:$R,MATCH($A43,'Valo FX'!$A:$A,0)),INDEX(Base!$U:$U,MATCH($A43,Base!$A:$A,0)),IF(IV$1=INDEX('Valo FX'!$R:$R,MATCH($A43,'Valo FX'!$A:$A,0)),INDEX(Base!$V:$V,MATCH($A43,Base!$A:$A,0)),0)))</f>
        <v>12.249840000000001</v>
      </c>
      <c r="IW43" s="21">
        <f>IF(IW$1&lt;INDEX('Valo FX'!$Q:$Q,MATCH($A43,'Valo FX'!$A:$A,0)),0,IF(IW$1&lt;INDEX('Valo FX'!$R:$R,MATCH($A43,'Valo FX'!$A:$A,0)),INDEX(Base!$U:$U,MATCH($A43,Base!$A:$A,0)),IF(IW$1=INDEX('Valo FX'!$R:$R,MATCH($A43,'Valo FX'!$A:$A,0)),INDEX(Base!$V:$V,MATCH($A43,Base!$A:$A,0)),0)))</f>
        <v>12.249840000000001</v>
      </c>
      <c r="IX43" s="21">
        <f>IF(IX$1&lt;INDEX('Valo FX'!$Q:$Q,MATCH($A43,'Valo FX'!$A:$A,0)),0,IF(IX$1&lt;INDEX('Valo FX'!$R:$R,MATCH($A43,'Valo FX'!$A:$A,0)),INDEX(Base!$U:$U,MATCH($A43,Base!$A:$A,0)),IF(IX$1=INDEX('Valo FX'!$R:$R,MATCH($A43,'Valo FX'!$A:$A,0)),INDEX(Base!$V:$V,MATCH($A43,Base!$A:$A,0)),0)))</f>
        <v>12.249840000000001</v>
      </c>
      <c r="IY43" s="21">
        <f>IF(IY$1&lt;INDEX('Valo FX'!$Q:$Q,MATCH($A43,'Valo FX'!$A:$A,0)),0,IF(IY$1&lt;INDEX('Valo FX'!$R:$R,MATCH($A43,'Valo FX'!$A:$A,0)),INDEX(Base!$U:$U,MATCH($A43,Base!$A:$A,0)),IF(IY$1=INDEX('Valo FX'!$R:$R,MATCH($A43,'Valo FX'!$A:$A,0)),INDEX(Base!$V:$V,MATCH($A43,Base!$A:$A,0)),0)))</f>
        <v>12.249840000000001</v>
      </c>
      <c r="IZ43" s="21">
        <f>IF(IZ$1&lt;INDEX('Valo FX'!$Q:$Q,MATCH($A43,'Valo FX'!$A:$A,0)),0,IF(IZ$1&lt;INDEX('Valo FX'!$R:$R,MATCH($A43,'Valo FX'!$A:$A,0)),INDEX(Base!$U:$U,MATCH($A43,Base!$A:$A,0)),IF(IZ$1=INDEX('Valo FX'!$R:$R,MATCH($A43,'Valo FX'!$A:$A,0)),INDEX(Base!$V:$V,MATCH($A43,Base!$A:$A,0)),0)))</f>
        <v>12.249840000000001</v>
      </c>
      <c r="JA43" s="21">
        <f>IF(JA$1&lt;INDEX('Valo FX'!$Q:$Q,MATCH($A43,'Valo FX'!$A:$A,0)),0,IF(JA$1&lt;INDEX('Valo FX'!$R:$R,MATCH($A43,'Valo FX'!$A:$A,0)),INDEX(Base!$U:$U,MATCH($A43,Base!$A:$A,0)),IF(JA$1=INDEX('Valo FX'!$R:$R,MATCH($A43,'Valo FX'!$A:$A,0)),INDEX(Base!$V:$V,MATCH($A43,Base!$A:$A,0)),0)))</f>
        <v>12.249840000000001</v>
      </c>
      <c r="JB43" s="21">
        <f>IF(JB$1&lt;INDEX('Valo FX'!$Q:$Q,MATCH($A43,'Valo FX'!$A:$A,0)),0,IF(JB$1&lt;INDEX('Valo FX'!$R:$R,MATCH($A43,'Valo FX'!$A:$A,0)),INDEX(Base!$U:$U,MATCH($A43,Base!$A:$A,0)),IF(JB$1=INDEX('Valo FX'!$R:$R,MATCH($A43,'Valo FX'!$A:$A,0)),INDEX(Base!$V:$V,MATCH($A43,Base!$A:$A,0)),0)))</f>
        <v>12.249840000000001</v>
      </c>
      <c r="JC43" s="21">
        <f>IF(JC$1&lt;INDEX('Valo FX'!$Q:$Q,MATCH($A43,'Valo FX'!$A:$A,0)),0,IF(JC$1&lt;INDEX('Valo FX'!$R:$R,MATCH($A43,'Valo FX'!$A:$A,0)),INDEX(Base!$U:$U,MATCH($A43,Base!$A:$A,0)),IF(JC$1=INDEX('Valo FX'!$R:$R,MATCH($A43,'Valo FX'!$A:$A,0)),INDEX(Base!$V:$V,MATCH($A43,Base!$A:$A,0)),0)))</f>
        <v>12.249840000000001</v>
      </c>
      <c r="JD43" s="21">
        <f>IF(JD$1&lt;INDEX('Valo FX'!$Q:$Q,MATCH($A43,'Valo FX'!$A:$A,0)),0,IF(JD$1&lt;INDEX('Valo FX'!$R:$R,MATCH($A43,'Valo FX'!$A:$A,0)),INDEX(Base!$U:$U,MATCH($A43,Base!$A:$A,0)),IF(JD$1=INDEX('Valo FX'!$R:$R,MATCH($A43,'Valo FX'!$A:$A,0)),INDEX(Base!$V:$V,MATCH($A43,Base!$A:$A,0)),0)))</f>
        <v>12.249840000000001</v>
      </c>
      <c r="JE43" s="21">
        <f>IF(JE$1&lt;INDEX('Valo FX'!$Q:$Q,MATCH($A43,'Valo FX'!$A:$A,0)),0,IF(JE$1&lt;INDEX('Valo FX'!$R:$R,MATCH($A43,'Valo FX'!$A:$A,0)),INDEX(Base!$U:$U,MATCH($A43,Base!$A:$A,0)),IF(JE$1=INDEX('Valo FX'!$R:$R,MATCH($A43,'Valo FX'!$A:$A,0)),INDEX(Base!$V:$V,MATCH($A43,Base!$A:$A,0)),0)))</f>
        <v>12.249840000000001</v>
      </c>
      <c r="JF43" s="21">
        <f>IF(JF$1&lt;INDEX('Valo FX'!$Q:$Q,MATCH($A43,'Valo FX'!$A:$A,0)),0,IF(JF$1&lt;INDEX('Valo FX'!$R:$R,MATCH($A43,'Valo FX'!$A:$A,0)),INDEX(Base!$U:$U,MATCH($A43,Base!$A:$A,0)),IF(JF$1=INDEX('Valo FX'!$R:$R,MATCH($A43,'Valo FX'!$A:$A,0)),INDEX(Base!$V:$V,MATCH($A43,Base!$A:$A,0)),0)))</f>
        <v>12.249840000000001</v>
      </c>
      <c r="JG43" s="21">
        <f>IF(JG$1&lt;INDEX('Valo FX'!$Q:$Q,MATCH($A43,'Valo FX'!$A:$A,0)),0,IF(JG$1&lt;INDEX('Valo FX'!$R:$R,MATCH($A43,'Valo FX'!$A:$A,0)),INDEX(Base!$U:$U,MATCH($A43,Base!$A:$A,0)),IF(JG$1=INDEX('Valo FX'!$R:$R,MATCH($A43,'Valo FX'!$A:$A,0)),INDEX(Base!$V:$V,MATCH($A43,Base!$A:$A,0)),0)))</f>
        <v>12.249840000000001</v>
      </c>
      <c r="JH43" s="21">
        <f>IF(JH$1&lt;INDEX('Valo FX'!$Q:$Q,MATCH($A43,'Valo FX'!$A:$A,0)),0,IF(JH$1&lt;INDEX('Valo FX'!$R:$R,MATCH($A43,'Valo FX'!$A:$A,0)),INDEX(Base!$U:$U,MATCH($A43,Base!$A:$A,0)),IF(JH$1=INDEX('Valo FX'!$R:$R,MATCH($A43,'Valo FX'!$A:$A,0)),INDEX(Base!$V:$V,MATCH($A43,Base!$A:$A,0)),0)))</f>
        <v>12.249840000000001</v>
      </c>
      <c r="JI43" s="21">
        <f>IF(JI$1&lt;INDEX('Valo FX'!$Q:$Q,MATCH($A43,'Valo FX'!$A:$A,0)),0,IF(JI$1&lt;INDEX('Valo FX'!$R:$R,MATCH($A43,'Valo FX'!$A:$A,0)),INDEX(Base!$U:$U,MATCH($A43,Base!$A:$A,0)),IF(JI$1=INDEX('Valo FX'!$R:$R,MATCH($A43,'Valo FX'!$A:$A,0)),INDEX(Base!$V:$V,MATCH($A43,Base!$A:$A,0)),0)))</f>
        <v>12.249840000000001</v>
      </c>
      <c r="JJ43" s="21">
        <f>IF(JJ$1&lt;INDEX('Valo FX'!$Q:$Q,MATCH($A43,'Valo FX'!$A:$A,0)),0,IF(JJ$1&lt;INDEX('Valo FX'!$R:$R,MATCH($A43,'Valo FX'!$A:$A,0)),INDEX(Base!$U:$U,MATCH($A43,Base!$A:$A,0)),IF(JJ$1=INDEX('Valo FX'!$R:$R,MATCH($A43,'Valo FX'!$A:$A,0)),INDEX(Base!$V:$V,MATCH($A43,Base!$A:$A,0)),0)))</f>
        <v>12.249840000000001</v>
      </c>
      <c r="JK43" s="21">
        <f>IF(JK$1&lt;INDEX('Valo FX'!$Q:$Q,MATCH($A43,'Valo FX'!$A:$A,0)),0,IF(JK$1&lt;INDEX('Valo FX'!$R:$R,MATCH($A43,'Valo FX'!$A:$A,0)),INDEX(Base!$U:$U,MATCH($A43,Base!$A:$A,0)),IF(JK$1=INDEX('Valo FX'!$R:$R,MATCH($A43,'Valo FX'!$A:$A,0)),INDEX(Base!$V:$V,MATCH($A43,Base!$A:$A,0)),0)))</f>
        <v>12.249840000000001</v>
      </c>
      <c r="JL43" s="21">
        <f>IF(JL$1&lt;INDEX('Valo FX'!$Q:$Q,MATCH($A43,'Valo FX'!$A:$A,0)),0,IF(JL$1&lt;INDEX('Valo FX'!$R:$R,MATCH($A43,'Valo FX'!$A:$A,0)),INDEX(Base!$U:$U,MATCH($A43,Base!$A:$A,0)),IF(JL$1=INDEX('Valo FX'!$R:$R,MATCH($A43,'Valo FX'!$A:$A,0)),INDEX(Base!$V:$V,MATCH($A43,Base!$A:$A,0)),0)))</f>
        <v>12.249840000000001</v>
      </c>
      <c r="JM43" s="21">
        <f>IF(JM$1&lt;INDEX('Valo FX'!$Q:$Q,MATCH($A43,'Valo FX'!$A:$A,0)),0,IF(JM$1&lt;INDEX('Valo FX'!$R:$R,MATCH($A43,'Valo FX'!$A:$A,0)),INDEX(Base!$U:$U,MATCH($A43,Base!$A:$A,0)),IF(JM$1=INDEX('Valo FX'!$R:$R,MATCH($A43,'Valo FX'!$A:$A,0)),INDEX(Base!$V:$V,MATCH($A43,Base!$A:$A,0)),0)))</f>
        <v>12.249840000000001</v>
      </c>
      <c r="JN43" s="21">
        <f>IF(JN$1&lt;INDEX('Valo FX'!$Q:$Q,MATCH($A43,'Valo FX'!$A:$A,0)),0,IF(JN$1&lt;INDEX('Valo FX'!$R:$R,MATCH($A43,'Valo FX'!$A:$A,0)),INDEX(Base!$U:$U,MATCH($A43,Base!$A:$A,0)),IF(JN$1=INDEX('Valo FX'!$R:$R,MATCH($A43,'Valo FX'!$A:$A,0)),INDEX(Base!$V:$V,MATCH($A43,Base!$A:$A,0)),0)))</f>
        <v>12.249840000000001</v>
      </c>
      <c r="JO43" s="21">
        <f>IF(JO$1&lt;INDEX('Valo FX'!$Q:$Q,MATCH($A43,'Valo FX'!$A:$A,0)),0,IF(JO$1&lt;INDEX('Valo FX'!$R:$R,MATCH($A43,'Valo FX'!$A:$A,0)),INDEX(Base!$U:$U,MATCH($A43,Base!$A:$A,0)),IF(JO$1=INDEX('Valo FX'!$R:$R,MATCH($A43,'Valo FX'!$A:$A,0)),INDEX(Base!$V:$V,MATCH($A43,Base!$A:$A,0)),0)))</f>
        <v>12.249840000000001</v>
      </c>
      <c r="JP43" s="21">
        <f>IF(JP$1&lt;INDEX('Valo FX'!$Q:$Q,MATCH($A43,'Valo FX'!$A:$A,0)),0,IF(JP$1&lt;INDEX('Valo FX'!$R:$R,MATCH($A43,'Valo FX'!$A:$A,0)),INDEX(Base!$U:$U,MATCH($A43,Base!$A:$A,0)),IF(JP$1=INDEX('Valo FX'!$R:$R,MATCH($A43,'Valo FX'!$A:$A,0)),INDEX(Base!$V:$V,MATCH($A43,Base!$A:$A,0)),0)))</f>
        <v>12.249840000000001</v>
      </c>
      <c r="JQ43" s="21">
        <f>IF(JQ$1&lt;INDEX('Valo FX'!$Q:$Q,MATCH($A43,'Valo FX'!$A:$A,0)),0,IF(JQ$1&lt;INDEX('Valo FX'!$R:$R,MATCH($A43,'Valo FX'!$A:$A,0)),INDEX(Base!$U:$U,MATCH($A43,Base!$A:$A,0)),IF(JQ$1=INDEX('Valo FX'!$R:$R,MATCH($A43,'Valo FX'!$A:$A,0)),INDEX(Base!$V:$V,MATCH($A43,Base!$A:$A,0)),0)))</f>
        <v>12.249840000000001</v>
      </c>
      <c r="JR43" s="21">
        <f>IF(JR$1&lt;INDEX('Valo FX'!$Q:$Q,MATCH($A43,'Valo FX'!$A:$A,0)),0,IF(JR$1&lt;INDEX('Valo FX'!$R:$R,MATCH($A43,'Valo FX'!$A:$A,0)),INDEX(Base!$U:$U,MATCH($A43,Base!$A:$A,0)),IF(JR$1=INDEX('Valo FX'!$R:$R,MATCH($A43,'Valo FX'!$A:$A,0)),INDEX(Base!$V:$V,MATCH($A43,Base!$A:$A,0)),0)))</f>
        <v>12.249840000000001</v>
      </c>
      <c r="JS43" s="21">
        <f>IF(JS$1&lt;INDEX('Valo FX'!$Q:$Q,MATCH($A43,'Valo FX'!$A:$A,0)),0,IF(JS$1&lt;INDEX('Valo FX'!$R:$R,MATCH($A43,'Valo FX'!$A:$A,0)),INDEX(Base!$U:$U,MATCH($A43,Base!$A:$A,0)),IF(JS$1=INDEX('Valo FX'!$R:$R,MATCH($A43,'Valo FX'!$A:$A,0)),INDEX(Base!$V:$V,MATCH($A43,Base!$A:$A,0)),0)))</f>
        <v>12.249840000000001</v>
      </c>
      <c r="JT43" s="21">
        <f>IF(JT$1&lt;INDEX('Valo FX'!$Q:$Q,MATCH($A43,'Valo FX'!$A:$A,0)),0,IF(JT$1&lt;INDEX('Valo FX'!$R:$R,MATCH($A43,'Valo FX'!$A:$A,0)),INDEX(Base!$U:$U,MATCH($A43,Base!$A:$A,0)),IF(JT$1=INDEX('Valo FX'!$R:$R,MATCH($A43,'Valo FX'!$A:$A,0)),INDEX(Base!$V:$V,MATCH($A43,Base!$A:$A,0)),0)))</f>
        <v>12.249840000000001</v>
      </c>
      <c r="JU43" s="21">
        <f>IF(JU$1&lt;INDEX('Valo FX'!$Q:$Q,MATCH($A43,'Valo FX'!$A:$A,0)),0,IF(JU$1&lt;INDEX('Valo FX'!$R:$R,MATCH($A43,'Valo FX'!$A:$A,0)),INDEX(Base!$U:$U,MATCH($A43,Base!$A:$A,0)),IF(JU$1=INDEX('Valo FX'!$R:$R,MATCH($A43,'Valo FX'!$A:$A,0)),INDEX(Base!$V:$V,MATCH($A43,Base!$A:$A,0)),0)))</f>
        <v>12.249840000000001</v>
      </c>
      <c r="JV43" s="21">
        <f>IF(JV$1&lt;INDEX('Valo FX'!$Q:$Q,MATCH($A43,'Valo FX'!$A:$A,0)),0,IF(JV$1&lt;INDEX('Valo FX'!$R:$R,MATCH($A43,'Valo FX'!$A:$A,0)),INDEX(Base!$U:$U,MATCH($A43,Base!$A:$A,0)),IF(JV$1=INDEX('Valo FX'!$R:$R,MATCH($A43,'Valo FX'!$A:$A,0)),INDEX(Base!$V:$V,MATCH($A43,Base!$A:$A,0)),0)))</f>
        <v>12.249840000000001</v>
      </c>
      <c r="JW43" s="21">
        <f>IF(JW$1&lt;INDEX('Valo FX'!$Q:$Q,MATCH($A43,'Valo FX'!$A:$A,0)),0,IF(JW$1&lt;INDEX('Valo FX'!$R:$R,MATCH($A43,'Valo FX'!$A:$A,0)),INDEX(Base!$U:$U,MATCH($A43,Base!$A:$A,0)),IF(JW$1=INDEX('Valo FX'!$R:$R,MATCH($A43,'Valo FX'!$A:$A,0)),INDEX(Base!$V:$V,MATCH($A43,Base!$A:$A,0)),0)))</f>
        <v>12.249840000000001</v>
      </c>
      <c r="JX43" s="21">
        <f>IF(JX$1&lt;INDEX('Valo FX'!$Q:$Q,MATCH($A43,'Valo FX'!$A:$A,0)),0,IF(JX$1&lt;INDEX('Valo FX'!$R:$R,MATCH($A43,'Valo FX'!$A:$A,0)),INDEX(Base!$U:$U,MATCH($A43,Base!$A:$A,0)),IF(JX$1=INDEX('Valo FX'!$R:$R,MATCH($A43,'Valo FX'!$A:$A,0)),INDEX(Base!$V:$V,MATCH($A43,Base!$A:$A,0)),0)))</f>
        <v>12.249840000000001</v>
      </c>
      <c r="JY43" s="21">
        <f>IF(JY$1&lt;INDEX('Valo FX'!$Q:$Q,MATCH($A43,'Valo FX'!$A:$A,0)),0,IF(JY$1&lt;INDEX('Valo FX'!$R:$R,MATCH($A43,'Valo FX'!$A:$A,0)),INDEX(Base!$U:$U,MATCH($A43,Base!$A:$A,0)),IF(JY$1=INDEX('Valo FX'!$R:$R,MATCH($A43,'Valo FX'!$A:$A,0)),INDEX(Base!$V:$V,MATCH($A43,Base!$A:$A,0)),0)))</f>
        <v>12.249840000000001</v>
      </c>
      <c r="JZ43" s="21">
        <f>IF(JZ$1&lt;INDEX('Valo FX'!$Q:$Q,MATCH($A43,'Valo FX'!$A:$A,0)),0,IF(JZ$1&lt;INDEX('Valo FX'!$R:$R,MATCH($A43,'Valo FX'!$A:$A,0)),INDEX(Base!$U:$U,MATCH($A43,Base!$A:$A,0)),IF(JZ$1=INDEX('Valo FX'!$R:$R,MATCH($A43,'Valo FX'!$A:$A,0)),INDEX(Base!$V:$V,MATCH($A43,Base!$A:$A,0)),0)))</f>
        <v>12.249840000000001</v>
      </c>
      <c r="KA43" s="21">
        <f>IF(KA$1&lt;INDEX('Valo FX'!$Q:$Q,MATCH($A43,'Valo FX'!$A:$A,0)),0,IF(KA$1&lt;INDEX('Valo FX'!$R:$R,MATCH($A43,'Valo FX'!$A:$A,0)),INDEX(Base!$U:$U,MATCH($A43,Base!$A:$A,0)),IF(KA$1=INDEX('Valo FX'!$R:$R,MATCH($A43,'Valo FX'!$A:$A,0)),INDEX(Base!$V:$V,MATCH($A43,Base!$A:$A,0)),0)))</f>
        <v>12.249840000000001</v>
      </c>
      <c r="KB43" s="21">
        <f>IF(KB$1&lt;INDEX('Valo FX'!$Q:$Q,MATCH($A43,'Valo FX'!$A:$A,0)),0,IF(KB$1&lt;INDEX('Valo FX'!$R:$R,MATCH($A43,'Valo FX'!$A:$A,0)),INDEX(Base!$U:$U,MATCH($A43,Base!$A:$A,0)),IF(KB$1=INDEX('Valo FX'!$R:$R,MATCH($A43,'Valo FX'!$A:$A,0)),INDEX(Base!$V:$V,MATCH($A43,Base!$A:$A,0)),0)))</f>
        <v>12.249840000000001</v>
      </c>
      <c r="KC43" s="21">
        <f>IF(KC$1&lt;INDEX('Valo FX'!$Q:$Q,MATCH($A43,'Valo FX'!$A:$A,0)),0,IF(KC$1&lt;INDEX('Valo FX'!$R:$R,MATCH($A43,'Valo FX'!$A:$A,0)),INDEX(Base!$U:$U,MATCH($A43,Base!$A:$A,0)),IF(KC$1=INDEX('Valo FX'!$R:$R,MATCH($A43,'Valo FX'!$A:$A,0)),INDEX(Base!$V:$V,MATCH($A43,Base!$A:$A,0)),0)))</f>
        <v>12.249840000000001</v>
      </c>
      <c r="KD43" s="21">
        <f>IF(KD$1&lt;INDEX('Valo FX'!$Q:$Q,MATCH($A43,'Valo FX'!$A:$A,0)),0,IF(KD$1&lt;INDEX('Valo FX'!$R:$R,MATCH($A43,'Valo FX'!$A:$A,0)),INDEX(Base!$U:$U,MATCH($A43,Base!$A:$A,0)),IF(KD$1=INDEX('Valo FX'!$R:$R,MATCH($A43,'Valo FX'!$A:$A,0)),INDEX(Base!$V:$V,MATCH($A43,Base!$A:$A,0)),0)))</f>
        <v>12.249840000000001</v>
      </c>
      <c r="KE43" s="21">
        <f>IF(KE$1&lt;INDEX('Valo FX'!$Q:$Q,MATCH($A43,'Valo FX'!$A:$A,0)),0,IF(KE$1&lt;INDEX('Valo FX'!$R:$R,MATCH($A43,'Valo FX'!$A:$A,0)),INDEX(Base!$U:$U,MATCH($A43,Base!$A:$A,0)),IF(KE$1=INDEX('Valo FX'!$R:$R,MATCH($A43,'Valo FX'!$A:$A,0)),INDEX(Base!$V:$V,MATCH($A43,Base!$A:$A,0)),0)))</f>
        <v>12.249840000000001</v>
      </c>
      <c r="KF43" s="21">
        <f>IF(KF$1&lt;INDEX('Valo FX'!$Q:$Q,MATCH($A43,'Valo FX'!$A:$A,0)),0,IF(KF$1&lt;INDEX('Valo FX'!$R:$R,MATCH($A43,'Valo FX'!$A:$A,0)),INDEX(Base!$U:$U,MATCH($A43,Base!$A:$A,0)),IF(KF$1=INDEX('Valo FX'!$R:$R,MATCH($A43,'Valo FX'!$A:$A,0)),INDEX(Base!$V:$V,MATCH($A43,Base!$A:$A,0)),0)))</f>
        <v>12.249840000000001</v>
      </c>
      <c r="KG43" s="21">
        <f>IF(KG$1&lt;INDEX('Valo FX'!$Q:$Q,MATCH($A43,'Valo FX'!$A:$A,0)),0,IF(KG$1&lt;INDEX('Valo FX'!$R:$R,MATCH($A43,'Valo FX'!$A:$A,0)),INDEX(Base!$U:$U,MATCH($A43,Base!$A:$A,0)),IF(KG$1=INDEX('Valo FX'!$R:$R,MATCH($A43,'Valo FX'!$A:$A,0)),INDEX(Base!$V:$V,MATCH($A43,Base!$A:$A,0)),0)))</f>
        <v>12.249840000000001</v>
      </c>
      <c r="KH43" s="21">
        <f>IF(KH$1&lt;INDEX('Valo FX'!$Q:$Q,MATCH($A43,'Valo FX'!$A:$A,0)),0,IF(KH$1&lt;INDEX('Valo FX'!$R:$R,MATCH($A43,'Valo FX'!$A:$A,0)),INDEX(Base!$U:$U,MATCH($A43,Base!$A:$A,0)),IF(KH$1=INDEX('Valo FX'!$R:$R,MATCH($A43,'Valo FX'!$A:$A,0)),INDEX(Base!$V:$V,MATCH($A43,Base!$A:$A,0)),0)))</f>
        <v>12.249840000000001</v>
      </c>
      <c r="KI43" s="21">
        <f>IF(KI$1&lt;INDEX('Valo FX'!$Q:$Q,MATCH($A43,'Valo FX'!$A:$A,0)),0,IF(KI$1&lt;INDEX('Valo FX'!$R:$R,MATCH($A43,'Valo FX'!$A:$A,0)),INDEX(Base!$U:$U,MATCH($A43,Base!$A:$A,0)),IF(KI$1=INDEX('Valo FX'!$R:$R,MATCH($A43,'Valo FX'!$A:$A,0)),INDEX(Base!$V:$V,MATCH($A43,Base!$A:$A,0)),0)))</f>
        <v>12.249840000000001</v>
      </c>
      <c r="KJ43" s="21">
        <f>IF(KJ$1&lt;INDEX('Valo FX'!$Q:$Q,MATCH($A43,'Valo FX'!$A:$A,0)),0,IF(KJ$1&lt;INDEX('Valo FX'!$R:$R,MATCH($A43,'Valo FX'!$A:$A,0)),INDEX(Base!$U:$U,MATCH($A43,Base!$A:$A,0)),IF(KJ$1=INDEX('Valo FX'!$R:$R,MATCH($A43,'Valo FX'!$A:$A,0)),INDEX(Base!$V:$V,MATCH($A43,Base!$A:$A,0)),0)))</f>
        <v>12.249840000000001</v>
      </c>
      <c r="KK43" s="21">
        <f>IF(KK$1&lt;INDEX('Valo FX'!$Q:$Q,MATCH($A43,'Valo FX'!$A:$A,0)),0,IF(KK$1&lt;INDEX('Valo FX'!$R:$R,MATCH($A43,'Valo FX'!$A:$A,0)),INDEX(Base!$U:$U,MATCH($A43,Base!$A:$A,0)),IF(KK$1=INDEX('Valo FX'!$R:$R,MATCH($A43,'Valo FX'!$A:$A,0)),INDEX(Base!$V:$V,MATCH($A43,Base!$A:$A,0)),0)))</f>
        <v>12.249840000000001</v>
      </c>
      <c r="KL43" s="21">
        <f>IF(KL$1&lt;INDEX('Valo FX'!$Q:$Q,MATCH($A43,'Valo FX'!$A:$A,0)),0,IF(KL$1&lt;INDEX('Valo FX'!$R:$R,MATCH($A43,'Valo FX'!$A:$A,0)),INDEX(Base!$U:$U,MATCH($A43,Base!$A:$A,0)),IF(KL$1=INDEX('Valo FX'!$R:$R,MATCH($A43,'Valo FX'!$A:$A,0)),INDEX(Base!$V:$V,MATCH($A43,Base!$A:$A,0)),0)))</f>
        <v>12.249840000000001</v>
      </c>
      <c r="KM43" s="21">
        <f>IF(KM$1&lt;INDEX('Valo FX'!$Q:$Q,MATCH($A43,'Valo FX'!$A:$A,0)),0,IF(KM$1&lt;INDEX('Valo FX'!$R:$R,MATCH($A43,'Valo FX'!$A:$A,0)),INDEX(Base!$U:$U,MATCH($A43,Base!$A:$A,0)),IF(KM$1=INDEX('Valo FX'!$R:$R,MATCH($A43,'Valo FX'!$A:$A,0)),INDEX(Base!$V:$V,MATCH($A43,Base!$A:$A,0)),0)))</f>
        <v>12.249840000000001</v>
      </c>
      <c r="KN43" s="21">
        <f>IF(KN$1&lt;INDEX('Valo FX'!$Q:$Q,MATCH($A43,'Valo FX'!$A:$A,0)),0,IF(KN$1&lt;INDEX('Valo FX'!$R:$R,MATCH($A43,'Valo FX'!$A:$A,0)),INDEX(Base!$U:$U,MATCH($A43,Base!$A:$A,0)),IF(KN$1=INDEX('Valo FX'!$R:$R,MATCH($A43,'Valo FX'!$A:$A,0)),INDEX(Base!$V:$V,MATCH($A43,Base!$A:$A,0)),0)))</f>
        <v>12.249840000000001</v>
      </c>
      <c r="KO43" s="21">
        <f>IF(KO$1&lt;INDEX('Valo FX'!$Q:$Q,MATCH($A43,'Valo FX'!$A:$A,0)),0,IF(KO$1&lt;INDEX('Valo FX'!$R:$R,MATCH($A43,'Valo FX'!$A:$A,0)),INDEX(Base!$U:$U,MATCH($A43,Base!$A:$A,0)),IF(KO$1=INDEX('Valo FX'!$R:$R,MATCH($A43,'Valo FX'!$A:$A,0)),INDEX(Base!$V:$V,MATCH($A43,Base!$A:$A,0)),0)))</f>
        <v>12.249840000000001</v>
      </c>
      <c r="KP43" s="21">
        <f>IF(KP$1&lt;INDEX('Valo FX'!$Q:$Q,MATCH($A43,'Valo FX'!$A:$A,0)),0,IF(KP$1&lt;INDEX('Valo FX'!$R:$R,MATCH($A43,'Valo FX'!$A:$A,0)),INDEX(Base!$U:$U,MATCH($A43,Base!$A:$A,0)),IF(KP$1=INDEX('Valo FX'!$R:$R,MATCH($A43,'Valo FX'!$A:$A,0)),INDEX(Base!$V:$V,MATCH($A43,Base!$A:$A,0)),0)))</f>
        <v>12.249840000000001</v>
      </c>
      <c r="KQ43" s="21">
        <f>IF(KQ$1&lt;INDEX('Valo FX'!$Q:$Q,MATCH($A43,'Valo FX'!$A:$A,0)),0,IF(KQ$1&lt;INDEX('Valo FX'!$R:$R,MATCH($A43,'Valo FX'!$A:$A,0)),INDEX(Base!$U:$U,MATCH($A43,Base!$A:$A,0)),IF(KQ$1=INDEX('Valo FX'!$R:$R,MATCH($A43,'Valo FX'!$A:$A,0)),INDEX(Base!$V:$V,MATCH($A43,Base!$A:$A,0)),0)))</f>
        <v>12.249840000000001</v>
      </c>
      <c r="KR43" s="21">
        <f>IF(KR$1&lt;INDEX('Valo FX'!$Q:$Q,MATCH($A43,'Valo FX'!$A:$A,0)),0,IF(KR$1&lt;INDEX('Valo FX'!$R:$R,MATCH($A43,'Valo FX'!$A:$A,0)),INDEX(Base!$U:$U,MATCH($A43,Base!$A:$A,0)),IF(KR$1=INDEX('Valo FX'!$R:$R,MATCH($A43,'Valo FX'!$A:$A,0)),INDEX(Base!$V:$V,MATCH($A43,Base!$A:$A,0)),0)))</f>
        <v>12.249840000000001</v>
      </c>
      <c r="KS43" s="21">
        <f>IF(KS$1&lt;INDEX('Valo FX'!$Q:$Q,MATCH($A43,'Valo FX'!$A:$A,0)),0,IF(KS$1&lt;INDEX('Valo FX'!$R:$R,MATCH($A43,'Valo FX'!$A:$A,0)),INDEX(Base!$U:$U,MATCH($A43,Base!$A:$A,0)),IF(KS$1=INDEX('Valo FX'!$R:$R,MATCH($A43,'Valo FX'!$A:$A,0)),INDEX(Base!$V:$V,MATCH($A43,Base!$A:$A,0)),0)))</f>
        <v>12.249840000000001</v>
      </c>
      <c r="KT43" s="21">
        <f>IF(KT$1&lt;INDEX('Valo FX'!$Q:$Q,MATCH($A43,'Valo FX'!$A:$A,0)),0,IF(KT$1&lt;INDEX('Valo FX'!$R:$R,MATCH($A43,'Valo FX'!$A:$A,0)),INDEX(Base!$U:$U,MATCH($A43,Base!$A:$A,0)),IF(KT$1=INDEX('Valo FX'!$R:$R,MATCH($A43,'Valo FX'!$A:$A,0)),INDEX(Base!$V:$V,MATCH($A43,Base!$A:$A,0)),0)))</f>
        <v>12.249840000000001</v>
      </c>
      <c r="KU43" s="21">
        <f>IF(KU$1&lt;INDEX('Valo FX'!$Q:$Q,MATCH($A43,'Valo FX'!$A:$A,0)),0,IF(KU$1&lt;INDEX('Valo FX'!$R:$R,MATCH($A43,'Valo FX'!$A:$A,0)),INDEX(Base!$U:$U,MATCH($A43,Base!$A:$A,0)),IF(KU$1=INDEX('Valo FX'!$R:$R,MATCH($A43,'Valo FX'!$A:$A,0)),INDEX(Base!$V:$V,MATCH($A43,Base!$A:$A,0)),0)))</f>
        <v>12.249840000000001</v>
      </c>
      <c r="KV43" s="21">
        <f>IF(KV$1&lt;INDEX('Valo FX'!$Q:$Q,MATCH($A43,'Valo FX'!$A:$A,0)),0,IF(KV$1&lt;INDEX('Valo FX'!$R:$R,MATCH($A43,'Valo FX'!$A:$A,0)),INDEX(Base!$U:$U,MATCH($A43,Base!$A:$A,0)),IF(KV$1=INDEX('Valo FX'!$R:$R,MATCH($A43,'Valo FX'!$A:$A,0)),INDEX(Base!$V:$V,MATCH($A43,Base!$A:$A,0)),0)))</f>
        <v>12.249840000000001</v>
      </c>
      <c r="KW43" s="21">
        <f>IF(KW$1&lt;INDEX('Valo FX'!$Q:$Q,MATCH($A43,'Valo FX'!$A:$A,0)),0,IF(KW$1&lt;INDEX('Valo FX'!$R:$R,MATCH($A43,'Valo FX'!$A:$A,0)),INDEX(Base!$U:$U,MATCH($A43,Base!$A:$A,0)),IF(KW$1=INDEX('Valo FX'!$R:$R,MATCH($A43,'Valo FX'!$A:$A,0)),INDEX(Base!$V:$V,MATCH($A43,Base!$A:$A,0)),0)))</f>
        <v>12.249840000000001</v>
      </c>
      <c r="KX43" s="21">
        <f>IF(KX$1&lt;INDEX('Valo FX'!$Q:$Q,MATCH($A43,'Valo FX'!$A:$A,0)),0,IF(KX$1&lt;INDEX('Valo FX'!$R:$R,MATCH($A43,'Valo FX'!$A:$A,0)),INDEX(Base!$U:$U,MATCH($A43,Base!$A:$A,0)),IF(KX$1=INDEX('Valo FX'!$R:$R,MATCH($A43,'Valo FX'!$A:$A,0)),INDEX(Base!$V:$V,MATCH($A43,Base!$A:$A,0)),0)))</f>
        <v>12.249840000000001</v>
      </c>
      <c r="KY43" s="21">
        <f>IF(KY$1&lt;INDEX('Valo FX'!$Q:$Q,MATCH($A43,'Valo FX'!$A:$A,0)),0,IF(KY$1&lt;INDEX('Valo FX'!$R:$R,MATCH($A43,'Valo FX'!$A:$A,0)),INDEX(Base!$U:$U,MATCH($A43,Base!$A:$A,0)),IF(KY$1=INDEX('Valo FX'!$R:$R,MATCH($A43,'Valo FX'!$A:$A,0)),INDEX(Base!$V:$V,MATCH($A43,Base!$A:$A,0)),0)))</f>
        <v>12.249840000000001</v>
      </c>
      <c r="KZ43" s="21">
        <f>IF(KZ$1&lt;INDEX('Valo FX'!$Q:$Q,MATCH($A43,'Valo FX'!$A:$A,0)),0,IF(KZ$1&lt;INDEX('Valo FX'!$R:$R,MATCH($A43,'Valo FX'!$A:$A,0)),INDEX(Base!$U:$U,MATCH($A43,Base!$A:$A,0)),IF(KZ$1=INDEX('Valo FX'!$R:$R,MATCH($A43,'Valo FX'!$A:$A,0)),INDEX(Base!$V:$V,MATCH($A43,Base!$A:$A,0)),0)))</f>
        <v>12.249840000000001</v>
      </c>
      <c r="LA43" s="21">
        <f>IF(LA$1&lt;INDEX('Valo FX'!$Q:$Q,MATCH($A43,'Valo FX'!$A:$A,0)),0,IF(LA$1&lt;INDEX('Valo FX'!$R:$R,MATCH($A43,'Valo FX'!$A:$A,0)),INDEX(Base!$U:$U,MATCH($A43,Base!$A:$A,0)),IF(LA$1=INDEX('Valo FX'!$R:$R,MATCH($A43,'Valo FX'!$A:$A,0)),INDEX(Base!$V:$V,MATCH($A43,Base!$A:$A,0)),0)))</f>
        <v>12.249840000000001</v>
      </c>
      <c r="LB43" s="21">
        <f>IF(LB$1&lt;INDEX('Valo FX'!$Q:$Q,MATCH($A43,'Valo FX'!$A:$A,0)),0,IF(LB$1&lt;INDEX('Valo FX'!$R:$R,MATCH($A43,'Valo FX'!$A:$A,0)),INDEX(Base!$U:$U,MATCH($A43,Base!$A:$A,0)),IF(LB$1=INDEX('Valo FX'!$R:$R,MATCH($A43,'Valo FX'!$A:$A,0)),INDEX(Base!$V:$V,MATCH($A43,Base!$A:$A,0)),0)))</f>
        <v>12.249840000000001</v>
      </c>
      <c r="LC43" s="21">
        <f>IF(LC$1&lt;INDEX('Valo FX'!$Q:$Q,MATCH($A43,'Valo FX'!$A:$A,0)),0,IF(LC$1&lt;INDEX('Valo FX'!$R:$R,MATCH($A43,'Valo FX'!$A:$A,0)),INDEX(Base!$U:$U,MATCH($A43,Base!$A:$A,0)),IF(LC$1=INDEX('Valo FX'!$R:$R,MATCH($A43,'Valo FX'!$A:$A,0)),INDEX(Base!$V:$V,MATCH($A43,Base!$A:$A,0)),0)))</f>
        <v>12.249840000000001</v>
      </c>
      <c r="LD43" s="21">
        <f>IF(LD$1&lt;INDEX('Valo FX'!$Q:$Q,MATCH($A43,'Valo FX'!$A:$A,0)),0,IF(LD$1&lt;INDEX('Valo FX'!$R:$R,MATCH($A43,'Valo FX'!$A:$A,0)),INDEX(Base!$U:$U,MATCH($A43,Base!$A:$A,0)),IF(LD$1=INDEX('Valo FX'!$R:$R,MATCH($A43,'Valo FX'!$A:$A,0)),INDEX(Base!$V:$V,MATCH($A43,Base!$A:$A,0)),0)))</f>
        <v>12.249840000000001</v>
      </c>
      <c r="LE43" s="21">
        <f>IF(LE$1&lt;INDEX('Valo FX'!$Q:$Q,MATCH($A43,'Valo FX'!$A:$A,0)),0,IF(LE$1&lt;INDEX('Valo FX'!$R:$R,MATCH($A43,'Valo FX'!$A:$A,0)),INDEX(Base!$U:$U,MATCH($A43,Base!$A:$A,0)),IF(LE$1=INDEX('Valo FX'!$R:$R,MATCH($A43,'Valo FX'!$A:$A,0)),INDEX(Base!$V:$V,MATCH($A43,Base!$A:$A,0)),0)))</f>
        <v>12.249840000000001</v>
      </c>
      <c r="LF43" s="21">
        <f>IF(LF$1&lt;INDEX('Valo FX'!$Q:$Q,MATCH($A43,'Valo FX'!$A:$A,0)),0,IF(LF$1&lt;INDEX('Valo FX'!$R:$R,MATCH($A43,'Valo FX'!$A:$A,0)),INDEX(Base!$U:$U,MATCH($A43,Base!$A:$A,0)),IF(LF$1=INDEX('Valo FX'!$R:$R,MATCH($A43,'Valo FX'!$A:$A,0)),INDEX(Base!$V:$V,MATCH($A43,Base!$A:$A,0)),0)))</f>
        <v>12.249840000000001</v>
      </c>
      <c r="LG43" s="21">
        <f>IF(LG$1&lt;INDEX('Valo FX'!$Q:$Q,MATCH($A43,'Valo FX'!$A:$A,0)),0,IF(LG$1&lt;INDEX('Valo FX'!$R:$R,MATCH($A43,'Valo FX'!$A:$A,0)),INDEX(Base!$U:$U,MATCH($A43,Base!$A:$A,0)),IF(LG$1=INDEX('Valo FX'!$R:$R,MATCH($A43,'Valo FX'!$A:$A,0)),INDEX(Base!$V:$V,MATCH($A43,Base!$A:$A,0)),0)))</f>
        <v>12.249840000000001</v>
      </c>
      <c r="LH43" s="21">
        <f>IF(LH$1&lt;INDEX('Valo FX'!$Q:$Q,MATCH($A43,'Valo FX'!$A:$A,0)),0,IF(LH$1&lt;INDEX('Valo FX'!$R:$R,MATCH($A43,'Valo FX'!$A:$A,0)),INDEX(Base!$U:$U,MATCH($A43,Base!$A:$A,0)),IF(LH$1=INDEX('Valo FX'!$R:$R,MATCH($A43,'Valo FX'!$A:$A,0)),INDEX(Base!$V:$V,MATCH($A43,Base!$A:$A,0)),0)))</f>
        <v>12.249840000000001</v>
      </c>
      <c r="LI43" s="21">
        <f>IF(LI$1&lt;INDEX('Valo FX'!$Q:$Q,MATCH($A43,'Valo FX'!$A:$A,0)),0,IF(LI$1&lt;INDEX('Valo FX'!$R:$R,MATCH($A43,'Valo FX'!$A:$A,0)),INDEX(Base!$U:$U,MATCH($A43,Base!$A:$A,0)),IF(LI$1=INDEX('Valo FX'!$R:$R,MATCH($A43,'Valo FX'!$A:$A,0)),INDEX(Base!$V:$V,MATCH($A43,Base!$A:$A,0)),0)))</f>
        <v>12.249840000000001</v>
      </c>
      <c r="LJ43" s="21">
        <f>IF(LJ$1&lt;INDEX('Valo FX'!$Q:$Q,MATCH($A43,'Valo FX'!$A:$A,0)),0,IF(LJ$1&lt;INDEX('Valo FX'!$R:$R,MATCH($A43,'Valo FX'!$A:$A,0)),INDEX(Base!$U:$U,MATCH($A43,Base!$A:$A,0)),IF(LJ$1=INDEX('Valo FX'!$R:$R,MATCH($A43,'Valo FX'!$A:$A,0)),INDEX(Base!$V:$V,MATCH($A43,Base!$A:$A,0)),0)))</f>
        <v>12.249840000000001</v>
      </c>
      <c r="LK43" s="21">
        <f>IF(LK$1&lt;INDEX('Valo FX'!$Q:$Q,MATCH($A43,'Valo FX'!$A:$A,0)),0,IF(LK$1&lt;INDEX('Valo FX'!$R:$R,MATCH($A43,'Valo FX'!$A:$A,0)),INDEX(Base!$U:$U,MATCH($A43,Base!$A:$A,0)),IF(LK$1=INDEX('Valo FX'!$R:$R,MATCH($A43,'Valo FX'!$A:$A,0)),INDEX(Base!$V:$V,MATCH($A43,Base!$A:$A,0)),0)))</f>
        <v>12.249840000000001</v>
      </c>
      <c r="LL43" s="21">
        <f>IF(LL$1&lt;INDEX('Valo FX'!$Q:$Q,MATCH($A43,'Valo FX'!$A:$A,0)),0,IF(LL$1&lt;INDEX('Valo FX'!$R:$R,MATCH($A43,'Valo FX'!$A:$A,0)),INDEX(Base!$U:$U,MATCH($A43,Base!$A:$A,0)),IF(LL$1=INDEX('Valo FX'!$R:$R,MATCH($A43,'Valo FX'!$A:$A,0)),INDEX(Base!$V:$V,MATCH($A43,Base!$A:$A,0)),0)))</f>
        <v>12.249840000000001</v>
      </c>
      <c r="LM43" s="21">
        <f>IF(LM$1&lt;INDEX('Valo FX'!$Q:$Q,MATCH($A43,'Valo FX'!$A:$A,0)),0,IF(LM$1&lt;INDEX('Valo FX'!$R:$R,MATCH($A43,'Valo FX'!$A:$A,0)),INDEX(Base!$U:$U,MATCH($A43,Base!$A:$A,0)),IF(LM$1=INDEX('Valo FX'!$R:$R,MATCH($A43,'Valo FX'!$A:$A,0)),INDEX(Base!$V:$V,MATCH($A43,Base!$A:$A,0)),0)))</f>
        <v>12.249840000000001</v>
      </c>
      <c r="LN43" s="21">
        <f>IF(LN$1&lt;INDEX('Valo FX'!$Q:$Q,MATCH($A43,'Valo FX'!$A:$A,0)),0,IF(LN$1&lt;INDEX('Valo FX'!$R:$R,MATCH($A43,'Valo FX'!$A:$A,0)),INDEX(Base!$U:$U,MATCH($A43,Base!$A:$A,0)),IF(LN$1=INDEX('Valo FX'!$R:$R,MATCH($A43,'Valo FX'!$A:$A,0)),INDEX(Base!$V:$V,MATCH($A43,Base!$A:$A,0)),0)))</f>
        <v>12.249840000000001</v>
      </c>
      <c r="LO43" s="21">
        <f>IF(LO$1&lt;INDEX('Valo FX'!$Q:$Q,MATCH($A43,'Valo FX'!$A:$A,0)),0,IF(LO$1&lt;INDEX('Valo FX'!$R:$R,MATCH($A43,'Valo FX'!$A:$A,0)),INDEX(Base!$U:$U,MATCH($A43,Base!$A:$A,0)),IF(LO$1=INDEX('Valo FX'!$R:$R,MATCH($A43,'Valo FX'!$A:$A,0)),INDEX(Base!$V:$V,MATCH($A43,Base!$A:$A,0)),0)))</f>
        <v>12.249840000000001</v>
      </c>
      <c r="LP43" s="21">
        <f>IF(LP$1&lt;INDEX('Valo FX'!$Q:$Q,MATCH($A43,'Valo FX'!$A:$A,0)),0,IF(LP$1&lt;INDEX('Valo FX'!$R:$R,MATCH($A43,'Valo FX'!$A:$A,0)),INDEX(Base!$U:$U,MATCH($A43,Base!$A:$A,0)),IF(LP$1=INDEX('Valo FX'!$R:$R,MATCH($A43,'Valo FX'!$A:$A,0)),INDEX(Base!$V:$V,MATCH($A43,Base!$A:$A,0)),0)))</f>
        <v>12.249840000000001</v>
      </c>
      <c r="LQ43" s="21">
        <f>IF(LQ$1&lt;INDEX('Valo FX'!$Q:$Q,MATCH($A43,'Valo FX'!$A:$A,0)),0,IF(LQ$1&lt;INDEX('Valo FX'!$R:$R,MATCH($A43,'Valo FX'!$A:$A,0)),INDEX(Base!$U:$U,MATCH($A43,Base!$A:$A,0)),IF(LQ$1=INDEX('Valo FX'!$R:$R,MATCH($A43,'Valo FX'!$A:$A,0)),INDEX(Base!$V:$V,MATCH($A43,Base!$A:$A,0)),0)))</f>
        <v>12.249840000000001</v>
      </c>
      <c r="LR43" s="21">
        <f>IF(LR$1&lt;INDEX('Valo FX'!$Q:$Q,MATCH($A43,'Valo FX'!$A:$A,0)),0,IF(LR$1&lt;INDEX('Valo FX'!$R:$R,MATCH($A43,'Valo FX'!$A:$A,0)),INDEX(Base!$U:$U,MATCH($A43,Base!$A:$A,0)),IF(LR$1=INDEX('Valo FX'!$R:$R,MATCH($A43,'Valo FX'!$A:$A,0)),INDEX(Base!$V:$V,MATCH($A43,Base!$A:$A,0)),0)))</f>
        <v>12.249840000000001</v>
      </c>
      <c r="LS43" s="21">
        <f>IF(LS$1&lt;INDEX('Valo FX'!$Q:$Q,MATCH($A43,'Valo FX'!$A:$A,0)),0,IF(LS$1&lt;INDEX('Valo FX'!$R:$R,MATCH($A43,'Valo FX'!$A:$A,0)),INDEX(Base!$U:$U,MATCH($A43,Base!$A:$A,0)),IF(LS$1=INDEX('Valo FX'!$R:$R,MATCH($A43,'Valo FX'!$A:$A,0)),INDEX(Base!$V:$V,MATCH($A43,Base!$A:$A,0)),0)))</f>
        <v>12.249840000000001</v>
      </c>
      <c r="LT43" s="21">
        <f>IF(LT$1&lt;INDEX('Valo FX'!$Q:$Q,MATCH($A43,'Valo FX'!$A:$A,0)),0,IF(LT$1&lt;INDEX('Valo FX'!$R:$R,MATCH($A43,'Valo FX'!$A:$A,0)),INDEX(Base!$U:$U,MATCH($A43,Base!$A:$A,0)),IF(LT$1=INDEX('Valo FX'!$R:$R,MATCH($A43,'Valo FX'!$A:$A,0)),INDEX(Base!$V:$V,MATCH($A43,Base!$A:$A,0)),0)))</f>
        <v>12.249840000000001</v>
      </c>
      <c r="LU43" s="21">
        <f>IF(LU$1&lt;INDEX('Valo FX'!$Q:$Q,MATCH($A43,'Valo FX'!$A:$A,0)),0,IF(LU$1&lt;INDEX('Valo FX'!$R:$R,MATCH($A43,'Valo FX'!$A:$A,0)),INDEX(Base!$U:$U,MATCH($A43,Base!$A:$A,0)),IF(LU$1=INDEX('Valo FX'!$R:$R,MATCH($A43,'Valo FX'!$A:$A,0)),INDEX(Base!$V:$V,MATCH($A43,Base!$A:$A,0)),0)))</f>
        <v>12.249840000000001</v>
      </c>
      <c r="LV43" s="21">
        <f>IF(LV$1&lt;INDEX('Valo FX'!$Q:$Q,MATCH($A43,'Valo FX'!$A:$A,0)),0,IF(LV$1&lt;INDEX('Valo FX'!$R:$R,MATCH($A43,'Valo FX'!$A:$A,0)),INDEX(Base!$U:$U,MATCH($A43,Base!$A:$A,0)),IF(LV$1=INDEX('Valo FX'!$R:$R,MATCH($A43,'Valo FX'!$A:$A,0)),INDEX(Base!$V:$V,MATCH($A43,Base!$A:$A,0)),0)))</f>
        <v>12.249840000000001</v>
      </c>
      <c r="LW43" s="21">
        <f>IF(LW$1&lt;INDEX('Valo FX'!$Q:$Q,MATCH($A43,'Valo FX'!$A:$A,0)),0,IF(LW$1&lt;INDEX('Valo FX'!$R:$R,MATCH($A43,'Valo FX'!$A:$A,0)),INDEX(Base!$U:$U,MATCH($A43,Base!$A:$A,0)),IF(LW$1=INDEX('Valo FX'!$R:$R,MATCH($A43,'Valo FX'!$A:$A,0)),INDEX(Base!$V:$V,MATCH($A43,Base!$A:$A,0)),0)))</f>
        <v>12.249840000000001</v>
      </c>
      <c r="LX43" s="21">
        <f>IF(LX$1&lt;INDEX('Valo FX'!$Q:$Q,MATCH($A43,'Valo FX'!$A:$A,0)),0,IF(LX$1&lt;INDEX('Valo FX'!$R:$R,MATCH($A43,'Valo FX'!$A:$A,0)),INDEX(Base!$U:$U,MATCH($A43,Base!$A:$A,0)),IF(LX$1=INDEX('Valo FX'!$R:$R,MATCH($A43,'Valo FX'!$A:$A,0)),INDEX(Base!$V:$V,MATCH($A43,Base!$A:$A,0)),0)))</f>
        <v>12.249840000000001</v>
      </c>
      <c r="LY43" s="21">
        <f>IF(LY$1&lt;INDEX('Valo FX'!$Q:$Q,MATCH($A43,'Valo FX'!$A:$A,0)),0,IF(LY$1&lt;INDEX('Valo FX'!$R:$R,MATCH($A43,'Valo FX'!$A:$A,0)),INDEX(Base!$U:$U,MATCH($A43,Base!$A:$A,0)),IF(LY$1=INDEX('Valo FX'!$R:$R,MATCH($A43,'Valo FX'!$A:$A,0)),INDEX(Base!$V:$V,MATCH($A43,Base!$A:$A,0)),0)))</f>
        <v>12.249840000000001</v>
      </c>
      <c r="LZ43" s="21">
        <f>IF(LZ$1&lt;INDEX('Valo FX'!$Q:$Q,MATCH($A43,'Valo FX'!$A:$A,0)),0,IF(LZ$1&lt;INDEX('Valo FX'!$R:$R,MATCH($A43,'Valo FX'!$A:$A,0)),INDEX(Base!$U:$U,MATCH($A43,Base!$A:$A,0)),IF(LZ$1=INDEX('Valo FX'!$R:$R,MATCH($A43,'Valo FX'!$A:$A,0)),INDEX(Base!$V:$V,MATCH($A43,Base!$A:$A,0)),0)))</f>
        <v>12.249840000000001</v>
      </c>
      <c r="MA43" s="21">
        <f>IF(MA$1&lt;INDEX('Valo FX'!$Q:$Q,MATCH($A43,'Valo FX'!$A:$A,0)),0,IF(MA$1&lt;INDEX('Valo FX'!$R:$R,MATCH($A43,'Valo FX'!$A:$A,0)),INDEX(Base!$U:$U,MATCH($A43,Base!$A:$A,0)),IF(MA$1=INDEX('Valo FX'!$R:$R,MATCH($A43,'Valo FX'!$A:$A,0)),INDEX(Base!$V:$V,MATCH($A43,Base!$A:$A,0)),0)))</f>
        <v>12.249840000000001</v>
      </c>
      <c r="MB43" s="21">
        <f>IF(MB$1&lt;INDEX('Valo FX'!$Q:$Q,MATCH($A43,'Valo FX'!$A:$A,0)),0,IF(MB$1&lt;INDEX('Valo FX'!$R:$R,MATCH($A43,'Valo FX'!$A:$A,0)),INDEX(Base!$U:$U,MATCH($A43,Base!$A:$A,0)),IF(MB$1=INDEX('Valo FX'!$R:$R,MATCH($A43,'Valo FX'!$A:$A,0)),INDEX(Base!$V:$V,MATCH($A43,Base!$A:$A,0)),0)))</f>
        <v>12.249840000000001</v>
      </c>
      <c r="MC43" s="21">
        <f>IF(MC$1&lt;INDEX('Valo FX'!$Q:$Q,MATCH($A43,'Valo FX'!$A:$A,0)),0,IF(MC$1&lt;INDEX('Valo FX'!$R:$R,MATCH($A43,'Valo FX'!$A:$A,0)),INDEX(Base!$U:$U,MATCH($A43,Base!$A:$A,0)),IF(MC$1=INDEX('Valo FX'!$R:$R,MATCH($A43,'Valo FX'!$A:$A,0)),INDEX(Base!$V:$V,MATCH($A43,Base!$A:$A,0)),0)))</f>
        <v>12.249840000000001</v>
      </c>
      <c r="MD43" s="21">
        <f>IF(MD$1&lt;INDEX('Valo FX'!$Q:$Q,MATCH($A43,'Valo FX'!$A:$A,0)),0,IF(MD$1&lt;INDEX('Valo FX'!$R:$R,MATCH($A43,'Valo FX'!$A:$A,0)),INDEX(Base!$U:$U,MATCH($A43,Base!$A:$A,0)),IF(MD$1=INDEX('Valo FX'!$R:$R,MATCH($A43,'Valo FX'!$A:$A,0)),INDEX(Base!$V:$V,MATCH($A43,Base!$A:$A,0)),0)))</f>
        <v>12.249840000000001</v>
      </c>
      <c r="ME43" s="21">
        <f>IF(ME$1&lt;INDEX('Valo FX'!$Q:$Q,MATCH($A43,'Valo FX'!$A:$A,0)),0,IF(ME$1&lt;INDEX('Valo FX'!$R:$R,MATCH($A43,'Valo FX'!$A:$A,0)),INDEX(Base!$U:$U,MATCH($A43,Base!$A:$A,0)),IF(ME$1=INDEX('Valo FX'!$R:$R,MATCH($A43,'Valo FX'!$A:$A,0)),INDEX(Base!$V:$V,MATCH($A43,Base!$A:$A,0)),0)))</f>
        <v>12.249840000000001</v>
      </c>
      <c r="MF43" s="21">
        <f>IF(MF$1&lt;INDEX('Valo FX'!$Q:$Q,MATCH($A43,'Valo FX'!$A:$A,0)),0,IF(MF$1&lt;INDEX('Valo FX'!$R:$R,MATCH($A43,'Valo FX'!$A:$A,0)),INDEX(Base!$U:$U,MATCH($A43,Base!$A:$A,0)),IF(MF$1=INDEX('Valo FX'!$R:$R,MATCH($A43,'Valo FX'!$A:$A,0)),INDEX(Base!$V:$V,MATCH($A43,Base!$A:$A,0)),0)))</f>
        <v>12.249840000000001</v>
      </c>
      <c r="MG43" s="21">
        <f>IF(MG$1&lt;INDEX('Valo FX'!$Q:$Q,MATCH($A43,'Valo FX'!$A:$A,0)),0,IF(MG$1&lt;INDEX('Valo FX'!$R:$R,MATCH($A43,'Valo FX'!$A:$A,0)),INDEX(Base!$U:$U,MATCH($A43,Base!$A:$A,0)),IF(MG$1=INDEX('Valo FX'!$R:$R,MATCH($A43,'Valo FX'!$A:$A,0)),INDEX(Base!$V:$V,MATCH($A43,Base!$A:$A,0)),0)))</f>
        <v>12.249840000000001</v>
      </c>
      <c r="MH43" s="21">
        <f>IF(MH$1&lt;INDEX('Valo FX'!$Q:$Q,MATCH($A43,'Valo FX'!$A:$A,0)),0,IF(MH$1&lt;INDEX('Valo FX'!$R:$R,MATCH($A43,'Valo FX'!$A:$A,0)),INDEX(Base!$U:$U,MATCH($A43,Base!$A:$A,0)),IF(MH$1=INDEX('Valo FX'!$R:$R,MATCH($A43,'Valo FX'!$A:$A,0)),INDEX(Base!$V:$V,MATCH($A43,Base!$A:$A,0)),0)))</f>
        <v>12.249840000000001</v>
      </c>
      <c r="MI43" s="21">
        <f>IF(MI$1&lt;INDEX('Valo FX'!$Q:$Q,MATCH($A43,'Valo FX'!$A:$A,0)),0,IF(MI$1&lt;INDEX('Valo FX'!$R:$R,MATCH($A43,'Valo FX'!$A:$A,0)),INDEX(Base!$U:$U,MATCH($A43,Base!$A:$A,0)),IF(MI$1=INDEX('Valo FX'!$R:$R,MATCH($A43,'Valo FX'!$A:$A,0)),INDEX(Base!$V:$V,MATCH($A43,Base!$A:$A,0)),0)))</f>
        <v>12.249840000000001</v>
      </c>
      <c r="MJ43" s="21">
        <f>IF(MJ$1&lt;INDEX('Valo FX'!$Q:$Q,MATCH($A43,'Valo FX'!$A:$A,0)),0,IF(MJ$1&lt;INDEX('Valo FX'!$R:$R,MATCH($A43,'Valo FX'!$A:$A,0)),INDEX(Base!$U:$U,MATCH($A43,Base!$A:$A,0)),IF(MJ$1=INDEX('Valo FX'!$R:$R,MATCH($A43,'Valo FX'!$A:$A,0)),INDEX(Base!$V:$V,MATCH($A43,Base!$A:$A,0)),0)))</f>
        <v>12.249840000000001</v>
      </c>
      <c r="MK43" s="21">
        <f>IF(MK$1&lt;INDEX('Valo FX'!$Q:$Q,MATCH($A43,'Valo FX'!$A:$A,0)),0,IF(MK$1&lt;INDEX('Valo FX'!$R:$R,MATCH($A43,'Valo FX'!$A:$A,0)),INDEX(Base!$U:$U,MATCH($A43,Base!$A:$A,0)),IF(MK$1=INDEX('Valo FX'!$R:$R,MATCH($A43,'Valo FX'!$A:$A,0)),INDEX(Base!$V:$V,MATCH($A43,Base!$A:$A,0)),0)))</f>
        <v>12.249840000000001</v>
      </c>
      <c r="ML43" s="21">
        <f>IF(ML$1&lt;INDEX('Valo FX'!$Q:$Q,MATCH($A43,'Valo FX'!$A:$A,0)),0,IF(ML$1&lt;INDEX('Valo FX'!$R:$R,MATCH($A43,'Valo FX'!$A:$A,0)),INDEX(Base!$U:$U,MATCH($A43,Base!$A:$A,0)),IF(ML$1=INDEX('Valo FX'!$R:$R,MATCH($A43,'Valo FX'!$A:$A,0)),INDEX(Base!$V:$V,MATCH($A43,Base!$A:$A,0)),0)))</f>
        <v>12.249840000000001</v>
      </c>
      <c r="MM43" s="21">
        <f>IF(MM$1&lt;INDEX('Valo FX'!$Q:$Q,MATCH($A43,'Valo FX'!$A:$A,0)),0,IF(MM$1&lt;INDEX('Valo FX'!$R:$R,MATCH($A43,'Valo FX'!$A:$A,0)),INDEX(Base!$U:$U,MATCH($A43,Base!$A:$A,0)),IF(MM$1=INDEX('Valo FX'!$R:$R,MATCH($A43,'Valo FX'!$A:$A,0)),INDEX(Base!$V:$V,MATCH($A43,Base!$A:$A,0)),0)))</f>
        <v>12.249840000000001</v>
      </c>
      <c r="MN43" s="21">
        <f>IF(MN$1&lt;INDEX('Valo FX'!$Q:$Q,MATCH($A43,'Valo FX'!$A:$A,0)),0,IF(MN$1&lt;INDEX('Valo FX'!$R:$R,MATCH($A43,'Valo FX'!$A:$A,0)),INDEX(Base!$U:$U,MATCH($A43,Base!$A:$A,0)),IF(MN$1=INDEX('Valo FX'!$R:$R,MATCH($A43,'Valo FX'!$A:$A,0)),INDEX(Base!$V:$V,MATCH($A43,Base!$A:$A,0)),0)))</f>
        <v>12.249840000000001</v>
      </c>
      <c r="MO43" s="21">
        <f>IF(MO$1&lt;INDEX('Valo FX'!$Q:$Q,MATCH($A43,'Valo FX'!$A:$A,0)),0,IF(MO$1&lt;INDEX('Valo FX'!$R:$R,MATCH($A43,'Valo FX'!$A:$A,0)),INDEX(Base!$U:$U,MATCH($A43,Base!$A:$A,0)),IF(MO$1=INDEX('Valo FX'!$R:$R,MATCH($A43,'Valo FX'!$A:$A,0)),INDEX(Base!$V:$V,MATCH($A43,Base!$A:$A,0)),0)))</f>
        <v>12.249840000000001</v>
      </c>
      <c r="MP43" s="21">
        <f>IF(MP$1&lt;INDEX('Valo FX'!$Q:$Q,MATCH($A43,'Valo FX'!$A:$A,0)),0,IF(MP$1&lt;INDEX('Valo FX'!$R:$R,MATCH($A43,'Valo FX'!$A:$A,0)),INDEX(Base!$U:$U,MATCH($A43,Base!$A:$A,0)),IF(MP$1=INDEX('Valo FX'!$R:$R,MATCH($A43,'Valo FX'!$A:$A,0)),INDEX(Base!$V:$V,MATCH($A43,Base!$A:$A,0)),0)))</f>
        <v>12.249840000000001</v>
      </c>
      <c r="MQ43" s="21">
        <f>IF(MQ$1&lt;INDEX('Valo FX'!$Q:$Q,MATCH($A43,'Valo FX'!$A:$A,0)),0,IF(MQ$1&lt;INDEX('Valo FX'!$R:$R,MATCH($A43,'Valo FX'!$A:$A,0)),INDEX(Base!$U:$U,MATCH($A43,Base!$A:$A,0)),IF(MQ$1=INDEX('Valo FX'!$R:$R,MATCH($A43,'Valo FX'!$A:$A,0)),INDEX(Base!$V:$V,MATCH($A43,Base!$A:$A,0)),0)))</f>
        <v>12.249840000000001</v>
      </c>
      <c r="MR43" s="21">
        <f>IF(MR$1&lt;INDEX('Valo FX'!$Q:$Q,MATCH($A43,'Valo FX'!$A:$A,0)),0,IF(MR$1&lt;INDEX('Valo FX'!$R:$R,MATCH($A43,'Valo FX'!$A:$A,0)),INDEX(Base!$U:$U,MATCH($A43,Base!$A:$A,0)),IF(MR$1=INDEX('Valo FX'!$R:$R,MATCH($A43,'Valo FX'!$A:$A,0)),INDEX(Base!$V:$V,MATCH($A43,Base!$A:$A,0)),0)))</f>
        <v>12.249840000000001</v>
      </c>
      <c r="MS43" s="21">
        <f>IF(MS$1&lt;INDEX('Valo FX'!$Q:$Q,MATCH($A43,'Valo FX'!$A:$A,0)),0,IF(MS$1&lt;INDEX('Valo FX'!$R:$R,MATCH($A43,'Valo FX'!$A:$A,0)),INDEX(Base!$U:$U,MATCH($A43,Base!$A:$A,0)),IF(MS$1=INDEX('Valo FX'!$R:$R,MATCH($A43,'Valo FX'!$A:$A,0)),INDEX(Base!$V:$V,MATCH($A43,Base!$A:$A,0)),0)))</f>
        <v>12.249840000000001</v>
      </c>
      <c r="MT43" s="21">
        <f>IF(MT$1&lt;INDEX('Valo FX'!$Q:$Q,MATCH($A43,'Valo FX'!$A:$A,0)),0,IF(MT$1&lt;INDEX('Valo FX'!$R:$R,MATCH($A43,'Valo FX'!$A:$A,0)),INDEX(Base!$U:$U,MATCH($A43,Base!$A:$A,0)),IF(MT$1=INDEX('Valo FX'!$R:$R,MATCH($A43,'Valo FX'!$A:$A,0)),INDEX(Base!$V:$V,MATCH($A43,Base!$A:$A,0)),0)))</f>
        <v>12.249840000000001</v>
      </c>
      <c r="MU43" s="21">
        <f>IF(MU$1&lt;INDEX('Valo FX'!$Q:$Q,MATCH($A43,'Valo FX'!$A:$A,0)),0,IF(MU$1&lt;INDEX('Valo FX'!$R:$R,MATCH($A43,'Valo FX'!$A:$A,0)),INDEX(Base!$U:$U,MATCH($A43,Base!$A:$A,0)),IF(MU$1=INDEX('Valo FX'!$R:$R,MATCH($A43,'Valo FX'!$A:$A,0)),INDEX(Base!$V:$V,MATCH($A43,Base!$A:$A,0)),0)))</f>
        <v>12.249840000000001</v>
      </c>
      <c r="MV43" s="21">
        <f>IF(MV$1&lt;INDEX('Valo FX'!$Q:$Q,MATCH($A43,'Valo FX'!$A:$A,0)),0,IF(MV$1&lt;INDEX('Valo FX'!$R:$R,MATCH($A43,'Valo FX'!$A:$A,0)),INDEX(Base!$U:$U,MATCH($A43,Base!$A:$A,0)),IF(MV$1=INDEX('Valo FX'!$R:$R,MATCH($A43,'Valo FX'!$A:$A,0)),INDEX(Base!$V:$V,MATCH($A43,Base!$A:$A,0)),0)))</f>
        <v>12.249840000000001</v>
      </c>
      <c r="MW43" s="21">
        <f>IF(MW$1&lt;INDEX('Valo FX'!$Q:$Q,MATCH($A43,'Valo FX'!$A:$A,0)),0,IF(MW$1&lt;INDEX('Valo FX'!$R:$R,MATCH($A43,'Valo FX'!$A:$A,0)),INDEX(Base!$U:$U,MATCH($A43,Base!$A:$A,0)),IF(MW$1=INDEX('Valo FX'!$R:$R,MATCH($A43,'Valo FX'!$A:$A,0)),INDEX(Base!$V:$V,MATCH($A43,Base!$A:$A,0)),0)))</f>
        <v>12.249840000000001</v>
      </c>
      <c r="MX43" s="21">
        <f>IF(MX$1&lt;INDEX('Valo FX'!$Q:$Q,MATCH($A43,'Valo FX'!$A:$A,0)),0,IF(MX$1&lt;INDEX('Valo FX'!$R:$R,MATCH($A43,'Valo FX'!$A:$A,0)),INDEX(Base!$U:$U,MATCH($A43,Base!$A:$A,0)),IF(MX$1=INDEX('Valo FX'!$R:$R,MATCH($A43,'Valo FX'!$A:$A,0)),INDEX(Base!$V:$V,MATCH($A43,Base!$A:$A,0)),0)))</f>
        <v>12.249840000000001</v>
      </c>
      <c r="MY43" s="21">
        <f>IF(MY$1&lt;INDEX('Valo FX'!$Q:$Q,MATCH($A43,'Valo FX'!$A:$A,0)),0,IF(MY$1&lt;INDEX('Valo FX'!$R:$R,MATCH($A43,'Valo FX'!$A:$A,0)),INDEX(Base!$U:$U,MATCH($A43,Base!$A:$A,0)),IF(MY$1=INDEX('Valo FX'!$R:$R,MATCH($A43,'Valo FX'!$A:$A,0)),INDEX(Base!$V:$V,MATCH($A43,Base!$A:$A,0)),0)))</f>
        <v>12.6334</v>
      </c>
    </row>
    <row r="44" spans="1:363" x14ac:dyDescent="0.25">
      <c r="A44" s="7">
        <f t="shared" si="12"/>
        <v>42</v>
      </c>
      <c r="B44" s="59">
        <f>-'Valo FX'!T45</f>
        <v>-1403.4494390969157</v>
      </c>
      <c r="C44" s="21">
        <f>IF(C$1&lt;INDEX('Valo FX'!$Q:$Q,MATCH($A44,'Valo FX'!$A:$A,0)),0,IF(C$1&lt;INDEX('Valo FX'!$R:$R,MATCH($A44,'Valo FX'!$A:$A,0)),INDEX(Base!$U:$U,MATCH($A44,Base!$A:$A,0)),IF(C$1=INDEX('Valo FX'!$R:$R,MATCH($A44,'Valo FX'!$A:$A,0)),INDEX(Base!$V:$V,MATCH($A44,Base!$A:$A,0)),0)))</f>
        <v>0</v>
      </c>
      <c r="D44" s="21">
        <f>IF(D$1&lt;INDEX('Valo FX'!$Q:$Q,MATCH($A44,'Valo FX'!$A:$A,0)),0,IF(D$1&lt;INDEX('Valo FX'!$R:$R,MATCH($A44,'Valo FX'!$A:$A,0)),INDEX(Base!$U:$U,MATCH($A44,Base!$A:$A,0)),IF(D$1=INDEX('Valo FX'!$R:$R,MATCH($A44,'Valo FX'!$A:$A,0)),INDEX(Base!$V:$V,MATCH($A44,Base!$A:$A,0)),0)))</f>
        <v>0</v>
      </c>
      <c r="E44" s="21">
        <f>IF(E$1&lt;INDEX('Valo FX'!$Q:$Q,MATCH($A44,'Valo FX'!$A:$A,0)),0,IF(E$1&lt;INDEX('Valo FX'!$R:$R,MATCH($A44,'Valo FX'!$A:$A,0)),INDEX(Base!$U:$U,MATCH($A44,Base!$A:$A,0)),IF(E$1=INDEX('Valo FX'!$R:$R,MATCH($A44,'Valo FX'!$A:$A,0)),INDEX(Base!$V:$V,MATCH($A44,Base!$A:$A,0)),0)))</f>
        <v>0</v>
      </c>
      <c r="F44" s="21">
        <f>IF(F$1&lt;INDEX('Valo FX'!$Q:$Q,MATCH($A44,'Valo FX'!$A:$A,0)),0,IF(F$1&lt;INDEX('Valo FX'!$R:$R,MATCH($A44,'Valo FX'!$A:$A,0)),INDEX(Base!$U:$U,MATCH($A44,Base!$A:$A,0)),IF(F$1=INDEX('Valo FX'!$R:$R,MATCH($A44,'Valo FX'!$A:$A,0)),INDEX(Base!$V:$V,MATCH($A44,Base!$A:$A,0)),0)))</f>
        <v>0</v>
      </c>
      <c r="G44" s="21">
        <f>IF(G$1&lt;INDEX('Valo FX'!$Q:$Q,MATCH($A44,'Valo FX'!$A:$A,0)),0,IF(G$1&lt;INDEX('Valo FX'!$R:$R,MATCH($A44,'Valo FX'!$A:$A,0)),INDEX(Base!$U:$U,MATCH($A44,Base!$A:$A,0)),IF(G$1=INDEX('Valo FX'!$R:$R,MATCH($A44,'Valo FX'!$A:$A,0)),INDEX(Base!$V:$V,MATCH($A44,Base!$A:$A,0)),0)))</f>
        <v>0</v>
      </c>
      <c r="H44" s="21">
        <f>IF(H$1&lt;INDEX('Valo FX'!$Q:$Q,MATCH($A44,'Valo FX'!$A:$A,0)),0,IF(H$1&lt;INDEX('Valo FX'!$R:$R,MATCH($A44,'Valo FX'!$A:$A,0)),INDEX(Base!$U:$U,MATCH($A44,Base!$A:$A,0)),IF(H$1=INDEX('Valo FX'!$R:$R,MATCH($A44,'Valo FX'!$A:$A,0)),INDEX(Base!$V:$V,MATCH($A44,Base!$A:$A,0)),0)))</f>
        <v>0</v>
      </c>
      <c r="I44" s="21">
        <f>IF(I$1&lt;INDEX('Valo FX'!$Q:$Q,MATCH($A44,'Valo FX'!$A:$A,0)),0,IF(I$1&lt;INDEX('Valo FX'!$R:$R,MATCH($A44,'Valo FX'!$A:$A,0)),INDEX(Base!$U:$U,MATCH($A44,Base!$A:$A,0)),IF(I$1=INDEX('Valo FX'!$R:$R,MATCH($A44,'Valo FX'!$A:$A,0)),INDEX(Base!$V:$V,MATCH($A44,Base!$A:$A,0)),0)))</f>
        <v>11.890515000000001</v>
      </c>
      <c r="J44" s="21">
        <f>IF(J$1&lt;INDEX('Valo FX'!$Q:$Q,MATCH($A44,'Valo FX'!$A:$A,0)),0,IF(J$1&lt;INDEX('Valo FX'!$R:$R,MATCH($A44,'Valo FX'!$A:$A,0)),INDEX(Base!$U:$U,MATCH($A44,Base!$A:$A,0)),IF(J$1=INDEX('Valo FX'!$R:$R,MATCH($A44,'Valo FX'!$A:$A,0)),INDEX(Base!$V:$V,MATCH($A44,Base!$A:$A,0)),0)))</f>
        <v>11.890515000000001</v>
      </c>
      <c r="K44" s="21">
        <f>IF(K$1&lt;INDEX('Valo FX'!$Q:$Q,MATCH($A44,'Valo FX'!$A:$A,0)),0,IF(K$1&lt;INDEX('Valo FX'!$R:$R,MATCH($A44,'Valo FX'!$A:$A,0)),INDEX(Base!$U:$U,MATCH($A44,Base!$A:$A,0)),IF(K$1=INDEX('Valo FX'!$R:$R,MATCH($A44,'Valo FX'!$A:$A,0)),INDEX(Base!$V:$V,MATCH($A44,Base!$A:$A,0)),0)))</f>
        <v>11.890515000000001</v>
      </c>
      <c r="L44" s="21">
        <f>IF(L$1&lt;INDEX('Valo FX'!$Q:$Q,MATCH($A44,'Valo FX'!$A:$A,0)),0,IF(L$1&lt;INDEX('Valo FX'!$R:$R,MATCH($A44,'Valo FX'!$A:$A,0)),INDEX(Base!$U:$U,MATCH($A44,Base!$A:$A,0)),IF(L$1=INDEX('Valo FX'!$R:$R,MATCH($A44,'Valo FX'!$A:$A,0)),INDEX(Base!$V:$V,MATCH($A44,Base!$A:$A,0)),0)))</f>
        <v>11.890515000000001</v>
      </c>
      <c r="M44" s="21">
        <f>IF(M$1&lt;INDEX('Valo FX'!$Q:$Q,MATCH($A44,'Valo FX'!$A:$A,0)),0,IF(M$1&lt;INDEX('Valo FX'!$R:$R,MATCH($A44,'Valo FX'!$A:$A,0)),INDEX(Base!$U:$U,MATCH($A44,Base!$A:$A,0)),IF(M$1=INDEX('Valo FX'!$R:$R,MATCH($A44,'Valo FX'!$A:$A,0)),INDEX(Base!$V:$V,MATCH($A44,Base!$A:$A,0)),0)))</f>
        <v>11.890515000000001</v>
      </c>
      <c r="N44" s="21">
        <f>IF(N$1&lt;INDEX('Valo FX'!$Q:$Q,MATCH($A44,'Valo FX'!$A:$A,0)),0,IF(N$1&lt;INDEX('Valo FX'!$R:$R,MATCH($A44,'Valo FX'!$A:$A,0)),INDEX(Base!$U:$U,MATCH($A44,Base!$A:$A,0)),IF(N$1=INDEX('Valo FX'!$R:$R,MATCH($A44,'Valo FX'!$A:$A,0)),INDEX(Base!$V:$V,MATCH($A44,Base!$A:$A,0)),0)))</f>
        <v>11.890515000000001</v>
      </c>
      <c r="O44" s="21">
        <f>IF(O$1&lt;INDEX('Valo FX'!$Q:$Q,MATCH($A44,'Valo FX'!$A:$A,0)),0,IF(O$1&lt;INDEX('Valo FX'!$R:$R,MATCH($A44,'Valo FX'!$A:$A,0)),INDEX(Base!$U:$U,MATCH($A44,Base!$A:$A,0)),IF(O$1=INDEX('Valo FX'!$R:$R,MATCH($A44,'Valo FX'!$A:$A,0)),INDEX(Base!$V:$V,MATCH($A44,Base!$A:$A,0)),0)))</f>
        <v>11.890515000000001</v>
      </c>
      <c r="P44" s="21">
        <f>IF(P$1&lt;INDEX('Valo FX'!$Q:$Q,MATCH($A44,'Valo FX'!$A:$A,0)),0,IF(P$1&lt;INDEX('Valo FX'!$R:$R,MATCH($A44,'Valo FX'!$A:$A,0)),INDEX(Base!$U:$U,MATCH($A44,Base!$A:$A,0)),IF(P$1=INDEX('Valo FX'!$R:$R,MATCH($A44,'Valo FX'!$A:$A,0)),INDEX(Base!$V:$V,MATCH($A44,Base!$A:$A,0)),0)))</f>
        <v>11.890515000000001</v>
      </c>
      <c r="Q44" s="21">
        <f>IF(Q$1&lt;INDEX('Valo FX'!$Q:$Q,MATCH($A44,'Valo FX'!$A:$A,0)),0,IF(Q$1&lt;INDEX('Valo FX'!$R:$R,MATCH($A44,'Valo FX'!$A:$A,0)),INDEX(Base!$U:$U,MATCH($A44,Base!$A:$A,0)),IF(Q$1=INDEX('Valo FX'!$R:$R,MATCH($A44,'Valo FX'!$A:$A,0)),INDEX(Base!$V:$V,MATCH($A44,Base!$A:$A,0)),0)))</f>
        <v>11.890515000000001</v>
      </c>
      <c r="R44" s="21">
        <f>IF(R$1&lt;INDEX('Valo FX'!$Q:$Q,MATCH($A44,'Valo FX'!$A:$A,0)),0,IF(R$1&lt;INDEX('Valo FX'!$R:$R,MATCH($A44,'Valo FX'!$A:$A,0)),INDEX(Base!$U:$U,MATCH($A44,Base!$A:$A,0)),IF(R$1=INDEX('Valo FX'!$R:$R,MATCH($A44,'Valo FX'!$A:$A,0)),INDEX(Base!$V:$V,MATCH($A44,Base!$A:$A,0)),0)))</f>
        <v>11.890515000000001</v>
      </c>
      <c r="S44" s="21">
        <f>IF(S$1&lt;INDEX('Valo FX'!$Q:$Q,MATCH($A44,'Valo FX'!$A:$A,0)),0,IF(S$1&lt;INDEX('Valo FX'!$R:$R,MATCH($A44,'Valo FX'!$A:$A,0)),INDEX(Base!$U:$U,MATCH($A44,Base!$A:$A,0)),IF(S$1=INDEX('Valo FX'!$R:$R,MATCH($A44,'Valo FX'!$A:$A,0)),INDEX(Base!$V:$V,MATCH($A44,Base!$A:$A,0)),0)))</f>
        <v>11.890515000000001</v>
      </c>
      <c r="T44" s="21">
        <f>IF(T$1&lt;INDEX('Valo FX'!$Q:$Q,MATCH($A44,'Valo FX'!$A:$A,0)),0,IF(T$1&lt;INDEX('Valo FX'!$R:$R,MATCH($A44,'Valo FX'!$A:$A,0)),INDEX(Base!$U:$U,MATCH($A44,Base!$A:$A,0)),IF(T$1=INDEX('Valo FX'!$R:$R,MATCH($A44,'Valo FX'!$A:$A,0)),INDEX(Base!$V:$V,MATCH($A44,Base!$A:$A,0)),0)))</f>
        <v>11.890515000000001</v>
      </c>
      <c r="U44" s="21">
        <f>IF(U$1&lt;INDEX('Valo FX'!$Q:$Q,MATCH($A44,'Valo FX'!$A:$A,0)),0,IF(U$1&lt;INDEX('Valo FX'!$R:$R,MATCH($A44,'Valo FX'!$A:$A,0)),INDEX(Base!$U:$U,MATCH($A44,Base!$A:$A,0)),IF(U$1=INDEX('Valo FX'!$R:$R,MATCH($A44,'Valo FX'!$A:$A,0)),INDEX(Base!$V:$V,MATCH($A44,Base!$A:$A,0)),0)))</f>
        <v>11.890515000000001</v>
      </c>
      <c r="V44" s="21">
        <f>IF(V$1&lt;INDEX('Valo FX'!$Q:$Q,MATCH($A44,'Valo FX'!$A:$A,0)),0,IF(V$1&lt;INDEX('Valo FX'!$R:$R,MATCH($A44,'Valo FX'!$A:$A,0)),INDEX(Base!$U:$U,MATCH($A44,Base!$A:$A,0)),IF(V$1=INDEX('Valo FX'!$R:$R,MATCH($A44,'Valo FX'!$A:$A,0)),INDEX(Base!$V:$V,MATCH($A44,Base!$A:$A,0)),0)))</f>
        <v>11.890515000000001</v>
      </c>
      <c r="W44" s="21">
        <f>IF(W$1&lt;INDEX('Valo FX'!$Q:$Q,MATCH($A44,'Valo FX'!$A:$A,0)),0,IF(W$1&lt;INDEX('Valo FX'!$R:$R,MATCH($A44,'Valo FX'!$A:$A,0)),INDEX(Base!$U:$U,MATCH($A44,Base!$A:$A,0)),IF(W$1=INDEX('Valo FX'!$R:$R,MATCH($A44,'Valo FX'!$A:$A,0)),INDEX(Base!$V:$V,MATCH($A44,Base!$A:$A,0)),0)))</f>
        <v>11.890515000000001</v>
      </c>
      <c r="X44" s="21">
        <f>IF(X$1&lt;INDEX('Valo FX'!$Q:$Q,MATCH($A44,'Valo FX'!$A:$A,0)),0,IF(X$1&lt;INDEX('Valo FX'!$R:$R,MATCH($A44,'Valo FX'!$A:$A,0)),INDEX(Base!$U:$U,MATCH($A44,Base!$A:$A,0)),IF(X$1=INDEX('Valo FX'!$R:$R,MATCH($A44,'Valo FX'!$A:$A,0)),INDEX(Base!$V:$V,MATCH($A44,Base!$A:$A,0)),0)))</f>
        <v>11.890515000000001</v>
      </c>
      <c r="Y44" s="21">
        <f>IF(Y$1&lt;INDEX('Valo FX'!$Q:$Q,MATCH($A44,'Valo FX'!$A:$A,0)),0,IF(Y$1&lt;INDEX('Valo FX'!$R:$R,MATCH($A44,'Valo FX'!$A:$A,0)),INDEX(Base!$U:$U,MATCH($A44,Base!$A:$A,0)),IF(Y$1=INDEX('Valo FX'!$R:$R,MATCH($A44,'Valo FX'!$A:$A,0)),INDEX(Base!$V:$V,MATCH($A44,Base!$A:$A,0)),0)))</f>
        <v>11.890515000000001</v>
      </c>
      <c r="Z44" s="21">
        <f>IF(Z$1&lt;INDEX('Valo FX'!$Q:$Q,MATCH($A44,'Valo FX'!$A:$A,0)),0,IF(Z$1&lt;INDEX('Valo FX'!$R:$R,MATCH($A44,'Valo FX'!$A:$A,0)),INDEX(Base!$U:$U,MATCH($A44,Base!$A:$A,0)),IF(Z$1=INDEX('Valo FX'!$R:$R,MATCH($A44,'Valo FX'!$A:$A,0)),INDEX(Base!$V:$V,MATCH($A44,Base!$A:$A,0)),0)))</f>
        <v>11.890515000000001</v>
      </c>
      <c r="AA44" s="21">
        <f>IF(AA$1&lt;INDEX('Valo FX'!$Q:$Q,MATCH($A44,'Valo FX'!$A:$A,0)),0,IF(AA$1&lt;INDEX('Valo FX'!$R:$R,MATCH($A44,'Valo FX'!$A:$A,0)),INDEX(Base!$U:$U,MATCH($A44,Base!$A:$A,0)),IF(AA$1=INDEX('Valo FX'!$R:$R,MATCH($A44,'Valo FX'!$A:$A,0)),INDEX(Base!$V:$V,MATCH($A44,Base!$A:$A,0)),0)))</f>
        <v>11.890515000000001</v>
      </c>
      <c r="AB44" s="21">
        <f>IF(AB$1&lt;INDEX('Valo FX'!$Q:$Q,MATCH($A44,'Valo FX'!$A:$A,0)),0,IF(AB$1&lt;INDEX('Valo FX'!$R:$R,MATCH($A44,'Valo FX'!$A:$A,0)),INDEX(Base!$U:$U,MATCH($A44,Base!$A:$A,0)),IF(AB$1=INDEX('Valo FX'!$R:$R,MATCH($A44,'Valo FX'!$A:$A,0)),INDEX(Base!$V:$V,MATCH($A44,Base!$A:$A,0)),0)))</f>
        <v>11.890515000000001</v>
      </c>
      <c r="AC44" s="21">
        <f>IF(AC$1&lt;INDEX('Valo FX'!$Q:$Q,MATCH($A44,'Valo FX'!$A:$A,0)),0,IF(AC$1&lt;INDEX('Valo FX'!$R:$R,MATCH($A44,'Valo FX'!$A:$A,0)),INDEX(Base!$U:$U,MATCH($A44,Base!$A:$A,0)),IF(AC$1=INDEX('Valo FX'!$R:$R,MATCH($A44,'Valo FX'!$A:$A,0)),INDEX(Base!$V:$V,MATCH($A44,Base!$A:$A,0)),0)))</f>
        <v>11.890515000000001</v>
      </c>
      <c r="AD44" s="21">
        <f>IF(AD$1&lt;INDEX('Valo FX'!$Q:$Q,MATCH($A44,'Valo FX'!$A:$A,0)),0,IF(AD$1&lt;INDEX('Valo FX'!$R:$R,MATCH($A44,'Valo FX'!$A:$A,0)),INDEX(Base!$U:$U,MATCH($A44,Base!$A:$A,0)),IF(AD$1=INDEX('Valo FX'!$R:$R,MATCH($A44,'Valo FX'!$A:$A,0)),INDEX(Base!$V:$V,MATCH($A44,Base!$A:$A,0)),0)))</f>
        <v>11.890515000000001</v>
      </c>
      <c r="AE44" s="21">
        <f>IF(AE$1&lt;INDEX('Valo FX'!$Q:$Q,MATCH($A44,'Valo FX'!$A:$A,0)),0,IF(AE$1&lt;INDEX('Valo FX'!$R:$R,MATCH($A44,'Valo FX'!$A:$A,0)),INDEX(Base!$U:$U,MATCH($A44,Base!$A:$A,0)),IF(AE$1=INDEX('Valo FX'!$R:$R,MATCH($A44,'Valo FX'!$A:$A,0)),INDEX(Base!$V:$V,MATCH($A44,Base!$A:$A,0)),0)))</f>
        <v>11.890515000000001</v>
      </c>
      <c r="AF44" s="21">
        <f>IF(AF$1&lt;INDEX('Valo FX'!$Q:$Q,MATCH($A44,'Valo FX'!$A:$A,0)),0,IF(AF$1&lt;INDEX('Valo FX'!$R:$R,MATCH($A44,'Valo FX'!$A:$A,0)),INDEX(Base!$U:$U,MATCH($A44,Base!$A:$A,0)),IF(AF$1=INDEX('Valo FX'!$R:$R,MATCH($A44,'Valo FX'!$A:$A,0)),INDEX(Base!$V:$V,MATCH($A44,Base!$A:$A,0)),0)))</f>
        <v>11.890515000000001</v>
      </c>
      <c r="AG44" s="21">
        <f>IF(AG$1&lt;INDEX('Valo FX'!$Q:$Q,MATCH($A44,'Valo FX'!$A:$A,0)),0,IF(AG$1&lt;INDEX('Valo FX'!$R:$R,MATCH($A44,'Valo FX'!$A:$A,0)),INDEX(Base!$U:$U,MATCH($A44,Base!$A:$A,0)),IF(AG$1=INDEX('Valo FX'!$R:$R,MATCH($A44,'Valo FX'!$A:$A,0)),INDEX(Base!$V:$V,MATCH($A44,Base!$A:$A,0)),0)))</f>
        <v>11.890515000000001</v>
      </c>
      <c r="AH44" s="21">
        <f>IF(AH$1&lt;INDEX('Valo FX'!$Q:$Q,MATCH($A44,'Valo FX'!$A:$A,0)),0,IF(AH$1&lt;INDEX('Valo FX'!$R:$R,MATCH($A44,'Valo FX'!$A:$A,0)),INDEX(Base!$U:$U,MATCH($A44,Base!$A:$A,0)),IF(AH$1=INDEX('Valo FX'!$R:$R,MATCH($A44,'Valo FX'!$A:$A,0)),INDEX(Base!$V:$V,MATCH($A44,Base!$A:$A,0)),0)))</f>
        <v>11.890515000000001</v>
      </c>
      <c r="AI44" s="21">
        <f>IF(AI$1&lt;INDEX('Valo FX'!$Q:$Q,MATCH($A44,'Valo FX'!$A:$A,0)),0,IF(AI$1&lt;INDEX('Valo FX'!$R:$R,MATCH($A44,'Valo FX'!$A:$A,0)),INDEX(Base!$U:$U,MATCH($A44,Base!$A:$A,0)),IF(AI$1=INDEX('Valo FX'!$R:$R,MATCH($A44,'Valo FX'!$A:$A,0)),INDEX(Base!$V:$V,MATCH($A44,Base!$A:$A,0)),0)))</f>
        <v>11.890515000000001</v>
      </c>
      <c r="AJ44" s="21">
        <f>IF(AJ$1&lt;INDEX('Valo FX'!$Q:$Q,MATCH($A44,'Valo FX'!$A:$A,0)),0,IF(AJ$1&lt;INDEX('Valo FX'!$R:$R,MATCH($A44,'Valo FX'!$A:$A,0)),INDEX(Base!$U:$U,MATCH($A44,Base!$A:$A,0)),IF(AJ$1=INDEX('Valo FX'!$R:$R,MATCH($A44,'Valo FX'!$A:$A,0)),INDEX(Base!$V:$V,MATCH($A44,Base!$A:$A,0)),0)))</f>
        <v>11.890515000000001</v>
      </c>
      <c r="AK44" s="21">
        <f>IF(AK$1&lt;INDEX('Valo FX'!$Q:$Q,MATCH($A44,'Valo FX'!$A:$A,0)),0,IF(AK$1&lt;INDEX('Valo FX'!$R:$R,MATCH($A44,'Valo FX'!$A:$A,0)),INDEX(Base!$U:$U,MATCH($A44,Base!$A:$A,0)),IF(AK$1=INDEX('Valo FX'!$R:$R,MATCH($A44,'Valo FX'!$A:$A,0)),INDEX(Base!$V:$V,MATCH($A44,Base!$A:$A,0)),0)))</f>
        <v>11.890515000000001</v>
      </c>
      <c r="AL44" s="21">
        <f>IF(AL$1&lt;INDEX('Valo FX'!$Q:$Q,MATCH($A44,'Valo FX'!$A:$A,0)),0,IF(AL$1&lt;INDEX('Valo FX'!$R:$R,MATCH($A44,'Valo FX'!$A:$A,0)),INDEX(Base!$U:$U,MATCH($A44,Base!$A:$A,0)),IF(AL$1=INDEX('Valo FX'!$R:$R,MATCH($A44,'Valo FX'!$A:$A,0)),INDEX(Base!$V:$V,MATCH($A44,Base!$A:$A,0)),0)))</f>
        <v>11.890515000000001</v>
      </c>
      <c r="AM44" s="21">
        <f>IF(AM$1&lt;INDEX('Valo FX'!$Q:$Q,MATCH($A44,'Valo FX'!$A:$A,0)),0,IF(AM$1&lt;INDEX('Valo FX'!$R:$R,MATCH($A44,'Valo FX'!$A:$A,0)),INDEX(Base!$U:$U,MATCH($A44,Base!$A:$A,0)),IF(AM$1=INDEX('Valo FX'!$R:$R,MATCH($A44,'Valo FX'!$A:$A,0)),INDEX(Base!$V:$V,MATCH($A44,Base!$A:$A,0)),0)))</f>
        <v>11.890515000000001</v>
      </c>
      <c r="AN44" s="21">
        <f>IF(AN$1&lt;INDEX('Valo FX'!$Q:$Q,MATCH($A44,'Valo FX'!$A:$A,0)),0,IF(AN$1&lt;INDEX('Valo FX'!$R:$R,MATCH($A44,'Valo FX'!$A:$A,0)),INDEX(Base!$U:$U,MATCH($A44,Base!$A:$A,0)),IF(AN$1=INDEX('Valo FX'!$R:$R,MATCH($A44,'Valo FX'!$A:$A,0)),INDEX(Base!$V:$V,MATCH($A44,Base!$A:$A,0)),0)))</f>
        <v>11.890515000000001</v>
      </c>
      <c r="AO44" s="21">
        <f>IF(AO$1&lt;INDEX('Valo FX'!$Q:$Q,MATCH($A44,'Valo FX'!$A:$A,0)),0,IF(AO$1&lt;INDEX('Valo FX'!$R:$R,MATCH($A44,'Valo FX'!$A:$A,0)),INDEX(Base!$U:$U,MATCH($A44,Base!$A:$A,0)),IF(AO$1=INDEX('Valo FX'!$R:$R,MATCH($A44,'Valo FX'!$A:$A,0)),INDEX(Base!$V:$V,MATCH($A44,Base!$A:$A,0)),0)))</f>
        <v>11.890515000000001</v>
      </c>
      <c r="AP44" s="21">
        <f>IF(AP$1&lt;INDEX('Valo FX'!$Q:$Q,MATCH($A44,'Valo FX'!$A:$A,0)),0,IF(AP$1&lt;INDEX('Valo FX'!$R:$R,MATCH($A44,'Valo FX'!$A:$A,0)),INDEX(Base!$U:$U,MATCH($A44,Base!$A:$A,0)),IF(AP$1=INDEX('Valo FX'!$R:$R,MATCH($A44,'Valo FX'!$A:$A,0)),INDEX(Base!$V:$V,MATCH($A44,Base!$A:$A,0)),0)))</f>
        <v>11.890515000000001</v>
      </c>
      <c r="AQ44" s="21">
        <f>IF(AQ$1&lt;INDEX('Valo FX'!$Q:$Q,MATCH($A44,'Valo FX'!$A:$A,0)),0,IF(AQ$1&lt;INDEX('Valo FX'!$R:$R,MATCH($A44,'Valo FX'!$A:$A,0)),INDEX(Base!$U:$U,MATCH($A44,Base!$A:$A,0)),IF(AQ$1=INDEX('Valo FX'!$R:$R,MATCH($A44,'Valo FX'!$A:$A,0)),INDEX(Base!$V:$V,MATCH($A44,Base!$A:$A,0)),0)))</f>
        <v>11.890515000000001</v>
      </c>
      <c r="AR44" s="21">
        <f>IF(AR$1&lt;INDEX('Valo FX'!$Q:$Q,MATCH($A44,'Valo FX'!$A:$A,0)),0,IF(AR$1&lt;INDEX('Valo FX'!$R:$R,MATCH($A44,'Valo FX'!$A:$A,0)),INDEX(Base!$U:$U,MATCH($A44,Base!$A:$A,0)),IF(AR$1=INDEX('Valo FX'!$R:$R,MATCH($A44,'Valo FX'!$A:$A,0)),INDEX(Base!$V:$V,MATCH($A44,Base!$A:$A,0)),0)))</f>
        <v>11.890515000000001</v>
      </c>
      <c r="AS44" s="21">
        <f>IF(AS$1&lt;INDEX('Valo FX'!$Q:$Q,MATCH($A44,'Valo FX'!$A:$A,0)),0,IF(AS$1&lt;INDEX('Valo FX'!$R:$R,MATCH($A44,'Valo FX'!$A:$A,0)),INDEX(Base!$U:$U,MATCH($A44,Base!$A:$A,0)),IF(AS$1=INDEX('Valo FX'!$R:$R,MATCH($A44,'Valo FX'!$A:$A,0)),INDEX(Base!$V:$V,MATCH($A44,Base!$A:$A,0)),0)))</f>
        <v>11.890515000000001</v>
      </c>
      <c r="AT44" s="21">
        <f>IF(AT$1&lt;INDEX('Valo FX'!$Q:$Q,MATCH($A44,'Valo FX'!$A:$A,0)),0,IF(AT$1&lt;INDEX('Valo FX'!$R:$R,MATCH($A44,'Valo FX'!$A:$A,0)),INDEX(Base!$U:$U,MATCH($A44,Base!$A:$A,0)),IF(AT$1=INDEX('Valo FX'!$R:$R,MATCH($A44,'Valo FX'!$A:$A,0)),INDEX(Base!$V:$V,MATCH($A44,Base!$A:$A,0)),0)))</f>
        <v>11.890515000000001</v>
      </c>
      <c r="AU44" s="21">
        <f>IF(AU$1&lt;INDEX('Valo FX'!$Q:$Q,MATCH($A44,'Valo FX'!$A:$A,0)),0,IF(AU$1&lt;INDEX('Valo FX'!$R:$R,MATCH($A44,'Valo FX'!$A:$A,0)),INDEX(Base!$U:$U,MATCH($A44,Base!$A:$A,0)),IF(AU$1=INDEX('Valo FX'!$R:$R,MATCH($A44,'Valo FX'!$A:$A,0)),INDEX(Base!$V:$V,MATCH($A44,Base!$A:$A,0)),0)))</f>
        <v>11.890515000000001</v>
      </c>
      <c r="AV44" s="21">
        <f>IF(AV$1&lt;INDEX('Valo FX'!$Q:$Q,MATCH($A44,'Valo FX'!$A:$A,0)),0,IF(AV$1&lt;INDEX('Valo FX'!$R:$R,MATCH($A44,'Valo FX'!$A:$A,0)),INDEX(Base!$U:$U,MATCH($A44,Base!$A:$A,0)),IF(AV$1=INDEX('Valo FX'!$R:$R,MATCH($A44,'Valo FX'!$A:$A,0)),INDEX(Base!$V:$V,MATCH($A44,Base!$A:$A,0)),0)))</f>
        <v>11.890515000000001</v>
      </c>
      <c r="AW44" s="21">
        <f>IF(AW$1&lt;INDEX('Valo FX'!$Q:$Q,MATCH($A44,'Valo FX'!$A:$A,0)),0,IF(AW$1&lt;INDEX('Valo FX'!$R:$R,MATCH($A44,'Valo FX'!$A:$A,0)),INDEX(Base!$U:$U,MATCH($A44,Base!$A:$A,0)),IF(AW$1=INDEX('Valo FX'!$R:$R,MATCH($A44,'Valo FX'!$A:$A,0)),INDEX(Base!$V:$V,MATCH($A44,Base!$A:$A,0)),0)))</f>
        <v>11.890515000000001</v>
      </c>
      <c r="AX44" s="21">
        <f>IF(AX$1&lt;INDEX('Valo FX'!$Q:$Q,MATCH($A44,'Valo FX'!$A:$A,0)),0,IF(AX$1&lt;INDEX('Valo FX'!$R:$R,MATCH($A44,'Valo FX'!$A:$A,0)),INDEX(Base!$U:$U,MATCH($A44,Base!$A:$A,0)),IF(AX$1=INDEX('Valo FX'!$R:$R,MATCH($A44,'Valo FX'!$A:$A,0)),INDEX(Base!$V:$V,MATCH($A44,Base!$A:$A,0)),0)))</f>
        <v>11.890515000000001</v>
      </c>
      <c r="AY44" s="21">
        <f>IF(AY$1&lt;INDEX('Valo FX'!$Q:$Q,MATCH($A44,'Valo FX'!$A:$A,0)),0,IF(AY$1&lt;INDEX('Valo FX'!$R:$R,MATCH($A44,'Valo FX'!$A:$A,0)),INDEX(Base!$U:$U,MATCH($A44,Base!$A:$A,0)),IF(AY$1=INDEX('Valo FX'!$R:$R,MATCH($A44,'Valo FX'!$A:$A,0)),INDEX(Base!$V:$V,MATCH($A44,Base!$A:$A,0)),0)))</f>
        <v>11.890515000000001</v>
      </c>
      <c r="AZ44" s="21">
        <f>IF(AZ$1&lt;INDEX('Valo FX'!$Q:$Q,MATCH($A44,'Valo FX'!$A:$A,0)),0,IF(AZ$1&lt;INDEX('Valo FX'!$R:$R,MATCH($A44,'Valo FX'!$A:$A,0)),INDEX(Base!$U:$U,MATCH($A44,Base!$A:$A,0)),IF(AZ$1=INDEX('Valo FX'!$R:$R,MATCH($A44,'Valo FX'!$A:$A,0)),INDEX(Base!$V:$V,MATCH($A44,Base!$A:$A,0)),0)))</f>
        <v>11.890515000000001</v>
      </c>
      <c r="BA44" s="21">
        <f>IF(BA$1&lt;INDEX('Valo FX'!$Q:$Q,MATCH($A44,'Valo FX'!$A:$A,0)),0,IF(BA$1&lt;INDEX('Valo FX'!$R:$R,MATCH($A44,'Valo FX'!$A:$A,0)),INDEX(Base!$U:$U,MATCH($A44,Base!$A:$A,0)),IF(BA$1=INDEX('Valo FX'!$R:$R,MATCH($A44,'Valo FX'!$A:$A,0)),INDEX(Base!$V:$V,MATCH($A44,Base!$A:$A,0)),0)))</f>
        <v>11.890515000000001</v>
      </c>
      <c r="BB44" s="21">
        <f>IF(BB$1&lt;INDEX('Valo FX'!$Q:$Q,MATCH($A44,'Valo FX'!$A:$A,0)),0,IF(BB$1&lt;INDEX('Valo FX'!$R:$R,MATCH($A44,'Valo FX'!$A:$A,0)),INDEX(Base!$U:$U,MATCH($A44,Base!$A:$A,0)),IF(BB$1=INDEX('Valo FX'!$R:$R,MATCH($A44,'Valo FX'!$A:$A,0)),INDEX(Base!$V:$V,MATCH($A44,Base!$A:$A,0)),0)))</f>
        <v>11.890515000000001</v>
      </c>
      <c r="BC44" s="21">
        <f>IF(BC$1&lt;INDEX('Valo FX'!$Q:$Q,MATCH($A44,'Valo FX'!$A:$A,0)),0,IF(BC$1&lt;INDEX('Valo FX'!$R:$R,MATCH($A44,'Valo FX'!$A:$A,0)),INDEX(Base!$U:$U,MATCH($A44,Base!$A:$A,0)),IF(BC$1=INDEX('Valo FX'!$R:$R,MATCH($A44,'Valo FX'!$A:$A,0)),INDEX(Base!$V:$V,MATCH($A44,Base!$A:$A,0)),0)))</f>
        <v>11.890515000000001</v>
      </c>
      <c r="BD44" s="21">
        <f>IF(BD$1&lt;INDEX('Valo FX'!$Q:$Q,MATCH($A44,'Valo FX'!$A:$A,0)),0,IF(BD$1&lt;INDEX('Valo FX'!$R:$R,MATCH($A44,'Valo FX'!$A:$A,0)),INDEX(Base!$U:$U,MATCH($A44,Base!$A:$A,0)),IF(BD$1=INDEX('Valo FX'!$R:$R,MATCH($A44,'Valo FX'!$A:$A,0)),INDEX(Base!$V:$V,MATCH($A44,Base!$A:$A,0)),0)))</f>
        <v>11.890515000000001</v>
      </c>
      <c r="BE44" s="21">
        <f>IF(BE$1&lt;INDEX('Valo FX'!$Q:$Q,MATCH($A44,'Valo FX'!$A:$A,0)),0,IF(BE$1&lt;INDEX('Valo FX'!$R:$R,MATCH($A44,'Valo FX'!$A:$A,0)),INDEX(Base!$U:$U,MATCH($A44,Base!$A:$A,0)),IF(BE$1=INDEX('Valo FX'!$R:$R,MATCH($A44,'Valo FX'!$A:$A,0)),INDEX(Base!$V:$V,MATCH($A44,Base!$A:$A,0)),0)))</f>
        <v>11.890515000000001</v>
      </c>
      <c r="BF44" s="21">
        <f>IF(BF$1&lt;INDEX('Valo FX'!$Q:$Q,MATCH($A44,'Valo FX'!$A:$A,0)),0,IF(BF$1&lt;INDEX('Valo FX'!$R:$R,MATCH($A44,'Valo FX'!$A:$A,0)),INDEX(Base!$U:$U,MATCH($A44,Base!$A:$A,0)),IF(BF$1=INDEX('Valo FX'!$R:$R,MATCH($A44,'Valo FX'!$A:$A,0)),INDEX(Base!$V:$V,MATCH($A44,Base!$A:$A,0)),0)))</f>
        <v>11.890515000000001</v>
      </c>
      <c r="BG44" s="21">
        <f>IF(BG$1&lt;INDEX('Valo FX'!$Q:$Q,MATCH($A44,'Valo FX'!$A:$A,0)),0,IF(BG$1&lt;INDEX('Valo FX'!$R:$R,MATCH($A44,'Valo FX'!$A:$A,0)),INDEX(Base!$U:$U,MATCH($A44,Base!$A:$A,0)),IF(BG$1=INDEX('Valo FX'!$R:$R,MATCH($A44,'Valo FX'!$A:$A,0)),INDEX(Base!$V:$V,MATCH($A44,Base!$A:$A,0)),0)))</f>
        <v>11.890515000000001</v>
      </c>
      <c r="BH44" s="21">
        <f>IF(BH$1&lt;INDEX('Valo FX'!$Q:$Q,MATCH($A44,'Valo FX'!$A:$A,0)),0,IF(BH$1&lt;INDEX('Valo FX'!$R:$R,MATCH($A44,'Valo FX'!$A:$A,0)),INDEX(Base!$U:$U,MATCH($A44,Base!$A:$A,0)),IF(BH$1=INDEX('Valo FX'!$R:$R,MATCH($A44,'Valo FX'!$A:$A,0)),INDEX(Base!$V:$V,MATCH($A44,Base!$A:$A,0)),0)))</f>
        <v>11.890515000000001</v>
      </c>
      <c r="BI44" s="21">
        <f>IF(BI$1&lt;INDEX('Valo FX'!$Q:$Q,MATCH($A44,'Valo FX'!$A:$A,0)),0,IF(BI$1&lt;INDEX('Valo FX'!$R:$R,MATCH($A44,'Valo FX'!$A:$A,0)),INDEX(Base!$U:$U,MATCH($A44,Base!$A:$A,0)),IF(BI$1=INDEX('Valo FX'!$R:$R,MATCH($A44,'Valo FX'!$A:$A,0)),INDEX(Base!$V:$V,MATCH($A44,Base!$A:$A,0)),0)))</f>
        <v>11.890515000000001</v>
      </c>
      <c r="BJ44" s="21">
        <f>IF(BJ$1&lt;INDEX('Valo FX'!$Q:$Q,MATCH($A44,'Valo FX'!$A:$A,0)),0,IF(BJ$1&lt;INDEX('Valo FX'!$R:$R,MATCH($A44,'Valo FX'!$A:$A,0)),INDEX(Base!$U:$U,MATCH($A44,Base!$A:$A,0)),IF(BJ$1=INDEX('Valo FX'!$R:$R,MATCH($A44,'Valo FX'!$A:$A,0)),INDEX(Base!$V:$V,MATCH($A44,Base!$A:$A,0)),0)))</f>
        <v>11.890515000000001</v>
      </c>
      <c r="BK44" s="21">
        <f>IF(BK$1&lt;INDEX('Valo FX'!$Q:$Q,MATCH($A44,'Valo FX'!$A:$A,0)),0,IF(BK$1&lt;INDEX('Valo FX'!$R:$R,MATCH($A44,'Valo FX'!$A:$A,0)),INDEX(Base!$U:$U,MATCH($A44,Base!$A:$A,0)),IF(BK$1=INDEX('Valo FX'!$R:$R,MATCH($A44,'Valo FX'!$A:$A,0)),INDEX(Base!$V:$V,MATCH($A44,Base!$A:$A,0)),0)))</f>
        <v>11.890515000000001</v>
      </c>
      <c r="BL44" s="21">
        <f>IF(BL$1&lt;INDEX('Valo FX'!$Q:$Q,MATCH($A44,'Valo FX'!$A:$A,0)),0,IF(BL$1&lt;INDEX('Valo FX'!$R:$R,MATCH($A44,'Valo FX'!$A:$A,0)),INDEX(Base!$U:$U,MATCH($A44,Base!$A:$A,0)),IF(BL$1=INDEX('Valo FX'!$R:$R,MATCH($A44,'Valo FX'!$A:$A,0)),INDEX(Base!$V:$V,MATCH($A44,Base!$A:$A,0)),0)))</f>
        <v>11.890515000000001</v>
      </c>
      <c r="BM44" s="21">
        <f>IF(BM$1&lt;INDEX('Valo FX'!$Q:$Q,MATCH($A44,'Valo FX'!$A:$A,0)),0,IF(BM$1&lt;INDEX('Valo FX'!$R:$R,MATCH($A44,'Valo FX'!$A:$A,0)),INDEX(Base!$U:$U,MATCH($A44,Base!$A:$A,0)),IF(BM$1=INDEX('Valo FX'!$R:$R,MATCH($A44,'Valo FX'!$A:$A,0)),INDEX(Base!$V:$V,MATCH($A44,Base!$A:$A,0)),0)))</f>
        <v>11.890515000000001</v>
      </c>
      <c r="BN44" s="21">
        <f>IF(BN$1&lt;INDEX('Valo FX'!$Q:$Q,MATCH($A44,'Valo FX'!$A:$A,0)),0,IF(BN$1&lt;INDEX('Valo FX'!$R:$R,MATCH($A44,'Valo FX'!$A:$A,0)),INDEX(Base!$U:$U,MATCH($A44,Base!$A:$A,0)),IF(BN$1=INDEX('Valo FX'!$R:$R,MATCH($A44,'Valo FX'!$A:$A,0)),INDEX(Base!$V:$V,MATCH($A44,Base!$A:$A,0)),0)))</f>
        <v>11.890515000000001</v>
      </c>
      <c r="BO44" s="21">
        <f>IF(BO$1&lt;INDEX('Valo FX'!$Q:$Q,MATCH($A44,'Valo FX'!$A:$A,0)),0,IF(BO$1&lt;INDEX('Valo FX'!$R:$R,MATCH($A44,'Valo FX'!$A:$A,0)),INDEX(Base!$U:$U,MATCH($A44,Base!$A:$A,0)),IF(BO$1=INDEX('Valo FX'!$R:$R,MATCH($A44,'Valo FX'!$A:$A,0)),INDEX(Base!$V:$V,MATCH($A44,Base!$A:$A,0)),0)))</f>
        <v>11.890515000000001</v>
      </c>
      <c r="BP44" s="21">
        <f>IF(BP$1&lt;INDEX('Valo FX'!$Q:$Q,MATCH($A44,'Valo FX'!$A:$A,0)),0,IF(BP$1&lt;INDEX('Valo FX'!$R:$R,MATCH($A44,'Valo FX'!$A:$A,0)),INDEX(Base!$U:$U,MATCH($A44,Base!$A:$A,0)),IF(BP$1=INDEX('Valo FX'!$R:$R,MATCH($A44,'Valo FX'!$A:$A,0)),INDEX(Base!$V:$V,MATCH($A44,Base!$A:$A,0)),0)))</f>
        <v>11.890515000000001</v>
      </c>
      <c r="BQ44" s="21">
        <f>IF(BQ$1&lt;INDEX('Valo FX'!$Q:$Q,MATCH($A44,'Valo FX'!$A:$A,0)),0,IF(BQ$1&lt;INDEX('Valo FX'!$R:$R,MATCH($A44,'Valo FX'!$A:$A,0)),INDEX(Base!$U:$U,MATCH($A44,Base!$A:$A,0)),IF(BQ$1=INDEX('Valo FX'!$R:$R,MATCH($A44,'Valo FX'!$A:$A,0)),INDEX(Base!$V:$V,MATCH($A44,Base!$A:$A,0)),0)))</f>
        <v>11.890515000000001</v>
      </c>
      <c r="BR44" s="21">
        <f>IF(BR$1&lt;INDEX('Valo FX'!$Q:$Q,MATCH($A44,'Valo FX'!$A:$A,0)),0,IF(BR$1&lt;INDEX('Valo FX'!$R:$R,MATCH($A44,'Valo FX'!$A:$A,0)),INDEX(Base!$U:$U,MATCH($A44,Base!$A:$A,0)),IF(BR$1=INDEX('Valo FX'!$R:$R,MATCH($A44,'Valo FX'!$A:$A,0)),INDEX(Base!$V:$V,MATCH($A44,Base!$A:$A,0)),0)))</f>
        <v>11.890515000000001</v>
      </c>
      <c r="BS44" s="21">
        <f>IF(BS$1&lt;INDEX('Valo FX'!$Q:$Q,MATCH($A44,'Valo FX'!$A:$A,0)),0,IF(BS$1&lt;INDEX('Valo FX'!$R:$R,MATCH($A44,'Valo FX'!$A:$A,0)),INDEX(Base!$U:$U,MATCH($A44,Base!$A:$A,0)),IF(BS$1=INDEX('Valo FX'!$R:$R,MATCH($A44,'Valo FX'!$A:$A,0)),INDEX(Base!$V:$V,MATCH($A44,Base!$A:$A,0)),0)))</f>
        <v>11.890515000000001</v>
      </c>
      <c r="BT44" s="21">
        <f>IF(BT$1&lt;INDEX('Valo FX'!$Q:$Q,MATCH($A44,'Valo FX'!$A:$A,0)),0,IF(BT$1&lt;INDEX('Valo FX'!$R:$R,MATCH($A44,'Valo FX'!$A:$A,0)),INDEX(Base!$U:$U,MATCH($A44,Base!$A:$A,0)),IF(BT$1=INDEX('Valo FX'!$R:$R,MATCH($A44,'Valo FX'!$A:$A,0)),INDEX(Base!$V:$V,MATCH($A44,Base!$A:$A,0)),0)))</f>
        <v>11.890515000000001</v>
      </c>
      <c r="BU44" s="21">
        <f>IF(BU$1&lt;INDEX('Valo FX'!$Q:$Q,MATCH($A44,'Valo FX'!$A:$A,0)),0,IF(BU$1&lt;INDEX('Valo FX'!$R:$R,MATCH($A44,'Valo FX'!$A:$A,0)),INDEX(Base!$U:$U,MATCH($A44,Base!$A:$A,0)),IF(BU$1=INDEX('Valo FX'!$R:$R,MATCH($A44,'Valo FX'!$A:$A,0)),INDEX(Base!$V:$V,MATCH($A44,Base!$A:$A,0)),0)))</f>
        <v>11.890515000000001</v>
      </c>
      <c r="BV44" s="21">
        <f>IF(BV$1&lt;INDEX('Valo FX'!$Q:$Q,MATCH($A44,'Valo FX'!$A:$A,0)),0,IF(BV$1&lt;INDEX('Valo FX'!$R:$R,MATCH($A44,'Valo FX'!$A:$A,0)),INDEX(Base!$U:$U,MATCH($A44,Base!$A:$A,0)),IF(BV$1=INDEX('Valo FX'!$R:$R,MATCH($A44,'Valo FX'!$A:$A,0)),INDEX(Base!$V:$V,MATCH($A44,Base!$A:$A,0)),0)))</f>
        <v>11.890515000000001</v>
      </c>
      <c r="BW44" s="21">
        <f>IF(BW$1&lt;INDEX('Valo FX'!$Q:$Q,MATCH($A44,'Valo FX'!$A:$A,0)),0,IF(BW$1&lt;INDEX('Valo FX'!$R:$R,MATCH($A44,'Valo FX'!$A:$A,0)),INDEX(Base!$U:$U,MATCH($A44,Base!$A:$A,0)),IF(BW$1=INDEX('Valo FX'!$R:$R,MATCH($A44,'Valo FX'!$A:$A,0)),INDEX(Base!$V:$V,MATCH($A44,Base!$A:$A,0)),0)))</f>
        <v>11.890515000000001</v>
      </c>
      <c r="BX44" s="21">
        <f>IF(BX$1&lt;INDEX('Valo FX'!$Q:$Q,MATCH($A44,'Valo FX'!$A:$A,0)),0,IF(BX$1&lt;INDEX('Valo FX'!$R:$R,MATCH($A44,'Valo FX'!$A:$A,0)),INDEX(Base!$U:$U,MATCH($A44,Base!$A:$A,0)),IF(BX$1=INDEX('Valo FX'!$R:$R,MATCH($A44,'Valo FX'!$A:$A,0)),INDEX(Base!$V:$V,MATCH($A44,Base!$A:$A,0)),0)))</f>
        <v>11.890515000000001</v>
      </c>
      <c r="BY44" s="21">
        <f>IF(BY$1&lt;INDEX('Valo FX'!$Q:$Q,MATCH($A44,'Valo FX'!$A:$A,0)),0,IF(BY$1&lt;INDEX('Valo FX'!$R:$R,MATCH($A44,'Valo FX'!$A:$A,0)),INDEX(Base!$U:$U,MATCH($A44,Base!$A:$A,0)),IF(BY$1=INDEX('Valo FX'!$R:$R,MATCH($A44,'Valo FX'!$A:$A,0)),INDEX(Base!$V:$V,MATCH($A44,Base!$A:$A,0)),0)))</f>
        <v>11.890515000000001</v>
      </c>
      <c r="BZ44" s="21">
        <f>IF(BZ$1&lt;INDEX('Valo FX'!$Q:$Q,MATCH($A44,'Valo FX'!$A:$A,0)),0,IF(BZ$1&lt;INDEX('Valo FX'!$R:$R,MATCH($A44,'Valo FX'!$A:$A,0)),INDEX(Base!$U:$U,MATCH($A44,Base!$A:$A,0)),IF(BZ$1=INDEX('Valo FX'!$R:$R,MATCH($A44,'Valo FX'!$A:$A,0)),INDEX(Base!$V:$V,MATCH($A44,Base!$A:$A,0)),0)))</f>
        <v>11.890515000000001</v>
      </c>
      <c r="CA44" s="21">
        <f>IF(CA$1&lt;INDEX('Valo FX'!$Q:$Q,MATCH($A44,'Valo FX'!$A:$A,0)),0,IF(CA$1&lt;INDEX('Valo FX'!$R:$R,MATCH($A44,'Valo FX'!$A:$A,0)),INDEX(Base!$U:$U,MATCH($A44,Base!$A:$A,0)),IF(CA$1=INDEX('Valo FX'!$R:$R,MATCH($A44,'Valo FX'!$A:$A,0)),INDEX(Base!$V:$V,MATCH($A44,Base!$A:$A,0)),0)))</f>
        <v>11.890515000000001</v>
      </c>
      <c r="CB44" s="21">
        <f>IF(CB$1&lt;INDEX('Valo FX'!$Q:$Q,MATCH($A44,'Valo FX'!$A:$A,0)),0,IF(CB$1&lt;INDEX('Valo FX'!$R:$R,MATCH($A44,'Valo FX'!$A:$A,0)),INDEX(Base!$U:$U,MATCH($A44,Base!$A:$A,0)),IF(CB$1=INDEX('Valo FX'!$R:$R,MATCH($A44,'Valo FX'!$A:$A,0)),INDEX(Base!$V:$V,MATCH($A44,Base!$A:$A,0)),0)))</f>
        <v>11.890515000000001</v>
      </c>
      <c r="CC44" s="21">
        <f>IF(CC$1&lt;INDEX('Valo FX'!$Q:$Q,MATCH($A44,'Valo FX'!$A:$A,0)),0,IF(CC$1&lt;INDEX('Valo FX'!$R:$R,MATCH($A44,'Valo FX'!$A:$A,0)),INDEX(Base!$U:$U,MATCH($A44,Base!$A:$A,0)),IF(CC$1=INDEX('Valo FX'!$R:$R,MATCH($A44,'Valo FX'!$A:$A,0)),INDEX(Base!$V:$V,MATCH($A44,Base!$A:$A,0)),0)))</f>
        <v>11.890515000000001</v>
      </c>
      <c r="CD44" s="21">
        <f>IF(CD$1&lt;INDEX('Valo FX'!$Q:$Q,MATCH($A44,'Valo FX'!$A:$A,0)),0,IF(CD$1&lt;INDEX('Valo FX'!$R:$R,MATCH($A44,'Valo FX'!$A:$A,0)),INDEX(Base!$U:$U,MATCH($A44,Base!$A:$A,0)),IF(CD$1=INDEX('Valo FX'!$R:$R,MATCH($A44,'Valo FX'!$A:$A,0)),INDEX(Base!$V:$V,MATCH($A44,Base!$A:$A,0)),0)))</f>
        <v>11.890515000000001</v>
      </c>
      <c r="CE44" s="21">
        <f>IF(CE$1&lt;INDEX('Valo FX'!$Q:$Q,MATCH($A44,'Valo FX'!$A:$A,0)),0,IF(CE$1&lt;INDEX('Valo FX'!$R:$R,MATCH($A44,'Valo FX'!$A:$A,0)),INDEX(Base!$U:$U,MATCH($A44,Base!$A:$A,0)),IF(CE$1=INDEX('Valo FX'!$R:$R,MATCH($A44,'Valo FX'!$A:$A,0)),INDEX(Base!$V:$V,MATCH($A44,Base!$A:$A,0)),0)))</f>
        <v>11.890515000000001</v>
      </c>
      <c r="CF44" s="21">
        <f>IF(CF$1&lt;INDEX('Valo FX'!$Q:$Q,MATCH($A44,'Valo FX'!$A:$A,0)),0,IF(CF$1&lt;INDEX('Valo FX'!$R:$R,MATCH($A44,'Valo FX'!$A:$A,0)),INDEX(Base!$U:$U,MATCH($A44,Base!$A:$A,0)),IF(CF$1=INDEX('Valo FX'!$R:$R,MATCH($A44,'Valo FX'!$A:$A,0)),INDEX(Base!$V:$V,MATCH($A44,Base!$A:$A,0)),0)))</f>
        <v>11.890515000000001</v>
      </c>
      <c r="CG44" s="21">
        <f>IF(CG$1&lt;INDEX('Valo FX'!$Q:$Q,MATCH($A44,'Valo FX'!$A:$A,0)),0,IF(CG$1&lt;INDEX('Valo FX'!$R:$R,MATCH($A44,'Valo FX'!$A:$A,0)),INDEX(Base!$U:$U,MATCH($A44,Base!$A:$A,0)),IF(CG$1=INDEX('Valo FX'!$R:$R,MATCH($A44,'Valo FX'!$A:$A,0)),INDEX(Base!$V:$V,MATCH($A44,Base!$A:$A,0)),0)))</f>
        <v>11.890515000000001</v>
      </c>
      <c r="CH44" s="21">
        <f>IF(CH$1&lt;INDEX('Valo FX'!$Q:$Q,MATCH($A44,'Valo FX'!$A:$A,0)),0,IF(CH$1&lt;INDEX('Valo FX'!$R:$R,MATCH($A44,'Valo FX'!$A:$A,0)),INDEX(Base!$U:$U,MATCH($A44,Base!$A:$A,0)),IF(CH$1=INDEX('Valo FX'!$R:$R,MATCH($A44,'Valo FX'!$A:$A,0)),INDEX(Base!$V:$V,MATCH($A44,Base!$A:$A,0)),0)))</f>
        <v>11.890515000000001</v>
      </c>
      <c r="CI44" s="21">
        <f>IF(CI$1&lt;INDEX('Valo FX'!$Q:$Q,MATCH($A44,'Valo FX'!$A:$A,0)),0,IF(CI$1&lt;INDEX('Valo FX'!$R:$R,MATCH($A44,'Valo FX'!$A:$A,0)),INDEX(Base!$U:$U,MATCH($A44,Base!$A:$A,0)),IF(CI$1=INDEX('Valo FX'!$R:$R,MATCH($A44,'Valo FX'!$A:$A,0)),INDEX(Base!$V:$V,MATCH($A44,Base!$A:$A,0)),0)))</f>
        <v>11.890515000000001</v>
      </c>
      <c r="CJ44" s="21">
        <f>IF(CJ$1&lt;INDEX('Valo FX'!$Q:$Q,MATCH($A44,'Valo FX'!$A:$A,0)),0,IF(CJ$1&lt;INDEX('Valo FX'!$R:$R,MATCH($A44,'Valo FX'!$A:$A,0)),INDEX(Base!$U:$U,MATCH($A44,Base!$A:$A,0)),IF(CJ$1=INDEX('Valo FX'!$R:$R,MATCH($A44,'Valo FX'!$A:$A,0)),INDEX(Base!$V:$V,MATCH($A44,Base!$A:$A,0)),0)))</f>
        <v>11.890515000000001</v>
      </c>
      <c r="CK44" s="21">
        <f>IF(CK$1&lt;INDEX('Valo FX'!$Q:$Q,MATCH($A44,'Valo FX'!$A:$A,0)),0,IF(CK$1&lt;INDEX('Valo FX'!$R:$R,MATCH($A44,'Valo FX'!$A:$A,0)),INDEX(Base!$U:$U,MATCH($A44,Base!$A:$A,0)),IF(CK$1=INDEX('Valo FX'!$R:$R,MATCH($A44,'Valo FX'!$A:$A,0)),INDEX(Base!$V:$V,MATCH($A44,Base!$A:$A,0)),0)))</f>
        <v>11.890515000000001</v>
      </c>
      <c r="CL44" s="21">
        <f>IF(CL$1&lt;INDEX('Valo FX'!$Q:$Q,MATCH($A44,'Valo FX'!$A:$A,0)),0,IF(CL$1&lt;INDEX('Valo FX'!$R:$R,MATCH($A44,'Valo FX'!$A:$A,0)),INDEX(Base!$U:$U,MATCH($A44,Base!$A:$A,0)),IF(CL$1=INDEX('Valo FX'!$R:$R,MATCH($A44,'Valo FX'!$A:$A,0)),INDEX(Base!$V:$V,MATCH($A44,Base!$A:$A,0)),0)))</f>
        <v>11.890515000000001</v>
      </c>
      <c r="CM44" s="21">
        <f>IF(CM$1&lt;INDEX('Valo FX'!$Q:$Q,MATCH($A44,'Valo FX'!$A:$A,0)),0,IF(CM$1&lt;INDEX('Valo FX'!$R:$R,MATCH($A44,'Valo FX'!$A:$A,0)),INDEX(Base!$U:$U,MATCH($A44,Base!$A:$A,0)),IF(CM$1=INDEX('Valo FX'!$R:$R,MATCH($A44,'Valo FX'!$A:$A,0)),INDEX(Base!$V:$V,MATCH($A44,Base!$A:$A,0)),0)))</f>
        <v>11.890515000000001</v>
      </c>
      <c r="CN44" s="21">
        <f>IF(CN$1&lt;INDEX('Valo FX'!$Q:$Q,MATCH($A44,'Valo FX'!$A:$A,0)),0,IF(CN$1&lt;INDEX('Valo FX'!$R:$R,MATCH($A44,'Valo FX'!$A:$A,0)),INDEX(Base!$U:$U,MATCH($A44,Base!$A:$A,0)),IF(CN$1=INDEX('Valo FX'!$R:$R,MATCH($A44,'Valo FX'!$A:$A,0)),INDEX(Base!$V:$V,MATCH($A44,Base!$A:$A,0)),0)))</f>
        <v>11.890515000000001</v>
      </c>
      <c r="CO44" s="21">
        <f>IF(CO$1&lt;INDEX('Valo FX'!$Q:$Q,MATCH($A44,'Valo FX'!$A:$A,0)),0,IF(CO$1&lt;INDEX('Valo FX'!$R:$R,MATCH($A44,'Valo FX'!$A:$A,0)),INDEX(Base!$U:$U,MATCH($A44,Base!$A:$A,0)),IF(CO$1=INDEX('Valo FX'!$R:$R,MATCH($A44,'Valo FX'!$A:$A,0)),INDEX(Base!$V:$V,MATCH($A44,Base!$A:$A,0)),0)))</f>
        <v>11.890515000000001</v>
      </c>
      <c r="CP44" s="21">
        <f>IF(CP$1&lt;INDEX('Valo FX'!$Q:$Q,MATCH($A44,'Valo FX'!$A:$A,0)),0,IF(CP$1&lt;INDEX('Valo FX'!$R:$R,MATCH($A44,'Valo FX'!$A:$A,0)),INDEX(Base!$U:$U,MATCH($A44,Base!$A:$A,0)),IF(CP$1=INDEX('Valo FX'!$R:$R,MATCH($A44,'Valo FX'!$A:$A,0)),INDEX(Base!$V:$V,MATCH($A44,Base!$A:$A,0)),0)))</f>
        <v>11.890515000000001</v>
      </c>
      <c r="CQ44" s="21">
        <f>IF(CQ$1&lt;INDEX('Valo FX'!$Q:$Q,MATCH($A44,'Valo FX'!$A:$A,0)),0,IF(CQ$1&lt;INDEX('Valo FX'!$R:$R,MATCH($A44,'Valo FX'!$A:$A,0)),INDEX(Base!$U:$U,MATCH($A44,Base!$A:$A,0)),IF(CQ$1=INDEX('Valo FX'!$R:$R,MATCH($A44,'Valo FX'!$A:$A,0)),INDEX(Base!$V:$V,MATCH($A44,Base!$A:$A,0)),0)))</f>
        <v>11.890515000000001</v>
      </c>
      <c r="CR44" s="21">
        <f>IF(CR$1&lt;INDEX('Valo FX'!$Q:$Q,MATCH($A44,'Valo FX'!$A:$A,0)),0,IF(CR$1&lt;INDEX('Valo FX'!$R:$R,MATCH($A44,'Valo FX'!$A:$A,0)),INDEX(Base!$U:$U,MATCH($A44,Base!$A:$A,0)),IF(CR$1=INDEX('Valo FX'!$R:$R,MATCH($A44,'Valo FX'!$A:$A,0)),INDEX(Base!$V:$V,MATCH($A44,Base!$A:$A,0)),0)))</f>
        <v>11.890515000000001</v>
      </c>
      <c r="CS44" s="21">
        <f>IF(CS$1&lt;INDEX('Valo FX'!$Q:$Q,MATCH($A44,'Valo FX'!$A:$A,0)),0,IF(CS$1&lt;INDEX('Valo FX'!$R:$R,MATCH($A44,'Valo FX'!$A:$A,0)),INDEX(Base!$U:$U,MATCH($A44,Base!$A:$A,0)),IF(CS$1=INDEX('Valo FX'!$R:$R,MATCH($A44,'Valo FX'!$A:$A,0)),INDEX(Base!$V:$V,MATCH($A44,Base!$A:$A,0)),0)))</f>
        <v>11.890515000000001</v>
      </c>
      <c r="CT44" s="21">
        <f>IF(CT$1&lt;INDEX('Valo FX'!$Q:$Q,MATCH($A44,'Valo FX'!$A:$A,0)),0,IF(CT$1&lt;INDEX('Valo FX'!$R:$R,MATCH($A44,'Valo FX'!$A:$A,0)),INDEX(Base!$U:$U,MATCH($A44,Base!$A:$A,0)),IF(CT$1=INDEX('Valo FX'!$R:$R,MATCH($A44,'Valo FX'!$A:$A,0)),INDEX(Base!$V:$V,MATCH($A44,Base!$A:$A,0)),0)))</f>
        <v>11.890515000000001</v>
      </c>
      <c r="CU44" s="21">
        <f>IF(CU$1&lt;INDEX('Valo FX'!$Q:$Q,MATCH($A44,'Valo FX'!$A:$A,0)),0,IF(CU$1&lt;INDEX('Valo FX'!$R:$R,MATCH($A44,'Valo FX'!$A:$A,0)),INDEX(Base!$U:$U,MATCH($A44,Base!$A:$A,0)),IF(CU$1=INDEX('Valo FX'!$R:$R,MATCH($A44,'Valo FX'!$A:$A,0)),INDEX(Base!$V:$V,MATCH($A44,Base!$A:$A,0)),0)))</f>
        <v>11.890515000000001</v>
      </c>
      <c r="CV44" s="21">
        <f>IF(CV$1&lt;INDEX('Valo FX'!$Q:$Q,MATCH($A44,'Valo FX'!$A:$A,0)),0,IF(CV$1&lt;INDEX('Valo FX'!$R:$R,MATCH($A44,'Valo FX'!$A:$A,0)),INDEX(Base!$U:$U,MATCH($A44,Base!$A:$A,0)),IF(CV$1=INDEX('Valo FX'!$R:$R,MATCH($A44,'Valo FX'!$A:$A,0)),INDEX(Base!$V:$V,MATCH($A44,Base!$A:$A,0)),0)))</f>
        <v>11.890515000000001</v>
      </c>
      <c r="CW44" s="21">
        <f>IF(CW$1&lt;INDEX('Valo FX'!$Q:$Q,MATCH($A44,'Valo FX'!$A:$A,0)),0,IF(CW$1&lt;INDEX('Valo FX'!$R:$R,MATCH($A44,'Valo FX'!$A:$A,0)),INDEX(Base!$U:$U,MATCH($A44,Base!$A:$A,0)),IF(CW$1=INDEX('Valo FX'!$R:$R,MATCH($A44,'Valo FX'!$A:$A,0)),INDEX(Base!$V:$V,MATCH($A44,Base!$A:$A,0)),0)))</f>
        <v>11.890515000000001</v>
      </c>
      <c r="CX44" s="21">
        <f>IF(CX$1&lt;INDEX('Valo FX'!$Q:$Q,MATCH($A44,'Valo FX'!$A:$A,0)),0,IF(CX$1&lt;INDEX('Valo FX'!$R:$R,MATCH($A44,'Valo FX'!$A:$A,0)),INDEX(Base!$U:$U,MATCH($A44,Base!$A:$A,0)),IF(CX$1=INDEX('Valo FX'!$R:$R,MATCH($A44,'Valo FX'!$A:$A,0)),INDEX(Base!$V:$V,MATCH($A44,Base!$A:$A,0)),0)))</f>
        <v>11.890515000000001</v>
      </c>
      <c r="CY44" s="21">
        <f>IF(CY$1&lt;INDEX('Valo FX'!$Q:$Q,MATCH($A44,'Valo FX'!$A:$A,0)),0,IF(CY$1&lt;INDEX('Valo FX'!$R:$R,MATCH($A44,'Valo FX'!$A:$A,0)),INDEX(Base!$U:$U,MATCH($A44,Base!$A:$A,0)),IF(CY$1=INDEX('Valo FX'!$R:$R,MATCH($A44,'Valo FX'!$A:$A,0)),INDEX(Base!$V:$V,MATCH($A44,Base!$A:$A,0)),0)))</f>
        <v>11.890515000000001</v>
      </c>
      <c r="CZ44" s="21">
        <f>IF(CZ$1&lt;INDEX('Valo FX'!$Q:$Q,MATCH($A44,'Valo FX'!$A:$A,0)),0,IF(CZ$1&lt;INDEX('Valo FX'!$R:$R,MATCH($A44,'Valo FX'!$A:$A,0)),INDEX(Base!$U:$U,MATCH($A44,Base!$A:$A,0)),IF(CZ$1=INDEX('Valo FX'!$R:$R,MATCH($A44,'Valo FX'!$A:$A,0)),INDEX(Base!$V:$V,MATCH($A44,Base!$A:$A,0)),0)))</f>
        <v>11.890515000000001</v>
      </c>
      <c r="DA44" s="21">
        <f>IF(DA$1&lt;INDEX('Valo FX'!$Q:$Q,MATCH($A44,'Valo FX'!$A:$A,0)),0,IF(DA$1&lt;INDEX('Valo FX'!$R:$R,MATCH($A44,'Valo FX'!$A:$A,0)),INDEX(Base!$U:$U,MATCH($A44,Base!$A:$A,0)),IF(DA$1=INDEX('Valo FX'!$R:$R,MATCH($A44,'Valo FX'!$A:$A,0)),INDEX(Base!$V:$V,MATCH($A44,Base!$A:$A,0)),0)))</f>
        <v>11.890515000000001</v>
      </c>
      <c r="DB44" s="21">
        <f>IF(DB$1&lt;INDEX('Valo FX'!$Q:$Q,MATCH($A44,'Valo FX'!$A:$A,0)),0,IF(DB$1&lt;INDEX('Valo FX'!$R:$R,MATCH($A44,'Valo FX'!$A:$A,0)),INDEX(Base!$U:$U,MATCH($A44,Base!$A:$A,0)),IF(DB$1=INDEX('Valo FX'!$R:$R,MATCH($A44,'Valo FX'!$A:$A,0)),INDEX(Base!$V:$V,MATCH($A44,Base!$A:$A,0)),0)))</f>
        <v>11.890515000000001</v>
      </c>
      <c r="DC44" s="21">
        <f>IF(DC$1&lt;INDEX('Valo FX'!$Q:$Q,MATCH($A44,'Valo FX'!$A:$A,0)),0,IF(DC$1&lt;INDEX('Valo FX'!$R:$R,MATCH($A44,'Valo FX'!$A:$A,0)),INDEX(Base!$U:$U,MATCH($A44,Base!$A:$A,0)),IF(DC$1=INDEX('Valo FX'!$R:$R,MATCH($A44,'Valo FX'!$A:$A,0)),INDEX(Base!$V:$V,MATCH($A44,Base!$A:$A,0)),0)))</f>
        <v>11.890515000000001</v>
      </c>
      <c r="DD44" s="21">
        <f>IF(DD$1&lt;INDEX('Valo FX'!$Q:$Q,MATCH($A44,'Valo FX'!$A:$A,0)),0,IF(DD$1&lt;INDEX('Valo FX'!$R:$R,MATCH($A44,'Valo FX'!$A:$A,0)),INDEX(Base!$U:$U,MATCH($A44,Base!$A:$A,0)),IF(DD$1=INDEX('Valo FX'!$R:$R,MATCH($A44,'Valo FX'!$A:$A,0)),INDEX(Base!$V:$V,MATCH($A44,Base!$A:$A,0)),0)))</f>
        <v>11.890515000000001</v>
      </c>
      <c r="DE44" s="21">
        <f>IF(DE$1&lt;INDEX('Valo FX'!$Q:$Q,MATCH($A44,'Valo FX'!$A:$A,0)),0,IF(DE$1&lt;INDEX('Valo FX'!$R:$R,MATCH($A44,'Valo FX'!$A:$A,0)),INDEX(Base!$U:$U,MATCH($A44,Base!$A:$A,0)),IF(DE$1=INDEX('Valo FX'!$R:$R,MATCH($A44,'Valo FX'!$A:$A,0)),INDEX(Base!$V:$V,MATCH($A44,Base!$A:$A,0)),0)))</f>
        <v>11.890515000000001</v>
      </c>
      <c r="DF44" s="21">
        <f>IF(DF$1&lt;INDEX('Valo FX'!$Q:$Q,MATCH($A44,'Valo FX'!$A:$A,0)),0,IF(DF$1&lt;INDEX('Valo FX'!$R:$R,MATCH($A44,'Valo FX'!$A:$A,0)),INDEX(Base!$U:$U,MATCH($A44,Base!$A:$A,0)),IF(DF$1=INDEX('Valo FX'!$R:$R,MATCH($A44,'Valo FX'!$A:$A,0)),INDEX(Base!$V:$V,MATCH($A44,Base!$A:$A,0)),0)))</f>
        <v>11.890515000000001</v>
      </c>
      <c r="DG44" s="21">
        <f>IF(DG$1&lt;INDEX('Valo FX'!$Q:$Q,MATCH($A44,'Valo FX'!$A:$A,0)),0,IF(DG$1&lt;INDEX('Valo FX'!$R:$R,MATCH($A44,'Valo FX'!$A:$A,0)),INDEX(Base!$U:$U,MATCH($A44,Base!$A:$A,0)),IF(DG$1=INDEX('Valo FX'!$R:$R,MATCH($A44,'Valo FX'!$A:$A,0)),INDEX(Base!$V:$V,MATCH($A44,Base!$A:$A,0)),0)))</f>
        <v>11.890515000000001</v>
      </c>
      <c r="DH44" s="21">
        <f>IF(DH$1&lt;INDEX('Valo FX'!$Q:$Q,MATCH($A44,'Valo FX'!$A:$A,0)),0,IF(DH$1&lt;INDEX('Valo FX'!$R:$R,MATCH($A44,'Valo FX'!$A:$A,0)),INDEX(Base!$U:$U,MATCH($A44,Base!$A:$A,0)),IF(DH$1=INDEX('Valo FX'!$R:$R,MATCH($A44,'Valo FX'!$A:$A,0)),INDEX(Base!$V:$V,MATCH($A44,Base!$A:$A,0)),0)))</f>
        <v>11.890515000000001</v>
      </c>
      <c r="DI44" s="21">
        <f>IF(DI$1&lt;INDEX('Valo FX'!$Q:$Q,MATCH($A44,'Valo FX'!$A:$A,0)),0,IF(DI$1&lt;INDEX('Valo FX'!$R:$R,MATCH($A44,'Valo FX'!$A:$A,0)),INDEX(Base!$U:$U,MATCH($A44,Base!$A:$A,0)),IF(DI$1=INDEX('Valo FX'!$R:$R,MATCH($A44,'Valo FX'!$A:$A,0)),INDEX(Base!$V:$V,MATCH($A44,Base!$A:$A,0)),0)))</f>
        <v>11.890515000000001</v>
      </c>
      <c r="DJ44" s="21">
        <f>IF(DJ$1&lt;INDEX('Valo FX'!$Q:$Q,MATCH($A44,'Valo FX'!$A:$A,0)),0,IF(DJ$1&lt;INDEX('Valo FX'!$R:$R,MATCH($A44,'Valo FX'!$A:$A,0)),INDEX(Base!$U:$U,MATCH($A44,Base!$A:$A,0)),IF(DJ$1=INDEX('Valo FX'!$R:$R,MATCH($A44,'Valo FX'!$A:$A,0)),INDEX(Base!$V:$V,MATCH($A44,Base!$A:$A,0)),0)))</f>
        <v>11.890515000000001</v>
      </c>
      <c r="DK44" s="21">
        <f>IF(DK$1&lt;INDEX('Valo FX'!$Q:$Q,MATCH($A44,'Valo FX'!$A:$A,0)),0,IF(DK$1&lt;INDEX('Valo FX'!$R:$R,MATCH($A44,'Valo FX'!$A:$A,0)),INDEX(Base!$U:$U,MATCH($A44,Base!$A:$A,0)),IF(DK$1=INDEX('Valo FX'!$R:$R,MATCH($A44,'Valo FX'!$A:$A,0)),INDEX(Base!$V:$V,MATCH($A44,Base!$A:$A,0)),0)))</f>
        <v>11.890515000000001</v>
      </c>
      <c r="DL44" s="21">
        <f>IF(DL$1&lt;INDEX('Valo FX'!$Q:$Q,MATCH($A44,'Valo FX'!$A:$A,0)),0,IF(DL$1&lt;INDEX('Valo FX'!$R:$R,MATCH($A44,'Valo FX'!$A:$A,0)),INDEX(Base!$U:$U,MATCH($A44,Base!$A:$A,0)),IF(DL$1=INDEX('Valo FX'!$R:$R,MATCH($A44,'Valo FX'!$A:$A,0)),INDEX(Base!$V:$V,MATCH($A44,Base!$A:$A,0)),0)))</f>
        <v>11.890515000000001</v>
      </c>
      <c r="DM44" s="21">
        <f>IF(DM$1&lt;INDEX('Valo FX'!$Q:$Q,MATCH($A44,'Valo FX'!$A:$A,0)),0,IF(DM$1&lt;INDEX('Valo FX'!$R:$R,MATCH($A44,'Valo FX'!$A:$A,0)),INDEX(Base!$U:$U,MATCH($A44,Base!$A:$A,0)),IF(DM$1=INDEX('Valo FX'!$R:$R,MATCH($A44,'Valo FX'!$A:$A,0)),INDEX(Base!$V:$V,MATCH($A44,Base!$A:$A,0)),0)))</f>
        <v>11.890515000000001</v>
      </c>
      <c r="DN44" s="21">
        <f>IF(DN$1&lt;INDEX('Valo FX'!$Q:$Q,MATCH($A44,'Valo FX'!$A:$A,0)),0,IF(DN$1&lt;INDEX('Valo FX'!$R:$R,MATCH($A44,'Valo FX'!$A:$A,0)),INDEX(Base!$U:$U,MATCH($A44,Base!$A:$A,0)),IF(DN$1=INDEX('Valo FX'!$R:$R,MATCH($A44,'Valo FX'!$A:$A,0)),INDEX(Base!$V:$V,MATCH($A44,Base!$A:$A,0)),0)))</f>
        <v>11.890515000000001</v>
      </c>
      <c r="DO44" s="21">
        <f>IF(DO$1&lt;INDEX('Valo FX'!$Q:$Q,MATCH($A44,'Valo FX'!$A:$A,0)),0,IF(DO$1&lt;INDEX('Valo FX'!$R:$R,MATCH($A44,'Valo FX'!$A:$A,0)),INDEX(Base!$U:$U,MATCH($A44,Base!$A:$A,0)),IF(DO$1=INDEX('Valo FX'!$R:$R,MATCH($A44,'Valo FX'!$A:$A,0)),INDEX(Base!$V:$V,MATCH($A44,Base!$A:$A,0)),0)))</f>
        <v>11.890515000000001</v>
      </c>
      <c r="DP44" s="21">
        <f>IF(DP$1&lt;INDEX('Valo FX'!$Q:$Q,MATCH($A44,'Valo FX'!$A:$A,0)),0,IF(DP$1&lt;INDEX('Valo FX'!$R:$R,MATCH($A44,'Valo FX'!$A:$A,0)),INDEX(Base!$U:$U,MATCH($A44,Base!$A:$A,0)),IF(DP$1=INDEX('Valo FX'!$R:$R,MATCH($A44,'Valo FX'!$A:$A,0)),INDEX(Base!$V:$V,MATCH($A44,Base!$A:$A,0)),0)))</f>
        <v>11.890515000000001</v>
      </c>
      <c r="DQ44" s="21">
        <f>IF(DQ$1&lt;INDEX('Valo FX'!$Q:$Q,MATCH($A44,'Valo FX'!$A:$A,0)),0,IF(DQ$1&lt;INDEX('Valo FX'!$R:$R,MATCH($A44,'Valo FX'!$A:$A,0)),INDEX(Base!$U:$U,MATCH($A44,Base!$A:$A,0)),IF(DQ$1=INDEX('Valo FX'!$R:$R,MATCH($A44,'Valo FX'!$A:$A,0)),INDEX(Base!$V:$V,MATCH($A44,Base!$A:$A,0)),0)))</f>
        <v>11.890515000000001</v>
      </c>
      <c r="DR44" s="21">
        <f>IF(DR$1&lt;INDEX('Valo FX'!$Q:$Q,MATCH($A44,'Valo FX'!$A:$A,0)),0,IF(DR$1&lt;INDEX('Valo FX'!$R:$R,MATCH($A44,'Valo FX'!$A:$A,0)),INDEX(Base!$U:$U,MATCH($A44,Base!$A:$A,0)),IF(DR$1=INDEX('Valo FX'!$R:$R,MATCH($A44,'Valo FX'!$A:$A,0)),INDEX(Base!$V:$V,MATCH($A44,Base!$A:$A,0)),0)))</f>
        <v>11.890515000000001</v>
      </c>
      <c r="DS44" s="21">
        <f>IF(DS$1&lt;INDEX('Valo FX'!$Q:$Q,MATCH($A44,'Valo FX'!$A:$A,0)),0,IF(DS$1&lt;INDEX('Valo FX'!$R:$R,MATCH($A44,'Valo FX'!$A:$A,0)),INDEX(Base!$U:$U,MATCH($A44,Base!$A:$A,0)),IF(DS$1=INDEX('Valo FX'!$R:$R,MATCH($A44,'Valo FX'!$A:$A,0)),INDEX(Base!$V:$V,MATCH($A44,Base!$A:$A,0)),0)))</f>
        <v>11.890515000000001</v>
      </c>
      <c r="DT44" s="21">
        <f>IF(DT$1&lt;INDEX('Valo FX'!$Q:$Q,MATCH($A44,'Valo FX'!$A:$A,0)),0,IF(DT$1&lt;INDEX('Valo FX'!$R:$R,MATCH($A44,'Valo FX'!$A:$A,0)),INDEX(Base!$U:$U,MATCH($A44,Base!$A:$A,0)),IF(DT$1=INDEX('Valo FX'!$R:$R,MATCH($A44,'Valo FX'!$A:$A,0)),INDEX(Base!$V:$V,MATCH($A44,Base!$A:$A,0)),0)))</f>
        <v>11.890515000000001</v>
      </c>
      <c r="DU44" s="21">
        <f>IF(DU$1&lt;INDEX('Valo FX'!$Q:$Q,MATCH($A44,'Valo FX'!$A:$A,0)),0,IF(DU$1&lt;INDEX('Valo FX'!$R:$R,MATCH($A44,'Valo FX'!$A:$A,0)),INDEX(Base!$U:$U,MATCH($A44,Base!$A:$A,0)),IF(DU$1=INDEX('Valo FX'!$R:$R,MATCH($A44,'Valo FX'!$A:$A,0)),INDEX(Base!$V:$V,MATCH($A44,Base!$A:$A,0)),0)))</f>
        <v>11.890515000000001</v>
      </c>
      <c r="DV44" s="21">
        <f>IF(DV$1&lt;INDEX('Valo FX'!$Q:$Q,MATCH($A44,'Valo FX'!$A:$A,0)),0,IF(DV$1&lt;INDEX('Valo FX'!$R:$R,MATCH($A44,'Valo FX'!$A:$A,0)),INDEX(Base!$U:$U,MATCH($A44,Base!$A:$A,0)),IF(DV$1=INDEX('Valo FX'!$R:$R,MATCH($A44,'Valo FX'!$A:$A,0)),INDEX(Base!$V:$V,MATCH($A44,Base!$A:$A,0)),0)))</f>
        <v>11.890515000000001</v>
      </c>
      <c r="DW44" s="21">
        <f>IF(DW$1&lt;INDEX('Valo FX'!$Q:$Q,MATCH($A44,'Valo FX'!$A:$A,0)),0,IF(DW$1&lt;INDEX('Valo FX'!$R:$R,MATCH($A44,'Valo FX'!$A:$A,0)),INDEX(Base!$U:$U,MATCH($A44,Base!$A:$A,0)),IF(DW$1=INDEX('Valo FX'!$R:$R,MATCH($A44,'Valo FX'!$A:$A,0)),INDEX(Base!$V:$V,MATCH($A44,Base!$A:$A,0)),0)))</f>
        <v>11.890515000000001</v>
      </c>
      <c r="DX44" s="21">
        <f>IF(DX$1&lt;INDEX('Valo FX'!$Q:$Q,MATCH($A44,'Valo FX'!$A:$A,0)),0,IF(DX$1&lt;INDEX('Valo FX'!$R:$R,MATCH($A44,'Valo FX'!$A:$A,0)),INDEX(Base!$U:$U,MATCH($A44,Base!$A:$A,0)),IF(DX$1=INDEX('Valo FX'!$R:$R,MATCH($A44,'Valo FX'!$A:$A,0)),INDEX(Base!$V:$V,MATCH($A44,Base!$A:$A,0)),0)))</f>
        <v>11.890515000000001</v>
      </c>
      <c r="DY44" s="21">
        <f>IF(DY$1&lt;INDEX('Valo FX'!$Q:$Q,MATCH($A44,'Valo FX'!$A:$A,0)),0,IF(DY$1&lt;INDEX('Valo FX'!$R:$R,MATCH($A44,'Valo FX'!$A:$A,0)),INDEX(Base!$U:$U,MATCH($A44,Base!$A:$A,0)),IF(DY$1=INDEX('Valo FX'!$R:$R,MATCH($A44,'Valo FX'!$A:$A,0)),INDEX(Base!$V:$V,MATCH($A44,Base!$A:$A,0)),0)))</f>
        <v>11.890515000000001</v>
      </c>
      <c r="DZ44" s="21">
        <f>IF(DZ$1&lt;INDEX('Valo FX'!$Q:$Q,MATCH($A44,'Valo FX'!$A:$A,0)),0,IF(DZ$1&lt;INDEX('Valo FX'!$R:$R,MATCH($A44,'Valo FX'!$A:$A,0)),INDEX(Base!$U:$U,MATCH($A44,Base!$A:$A,0)),IF(DZ$1=INDEX('Valo FX'!$R:$R,MATCH($A44,'Valo FX'!$A:$A,0)),INDEX(Base!$V:$V,MATCH($A44,Base!$A:$A,0)),0)))</f>
        <v>11.890515000000001</v>
      </c>
      <c r="EA44" s="21">
        <f>IF(EA$1&lt;INDEX('Valo FX'!$Q:$Q,MATCH($A44,'Valo FX'!$A:$A,0)),0,IF(EA$1&lt;INDEX('Valo FX'!$R:$R,MATCH($A44,'Valo FX'!$A:$A,0)),INDEX(Base!$U:$U,MATCH($A44,Base!$A:$A,0)),IF(EA$1=INDEX('Valo FX'!$R:$R,MATCH($A44,'Valo FX'!$A:$A,0)),INDEX(Base!$V:$V,MATCH($A44,Base!$A:$A,0)),0)))</f>
        <v>11.890515000000001</v>
      </c>
      <c r="EB44" s="21">
        <f>IF(EB$1&lt;INDEX('Valo FX'!$Q:$Q,MATCH($A44,'Valo FX'!$A:$A,0)),0,IF(EB$1&lt;INDEX('Valo FX'!$R:$R,MATCH($A44,'Valo FX'!$A:$A,0)),INDEX(Base!$U:$U,MATCH($A44,Base!$A:$A,0)),IF(EB$1=INDEX('Valo FX'!$R:$R,MATCH($A44,'Valo FX'!$A:$A,0)),INDEX(Base!$V:$V,MATCH($A44,Base!$A:$A,0)),0)))</f>
        <v>11.890515000000001</v>
      </c>
      <c r="EC44" s="21">
        <f>IF(EC$1&lt;INDEX('Valo FX'!$Q:$Q,MATCH($A44,'Valo FX'!$A:$A,0)),0,IF(EC$1&lt;INDEX('Valo FX'!$R:$R,MATCH($A44,'Valo FX'!$A:$A,0)),INDEX(Base!$U:$U,MATCH($A44,Base!$A:$A,0)),IF(EC$1=INDEX('Valo FX'!$R:$R,MATCH($A44,'Valo FX'!$A:$A,0)),INDEX(Base!$V:$V,MATCH($A44,Base!$A:$A,0)),0)))</f>
        <v>11.890515000000001</v>
      </c>
      <c r="ED44" s="21">
        <f>IF(ED$1&lt;INDEX('Valo FX'!$Q:$Q,MATCH($A44,'Valo FX'!$A:$A,0)),0,IF(ED$1&lt;INDEX('Valo FX'!$R:$R,MATCH($A44,'Valo FX'!$A:$A,0)),INDEX(Base!$U:$U,MATCH($A44,Base!$A:$A,0)),IF(ED$1=INDEX('Valo FX'!$R:$R,MATCH($A44,'Valo FX'!$A:$A,0)),INDEX(Base!$V:$V,MATCH($A44,Base!$A:$A,0)),0)))</f>
        <v>11.890515000000001</v>
      </c>
      <c r="EE44" s="21">
        <f>IF(EE$1&lt;INDEX('Valo FX'!$Q:$Q,MATCH($A44,'Valo FX'!$A:$A,0)),0,IF(EE$1&lt;INDEX('Valo FX'!$R:$R,MATCH($A44,'Valo FX'!$A:$A,0)),INDEX(Base!$U:$U,MATCH($A44,Base!$A:$A,0)),IF(EE$1=INDEX('Valo FX'!$R:$R,MATCH($A44,'Valo FX'!$A:$A,0)),INDEX(Base!$V:$V,MATCH($A44,Base!$A:$A,0)),0)))</f>
        <v>11.890515000000001</v>
      </c>
      <c r="EF44" s="21">
        <f>IF(EF$1&lt;INDEX('Valo FX'!$Q:$Q,MATCH($A44,'Valo FX'!$A:$A,0)),0,IF(EF$1&lt;INDEX('Valo FX'!$R:$R,MATCH($A44,'Valo FX'!$A:$A,0)),INDEX(Base!$U:$U,MATCH($A44,Base!$A:$A,0)),IF(EF$1=INDEX('Valo FX'!$R:$R,MATCH($A44,'Valo FX'!$A:$A,0)),INDEX(Base!$V:$V,MATCH($A44,Base!$A:$A,0)),0)))</f>
        <v>11.890515000000001</v>
      </c>
      <c r="EG44" s="21">
        <f>IF(EG$1&lt;INDEX('Valo FX'!$Q:$Q,MATCH($A44,'Valo FX'!$A:$A,0)),0,IF(EG$1&lt;INDEX('Valo FX'!$R:$R,MATCH($A44,'Valo FX'!$A:$A,0)),INDEX(Base!$U:$U,MATCH($A44,Base!$A:$A,0)),IF(EG$1=INDEX('Valo FX'!$R:$R,MATCH($A44,'Valo FX'!$A:$A,0)),INDEX(Base!$V:$V,MATCH($A44,Base!$A:$A,0)),0)))</f>
        <v>11.890515000000001</v>
      </c>
      <c r="EH44" s="21">
        <f>IF(EH$1&lt;INDEX('Valo FX'!$Q:$Q,MATCH($A44,'Valo FX'!$A:$A,0)),0,IF(EH$1&lt;INDEX('Valo FX'!$R:$R,MATCH($A44,'Valo FX'!$A:$A,0)),INDEX(Base!$U:$U,MATCH($A44,Base!$A:$A,0)),IF(EH$1=INDEX('Valo FX'!$R:$R,MATCH($A44,'Valo FX'!$A:$A,0)),INDEX(Base!$V:$V,MATCH($A44,Base!$A:$A,0)),0)))</f>
        <v>11.890515000000001</v>
      </c>
      <c r="EI44" s="21">
        <f>IF(EI$1&lt;INDEX('Valo FX'!$Q:$Q,MATCH($A44,'Valo FX'!$A:$A,0)),0,IF(EI$1&lt;INDEX('Valo FX'!$R:$R,MATCH($A44,'Valo FX'!$A:$A,0)),INDEX(Base!$U:$U,MATCH($A44,Base!$A:$A,0)),IF(EI$1=INDEX('Valo FX'!$R:$R,MATCH($A44,'Valo FX'!$A:$A,0)),INDEX(Base!$V:$V,MATCH($A44,Base!$A:$A,0)),0)))</f>
        <v>11.890515000000001</v>
      </c>
      <c r="EJ44" s="21">
        <f>IF(EJ$1&lt;INDEX('Valo FX'!$Q:$Q,MATCH($A44,'Valo FX'!$A:$A,0)),0,IF(EJ$1&lt;INDEX('Valo FX'!$R:$R,MATCH($A44,'Valo FX'!$A:$A,0)),INDEX(Base!$U:$U,MATCH($A44,Base!$A:$A,0)),IF(EJ$1=INDEX('Valo FX'!$R:$R,MATCH($A44,'Valo FX'!$A:$A,0)),INDEX(Base!$V:$V,MATCH($A44,Base!$A:$A,0)),0)))</f>
        <v>11.890515000000001</v>
      </c>
      <c r="EK44" s="21">
        <f>IF(EK$1&lt;INDEX('Valo FX'!$Q:$Q,MATCH($A44,'Valo FX'!$A:$A,0)),0,IF(EK$1&lt;INDEX('Valo FX'!$R:$R,MATCH($A44,'Valo FX'!$A:$A,0)),INDEX(Base!$U:$U,MATCH($A44,Base!$A:$A,0)),IF(EK$1=INDEX('Valo FX'!$R:$R,MATCH($A44,'Valo FX'!$A:$A,0)),INDEX(Base!$V:$V,MATCH($A44,Base!$A:$A,0)),0)))</f>
        <v>11.890515000000001</v>
      </c>
      <c r="EL44" s="21">
        <f>IF(EL$1&lt;INDEX('Valo FX'!$Q:$Q,MATCH($A44,'Valo FX'!$A:$A,0)),0,IF(EL$1&lt;INDEX('Valo FX'!$R:$R,MATCH($A44,'Valo FX'!$A:$A,0)),INDEX(Base!$U:$U,MATCH($A44,Base!$A:$A,0)),IF(EL$1=INDEX('Valo FX'!$R:$R,MATCH($A44,'Valo FX'!$A:$A,0)),INDEX(Base!$V:$V,MATCH($A44,Base!$A:$A,0)),0)))</f>
        <v>11.890515000000001</v>
      </c>
      <c r="EM44" s="21">
        <f>IF(EM$1&lt;INDEX('Valo FX'!$Q:$Q,MATCH($A44,'Valo FX'!$A:$A,0)),0,IF(EM$1&lt;INDEX('Valo FX'!$R:$R,MATCH($A44,'Valo FX'!$A:$A,0)),INDEX(Base!$U:$U,MATCH($A44,Base!$A:$A,0)),IF(EM$1=INDEX('Valo FX'!$R:$R,MATCH($A44,'Valo FX'!$A:$A,0)),INDEX(Base!$V:$V,MATCH($A44,Base!$A:$A,0)),0)))</f>
        <v>11.890515000000001</v>
      </c>
      <c r="EN44" s="21">
        <f>IF(EN$1&lt;INDEX('Valo FX'!$Q:$Q,MATCH($A44,'Valo FX'!$A:$A,0)),0,IF(EN$1&lt;INDEX('Valo FX'!$R:$R,MATCH($A44,'Valo FX'!$A:$A,0)),INDEX(Base!$U:$U,MATCH($A44,Base!$A:$A,0)),IF(EN$1=INDEX('Valo FX'!$R:$R,MATCH($A44,'Valo FX'!$A:$A,0)),INDEX(Base!$V:$V,MATCH($A44,Base!$A:$A,0)),0)))</f>
        <v>11.890515000000001</v>
      </c>
      <c r="EO44" s="21">
        <f>IF(EO$1&lt;INDEX('Valo FX'!$Q:$Q,MATCH($A44,'Valo FX'!$A:$A,0)),0,IF(EO$1&lt;INDEX('Valo FX'!$R:$R,MATCH($A44,'Valo FX'!$A:$A,0)),INDEX(Base!$U:$U,MATCH($A44,Base!$A:$A,0)),IF(EO$1=INDEX('Valo FX'!$R:$R,MATCH($A44,'Valo FX'!$A:$A,0)),INDEX(Base!$V:$V,MATCH($A44,Base!$A:$A,0)),0)))</f>
        <v>11.890515000000001</v>
      </c>
      <c r="EP44" s="21">
        <f>IF(EP$1&lt;INDEX('Valo FX'!$Q:$Q,MATCH($A44,'Valo FX'!$A:$A,0)),0,IF(EP$1&lt;INDEX('Valo FX'!$R:$R,MATCH($A44,'Valo FX'!$A:$A,0)),INDEX(Base!$U:$U,MATCH($A44,Base!$A:$A,0)),IF(EP$1=INDEX('Valo FX'!$R:$R,MATCH($A44,'Valo FX'!$A:$A,0)),INDEX(Base!$V:$V,MATCH($A44,Base!$A:$A,0)),0)))</f>
        <v>11.890515000000001</v>
      </c>
      <c r="EQ44" s="21">
        <f>IF(EQ$1&lt;INDEX('Valo FX'!$Q:$Q,MATCH($A44,'Valo FX'!$A:$A,0)),0,IF(EQ$1&lt;INDEX('Valo FX'!$R:$R,MATCH($A44,'Valo FX'!$A:$A,0)),INDEX(Base!$U:$U,MATCH($A44,Base!$A:$A,0)),IF(EQ$1=INDEX('Valo FX'!$R:$R,MATCH($A44,'Valo FX'!$A:$A,0)),INDEX(Base!$V:$V,MATCH($A44,Base!$A:$A,0)),0)))</f>
        <v>11.890515000000001</v>
      </c>
      <c r="ER44" s="21">
        <f>IF(ER$1&lt;INDEX('Valo FX'!$Q:$Q,MATCH($A44,'Valo FX'!$A:$A,0)),0,IF(ER$1&lt;INDEX('Valo FX'!$R:$R,MATCH($A44,'Valo FX'!$A:$A,0)),INDEX(Base!$U:$U,MATCH($A44,Base!$A:$A,0)),IF(ER$1=INDEX('Valo FX'!$R:$R,MATCH($A44,'Valo FX'!$A:$A,0)),INDEX(Base!$V:$V,MATCH($A44,Base!$A:$A,0)),0)))</f>
        <v>11.890515000000001</v>
      </c>
      <c r="ES44" s="21">
        <f>IF(ES$1&lt;INDEX('Valo FX'!$Q:$Q,MATCH($A44,'Valo FX'!$A:$A,0)),0,IF(ES$1&lt;INDEX('Valo FX'!$R:$R,MATCH($A44,'Valo FX'!$A:$A,0)),INDEX(Base!$U:$U,MATCH($A44,Base!$A:$A,0)),IF(ES$1=INDEX('Valo FX'!$R:$R,MATCH($A44,'Valo FX'!$A:$A,0)),INDEX(Base!$V:$V,MATCH($A44,Base!$A:$A,0)),0)))</f>
        <v>11.890515000000001</v>
      </c>
      <c r="ET44" s="21">
        <f>IF(ET$1&lt;INDEX('Valo FX'!$Q:$Q,MATCH($A44,'Valo FX'!$A:$A,0)),0,IF(ET$1&lt;INDEX('Valo FX'!$R:$R,MATCH($A44,'Valo FX'!$A:$A,0)),INDEX(Base!$U:$U,MATCH($A44,Base!$A:$A,0)),IF(ET$1=INDEX('Valo FX'!$R:$R,MATCH($A44,'Valo FX'!$A:$A,0)),INDEX(Base!$V:$V,MATCH($A44,Base!$A:$A,0)),0)))</f>
        <v>11.890515000000001</v>
      </c>
      <c r="EU44" s="21">
        <f>IF(EU$1&lt;INDEX('Valo FX'!$Q:$Q,MATCH($A44,'Valo FX'!$A:$A,0)),0,IF(EU$1&lt;INDEX('Valo FX'!$R:$R,MATCH($A44,'Valo FX'!$A:$A,0)),INDEX(Base!$U:$U,MATCH($A44,Base!$A:$A,0)),IF(EU$1=INDEX('Valo FX'!$R:$R,MATCH($A44,'Valo FX'!$A:$A,0)),INDEX(Base!$V:$V,MATCH($A44,Base!$A:$A,0)),0)))</f>
        <v>11.890515000000001</v>
      </c>
      <c r="EV44" s="21">
        <f>IF(EV$1&lt;INDEX('Valo FX'!$Q:$Q,MATCH($A44,'Valo FX'!$A:$A,0)),0,IF(EV$1&lt;INDEX('Valo FX'!$R:$R,MATCH($A44,'Valo FX'!$A:$A,0)),INDEX(Base!$U:$U,MATCH($A44,Base!$A:$A,0)),IF(EV$1=INDEX('Valo FX'!$R:$R,MATCH($A44,'Valo FX'!$A:$A,0)),INDEX(Base!$V:$V,MATCH($A44,Base!$A:$A,0)),0)))</f>
        <v>11.890515000000001</v>
      </c>
      <c r="EW44" s="21">
        <f>IF(EW$1&lt;INDEX('Valo FX'!$Q:$Q,MATCH($A44,'Valo FX'!$A:$A,0)),0,IF(EW$1&lt;INDEX('Valo FX'!$R:$R,MATCH($A44,'Valo FX'!$A:$A,0)),INDEX(Base!$U:$U,MATCH($A44,Base!$A:$A,0)),IF(EW$1=INDEX('Valo FX'!$R:$R,MATCH($A44,'Valo FX'!$A:$A,0)),INDEX(Base!$V:$V,MATCH($A44,Base!$A:$A,0)),0)))</f>
        <v>11.890515000000001</v>
      </c>
      <c r="EX44" s="21">
        <f>IF(EX$1&lt;INDEX('Valo FX'!$Q:$Q,MATCH($A44,'Valo FX'!$A:$A,0)),0,IF(EX$1&lt;INDEX('Valo FX'!$R:$R,MATCH($A44,'Valo FX'!$A:$A,0)),INDEX(Base!$U:$U,MATCH($A44,Base!$A:$A,0)),IF(EX$1=INDEX('Valo FX'!$R:$R,MATCH($A44,'Valo FX'!$A:$A,0)),INDEX(Base!$V:$V,MATCH($A44,Base!$A:$A,0)),0)))</f>
        <v>11.890515000000001</v>
      </c>
      <c r="EY44" s="21">
        <f>IF(EY$1&lt;INDEX('Valo FX'!$Q:$Q,MATCH($A44,'Valo FX'!$A:$A,0)),0,IF(EY$1&lt;INDEX('Valo FX'!$R:$R,MATCH($A44,'Valo FX'!$A:$A,0)),INDEX(Base!$U:$U,MATCH($A44,Base!$A:$A,0)),IF(EY$1=INDEX('Valo FX'!$R:$R,MATCH($A44,'Valo FX'!$A:$A,0)),INDEX(Base!$V:$V,MATCH($A44,Base!$A:$A,0)),0)))</f>
        <v>11.890515000000001</v>
      </c>
      <c r="EZ44" s="21">
        <f>IF(EZ$1&lt;INDEX('Valo FX'!$Q:$Q,MATCH($A44,'Valo FX'!$A:$A,0)),0,IF(EZ$1&lt;INDEX('Valo FX'!$R:$R,MATCH($A44,'Valo FX'!$A:$A,0)),INDEX(Base!$U:$U,MATCH($A44,Base!$A:$A,0)),IF(EZ$1=INDEX('Valo FX'!$R:$R,MATCH($A44,'Valo FX'!$A:$A,0)),INDEX(Base!$V:$V,MATCH($A44,Base!$A:$A,0)),0)))</f>
        <v>11.890515000000001</v>
      </c>
      <c r="FA44" s="21">
        <f>IF(FA$1&lt;INDEX('Valo FX'!$Q:$Q,MATCH($A44,'Valo FX'!$A:$A,0)),0,IF(FA$1&lt;INDEX('Valo FX'!$R:$R,MATCH($A44,'Valo FX'!$A:$A,0)),INDEX(Base!$U:$U,MATCH($A44,Base!$A:$A,0)),IF(FA$1=INDEX('Valo FX'!$R:$R,MATCH($A44,'Valo FX'!$A:$A,0)),INDEX(Base!$V:$V,MATCH($A44,Base!$A:$A,0)),0)))</f>
        <v>11.890515000000001</v>
      </c>
      <c r="FB44" s="21">
        <f>IF(FB$1&lt;INDEX('Valo FX'!$Q:$Q,MATCH($A44,'Valo FX'!$A:$A,0)),0,IF(FB$1&lt;INDEX('Valo FX'!$R:$R,MATCH($A44,'Valo FX'!$A:$A,0)),INDEX(Base!$U:$U,MATCH($A44,Base!$A:$A,0)),IF(FB$1=INDEX('Valo FX'!$R:$R,MATCH($A44,'Valo FX'!$A:$A,0)),INDEX(Base!$V:$V,MATCH($A44,Base!$A:$A,0)),0)))</f>
        <v>11.890515000000001</v>
      </c>
      <c r="FC44" s="21">
        <f>IF(FC$1&lt;INDEX('Valo FX'!$Q:$Q,MATCH($A44,'Valo FX'!$A:$A,0)),0,IF(FC$1&lt;INDEX('Valo FX'!$R:$R,MATCH($A44,'Valo FX'!$A:$A,0)),INDEX(Base!$U:$U,MATCH($A44,Base!$A:$A,0)),IF(FC$1=INDEX('Valo FX'!$R:$R,MATCH($A44,'Valo FX'!$A:$A,0)),INDEX(Base!$V:$V,MATCH($A44,Base!$A:$A,0)),0)))</f>
        <v>11.890515000000001</v>
      </c>
      <c r="FD44" s="21">
        <f>IF(FD$1&lt;INDEX('Valo FX'!$Q:$Q,MATCH($A44,'Valo FX'!$A:$A,0)),0,IF(FD$1&lt;INDEX('Valo FX'!$R:$R,MATCH($A44,'Valo FX'!$A:$A,0)),INDEX(Base!$U:$U,MATCH($A44,Base!$A:$A,0)),IF(FD$1=INDEX('Valo FX'!$R:$R,MATCH($A44,'Valo FX'!$A:$A,0)),INDEX(Base!$V:$V,MATCH($A44,Base!$A:$A,0)),0)))</f>
        <v>11.890515000000001</v>
      </c>
      <c r="FE44" s="21">
        <f>IF(FE$1&lt;INDEX('Valo FX'!$Q:$Q,MATCH($A44,'Valo FX'!$A:$A,0)),0,IF(FE$1&lt;INDEX('Valo FX'!$R:$R,MATCH($A44,'Valo FX'!$A:$A,0)),INDEX(Base!$U:$U,MATCH($A44,Base!$A:$A,0)),IF(FE$1=INDEX('Valo FX'!$R:$R,MATCH($A44,'Valo FX'!$A:$A,0)),INDEX(Base!$V:$V,MATCH($A44,Base!$A:$A,0)),0)))</f>
        <v>11.890515000000001</v>
      </c>
      <c r="FF44" s="21">
        <f>IF(FF$1&lt;INDEX('Valo FX'!$Q:$Q,MATCH($A44,'Valo FX'!$A:$A,0)),0,IF(FF$1&lt;INDEX('Valo FX'!$R:$R,MATCH($A44,'Valo FX'!$A:$A,0)),INDEX(Base!$U:$U,MATCH($A44,Base!$A:$A,0)),IF(FF$1=INDEX('Valo FX'!$R:$R,MATCH($A44,'Valo FX'!$A:$A,0)),INDEX(Base!$V:$V,MATCH($A44,Base!$A:$A,0)),0)))</f>
        <v>11.890515000000001</v>
      </c>
      <c r="FG44" s="21">
        <f>IF(FG$1&lt;INDEX('Valo FX'!$Q:$Q,MATCH($A44,'Valo FX'!$A:$A,0)),0,IF(FG$1&lt;INDEX('Valo FX'!$R:$R,MATCH($A44,'Valo FX'!$A:$A,0)),INDEX(Base!$U:$U,MATCH($A44,Base!$A:$A,0)),IF(FG$1=INDEX('Valo FX'!$R:$R,MATCH($A44,'Valo FX'!$A:$A,0)),INDEX(Base!$V:$V,MATCH($A44,Base!$A:$A,0)),0)))</f>
        <v>11.890515000000001</v>
      </c>
      <c r="FH44" s="21">
        <f>IF(FH$1&lt;INDEX('Valo FX'!$Q:$Q,MATCH($A44,'Valo FX'!$A:$A,0)),0,IF(FH$1&lt;INDEX('Valo FX'!$R:$R,MATCH($A44,'Valo FX'!$A:$A,0)),INDEX(Base!$U:$U,MATCH($A44,Base!$A:$A,0)),IF(FH$1=INDEX('Valo FX'!$R:$R,MATCH($A44,'Valo FX'!$A:$A,0)),INDEX(Base!$V:$V,MATCH($A44,Base!$A:$A,0)),0)))</f>
        <v>11.890515000000001</v>
      </c>
      <c r="FI44" s="21">
        <f>IF(FI$1&lt;INDEX('Valo FX'!$Q:$Q,MATCH($A44,'Valo FX'!$A:$A,0)),0,IF(FI$1&lt;INDEX('Valo FX'!$R:$R,MATCH($A44,'Valo FX'!$A:$A,0)),INDEX(Base!$U:$U,MATCH($A44,Base!$A:$A,0)),IF(FI$1=INDEX('Valo FX'!$R:$R,MATCH($A44,'Valo FX'!$A:$A,0)),INDEX(Base!$V:$V,MATCH($A44,Base!$A:$A,0)),0)))</f>
        <v>11.890515000000001</v>
      </c>
      <c r="FJ44" s="21">
        <f>IF(FJ$1&lt;INDEX('Valo FX'!$Q:$Q,MATCH($A44,'Valo FX'!$A:$A,0)),0,IF(FJ$1&lt;INDEX('Valo FX'!$R:$R,MATCH($A44,'Valo FX'!$A:$A,0)),INDEX(Base!$U:$U,MATCH($A44,Base!$A:$A,0)),IF(FJ$1=INDEX('Valo FX'!$R:$R,MATCH($A44,'Valo FX'!$A:$A,0)),INDEX(Base!$V:$V,MATCH($A44,Base!$A:$A,0)),0)))</f>
        <v>11.890515000000001</v>
      </c>
      <c r="FK44" s="21">
        <f>IF(FK$1&lt;INDEX('Valo FX'!$Q:$Q,MATCH($A44,'Valo FX'!$A:$A,0)),0,IF(FK$1&lt;INDEX('Valo FX'!$R:$R,MATCH($A44,'Valo FX'!$A:$A,0)),INDEX(Base!$U:$U,MATCH($A44,Base!$A:$A,0)),IF(FK$1=INDEX('Valo FX'!$R:$R,MATCH($A44,'Valo FX'!$A:$A,0)),INDEX(Base!$V:$V,MATCH($A44,Base!$A:$A,0)),0)))</f>
        <v>11.890515000000001</v>
      </c>
      <c r="FL44" s="21">
        <f>IF(FL$1&lt;INDEX('Valo FX'!$Q:$Q,MATCH($A44,'Valo FX'!$A:$A,0)),0,IF(FL$1&lt;INDEX('Valo FX'!$R:$R,MATCH($A44,'Valo FX'!$A:$A,0)),INDEX(Base!$U:$U,MATCH($A44,Base!$A:$A,0)),IF(FL$1=INDEX('Valo FX'!$R:$R,MATCH($A44,'Valo FX'!$A:$A,0)),INDEX(Base!$V:$V,MATCH($A44,Base!$A:$A,0)),0)))</f>
        <v>11.890515000000001</v>
      </c>
      <c r="FM44" s="21">
        <f>IF(FM$1&lt;INDEX('Valo FX'!$Q:$Q,MATCH($A44,'Valo FX'!$A:$A,0)),0,IF(FM$1&lt;INDEX('Valo FX'!$R:$R,MATCH($A44,'Valo FX'!$A:$A,0)),INDEX(Base!$U:$U,MATCH($A44,Base!$A:$A,0)),IF(FM$1=INDEX('Valo FX'!$R:$R,MATCH($A44,'Valo FX'!$A:$A,0)),INDEX(Base!$V:$V,MATCH($A44,Base!$A:$A,0)),0)))</f>
        <v>11.890515000000001</v>
      </c>
      <c r="FN44" s="21">
        <f>IF(FN$1&lt;INDEX('Valo FX'!$Q:$Q,MATCH($A44,'Valo FX'!$A:$A,0)),0,IF(FN$1&lt;INDEX('Valo FX'!$R:$R,MATCH($A44,'Valo FX'!$A:$A,0)),INDEX(Base!$U:$U,MATCH($A44,Base!$A:$A,0)),IF(FN$1=INDEX('Valo FX'!$R:$R,MATCH($A44,'Valo FX'!$A:$A,0)),INDEX(Base!$V:$V,MATCH($A44,Base!$A:$A,0)),0)))</f>
        <v>11.890515000000001</v>
      </c>
      <c r="FO44" s="21">
        <f>IF(FO$1&lt;INDEX('Valo FX'!$Q:$Q,MATCH($A44,'Valo FX'!$A:$A,0)),0,IF(FO$1&lt;INDEX('Valo FX'!$R:$R,MATCH($A44,'Valo FX'!$A:$A,0)),INDEX(Base!$U:$U,MATCH($A44,Base!$A:$A,0)),IF(FO$1=INDEX('Valo FX'!$R:$R,MATCH($A44,'Valo FX'!$A:$A,0)),INDEX(Base!$V:$V,MATCH($A44,Base!$A:$A,0)),0)))</f>
        <v>11.890515000000001</v>
      </c>
      <c r="FP44" s="21">
        <f>IF(FP$1&lt;INDEX('Valo FX'!$Q:$Q,MATCH($A44,'Valo FX'!$A:$A,0)),0,IF(FP$1&lt;INDEX('Valo FX'!$R:$R,MATCH($A44,'Valo FX'!$A:$A,0)),INDEX(Base!$U:$U,MATCH($A44,Base!$A:$A,0)),IF(FP$1=INDEX('Valo FX'!$R:$R,MATCH($A44,'Valo FX'!$A:$A,0)),INDEX(Base!$V:$V,MATCH($A44,Base!$A:$A,0)),0)))</f>
        <v>11.890515000000001</v>
      </c>
      <c r="FQ44" s="21">
        <f>IF(FQ$1&lt;INDEX('Valo FX'!$Q:$Q,MATCH($A44,'Valo FX'!$A:$A,0)),0,IF(FQ$1&lt;INDEX('Valo FX'!$R:$R,MATCH($A44,'Valo FX'!$A:$A,0)),INDEX(Base!$U:$U,MATCH($A44,Base!$A:$A,0)),IF(FQ$1=INDEX('Valo FX'!$R:$R,MATCH($A44,'Valo FX'!$A:$A,0)),INDEX(Base!$V:$V,MATCH($A44,Base!$A:$A,0)),0)))</f>
        <v>11.890515000000001</v>
      </c>
      <c r="FR44" s="21">
        <f>IF(FR$1&lt;INDEX('Valo FX'!$Q:$Q,MATCH($A44,'Valo FX'!$A:$A,0)),0,IF(FR$1&lt;INDEX('Valo FX'!$R:$R,MATCH($A44,'Valo FX'!$A:$A,0)),INDEX(Base!$U:$U,MATCH($A44,Base!$A:$A,0)),IF(FR$1=INDEX('Valo FX'!$R:$R,MATCH($A44,'Valo FX'!$A:$A,0)),INDEX(Base!$V:$V,MATCH($A44,Base!$A:$A,0)),0)))</f>
        <v>11.890515000000001</v>
      </c>
      <c r="FS44" s="21">
        <f>IF(FS$1&lt;INDEX('Valo FX'!$Q:$Q,MATCH($A44,'Valo FX'!$A:$A,0)),0,IF(FS$1&lt;INDEX('Valo FX'!$R:$R,MATCH($A44,'Valo FX'!$A:$A,0)),INDEX(Base!$U:$U,MATCH($A44,Base!$A:$A,0)),IF(FS$1=INDEX('Valo FX'!$R:$R,MATCH($A44,'Valo FX'!$A:$A,0)),INDEX(Base!$V:$V,MATCH($A44,Base!$A:$A,0)),0)))</f>
        <v>11.890515000000001</v>
      </c>
      <c r="FT44" s="21">
        <f>IF(FT$1&lt;INDEX('Valo FX'!$Q:$Q,MATCH($A44,'Valo FX'!$A:$A,0)),0,IF(FT$1&lt;INDEX('Valo FX'!$R:$R,MATCH($A44,'Valo FX'!$A:$A,0)),INDEX(Base!$U:$U,MATCH($A44,Base!$A:$A,0)),IF(FT$1=INDEX('Valo FX'!$R:$R,MATCH($A44,'Valo FX'!$A:$A,0)),INDEX(Base!$V:$V,MATCH($A44,Base!$A:$A,0)),0)))</f>
        <v>11.890515000000001</v>
      </c>
      <c r="FU44" s="21">
        <f>IF(FU$1&lt;INDEX('Valo FX'!$Q:$Q,MATCH($A44,'Valo FX'!$A:$A,0)),0,IF(FU$1&lt;INDEX('Valo FX'!$R:$R,MATCH($A44,'Valo FX'!$A:$A,0)),INDEX(Base!$U:$U,MATCH($A44,Base!$A:$A,0)),IF(FU$1=INDEX('Valo FX'!$R:$R,MATCH($A44,'Valo FX'!$A:$A,0)),INDEX(Base!$V:$V,MATCH($A44,Base!$A:$A,0)),0)))</f>
        <v>11.890515000000001</v>
      </c>
      <c r="FV44" s="21">
        <f>IF(FV$1&lt;INDEX('Valo FX'!$Q:$Q,MATCH($A44,'Valo FX'!$A:$A,0)),0,IF(FV$1&lt;INDEX('Valo FX'!$R:$R,MATCH($A44,'Valo FX'!$A:$A,0)),INDEX(Base!$U:$U,MATCH($A44,Base!$A:$A,0)),IF(FV$1=INDEX('Valo FX'!$R:$R,MATCH($A44,'Valo FX'!$A:$A,0)),INDEX(Base!$V:$V,MATCH($A44,Base!$A:$A,0)),0)))</f>
        <v>11.890515000000001</v>
      </c>
      <c r="FW44" s="21">
        <f>IF(FW$1&lt;INDEX('Valo FX'!$Q:$Q,MATCH($A44,'Valo FX'!$A:$A,0)),0,IF(FW$1&lt;INDEX('Valo FX'!$R:$R,MATCH($A44,'Valo FX'!$A:$A,0)),INDEX(Base!$U:$U,MATCH($A44,Base!$A:$A,0)),IF(FW$1=INDEX('Valo FX'!$R:$R,MATCH($A44,'Valo FX'!$A:$A,0)),INDEX(Base!$V:$V,MATCH($A44,Base!$A:$A,0)),0)))</f>
        <v>11.890515000000001</v>
      </c>
      <c r="FX44" s="21">
        <f>IF(FX$1&lt;INDEX('Valo FX'!$Q:$Q,MATCH($A44,'Valo FX'!$A:$A,0)),0,IF(FX$1&lt;INDEX('Valo FX'!$R:$R,MATCH($A44,'Valo FX'!$A:$A,0)),INDEX(Base!$U:$U,MATCH($A44,Base!$A:$A,0)),IF(FX$1=INDEX('Valo FX'!$R:$R,MATCH($A44,'Valo FX'!$A:$A,0)),INDEX(Base!$V:$V,MATCH($A44,Base!$A:$A,0)),0)))</f>
        <v>11.890515000000001</v>
      </c>
      <c r="FY44" s="21">
        <f>IF(FY$1&lt;INDEX('Valo FX'!$Q:$Q,MATCH($A44,'Valo FX'!$A:$A,0)),0,IF(FY$1&lt;INDEX('Valo FX'!$R:$R,MATCH($A44,'Valo FX'!$A:$A,0)),INDEX(Base!$U:$U,MATCH($A44,Base!$A:$A,0)),IF(FY$1=INDEX('Valo FX'!$R:$R,MATCH($A44,'Valo FX'!$A:$A,0)),INDEX(Base!$V:$V,MATCH($A44,Base!$A:$A,0)),0)))</f>
        <v>11.890515000000001</v>
      </c>
      <c r="FZ44" s="21">
        <f>IF(FZ$1&lt;INDEX('Valo FX'!$Q:$Q,MATCH($A44,'Valo FX'!$A:$A,0)),0,IF(FZ$1&lt;INDEX('Valo FX'!$R:$R,MATCH($A44,'Valo FX'!$A:$A,0)),INDEX(Base!$U:$U,MATCH($A44,Base!$A:$A,0)),IF(FZ$1=INDEX('Valo FX'!$R:$R,MATCH($A44,'Valo FX'!$A:$A,0)),INDEX(Base!$V:$V,MATCH($A44,Base!$A:$A,0)),0)))</f>
        <v>11.890515000000001</v>
      </c>
      <c r="GA44" s="21">
        <f>IF(GA$1&lt;INDEX('Valo FX'!$Q:$Q,MATCH($A44,'Valo FX'!$A:$A,0)),0,IF(GA$1&lt;INDEX('Valo FX'!$R:$R,MATCH($A44,'Valo FX'!$A:$A,0)),INDEX(Base!$U:$U,MATCH($A44,Base!$A:$A,0)),IF(GA$1=INDEX('Valo FX'!$R:$R,MATCH($A44,'Valo FX'!$A:$A,0)),INDEX(Base!$V:$V,MATCH($A44,Base!$A:$A,0)),0)))</f>
        <v>11.890515000000001</v>
      </c>
      <c r="GB44" s="21">
        <f>IF(GB$1&lt;INDEX('Valo FX'!$Q:$Q,MATCH($A44,'Valo FX'!$A:$A,0)),0,IF(GB$1&lt;INDEX('Valo FX'!$R:$R,MATCH($A44,'Valo FX'!$A:$A,0)),INDEX(Base!$U:$U,MATCH($A44,Base!$A:$A,0)),IF(GB$1=INDEX('Valo FX'!$R:$R,MATCH($A44,'Valo FX'!$A:$A,0)),INDEX(Base!$V:$V,MATCH($A44,Base!$A:$A,0)),0)))</f>
        <v>11.890515000000001</v>
      </c>
      <c r="GC44" s="21">
        <f>IF(GC$1&lt;INDEX('Valo FX'!$Q:$Q,MATCH($A44,'Valo FX'!$A:$A,0)),0,IF(GC$1&lt;INDEX('Valo FX'!$R:$R,MATCH($A44,'Valo FX'!$A:$A,0)),INDEX(Base!$U:$U,MATCH($A44,Base!$A:$A,0)),IF(GC$1=INDEX('Valo FX'!$R:$R,MATCH($A44,'Valo FX'!$A:$A,0)),INDEX(Base!$V:$V,MATCH($A44,Base!$A:$A,0)),0)))</f>
        <v>11.890515000000001</v>
      </c>
      <c r="GD44" s="21">
        <f>IF(GD$1&lt;INDEX('Valo FX'!$Q:$Q,MATCH($A44,'Valo FX'!$A:$A,0)),0,IF(GD$1&lt;INDEX('Valo FX'!$R:$R,MATCH($A44,'Valo FX'!$A:$A,0)),INDEX(Base!$U:$U,MATCH($A44,Base!$A:$A,0)),IF(GD$1=INDEX('Valo FX'!$R:$R,MATCH($A44,'Valo FX'!$A:$A,0)),INDEX(Base!$V:$V,MATCH($A44,Base!$A:$A,0)),0)))</f>
        <v>11.890515000000001</v>
      </c>
      <c r="GE44" s="21">
        <f>IF(GE$1&lt;INDEX('Valo FX'!$Q:$Q,MATCH($A44,'Valo FX'!$A:$A,0)),0,IF(GE$1&lt;INDEX('Valo FX'!$R:$R,MATCH($A44,'Valo FX'!$A:$A,0)),INDEX(Base!$U:$U,MATCH($A44,Base!$A:$A,0)),IF(GE$1=INDEX('Valo FX'!$R:$R,MATCH($A44,'Valo FX'!$A:$A,0)),INDEX(Base!$V:$V,MATCH($A44,Base!$A:$A,0)),0)))</f>
        <v>11.890515000000001</v>
      </c>
      <c r="GF44" s="21">
        <f>IF(GF$1&lt;INDEX('Valo FX'!$Q:$Q,MATCH($A44,'Valo FX'!$A:$A,0)),0,IF(GF$1&lt;INDEX('Valo FX'!$R:$R,MATCH($A44,'Valo FX'!$A:$A,0)),INDEX(Base!$U:$U,MATCH($A44,Base!$A:$A,0)),IF(GF$1=INDEX('Valo FX'!$R:$R,MATCH($A44,'Valo FX'!$A:$A,0)),INDEX(Base!$V:$V,MATCH($A44,Base!$A:$A,0)),0)))</f>
        <v>11.890515000000001</v>
      </c>
      <c r="GG44" s="21">
        <f>IF(GG$1&lt;INDEX('Valo FX'!$Q:$Q,MATCH($A44,'Valo FX'!$A:$A,0)),0,IF(GG$1&lt;INDEX('Valo FX'!$R:$R,MATCH($A44,'Valo FX'!$A:$A,0)),INDEX(Base!$U:$U,MATCH($A44,Base!$A:$A,0)),IF(GG$1=INDEX('Valo FX'!$R:$R,MATCH($A44,'Valo FX'!$A:$A,0)),INDEX(Base!$V:$V,MATCH($A44,Base!$A:$A,0)),0)))</f>
        <v>11.890515000000001</v>
      </c>
      <c r="GH44" s="21">
        <f>IF(GH$1&lt;INDEX('Valo FX'!$Q:$Q,MATCH($A44,'Valo FX'!$A:$A,0)),0,IF(GH$1&lt;INDEX('Valo FX'!$R:$R,MATCH($A44,'Valo FX'!$A:$A,0)),INDEX(Base!$U:$U,MATCH($A44,Base!$A:$A,0)),IF(GH$1=INDEX('Valo FX'!$R:$R,MATCH($A44,'Valo FX'!$A:$A,0)),INDEX(Base!$V:$V,MATCH($A44,Base!$A:$A,0)),0)))</f>
        <v>11.890515000000001</v>
      </c>
      <c r="GI44" s="21">
        <f>IF(GI$1&lt;INDEX('Valo FX'!$Q:$Q,MATCH($A44,'Valo FX'!$A:$A,0)),0,IF(GI$1&lt;INDEX('Valo FX'!$R:$R,MATCH($A44,'Valo FX'!$A:$A,0)),INDEX(Base!$U:$U,MATCH($A44,Base!$A:$A,0)),IF(GI$1=INDEX('Valo FX'!$R:$R,MATCH($A44,'Valo FX'!$A:$A,0)),INDEX(Base!$V:$V,MATCH($A44,Base!$A:$A,0)),0)))</f>
        <v>11.890515000000001</v>
      </c>
      <c r="GJ44" s="21">
        <f>IF(GJ$1&lt;INDEX('Valo FX'!$Q:$Q,MATCH($A44,'Valo FX'!$A:$A,0)),0,IF(GJ$1&lt;INDEX('Valo FX'!$R:$R,MATCH($A44,'Valo FX'!$A:$A,0)),INDEX(Base!$U:$U,MATCH($A44,Base!$A:$A,0)),IF(GJ$1=INDEX('Valo FX'!$R:$R,MATCH($A44,'Valo FX'!$A:$A,0)),INDEX(Base!$V:$V,MATCH($A44,Base!$A:$A,0)),0)))</f>
        <v>11.890515000000001</v>
      </c>
      <c r="GK44" s="21">
        <f>IF(GK$1&lt;INDEX('Valo FX'!$Q:$Q,MATCH($A44,'Valo FX'!$A:$A,0)),0,IF(GK$1&lt;INDEX('Valo FX'!$R:$R,MATCH($A44,'Valo FX'!$A:$A,0)),INDEX(Base!$U:$U,MATCH($A44,Base!$A:$A,0)),IF(GK$1=INDEX('Valo FX'!$R:$R,MATCH($A44,'Valo FX'!$A:$A,0)),INDEX(Base!$V:$V,MATCH($A44,Base!$A:$A,0)),0)))</f>
        <v>11.890515000000001</v>
      </c>
      <c r="GL44" s="21">
        <f>IF(GL$1&lt;INDEX('Valo FX'!$Q:$Q,MATCH($A44,'Valo FX'!$A:$A,0)),0,IF(GL$1&lt;INDEX('Valo FX'!$R:$R,MATCH($A44,'Valo FX'!$A:$A,0)),INDEX(Base!$U:$U,MATCH($A44,Base!$A:$A,0)),IF(GL$1=INDEX('Valo FX'!$R:$R,MATCH($A44,'Valo FX'!$A:$A,0)),INDEX(Base!$V:$V,MATCH($A44,Base!$A:$A,0)),0)))</f>
        <v>11.890515000000001</v>
      </c>
      <c r="GM44" s="21">
        <f>IF(GM$1&lt;INDEX('Valo FX'!$Q:$Q,MATCH($A44,'Valo FX'!$A:$A,0)),0,IF(GM$1&lt;INDEX('Valo FX'!$R:$R,MATCH($A44,'Valo FX'!$A:$A,0)),INDEX(Base!$U:$U,MATCH($A44,Base!$A:$A,0)),IF(GM$1=INDEX('Valo FX'!$R:$R,MATCH($A44,'Valo FX'!$A:$A,0)),INDEX(Base!$V:$V,MATCH($A44,Base!$A:$A,0)),0)))</f>
        <v>11.890515000000001</v>
      </c>
      <c r="GN44" s="21">
        <f>IF(GN$1&lt;INDEX('Valo FX'!$Q:$Q,MATCH($A44,'Valo FX'!$A:$A,0)),0,IF(GN$1&lt;INDEX('Valo FX'!$R:$R,MATCH($A44,'Valo FX'!$A:$A,0)),INDEX(Base!$U:$U,MATCH($A44,Base!$A:$A,0)),IF(GN$1=INDEX('Valo FX'!$R:$R,MATCH($A44,'Valo FX'!$A:$A,0)),INDEX(Base!$V:$V,MATCH($A44,Base!$A:$A,0)),0)))</f>
        <v>11.890515000000001</v>
      </c>
      <c r="GO44" s="21">
        <f>IF(GO$1&lt;INDEX('Valo FX'!$Q:$Q,MATCH($A44,'Valo FX'!$A:$A,0)),0,IF(GO$1&lt;INDEX('Valo FX'!$R:$R,MATCH($A44,'Valo FX'!$A:$A,0)),INDEX(Base!$U:$U,MATCH($A44,Base!$A:$A,0)),IF(GO$1=INDEX('Valo FX'!$R:$R,MATCH($A44,'Valo FX'!$A:$A,0)),INDEX(Base!$V:$V,MATCH($A44,Base!$A:$A,0)),0)))</f>
        <v>11.890515000000001</v>
      </c>
      <c r="GP44" s="21">
        <f>IF(GP$1&lt;INDEX('Valo FX'!$Q:$Q,MATCH($A44,'Valo FX'!$A:$A,0)),0,IF(GP$1&lt;INDEX('Valo FX'!$R:$R,MATCH($A44,'Valo FX'!$A:$A,0)),INDEX(Base!$U:$U,MATCH($A44,Base!$A:$A,0)),IF(GP$1=INDEX('Valo FX'!$R:$R,MATCH($A44,'Valo FX'!$A:$A,0)),INDEX(Base!$V:$V,MATCH($A44,Base!$A:$A,0)),0)))</f>
        <v>11.890515000000001</v>
      </c>
      <c r="GQ44" s="21">
        <f>IF(GQ$1&lt;INDEX('Valo FX'!$Q:$Q,MATCH($A44,'Valo FX'!$A:$A,0)),0,IF(GQ$1&lt;INDEX('Valo FX'!$R:$R,MATCH($A44,'Valo FX'!$A:$A,0)),INDEX(Base!$U:$U,MATCH($A44,Base!$A:$A,0)),IF(GQ$1=INDEX('Valo FX'!$R:$R,MATCH($A44,'Valo FX'!$A:$A,0)),INDEX(Base!$V:$V,MATCH($A44,Base!$A:$A,0)),0)))</f>
        <v>11.890515000000001</v>
      </c>
      <c r="GR44" s="21">
        <f>IF(GR$1&lt;INDEX('Valo FX'!$Q:$Q,MATCH($A44,'Valo FX'!$A:$A,0)),0,IF(GR$1&lt;INDEX('Valo FX'!$R:$R,MATCH($A44,'Valo FX'!$A:$A,0)),INDEX(Base!$U:$U,MATCH($A44,Base!$A:$A,0)),IF(GR$1=INDEX('Valo FX'!$R:$R,MATCH($A44,'Valo FX'!$A:$A,0)),INDEX(Base!$V:$V,MATCH($A44,Base!$A:$A,0)),0)))</f>
        <v>11.890515000000001</v>
      </c>
      <c r="GS44" s="21">
        <f>IF(GS$1&lt;INDEX('Valo FX'!$Q:$Q,MATCH($A44,'Valo FX'!$A:$A,0)),0,IF(GS$1&lt;INDEX('Valo FX'!$R:$R,MATCH($A44,'Valo FX'!$A:$A,0)),INDEX(Base!$U:$U,MATCH($A44,Base!$A:$A,0)),IF(GS$1=INDEX('Valo FX'!$R:$R,MATCH($A44,'Valo FX'!$A:$A,0)),INDEX(Base!$V:$V,MATCH($A44,Base!$A:$A,0)),0)))</f>
        <v>11.890515000000001</v>
      </c>
      <c r="GT44" s="21">
        <f>IF(GT$1&lt;INDEX('Valo FX'!$Q:$Q,MATCH($A44,'Valo FX'!$A:$A,0)),0,IF(GT$1&lt;INDEX('Valo FX'!$R:$R,MATCH($A44,'Valo FX'!$A:$A,0)),INDEX(Base!$U:$U,MATCH($A44,Base!$A:$A,0)),IF(GT$1=INDEX('Valo FX'!$R:$R,MATCH($A44,'Valo FX'!$A:$A,0)),INDEX(Base!$V:$V,MATCH($A44,Base!$A:$A,0)),0)))</f>
        <v>11.890515000000001</v>
      </c>
      <c r="GU44" s="21">
        <f>IF(GU$1&lt;INDEX('Valo FX'!$Q:$Q,MATCH($A44,'Valo FX'!$A:$A,0)),0,IF(GU$1&lt;INDEX('Valo FX'!$R:$R,MATCH($A44,'Valo FX'!$A:$A,0)),INDEX(Base!$U:$U,MATCH($A44,Base!$A:$A,0)),IF(GU$1=INDEX('Valo FX'!$R:$R,MATCH($A44,'Valo FX'!$A:$A,0)),INDEX(Base!$V:$V,MATCH($A44,Base!$A:$A,0)),0)))</f>
        <v>11.890515000000001</v>
      </c>
      <c r="GV44" s="21">
        <f>IF(GV$1&lt;INDEX('Valo FX'!$Q:$Q,MATCH($A44,'Valo FX'!$A:$A,0)),0,IF(GV$1&lt;INDEX('Valo FX'!$R:$R,MATCH($A44,'Valo FX'!$A:$A,0)),INDEX(Base!$U:$U,MATCH($A44,Base!$A:$A,0)),IF(GV$1=INDEX('Valo FX'!$R:$R,MATCH($A44,'Valo FX'!$A:$A,0)),INDEX(Base!$V:$V,MATCH($A44,Base!$A:$A,0)),0)))</f>
        <v>11.890515000000001</v>
      </c>
      <c r="GW44" s="21">
        <f>IF(GW$1&lt;INDEX('Valo FX'!$Q:$Q,MATCH($A44,'Valo FX'!$A:$A,0)),0,IF(GW$1&lt;INDEX('Valo FX'!$R:$R,MATCH($A44,'Valo FX'!$A:$A,0)),INDEX(Base!$U:$U,MATCH($A44,Base!$A:$A,0)),IF(GW$1=INDEX('Valo FX'!$R:$R,MATCH($A44,'Valo FX'!$A:$A,0)),INDEX(Base!$V:$V,MATCH($A44,Base!$A:$A,0)),0)))</f>
        <v>11.890515000000001</v>
      </c>
      <c r="GX44" s="21">
        <f>IF(GX$1&lt;INDEX('Valo FX'!$Q:$Q,MATCH($A44,'Valo FX'!$A:$A,0)),0,IF(GX$1&lt;INDEX('Valo FX'!$R:$R,MATCH($A44,'Valo FX'!$A:$A,0)),INDEX(Base!$U:$U,MATCH($A44,Base!$A:$A,0)),IF(GX$1=INDEX('Valo FX'!$R:$R,MATCH($A44,'Valo FX'!$A:$A,0)),INDEX(Base!$V:$V,MATCH($A44,Base!$A:$A,0)),0)))</f>
        <v>11.890515000000001</v>
      </c>
      <c r="GY44" s="21">
        <f>IF(GY$1&lt;INDEX('Valo FX'!$Q:$Q,MATCH($A44,'Valo FX'!$A:$A,0)),0,IF(GY$1&lt;INDEX('Valo FX'!$R:$R,MATCH($A44,'Valo FX'!$A:$A,0)),INDEX(Base!$U:$U,MATCH($A44,Base!$A:$A,0)),IF(GY$1=INDEX('Valo FX'!$R:$R,MATCH($A44,'Valo FX'!$A:$A,0)),INDEX(Base!$V:$V,MATCH($A44,Base!$A:$A,0)),0)))</f>
        <v>11.890515000000001</v>
      </c>
      <c r="GZ44" s="21">
        <f>IF(GZ$1&lt;INDEX('Valo FX'!$Q:$Q,MATCH($A44,'Valo FX'!$A:$A,0)),0,IF(GZ$1&lt;INDEX('Valo FX'!$R:$R,MATCH($A44,'Valo FX'!$A:$A,0)),INDEX(Base!$U:$U,MATCH($A44,Base!$A:$A,0)),IF(GZ$1=INDEX('Valo FX'!$R:$R,MATCH($A44,'Valo FX'!$A:$A,0)),INDEX(Base!$V:$V,MATCH($A44,Base!$A:$A,0)),0)))</f>
        <v>11.890515000000001</v>
      </c>
      <c r="HA44" s="21">
        <f>IF(HA$1&lt;INDEX('Valo FX'!$Q:$Q,MATCH($A44,'Valo FX'!$A:$A,0)),0,IF(HA$1&lt;INDEX('Valo FX'!$R:$R,MATCH($A44,'Valo FX'!$A:$A,0)),INDEX(Base!$U:$U,MATCH($A44,Base!$A:$A,0)),IF(HA$1=INDEX('Valo FX'!$R:$R,MATCH($A44,'Valo FX'!$A:$A,0)),INDEX(Base!$V:$V,MATCH($A44,Base!$A:$A,0)),0)))</f>
        <v>11.890515000000001</v>
      </c>
      <c r="HB44" s="21">
        <f>IF(HB$1&lt;INDEX('Valo FX'!$Q:$Q,MATCH($A44,'Valo FX'!$A:$A,0)),0,IF(HB$1&lt;INDEX('Valo FX'!$R:$R,MATCH($A44,'Valo FX'!$A:$A,0)),INDEX(Base!$U:$U,MATCH($A44,Base!$A:$A,0)),IF(HB$1=INDEX('Valo FX'!$R:$R,MATCH($A44,'Valo FX'!$A:$A,0)),INDEX(Base!$V:$V,MATCH($A44,Base!$A:$A,0)),0)))</f>
        <v>11.890515000000001</v>
      </c>
      <c r="HC44" s="21">
        <f>IF(HC$1&lt;INDEX('Valo FX'!$Q:$Q,MATCH($A44,'Valo FX'!$A:$A,0)),0,IF(HC$1&lt;INDEX('Valo FX'!$R:$R,MATCH($A44,'Valo FX'!$A:$A,0)),INDEX(Base!$U:$U,MATCH($A44,Base!$A:$A,0)),IF(HC$1=INDEX('Valo FX'!$R:$R,MATCH($A44,'Valo FX'!$A:$A,0)),INDEX(Base!$V:$V,MATCH($A44,Base!$A:$A,0)),0)))</f>
        <v>11.890515000000001</v>
      </c>
      <c r="HD44" s="21">
        <f>IF(HD$1&lt;INDEX('Valo FX'!$Q:$Q,MATCH($A44,'Valo FX'!$A:$A,0)),0,IF(HD$1&lt;INDEX('Valo FX'!$R:$R,MATCH($A44,'Valo FX'!$A:$A,0)),INDEX(Base!$U:$U,MATCH($A44,Base!$A:$A,0)),IF(HD$1=INDEX('Valo FX'!$R:$R,MATCH($A44,'Valo FX'!$A:$A,0)),INDEX(Base!$V:$V,MATCH($A44,Base!$A:$A,0)),0)))</f>
        <v>11.890515000000001</v>
      </c>
      <c r="HE44" s="21">
        <f>IF(HE$1&lt;INDEX('Valo FX'!$Q:$Q,MATCH($A44,'Valo FX'!$A:$A,0)),0,IF(HE$1&lt;INDEX('Valo FX'!$R:$R,MATCH($A44,'Valo FX'!$A:$A,0)),INDEX(Base!$U:$U,MATCH($A44,Base!$A:$A,0)),IF(HE$1=INDEX('Valo FX'!$R:$R,MATCH($A44,'Valo FX'!$A:$A,0)),INDEX(Base!$V:$V,MATCH($A44,Base!$A:$A,0)),0)))</f>
        <v>11.890515000000001</v>
      </c>
      <c r="HF44" s="21">
        <f>IF(HF$1&lt;INDEX('Valo FX'!$Q:$Q,MATCH($A44,'Valo FX'!$A:$A,0)),0,IF(HF$1&lt;INDEX('Valo FX'!$R:$R,MATCH($A44,'Valo FX'!$A:$A,0)),INDEX(Base!$U:$U,MATCH($A44,Base!$A:$A,0)),IF(HF$1=INDEX('Valo FX'!$R:$R,MATCH($A44,'Valo FX'!$A:$A,0)),INDEX(Base!$V:$V,MATCH($A44,Base!$A:$A,0)),0)))</f>
        <v>11.890515000000001</v>
      </c>
      <c r="HG44" s="21">
        <f>IF(HG$1&lt;INDEX('Valo FX'!$Q:$Q,MATCH($A44,'Valo FX'!$A:$A,0)),0,IF(HG$1&lt;INDEX('Valo FX'!$R:$R,MATCH($A44,'Valo FX'!$A:$A,0)),INDEX(Base!$U:$U,MATCH($A44,Base!$A:$A,0)),IF(HG$1=INDEX('Valo FX'!$R:$R,MATCH($A44,'Valo FX'!$A:$A,0)),INDEX(Base!$V:$V,MATCH($A44,Base!$A:$A,0)),0)))</f>
        <v>11.890515000000001</v>
      </c>
      <c r="HH44" s="21">
        <f>IF(HH$1&lt;INDEX('Valo FX'!$Q:$Q,MATCH($A44,'Valo FX'!$A:$A,0)),0,IF(HH$1&lt;INDEX('Valo FX'!$R:$R,MATCH($A44,'Valo FX'!$A:$A,0)),INDEX(Base!$U:$U,MATCH($A44,Base!$A:$A,0)),IF(HH$1=INDEX('Valo FX'!$R:$R,MATCH($A44,'Valo FX'!$A:$A,0)),INDEX(Base!$V:$V,MATCH($A44,Base!$A:$A,0)),0)))</f>
        <v>11.890515000000001</v>
      </c>
      <c r="HI44" s="21">
        <f>IF(HI$1&lt;INDEX('Valo FX'!$Q:$Q,MATCH($A44,'Valo FX'!$A:$A,0)),0,IF(HI$1&lt;INDEX('Valo FX'!$R:$R,MATCH($A44,'Valo FX'!$A:$A,0)),INDEX(Base!$U:$U,MATCH($A44,Base!$A:$A,0)),IF(HI$1=INDEX('Valo FX'!$R:$R,MATCH($A44,'Valo FX'!$A:$A,0)),INDEX(Base!$V:$V,MATCH($A44,Base!$A:$A,0)),0)))</f>
        <v>11.890515000000001</v>
      </c>
      <c r="HJ44" s="21">
        <f>IF(HJ$1&lt;INDEX('Valo FX'!$Q:$Q,MATCH($A44,'Valo FX'!$A:$A,0)),0,IF(HJ$1&lt;INDEX('Valo FX'!$R:$R,MATCH($A44,'Valo FX'!$A:$A,0)),INDEX(Base!$U:$U,MATCH($A44,Base!$A:$A,0)),IF(HJ$1=INDEX('Valo FX'!$R:$R,MATCH($A44,'Valo FX'!$A:$A,0)),INDEX(Base!$V:$V,MATCH($A44,Base!$A:$A,0)),0)))</f>
        <v>11.890515000000001</v>
      </c>
      <c r="HK44" s="21">
        <f>IF(HK$1&lt;INDEX('Valo FX'!$Q:$Q,MATCH($A44,'Valo FX'!$A:$A,0)),0,IF(HK$1&lt;INDEX('Valo FX'!$R:$R,MATCH($A44,'Valo FX'!$A:$A,0)),INDEX(Base!$U:$U,MATCH($A44,Base!$A:$A,0)),IF(HK$1=INDEX('Valo FX'!$R:$R,MATCH($A44,'Valo FX'!$A:$A,0)),INDEX(Base!$V:$V,MATCH($A44,Base!$A:$A,0)),0)))</f>
        <v>11.857754999999999</v>
      </c>
      <c r="HL44" s="21">
        <f>IF(HL$1&lt;INDEX('Valo FX'!$Q:$Q,MATCH($A44,'Valo FX'!$A:$A,0)),0,IF(HL$1&lt;INDEX('Valo FX'!$R:$R,MATCH($A44,'Valo FX'!$A:$A,0)),INDEX(Base!$U:$U,MATCH($A44,Base!$A:$A,0)),IF(HL$1=INDEX('Valo FX'!$R:$R,MATCH($A44,'Valo FX'!$A:$A,0)),INDEX(Base!$V:$V,MATCH($A44,Base!$A:$A,0)),0)))</f>
        <v>0</v>
      </c>
      <c r="HM44" s="21">
        <f>IF(HM$1&lt;INDEX('Valo FX'!$Q:$Q,MATCH($A44,'Valo FX'!$A:$A,0)),0,IF(HM$1&lt;INDEX('Valo FX'!$R:$R,MATCH($A44,'Valo FX'!$A:$A,0)),INDEX(Base!$U:$U,MATCH($A44,Base!$A:$A,0)),IF(HM$1=INDEX('Valo FX'!$R:$R,MATCH($A44,'Valo FX'!$A:$A,0)),INDEX(Base!$V:$V,MATCH($A44,Base!$A:$A,0)),0)))</f>
        <v>0</v>
      </c>
      <c r="HN44" s="21">
        <f>IF(HN$1&lt;INDEX('Valo FX'!$Q:$Q,MATCH($A44,'Valo FX'!$A:$A,0)),0,IF(HN$1&lt;INDEX('Valo FX'!$R:$R,MATCH($A44,'Valo FX'!$A:$A,0)),INDEX(Base!$U:$U,MATCH($A44,Base!$A:$A,0)),IF(HN$1=INDEX('Valo FX'!$R:$R,MATCH($A44,'Valo FX'!$A:$A,0)),INDEX(Base!$V:$V,MATCH($A44,Base!$A:$A,0)),0)))</f>
        <v>0</v>
      </c>
      <c r="HO44" s="21">
        <f>IF(HO$1&lt;INDEX('Valo FX'!$Q:$Q,MATCH($A44,'Valo FX'!$A:$A,0)),0,IF(HO$1&lt;INDEX('Valo FX'!$R:$R,MATCH($A44,'Valo FX'!$A:$A,0)),INDEX(Base!$U:$U,MATCH($A44,Base!$A:$A,0)),IF(HO$1=INDEX('Valo FX'!$R:$R,MATCH($A44,'Valo FX'!$A:$A,0)),INDEX(Base!$V:$V,MATCH($A44,Base!$A:$A,0)),0)))</f>
        <v>0</v>
      </c>
      <c r="HP44" s="21">
        <f>IF(HP$1&lt;INDEX('Valo FX'!$Q:$Q,MATCH($A44,'Valo FX'!$A:$A,0)),0,IF(HP$1&lt;INDEX('Valo FX'!$R:$R,MATCH($A44,'Valo FX'!$A:$A,0)),INDEX(Base!$U:$U,MATCH($A44,Base!$A:$A,0)),IF(HP$1=INDEX('Valo FX'!$R:$R,MATCH($A44,'Valo FX'!$A:$A,0)),INDEX(Base!$V:$V,MATCH($A44,Base!$A:$A,0)),0)))</f>
        <v>0</v>
      </c>
      <c r="HQ44" s="21">
        <f>IF(HQ$1&lt;INDEX('Valo FX'!$Q:$Q,MATCH($A44,'Valo FX'!$A:$A,0)),0,IF(HQ$1&lt;INDEX('Valo FX'!$R:$R,MATCH($A44,'Valo FX'!$A:$A,0)),INDEX(Base!$U:$U,MATCH($A44,Base!$A:$A,0)),IF(HQ$1=INDEX('Valo FX'!$R:$R,MATCH($A44,'Valo FX'!$A:$A,0)),INDEX(Base!$V:$V,MATCH($A44,Base!$A:$A,0)),0)))</f>
        <v>0</v>
      </c>
      <c r="HR44" s="21">
        <f>IF(HR$1&lt;INDEX('Valo FX'!$Q:$Q,MATCH($A44,'Valo FX'!$A:$A,0)),0,IF(HR$1&lt;INDEX('Valo FX'!$R:$R,MATCH($A44,'Valo FX'!$A:$A,0)),INDEX(Base!$U:$U,MATCH($A44,Base!$A:$A,0)),IF(HR$1=INDEX('Valo FX'!$R:$R,MATCH($A44,'Valo FX'!$A:$A,0)),INDEX(Base!$V:$V,MATCH($A44,Base!$A:$A,0)),0)))</f>
        <v>0</v>
      </c>
      <c r="HS44" s="21">
        <f>IF(HS$1&lt;INDEX('Valo FX'!$Q:$Q,MATCH($A44,'Valo FX'!$A:$A,0)),0,IF(HS$1&lt;INDEX('Valo FX'!$R:$R,MATCH($A44,'Valo FX'!$A:$A,0)),INDEX(Base!$U:$U,MATCH($A44,Base!$A:$A,0)),IF(HS$1=INDEX('Valo FX'!$R:$R,MATCH($A44,'Valo FX'!$A:$A,0)),INDEX(Base!$V:$V,MATCH($A44,Base!$A:$A,0)),0)))</f>
        <v>0</v>
      </c>
      <c r="HT44" s="21">
        <f>IF(HT$1&lt;INDEX('Valo FX'!$Q:$Q,MATCH($A44,'Valo FX'!$A:$A,0)),0,IF(HT$1&lt;INDEX('Valo FX'!$R:$R,MATCH($A44,'Valo FX'!$A:$A,0)),INDEX(Base!$U:$U,MATCH($A44,Base!$A:$A,0)),IF(HT$1=INDEX('Valo FX'!$R:$R,MATCH($A44,'Valo FX'!$A:$A,0)),INDEX(Base!$V:$V,MATCH($A44,Base!$A:$A,0)),0)))</f>
        <v>0</v>
      </c>
      <c r="HU44" s="21">
        <f>IF(HU$1&lt;INDEX('Valo FX'!$Q:$Q,MATCH($A44,'Valo FX'!$A:$A,0)),0,IF(HU$1&lt;INDEX('Valo FX'!$R:$R,MATCH($A44,'Valo FX'!$A:$A,0)),INDEX(Base!$U:$U,MATCH($A44,Base!$A:$A,0)),IF(HU$1=INDEX('Valo FX'!$R:$R,MATCH($A44,'Valo FX'!$A:$A,0)),INDEX(Base!$V:$V,MATCH($A44,Base!$A:$A,0)),0)))</f>
        <v>0</v>
      </c>
      <c r="HV44" s="21">
        <f>IF(HV$1&lt;INDEX('Valo FX'!$Q:$Q,MATCH($A44,'Valo FX'!$A:$A,0)),0,IF(HV$1&lt;INDEX('Valo FX'!$R:$R,MATCH($A44,'Valo FX'!$A:$A,0)),INDEX(Base!$U:$U,MATCH($A44,Base!$A:$A,0)),IF(HV$1=INDEX('Valo FX'!$R:$R,MATCH($A44,'Valo FX'!$A:$A,0)),INDEX(Base!$V:$V,MATCH($A44,Base!$A:$A,0)),0)))</f>
        <v>0</v>
      </c>
      <c r="HW44" s="21">
        <f>IF(HW$1&lt;INDEX('Valo FX'!$Q:$Q,MATCH($A44,'Valo FX'!$A:$A,0)),0,IF(HW$1&lt;INDEX('Valo FX'!$R:$R,MATCH($A44,'Valo FX'!$A:$A,0)),INDEX(Base!$U:$U,MATCH($A44,Base!$A:$A,0)),IF(HW$1=INDEX('Valo FX'!$R:$R,MATCH($A44,'Valo FX'!$A:$A,0)),INDEX(Base!$V:$V,MATCH($A44,Base!$A:$A,0)),0)))</f>
        <v>0</v>
      </c>
      <c r="HX44" s="21">
        <f>IF(HX$1&lt;INDEX('Valo FX'!$Q:$Q,MATCH($A44,'Valo FX'!$A:$A,0)),0,IF(HX$1&lt;INDEX('Valo FX'!$R:$R,MATCH($A44,'Valo FX'!$A:$A,0)),INDEX(Base!$U:$U,MATCH($A44,Base!$A:$A,0)),IF(HX$1=INDEX('Valo FX'!$R:$R,MATCH($A44,'Valo FX'!$A:$A,0)),INDEX(Base!$V:$V,MATCH($A44,Base!$A:$A,0)),0)))</f>
        <v>0</v>
      </c>
      <c r="HY44" s="21">
        <f>IF(HY$1&lt;INDEX('Valo FX'!$Q:$Q,MATCH($A44,'Valo FX'!$A:$A,0)),0,IF(HY$1&lt;INDEX('Valo FX'!$R:$R,MATCH($A44,'Valo FX'!$A:$A,0)),INDEX(Base!$U:$U,MATCH($A44,Base!$A:$A,0)),IF(HY$1=INDEX('Valo FX'!$R:$R,MATCH($A44,'Valo FX'!$A:$A,0)),INDEX(Base!$V:$V,MATCH($A44,Base!$A:$A,0)),0)))</f>
        <v>0</v>
      </c>
      <c r="HZ44" s="21">
        <f>IF(HZ$1&lt;INDEX('Valo FX'!$Q:$Q,MATCH($A44,'Valo FX'!$A:$A,0)),0,IF(HZ$1&lt;INDEX('Valo FX'!$R:$R,MATCH($A44,'Valo FX'!$A:$A,0)),INDEX(Base!$U:$U,MATCH($A44,Base!$A:$A,0)),IF(HZ$1=INDEX('Valo FX'!$R:$R,MATCH($A44,'Valo FX'!$A:$A,0)),INDEX(Base!$V:$V,MATCH($A44,Base!$A:$A,0)),0)))</f>
        <v>0</v>
      </c>
      <c r="IA44" s="21">
        <f>IF(IA$1&lt;INDEX('Valo FX'!$Q:$Q,MATCH($A44,'Valo FX'!$A:$A,0)),0,IF(IA$1&lt;INDEX('Valo FX'!$R:$R,MATCH($A44,'Valo FX'!$A:$A,0)),INDEX(Base!$U:$U,MATCH($A44,Base!$A:$A,0)),IF(IA$1=INDEX('Valo FX'!$R:$R,MATCH($A44,'Valo FX'!$A:$A,0)),INDEX(Base!$V:$V,MATCH($A44,Base!$A:$A,0)),0)))</f>
        <v>0</v>
      </c>
      <c r="IB44" s="21">
        <f>IF(IB$1&lt;INDEX('Valo FX'!$Q:$Q,MATCH($A44,'Valo FX'!$A:$A,0)),0,IF(IB$1&lt;INDEX('Valo FX'!$R:$R,MATCH($A44,'Valo FX'!$A:$A,0)),INDEX(Base!$U:$U,MATCH($A44,Base!$A:$A,0)),IF(IB$1=INDEX('Valo FX'!$R:$R,MATCH($A44,'Valo FX'!$A:$A,0)),INDEX(Base!$V:$V,MATCH($A44,Base!$A:$A,0)),0)))</f>
        <v>0</v>
      </c>
      <c r="IC44" s="21">
        <f>IF(IC$1&lt;INDEX('Valo FX'!$Q:$Q,MATCH($A44,'Valo FX'!$A:$A,0)),0,IF(IC$1&lt;INDEX('Valo FX'!$R:$R,MATCH($A44,'Valo FX'!$A:$A,0)),INDEX(Base!$U:$U,MATCH($A44,Base!$A:$A,0)),IF(IC$1=INDEX('Valo FX'!$R:$R,MATCH($A44,'Valo FX'!$A:$A,0)),INDEX(Base!$V:$V,MATCH($A44,Base!$A:$A,0)),0)))</f>
        <v>0</v>
      </c>
      <c r="ID44" s="21">
        <f>IF(ID$1&lt;INDEX('Valo FX'!$Q:$Q,MATCH($A44,'Valo FX'!$A:$A,0)),0,IF(ID$1&lt;INDEX('Valo FX'!$R:$R,MATCH($A44,'Valo FX'!$A:$A,0)),INDEX(Base!$U:$U,MATCH($A44,Base!$A:$A,0)),IF(ID$1=INDEX('Valo FX'!$R:$R,MATCH($A44,'Valo FX'!$A:$A,0)),INDEX(Base!$V:$V,MATCH($A44,Base!$A:$A,0)),0)))</f>
        <v>0</v>
      </c>
      <c r="IE44" s="21">
        <f>IF(IE$1&lt;INDEX('Valo FX'!$Q:$Q,MATCH($A44,'Valo FX'!$A:$A,0)),0,IF(IE$1&lt;INDEX('Valo FX'!$R:$R,MATCH($A44,'Valo FX'!$A:$A,0)),INDEX(Base!$U:$U,MATCH($A44,Base!$A:$A,0)),IF(IE$1=INDEX('Valo FX'!$R:$R,MATCH($A44,'Valo FX'!$A:$A,0)),INDEX(Base!$V:$V,MATCH($A44,Base!$A:$A,0)),0)))</f>
        <v>0</v>
      </c>
      <c r="IF44" s="21">
        <f>IF(IF$1&lt;INDEX('Valo FX'!$Q:$Q,MATCH($A44,'Valo FX'!$A:$A,0)),0,IF(IF$1&lt;INDEX('Valo FX'!$R:$R,MATCH($A44,'Valo FX'!$A:$A,0)),INDEX(Base!$U:$U,MATCH($A44,Base!$A:$A,0)),IF(IF$1=INDEX('Valo FX'!$R:$R,MATCH($A44,'Valo FX'!$A:$A,0)),INDEX(Base!$V:$V,MATCH($A44,Base!$A:$A,0)),0)))</f>
        <v>0</v>
      </c>
      <c r="IG44" s="21">
        <f>IF(IG$1&lt;INDEX('Valo FX'!$Q:$Q,MATCH($A44,'Valo FX'!$A:$A,0)),0,IF(IG$1&lt;INDEX('Valo FX'!$R:$R,MATCH($A44,'Valo FX'!$A:$A,0)),INDEX(Base!$U:$U,MATCH($A44,Base!$A:$A,0)),IF(IG$1=INDEX('Valo FX'!$R:$R,MATCH($A44,'Valo FX'!$A:$A,0)),INDEX(Base!$V:$V,MATCH($A44,Base!$A:$A,0)),0)))</f>
        <v>0</v>
      </c>
      <c r="IH44" s="21">
        <f>IF(IH$1&lt;INDEX('Valo FX'!$Q:$Q,MATCH($A44,'Valo FX'!$A:$A,0)),0,IF(IH$1&lt;INDEX('Valo FX'!$R:$R,MATCH($A44,'Valo FX'!$A:$A,0)),INDEX(Base!$U:$U,MATCH($A44,Base!$A:$A,0)),IF(IH$1=INDEX('Valo FX'!$R:$R,MATCH($A44,'Valo FX'!$A:$A,0)),INDEX(Base!$V:$V,MATCH($A44,Base!$A:$A,0)),0)))</f>
        <v>0</v>
      </c>
      <c r="II44" s="21">
        <f>IF(II$1&lt;INDEX('Valo FX'!$Q:$Q,MATCH($A44,'Valo FX'!$A:$A,0)),0,IF(II$1&lt;INDEX('Valo FX'!$R:$R,MATCH($A44,'Valo FX'!$A:$A,0)),INDEX(Base!$U:$U,MATCH($A44,Base!$A:$A,0)),IF(II$1=INDEX('Valo FX'!$R:$R,MATCH($A44,'Valo FX'!$A:$A,0)),INDEX(Base!$V:$V,MATCH($A44,Base!$A:$A,0)),0)))</f>
        <v>0</v>
      </c>
      <c r="IJ44" s="21">
        <f>IF(IJ$1&lt;INDEX('Valo FX'!$Q:$Q,MATCH($A44,'Valo FX'!$A:$A,0)),0,IF(IJ$1&lt;INDEX('Valo FX'!$R:$R,MATCH($A44,'Valo FX'!$A:$A,0)),INDEX(Base!$U:$U,MATCH($A44,Base!$A:$A,0)),IF(IJ$1=INDEX('Valo FX'!$R:$R,MATCH($A44,'Valo FX'!$A:$A,0)),INDEX(Base!$V:$V,MATCH($A44,Base!$A:$A,0)),0)))</f>
        <v>0</v>
      </c>
      <c r="IK44" s="21">
        <f>IF(IK$1&lt;INDEX('Valo FX'!$Q:$Q,MATCH($A44,'Valo FX'!$A:$A,0)),0,IF(IK$1&lt;INDEX('Valo FX'!$R:$R,MATCH($A44,'Valo FX'!$A:$A,0)),INDEX(Base!$U:$U,MATCH($A44,Base!$A:$A,0)),IF(IK$1=INDEX('Valo FX'!$R:$R,MATCH($A44,'Valo FX'!$A:$A,0)),INDEX(Base!$V:$V,MATCH($A44,Base!$A:$A,0)),0)))</f>
        <v>0</v>
      </c>
      <c r="IL44" s="21">
        <f>IF(IL$1&lt;INDEX('Valo FX'!$Q:$Q,MATCH($A44,'Valo FX'!$A:$A,0)),0,IF(IL$1&lt;INDEX('Valo FX'!$R:$R,MATCH($A44,'Valo FX'!$A:$A,0)),INDEX(Base!$U:$U,MATCH($A44,Base!$A:$A,0)),IF(IL$1=INDEX('Valo FX'!$R:$R,MATCH($A44,'Valo FX'!$A:$A,0)),INDEX(Base!$V:$V,MATCH($A44,Base!$A:$A,0)),0)))</f>
        <v>0</v>
      </c>
      <c r="IM44" s="21">
        <f>IF(IM$1&lt;INDEX('Valo FX'!$Q:$Q,MATCH($A44,'Valo FX'!$A:$A,0)),0,IF(IM$1&lt;INDEX('Valo FX'!$R:$R,MATCH($A44,'Valo FX'!$A:$A,0)),INDEX(Base!$U:$U,MATCH($A44,Base!$A:$A,0)),IF(IM$1=INDEX('Valo FX'!$R:$R,MATCH($A44,'Valo FX'!$A:$A,0)),INDEX(Base!$V:$V,MATCH($A44,Base!$A:$A,0)),0)))</f>
        <v>0</v>
      </c>
      <c r="IN44" s="21">
        <f>IF(IN$1&lt;INDEX('Valo FX'!$Q:$Q,MATCH($A44,'Valo FX'!$A:$A,0)),0,IF(IN$1&lt;INDEX('Valo FX'!$R:$R,MATCH($A44,'Valo FX'!$A:$A,0)),INDEX(Base!$U:$U,MATCH($A44,Base!$A:$A,0)),IF(IN$1=INDEX('Valo FX'!$R:$R,MATCH($A44,'Valo FX'!$A:$A,0)),INDEX(Base!$V:$V,MATCH($A44,Base!$A:$A,0)),0)))</f>
        <v>0</v>
      </c>
      <c r="IO44" s="21">
        <f>IF(IO$1&lt;INDEX('Valo FX'!$Q:$Q,MATCH($A44,'Valo FX'!$A:$A,0)),0,IF(IO$1&lt;INDEX('Valo FX'!$R:$R,MATCH($A44,'Valo FX'!$A:$A,0)),INDEX(Base!$U:$U,MATCH($A44,Base!$A:$A,0)),IF(IO$1=INDEX('Valo FX'!$R:$R,MATCH($A44,'Valo FX'!$A:$A,0)),INDEX(Base!$V:$V,MATCH($A44,Base!$A:$A,0)),0)))</f>
        <v>0</v>
      </c>
      <c r="IP44" s="21">
        <f>IF(IP$1&lt;INDEX('Valo FX'!$Q:$Q,MATCH($A44,'Valo FX'!$A:$A,0)),0,IF(IP$1&lt;INDEX('Valo FX'!$R:$R,MATCH($A44,'Valo FX'!$A:$A,0)),INDEX(Base!$U:$U,MATCH($A44,Base!$A:$A,0)),IF(IP$1=INDEX('Valo FX'!$R:$R,MATCH($A44,'Valo FX'!$A:$A,0)),INDEX(Base!$V:$V,MATCH($A44,Base!$A:$A,0)),0)))</f>
        <v>0</v>
      </c>
      <c r="IQ44" s="21">
        <f>IF(IQ$1&lt;INDEX('Valo FX'!$Q:$Q,MATCH($A44,'Valo FX'!$A:$A,0)),0,IF(IQ$1&lt;INDEX('Valo FX'!$R:$R,MATCH($A44,'Valo FX'!$A:$A,0)),INDEX(Base!$U:$U,MATCH($A44,Base!$A:$A,0)),IF(IQ$1=INDEX('Valo FX'!$R:$R,MATCH($A44,'Valo FX'!$A:$A,0)),INDEX(Base!$V:$V,MATCH($A44,Base!$A:$A,0)),0)))</f>
        <v>0</v>
      </c>
      <c r="IR44" s="21">
        <f>IF(IR$1&lt;INDEX('Valo FX'!$Q:$Q,MATCH($A44,'Valo FX'!$A:$A,0)),0,IF(IR$1&lt;INDEX('Valo FX'!$R:$R,MATCH($A44,'Valo FX'!$A:$A,0)),INDEX(Base!$U:$U,MATCH($A44,Base!$A:$A,0)),IF(IR$1=INDEX('Valo FX'!$R:$R,MATCH($A44,'Valo FX'!$A:$A,0)),INDEX(Base!$V:$V,MATCH($A44,Base!$A:$A,0)),0)))</f>
        <v>0</v>
      </c>
      <c r="IS44" s="21">
        <f>IF(IS$1&lt;INDEX('Valo FX'!$Q:$Q,MATCH($A44,'Valo FX'!$A:$A,0)),0,IF(IS$1&lt;INDEX('Valo FX'!$R:$R,MATCH($A44,'Valo FX'!$A:$A,0)),INDEX(Base!$U:$U,MATCH($A44,Base!$A:$A,0)),IF(IS$1=INDEX('Valo FX'!$R:$R,MATCH($A44,'Valo FX'!$A:$A,0)),INDEX(Base!$V:$V,MATCH($A44,Base!$A:$A,0)),0)))</f>
        <v>0</v>
      </c>
      <c r="IT44" s="21">
        <f>IF(IT$1&lt;INDEX('Valo FX'!$Q:$Q,MATCH($A44,'Valo FX'!$A:$A,0)),0,IF(IT$1&lt;INDEX('Valo FX'!$R:$R,MATCH($A44,'Valo FX'!$A:$A,0)),INDEX(Base!$U:$U,MATCH($A44,Base!$A:$A,0)),IF(IT$1=INDEX('Valo FX'!$R:$R,MATCH($A44,'Valo FX'!$A:$A,0)),INDEX(Base!$V:$V,MATCH($A44,Base!$A:$A,0)),0)))</f>
        <v>0</v>
      </c>
      <c r="IU44" s="21">
        <f>IF(IU$1&lt;INDEX('Valo FX'!$Q:$Q,MATCH($A44,'Valo FX'!$A:$A,0)),0,IF(IU$1&lt;INDEX('Valo FX'!$R:$R,MATCH($A44,'Valo FX'!$A:$A,0)),INDEX(Base!$U:$U,MATCH($A44,Base!$A:$A,0)),IF(IU$1=INDEX('Valo FX'!$R:$R,MATCH($A44,'Valo FX'!$A:$A,0)),INDEX(Base!$V:$V,MATCH($A44,Base!$A:$A,0)),0)))</f>
        <v>0</v>
      </c>
      <c r="IV44" s="21">
        <f>IF(IV$1&lt;INDEX('Valo FX'!$Q:$Q,MATCH($A44,'Valo FX'!$A:$A,0)),0,IF(IV$1&lt;INDEX('Valo FX'!$R:$R,MATCH($A44,'Valo FX'!$A:$A,0)),INDEX(Base!$U:$U,MATCH($A44,Base!$A:$A,0)),IF(IV$1=INDEX('Valo FX'!$R:$R,MATCH($A44,'Valo FX'!$A:$A,0)),INDEX(Base!$V:$V,MATCH($A44,Base!$A:$A,0)),0)))</f>
        <v>0</v>
      </c>
      <c r="IW44" s="21">
        <f>IF(IW$1&lt;INDEX('Valo FX'!$Q:$Q,MATCH($A44,'Valo FX'!$A:$A,0)),0,IF(IW$1&lt;INDEX('Valo FX'!$R:$R,MATCH($A44,'Valo FX'!$A:$A,0)),INDEX(Base!$U:$U,MATCH($A44,Base!$A:$A,0)),IF(IW$1=INDEX('Valo FX'!$R:$R,MATCH($A44,'Valo FX'!$A:$A,0)),INDEX(Base!$V:$V,MATCH($A44,Base!$A:$A,0)),0)))</f>
        <v>0</v>
      </c>
      <c r="IX44" s="21">
        <f>IF(IX$1&lt;INDEX('Valo FX'!$Q:$Q,MATCH($A44,'Valo FX'!$A:$A,0)),0,IF(IX$1&lt;INDEX('Valo FX'!$R:$R,MATCH($A44,'Valo FX'!$A:$A,0)),INDEX(Base!$U:$U,MATCH($A44,Base!$A:$A,0)),IF(IX$1=INDEX('Valo FX'!$R:$R,MATCH($A44,'Valo FX'!$A:$A,0)),INDEX(Base!$V:$V,MATCH($A44,Base!$A:$A,0)),0)))</f>
        <v>0</v>
      </c>
      <c r="IY44" s="21">
        <f>IF(IY$1&lt;INDEX('Valo FX'!$Q:$Q,MATCH($A44,'Valo FX'!$A:$A,0)),0,IF(IY$1&lt;INDEX('Valo FX'!$R:$R,MATCH($A44,'Valo FX'!$A:$A,0)),INDEX(Base!$U:$U,MATCH($A44,Base!$A:$A,0)),IF(IY$1=INDEX('Valo FX'!$R:$R,MATCH($A44,'Valo FX'!$A:$A,0)),INDEX(Base!$V:$V,MATCH($A44,Base!$A:$A,0)),0)))</f>
        <v>0</v>
      </c>
      <c r="IZ44" s="21">
        <f>IF(IZ$1&lt;INDEX('Valo FX'!$Q:$Q,MATCH($A44,'Valo FX'!$A:$A,0)),0,IF(IZ$1&lt;INDEX('Valo FX'!$R:$R,MATCH($A44,'Valo FX'!$A:$A,0)),INDEX(Base!$U:$U,MATCH($A44,Base!$A:$A,0)),IF(IZ$1=INDEX('Valo FX'!$R:$R,MATCH($A44,'Valo FX'!$A:$A,0)),INDEX(Base!$V:$V,MATCH($A44,Base!$A:$A,0)),0)))</f>
        <v>0</v>
      </c>
      <c r="JA44" s="21">
        <f>IF(JA$1&lt;INDEX('Valo FX'!$Q:$Q,MATCH($A44,'Valo FX'!$A:$A,0)),0,IF(JA$1&lt;INDEX('Valo FX'!$R:$R,MATCH($A44,'Valo FX'!$A:$A,0)),INDEX(Base!$U:$U,MATCH($A44,Base!$A:$A,0)),IF(JA$1=INDEX('Valo FX'!$R:$R,MATCH($A44,'Valo FX'!$A:$A,0)),INDEX(Base!$V:$V,MATCH($A44,Base!$A:$A,0)),0)))</f>
        <v>0</v>
      </c>
      <c r="JB44" s="21">
        <f>IF(JB$1&lt;INDEX('Valo FX'!$Q:$Q,MATCH($A44,'Valo FX'!$A:$A,0)),0,IF(JB$1&lt;INDEX('Valo FX'!$R:$R,MATCH($A44,'Valo FX'!$A:$A,0)),INDEX(Base!$U:$U,MATCH($A44,Base!$A:$A,0)),IF(JB$1=INDEX('Valo FX'!$R:$R,MATCH($A44,'Valo FX'!$A:$A,0)),INDEX(Base!$V:$V,MATCH($A44,Base!$A:$A,0)),0)))</f>
        <v>0</v>
      </c>
      <c r="JC44" s="21">
        <f>IF(JC$1&lt;INDEX('Valo FX'!$Q:$Q,MATCH($A44,'Valo FX'!$A:$A,0)),0,IF(JC$1&lt;INDEX('Valo FX'!$R:$R,MATCH($A44,'Valo FX'!$A:$A,0)),INDEX(Base!$U:$U,MATCH($A44,Base!$A:$A,0)),IF(JC$1=INDEX('Valo FX'!$R:$R,MATCH($A44,'Valo FX'!$A:$A,0)),INDEX(Base!$V:$V,MATCH($A44,Base!$A:$A,0)),0)))</f>
        <v>0</v>
      </c>
      <c r="JD44" s="21">
        <f>IF(JD$1&lt;INDEX('Valo FX'!$Q:$Q,MATCH($A44,'Valo FX'!$A:$A,0)),0,IF(JD$1&lt;INDEX('Valo FX'!$R:$R,MATCH($A44,'Valo FX'!$A:$A,0)),INDEX(Base!$U:$U,MATCH($A44,Base!$A:$A,0)),IF(JD$1=INDEX('Valo FX'!$R:$R,MATCH($A44,'Valo FX'!$A:$A,0)),INDEX(Base!$V:$V,MATCH($A44,Base!$A:$A,0)),0)))</f>
        <v>0</v>
      </c>
      <c r="JE44" s="21">
        <f>IF(JE$1&lt;INDEX('Valo FX'!$Q:$Q,MATCH($A44,'Valo FX'!$A:$A,0)),0,IF(JE$1&lt;INDEX('Valo FX'!$R:$R,MATCH($A44,'Valo FX'!$A:$A,0)),INDEX(Base!$U:$U,MATCH($A44,Base!$A:$A,0)),IF(JE$1=INDEX('Valo FX'!$R:$R,MATCH($A44,'Valo FX'!$A:$A,0)),INDEX(Base!$V:$V,MATCH($A44,Base!$A:$A,0)),0)))</f>
        <v>0</v>
      </c>
      <c r="JF44" s="21">
        <f>IF(JF$1&lt;INDEX('Valo FX'!$Q:$Q,MATCH($A44,'Valo FX'!$A:$A,0)),0,IF(JF$1&lt;INDEX('Valo FX'!$R:$R,MATCH($A44,'Valo FX'!$A:$A,0)),INDEX(Base!$U:$U,MATCH($A44,Base!$A:$A,0)),IF(JF$1=INDEX('Valo FX'!$R:$R,MATCH($A44,'Valo FX'!$A:$A,0)),INDEX(Base!$V:$V,MATCH($A44,Base!$A:$A,0)),0)))</f>
        <v>0</v>
      </c>
      <c r="JG44" s="21">
        <f>IF(JG$1&lt;INDEX('Valo FX'!$Q:$Q,MATCH($A44,'Valo FX'!$A:$A,0)),0,IF(JG$1&lt;INDEX('Valo FX'!$R:$R,MATCH($A44,'Valo FX'!$A:$A,0)),INDEX(Base!$U:$U,MATCH($A44,Base!$A:$A,0)),IF(JG$1=INDEX('Valo FX'!$R:$R,MATCH($A44,'Valo FX'!$A:$A,0)),INDEX(Base!$V:$V,MATCH($A44,Base!$A:$A,0)),0)))</f>
        <v>0</v>
      </c>
      <c r="JH44" s="21">
        <f>IF(JH$1&lt;INDEX('Valo FX'!$Q:$Q,MATCH($A44,'Valo FX'!$A:$A,0)),0,IF(JH$1&lt;INDEX('Valo FX'!$R:$R,MATCH($A44,'Valo FX'!$A:$A,0)),INDEX(Base!$U:$U,MATCH($A44,Base!$A:$A,0)),IF(JH$1=INDEX('Valo FX'!$R:$R,MATCH($A44,'Valo FX'!$A:$A,0)),INDEX(Base!$V:$V,MATCH($A44,Base!$A:$A,0)),0)))</f>
        <v>0</v>
      </c>
      <c r="JI44" s="21">
        <f>IF(JI$1&lt;INDEX('Valo FX'!$Q:$Q,MATCH($A44,'Valo FX'!$A:$A,0)),0,IF(JI$1&lt;INDEX('Valo FX'!$R:$R,MATCH($A44,'Valo FX'!$A:$A,0)),INDEX(Base!$U:$U,MATCH($A44,Base!$A:$A,0)),IF(JI$1=INDEX('Valo FX'!$R:$R,MATCH($A44,'Valo FX'!$A:$A,0)),INDEX(Base!$V:$V,MATCH($A44,Base!$A:$A,0)),0)))</f>
        <v>0</v>
      </c>
      <c r="JJ44" s="21">
        <f>IF(JJ$1&lt;INDEX('Valo FX'!$Q:$Q,MATCH($A44,'Valo FX'!$A:$A,0)),0,IF(JJ$1&lt;INDEX('Valo FX'!$R:$R,MATCH($A44,'Valo FX'!$A:$A,0)),INDEX(Base!$U:$U,MATCH($A44,Base!$A:$A,0)),IF(JJ$1=INDEX('Valo FX'!$R:$R,MATCH($A44,'Valo FX'!$A:$A,0)),INDEX(Base!$V:$V,MATCH($A44,Base!$A:$A,0)),0)))</f>
        <v>0</v>
      </c>
      <c r="JK44" s="21">
        <f>IF(JK$1&lt;INDEX('Valo FX'!$Q:$Q,MATCH($A44,'Valo FX'!$A:$A,0)),0,IF(JK$1&lt;INDEX('Valo FX'!$R:$R,MATCH($A44,'Valo FX'!$A:$A,0)),INDEX(Base!$U:$U,MATCH($A44,Base!$A:$A,0)),IF(JK$1=INDEX('Valo FX'!$R:$R,MATCH($A44,'Valo FX'!$A:$A,0)),INDEX(Base!$V:$V,MATCH($A44,Base!$A:$A,0)),0)))</f>
        <v>0</v>
      </c>
      <c r="JL44" s="21">
        <f>IF(JL$1&lt;INDEX('Valo FX'!$Q:$Q,MATCH($A44,'Valo FX'!$A:$A,0)),0,IF(JL$1&lt;INDEX('Valo FX'!$R:$R,MATCH($A44,'Valo FX'!$A:$A,0)),INDEX(Base!$U:$U,MATCH($A44,Base!$A:$A,0)),IF(JL$1=INDEX('Valo FX'!$R:$R,MATCH($A44,'Valo FX'!$A:$A,0)),INDEX(Base!$V:$V,MATCH($A44,Base!$A:$A,0)),0)))</f>
        <v>0</v>
      </c>
      <c r="JM44" s="21">
        <f>IF(JM$1&lt;INDEX('Valo FX'!$Q:$Q,MATCH($A44,'Valo FX'!$A:$A,0)),0,IF(JM$1&lt;INDEX('Valo FX'!$R:$R,MATCH($A44,'Valo FX'!$A:$A,0)),INDEX(Base!$U:$U,MATCH($A44,Base!$A:$A,0)),IF(JM$1=INDEX('Valo FX'!$R:$R,MATCH($A44,'Valo FX'!$A:$A,0)),INDEX(Base!$V:$V,MATCH($A44,Base!$A:$A,0)),0)))</f>
        <v>0</v>
      </c>
      <c r="JN44" s="21">
        <f>IF(JN$1&lt;INDEX('Valo FX'!$Q:$Q,MATCH($A44,'Valo FX'!$A:$A,0)),0,IF(JN$1&lt;INDEX('Valo FX'!$R:$R,MATCH($A44,'Valo FX'!$A:$A,0)),INDEX(Base!$U:$U,MATCH($A44,Base!$A:$A,0)),IF(JN$1=INDEX('Valo FX'!$R:$R,MATCH($A44,'Valo FX'!$A:$A,0)),INDEX(Base!$V:$V,MATCH($A44,Base!$A:$A,0)),0)))</f>
        <v>0</v>
      </c>
      <c r="JO44" s="21">
        <f>IF(JO$1&lt;INDEX('Valo FX'!$Q:$Q,MATCH($A44,'Valo FX'!$A:$A,0)),0,IF(JO$1&lt;INDEX('Valo FX'!$R:$R,MATCH($A44,'Valo FX'!$A:$A,0)),INDEX(Base!$U:$U,MATCH($A44,Base!$A:$A,0)),IF(JO$1=INDEX('Valo FX'!$R:$R,MATCH($A44,'Valo FX'!$A:$A,0)),INDEX(Base!$V:$V,MATCH($A44,Base!$A:$A,0)),0)))</f>
        <v>0</v>
      </c>
      <c r="JP44" s="21">
        <f>IF(JP$1&lt;INDEX('Valo FX'!$Q:$Q,MATCH($A44,'Valo FX'!$A:$A,0)),0,IF(JP$1&lt;INDEX('Valo FX'!$R:$R,MATCH($A44,'Valo FX'!$A:$A,0)),INDEX(Base!$U:$U,MATCH($A44,Base!$A:$A,0)),IF(JP$1=INDEX('Valo FX'!$R:$R,MATCH($A44,'Valo FX'!$A:$A,0)),INDEX(Base!$V:$V,MATCH($A44,Base!$A:$A,0)),0)))</f>
        <v>0</v>
      </c>
      <c r="JQ44" s="21">
        <f>IF(JQ$1&lt;INDEX('Valo FX'!$Q:$Q,MATCH($A44,'Valo FX'!$A:$A,0)),0,IF(JQ$1&lt;INDEX('Valo FX'!$R:$R,MATCH($A44,'Valo FX'!$A:$A,0)),INDEX(Base!$U:$U,MATCH($A44,Base!$A:$A,0)),IF(JQ$1=INDEX('Valo FX'!$R:$R,MATCH($A44,'Valo FX'!$A:$A,0)),INDEX(Base!$V:$V,MATCH($A44,Base!$A:$A,0)),0)))</f>
        <v>0</v>
      </c>
      <c r="JR44" s="21">
        <f>IF(JR$1&lt;INDEX('Valo FX'!$Q:$Q,MATCH($A44,'Valo FX'!$A:$A,0)),0,IF(JR$1&lt;INDEX('Valo FX'!$R:$R,MATCH($A44,'Valo FX'!$A:$A,0)),INDEX(Base!$U:$U,MATCH($A44,Base!$A:$A,0)),IF(JR$1=INDEX('Valo FX'!$R:$R,MATCH($A44,'Valo FX'!$A:$A,0)),INDEX(Base!$V:$V,MATCH($A44,Base!$A:$A,0)),0)))</f>
        <v>0</v>
      </c>
      <c r="JS44" s="21">
        <f>IF(JS$1&lt;INDEX('Valo FX'!$Q:$Q,MATCH($A44,'Valo FX'!$A:$A,0)),0,IF(JS$1&lt;INDEX('Valo FX'!$R:$R,MATCH($A44,'Valo FX'!$A:$A,0)),INDEX(Base!$U:$U,MATCH($A44,Base!$A:$A,0)),IF(JS$1=INDEX('Valo FX'!$R:$R,MATCH($A44,'Valo FX'!$A:$A,0)),INDEX(Base!$V:$V,MATCH($A44,Base!$A:$A,0)),0)))</f>
        <v>0</v>
      </c>
      <c r="JT44" s="21">
        <f>IF(JT$1&lt;INDEX('Valo FX'!$Q:$Q,MATCH($A44,'Valo FX'!$A:$A,0)),0,IF(JT$1&lt;INDEX('Valo FX'!$R:$R,MATCH($A44,'Valo FX'!$A:$A,0)),INDEX(Base!$U:$U,MATCH($A44,Base!$A:$A,0)),IF(JT$1=INDEX('Valo FX'!$R:$R,MATCH($A44,'Valo FX'!$A:$A,0)),INDEX(Base!$V:$V,MATCH($A44,Base!$A:$A,0)),0)))</f>
        <v>0</v>
      </c>
      <c r="JU44" s="21">
        <f>IF(JU$1&lt;INDEX('Valo FX'!$Q:$Q,MATCH($A44,'Valo FX'!$A:$A,0)),0,IF(JU$1&lt;INDEX('Valo FX'!$R:$R,MATCH($A44,'Valo FX'!$A:$A,0)),INDEX(Base!$U:$U,MATCH($A44,Base!$A:$A,0)),IF(JU$1=INDEX('Valo FX'!$R:$R,MATCH($A44,'Valo FX'!$A:$A,0)),INDEX(Base!$V:$V,MATCH($A44,Base!$A:$A,0)),0)))</f>
        <v>0</v>
      </c>
      <c r="JV44" s="21">
        <f>IF(JV$1&lt;INDEX('Valo FX'!$Q:$Q,MATCH($A44,'Valo FX'!$A:$A,0)),0,IF(JV$1&lt;INDEX('Valo FX'!$R:$R,MATCH($A44,'Valo FX'!$A:$A,0)),INDEX(Base!$U:$U,MATCH($A44,Base!$A:$A,0)),IF(JV$1=INDEX('Valo FX'!$R:$R,MATCH($A44,'Valo FX'!$A:$A,0)),INDEX(Base!$V:$V,MATCH($A44,Base!$A:$A,0)),0)))</f>
        <v>0</v>
      </c>
      <c r="JW44" s="21">
        <f>IF(JW$1&lt;INDEX('Valo FX'!$Q:$Q,MATCH($A44,'Valo FX'!$A:$A,0)),0,IF(JW$1&lt;INDEX('Valo FX'!$R:$R,MATCH($A44,'Valo FX'!$A:$A,0)),INDEX(Base!$U:$U,MATCH($A44,Base!$A:$A,0)),IF(JW$1=INDEX('Valo FX'!$R:$R,MATCH($A44,'Valo FX'!$A:$A,0)),INDEX(Base!$V:$V,MATCH($A44,Base!$A:$A,0)),0)))</f>
        <v>0</v>
      </c>
      <c r="JX44" s="21">
        <f>IF(JX$1&lt;INDEX('Valo FX'!$Q:$Q,MATCH($A44,'Valo FX'!$A:$A,0)),0,IF(JX$1&lt;INDEX('Valo FX'!$R:$R,MATCH($A44,'Valo FX'!$A:$A,0)),INDEX(Base!$U:$U,MATCH($A44,Base!$A:$A,0)),IF(JX$1=INDEX('Valo FX'!$R:$R,MATCH($A44,'Valo FX'!$A:$A,0)),INDEX(Base!$V:$V,MATCH($A44,Base!$A:$A,0)),0)))</f>
        <v>0</v>
      </c>
      <c r="JY44" s="21">
        <f>IF(JY$1&lt;INDEX('Valo FX'!$Q:$Q,MATCH($A44,'Valo FX'!$A:$A,0)),0,IF(JY$1&lt;INDEX('Valo FX'!$R:$R,MATCH($A44,'Valo FX'!$A:$A,0)),INDEX(Base!$U:$U,MATCH($A44,Base!$A:$A,0)),IF(JY$1=INDEX('Valo FX'!$R:$R,MATCH($A44,'Valo FX'!$A:$A,0)),INDEX(Base!$V:$V,MATCH($A44,Base!$A:$A,0)),0)))</f>
        <v>0</v>
      </c>
      <c r="JZ44" s="21">
        <f>IF(JZ$1&lt;INDEX('Valo FX'!$Q:$Q,MATCH($A44,'Valo FX'!$A:$A,0)),0,IF(JZ$1&lt;INDEX('Valo FX'!$R:$R,MATCH($A44,'Valo FX'!$A:$A,0)),INDEX(Base!$U:$U,MATCH($A44,Base!$A:$A,0)),IF(JZ$1=INDEX('Valo FX'!$R:$R,MATCH($A44,'Valo FX'!$A:$A,0)),INDEX(Base!$V:$V,MATCH($A44,Base!$A:$A,0)),0)))</f>
        <v>0</v>
      </c>
      <c r="KA44" s="21">
        <f>IF(KA$1&lt;INDEX('Valo FX'!$Q:$Q,MATCH($A44,'Valo FX'!$A:$A,0)),0,IF(KA$1&lt;INDEX('Valo FX'!$R:$R,MATCH($A44,'Valo FX'!$A:$A,0)),INDEX(Base!$U:$U,MATCH($A44,Base!$A:$A,0)),IF(KA$1=INDEX('Valo FX'!$R:$R,MATCH($A44,'Valo FX'!$A:$A,0)),INDEX(Base!$V:$V,MATCH($A44,Base!$A:$A,0)),0)))</f>
        <v>0</v>
      </c>
      <c r="KB44" s="21">
        <f>IF(KB$1&lt;INDEX('Valo FX'!$Q:$Q,MATCH($A44,'Valo FX'!$A:$A,0)),0,IF(KB$1&lt;INDEX('Valo FX'!$R:$R,MATCH($A44,'Valo FX'!$A:$A,0)),INDEX(Base!$U:$U,MATCH($A44,Base!$A:$A,0)),IF(KB$1=INDEX('Valo FX'!$R:$R,MATCH($A44,'Valo FX'!$A:$A,0)),INDEX(Base!$V:$V,MATCH($A44,Base!$A:$A,0)),0)))</f>
        <v>0</v>
      </c>
      <c r="KC44" s="21">
        <f>IF(KC$1&lt;INDEX('Valo FX'!$Q:$Q,MATCH($A44,'Valo FX'!$A:$A,0)),0,IF(KC$1&lt;INDEX('Valo FX'!$R:$R,MATCH($A44,'Valo FX'!$A:$A,0)),INDEX(Base!$U:$U,MATCH($A44,Base!$A:$A,0)),IF(KC$1=INDEX('Valo FX'!$R:$R,MATCH($A44,'Valo FX'!$A:$A,0)),INDEX(Base!$V:$V,MATCH($A44,Base!$A:$A,0)),0)))</f>
        <v>0</v>
      </c>
      <c r="KD44" s="21">
        <f>IF(KD$1&lt;INDEX('Valo FX'!$Q:$Q,MATCH($A44,'Valo FX'!$A:$A,0)),0,IF(KD$1&lt;INDEX('Valo FX'!$R:$R,MATCH($A44,'Valo FX'!$A:$A,0)),INDEX(Base!$U:$U,MATCH($A44,Base!$A:$A,0)),IF(KD$1=INDEX('Valo FX'!$R:$R,MATCH($A44,'Valo FX'!$A:$A,0)),INDEX(Base!$V:$V,MATCH($A44,Base!$A:$A,0)),0)))</f>
        <v>0</v>
      </c>
      <c r="KE44" s="21">
        <f>IF(KE$1&lt;INDEX('Valo FX'!$Q:$Q,MATCH($A44,'Valo FX'!$A:$A,0)),0,IF(KE$1&lt;INDEX('Valo FX'!$R:$R,MATCH($A44,'Valo FX'!$A:$A,0)),INDEX(Base!$U:$U,MATCH($A44,Base!$A:$A,0)),IF(KE$1=INDEX('Valo FX'!$R:$R,MATCH($A44,'Valo FX'!$A:$A,0)),INDEX(Base!$V:$V,MATCH($A44,Base!$A:$A,0)),0)))</f>
        <v>0</v>
      </c>
      <c r="KF44" s="21">
        <f>IF(KF$1&lt;INDEX('Valo FX'!$Q:$Q,MATCH($A44,'Valo FX'!$A:$A,0)),0,IF(KF$1&lt;INDEX('Valo FX'!$R:$R,MATCH($A44,'Valo FX'!$A:$A,0)),INDEX(Base!$U:$U,MATCH($A44,Base!$A:$A,0)),IF(KF$1=INDEX('Valo FX'!$R:$R,MATCH($A44,'Valo FX'!$A:$A,0)),INDEX(Base!$V:$V,MATCH($A44,Base!$A:$A,0)),0)))</f>
        <v>0</v>
      </c>
      <c r="KG44" s="21">
        <f>IF(KG$1&lt;INDEX('Valo FX'!$Q:$Q,MATCH($A44,'Valo FX'!$A:$A,0)),0,IF(KG$1&lt;INDEX('Valo FX'!$R:$R,MATCH($A44,'Valo FX'!$A:$A,0)),INDEX(Base!$U:$U,MATCH($A44,Base!$A:$A,0)),IF(KG$1=INDEX('Valo FX'!$R:$R,MATCH($A44,'Valo FX'!$A:$A,0)),INDEX(Base!$V:$V,MATCH($A44,Base!$A:$A,0)),0)))</f>
        <v>0</v>
      </c>
      <c r="KH44" s="21">
        <f>IF(KH$1&lt;INDEX('Valo FX'!$Q:$Q,MATCH($A44,'Valo FX'!$A:$A,0)),0,IF(KH$1&lt;INDEX('Valo FX'!$R:$R,MATCH($A44,'Valo FX'!$A:$A,0)),INDEX(Base!$U:$U,MATCH($A44,Base!$A:$A,0)),IF(KH$1=INDEX('Valo FX'!$R:$R,MATCH($A44,'Valo FX'!$A:$A,0)),INDEX(Base!$V:$V,MATCH($A44,Base!$A:$A,0)),0)))</f>
        <v>0</v>
      </c>
      <c r="KI44" s="21">
        <f>IF(KI$1&lt;INDEX('Valo FX'!$Q:$Q,MATCH($A44,'Valo FX'!$A:$A,0)),0,IF(KI$1&lt;INDEX('Valo FX'!$R:$R,MATCH($A44,'Valo FX'!$A:$A,0)),INDEX(Base!$U:$U,MATCH($A44,Base!$A:$A,0)),IF(KI$1=INDEX('Valo FX'!$R:$R,MATCH($A44,'Valo FX'!$A:$A,0)),INDEX(Base!$V:$V,MATCH($A44,Base!$A:$A,0)),0)))</f>
        <v>0</v>
      </c>
      <c r="KJ44" s="21">
        <f>IF(KJ$1&lt;INDEX('Valo FX'!$Q:$Q,MATCH($A44,'Valo FX'!$A:$A,0)),0,IF(KJ$1&lt;INDEX('Valo FX'!$R:$R,MATCH($A44,'Valo FX'!$A:$A,0)),INDEX(Base!$U:$U,MATCH($A44,Base!$A:$A,0)),IF(KJ$1=INDEX('Valo FX'!$R:$R,MATCH($A44,'Valo FX'!$A:$A,0)),INDEX(Base!$V:$V,MATCH($A44,Base!$A:$A,0)),0)))</f>
        <v>0</v>
      </c>
      <c r="KK44" s="21">
        <f>IF(KK$1&lt;INDEX('Valo FX'!$Q:$Q,MATCH($A44,'Valo FX'!$A:$A,0)),0,IF(KK$1&lt;INDEX('Valo FX'!$R:$R,MATCH($A44,'Valo FX'!$A:$A,0)),INDEX(Base!$U:$U,MATCH($A44,Base!$A:$A,0)),IF(KK$1=INDEX('Valo FX'!$R:$R,MATCH($A44,'Valo FX'!$A:$A,0)),INDEX(Base!$V:$V,MATCH($A44,Base!$A:$A,0)),0)))</f>
        <v>0</v>
      </c>
      <c r="KL44" s="21">
        <f>IF(KL$1&lt;INDEX('Valo FX'!$Q:$Q,MATCH($A44,'Valo FX'!$A:$A,0)),0,IF(KL$1&lt;INDEX('Valo FX'!$R:$R,MATCH($A44,'Valo FX'!$A:$A,0)),INDEX(Base!$U:$U,MATCH($A44,Base!$A:$A,0)),IF(KL$1=INDEX('Valo FX'!$R:$R,MATCH($A44,'Valo FX'!$A:$A,0)),INDEX(Base!$V:$V,MATCH($A44,Base!$A:$A,0)),0)))</f>
        <v>0</v>
      </c>
      <c r="KM44" s="21">
        <f>IF(KM$1&lt;INDEX('Valo FX'!$Q:$Q,MATCH($A44,'Valo FX'!$A:$A,0)),0,IF(KM$1&lt;INDEX('Valo FX'!$R:$R,MATCH($A44,'Valo FX'!$A:$A,0)),INDEX(Base!$U:$U,MATCH($A44,Base!$A:$A,0)),IF(KM$1=INDEX('Valo FX'!$R:$R,MATCH($A44,'Valo FX'!$A:$A,0)),INDEX(Base!$V:$V,MATCH($A44,Base!$A:$A,0)),0)))</f>
        <v>0</v>
      </c>
      <c r="KN44" s="21">
        <f>IF(KN$1&lt;INDEX('Valo FX'!$Q:$Q,MATCH($A44,'Valo FX'!$A:$A,0)),0,IF(KN$1&lt;INDEX('Valo FX'!$R:$R,MATCH($A44,'Valo FX'!$A:$A,0)),INDEX(Base!$U:$U,MATCH($A44,Base!$A:$A,0)),IF(KN$1=INDEX('Valo FX'!$R:$R,MATCH($A44,'Valo FX'!$A:$A,0)),INDEX(Base!$V:$V,MATCH($A44,Base!$A:$A,0)),0)))</f>
        <v>0</v>
      </c>
      <c r="KO44" s="21">
        <f>IF(KO$1&lt;INDEX('Valo FX'!$Q:$Q,MATCH($A44,'Valo FX'!$A:$A,0)),0,IF(KO$1&lt;INDEX('Valo FX'!$R:$R,MATCH($A44,'Valo FX'!$A:$A,0)),INDEX(Base!$U:$U,MATCH($A44,Base!$A:$A,0)),IF(KO$1=INDEX('Valo FX'!$R:$R,MATCH($A44,'Valo FX'!$A:$A,0)),INDEX(Base!$V:$V,MATCH($A44,Base!$A:$A,0)),0)))</f>
        <v>0</v>
      </c>
      <c r="KP44" s="21">
        <f>IF(KP$1&lt;INDEX('Valo FX'!$Q:$Q,MATCH($A44,'Valo FX'!$A:$A,0)),0,IF(KP$1&lt;INDEX('Valo FX'!$R:$R,MATCH($A44,'Valo FX'!$A:$A,0)),INDEX(Base!$U:$U,MATCH($A44,Base!$A:$A,0)),IF(KP$1=INDEX('Valo FX'!$R:$R,MATCH($A44,'Valo FX'!$A:$A,0)),INDEX(Base!$V:$V,MATCH($A44,Base!$A:$A,0)),0)))</f>
        <v>0</v>
      </c>
      <c r="KQ44" s="21">
        <f>IF(KQ$1&lt;INDEX('Valo FX'!$Q:$Q,MATCH($A44,'Valo FX'!$A:$A,0)),0,IF(KQ$1&lt;INDEX('Valo FX'!$R:$R,MATCH($A44,'Valo FX'!$A:$A,0)),INDEX(Base!$U:$U,MATCH($A44,Base!$A:$A,0)),IF(KQ$1=INDEX('Valo FX'!$R:$R,MATCH($A44,'Valo FX'!$A:$A,0)),INDEX(Base!$V:$V,MATCH($A44,Base!$A:$A,0)),0)))</f>
        <v>0</v>
      </c>
      <c r="KR44" s="21">
        <f>IF(KR$1&lt;INDEX('Valo FX'!$Q:$Q,MATCH($A44,'Valo FX'!$A:$A,0)),0,IF(KR$1&lt;INDEX('Valo FX'!$R:$R,MATCH($A44,'Valo FX'!$A:$A,0)),INDEX(Base!$U:$U,MATCH($A44,Base!$A:$A,0)),IF(KR$1=INDEX('Valo FX'!$R:$R,MATCH($A44,'Valo FX'!$A:$A,0)),INDEX(Base!$V:$V,MATCH($A44,Base!$A:$A,0)),0)))</f>
        <v>0</v>
      </c>
      <c r="KS44" s="21">
        <f>IF(KS$1&lt;INDEX('Valo FX'!$Q:$Q,MATCH($A44,'Valo FX'!$A:$A,0)),0,IF(KS$1&lt;INDEX('Valo FX'!$R:$R,MATCH($A44,'Valo FX'!$A:$A,0)),INDEX(Base!$U:$U,MATCH($A44,Base!$A:$A,0)),IF(KS$1=INDEX('Valo FX'!$R:$R,MATCH($A44,'Valo FX'!$A:$A,0)),INDEX(Base!$V:$V,MATCH($A44,Base!$A:$A,0)),0)))</f>
        <v>0</v>
      </c>
      <c r="KT44" s="21">
        <f>IF(KT$1&lt;INDEX('Valo FX'!$Q:$Q,MATCH($A44,'Valo FX'!$A:$A,0)),0,IF(KT$1&lt;INDEX('Valo FX'!$R:$R,MATCH($A44,'Valo FX'!$A:$A,0)),INDEX(Base!$U:$U,MATCH($A44,Base!$A:$A,0)),IF(KT$1=INDEX('Valo FX'!$R:$R,MATCH($A44,'Valo FX'!$A:$A,0)),INDEX(Base!$V:$V,MATCH($A44,Base!$A:$A,0)),0)))</f>
        <v>0</v>
      </c>
      <c r="KU44" s="21">
        <f>IF(KU$1&lt;INDEX('Valo FX'!$Q:$Q,MATCH($A44,'Valo FX'!$A:$A,0)),0,IF(KU$1&lt;INDEX('Valo FX'!$R:$R,MATCH($A44,'Valo FX'!$A:$A,0)),INDEX(Base!$U:$U,MATCH($A44,Base!$A:$A,0)),IF(KU$1=INDEX('Valo FX'!$R:$R,MATCH($A44,'Valo FX'!$A:$A,0)),INDEX(Base!$V:$V,MATCH($A44,Base!$A:$A,0)),0)))</f>
        <v>0</v>
      </c>
      <c r="KV44" s="21">
        <f>IF(KV$1&lt;INDEX('Valo FX'!$Q:$Q,MATCH($A44,'Valo FX'!$A:$A,0)),0,IF(KV$1&lt;INDEX('Valo FX'!$R:$R,MATCH($A44,'Valo FX'!$A:$A,0)),INDEX(Base!$U:$U,MATCH($A44,Base!$A:$A,0)),IF(KV$1=INDEX('Valo FX'!$R:$R,MATCH($A44,'Valo FX'!$A:$A,0)),INDEX(Base!$V:$V,MATCH($A44,Base!$A:$A,0)),0)))</f>
        <v>0</v>
      </c>
      <c r="KW44" s="21">
        <f>IF(KW$1&lt;INDEX('Valo FX'!$Q:$Q,MATCH($A44,'Valo FX'!$A:$A,0)),0,IF(KW$1&lt;INDEX('Valo FX'!$R:$R,MATCH($A44,'Valo FX'!$A:$A,0)),INDEX(Base!$U:$U,MATCH($A44,Base!$A:$A,0)),IF(KW$1=INDEX('Valo FX'!$R:$R,MATCH($A44,'Valo FX'!$A:$A,0)),INDEX(Base!$V:$V,MATCH($A44,Base!$A:$A,0)),0)))</f>
        <v>0</v>
      </c>
      <c r="KX44" s="21">
        <f>IF(KX$1&lt;INDEX('Valo FX'!$Q:$Q,MATCH($A44,'Valo FX'!$A:$A,0)),0,IF(KX$1&lt;INDEX('Valo FX'!$R:$R,MATCH($A44,'Valo FX'!$A:$A,0)),INDEX(Base!$U:$U,MATCH($A44,Base!$A:$A,0)),IF(KX$1=INDEX('Valo FX'!$R:$R,MATCH($A44,'Valo FX'!$A:$A,0)),INDEX(Base!$V:$V,MATCH($A44,Base!$A:$A,0)),0)))</f>
        <v>0</v>
      </c>
      <c r="KY44" s="21">
        <f>IF(KY$1&lt;INDEX('Valo FX'!$Q:$Q,MATCH($A44,'Valo FX'!$A:$A,0)),0,IF(KY$1&lt;INDEX('Valo FX'!$R:$R,MATCH($A44,'Valo FX'!$A:$A,0)),INDEX(Base!$U:$U,MATCH($A44,Base!$A:$A,0)),IF(KY$1=INDEX('Valo FX'!$R:$R,MATCH($A44,'Valo FX'!$A:$A,0)),INDEX(Base!$V:$V,MATCH($A44,Base!$A:$A,0)),0)))</f>
        <v>0</v>
      </c>
      <c r="KZ44" s="21">
        <f>IF(KZ$1&lt;INDEX('Valo FX'!$Q:$Q,MATCH($A44,'Valo FX'!$A:$A,0)),0,IF(KZ$1&lt;INDEX('Valo FX'!$R:$R,MATCH($A44,'Valo FX'!$A:$A,0)),INDEX(Base!$U:$U,MATCH($A44,Base!$A:$A,0)),IF(KZ$1=INDEX('Valo FX'!$R:$R,MATCH($A44,'Valo FX'!$A:$A,0)),INDEX(Base!$V:$V,MATCH($A44,Base!$A:$A,0)),0)))</f>
        <v>0</v>
      </c>
      <c r="LA44" s="21">
        <f>IF(LA$1&lt;INDEX('Valo FX'!$Q:$Q,MATCH($A44,'Valo FX'!$A:$A,0)),0,IF(LA$1&lt;INDEX('Valo FX'!$R:$R,MATCH($A44,'Valo FX'!$A:$A,0)),INDEX(Base!$U:$U,MATCH($A44,Base!$A:$A,0)),IF(LA$1=INDEX('Valo FX'!$R:$R,MATCH($A44,'Valo FX'!$A:$A,0)),INDEX(Base!$V:$V,MATCH($A44,Base!$A:$A,0)),0)))</f>
        <v>0</v>
      </c>
      <c r="LB44" s="21">
        <f>IF(LB$1&lt;INDEX('Valo FX'!$Q:$Q,MATCH($A44,'Valo FX'!$A:$A,0)),0,IF(LB$1&lt;INDEX('Valo FX'!$R:$R,MATCH($A44,'Valo FX'!$A:$A,0)),INDEX(Base!$U:$U,MATCH($A44,Base!$A:$A,0)),IF(LB$1=INDEX('Valo FX'!$R:$R,MATCH($A44,'Valo FX'!$A:$A,0)),INDEX(Base!$V:$V,MATCH($A44,Base!$A:$A,0)),0)))</f>
        <v>0</v>
      </c>
      <c r="LC44" s="21">
        <f>IF(LC$1&lt;INDEX('Valo FX'!$Q:$Q,MATCH($A44,'Valo FX'!$A:$A,0)),0,IF(LC$1&lt;INDEX('Valo FX'!$R:$R,MATCH($A44,'Valo FX'!$A:$A,0)),INDEX(Base!$U:$U,MATCH($A44,Base!$A:$A,0)),IF(LC$1=INDEX('Valo FX'!$R:$R,MATCH($A44,'Valo FX'!$A:$A,0)),INDEX(Base!$V:$V,MATCH($A44,Base!$A:$A,0)),0)))</f>
        <v>0</v>
      </c>
      <c r="LD44" s="21">
        <f>IF(LD$1&lt;INDEX('Valo FX'!$Q:$Q,MATCH($A44,'Valo FX'!$A:$A,0)),0,IF(LD$1&lt;INDEX('Valo FX'!$R:$R,MATCH($A44,'Valo FX'!$A:$A,0)),INDEX(Base!$U:$U,MATCH($A44,Base!$A:$A,0)),IF(LD$1=INDEX('Valo FX'!$R:$R,MATCH($A44,'Valo FX'!$A:$A,0)),INDEX(Base!$V:$V,MATCH($A44,Base!$A:$A,0)),0)))</f>
        <v>0</v>
      </c>
      <c r="LE44" s="21">
        <f>IF(LE$1&lt;INDEX('Valo FX'!$Q:$Q,MATCH($A44,'Valo FX'!$A:$A,0)),0,IF(LE$1&lt;INDEX('Valo FX'!$R:$R,MATCH($A44,'Valo FX'!$A:$A,0)),INDEX(Base!$U:$U,MATCH($A44,Base!$A:$A,0)),IF(LE$1=INDEX('Valo FX'!$R:$R,MATCH($A44,'Valo FX'!$A:$A,0)),INDEX(Base!$V:$V,MATCH($A44,Base!$A:$A,0)),0)))</f>
        <v>0</v>
      </c>
      <c r="LF44" s="21">
        <f>IF(LF$1&lt;INDEX('Valo FX'!$Q:$Q,MATCH($A44,'Valo FX'!$A:$A,0)),0,IF(LF$1&lt;INDEX('Valo FX'!$R:$R,MATCH($A44,'Valo FX'!$A:$A,0)),INDEX(Base!$U:$U,MATCH($A44,Base!$A:$A,0)),IF(LF$1=INDEX('Valo FX'!$R:$R,MATCH($A44,'Valo FX'!$A:$A,0)),INDEX(Base!$V:$V,MATCH($A44,Base!$A:$A,0)),0)))</f>
        <v>0</v>
      </c>
      <c r="LG44" s="21">
        <f>IF(LG$1&lt;INDEX('Valo FX'!$Q:$Q,MATCH($A44,'Valo FX'!$A:$A,0)),0,IF(LG$1&lt;INDEX('Valo FX'!$R:$R,MATCH($A44,'Valo FX'!$A:$A,0)),INDEX(Base!$U:$U,MATCH($A44,Base!$A:$A,0)),IF(LG$1=INDEX('Valo FX'!$R:$R,MATCH($A44,'Valo FX'!$A:$A,0)),INDEX(Base!$V:$V,MATCH($A44,Base!$A:$A,0)),0)))</f>
        <v>0</v>
      </c>
      <c r="LH44" s="21">
        <f>IF(LH$1&lt;INDEX('Valo FX'!$Q:$Q,MATCH($A44,'Valo FX'!$A:$A,0)),0,IF(LH$1&lt;INDEX('Valo FX'!$R:$R,MATCH($A44,'Valo FX'!$A:$A,0)),INDEX(Base!$U:$U,MATCH($A44,Base!$A:$A,0)),IF(LH$1=INDEX('Valo FX'!$R:$R,MATCH($A44,'Valo FX'!$A:$A,0)),INDEX(Base!$V:$V,MATCH($A44,Base!$A:$A,0)),0)))</f>
        <v>0</v>
      </c>
      <c r="LI44" s="21">
        <f>IF(LI$1&lt;INDEX('Valo FX'!$Q:$Q,MATCH($A44,'Valo FX'!$A:$A,0)),0,IF(LI$1&lt;INDEX('Valo FX'!$R:$R,MATCH($A44,'Valo FX'!$A:$A,0)),INDEX(Base!$U:$U,MATCH($A44,Base!$A:$A,0)),IF(LI$1=INDEX('Valo FX'!$R:$R,MATCH($A44,'Valo FX'!$A:$A,0)),INDEX(Base!$V:$V,MATCH($A44,Base!$A:$A,0)),0)))</f>
        <v>0</v>
      </c>
      <c r="LJ44" s="21">
        <f>IF(LJ$1&lt;INDEX('Valo FX'!$Q:$Q,MATCH($A44,'Valo FX'!$A:$A,0)),0,IF(LJ$1&lt;INDEX('Valo FX'!$R:$R,MATCH($A44,'Valo FX'!$A:$A,0)),INDEX(Base!$U:$U,MATCH($A44,Base!$A:$A,0)),IF(LJ$1=INDEX('Valo FX'!$R:$R,MATCH($A44,'Valo FX'!$A:$A,0)),INDEX(Base!$V:$V,MATCH($A44,Base!$A:$A,0)),0)))</f>
        <v>0</v>
      </c>
      <c r="LK44" s="21">
        <f>IF(LK$1&lt;INDEX('Valo FX'!$Q:$Q,MATCH($A44,'Valo FX'!$A:$A,0)),0,IF(LK$1&lt;INDEX('Valo FX'!$R:$R,MATCH($A44,'Valo FX'!$A:$A,0)),INDEX(Base!$U:$U,MATCH($A44,Base!$A:$A,0)),IF(LK$1=INDEX('Valo FX'!$R:$R,MATCH($A44,'Valo FX'!$A:$A,0)),INDEX(Base!$V:$V,MATCH($A44,Base!$A:$A,0)),0)))</f>
        <v>0</v>
      </c>
      <c r="LL44" s="21">
        <f>IF(LL$1&lt;INDEX('Valo FX'!$Q:$Q,MATCH($A44,'Valo FX'!$A:$A,0)),0,IF(LL$1&lt;INDEX('Valo FX'!$R:$R,MATCH($A44,'Valo FX'!$A:$A,0)),INDEX(Base!$U:$U,MATCH($A44,Base!$A:$A,0)),IF(LL$1=INDEX('Valo FX'!$R:$R,MATCH($A44,'Valo FX'!$A:$A,0)),INDEX(Base!$V:$V,MATCH($A44,Base!$A:$A,0)),0)))</f>
        <v>0</v>
      </c>
      <c r="LM44" s="21">
        <f>IF(LM$1&lt;INDEX('Valo FX'!$Q:$Q,MATCH($A44,'Valo FX'!$A:$A,0)),0,IF(LM$1&lt;INDEX('Valo FX'!$R:$R,MATCH($A44,'Valo FX'!$A:$A,0)),INDEX(Base!$U:$U,MATCH($A44,Base!$A:$A,0)),IF(LM$1=INDEX('Valo FX'!$R:$R,MATCH($A44,'Valo FX'!$A:$A,0)),INDEX(Base!$V:$V,MATCH($A44,Base!$A:$A,0)),0)))</f>
        <v>0</v>
      </c>
      <c r="LN44" s="21">
        <f>IF(LN$1&lt;INDEX('Valo FX'!$Q:$Q,MATCH($A44,'Valo FX'!$A:$A,0)),0,IF(LN$1&lt;INDEX('Valo FX'!$R:$R,MATCH($A44,'Valo FX'!$A:$A,0)),INDEX(Base!$U:$U,MATCH($A44,Base!$A:$A,0)),IF(LN$1=INDEX('Valo FX'!$R:$R,MATCH($A44,'Valo FX'!$A:$A,0)),INDEX(Base!$V:$V,MATCH($A44,Base!$A:$A,0)),0)))</f>
        <v>0</v>
      </c>
      <c r="LO44" s="21">
        <f>IF(LO$1&lt;INDEX('Valo FX'!$Q:$Q,MATCH($A44,'Valo FX'!$A:$A,0)),0,IF(LO$1&lt;INDEX('Valo FX'!$R:$R,MATCH($A44,'Valo FX'!$A:$A,0)),INDEX(Base!$U:$U,MATCH($A44,Base!$A:$A,0)),IF(LO$1=INDEX('Valo FX'!$R:$R,MATCH($A44,'Valo FX'!$A:$A,0)),INDEX(Base!$V:$V,MATCH($A44,Base!$A:$A,0)),0)))</f>
        <v>0</v>
      </c>
      <c r="LP44" s="21">
        <f>IF(LP$1&lt;INDEX('Valo FX'!$Q:$Q,MATCH($A44,'Valo FX'!$A:$A,0)),0,IF(LP$1&lt;INDEX('Valo FX'!$R:$R,MATCH($A44,'Valo FX'!$A:$A,0)),INDEX(Base!$U:$U,MATCH($A44,Base!$A:$A,0)),IF(LP$1=INDEX('Valo FX'!$R:$R,MATCH($A44,'Valo FX'!$A:$A,0)),INDEX(Base!$V:$V,MATCH($A44,Base!$A:$A,0)),0)))</f>
        <v>0</v>
      </c>
      <c r="LQ44" s="21">
        <f>IF(LQ$1&lt;INDEX('Valo FX'!$Q:$Q,MATCH($A44,'Valo FX'!$A:$A,0)),0,IF(LQ$1&lt;INDEX('Valo FX'!$R:$R,MATCH($A44,'Valo FX'!$A:$A,0)),INDEX(Base!$U:$U,MATCH($A44,Base!$A:$A,0)),IF(LQ$1=INDEX('Valo FX'!$R:$R,MATCH($A44,'Valo FX'!$A:$A,0)),INDEX(Base!$V:$V,MATCH($A44,Base!$A:$A,0)),0)))</f>
        <v>0</v>
      </c>
      <c r="LR44" s="21">
        <f>IF(LR$1&lt;INDEX('Valo FX'!$Q:$Q,MATCH($A44,'Valo FX'!$A:$A,0)),0,IF(LR$1&lt;INDEX('Valo FX'!$R:$R,MATCH($A44,'Valo FX'!$A:$A,0)),INDEX(Base!$U:$U,MATCH($A44,Base!$A:$A,0)),IF(LR$1=INDEX('Valo FX'!$R:$R,MATCH($A44,'Valo FX'!$A:$A,0)),INDEX(Base!$V:$V,MATCH($A44,Base!$A:$A,0)),0)))</f>
        <v>0</v>
      </c>
      <c r="LS44" s="21">
        <f>IF(LS$1&lt;INDEX('Valo FX'!$Q:$Q,MATCH($A44,'Valo FX'!$A:$A,0)),0,IF(LS$1&lt;INDEX('Valo FX'!$R:$R,MATCH($A44,'Valo FX'!$A:$A,0)),INDEX(Base!$U:$U,MATCH($A44,Base!$A:$A,0)),IF(LS$1=INDEX('Valo FX'!$R:$R,MATCH($A44,'Valo FX'!$A:$A,0)),INDEX(Base!$V:$V,MATCH($A44,Base!$A:$A,0)),0)))</f>
        <v>0</v>
      </c>
      <c r="LT44" s="21">
        <f>IF(LT$1&lt;INDEX('Valo FX'!$Q:$Q,MATCH($A44,'Valo FX'!$A:$A,0)),0,IF(LT$1&lt;INDEX('Valo FX'!$R:$R,MATCH($A44,'Valo FX'!$A:$A,0)),INDEX(Base!$U:$U,MATCH($A44,Base!$A:$A,0)),IF(LT$1=INDEX('Valo FX'!$R:$R,MATCH($A44,'Valo FX'!$A:$A,0)),INDEX(Base!$V:$V,MATCH($A44,Base!$A:$A,0)),0)))</f>
        <v>0</v>
      </c>
      <c r="LU44" s="21">
        <f>IF(LU$1&lt;INDEX('Valo FX'!$Q:$Q,MATCH($A44,'Valo FX'!$A:$A,0)),0,IF(LU$1&lt;INDEX('Valo FX'!$R:$R,MATCH($A44,'Valo FX'!$A:$A,0)),INDEX(Base!$U:$U,MATCH($A44,Base!$A:$A,0)),IF(LU$1=INDEX('Valo FX'!$R:$R,MATCH($A44,'Valo FX'!$A:$A,0)),INDEX(Base!$V:$V,MATCH($A44,Base!$A:$A,0)),0)))</f>
        <v>0</v>
      </c>
      <c r="LV44" s="21">
        <f>IF(LV$1&lt;INDEX('Valo FX'!$Q:$Q,MATCH($A44,'Valo FX'!$A:$A,0)),0,IF(LV$1&lt;INDEX('Valo FX'!$R:$R,MATCH($A44,'Valo FX'!$A:$A,0)),INDEX(Base!$U:$U,MATCH($A44,Base!$A:$A,0)),IF(LV$1=INDEX('Valo FX'!$R:$R,MATCH($A44,'Valo FX'!$A:$A,0)),INDEX(Base!$V:$V,MATCH($A44,Base!$A:$A,0)),0)))</f>
        <v>0</v>
      </c>
      <c r="LW44" s="21">
        <f>IF(LW$1&lt;INDEX('Valo FX'!$Q:$Q,MATCH($A44,'Valo FX'!$A:$A,0)),0,IF(LW$1&lt;INDEX('Valo FX'!$R:$R,MATCH($A44,'Valo FX'!$A:$A,0)),INDEX(Base!$U:$U,MATCH($A44,Base!$A:$A,0)),IF(LW$1=INDEX('Valo FX'!$R:$R,MATCH($A44,'Valo FX'!$A:$A,0)),INDEX(Base!$V:$V,MATCH($A44,Base!$A:$A,0)),0)))</f>
        <v>0</v>
      </c>
      <c r="LX44" s="21">
        <f>IF(LX$1&lt;INDEX('Valo FX'!$Q:$Q,MATCH($A44,'Valo FX'!$A:$A,0)),0,IF(LX$1&lt;INDEX('Valo FX'!$R:$R,MATCH($A44,'Valo FX'!$A:$A,0)),INDEX(Base!$U:$U,MATCH($A44,Base!$A:$A,0)),IF(LX$1=INDEX('Valo FX'!$R:$R,MATCH($A44,'Valo FX'!$A:$A,0)),INDEX(Base!$V:$V,MATCH($A44,Base!$A:$A,0)),0)))</f>
        <v>0</v>
      </c>
      <c r="LY44" s="21">
        <f>IF(LY$1&lt;INDEX('Valo FX'!$Q:$Q,MATCH($A44,'Valo FX'!$A:$A,0)),0,IF(LY$1&lt;INDEX('Valo FX'!$R:$R,MATCH($A44,'Valo FX'!$A:$A,0)),INDEX(Base!$U:$U,MATCH($A44,Base!$A:$A,0)),IF(LY$1=INDEX('Valo FX'!$R:$R,MATCH($A44,'Valo FX'!$A:$A,0)),INDEX(Base!$V:$V,MATCH($A44,Base!$A:$A,0)),0)))</f>
        <v>0</v>
      </c>
      <c r="LZ44" s="21">
        <f>IF(LZ$1&lt;INDEX('Valo FX'!$Q:$Q,MATCH($A44,'Valo FX'!$A:$A,0)),0,IF(LZ$1&lt;INDEX('Valo FX'!$R:$R,MATCH($A44,'Valo FX'!$A:$A,0)),INDEX(Base!$U:$U,MATCH($A44,Base!$A:$A,0)),IF(LZ$1=INDEX('Valo FX'!$R:$R,MATCH($A44,'Valo FX'!$A:$A,0)),INDEX(Base!$V:$V,MATCH($A44,Base!$A:$A,0)),0)))</f>
        <v>0</v>
      </c>
      <c r="MA44" s="21">
        <f>IF(MA$1&lt;INDEX('Valo FX'!$Q:$Q,MATCH($A44,'Valo FX'!$A:$A,0)),0,IF(MA$1&lt;INDEX('Valo FX'!$R:$R,MATCH($A44,'Valo FX'!$A:$A,0)),INDEX(Base!$U:$U,MATCH($A44,Base!$A:$A,0)),IF(MA$1=INDEX('Valo FX'!$R:$R,MATCH($A44,'Valo FX'!$A:$A,0)),INDEX(Base!$V:$V,MATCH($A44,Base!$A:$A,0)),0)))</f>
        <v>0</v>
      </c>
      <c r="MB44" s="21">
        <f>IF(MB$1&lt;INDEX('Valo FX'!$Q:$Q,MATCH($A44,'Valo FX'!$A:$A,0)),0,IF(MB$1&lt;INDEX('Valo FX'!$R:$R,MATCH($A44,'Valo FX'!$A:$A,0)),INDEX(Base!$U:$U,MATCH($A44,Base!$A:$A,0)),IF(MB$1=INDEX('Valo FX'!$R:$R,MATCH($A44,'Valo FX'!$A:$A,0)),INDEX(Base!$V:$V,MATCH($A44,Base!$A:$A,0)),0)))</f>
        <v>0</v>
      </c>
      <c r="MC44" s="21">
        <f>IF(MC$1&lt;INDEX('Valo FX'!$Q:$Q,MATCH($A44,'Valo FX'!$A:$A,0)),0,IF(MC$1&lt;INDEX('Valo FX'!$R:$R,MATCH($A44,'Valo FX'!$A:$A,0)),INDEX(Base!$U:$U,MATCH($A44,Base!$A:$A,0)),IF(MC$1=INDEX('Valo FX'!$R:$R,MATCH($A44,'Valo FX'!$A:$A,0)),INDEX(Base!$V:$V,MATCH($A44,Base!$A:$A,0)),0)))</f>
        <v>0</v>
      </c>
      <c r="MD44" s="21">
        <f>IF(MD$1&lt;INDEX('Valo FX'!$Q:$Q,MATCH($A44,'Valo FX'!$A:$A,0)),0,IF(MD$1&lt;INDEX('Valo FX'!$R:$R,MATCH($A44,'Valo FX'!$A:$A,0)),INDEX(Base!$U:$U,MATCH($A44,Base!$A:$A,0)),IF(MD$1=INDEX('Valo FX'!$R:$R,MATCH($A44,'Valo FX'!$A:$A,0)),INDEX(Base!$V:$V,MATCH($A44,Base!$A:$A,0)),0)))</f>
        <v>0</v>
      </c>
      <c r="ME44" s="21">
        <f>IF(ME$1&lt;INDEX('Valo FX'!$Q:$Q,MATCH($A44,'Valo FX'!$A:$A,0)),0,IF(ME$1&lt;INDEX('Valo FX'!$R:$R,MATCH($A44,'Valo FX'!$A:$A,0)),INDEX(Base!$U:$U,MATCH($A44,Base!$A:$A,0)),IF(ME$1=INDEX('Valo FX'!$R:$R,MATCH($A44,'Valo FX'!$A:$A,0)),INDEX(Base!$V:$V,MATCH($A44,Base!$A:$A,0)),0)))</f>
        <v>0</v>
      </c>
      <c r="MF44" s="21">
        <f>IF(MF$1&lt;INDEX('Valo FX'!$Q:$Q,MATCH($A44,'Valo FX'!$A:$A,0)),0,IF(MF$1&lt;INDEX('Valo FX'!$R:$R,MATCH($A44,'Valo FX'!$A:$A,0)),INDEX(Base!$U:$U,MATCH($A44,Base!$A:$A,0)),IF(MF$1=INDEX('Valo FX'!$R:$R,MATCH($A44,'Valo FX'!$A:$A,0)),INDEX(Base!$V:$V,MATCH($A44,Base!$A:$A,0)),0)))</f>
        <v>0</v>
      </c>
      <c r="MG44" s="21">
        <f>IF(MG$1&lt;INDEX('Valo FX'!$Q:$Q,MATCH($A44,'Valo FX'!$A:$A,0)),0,IF(MG$1&lt;INDEX('Valo FX'!$R:$R,MATCH($A44,'Valo FX'!$A:$A,0)),INDEX(Base!$U:$U,MATCH($A44,Base!$A:$A,0)),IF(MG$1=INDEX('Valo FX'!$R:$R,MATCH($A44,'Valo FX'!$A:$A,0)),INDEX(Base!$V:$V,MATCH($A44,Base!$A:$A,0)),0)))</f>
        <v>0</v>
      </c>
      <c r="MH44" s="21">
        <f>IF(MH$1&lt;INDEX('Valo FX'!$Q:$Q,MATCH($A44,'Valo FX'!$A:$A,0)),0,IF(MH$1&lt;INDEX('Valo FX'!$R:$R,MATCH($A44,'Valo FX'!$A:$A,0)),INDEX(Base!$U:$U,MATCH($A44,Base!$A:$A,0)),IF(MH$1=INDEX('Valo FX'!$R:$R,MATCH($A44,'Valo FX'!$A:$A,0)),INDEX(Base!$V:$V,MATCH($A44,Base!$A:$A,0)),0)))</f>
        <v>0</v>
      </c>
      <c r="MI44" s="21">
        <f>IF(MI$1&lt;INDEX('Valo FX'!$Q:$Q,MATCH($A44,'Valo FX'!$A:$A,0)),0,IF(MI$1&lt;INDEX('Valo FX'!$R:$R,MATCH($A44,'Valo FX'!$A:$A,0)),INDEX(Base!$U:$U,MATCH($A44,Base!$A:$A,0)),IF(MI$1=INDEX('Valo FX'!$R:$R,MATCH($A44,'Valo FX'!$A:$A,0)),INDEX(Base!$V:$V,MATCH($A44,Base!$A:$A,0)),0)))</f>
        <v>0</v>
      </c>
      <c r="MJ44" s="21">
        <f>IF(MJ$1&lt;INDEX('Valo FX'!$Q:$Q,MATCH($A44,'Valo FX'!$A:$A,0)),0,IF(MJ$1&lt;INDEX('Valo FX'!$R:$R,MATCH($A44,'Valo FX'!$A:$A,0)),INDEX(Base!$U:$U,MATCH($A44,Base!$A:$A,0)),IF(MJ$1=INDEX('Valo FX'!$R:$R,MATCH($A44,'Valo FX'!$A:$A,0)),INDEX(Base!$V:$V,MATCH($A44,Base!$A:$A,0)),0)))</f>
        <v>0</v>
      </c>
      <c r="MK44" s="21">
        <f>IF(MK$1&lt;INDEX('Valo FX'!$Q:$Q,MATCH($A44,'Valo FX'!$A:$A,0)),0,IF(MK$1&lt;INDEX('Valo FX'!$R:$R,MATCH($A44,'Valo FX'!$A:$A,0)),INDEX(Base!$U:$U,MATCH($A44,Base!$A:$A,0)),IF(MK$1=INDEX('Valo FX'!$R:$R,MATCH($A44,'Valo FX'!$A:$A,0)),INDEX(Base!$V:$V,MATCH($A44,Base!$A:$A,0)),0)))</f>
        <v>0</v>
      </c>
      <c r="ML44" s="21">
        <f>IF(ML$1&lt;INDEX('Valo FX'!$Q:$Q,MATCH($A44,'Valo FX'!$A:$A,0)),0,IF(ML$1&lt;INDEX('Valo FX'!$R:$R,MATCH($A44,'Valo FX'!$A:$A,0)),INDEX(Base!$U:$U,MATCH($A44,Base!$A:$A,0)),IF(ML$1=INDEX('Valo FX'!$R:$R,MATCH($A44,'Valo FX'!$A:$A,0)),INDEX(Base!$V:$V,MATCH($A44,Base!$A:$A,0)),0)))</f>
        <v>0</v>
      </c>
      <c r="MM44" s="21">
        <f>IF(MM$1&lt;INDEX('Valo FX'!$Q:$Q,MATCH($A44,'Valo FX'!$A:$A,0)),0,IF(MM$1&lt;INDEX('Valo FX'!$R:$R,MATCH($A44,'Valo FX'!$A:$A,0)),INDEX(Base!$U:$U,MATCH($A44,Base!$A:$A,0)),IF(MM$1=INDEX('Valo FX'!$R:$R,MATCH($A44,'Valo FX'!$A:$A,0)),INDEX(Base!$V:$V,MATCH($A44,Base!$A:$A,0)),0)))</f>
        <v>0</v>
      </c>
      <c r="MN44" s="21">
        <f>IF(MN$1&lt;INDEX('Valo FX'!$Q:$Q,MATCH($A44,'Valo FX'!$A:$A,0)),0,IF(MN$1&lt;INDEX('Valo FX'!$R:$R,MATCH($A44,'Valo FX'!$A:$A,0)),INDEX(Base!$U:$U,MATCH($A44,Base!$A:$A,0)),IF(MN$1=INDEX('Valo FX'!$R:$R,MATCH($A44,'Valo FX'!$A:$A,0)),INDEX(Base!$V:$V,MATCH($A44,Base!$A:$A,0)),0)))</f>
        <v>0</v>
      </c>
      <c r="MO44" s="21">
        <f>IF(MO$1&lt;INDEX('Valo FX'!$Q:$Q,MATCH($A44,'Valo FX'!$A:$A,0)),0,IF(MO$1&lt;INDEX('Valo FX'!$R:$R,MATCH($A44,'Valo FX'!$A:$A,0)),INDEX(Base!$U:$U,MATCH($A44,Base!$A:$A,0)),IF(MO$1=INDEX('Valo FX'!$R:$R,MATCH($A44,'Valo FX'!$A:$A,0)),INDEX(Base!$V:$V,MATCH($A44,Base!$A:$A,0)),0)))</f>
        <v>0</v>
      </c>
      <c r="MP44" s="21">
        <f>IF(MP$1&lt;INDEX('Valo FX'!$Q:$Q,MATCH($A44,'Valo FX'!$A:$A,0)),0,IF(MP$1&lt;INDEX('Valo FX'!$R:$R,MATCH($A44,'Valo FX'!$A:$A,0)),INDEX(Base!$U:$U,MATCH($A44,Base!$A:$A,0)),IF(MP$1=INDEX('Valo FX'!$R:$R,MATCH($A44,'Valo FX'!$A:$A,0)),INDEX(Base!$V:$V,MATCH($A44,Base!$A:$A,0)),0)))</f>
        <v>0</v>
      </c>
      <c r="MQ44" s="21">
        <f>IF(MQ$1&lt;INDEX('Valo FX'!$Q:$Q,MATCH($A44,'Valo FX'!$A:$A,0)),0,IF(MQ$1&lt;INDEX('Valo FX'!$R:$R,MATCH($A44,'Valo FX'!$A:$A,0)),INDEX(Base!$U:$U,MATCH($A44,Base!$A:$A,0)),IF(MQ$1=INDEX('Valo FX'!$R:$R,MATCH($A44,'Valo FX'!$A:$A,0)),INDEX(Base!$V:$V,MATCH($A44,Base!$A:$A,0)),0)))</f>
        <v>0</v>
      </c>
      <c r="MR44" s="21">
        <f>IF(MR$1&lt;INDEX('Valo FX'!$Q:$Q,MATCH($A44,'Valo FX'!$A:$A,0)),0,IF(MR$1&lt;INDEX('Valo FX'!$R:$R,MATCH($A44,'Valo FX'!$A:$A,0)),INDEX(Base!$U:$U,MATCH($A44,Base!$A:$A,0)),IF(MR$1=INDEX('Valo FX'!$R:$R,MATCH($A44,'Valo FX'!$A:$A,0)),INDEX(Base!$V:$V,MATCH($A44,Base!$A:$A,0)),0)))</f>
        <v>0</v>
      </c>
      <c r="MS44" s="21">
        <f>IF(MS$1&lt;INDEX('Valo FX'!$Q:$Q,MATCH($A44,'Valo FX'!$A:$A,0)),0,IF(MS$1&lt;INDEX('Valo FX'!$R:$R,MATCH($A44,'Valo FX'!$A:$A,0)),INDEX(Base!$U:$U,MATCH($A44,Base!$A:$A,0)),IF(MS$1=INDEX('Valo FX'!$R:$R,MATCH($A44,'Valo FX'!$A:$A,0)),INDEX(Base!$V:$V,MATCH($A44,Base!$A:$A,0)),0)))</f>
        <v>0</v>
      </c>
      <c r="MT44" s="21">
        <f>IF(MT$1&lt;INDEX('Valo FX'!$Q:$Q,MATCH($A44,'Valo FX'!$A:$A,0)),0,IF(MT$1&lt;INDEX('Valo FX'!$R:$R,MATCH($A44,'Valo FX'!$A:$A,0)),INDEX(Base!$U:$U,MATCH($A44,Base!$A:$A,0)),IF(MT$1=INDEX('Valo FX'!$R:$R,MATCH($A44,'Valo FX'!$A:$A,0)),INDEX(Base!$V:$V,MATCH($A44,Base!$A:$A,0)),0)))</f>
        <v>0</v>
      </c>
      <c r="MU44" s="21">
        <f>IF(MU$1&lt;INDEX('Valo FX'!$Q:$Q,MATCH($A44,'Valo FX'!$A:$A,0)),0,IF(MU$1&lt;INDEX('Valo FX'!$R:$R,MATCH($A44,'Valo FX'!$A:$A,0)),INDEX(Base!$U:$U,MATCH($A44,Base!$A:$A,0)),IF(MU$1=INDEX('Valo FX'!$R:$R,MATCH($A44,'Valo FX'!$A:$A,0)),INDEX(Base!$V:$V,MATCH($A44,Base!$A:$A,0)),0)))</f>
        <v>0</v>
      </c>
      <c r="MV44" s="21">
        <f>IF(MV$1&lt;INDEX('Valo FX'!$Q:$Q,MATCH($A44,'Valo FX'!$A:$A,0)),0,IF(MV$1&lt;INDEX('Valo FX'!$R:$R,MATCH($A44,'Valo FX'!$A:$A,0)),INDEX(Base!$U:$U,MATCH($A44,Base!$A:$A,0)),IF(MV$1=INDEX('Valo FX'!$R:$R,MATCH($A44,'Valo FX'!$A:$A,0)),INDEX(Base!$V:$V,MATCH($A44,Base!$A:$A,0)),0)))</f>
        <v>0</v>
      </c>
      <c r="MW44" s="21">
        <f>IF(MW$1&lt;INDEX('Valo FX'!$Q:$Q,MATCH($A44,'Valo FX'!$A:$A,0)),0,IF(MW$1&lt;INDEX('Valo FX'!$R:$R,MATCH($A44,'Valo FX'!$A:$A,0)),INDEX(Base!$U:$U,MATCH($A44,Base!$A:$A,0)),IF(MW$1=INDEX('Valo FX'!$R:$R,MATCH($A44,'Valo FX'!$A:$A,0)),INDEX(Base!$V:$V,MATCH($A44,Base!$A:$A,0)),0)))</f>
        <v>0</v>
      </c>
      <c r="MX44" s="21">
        <f>IF(MX$1&lt;INDEX('Valo FX'!$Q:$Q,MATCH($A44,'Valo FX'!$A:$A,0)),0,IF(MX$1&lt;INDEX('Valo FX'!$R:$R,MATCH($A44,'Valo FX'!$A:$A,0)),INDEX(Base!$U:$U,MATCH($A44,Base!$A:$A,0)),IF(MX$1=INDEX('Valo FX'!$R:$R,MATCH($A44,'Valo FX'!$A:$A,0)),INDEX(Base!$V:$V,MATCH($A44,Base!$A:$A,0)),0)))</f>
        <v>0</v>
      </c>
      <c r="MY44" s="21">
        <f>IF(MY$1&lt;INDEX('Valo FX'!$Q:$Q,MATCH($A44,'Valo FX'!$A:$A,0)),0,IF(MY$1&lt;INDEX('Valo FX'!$R:$R,MATCH($A44,'Valo FX'!$A:$A,0)),INDEX(Base!$U:$U,MATCH($A44,Base!$A:$A,0)),IF(MY$1=INDEX('Valo FX'!$R:$R,MATCH($A44,'Valo FX'!$A:$A,0)),INDEX(Base!$V:$V,MATCH($A44,Base!$A:$A,0)),0)))</f>
        <v>0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7CF5-4644-4CDF-A8F7-34A9015D69BF}">
  <dimension ref="A1:MZ44"/>
  <sheetViews>
    <sheetView showGridLines="0" workbookViewId="0">
      <pane xSplit="1" ySplit="2" topLeftCell="MO3" activePane="bottomRight" state="frozen"/>
      <selection pane="topRight" activeCell="C1" sqref="C1"/>
      <selection pane="bottomLeft" activeCell="A3" sqref="A3"/>
      <selection pane="bottomRight" activeCell="MZ3" sqref="MZ3"/>
    </sheetView>
  </sheetViews>
  <sheetFormatPr defaultColWidth="11.44140625" defaultRowHeight="13.2" x14ac:dyDescent="0.25"/>
  <cols>
    <col min="1" max="1" width="11.33203125" style="1" bestFit="1" customWidth="1"/>
    <col min="2" max="2" width="16.44140625" style="1" bestFit="1" customWidth="1"/>
    <col min="3" max="3" width="14.6640625" style="1" bestFit="1" customWidth="1"/>
    <col min="4" max="16384" width="11.44140625" style="46"/>
  </cols>
  <sheetData>
    <row r="1" spans="1:364" x14ac:dyDescent="0.25">
      <c r="C1" s="14"/>
      <c r="D1" s="15">
        <v>45332</v>
      </c>
      <c r="E1" s="15">
        <v>45361</v>
      </c>
      <c r="F1" s="15">
        <v>45392</v>
      </c>
      <c r="G1" s="15">
        <v>45422</v>
      </c>
      <c r="H1" s="15">
        <v>45453</v>
      </c>
      <c r="I1" s="15">
        <v>45483</v>
      </c>
      <c r="J1" s="15">
        <v>45514</v>
      </c>
      <c r="K1" s="15">
        <v>45545</v>
      </c>
      <c r="L1" s="15">
        <v>45575</v>
      </c>
      <c r="M1" s="15">
        <v>45606</v>
      </c>
      <c r="N1" s="15">
        <v>45636</v>
      </c>
      <c r="O1" s="15">
        <v>45667</v>
      </c>
      <c r="P1" s="15">
        <v>45698</v>
      </c>
      <c r="Q1" s="15">
        <v>45726</v>
      </c>
      <c r="R1" s="15">
        <v>45757</v>
      </c>
      <c r="S1" s="15">
        <v>45787</v>
      </c>
      <c r="T1" s="15">
        <v>45818</v>
      </c>
      <c r="U1" s="15">
        <v>45848</v>
      </c>
      <c r="V1" s="15">
        <v>45879</v>
      </c>
      <c r="W1" s="15">
        <v>45910</v>
      </c>
      <c r="X1" s="15">
        <v>45940</v>
      </c>
      <c r="Y1" s="15">
        <v>45971</v>
      </c>
      <c r="Z1" s="15">
        <v>46001</v>
      </c>
      <c r="AA1" s="15">
        <v>46032</v>
      </c>
      <c r="AB1" s="15">
        <v>46063</v>
      </c>
      <c r="AC1" s="15">
        <v>46091</v>
      </c>
      <c r="AD1" s="15">
        <v>46122</v>
      </c>
      <c r="AE1" s="15">
        <v>46152</v>
      </c>
      <c r="AF1" s="15">
        <v>46183</v>
      </c>
      <c r="AG1" s="15">
        <v>46213</v>
      </c>
      <c r="AH1" s="15">
        <v>46244</v>
      </c>
      <c r="AI1" s="15">
        <v>46275</v>
      </c>
      <c r="AJ1" s="15">
        <v>46305</v>
      </c>
      <c r="AK1" s="15">
        <v>46336</v>
      </c>
      <c r="AL1" s="15">
        <v>46366</v>
      </c>
      <c r="AM1" s="15">
        <v>46397</v>
      </c>
      <c r="AN1" s="15">
        <v>46428</v>
      </c>
      <c r="AO1" s="15">
        <v>46456</v>
      </c>
      <c r="AP1" s="15">
        <v>46487</v>
      </c>
      <c r="AQ1" s="15">
        <v>46517</v>
      </c>
      <c r="AR1" s="15">
        <v>46548</v>
      </c>
      <c r="AS1" s="15">
        <v>46578</v>
      </c>
      <c r="AT1" s="15">
        <v>46609</v>
      </c>
      <c r="AU1" s="15">
        <v>46640</v>
      </c>
      <c r="AV1" s="15">
        <v>46670</v>
      </c>
      <c r="AW1" s="15">
        <v>46701</v>
      </c>
      <c r="AX1" s="15">
        <v>46731</v>
      </c>
      <c r="AY1" s="15">
        <v>46762</v>
      </c>
      <c r="AZ1" s="15">
        <v>46793</v>
      </c>
      <c r="BA1" s="15">
        <v>46822</v>
      </c>
      <c r="BB1" s="15">
        <v>46853</v>
      </c>
      <c r="BC1" s="15">
        <v>46883</v>
      </c>
      <c r="BD1" s="15">
        <v>46914</v>
      </c>
      <c r="BE1" s="15">
        <v>46944</v>
      </c>
      <c r="BF1" s="15">
        <v>46975</v>
      </c>
      <c r="BG1" s="15">
        <v>47006</v>
      </c>
      <c r="BH1" s="15">
        <v>47036</v>
      </c>
      <c r="BI1" s="15">
        <v>47067</v>
      </c>
      <c r="BJ1" s="15">
        <v>47097</v>
      </c>
      <c r="BK1" s="15">
        <v>47128</v>
      </c>
      <c r="BL1" s="15">
        <v>47159</v>
      </c>
      <c r="BM1" s="15">
        <v>47187</v>
      </c>
      <c r="BN1" s="15">
        <v>47218</v>
      </c>
      <c r="BO1" s="15">
        <v>47248</v>
      </c>
      <c r="BP1" s="15">
        <v>47279</v>
      </c>
      <c r="BQ1" s="15">
        <v>47309</v>
      </c>
      <c r="BR1" s="15">
        <v>47340</v>
      </c>
      <c r="BS1" s="15">
        <v>47371</v>
      </c>
      <c r="BT1" s="15">
        <v>47401</v>
      </c>
      <c r="BU1" s="15">
        <v>47432</v>
      </c>
      <c r="BV1" s="15">
        <v>47462</v>
      </c>
      <c r="BW1" s="15">
        <v>47493</v>
      </c>
      <c r="BX1" s="15">
        <v>47524</v>
      </c>
      <c r="BY1" s="15">
        <v>47552</v>
      </c>
      <c r="BZ1" s="15">
        <v>47583</v>
      </c>
      <c r="CA1" s="15">
        <v>47613</v>
      </c>
      <c r="CB1" s="15">
        <v>47644</v>
      </c>
      <c r="CC1" s="15">
        <v>47674</v>
      </c>
      <c r="CD1" s="15">
        <v>47705</v>
      </c>
      <c r="CE1" s="15">
        <v>47736</v>
      </c>
      <c r="CF1" s="15">
        <v>47766</v>
      </c>
      <c r="CG1" s="15">
        <v>47797</v>
      </c>
      <c r="CH1" s="15">
        <v>47827</v>
      </c>
      <c r="CI1" s="15">
        <v>47858</v>
      </c>
      <c r="CJ1" s="15">
        <v>47889</v>
      </c>
      <c r="CK1" s="15">
        <v>47917</v>
      </c>
      <c r="CL1" s="15">
        <v>47948</v>
      </c>
      <c r="CM1" s="15">
        <v>47978</v>
      </c>
      <c r="CN1" s="15">
        <v>48009</v>
      </c>
      <c r="CO1" s="15">
        <v>48039</v>
      </c>
      <c r="CP1" s="15">
        <v>48070</v>
      </c>
      <c r="CQ1" s="15">
        <v>48101</v>
      </c>
      <c r="CR1" s="15">
        <v>48131</v>
      </c>
      <c r="CS1" s="15">
        <v>48162</v>
      </c>
      <c r="CT1" s="15">
        <v>48192</v>
      </c>
      <c r="CU1" s="15">
        <v>48223</v>
      </c>
      <c r="CV1" s="15">
        <v>48254</v>
      </c>
      <c r="CW1" s="15">
        <v>48283</v>
      </c>
      <c r="CX1" s="15">
        <v>48314</v>
      </c>
      <c r="CY1" s="15">
        <v>48344</v>
      </c>
      <c r="CZ1" s="15">
        <v>48375</v>
      </c>
      <c r="DA1" s="15">
        <v>48405</v>
      </c>
      <c r="DB1" s="15">
        <v>48436</v>
      </c>
      <c r="DC1" s="15">
        <v>48467</v>
      </c>
      <c r="DD1" s="15">
        <v>48497</v>
      </c>
      <c r="DE1" s="15">
        <v>48528</v>
      </c>
      <c r="DF1" s="15">
        <v>48558</v>
      </c>
      <c r="DG1" s="15">
        <v>48589</v>
      </c>
      <c r="DH1" s="15">
        <v>48620</v>
      </c>
      <c r="DI1" s="15">
        <v>48648</v>
      </c>
      <c r="DJ1" s="15">
        <v>48679</v>
      </c>
      <c r="DK1" s="15">
        <v>48709</v>
      </c>
      <c r="DL1" s="15">
        <v>48740</v>
      </c>
      <c r="DM1" s="15">
        <v>48770</v>
      </c>
      <c r="DN1" s="15">
        <v>48801</v>
      </c>
      <c r="DO1" s="15">
        <v>48832</v>
      </c>
      <c r="DP1" s="15">
        <v>48862</v>
      </c>
      <c r="DQ1" s="15">
        <v>48893</v>
      </c>
      <c r="DR1" s="15">
        <v>48923</v>
      </c>
      <c r="DS1" s="15">
        <v>48954</v>
      </c>
      <c r="DT1" s="15">
        <v>48985</v>
      </c>
      <c r="DU1" s="15">
        <v>49013</v>
      </c>
      <c r="DV1" s="15">
        <v>49044</v>
      </c>
      <c r="DW1" s="15">
        <v>49074</v>
      </c>
      <c r="DX1" s="15">
        <v>49105</v>
      </c>
      <c r="DY1" s="15">
        <v>49135</v>
      </c>
      <c r="DZ1" s="15">
        <v>49166</v>
      </c>
      <c r="EA1" s="15">
        <v>49197</v>
      </c>
      <c r="EB1" s="15">
        <v>49227</v>
      </c>
      <c r="EC1" s="15">
        <v>49258</v>
      </c>
      <c r="ED1" s="15">
        <v>49288</v>
      </c>
      <c r="EE1" s="15">
        <v>49319</v>
      </c>
      <c r="EF1" s="15">
        <v>49350</v>
      </c>
      <c r="EG1" s="15">
        <v>49378</v>
      </c>
      <c r="EH1" s="15">
        <v>49409</v>
      </c>
      <c r="EI1" s="15">
        <v>49439</v>
      </c>
      <c r="EJ1" s="15">
        <v>49470</v>
      </c>
      <c r="EK1" s="15">
        <v>49500</v>
      </c>
      <c r="EL1" s="15">
        <v>49531</v>
      </c>
      <c r="EM1" s="15">
        <v>49562</v>
      </c>
      <c r="EN1" s="15">
        <v>49592</v>
      </c>
      <c r="EO1" s="15">
        <v>49623</v>
      </c>
      <c r="EP1" s="15">
        <v>49653</v>
      </c>
      <c r="EQ1" s="15">
        <v>49684</v>
      </c>
      <c r="ER1" s="15">
        <v>49715</v>
      </c>
      <c r="ES1" s="15">
        <v>49744</v>
      </c>
      <c r="ET1" s="15">
        <v>49775</v>
      </c>
      <c r="EU1" s="15">
        <v>49805</v>
      </c>
      <c r="EV1" s="15">
        <v>49836</v>
      </c>
      <c r="EW1" s="15">
        <v>49866</v>
      </c>
      <c r="EX1" s="15">
        <v>49897</v>
      </c>
      <c r="EY1" s="15">
        <v>49928</v>
      </c>
      <c r="EZ1" s="15">
        <v>49958</v>
      </c>
      <c r="FA1" s="15">
        <v>49989</v>
      </c>
      <c r="FB1" s="15">
        <v>50019</v>
      </c>
      <c r="FC1" s="15">
        <v>50050</v>
      </c>
      <c r="FD1" s="15">
        <v>50081</v>
      </c>
      <c r="FE1" s="15">
        <v>50109</v>
      </c>
      <c r="FF1" s="15">
        <v>50140</v>
      </c>
      <c r="FG1" s="15">
        <v>50170</v>
      </c>
      <c r="FH1" s="15">
        <v>50201</v>
      </c>
      <c r="FI1" s="15">
        <v>50231</v>
      </c>
      <c r="FJ1" s="15">
        <v>50262</v>
      </c>
      <c r="FK1" s="15">
        <v>50293</v>
      </c>
      <c r="FL1" s="15">
        <v>50323</v>
      </c>
      <c r="FM1" s="15">
        <v>50354</v>
      </c>
      <c r="FN1" s="15">
        <v>50384</v>
      </c>
      <c r="FO1" s="15">
        <v>50415</v>
      </c>
      <c r="FP1" s="15">
        <v>50446</v>
      </c>
      <c r="FQ1" s="15">
        <v>50474</v>
      </c>
      <c r="FR1" s="15">
        <v>50505</v>
      </c>
      <c r="FS1" s="15">
        <v>50535</v>
      </c>
      <c r="FT1" s="15">
        <v>50566</v>
      </c>
      <c r="FU1" s="15">
        <v>50596</v>
      </c>
      <c r="FV1" s="15">
        <v>50627</v>
      </c>
      <c r="FW1" s="15">
        <v>50658</v>
      </c>
      <c r="FX1" s="15">
        <v>50688</v>
      </c>
      <c r="FY1" s="15">
        <v>50719</v>
      </c>
      <c r="FZ1" s="15">
        <v>50749</v>
      </c>
      <c r="GA1" s="15">
        <v>50780</v>
      </c>
      <c r="GB1" s="15">
        <v>50811</v>
      </c>
      <c r="GC1" s="15">
        <v>50839</v>
      </c>
      <c r="GD1" s="15">
        <v>50870</v>
      </c>
      <c r="GE1" s="15">
        <v>50900</v>
      </c>
      <c r="GF1" s="15">
        <v>50931</v>
      </c>
      <c r="GG1" s="15">
        <v>50961</v>
      </c>
      <c r="GH1" s="15">
        <v>50992</v>
      </c>
      <c r="GI1" s="15">
        <v>51023</v>
      </c>
      <c r="GJ1" s="15">
        <v>51053</v>
      </c>
      <c r="GK1" s="15">
        <v>51084</v>
      </c>
      <c r="GL1" s="15">
        <v>51114</v>
      </c>
      <c r="GM1" s="15">
        <v>51145</v>
      </c>
      <c r="GN1" s="15">
        <v>51176</v>
      </c>
      <c r="GO1" s="15">
        <v>51205</v>
      </c>
      <c r="GP1" s="15">
        <v>51236</v>
      </c>
      <c r="GQ1" s="15">
        <v>51266</v>
      </c>
      <c r="GR1" s="15">
        <v>51297</v>
      </c>
      <c r="GS1" s="15">
        <v>51327</v>
      </c>
      <c r="GT1" s="15">
        <v>51358</v>
      </c>
      <c r="GU1" s="15">
        <v>51389</v>
      </c>
      <c r="GV1" s="15">
        <v>51419</v>
      </c>
      <c r="GW1" s="15">
        <v>51450</v>
      </c>
      <c r="GX1" s="15">
        <v>51480</v>
      </c>
      <c r="GY1" s="15">
        <v>51511</v>
      </c>
      <c r="GZ1" s="15">
        <v>51542</v>
      </c>
      <c r="HA1" s="15">
        <v>51570</v>
      </c>
      <c r="HB1" s="15">
        <v>51601</v>
      </c>
      <c r="HC1" s="15">
        <v>51631</v>
      </c>
      <c r="HD1" s="15">
        <v>51662</v>
      </c>
      <c r="HE1" s="15">
        <v>51692</v>
      </c>
      <c r="HF1" s="15">
        <v>51723</v>
      </c>
      <c r="HG1" s="15">
        <v>51754</v>
      </c>
      <c r="HH1" s="15">
        <v>51784</v>
      </c>
      <c r="HI1" s="15">
        <v>51815</v>
      </c>
      <c r="HJ1" s="15">
        <v>51845</v>
      </c>
      <c r="HK1" s="15">
        <v>51876</v>
      </c>
      <c r="HL1" s="15">
        <v>51907</v>
      </c>
      <c r="HM1" s="15">
        <v>51935</v>
      </c>
      <c r="HN1" s="15">
        <v>51966</v>
      </c>
      <c r="HO1" s="15">
        <v>51996</v>
      </c>
      <c r="HP1" s="15">
        <v>52027</v>
      </c>
      <c r="HQ1" s="15">
        <v>52057</v>
      </c>
      <c r="HR1" s="15">
        <v>52088</v>
      </c>
      <c r="HS1" s="15">
        <v>52119</v>
      </c>
      <c r="HT1" s="15">
        <v>52149</v>
      </c>
      <c r="HU1" s="15">
        <v>52180</v>
      </c>
      <c r="HV1" s="15">
        <v>52210</v>
      </c>
      <c r="HW1" s="15">
        <v>52241</v>
      </c>
      <c r="HX1" s="15">
        <v>52272</v>
      </c>
      <c r="HY1" s="15">
        <v>52300</v>
      </c>
      <c r="HZ1" s="15">
        <v>52331</v>
      </c>
      <c r="IA1" s="15">
        <v>52361</v>
      </c>
      <c r="IB1" s="15">
        <v>52392</v>
      </c>
      <c r="IC1" s="15">
        <v>52422</v>
      </c>
      <c r="ID1" s="15">
        <v>52453</v>
      </c>
      <c r="IE1" s="15">
        <v>52484</v>
      </c>
      <c r="IF1" s="15">
        <v>52514</v>
      </c>
      <c r="IG1" s="15">
        <v>52545</v>
      </c>
      <c r="IH1" s="15">
        <v>52575</v>
      </c>
      <c r="II1" s="15">
        <v>52606</v>
      </c>
      <c r="IJ1" s="15">
        <v>52637</v>
      </c>
      <c r="IK1" s="15">
        <v>52666</v>
      </c>
      <c r="IL1" s="15">
        <v>52697</v>
      </c>
      <c r="IM1" s="15">
        <v>52727</v>
      </c>
      <c r="IN1" s="15">
        <v>52758</v>
      </c>
      <c r="IO1" s="15">
        <v>52788</v>
      </c>
      <c r="IP1" s="15">
        <v>52819</v>
      </c>
      <c r="IQ1" s="15">
        <v>52850</v>
      </c>
      <c r="IR1" s="15">
        <v>52880</v>
      </c>
      <c r="IS1" s="15">
        <v>52911</v>
      </c>
      <c r="IT1" s="15">
        <v>52941</v>
      </c>
      <c r="IU1" s="15">
        <v>52972</v>
      </c>
      <c r="IV1" s="15">
        <v>53003</v>
      </c>
      <c r="IW1" s="15">
        <v>53031</v>
      </c>
      <c r="IX1" s="15">
        <v>53062</v>
      </c>
      <c r="IY1" s="15">
        <v>53092</v>
      </c>
      <c r="IZ1" s="15">
        <v>53123</v>
      </c>
      <c r="JA1" s="15">
        <v>53153</v>
      </c>
      <c r="JB1" s="15">
        <v>53184</v>
      </c>
      <c r="JC1" s="15">
        <v>53215</v>
      </c>
      <c r="JD1" s="15">
        <v>53245</v>
      </c>
      <c r="JE1" s="15">
        <v>53276</v>
      </c>
      <c r="JF1" s="15">
        <v>53306</v>
      </c>
      <c r="JG1" s="15">
        <v>53337</v>
      </c>
      <c r="JH1" s="15">
        <v>53368</v>
      </c>
      <c r="JI1" s="15">
        <v>53396</v>
      </c>
      <c r="JJ1" s="15">
        <v>53427</v>
      </c>
      <c r="JK1" s="15">
        <v>53457</v>
      </c>
      <c r="JL1" s="15">
        <v>53488</v>
      </c>
      <c r="JM1" s="15">
        <v>53518</v>
      </c>
      <c r="JN1" s="15">
        <v>53549</v>
      </c>
      <c r="JO1" s="15">
        <v>53580</v>
      </c>
      <c r="JP1" s="15">
        <v>53610</v>
      </c>
      <c r="JQ1" s="15">
        <v>53641</v>
      </c>
      <c r="JR1" s="15">
        <v>53671</v>
      </c>
      <c r="JS1" s="15">
        <v>53702</v>
      </c>
      <c r="JT1" s="15">
        <v>53733</v>
      </c>
      <c r="JU1" s="15">
        <v>53761</v>
      </c>
      <c r="JV1" s="15">
        <v>53792</v>
      </c>
      <c r="JW1" s="15">
        <v>53822</v>
      </c>
      <c r="JX1" s="15">
        <v>53853</v>
      </c>
      <c r="JY1" s="15">
        <v>53883</v>
      </c>
      <c r="JZ1" s="15">
        <v>53914</v>
      </c>
      <c r="KA1" s="15">
        <v>53945</v>
      </c>
      <c r="KB1" s="15">
        <v>53975</v>
      </c>
      <c r="KC1" s="15">
        <v>54006</v>
      </c>
      <c r="KD1" s="15">
        <v>54036</v>
      </c>
      <c r="KE1" s="15">
        <v>54067</v>
      </c>
      <c r="KF1" s="15">
        <v>54098</v>
      </c>
      <c r="KG1" s="15">
        <v>54127</v>
      </c>
      <c r="KH1" s="15">
        <v>54158</v>
      </c>
      <c r="KI1" s="15">
        <v>54188</v>
      </c>
      <c r="KJ1" s="15">
        <v>54219</v>
      </c>
      <c r="KK1" s="15">
        <v>54249</v>
      </c>
      <c r="KL1" s="15">
        <v>54280</v>
      </c>
      <c r="KM1" s="15">
        <v>54311</v>
      </c>
      <c r="KN1" s="15">
        <v>54341</v>
      </c>
      <c r="KO1" s="15">
        <v>54372</v>
      </c>
      <c r="KP1" s="15">
        <v>54402</v>
      </c>
      <c r="KQ1" s="15">
        <v>54433</v>
      </c>
      <c r="KR1" s="15">
        <v>54464</v>
      </c>
      <c r="KS1" s="15">
        <v>54492</v>
      </c>
      <c r="KT1" s="15">
        <v>54523</v>
      </c>
      <c r="KU1" s="15">
        <v>54553</v>
      </c>
      <c r="KV1" s="15">
        <v>54584</v>
      </c>
      <c r="KW1" s="15">
        <v>54614</v>
      </c>
      <c r="KX1" s="15">
        <v>54645</v>
      </c>
      <c r="KY1" s="15">
        <v>54676</v>
      </c>
      <c r="KZ1" s="15">
        <v>54706</v>
      </c>
      <c r="LA1" s="15">
        <v>54737</v>
      </c>
      <c r="LB1" s="15">
        <v>54767</v>
      </c>
      <c r="LC1" s="15">
        <v>54798</v>
      </c>
      <c r="LD1" s="15">
        <v>54829</v>
      </c>
      <c r="LE1" s="15">
        <v>54857</v>
      </c>
      <c r="LF1" s="15">
        <v>54888</v>
      </c>
      <c r="LG1" s="15">
        <v>54918</v>
      </c>
      <c r="LH1" s="15">
        <v>54949</v>
      </c>
      <c r="LI1" s="15">
        <v>54979</v>
      </c>
      <c r="LJ1" s="15">
        <v>55010</v>
      </c>
      <c r="LK1" s="15">
        <v>55041</v>
      </c>
      <c r="LL1" s="15">
        <v>55071</v>
      </c>
      <c r="LM1" s="15">
        <v>55102</v>
      </c>
      <c r="LN1" s="15">
        <v>55132</v>
      </c>
      <c r="LO1" s="15">
        <v>55163</v>
      </c>
      <c r="LP1" s="15">
        <v>55194</v>
      </c>
      <c r="LQ1" s="15">
        <v>55222</v>
      </c>
      <c r="LR1" s="15">
        <v>55253</v>
      </c>
      <c r="LS1" s="15">
        <v>55283</v>
      </c>
      <c r="LT1" s="15">
        <v>55314</v>
      </c>
      <c r="LU1" s="15">
        <v>55344</v>
      </c>
      <c r="LV1" s="15">
        <v>55375</v>
      </c>
      <c r="LW1" s="15">
        <v>55406</v>
      </c>
      <c r="LX1" s="15">
        <v>55436</v>
      </c>
      <c r="LY1" s="15">
        <v>55467</v>
      </c>
      <c r="LZ1" s="15">
        <v>55497</v>
      </c>
      <c r="MA1" s="15">
        <v>55528</v>
      </c>
      <c r="MB1" s="15">
        <v>55559</v>
      </c>
      <c r="MC1" s="15">
        <v>55588</v>
      </c>
      <c r="MD1" s="15">
        <v>55619</v>
      </c>
      <c r="ME1" s="15">
        <v>55649</v>
      </c>
      <c r="MF1" s="15">
        <v>55680</v>
      </c>
      <c r="MG1" s="15">
        <v>55710</v>
      </c>
      <c r="MH1" s="15">
        <v>55741</v>
      </c>
      <c r="MI1" s="15">
        <v>55772</v>
      </c>
      <c r="MJ1" s="15">
        <v>55802</v>
      </c>
      <c r="MK1" s="15">
        <v>55833</v>
      </c>
      <c r="ML1" s="15">
        <v>55863</v>
      </c>
      <c r="MM1" s="15">
        <v>55894</v>
      </c>
      <c r="MN1" s="15">
        <v>55925</v>
      </c>
      <c r="MO1" s="15">
        <v>55953</v>
      </c>
      <c r="MP1" s="15">
        <v>55984</v>
      </c>
      <c r="MQ1" s="15">
        <v>56014</v>
      </c>
      <c r="MR1" s="15">
        <v>56045</v>
      </c>
      <c r="MS1" s="15">
        <v>56075</v>
      </c>
      <c r="MT1" s="15">
        <v>56106</v>
      </c>
      <c r="MU1" s="15">
        <v>56137</v>
      </c>
      <c r="MV1" s="15">
        <v>56167</v>
      </c>
      <c r="MW1" s="15">
        <v>56198</v>
      </c>
      <c r="MX1" s="15">
        <v>56228</v>
      </c>
      <c r="MY1" s="15">
        <v>56259</v>
      </c>
      <c r="MZ1" s="15">
        <v>56290</v>
      </c>
    </row>
    <row r="2" spans="1:364" ht="24.75" customHeight="1" x14ac:dyDescent="0.25">
      <c r="A2" s="2" t="s">
        <v>0</v>
      </c>
      <c r="B2" s="40" t="s">
        <v>139</v>
      </c>
      <c r="C2" s="44" t="s">
        <v>135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  <c r="AF2" s="3">
        <v>29</v>
      </c>
      <c r="AG2" s="3">
        <v>30</v>
      </c>
      <c r="AH2" s="3">
        <v>31</v>
      </c>
      <c r="AI2" s="3">
        <v>32</v>
      </c>
      <c r="AJ2" s="3">
        <v>33</v>
      </c>
      <c r="AK2" s="3">
        <v>34</v>
      </c>
      <c r="AL2" s="3">
        <v>35</v>
      </c>
      <c r="AM2" s="3">
        <v>36</v>
      </c>
      <c r="AN2" s="3">
        <v>37</v>
      </c>
      <c r="AO2" s="3">
        <v>38</v>
      </c>
      <c r="AP2" s="3">
        <v>39</v>
      </c>
      <c r="AQ2" s="3">
        <v>40</v>
      </c>
      <c r="AR2" s="3">
        <v>41</v>
      </c>
      <c r="AS2" s="3">
        <v>42</v>
      </c>
      <c r="AT2" s="3">
        <v>43</v>
      </c>
      <c r="AU2" s="3">
        <v>44</v>
      </c>
      <c r="AV2" s="3">
        <v>45</v>
      </c>
      <c r="AW2" s="3">
        <v>46</v>
      </c>
      <c r="AX2" s="3">
        <v>47</v>
      </c>
      <c r="AY2" s="3">
        <v>48</v>
      </c>
      <c r="AZ2" s="3">
        <v>49</v>
      </c>
      <c r="BA2" s="3">
        <v>50</v>
      </c>
      <c r="BB2" s="3">
        <v>51</v>
      </c>
      <c r="BC2" s="3">
        <v>52</v>
      </c>
      <c r="BD2" s="3">
        <v>53</v>
      </c>
      <c r="BE2" s="3">
        <v>54</v>
      </c>
      <c r="BF2" s="3">
        <v>55</v>
      </c>
      <c r="BG2" s="3">
        <v>56</v>
      </c>
      <c r="BH2" s="3">
        <v>57</v>
      </c>
      <c r="BI2" s="3">
        <v>58</v>
      </c>
      <c r="BJ2" s="3">
        <v>59</v>
      </c>
      <c r="BK2" s="3">
        <v>60</v>
      </c>
      <c r="BL2" s="3">
        <v>61</v>
      </c>
      <c r="BM2" s="3">
        <v>62</v>
      </c>
      <c r="BN2" s="3">
        <v>63</v>
      </c>
      <c r="BO2" s="3">
        <v>64</v>
      </c>
      <c r="BP2" s="3">
        <v>65</v>
      </c>
      <c r="BQ2" s="3">
        <v>66</v>
      </c>
      <c r="BR2" s="3">
        <v>67</v>
      </c>
      <c r="BS2" s="3">
        <v>68</v>
      </c>
      <c r="BT2" s="3">
        <v>69</v>
      </c>
      <c r="BU2" s="3">
        <v>70</v>
      </c>
      <c r="BV2" s="3">
        <v>71</v>
      </c>
      <c r="BW2" s="3">
        <v>72</v>
      </c>
      <c r="BX2" s="3">
        <v>73</v>
      </c>
      <c r="BY2" s="3">
        <v>74</v>
      </c>
      <c r="BZ2" s="3">
        <v>75</v>
      </c>
      <c r="CA2" s="3">
        <v>76</v>
      </c>
      <c r="CB2" s="3">
        <v>77</v>
      </c>
      <c r="CC2" s="3">
        <v>78</v>
      </c>
      <c r="CD2" s="3">
        <v>79</v>
      </c>
      <c r="CE2" s="3">
        <v>80</v>
      </c>
      <c r="CF2" s="3">
        <v>81</v>
      </c>
      <c r="CG2" s="3">
        <v>82</v>
      </c>
      <c r="CH2" s="3">
        <v>83</v>
      </c>
      <c r="CI2" s="3">
        <v>84</v>
      </c>
      <c r="CJ2" s="3">
        <v>85</v>
      </c>
      <c r="CK2" s="3">
        <v>86</v>
      </c>
      <c r="CL2" s="3">
        <v>87</v>
      </c>
      <c r="CM2" s="3">
        <v>88</v>
      </c>
      <c r="CN2" s="3">
        <v>89</v>
      </c>
      <c r="CO2" s="3">
        <v>90</v>
      </c>
      <c r="CP2" s="3">
        <v>91</v>
      </c>
      <c r="CQ2" s="3">
        <v>92</v>
      </c>
      <c r="CR2" s="3">
        <v>93</v>
      </c>
      <c r="CS2" s="3">
        <v>94</v>
      </c>
      <c r="CT2" s="3">
        <v>95</v>
      </c>
      <c r="CU2" s="3">
        <v>96</v>
      </c>
      <c r="CV2" s="3">
        <v>97</v>
      </c>
      <c r="CW2" s="3">
        <v>98</v>
      </c>
      <c r="CX2" s="3">
        <v>99</v>
      </c>
      <c r="CY2" s="3">
        <v>100</v>
      </c>
      <c r="CZ2" s="3">
        <v>101</v>
      </c>
      <c r="DA2" s="3">
        <v>102</v>
      </c>
      <c r="DB2" s="3">
        <v>103</v>
      </c>
      <c r="DC2" s="3">
        <v>104</v>
      </c>
      <c r="DD2" s="3">
        <v>105</v>
      </c>
      <c r="DE2" s="3">
        <v>106</v>
      </c>
      <c r="DF2" s="3">
        <v>107</v>
      </c>
      <c r="DG2" s="3">
        <v>108</v>
      </c>
      <c r="DH2" s="3">
        <v>109</v>
      </c>
      <c r="DI2" s="3">
        <v>110</v>
      </c>
      <c r="DJ2" s="3">
        <v>111</v>
      </c>
      <c r="DK2" s="3">
        <v>112</v>
      </c>
      <c r="DL2" s="3">
        <v>113</v>
      </c>
      <c r="DM2" s="3">
        <v>114</v>
      </c>
      <c r="DN2" s="3">
        <v>115</v>
      </c>
      <c r="DO2" s="3">
        <v>116</v>
      </c>
      <c r="DP2" s="3">
        <v>117</v>
      </c>
      <c r="DQ2" s="3">
        <v>118</v>
      </c>
      <c r="DR2" s="3">
        <v>119</v>
      </c>
      <c r="DS2" s="3">
        <v>120</v>
      </c>
      <c r="DT2" s="3">
        <v>121</v>
      </c>
      <c r="DU2" s="3">
        <v>122</v>
      </c>
      <c r="DV2" s="3">
        <v>123</v>
      </c>
      <c r="DW2" s="3">
        <v>124</v>
      </c>
      <c r="DX2" s="3">
        <v>125</v>
      </c>
      <c r="DY2" s="3">
        <v>126</v>
      </c>
      <c r="DZ2" s="3">
        <v>127</v>
      </c>
      <c r="EA2" s="3">
        <v>128</v>
      </c>
      <c r="EB2" s="3">
        <v>129</v>
      </c>
      <c r="EC2" s="3">
        <v>130</v>
      </c>
      <c r="ED2" s="3">
        <v>131</v>
      </c>
      <c r="EE2" s="3">
        <v>132</v>
      </c>
      <c r="EF2" s="3">
        <v>133</v>
      </c>
      <c r="EG2" s="3">
        <v>134</v>
      </c>
      <c r="EH2" s="3">
        <v>135</v>
      </c>
      <c r="EI2" s="3">
        <v>136</v>
      </c>
      <c r="EJ2" s="3">
        <v>137</v>
      </c>
      <c r="EK2" s="3">
        <v>138</v>
      </c>
      <c r="EL2" s="3">
        <v>139</v>
      </c>
      <c r="EM2" s="3">
        <v>140</v>
      </c>
      <c r="EN2" s="3">
        <v>141</v>
      </c>
      <c r="EO2" s="3">
        <v>142</v>
      </c>
      <c r="EP2" s="3">
        <v>143</v>
      </c>
      <c r="EQ2" s="3">
        <v>144</v>
      </c>
      <c r="ER2" s="3">
        <v>145</v>
      </c>
      <c r="ES2" s="3">
        <v>146</v>
      </c>
      <c r="ET2" s="3">
        <v>147</v>
      </c>
      <c r="EU2" s="3">
        <v>148</v>
      </c>
      <c r="EV2" s="3">
        <v>149</v>
      </c>
      <c r="EW2" s="3">
        <v>150</v>
      </c>
      <c r="EX2" s="3">
        <v>151</v>
      </c>
      <c r="EY2" s="3">
        <v>152</v>
      </c>
      <c r="EZ2" s="3">
        <v>153</v>
      </c>
      <c r="FA2" s="3">
        <v>154</v>
      </c>
      <c r="FB2" s="3">
        <v>155</v>
      </c>
      <c r="FC2" s="3">
        <v>156</v>
      </c>
      <c r="FD2" s="3">
        <v>157</v>
      </c>
      <c r="FE2" s="3">
        <v>158</v>
      </c>
      <c r="FF2" s="3">
        <v>159</v>
      </c>
      <c r="FG2" s="3">
        <v>160</v>
      </c>
      <c r="FH2" s="3">
        <v>161</v>
      </c>
      <c r="FI2" s="3">
        <v>162</v>
      </c>
      <c r="FJ2" s="3">
        <v>163</v>
      </c>
      <c r="FK2" s="3">
        <v>164</v>
      </c>
      <c r="FL2" s="3">
        <v>165</v>
      </c>
      <c r="FM2" s="3">
        <v>166</v>
      </c>
      <c r="FN2" s="3">
        <v>167</v>
      </c>
      <c r="FO2" s="3">
        <v>168</v>
      </c>
      <c r="FP2" s="3">
        <v>169</v>
      </c>
      <c r="FQ2" s="3">
        <v>170</v>
      </c>
      <c r="FR2" s="3">
        <v>171</v>
      </c>
      <c r="FS2" s="3">
        <v>172</v>
      </c>
      <c r="FT2" s="3">
        <v>173</v>
      </c>
      <c r="FU2" s="3">
        <v>174</v>
      </c>
      <c r="FV2" s="3">
        <v>175</v>
      </c>
      <c r="FW2" s="3">
        <v>176</v>
      </c>
      <c r="FX2" s="3">
        <v>177</v>
      </c>
      <c r="FY2" s="3">
        <v>178</v>
      </c>
      <c r="FZ2" s="3">
        <v>179</v>
      </c>
      <c r="GA2" s="3">
        <v>180</v>
      </c>
      <c r="GB2" s="3">
        <v>181</v>
      </c>
      <c r="GC2" s="3">
        <v>182</v>
      </c>
      <c r="GD2" s="3">
        <v>183</v>
      </c>
      <c r="GE2" s="3">
        <v>184</v>
      </c>
      <c r="GF2" s="3">
        <v>185</v>
      </c>
      <c r="GG2" s="3">
        <v>186</v>
      </c>
      <c r="GH2" s="3">
        <v>187</v>
      </c>
      <c r="GI2" s="3">
        <v>188</v>
      </c>
      <c r="GJ2" s="3">
        <v>189</v>
      </c>
      <c r="GK2" s="3">
        <v>190</v>
      </c>
      <c r="GL2" s="3">
        <v>191</v>
      </c>
      <c r="GM2" s="3">
        <v>192</v>
      </c>
      <c r="GN2" s="3">
        <v>193</v>
      </c>
      <c r="GO2" s="3">
        <v>194</v>
      </c>
      <c r="GP2" s="3">
        <v>195</v>
      </c>
      <c r="GQ2" s="3">
        <v>196</v>
      </c>
      <c r="GR2" s="3">
        <v>197</v>
      </c>
      <c r="GS2" s="3">
        <v>198</v>
      </c>
      <c r="GT2" s="3">
        <v>199</v>
      </c>
      <c r="GU2" s="3">
        <v>200</v>
      </c>
      <c r="GV2" s="3">
        <v>201</v>
      </c>
      <c r="GW2" s="3">
        <v>202</v>
      </c>
      <c r="GX2" s="3">
        <v>203</v>
      </c>
      <c r="GY2" s="3">
        <v>204</v>
      </c>
      <c r="GZ2" s="3">
        <v>205</v>
      </c>
      <c r="HA2" s="3">
        <v>206</v>
      </c>
      <c r="HB2" s="3">
        <v>207</v>
      </c>
      <c r="HC2" s="3">
        <v>208</v>
      </c>
      <c r="HD2" s="3">
        <v>209</v>
      </c>
      <c r="HE2" s="3">
        <v>210</v>
      </c>
      <c r="HF2" s="3">
        <v>211</v>
      </c>
      <c r="HG2" s="3">
        <v>212</v>
      </c>
      <c r="HH2" s="3">
        <v>213</v>
      </c>
      <c r="HI2" s="3">
        <v>214</v>
      </c>
      <c r="HJ2" s="3">
        <v>215</v>
      </c>
      <c r="HK2" s="3">
        <v>216</v>
      </c>
      <c r="HL2" s="3">
        <v>217</v>
      </c>
      <c r="HM2" s="3">
        <v>218</v>
      </c>
      <c r="HN2" s="3">
        <v>219</v>
      </c>
      <c r="HO2" s="3">
        <v>220</v>
      </c>
      <c r="HP2" s="3">
        <v>221</v>
      </c>
      <c r="HQ2" s="3">
        <v>222</v>
      </c>
      <c r="HR2" s="3">
        <v>223</v>
      </c>
      <c r="HS2" s="3">
        <v>224</v>
      </c>
      <c r="HT2" s="3">
        <v>225</v>
      </c>
      <c r="HU2" s="3">
        <v>226</v>
      </c>
      <c r="HV2" s="3">
        <v>227</v>
      </c>
      <c r="HW2" s="3">
        <v>228</v>
      </c>
      <c r="HX2" s="3">
        <v>229</v>
      </c>
      <c r="HY2" s="3">
        <v>230</v>
      </c>
      <c r="HZ2" s="3">
        <v>231</v>
      </c>
      <c r="IA2" s="3">
        <v>232</v>
      </c>
      <c r="IB2" s="3">
        <v>233</v>
      </c>
      <c r="IC2" s="3">
        <v>234</v>
      </c>
      <c r="ID2" s="3">
        <v>235</v>
      </c>
      <c r="IE2" s="3">
        <v>236</v>
      </c>
      <c r="IF2" s="3">
        <v>237</v>
      </c>
      <c r="IG2" s="3">
        <v>238</v>
      </c>
      <c r="IH2" s="3">
        <v>239</v>
      </c>
      <c r="II2" s="3">
        <v>240</v>
      </c>
      <c r="IJ2" s="3">
        <v>241</v>
      </c>
      <c r="IK2" s="3">
        <v>242</v>
      </c>
      <c r="IL2" s="3">
        <v>243</v>
      </c>
      <c r="IM2" s="3">
        <v>244</v>
      </c>
      <c r="IN2" s="3">
        <v>245</v>
      </c>
      <c r="IO2" s="3">
        <v>246</v>
      </c>
      <c r="IP2" s="3">
        <v>247</v>
      </c>
      <c r="IQ2" s="3">
        <v>248</v>
      </c>
      <c r="IR2" s="3">
        <v>249</v>
      </c>
      <c r="IS2" s="3">
        <v>250</v>
      </c>
      <c r="IT2" s="3">
        <v>251</v>
      </c>
      <c r="IU2" s="3">
        <v>252</v>
      </c>
      <c r="IV2" s="3">
        <v>253</v>
      </c>
      <c r="IW2" s="3">
        <v>254</v>
      </c>
      <c r="IX2" s="3">
        <v>255</v>
      </c>
      <c r="IY2" s="3">
        <v>256</v>
      </c>
      <c r="IZ2" s="3">
        <v>257</v>
      </c>
      <c r="JA2" s="3">
        <v>258</v>
      </c>
      <c r="JB2" s="3">
        <v>259</v>
      </c>
      <c r="JC2" s="3">
        <v>260</v>
      </c>
      <c r="JD2" s="3">
        <v>261</v>
      </c>
      <c r="JE2" s="3">
        <v>262</v>
      </c>
      <c r="JF2" s="3">
        <v>263</v>
      </c>
      <c r="JG2" s="3">
        <v>264</v>
      </c>
      <c r="JH2" s="3">
        <v>265</v>
      </c>
      <c r="JI2" s="3">
        <v>266</v>
      </c>
      <c r="JJ2" s="3">
        <v>267</v>
      </c>
      <c r="JK2" s="3">
        <v>268</v>
      </c>
      <c r="JL2" s="3">
        <v>269</v>
      </c>
      <c r="JM2" s="3">
        <v>270</v>
      </c>
      <c r="JN2" s="3">
        <v>271</v>
      </c>
      <c r="JO2" s="3">
        <v>272</v>
      </c>
      <c r="JP2" s="3">
        <v>273</v>
      </c>
      <c r="JQ2" s="3">
        <v>274</v>
      </c>
      <c r="JR2" s="3">
        <v>275</v>
      </c>
      <c r="JS2" s="3">
        <v>276</v>
      </c>
      <c r="JT2" s="3">
        <v>277</v>
      </c>
      <c r="JU2" s="3">
        <v>278</v>
      </c>
      <c r="JV2" s="3">
        <v>279</v>
      </c>
      <c r="JW2" s="3">
        <v>280</v>
      </c>
      <c r="JX2" s="3">
        <v>281</v>
      </c>
      <c r="JY2" s="3">
        <v>282</v>
      </c>
      <c r="JZ2" s="3">
        <v>283</v>
      </c>
      <c r="KA2" s="3">
        <v>284</v>
      </c>
      <c r="KB2" s="3">
        <v>285</v>
      </c>
      <c r="KC2" s="3">
        <v>286</v>
      </c>
      <c r="KD2" s="3">
        <v>287</v>
      </c>
      <c r="KE2" s="3">
        <v>288</v>
      </c>
      <c r="KF2" s="3">
        <v>289</v>
      </c>
      <c r="KG2" s="3">
        <v>290</v>
      </c>
      <c r="KH2" s="3">
        <v>291</v>
      </c>
      <c r="KI2" s="3">
        <v>292</v>
      </c>
      <c r="KJ2" s="3">
        <v>293</v>
      </c>
      <c r="KK2" s="3">
        <v>294</v>
      </c>
      <c r="KL2" s="3">
        <v>295</v>
      </c>
      <c r="KM2" s="3">
        <v>296</v>
      </c>
      <c r="KN2" s="3">
        <v>297</v>
      </c>
      <c r="KO2" s="3">
        <v>298</v>
      </c>
      <c r="KP2" s="3">
        <v>299</v>
      </c>
      <c r="KQ2" s="3">
        <v>300</v>
      </c>
      <c r="KR2" s="3">
        <v>301</v>
      </c>
      <c r="KS2" s="3">
        <v>302</v>
      </c>
      <c r="KT2" s="3">
        <v>303</v>
      </c>
      <c r="KU2" s="3">
        <v>304</v>
      </c>
      <c r="KV2" s="3">
        <v>305</v>
      </c>
      <c r="KW2" s="3">
        <v>306</v>
      </c>
      <c r="KX2" s="3">
        <v>307</v>
      </c>
      <c r="KY2" s="3">
        <v>308</v>
      </c>
      <c r="KZ2" s="3">
        <v>309</v>
      </c>
      <c r="LA2" s="3">
        <v>310</v>
      </c>
      <c r="LB2" s="3">
        <v>311</v>
      </c>
      <c r="LC2" s="3">
        <v>312</v>
      </c>
      <c r="LD2" s="3">
        <v>313</v>
      </c>
      <c r="LE2" s="3">
        <v>314</v>
      </c>
      <c r="LF2" s="3">
        <v>315</v>
      </c>
      <c r="LG2" s="3">
        <v>316</v>
      </c>
      <c r="LH2" s="3">
        <v>317</v>
      </c>
      <c r="LI2" s="3">
        <v>318</v>
      </c>
      <c r="LJ2" s="3">
        <v>319</v>
      </c>
      <c r="LK2" s="3">
        <v>320</v>
      </c>
      <c r="LL2" s="3">
        <v>321</v>
      </c>
      <c r="LM2" s="3">
        <v>322</v>
      </c>
      <c r="LN2" s="3">
        <v>323</v>
      </c>
      <c r="LO2" s="3">
        <v>324</v>
      </c>
      <c r="LP2" s="3">
        <v>325</v>
      </c>
      <c r="LQ2" s="3">
        <v>326</v>
      </c>
      <c r="LR2" s="3">
        <v>327</v>
      </c>
      <c r="LS2" s="3">
        <v>328</v>
      </c>
      <c r="LT2" s="3">
        <v>329</v>
      </c>
      <c r="LU2" s="3">
        <v>330</v>
      </c>
      <c r="LV2" s="3">
        <v>331</v>
      </c>
      <c r="LW2" s="3">
        <v>332</v>
      </c>
      <c r="LX2" s="3">
        <v>333</v>
      </c>
      <c r="LY2" s="3">
        <v>334</v>
      </c>
      <c r="LZ2" s="3">
        <v>335</v>
      </c>
      <c r="MA2" s="3">
        <v>336</v>
      </c>
      <c r="MB2" s="3">
        <v>337</v>
      </c>
      <c r="MC2" s="3">
        <v>338</v>
      </c>
      <c r="MD2" s="3">
        <v>339</v>
      </c>
      <c r="ME2" s="3">
        <v>340</v>
      </c>
      <c r="MF2" s="3">
        <v>341</v>
      </c>
      <c r="MG2" s="3">
        <v>342</v>
      </c>
      <c r="MH2" s="3">
        <v>343</v>
      </c>
      <c r="MI2" s="3">
        <v>344</v>
      </c>
      <c r="MJ2" s="3">
        <v>345</v>
      </c>
      <c r="MK2" s="3">
        <v>346</v>
      </c>
      <c r="ML2" s="3">
        <v>347</v>
      </c>
      <c r="MM2" s="3">
        <v>348</v>
      </c>
      <c r="MN2" s="3">
        <v>349</v>
      </c>
      <c r="MO2" s="3">
        <v>350</v>
      </c>
      <c r="MP2" s="3">
        <v>351</v>
      </c>
      <c r="MQ2" s="3">
        <v>352</v>
      </c>
      <c r="MR2" s="3">
        <v>353</v>
      </c>
      <c r="MS2" s="3">
        <v>354</v>
      </c>
      <c r="MT2" s="3">
        <v>355</v>
      </c>
      <c r="MU2" s="3">
        <v>356</v>
      </c>
      <c r="MV2" s="3">
        <v>357</v>
      </c>
      <c r="MW2" s="3">
        <v>358</v>
      </c>
      <c r="MX2" s="3">
        <v>359</v>
      </c>
      <c r="MY2" s="3">
        <v>360</v>
      </c>
      <c r="MZ2" s="3">
        <v>361</v>
      </c>
    </row>
    <row r="3" spans="1:364" x14ac:dyDescent="0.25">
      <c r="A3" s="7">
        <f>+'Valo FX'!A4</f>
        <v>1</v>
      </c>
      <c r="B3" s="16" t="str">
        <f>+Base!B1</f>
        <v>N° Operación CMF</v>
      </c>
      <c r="C3" s="75">
        <v>6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12.71407</v>
      </c>
      <c r="K3" s="21">
        <v>12.71407</v>
      </c>
      <c r="L3" s="21">
        <v>12.71407</v>
      </c>
      <c r="M3" s="21">
        <v>12.71407</v>
      </c>
      <c r="N3" s="21">
        <v>12.71407</v>
      </c>
      <c r="O3" s="21">
        <v>12.71407</v>
      </c>
      <c r="P3" s="21">
        <v>12.71407</v>
      </c>
      <c r="Q3" s="21">
        <v>12.71407</v>
      </c>
      <c r="R3" s="21">
        <v>12.71407</v>
      </c>
      <c r="S3" s="21">
        <v>12.71407</v>
      </c>
      <c r="T3" s="21">
        <v>12.71407</v>
      </c>
      <c r="U3" s="21">
        <v>12.71407</v>
      </c>
      <c r="V3" s="21">
        <v>12.71407</v>
      </c>
      <c r="W3" s="21">
        <v>12.71407</v>
      </c>
      <c r="X3" s="21">
        <v>12.71407</v>
      </c>
      <c r="Y3" s="21">
        <v>12.71407</v>
      </c>
      <c r="Z3" s="21">
        <v>12.71407</v>
      </c>
      <c r="AA3" s="21">
        <v>12.71407</v>
      </c>
      <c r="AB3" s="21">
        <v>12.71407</v>
      </c>
      <c r="AC3" s="21">
        <v>12.71407</v>
      </c>
      <c r="AD3" s="21">
        <v>12.71407</v>
      </c>
      <c r="AE3" s="21">
        <v>12.71407</v>
      </c>
      <c r="AF3" s="21">
        <v>12.71407</v>
      </c>
      <c r="AG3" s="21">
        <v>12.71407</v>
      </c>
      <c r="AH3" s="21">
        <v>12.71407</v>
      </c>
      <c r="AI3" s="21">
        <v>12.71407</v>
      </c>
      <c r="AJ3" s="21">
        <v>12.71407</v>
      </c>
      <c r="AK3" s="21">
        <v>12.71407</v>
      </c>
      <c r="AL3" s="21">
        <v>12.71407</v>
      </c>
      <c r="AM3" s="21">
        <v>12.71407</v>
      </c>
      <c r="AN3" s="21">
        <v>12.71407</v>
      </c>
      <c r="AO3" s="21">
        <v>12.71407</v>
      </c>
      <c r="AP3" s="21">
        <v>12.71407</v>
      </c>
      <c r="AQ3" s="21">
        <v>12.71407</v>
      </c>
      <c r="AR3" s="21">
        <v>12.71407</v>
      </c>
      <c r="AS3" s="21">
        <v>12.71407</v>
      </c>
      <c r="AT3" s="21">
        <v>12.71407</v>
      </c>
      <c r="AU3" s="21">
        <v>12.71407</v>
      </c>
      <c r="AV3" s="21">
        <v>12.71407</v>
      </c>
      <c r="AW3" s="21">
        <v>12.71407</v>
      </c>
      <c r="AX3" s="21">
        <v>12.71407</v>
      </c>
      <c r="AY3" s="21">
        <v>12.71407</v>
      </c>
      <c r="AZ3" s="21">
        <v>12.71407</v>
      </c>
      <c r="BA3" s="21">
        <v>12.71407</v>
      </c>
      <c r="BB3" s="21">
        <v>12.71407</v>
      </c>
      <c r="BC3" s="21">
        <v>12.71407</v>
      </c>
      <c r="BD3" s="21">
        <v>12.71407</v>
      </c>
      <c r="BE3" s="21">
        <v>12.71407</v>
      </c>
      <c r="BF3" s="21">
        <v>12.71407</v>
      </c>
      <c r="BG3" s="21">
        <v>12.71407</v>
      </c>
      <c r="BH3" s="21">
        <v>12.71407</v>
      </c>
      <c r="BI3" s="21">
        <v>12.71407</v>
      </c>
      <c r="BJ3" s="21">
        <v>12.71407</v>
      </c>
      <c r="BK3" s="21">
        <v>12.71407</v>
      </c>
      <c r="BL3" s="21">
        <v>12.71407</v>
      </c>
      <c r="BM3" s="21">
        <v>12.71407</v>
      </c>
      <c r="BN3" s="21">
        <v>12.71407</v>
      </c>
      <c r="BO3" s="21">
        <v>12.71407</v>
      </c>
      <c r="BP3" s="21">
        <v>12.71407</v>
      </c>
      <c r="BQ3" s="21">
        <v>12.71407</v>
      </c>
      <c r="BR3" s="21">
        <v>12.71407</v>
      </c>
      <c r="BS3" s="21">
        <v>12.71407</v>
      </c>
      <c r="BT3" s="21">
        <v>12.71407</v>
      </c>
      <c r="BU3" s="21">
        <v>12.71407</v>
      </c>
      <c r="BV3" s="21">
        <v>12.71407</v>
      </c>
      <c r="BW3" s="21">
        <v>12.71407</v>
      </c>
      <c r="BX3" s="21">
        <v>12.71407</v>
      </c>
      <c r="BY3" s="21">
        <v>12.71407</v>
      </c>
      <c r="BZ3" s="21">
        <v>12.71407</v>
      </c>
      <c r="CA3" s="21">
        <v>12.71407</v>
      </c>
      <c r="CB3" s="21">
        <v>12.71407</v>
      </c>
      <c r="CC3" s="21">
        <v>12.71407</v>
      </c>
      <c r="CD3" s="21">
        <v>12.71407</v>
      </c>
      <c r="CE3" s="21">
        <v>12.71407</v>
      </c>
      <c r="CF3" s="21">
        <v>12.71407</v>
      </c>
      <c r="CG3" s="21">
        <v>12.71407</v>
      </c>
      <c r="CH3" s="21">
        <v>12.71407</v>
      </c>
      <c r="CI3" s="21">
        <v>12.71407</v>
      </c>
      <c r="CJ3" s="21">
        <v>12.71407</v>
      </c>
      <c r="CK3" s="21">
        <v>12.71407</v>
      </c>
      <c r="CL3" s="21">
        <v>12.71407</v>
      </c>
      <c r="CM3" s="21">
        <v>12.71407</v>
      </c>
      <c r="CN3" s="21">
        <v>12.71407</v>
      </c>
      <c r="CO3" s="21">
        <v>12.71407</v>
      </c>
      <c r="CP3" s="21">
        <v>12.71407</v>
      </c>
      <c r="CQ3" s="21">
        <v>12.71407</v>
      </c>
      <c r="CR3" s="21">
        <v>12.71407</v>
      </c>
      <c r="CS3" s="21">
        <v>12.71407</v>
      </c>
      <c r="CT3" s="21">
        <v>12.71407</v>
      </c>
      <c r="CU3" s="21">
        <v>12.71407</v>
      </c>
      <c r="CV3" s="21">
        <v>12.71407</v>
      </c>
      <c r="CW3" s="21">
        <v>12.71407</v>
      </c>
      <c r="CX3" s="21">
        <v>12.71407</v>
      </c>
      <c r="CY3" s="21">
        <v>12.71407</v>
      </c>
      <c r="CZ3" s="21">
        <v>12.71407</v>
      </c>
      <c r="DA3" s="21">
        <v>12.71407</v>
      </c>
      <c r="DB3" s="21">
        <v>12.71407</v>
      </c>
      <c r="DC3" s="21">
        <v>12.71407</v>
      </c>
      <c r="DD3" s="21">
        <v>12.71407</v>
      </c>
      <c r="DE3" s="21">
        <v>12.71407</v>
      </c>
      <c r="DF3" s="21">
        <v>12.71407</v>
      </c>
      <c r="DG3" s="21">
        <v>12.71407</v>
      </c>
      <c r="DH3" s="21">
        <v>12.71407</v>
      </c>
      <c r="DI3" s="21">
        <v>12.71407</v>
      </c>
      <c r="DJ3" s="21">
        <v>12.71407</v>
      </c>
      <c r="DK3" s="21">
        <v>12.71407</v>
      </c>
      <c r="DL3" s="21">
        <v>12.71407</v>
      </c>
      <c r="DM3" s="21">
        <v>12.71407</v>
      </c>
      <c r="DN3" s="21">
        <v>12.71407</v>
      </c>
      <c r="DO3" s="21">
        <v>12.71407</v>
      </c>
      <c r="DP3" s="21">
        <v>12.71407</v>
      </c>
      <c r="DQ3" s="21">
        <v>12.71407</v>
      </c>
      <c r="DR3" s="21">
        <v>12.71407</v>
      </c>
      <c r="DS3" s="21">
        <v>12.71407</v>
      </c>
      <c r="DT3" s="21">
        <v>12.71407</v>
      </c>
      <c r="DU3" s="21">
        <v>12.71407</v>
      </c>
      <c r="DV3" s="21">
        <v>12.71407</v>
      </c>
      <c r="DW3" s="21">
        <v>12.71407</v>
      </c>
      <c r="DX3" s="21">
        <v>12.71407</v>
      </c>
      <c r="DY3" s="21">
        <v>12.71407</v>
      </c>
      <c r="DZ3" s="21">
        <v>12.71407</v>
      </c>
      <c r="EA3" s="21">
        <v>12.71407</v>
      </c>
      <c r="EB3" s="21">
        <v>12.71407</v>
      </c>
      <c r="EC3" s="21">
        <v>12.71407</v>
      </c>
      <c r="ED3" s="21">
        <v>12.71407</v>
      </c>
      <c r="EE3" s="21">
        <v>12.71407</v>
      </c>
      <c r="EF3" s="21">
        <v>12.71407</v>
      </c>
      <c r="EG3" s="21">
        <v>12.71407</v>
      </c>
      <c r="EH3" s="21">
        <v>12.71407</v>
      </c>
      <c r="EI3" s="21">
        <v>12.71407</v>
      </c>
      <c r="EJ3" s="21">
        <v>12.71407</v>
      </c>
      <c r="EK3" s="21">
        <v>12.71407</v>
      </c>
      <c r="EL3" s="21">
        <v>12.71407</v>
      </c>
      <c r="EM3" s="21">
        <v>12.71407</v>
      </c>
      <c r="EN3" s="21">
        <v>12.71407</v>
      </c>
      <c r="EO3" s="21">
        <v>12.71407</v>
      </c>
      <c r="EP3" s="21">
        <v>12.71407</v>
      </c>
      <c r="EQ3" s="21">
        <v>12.71407</v>
      </c>
      <c r="ER3" s="21">
        <v>12.71407</v>
      </c>
      <c r="ES3" s="21">
        <v>12.71407</v>
      </c>
      <c r="ET3" s="21">
        <v>12.71407</v>
      </c>
      <c r="EU3" s="21">
        <v>12.71407</v>
      </c>
      <c r="EV3" s="21">
        <v>12.71407</v>
      </c>
      <c r="EW3" s="21">
        <v>12.71407</v>
      </c>
      <c r="EX3" s="21">
        <v>12.71407</v>
      </c>
      <c r="EY3" s="21">
        <v>12.71407</v>
      </c>
      <c r="EZ3" s="21">
        <v>12.71407</v>
      </c>
      <c r="FA3" s="21">
        <v>12.71407</v>
      </c>
      <c r="FB3" s="21">
        <v>12.71407</v>
      </c>
      <c r="FC3" s="21">
        <v>12.71407</v>
      </c>
      <c r="FD3" s="21">
        <v>12.71407</v>
      </c>
      <c r="FE3" s="21">
        <v>12.71407</v>
      </c>
      <c r="FF3" s="21">
        <v>12.71407</v>
      </c>
      <c r="FG3" s="21">
        <v>12.71407</v>
      </c>
      <c r="FH3" s="21">
        <v>12.71407</v>
      </c>
      <c r="FI3" s="21">
        <v>12.71407</v>
      </c>
      <c r="FJ3" s="21">
        <v>12.71407</v>
      </c>
      <c r="FK3" s="21">
        <v>12.71407</v>
      </c>
      <c r="FL3" s="21">
        <v>12.71407</v>
      </c>
      <c r="FM3" s="21">
        <v>12.71407</v>
      </c>
      <c r="FN3" s="21">
        <v>12.71407</v>
      </c>
      <c r="FO3" s="21">
        <v>12.71407</v>
      </c>
      <c r="FP3" s="21">
        <v>12.71407</v>
      </c>
      <c r="FQ3" s="21">
        <v>12.71407</v>
      </c>
      <c r="FR3" s="21">
        <v>12.71407</v>
      </c>
      <c r="FS3" s="21">
        <v>12.71407</v>
      </c>
      <c r="FT3" s="21">
        <v>12.71407</v>
      </c>
      <c r="FU3" s="21">
        <v>12.71407</v>
      </c>
      <c r="FV3" s="21">
        <v>12.71407</v>
      </c>
      <c r="FW3" s="21">
        <v>12.71407</v>
      </c>
      <c r="FX3" s="21">
        <v>12.71407</v>
      </c>
      <c r="FY3" s="21">
        <v>12.71407</v>
      </c>
      <c r="FZ3" s="21">
        <v>12.71407</v>
      </c>
      <c r="GA3" s="21">
        <v>12.71407</v>
      </c>
      <c r="GB3" s="21">
        <v>12.71407</v>
      </c>
      <c r="GC3" s="21">
        <v>12.71407</v>
      </c>
      <c r="GD3" s="21">
        <v>12.71407</v>
      </c>
      <c r="GE3" s="21">
        <v>12.71407</v>
      </c>
      <c r="GF3" s="21">
        <v>12.71407</v>
      </c>
      <c r="GG3" s="21">
        <v>12.71407</v>
      </c>
      <c r="GH3" s="21">
        <v>12.71407</v>
      </c>
      <c r="GI3" s="21">
        <v>12.71407</v>
      </c>
      <c r="GJ3" s="21">
        <v>12.71407</v>
      </c>
      <c r="GK3" s="21">
        <v>12.71407</v>
      </c>
      <c r="GL3" s="21">
        <v>12.71407</v>
      </c>
      <c r="GM3" s="21">
        <v>12.71407</v>
      </c>
      <c r="GN3" s="21">
        <v>12.71407</v>
      </c>
      <c r="GO3" s="21">
        <v>12.71407</v>
      </c>
      <c r="GP3" s="21">
        <v>12.71407</v>
      </c>
      <c r="GQ3" s="21">
        <v>12.71407</v>
      </c>
      <c r="GR3" s="21">
        <v>12.71407</v>
      </c>
      <c r="GS3" s="21">
        <v>12.71407</v>
      </c>
      <c r="GT3" s="21">
        <v>12.71407</v>
      </c>
      <c r="GU3" s="21">
        <v>12.71407</v>
      </c>
      <c r="GV3" s="21">
        <v>12.71407</v>
      </c>
      <c r="GW3" s="21">
        <v>12.71407</v>
      </c>
      <c r="GX3" s="21">
        <v>12.71407</v>
      </c>
      <c r="GY3" s="21">
        <v>12.71407</v>
      </c>
      <c r="GZ3" s="21">
        <v>12.71407</v>
      </c>
      <c r="HA3" s="21">
        <v>12.71407</v>
      </c>
      <c r="HB3" s="21">
        <v>12.71407</v>
      </c>
      <c r="HC3" s="21">
        <v>12.71407</v>
      </c>
      <c r="HD3" s="21">
        <v>12.71407</v>
      </c>
      <c r="HE3" s="21">
        <v>12.71407</v>
      </c>
      <c r="HF3" s="21">
        <v>12.71407</v>
      </c>
      <c r="HG3" s="21">
        <v>12.71407</v>
      </c>
      <c r="HH3" s="21">
        <v>12.71407</v>
      </c>
      <c r="HI3" s="21">
        <v>12.71407</v>
      </c>
      <c r="HJ3" s="21">
        <v>12.71407</v>
      </c>
      <c r="HK3" s="21">
        <v>12.71407</v>
      </c>
      <c r="HL3" s="21">
        <v>12.71407</v>
      </c>
      <c r="HM3" s="21">
        <v>12.71407</v>
      </c>
      <c r="HN3" s="21">
        <v>12.71407</v>
      </c>
      <c r="HO3" s="21">
        <v>12.71407</v>
      </c>
      <c r="HP3" s="21">
        <v>12.71407</v>
      </c>
      <c r="HQ3" s="21">
        <v>12.71407</v>
      </c>
      <c r="HR3" s="21">
        <v>12.71407</v>
      </c>
      <c r="HS3" s="21">
        <v>12.71407</v>
      </c>
      <c r="HT3" s="21">
        <v>12.71407</v>
      </c>
      <c r="HU3" s="21">
        <v>12.71407</v>
      </c>
      <c r="HV3" s="21">
        <v>12.71407</v>
      </c>
      <c r="HW3" s="21">
        <v>12.71407</v>
      </c>
      <c r="HX3" s="21">
        <v>12.71407</v>
      </c>
      <c r="HY3" s="21">
        <v>12.71407</v>
      </c>
      <c r="HZ3" s="21">
        <v>12.71407</v>
      </c>
      <c r="IA3" s="21">
        <v>12.71407</v>
      </c>
      <c r="IB3" s="21">
        <v>12.71407</v>
      </c>
      <c r="IC3" s="21">
        <v>12.71407</v>
      </c>
      <c r="ID3" s="21">
        <v>12.71407</v>
      </c>
      <c r="IE3" s="21">
        <v>12.71407</v>
      </c>
      <c r="IF3" s="21">
        <v>12.71407</v>
      </c>
      <c r="IG3" s="21">
        <v>12.71407</v>
      </c>
      <c r="IH3" s="21">
        <v>12.71407</v>
      </c>
      <c r="II3" s="21">
        <v>12.71407</v>
      </c>
      <c r="IJ3" s="21">
        <v>12.71407</v>
      </c>
      <c r="IK3" s="21">
        <v>12.71407</v>
      </c>
      <c r="IL3" s="21">
        <v>12.71407</v>
      </c>
      <c r="IM3" s="21">
        <v>12.71407</v>
      </c>
      <c r="IN3" s="21">
        <v>12.71407</v>
      </c>
      <c r="IO3" s="21">
        <v>12.71407</v>
      </c>
      <c r="IP3" s="21">
        <v>12.71407</v>
      </c>
      <c r="IQ3" s="21">
        <v>12.71407</v>
      </c>
      <c r="IR3" s="21">
        <v>12.71407</v>
      </c>
      <c r="IS3" s="21">
        <v>12.71407</v>
      </c>
      <c r="IT3" s="21">
        <v>12.71407</v>
      </c>
      <c r="IU3" s="21">
        <v>12.71407</v>
      </c>
      <c r="IV3" s="21">
        <v>12.71407</v>
      </c>
      <c r="IW3" s="21">
        <v>12.71407</v>
      </c>
      <c r="IX3" s="21">
        <v>12.71407</v>
      </c>
      <c r="IY3" s="21">
        <v>12.71407</v>
      </c>
      <c r="IZ3" s="21">
        <v>12.71407</v>
      </c>
      <c r="JA3" s="21">
        <v>12.71407</v>
      </c>
      <c r="JB3" s="21">
        <v>12.71407</v>
      </c>
      <c r="JC3" s="21">
        <v>12.71407</v>
      </c>
      <c r="JD3" s="21">
        <v>12.71407</v>
      </c>
      <c r="JE3" s="21">
        <v>12.71407</v>
      </c>
      <c r="JF3" s="21">
        <v>12.71407</v>
      </c>
      <c r="JG3" s="21">
        <v>12.71407</v>
      </c>
      <c r="JH3" s="21">
        <v>12.71407</v>
      </c>
      <c r="JI3" s="21">
        <v>12.71407</v>
      </c>
      <c r="JJ3" s="21">
        <v>12.71407</v>
      </c>
      <c r="JK3" s="21">
        <v>12.71407</v>
      </c>
      <c r="JL3" s="21">
        <v>12.71407</v>
      </c>
      <c r="JM3" s="21">
        <v>12.71407</v>
      </c>
      <c r="JN3" s="21">
        <v>12.71407</v>
      </c>
      <c r="JO3" s="21">
        <v>12.71407</v>
      </c>
      <c r="JP3" s="21">
        <v>12.71407</v>
      </c>
      <c r="JQ3" s="21">
        <v>12.71407</v>
      </c>
      <c r="JR3" s="21">
        <v>12.71407</v>
      </c>
      <c r="JS3" s="21">
        <v>12.71407</v>
      </c>
      <c r="JT3" s="21">
        <v>12.71407</v>
      </c>
      <c r="JU3" s="21">
        <v>12.71407</v>
      </c>
      <c r="JV3" s="21">
        <v>12.71407</v>
      </c>
      <c r="JW3" s="21">
        <v>12.71407</v>
      </c>
      <c r="JX3" s="21">
        <v>12.71407</v>
      </c>
      <c r="JY3" s="21">
        <v>12.71407</v>
      </c>
      <c r="JZ3" s="21">
        <v>12.71407</v>
      </c>
      <c r="KA3" s="21">
        <v>12.71407</v>
      </c>
      <c r="KB3" s="21">
        <v>12.71407</v>
      </c>
      <c r="KC3" s="21">
        <v>12.71407</v>
      </c>
      <c r="KD3" s="21">
        <v>12.71407</v>
      </c>
      <c r="KE3" s="21">
        <v>12.71407</v>
      </c>
      <c r="KF3" s="21">
        <v>12.71407</v>
      </c>
      <c r="KG3" s="21">
        <v>12.71407</v>
      </c>
      <c r="KH3" s="21">
        <v>12.71407</v>
      </c>
      <c r="KI3" s="21">
        <v>12.71407</v>
      </c>
      <c r="KJ3" s="21">
        <v>12.71407</v>
      </c>
      <c r="KK3" s="21">
        <v>12.71407</v>
      </c>
      <c r="KL3" s="21">
        <v>12.71407</v>
      </c>
      <c r="KM3" s="21">
        <v>12.71407</v>
      </c>
      <c r="KN3" s="21">
        <v>12.71407</v>
      </c>
      <c r="KO3" s="21">
        <v>12.71407</v>
      </c>
      <c r="KP3" s="21">
        <v>12.71407</v>
      </c>
      <c r="KQ3" s="21">
        <v>12.71407</v>
      </c>
      <c r="KR3" s="21">
        <v>12.71407</v>
      </c>
      <c r="KS3" s="21">
        <v>12.71407</v>
      </c>
      <c r="KT3" s="21">
        <v>12.71407</v>
      </c>
      <c r="KU3" s="21">
        <v>12.71407</v>
      </c>
      <c r="KV3" s="21">
        <v>12.71407</v>
      </c>
      <c r="KW3" s="21">
        <v>12.71407</v>
      </c>
      <c r="KX3" s="21">
        <v>12.71407</v>
      </c>
      <c r="KY3" s="21">
        <v>12.71407</v>
      </c>
      <c r="KZ3" s="21">
        <v>12.71407</v>
      </c>
      <c r="LA3" s="21">
        <v>12.71407</v>
      </c>
      <c r="LB3" s="21">
        <v>12.71407</v>
      </c>
      <c r="LC3" s="21">
        <v>12.71407</v>
      </c>
      <c r="LD3" s="21">
        <v>12.71407</v>
      </c>
      <c r="LE3" s="21">
        <v>12.71407</v>
      </c>
      <c r="LF3" s="21">
        <v>12.71407</v>
      </c>
      <c r="LG3" s="21">
        <v>12.71407</v>
      </c>
      <c r="LH3" s="21">
        <v>12.71407</v>
      </c>
      <c r="LI3" s="21">
        <v>12.71407</v>
      </c>
      <c r="LJ3" s="21">
        <v>12.71407</v>
      </c>
      <c r="LK3" s="21">
        <v>12.71407</v>
      </c>
      <c r="LL3" s="21">
        <v>12.71407</v>
      </c>
      <c r="LM3" s="21">
        <v>12.71407</v>
      </c>
      <c r="LN3" s="21">
        <v>12.71407</v>
      </c>
      <c r="LO3" s="21">
        <v>12.71407</v>
      </c>
      <c r="LP3" s="21">
        <v>12.71407</v>
      </c>
      <c r="LQ3" s="21">
        <v>12.71407</v>
      </c>
      <c r="LR3" s="21">
        <v>12.71407</v>
      </c>
      <c r="LS3" s="21">
        <v>12.71407</v>
      </c>
      <c r="LT3" s="21">
        <v>12.71407</v>
      </c>
      <c r="LU3" s="21">
        <v>12.71407</v>
      </c>
      <c r="LV3" s="21">
        <v>12.71407</v>
      </c>
      <c r="LW3" s="21">
        <v>12.71407</v>
      </c>
      <c r="LX3" s="21">
        <v>12.71407</v>
      </c>
      <c r="LY3" s="21">
        <v>12.71407</v>
      </c>
      <c r="LZ3" s="21">
        <v>12.71407</v>
      </c>
      <c r="MA3" s="21">
        <v>12.71407</v>
      </c>
      <c r="MB3" s="21">
        <v>12.71407</v>
      </c>
      <c r="MC3" s="21">
        <v>12.71407</v>
      </c>
      <c r="MD3" s="21">
        <v>12.71407</v>
      </c>
      <c r="ME3" s="21">
        <v>12.71407</v>
      </c>
      <c r="MF3" s="21">
        <v>12.71407</v>
      </c>
      <c r="MG3" s="21">
        <v>12.71407</v>
      </c>
      <c r="MH3" s="21">
        <v>12.71407</v>
      </c>
      <c r="MI3" s="21">
        <v>12.71407</v>
      </c>
      <c r="MJ3" s="21">
        <v>12.71407</v>
      </c>
      <c r="MK3" s="21">
        <v>12.71407</v>
      </c>
      <c r="ML3" s="21">
        <v>12.71407</v>
      </c>
      <c r="MM3" s="21">
        <v>12.71407</v>
      </c>
      <c r="MN3" s="21">
        <v>12.71407</v>
      </c>
      <c r="MO3" s="21">
        <v>12.71407</v>
      </c>
      <c r="MP3" s="21">
        <v>12.71407</v>
      </c>
      <c r="MQ3" s="21">
        <v>12.71407</v>
      </c>
      <c r="MR3" s="21">
        <v>12.71407</v>
      </c>
      <c r="MS3" s="21">
        <v>12.71407</v>
      </c>
      <c r="MT3" s="21">
        <v>12.71407</v>
      </c>
      <c r="MU3" s="21">
        <v>12.71407</v>
      </c>
      <c r="MV3" s="21">
        <v>12.71407</v>
      </c>
      <c r="MW3" s="21">
        <v>12.71407</v>
      </c>
      <c r="MX3" s="21">
        <v>12.71407</v>
      </c>
      <c r="MY3" s="21">
        <v>12.71407</v>
      </c>
      <c r="MZ3" s="21">
        <v>13.752345</v>
      </c>
    </row>
    <row r="4" spans="1:364" x14ac:dyDescent="0.25">
      <c r="A4" s="7">
        <f>+'Valo FX'!A5</f>
        <v>2</v>
      </c>
      <c r="B4" s="16" t="str">
        <f>+Base!B2</f>
        <v>202401300028A033</v>
      </c>
      <c r="C4" s="75">
        <v>6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12.823359999999999</v>
      </c>
      <c r="K4" s="21">
        <v>12.823359999999999</v>
      </c>
      <c r="L4" s="21">
        <v>12.823359999999999</v>
      </c>
      <c r="M4" s="21">
        <v>12.823359999999999</v>
      </c>
      <c r="N4" s="21">
        <v>12.823359999999999</v>
      </c>
      <c r="O4" s="21">
        <v>12.823359999999999</v>
      </c>
      <c r="P4" s="21">
        <v>12.823359999999999</v>
      </c>
      <c r="Q4" s="21">
        <v>12.823359999999999</v>
      </c>
      <c r="R4" s="21">
        <v>12.823359999999999</v>
      </c>
      <c r="S4" s="21">
        <v>12.823359999999999</v>
      </c>
      <c r="T4" s="21">
        <v>12.823359999999999</v>
      </c>
      <c r="U4" s="21">
        <v>12.823359999999999</v>
      </c>
      <c r="V4" s="21">
        <v>12.823359999999999</v>
      </c>
      <c r="W4" s="21">
        <v>12.823359999999999</v>
      </c>
      <c r="X4" s="21">
        <v>12.823359999999999</v>
      </c>
      <c r="Y4" s="21">
        <v>12.823359999999999</v>
      </c>
      <c r="Z4" s="21">
        <v>12.823359999999999</v>
      </c>
      <c r="AA4" s="21">
        <v>12.823359999999999</v>
      </c>
      <c r="AB4" s="21">
        <v>12.823359999999999</v>
      </c>
      <c r="AC4" s="21">
        <v>12.823359999999999</v>
      </c>
      <c r="AD4" s="21">
        <v>12.823359999999999</v>
      </c>
      <c r="AE4" s="21">
        <v>12.823359999999999</v>
      </c>
      <c r="AF4" s="21">
        <v>12.823359999999999</v>
      </c>
      <c r="AG4" s="21">
        <v>12.823359999999999</v>
      </c>
      <c r="AH4" s="21">
        <v>12.823359999999999</v>
      </c>
      <c r="AI4" s="21">
        <v>12.823359999999999</v>
      </c>
      <c r="AJ4" s="21">
        <v>12.823359999999999</v>
      </c>
      <c r="AK4" s="21">
        <v>12.823359999999999</v>
      </c>
      <c r="AL4" s="21">
        <v>12.823359999999999</v>
      </c>
      <c r="AM4" s="21">
        <v>12.823359999999999</v>
      </c>
      <c r="AN4" s="21">
        <v>12.823359999999999</v>
      </c>
      <c r="AO4" s="21">
        <v>12.823359999999999</v>
      </c>
      <c r="AP4" s="21">
        <v>12.823359999999999</v>
      </c>
      <c r="AQ4" s="21">
        <v>12.823359999999999</v>
      </c>
      <c r="AR4" s="21">
        <v>12.823359999999999</v>
      </c>
      <c r="AS4" s="21">
        <v>12.823359999999999</v>
      </c>
      <c r="AT4" s="21">
        <v>12.823359999999999</v>
      </c>
      <c r="AU4" s="21">
        <v>12.823359999999999</v>
      </c>
      <c r="AV4" s="21">
        <v>12.823359999999999</v>
      </c>
      <c r="AW4" s="21">
        <v>12.823359999999999</v>
      </c>
      <c r="AX4" s="21">
        <v>12.823359999999999</v>
      </c>
      <c r="AY4" s="21">
        <v>12.823359999999999</v>
      </c>
      <c r="AZ4" s="21">
        <v>12.823359999999999</v>
      </c>
      <c r="BA4" s="21">
        <v>12.823359999999999</v>
      </c>
      <c r="BB4" s="21">
        <v>12.823359999999999</v>
      </c>
      <c r="BC4" s="21">
        <v>12.823359999999999</v>
      </c>
      <c r="BD4" s="21">
        <v>12.823359999999999</v>
      </c>
      <c r="BE4" s="21">
        <v>12.823359999999999</v>
      </c>
      <c r="BF4" s="21">
        <v>12.823359999999999</v>
      </c>
      <c r="BG4" s="21">
        <v>12.823359999999999</v>
      </c>
      <c r="BH4" s="21">
        <v>12.823359999999999</v>
      </c>
      <c r="BI4" s="21">
        <v>12.823359999999999</v>
      </c>
      <c r="BJ4" s="21">
        <v>12.823359999999999</v>
      </c>
      <c r="BK4" s="21">
        <v>12.823359999999999</v>
      </c>
      <c r="BL4" s="21">
        <v>12.823359999999999</v>
      </c>
      <c r="BM4" s="21">
        <v>12.823359999999999</v>
      </c>
      <c r="BN4" s="21">
        <v>12.823359999999999</v>
      </c>
      <c r="BO4" s="21">
        <v>12.823359999999999</v>
      </c>
      <c r="BP4" s="21">
        <v>12.823359999999999</v>
      </c>
      <c r="BQ4" s="21">
        <v>12.823359999999999</v>
      </c>
      <c r="BR4" s="21">
        <v>12.823359999999999</v>
      </c>
      <c r="BS4" s="21">
        <v>12.823359999999999</v>
      </c>
      <c r="BT4" s="21">
        <v>12.823359999999999</v>
      </c>
      <c r="BU4" s="21">
        <v>12.823359999999999</v>
      </c>
      <c r="BV4" s="21">
        <v>12.823359999999999</v>
      </c>
      <c r="BW4" s="21">
        <v>12.823359999999999</v>
      </c>
      <c r="BX4" s="21">
        <v>12.823359999999999</v>
      </c>
      <c r="BY4" s="21">
        <v>12.823359999999999</v>
      </c>
      <c r="BZ4" s="21">
        <v>12.823359999999999</v>
      </c>
      <c r="CA4" s="21">
        <v>12.823359999999999</v>
      </c>
      <c r="CB4" s="21">
        <v>12.823359999999999</v>
      </c>
      <c r="CC4" s="21">
        <v>12.823359999999999</v>
      </c>
      <c r="CD4" s="21">
        <v>12.823359999999999</v>
      </c>
      <c r="CE4" s="21">
        <v>12.823359999999999</v>
      </c>
      <c r="CF4" s="21">
        <v>12.823359999999999</v>
      </c>
      <c r="CG4" s="21">
        <v>12.823359999999999</v>
      </c>
      <c r="CH4" s="21">
        <v>12.823359999999999</v>
      </c>
      <c r="CI4" s="21">
        <v>12.823359999999999</v>
      </c>
      <c r="CJ4" s="21">
        <v>12.823359999999999</v>
      </c>
      <c r="CK4" s="21">
        <v>12.823359999999999</v>
      </c>
      <c r="CL4" s="21">
        <v>12.823359999999999</v>
      </c>
      <c r="CM4" s="21">
        <v>12.823359999999999</v>
      </c>
      <c r="CN4" s="21">
        <v>12.823359999999999</v>
      </c>
      <c r="CO4" s="21">
        <v>12.823359999999999</v>
      </c>
      <c r="CP4" s="21">
        <v>12.823359999999999</v>
      </c>
      <c r="CQ4" s="21">
        <v>12.823359999999999</v>
      </c>
      <c r="CR4" s="21">
        <v>12.823359999999999</v>
      </c>
      <c r="CS4" s="21">
        <v>12.823359999999999</v>
      </c>
      <c r="CT4" s="21">
        <v>12.823359999999999</v>
      </c>
      <c r="CU4" s="21">
        <v>12.823359999999999</v>
      </c>
      <c r="CV4" s="21">
        <v>12.823359999999999</v>
      </c>
      <c r="CW4" s="21">
        <v>12.823359999999999</v>
      </c>
      <c r="CX4" s="21">
        <v>12.823359999999999</v>
      </c>
      <c r="CY4" s="21">
        <v>12.823359999999999</v>
      </c>
      <c r="CZ4" s="21">
        <v>12.823359999999999</v>
      </c>
      <c r="DA4" s="21">
        <v>12.823359999999999</v>
      </c>
      <c r="DB4" s="21">
        <v>12.823359999999999</v>
      </c>
      <c r="DC4" s="21">
        <v>12.823359999999999</v>
      </c>
      <c r="DD4" s="21">
        <v>12.823359999999999</v>
      </c>
      <c r="DE4" s="21">
        <v>12.823359999999999</v>
      </c>
      <c r="DF4" s="21">
        <v>12.823359999999999</v>
      </c>
      <c r="DG4" s="21">
        <v>12.823359999999999</v>
      </c>
      <c r="DH4" s="21">
        <v>12.823359999999999</v>
      </c>
      <c r="DI4" s="21">
        <v>12.823359999999999</v>
      </c>
      <c r="DJ4" s="21">
        <v>12.823359999999999</v>
      </c>
      <c r="DK4" s="21">
        <v>12.823359999999999</v>
      </c>
      <c r="DL4" s="21">
        <v>12.823359999999999</v>
      </c>
      <c r="DM4" s="21">
        <v>12.823359999999999</v>
      </c>
      <c r="DN4" s="21">
        <v>12.823359999999999</v>
      </c>
      <c r="DO4" s="21">
        <v>12.823359999999999</v>
      </c>
      <c r="DP4" s="21">
        <v>12.823359999999999</v>
      </c>
      <c r="DQ4" s="21">
        <v>12.823359999999999</v>
      </c>
      <c r="DR4" s="21">
        <v>12.823359999999999</v>
      </c>
      <c r="DS4" s="21">
        <v>12.823359999999999</v>
      </c>
      <c r="DT4" s="21">
        <v>12.823359999999999</v>
      </c>
      <c r="DU4" s="21">
        <v>12.823359999999999</v>
      </c>
      <c r="DV4" s="21">
        <v>12.823359999999999</v>
      </c>
      <c r="DW4" s="21">
        <v>12.823359999999999</v>
      </c>
      <c r="DX4" s="21">
        <v>12.823359999999999</v>
      </c>
      <c r="DY4" s="21">
        <v>12.823359999999999</v>
      </c>
      <c r="DZ4" s="21">
        <v>12.823359999999999</v>
      </c>
      <c r="EA4" s="21">
        <v>12.823359999999999</v>
      </c>
      <c r="EB4" s="21">
        <v>12.823359999999999</v>
      </c>
      <c r="EC4" s="21">
        <v>12.823359999999999</v>
      </c>
      <c r="ED4" s="21">
        <v>12.823359999999999</v>
      </c>
      <c r="EE4" s="21">
        <v>12.823359999999999</v>
      </c>
      <c r="EF4" s="21">
        <v>12.823359999999999</v>
      </c>
      <c r="EG4" s="21">
        <v>12.823359999999999</v>
      </c>
      <c r="EH4" s="21">
        <v>12.823359999999999</v>
      </c>
      <c r="EI4" s="21">
        <v>12.823359999999999</v>
      </c>
      <c r="EJ4" s="21">
        <v>12.823359999999999</v>
      </c>
      <c r="EK4" s="21">
        <v>12.823359999999999</v>
      </c>
      <c r="EL4" s="21">
        <v>12.823359999999999</v>
      </c>
      <c r="EM4" s="21">
        <v>12.823359999999999</v>
      </c>
      <c r="EN4" s="21">
        <v>12.823359999999999</v>
      </c>
      <c r="EO4" s="21">
        <v>12.823359999999999</v>
      </c>
      <c r="EP4" s="21">
        <v>12.823359999999999</v>
      </c>
      <c r="EQ4" s="21">
        <v>12.823359999999999</v>
      </c>
      <c r="ER4" s="21">
        <v>12.823359999999999</v>
      </c>
      <c r="ES4" s="21">
        <v>12.823359999999999</v>
      </c>
      <c r="ET4" s="21">
        <v>12.823359999999999</v>
      </c>
      <c r="EU4" s="21">
        <v>12.823359999999999</v>
      </c>
      <c r="EV4" s="21">
        <v>12.823359999999999</v>
      </c>
      <c r="EW4" s="21">
        <v>12.823359999999999</v>
      </c>
      <c r="EX4" s="21">
        <v>12.823359999999999</v>
      </c>
      <c r="EY4" s="21">
        <v>12.823359999999999</v>
      </c>
      <c r="EZ4" s="21">
        <v>12.823359999999999</v>
      </c>
      <c r="FA4" s="21">
        <v>12.823359999999999</v>
      </c>
      <c r="FB4" s="21">
        <v>12.823359999999999</v>
      </c>
      <c r="FC4" s="21">
        <v>12.823359999999999</v>
      </c>
      <c r="FD4" s="21">
        <v>12.823359999999999</v>
      </c>
      <c r="FE4" s="21">
        <v>12.823359999999999</v>
      </c>
      <c r="FF4" s="21">
        <v>12.823359999999999</v>
      </c>
      <c r="FG4" s="21">
        <v>12.823359999999999</v>
      </c>
      <c r="FH4" s="21">
        <v>12.823359999999999</v>
      </c>
      <c r="FI4" s="21">
        <v>12.823359999999999</v>
      </c>
      <c r="FJ4" s="21">
        <v>12.823359999999999</v>
      </c>
      <c r="FK4" s="21">
        <v>12.823359999999999</v>
      </c>
      <c r="FL4" s="21">
        <v>12.823359999999999</v>
      </c>
      <c r="FM4" s="21">
        <v>12.823359999999999</v>
      </c>
      <c r="FN4" s="21">
        <v>12.823359999999999</v>
      </c>
      <c r="FO4" s="21">
        <v>12.823359999999999</v>
      </c>
      <c r="FP4" s="21">
        <v>12.823359999999999</v>
      </c>
      <c r="FQ4" s="21">
        <v>12.823359999999999</v>
      </c>
      <c r="FR4" s="21">
        <v>12.823359999999999</v>
      </c>
      <c r="FS4" s="21">
        <v>12.823359999999999</v>
      </c>
      <c r="FT4" s="21">
        <v>12.823359999999999</v>
      </c>
      <c r="FU4" s="21">
        <v>12.823359999999999</v>
      </c>
      <c r="FV4" s="21">
        <v>12.823359999999999</v>
      </c>
      <c r="FW4" s="21">
        <v>12.823359999999999</v>
      </c>
      <c r="FX4" s="21">
        <v>12.823359999999999</v>
      </c>
      <c r="FY4" s="21">
        <v>12.823359999999999</v>
      </c>
      <c r="FZ4" s="21">
        <v>12.823359999999999</v>
      </c>
      <c r="GA4" s="21">
        <v>12.823359999999999</v>
      </c>
      <c r="GB4" s="21">
        <v>12.823359999999999</v>
      </c>
      <c r="GC4" s="21">
        <v>12.823359999999999</v>
      </c>
      <c r="GD4" s="21">
        <v>12.823359999999999</v>
      </c>
      <c r="GE4" s="21">
        <v>12.823359999999999</v>
      </c>
      <c r="GF4" s="21">
        <v>12.823359999999999</v>
      </c>
      <c r="GG4" s="21">
        <v>12.823359999999999</v>
      </c>
      <c r="GH4" s="21">
        <v>12.823359999999999</v>
      </c>
      <c r="GI4" s="21">
        <v>12.823359999999999</v>
      </c>
      <c r="GJ4" s="21">
        <v>12.823359999999999</v>
      </c>
      <c r="GK4" s="21">
        <v>12.823359999999999</v>
      </c>
      <c r="GL4" s="21">
        <v>12.823359999999999</v>
      </c>
      <c r="GM4" s="21">
        <v>12.823359999999999</v>
      </c>
      <c r="GN4" s="21">
        <v>12.823359999999999</v>
      </c>
      <c r="GO4" s="21">
        <v>12.823359999999999</v>
      </c>
      <c r="GP4" s="21">
        <v>12.823359999999999</v>
      </c>
      <c r="GQ4" s="21">
        <v>12.823359999999999</v>
      </c>
      <c r="GR4" s="21">
        <v>12.823359999999999</v>
      </c>
      <c r="GS4" s="21">
        <v>12.823359999999999</v>
      </c>
      <c r="GT4" s="21">
        <v>12.823359999999999</v>
      </c>
      <c r="GU4" s="21">
        <v>12.823359999999999</v>
      </c>
      <c r="GV4" s="21">
        <v>12.823359999999999</v>
      </c>
      <c r="GW4" s="21">
        <v>12.823359999999999</v>
      </c>
      <c r="GX4" s="21">
        <v>12.823359999999999</v>
      </c>
      <c r="GY4" s="21">
        <v>12.823359999999999</v>
      </c>
      <c r="GZ4" s="21">
        <v>12.823359999999999</v>
      </c>
      <c r="HA4" s="21">
        <v>12.823359999999999</v>
      </c>
      <c r="HB4" s="21">
        <v>12.823359999999999</v>
      </c>
      <c r="HC4" s="21">
        <v>12.823359999999999</v>
      </c>
      <c r="HD4" s="21">
        <v>12.823359999999999</v>
      </c>
      <c r="HE4" s="21">
        <v>12.823359999999999</v>
      </c>
      <c r="HF4" s="21">
        <v>12.823359999999999</v>
      </c>
      <c r="HG4" s="21">
        <v>12.823359999999999</v>
      </c>
      <c r="HH4" s="21">
        <v>12.823359999999999</v>
      </c>
      <c r="HI4" s="21">
        <v>12.823359999999999</v>
      </c>
      <c r="HJ4" s="21">
        <v>12.823359999999999</v>
      </c>
      <c r="HK4" s="21">
        <v>12.823359999999999</v>
      </c>
      <c r="HL4" s="21">
        <v>12.823359999999999</v>
      </c>
      <c r="HM4" s="21">
        <v>12.823359999999999</v>
      </c>
      <c r="HN4" s="21">
        <v>12.823359999999999</v>
      </c>
      <c r="HO4" s="21">
        <v>12.823359999999999</v>
      </c>
      <c r="HP4" s="21">
        <v>12.823359999999999</v>
      </c>
      <c r="HQ4" s="21">
        <v>12.823359999999999</v>
      </c>
      <c r="HR4" s="21">
        <v>12.823359999999999</v>
      </c>
      <c r="HS4" s="21">
        <v>12.823359999999999</v>
      </c>
      <c r="HT4" s="21">
        <v>12.823359999999999</v>
      </c>
      <c r="HU4" s="21">
        <v>12.823359999999999</v>
      </c>
      <c r="HV4" s="21">
        <v>12.823359999999999</v>
      </c>
      <c r="HW4" s="21">
        <v>12.823359999999999</v>
      </c>
      <c r="HX4" s="21">
        <v>12.823359999999999</v>
      </c>
      <c r="HY4" s="21">
        <v>12.823359999999999</v>
      </c>
      <c r="HZ4" s="21">
        <v>12.823359999999999</v>
      </c>
      <c r="IA4" s="21">
        <v>12.823359999999999</v>
      </c>
      <c r="IB4" s="21">
        <v>12.823359999999999</v>
      </c>
      <c r="IC4" s="21">
        <v>12.823359999999999</v>
      </c>
      <c r="ID4" s="21">
        <v>12.823359999999999</v>
      </c>
      <c r="IE4" s="21">
        <v>12.823359999999999</v>
      </c>
      <c r="IF4" s="21">
        <v>12.823359999999999</v>
      </c>
      <c r="IG4" s="21">
        <v>12.823359999999999</v>
      </c>
      <c r="IH4" s="21">
        <v>12.823359999999999</v>
      </c>
      <c r="II4" s="21">
        <v>12.823359999999999</v>
      </c>
      <c r="IJ4" s="21">
        <v>12.823359999999999</v>
      </c>
      <c r="IK4" s="21">
        <v>12.823359999999999</v>
      </c>
      <c r="IL4" s="21">
        <v>12.823359999999999</v>
      </c>
      <c r="IM4" s="21">
        <v>12.823359999999999</v>
      </c>
      <c r="IN4" s="21">
        <v>12.823359999999999</v>
      </c>
      <c r="IO4" s="21">
        <v>12.823359999999999</v>
      </c>
      <c r="IP4" s="21">
        <v>12.823359999999999</v>
      </c>
      <c r="IQ4" s="21">
        <v>12.823359999999999</v>
      </c>
      <c r="IR4" s="21">
        <v>12.823359999999999</v>
      </c>
      <c r="IS4" s="21">
        <v>12.823359999999999</v>
      </c>
      <c r="IT4" s="21">
        <v>12.823359999999999</v>
      </c>
      <c r="IU4" s="21">
        <v>12.823359999999999</v>
      </c>
      <c r="IV4" s="21">
        <v>12.823359999999999</v>
      </c>
      <c r="IW4" s="21">
        <v>12.823359999999999</v>
      </c>
      <c r="IX4" s="21">
        <v>12.823359999999999</v>
      </c>
      <c r="IY4" s="21">
        <v>12.823359999999999</v>
      </c>
      <c r="IZ4" s="21">
        <v>12.823359999999999</v>
      </c>
      <c r="JA4" s="21">
        <v>12.823359999999999</v>
      </c>
      <c r="JB4" s="21">
        <v>12.823359999999999</v>
      </c>
      <c r="JC4" s="21">
        <v>12.823359999999999</v>
      </c>
      <c r="JD4" s="21">
        <v>12.823359999999999</v>
      </c>
      <c r="JE4" s="21">
        <v>12.823359999999999</v>
      </c>
      <c r="JF4" s="21">
        <v>12.823359999999999</v>
      </c>
      <c r="JG4" s="21">
        <v>12.823359999999999</v>
      </c>
      <c r="JH4" s="21">
        <v>12.823359999999999</v>
      </c>
      <c r="JI4" s="21">
        <v>12.823359999999999</v>
      </c>
      <c r="JJ4" s="21">
        <v>12.823359999999999</v>
      </c>
      <c r="JK4" s="21">
        <v>12.823359999999999</v>
      </c>
      <c r="JL4" s="21">
        <v>12.823359999999999</v>
      </c>
      <c r="JM4" s="21">
        <v>12.823359999999999</v>
      </c>
      <c r="JN4" s="21">
        <v>12.823359999999999</v>
      </c>
      <c r="JO4" s="21">
        <v>12.823359999999999</v>
      </c>
      <c r="JP4" s="21">
        <v>12.823359999999999</v>
      </c>
      <c r="JQ4" s="21">
        <v>12.823359999999999</v>
      </c>
      <c r="JR4" s="21">
        <v>12.823359999999999</v>
      </c>
      <c r="JS4" s="21">
        <v>12.823359999999999</v>
      </c>
      <c r="JT4" s="21">
        <v>12.823359999999999</v>
      </c>
      <c r="JU4" s="21">
        <v>12.823359999999999</v>
      </c>
      <c r="JV4" s="21">
        <v>12.823359999999999</v>
      </c>
      <c r="JW4" s="21">
        <v>12.823359999999999</v>
      </c>
      <c r="JX4" s="21">
        <v>12.823359999999999</v>
      </c>
      <c r="JY4" s="21">
        <v>12.823359999999999</v>
      </c>
      <c r="JZ4" s="21">
        <v>12.823359999999999</v>
      </c>
      <c r="KA4" s="21">
        <v>12.823359999999999</v>
      </c>
      <c r="KB4" s="21">
        <v>12.823359999999999</v>
      </c>
      <c r="KC4" s="21">
        <v>12.823359999999999</v>
      </c>
      <c r="KD4" s="21">
        <v>12.823359999999999</v>
      </c>
      <c r="KE4" s="21">
        <v>12.823359999999999</v>
      </c>
      <c r="KF4" s="21">
        <v>12.823359999999999</v>
      </c>
      <c r="KG4" s="21">
        <v>12.823359999999999</v>
      </c>
      <c r="KH4" s="21">
        <v>12.823359999999999</v>
      </c>
      <c r="KI4" s="21">
        <v>12.823359999999999</v>
      </c>
      <c r="KJ4" s="21">
        <v>12.823359999999999</v>
      </c>
      <c r="KK4" s="21">
        <v>12.823359999999999</v>
      </c>
      <c r="KL4" s="21">
        <v>12.823359999999999</v>
      </c>
      <c r="KM4" s="21">
        <v>12.823359999999999</v>
      </c>
      <c r="KN4" s="21">
        <v>12.823359999999999</v>
      </c>
      <c r="KO4" s="21">
        <v>12.823359999999999</v>
      </c>
      <c r="KP4" s="21">
        <v>12.823359999999999</v>
      </c>
      <c r="KQ4" s="21">
        <v>12.823359999999999</v>
      </c>
      <c r="KR4" s="21">
        <v>12.823359999999999</v>
      </c>
      <c r="KS4" s="21">
        <v>12.823359999999999</v>
      </c>
      <c r="KT4" s="21">
        <v>12.823359999999999</v>
      </c>
      <c r="KU4" s="21">
        <v>12.823359999999999</v>
      </c>
      <c r="KV4" s="21">
        <v>12.823359999999999</v>
      </c>
      <c r="KW4" s="21">
        <v>12.823359999999999</v>
      </c>
      <c r="KX4" s="21">
        <v>12.823359999999999</v>
      </c>
      <c r="KY4" s="21">
        <v>12.823359999999999</v>
      </c>
      <c r="KZ4" s="21">
        <v>12.823359999999999</v>
      </c>
      <c r="LA4" s="21">
        <v>12.823359999999999</v>
      </c>
      <c r="LB4" s="21">
        <v>12.823359999999999</v>
      </c>
      <c r="LC4" s="21">
        <v>12.823359999999999</v>
      </c>
      <c r="LD4" s="21">
        <v>12.823359999999999</v>
      </c>
      <c r="LE4" s="21">
        <v>12.823359999999999</v>
      </c>
      <c r="LF4" s="21">
        <v>12.823359999999999</v>
      </c>
      <c r="LG4" s="21">
        <v>12.823359999999999</v>
      </c>
      <c r="LH4" s="21">
        <v>12.823359999999999</v>
      </c>
      <c r="LI4" s="21">
        <v>12.823359999999999</v>
      </c>
      <c r="LJ4" s="21">
        <v>12.823359999999999</v>
      </c>
      <c r="LK4" s="21">
        <v>12.823359999999999</v>
      </c>
      <c r="LL4" s="21">
        <v>12.823359999999999</v>
      </c>
      <c r="LM4" s="21">
        <v>12.823359999999999</v>
      </c>
      <c r="LN4" s="21">
        <v>12.823359999999999</v>
      </c>
      <c r="LO4" s="21">
        <v>12.823359999999999</v>
      </c>
      <c r="LP4" s="21">
        <v>12.823359999999999</v>
      </c>
      <c r="LQ4" s="21">
        <v>12.823359999999999</v>
      </c>
      <c r="LR4" s="21">
        <v>12.823359999999999</v>
      </c>
      <c r="LS4" s="21">
        <v>12.823359999999999</v>
      </c>
      <c r="LT4" s="21">
        <v>12.823359999999999</v>
      </c>
      <c r="LU4" s="21">
        <v>12.823359999999999</v>
      </c>
      <c r="LV4" s="21">
        <v>12.823359999999999</v>
      </c>
      <c r="LW4" s="21">
        <v>12.823359999999999</v>
      </c>
      <c r="LX4" s="21">
        <v>12.823359999999999</v>
      </c>
      <c r="LY4" s="21">
        <v>12.823359999999999</v>
      </c>
      <c r="LZ4" s="21">
        <v>12.823359999999999</v>
      </c>
      <c r="MA4" s="21">
        <v>12.823359999999999</v>
      </c>
      <c r="MB4" s="21">
        <v>12.823359999999999</v>
      </c>
      <c r="MC4" s="21">
        <v>12.823359999999999</v>
      </c>
      <c r="MD4" s="21">
        <v>12.823359999999999</v>
      </c>
      <c r="ME4" s="21">
        <v>12.823359999999999</v>
      </c>
      <c r="MF4" s="21">
        <v>12.823359999999999</v>
      </c>
      <c r="MG4" s="21">
        <v>12.823359999999999</v>
      </c>
      <c r="MH4" s="21">
        <v>12.823359999999999</v>
      </c>
      <c r="MI4" s="21">
        <v>12.823359999999999</v>
      </c>
      <c r="MJ4" s="21">
        <v>12.823359999999999</v>
      </c>
      <c r="MK4" s="21">
        <v>12.823359999999999</v>
      </c>
      <c r="ML4" s="21">
        <v>12.823359999999999</v>
      </c>
      <c r="MM4" s="21">
        <v>12.823359999999999</v>
      </c>
      <c r="MN4" s="21">
        <v>12.823359999999999</v>
      </c>
      <c r="MO4" s="21">
        <v>12.823359999999999</v>
      </c>
      <c r="MP4" s="21">
        <v>12.823359999999999</v>
      </c>
      <c r="MQ4" s="21">
        <v>12.823359999999999</v>
      </c>
      <c r="MR4" s="21">
        <v>12.823359999999999</v>
      </c>
      <c r="MS4" s="21">
        <v>12.823359999999999</v>
      </c>
      <c r="MT4" s="21">
        <v>12.823359999999999</v>
      </c>
      <c r="MU4" s="21">
        <v>12.823359999999999</v>
      </c>
      <c r="MV4" s="21">
        <v>12.823359999999999</v>
      </c>
      <c r="MW4" s="21">
        <v>12.823359999999999</v>
      </c>
      <c r="MX4" s="21">
        <v>12.823359999999999</v>
      </c>
      <c r="MY4" s="21">
        <v>12.823359999999999</v>
      </c>
      <c r="MZ4" s="21">
        <v>13.870559999999999</v>
      </c>
    </row>
    <row r="5" spans="1:364" x14ac:dyDescent="0.25">
      <c r="A5" s="7">
        <f>+'Valo FX'!A6</f>
        <v>3</v>
      </c>
      <c r="B5" s="16" t="str">
        <f>+Base!B3</f>
        <v>202401310029A033</v>
      </c>
      <c r="C5" s="75">
        <v>6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13.151160000000001</v>
      </c>
      <c r="K5" s="21">
        <v>13.151160000000001</v>
      </c>
      <c r="L5" s="21">
        <v>13.151160000000001</v>
      </c>
      <c r="M5" s="21">
        <v>13.151160000000001</v>
      </c>
      <c r="N5" s="21">
        <v>13.151160000000001</v>
      </c>
      <c r="O5" s="21">
        <v>13.151160000000001</v>
      </c>
      <c r="P5" s="21">
        <v>13.151160000000001</v>
      </c>
      <c r="Q5" s="21">
        <v>13.151160000000001</v>
      </c>
      <c r="R5" s="21">
        <v>13.151160000000001</v>
      </c>
      <c r="S5" s="21">
        <v>13.151160000000001</v>
      </c>
      <c r="T5" s="21">
        <v>13.151160000000001</v>
      </c>
      <c r="U5" s="21">
        <v>13.151160000000001</v>
      </c>
      <c r="V5" s="21">
        <v>13.151160000000001</v>
      </c>
      <c r="W5" s="21">
        <v>13.151160000000001</v>
      </c>
      <c r="X5" s="21">
        <v>13.151160000000001</v>
      </c>
      <c r="Y5" s="21">
        <v>13.151160000000001</v>
      </c>
      <c r="Z5" s="21">
        <v>13.151160000000001</v>
      </c>
      <c r="AA5" s="21">
        <v>13.151160000000001</v>
      </c>
      <c r="AB5" s="21">
        <v>13.151160000000001</v>
      </c>
      <c r="AC5" s="21">
        <v>13.151160000000001</v>
      </c>
      <c r="AD5" s="21">
        <v>13.151160000000001</v>
      </c>
      <c r="AE5" s="21">
        <v>13.151160000000001</v>
      </c>
      <c r="AF5" s="21">
        <v>13.151160000000001</v>
      </c>
      <c r="AG5" s="21">
        <v>13.151160000000001</v>
      </c>
      <c r="AH5" s="21">
        <v>13.151160000000001</v>
      </c>
      <c r="AI5" s="21">
        <v>13.151160000000001</v>
      </c>
      <c r="AJ5" s="21">
        <v>13.151160000000001</v>
      </c>
      <c r="AK5" s="21">
        <v>13.151160000000001</v>
      </c>
      <c r="AL5" s="21">
        <v>13.151160000000001</v>
      </c>
      <c r="AM5" s="21">
        <v>13.151160000000001</v>
      </c>
      <c r="AN5" s="21">
        <v>13.151160000000001</v>
      </c>
      <c r="AO5" s="21">
        <v>13.151160000000001</v>
      </c>
      <c r="AP5" s="21">
        <v>13.151160000000001</v>
      </c>
      <c r="AQ5" s="21">
        <v>13.151160000000001</v>
      </c>
      <c r="AR5" s="21">
        <v>13.151160000000001</v>
      </c>
      <c r="AS5" s="21">
        <v>13.151160000000001</v>
      </c>
      <c r="AT5" s="21">
        <v>13.151160000000001</v>
      </c>
      <c r="AU5" s="21">
        <v>13.151160000000001</v>
      </c>
      <c r="AV5" s="21">
        <v>13.151160000000001</v>
      </c>
      <c r="AW5" s="21">
        <v>13.151160000000001</v>
      </c>
      <c r="AX5" s="21">
        <v>13.151160000000001</v>
      </c>
      <c r="AY5" s="21">
        <v>13.151160000000001</v>
      </c>
      <c r="AZ5" s="21">
        <v>13.151160000000001</v>
      </c>
      <c r="BA5" s="21">
        <v>13.151160000000001</v>
      </c>
      <c r="BB5" s="21">
        <v>13.151160000000001</v>
      </c>
      <c r="BC5" s="21">
        <v>13.151160000000001</v>
      </c>
      <c r="BD5" s="21">
        <v>13.151160000000001</v>
      </c>
      <c r="BE5" s="21">
        <v>13.151160000000001</v>
      </c>
      <c r="BF5" s="21">
        <v>13.151160000000001</v>
      </c>
      <c r="BG5" s="21">
        <v>13.151160000000001</v>
      </c>
      <c r="BH5" s="21">
        <v>13.151160000000001</v>
      </c>
      <c r="BI5" s="21">
        <v>13.151160000000001</v>
      </c>
      <c r="BJ5" s="21">
        <v>13.151160000000001</v>
      </c>
      <c r="BK5" s="21">
        <v>13.151160000000001</v>
      </c>
      <c r="BL5" s="21">
        <v>13.151160000000001</v>
      </c>
      <c r="BM5" s="21">
        <v>13.151160000000001</v>
      </c>
      <c r="BN5" s="21">
        <v>13.151160000000001</v>
      </c>
      <c r="BO5" s="21">
        <v>13.151160000000001</v>
      </c>
      <c r="BP5" s="21">
        <v>13.151160000000001</v>
      </c>
      <c r="BQ5" s="21">
        <v>13.151160000000001</v>
      </c>
      <c r="BR5" s="21">
        <v>13.151160000000001</v>
      </c>
      <c r="BS5" s="21">
        <v>13.151160000000001</v>
      </c>
      <c r="BT5" s="21">
        <v>13.151160000000001</v>
      </c>
      <c r="BU5" s="21">
        <v>13.151160000000001</v>
      </c>
      <c r="BV5" s="21">
        <v>13.151160000000001</v>
      </c>
      <c r="BW5" s="21">
        <v>13.151160000000001</v>
      </c>
      <c r="BX5" s="21">
        <v>13.151160000000001</v>
      </c>
      <c r="BY5" s="21">
        <v>13.151160000000001</v>
      </c>
      <c r="BZ5" s="21">
        <v>13.151160000000001</v>
      </c>
      <c r="CA5" s="21">
        <v>13.151160000000001</v>
      </c>
      <c r="CB5" s="21">
        <v>13.151160000000001</v>
      </c>
      <c r="CC5" s="21">
        <v>13.151160000000001</v>
      </c>
      <c r="CD5" s="21">
        <v>13.151160000000001</v>
      </c>
      <c r="CE5" s="21">
        <v>13.151160000000001</v>
      </c>
      <c r="CF5" s="21">
        <v>13.151160000000001</v>
      </c>
      <c r="CG5" s="21">
        <v>13.151160000000001</v>
      </c>
      <c r="CH5" s="21">
        <v>13.151160000000001</v>
      </c>
      <c r="CI5" s="21">
        <v>13.151160000000001</v>
      </c>
      <c r="CJ5" s="21">
        <v>13.151160000000001</v>
      </c>
      <c r="CK5" s="21">
        <v>13.151160000000001</v>
      </c>
      <c r="CL5" s="21">
        <v>13.151160000000001</v>
      </c>
      <c r="CM5" s="21">
        <v>13.151160000000001</v>
      </c>
      <c r="CN5" s="21">
        <v>13.151160000000001</v>
      </c>
      <c r="CO5" s="21">
        <v>13.151160000000001</v>
      </c>
      <c r="CP5" s="21">
        <v>13.151160000000001</v>
      </c>
      <c r="CQ5" s="21">
        <v>13.151160000000001</v>
      </c>
      <c r="CR5" s="21">
        <v>13.151160000000001</v>
      </c>
      <c r="CS5" s="21">
        <v>13.151160000000001</v>
      </c>
      <c r="CT5" s="21">
        <v>13.151160000000001</v>
      </c>
      <c r="CU5" s="21">
        <v>13.151160000000001</v>
      </c>
      <c r="CV5" s="21">
        <v>13.151160000000001</v>
      </c>
      <c r="CW5" s="21">
        <v>13.151160000000001</v>
      </c>
      <c r="CX5" s="21">
        <v>13.151160000000001</v>
      </c>
      <c r="CY5" s="21">
        <v>13.151160000000001</v>
      </c>
      <c r="CZ5" s="21">
        <v>13.151160000000001</v>
      </c>
      <c r="DA5" s="21">
        <v>13.151160000000001</v>
      </c>
      <c r="DB5" s="21">
        <v>13.151160000000001</v>
      </c>
      <c r="DC5" s="21">
        <v>13.151160000000001</v>
      </c>
      <c r="DD5" s="21">
        <v>13.151160000000001</v>
      </c>
      <c r="DE5" s="21">
        <v>13.151160000000001</v>
      </c>
      <c r="DF5" s="21">
        <v>13.151160000000001</v>
      </c>
      <c r="DG5" s="21">
        <v>13.151160000000001</v>
      </c>
      <c r="DH5" s="21">
        <v>13.151160000000001</v>
      </c>
      <c r="DI5" s="21">
        <v>13.151160000000001</v>
      </c>
      <c r="DJ5" s="21">
        <v>13.151160000000001</v>
      </c>
      <c r="DK5" s="21">
        <v>13.151160000000001</v>
      </c>
      <c r="DL5" s="21">
        <v>13.151160000000001</v>
      </c>
      <c r="DM5" s="21">
        <v>13.151160000000001</v>
      </c>
      <c r="DN5" s="21">
        <v>13.151160000000001</v>
      </c>
      <c r="DO5" s="21">
        <v>13.151160000000001</v>
      </c>
      <c r="DP5" s="21">
        <v>13.151160000000001</v>
      </c>
      <c r="DQ5" s="21">
        <v>13.151160000000001</v>
      </c>
      <c r="DR5" s="21">
        <v>13.151160000000001</v>
      </c>
      <c r="DS5" s="21">
        <v>13.151160000000001</v>
      </c>
      <c r="DT5" s="21">
        <v>13.151160000000001</v>
      </c>
      <c r="DU5" s="21">
        <v>13.151160000000001</v>
      </c>
      <c r="DV5" s="21">
        <v>13.151160000000001</v>
      </c>
      <c r="DW5" s="21">
        <v>13.151160000000001</v>
      </c>
      <c r="DX5" s="21">
        <v>13.151160000000001</v>
      </c>
      <c r="DY5" s="21">
        <v>13.151160000000001</v>
      </c>
      <c r="DZ5" s="21">
        <v>13.151160000000001</v>
      </c>
      <c r="EA5" s="21">
        <v>13.151160000000001</v>
      </c>
      <c r="EB5" s="21">
        <v>13.151160000000001</v>
      </c>
      <c r="EC5" s="21">
        <v>13.151160000000001</v>
      </c>
      <c r="ED5" s="21">
        <v>13.151160000000001</v>
      </c>
      <c r="EE5" s="21">
        <v>13.151160000000001</v>
      </c>
      <c r="EF5" s="21">
        <v>13.151160000000001</v>
      </c>
      <c r="EG5" s="21">
        <v>13.151160000000001</v>
      </c>
      <c r="EH5" s="21">
        <v>13.151160000000001</v>
      </c>
      <c r="EI5" s="21">
        <v>13.151160000000001</v>
      </c>
      <c r="EJ5" s="21">
        <v>13.151160000000001</v>
      </c>
      <c r="EK5" s="21">
        <v>13.151160000000001</v>
      </c>
      <c r="EL5" s="21">
        <v>13.151160000000001</v>
      </c>
      <c r="EM5" s="21">
        <v>13.151160000000001</v>
      </c>
      <c r="EN5" s="21">
        <v>13.151160000000001</v>
      </c>
      <c r="EO5" s="21">
        <v>13.151160000000001</v>
      </c>
      <c r="EP5" s="21">
        <v>13.151160000000001</v>
      </c>
      <c r="EQ5" s="21">
        <v>13.151160000000001</v>
      </c>
      <c r="ER5" s="21">
        <v>13.151160000000001</v>
      </c>
      <c r="ES5" s="21">
        <v>13.151160000000001</v>
      </c>
      <c r="ET5" s="21">
        <v>13.151160000000001</v>
      </c>
      <c r="EU5" s="21">
        <v>13.151160000000001</v>
      </c>
      <c r="EV5" s="21">
        <v>13.151160000000001</v>
      </c>
      <c r="EW5" s="21">
        <v>13.151160000000001</v>
      </c>
      <c r="EX5" s="21">
        <v>13.151160000000001</v>
      </c>
      <c r="EY5" s="21">
        <v>13.151160000000001</v>
      </c>
      <c r="EZ5" s="21">
        <v>13.151160000000001</v>
      </c>
      <c r="FA5" s="21">
        <v>13.151160000000001</v>
      </c>
      <c r="FB5" s="21">
        <v>13.151160000000001</v>
      </c>
      <c r="FC5" s="21">
        <v>13.151160000000001</v>
      </c>
      <c r="FD5" s="21">
        <v>13.151160000000001</v>
      </c>
      <c r="FE5" s="21">
        <v>13.151160000000001</v>
      </c>
      <c r="FF5" s="21">
        <v>13.151160000000001</v>
      </c>
      <c r="FG5" s="21">
        <v>13.151160000000001</v>
      </c>
      <c r="FH5" s="21">
        <v>13.151160000000001</v>
      </c>
      <c r="FI5" s="21">
        <v>13.151160000000001</v>
      </c>
      <c r="FJ5" s="21">
        <v>13.151160000000001</v>
      </c>
      <c r="FK5" s="21">
        <v>13.151160000000001</v>
      </c>
      <c r="FL5" s="21">
        <v>13.151160000000001</v>
      </c>
      <c r="FM5" s="21">
        <v>13.151160000000001</v>
      </c>
      <c r="FN5" s="21">
        <v>13.151160000000001</v>
      </c>
      <c r="FO5" s="21">
        <v>13.151160000000001</v>
      </c>
      <c r="FP5" s="21">
        <v>13.151160000000001</v>
      </c>
      <c r="FQ5" s="21">
        <v>13.151160000000001</v>
      </c>
      <c r="FR5" s="21">
        <v>13.151160000000001</v>
      </c>
      <c r="FS5" s="21">
        <v>13.151160000000001</v>
      </c>
      <c r="FT5" s="21">
        <v>13.151160000000001</v>
      </c>
      <c r="FU5" s="21">
        <v>13.151160000000001</v>
      </c>
      <c r="FV5" s="21">
        <v>13.151160000000001</v>
      </c>
      <c r="FW5" s="21">
        <v>13.151160000000001</v>
      </c>
      <c r="FX5" s="21">
        <v>13.151160000000001</v>
      </c>
      <c r="FY5" s="21">
        <v>13.151160000000001</v>
      </c>
      <c r="FZ5" s="21">
        <v>13.151160000000001</v>
      </c>
      <c r="GA5" s="21">
        <v>13.151160000000001</v>
      </c>
      <c r="GB5" s="21">
        <v>13.151160000000001</v>
      </c>
      <c r="GC5" s="21">
        <v>13.151160000000001</v>
      </c>
      <c r="GD5" s="21">
        <v>13.151160000000001</v>
      </c>
      <c r="GE5" s="21">
        <v>13.151160000000001</v>
      </c>
      <c r="GF5" s="21">
        <v>13.151160000000001</v>
      </c>
      <c r="GG5" s="21">
        <v>13.151160000000001</v>
      </c>
      <c r="GH5" s="21">
        <v>13.151160000000001</v>
      </c>
      <c r="GI5" s="21">
        <v>13.151160000000001</v>
      </c>
      <c r="GJ5" s="21">
        <v>13.151160000000001</v>
      </c>
      <c r="GK5" s="21">
        <v>13.151160000000001</v>
      </c>
      <c r="GL5" s="21">
        <v>13.151160000000001</v>
      </c>
      <c r="GM5" s="21">
        <v>13.151160000000001</v>
      </c>
      <c r="GN5" s="21">
        <v>13.151160000000001</v>
      </c>
      <c r="GO5" s="21">
        <v>13.151160000000001</v>
      </c>
      <c r="GP5" s="21">
        <v>13.151160000000001</v>
      </c>
      <c r="GQ5" s="21">
        <v>13.151160000000001</v>
      </c>
      <c r="GR5" s="21">
        <v>13.151160000000001</v>
      </c>
      <c r="GS5" s="21">
        <v>13.151160000000001</v>
      </c>
      <c r="GT5" s="21">
        <v>13.151160000000001</v>
      </c>
      <c r="GU5" s="21">
        <v>13.151160000000001</v>
      </c>
      <c r="GV5" s="21">
        <v>13.151160000000001</v>
      </c>
      <c r="GW5" s="21">
        <v>13.151160000000001</v>
      </c>
      <c r="GX5" s="21">
        <v>13.151160000000001</v>
      </c>
      <c r="GY5" s="21">
        <v>13.151160000000001</v>
      </c>
      <c r="GZ5" s="21">
        <v>13.151160000000001</v>
      </c>
      <c r="HA5" s="21">
        <v>13.151160000000001</v>
      </c>
      <c r="HB5" s="21">
        <v>13.151160000000001</v>
      </c>
      <c r="HC5" s="21">
        <v>13.151160000000001</v>
      </c>
      <c r="HD5" s="21">
        <v>13.151160000000001</v>
      </c>
      <c r="HE5" s="21">
        <v>13.151160000000001</v>
      </c>
      <c r="HF5" s="21">
        <v>13.151160000000001</v>
      </c>
      <c r="HG5" s="21">
        <v>13.151160000000001</v>
      </c>
      <c r="HH5" s="21">
        <v>13.151160000000001</v>
      </c>
      <c r="HI5" s="21">
        <v>13.151160000000001</v>
      </c>
      <c r="HJ5" s="21">
        <v>13.151160000000001</v>
      </c>
      <c r="HK5" s="21">
        <v>13.151160000000001</v>
      </c>
      <c r="HL5" s="21">
        <v>12.92544</v>
      </c>
      <c r="HM5" s="21">
        <v>0</v>
      </c>
      <c r="HN5" s="21">
        <v>0</v>
      </c>
      <c r="HO5" s="21">
        <v>0</v>
      </c>
      <c r="HP5" s="21">
        <v>0</v>
      </c>
      <c r="HQ5" s="21">
        <v>0</v>
      </c>
      <c r="HR5" s="21">
        <v>0</v>
      </c>
      <c r="HS5" s="21">
        <v>0</v>
      </c>
      <c r="HT5" s="21">
        <v>0</v>
      </c>
      <c r="HU5" s="21">
        <v>0</v>
      </c>
      <c r="HV5" s="21">
        <v>0</v>
      </c>
      <c r="HW5" s="21">
        <v>0</v>
      </c>
      <c r="HX5" s="21">
        <v>0</v>
      </c>
      <c r="HY5" s="21">
        <v>0</v>
      </c>
      <c r="HZ5" s="21">
        <v>0</v>
      </c>
      <c r="IA5" s="21">
        <v>0</v>
      </c>
      <c r="IB5" s="21">
        <v>0</v>
      </c>
      <c r="IC5" s="21">
        <v>0</v>
      </c>
      <c r="ID5" s="21">
        <v>0</v>
      </c>
      <c r="IE5" s="21">
        <v>0</v>
      </c>
      <c r="IF5" s="21">
        <v>0</v>
      </c>
      <c r="IG5" s="21">
        <v>0</v>
      </c>
      <c r="IH5" s="21">
        <v>0</v>
      </c>
      <c r="II5" s="21">
        <v>0</v>
      </c>
      <c r="IJ5" s="21">
        <v>0</v>
      </c>
      <c r="IK5" s="21">
        <v>0</v>
      </c>
      <c r="IL5" s="21">
        <v>0</v>
      </c>
      <c r="IM5" s="21">
        <v>0</v>
      </c>
      <c r="IN5" s="21">
        <v>0</v>
      </c>
      <c r="IO5" s="21">
        <v>0</v>
      </c>
      <c r="IP5" s="21">
        <v>0</v>
      </c>
      <c r="IQ5" s="21">
        <v>0</v>
      </c>
      <c r="IR5" s="21">
        <v>0</v>
      </c>
      <c r="IS5" s="21">
        <v>0</v>
      </c>
      <c r="IT5" s="21">
        <v>0</v>
      </c>
      <c r="IU5" s="21">
        <v>0</v>
      </c>
      <c r="IV5" s="21">
        <v>0</v>
      </c>
      <c r="IW5" s="21">
        <v>0</v>
      </c>
      <c r="IX5" s="21">
        <v>0</v>
      </c>
      <c r="IY5" s="21">
        <v>0</v>
      </c>
      <c r="IZ5" s="21">
        <v>0</v>
      </c>
      <c r="JA5" s="21">
        <v>0</v>
      </c>
      <c r="JB5" s="21">
        <v>0</v>
      </c>
      <c r="JC5" s="21">
        <v>0</v>
      </c>
      <c r="JD5" s="21">
        <v>0</v>
      </c>
      <c r="JE5" s="21">
        <v>0</v>
      </c>
      <c r="JF5" s="21">
        <v>0</v>
      </c>
      <c r="JG5" s="21">
        <v>0</v>
      </c>
      <c r="JH5" s="21">
        <v>0</v>
      </c>
      <c r="JI5" s="21">
        <v>0</v>
      </c>
      <c r="JJ5" s="21">
        <v>0</v>
      </c>
      <c r="JK5" s="21">
        <v>0</v>
      </c>
      <c r="JL5" s="21">
        <v>0</v>
      </c>
      <c r="JM5" s="21">
        <v>0</v>
      </c>
      <c r="JN5" s="21">
        <v>0</v>
      </c>
      <c r="JO5" s="21">
        <v>0</v>
      </c>
      <c r="JP5" s="21">
        <v>0</v>
      </c>
      <c r="JQ5" s="21">
        <v>0</v>
      </c>
      <c r="JR5" s="21">
        <v>0</v>
      </c>
      <c r="JS5" s="21">
        <v>0</v>
      </c>
      <c r="JT5" s="21">
        <v>0</v>
      </c>
      <c r="JU5" s="21">
        <v>0</v>
      </c>
      <c r="JV5" s="21">
        <v>0</v>
      </c>
      <c r="JW5" s="21">
        <v>0</v>
      </c>
      <c r="JX5" s="21">
        <v>0</v>
      </c>
      <c r="JY5" s="21">
        <v>0</v>
      </c>
      <c r="JZ5" s="21">
        <v>0</v>
      </c>
      <c r="KA5" s="21">
        <v>0</v>
      </c>
      <c r="KB5" s="21">
        <v>0</v>
      </c>
      <c r="KC5" s="21">
        <v>0</v>
      </c>
      <c r="KD5" s="21">
        <v>0</v>
      </c>
      <c r="KE5" s="21">
        <v>0</v>
      </c>
      <c r="KF5" s="21">
        <v>0</v>
      </c>
      <c r="KG5" s="21">
        <v>0</v>
      </c>
      <c r="KH5" s="21">
        <v>0</v>
      </c>
      <c r="KI5" s="21">
        <v>0</v>
      </c>
      <c r="KJ5" s="21">
        <v>0</v>
      </c>
      <c r="KK5" s="21">
        <v>0</v>
      </c>
      <c r="KL5" s="21">
        <v>0</v>
      </c>
      <c r="KM5" s="21">
        <v>0</v>
      </c>
      <c r="KN5" s="21">
        <v>0</v>
      </c>
      <c r="KO5" s="21">
        <v>0</v>
      </c>
      <c r="KP5" s="21">
        <v>0</v>
      </c>
      <c r="KQ5" s="21">
        <v>0</v>
      </c>
      <c r="KR5" s="21">
        <v>0</v>
      </c>
      <c r="KS5" s="21">
        <v>0</v>
      </c>
      <c r="KT5" s="21">
        <v>0</v>
      </c>
      <c r="KU5" s="21">
        <v>0</v>
      </c>
      <c r="KV5" s="21">
        <v>0</v>
      </c>
      <c r="KW5" s="21">
        <v>0</v>
      </c>
      <c r="KX5" s="21">
        <v>0</v>
      </c>
      <c r="KY5" s="21">
        <v>0</v>
      </c>
      <c r="KZ5" s="21">
        <v>0</v>
      </c>
      <c r="LA5" s="21">
        <v>0</v>
      </c>
      <c r="LB5" s="21">
        <v>0</v>
      </c>
      <c r="LC5" s="21">
        <v>0</v>
      </c>
      <c r="LD5" s="21">
        <v>0</v>
      </c>
      <c r="LE5" s="21">
        <v>0</v>
      </c>
      <c r="LF5" s="21">
        <v>0</v>
      </c>
      <c r="LG5" s="21">
        <v>0</v>
      </c>
      <c r="LH5" s="21">
        <v>0</v>
      </c>
      <c r="LI5" s="21">
        <v>0</v>
      </c>
      <c r="LJ5" s="21">
        <v>0</v>
      </c>
      <c r="LK5" s="21">
        <v>0</v>
      </c>
      <c r="LL5" s="21">
        <v>0</v>
      </c>
      <c r="LM5" s="21">
        <v>0</v>
      </c>
      <c r="LN5" s="21">
        <v>0</v>
      </c>
      <c r="LO5" s="21">
        <v>0</v>
      </c>
      <c r="LP5" s="21">
        <v>0</v>
      </c>
      <c r="LQ5" s="21">
        <v>0</v>
      </c>
      <c r="LR5" s="21">
        <v>0</v>
      </c>
      <c r="LS5" s="21">
        <v>0</v>
      </c>
      <c r="LT5" s="21">
        <v>0</v>
      </c>
      <c r="LU5" s="21">
        <v>0</v>
      </c>
      <c r="LV5" s="21">
        <v>0</v>
      </c>
      <c r="LW5" s="21">
        <v>0</v>
      </c>
      <c r="LX5" s="21">
        <v>0</v>
      </c>
      <c r="LY5" s="21">
        <v>0</v>
      </c>
      <c r="LZ5" s="21">
        <v>0</v>
      </c>
      <c r="MA5" s="21">
        <v>0</v>
      </c>
      <c r="MB5" s="21">
        <v>0</v>
      </c>
      <c r="MC5" s="21">
        <v>0</v>
      </c>
      <c r="MD5" s="21">
        <v>0</v>
      </c>
      <c r="ME5" s="21">
        <v>0</v>
      </c>
      <c r="MF5" s="21">
        <v>0</v>
      </c>
      <c r="MG5" s="21">
        <v>0</v>
      </c>
      <c r="MH5" s="21">
        <v>0</v>
      </c>
      <c r="MI5" s="21">
        <v>0</v>
      </c>
      <c r="MJ5" s="21">
        <v>0</v>
      </c>
      <c r="MK5" s="21">
        <v>0</v>
      </c>
      <c r="ML5" s="21">
        <v>0</v>
      </c>
      <c r="MM5" s="21">
        <v>0</v>
      </c>
      <c r="MN5" s="21">
        <v>0</v>
      </c>
      <c r="MO5" s="21">
        <v>0</v>
      </c>
      <c r="MP5" s="21">
        <v>0</v>
      </c>
      <c r="MQ5" s="21">
        <v>0</v>
      </c>
      <c r="MR5" s="21">
        <v>0</v>
      </c>
      <c r="MS5" s="21">
        <v>0</v>
      </c>
      <c r="MT5" s="21">
        <v>0</v>
      </c>
      <c r="MU5" s="21">
        <v>0</v>
      </c>
      <c r="MV5" s="21">
        <v>0</v>
      </c>
      <c r="MW5" s="21">
        <v>0</v>
      </c>
      <c r="MX5" s="21">
        <v>0</v>
      </c>
      <c r="MY5" s="21">
        <v>0</v>
      </c>
      <c r="MZ5" s="21">
        <v>0</v>
      </c>
    </row>
    <row r="6" spans="1:364" x14ac:dyDescent="0.25">
      <c r="A6" s="7">
        <f>+'Valo FX'!A7</f>
        <v>4</v>
      </c>
      <c r="B6" s="16" t="str">
        <f>+Base!B4</f>
        <v>202401310030A033</v>
      </c>
      <c r="C6" s="75">
        <v>6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10.975193000000001</v>
      </c>
      <c r="K6" s="21">
        <v>10.975193000000001</v>
      </c>
      <c r="L6" s="21">
        <v>10.975193000000001</v>
      </c>
      <c r="M6" s="21">
        <v>10.975193000000001</v>
      </c>
      <c r="N6" s="21">
        <v>10.975193000000001</v>
      </c>
      <c r="O6" s="21">
        <v>10.975193000000001</v>
      </c>
      <c r="P6" s="21">
        <v>10.975193000000001</v>
      </c>
      <c r="Q6" s="21">
        <v>10.975193000000001</v>
      </c>
      <c r="R6" s="21">
        <v>10.975193000000001</v>
      </c>
      <c r="S6" s="21">
        <v>10.975193000000001</v>
      </c>
      <c r="T6" s="21">
        <v>10.975193000000001</v>
      </c>
      <c r="U6" s="21">
        <v>10.975193000000001</v>
      </c>
      <c r="V6" s="21">
        <v>10.975193000000001</v>
      </c>
      <c r="W6" s="21">
        <v>10.975193000000001</v>
      </c>
      <c r="X6" s="21">
        <v>10.975193000000001</v>
      </c>
      <c r="Y6" s="21">
        <v>10.975193000000001</v>
      </c>
      <c r="Z6" s="21">
        <v>10.975193000000001</v>
      </c>
      <c r="AA6" s="21">
        <v>10.975193000000001</v>
      </c>
      <c r="AB6" s="21">
        <v>10.975193000000001</v>
      </c>
      <c r="AC6" s="21">
        <v>10.975193000000001</v>
      </c>
      <c r="AD6" s="21">
        <v>10.975193000000001</v>
      </c>
      <c r="AE6" s="21">
        <v>10.975193000000001</v>
      </c>
      <c r="AF6" s="21">
        <v>10.975193000000001</v>
      </c>
      <c r="AG6" s="21">
        <v>10.975193000000001</v>
      </c>
      <c r="AH6" s="21">
        <v>10.975193000000001</v>
      </c>
      <c r="AI6" s="21">
        <v>10.975193000000001</v>
      </c>
      <c r="AJ6" s="21">
        <v>10.975193000000001</v>
      </c>
      <c r="AK6" s="21">
        <v>10.975193000000001</v>
      </c>
      <c r="AL6" s="21">
        <v>10.975193000000001</v>
      </c>
      <c r="AM6" s="21">
        <v>10.975193000000001</v>
      </c>
      <c r="AN6" s="21">
        <v>10.975193000000001</v>
      </c>
      <c r="AO6" s="21">
        <v>10.975193000000001</v>
      </c>
      <c r="AP6" s="21">
        <v>10.975193000000001</v>
      </c>
      <c r="AQ6" s="21">
        <v>10.975193000000001</v>
      </c>
      <c r="AR6" s="21">
        <v>10.975193000000001</v>
      </c>
      <c r="AS6" s="21">
        <v>10.975193000000001</v>
      </c>
      <c r="AT6" s="21">
        <v>10.975193000000001</v>
      </c>
      <c r="AU6" s="21">
        <v>10.975193000000001</v>
      </c>
      <c r="AV6" s="21">
        <v>10.975193000000001</v>
      </c>
      <c r="AW6" s="21">
        <v>10.975193000000001</v>
      </c>
      <c r="AX6" s="21">
        <v>10.975193000000001</v>
      </c>
      <c r="AY6" s="21">
        <v>10.975193000000001</v>
      </c>
      <c r="AZ6" s="21">
        <v>10.975193000000001</v>
      </c>
      <c r="BA6" s="21">
        <v>10.975193000000001</v>
      </c>
      <c r="BB6" s="21">
        <v>10.975193000000001</v>
      </c>
      <c r="BC6" s="21">
        <v>10.975193000000001</v>
      </c>
      <c r="BD6" s="21">
        <v>10.975193000000001</v>
      </c>
      <c r="BE6" s="21">
        <v>10.975193000000001</v>
      </c>
      <c r="BF6" s="21">
        <v>10.975193000000001</v>
      </c>
      <c r="BG6" s="21">
        <v>10.975193000000001</v>
      </c>
      <c r="BH6" s="21">
        <v>10.975193000000001</v>
      </c>
      <c r="BI6" s="21">
        <v>10.975193000000001</v>
      </c>
      <c r="BJ6" s="21">
        <v>10.975193000000001</v>
      </c>
      <c r="BK6" s="21">
        <v>10.975193000000001</v>
      </c>
      <c r="BL6" s="21">
        <v>10.975193000000001</v>
      </c>
      <c r="BM6" s="21">
        <v>10.975193000000001</v>
      </c>
      <c r="BN6" s="21">
        <v>10.975193000000001</v>
      </c>
      <c r="BO6" s="21">
        <v>10.975193000000001</v>
      </c>
      <c r="BP6" s="21">
        <v>10.975193000000001</v>
      </c>
      <c r="BQ6" s="21">
        <v>10.975193000000001</v>
      </c>
      <c r="BR6" s="21">
        <v>10.975193000000001</v>
      </c>
      <c r="BS6" s="21">
        <v>10.975193000000001</v>
      </c>
      <c r="BT6" s="21">
        <v>10.975193000000001</v>
      </c>
      <c r="BU6" s="21">
        <v>10.975193000000001</v>
      </c>
      <c r="BV6" s="21">
        <v>10.975193000000001</v>
      </c>
      <c r="BW6" s="21">
        <v>10.975193000000001</v>
      </c>
      <c r="BX6" s="21">
        <v>10.975193000000001</v>
      </c>
      <c r="BY6" s="21">
        <v>10.975193000000001</v>
      </c>
      <c r="BZ6" s="21">
        <v>10.975193000000001</v>
      </c>
      <c r="CA6" s="21">
        <v>10.975193000000001</v>
      </c>
      <c r="CB6" s="21">
        <v>10.975193000000001</v>
      </c>
      <c r="CC6" s="21">
        <v>10.975193000000001</v>
      </c>
      <c r="CD6" s="21">
        <v>10.975193000000001</v>
      </c>
      <c r="CE6" s="21">
        <v>10.975193000000001</v>
      </c>
      <c r="CF6" s="21">
        <v>10.975193000000001</v>
      </c>
      <c r="CG6" s="21">
        <v>10.975193000000001</v>
      </c>
      <c r="CH6" s="21">
        <v>10.975193000000001</v>
      </c>
      <c r="CI6" s="21">
        <v>10.975193000000001</v>
      </c>
      <c r="CJ6" s="21">
        <v>10.975193000000001</v>
      </c>
      <c r="CK6" s="21">
        <v>10.975193000000001</v>
      </c>
      <c r="CL6" s="21">
        <v>10.975193000000001</v>
      </c>
      <c r="CM6" s="21">
        <v>10.975193000000001</v>
      </c>
      <c r="CN6" s="21">
        <v>10.975193000000001</v>
      </c>
      <c r="CO6" s="21">
        <v>10.975193000000001</v>
      </c>
      <c r="CP6" s="21">
        <v>10.975193000000001</v>
      </c>
      <c r="CQ6" s="21">
        <v>10.975193000000001</v>
      </c>
      <c r="CR6" s="21">
        <v>10.975193000000001</v>
      </c>
      <c r="CS6" s="21">
        <v>10.975193000000001</v>
      </c>
      <c r="CT6" s="21">
        <v>10.975193000000001</v>
      </c>
      <c r="CU6" s="21">
        <v>10.975193000000001</v>
      </c>
      <c r="CV6" s="21">
        <v>10.975193000000001</v>
      </c>
      <c r="CW6" s="21">
        <v>10.975193000000001</v>
      </c>
      <c r="CX6" s="21">
        <v>10.975193000000001</v>
      </c>
      <c r="CY6" s="21">
        <v>10.975193000000001</v>
      </c>
      <c r="CZ6" s="21">
        <v>10.975193000000001</v>
      </c>
      <c r="DA6" s="21">
        <v>10.975193000000001</v>
      </c>
      <c r="DB6" s="21">
        <v>10.975193000000001</v>
      </c>
      <c r="DC6" s="21">
        <v>10.975193000000001</v>
      </c>
      <c r="DD6" s="21">
        <v>10.975193000000001</v>
      </c>
      <c r="DE6" s="21">
        <v>10.975193000000001</v>
      </c>
      <c r="DF6" s="21">
        <v>10.975193000000001</v>
      </c>
      <c r="DG6" s="21">
        <v>10.975193000000001</v>
      </c>
      <c r="DH6" s="21">
        <v>10.975193000000001</v>
      </c>
      <c r="DI6" s="21">
        <v>10.975193000000001</v>
      </c>
      <c r="DJ6" s="21">
        <v>10.975193000000001</v>
      </c>
      <c r="DK6" s="21">
        <v>10.975193000000001</v>
      </c>
      <c r="DL6" s="21">
        <v>10.975193000000001</v>
      </c>
      <c r="DM6" s="21">
        <v>10.975193000000001</v>
      </c>
      <c r="DN6" s="21">
        <v>10.975193000000001</v>
      </c>
      <c r="DO6" s="21">
        <v>10.975193000000001</v>
      </c>
      <c r="DP6" s="21">
        <v>10.975193000000001</v>
      </c>
      <c r="DQ6" s="21">
        <v>10.975193000000001</v>
      </c>
      <c r="DR6" s="21">
        <v>10.975193000000001</v>
      </c>
      <c r="DS6" s="21">
        <v>10.975193000000001</v>
      </c>
      <c r="DT6" s="21">
        <v>10.975193000000001</v>
      </c>
      <c r="DU6" s="21">
        <v>10.975193000000001</v>
      </c>
      <c r="DV6" s="21">
        <v>10.975193000000001</v>
      </c>
      <c r="DW6" s="21">
        <v>10.975193000000001</v>
      </c>
      <c r="DX6" s="21">
        <v>10.975193000000001</v>
      </c>
      <c r="DY6" s="21">
        <v>10.975193000000001</v>
      </c>
      <c r="DZ6" s="21">
        <v>10.975193000000001</v>
      </c>
      <c r="EA6" s="21">
        <v>10.975193000000001</v>
      </c>
      <c r="EB6" s="21">
        <v>10.975193000000001</v>
      </c>
      <c r="EC6" s="21">
        <v>10.975193000000001</v>
      </c>
      <c r="ED6" s="21">
        <v>10.975193000000001</v>
      </c>
      <c r="EE6" s="21">
        <v>10.975193000000001</v>
      </c>
      <c r="EF6" s="21">
        <v>10.975193000000001</v>
      </c>
      <c r="EG6" s="21">
        <v>10.975193000000001</v>
      </c>
      <c r="EH6" s="21">
        <v>10.975193000000001</v>
      </c>
      <c r="EI6" s="21">
        <v>10.975193000000001</v>
      </c>
      <c r="EJ6" s="21">
        <v>10.975193000000001</v>
      </c>
      <c r="EK6" s="21">
        <v>10.975193000000001</v>
      </c>
      <c r="EL6" s="21">
        <v>10.975193000000001</v>
      </c>
      <c r="EM6" s="21">
        <v>10.975193000000001</v>
      </c>
      <c r="EN6" s="21">
        <v>10.975193000000001</v>
      </c>
      <c r="EO6" s="21">
        <v>10.975193000000001</v>
      </c>
      <c r="EP6" s="21">
        <v>10.975193000000001</v>
      </c>
      <c r="EQ6" s="21">
        <v>10.975193000000001</v>
      </c>
      <c r="ER6" s="21">
        <v>10.975193000000001</v>
      </c>
      <c r="ES6" s="21">
        <v>10.975193000000001</v>
      </c>
      <c r="ET6" s="21">
        <v>10.975193000000001</v>
      </c>
      <c r="EU6" s="21">
        <v>10.975193000000001</v>
      </c>
      <c r="EV6" s="21">
        <v>10.975193000000001</v>
      </c>
      <c r="EW6" s="21">
        <v>10.975193000000001</v>
      </c>
      <c r="EX6" s="21">
        <v>10.975193000000001</v>
      </c>
      <c r="EY6" s="21">
        <v>10.975193000000001</v>
      </c>
      <c r="EZ6" s="21">
        <v>10.975193000000001</v>
      </c>
      <c r="FA6" s="21">
        <v>10.975193000000001</v>
      </c>
      <c r="FB6" s="21">
        <v>10.975193000000001</v>
      </c>
      <c r="FC6" s="21">
        <v>10.975193000000001</v>
      </c>
      <c r="FD6" s="21">
        <v>10.975193000000001</v>
      </c>
      <c r="FE6" s="21">
        <v>10.975193000000001</v>
      </c>
      <c r="FF6" s="21">
        <v>10.975193000000001</v>
      </c>
      <c r="FG6" s="21">
        <v>10.975193000000001</v>
      </c>
      <c r="FH6" s="21">
        <v>10.975193000000001</v>
      </c>
      <c r="FI6" s="21">
        <v>10.975193000000001</v>
      </c>
      <c r="FJ6" s="21">
        <v>10.975193000000001</v>
      </c>
      <c r="FK6" s="21">
        <v>10.975193000000001</v>
      </c>
      <c r="FL6" s="21">
        <v>10.975193000000001</v>
      </c>
      <c r="FM6" s="21">
        <v>10.975193000000001</v>
      </c>
      <c r="FN6" s="21">
        <v>10.975193000000001</v>
      </c>
      <c r="FO6" s="21">
        <v>10.975193000000001</v>
      </c>
      <c r="FP6" s="21">
        <v>10.975193000000001</v>
      </c>
      <c r="FQ6" s="21">
        <v>10.975193000000001</v>
      </c>
      <c r="FR6" s="21">
        <v>10.975193000000001</v>
      </c>
      <c r="FS6" s="21">
        <v>10.975193000000001</v>
      </c>
      <c r="FT6" s="21">
        <v>10.975193000000001</v>
      </c>
      <c r="FU6" s="21">
        <v>10.975193000000001</v>
      </c>
      <c r="FV6" s="21">
        <v>10.975193000000001</v>
      </c>
      <c r="FW6" s="21">
        <v>10.975193000000001</v>
      </c>
      <c r="FX6" s="21">
        <v>10.975193000000001</v>
      </c>
      <c r="FY6" s="21">
        <v>10.975193000000001</v>
      </c>
      <c r="FZ6" s="21">
        <v>10.975193000000001</v>
      </c>
      <c r="GA6" s="21">
        <v>10.975193000000001</v>
      </c>
      <c r="GB6" s="21">
        <v>10.975193000000001</v>
      </c>
      <c r="GC6" s="21">
        <v>10.975193000000001</v>
      </c>
      <c r="GD6" s="21">
        <v>10.975193000000001</v>
      </c>
      <c r="GE6" s="21">
        <v>10.975193000000001</v>
      </c>
      <c r="GF6" s="21">
        <v>10.975193000000001</v>
      </c>
      <c r="GG6" s="21">
        <v>10.975193000000001</v>
      </c>
      <c r="GH6" s="21">
        <v>10.975193000000001</v>
      </c>
      <c r="GI6" s="21">
        <v>10.975193000000001</v>
      </c>
      <c r="GJ6" s="21">
        <v>10.975193000000001</v>
      </c>
      <c r="GK6" s="21">
        <v>10.975193000000001</v>
      </c>
      <c r="GL6" s="21">
        <v>10.975193000000001</v>
      </c>
      <c r="GM6" s="21">
        <v>10.975193000000001</v>
      </c>
      <c r="GN6" s="21">
        <v>10.975193000000001</v>
      </c>
      <c r="GO6" s="21">
        <v>10.975193000000001</v>
      </c>
      <c r="GP6" s="21">
        <v>10.975193000000001</v>
      </c>
      <c r="GQ6" s="21">
        <v>10.975193000000001</v>
      </c>
      <c r="GR6" s="21">
        <v>10.975193000000001</v>
      </c>
      <c r="GS6" s="21">
        <v>10.975193000000001</v>
      </c>
      <c r="GT6" s="21">
        <v>10.975193000000001</v>
      </c>
      <c r="GU6" s="21">
        <v>10.975193000000001</v>
      </c>
      <c r="GV6" s="21">
        <v>10.975193000000001</v>
      </c>
      <c r="GW6" s="21">
        <v>10.975193000000001</v>
      </c>
      <c r="GX6" s="21">
        <v>10.975193000000001</v>
      </c>
      <c r="GY6" s="21">
        <v>10.975193000000001</v>
      </c>
      <c r="GZ6" s="21">
        <v>10.975193000000001</v>
      </c>
      <c r="HA6" s="21">
        <v>10.975193000000001</v>
      </c>
      <c r="HB6" s="21">
        <v>10.975193000000001</v>
      </c>
      <c r="HC6" s="21">
        <v>10.975193000000001</v>
      </c>
      <c r="HD6" s="21">
        <v>10.975193000000001</v>
      </c>
      <c r="HE6" s="21">
        <v>10.975193000000001</v>
      </c>
      <c r="HF6" s="21">
        <v>10.975193000000001</v>
      </c>
      <c r="HG6" s="21">
        <v>10.975193000000001</v>
      </c>
      <c r="HH6" s="21">
        <v>10.975193000000001</v>
      </c>
      <c r="HI6" s="21">
        <v>10.975193000000001</v>
      </c>
      <c r="HJ6" s="21">
        <v>10.975193000000001</v>
      </c>
      <c r="HK6" s="21">
        <v>10.975193000000001</v>
      </c>
      <c r="HL6" s="21">
        <v>10.975193000000001</v>
      </c>
      <c r="HM6" s="21">
        <v>10.975193000000001</v>
      </c>
      <c r="HN6" s="21">
        <v>10.975193000000001</v>
      </c>
      <c r="HO6" s="21">
        <v>10.975193000000001</v>
      </c>
      <c r="HP6" s="21">
        <v>10.975193000000001</v>
      </c>
      <c r="HQ6" s="21">
        <v>10.975193000000001</v>
      </c>
      <c r="HR6" s="21">
        <v>10.975193000000001</v>
      </c>
      <c r="HS6" s="21">
        <v>10.975193000000001</v>
      </c>
      <c r="HT6" s="21">
        <v>10.975193000000001</v>
      </c>
      <c r="HU6" s="21">
        <v>10.975193000000001</v>
      </c>
      <c r="HV6" s="21">
        <v>10.975193000000001</v>
      </c>
      <c r="HW6" s="21">
        <v>10.975193000000001</v>
      </c>
      <c r="HX6" s="21">
        <v>10.975193000000001</v>
      </c>
      <c r="HY6" s="21">
        <v>10.975193000000001</v>
      </c>
      <c r="HZ6" s="21">
        <v>10.975193000000001</v>
      </c>
      <c r="IA6" s="21">
        <v>10.975193000000001</v>
      </c>
      <c r="IB6" s="21">
        <v>10.975193000000001</v>
      </c>
      <c r="IC6" s="21">
        <v>10.975193000000001</v>
      </c>
      <c r="ID6" s="21">
        <v>10.975193000000001</v>
      </c>
      <c r="IE6" s="21">
        <v>10.975193000000001</v>
      </c>
      <c r="IF6" s="21">
        <v>10.975193000000001</v>
      </c>
      <c r="IG6" s="21">
        <v>10.975193000000001</v>
      </c>
      <c r="IH6" s="21">
        <v>10.975193000000001</v>
      </c>
      <c r="II6" s="21">
        <v>10.975193000000001</v>
      </c>
      <c r="IJ6" s="21">
        <v>10.975193000000001</v>
      </c>
      <c r="IK6" s="21">
        <v>10.975193000000001</v>
      </c>
      <c r="IL6" s="21">
        <v>10.975193000000001</v>
      </c>
      <c r="IM6" s="21">
        <v>10.975193000000001</v>
      </c>
      <c r="IN6" s="21">
        <v>10.975193000000001</v>
      </c>
      <c r="IO6" s="21">
        <v>10.975193000000001</v>
      </c>
      <c r="IP6" s="21">
        <v>10.975193000000001</v>
      </c>
      <c r="IQ6" s="21">
        <v>10.975193000000001</v>
      </c>
      <c r="IR6" s="21">
        <v>10.975193000000001</v>
      </c>
      <c r="IS6" s="21">
        <v>10.975193000000001</v>
      </c>
      <c r="IT6" s="21">
        <v>10.975193000000001</v>
      </c>
      <c r="IU6" s="21">
        <v>10.975193000000001</v>
      </c>
      <c r="IV6" s="21">
        <v>10.975193000000001</v>
      </c>
      <c r="IW6" s="21">
        <v>10.975193000000001</v>
      </c>
      <c r="IX6" s="21">
        <v>10.975193000000001</v>
      </c>
      <c r="IY6" s="21">
        <v>10.975193000000001</v>
      </c>
      <c r="IZ6" s="21">
        <v>10.975193000000001</v>
      </c>
      <c r="JA6" s="21">
        <v>10.975193000000001</v>
      </c>
      <c r="JB6" s="21">
        <v>10.975193000000001</v>
      </c>
      <c r="JC6" s="21">
        <v>10.975193000000001</v>
      </c>
      <c r="JD6" s="21">
        <v>10.975193000000001</v>
      </c>
      <c r="JE6" s="21">
        <v>10.975193000000001</v>
      </c>
      <c r="JF6" s="21">
        <v>10.975193000000001</v>
      </c>
      <c r="JG6" s="21">
        <v>10.975193000000001</v>
      </c>
      <c r="JH6" s="21">
        <v>10.975193000000001</v>
      </c>
      <c r="JI6" s="21">
        <v>10.975193000000001</v>
      </c>
      <c r="JJ6" s="21">
        <v>10.975193000000001</v>
      </c>
      <c r="JK6" s="21">
        <v>10.975193000000001</v>
      </c>
      <c r="JL6" s="21">
        <v>10.975193000000001</v>
      </c>
      <c r="JM6" s="21">
        <v>10.975193000000001</v>
      </c>
      <c r="JN6" s="21">
        <v>10.975193000000001</v>
      </c>
      <c r="JO6" s="21">
        <v>10.975193000000001</v>
      </c>
      <c r="JP6" s="21">
        <v>10.975193000000001</v>
      </c>
      <c r="JQ6" s="21">
        <v>10.975193000000001</v>
      </c>
      <c r="JR6" s="21">
        <v>10.975193000000001</v>
      </c>
      <c r="JS6" s="21">
        <v>10.975193000000001</v>
      </c>
      <c r="JT6" s="21">
        <v>10.975193000000001</v>
      </c>
      <c r="JU6" s="21">
        <v>10.975193000000001</v>
      </c>
      <c r="JV6" s="21">
        <v>10.975193000000001</v>
      </c>
      <c r="JW6" s="21">
        <v>10.975193000000001</v>
      </c>
      <c r="JX6" s="21">
        <v>10.975193000000001</v>
      </c>
      <c r="JY6" s="21">
        <v>10.975193000000001</v>
      </c>
      <c r="JZ6" s="21">
        <v>10.975193000000001</v>
      </c>
      <c r="KA6" s="21">
        <v>10.975193000000001</v>
      </c>
      <c r="KB6" s="21">
        <v>10.975193000000001</v>
      </c>
      <c r="KC6" s="21">
        <v>10.975193000000001</v>
      </c>
      <c r="KD6" s="21">
        <v>10.975193000000001</v>
      </c>
      <c r="KE6" s="21">
        <v>10.975193000000001</v>
      </c>
      <c r="KF6" s="21">
        <v>10.975193000000001</v>
      </c>
      <c r="KG6" s="21">
        <v>10.975193000000001</v>
      </c>
      <c r="KH6" s="21">
        <v>10.975193000000001</v>
      </c>
      <c r="KI6" s="21">
        <v>10.975193000000001</v>
      </c>
      <c r="KJ6" s="21">
        <v>10.975193000000001</v>
      </c>
      <c r="KK6" s="21">
        <v>10.975193000000001</v>
      </c>
      <c r="KL6" s="21">
        <v>10.975193000000001</v>
      </c>
      <c r="KM6" s="21">
        <v>10.975193000000001</v>
      </c>
      <c r="KN6" s="21">
        <v>10.975193000000001</v>
      </c>
      <c r="KO6" s="21">
        <v>10.975193000000001</v>
      </c>
      <c r="KP6" s="21">
        <v>10.975193000000001</v>
      </c>
      <c r="KQ6" s="21">
        <v>10.975193000000001</v>
      </c>
      <c r="KR6" s="21">
        <v>10.975193000000001</v>
      </c>
      <c r="KS6" s="21">
        <v>10.975193000000001</v>
      </c>
      <c r="KT6" s="21">
        <v>10.975193000000001</v>
      </c>
      <c r="KU6" s="21">
        <v>10.975193000000001</v>
      </c>
      <c r="KV6" s="21">
        <v>10.975193000000001</v>
      </c>
      <c r="KW6" s="21">
        <v>10.975193000000001</v>
      </c>
      <c r="KX6" s="21">
        <v>10.975193000000001</v>
      </c>
      <c r="KY6" s="21">
        <v>10.975193000000001</v>
      </c>
      <c r="KZ6" s="21">
        <v>10.975193000000001</v>
      </c>
      <c r="LA6" s="21">
        <v>10.975193000000001</v>
      </c>
      <c r="LB6" s="21">
        <v>10.975193000000001</v>
      </c>
      <c r="LC6" s="21">
        <v>10.975193000000001</v>
      </c>
      <c r="LD6" s="21">
        <v>10.975193000000001</v>
      </c>
      <c r="LE6" s="21">
        <v>10.975193000000001</v>
      </c>
      <c r="LF6" s="21">
        <v>10.975193000000001</v>
      </c>
      <c r="LG6" s="21">
        <v>10.975193000000001</v>
      </c>
      <c r="LH6" s="21">
        <v>10.975193000000001</v>
      </c>
      <c r="LI6" s="21">
        <v>10.975193000000001</v>
      </c>
      <c r="LJ6" s="21">
        <v>10.975193000000001</v>
      </c>
      <c r="LK6" s="21">
        <v>10.975193000000001</v>
      </c>
      <c r="LL6" s="21">
        <v>10.975193000000001</v>
      </c>
      <c r="LM6" s="21">
        <v>10.975193000000001</v>
      </c>
      <c r="LN6" s="21">
        <v>10.975193000000001</v>
      </c>
      <c r="LO6" s="21">
        <v>10.975193000000001</v>
      </c>
      <c r="LP6" s="21">
        <v>10.975193000000001</v>
      </c>
      <c r="LQ6" s="21">
        <v>10.975193000000001</v>
      </c>
      <c r="LR6" s="21">
        <v>10.975193000000001</v>
      </c>
      <c r="LS6" s="21">
        <v>10.975193000000001</v>
      </c>
      <c r="LT6" s="21">
        <v>10.975193000000001</v>
      </c>
      <c r="LU6" s="21">
        <v>10.975193000000001</v>
      </c>
      <c r="LV6" s="21">
        <v>10.975193000000001</v>
      </c>
      <c r="LW6" s="21">
        <v>10.975193000000001</v>
      </c>
      <c r="LX6" s="21">
        <v>10.975193000000001</v>
      </c>
      <c r="LY6" s="21">
        <v>10.975193000000001</v>
      </c>
      <c r="LZ6" s="21">
        <v>10.975193000000001</v>
      </c>
      <c r="MA6" s="21">
        <v>10.975193000000001</v>
      </c>
      <c r="MB6" s="21">
        <v>10.975193000000001</v>
      </c>
      <c r="MC6" s="21">
        <v>10.975193000000001</v>
      </c>
      <c r="MD6" s="21">
        <v>10.975193000000001</v>
      </c>
      <c r="ME6" s="21">
        <v>10.975193000000001</v>
      </c>
      <c r="MF6" s="21">
        <v>10.975193000000001</v>
      </c>
      <c r="MG6" s="21">
        <v>10.975193000000001</v>
      </c>
      <c r="MH6" s="21">
        <v>10.975193000000001</v>
      </c>
      <c r="MI6" s="21">
        <v>10.975193000000001</v>
      </c>
      <c r="MJ6" s="21">
        <v>10.975193000000001</v>
      </c>
      <c r="MK6" s="21">
        <v>10.975193000000001</v>
      </c>
      <c r="ML6" s="21">
        <v>10.975193000000001</v>
      </c>
      <c r="MM6" s="21">
        <v>10.975193000000001</v>
      </c>
      <c r="MN6" s="21">
        <v>10.975193000000001</v>
      </c>
      <c r="MO6" s="21">
        <v>10.975193000000001</v>
      </c>
      <c r="MP6" s="21">
        <v>10.975193000000001</v>
      </c>
      <c r="MQ6" s="21">
        <v>10.975193000000001</v>
      </c>
      <c r="MR6" s="21">
        <v>10.975193000000001</v>
      </c>
      <c r="MS6" s="21">
        <v>10.975193000000001</v>
      </c>
      <c r="MT6" s="21">
        <v>10.975193000000001</v>
      </c>
      <c r="MU6" s="21">
        <v>10.975193000000001</v>
      </c>
      <c r="MV6" s="21">
        <v>10.975193000000001</v>
      </c>
      <c r="MW6" s="21">
        <v>10.975193000000001</v>
      </c>
      <c r="MX6" s="21">
        <v>10.975193000000001</v>
      </c>
      <c r="MY6" s="21">
        <v>10.975193000000001</v>
      </c>
      <c r="MZ6" s="21">
        <v>11.871466</v>
      </c>
    </row>
    <row r="7" spans="1:364" x14ac:dyDescent="0.25">
      <c r="A7" s="7">
        <f>+'Valo FX'!A8</f>
        <v>5</v>
      </c>
      <c r="B7" s="16" t="str">
        <f>+Base!B5</f>
        <v>202401310034A033</v>
      </c>
      <c r="C7" s="75">
        <v>6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9.3625100000000003</v>
      </c>
      <c r="K7" s="21">
        <v>9.3625100000000003</v>
      </c>
      <c r="L7" s="21">
        <v>9.3625100000000003</v>
      </c>
      <c r="M7" s="21">
        <v>9.3625100000000003</v>
      </c>
      <c r="N7" s="21">
        <v>9.3625100000000003</v>
      </c>
      <c r="O7" s="21">
        <v>9.3625100000000003</v>
      </c>
      <c r="P7" s="21">
        <v>9.3625100000000003</v>
      </c>
      <c r="Q7" s="21">
        <v>9.3625100000000003</v>
      </c>
      <c r="R7" s="21">
        <v>9.3625100000000003</v>
      </c>
      <c r="S7" s="21">
        <v>9.3625100000000003</v>
      </c>
      <c r="T7" s="21">
        <v>9.3625100000000003</v>
      </c>
      <c r="U7" s="21">
        <v>9.3625100000000003</v>
      </c>
      <c r="V7" s="21">
        <v>9.3625100000000003</v>
      </c>
      <c r="W7" s="21">
        <v>9.3625100000000003</v>
      </c>
      <c r="X7" s="21">
        <v>9.3625100000000003</v>
      </c>
      <c r="Y7" s="21">
        <v>9.3625100000000003</v>
      </c>
      <c r="Z7" s="21">
        <v>9.3625100000000003</v>
      </c>
      <c r="AA7" s="21">
        <v>9.3625100000000003</v>
      </c>
      <c r="AB7" s="21">
        <v>9.3625100000000003</v>
      </c>
      <c r="AC7" s="21">
        <v>9.3625100000000003</v>
      </c>
      <c r="AD7" s="21">
        <v>9.3625100000000003</v>
      </c>
      <c r="AE7" s="21">
        <v>9.3625100000000003</v>
      </c>
      <c r="AF7" s="21">
        <v>9.3625100000000003</v>
      </c>
      <c r="AG7" s="21">
        <v>9.3625100000000003</v>
      </c>
      <c r="AH7" s="21">
        <v>9.3625100000000003</v>
      </c>
      <c r="AI7" s="21">
        <v>9.3625100000000003</v>
      </c>
      <c r="AJ7" s="21">
        <v>9.3625100000000003</v>
      </c>
      <c r="AK7" s="21">
        <v>9.3625100000000003</v>
      </c>
      <c r="AL7" s="21">
        <v>9.3625100000000003</v>
      </c>
      <c r="AM7" s="21">
        <v>9.3625100000000003</v>
      </c>
      <c r="AN7" s="21">
        <v>9.3625100000000003</v>
      </c>
      <c r="AO7" s="21">
        <v>9.3625100000000003</v>
      </c>
      <c r="AP7" s="21">
        <v>9.3625100000000003</v>
      </c>
      <c r="AQ7" s="21">
        <v>9.3625100000000003</v>
      </c>
      <c r="AR7" s="21">
        <v>9.3625100000000003</v>
      </c>
      <c r="AS7" s="21">
        <v>9.3625100000000003</v>
      </c>
      <c r="AT7" s="21">
        <v>9.3625100000000003</v>
      </c>
      <c r="AU7" s="21">
        <v>9.3625100000000003</v>
      </c>
      <c r="AV7" s="21">
        <v>9.3625100000000003</v>
      </c>
      <c r="AW7" s="21">
        <v>9.3625100000000003</v>
      </c>
      <c r="AX7" s="21">
        <v>9.3625100000000003</v>
      </c>
      <c r="AY7" s="21">
        <v>9.3625100000000003</v>
      </c>
      <c r="AZ7" s="21">
        <v>9.3625100000000003</v>
      </c>
      <c r="BA7" s="21">
        <v>9.3625100000000003</v>
      </c>
      <c r="BB7" s="21">
        <v>9.3625100000000003</v>
      </c>
      <c r="BC7" s="21">
        <v>9.3625100000000003</v>
      </c>
      <c r="BD7" s="21">
        <v>9.3625100000000003</v>
      </c>
      <c r="BE7" s="21">
        <v>9.3625100000000003</v>
      </c>
      <c r="BF7" s="21">
        <v>9.3625100000000003</v>
      </c>
      <c r="BG7" s="21">
        <v>9.3625100000000003</v>
      </c>
      <c r="BH7" s="21">
        <v>9.3625100000000003</v>
      </c>
      <c r="BI7" s="21">
        <v>9.3625100000000003</v>
      </c>
      <c r="BJ7" s="21">
        <v>9.3625100000000003</v>
      </c>
      <c r="BK7" s="21">
        <v>9.3625100000000003</v>
      </c>
      <c r="BL7" s="21">
        <v>9.3625100000000003</v>
      </c>
      <c r="BM7" s="21">
        <v>9.3625100000000003</v>
      </c>
      <c r="BN7" s="21">
        <v>9.3625100000000003</v>
      </c>
      <c r="BO7" s="21">
        <v>9.3625100000000003</v>
      </c>
      <c r="BP7" s="21">
        <v>9.3625100000000003</v>
      </c>
      <c r="BQ7" s="21">
        <v>9.3625100000000003</v>
      </c>
      <c r="BR7" s="21">
        <v>9.3625100000000003</v>
      </c>
      <c r="BS7" s="21">
        <v>9.3625100000000003</v>
      </c>
      <c r="BT7" s="21">
        <v>9.3625100000000003</v>
      </c>
      <c r="BU7" s="21">
        <v>9.3625100000000003</v>
      </c>
      <c r="BV7" s="21">
        <v>9.3625100000000003</v>
      </c>
      <c r="BW7" s="21">
        <v>9.3625100000000003</v>
      </c>
      <c r="BX7" s="21">
        <v>9.3625100000000003</v>
      </c>
      <c r="BY7" s="21">
        <v>9.3625100000000003</v>
      </c>
      <c r="BZ7" s="21">
        <v>9.3625100000000003</v>
      </c>
      <c r="CA7" s="21">
        <v>9.3625100000000003</v>
      </c>
      <c r="CB7" s="21">
        <v>9.3625100000000003</v>
      </c>
      <c r="CC7" s="21">
        <v>9.3625100000000003</v>
      </c>
      <c r="CD7" s="21">
        <v>9.3625100000000003</v>
      </c>
      <c r="CE7" s="21">
        <v>9.3625100000000003</v>
      </c>
      <c r="CF7" s="21">
        <v>9.3625100000000003</v>
      </c>
      <c r="CG7" s="21">
        <v>9.3625100000000003</v>
      </c>
      <c r="CH7" s="21">
        <v>9.3625100000000003</v>
      </c>
      <c r="CI7" s="21">
        <v>9.3625100000000003</v>
      </c>
      <c r="CJ7" s="21">
        <v>9.3625100000000003</v>
      </c>
      <c r="CK7" s="21">
        <v>9.3625100000000003</v>
      </c>
      <c r="CL7" s="21">
        <v>9.3625100000000003</v>
      </c>
      <c r="CM7" s="21">
        <v>9.3625100000000003</v>
      </c>
      <c r="CN7" s="21">
        <v>9.3625100000000003</v>
      </c>
      <c r="CO7" s="21">
        <v>9.3625100000000003</v>
      </c>
      <c r="CP7" s="21">
        <v>9.3625100000000003</v>
      </c>
      <c r="CQ7" s="21">
        <v>9.3625100000000003</v>
      </c>
      <c r="CR7" s="21">
        <v>9.3625100000000003</v>
      </c>
      <c r="CS7" s="21">
        <v>9.3625100000000003</v>
      </c>
      <c r="CT7" s="21">
        <v>9.3625100000000003</v>
      </c>
      <c r="CU7" s="21">
        <v>9.3625100000000003</v>
      </c>
      <c r="CV7" s="21">
        <v>9.3625100000000003</v>
      </c>
      <c r="CW7" s="21">
        <v>9.3625100000000003</v>
      </c>
      <c r="CX7" s="21">
        <v>9.3625100000000003</v>
      </c>
      <c r="CY7" s="21">
        <v>9.3625100000000003</v>
      </c>
      <c r="CZ7" s="21">
        <v>9.3625100000000003</v>
      </c>
      <c r="DA7" s="21">
        <v>9.3625100000000003</v>
      </c>
      <c r="DB7" s="21">
        <v>9.3625100000000003</v>
      </c>
      <c r="DC7" s="21">
        <v>9.3625100000000003</v>
      </c>
      <c r="DD7" s="21">
        <v>9.3625100000000003</v>
      </c>
      <c r="DE7" s="21">
        <v>9.3625100000000003</v>
      </c>
      <c r="DF7" s="21">
        <v>9.3625100000000003</v>
      </c>
      <c r="DG7" s="21">
        <v>9.3625100000000003</v>
      </c>
      <c r="DH7" s="21">
        <v>9.3625100000000003</v>
      </c>
      <c r="DI7" s="21">
        <v>9.3625100000000003</v>
      </c>
      <c r="DJ7" s="21">
        <v>9.3625100000000003</v>
      </c>
      <c r="DK7" s="21">
        <v>9.3625100000000003</v>
      </c>
      <c r="DL7" s="21">
        <v>9.3625100000000003</v>
      </c>
      <c r="DM7" s="21">
        <v>9.3625100000000003</v>
      </c>
      <c r="DN7" s="21">
        <v>9.3625100000000003</v>
      </c>
      <c r="DO7" s="21">
        <v>9.3625100000000003</v>
      </c>
      <c r="DP7" s="21">
        <v>9.3625100000000003</v>
      </c>
      <c r="DQ7" s="21">
        <v>9.3625100000000003</v>
      </c>
      <c r="DR7" s="21">
        <v>9.3625100000000003</v>
      </c>
      <c r="DS7" s="21">
        <v>9.3625100000000003</v>
      </c>
      <c r="DT7" s="21">
        <v>9.3625100000000003</v>
      </c>
      <c r="DU7" s="21">
        <v>9.3625100000000003</v>
      </c>
      <c r="DV7" s="21">
        <v>9.3625100000000003</v>
      </c>
      <c r="DW7" s="21">
        <v>9.3625100000000003</v>
      </c>
      <c r="DX7" s="21">
        <v>9.3625100000000003</v>
      </c>
      <c r="DY7" s="21">
        <v>9.3625100000000003</v>
      </c>
      <c r="DZ7" s="21">
        <v>9.3625100000000003</v>
      </c>
      <c r="EA7" s="21">
        <v>9.3625100000000003</v>
      </c>
      <c r="EB7" s="21">
        <v>9.3625100000000003</v>
      </c>
      <c r="EC7" s="21">
        <v>9.3625100000000003</v>
      </c>
      <c r="ED7" s="21">
        <v>9.3625100000000003</v>
      </c>
      <c r="EE7" s="21">
        <v>9.3625100000000003</v>
      </c>
      <c r="EF7" s="21">
        <v>9.3625100000000003</v>
      </c>
      <c r="EG7" s="21">
        <v>9.3625100000000003</v>
      </c>
      <c r="EH7" s="21">
        <v>9.3625100000000003</v>
      </c>
      <c r="EI7" s="21">
        <v>9.3625100000000003</v>
      </c>
      <c r="EJ7" s="21">
        <v>9.3625100000000003</v>
      </c>
      <c r="EK7" s="21">
        <v>9.3625100000000003</v>
      </c>
      <c r="EL7" s="21">
        <v>9.3625100000000003</v>
      </c>
      <c r="EM7" s="21">
        <v>9.3625100000000003</v>
      </c>
      <c r="EN7" s="21">
        <v>9.3625100000000003</v>
      </c>
      <c r="EO7" s="21">
        <v>9.3625100000000003</v>
      </c>
      <c r="EP7" s="21">
        <v>9.3625100000000003</v>
      </c>
      <c r="EQ7" s="21">
        <v>9.3625100000000003</v>
      </c>
      <c r="ER7" s="21">
        <v>9.3625100000000003</v>
      </c>
      <c r="ES7" s="21">
        <v>9.3625100000000003</v>
      </c>
      <c r="ET7" s="21">
        <v>9.3625100000000003</v>
      </c>
      <c r="EU7" s="21">
        <v>9.3625100000000003</v>
      </c>
      <c r="EV7" s="21">
        <v>9.3625100000000003</v>
      </c>
      <c r="EW7" s="21">
        <v>9.3625100000000003</v>
      </c>
      <c r="EX7" s="21">
        <v>9.3625100000000003</v>
      </c>
      <c r="EY7" s="21">
        <v>9.3625100000000003</v>
      </c>
      <c r="EZ7" s="21">
        <v>9.3625100000000003</v>
      </c>
      <c r="FA7" s="21">
        <v>9.3625100000000003</v>
      </c>
      <c r="FB7" s="21">
        <v>9.3625100000000003</v>
      </c>
      <c r="FC7" s="21">
        <v>9.3625100000000003</v>
      </c>
      <c r="FD7" s="21">
        <v>9.3625100000000003</v>
      </c>
      <c r="FE7" s="21">
        <v>9.3625100000000003</v>
      </c>
      <c r="FF7" s="21">
        <v>9.3625100000000003</v>
      </c>
      <c r="FG7" s="21">
        <v>9.3625100000000003</v>
      </c>
      <c r="FH7" s="21">
        <v>9.3625100000000003</v>
      </c>
      <c r="FI7" s="21">
        <v>9.3625100000000003</v>
      </c>
      <c r="FJ7" s="21">
        <v>9.3625100000000003</v>
      </c>
      <c r="FK7" s="21">
        <v>9.3625100000000003</v>
      </c>
      <c r="FL7" s="21">
        <v>9.3625100000000003</v>
      </c>
      <c r="FM7" s="21">
        <v>9.3625100000000003</v>
      </c>
      <c r="FN7" s="21">
        <v>9.3625100000000003</v>
      </c>
      <c r="FO7" s="21">
        <v>9.3625100000000003</v>
      </c>
      <c r="FP7" s="21">
        <v>9.3625100000000003</v>
      </c>
      <c r="FQ7" s="21">
        <v>9.3625100000000003</v>
      </c>
      <c r="FR7" s="21">
        <v>9.3625100000000003</v>
      </c>
      <c r="FS7" s="21">
        <v>9.3625100000000003</v>
      </c>
      <c r="FT7" s="21">
        <v>9.3625100000000003</v>
      </c>
      <c r="FU7" s="21">
        <v>9.3625100000000003</v>
      </c>
      <c r="FV7" s="21">
        <v>9.3625100000000003</v>
      </c>
      <c r="FW7" s="21">
        <v>9.3625100000000003</v>
      </c>
      <c r="FX7" s="21">
        <v>9.3625100000000003</v>
      </c>
      <c r="FY7" s="21">
        <v>9.3625100000000003</v>
      </c>
      <c r="FZ7" s="21">
        <v>9.3625100000000003</v>
      </c>
      <c r="GA7" s="21">
        <v>9.3625100000000003</v>
      </c>
      <c r="GB7" s="21">
        <v>9.3625100000000003</v>
      </c>
      <c r="GC7" s="21">
        <v>9.3625100000000003</v>
      </c>
      <c r="GD7" s="21">
        <v>9.3625100000000003</v>
      </c>
      <c r="GE7" s="21">
        <v>9.3625100000000003</v>
      </c>
      <c r="GF7" s="21">
        <v>9.3625100000000003</v>
      </c>
      <c r="GG7" s="21">
        <v>9.3625100000000003</v>
      </c>
      <c r="GH7" s="21">
        <v>9.3625100000000003</v>
      </c>
      <c r="GI7" s="21">
        <v>9.3625100000000003</v>
      </c>
      <c r="GJ7" s="21">
        <v>9.3625100000000003</v>
      </c>
      <c r="GK7" s="21">
        <v>9.3625100000000003</v>
      </c>
      <c r="GL7" s="21">
        <v>9.3625100000000003</v>
      </c>
      <c r="GM7" s="21">
        <v>9.3625100000000003</v>
      </c>
      <c r="GN7" s="21">
        <v>9.3625100000000003</v>
      </c>
      <c r="GO7" s="21">
        <v>9.3625100000000003</v>
      </c>
      <c r="GP7" s="21">
        <v>9.3625100000000003</v>
      </c>
      <c r="GQ7" s="21">
        <v>9.3625100000000003</v>
      </c>
      <c r="GR7" s="21">
        <v>9.3625100000000003</v>
      </c>
      <c r="GS7" s="21">
        <v>9.3625100000000003</v>
      </c>
      <c r="GT7" s="21">
        <v>9.3625100000000003</v>
      </c>
      <c r="GU7" s="21">
        <v>9.3625100000000003</v>
      </c>
      <c r="GV7" s="21">
        <v>9.3625100000000003</v>
      </c>
      <c r="GW7" s="21">
        <v>9.3625100000000003</v>
      </c>
      <c r="GX7" s="21">
        <v>9.3625100000000003</v>
      </c>
      <c r="GY7" s="21">
        <v>9.3625100000000003</v>
      </c>
      <c r="GZ7" s="21">
        <v>9.3625100000000003</v>
      </c>
      <c r="HA7" s="21">
        <v>9.3625100000000003</v>
      </c>
      <c r="HB7" s="21">
        <v>9.3625100000000003</v>
      </c>
      <c r="HC7" s="21">
        <v>9.3625100000000003</v>
      </c>
      <c r="HD7" s="21">
        <v>9.3625100000000003</v>
      </c>
      <c r="HE7" s="21">
        <v>9.3625100000000003</v>
      </c>
      <c r="HF7" s="21">
        <v>9.3625100000000003</v>
      </c>
      <c r="HG7" s="21">
        <v>9.3625100000000003</v>
      </c>
      <c r="HH7" s="21">
        <v>9.3625100000000003</v>
      </c>
      <c r="HI7" s="21">
        <v>9.3625100000000003</v>
      </c>
      <c r="HJ7" s="21">
        <v>9.3625100000000003</v>
      </c>
      <c r="HK7" s="21">
        <v>9.3625100000000003</v>
      </c>
      <c r="HL7" s="21">
        <v>9.3625100000000003</v>
      </c>
      <c r="HM7" s="21">
        <v>9.3625100000000003</v>
      </c>
      <c r="HN7" s="21">
        <v>9.3625100000000003</v>
      </c>
      <c r="HO7" s="21">
        <v>9.3625100000000003</v>
      </c>
      <c r="HP7" s="21">
        <v>9.3625100000000003</v>
      </c>
      <c r="HQ7" s="21">
        <v>9.3625100000000003</v>
      </c>
      <c r="HR7" s="21">
        <v>9.3625100000000003</v>
      </c>
      <c r="HS7" s="21">
        <v>9.3625100000000003</v>
      </c>
      <c r="HT7" s="21">
        <v>9.3625100000000003</v>
      </c>
      <c r="HU7" s="21">
        <v>9.3625100000000003</v>
      </c>
      <c r="HV7" s="21">
        <v>9.3625100000000003</v>
      </c>
      <c r="HW7" s="21">
        <v>9.3625100000000003</v>
      </c>
      <c r="HX7" s="21">
        <v>9.3625100000000003</v>
      </c>
      <c r="HY7" s="21">
        <v>9.3625100000000003</v>
      </c>
      <c r="HZ7" s="21">
        <v>9.3625100000000003</v>
      </c>
      <c r="IA7" s="21">
        <v>9.3625100000000003</v>
      </c>
      <c r="IB7" s="21">
        <v>9.3625100000000003</v>
      </c>
      <c r="IC7" s="21">
        <v>9.3625100000000003</v>
      </c>
      <c r="ID7" s="21">
        <v>9.3625100000000003</v>
      </c>
      <c r="IE7" s="21">
        <v>9.3625100000000003</v>
      </c>
      <c r="IF7" s="21">
        <v>9.3625100000000003</v>
      </c>
      <c r="IG7" s="21">
        <v>9.3625100000000003</v>
      </c>
      <c r="IH7" s="21">
        <v>9.3625100000000003</v>
      </c>
      <c r="II7" s="21">
        <v>9.3625100000000003</v>
      </c>
      <c r="IJ7" s="21">
        <v>9.3625100000000003</v>
      </c>
      <c r="IK7" s="21">
        <v>9.3625100000000003</v>
      </c>
      <c r="IL7" s="21">
        <v>9.3625100000000003</v>
      </c>
      <c r="IM7" s="21">
        <v>9.3625100000000003</v>
      </c>
      <c r="IN7" s="21">
        <v>9.3625100000000003</v>
      </c>
      <c r="IO7" s="21">
        <v>9.3625100000000003</v>
      </c>
      <c r="IP7" s="21">
        <v>9.3625100000000003</v>
      </c>
      <c r="IQ7" s="21">
        <v>9.3625100000000003</v>
      </c>
      <c r="IR7" s="21">
        <v>9.3625100000000003</v>
      </c>
      <c r="IS7" s="21">
        <v>9.3625100000000003</v>
      </c>
      <c r="IT7" s="21">
        <v>9.3625100000000003</v>
      </c>
      <c r="IU7" s="21">
        <v>9.3625100000000003</v>
      </c>
      <c r="IV7" s="21">
        <v>9.3625100000000003</v>
      </c>
      <c r="IW7" s="21">
        <v>9.3625100000000003</v>
      </c>
      <c r="IX7" s="21">
        <v>9.3625100000000003</v>
      </c>
      <c r="IY7" s="21">
        <v>9.3625100000000003</v>
      </c>
      <c r="IZ7" s="21">
        <v>9.3625100000000003</v>
      </c>
      <c r="JA7" s="21">
        <v>9.3625100000000003</v>
      </c>
      <c r="JB7" s="21">
        <v>9.3625100000000003</v>
      </c>
      <c r="JC7" s="21">
        <v>9.3625100000000003</v>
      </c>
      <c r="JD7" s="21">
        <v>9.3625100000000003</v>
      </c>
      <c r="JE7" s="21">
        <v>9.3625100000000003</v>
      </c>
      <c r="JF7" s="21">
        <v>9.3625100000000003</v>
      </c>
      <c r="JG7" s="21">
        <v>9.3625100000000003</v>
      </c>
      <c r="JH7" s="21">
        <v>9.3625100000000003</v>
      </c>
      <c r="JI7" s="21">
        <v>9.3625100000000003</v>
      </c>
      <c r="JJ7" s="21">
        <v>9.3625100000000003</v>
      </c>
      <c r="JK7" s="21">
        <v>9.3625100000000003</v>
      </c>
      <c r="JL7" s="21">
        <v>9.3625100000000003</v>
      </c>
      <c r="JM7" s="21">
        <v>9.3625100000000003</v>
      </c>
      <c r="JN7" s="21">
        <v>9.3625100000000003</v>
      </c>
      <c r="JO7" s="21">
        <v>9.3625100000000003</v>
      </c>
      <c r="JP7" s="21">
        <v>9.3625100000000003</v>
      </c>
      <c r="JQ7" s="21">
        <v>9.3625100000000003</v>
      </c>
      <c r="JR7" s="21">
        <v>9.3625100000000003</v>
      </c>
      <c r="JS7" s="21">
        <v>9.3625100000000003</v>
      </c>
      <c r="JT7" s="21">
        <v>9.3625100000000003</v>
      </c>
      <c r="JU7" s="21">
        <v>9.3625100000000003</v>
      </c>
      <c r="JV7" s="21">
        <v>9.3625100000000003</v>
      </c>
      <c r="JW7" s="21">
        <v>9.3625100000000003</v>
      </c>
      <c r="JX7" s="21">
        <v>9.3625100000000003</v>
      </c>
      <c r="JY7" s="21">
        <v>9.3625100000000003</v>
      </c>
      <c r="JZ7" s="21">
        <v>9.3625100000000003</v>
      </c>
      <c r="KA7" s="21">
        <v>9.3625100000000003</v>
      </c>
      <c r="KB7" s="21">
        <v>9.3625100000000003</v>
      </c>
      <c r="KC7" s="21">
        <v>9.3625100000000003</v>
      </c>
      <c r="KD7" s="21">
        <v>9.3625100000000003</v>
      </c>
      <c r="KE7" s="21">
        <v>9.3625100000000003</v>
      </c>
      <c r="KF7" s="21">
        <v>9.3625100000000003</v>
      </c>
      <c r="KG7" s="21">
        <v>9.3625100000000003</v>
      </c>
      <c r="KH7" s="21">
        <v>9.3625100000000003</v>
      </c>
      <c r="KI7" s="21">
        <v>9.3625100000000003</v>
      </c>
      <c r="KJ7" s="21">
        <v>9.3625100000000003</v>
      </c>
      <c r="KK7" s="21">
        <v>9.3625100000000003</v>
      </c>
      <c r="KL7" s="21">
        <v>9.3625100000000003</v>
      </c>
      <c r="KM7" s="21">
        <v>9.3625100000000003</v>
      </c>
      <c r="KN7" s="21">
        <v>9.3625100000000003</v>
      </c>
      <c r="KO7" s="21">
        <v>9.3625100000000003</v>
      </c>
      <c r="KP7" s="21">
        <v>9.3625100000000003</v>
      </c>
      <c r="KQ7" s="21">
        <v>9.3625100000000003</v>
      </c>
      <c r="KR7" s="21">
        <v>9.3625100000000003</v>
      </c>
      <c r="KS7" s="21">
        <v>9.3625100000000003</v>
      </c>
      <c r="KT7" s="21">
        <v>9.3625100000000003</v>
      </c>
      <c r="KU7" s="21">
        <v>9.3625100000000003</v>
      </c>
      <c r="KV7" s="21">
        <v>9.3625100000000003</v>
      </c>
      <c r="KW7" s="21">
        <v>9.3625100000000003</v>
      </c>
      <c r="KX7" s="21">
        <v>9.3625100000000003</v>
      </c>
      <c r="KY7" s="21">
        <v>9.3625100000000003</v>
      </c>
      <c r="KZ7" s="21">
        <v>9.3625100000000003</v>
      </c>
      <c r="LA7" s="21">
        <v>9.3625100000000003</v>
      </c>
      <c r="LB7" s="21">
        <v>9.3625100000000003</v>
      </c>
      <c r="LC7" s="21">
        <v>9.3625100000000003</v>
      </c>
      <c r="LD7" s="21">
        <v>9.3625100000000003</v>
      </c>
      <c r="LE7" s="21">
        <v>9.3625100000000003</v>
      </c>
      <c r="LF7" s="21">
        <v>9.3625100000000003</v>
      </c>
      <c r="LG7" s="21">
        <v>9.3625100000000003</v>
      </c>
      <c r="LH7" s="21">
        <v>9.3625100000000003</v>
      </c>
      <c r="LI7" s="21">
        <v>9.3625100000000003</v>
      </c>
      <c r="LJ7" s="21">
        <v>9.3625100000000003</v>
      </c>
      <c r="LK7" s="21">
        <v>9.3625100000000003</v>
      </c>
      <c r="LL7" s="21">
        <v>9.3625100000000003</v>
      </c>
      <c r="LM7" s="21">
        <v>9.3625100000000003</v>
      </c>
      <c r="LN7" s="21">
        <v>9.3625100000000003</v>
      </c>
      <c r="LO7" s="21">
        <v>9.3625100000000003</v>
      </c>
      <c r="LP7" s="21">
        <v>9.3625100000000003</v>
      </c>
      <c r="LQ7" s="21">
        <v>9.3625100000000003</v>
      </c>
      <c r="LR7" s="21">
        <v>9.3625100000000003</v>
      </c>
      <c r="LS7" s="21">
        <v>9.3625100000000003</v>
      </c>
      <c r="LT7" s="21">
        <v>9.3625100000000003</v>
      </c>
      <c r="LU7" s="21">
        <v>9.3625100000000003</v>
      </c>
      <c r="LV7" s="21">
        <v>9.3625100000000003</v>
      </c>
      <c r="LW7" s="21">
        <v>9.3625100000000003</v>
      </c>
      <c r="LX7" s="21">
        <v>9.3625100000000003</v>
      </c>
      <c r="LY7" s="21">
        <v>9.3625100000000003</v>
      </c>
      <c r="LZ7" s="21">
        <v>9.3625100000000003</v>
      </c>
      <c r="MA7" s="21">
        <v>9.3625100000000003</v>
      </c>
      <c r="MB7" s="21">
        <v>9.3625100000000003</v>
      </c>
      <c r="MC7" s="21">
        <v>9.3625100000000003</v>
      </c>
      <c r="MD7" s="21">
        <v>9.3625100000000003</v>
      </c>
      <c r="ME7" s="21">
        <v>9.3625100000000003</v>
      </c>
      <c r="MF7" s="21">
        <v>9.3625100000000003</v>
      </c>
      <c r="MG7" s="21">
        <v>9.3625100000000003</v>
      </c>
      <c r="MH7" s="21">
        <v>9.3625100000000003</v>
      </c>
      <c r="MI7" s="21">
        <v>9.3625100000000003</v>
      </c>
      <c r="MJ7" s="21">
        <v>9.3625100000000003</v>
      </c>
      <c r="MK7" s="21">
        <v>9.3625100000000003</v>
      </c>
      <c r="ML7" s="21">
        <v>9.3625100000000003</v>
      </c>
      <c r="MM7" s="21">
        <v>9.3625100000000003</v>
      </c>
      <c r="MN7" s="21">
        <v>9.3625100000000003</v>
      </c>
      <c r="MO7" s="21">
        <v>9.3625100000000003</v>
      </c>
      <c r="MP7" s="21">
        <v>9.3625100000000003</v>
      </c>
      <c r="MQ7" s="21">
        <v>9.3625100000000003</v>
      </c>
      <c r="MR7" s="21">
        <v>9.3625100000000003</v>
      </c>
      <c r="MS7" s="21">
        <v>9.3625100000000003</v>
      </c>
      <c r="MT7" s="21">
        <v>9.3625100000000003</v>
      </c>
      <c r="MU7" s="21">
        <v>9.3625100000000003</v>
      </c>
      <c r="MV7" s="21">
        <v>9.3625100000000003</v>
      </c>
      <c r="MW7" s="21">
        <v>9.3625100000000003</v>
      </c>
      <c r="MX7" s="21">
        <v>9.3625100000000003</v>
      </c>
      <c r="MY7" s="21">
        <v>9.3625100000000003</v>
      </c>
      <c r="MZ7" s="21">
        <v>10.127084999999999</v>
      </c>
    </row>
    <row r="8" spans="1:364" x14ac:dyDescent="0.25">
      <c r="A8" s="7">
        <f>+'Valo FX'!A9</f>
        <v>6</v>
      </c>
      <c r="B8" s="16" t="str">
        <f>+Base!B6</f>
        <v>202401310036A033</v>
      </c>
      <c r="C8" s="75">
        <v>6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8.8259229999999995</v>
      </c>
      <c r="K8" s="21">
        <v>8.8259229999999995</v>
      </c>
      <c r="L8" s="21">
        <v>8.8259229999999995</v>
      </c>
      <c r="M8" s="21">
        <v>8.8259229999999995</v>
      </c>
      <c r="N8" s="21">
        <v>8.8259229999999995</v>
      </c>
      <c r="O8" s="21">
        <v>8.8259229999999995</v>
      </c>
      <c r="P8" s="21">
        <v>8.8259229999999995</v>
      </c>
      <c r="Q8" s="21">
        <v>8.8259229999999995</v>
      </c>
      <c r="R8" s="21">
        <v>8.8259229999999995</v>
      </c>
      <c r="S8" s="21">
        <v>8.8259229999999995</v>
      </c>
      <c r="T8" s="21">
        <v>8.8259229999999995</v>
      </c>
      <c r="U8" s="21">
        <v>8.8259229999999995</v>
      </c>
      <c r="V8" s="21">
        <v>8.8259229999999995</v>
      </c>
      <c r="W8" s="21">
        <v>8.8259229999999995</v>
      </c>
      <c r="X8" s="21">
        <v>8.8259229999999995</v>
      </c>
      <c r="Y8" s="21">
        <v>8.8259229999999995</v>
      </c>
      <c r="Z8" s="21">
        <v>8.8259229999999995</v>
      </c>
      <c r="AA8" s="21">
        <v>8.8259229999999995</v>
      </c>
      <c r="AB8" s="21">
        <v>8.8259229999999995</v>
      </c>
      <c r="AC8" s="21">
        <v>8.8259229999999995</v>
      </c>
      <c r="AD8" s="21">
        <v>8.8259229999999995</v>
      </c>
      <c r="AE8" s="21">
        <v>8.8259229999999995</v>
      </c>
      <c r="AF8" s="21">
        <v>8.8259229999999995</v>
      </c>
      <c r="AG8" s="21">
        <v>8.8259229999999995</v>
      </c>
      <c r="AH8" s="21">
        <v>8.8259229999999995</v>
      </c>
      <c r="AI8" s="21">
        <v>8.8259229999999995</v>
      </c>
      <c r="AJ8" s="21">
        <v>8.8259229999999995</v>
      </c>
      <c r="AK8" s="21">
        <v>8.8259229999999995</v>
      </c>
      <c r="AL8" s="21">
        <v>8.8259229999999995</v>
      </c>
      <c r="AM8" s="21">
        <v>8.8259229999999995</v>
      </c>
      <c r="AN8" s="21">
        <v>8.8259229999999995</v>
      </c>
      <c r="AO8" s="21">
        <v>8.8259229999999995</v>
      </c>
      <c r="AP8" s="21">
        <v>8.8259229999999995</v>
      </c>
      <c r="AQ8" s="21">
        <v>8.8259229999999995</v>
      </c>
      <c r="AR8" s="21">
        <v>8.8259229999999995</v>
      </c>
      <c r="AS8" s="21">
        <v>8.8259229999999995</v>
      </c>
      <c r="AT8" s="21">
        <v>8.8259229999999995</v>
      </c>
      <c r="AU8" s="21">
        <v>8.8259229999999995</v>
      </c>
      <c r="AV8" s="21">
        <v>8.8259229999999995</v>
      </c>
      <c r="AW8" s="21">
        <v>8.8259229999999995</v>
      </c>
      <c r="AX8" s="21">
        <v>8.8259229999999995</v>
      </c>
      <c r="AY8" s="21">
        <v>8.8259229999999995</v>
      </c>
      <c r="AZ8" s="21">
        <v>8.8259229999999995</v>
      </c>
      <c r="BA8" s="21">
        <v>8.8259229999999995</v>
      </c>
      <c r="BB8" s="21">
        <v>8.8259229999999995</v>
      </c>
      <c r="BC8" s="21">
        <v>8.8259229999999995</v>
      </c>
      <c r="BD8" s="21">
        <v>8.8259229999999995</v>
      </c>
      <c r="BE8" s="21">
        <v>8.8259229999999995</v>
      </c>
      <c r="BF8" s="21">
        <v>8.8259229999999995</v>
      </c>
      <c r="BG8" s="21">
        <v>8.8259229999999995</v>
      </c>
      <c r="BH8" s="21">
        <v>8.8259229999999995</v>
      </c>
      <c r="BI8" s="21">
        <v>8.8259229999999995</v>
      </c>
      <c r="BJ8" s="21">
        <v>8.8259229999999995</v>
      </c>
      <c r="BK8" s="21">
        <v>8.8259229999999995</v>
      </c>
      <c r="BL8" s="21">
        <v>8.8259229999999995</v>
      </c>
      <c r="BM8" s="21">
        <v>8.8259229999999995</v>
      </c>
      <c r="BN8" s="21">
        <v>8.8259229999999995</v>
      </c>
      <c r="BO8" s="21">
        <v>8.8259229999999995</v>
      </c>
      <c r="BP8" s="21">
        <v>8.8259229999999995</v>
      </c>
      <c r="BQ8" s="21">
        <v>8.8259229999999995</v>
      </c>
      <c r="BR8" s="21">
        <v>8.8259229999999995</v>
      </c>
      <c r="BS8" s="21">
        <v>8.8259229999999995</v>
      </c>
      <c r="BT8" s="21">
        <v>8.8259229999999995</v>
      </c>
      <c r="BU8" s="21">
        <v>8.8259229999999995</v>
      </c>
      <c r="BV8" s="21">
        <v>8.8259229999999995</v>
      </c>
      <c r="BW8" s="21">
        <v>8.8259229999999995</v>
      </c>
      <c r="BX8" s="21">
        <v>8.8259229999999995</v>
      </c>
      <c r="BY8" s="21">
        <v>8.8259229999999995</v>
      </c>
      <c r="BZ8" s="21">
        <v>8.8259229999999995</v>
      </c>
      <c r="CA8" s="21">
        <v>8.8259229999999995</v>
      </c>
      <c r="CB8" s="21">
        <v>8.8259229999999995</v>
      </c>
      <c r="CC8" s="21">
        <v>8.8259229999999995</v>
      </c>
      <c r="CD8" s="21">
        <v>8.8259229999999995</v>
      </c>
      <c r="CE8" s="21">
        <v>8.8259229999999995</v>
      </c>
      <c r="CF8" s="21">
        <v>8.8259229999999995</v>
      </c>
      <c r="CG8" s="21">
        <v>8.8259229999999995</v>
      </c>
      <c r="CH8" s="21">
        <v>8.8259229999999995</v>
      </c>
      <c r="CI8" s="21">
        <v>8.8259229999999995</v>
      </c>
      <c r="CJ8" s="21">
        <v>8.8259229999999995</v>
      </c>
      <c r="CK8" s="21">
        <v>8.8259229999999995</v>
      </c>
      <c r="CL8" s="21">
        <v>8.8259229999999995</v>
      </c>
      <c r="CM8" s="21">
        <v>8.8259229999999995</v>
      </c>
      <c r="CN8" s="21">
        <v>8.8259229999999995</v>
      </c>
      <c r="CO8" s="21">
        <v>8.8259229999999995</v>
      </c>
      <c r="CP8" s="21">
        <v>8.8259229999999995</v>
      </c>
      <c r="CQ8" s="21">
        <v>8.8259229999999995</v>
      </c>
      <c r="CR8" s="21">
        <v>8.8259229999999995</v>
      </c>
      <c r="CS8" s="21">
        <v>8.8259229999999995</v>
      </c>
      <c r="CT8" s="21">
        <v>8.8259229999999995</v>
      </c>
      <c r="CU8" s="21">
        <v>8.8259229999999995</v>
      </c>
      <c r="CV8" s="21">
        <v>8.8259229999999995</v>
      </c>
      <c r="CW8" s="21">
        <v>8.8259229999999995</v>
      </c>
      <c r="CX8" s="21">
        <v>8.8259229999999995</v>
      </c>
      <c r="CY8" s="21">
        <v>8.8259229999999995</v>
      </c>
      <c r="CZ8" s="21">
        <v>8.8259229999999995</v>
      </c>
      <c r="DA8" s="21">
        <v>8.8259229999999995</v>
      </c>
      <c r="DB8" s="21">
        <v>8.8259229999999995</v>
      </c>
      <c r="DC8" s="21">
        <v>8.8259229999999995</v>
      </c>
      <c r="DD8" s="21">
        <v>8.8259229999999995</v>
      </c>
      <c r="DE8" s="21">
        <v>8.8259229999999995</v>
      </c>
      <c r="DF8" s="21">
        <v>8.8259229999999995</v>
      </c>
      <c r="DG8" s="21">
        <v>8.8259229999999995</v>
      </c>
      <c r="DH8" s="21">
        <v>8.8259229999999995</v>
      </c>
      <c r="DI8" s="21">
        <v>8.8259229999999995</v>
      </c>
      <c r="DJ8" s="21">
        <v>8.8259229999999995</v>
      </c>
      <c r="DK8" s="21">
        <v>8.8259229999999995</v>
      </c>
      <c r="DL8" s="21">
        <v>8.8259229999999995</v>
      </c>
      <c r="DM8" s="21">
        <v>8.8259229999999995</v>
      </c>
      <c r="DN8" s="21">
        <v>8.8259229999999995</v>
      </c>
      <c r="DO8" s="21">
        <v>8.8259229999999995</v>
      </c>
      <c r="DP8" s="21">
        <v>8.8259229999999995</v>
      </c>
      <c r="DQ8" s="21">
        <v>8.8259229999999995</v>
      </c>
      <c r="DR8" s="21">
        <v>8.8259229999999995</v>
      </c>
      <c r="DS8" s="21">
        <v>8.8259229999999995</v>
      </c>
      <c r="DT8" s="21">
        <v>8.8259229999999995</v>
      </c>
      <c r="DU8" s="21">
        <v>8.8259229999999995</v>
      </c>
      <c r="DV8" s="21">
        <v>8.8259229999999995</v>
      </c>
      <c r="DW8" s="21">
        <v>8.8259229999999995</v>
      </c>
      <c r="DX8" s="21">
        <v>8.8259229999999995</v>
      </c>
      <c r="DY8" s="21">
        <v>8.8259229999999995</v>
      </c>
      <c r="DZ8" s="21">
        <v>8.8259229999999995</v>
      </c>
      <c r="EA8" s="21">
        <v>8.8259229999999995</v>
      </c>
      <c r="EB8" s="21">
        <v>8.8259229999999995</v>
      </c>
      <c r="EC8" s="21">
        <v>8.8259229999999995</v>
      </c>
      <c r="ED8" s="21">
        <v>8.8259229999999995</v>
      </c>
      <c r="EE8" s="21">
        <v>8.8259229999999995</v>
      </c>
      <c r="EF8" s="21">
        <v>8.8259229999999995</v>
      </c>
      <c r="EG8" s="21">
        <v>8.8259229999999995</v>
      </c>
      <c r="EH8" s="21">
        <v>8.8259229999999995</v>
      </c>
      <c r="EI8" s="21">
        <v>8.8259229999999995</v>
      </c>
      <c r="EJ8" s="21">
        <v>8.8259229999999995</v>
      </c>
      <c r="EK8" s="21">
        <v>8.8259229999999995</v>
      </c>
      <c r="EL8" s="21">
        <v>8.8259229999999995</v>
      </c>
      <c r="EM8" s="21">
        <v>8.8259229999999995</v>
      </c>
      <c r="EN8" s="21">
        <v>8.8259229999999995</v>
      </c>
      <c r="EO8" s="21">
        <v>8.8259229999999995</v>
      </c>
      <c r="EP8" s="21">
        <v>8.8259229999999995</v>
      </c>
      <c r="EQ8" s="21">
        <v>8.8259229999999995</v>
      </c>
      <c r="ER8" s="21">
        <v>8.8259229999999995</v>
      </c>
      <c r="ES8" s="21">
        <v>8.8259229999999995</v>
      </c>
      <c r="ET8" s="21">
        <v>8.8259229999999995</v>
      </c>
      <c r="EU8" s="21">
        <v>8.8259229999999995</v>
      </c>
      <c r="EV8" s="21">
        <v>8.8259229999999995</v>
      </c>
      <c r="EW8" s="21">
        <v>8.8259229999999995</v>
      </c>
      <c r="EX8" s="21">
        <v>8.8259229999999995</v>
      </c>
      <c r="EY8" s="21">
        <v>8.8259229999999995</v>
      </c>
      <c r="EZ8" s="21">
        <v>8.8259229999999995</v>
      </c>
      <c r="FA8" s="21">
        <v>8.8259229999999995</v>
      </c>
      <c r="FB8" s="21">
        <v>8.8259229999999995</v>
      </c>
      <c r="FC8" s="21">
        <v>8.8259229999999995</v>
      </c>
      <c r="FD8" s="21">
        <v>8.8259229999999995</v>
      </c>
      <c r="FE8" s="21">
        <v>8.8259229999999995</v>
      </c>
      <c r="FF8" s="21">
        <v>8.8259229999999995</v>
      </c>
      <c r="FG8" s="21">
        <v>8.8259229999999995</v>
      </c>
      <c r="FH8" s="21">
        <v>8.8259229999999995</v>
      </c>
      <c r="FI8" s="21">
        <v>8.8259229999999995</v>
      </c>
      <c r="FJ8" s="21">
        <v>8.8259229999999995</v>
      </c>
      <c r="FK8" s="21">
        <v>8.8259229999999995</v>
      </c>
      <c r="FL8" s="21">
        <v>8.8259229999999995</v>
      </c>
      <c r="FM8" s="21">
        <v>8.8259229999999995</v>
      </c>
      <c r="FN8" s="21">
        <v>8.8259229999999995</v>
      </c>
      <c r="FO8" s="21">
        <v>8.8259229999999995</v>
      </c>
      <c r="FP8" s="21">
        <v>8.8259229999999995</v>
      </c>
      <c r="FQ8" s="21">
        <v>8.8259229999999995</v>
      </c>
      <c r="FR8" s="21">
        <v>8.8259229999999995</v>
      </c>
      <c r="FS8" s="21">
        <v>8.8259229999999995</v>
      </c>
      <c r="FT8" s="21">
        <v>8.8259229999999995</v>
      </c>
      <c r="FU8" s="21">
        <v>8.8259229999999995</v>
      </c>
      <c r="FV8" s="21">
        <v>8.8259229999999995</v>
      </c>
      <c r="FW8" s="21">
        <v>8.8259229999999995</v>
      </c>
      <c r="FX8" s="21">
        <v>8.8259229999999995</v>
      </c>
      <c r="FY8" s="21">
        <v>8.8259229999999995</v>
      </c>
      <c r="FZ8" s="21">
        <v>8.8259229999999995</v>
      </c>
      <c r="GA8" s="21">
        <v>8.8259229999999995</v>
      </c>
      <c r="GB8" s="21">
        <v>8.7770460000000003</v>
      </c>
      <c r="GC8" s="21">
        <v>0</v>
      </c>
      <c r="GD8" s="21">
        <v>0</v>
      </c>
      <c r="GE8" s="21">
        <v>0</v>
      </c>
      <c r="GF8" s="21">
        <v>0</v>
      </c>
      <c r="GG8" s="21">
        <v>0</v>
      </c>
      <c r="GH8" s="21">
        <v>0</v>
      </c>
      <c r="GI8" s="21">
        <v>0</v>
      </c>
      <c r="GJ8" s="21">
        <v>0</v>
      </c>
      <c r="GK8" s="21">
        <v>0</v>
      </c>
      <c r="GL8" s="21">
        <v>0</v>
      </c>
      <c r="GM8" s="21">
        <v>0</v>
      </c>
      <c r="GN8" s="21">
        <v>0</v>
      </c>
      <c r="GO8" s="21">
        <v>0</v>
      </c>
      <c r="GP8" s="21">
        <v>0</v>
      </c>
      <c r="GQ8" s="21">
        <v>0</v>
      </c>
      <c r="GR8" s="21">
        <v>0</v>
      </c>
      <c r="GS8" s="21">
        <v>0</v>
      </c>
      <c r="GT8" s="21">
        <v>0</v>
      </c>
      <c r="GU8" s="21">
        <v>0</v>
      </c>
      <c r="GV8" s="21">
        <v>0</v>
      </c>
      <c r="GW8" s="21">
        <v>0</v>
      </c>
      <c r="GX8" s="21">
        <v>0</v>
      </c>
      <c r="GY8" s="21">
        <v>0</v>
      </c>
      <c r="GZ8" s="21">
        <v>0</v>
      </c>
      <c r="HA8" s="21">
        <v>0</v>
      </c>
      <c r="HB8" s="21">
        <v>0</v>
      </c>
      <c r="HC8" s="21">
        <v>0</v>
      </c>
      <c r="HD8" s="21">
        <v>0</v>
      </c>
      <c r="HE8" s="21">
        <v>0</v>
      </c>
      <c r="HF8" s="21">
        <v>0</v>
      </c>
      <c r="HG8" s="21">
        <v>0</v>
      </c>
      <c r="HH8" s="21">
        <v>0</v>
      </c>
      <c r="HI8" s="21">
        <v>0</v>
      </c>
      <c r="HJ8" s="21">
        <v>0</v>
      </c>
      <c r="HK8" s="21">
        <v>0</v>
      </c>
      <c r="HL8" s="21">
        <v>0</v>
      </c>
      <c r="HM8" s="21">
        <v>0</v>
      </c>
      <c r="HN8" s="21">
        <v>0</v>
      </c>
      <c r="HO8" s="21">
        <v>0</v>
      </c>
      <c r="HP8" s="21">
        <v>0</v>
      </c>
      <c r="HQ8" s="21">
        <v>0</v>
      </c>
      <c r="HR8" s="21">
        <v>0</v>
      </c>
      <c r="HS8" s="21">
        <v>0</v>
      </c>
      <c r="HT8" s="21">
        <v>0</v>
      </c>
      <c r="HU8" s="21">
        <v>0</v>
      </c>
      <c r="HV8" s="21">
        <v>0</v>
      </c>
      <c r="HW8" s="21">
        <v>0</v>
      </c>
      <c r="HX8" s="21">
        <v>0</v>
      </c>
      <c r="HY8" s="21">
        <v>0</v>
      </c>
      <c r="HZ8" s="21">
        <v>0</v>
      </c>
      <c r="IA8" s="21">
        <v>0</v>
      </c>
      <c r="IB8" s="21">
        <v>0</v>
      </c>
      <c r="IC8" s="21">
        <v>0</v>
      </c>
      <c r="ID8" s="21">
        <v>0</v>
      </c>
      <c r="IE8" s="21">
        <v>0</v>
      </c>
      <c r="IF8" s="21">
        <v>0</v>
      </c>
      <c r="IG8" s="21">
        <v>0</v>
      </c>
      <c r="IH8" s="21">
        <v>0</v>
      </c>
      <c r="II8" s="21">
        <v>0</v>
      </c>
      <c r="IJ8" s="21">
        <v>0</v>
      </c>
      <c r="IK8" s="21">
        <v>0</v>
      </c>
      <c r="IL8" s="21">
        <v>0</v>
      </c>
      <c r="IM8" s="21">
        <v>0</v>
      </c>
      <c r="IN8" s="21">
        <v>0</v>
      </c>
      <c r="IO8" s="21">
        <v>0</v>
      </c>
      <c r="IP8" s="21">
        <v>0</v>
      </c>
      <c r="IQ8" s="21">
        <v>0</v>
      </c>
      <c r="IR8" s="21">
        <v>0</v>
      </c>
      <c r="IS8" s="21">
        <v>0</v>
      </c>
      <c r="IT8" s="21">
        <v>0</v>
      </c>
      <c r="IU8" s="21">
        <v>0</v>
      </c>
      <c r="IV8" s="21">
        <v>0</v>
      </c>
      <c r="IW8" s="21">
        <v>0</v>
      </c>
      <c r="IX8" s="21">
        <v>0</v>
      </c>
      <c r="IY8" s="21">
        <v>0</v>
      </c>
      <c r="IZ8" s="21">
        <v>0</v>
      </c>
      <c r="JA8" s="21">
        <v>0</v>
      </c>
      <c r="JB8" s="21">
        <v>0</v>
      </c>
      <c r="JC8" s="21">
        <v>0</v>
      </c>
      <c r="JD8" s="21">
        <v>0</v>
      </c>
      <c r="JE8" s="21">
        <v>0</v>
      </c>
      <c r="JF8" s="21">
        <v>0</v>
      </c>
      <c r="JG8" s="21">
        <v>0</v>
      </c>
      <c r="JH8" s="21">
        <v>0</v>
      </c>
      <c r="JI8" s="21">
        <v>0</v>
      </c>
      <c r="JJ8" s="21">
        <v>0</v>
      </c>
      <c r="JK8" s="21">
        <v>0</v>
      </c>
      <c r="JL8" s="21">
        <v>0</v>
      </c>
      <c r="JM8" s="21">
        <v>0</v>
      </c>
      <c r="JN8" s="21">
        <v>0</v>
      </c>
      <c r="JO8" s="21">
        <v>0</v>
      </c>
      <c r="JP8" s="21">
        <v>0</v>
      </c>
      <c r="JQ8" s="21">
        <v>0</v>
      </c>
      <c r="JR8" s="21">
        <v>0</v>
      </c>
      <c r="JS8" s="21">
        <v>0</v>
      </c>
      <c r="JT8" s="21">
        <v>0</v>
      </c>
      <c r="JU8" s="21">
        <v>0</v>
      </c>
      <c r="JV8" s="21">
        <v>0</v>
      </c>
      <c r="JW8" s="21">
        <v>0</v>
      </c>
      <c r="JX8" s="21">
        <v>0</v>
      </c>
      <c r="JY8" s="21">
        <v>0</v>
      </c>
      <c r="JZ8" s="21">
        <v>0</v>
      </c>
      <c r="KA8" s="21">
        <v>0</v>
      </c>
      <c r="KB8" s="21">
        <v>0</v>
      </c>
      <c r="KC8" s="21">
        <v>0</v>
      </c>
      <c r="KD8" s="21">
        <v>0</v>
      </c>
      <c r="KE8" s="21">
        <v>0</v>
      </c>
      <c r="KF8" s="21">
        <v>0</v>
      </c>
      <c r="KG8" s="21">
        <v>0</v>
      </c>
      <c r="KH8" s="21">
        <v>0</v>
      </c>
      <c r="KI8" s="21">
        <v>0</v>
      </c>
      <c r="KJ8" s="21">
        <v>0</v>
      </c>
      <c r="KK8" s="21">
        <v>0</v>
      </c>
      <c r="KL8" s="21">
        <v>0</v>
      </c>
      <c r="KM8" s="21">
        <v>0</v>
      </c>
      <c r="KN8" s="21">
        <v>0</v>
      </c>
      <c r="KO8" s="21">
        <v>0</v>
      </c>
      <c r="KP8" s="21">
        <v>0</v>
      </c>
      <c r="KQ8" s="21">
        <v>0</v>
      </c>
      <c r="KR8" s="21">
        <v>0</v>
      </c>
      <c r="KS8" s="21">
        <v>0</v>
      </c>
      <c r="KT8" s="21">
        <v>0</v>
      </c>
      <c r="KU8" s="21">
        <v>0</v>
      </c>
      <c r="KV8" s="21">
        <v>0</v>
      </c>
      <c r="KW8" s="21">
        <v>0</v>
      </c>
      <c r="KX8" s="21">
        <v>0</v>
      </c>
      <c r="KY8" s="21">
        <v>0</v>
      </c>
      <c r="KZ8" s="21">
        <v>0</v>
      </c>
      <c r="LA8" s="21">
        <v>0</v>
      </c>
      <c r="LB8" s="21">
        <v>0</v>
      </c>
      <c r="LC8" s="21">
        <v>0</v>
      </c>
      <c r="LD8" s="21">
        <v>0</v>
      </c>
      <c r="LE8" s="21">
        <v>0</v>
      </c>
      <c r="LF8" s="21">
        <v>0</v>
      </c>
      <c r="LG8" s="21">
        <v>0</v>
      </c>
      <c r="LH8" s="21">
        <v>0</v>
      </c>
      <c r="LI8" s="21">
        <v>0</v>
      </c>
      <c r="LJ8" s="21">
        <v>0</v>
      </c>
      <c r="LK8" s="21">
        <v>0</v>
      </c>
      <c r="LL8" s="21">
        <v>0</v>
      </c>
      <c r="LM8" s="21">
        <v>0</v>
      </c>
      <c r="LN8" s="21">
        <v>0</v>
      </c>
      <c r="LO8" s="21">
        <v>0</v>
      </c>
      <c r="LP8" s="21">
        <v>0</v>
      </c>
      <c r="LQ8" s="21">
        <v>0</v>
      </c>
      <c r="LR8" s="21">
        <v>0</v>
      </c>
      <c r="LS8" s="21">
        <v>0</v>
      </c>
      <c r="LT8" s="21">
        <v>0</v>
      </c>
      <c r="LU8" s="21">
        <v>0</v>
      </c>
      <c r="LV8" s="21">
        <v>0</v>
      </c>
      <c r="LW8" s="21">
        <v>0</v>
      </c>
      <c r="LX8" s="21">
        <v>0</v>
      </c>
      <c r="LY8" s="21">
        <v>0</v>
      </c>
      <c r="LZ8" s="21">
        <v>0</v>
      </c>
      <c r="MA8" s="21">
        <v>0</v>
      </c>
      <c r="MB8" s="21">
        <v>0</v>
      </c>
      <c r="MC8" s="21">
        <v>0</v>
      </c>
      <c r="MD8" s="21">
        <v>0</v>
      </c>
      <c r="ME8" s="21">
        <v>0</v>
      </c>
      <c r="MF8" s="21">
        <v>0</v>
      </c>
      <c r="MG8" s="21">
        <v>0</v>
      </c>
      <c r="MH8" s="21">
        <v>0</v>
      </c>
      <c r="MI8" s="21">
        <v>0</v>
      </c>
      <c r="MJ8" s="21">
        <v>0</v>
      </c>
      <c r="MK8" s="21">
        <v>0</v>
      </c>
      <c r="ML8" s="21">
        <v>0</v>
      </c>
      <c r="MM8" s="21">
        <v>0</v>
      </c>
      <c r="MN8" s="21">
        <v>0</v>
      </c>
      <c r="MO8" s="21">
        <v>0</v>
      </c>
      <c r="MP8" s="21">
        <v>0</v>
      </c>
      <c r="MQ8" s="21">
        <v>0</v>
      </c>
      <c r="MR8" s="21">
        <v>0</v>
      </c>
      <c r="MS8" s="21">
        <v>0</v>
      </c>
      <c r="MT8" s="21">
        <v>0</v>
      </c>
      <c r="MU8" s="21">
        <v>0</v>
      </c>
      <c r="MV8" s="21">
        <v>0</v>
      </c>
      <c r="MW8" s="21">
        <v>0</v>
      </c>
      <c r="MX8" s="21">
        <v>0</v>
      </c>
      <c r="MY8" s="21">
        <v>0</v>
      </c>
      <c r="MZ8" s="21">
        <v>0</v>
      </c>
    </row>
    <row r="9" spans="1:364" x14ac:dyDescent="0.25">
      <c r="A9" s="7">
        <f>+'Valo FX'!A10</f>
        <v>7</v>
      </c>
      <c r="B9" s="16" t="str">
        <f>+Base!B7</f>
        <v>202401250039A033</v>
      </c>
      <c r="C9" s="75">
        <v>6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6.1098939999999997</v>
      </c>
      <c r="K9" s="21">
        <v>6.1098939999999997</v>
      </c>
      <c r="L9" s="21">
        <v>6.1098939999999997</v>
      </c>
      <c r="M9" s="21">
        <v>6.1098939999999997</v>
      </c>
      <c r="N9" s="21">
        <v>6.1098939999999997</v>
      </c>
      <c r="O9" s="21">
        <v>6.1098939999999997</v>
      </c>
      <c r="P9" s="21">
        <v>6.1098939999999997</v>
      </c>
      <c r="Q9" s="21">
        <v>6.1098939999999997</v>
      </c>
      <c r="R9" s="21">
        <v>6.1098939999999997</v>
      </c>
      <c r="S9" s="21">
        <v>6.1098939999999997</v>
      </c>
      <c r="T9" s="21">
        <v>6.1098939999999997</v>
      </c>
      <c r="U9" s="21">
        <v>6.1098939999999997</v>
      </c>
      <c r="V9" s="21">
        <v>6.1098939999999997</v>
      </c>
      <c r="W9" s="21">
        <v>6.1098939999999997</v>
      </c>
      <c r="X9" s="21">
        <v>6.1098939999999997</v>
      </c>
      <c r="Y9" s="21">
        <v>6.1098939999999997</v>
      </c>
      <c r="Z9" s="21">
        <v>6.1098939999999997</v>
      </c>
      <c r="AA9" s="21">
        <v>6.1098939999999997</v>
      </c>
      <c r="AB9" s="21">
        <v>6.1098939999999997</v>
      </c>
      <c r="AC9" s="21">
        <v>6.1098939999999997</v>
      </c>
      <c r="AD9" s="21">
        <v>6.1098939999999997</v>
      </c>
      <c r="AE9" s="21">
        <v>6.1098939999999997</v>
      </c>
      <c r="AF9" s="21">
        <v>6.1098939999999997</v>
      </c>
      <c r="AG9" s="21">
        <v>6.1098939999999997</v>
      </c>
      <c r="AH9" s="21">
        <v>6.1098939999999997</v>
      </c>
      <c r="AI9" s="21">
        <v>6.1098939999999997</v>
      </c>
      <c r="AJ9" s="21">
        <v>6.1098939999999997</v>
      </c>
      <c r="AK9" s="21">
        <v>6.1098939999999997</v>
      </c>
      <c r="AL9" s="21">
        <v>6.1098939999999997</v>
      </c>
      <c r="AM9" s="21">
        <v>6.1098939999999997</v>
      </c>
      <c r="AN9" s="21">
        <v>6.1098939999999997</v>
      </c>
      <c r="AO9" s="21">
        <v>6.1098939999999997</v>
      </c>
      <c r="AP9" s="21">
        <v>6.1098939999999997</v>
      </c>
      <c r="AQ9" s="21">
        <v>6.1098939999999997</v>
      </c>
      <c r="AR9" s="21">
        <v>6.1098939999999997</v>
      </c>
      <c r="AS9" s="21">
        <v>6.1098939999999997</v>
      </c>
      <c r="AT9" s="21">
        <v>6.1098939999999997</v>
      </c>
      <c r="AU9" s="21">
        <v>6.1098939999999997</v>
      </c>
      <c r="AV9" s="21">
        <v>6.1098939999999997</v>
      </c>
      <c r="AW9" s="21">
        <v>6.1098939999999997</v>
      </c>
      <c r="AX9" s="21">
        <v>6.1098939999999997</v>
      </c>
      <c r="AY9" s="21">
        <v>6.1098939999999997</v>
      </c>
      <c r="AZ9" s="21">
        <v>6.1098939999999997</v>
      </c>
      <c r="BA9" s="21">
        <v>6.1098939999999997</v>
      </c>
      <c r="BB9" s="21">
        <v>6.1098939999999997</v>
      </c>
      <c r="BC9" s="21">
        <v>6.1098939999999997</v>
      </c>
      <c r="BD9" s="21">
        <v>6.1098939999999997</v>
      </c>
      <c r="BE9" s="21">
        <v>6.1098939999999997</v>
      </c>
      <c r="BF9" s="21">
        <v>6.1098939999999997</v>
      </c>
      <c r="BG9" s="21">
        <v>6.1098939999999997</v>
      </c>
      <c r="BH9" s="21">
        <v>6.1098939999999997</v>
      </c>
      <c r="BI9" s="21">
        <v>6.1098939999999997</v>
      </c>
      <c r="BJ9" s="21">
        <v>6.1098939999999997</v>
      </c>
      <c r="BK9" s="21">
        <v>6.1098939999999997</v>
      </c>
      <c r="BL9" s="21">
        <v>6.1098939999999997</v>
      </c>
      <c r="BM9" s="21">
        <v>6.1098939999999997</v>
      </c>
      <c r="BN9" s="21">
        <v>6.1098939999999997</v>
      </c>
      <c r="BO9" s="21">
        <v>6.1098939999999997</v>
      </c>
      <c r="BP9" s="21">
        <v>6.1098939999999997</v>
      </c>
      <c r="BQ9" s="21">
        <v>6.1098939999999997</v>
      </c>
      <c r="BR9" s="21">
        <v>6.1098939999999997</v>
      </c>
      <c r="BS9" s="21">
        <v>6.1098939999999997</v>
      </c>
      <c r="BT9" s="21">
        <v>6.1098939999999997</v>
      </c>
      <c r="BU9" s="21">
        <v>6.1098939999999997</v>
      </c>
      <c r="BV9" s="21">
        <v>6.1098939999999997</v>
      </c>
      <c r="BW9" s="21">
        <v>6.1098939999999997</v>
      </c>
      <c r="BX9" s="21">
        <v>6.1098939999999997</v>
      </c>
      <c r="BY9" s="21">
        <v>6.1098939999999997</v>
      </c>
      <c r="BZ9" s="21">
        <v>6.1098939999999997</v>
      </c>
      <c r="CA9" s="21">
        <v>6.1098939999999997</v>
      </c>
      <c r="CB9" s="21">
        <v>6.1098939999999997</v>
      </c>
      <c r="CC9" s="21">
        <v>6.1098939999999997</v>
      </c>
      <c r="CD9" s="21">
        <v>6.1098939999999997</v>
      </c>
      <c r="CE9" s="21">
        <v>6.1098939999999997</v>
      </c>
      <c r="CF9" s="21">
        <v>6.1098939999999997</v>
      </c>
      <c r="CG9" s="21">
        <v>6.1098939999999997</v>
      </c>
      <c r="CH9" s="21">
        <v>6.1098939999999997</v>
      </c>
      <c r="CI9" s="21">
        <v>6.1098939999999997</v>
      </c>
      <c r="CJ9" s="21">
        <v>6.1098939999999997</v>
      </c>
      <c r="CK9" s="21">
        <v>6.1098939999999997</v>
      </c>
      <c r="CL9" s="21">
        <v>6.1098939999999997</v>
      </c>
      <c r="CM9" s="21">
        <v>6.1098939999999997</v>
      </c>
      <c r="CN9" s="21">
        <v>6.1098939999999997</v>
      </c>
      <c r="CO9" s="21">
        <v>6.1098939999999997</v>
      </c>
      <c r="CP9" s="21">
        <v>6.1098939999999997</v>
      </c>
      <c r="CQ9" s="21">
        <v>6.1098939999999997</v>
      </c>
      <c r="CR9" s="21">
        <v>6.1098939999999997</v>
      </c>
      <c r="CS9" s="21">
        <v>6.1098939999999997</v>
      </c>
      <c r="CT9" s="21">
        <v>6.1098939999999997</v>
      </c>
      <c r="CU9" s="21">
        <v>6.1098939999999997</v>
      </c>
      <c r="CV9" s="21">
        <v>6.1098939999999997</v>
      </c>
      <c r="CW9" s="21">
        <v>6.1098939999999997</v>
      </c>
      <c r="CX9" s="21">
        <v>6.1098939999999997</v>
      </c>
      <c r="CY9" s="21">
        <v>6.1098939999999997</v>
      </c>
      <c r="CZ9" s="21">
        <v>6.1098939999999997</v>
      </c>
      <c r="DA9" s="21">
        <v>6.1098939999999997</v>
      </c>
      <c r="DB9" s="21">
        <v>6.1098939999999997</v>
      </c>
      <c r="DC9" s="21">
        <v>6.1098939999999997</v>
      </c>
      <c r="DD9" s="21">
        <v>6.1098939999999997</v>
      </c>
      <c r="DE9" s="21">
        <v>6.1098939999999997</v>
      </c>
      <c r="DF9" s="21">
        <v>6.1098939999999997</v>
      </c>
      <c r="DG9" s="21">
        <v>6.1098939999999997</v>
      </c>
      <c r="DH9" s="21">
        <v>6.1098939999999997</v>
      </c>
      <c r="DI9" s="21">
        <v>6.1098939999999997</v>
      </c>
      <c r="DJ9" s="21">
        <v>6.1098939999999997</v>
      </c>
      <c r="DK9" s="21">
        <v>6.1098939999999997</v>
      </c>
      <c r="DL9" s="21">
        <v>6.1098939999999997</v>
      </c>
      <c r="DM9" s="21">
        <v>6.1098939999999997</v>
      </c>
      <c r="DN9" s="21">
        <v>6.1098939999999997</v>
      </c>
      <c r="DO9" s="21">
        <v>6.1098939999999997</v>
      </c>
      <c r="DP9" s="21">
        <v>6.1098939999999997</v>
      </c>
      <c r="DQ9" s="21">
        <v>6.1098939999999997</v>
      </c>
      <c r="DR9" s="21">
        <v>6.1098939999999997</v>
      </c>
      <c r="DS9" s="21">
        <v>6.1098939999999997</v>
      </c>
      <c r="DT9" s="21">
        <v>6.1098939999999997</v>
      </c>
      <c r="DU9" s="21">
        <v>6.1098939999999997</v>
      </c>
      <c r="DV9" s="21">
        <v>6.1098939999999997</v>
      </c>
      <c r="DW9" s="21">
        <v>6.1098939999999997</v>
      </c>
      <c r="DX9" s="21">
        <v>6.1098939999999997</v>
      </c>
      <c r="DY9" s="21">
        <v>6.1098939999999997</v>
      </c>
      <c r="DZ9" s="21">
        <v>6.1098939999999997</v>
      </c>
      <c r="EA9" s="21">
        <v>6.1098939999999997</v>
      </c>
      <c r="EB9" s="21">
        <v>6.1098939999999997</v>
      </c>
      <c r="EC9" s="21">
        <v>6.1098939999999997</v>
      </c>
      <c r="ED9" s="21">
        <v>6.1098939999999997</v>
      </c>
      <c r="EE9" s="21">
        <v>6.1098939999999997</v>
      </c>
      <c r="EF9" s="21">
        <v>6.1098939999999997</v>
      </c>
      <c r="EG9" s="21">
        <v>6.1098939999999997</v>
      </c>
      <c r="EH9" s="21">
        <v>6.1098939999999997</v>
      </c>
      <c r="EI9" s="21">
        <v>6.1098939999999997</v>
      </c>
      <c r="EJ9" s="21">
        <v>6.1098939999999997</v>
      </c>
      <c r="EK9" s="21">
        <v>6.1098939999999997</v>
      </c>
      <c r="EL9" s="21">
        <v>6.1098939999999997</v>
      </c>
      <c r="EM9" s="21">
        <v>6.1098939999999997</v>
      </c>
      <c r="EN9" s="21">
        <v>6.1098939999999997</v>
      </c>
      <c r="EO9" s="21">
        <v>6.1098939999999997</v>
      </c>
      <c r="EP9" s="21">
        <v>6.1098939999999997</v>
      </c>
      <c r="EQ9" s="21">
        <v>6.1098939999999997</v>
      </c>
      <c r="ER9" s="21">
        <v>6.1098939999999997</v>
      </c>
      <c r="ES9" s="21">
        <v>6.1098939999999997</v>
      </c>
      <c r="ET9" s="21">
        <v>6.1098939999999997</v>
      </c>
      <c r="EU9" s="21">
        <v>6.1098939999999997</v>
      </c>
      <c r="EV9" s="21">
        <v>6.1098939999999997</v>
      </c>
      <c r="EW9" s="21">
        <v>6.1098939999999997</v>
      </c>
      <c r="EX9" s="21">
        <v>6.1098939999999997</v>
      </c>
      <c r="EY9" s="21">
        <v>6.1098939999999997</v>
      </c>
      <c r="EZ9" s="21">
        <v>6.1098939999999997</v>
      </c>
      <c r="FA9" s="21">
        <v>6.1098939999999997</v>
      </c>
      <c r="FB9" s="21">
        <v>6.1098939999999997</v>
      </c>
      <c r="FC9" s="21">
        <v>6.1098939999999997</v>
      </c>
      <c r="FD9" s="21">
        <v>6.1098939999999997</v>
      </c>
      <c r="FE9" s="21">
        <v>6.1098939999999997</v>
      </c>
      <c r="FF9" s="21">
        <v>6.1098939999999997</v>
      </c>
      <c r="FG9" s="21">
        <v>6.1098939999999997</v>
      </c>
      <c r="FH9" s="21">
        <v>6.1098939999999997</v>
      </c>
      <c r="FI9" s="21">
        <v>6.1098939999999997</v>
      </c>
      <c r="FJ9" s="21">
        <v>6.1098939999999997</v>
      </c>
      <c r="FK9" s="21">
        <v>6.1098939999999997</v>
      </c>
      <c r="FL9" s="21">
        <v>6.1098939999999997</v>
      </c>
      <c r="FM9" s="21">
        <v>6.1098939999999997</v>
      </c>
      <c r="FN9" s="21">
        <v>6.1098939999999997</v>
      </c>
      <c r="FO9" s="21">
        <v>6.1098939999999997</v>
      </c>
      <c r="FP9" s="21">
        <v>6.1098939999999997</v>
      </c>
      <c r="FQ9" s="21">
        <v>6.1098939999999997</v>
      </c>
      <c r="FR9" s="21">
        <v>6.1098939999999997</v>
      </c>
      <c r="FS9" s="21">
        <v>6.1098939999999997</v>
      </c>
      <c r="FT9" s="21">
        <v>6.1098939999999997</v>
      </c>
      <c r="FU9" s="21">
        <v>6.1098939999999997</v>
      </c>
      <c r="FV9" s="21">
        <v>6.1098939999999997</v>
      </c>
      <c r="FW9" s="21">
        <v>6.1098939999999997</v>
      </c>
      <c r="FX9" s="21">
        <v>6.1098939999999997</v>
      </c>
      <c r="FY9" s="21">
        <v>6.1098939999999997</v>
      </c>
      <c r="FZ9" s="21">
        <v>6.1098939999999997</v>
      </c>
      <c r="GA9" s="21">
        <v>6.1098939999999997</v>
      </c>
      <c r="GB9" s="21">
        <v>6.1098939999999997</v>
      </c>
      <c r="GC9" s="21">
        <v>6.1098939999999997</v>
      </c>
      <c r="GD9" s="21">
        <v>6.1098939999999997</v>
      </c>
      <c r="GE9" s="21">
        <v>6.1098939999999997</v>
      </c>
      <c r="GF9" s="21">
        <v>6.1098939999999997</v>
      </c>
      <c r="GG9" s="21">
        <v>6.1098939999999997</v>
      </c>
      <c r="GH9" s="21">
        <v>6.1098939999999997</v>
      </c>
      <c r="GI9" s="21">
        <v>6.1098939999999997</v>
      </c>
      <c r="GJ9" s="21">
        <v>6.1098939999999997</v>
      </c>
      <c r="GK9" s="21">
        <v>6.1098939999999997</v>
      </c>
      <c r="GL9" s="21">
        <v>6.1098939999999997</v>
      </c>
      <c r="GM9" s="21">
        <v>6.1098939999999997</v>
      </c>
      <c r="GN9" s="21">
        <v>6.1098939999999997</v>
      </c>
      <c r="GO9" s="21">
        <v>6.1098939999999997</v>
      </c>
      <c r="GP9" s="21">
        <v>6.1098939999999997</v>
      </c>
      <c r="GQ9" s="21">
        <v>6.1098939999999997</v>
      </c>
      <c r="GR9" s="21">
        <v>6.1098939999999997</v>
      </c>
      <c r="GS9" s="21">
        <v>6.1098939999999997</v>
      </c>
      <c r="GT9" s="21">
        <v>6.1098939999999997</v>
      </c>
      <c r="GU9" s="21">
        <v>6.1098939999999997</v>
      </c>
      <c r="GV9" s="21">
        <v>6.1098939999999997</v>
      </c>
      <c r="GW9" s="21">
        <v>6.1098939999999997</v>
      </c>
      <c r="GX9" s="21">
        <v>6.1098939999999997</v>
      </c>
      <c r="GY9" s="21">
        <v>6.1098939999999997</v>
      </c>
      <c r="GZ9" s="21">
        <v>6.1098939999999997</v>
      </c>
      <c r="HA9" s="21">
        <v>6.1098939999999997</v>
      </c>
      <c r="HB9" s="21">
        <v>6.1098939999999997</v>
      </c>
      <c r="HC9" s="21">
        <v>6.1098939999999997</v>
      </c>
      <c r="HD9" s="21">
        <v>6.1098939999999997</v>
      </c>
      <c r="HE9" s="21">
        <v>6.1098939999999997</v>
      </c>
      <c r="HF9" s="21">
        <v>6.1098939999999997</v>
      </c>
      <c r="HG9" s="21">
        <v>6.1098939999999997</v>
      </c>
      <c r="HH9" s="21">
        <v>6.1098939999999997</v>
      </c>
      <c r="HI9" s="21">
        <v>6.1098939999999997</v>
      </c>
      <c r="HJ9" s="21">
        <v>6.1098939999999997</v>
      </c>
      <c r="HK9" s="21">
        <v>6.1098939999999997</v>
      </c>
      <c r="HL9" s="21">
        <v>6.1098939999999997</v>
      </c>
      <c r="HM9" s="21">
        <v>6.1098939999999997</v>
      </c>
      <c r="HN9" s="21">
        <v>6.1098939999999997</v>
      </c>
      <c r="HO9" s="21">
        <v>6.1098939999999997</v>
      </c>
      <c r="HP9" s="21">
        <v>6.1098939999999997</v>
      </c>
      <c r="HQ9" s="21">
        <v>6.1098939999999997</v>
      </c>
      <c r="HR9" s="21">
        <v>6.1098939999999997</v>
      </c>
      <c r="HS9" s="21">
        <v>6.1098939999999997</v>
      </c>
      <c r="HT9" s="21">
        <v>6.1098939999999997</v>
      </c>
      <c r="HU9" s="21">
        <v>6.1098939999999997</v>
      </c>
      <c r="HV9" s="21">
        <v>6.1098939999999997</v>
      </c>
      <c r="HW9" s="21">
        <v>6.1098939999999997</v>
      </c>
      <c r="HX9" s="21">
        <v>6.1098939999999997</v>
      </c>
      <c r="HY9" s="21">
        <v>6.1098939999999997</v>
      </c>
      <c r="HZ9" s="21">
        <v>6.1098939999999997</v>
      </c>
      <c r="IA9" s="21">
        <v>6.1098939999999997</v>
      </c>
      <c r="IB9" s="21">
        <v>6.1098939999999997</v>
      </c>
      <c r="IC9" s="21">
        <v>6.1098939999999997</v>
      </c>
      <c r="ID9" s="21">
        <v>6.1098939999999997</v>
      </c>
      <c r="IE9" s="21">
        <v>6.1098939999999997</v>
      </c>
      <c r="IF9" s="21">
        <v>6.1098939999999997</v>
      </c>
      <c r="IG9" s="21">
        <v>6.1098939999999997</v>
      </c>
      <c r="IH9" s="21">
        <v>6.1098939999999997</v>
      </c>
      <c r="II9" s="21">
        <v>6.1098939999999997</v>
      </c>
      <c r="IJ9" s="21">
        <v>6.1098939999999997</v>
      </c>
      <c r="IK9" s="21">
        <v>6.1098939999999997</v>
      </c>
      <c r="IL9" s="21">
        <v>6.1098939999999997</v>
      </c>
      <c r="IM9" s="21">
        <v>6.1098939999999997</v>
      </c>
      <c r="IN9" s="21">
        <v>6.1098939999999997</v>
      </c>
      <c r="IO9" s="21">
        <v>6.1098939999999997</v>
      </c>
      <c r="IP9" s="21">
        <v>6.1098939999999997</v>
      </c>
      <c r="IQ9" s="21">
        <v>6.1098939999999997</v>
      </c>
      <c r="IR9" s="21">
        <v>6.1098939999999997</v>
      </c>
      <c r="IS9" s="21">
        <v>6.1098939999999997</v>
      </c>
      <c r="IT9" s="21">
        <v>6.1098939999999997</v>
      </c>
      <c r="IU9" s="21">
        <v>6.1098939999999997</v>
      </c>
      <c r="IV9" s="21">
        <v>6.1098939999999997</v>
      </c>
      <c r="IW9" s="21">
        <v>6.1098939999999997</v>
      </c>
      <c r="IX9" s="21">
        <v>6.1098939999999997</v>
      </c>
      <c r="IY9" s="21">
        <v>6.1098939999999997</v>
      </c>
      <c r="IZ9" s="21">
        <v>6.1098939999999997</v>
      </c>
      <c r="JA9" s="21">
        <v>6.1098939999999997</v>
      </c>
      <c r="JB9" s="21">
        <v>6.1098939999999997</v>
      </c>
      <c r="JC9" s="21">
        <v>6.1098939999999997</v>
      </c>
      <c r="JD9" s="21">
        <v>6.1098939999999997</v>
      </c>
      <c r="JE9" s="21">
        <v>6.1098939999999997</v>
      </c>
      <c r="JF9" s="21">
        <v>6.1098939999999997</v>
      </c>
      <c r="JG9" s="21">
        <v>6.1098939999999997</v>
      </c>
      <c r="JH9" s="21">
        <v>6.1098939999999997</v>
      </c>
      <c r="JI9" s="21">
        <v>6.1098939999999997</v>
      </c>
      <c r="JJ9" s="21">
        <v>6.1098939999999997</v>
      </c>
      <c r="JK9" s="21">
        <v>6.1098939999999997</v>
      </c>
      <c r="JL9" s="21">
        <v>6.1098939999999997</v>
      </c>
      <c r="JM9" s="21">
        <v>6.1098939999999997</v>
      </c>
      <c r="JN9" s="21">
        <v>6.1098939999999997</v>
      </c>
      <c r="JO9" s="21">
        <v>6.1098939999999997</v>
      </c>
      <c r="JP9" s="21">
        <v>6.1098939999999997</v>
      </c>
      <c r="JQ9" s="21">
        <v>6.1098939999999997</v>
      </c>
      <c r="JR9" s="21">
        <v>6.1098939999999997</v>
      </c>
      <c r="JS9" s="21">
        <v>6.1098939999999997</v>
      </c>
      <c r="JT9" s="21">
        <v>6.1098939999999997</v>
      </c>
      <c r="JU9" s="21">
        <v>6.1098939999999997</v>
      </c>
      <c r="JV9" s="21">
        <v>6.1098939999999997</v>
      </c>
      <c r="JW9" s="21">
        <v>6.1098939999999997</v>
      </c>
      <c r="JX9" s="21">
        <v>6.1098939999999997</v>
      </c>
      <c r="JY9" s="21">
        <v>6.1098939999999997</v>
      </c>
      <c r="JZ9" s="21">
        <v>6.1098939999999997</v>
      </c>
      <c r="KA9" s="21">
        <v>6.1098939999999997</v>
      </c>
      <c r="KB9" s="21">
        <v>6.1098939999999997</v>
      </c>
      <c r="KC9" s="21">
        <v>6.1098939999999997</v>
      </c>
      <c r="KD9" s="21">
        <v>6.1098939999999997</v>
      </c>
      <c r="KE9" s="21">
        <v>6.1098939999999997</v>
      </c>
      <c r="KF9" s="21">
        <v>6.1098939999999997</v>
      </c>
      <c r="KG9" s="21">
        <v>6.1098939999999997</v>
      </c>
      <c r="KH9" s="21">
        <v>6.1098939999999997</v>
      </c>
      <c r="KI9" s="21">
        <v>6.1098939999999997</v>
      </c>
      <c r="KJ9" s="21">
        <v>6.1098939999999997</v>
      </c>
      <c r="KK9" s="21">
        <v>6.1098939999999997</v>
      </c>
      <c r="KL9" s="21">
        <v>6.1098939999999997</v>
      </c>
      <c r="KM9" s="21">
        <v>6.1098939999999997</v>
      </c>
      <c r="KN9" s="21">
        <v>6.1098939999999997</v>
      </c>
      <c r="KO9" s="21">
        <v>6.1098939999999997</v>
      </c>
      <c r="KP9" s="21">
        <v>6.1098939999999997</v>
      </c>
      <c r="KQ9" s="21">
        <v>6.1098939999999997</v>
      </c>
      <c r="KR9" s="21">
        <v>6.1098939999999997</v>
      </c>
      <c r="KS9" s="21">
        <v>6.1098939999999997</v>
      </c>
      <c r="KT9" s="21">
        <v>6.1098939999999997</v>
      </c>
      <c r="KU9" s="21">
        <v>6.1098939999999997</v>
      </c>
      <c r="KV9" s="21">
        <v>6.1098939999999997</v>
      </c>
      <c r="KW9" s="21">
        <v>6.1098939999999997</v>
      </c>
      <c r="KX9" s="21">
        <v>6.1098939999999997</v>
      </c>
      <c r="KY9" s="21">
        <v>6.1098939999999997</v>
      </c>
      <c r="KZ9" s="21">
        <v>6.1098939999999997</v>
      </c>
      <c r="LA9" s="21">
        <v>6.1098939999999997</v>
      </c>
      <c r="LB9" s="21">
        <v>6.1098939999999997</v>
      </c>
      <c r="LC9" s="21">
        <v>6.1098939999999997</v>
      </c>
      <c r="LD9" s="21">
        <v>6.1098939999999997</v>
      </c>
      <c r="LE9" s="21">
        <v>6.1098939999999997</v>
      </c>
      <c r="LF9" s="21">
        <v>6.1098939999999997</v>
      </c>
      <c r="LG9" s="21">
        <v>6.1098939999999997</v>
      </c>
      <c r="LH9" s="21">
        <v>6.1098939999999997</v>
      </c>
      <c r="LI9" s="21">
        <v>6.1098939999999997</v>
      </c>
      <c r="LJ9" s="21">
        <v>6.1098939999999997</v>
      </c>
      <c r="LK9" s="21">
        <v>6.1098939999999997</v>
      </c>
      <c r="LL9" s="21">
        <v>6.1098939999999997</v>
      </c>
      <c r="LM9" s="21">
        <v>6.1098939999999997</v>
      </c>
      <c r="LN9" s="21">
        <v>6.1098939999999997</v>
      </c>
      <c r="LO9" s="21">
        <v>6.1098939999999997</v>
      </c>
      <c r="LP9" s="21">
        <v>6.1098939999999997</v>
      </c>
      <c r="LQ9" s="21">
        <v>6.1098939999999997</v>
      </c>
      <c r="LR9" s="21">
        <v>6.1098939999999997</v>
      </c>
      <c r="LS9" s="21">
        <v>6.1098939999999997</v>
      </c>
      <c r="LT9" s="21">
        <v>6.1098939999999997</v>
      </c>
      <c r="LU9" s="21">
        <v>6.1098939999999997</v>
      </c>
      <c r="LV9" s="21">
        <v>6.1098939999999997</v>
      </c>
      <c r="LW9" s="21">
        <v>6.1098939999999997</v>
      </c>
      <c r="LX9" s="21">
        <v>6.1098939999999997</v>
      </c>
      <c r="LY9" s="21">
        <v>6.1098939999999997</v>
      </c>
      <c r="LZ9" s="21">
        <v>6.1098939999999997</v>
      </c>
      <c r="MA9" s="21">
        <v>6.1098939999999997</v>
      </c>
      <c r="MB9" s="21">
        <v>6.1098939999999997</v>
      </c>
      <c r="MC9" s="21">
        <v>6.1098939999999997</v>
      </c>
      <c r="MD9" s="21">
        <v>6.1098939999999997</v>
      </c>
      <c r="ME9" s="21">
        <v>6.1098939999999997</v>
      </c>
      <c r="MF9" s="21">
        <v>6.1098939999999997</v>
      </c>
      <c r="MG9" s="21">
        <v>6.1098939999999997</v>
      </c>
      <c r="MH9" s="21">
        <v>6.1098939999999997</v>
      </c>
      <c r="MI9" s="21">
        <v>6.1098939999999997</v>
      </c>
      <c r="MJ9" s="21">
        <v>6.1098939999999997</v>
      </c>
      <c r="MK9" s="21">
        <v>6.1098939999999997</v>
      </c>
      <c r="ML9" s="21">
        <v>6.1098939999999997</v>
      </c>
      <c r="MM9" s="21">
        <v>6.1098939999999997</v>
      </c>
      <c r="MN9" s="21">
        <v>6.1098939999999997</v>
      </c>
      <c r="MO9" s="21">
        <v>6.1098939999999997</v>
      </c>
      <c r="MP9" s="21">
        <v>6.1098939999999997</v>
      </c>
      <c r="MQ9" s="21">
        <v>6.1098939999999997</v>
      </c>
      <c r="MR9" s="21">
        <v>6.1098939999999997</v>
      </c>
      <c r="MS9" s="21">
        <v>6.1098939999999997</v>
      </c>
      <c r="MT9" s="21">
        <v>6.1098939999999997</v>
      </c>
      <c r="MU9" s="21">
        <v>6.1098939999999997</v>
      </c>
      <c r="MV9" s="21">
        <v>6.1098939999999997</v>
      </c>
      <c r="MW9" s="21">
        <v>6.1098939999999997</v>
      </c>
      <c r="MX9" s="21">
        <v>6.1098939999999997</v>
      </c>
      <c r="MY9" s="21">
        <v>6.1098939999999997</v>
      </c>
      <c r="MZ9" s="21">
        <v>6.6088490000000002</v>
      </c>
    </row>
    <row r="10" spans="1:364" x14ac:dyDescent="0.25">
      <c r="A10" s="7">
        <f>+'Valo FX'!A11</f>
        <v>8</v>
      </c>
      <c r="B10" s="16" t="str">
        <f>+Base!B8</f>
        <v>202401310041A033</v>
      </c>
      <c r="C10" s="75">
        <v>6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15.019052</v>
      </c>
      <c r="K10" s="21">
        <v>15.019052</v>
      </c>
      <c r="L10" s="21">
        <v>15.019052</v>
      </c>
      <c r="M10" s="21">
        <v>15.019052</v>
      </c>
      <c r="N10" s="21">
        <v>15.019052</v>
      </c>
      <c r="O10" s="21">
        <v>15.019052</v>
      </c>
      <c r="P10" s="21">
        <v>15.019052</v>
      </c>
      <c r="Q10" s="21">
        <v>15.019052</v>
      </c>
      <c r="R10" s="21">
        <v>15.019052</v>
      </c>
      <c r="S10" s="21">
        <v>15.019052</v>
      </c>
      <c r="T10" s="21">
        <v>15.019052</v>
      </c>
      <c r="U10" s="21">
        <v>15.019052</v>
      </c>
      <c r="V10" s="21">
        <v>15.019052</v>
      </c>
      <c r="W10" s="21">
        <v>15.019052</v>
      </c>
      <c r="X10" s="21">
        <v>15.019052</v>
      </c>
      <c r="Y10" s="21">
        <v>15.019052</v>
      </c>
      <c r="Z10" s="21">
        <v>15.019052</v>
      </c>
      <c r="AA10" s="21">
        <v>15.019052</v>
      </c>
      <c r="AB10" s="21">
        <v>15.019052</v>
      </c>
      <c r="AC10" s="21">
        <v>15.019052</v>
      </c>
      <c r="AD10" s="21">
        <v>15.019052</v>
      </c>
      <c r="AE10" s="21">
        <v>15.019052</v>
      </c>
      <c r="AF10" s="21">
        <v>15.019052</v>
      </c>
      <c r="AG10" s="21">
        <v>15.019052</v>
      </c>
      <c r="AH10" s="21">
        <v>15.019052</v>
      </c>
      <c r="AI10" s="21">
        <v>15.019052</v>
      </c>
      <c r="AJ10" s="21">
        <v>15.019052</v>
      </c>
      <c r="AK10" s="21">
        <v>15.019052</v>
      </c>
      <c r="AL10" s="21">
        <v>15.019052</v>
      </c>
      <c r="AM10" s="21">
        <v>15.019052</v>
      </c>
      <c r="AN10" s="21">
        <v>15.019052</v>
      </c>
      <c r="AO10" s="21">
        <v>15.019052</v>
      </c>
      <c r="AP10" s="21">
        <v>15.019052</v>
      </c>
      <c r="AQ10" s="21">
        <v>15.019052</v>
      </c>
      <c r="AR10" s="21">
        <v>15.019052</v>
      </c>
      <c r="AS10" s="21">
        <v>15.019052</v>
      </c>
      <c r="AT10" s="21">
        <v>15.019052</v>
      </c>
      <c r="AU10" s="21">
        <v>15.019052</v>
      </c>
      <c r="AV10" s="21">
        <v>15.019052</v>
      </c>
      <c r="AW10" s="21">
        <v>15.019052</v>
      </c>
      <c r="AX10" s="21">
        <v>15.019052</v>
      </c>
      <c r="AY10" s="21">
        <v>15.019052</v>
      </c>
      <c r="AZ10" s="21">
        <v>15.019052</v>
      </c>
      <c r="BA10" s="21">
        <v>15.019052</v>
      </c>
      <c r="BB10" s="21">
        <v>15.019052</v>
      </c>
      <c r="BC10" s="21">
        <v>15.019052</v>
      </c>
      <c r="BD10" s="21">
        <v>15.019052</v>
      </c>
      <c r="BE10" s="21">
        <v>15.019052</v>
      </c>
      <c r="BF10" s="21">
        <v>15.019052</v>
      </c>
      <c r="BG10" s="21">
        <v>15.019052</v>
      </c>
      <c r="BH10" s="21">
        <v>15.019052</v>
      </c>
      <c r="BI10" s="21">
        <v>15.019052</v>
      </c>
      <c r="BJ10" s="21">
        <v>15.019052</v>
      </c>
      <c r="BK10" s="21">
        <v>15.019052</v>
      </c>
      <c r="BL10" s="21">
        <v>15.019052</v>
      </c>
      <c r="BM10" s="21">
        <v>15.019052</v>
      </c>
      <c r="BN10" s="21">
        <v>15.019052</v>
      </c>
      <c r="BO10" s="21">
        <v>15.019052</v>
      </c>
      <c r="BP10" s="21">
        <v>15.019052</v>
      </c>
      <c r="BQ10" s="21">
        <v>15.019052</v>
      </c>
      <c r="BR10" s="21">
        <v>15.019052</v>
      </c>
      <c r="BS10" s="21">
        <v>15.019052</v>
      </c>
      <c r="BT10" s="21">
        <v>15.019052</v>
      </c>
      <c r="BU10" s="21">
        <v>15.019052</v>
      </c>
      <c r="BV10" s="21">
        <v>15.019052</v>
      </c>
      <c r="BW10" s="21">
        <v>15.019052</v>
      </c>
      <c r="BX10" s="21">
        <v>15.019052</v>
      </c>
      <c r="BY10" s="21">
        <v>15.019052</v>
      </c>
      <c r="BZ10" s="21">
        <v>15.019052</v>
      </c>
      <c r="CA10" s="21">
        <v>15.019052</v>
      </c>
      <c r="CB10" s="21">
        <v>15.019052</v>
      </c>
      <c r="CC10" s="21">
        <v>15.019052</v>
      </c>
      <c r="CD10" s="21">
        <v>15.019052</v>
      </c>
      <c r="CE10" s="21">
        <v>15.019052</v>
      </c>
      <c r="CF10" s="21">
        <v>15.019052</v>
      </c>
      <c r="CG10" s="21">
        <v>15.019052</v>
      </c>
      <c r="CH10" s="21">
        <v>15.019052</v>
      </c>
      <c r="CI10" s="21">
        <v>15.019052</v>
      </c>
      <c r="CJ10" s="21">
        <v>15.019052</v>
      </c>
      <c r="CK10" s="21">
        <v>15.019052</v>
      </c>
      <c r="CL10" s="21">
        <v>15.019052</v>
      </c>
      <c r="CM10" s="21">
        <v>15.019052</v>
      </c>
      <c r="CN10" s="21">
        <v>15.019052</v>
      </c>
      <c r="CO10" s="21">
        <v>15.019052</v>
      </c>
      <c r="CP10" s="21">
        <v>15.019052</v>
      </c>
      <c r="CQ10" s="21">
        <v>15.019052</v>
      </c>
      <c r="CR10" s="21">
        <v>15.019052</v>
      </c>
      <c r="CS10" s="21">
        <v>15.019052</v>
      </c>
      <c r="CT10" s="21">
        <v>15.019052</v>
      </c>
      <c r="CU10" s="21">
        <v>15.019052</v>
      </c>
      <c r="CV10" s="21">
        <v>15.019052</v>
      </c>
      <c r="CW10" s="21">
        <v>15.019052</v>
      </c>
      <c r="CX10" s="21">
        <v>15.019052</v>
      </c>
      <c r="CY10" s="21">
        <v>15.019052</v>
      </c>
      <c r="CZ10" s="21">
        <v>15.019052</v>
      </c>
      <c r="DA10" s="21">
        <v>15.019052</v>
      </c>
      <c r="DB10" s="21">
        <v>15.019052</v>
      </c>
      <c r="DC10" s="21">
        <v>15.019052</v>
      </c>
      <c r="DD10" s="21">
        <v>15.019052</v>
      </c>
      <c r="DE10" s="21">
        <v>15.019052</v>
      </c>
      <c r="DF10" s="21">
        <v>15.019052</v>
      </c>
      <c r="DG10" s="21">
        <v>15.019052</v>
      </c>
      <c r="DH10" s="21">
        <v>15.019052</v>
      </c>
      <c r="DI10" s="21">
        <v>15.019052</v>
      </c>
      <c r="DJ10" s="21">
        <v>15.019052</v>
      </c>
      <c r="DK10" s="21">
        <v>15.019052</v>
      </c>
      <c r="DL10" s="21">
        <v>15.019052</v>
      </c>
      <c r="DM10" s="21">
        <v>15.019052</v>
      </c>
      <c r="DN10" s="21">
        <v>15.019052</v>
      </c>
      <c r="DO10" s="21">
        <v>15.019052</v>
      </c>
      <c r="DP10" s="21">
        <v>15.019052</v>
      </c>
      <c r="DQ10" s="21">
        <v>15.019052</v>
      </c>
      <c r="DR10" s="21">
        <v>15.019052</v>
      </c>
      <c r="DS10" s="21">
        <v>15.019052</v>
      </c>
      <c r="DT10" s="21">
        <v>15.019052</v>
      </c>
      <c r="DU10" s="21">
        <v>15.019052</v>
      </c>
      <c r="DV10" s="21">
        <v>15.019052</v>
      </c>
      <c r="DW10" s="21">
        <v>15.019052</v>
      </c>
      <c r="DX10" s="21">
        <v>15.019052</v>
      </c>
      <c r="DY10" s="21">
        <v>15.019052</v>
      </c>
      <c r="DZ10" s="21">
        <v>15.019052</v>
      </c>
      <c r="EA10" s="21">
        <v>15.019052</v>
      </c>
      <c r="EB10" s="21">
        <v>15.019052</v>
      </c>
      <c r="EC10" s="21">
        <v>15.019052</v>
      </c>
      <c r="ED10" s="21">
        <v>15.019052</v>
      </c>
      <c r="EE10" s="21">
        <v>15.019052</v>
      </c>
      <c r="EF10" s="21">
        <v>15.019052</v>
      </c>
      <c r="EG10" s="21">
        <v>15.019052</v>
      </c>
      <c r="EH10" s="21">
        <v>15.019052</v>
      </c>
      <c r="EI10" s="21">
        <v>15.019052</v>
      </c>
      <c r="EJ10" s="21">
        <v>15.019052</v>
      </c>
      <c r="EK10" s="21">
        <v>15.019052</v>
      </c>
      <c r="EL10" s="21">
        <v>15.019052</v>
      </c>
      <c r="EM10" s="21">
        <v>15.019052</v>
      </c>
      <c r="EN10" s="21">
        <v>15.019052</v>
      </c>
      <c r="EO10" s="21">
        <v>15.019052</v>
      </c>
      <c r="EP10" s="21">
        <v>15.019052</v>
      </c>
      <c r="EQ10" s="21">
        <v>15.019052</v>
      </c>
      <c r="ER10" s="21">
        <v>15.029812</v>
      </c>
      <c r="ES10" s="21">
        <v>0</v>
      </c>
      <c r="ET10" s="21">
        <v>0</v>
      </c>
      <c r="EU10" s="21">
        <v>0</v>
      </c>
      <c r="EV10" s="21">
        <v>0</v>
      </c>
      <c r="EW10" s="21">
        <v>0</v>
      </c>
      <c r="EX10" s="21">
        <v>0</v>
      </c>
      <c r="EY10" s="21">
        <v>0</v>
      </c>
      <c r="EZ10" s="21">
        <v>0</v>
      </c>
      <c r="FA10" s="21">
        <v>0</v>
      </c>
      <c r="FB10" s="21">
        <v>0</v>
      </c>
      <c r="FC10" s="21">
        <v>0</v>
      </c>
      <c r="FD10" s="21">
        <v>0</v>
      </c>
      <c r="FE10" s="21">
        <v>0</v>
      </c>
      <c r="FF10" s="21">
        <v>0</v>
      </c>
      <c r="FG10" s="21">
        <v>0</v>
      </c>
      <c r="FH10" s="21">
        <v>0</v>
      </c>
      <c r="FI10" s="21">
        <v>0</v>
      </c>
      <c r="FJ10" s="21">
        <v>0</v>
      </c>
      <c r="FK10" s="21">
        <v>0</v>
      </c>
      <c r="FL10" s="21">
        <v>0</v>
      </c>
      <c r="FM10" s="21">
        <v>0</v>
      </c>
      <c r="FN10" s="21">
        <v>0</v>
      </c>
      <c r="FO10" s="21">
        <v>0</v>
      </c>
      <c r="FP10" s="21">
        <v>0</v>
      </c>
      <c r="FQ10" s="21">
        <v>0</v>
      </c>
      <c r="FR10" s="21">
        <v>0</v>
      </c>
      <c r="FS10" s="21">
        <v>0</v>
      </c>
      <c r="FT10" s="21">
        <v>0</v>
      </c>
      <c r="FU10" s="21">
        <v>0</v>
      </c>
      <c r="FV10" s="21">
        <v>0</v>
      </c>
      <c r="FW10" s="21">
        <v>0</v>
      </c>
      <c r="FX10" s="21">
        <v>0</v>
      </c>
      <c r="FY10" s="21">
        <v>0</v>
      </c>
      <c r="FZ10" s="21">
        <v>0</v>
      </c>
      <c r="GA10" s="21">
        <v>0</v>
      </c>
      <c r="GB10" s="21">
        <v>0</v>
      </c>
      <c r="GC10" s="21">
        <v>0</v>
      </c>
      <c r="GD10" s="21">
        <v>0</v>
      </c>
      <c r="GE10" s="21">
        <v>0</v>
      </c>
      <c r="GF10" s="21">
        <v>0</v>
      </c>
      <c r="GG10" s="21">
        <v>0</v>
      </c>
      <c r="GH10" s="21">
        <v>0</v>
      </c>
      <c r="GI10" s="21">
        <v>0</v>
      </c>
      <c r="GJ10" s="21">
        <v>0</v>
      </c>
      <c r="GK10" s="21">
        <v>0</v>
      </c>
      <c r="GL10" s="21">
        <v>0</v>
      </c>
      <c r="GM10" s="21">
        <v>0</v>
      </c>
      <c r="GN10" s="21">
        <v>0</v>
      </c>
      <c r="GO10" s="21">
        <v>0</v>
      </c>
      <c r="GP10" s="21">
        <v>0</v>
      </c>
      <c r="GQ10" s="21">
        <v>0</v>
      </c>
      <c r="GR10" s="21">
        <v>0</v>
      </c>
      <c r="GS10" s="21">
        <v>0</v>
      </c>
      <c r="GT10" s="21">
        <v>0</v>
      </c>
      <c r="GU10" s="21">
        <v>0</v>
      </c>
      <c r="GV10" s="21">
        <v>0</v>
      </c>
      <c r="GW10" s="21">
        <v>0</v>
      </c>
      <c r="GX10" s="21">
        <v>0</v>
      </c>
      <c r="GY10" s="21">
        <v>0</v>
      </c>
      <c r="GZ10" s="21">
        <v>0</v>
      </c>
      <c r="HA10" s="21">
        <v>0</v>
      </c>
      <c r="HB10" s="21">
        <v>0</v>
      </c>
      <c r="HC10" s="21">
        <v>0</v>
      </c>
      <c r="HD10" s="21">
        <v>0</v>
      </c>
      <c r="HE10" s="21">
        <v>0</v>
      </c>
      <c r="HF10" s="21">
        <v>0</v>
      </c>
      <c r="HG10" s="21">
        <v>0</v>
      </c>
      <c r="HH10" s="21">
        <v>0</v>
      </c>
      <c r="HI10" s="21">
        <v>0</v>
      </c>
      <c r="HJ10" s="21">
        <v>0</v>
      </c>
      <c r="HK10" s="21">
        <v>0</v>
      </c>
      <c r="HL10" s="21">
        <v>0</v>
      </c>
      <c r="HM10" s="21">
        <v>0</v>
      </c>
      <c r="HN10" s="21">
        <v>0</v>
      </c>
      <c r="HO10" s="21">
        <v>0</v>
      </c>
      <c r="HP10" s="21">
        <v>0</v>
      </c>
      <c r="HQ10" s="21">
        <v>0</v>
      </c>
      <c r="HR10" s="21">
        <v>0</v>
      </c>
      <c r="HS10" s="21">
        <v>0</v>
      </c>
      <c r="HT10" s="21">
        <v>0</v>
      </c>
      <c r="HU10" s="21">
        <v>0</v>
      </c>
      <c r="HV10" s="21">
        <v>0</v>
      </c>
      <c r="HW10" s="21">
        <v>0</v>
      </c>
      <c r="HX10" s="21">
        <v>0</v>
      </c>
      <c r="HY10" s="21">
        <v>0</v>
      </c>
      <c r="HZ10" s="21">
        <v>0</v>
      </c>
      <c r="IA10" s="21">
        <v>0</v>
      </c>
      <c r="IB10" s="21">
        <v>0</v>
      </c>
      <c r="IC10" s="21">
        <v>0</v>
      </c>
      <c r="ID10" s="21">
        <v>0</v>
      </c>
      <c r="IE10" s="21">
        <v>0</v>
      </c>
      <c r="IF10" s="21">
        <v>0</v>
      </c>
      <c r="IG10" s="21">
        <v>0</v>
      </c>
      <c r="IH10" s="21">
        <v>0</v>
      </c>
      <c r="II10" s="21">
        <v>0</v>
      </c>
      <c r="IJ10" s="21">
        <v>0</v>
      </c>
      <c r="IK10" s="21">
        <v>0</v>
      </c>
      <c r="IL10" s="21">
        <v>0</v>
      </c>
      <c r="IM10" s="21">
        <v>0</v>
      </c>
      <c r="IN10" s="21">
        <v>0</v>
      </c>
      <c r="IO10" s="21">
        <v>0</v>
      </c>
      <c r="IP10" s="21">
        <v>0</v>
      </c>
      <c r="IQ10" s="21">
        <v>0</v>
      </c>
      <c r="IR10" s="21">
        <v>0</v>
      </c>
      <c r="IS10" s="21">
        <v>0</v>
      </c>
      <c r="IT10" s="21">
        <v>0</v>
      </c>
      <c r="IU10" s="21">
        <v>0</v>
      </c>
      <c r="IV10" s="21">
        <v>0</v>
      </c>
      <c r="IW10" s="21">
        <v>0</v>
      </c>
      <c r="IX10" s="21">
        <v>0</v>
      </c>
      <c r="IY10" s="21">
        <v>0</v>
      </c>
      <c r="IZ10" s="21">
        <v>0</v>
      </c>
      <c r="JA10" s="21">
        <v>0</v>
      </c>
      <c r="JB10" s="21">
        <v>0</v>
      </c>
      <c r="JC10" s="21">
        <v>0</v>
      </c>
      <c r="JD10" s="21">
        <v>0</v>
      </c>
      <c r="JE10" s="21">
        <v>0</v>
      </c>
      <c r="JF10" s="21">
        <v>0</v>
      </c>
      <c r="JG10" s="21">
        <v>0</v>
      </c>
      <c r="JH10" s="21">
        <v>0</v>
      </c>
      <c r="JI10" s="21">
        <v>0</v>
      </c>
      <c r="JJ10" s="21">
        <v>0</v>
      </c>
      <c r="JK10" s="21">
        <v>0</v>
      </c>
      <c r="JL10" s="21">
        <v>0</v>
      </c>
      <c r="JM10" s="21">
        <v>0</v>
      </c>
      <c r="JN10" s="21">
        <v>0</v>
      </c>
      <c r="JO10" s="21">
        <v>0</v>
      </c>
      <c r="JP10" s="21">
        <v>0</v>
      </c>
      <c r="JQ10" s="21">
        <v>0</v>
      </c>
      <c r="JR10" s="21">
        <v>0</v>
      </c>
      <c r="JS10" s="21">
        <v>0</v>
      </c>
      <c r="JT10" s="21">
        <v>0</v>
      </c>
      <c r="JU10" s="21">
        <v>0</v>
      </c>
      <c r="JV10" s="21">
        <v>0</v>
      </c>
      <c r="JW10" s="21">
        <v>0</v>
      </c>
      <c r="JX10" s="21">
        <v>0</v>
      </c>
      <c r="JY10" s="21">
        <v>0</v>
      </c>
      <c r="JZ10" s="21">
        <v>0</v>
      </c>
      <c r="KA10" s="21">
        <v>0</v>
      </c>
      <c r="KB10" s="21">
        <v>0</v>
      </c>
      <c r="KC10" s="21">
        <v>0</v>
      </c>
      <c r="KD10" s="21">
        <v>0</v>
      </c>
      <c r="KE10" s="21">
        <v>0</v>
      </c>
      <c r="KF10" s="21">
        <v>0</v>
      </c>
      <c r="KG10" s="21">
        <v>0</v>
      </c>
      <c r="KH10" s="21">
        <v>0</v>
      </c>
      <c r="KI10" s="21">
        <v>0</v>
      </c>
      <c r="KJ10" s="21">
        <v>0</v>
      </c>
      <c r="KK10" s="21">
        <v>0</v>
      </c>
      <c r="KL10" s="21">
        <v>0</v>
      </c>
      <c r="KM10" s="21">
        <v>0</v>
      </c>
      <c r="KN10" s="21">
        <v>0</v>
      </c>
      <c r="KO10" s="21">
        <v>0</v>
      </c>
      <c r="KP10" s="21">
        <v>0</v>
      </c>
      <c r="KQ10" s="21">
        <v>0</v>
      </c>
      <c r="KR10" s="21">
        <v>0</v>
      </c>
      <c r="KS10" s="21">
        <v>0</v>
      </c>
      <c r="KT10" s="21">
        <v>0</v>
      </c>
      <c r="KU10" s="21">
        <v>0</v>
      </c>
      <c r="KV10" s="21">
        <v>0</v>
      </c>
      <c r="KW10" s="21">
        <v>0</v>
      </c>
      <c r="KX10" s="21">
        <v>0</v>
      </c>
      <c r="KY10" s="21">
        <v>0</v>
      </c>
      <c r="KZ10" s="21">
        <v>0</v>
      </c>
      <c r="LA10" s="21">
        <v>0</v>
      </c>
      <c r="LB10" s="21">
        <v>0</v>
      </c>
      <c r="LC10" s="21">
        <v>0</v>
      </c>
      <c r="LD10" s="21">
        <v>0</v>
      </c>
      <c r="LE10" s="21">
        <v>0</v>
      </c>
      <c r="LF10" s="21">
        <v>0</v>
      </c>
      <c r="LG10" s="21">
        <v>0</v>
      </c>
      <c r="LH10" s="21">
        <v>0</v>
      </c>
      <c r="LI10" s="21">
        <v>0</v>
      </c>
      <c r="LJ10" s="21">
        <v>0</v>
      </c>
      <c r="LK10" s="21">
        <v>0</v>
      </c>
      <c r="LL10" s="21">
        <v>0</v>
      </c>
      <c r="LM10" s="21">
        <v>0</v>
      </c>
      <c r="LN10" s="21">
        <v>0</v>
      </c>
      <c r="LO10" s="21">
        <v>0</v>
      </c>
      <c r="LP10" s="21">
        <v>0</v>
      </c>
      <c r="LQ10" s="21">
        <v>0</v>
      </c>
      <c r="LR10" s="21">
        <v>0</v>
      </c>
      <c r="LS10" s="21">
        <v>0</v>
      </c>
      <c r="LT10" s="21">
        <v>0</v>
      </c>
      <c r="LU10" s="21">
        <v>0</v>
      </c>
      <c r="LV10" s="21">
        <v>0</v>
      </c>
      <c r="LW10" s="21">
        <v>0</v>
      </c>
      <c r="LX10" s="21">
        <v>0</v>
      </c>
      <c r="LY10" s="21">
        <v>0</v>
      </c>
      <c r="LZ10" s="21">
        <v>0</v>
      </c>
      <c r="MA10" s="21">
        <v>0</v>
      </c>
      <c r="MB10" s="21">
        <v>0</v>
      </c>
      <c r="MC10" s="21">
        <v>0</v>
      </c>
      <c r="MD10" s="21">
        <v>0</v>
      </c>
      <c r="ME10" s="21">
        <v>0</v>
      </c>
      <c r="MF10" s="21">
        <v>0</v>
      </c>
      <c r="MG10" s="21">
        <v>0</v>
      </c>
      <c r="MH10" s="21">
        <v>0</v>
      </c>
      <c r="MI10" s="21">
        <v>0</v>
      </c>
      <c r="MJ10" s="21">
        <v>0</v>
      </c>
      <c r="MK10" s="21">
        <v>0</v>
      </c>
      <c r="ML10" s="21">
        <v>0</v>
      </c>
      <c r="MM10" s="21">
        <v>0</v>
      </c>
      <c r="MN10" s="21">
        <v>0</v>
      </c>
      <c r="MO10" s="21">
        <v>0</v>
      </c>
      <c r="MP10" s="21">
        <v>0</v>
      </c>
      <c r="MQ10" s="21">
        <v>0</v>
      </c>
      <c r="MR10" s="21">
        <v>0</v>
      </c>
      <c r="MS10" s="21">
        <v>0</v>
      </c>
      <c r="MT10" s="21">
        <v>0</v>
      </c>
      <c r="MU10" s="21">
        <v>0</v>
      </c>
      <c r="MV10" s="21">
        <v>0</v>
      </c>
      <c r="MW10" s="21">
        <v>0</v>
      </c>
      <c r="MX10" s="21">
        <v>0</v>
      </c>
      <c r="MY10" s="21">
        <v>0</v>
      </c>
      <c r="MZ10" s="21">
        <v>0</v>
      </c>
    </row>
    <row r="11" spans="1:364" x14ac:dyDescent="0.25">
      <c r="A11" s="7">
        <f>+'Valo FX'!A12</f>
        <v>9</v>
      </c>
      <c r="B11" s="16" t="str">
        <f>+Base!B9</f>
        <v>202401310046A033</v>
      </c>
      <c r="C11" s="75">
        <v>6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6.8100550000000002</v>
      </c>
      <c r="K11" s="21">
        <v>6.8100550000000002</v>
      </c>
      <c r="L11" s="21">
        <v>6.8100550000000002</v>
      </c>
      <c r="M11" s="21">
        <v>6.8100550000000002</v>
      </c>
      <c r="N11" s="21">
        <v>6.8100550000000002</v>
      </c>
      <c r="O11" s="21">
        <v>6.8100550000000002</v>
      </c>
      <c r="P11" s="21">
        <v>6.8100550000000002</v>
      </c>
      <c r="Q11" s="21">
        <v>6.8100550000000002</v>
      </c>
      <c r="R11" s="21">
        <v>6.8100550000000002</v>
      </c>
      <c r="S11" s="21">
        <v>6.8100550000000002</v>
      </c>
      <c r="T11" s="21">
        <v>6.8100550000000002</v>
      </c>
      <c r="U11" s="21">
        <v>6.8100550000000002</v>
      </c>
      <c r="V11" s="21">
        <v>6.8100550000000002</v>
      </c>
      <c r="W11" s="21">
        <v>6.8100550000000002</v>
      </c>
      <c r="X11" s="21">
        <v>6.8100550000000002</v>
      </c>
      <c r="Y11" s="21">
        <v>6.8100550000000002</v>
      </c>
      <c r="Z11" s="21">
        <v>6.8100550000000002</v>
      </c>
      <c r="AA11" s="21">
        <v>6.8100550000000002</v>
      </c>
      <c r="AB11" s="21">
        <v>6.8100550000000002</v>
      </c>
      <c r="AC11" s="21">
        <v>6.8100550000000002</v>
      </c>
      <c r="AD11" s="21">
        <v>6.8100550000000002</v>
      </c>
      <c r="AE11" s="21">
        <v>6.8100550000000002</v>
      </c>
      <c r="AF11" s="21">
        <v>6.8100550000000002</v>
      </c>
      <c r="AG11" s="21">
        <v>6.8100550000000002</v>
      </c>
      <c r="AH11" s="21">
        <v>6.8100550000000002</v>
      </c>
      <c r="AI11" s="21">
        <v>6.8100550000000002</v>
      </c>
      <c r="AJ11" s="21">
        <v>6.8100550000000002</v>
      </c>
      <c r="AK11" s="21">
        <v>6.8100550000000002</v>
      </c>
      <c r="AL11" s="21">
        <v>6.8100550000000002</v>
      </c>
      <c r="AM11" s="21">
        <v>6.8100550000000002</v>
      </c>
      <c r="AN11" s="21">
        <v>6.8100550000000002</v>
      </c>
      <c r="AO11" s="21">
        <v>6.8100550000000002</v>
      </c>
      <c r="AP11" s="21">
        <v>6.8100550000000002</v>
      </c>
      <c r="AQ11" s="21">
        <v>6.8100550000000002</v>
      </c>
      <c r="AR11" s="21">
        <v>6.8100550000000002</v>
      </c>
      <c r="AS11" s="21">
        <v>6.8100550000000002</v>
      </c>
      <c r="AT11" s="21">
        <v>6.8100550000000002</v>
      </c>
      <c r="AU11" s="21">
        <v>6.8100550000000002</v>
      </c>
      <c r="AV11" s="21">
        <v>6.8100550000000002</v>
      </c>
      <c r="AW11" s="21">
        <v>6.8100550000000002</v>
      </c>
      <c r="AX11" s="21">
        <v>6.8100550000000002</v>
      </c>
      <c r="AY11" s="21">
        <v>6.8100550000000002</v>
      </c>
      <c r="AZ11" s="21">
        <v>6.8100550000000002</v>
      </c>
      <c r="BA11" s="21">
        <v>6.8100550000000002</v>
      </c>
      <c r="BB11" s="21">
        <v>6.8100550000000002</v>
      </c>
      <c r="BC11" s="21">
        <v>6.8100550000000002</v>
      </c>
      <c r="BD11" s="21">
        <v>6.8100550000000002</v>
      </c>
      <c r="BE11" s="21">
        <v>6.8100550000000002</v>
      </c>
      <c r="BF11" s="21">
        <v>6.8100550000000002</v>
      </c>
      <c r="BG11" s="21">
        <v>6.8100550000000002</v>
      </c>
      <c r="BH11" s="21">
        <v>6.8100550000000002</v>
      </c>
      <c r="BI11" s="21">
        <v>6.8100550000000002</v>
      </c>
      <c r="BJ11" s="21">
        <v>6.8100550000000002</v>
      </c>
      <c r="BK11" s="21">
        <v>6.8100550000000002</v>
      </c>
      <c r="BL11" s="21">
        <v>6.8100550000000002</v>
      </c>
      <c r="BM11" s="21">
        <v>6.8100550000000002</v>
      </c>
      <c r="BN11" s="21">
        <v>6.8100550000000002</v>
      </c>
      <c r="BO11" s="21">
        <v>6.8100550000000002</v>
      </c>
      <c r="BP11" s="21">
        <v>6.8100550000000002</v>
      </c>
      <c r="BQ11" s="21">
        <v>6.8100550000000002</v>
      </c>
      <c r="BR11" s="21">
        <v>6.8100550000000002</v>
      </c>
      <c r="BS11" s="21">
        <v>6.8100550000000002</v>
      </c>
      <c r="BT11" s="21">
        <v>6.8100550000000002</v>
      </c>
      <c r="BU11" s="21">
        <v>6.8100550000000002</v>
      </c>
      <c r="BV11" s="21">
        <v>6.8100550000000002</v>
      </c>
      <c r="BW11" s="21">
        <v>6.8100550000000002</v>
      </c>
      <c r="BX11" s="21">
        <v>6.8100550000000002</v>
      </c>
      <c r="BY11" s="21">
        <v>6.8100550000000002</v>
      </c>
      <c r="BZ11" s="21">
        <v>6.8100550000000002</v>
      </c>
      <c r="CA11" s="21">
        <v>6.8100550000000002</v>
      </c>
      <c r="CB11" s="21">
        <v>6.8100550000000002</v>
      </c>
      <c r="CC11" s="21">
        <v>6.8100550000000002</v>
      </c>
      <c r="CD11" s="21">
        <v>6.8100550000000002</v>
      </c>
      <c r="CE11" s="21">
        <v>6.8100550000000002</v>
      </c>
      <c r="CF11" s="21">
        <v>6.8100550000000002</v>
      </c>
      <c r="CG11" s="21">
        <v>6.8100550000000002</v>
      </c>
      <c r="CH11" s="21">
        <v>6.8100550000000002</v>
      </c>
      <c r="CI11" s="21">
        <v>6.8100550000000002</v>
      </c>
      <c r="CJ11" s="21">
        <v>6.8100550000000002</v>
      </c>
      <c r="CK11" s="21">
        <v>6.8100550000000002</v>
      </c>
      <c r="CL11" s="21">
        <v>6.8100550000000002</v>
      </c>
      <c r="CM11" s="21">
        <v>6.8100550000000002</v>
      </c>
      <c r="CN11" s="21">
        <v>6.8100550000000002</v>
      </c>
      <c r="CO11" s="21">
        <v>6.8100550000000002</v>
      </c>
      <c r="CP11" s="21">
        <v>6.8100550000000002</v>
      </c>
      <c r="CQ11" s="21">
        <v>6.8100550000000002</v>
      </c>
      <c r="CR11" s="21">
        <v>6.8100550000000002</v>
      </c>
      <c r="CS11" s="21">
        <v>6.8100550000000002</v>
      </c>
      <c r="CT11" s="21">
        <v>6.8100550000000002</v>
      </c>
      <c r="CU11" s="21">
        <v>6.8100550000000002</v>
      </c>
      <c r="CV11" s="21">
        <v>6.8100550000000002</v>
      </c>
      <c r="CW11" s="21">
        <v>6.8100550000000002</v>
      </c>
      <c r="CX11" s="21">
        <v>6.8100550000000002</v>
      </c>
      <c r="CY11" s="21">
        <v>6.8100550000000002</v>
      </c>
      <c r="CZ11" s="21">
        <v>6.8100550000000002</v>
      </c>
      <c r="DA11" s="21">
        <v>6.8100550000000002</v>
      </c>
      <c r="DB11" s="21">
        <v>6.8100550000000002</v>
      </c>
      <c r="DC11" s="21">
        <v>6.8100550000000002</v>
      </c>
      <c r="DD11" s="21">
        <v>6.8100550000000002</v>
      </c>
      <c r="DE11" s="21">
        <v>6.8100550000000002</v>
      </c>
      <c r="DF11" s="21">
        <v>6.8100550000000002</v>
      </c>
      <c r="DG11" s="21">
        <v>6.8100550000000002</v>
      </c>
      <c r="DH11" s="21">
        <v>6.8100550000000002</v>
      </c>
      <c r="DI11" s="21">
        <v>6.8100550000000002</v>
      </c>
      <c r="DJ11" s="21">
        <v>6.8100550000000002</v>
      </c>
      <c r="DK11" s="21">
        <v>6.8100550000000002</v>
      </c>
      <c r="DL11" s="21">
        <v>6.8100550000000002</v>
      </c>
      <c r="DM11" s="21">
        <v>6.8100550000000002</v>
      </c>
      <c r="DN11" s="21">
        <v>6.8100550000000002</v>
      </c>
      <c r="DO11" s="21">
        <v>6.8100550000000002</v>
      </c>
      <c r="DP11" s="21">
        <v>6.8100550000000002</v>
      </c>
      <c r="DQ11" s="21">
        <v>6.8100550000000002</v>
      </c>
      <c r="DR11" s="21">
        <v>6.8100550000000002</v>
      </c>
      <c r="DS11" s="21">
        <v>6.8100550000000002</v>
      </c>
      <c r="DT11" s="21">
        <v>6.8100550000000002</v>
      </c>
      <c r="DU11" s="21">
        <v>6.8100550000000002</v>
      </c>
      <c r="DV11" s="21">
        <v>6.8100550000000002</v>
      </c>
      <c r="DW11" s="21">
        <v>6.8100550000000002</v>
      </c>
      <c r="DX11" s="21">
        <v>6.8100550000000002</v>
      </c>
      <c r="DY11" s="21">
        <v>6.8100550000000002</v>
      </c>
      <c r="DZ11" s="21">
        <v>6.8100550000000002</v>
      </c>
      <c r="EA11" s="21">
        <v>6.8100550000000002</v>
      </c>
      <c r="EB11" s="21">
        <v>6.8100550000000002</v>
      </c>
      <c r="EC11" s="21">
        <v>6.8100550000000002</v>
      </c>
      <c r="ED11" s="21">
        <v>6.8100550000000002</v>
      </c>
      <c r="EE11" s="21">
        <v>6.8100550000000002</v>
      </c>
      <c r="EF11" s="21">
        <v>6.8100550000000002</v>
      </c>
      <c r="EG11" s="21">
        <v>6.8100550000000002</v>
      </c>
      <c r="EH11" s="21">
        <v>6.8100550000000002</v>
      </c>
      <c r="EI11" s="21">
        <v>6.8100550000000002</v>
      </c>
      <c r="EJ11" s="21">
        <v>6.8100550000000002</v>
      </c>
      <c r="EK11" s="21">
        <v>6.8100550000000002</v>
      </c>
      <c r="EL11" s="21">
        <v>6.8100550000000002</v>
      </c>
      <c r="EM11" s="21">
        <v>6.8100550000000002</v>
      </c>
      <c r="EN11" s="21">
        <v>6.8100550000000002</v>
      </c>
      <c r="EO11" s="21">
        <v>6.8100550000000002</v>
      </c>
      <c r="EP11" s="21">
        <v>6.8100550000000002</v>
      </c>
      <c r="EQ11" s="21">
        <v>6.8100550000000002</v>
      </c>
      <c r="ER11" s="21">
        <v>6.8100550000000002</v>
      </c>
      <c r="ES11" s="21">
        <v>6.8100550000000002</v>
      </c>
      <c r="ET11" s="21">
        <v>6.8100550000000002</v>
      </c>
      <c r="EU11" s="21">
        <v>6.8100550000000002</v>
      </c>
      <c r="EV11" s="21">
        <v>6.8100550000000002</v>
      </c>
      <c r="EW11" s="21">
        <v>6.8100550000000002</v>
      </c>
      <c r="EX11" s="21">
        <v>6.8100550000000002</v>
      </c>
      <c r="EY11" s="21">
        <v>6.8100550000000002</v>
      </c>
      <c r="EZ11" s="21">
        <v>6.8100550000000002</v>
      </c>
      <c r="FA11" s="21">
        <v>6.8100550000000002</v>
      </c>
      <c r="FB11" s="21">
        <v>6.8100550000000002</v>
      </c>
      <c r="FC11" s="21">
        <v>6.8100550000000002</v>
      </c>
      <c r="FD11" s="21">
        <v>6.8100550000000002</v>
      </c>
      <c r="FE11" s="21">
        <v>6.8100550000000002</v>
      </c>
      <c r="FF11" s="21">
        <v>6.8100550000000002</v>
      </c>
      <c r="FG11" s="21">
        <v>6.8100550000000002</v>
      </c>
      <c r="FH11" s="21">
        <v>6.8100550000000002</v>
      </c>
      <c r="FI11" s="21">
        <v>6.8100550000000002</v>
      </c>
      <c r="FJ11" s="21">
        <v>6.8100550000000002</v>
      </c>
      <c r="FK11" s="21">
        <v>6.8100550000000002</v>
      </c>
      <c r="FL11" s="21">
        <v>6.8100550000000002</v>
      </c>
      <c r="FM11" s="21">
        <v>6.8100550000000002</v>
      </c>
      <c r="FN11" s="21">
        <v>6.8100550000000002</v>
      </c>
      <c r="FO11" s="21">
        <v>6.8100550000000002</v>
      </c>
      <c r="FP11" s="21">
        <v>6.8100550000000002</v>
      </c>
      <c r="FQ11" s="21">
        <v>6.8100550000000002</v>
      </c>
      <c r="FR11" s="21">
        <v>6.8100550000000002</v>
      </c>
      <c r="FS11" s="21">
        <v>6.8100550000000002</v>
      </c>
      <c r="FT11" s="21">
        <v>6.8100550000000002</v>
      </c>
      <c r="FU11" s="21">
        <v>6.8100550000000002</v>
      </c>
      <c r="FV11" s="21">
        <v>6.8100550000000002</v>
      </c>
      <c r="FW11" s="21">
        <v>6.8100550000000002</v>
      </c>
      <c r="FX11" s="21">
        <v>6.8100550000000002</v>
      </c>
      <c r="FY11" s="21">
        <v>6.8100550000000002</v>
      </c>
      <c r="FZ11" s="21">
        <v>6.8100550000000002</v>
      </c>
      <c r="GA11" s="21">
        <v>6.8100550000000002</v>
      </c>
      <c r="GB11" s="21">
        <v>6.8100550000000002</v>
      </c>
      <c r="GC11" s="21">
        <v>6.8100550000000002</v>
      </c>
      <c r="GD11" s="21">
        <v>6.8100550000000002</v>
      </c>
      <c r="GE11" s="21">
        <v>6.8100550000000002</v>
      </c>
      <c r="GF11" s="21">
        <v>6.8100550000000002</v>
      </c>
      <c r="GG11" s="21">
        <v>6.8100550000000002</v>
      </c>
      <c r="GH11" s="21">
        <v>6.8100550000000002</v>
      </c>
      <c r="GI11" s="21">
        <v>6.8100550000000002</v>
      </c>
      <c r="GJ11" s="21">
        <v>6.8100550000000002</v>
      </c>
      <c r="GK11" s="21">
        <v>6.8100550000000002</v>
      </c>
      <c r="GL11" s="21">
        <v>6.8100550000000002</v>
      </c>
      <c r="GM11" s="21">
        <v>6.8100550000000002</v>
      </c>
      <c r="GN11" s="21">
        <v>6.8100550000000002</v>
      </c>
      <c r="GO11" s="21">
        <v>6.8100550000000002</v>
      </c>
      <c r="GP11" s="21">
        <v>6.8100550000000002</v>
      </c>
      <c r="GQ11" s="21">
        <v>6.8100550000000002</v>
      </c>
      <c r="GR11" s="21">
        <v>6.8100550000000002</v>
      </c>
      <c r="GS11" s="21">
        <v>6.8100550000000002</v>
      </c>
      <c r="GT11" s="21">
        <v>6.8100550000000002</v>
      </c>
      <c r="GU11" s="21">
        <v>6.8100550000000002</v>
      </c>
      <c r="GV11" s="21">
        <v>6.8100550000000002</v>
      </c>
      <c r="GW11" s="21">
        <v>6.8100550000000002</v>
      </c>
      <c r="GX11" s="21">
        <v>6.8100550000000002</v>
      </c>
      <c r="GY11" s="21">
        <v>6.8100550000000002</v>
      </c>
      <c r="GZ11" s="21">
        <v>6.8100550000000002</v>
      </c>
      <c r="HA11" s="21">
        <v>6.8100550000000002</v>
      </c>
      <c r="HB11" s="21">
        <v>6.8100550000000002</v>
      </c>
      <c r="HC11" s="21">
        <v>6.8100550000000002</v>
      </c>
      <c r="HD11" s="21">
        <v>6.8100550000000002</v>
      </c>
      <c r="HE11" s="21">
        <v>6.8100550000000002</v>
      </c>
      <c r="HF11" s="21">
        <v>6.8100550000000002</v>
      </c>
      <c r="HG11" s="21">
        <v>6.8100550000000002</v>
      </c>
      <c r="HH11" s="21">
        <v>6.8100550000000002</v>
      </c>
      <c r="HI11" s="21">
        <v>6.8100550000000002</v>
      </c>
      <c r="HJ11" s="21">
        <v>6.8100550000000002</v>
      </c>
      <c r="HK11" s="21">
        <v>6.8100550000000002</v>
      </c>
      <c r="HL11" s="21">
        <v>6.8100550000000002</v>
      </c>
      <c r="HM11" s="21">
        <v>6.8100550000000002</v>
      </c>
      <c r="HN11" s="21">
        <v>6.8100550000000002</v>
      </c>
      <c r="HO11" s="21">
        <v>6.8100550000000002</v>
      </c>
      <c r="HP11" s="21">
        <v>6.8100550000000002</v>
      </c>
      <c r="HQ11" s="21">
        <v>6.8100550000000002</v>
      </c>
      <c r="HR11" s="21">
        <v>6.8100550000000002</v>
      </c>
      <c r="HS11" s="21">
        <v>6.8100550000000002</v>
      </c>
      <c r="HT11" s="21">
        <v>6.8100550000000002</v>
      </c>
      <c r="HU11" s="21">
        <v>6.8100550000000002</v>
      </c>
      <c r="HV11" s="21">
        <v>6.8100550000000002</v>
      </c>
      <c r="HW11" s="21">
        <v>6.8100550000000002</v>
      </c>
      <c r="HX11" s="21">
        <v>6.8100550000000002</v>
      </c>
      <c r="HY11" s="21">
        <v>6.8100550000000002</v>
      </c>
      <c r="HZ11" s="21">
        <v>6.8100550000000002</v>
      </c>
      <c r="IA11" s="21">
        <v>6.8100550000000002</v>
      </c>
      <c r="IB11" s="21">
        <v>6.8100550000000002</v>
      </c>
      <c r="IC11" s="21">
        <v>6.8100550000000002</v>
      </c>
      <c r="ID11" s="21">
        <v>6.8100550000000002</v>
      </c>
      <c r="IE11" s="21">
        <v>6.8100550000000002</v>
      </c>
      <c r="IF11" s="21">
        <v>6.8100550000000002</v>
      </c>
      <c r="IG11" s="21">
        <v>6.8100550000000002</v>
      </c>
      <c r="IH11" s="21">
        <v>6.8100550000000002</v>
      </c>
      <c r="II11" s="21">
        <v>6.8100550000000002</v>
      </c>
      <c r="IJ11" s="21">
        <v>6.8100550000000002</v>
      </c>
      <c r="IK11" s="21">
        <v>6.8100550000000002</v>
      </c>
      <c r="IL11" s="21">
        <v>6.8100550000000002</v>
      </c>
      <c r="IM11" s="21">
        <v>6.8100550000000002</v>
      </c>
      <c r="IN11" s="21">
        <v>6.8100550000000002</v>
      </c>
      <c r="IO11" s="21">
        <v>6.8100550000000002</v>
      </c>
      <c r="IP11" s="21">
        <v>6.8100550000000002</v>
      </c>
      <c r="IQ11" s="21">
        <v>6.8100550000000002</v>
      </c>
      <c r="IR11" s="21">
        <v>6.8100550000000002</v>
      </c>
      <c r="IS11" s="21">
        <v>6.8100550000000002</v>
      </c>
      <c r="IT11" s="21">
        <v>6.8100550000000002</v>
      </c>
      <c r="IU11" s="21">
        <v>6.8100550000000002</v>
      </c>
      <c r="IV11" s="21">
        <v>6.8100550000000002</v>
      </c>
      <c r="IW11" s="21">
        <v>6.8100550000000002</v>
      </c>
      <c r="IX11" s="21">
        <v>6.8100550000000002</v>
      </c>
      <c r="IY11" s="21">
        <v>6.8100550000000002</v>
      </c>
      <c r="IZ11" s="21">
        <v>6.8100550000000002</v>
      </c>
      <c r="JA11" s="21">
        <v>6.8100550000000002</v>
      </c>
      <c r="JB11" s="21">
        <v>6.8100550000000002</v>
      </c>
      <c r="JC11" s="21">
        <v>6.8100550000000002</v>
      </c>
      <c r="JD11" s="21">
        <v>6.8100550000000002</v>
      </c>
      <c r="JE11" s="21">
        <v>6.8100550000000002</v>
      </c>
      <c r="JF11" s="21">
        <v>6.8100550000000002</v>
      </c>
      <c r="JG11" s="21">
        <v>6.8100550000000002</v>
      </c>
      <c r="JH11" s="21">
        <v>6.8100550000000002</v>
      </c>
      <c r="JI11" s="21">
        <v>6.8100550000000002</v>
      </c>
      <c r="JJ11" s="21">
        <v>6.8100550000000002</v>
      </c>
      <c r="JK11" s="21">
        <v>6.8100550000000002</v>
      </c>
      <c r="JL11" s="21">
        <v>6.8100550000000002</v>
      </c>
      <c r="JM11" s="21">
        <v>6.8100550000000002</v>
      </c>
      <c r="JN11" s="21">
        <v>6.8100550000000002</v>
      </c>
      <c r="JO11" s="21">
        <v>6.8100550000000002</v>
      </c>
      <c r="JP11" s="21">
        <v>6.8100550000000002</v>
      </c>
      <c r="JQ11" s="21">
        <v>6.8100550000000002</v>
      </c>
      <c r="JR11" s="21">
        <v>6.8100550000000002</v>
      </c>
      <c r="JS11" s="21">
        <v>6.8100550000000002</v>
      </c>
      <c r="JT11" s="21">
        <v>6.8100550000000002</v>
      </c>
      <c r="JU11" s="21">
        <v>6.8100550000000002</v>
      </c>
      <c r="JV11" s="21">
        <v>6.8100550000000002</v>
      </c>
      <c r="JW11" s="21">
        <v>6.8100550000000002</v>
      </c>
      <c r="JX11" s="21">
        <v>6.8100550000000002</v>
      </c>
      <c r="JY11" s="21">
        <v>6.8100550000000002</v>
      </c>
      <c r="JZ11" s="21">
        <v>6.8100550000000002</v>
      </c>
      <c r="KA11" s="21">
        <v>6.8100550000000002</v>
      </c>
      <c r="KB11" s="21">
        <v>6.8100550000000002</v>
      </c>
      <c r="KC11" s="21">
        <v>6.8100550000000002</v>
      </c>
      <c r="KD11" s="21">
        <v>6.8100550000000002</v>
      </c>
      <c r="KE11" s="21">
        <v>6.8100550000000002</v>
      </c>
      <c r="KF11" s="21">
        <v>6.8100550000000002</v>
      </c>
      <c r="KG11" s="21">
        <v>6.8100550000000002</v>
      </c>
      <c r="KH11" s="21">
        <v>6.8100550000000002</v>
      </c>
      <c r="KI11" s="21">
        <v>6.8100550000000002</v>
      </c>
      <c r="KJ11" s="21">
        <v>6.8100550000000002</v>
      </c>
      <c r="KK11" s="21">
        <v>6.8100550000000002</v>
      </c>
      <c r="KL11" s="21">
        <v>6.8100550000000002</v>
      </c>
      <c r="KM11" s="21">
        <v>6.8100550000000002</v>
      </c>
      <c r="KN11" s="21">
        <v>6.8100550000000002</v>
      </c>
      <c r="KO11" s="21">
        <v>6.8100550000000002</v>
      </c>
      <c r="KP11" s="21">
        <v>6.8100550000000002</v>
      </c>
      <c r="KQ11" s="21">
        <v>6.8100550000000002</v>
      </c>
      <c r="KR11" s="21">
        <v>6.8100550000000002</v>
      </c>
      <c r="KS11" s="21">
        <v>6.8100550000000002</v>
      </c>
      <c r="KT11" s="21">
        <v>6.8100550000000002</v>
      </c>
      <c r="KU11" s="21">
        <v>6.8100550000000002</v>
      </c>
      <c r="KV11" s="21">
        <v>6.8100550000000002</v>
      </c>
      <c r="KW11" s="21">
        <v>6.8100550000000002</v>
      </c>
      <c r="KX11" s="21">
        <v>6.8100550000000002</v>
      </c>
      <c r="KY11" s="21">
        <v>6.8100550000000002</v>
      </c>
      <c r="KZ11" s="21">
        <v>6.8100550000000002</v>
      </c>
      <c r="LA11" s="21">
        <v>6.8100550000000002</v>
      </c>
      <c r="LB11" s="21">
        <v>6.8100550000000002</v>
      </c>
      <c r="LC11" s="21">
        <v>6.8100550000000002</v>
      </c>
      <c r="LD11" s="21">
        <v>6.8261649999999996</v>
      </c>
      <c r="LE11" s="21">
        <v>0</v>
      </c>
      <c r="LF11" s="21">
        <v>0</v>
      </c>
      <c r="LG11" s="21">
        <v>0</v>
      </c>
      <c r="LH11" s="21">
        <v>0</v>
      </c>
      <c r="LI11" s="21">
        <v>0</v>
      </c>
      <c r="LJ11" s="21">
        <v>0</v>
      </c>
      <c r="LK11" s="21">
        <v>0</v>
      </c>
      <c r="LL11" s="21">
        <v>0</v>
      </c>
      <c r="LM11" s="21">
        <v>0</v>
      </c>
      <c r="LN11" s="21">
        <v>0</v>
      </c>
      <c r="LO11" s="21">
        <v>0</v>
      </c>
      <c r="LP11" s="21">
        <v>0</v>
      </c>
      <c r="LQ11" s="21">
        <v>0</v>
      </c>
      <c r="LR11" s="21">
        <v>0</v>
      </c>
      <c r="LS11" s="21">
        <v>0</v>
      </c>
      <c r="LT11" s="21">
        <v>0</v>
      </c>
      <c r="LU11" s="21">
        <v>0</v>
      </c>
      <c r="LV11" s="21">
        <v>0</v>
      </c>
      <c r="LW11" s="21">
        <v>0</v>
      </c>
      <c r="LX11" s="21">
        <v>0</v>
      </c>
      <c r="LY11" s="21">
        <v>0</v>
      </c>
      <c r="LZ11" s="21">
        <v>0</v>
      </c>
      <c r="MA11" s="21">
        <v>0</v>
      </c>
      <c r="MB11" s="21">
        <v>0</v>
      </c>
      <c r="MC11" s="21">
        <v>0</v>
      </c>
      <c r="MD11" s="21">
        <v>0</v>
      </c>
      <c r="ME11" s="21">
        <v>0</v>
      </c>
      <c r="MF11" s="21">
        <v>0</v>
      </c>
      <c r="MG11" s="21">
        <v>0</v>
      </c>
      <c r="MH11" s="21">
        <v>0</v>
      </c>
      <c r="MI11" s="21">
        <v>0</v>
      </c>
      <c r="MJ11" s="21">
        <v>0</v>
      </c>
      <c r="MK11" s="21">
        <v>0</v>
      </c>
      <c r="ML11" s="21">
        <v>0</v>
      </c>
      <c r="MM11" s="21">
        <v>0</v>
      </c>
      <c r="MN11" s="21">
        <v>0</v>
      </c>
      <c r="MO11" s="21">
        <v>0</v>
      </c>
      <c r="MP11" s="21">
        <v>0</v>
      </c>
      <c r="MQ11" s="21">
        <v>0</v>
      </c>
      <c r="MR11" s="21">
        <v>0</v>
      </c>
      <c r="MS11" s="21">
        <v>0</v>
      </c>
      <c r="MT11" s="21">
        <v>0</v>
      </c>
      <c r="MU11" s="21">
        <v>0</v>
      </c>
      <c r="MV11" s="21">
        <v>0</v>
      </c>
      <c r="MW11" s="21">
        <v>0</v>
      </c>
      <c r="MX11" s="21">
        <v>0</v>
      </c>
      <c r="MY11" s="21">
        <v>0</v>
      </c>
      <c r="MZ11" s="21">
        <v>0</v>
      </c>
    </row>
    <row r="12" spans="1:364" x14ac:dyDescent="0.25">
      <c r="A12" s="7">
        <f>+'Valo FX'!A13</f>
        <v>10</v>
      </c>
      <c r="B12" s="16" t="str">
        <f>+Base!B10</f>
        <v>202401310053A033</v>
      </c>
      <c r="C12" s="75">
        <v>6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7.7229549999999998</v>
      </c>
      <c r="K12" s="21">
        <v>7.7229549999999998</v>
      </c>
      <c r="L12" s="21">
        <v>7.7229549999999998</v>
      </c>
      <c r="M12" s="21">
        <v>7.7229549999999998</v>
      </c>
      <c r="N12" s="21">
        <v>7.7229549999999998</v>
      </c>
      <c r="O12" s="21">
        <v>7.7229549999999998</v>
      </c>
      <c r="P12" s="21">
        <v>7.7229549999999998</v>
      </c>
      <c r="Q12" s="21">
        <v>7.7229549999999998</v>
      </c>
      <c r="R12" s="21">
        <v>7.7229549999999998</v>
      </c>
      <c r="S12" s="21">
        <v>7.7229549999999998</v>
      </c>
      <c r="T12" s="21">
        <v>7.7229549999999998</v>
      </c>
      <c r="U12" s="21">
        <v>7.7229549999999998</v>
      </c>
      <c r="V12" s="21">
        <v>7.7229549999999998</v>
      </c>
      <c r="W12" s="21">
        <v>7.7229549999999998</v>
      </c>
      <c r="X12" s="21">
        <v>7.7229549999999998</v>
      </c>
      <c r="Y12" s="21">
        <v>7.7229549999999998</v>
      </c>
      <c r="Z12" s="21">
        <v>7.7229549999999998</v>
      </c>
      <c r="AA12" s="21">
        <v>7.7229549999999998</v>
      </c>
      <c r="AB12" s="21">
        <v>7.7229549999999998</v>
      </c>
      <c r="AC12" s="21">
        <v>7.7229549999999998</v>
      </c>
      <c r="AD12" s="21">
        <v>7.7229549999999998</v>
      </c>
      <c r="AE12" s="21">
        <v>7.7229549999999998</v>
      </c>
      <c r="AF12" s="21">
        <v>7.7229549999999998</v>
      </c>
      <c r="AG12" s="21">
        <v>7.7229549999999998</v>
      </c>
      <c r="AH12" s="21">
        <v>7.7229549999999998</v>
      </c>
      <c r="AI12" s="21">
        <v>7.7229549999999998</v>
      </c>
      <c r="AJ12" s="21">
        <v>7.7229549999999998</v>
      </c>
      <c r="AK12" s="21">
        <v>7.7229549999999998</v>
      </c>
      <c r="AL12" s="21">
        <v>7.7229549999999998</v>
      </c>
      <c r="AM12" s="21">
        <v>7.7229549999999998</v>
      </c>
      <c r="AN12" s="21">
        <v>7.7229549999999998</v>
      </c>
      <c r="AO12" s="21">
        <v>7.7229549999999998</v>
      </c>
      <c r="AP12" s="21">
        <v>7.7229549999999998</v>
      </c>
      <c r="AQ12" s="21">
        <v>7.7229549999999998</v>
      </c>
      <c r="AR12" s="21">
        <v>7.7229549999999998</v>
      </c>
      <c r="AS12" s="21">
        <v>7.7229549999999998</v>
      </c>
      <c r="AT12" s="21">
        <v>7.7229549999999998</v>
      </c>
      <c r="AU12" s="21">
        <v>7.7229549999999998</v>
      </c>
      <c r="AV12" s="21">
        <v>7.7229549999999998</v>
      </c>
      <c r="AW12" s="21">
        <v>7.7229549999999998</v>
      </c>
      <c r="AX12" s="21">
        <v>7.7229549999999998</v>
      </c>
      <c r="AY12" s="21">
        <v>7.7229549999999998</v>
      </c>
      <c r="AZ12" s="21">
        <v>7.7229549999999998</v>
      </c>
      <c r="BA12" s="21">
        <v>7.7229549999999998</v>
      </c>
      <c r="BB12" s="21">
        <v>7.7229549999999998</v>
      </c>
      <c r="BC12" s="21">
        <v>7.7229549999999998</v>
      </c>
      <c r="BD12" s="21">
        <v>7.7229549999999998</v>
      </c>
      <c r="BE12" s="21">
        <v>7.7229549999999998</v>
      </c>
      <c r="BF12" s="21">
        <v>7.7229549999999998</v>
      </c>
      <c r="BG12" s="21">
        <v>7.7229549999999998</v>
      </c>
      <c r="BH12" s="21">
        <v>7.7229549999999998</v>
      </c>
      <c r="BI12" s="21">
        <v>7.7229549999999998</v>
      </c>
      <c r="BJ12" s="21">
        <v>7.7229549999999998</v>
      </c>
      <c r="BK12" s="21">
        <v>7.7229549999999998</v>
      </c>
      <c r="BL12" s="21">
        <v>7.7229549999999998</v>
      </c>
      <c r="BM12" s="21">
        <v>7.7229549999999998</v>
      </c>
      <c r="BN12" s="21">
        <v>7.7229549999999998</v>
      </c>
      <c r="BO12" s="21">
        <v>7.7229549999999998</v>
      </c>
      <c r="BP12" s="21">
        <v>7.7229549999999998</v>
      </c>
      <c r="BQ12" s="21">
        <v>7.7229549999999998</v>
      </c>
      <c r="BR12" s="21">
        <v>7.7229549999999998</v>
      </c>
      <c r="BS12" s="21">
        <v>7.7229549999999998</v>
      </c>
      <c r="BT12" s="21">
        <v>7.7229549999999998</v>
      </c>
      <c r="BU12" s="21">
        <v>7.7229549999999998</v>
      </c>
      <c r="BV12" s="21">
        <v>7.7229549999999998</v>
      </c>
      <c r="BW12" s="21">
        <v>7.7229549999999998</v>
      </c>
      <c r="BX12" s="21">
        <v>7.7229549999999998</v>
      </c>
      <c r="BY12" s="21">
        <v>7.7229549999999998</v>
      </c>
      <c r="BZ12" s="21">
        <v>7.7229549999999998</v>
      </c>
      <c r="CA12" s="21">
        <v>7.7229549999999998</v>
      </c>
      <c r="CB12" s="21">
        <v>7.7229549999999998</v>
      </c>
      <c r="CC12" s="21">
        <v>7.7229549999999998</v>
      </c>
      <c r="CD12" s="21">
        <v>7.7229549999999998</v>
      </c>
      <c r="CE12" s="21">
        <v>7.7229549999999998</v>
      </c>
      <c r="CF12" s="21">
        <v>7.7229549999999998</v>
      </c>
      <c r="CG12" s="21">
        <v>7.7229549999999998</v>
      </c>
      <c r="CH12" s="21">
        <v>7.7229549999999998</v>
      </c>
      <c r="CI12" s="21">
        <v>7.7229549999999998</v>
      </c>
      <c r="CJ12" s="21">
        <v>7.7229549999999998</v>
      </c>
      <c r="CK12" s="21">
        <v>7.7229549999999998</v>
      </c>
      <c r="CL12" s="21">
        <v>7.7229549999999998</v>
      </c>
      <c r="CM12" s="21">
        <v>7.7229549999999998</v>
      </c>
      <c r="CN12" s="21">
        <v>7.7229549999999998</v>
      </c>
      <c r="CO12" s="21">
        <v>7.7229549999999998</v>
      </c>
      <c r="CP12" s="21">
        <v>7.7229549999999998</v>
      </c>
      <c r="CQ12" s="21">
        <v>7.7229549999999998</v>
      </c>
      <c r="CR12" s="21">
        <v>7.7229549999999998</v>
      </c>
      <c r="CS12" s="21">
        <v>7.7229549999999998</v>
      </c>
      <c r="CT12" s="21">
        <v>7.7229549999999998</v>
      </c>
      <c r="CU12" s="21">
        <v>7.7229549999999998</v>
      </c>
      <c r="CV12" s="21">
        <v>7.7229549999999998</v>
      </c>
      <c r="CW12" s="21">
        <v>7.7229549999999998</v>
      </c>
      <c r="CX12" s="21">
        <v>7.7229549999999998</v>
      </c>
      <c r="CY12" s="21">
        <v>7.7229549999999998</v>
      </c>
      <c r="CZ12" s="21">
        <v>7.7229549999999998</v>
      </c>
      <c r="DA12" s="21">
        <v>7.7229549999999998</v>
      </c>
      <c r="DB12" s="21">
        <v>7.7229549999999998</v>
      </c>
      <c r="DC12" s="21">
        <v>7.7229549999999998</v>
      </c>
      <c r="DD12" s="21">
        <v>7.7229549999999998</v>
      </c>
      <c r="DE12" s="21">
        <v>7.7229549999999998</v>
      </c>
      <c r="DF12" s="21">
        <v>7.7229549999999998</v>
      </c>
      <c r="DG12" s="21">
        <v>7.7229549999999998</v>
      </c>
      <c r="DH12" s="21">
        <v>7.7229549999999998</v>
      </c>
      <c r="DI12" s="21">
        <v>7.7229549999999998</v>
      </c>
      <c r="DJ12" s="21">
        <v>7.7229549999999998</v>
      </c>
      <c r="DK12" s="21">
        <v>7.7229549999999998</v>
      </c>
      <c r="DL12" s="21">
        <v>7.7229549999999998</v>
      </c>
      <c r="DM12" s="21">
        <v>7.7229549999999998</v>
      </c>
      <c r="DN12" s="21">
        <v>7.7229549999999998</v>
      </c>
      <c r="DO12" s="21">
        <v>7.7229549999999998</v>
      </c>
      <c r="DP12" s="21">
        <v>7.7229549999999998</v>
      </c>
      <c r="DQ12" s="21">
        <v>7.7229549999999998</v>
      </c>
      <c r="DR12" s="21">
        <v>7.7229549999999998</v>
      </c>
      <c r="DS12" s="21">
        <v>7.7229549999999998</v>
      </c>
      <c r="DT12" s="21">
        <v>7.7229549999999998</v>
      </c>
      <c r="DU12" s="21">
        <v>7.7229549999999998</v>
      </c>
      <c r="DV12" s="21">
        <v>7.7229549999999998</v>
      </c>
      <c r="DW12" s="21">
        <v>7.7229549999999998</v>
      </c>
      <c r="DX12" s="21">
        <v>7.7229549999999998</v>
      </c>
      <c r="DY12" s="21">
        <v>7.7229549999999998</v>
      </c>
      <c r="DZ12" s="21">
        <v>7.7229549999999998</v>
      </c>
      <c r="EA12" s="21">
        <v>7.7229549999999998</v>
      </c>
      <c r="EB12" s="21">
        <v>7.7229549999999998</v>
      </c>
      <c r="EC12" s="21">
        <v>7.7229549999999998</v>
      </c>
      <c r="ED12" s="21">
        <v>7.7229549999999998</v>
      </c>
      <c r="EE12" s="21">
        <v>7.7229549999999998</v>
      </c>
      <c r="EF12" s="21">
        <v>7.7229549999999998</v>
      </c>
      <c r="EG12" s="21">
        <v>7.7229549999999998</v>
      </c>
      <c r="EH12" s="21">
        <v>7.7229549999999998</v>
      </c>
      <c r="EI12" s="21">
        <v>7.7229549999999998</v>
      </c>
      <c r="EJ12" s="21">
        <v>7.7229549999999998</v>
      </c>
      <c r="EK12" s="21">
        <v>7.7229549999999998</v>
      </c>
      <c r="EL12" s="21">
        <v>7.7229549999999998</v>
      </c>
      <c r="EM12" s="21">
        <v>7.7229549999999998</v>
      </c>
      <c r="EN12" s="21">
        <v>7.7229549999999998</v>
      </c>
      <c r="EO12" s="21">
        <v>7.7229549999999998</v>
      </c>
      <c r="EP12" s="21">
        <v>7.7229549999999998</v>
      </c>
      <c r="EQ12" s="21">
        <v>7.7229549999999998</v>
      </c>
      <c r="ER12" s="21">
        <v>7.7229549999999998</v>
      </c>
      <c r="ES12" s="21">
        <v>7.7229549999999998</v>
      </c>
      <c r="ET12" s="21">
        <v>7.7229549999999998</v>
      </c>
      <c r="EU12" s="21">
        <v>7.7229549999999998</v>
      </c>
      <c r="EV12" s="21">
        <v>7.7229549999999998</v>
      </c>
      <c r="EW12" s="21">
        <v>7.7229549999999998</v>
      </c>
      <c r="EX12" s="21">
        <v>7.7229549999999998</v>
      </c>
      <c r="EY12" s="21">
        <v>7.7229549999999998</v>
      </c>
      <c r="EZ12" s="21">
        <v>7.7229549999999998</v>
      </c>
      <c r="FA12" s="21">
        <v>7.7229549999999998</v>
      </c>
      <c r="FB12" s="21">
        <v>7.7229549999999998</v>
      </c>
      <c r="FC12" s="21">
        <v>7.7229549999999998</v>
      </c>
      <c r="FD12" s="21">
        <v>7.7229549999999998</v>
      </c>
      <c r="FE12" s="21">
        <v>7.7229549999999998</v>
      </c>
      <c r="FF12" s="21">
        <v>7.7229549999999998</v>
      </c>
      <c r="FG12" s="21">
        <v>7.7229549999999998</v>
      </c>
      <c r="FH12" s="21">
        <v>7.7229549999999998</v>
      </c>
      <c r="FI12" s="21">
        <v>7.7229549999999998</v>
      </c>
      <c r="FJ12" s="21">
        <v>7.7229549999999998</v>
      </c>
      <c r="FK12" s="21">
        <v>7.7229549999999998</v>
      </c>
      <c r="FL12" s="21">
        <v>7.7229549999999998</v>
      </c>
      <c r="FM12" s="21">
        <v>7.7229549999999998</v>
      </c>
      <c r="FN12" s="21">
        <v>7.7229549999999998</v>
      </c>
      <c r="FO12" s="21">
        <v>7.7229549999999998</v>
      </c>
      <c r="FP12" s="21">
        <v>7.7229549999999998</v>
      </c>
      <c r="FQ12" s="21">
        <v>7.7229549999999998</v>
      </c>
      <c r="FR12" s="21">
        <v>7.7229549999999998</v>
      </c>
      <c r="FS12" s="21">
        <v>7.7229549999999998</v>
      </c>
      <c r="FT12" s="21">
        <v>7.7229549999999998</v>
      </c>
      <c r="FU12" s="21">
        <v>7.7229549999999998</v>
      </c>
      <c r="FV12" s="21">
        <v>7.7229549999999998</v>
      </c>
      <c r="FW12" s="21">
        <v>7.7229549999999998</v>
      </c>
      <c r="FX12" s="21">
        <v>7.7229549999999998</v>
      </c>
      <c r="FY12" s="21">
        <v>7.7229549999999998</v>
      </c>
      <c r="FZ12" s="21">
        <v>7.7229549999999998</v>
      </c>
      <c r="GA12" s="21">
        <v>7.7229549999999998</v>
      </c>
      <c r="GB12" s="21">
        <v>7.7229549999999998</v>
      </c>
      <c r="GC12" s="21">
        <v>7.7229549999999998</v>
      </c>
      <c r="GD12" s="21">
        <v>7.7229549999999998</v>
      </c>
      <c r="GE12" s="21">
        <v>7.7229549999999998</v>
      </c>
      <c r="GF12" s="21">
        <v>7.7229549999999998</v>
      </c>
      <c r="GG12" s="21">
        <v>7.7229549999999998</v>
      </c>
      <c r="GH12" s="21">
        <v>7.7229549999999998</v>
      </c>
      <c r="GI12" s="21">
        <v>7.7229549999999998</v>
      </c>
      <c r="GJ12" s="21">
        <v>7.7229549999999998</v>
      </c>
      <c r="GK12" s="21">
        <v>7.7229549999999998</v>
      </c>
      <c r="GL12" s="21">
        <v>7.7229549999999998</v>
      </c>
      <c r="GM12" s="21">
        <v>7.7229549999999998</v>
      </c>
      <c r="GN12" s="21">
        <v>7.7229549999999998</v>
      </c>
      <c r="GO12" s="21">
        <v>7.7229549999999998</v>
      </c>
      <c r="GP12" s="21">
        <v>7.7229549999999998</v>
      </c>
      <c r="GQ12" s="21">
        <v>7.7229549999999998</v>
      </c>
      <c r="GR12" s="21">
        <v>7.7229549999999998</v>
      </c>
      <c r="GS12" s="21">
        <v>7.7229549999999998</v>
      </c>
      <c r="GT12" s="21">
        <v>7.7229549999999998</v>
      </c>
      <c r="GU12" s="21">
        <v>7.7229549999999998</v>
      </c>
      <c r="GV12" s="21">
        <v>7.7229549999999998</v>
      </c>
      <c r="GW12" s="21">
        <v>7.7229549999999998</v>
      </c>
      <c r="GX12" s="21">
        <v>7.7229549999999998</v>
      </c>
      <c r="GY12" s="21">
        <v>7.7229549999999998</v>
      </c>
      <c r="GZ12" s="21">
        <v>7.7229549999999998</v>
      </c>
      <c r="HA12" s="21">
        <v>7.7229549999999998</v>
      </c>
      <c r="HB12" s="21">
        <v>7.7229549999999998</v>
      </c>
      <c r="HC12" s="21">
        <v>7.7229549999999998</v>
      </c>
      <c r="HD12" s="21">
        <v>7.7229549999999998</v>
      </c>
      <c r="HE12" s="21">
        <v>7.7229549999999998</v>
      </c>
      <c r="HF12" s="21">
        <v>7.7229549999999998</v>
      </c>
      <c r="HG12" s="21">
        <v>7.7229549999999998</v>
      </c>
      <c r="HH12" s="21">
        <v>7.7229549999999998</v>
      </c>
      <c r="HI12" s="21">
        <v>7.7229549999999998</v>
      </c>
      <c r="HJ12" s="21">
        <v>7.7229549999999998</v>
      </c>
      <c r="HK12" s="21">
        <v>7.7229549999999998</v>
      </c>
      <c r="HL12" s="21">
        <v>7.7229549999999998</v>
      </c>
      <c r="HM12" s="21">
        <v>7.7229549999999998</v>
      </c>
      <c r="HN12" s="21">
        <v>7.7229549999999998</v>
      </c>
      <c r="HO12" s="21">
        <v>7.7229549999999998</v>
      </c>
      <c r="HP12" s="21">
        <v>7.7229549999999998</v>
      </c>
      <c r="HQ12" s="21">
        <v>7.7229549999999998</v>
      </c>
      <c r="HR12" s="21">
        <v>7.7229549999999998</v>
      </c>
      <c r="HS12" s="21">
        <v>7.7229549999999998</v>
      </c>
      <c r="HT12" s="21">
        <v>7.7229549999999998</v>
      </c>
      <c r="HU12" s="21">
        <v>7.7229549999999998</v>
      </c>
      <c r="HV12" s="21">
        <v>7.7229549999999998</v>
      </c>
      <c r="HW12" s="21">
        <v>7.7229549999999998</v>
      </c>
      <c r="HX12" s="21">
        <v>7.72743</v>
      </c>
      <c r="HY12" s="21">
        <v>0</v>
      </c>
      <c r="HZ12" s="21">
        <v>0</v>
      </c>
      <c r="IA12" s="21">
        <v>0</v>
      </c>
      <c r="IB12" s="21">
        <v>0</v>
      </c>
      <c r="IC12" s="21">
        <v>0</v>
      </c>
      <c r="ID12" s="21">
        <v>0</v>
      </c>
      <c r="IE12" s="21">
        <v>0</v>
      </c>
      <c r="IF12" s="21">
        <v>0</v>
      </c>
      <c r="IG12" s="21">
        <v>0</v>
      </c>
      <c r="IH12" s="21">
        <v>0</v>
      </c>
      <c r="II12" s="21">
        <v>0</v>
      </c>
      <c r="IJ12" s="21">
        <v>0</v>
      </c>
      <c r="IK12" s="21">
        <v>0</v>
      </c>
      <c r="IL12" s="21">
        <v>0</v>
      </c>
      <c r="IM12" s="21">
        <v>0</v>
      </c>
      <c r="IN12" s="21">
        <v>0</v>
      </c>
      <c r="IO12" s="21">
        <v>0</v>
      </c>
      <c r="IP12" s="21">
        <v>0</v>
      </c>
      <c r="IQ12" s="21">
        <v>0</v>
      </c>
      <c r="IR12" s="21">
        <v>0</v>
      </c>
      <c r="IS12" s="21">
        <v>0</v>
      </c>
      <c r="IT12" s="21">
        <v>0</v>
      </c>
      <c r="IU12" s="21">
        <v>0</v>
      </c>
      <c r="IV12" s="21">
        <v>0</v>
      </c>
      <c r="IW12" s="21">
        <v>0</v>
      </c>
      <c r="IX12" s="21">
        <v>0</v>
      </c>
      <c r="IY12" s="21">
        <v>0</v>
      </c>
      <c r="IZ12" s="21">
        <v>0</v>
      </c>
      <c r="JA12" s="21">
        <v>0</v>
      </c>
      <c r="JB12" s="21">
        <v>0</v>
      </c>
      <c r="JC12" s="21">
        <v>0</v>
      </c>
      <c r="JD12" s="21">
        <v>0</v>
      </c>
      <c r="JE12" s="21">
        <v>0</v>
      </c>
      <c r="JF12" s="21">
        <v>0</v>
      </c>
      <c r="JG12" s="21">
        <v>0</v>
      </c>
      <c r="JH12" s="21">
        <v>0</v>
      </c>
      <c r="JI12" s="21">
        <v>0</v>
      </c>
      <c r="JJ12" s="21">
        <v>0</v>
      </c>
      <c r="JK12" s="21">
        <v>0</v>
      </c>
      <c r="JL12" s="21">
        <v>0</v>
      </c>
      <c r="JM12" s="21">
        <v>0</v>
      </c>
      <c r="JN12" s="21">
        <v>0</v>
      </c>
      <c r="JO12" s="21">
        <v>0</v>
      </c>
      <c r="JP12" s="21">
        <v>0</v>
      </c>
      <c r="JQ12" s="21">
        <v>0</v>
      </c>
      <c r="JR12" s="21">
        <v>0</v>
      </c>
      <c r="JS12" s="21">
        <v>0</v>
      </c>
      <c r="JT12" s="21">
        <v>0</v>
      </c>
      <c r="JU12" s="21">
        <v>0</v>
      </c>
      <c r="JV12" s="21">
        <v>0</v>
      </c>
      <c r="JW12" s="21">
        <v>0</v>
      </c>
      <c r="JX12" s="21">
        <v>0</v>
      </c>
      <c r="JY12" s="21">
        <v>0</v>
      </c>
      <c r="JZ12" s="21">
        <v>0</v>
      </c>
      <c r="KA12" s="21">
        <v>0</v>
      </c>
      <c r="KB12" s="21">
        <v>0</v>
      </c>
      <c r="KC12" s="21">
        <v>0</v>
      </c>
      <c r="KD12" s="21">
        <v>0</v>
      </c>
      <c r="KE12" s="21">
        <v>0</v>
      </c>
      <c r="KF12" s="21">
        <v>0</v>
      </c>
      <c r="KG12" s="21">
        <v>0</v>
      </c>
      <c r="KH12" s="21">
        <v>0</v>
      </c>
      <c r="KI12" s="21">
        <v>0</v>
      </c>
      <c r="KJ12" s="21">
        <v>0</v>
      </c>
      <c r="KK12" s="21">
        <v>0</v>
      </c>
      <c r="KL12" s="21">
        <v>0</v>
      </c>
      <c r="KM12" s="21">
        <v>0</v>
      </c>
      <c r="KN12" s="21">
        <v>0</v>
      </c>
      <c r="KO12" s="21">
        <v>0</v>
      </c>
      <c r="KP12" s="21">
        <v>0</v>
      </c>
      <c r="KQ12" s="21">
        <v>0</v>
      </c>
      <c r="KR12" s="21">
        <v>0</v>
      </c>
      <c r="KS12" s="21">
        <v>0</v>
      </c>
      <c r="KT12" s="21">
        <v>0</v>
      </c>
      <c r="KU12" s="21">
        <v>0</v>
      </c>
      <c r="KV12" s="21">
        <v>0</v>
      </c>
      <c r="KW12" s="21">
        <v>0</v>
      </c>
      <c r="KX12" s="21">
        <v>0</v>
      </c>
      <c r="KY12" s="21">
        <v>0</v>
      </c>
      <c r="KZ12" s="21">
        <v>0</v>
      </c>
      <c r="LA12" s="21">
        <v>0</v>
      </c>
      <c r="LB12" s="21">
        <v>0</v>
      </c>
      <c r="LC12" s="21">
        <v>0</v>
      </c>
      <c r="LD12" s="21">
        <v>0</v>
      </c>
      <c r="LE12" s="21">
        <v>0</v>
      </c>
      <c r="LF12" s="21">
        <v>0</v>
      </c>
      <c r="LG12" s="21">
        <v>0</v>
      </c>
      <c r="LH12" s="21">
        <v>0</v>
      </c>
      <c r="LI12" s="21">
        <v>0</v>
      </c>
      <c r="LJ12" s="21">
        <v>0</v>
      </c>
      <c r="LK12" s="21">
        <v>0</v>
      </c>
      <c r="LL12" s="21">
        <v>0</v>
      </c>
      <c r="LM12" s="21">
        <v>0</v>
      </c>
      <c r="LN12" s="21">
        <v>0</v>
      </c>
      <c r="LO12" s="21">
        <v>0</v>
      </c>
      <c r="LP12" s="21">
        <v>0</v>
      </c>
      <c r="LQ12" s="21">
        <v>0</v>
      </c>
      <c r="LR12" s="21">
        <v>0</v>
      </c>
      <c r="LS12" s="21">
        <v>0</v>
      </c>
      <c r="LT12" s="21">
        <v>0</v>
      </c>
      <c r="LU12" s="21">
        <v>0</v>
      </c>
      <c r="LV12" s="21">
        <v>0</v>
      </c>
      <c r="LW12" s="21">
        <v>0</v>
      </c>
      <c r="LX12" s="21">
        <v>0</v>
      </c>
      <c r="LY12" s="21">
        <v>0</v>
      </c>
      <c r="LZ12" s="21">
        <v>0</v>
      </c>
      <c r="MA12" s="21">
        <v>0</v>
      </c>
      <c r="MB12" s="21">
        <v>0</v>
      </c>
      <c r="MC12" s="21">
        <v>0</v>
      </c>
      <c r="MD12" s="21">
        <v>0</v>
      </c>
      <c r="ME12" s="21">
        <v>0</v>
      </c>
      <c r="MF12" s="21">
        <v>0</v>
      </c>
      <c r="MG12" s="21">
        <v>0</v>
      </c>
      <c r="MH12" s="21">
        <v>0</v>
      </c>
      <c r="MI12" s="21">
        <v>0</v>
      </c>
      <c r="MJ12" s="21">
        <v>0</v>
      </c>
      <c r="MK12" s="21">
        <v>0</v>
      </c>
      <c r="ML12" s="21">
        <v>0</v>
      </c>
      <c r="MM12" s="21">
        <v>0</v>
      </c>
      <c r="MN12" s="21">
        <v>0</v>
      </c>
      <c r="MO12" s="21">
        <v>0</v>
      </c>
      <c r="MP12" s="21">
        <v>0</v>
      </c>
      <c r="MQ12" s="21">
        <v>0</v>
      </c>
      <c r="MR12" s="21">
        <v>0</v>
      </c>
      <c r="MS12" s="21">
        <v>0</v>
      </c>
      <c r="MT12" s="21">
        <v>0</v>
      </c>
      <c r="MU12" s="21">
        <v>0</v>
      </c>
      <c r="MV12" s="21">
        <v>0</v>
      </c>
      <c r="MW12" s="21">
        <v>0</v>
      </c>
      <c r="MX12" s="21">
        <v>0</v>
      </c>
      <c r="MY12" s="21">
        <v>0</v>
      </c>
      <c r="MZ12" s="21">
        <v>0</v>
      </c>
    </row>
    <row r="13" spans="1:364" x14ac:dyDescent="0.25">
      <c r="A13" s="7">
        <f>+'Valo FX'!A14</f>
        <v>11</v>
      </c>
      <c r="B13" s="16" t="str">
        <f>+Base!B11</f>
        <v>202401310054A033</v>
      </c>
      <c r="C13" s="75">
        <v>6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11.621169999999999</v>
      </c>
      <c r="K13" s="21">
        <v>11.621169999999999</v>
      </c>
      <c r="L13" s="21">
        <v>11.621169999999999</v>
      </c>
      <c r="M13" s="21">
        <v>11.621169999999999</v>
      </c>
      <c r="N13" s="21">
        <v>11.621169999999999</v>
      </c>
      <c r="O13" s="21">
        <v>11.621169999999999</v>
      </c>
      <c r="P13" s="21">
        <v>11.621169999999999</v>
      </c>
      <c r="Q13" s="21">
        <v>11.621169999999999</v>
      </c>
      <c r="R13" s="21">
        <v>11.621169999999999</v>
      </c>
      <c r="S13" s="21">
        <v>11.621169999999999</v>
      </c>
      <c r="T13" s="21">
        <v>11.621169999999999</v>
      </c>
      <c r="U13" s="21">
        <v>11.621169999999999</v>
      </c>
      <c r="V13" s="21">
        <v>11.621169999999999</v>
      </c>
      <c r="W13" s="21">
        <v>11.621169999999999</v>
      </c>
      <c r="X13" s="21">
        <v>11.621169999999999</v>
      </c>
      <c r="Y13" s="21">
        <v>11.621169999999999</v>
      </c>
      <c r="Z13" s="21">
        <v>11.621169999999999</v>
      </c>
      <c r="AA13" s="21">
        <v>11.621169999999999</v>
      </c>
      <c r="AB13" s="21">
        <v>11.621169999999999</v>
      </c>
      <c r="AC13" s="21">
        <v>11.621169999999999</v>
      </c>
      <c r="AD13" s="21">
        <v>11.621169999999999</v>
      </c>
      <c r="AE13" s="21">
        <v>11.621169999999999</v>
      </c>
      <c r="AF13" s="21">
        <v>11.621169999999999</v>
      </c>
      <c r="AG13" s="21">
        <v>11.621169999999999</v>
      </c>
      <c r="AH13" s="21">
        <v>11.621169999999999</v>
      </c>
      <c r="AI13" s="21">
        <v>11.621169999999999</v>
      </c>
      <c r="AJ13" s="21">
        <v>11.621169999999999</v>
      </c>
      <c r="AK13" s="21">
        <v>11.621169999999999</v>
      </c>
      <c r="AL13" s="21">
        <v>11.621169999999999</v>
      </c>
      <c r="AM13" s="21">
        <v>11.621169999999999</v>
      </c>
      <c r="AN13" s="21">
        <v>11.621169999999999</v>
      </c>
      <c r="AO13" s="21">
        <v>11.621169999999999</v>
      </c>
      <c r="AP13" s="21">
        <v>11.621169999999999</v>
      </c>
      <c r="AQ13" s="21">
        <v>11.621169999999999</v>
      </c>
      <c r="AR13" s="21">
        <v>11.621169999999999</v>
      </c>
      <c r="AS13" s="21">
        <v>11.621169999999999</v>
      </c>
      <c r="AT13" s="21">
        <v>11.621169999999999</v>
      </c>
      <c r="AU13" s="21">
        <v>11.621169999999999</v>
      </c>
      <c r="AV13" s="21">
        <v>11.621169999999999</v>
      </c>
      <c r="AW13" s="21">
        <v>11.621169999999999</v>
      </c>
      <c r="AX13" s="21">
        <v>11.621169999999999</v>
      </c>
      <c r="AY13" s="21">
        <v>11.621169999999999</v>
      </c>
      <c r="AZ13" s="21">
        <v>11.621169999999999</v>
      </c>
      <c r="BA13" s="21">
        <v>11.621169999999999</v>
      </c>
      <c r="BB13" s="21">
        <v>11.621169999999999</v>
      </c>
      <c r="BC13" s="21">
        <v>11.621169999999999</v>
      </c>
      <c r="BD13" s="21">
        <v>11.621169999999999</v>
      </c>
      <c r="BE13" s="21">
        <v>11.621169999999999</v>
      </c>
      <c r="BF13" s="21">
        <v>11.621169999999999</v>
      </c>
      <c r="BG13" s="21">
        <v>11.621169999999999</v>
      </c>
      <c r="BH13" s="21">
        <v>11.621169999999999</v>
      </c>
      <c r="BI13" s="21">
        <v>11.621169999999999</v>
      </c>
      <c r="BJ13" s="21">
        <v>11.621169999999999</v>
      </c>
      <c r="BK13" s="21">
        <v>11.621169999999999</v>
      </c>
      <c r="BL13" s="21">
        <v>11.621169999999999</v>
      </c>
      <c r="BM13" s="21">
        <v>11.621169999999999</v>
      </c>
      <c r="BN13" s="21">
        <v>11.621169999999999</v>
      </c>
      <c r="BO13" s="21">
        <v>11.621169999999999</v>
      </c>
      <c r="BP13" s="21">
        <v>11.621169999999999</v>
      </c>
      <c r="BQ13" s="21">
        <v>11.621169999999999</v>
      </c>
      <c r="BR13" s="21">
        <v>11.621169999999999</v>
      </c>
      <c r="BS13" s="21">
        <v>11.621169999999999</v>
      </c>
      <c r="BT13" s="21">
        <v>11.621169999999999</v>
      </c>
      <c r="BU13" s="21">
        <v>11.621169999999999</v>
      </c>
      <c r="BV13" s="21">
        <v>11.621169999999999</v>
      </c>
      <c r="BW13" s="21">
        <v>11.621169999999999</v>
      </c>
      <c r="BX13" s="21">
        <v>11.621169999999999</v>
      </c>
      <c r="BY13" s="21">
        <v>11.621169999999999</v>
      </c>
      <c r="BZ13" s="21">
        <v>11.621169999999999</v>
      </c>
      <c r="CA13" s="21">
        <v>11.621169999999999</v>
      </c>
      <c r="CB13" s="21">
        <v>11.621169999999999</v>
      </c>
      <c r="CC13" s="21">
        <v>11.621169999999999</v>
      </c>
      <c r="CD13" s="21">
        <v>11.621169999999999</v>
      </c>
      <c r="CE13" s="21">
        <v>11.621169999999999</v>
      </c>
      <c r="CF13" s="21">
        <v>11.621169999999999</v>
      </c>
      <c r="CG13" s="21">
        <v>11.621169999999999</v>
      </c>
      <c r="CH13" s="21">
        <v>11.621169999999999</v>
      </c>
      <c r="CI13" s="21">
        <v>11.621169999999999</v>
      </c>
      <c r="CJ13" s="21">
        <v>11.621169999999999</v>
      </c>
      <c r="CK13" s="21">
        <v>11.621169999999999</v>
      </c>
      <c r="CL13" s="21">
        <v>11.621169999999999</v>
      </c>
      <c r="CM13" s="21">
        <v>11.621169999999999</v>
      </c>
      <c r="CN13" s="21">
        <v>11.621169999999999</v>
      </c>
      <c r="CO13" s="21">
        <v>11.621169999999999</v>
      </c>
      <c r="CP13" s="21">
        <v>11.621169999999999</v>
      </c>
      <c r="CQ13" s="21">
        <v>11.621169999999999</v>
      </c>
      <c r="CR13" s="21">
        <v>11.621169999999999</v>
      </c>
      <c r="CS13" s="21">
        <v>11.621169999999999</v>
      </c>
      <c r="CT13" s="21">
        <v>11.621169999999999</v>
      </c>
      <c r="CU13" s="21">
        <v>11.621169999999999</v>
      </c>
      <c r="CV13" s="21">
        <v>11.621169999999999</v>
      </c>
      <c r="CW13" s="21">
        <v>11.621169999999999</v>
      </c>
      <c r="CX13" s="21">
        <v>11.621169999999999</v>
      </c>
      <c r="CY13" s="21">
        <v>11.621169999999999</v>
      </c>
      <c r="CZ13" s="21">
        <v>11.621169999999999</v>
      </c>
      <c r="DA13" s="21">
        <v>11.621169999999999</v>
      </c>
      <c r="DB13" s="21">
        <v>11.621169999999999</v>
      </c>
      <c r="DC13" s="21">
        <v>11.621169999999999</v>
      </c>
      <c r="DD13" s="21">
        <v>11.621169999999999</v>
      </c>
      <c r="DE13" s="21">
        <v>11.621169999999999</v>
      </c>
      <c r="DF13" s="21">
        <v>11.621169999999999</v>
      </c>
      <c r="DG13" s="21">
        <v>11.621169999999999</v>
      </c>
      <c r="DH13" s="21">
        <v>11.621169999999999</v>
      </c>
      <c r="DI13" s="21">
        <v>11.621169999999999</v>
      </c>
      <c r="DJ13" s="21">
        <v>11.621169999999999</v>
      </c>
      <c r="DK13" s="21">
        <v>11.621169999999999</v>
      </c>
      <c r="DL13" s="21">
        <v>11.621169999999999</v>
      </c>
      <c r="DM13" s="21">
        <v>11.621169999999999</v>
      </c>
      <c r="DN13" s="21">
        <v>11.621169999999999</v>
      </c>
      <c r="DO13" s="21">
        <v>11.621169999999999</v>
      </c>
      <c r="DP13" s="21">
        <v>11.621169999999999</v>
      </c>
      <c r="DQ13" s="21">
        <v>11.621169999999999</v>
      </c>
      <c r="DR13" s="21">
        <v>11.621169999999999</v>
      </c>
      <c r="DS13" s="21">
        <v>11.621169999999999</v>
      </c>
      <c r="DT13" s="21">
        <v>11.621169999999999</v>
      </c>
      <c r="DU13" s="21">
        <v>11.621169999999999</v>
      </c>
      <c r="DV13" s="21">
        <v>11.621169999999999</v>
      </c>
      <c r="DW13" s="21">
        <v>11.621169999999999</v>
      </c>
      <c r="DX13" s="21">
        <v>11.621169999999999</v>
      </c>
      <c r="DY13" s="21">
        <v>11.621169999999999</v>
      </c>
      <c r="DZ13" s="21">
        <v>11.621169999999999</v>
      </c>
      <c r="EA13" s="21">
        <v>11.621169999999999</v>
      </c>
      <c r="EB13" s="21">
        <v>11.621169999999999</v>
      </c>
      <c r="EC13" s="21">
        <v>11.621169999999999</v>
      </c>
      <c r="ED13" s="21">
        <v>11.621169999999999</v>
      </c>
      <c r="EE13" s="21">
        <v>11.621169999999999</v>
      </c>
      <c r="EF13" s="21">
        <v>11.621169999999999</v>
      </c>
      <c r="EG13" s="21">
        <v>11.621169999999999</v>
      </c>
      <c r="EH13" s="21">
        <v>11.621169999999999</v>
      </c>
      <c r="EI13" s="21">
        <v>11.621169999999999</v>
      </c>
      <c r="EJ13" s="21">
        <v>11.621169999999999</v>
      </c>
      <c r="EK13" s="21">
        <v>11.621169999999999</v>
      </c>
      <c r="EL13" s="21">
        <v>11.621169999999999</v>
      </c>
      <c r="EM13" s="21">
        <v>11.621169999999999</v>
      </c>
      <c r="EN13" s="21">
        <v>11.621169999999999</v>
      </c>
      <c r="EO13" s="21">
        <v>11.621169999999999</v>
      </c>
      <c r="EP13" s="21">
        <v>11.621169999999999</v>
      </c>
      <c r="EQ13" s="21">
        <v>11.621169999999999</v>
      </c>
      <c r="ER13" s="21">
        <v>11.621169999999999</v>
      </c>
      <c r="ES13" s="21">
        <v>11.621169999999999</v>
      </c>
      <c r="ET13" s="21">
        <v>11.621169999999999</v>
      </c>
      <c r="EU13" s="21">
        <v>11.621169999999999</v>
      </c>
      <c r="EV13" s="21">
        <v>11.621169999999999</v>
      </c>
      <c r="EW13" s="21">
        <v>11.621169999999999</v>
      </c>
      <c r="EX13" s="21">
        <v>11.621169999999999</v>
      </c>
      <c r="EY13" s="21">
        <v>11.621169999999999</v>
      </c>
      <c r="EZ13" s="21">
        <v>11.621169999999999</v>
      </c>
      <c r="FA13" s="21">
        <v>11.621169999999999</v>
      </c>
      <c r="FB13" s="21">
        <v>11.621169999999999</v>
      </c>
      <c r="FC13" s="21">
        <v>11.621169999999999</v>
      </c>
      <c r="FD13" s="21">
        <v>11.621169999999999</v>
      </c>
      <c r="FE13" s="21">
        <v>11.621169999999999</v>
      </c>
      <c r="FF13" s="21">
        <v>11.621169999999999</v>
      </c>
      <c r="FG13" s="21">
        <v>11.621169999999999</v>
      </c>
      <c r="FH13" s="21">
        <v>11.621169999999999</v>
      </c>
      <c r="FI13" s="21">
        <v>11.621169999999999</v>
      </c>
      <c r="FJ13" s="21">
        <v>11.621169999999999</v>
      </c>
      <c r="FK13" s="21">
        <v>11.621169999999999</v>
      </c>
      <c r="FL13" s="21">
        <v>11.621169999999999</v>
      </c>
      <c r="FM13" s="21">
        <v>11.621169999999999</v>
      </c>
      <c r="FN13" s="21">
        <v>11.621169999999999</v>
      </c>
      <c r="FO13" s="21">
        <v>11.621169999999999</v>
      </c>
      <c r="FP13" s="21">
        <v>11.621169999999999</v>
      </c>
      <c r="FQ13" s="21">
        <v>11.621169999999999</v>
      </c>
      <c r="FR13" s="21">
        <v>11.621169999999999</v>
      </c>
      <c r="FS13" s="21">
        <v>11.621169999999999</v>
      </c>
      <c r="FT13" s="21">
        <v>11.621169999999999</v>
      </c>
      <c r="FU13" s="21">
        <v>11.621169999999999</v>
      </c>
      <c r="FV13" s="21">
        <v>11.621169999999999</v>
      </c>
      <c r="FW13" s="21">
        <v>11.621169999999999</v>
      </c>
      <c r="FX13" s="21">
        <v>11.621169999999999</v>
      </c>
      <c r="FY13" s="21">
        <v>11.621169999999999</v>
      </c>
      <c r="FZ13" s="21">
        <v>11.621169999999999</v>
      </c>
      <c r="GA13" s="21">
        <v>11.621169999999999</v>
      </c>
      <c r="GB13" s="21">
        <v>11.621169999999999</v>
      </c>
      <c r="GC13" s="21">
        <v>11.621169999999999</v>
      </c>
      <c r="GD13" s="21">
        <v>11.621169999999999</v>
      </c>
      <c r="GE13" s="21">
        <v>11.621169999999999</v>
      </c>
      <c r="GF13" s="21">
        <v>11.621169999999999</v>
      </c>
      <c r="GG13" s="21">
        <v>11.621169999999999</v>
      </c>
      <c r="GH13" s="21">
        <v>11.621169999999999</v>
      </c>
      <c r="GI13" s="21">
        <v>11.621169999999999</v>
      </c>
      <c r="GJ13" s="21">
        <v>11.621169999999999</v>
      </c>
      <c r="GK13" s="21">
        <v>11.621169999999999</v>
      </c>
      <c r="GL13" s="21">
        <v>11.621169999999999</v>
      </c>
      <c r="GM13" s="21">
        <v>11.621169999999999</v>
      </c>
      <c r="GN13" s="21">
        <v>11.621169999999999</v>
      </c>
      <c r="GO13" s="21">
        <v>11.621169999999999</v>
      </c>
      <c r="GP13" s="21">
        <v>11.621169999999999</v>
      </c>
      <c r="GQ13" s="21">
        <v>11.621169999999999</v>
      </c>
      <c r="GR13" s="21">
        <v>11.621169999999999</v>
      </c>
      <c r="GS13" s="21">
        <v>11.621169999999999</v>
      </c>
      <c r="GT13" s="21">
        <v>11.621169999999999</v>
      </c>
      <c r="GU13" s="21">
        <v>11.621169999999999</v>
      </c>
      <c r="GV13" s="21">
        <v>11.621169999999999</v>
      </c>
      <c r="GW13" s="21">
        <v>11.621169999999999</v>
      </c>
      <c r="GX13" s="21">
        <v>11.621169999999999</v>
      </c>
      <c r="GY13" s="21">
        <v>11.621169999999999</v>
      </c>
      <c r="GZ13" s="21">
        <v>11.621169999999999</v>
      </c>
      <c r="HA13" s="21">
        <v>11.621169999999999</v>
      </c>
      <c r="HB13" s="21">
        <v>11.621169999999999</v>
      </c>
      <c r="HC13" s="21">
        <v>11.621169999999999</v>
      </c>
      <c r="HD13" s="21">
        <v>11.621169999999999</v>
      </c>
      <c r="HE13" s="21">
        <v>11.621169999999999</v>
      </c>
      <c r="HF13" s="21">
        <v>11.621169999999999</v>
      </c>
      <c r="HG13" s="21">
        <v>11.621169999999999</v>
      </c>
      <c r="HH13" s="21">
        <v>11.621169999999999</v>
      </c>
      <c r="HI13" s="21">
        <v>11.621169999999999</v>
      </c>
      <c r="HJ13" s="21">
        <v>11.621169999999999</v>
      </c>
      <c r="HK13" s="21">
        <v>11.621169999999999</v>
      </c>
      <c r="HL13" s="21">
        <v>11.621169999999999</v>
      </c>
      <c r="HM13" s="21">
        <v>11.621169999999999</v>
      </c>
      <c r="HN13" s="21">
        <v>11.621169999999999</v>
      </c>
      <c r="HO13" s="21">
        <v>11.621169999999999</v>
      </c>
      <c r="HP13" s="21">
        <v>11.621169999999999</v>
      </c>
      <c r="HQ13" s="21">
        <v>11.621169999999999</v>
      </c>
      <c r="HR13" s="21">
        <v>11.621169999999999</v>
      </c>
      <c r="HS13" s="21">
        <v>11.621169999999999</v>
      </c>
      <c r="HT13" s="21">
        <v>11.621169999999999</v>
      </c>
      <c r="HU13" s="21">
        <v>11.621169999999999</v>
      </c>
      <c r="HV13" s="21">
        <v>11.621169999999999</v>
      </c>
      <c r="HW13" s="21">
        <v>11.621169999999999</v>
      </c>
      <c r="HX13" s="21">
        <v>11.621169999999999</v>
      </c>
      <c r="HY13" s="21">
        <v>11.621169999999999</v>
      </c>
      <c r="HZ13" s="21">
        <v>11.621169999999999</v>
      </c>
      <c r="IA13" s="21">
        <v>11.621169999999999</v>
      </c>
      <c r="IB13" s="21">
        <v>11.621169999999999</v>
      </c>
      <c r="IC13" s="21">
        <v>11.621169999999999</v>
      </c>
      <c r="ID13" s="21">
        <v>11.621169999999999</v>
      </c>
      <c r="IE13" s="21">
        <v>11.621169999999999</v>
      </c>
      <c r="IF13" s="21">
        <v>11.621169999999999</v>
      </c>
      <c r="IG13" s="21">
        <v>11.621169999999999</v>
      </c>
      <c r="IH13" s="21">
        <v>11.621169999999999</v>
      </c>
      <c r="II13" s="21">
        <v>11.621169999999999</v>
      </c>
      <c r="IJ13" s="21">
        <v>11.621169999999999</v>
      </c>
      <c r="IK13" s="21">
        <v>11.621169999999999</v>
      </c>
      <c r="IL13" s="21">
        <v>11.621169999999999</v>
      </c>
      <c r="IM13" s="21">
        <v>11.621169999999999</v>
      </c>
      <c r="IN13" s="21">
        <v>11.621169999999999</v>
      </c>
      <c r="IO13" s="21">
        <v>11.621169999999999</v>
      </c>
      <c r="IP13" s="21">
        <v>11.621169999999999</v>
      </c>
      <c r="IQ13" s="21">
        <v>11.621169999999999</v>
      </c>
      <c r="IR13" s="21">
        <v>11.621169999999999</v>
      </c>
      <c r="IS13" s="21">
        <v>11.621169999999999</v>
      </c>
      <c r="IT13" s="21">
        <v>11.621169999999999</v>
      </c>
      <c r="IU13" s="21">
        <v>11.621169999999999</v>
      </c>
      <c r="IV13" s="21">
        <v>11.621169999999999</v>
      </c>
      <c r="IW13" s="21">
        <v>11.621169999999999</v>
      </c>
      <c r="IX13" s="21">
        <v>11.621169999999999</v>
      </c>
      <c r="IY13" s="21">
        <v>11.621169999999999</v>
      </c>
      <c r="IZ13" s="21">
        <v>11.621169999999999</v>
      </c>
      <c r="JA13" s="21">
        <v>11.621169999999999</v>
      </c>
      <c r="JB13" s="21">
        <v>11.621169999999999</v>
      </c>
      <c r="JC13" s="21">
        <v>11.621169999999999</v>
      </c>
      <c r="JD13" s="21">
        <v>11.621169999999999</v>
      </c>
      <c r="JE13" s="21">
        <v>11.621169999999999</v>
      </c>
      <c r="JF13" s="21">
        <v>11.621169999999999</v>
      </c>
      <c r="JG13" s="21">
        <v>11.621169999999999</v>
      </c>
      <c r="JH13" s="21">
        <v>11.621169999999999</v>
      </c>
      <c r="JI13" s="21">
        <v>11.621169999999999</v>
      </c>
      <c r="JJ13" s="21">
        <v>11.621169999999999</v>
      </c>
      <c r="JK13" s="21">
        <v>11.621169999999999</v>
      </c>
      <c r="JL13" s="21">
        <v>11.621169999999999</v>
      </c>
      <c r="JM13" s="21">
        <v>11.621169999999999</v>
      </c>
      <c r="JN13" s="21">
        <v>11.621169999999999</v>
      </c>
      <c r="JO13" s="21">
        <v>11.621169999999999</v>
      </c>
      <c r="JP13" s="21">
        <v>11.621169999999999</v>
      </c>
      <c r="JQ13" s="21">
        <v>11.621169999999999</v>
      </c>
      <c r="JR13" s="21">
        <v>11.621169999999999</v>
      </c>
      <c r="JS13" s="21">
        <v>11.621169999999999</v>
      </c>
      <c r="JT13" s="21">
        <v>11.621169999999999</v>
      </c>
      <c r="JU13" s="21">
        <v>11.621169999999999</v>
      </c>
      <c r="JV13" s="21">
        <v>11.621169999999999</v>
      </c>
      <c r="JW13" s="21">
        <v>11.621169999999999</v>
      </c>
      <c r="JX13" s="21">
        <v>11.621169999999999</v>
      </c>
      <c r="JY13" s="21">
        <v>11.621169999999999</v>
      </c>
      <c r="JZ13" s="21">
        <v>11.621169999999999</v>
      </c>
      <c r="KA13" s="21">
        <v>11.621169999999999</v>
      </c>
      <c r="KB13" s="21">
        <v>11.621169999999999</v>
      </c>
      <c r="KC13" s="21">
        <v>11.621169999999999</v>
      </c>
      <c r="KD13" s="21">
        <v>11.621169999999999</v>
      </c>
      <c r="KE13" s="21">
        <v>11.621169999999999</v>
      </c>
      <c r="KF13" s="21">
        <v>11.621169999999999</v>
      </c>
      <c r="KG13" s="21">
        <v>11.621169999999999</v>
      </c>
      <c r="KH13" s="21">
        <v>11.621169999999999</v>
      </c>
      <c r="KI13" s="21">
        <v>11.621169999999999</v>
      </c>
      <c r="KJ13" s="21">
        <v>11.621169999999999</v>
      </c>
      <c r="KK13" s="21">
        <v>11.621169999999999</v>
      </c>
      <c r="KL13" s="21">
        <v>11.621169999999999</v>
      </c>
      <c r="KM13" s="21">
        <v>11.621169999999999</v>
      </c>
      <c r="KN13" s="21">
        <v>11.621169999999999</v>
      </c>
      <c r="KO13" s="21">
        <v>11.621169999999999</v>
      </c>
      <c r="KP13" s="21">
        <v>11.621169999999999</v>
      </c>
      <c r="KQ13" s="21">
        <v>11.621169999999999</v>
      </c>
      <c r="KR13" s="21">
        <v>11.621169999999999</v>
      </c>
      <c r="KS13" s="21">
        <v>11.621169999999999</v>
      </c>
      <c r="KT13" s="21">
        <v>11.621169999999999</v>
      </c>
      <c r="KU13" s="21">
        <v>11.621169999999999</v>
      </c>
      <c r="KV13" s="21">
        <v>11.621169999999999</v>
      </c>
      <c r="KW13" s="21">
        <v>11.621169999999999</v>
      </c>
      <c r="KX13" s="21">
        <v>11.621169999999999</v>
      </c>
      <c r="KY13" s="21">
        <v>11.621169999999999</v>
      </c>
      <c r="KZ13" s="21">
        <v>11.621169999999999</v>
      </c>
      <c r="LA13" s="21">
        <v>11.621169999999999</v>
      </c>
      <c r="LB13" s="21">
        <v>11.621169999999999</v>
      </c>
      <c r="LC13" s="21">
        <v>11.621169999999999</v>
      </c>
      <c r="LD13" s="21">
        <v>11.621169999999999</v>
      </c>
      <c r="LE13" s="21">
        <v>11.621169999999999</v>
      </c>
      <c r="LF13" s="21">
        <v>11.621169999999999</v>
      </c>
      <c r="LG13" s="21">
        <v>11.621169999999999</v>
      </c>
      <c r="LH13" s="21">
        <v>11.621169999999999</v>
      </c>
      <c r="LI13" s="21">
        <v>11.621169999999999</v>
      </c>
      <c r="LJ13" s="21">
        <v>11.621169999999999</v>
      </c>
      <c r="LK13" s="21">
        <v>11.621169999999999</v>
      </c>
      <c r="LL13" s="21">
        <v>11.621169999999999</v>
      </c>
      <c r="LM13" s="21">
        <v>11.621169999999999</v>
      </c>
      <c r="LN13" s="21">
        <v>11.621169999999999</v>
      </c>
      <c r="LO13" s="21">
        <v>11.621169999999999</v>
      </c>
      <c r="LP13" s="21">
        <v>11.621169999999999</v>
      </c>
      <c r="LQ13" s="21">
        <v>11.621169999999999</v>
      </c>
      <c r="LR13" s="21">
        <v>11.621169999999999</v>
      </c>
      <c r="LS13" s="21">
        <v>11.621169999999999</v>
      </c>
      <c r="LT13" s="21">
        <v>11.621169999999999</v>
      </c>
      <c r="LU13" s="21">
        <v>11.621169999999999</v>
      </c>
      <c r="LV13" s="21">
        <v>11.621169999999999</v>
      </c>
      <c r="LW13" s="21">
        <v>11.621169999999999</v>
      </c>
      <c r="LX13" s="21">
        <v>11.621169999999999</v>
      </c>
      <c r="LY13" s="21">
        <v>11.621169999999999</v>
      </c>
      <c r="LZ13" s="21">
        <v>11.621169999999999</v>
      </c>
      <c r="MA13" s="21">
        <v>11.621169999999999</v>
      </c>
      <c r="MB13" s="21">
        <v>11.621169999999999</v>
      </c>
      <c r="MC13" s="21">
        <v>11.621169999999999</v>
      </c>
      <c r="MD13" s="21">
        <v>11.621169999999999</v>
      </c>
      <c r="ME13" s="21">
        <v>11.621169999999999</v>
      </c>
      <c r="MF13" s="21">
        <v>11.621169999999999</v>
      </c>
      <c r="MG13" s="21">
        <v>11.621169999999999</v>
      </c>
      <c r="MH13" s="21">
        <v>11.621169999999999</v>
      </c>
      <c r="MI13" s="21">
        <v>11.621169999999999</v>
      </c>
      <c r="MJ13" s="21">
        <v>11.621169999999999</v>
      </c>
      <c r="MK13" s="21">
        <v>11.621169999999999</v>
      </c>
      <c r="ML13" s="21">
        <v>11.621169999999999</v>
      </c>
      <c r="MM13" s="21">
        <v>11.621169999999999</v>
      </c>
      <c r="MN13" s="21">
        <v>11.621169999999999</v>
      </c>
      <c r="MO13" s="21">
        <v>11.621169999999999</v>
      </c>
      <c r="MP13" s="21">
        <v>11.621169999999999</v>
      </c>
      <c r="MQ13" s="21">
        <v>11.621169999999999</v>
      </c>
      <c r="MR13" s="21">
        <v>11.621169999999999</v>
      </c>
      <c r="MS13" s="21">
        <v>11.621169999999999</v>
      </c>
      <c r="MT13" s="21">
        <v>11.621169999999999</v>
      </c>
      <c r="MU13" s="21">
        <v>11.621169999999999</v>
      </c>
      <c r="MV13" s="21">
        <v>11.621169999999999</v>
      </c>
      <c r="MW13" s="21">
        <v>11.621169999999999</v>
      </c>
      <c r="MX13" s="21">
        <v>11.621169999999999</v>
      </c>
      <c r="MY13" s="21">
        <v>11.621169999999999</v>
      </c>
      <c r="MZ13" s="21">
        <v>12.570195</v>
      </c>
    </row>
    <row r="14" spans="1:364" x14ac:dyDescent="0.25">
      <c r="A14" s="7">
        <f>+'Valo FX'!A15</f>
        <v>12</v>
      </c>
      <c r="B14" s="16" t="str">
        <f>+Base!B12</f>
        <v>202401310063A033</v>
      </c>
      <c r="C14" s="75">
        <v>6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6.5836199999999998</v>
      </c>
      <c r="K14" s="21">
        <v>6.5836199999999998</v>
      </c>
      <c r="L14" s="21">
        <v>6.5836199999999998</v>
      </c>
      <c r="M14" s="21">
        <v>6.5836199999999998</v>
      </c>
      <c r="N14" s="21">
        <v>6.5836199999999998</v>
      </c>
      <c r="O14" s="21">
        <v>6.5836199999999998</v>
      </c>
      <c r="P14" s="21">
        <v>6.5836199999999998</v>
      </c>
      <c r="Q14" s="21">
        <v>6.5836199999999998</v>
      </c>
      <c r="R14" s="21">
        <v>6.5836199999999998</v>
      </c>
      <c r="S14" s="21">
        <v>6.5836199999999998</v>
      </c>
      <c r="T14" s="21">
        <v>6.5836199999999998</v>
      </c>
      <c r="U14" s="21">
        <v>6.5836199999999998</v>
      </c>
      <c r="V14" s="21">
        <v>6.5836199999999998</v>
      </c>
      <c r="W14" s="21">
        <v>6.5836199999999998</v>
      </c>
      <c r="X14" s="21">
        <v>6.5836199999999998</v>
      </c>
      <c r="Y14" s="21">
        <v>6.5836199999999998</v>
      </c>
      <c r="Z14" s="21">
        <v>6.5836199999999998</v>
      </c>
      <c r="AA14" s="21">
        <v>6.5836199999999998</v>
      </c>
      <c r="AB14" s="21">
        <v>6.5836199999999998</v>
      </c>
      <c r="AC14" s="21">
        <v>6.5836199999999998</v>
      </c>
      <c r="AD14" s="21">
        <v>6.5836199999999998</v>
      </c>
      <c r="AE14" s="21">
        <v>6.5836199999999998</v>
      </c>
      <c r="AF14" s="21">
        <v>6.5836199999999998</v>
      </c>
      <c r="AG14" s="21">
        <v>6.5836199999999998</v>
      </c>
      <c r="AH14" s="21">
        <v>6.5836199999999998</v>
      </c>
      <c r="AI14" s="21">
        <v>6.5836199999999998</v>
      </c>
      <c r="AJ14" s="21">
        <v>6.5836199999999998</v>
      </c>
      <c r="AK14" s="21">
        <v>6.5836199999999998</v>
      </c>
      <c r="AL14" s="21">
        <v>6.5836199999999998</v>
      </c>
      <c r="AM14" s="21">
        <v>6.5836199999999998</v>
      </c>
      <c r="AN14" s="21">
        <v>6.5836199999999998</v>
      </c>
      <c r="AO14" s="21">
        <v>6.5836199999999998</v>
      </c>
      <c r="AP14" s="21">
        <v>6.5836199999999998</v>
      </c>
      <c r="AQ14" s="21">
        <v>6.5836199999999998</v>
      </c>
      <c r="AR14" s="21">
        <v>6.5836199999999998</v>
      </c>
      <c r="AS14" s="21">
        <v>6.5836199999999998</v>
      </c>
      <c r="AT14" s="21">
        <v>6.5836199999999998</v>
      </c>
      <c r="AU14" s="21">
        <v>6.5836199999999998</v>
      </c>
      <c r="AV14" s="21">
        <v>6.5836199999999998</v>
      </c>
      <c r="AW14" s="21">
        <v>6.5836199999999998</v>
      </c>
      <c r="AX14" s="21">
        <v>6.5836199999999998</v>
      </c>
      <c r="AY14" s="21">
        <v>6.5836199999999998</v>
      </c>
      <c r="AZ14" s="21">
        <v>6.5836199999999998</v>
      </c>
      <c r="BA14" s="21">
        <v>6.5836199999999998</v>
      </c>
      <c r="BB14" s="21">
        <v>6.5836199999999998</v>
      </c>
      <c r="BC14" s="21">
        <v>6.5836199999999998</v>
      </c>
      <c r="BD14" s="21">
        <v>6.5836199999999998</v>
      </c>
      <c r="BE14" s="21">
        <v>6.5836199999999998</v>
      </c>
      <c r="BF14" s="21">
        <v>6.5836199999999998</v>
      </c>
      <c r="BG14" s="21">
        <v>6.5836199999999998</v>
      </c>
      <c r="BH14" s="21">
        <v>6.5836199999999998</v>
      </c>
      <c r="BI14" s="21">
        <v>6.5836199999999998</v>
      </c>
      <c r="BJ14" s="21">
        <v>6.5836199999999998</v>
      </c>
      <c r="BK14" s="21">
        <v>6.5836199999999998</v>
      </c>
      <c r="BL14" s="21">
        <v>6.5836199999999998</v>
      </c>
      <c r="BM14" s="21">
        <v>6.5836199999999998</v>
      </c>
      <c r="BN14" s="21">
        <v>6.5836199999999998</v>
      </c>
      <c r="BO14" s="21">
        <v>6.5836199999999998</v>
      </c>
      <c r="BP14" s="21">
        <v>6.5836199999999998</v>
      </c>
      <c r="BQ14" s="21">
        <v>6.5836199999999998</v>
      </c>
      <c r="BR14" s="21">
        <v>6.5836199999999998</v>
      </c>
      <c r="BS14" s="21">
        <v>6.5836199999999998</v>
      </c>
      <c r="BT14" s="21">
        <v>6.5836199999999998</v>
      </c>
      <c r="BU14" s="21">
        <v>6.5836199999999998</v>
      </c>
      <c r="BV14" s="21">
        <v>6.5836199999999998</v>
      </c>
      <c r="BW14" s="21">
        <v>6.5836199999999998</v>
      </c>
      <c r="BX14" s="21">
        <v>6.5836199999999998</v>
      </c>
      <c r="BY14" s="21">
        <v>6.5836199999999998</v>
      </c>
      <c r="BZ14" s="21">
        <v>6.5836199999999998</v>
      </c>
      <c r="CA14" s="21">
        <v>6.5836199999999998</v>
      </c>
      <c r="CB14" s="21">
        <v>6.5836199999999998</v>
      </c>
      <c r="CC14" s="21">
        <v>6.5836199999999998</v>
      </c>
      <c r="CD14" s="21">
        <v>6.5836199999999998</v>
      </c>
      <c r="CE14" s="21">
        <v>6.5836199999999998</v>
      </c>
      <c r="CF14" s="21">
        <v>6.5836199999999998</v>
      </c>
      <c r="CG14" s="21">
        <v>6.5836199999999998</v>
      </c>
      <c r="CH14" s="21">
        <v>6.5836199999999998</v>
      </c>
      <c r="CI14" s="21">
        <v>6.5836199999999998</v>
      </c>
      <c r="CJ14" s="21">
        <v>6.5836199999999998</v>
      </c>
      <c r="CK14" s="21">
        <v>6.5836199999999998</v>
      </c>
      <c r="CL14" s="21">
        <v>6.5836199999999998</v>
      </c>
      <c r="CM14" s="21">
        <v>6.5836199999999998</v>
      </c>
      <c r="CN14" s="21">
        <v>6.5836199999999998</v>
      </c>
      <c r="CO14" s="21">
        <v>6.5836199999999998</v>
      </c>
      <c r="CP14" s="21">
        <v>6.5836199999999998</v>
      </c>
      <c r="CQ14" s="21">
        <v>6.5836199999999998</v>
      </c>
      <c r="CR14" s="21">
        <v>6.5836199999999998</v>
      </c>
      <c r="CS14" s="21">
        <v>6.5836199999999998</v>
      </c>
      <c r="CT14" s="21">
        <v>6.5836199999999998</v>
      </c>
      <c r="CU14" s="21">
        <v>6.5836199999999998</v>
      </c>
      <c r="CV14" s="21">
        <v>6.5836199999999998</v>
      </c>
      <c r="CW14" s="21">
        <v>6.5836199999999998</v>
      </c>
      <c r="CX14" s="21">
        <v>6.5836199999999998</v>
      </c>
      <c r="CY14" s="21">
        <v>6.5836199999999998</v>
      </c>
      <c r="CZ14" s="21">
        <v>6.5836199999999998</v>
      </c>
      <c r="DA14" s="21">
        <v>6.5836199999999998</v>
      </c>
      <c r="DB14" s="21">
        <v>6.5836199999999998</v>
      </c>
      <c r="DC14" s="21">
        <v>6.5836199999999998</v>
      </c>
      <c r="DD14" s="21">
        <v>6.5836199999999998</v>
      </c>
      <c r="DE14" s="21">
        <v>6.5836199999999998</v>
      </c>
      <c r="DF14" s="21">
        <v>6.5836199999999998</v>
      </c>
      <c r="DG14" s="21">
        <v>6.5836199999999998</v>
      </c>
      <c r="DH14" s="21">
        <v>6.5836199999999998</v>
      </c>
      <c r="DI14" s="21">
        <v>6.5836199999999998</v>
      </c>
      <c r="DJ14" s="21">
        <v>6.5836199999999998</v>
      </c>
      <c r="DK14" s="21">
        <v>6.5836199999999998</v>
      </c>
      <c r="DL14" s="21">
        <v>6.5836199999999998</v>
      </c>
      <c r="DM14" s="21">
        <v>6.5836199999999998</v>
      </c>
      <c r="DN14" s="21">
        <v>6.5836199999999998</v>
      </c>
      <c r="DO14" s="21">
        <v>6.5836199999999998</v>
      </c>
      <c r="DP14" s="21">
        <v>6.5836199999999998</v>
      </c>
      <c r="DQ14" s="21">
        <v>6.5836199999999998</v>
      </c>
      <c r="DR14" s="21">
        <v>6.5836199999999998</v>
      </c>
      <c r="DS14" s="21">
        <v>6.5836199999999998</v>
      </c>
      <c r="DT14" s="21">
        <v>6.5836199999999998</v>
      </c>
      <c r="DU14" s="21">
        <v>6.5836199999999998</v>
      </c>
      <c r="DV14" s="21">
        <v>6.5836199999999998</v>
      </c>
      <c r="DW14" s="21">
        <v>6.5836199999999998</v>
      </c>
      <c r="DX14" s="21">
        <v>6.5836199999999998</v>
      </c>
      <c r="DY14" s="21">
        <v>6.5836199999999998</v>
      </c>
      <c r="DZ14" s="21">
        <v>6.5836199999999998</v>
      </c>
      <c r="EA14" s="21">
        <v>6.5836199999999998</v>
      </c>
      <c r="EB14" s="21">
        <v>6.5836199999999998</v>
      </c>
      <c r="EC14" s="21">
        <v>6.5836199999999998</v>
      </c>
      <c r="ED14" s="21">
        <v>6.5836199999999998</v>
      </c>
      <c r="EE14" s="21">
        <v>6.5836199999999998</v>
      </c>
      <c r="EF14" s="21">
        <v>6.5836199999999998</v>
      </c>
      <c r="EG14" s="21">
        <v>6.5836199999999998</v>
      </c>
      <c r="EH14" s="21">
        <v>6.5836199999999998</v>
      </c>
      <c r="EI14" s="21">
        <v>6.5836199999999998</v>
      </c>
      <c r="EJ14" s="21">
        <v>6.5836199999999998</v>
      </c>
      <c r="EK14" s="21">
        <v>6.5836199999999998</v>
      </c>
      <c r="EL14" s="21">
        <v>6.5836199999999998</v>
      </c>
      <c r="EM14" s="21">
        <v>6.5836199999999998</v>
      </c>
      <c r="EN14" s="21">
        <v>6.5836199999999998</v>
      </c>
      <c r="EO14" s="21">
        <v>6.5836199999999998</v>
      </c>
      <c r="EP14" s="21">
        <v>6.5836199999999998</v>
      </c>
      <c r="EQ14" s="21">
        <v>6.5836199999999998</v>
      </c>
      <c r="ER14" s="21">
        <v>6.5836199999999998</v>
      </c>
      <c r="ES14" s="21">
        <v>6.5836199999999998</v>
      </c>
      <c r="ET14" s="21">
        <v>6.5836199999999998</v>
      </c>
      <c r="EU14" s="21">
        <v>6.5836199999999998</v>
      </c>
      <c r="EV14" s="21">
        <v>6.5836199999999998</v>
      </c>
      <c r="EW14" s="21">
        <v>6.5836199999999998</v>
      </c>
      <c r="EX14" s="21">
        <v>6.5836199999999998</v>
      </c>
      <c r="EY14" s="21">
        <v>6.5836199999999998</v>
      </c>
      <c r="EZ14" s="21">
        <v>6.5836199999999998</v>
      </c>
      <c r="FA14" s="21">
        <v>6.5836199999999998</v>
      </c>
      <c r="FB14" s="21">
        <v>6.5836199999999998</v>
      </c>
      <c r="FC14" s="21">
        <v>6.5836199999999998</v>
      </c>
      <c r="FD14" s="21">
        <v>6.5836199999999998</v>
      </c>
      <c r="FE14" s="21">
        <v>6.5836199999999998</v>
      </c>
      <c r="FF14" s="21">
        <v>6.5836199999999998</v>
      </c>
      <c r="FG14" s="21">
        <v>6.5836199999999998</v>
      </c>
      <c r="FH14" s="21">
        <v>6.5836199999999998</v>
      </c>
      <c r="FI14" s="21">
        <v>6.5836199999999998</v>
      </c>
      <c r="FJ14" s="21">
        <v>6.5836199999999998</v>
      </c>
      <c r="FK14" s="21">
        <v>6.5836199999999998</v>
      </c>
      <c r="FL14" s="21">
        <v>6.5836199999999998</v>
      </c>
      <c r="FM14" s="21">
        <v>6.5836199999999998</v>
      </c>
      <c r="FN14" s="21">
        <v>6.5836199999999998</v>
      </c>
      <c r="FO14" s="21">
        <v>6.5836199999999998</v>
      </c>
      <c r="FP14" s="21">
        <v>6.5836199999999998</v>
      </c>
      <c r="FQ14" s="21">
        <v>6.5836199999999998</v>
      </c>
      <c r="FR14" s="21">
        <v>6.5836199999999998</v>
      </c>
      <c r="FS14" s="21">
        <v>6.5836199999999998</v>
      </c>
      <c r="FT14" s="21">
        <v>6.5836199999999998</v>
      </c>
      <c r="FU14" s="21">
        <v>6.5836199999999998</v>
      </c>
      <c r="FV14" s="21">
        <v>6.5836199999999998</v>
      </c>
      <c r="FW14" s="21">
        <v>6.5836199999999998</v>
      </c>
      <c r="FX14" s="21">
        <v>6.5836199999999998</v>
      </c>
      <c r="FY14" s="21">
        <v>6.5836199999999998</v>
      </c>
      <c r="FZ14" s="21">
        <v>6.5836199999999998</v>
      </c>
      <c r="GA14" s="21">
        <v>6.5836199999999998</v>
      </c>
      <c r="GB14" s="21">
        <v>6.5836199999999998</v>
      </c>
      <c r="GC14" s="21">
        <v>6.5836199999999998</v>
      </c>
      <c r="GD14" s="21">
        <v>6.5836199999999998</v>
      </c>
      <c r="GE14" s="21">
        <v>6.5836199999999998</v>
      </c>
      <c r="GF14" s="21">
        <v>6.5836199999999998</v>
      </c>
      <c r="GG14" s="21">
        <v>6.5836199999999998</v>
      </c>
      <c r="GH14" s="21">
        <v>6.5836199999999998</v>
      </c>
      <c r="GI14" s="21">
        <v>6.5836199999999998</v>
      </c>
      <c r="GJ14" s="21">
        <v>6.5836199999999998</v>
      </c>
      <c r="GK14" s="21">
        <v>6.5836199999999998</v>
      </c>
      <c r="GL14" s="21">
        <v>6.5836199999999998</v>
      </c>
      <c r="GM14" s="21">
        <v>6.5836199999999998</v>
      </c>
      <c r="GN14" s="21">
        <v>6.5836199999999998</v>
      </c>
      <c r="GO14" s="21">
        <v>6.5836199999999998</v>
      </c>
      <c r="GP14" s="21">
        <v>6.5836199999999998</v>
      </c>
      <c r="GQ14" s="21">
        <v>6.5836199999999998</v>
      </c>
      <c r="GR14" s="21">
        <v>6.5836199999999998</v>
      </c>
      <c r="GS14" s="21">
        <v>6.5836199999999998</v>
      </c>
      <c r="GT14" s="21">
        <v>6.5836199999999998</v>
      </c>
      <c r="GU14" s="21">
        <v>6.5836199999999998</v>
      </c>
      <c r="GV14" s="21">
        <v>6.5836199999999998</v>
      </c>
      <c r="GW14" s="21">
        <v>6.5836199999999998</v>
      </c>
      <c r="GX14" s="21">
        <v>6.5836199999999998</v>
      </c>
      <c r="GY14" s="21">
        <v>6.5836199999999998</v>
      </c>
      <c r="GZ14" s="21">
        <v>6.5836199999999998</v>
      </c>
      <c r="HA14" s="21">
        <v>6.5836199999999998</v>
      </c>
      <c r="HB14" s="21">
        <v>6.5836199999999998</v>
      </c>
      <c r="HC14" s="21">
        <v>6.5836199999999998</v>
      </c>
      <c r="HD14" s="21">
        <v>6.5836199999999998</v>
      </c>
      <c r="HE14" s="21">
        <v>6.5836199999999998</v>
      </c>
      <c r="HF14" s="21">
        <v>6.5836199999999998</v>
      </c>
      <c r="HG14" s="21">
        <v>6.5836199999999998</v>
      </c>
      <c r="HH14" s="21">
        <v>6.5836199999999998</v>
      </c>
      <c r="HI14" s="21">
        <v>6.5836199999999998</v>
      </c>
      <c r="HJ14" s="21">
        <v>6.5836199999999998</v>
      </c>
      <c r="HK14" s="21">
        <v>6.5836199999999998</v>
      </c>
      <c r="HL14" s="21">
        <v>6.5836199999999998</v>
      </c>
      <c r="HM14" s="21">
        <v>6.5836199999999998</v>
      </c>
      <c r="HN14" s="21">
        <v>6.5836199999999998</v>
      </c>
      <c r="HO14" s="21">
        <v>6.5836199999999998</v>
      </c>
      <c r="HP14" s="21">
        <v>6.5836199999999998</v>
      </c>
      <c r="HQ14" s="21">
        <v>6.5836199999999998</v>
      </c>
      <c r="HR14" s="21">
        <v>6.5836199999999998</v>
      </c>
      <c r="HS14" s="21">
        <v>6.5836199999999998</v>
      </c>
      <c r="HT14" s="21">
        <v>6.5836199999999998</v>
      </c>
      <c r="HU14" s="21">
        <v>6.5836199999999998</v>
      </c>
      <c r="HV14" s="21">
        <v>6.5836199999999998</v>
      </c>
      <c r="HW14" s="21">
        <v>6.5836199999999998</v>
      </c>
      <c r="HX14" s="21">
        <v>6.5836199999999998</v>
      </c>
      <c r="HY14" s="21">
        <v>6.5836199999999998</v>
      </c>
      <c r="HZ14" s="21">
        <v>6.5836199999999998</v>
      </c>
      <c r="IA14" s="21">
        <v>6.5836199999999998</v>
      </c>
      <c r="IB14" s="21">
        <v>6.5836199999999998</v>
      </c>
      <c r="IC14" s="21">
        <v>6.5836199999999998</v>
      </c>
      <c r="ID14" s="21">
        <v>6.5836199999999998</v>
      </c>
      <c r="IE14" s="21">
        <v>6.5836199999999998</v>
      </c>
      <c r="IF14" s="21">
        <v>6.5836199999999998</v>
      </c>
      <c r="IG14" s="21">
        <v>6.5836199999999998</v>
      </c>
      <c r="IH14" s="21">
        <v>6.5836199999999998</v>
      </c>
      <c r="II14" s="21">
        <v>6.5836199999999998</v>
      </c>
      <c r="IJ14" s="21">
        <v>6.5836199999999998</v>
      </c>
      <c r="IK14" s="21">
        <v>6.5836199999999998</v>
      </c>
      <c r="IL14" s="21">
        <v>6.5836199999999998</v>
      </c>
      <c r="IM14" s="21">
        <v>6.5836199999999998</v>
      </c>
      <c r="IN14" s="21">
        <v>6.5836199999999998</v>
      </c>
      <c r="IO14" s="21">
        <v>6.5836199999999998</v>
      </c>
      <c r="IP14" s="21">
        <v>6.5836199999999998</v>
      </c>
      <c r="IQ14" s="21">
        <v>6.5836199999999998</v>
      </c>
      <c r="IR14" s="21">
        <v>6.5836199999999998</v>
      </c>
      <c r="IS14" s="21">
        <v>6.5836199999999998</v>
      </c>
      <c r="IT14" s="21">
        <v>6.5836199999999998</v>
      </c>
      <c r="IU14" s="21">
        <v>6.5836199999999998</v>
      </c>
      <c r="IV14" s="21">
        <v>6.5836199999999998</v>
      </c>
      <c r="IW14" s="21">
        <v>6.5836199999999998</v>
      </c>
      <c r="IX14" s="21">
        <v>6.5836199999999998</v>
      </c>
      <c r="IY14" s="21">
        <v>6.5836199999999998</v>
      </c>
      <c r="IZ14" s="21">
        <v>6.5836199999999998</v>
      </c>
      <c r="JA14" s="21">
        <v>6.5836199999999998</v>
      </c>
      <c r="JB14" s="21">
        <v>6.5836199999999998</v>
      </c>
      <c r="JC14" s="21">
        <v>6.5836199999999998</v>
      </c>
      <c r="JD14" s="21">
        <v>6.5836199999999998</v>
      </c>
      <c r="JE14" s="21">
        <v>6.5836199999999998</v>
      </c>
      <c r="JF14" s="21">
        <v>6.5836199999999998</v>
      </c>
      <c r="JG14" s="21">
        <v>6.5836199999999998</v>
      </c>
      <c r="JH14" s="21">
        <v>6.5836199999999998</v>
      </c>
      <c r="JI14" s="21">
        <v>6.5836199999999998</v>
      </c>
      <c r="JJ14" s="21">
        <v>6.5836199999999998</v>
      </c>
      <c r="JK14" s="21">
        <v>6.5836199999999998</v>
      </c>
      <c r="JL14" s="21">
        <v>6.5836199999999998</v>
      </c>
      <c r="JM14" s="21">
        <v>6.5836199999999998</v>
      </c>
      <c r="JN14" s="21">
        <v>6.5836199999999998</v>
      </c>
      <c r="JO14" s="21">
        <v>6.5836199999999998</v>
      </c>
      <c r="JP14" s="21">
        <v>6.5836199999999998</v>
      </c>
      <c r="JQ14" s="21">
        <v>6.5836199999999998</v>
      </c>
      <c r="JR14" s="21">
        <v>6.5836199999999998</v>
      </c>
      <c r="JS14" s="21">
        <v>6.5836199999999998</v>
      </c>
      <c r="JT14" s="21">
        <v>6.5836199999999998</v>
      </c>
      <c r="JU14" s="21">
        <v>6.5836199999999998</v>
      </c>
      <c r="JV14" s="21">
        <v>6.5836199999999998</v>
      </c>
      <c r="JW14" s="21">
        <v>6.5836199999999998</v>
      </c>
      <c r="JX14" s="21">
        <v>6.5836199999999998</v>
      </c>
      <c r="JY14" s="21">
        <v>6.5836199999999998</v>
      </c>
      <c r="JZ14" s="21">
        <v>6.5836199999999998</v>
      </c>
      <c r="KA14" s="21">
        <v>6.5836199999999998</v>
      </c>
      <c r="KB14" s="21">
        <v>6.5836199999999998</v>
      </c>
      <c r="KC14" s="21">
        <v>6.5836199999999998</v>
      </c>
      <c r="KD14" s="21">
        <v>6.5836199999999998</v>
      </c>
      <c r="KE14" s="21">
        <v>6.5836199999999998</v>
      </c>
      <c r="KF14" s="21">
        <v>6.5836199999999998</v>
      </c>
      <c r="KG14" s="21">
        <v>6.5836199999999998</v>
      </c>
      <c r="KH14" s="21">
        <v>6.5836199999999998</v>
      </c>
      <c r="KI14" s="21">
        <v>6.5836199999999998</v>
      </c>
      <c r="KJ14" s="21">
        <v>6.5836199999999998</v>
      </c>
      <c r="KK14" s="21">
        <v>6.5836199999999998</v>
      </c>
      <c r="KL14" s="21">
        <v>6.5836199999999998</v>
      </c>
      <c r="KM14" s="21">
        <v>6.5836199999999998</v>
      </c>
      <c r="KN14" s="21">
        <v>6.5836199999999998</v>
      </c>
      <c r="KO14" s="21">
        <v>6.5836199999999998</v>
      </c>
      <c r="KP14" s="21">
        <v>6.5836199999999998</v>
      </c>
      <c r="KQ14" s="21">
        <v>6.5836199999999998</v>
      </c>
      <c r="KR14" s="21">
        <v>6.5836199999999998</v>
      </c>
      <c r="KS14" s="21">
        <v>6.5836199999999998</v>
      </c>
      <c r="KT14" s="21">
        <v>6.5836199999999998</v>
      </c>
      <c r="KU14" s="21">
        <v>6.5836199999999998</v>
      </c>
      <c r="KV14" s="21">
        <v>6.5836199999999998</v>
      </c>
      <c r="KW14" s="21">
        <v>6.5836199999999998</v>
      </c>
      <c r="KX14" s="21">
        <v>6.5836199999999998</v>
      </c>
      <c r="KY14" s="21">
        <v>6.5836199999999998</v>
      </c>
      <c r="KZ14" s="21">
        <v>6.5836199999999998</v>
      </c>
      <c r="LA14" s="21">
        <v>6.5836199999999998</v>
      </c>
      <c r="LB14" s="21">
        <v>6.5836199999999998</v>
      </c>
      <c r="LC14" s="21">
        <v>6.5836199999999998</v>
      </c>
      <c r="LD14" s="21">
        <v>6.5836199999999998</v>
      </c>
      <c r="LE14" s="21">
        <v>6.5836199999999998</v>
      </c>
      <c r="LF14" s="21">
        <v>6.5836199999999998</v>
      </c>
      <c r="LG14" s="21">
        <v>6.5836199999999998</v>
      </c>
      <c r="LH14" s="21">
        <v>6.5836199999999998</v>
      </c>
      <c r="LI14" s="21">
        <v>6.5836199999999998</v>
      </c>
      <c r="LJ14" s="21">
        <v>6.5836199999999998</v>
      </c>
      <c r="LK14" s="21">
        <v>6.5836199999999998</v>
      </c>
      <c r="LL14" s="21">
        <v>6.5836199999999998</v>
      </c>
      <c r="LM14" s="21">
        <v>6.5836199999999998</v>
      </c>
      <c r="LN14" s="21">
        <v>6.5836199999999998</v>
      </c>
      <c r="LO14" s="21">
        <v>6.5836199999999998</v>
      </c>
      <c r="LP14" s="21">
        <v>6.5836199999999998</v>
      </c>
      <c r="LQ14" s="21">
        <v>6.5836199999999998</v>
      </c>
      <c r="LR14" s="21">
        <v>6.5836199999999998</v>
      </c>
      <c r="LS14" s="21">
        <v>6.5836199999999998</v>
      </c>
      <c r="LT14" s="21">
        <v>6.5836199999999998</v>
      </c>
      <c r="LU14" s="21">
        <v>6.5836199999999998</v>
      </c>
      <c r="LV14" s="21">
        <v>6.5836199999999998</v>
      </c>
      <c r="LW14" s="21">
        <v>6.5836199999999998</v>
      </c>
      <c r="LX14" s="21">
        <v>6.5836199999999998</v>
      </c>
      <c r="LY14" s="21">
        <v>6.5836199999999998</v>
      </c>
      <c r="LZ14" s="21">
        <v>6.5836199999999998</v>
      </c>
      <c r="MA14" s="21">
        <v>6.5836199999999998</v>
      </c>
      <c r="MB14" s="21">
        <v>6.5836199999999998</v>
      </c>
      <c r="MC14" s="21">
        <v>6.5836199999999998</v>
      </c>
      <c r="MD14" s="21">
        <v>6.5836199999999998</v>
      </c>
      <c r="ME14" s="21">
        <v>6.5836199999999998</v>
      </c>
      <c r="MF14" s="21">
        <v>6.5836199999999998</v>
      </c>
      <c r="MG14" s="21">
        <v>6.5836199999999998</v>
      </c>
      <c r="MH14" s="21">
        <v>6.5836199999999998</v>
      </c>
      <c r="MI14" s="21">
        <v>6.5836199999999998</v>
      </c>
      <c r="MJ14" s="21">
        <v>6.5836199999999998</v>
      </c>
      <c r="MK14" s="21">
        <v>6.5836199999999998</v>
      </c>
      <c r="ML14" s="21">
        <v>6.5836199999999998</v>
      </c>
      <c r="MM14" s="21">
        <v>6.5836199999999998</v>
      </c>
      <c r="MN14" s="21">
        <v>6.3911949999999997</v>
      </c>
      <c r="MO14" s="21">
        <v>0</v>
      </c>
      <c r="MP14" s="21">
        <v>0</v>
      </c>
      <c r="MQ14" s="21">
        <v>0</v>
      </c>
      <c r="MR14" s="21">
        <v>0</v>
      </c>
      <c r="MS14" s="21">
        <v>0</v>
      </c>
      <c r="MT14" s="21">
        <v>0</v>
      </c>
      <c r="MU14" s="21">
        <v>0</v>
      </c>
      <c r="MV14" s="21">
        <v>0</v>
      </c>
      <c r="MW14" s="21">
        <v>0</v>
      </c>
      <c r="MX14" s="21">
        <v>0</v>
      </c>
      <c r="MY14" s="21">
        <v>0</v>
      </c>
      <c r="MZ14" s="21">
        <v>0</v>
      </c>
    </row>
    <row r="15" spans="1:364" x14ac:dyDescent="0.25">
      <c r="A15" s="7">
        <f>+'Valo FX'!A16</f>
        <v>13</v>
      </c>
      <c r="B15" s="16" t="str">
        <f>+Base!B13</f>
        <v>202401310057A033</v>
      </c>
      <c r="C15" s="75">
        <v>6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11.803319999999999</v>
      </c>
      <c r="K15" s="21">
        <v>11.803319999999999</v>
      </c>
      <c r="L15" s="21">
        <v>11.803319999999999</v>
      </c>
      <c r="M15" s="21">
        <v>11.803319999999999</v>
      </c>
      <c r="N15" s="21">
        <v>11.803319999999999</v>
      </c>
      <c r="O15" s="21">
        <v>11.803319999999999</v>
      </c>
      <c r="P15" s="21">
        <v>11.803319999999999</v>
      </c>
      <c r="Q15" s="21">
        <v>11.803319999999999</v>
      </c>
      <c r="R15" s="21">
        <v>11.803319999999999</v>
      </c>
      <c r="S15" s="21">
        <v>11.803319999999999</v>
      </c>
      <c r="T15" s="21">
        <v>11.803319999999999</v>
      </c>
      <c r="U15" s="21">
        <v>11.803319999999999</v>
      </c>
      <c r="V15" s="21">
        <v>11.803319999999999</v>
      </c>
      <c r="W15" s="21">
        <v>11.803319999999999</v>
      </c>
      <c r="X15" s="21">
        <v>11.803319999999999</v>
      </c>
      <c r="Y15" s="21">
        <v>11.803319999999999</v>
      </c>
      <c r="Z15" s="21">
        <v>11.803319999999999</v>
      </c>
      <c r="AA15" s="21">
        <v>11.803319999999999</v>
      </c>
      <c r="AB15" s="21">
        <v>11.803319999999999</v>
      </c>
      <c r="AC15" s="21">
        <v>11.803319999999999</v>
      </c>
      <c r="AD15" s="21">
        <v>11.803319999999999</v>
      </c>
      <c r="AE15" s="21">
        <v>11.803319999999999</v>
      </c>
      <c r="AF15" s="21">
        <v>11.803319999999999</v>
      </c>
      <c r="AG15" s="21">
        <v>11.803319999999999</v>
      </c>
      <c r="AH15" s="21">
        <v>11.803319999999999</v>
      </c>
      <c r="AI15" s="21">
        <v>11.803319999999999</v>
      </c>
      <c r="AJ15" s="21">
        <v>11.803319999999999</v>
      </c>
      <c r="AK15" s="21">
        <v>11.803319999999999</v>
      </c>
      <c r="AL15" s="21">
        <v>11.803319999999999</v>
      </c>
      <c r="AM15" s="21">
        <v>11.803319999999999</v>
      </c>
      <c r="AN15" s="21">
        <v>11.803319999999999</v>
      </c>
      <c r="AO15" s="21">
        <v>11.803319999999999</v>
      </c>
      <c r="AP15" s="21">
        <v>11.803319999999999</v>
      </c>
      <c r="AQ15" s="21">
        <v>11.803319999999999</v>
      </c>
      <c r="AR15" s="21">
        <v>11.803319999999999</v>
      </c>
      <c r="AS15" s="21">
        <v>11.803319999999999</v>
      </c>
      <c r="AT15" s="21">
        <v>11.803319999999999</v>
      </c>
      <c r="AU15" s="21">
        <v>11.803319999999999</v>
      </c>
      <c r="AV15" s="21">
        <v>11.803319999999999</v>
      </c>
      <c r="AW15" s="21">
        <v>11.803319999999999</v>
      </c>
      <c r="AX15" s="21">
        <v>11.803319999999999</v>
      </c>
      <c r="AY15" s="21">
        <v>11.803319999999999</v>
      </c>
      <c r="AZ15" s="21">
        <v>11.803319999999999</v>
      </c>
      <c r="BA15" s="21">
        <v>11.803319999999999</v>
      </c>
      <c r="BB15" s="21">
        <v>11.803319999999999</v>
      </c>
      <c r="BC15" s="21">
        <v>11.803319999999999</v>
      </c>
      <c r="BD15" s="21">
        <v>11.803319999999999</v>
      </c>
      <c r="BE15" s="21">
        <v>11.803319999999999</v>
      </c>
      <c r="BF15" s="21">
        <v>11.803319999999999</v>
      </c>
      <c r="BG15" s="21">
        <v>11.803319999999999</v>
      </c>
      <c r="BH15" s="21">
        <v>11.803319999999999</v>
      </c>
      <c r="BI15" s="21">
        <v>11.803319999999999</v>
      </c>
      <c r="BJ15" s="21">
        <v>11.803319999999999</v>
      </c>
      <c r="BK15" s="21">
        <v>11.803319999999999</v>
      </c>
      <c r="BL15" s="21">
        <v>11.803319999999999</v>
      </c>
      <c r="BM15" s="21">
        <v>11.803319999999999</v>
      </c>
      <c r="BN15" s="21">
        <v>11.803319999999999</v>
      </c>
      <c r="BO15" s="21">
        <v>11.803319999999999</v>
      </c>
      <c r="BP15" s="21">
        <v>11.803319999999999</v>
      </c>
      <c r="BQ15" s="21">
        <v>11.803319999999999</v>
      </c>
      <c r="BR15" s="21">
        <v>11.803319999999999</v>
      </c>
      <c r="BS15" s="21">
        <v>11.803319999999999</v>
      </c>
      <c r="BT15" s="21">
        <v>11.803319999999999</v>
      </c>
      <c r="BU15" s="21">
        <v>11.803319999999999</v>
      </c>
      <c r="BV15" s="21">
        <v>11.803319999999999</v>
      </c>
      <c r="BW15" s="21">
        <v>11.803319999999999</v>
      </c>
      <c r="BX15" s="21">
        <v>11.803319999999999</v>
      </c>
      <c r="BY15" s="21">
        <v>11.803319999999999</v>
      </c>
      <c r="BZ15" s="21">
        <v>11.803319999999999</v>
      </c>
      <c r="CA15" s="21">
        <v>11.803319999999999</v>
      </c>
      <c r="CB15" s="21">
        <v>11.803319999999999</v>
      </c>
      <c r="CC15" s="21">
        <v>11.803319999999999</v>
      </c>
      <c r="CD15" s="21">
        <v>11.803319999999999</v>
      </c>
      <c r="CE15" s="21">
        <v>11.803319999999999</v>
      </c>
      <c r="CF15" s="21">
        <v>11.803319999999999</v>
      </c>
      <c r="CG15" s="21">
        <v>11.803319999999999</v>
      </c>
      <c r="CH15" s="21">
        <v>11.803319999999999</v>
      </c>
      <c r="CI15" s="21">
        <v>11.803319999999999</v>
      </c>
      <c r="CJ15" s="21">
        <v>11.803319999999999</v>
      </c>
      <c r="CK15" s="21">
        <v>11.803319999999999</v>
      </c>
      <c r="CL15" s="21">
        <v>11.803319999999999</v>
      </c>
      <c r="CM15" s="21">
        <v>11.803319999999999</v>
      </c>
      <c r="CN15" s="21">
        <v>11.803319999999999</v>
      </c>
      <c r="CO15" s="21">
        <v>11.803319999999999</v>
      </c>
      <c r="CP15" s="21">
        <v>11.803319999999999</v>
      </c>
      <c r="CQ15" s="21">
        <v>11.803319999999999</v>
      </c>
      <c r="CR15" s="21">
        <v>11.803319999999999</v>
      </c>
      <c r="CS15" s="21">
        <v>11.803319999999999</v>
      </c>
      <c r="CT15" s="21">
        <v>11.803319999999999</v>
      </c>
      <c r="CU15" s="21">
        <v>11.803319999999999</v>
      </c>
      <c r="CV15" s="21">
        <v>11.803319999999999</v>
      </c>
      <c r="CW15" s="21">
        <v>11.803319999999999</v>
      </c>
      <c r="CX15" s="21">
        <v>11.803319999999999</v>
      </c>
      <c r="CY15" s="21">
        <v>11.803319999999999</v>
      </c>
      <c r="CZ15" s="21">
        <v>11.803319999999999</v>
      </c>
      <c r="DA15" s="21">
        <v>11.803319999999999</v>
      </c>
      <c r="DB15" s="21">
        <v>11.803319999999999</v>
      </c>
      <c r="DC15" s="21">
        <v>11.803319999999999</v>
      </c>
      <c r="DD15" s="21">
        <v>11.803319999999999</v>
      </c>
      <c r="DE15" s="21">
        <v>11.803319999999999</v>
      </c>
      <c r="DF15" s="21">
        <v>11.803319999999999</v>
      </c>
      <c r="DG15" s="21">
        <v>11.803319999999999</v>
      </c>
      <c r="DH15" s="21">
        <v>11.803319999999999</v>
      </c>
      <c r="DI15" s="21">
        <v>11.803319999999999</v>
      </c>
      <c r="DJ15" s="21">
        <v>11.803319999999999</v>
      </c>
      <c r="DK15" s="21">
        <v>11.803319999999999</v>
      </c>
      <c r="DL15" s="21">
        <v>11.803319999999999</v>
      </c>
      <c r="DM15" s="21">
        <v>11.803319999999999</v>
      </c>
      <c r="DN15" s="21">
        <v>11.803319999999999</v>
      </c>
      <c r="DO15" s="21">
        <v>11.803319999999999</v>
      </c>
      <c r="DP15" s="21">
        <v>11.803319999999999</v>
      </c>
      <c r="DQ15" s="21">
        <v>11.803319999999999</v>
      </c>
      <c r="DR15" s="21">
        <v>11.803319999999999</v>
      </c>
      <c r="DS15" s="21">
        <v>11.803319999999999</v>
      </c>
      <c r="DT15" s="21">
        <v>11.803319999999999</v>
      </c>
      <c r="DU15" s="21">
        <v>11.803319999999999</v>
      </c>
      <c r="DV15" s="21">
        <v>11.803319999999999</v>
      </c>
      <c r="DW15" s="21">
        <v>11.803319999999999</v>
      </c>
      <c r="DX15" s="21">
        <v>11.803319999999999</v>
      </c>
      <c r="DY15" s="21">
        <v>11.803319999999999</v>
      </c>
      <c r="DZ15" s="21">
        <v>11.803319999999999</v>
      </c>
      <c r="EA15" s="21">
        <v>11.803319999999999</v>
      </c>
      <c r="EB15" s="21">
        <v>11.803319999999999</v>
      </c>
      <c r="EC15" s="21">
        <v>11.803319999999999</v>
      </c>
      <c r="ED15" s="21">
        <v>11.803319999999999</v>
      </c>
      <c r="EE15" s="21">
        <v>11.803319999999999</v>
      </c>
      <c r="EF15" s="21">
        <v>11.803319999999999</v>
      </c>
      <c r="EG15" s="21">
        <v>11.803319999999999</v>
      </c>
      <c r="EH15" s="21">
        <v>11.803319999999999</v>
      </c>
      <c r="EI15" s="21">
        <v>11.803319999999999</v>
      </c>
      <c r="EJ15" s="21">
        <v>11.803319999999999</v>
      </c>
      <c r="EK15" s="21">
        <v>11.803319999999999</v>
      </c>
      <c r="EL15" s="21">
        <v>11.803319999999999</v>
      </c>
      <c r="EM15" s="21">
        <v>11.803319999999999</v>
      </c>
      <c r="EN15" s="21">
        <v>11.803319999999999</v>
      </c>
      <c r="EO15" s="21">
        <v>11.803319999999999</v>
      </c>
      <c r="EP15" s="21">
        <v>11.803319999999999</v>
      </c>
      <c r="EQ15" s="21">
        <v>11.803319999999999</v>
      </c>
      <c r="ER15" s="21">
        <v>11.803319999999999</v>
      </c>
      <c r="ES15" s="21">
        <v>11.803319999999999</v>
      </c>
      <c r="ET15" s="21">
        <v>11.803319999999999</v>
      </c>
      <c r="EU15" s="21">
        <v>11.803319999999999</v>
      </c>
      <c r="EV15" s="21">
        <v>11.803319999999999</v>
      </c>
      <c r="EW15" s="21">
        <v>11.803319999999999</v>
      </c>
      <c r="EX15" s="21">
        <v>11.803319999999999</v>
      </c>
      <c r="EY15" s="21">
        <v>11.803319999999999</v>
      </c>
      <c r="EZ15" s="21">
        <v>11.803319999999999</v>
      </c>
      <c r="FA15" s="21">
        <v>11.803319999999999</v>
      </c>
      <c r="FB15" s="21">
        <v>11.803319999999999</v>
      </c>
      <c r="FC15" s="21">
        <v>11.803319999999999</v>
      </c>
      <c r="FD15" s="21">
        <v>11.803319999999999</v>
      </c>
      <c r="FE15" s="21">
        <v>11.803319999999999</v>
      </c>
      <c r="FF15" s="21">
        <v>11.803319999999999</v>
      </c>
      <c r="FG15" s="21">
        <v>11.803319999999999</v>
      </c>
      <c r="FH15" s="21">
        <v>11.803319999999999</v>
      </c>
      <c r="FI15" s="21">
        <v>11.803319999999999</v>
      </c>
      <c r="FJ15" s="21">
        <v>11.803319999999999</v>
      </c>
      <c r="FK15" s="21">
        <v>11.803319999999999</v>
      </c>
      <c r="FL15" s="21">
        <v>11.803319999999999</v>
      </c>
      <c r="FM15" s="21">
        <v>11.803319999999999</v>
      </c>
      <c r="FN15" s="21">
        <v>11.803319999999999</v>
      </c>
      <c r="FO15" s="21">
        <v>11.803319999999999</v>
      </c>
      <c r="FP15" s="21">
        <v>11.803319999999999</v>
      </c>
      <c r="FQ15" s="21">
        <v>11.803319999999999</v>
      </c>
      <c r="FR15" s="21">
        <v>11.803319999999999</v>
      </c>
      <c r="FS15" s="21">
        <v>11.803319999999999</v>
      </c>
      <c r="FT15" s="21">
        <v>11.803319999999999</v>
      </c>
      <c r="FU15" s="21">
        <v>11.803319999999999</v>
      </c>
      <c r="FV15" s="21">
        <v>11.803319999999999</v>
      </c>
      <c r="FW15" s="21">
        <v>11.803319999999999</v>
      </c>
      <c r="FX15" s="21">
        <v>11.803319999999999</v>
      </c>
      <c r="FY15" s="21">
        <v>11.803319999999999</v>
      </c>
      <c r="FZ15" s="21">
        <v>11.803319999999999</v>
      </c>
      <c r="GA15" s="21">
        <v>11.803319999999999</v>
      </c>
      <c r="GB15" s="21">
        <v>11.803319999999999</v>
      </c>
      <c r="GC15" s="21">
        <v>11.803319999999999</v>
      </c>
      <c r="GD15" s="21">
        <v>11.803319999999999</v>
      </c>
      <c r="GE15" s="21">
        <v>11.803319999999999</v>
      </c>
      <c r="GF15" s="21">
        <v>11.803319999999999</v>
      </c>
      <c r="GG15" s="21">
        <v>11.803319999999999</v>
      </c>
      <c r="GH15" s="21">
        <v>11.803319999999999</v>
      </c>
      <c r="GI15" s="21">
        <v>11.803319999999999</v>
      </c>
      <c r="GJ15" s="21">
        <v>11.803319999999999</v>
      </c>
      <c r="GK15" s="21">
        <v>11.803319999999999</v>
      </c>
      <c r="GL15" s="21">
        <v>11.803319999999999</v>
      </c>
      <c r="GM15" s="21">
        <v>11.803319999999999</v>
      </c>
      <c r="GN15" s="21">
        <v>11.803319999999999</v>
      </c>
      <c r="GO15" s="21">
        <v>11.803319999999999</v>
      </c>
      <c r="GP15" s="21">
        <v>11.803319999999999</v>
      </c>
      <c r="GQ15" s="21">
        <v>11.803319999999999</v>
      </c>
      <c r="GR15" s="21">
        <v>11.803319999999999</v>
      </c>
      <c r="GS15" s="21">
        <v>11.803319999999999</v>
      </c>
      <c r="GT15" s="21">
        <v>11.803319999999999</v>
      </c>
      <c r="GU15" s="21">
        <v>11.803319999999999</v>
      </c>
      <c r="GV15" s="21">
        <v>11.803319999999999</v>
      </c>
      <c r="GW15" s="21">
        <v>11.803319999999999</v>
      </c>
      <c r="GX15" s="21">
        <v>11.803319999999999</v>
      </c>
      <c r="GY15" s="21">
        <v>11.803319999999999</v>
      </c>
      <c r="GZ15" s="21">
        <v>11.803319999999999</v>
      </c>
      <c r="HA15" s="21">
        <v>11.803319999999999</v>
      </c>
      <c r="HB15" s="21">
        <v>11.803319999999999</v>
      </c>
      <c r="HC15" s="21">
        <v>11.803319999999999</v>
      </c>
      <c r="HD15" s="21">
        <v>11.803319999999999</v>
      </c>
      <c r="HE15" s="21">
        <v>11.803319999999999</v>
      </c>
      <c r="HF15" s="21">
        <v>11.803319999999999</v>
      </c>
      <c r="HG15" s="21">
        <v>11.803319999999999</v>
      </c>
      <c r="HH15" s="21">
        <v>11.803319999999999</v>
      </c>
      <c r="HI15" s="21">
        <v>11.803319999999999</v>
      </c>
      <c r="HJ15" s="21">
        <v>11.803319999999999</v>
      </c>
      <c r="HK15" s="21">
        <v>11.803319999999999</v>
      </c>
      <c r="HL15" s="21">
        <v>11.803319999999999</v>
      </c>
      <c r="HM15" s="21">
        <v>11.803319999999999</v>
      </c>
      <c r="HN15" s="21">
        <v>11.803319999999999</v>
      </c>
      <c r="HO15" s="21">
        <v>11.803319999999999</v>
      </c>
      <c r="HP15" s="21">
        <v>11.803319999999999</v>
      </c>
      <c r="HQ15" s="21">
        <v>11.803319999999999</v>
      </c>
      <c r="HR15" s="21">
        <v>11.803319999999999</v>
      </c>
      <c r="HS15" s="21">
        <v>11.803319999999999</v>
      </c>
      <c r="HT15" s="21">
        <v>11.803319999999999</v>
      </c>
      <c r="HU15" s="21">
        <v>11.803319999999999</v>
      </c>
      <c r="HV15" s="21">
        <v>11.803319999999999</v>
      </c>
      <c r="HW15" s="21">
        <v>11.803319999999999</v>
      </c>
      <c r="HX15" s="21">
        <v>11.803319999999999</v>
      </c>
      <c r="HY15" s="21">
        <v>11.803319999999999</v>
      </c>
      <c r="HZ15" s="21">
        <v>11.803319999999999</v>
      </c>
      <c r="IA15" s="21">
        <v>11.803319999999999</v>
      </c>
      <c r="IB15" s="21">
        <v>11.803319999999999</v>
      </c>
      <c r="IC15" s="21">
        <v>11.803319999999999</v>
      </c>
      <c r="ID15" s="21">
        <v>11.803319999999999</v>
      </c>
      <c r="IE15" s="21">
        <v>11.803319999999999</v>
      </c>
      <c r="IF15" s="21">
        <v>11.803319999999999</v>
      </c>
      <c r="IG15" s="21">
        <v>11.803319999999999</v>
      </c>
      <c r="IH15" s="21">
        <v>11.803319999999999</v>
      </c>
      <c r="II15" s="21">
        <v>11.803319999999999</v>
      </c>
      <c r="IJ15" s="21">
        <v>11.803319999999999</v>
      </c>
      <c r="IK15" s="21">
        <v>11.803319999999999</v>
      </c>
      <c r="IL15" s="21">
        <v>11.803319999999999</v>
      </c>
      <c r="IM15" s="21">
        <v>11.803319999999999</v>
      </c>
      <c r="IN15" s="21">
        <v>11.803319999999999</v>
      </c>
      <c r="IO15" s="21">
        <v>11.803319999999999</v>
      </c>
      <c r="IP15" s="21">
        <v>11.803319999999999</v>
      </c>
      <c r="IQ15" s="21">
        <v>11.803319999999999</v>
      </c>
      <c r="IR15" s="21">
        <v>11.803319999999999</v>
      </c>
      <c r="IS15" s="21">
        <v>11.803319999999999</v>
      </c>
      <c r="IT15" s="21">
        <v>11.803319999999999</v>
      </c>
      <c r="IU15" s="21">
        <v>11.803319999999999</v>
      </c>
      <c r="IV15" s="21">
        <v>11.803319999999999</v>
      </c>
      <c r="IW15" s="21">
        <v>11.803319999999999</v>
      </c>
      <c r="IX15" s="21">
        <v>11.803319999999999</v>
      </c>
      <c r="IY15" s="21">
        <v>11.803319999999999</v>
      </c>
      <c r="IZ15" s="21">
        <v>11.803319999999999</v>
      </c>
      <c r="JA15" s="21">
        <v>11.803319999999999</v>
      </c>
      <c r="JB15" s="21">
        <v>11.803319999999999</v>
      </c>
      <c r="JC15" s="21">
        <v>11.803319999999999</v>
      </c>
      <c r="JD15" s="21">
        <v>11.803319999999999</v>
      </c>
      <c r="JE15" s="21">
        <v>11.803319999999999</v>
      </c>
      <c r="JF15" s="21">
        <v>11.803319999999999</v>
      </c>
      <c r="JG15" s="21">
        <v>11.803319999999999</v>
      </c>
      <c r="JH15" s="21">
        <v>11.803319999999999</v>
      </c>
      <c r="JI15" s="21">
        <v>11.803319999999999</v>
      </c>
      <c r="JJ15" s="21">
        <v>11.803319999999999</v>
      </c>
      <c r="JK15" s="21">
        <v>11.803319999999999</v>
      </c>
      <c r="JL15" s="21">
        <v>11.803319999999999</v>
      </c>
      <c r="JM15" s="21">
        <v>11.803319999999999</v>
      </c>
      <c r="JN15" s="21">
        <v>11.803319999999999</v>
      </c>
      <c r="JO15" s="21">
        <v>11.803319999999999</v>
      </c>
      <c r="JP15" s="21">
        <v>11.803319999999999</v>
      </c>
      <c r="JQ15" s="21">
        <v>11.803319999999999</v>
      </c>
      <c r="JR15" s="21">
        <v>11.803319999999999</v>
      </c>
      <c r="JS15" s="21">
        <v>11.803319999999999</v>
      </c>
      <c r="JT15" s="21">
        <v>11.803319999999999</v>
      </c>
      <c r="JU15" s="21">
        <v>11.803319999999999</v>
      </c>
      <c r="JV15" s="21">
        <v>11.803319999999999</v>
      </c>
      <c r="JW15" s="21">
        <v>11.803319999999999</v>
      </c>
      <c r="JX15" s="21">
        <v>11.803319999999999</v>
      </c>
      <c r="JY15" s="21">
        <v>11.803319999999999</v>
      </c>
      <c r="JZ15" s="21">
        <v>11.803319999999999</v>
      </c>
      <c r="KA15" s="21">
        <v>11.803319999999999</v>
      </c>
      <c r="KB15" s="21">
        <v>11.803319999999999</v>
      </c>
      <c r="KC15" s="21">
        <v>11.803319999999999</v>
      </c>
      <c r="KD15" s="21">
        <v>11.803319999999999</v>
      </c>
      <c r="KE15" s="21">
        <v>11.803319999999999</v>
      </c>
      <c r="KF15" s="21">
        <v>11.803319999999999</v>
      </c>
      <c r="KG15" s="21">
        <v>11.803319999999999</v>
      </c>
      <c r="KH15" s="21">
        <v>11.803319999999999</v>
      </c>
      <c r="KI15" s="21">
        <v>11.803319999999999</v>
      </c>
      <c r="KJ15" s="21">
        <v>11.803319999999999</v>
      </c>
      <c r="KK15" s="21">
        <v>11.803319999999999</v>
      </c>
      <c r="KL15" s="21">
        <v>11.803319999999999</v>
      </c>
      <c r="KM15" s="21">
        <v>11.803319999999999</v>
      </c>
      <c r="KN15" s="21">
        <v>11.803319999999999</v>
      </c>
      <c r="KO15" s="21">
        <v>11.803319999999999</v>
      </c>
      <c r="KP15" s="21">
        <v>11.803319999999999</v>
      </c>
      <c r="KQ15" s="21">
        <v>11.803319999999999</v>
      </c>
      <c r="KR15" s="21">
        <v>11.803319999999999</v>
      </c>
      <c r="KS15" s="21">
        <v>11.803319999999999</v>
      </c>
      <c r="KT15" s="21">
        <v>11.803319999999999</v>
      </c>
      <c r="KU15" s="21">
        <v>11.803319999999999</v>
      </c>
      <c r="KV15" s="21">
        <v>11.803319999999999</v>
      </c>
      <c r="KW15" s="21">
        <v>11.803319999999999</v>
      </c>
      <c r="KX15" s="21">
        <v>11.803319999999999</v>
      </c>
      <c r="KY15" s="21">
        <v>11.803319999999999</v>
      </c>
      <c r="KZ15" s="21">
        <v>11.803319999999999</v>
      </c>
      <c r="LA15" s="21">
        <v>11.803319999999999</v>
      </c>
      <c r="LB15" s="21">
        <v>11.803319999999999</v>
      </c>
      <c r="LC15" s="21">
        <v>11.803319999999999</v>
      </c>
      <c r="LD15" s="21">
        <v>11.803319999999999</v>
      </c>
      <c r="LE15" s="21">
        <v>11.803319999999999</v>
      </c>
      <c r="LF15" s="21">
        <v>11.803319999999999</v>
      </c>
      <c r="LG15" s="21">
        <v>11.803319999999999</v>
      </c>
      <c r="LH15" s="21">
        <v>11.803319999999999</v>
      </c>
      <c r="LI15" s="21">
        <v>11.803319999999999</v>
      </c>
      <c r="LJ15" s="21">
        <v>11.803319999999999</v>
      </c>
      <c r="LK15" s="21">
        <v>11.803319999999999</v>
      </c>
      <c r="LL15" s="21">
        <v>11.803319999999999</v>
      </c>
      <c r="LM15" s="21">
        <v>11.803319999999999</v>
      </c>
      <c r="LN15" s="21">
        <v>11.803319999999999</v>
      </c>
      <c r="LO15" s="21">
        <v>11.803319999999999</v>
      </c>
      <c r="LP15" s="21">
        <v>11.803319999999999</v>
      </c>
      <c r="LQ15" s="21">
        <v>11.803319999999999</v>
      </c>
      <c r="LR15" s="21">
        <v>11.803319999999999</v>
      </c>
      <c r="LS15" s="21">
        <v>11.803319999999999</v>
      </c>
      <c r="LT15" s="21">
        <v>11.803319999999999</v>
      </c>
      <c r="LU15" s="21">
        <v>11.803319999999999</v>
      </c>
      <c r="LV15" s="21">
        <v>11.803319999999999</v>
      </c>
      <c r="LW15" s="21">
        <v>11.803319999999999</v>
      </c>
      <c r="LX15" s="21">
        <v>11.803319999999999</v>
      </c>
      <c r="LY15" s="21">
        <v>11.803319999999999</v>
      </c>
      <c r="LZ15" s="21">
        <v>11.803319999999999</v>
      </c>
      <c r="MA15" s="21">
        <v>11.803319999999999</v>
      </c>
      <c r="MB15" s="21">
        <v>11.803319999999999</v>
      </c>
      <c r="MC15" s="21">
        <v>11.803319999999999</v>
      </c>
      <c r="MD15" s="21">
        <v>11.803319999999999</v>
      </c>
      <c r="ME15" s="21">
        <v>11.803319999999999</v>
      </c>
      <c r="MF15" s="21">
        <v>11.803319999999999</v>
      </c>
      <c r="MG15" s="21">
        <v>11.803319999999999</v>
      </c>
      <c r="MH15" s="21">
        <v>11.803319999999999</v>
      </c>
      <c r="MI15" s="21">
        <v>11.803319999999999</v>
      </c>
      <c r="MJ15" s="21">
        <v>11.803319999999999</v>
      </c>
      <c r="MK15" s="21">
        <v>11.803319999999999</v>
      </c>
      <c r="ML15" s="21">
        <v>11.803319999999999</v>
      </c>
      <c r="MM15" s="21">
        <v>11.803319999999999</v>
      </c>
      <c r="MN15" s="21">
        <v>11.803319999999999</v>
      </c>
      <c r="MO15" s="21">
        <v>11.803319999999999</v>
      </c>
      <c r="MP15" s="21">
        <v>11.803319999999999</v>
      </c>
      <c r="MQ15" s="21">
        <v>11.803319999999999</v>
      </c>
      <c r="MR15" s="21">
        <v>11.803319999999999</v>
      </c>
      <c r="MS15" s="21">
        <v>11.803319999999999</v>
      </c>
      <c r="MT15" s="21">
        <v>11.803319999999999</v>
      </c>
      <c r="MU15" s="21">
        <v>11.803319999999999</v>
      </c>
      <c r="MV15" s="21">
        <v>11.803319999999999</v>
      </c>
      <c r="MW15" s="21">
        <v>11.803319999999999</v>
      </c>
      <c r="MX15" s="21">
        <v>11.803319999999999</v>
      </c>
      <c r="MY15" s="21">
        <v>11.803319999999999</v>
      </c>
      <c r="MZ15" s="21">
        <v>12.76722</v>
      </c>
    </row>
    <row r="16" spans="1:364" x14ac:dyDescent="0.25">
      <c r="A16" s="7">
        <f>+'Valo FX'!A17</f>
        <v>14</v>
      </c>
      <c r="B16" s="16" t="str">
        <f>+Base!B14</f>
        <v>202401300058A033</v>
      </c>
      <c r="C16" s="75">
        <v>6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12.24048</v>
      </c>
      <c r="K16" s="21">
        <v>12.24048</v>
      </c>
      <c r="L16" s="21">
        <v>12.24048</v>
      </c>
      <c r="M16" s="21">
        <v>12.24048</v>
      </c>
      <c r="N16" s="21">
        <v>12.24048</v>
      </c>
      <c r="O16" s="21">
        <v>12.24048</v>
      </c>
      <c r="P16" s="21">
        <v>12.24048</v>
      </c>
      <c r="Q16" s="21">
        <v>12.24048</v>
      </c>
      <c r="R16" s="21">
        <v>12.24048</v>
      </c>
      <c r="S16" s="21">
        <v>12.24048</v>
      </c>
      <c r="T16" s="21">
        <v>12.24048</v>
      </c>
      <c r="U16" s="21">
        <v>12.24048</v>
      </c>
      <c r="V16" s="21">
        <v>12.24048</v>
      </c>
      <c r="W16" s="21">
        <v>12.24048</v>
      </c>
      <c r="X16" s="21">
        <v>12.24048</v>
      </c>
      <c r="Y16" s="21">
        <v>12.24048</v>
      </c>
      <c r="Z16" s="21">
        <v>12.24048</v>
      </c>
      <c r="AA16" s="21">
        <v>12.24048</v>
      </c>
      <c r="AB16" s="21">
        <v>12.24048</v>
      </c>
      <c r="AC16" s="21">
        <v>12.24048</v>
      </c>
      <c r="AD16" s="21">
        <v>12.24048</v>
      </c>
      <c r="AE16" s="21">
        <v>12.24048</v>
      </c>
      <c r="AF16" s="21">
        <v>12.24048</v>
      </c>
      <c r="AG16" s="21">
        <v>12.24048</v>
      </c>
      <c r="AH16" s="21">
        <v>12.24048</v>
      </c>
      <c r="AI16" s="21">
        <v>12.24048</v>
      </c>
      <c r="AJ16" s="21">
        <v>12.24048</v>
      </c>
      <c r="AK16" s="21">
        <v>12.24048</v>
      </c>
      <c r="AL16" s="21">
        <v>12.24048</v>
      </c>
      <c r="AM16" s="21">
        <v>12.24048</v>
      </c>
      <c r="AN16" s="21">
        <v>12.24048</v>
      </c>
      <c r="AO16" s="21">
        <v>12.24048</v>
      </c>
      <c r="AP16" s="21">
        <v>12.24048</v>
      </c>
      <c r="AQ16" s="21">
        <v>12.24048</v>
      </c>
      <c r="AR16" s="21">
        <v>12.24048</v>
      </c>
      <c r="AS16" s="21">
        <v>12.24048</v>
      </c>
      <c r="AT16" s="21">
        <v>12.24048</v>
      </c>
      <c r="AU16" s="21">
        <v>12.24048</v>
      </c>
      <c r="AV16" s="21">
        <v>12.24048</v>
      </c>
      <c r="AW16" s="21">
        <v>12.24048</v>
      </c>
      <c r="AX16" s="21">
        <v>12.24048</v>
      </c>
      <c r="AY16" s="21">
        <v>12.24048</v>
      </c>
      <c r="AZ16" s="21">
        <v>12.24048</v>
      </c>
      <c r="BA16" s="21">
        <v>12.24048</v>
      </c>
      <c r="BB16" s="21">
        <v>12.24048</v>
      </c>
      <c r="BC16" s="21">
        <v>12.24048</v>
      </c>
      <c r="BD16" s="21">
        <v>12.24048</v>
      </c>
      <c r="BE16" s="21">
        <v>12.24048</v>
      </c>
      <c r="BF16" s="21">
        <v>12.24048</v>
      </c>
      <c r="BG16" s="21">
        <v>12.24048</v>
      </c>
      <c r="BH16" s="21">
        <v>12.24048</v>
      </c>
      <c r="BI16" s="21">
        <v>12.24048</v>
      </c>
      <c r="BJ16" s="21">
        <v>12.24048</v>
      </c>
      <c r="BK16" s="21">
        <v>12.24048</v>
      </c>
      <c r="BL16" s="21">
        <v>12.24048</v>
      </c>
      <c r="BM16" s="21">
        <v>12.24048</v>
      </c>
      <c r="BN16" s="21">
        <v>12.24048</v>
      </c>
      <c r="BO16" s="21">
        <v>12.24048</v>
      </c>
      <c r="BP16" s="21">
        <v>12.24048</v>
      </c>
      <c r="BQ16" s="21">
        <v>12.24048</v>
      </c>
      <c r="BR16" s="21">
        <v>12.24048</v>
      </c>
      <c r="BS16" s="21">
        <v>12.24048</v>
      </c>
      <c r="BT16" s="21">
        <v>12.24048</v>
      </c>
      <c r="BU16" s="21">
        <v>12.24048</v>
      </c>
      <c r="BV16" s="21">
        <v>12.24048</v>
      </c>
      <c r="BW16" s="21">
        <v>12.24048</v>
      </c>
      <c r="BX16" s="21">
        <v>12.24048</v>
      </c>
      <c r="BY16" s="21">
        <v>12.24048</v>
      </c>
      <c r="BZ16" s="21">
        <v>12.24048</v>
      </c>
      <c r="CA16" s="21">
        <v>12.24048</v>
      </c>
      <c r="CB16" s="21">
        <v>12.24048</v>
      </c>
      <c r="CC16" s="21">
        <v>12.24048</v>
      </c>
      <c r="CD16" s="21">
        <v>12.24048</v>
      </c>
      <c r="CE16" s="21">
        <v>12.24048</v>
      </c>
      <c r="CF16" s="21">
        <v>12.24048</v>
      </c>
      <c r="CG16" s="21">
        <v>12.24048</v>
      </c>
      <c r="CH16" s="21">
        <v>12.24048</v>
      </c>
      <c r="CI16" s="21">
        <v>12.24048</v>
      </c>
      <c r="CJ16" s="21">
        <v>12.24048</v>
      </c>
      <c r="CK16" s="21">
        <v>12.24048</v>
      </c>
      <c r="CL16" s="21">
        <v>12.24048</v>
      </c>
      <c r="CM16" s="21">
        <v>12.24048</v>
      </c>
      <c r="CN16" s="21">
        <v>12.24048</v>
      </c>
      <c r="CO16" s="21">
        <v>12.24048</v>
      </c>
      <c r="CP16" s="21">
        <v>12.24048</v>
      </c>
      <c r="CQ16" s="21">
        <v>12.24048</v>
      </c>
      <c r="CR16" s="21">
        <v>12.24048</v>
      </c>
      <c r="CS16" s="21">
        <v>12.24048</v>
      </c>
      <c r="CT16" s="21">
        <v>12.24048</v>
      </c>
      <c r="CU16" s="21">
        <v>12.24048</v>
      </c>
      <c r="CV16" s="21">
        <v>12.24048</v>
      </c>
      <c r="CW16" s="21">
        <v>12.24048</v>
      </c>
      <c r="CX16" s="21">
        <v>12.24048</v>
      </c>
      <c r="CY16" s="21">
        <v>12.24048</v>
      </c>
      <c r="CZ16" s="21">
        <v>12.24048</v>
      </c>
      <c r="DA16" s="21">
        <v>12.24048</v>
      </c>
      <c r="DB16" s="21">
        <v>12.24048</v>
      </c>
      <c r="DC16" s="21">
        <v>12.24048</v>
      </c>
      <c r="DD16" s="21">
        <v>12.24048</v>
      </c>
      <c r="DE16" s="21">
        <v>12.24048</v>
      </c>
      <c r="DF16" s="21">
        <v>12.24048</v>
      </c>
      <c r="DG16" s="21">
        <v>12.24048</v>
      </c>
      <c r="DH16" s="21">
        <v>12.24048</v>
      </c>
      <c r="DI16" s="21">
        <v>12.24048</v>
      </c>
      <c r="DJ16" s="21">
        <v>12.24048</v>
      </c>
      <c r="DK16" s="21">
        <v>12.24048</v>
      </c>
      <c r="DL16" s="21">
        <v>12.24048</v>
      </c>
      <c r="DM16" s="21">
        <v>12.24048</v>
      </c>
      <c r="DN16" s="21">
        <v>12.24048</v>
      </c>
      <c r="DO16" s="21">
        <v>12.24048</v>
      </c>
      <c r="DP16" s="21">
        <v>12.24048</v>
      </c>
      <c r="DQ16" s="21">
        <v>12.24048</v>
      </c>
      <c r="DR16" s="21">
        <v>12.24048</v>
      </c>
      <c r="DS16" s="21">
        <v>12.24048</v>
      </c>
      <c r="DT16" s="21">
        <v>12.24048</v>
      </c>
      <c r="DU16" s="21">
        <v>12.24048</v>
      </c>
      <c r="DV16" s="21">
        <v>12.24048</v>
      </c>
      <c r="DW16" s="21">
        <v>12.24048</v>
      </c>
      <c r="DX16" s="21">
        <v>12.24048</v>
      </c>
      <c r="DY16" s="21">
        <v>12.24048</v>
      </c>
      <c r="DZ16" s="21">
        <v>12.24048</v>
      </c>
      <c r="EA16" s="21">
        <v>12.24048</v>
      </c>
      <c r="EB16" s="21">
        <v>12.24048</v>
      </c>
      <c r="EC16" s="21">
        <v>12.24048</v>
      </c>
      <c r="ED16" s="21">
        <v>12.24048</v>
      </c>
      <c r="EE16" s="21">
        <v>12.24048</v>
      </c>
      <c r="EF16" s="21">
        <v>12.24048</v>
      </c>
      <c r="EG16" s="21">
        <v>12.24048</v>
      </c>
      <c r="EH16" s="21">
        <v>12.24048</v>
      </c>
      <c r="EI16" s="21">
        <v>12.24048</v>
      </c>
      <c r="EJ16" s="21">
        <v>12.24048</v>
      </c>
      <c r="EK16" s="21">
        <v>12.24048</v>
      </c>
      <c r="EL16" s="21">
        <v>12.24048</v>
      </c>
      <c r="EM16" s="21">
        <v>12.24048</v>
      </c>
      <c r="EN16" s="21">
        <v>12.24048</v>
      </c>
      <c r="EO16" s="21">
        <v>12.24048</v>
      </c>
      <c r="EP16" s="21">
        <v>12.24048</v>
      </c>
      <c r="EQ16" s="21">
        <v>12.24048</v>
      </c>
      <c r="ER16" s="21">
        <v>12.24048</v>
      </c>
      <c r="ES16" s="21">
        <v>12.24048</v>
      </c>
      <c r="ET16" s="21">
        <v>12.24048</v>
      </c>
      <c r="EU16" s="21">
        <v>12.24048</v>
      </c>
      <c r="EV16" s="21">
        <v>12.24048</v>
      </c>
      <c r="EW16" s="21">
        <v>12.24048</v>
      </c>
      <c r="EX16" s="21">
        <v>12.24048</v>
      </c>
      <c r="EY16" s="21">
        <v>12.24048</v>
      </c>
      <c r="EZ16" s="21">
        <v>12.24048</v>
      </c>
      <c r="FA16" s="21">
        <v>12.24048</v>
      </c>
      <c r="FB16" s="21">
        <v>12.24048</v>
      </c>
      <c r="FC16" s="21">
        <v>12.24048</v>
      </c>
      <c r="FD16" s="21">
        <v>12.24048</v>
      </c>
      <c r="FE16" s="21">
        <v>12.24048</v>
      </c>
      <c r="FF16" s="21">
        <v>12.24048</v>
      </c>
      <c r="FG16" s="21">
        <v>12.24048</v>
      </c>
      <c r="FH16" s="21">
        <v>12.24048</v>
      </c>
      <c r="FI16" s="21">
        <v>12.24048</v>
      </c>
      <c r="FJ16" s="21">
        <v>12.24048</v>
      </c>
      <c r="FK16" s="21">
        <v>12.24048</v>
      </c>
      <c r="FL16" s="21">
        <v>12.24048</v>
      </c>
      <c r="FM16" s="21">
        <v>12.24048</v>
      </c>
      <c r="FN16" s="21">
        <v>12.24048</v>
      </c>
      <c r="FO16" s="21">
        <v>12.24048</v>
      </c>
      <c r="FP16" s="21">
        <v>12.24048</v>
      </c>
      <c r="FQ16" s="21">
        <v>12.24048</v>
      </c>
      <c r="FR16" s="21">
        <v>12.24048</v>
      </c>
      <c r="FS16" s="21">
        <v>12.24048</v>
      </c>
      <c r="FT16" s="21">
        <v>12.24048</v>
      </c>
      <c r="FU16" s="21">
        <v>12.24048</v>
      </c>
      <c r="FV16" s="21">
        <v>12.24048</v>
      </c>
      <c r="FW16" s="21">
        <v>12.24048</v>
      </c>
      <c r="FX16" s="21">
        <v>12.24048</v>
      </c>
      <c r="FY16" s="21">
        <v>12.24048</v>
      </c>
      <c r="FZ16" s="21">
        <v>12.24048</v>
      </c>
      <c r="GA16" s="21">
        <v>12.24048</v>
      </c>
      <c r="GB16" s="21">
        <v>12.24048</v>
      </c>
      <c r="GC16" s="21">
        <v>12.24048</v>
      </c>
      <c r="GD16" s="21">
        <v>12.24048</v>
      </c>
      <c r="GE16" s="21">
        <v>12.24048</v>
      </c>
      <c r="GF16" s="21">
        <v>12.24048</v>
      </c>
      <c r="GG16" s="21">
        <v>12.24048</v>
      </c>
      <c r="GH16" s="21">
        <v>12.24048</v>
      </c>
      <c r="GI16" s="21">
        <v>12.24048</v>
      </c>
      <c r="GJ16" s="21">
        <v>12.24048</v>
      </c>
      <c r="GK16" s="21">
        <v>12.24048</v>
      </c>
      <c r="GL16" s="21">
        <v>12.24048</v>
      </c>
      <c r="GM16" s="21">
        <v>12.24048</v>
      </c>
      <c r="GN16" s="21">
        <v>12.24048</v>
      </c>
      <c r="GO16" s="21">
        <v>12.24048</v>
      </c>
      <c r="GP16" s="21">
        <v>12.24048</v>
      </c>
      <c r="GQ16" s="21">
        <v>12.24048</v>
      </c>
      <c r="GR16" s="21">
        <v>12.24048</v>
      </c>
      <c r="GS16" s="21">
        <v>12.24048</v>
      </c>
      <c r="GT16" s="21">
        <v>12.24048</v>
      </c>
      <c r="GU16" s="21">
        <v>12.24048</v>
      </c>
      <c r="GV16" s="21">
        <v>12.24048</v>
      </c>
      <c r="GW16" s="21">
        <v>12.24048</v>
      </c>
      <c r="GX16" s="21">
        <v>12.24048</v>
      </c>
      <c r="GY16" s="21">
        <v>12.24048</v>
      </c>
      <c r="GZ16" s="21">
        <v>12.24048</v>
      </c>
      <c r="HA16" s="21">
        <v>12.24048</v>
      </c>
      <c r="HB16" s="21">
        <v>12.24048</v>
      </c>
      <c r="HC16" s="21">
        <v>12.24048</v>
      </c>
      <c r="HD16" s="21">
        <v>12.24048</v>
      </c>
      <c r="HE16" s="21">
        <v>12.24048</v>
      </c>
      <c r="HF16" s="21">
        <v>12.24048</v>
      </c>
      <c r="HG16" s="21">
        <v>12.24048</v>
      </c>
      <c r="HH16" s="21">
        <v>12.24048</v>
      </c>
      <c r="HI16" s="21">
        <v>12.24048</v>
      </c>
      <c r="HJ16" s="21">
        <v>12.24048</v>
      </c>
      <c r="HK16" s="21">
        <v>12.24048</v>
      </c>
      <c r="HL16" s="21">
        <v>12.24048</v>
      </c>
      <c r="HM16" s="21">
        <v>12.24048</v>
      </c>
      <c r="HN16" s="21">
        <v>12.24048</v>
      </c>
      <c r="HO16" s="21">
        <v>12.24048</v>
      </c>
      <c r="HP16" s="21">
        <v>12.24048</v>
      </c>
      <c r="HQ16" s="21">
        <v>12.24048</v>
      </c>
      <c r="HR16" s="21">
        <v>12.24048</v>
      </c>
      <c r="HS16" s="21">
        <v>12.24048</v>
      </c>
      <c r="HT16" s="21">
        <v>12.24048</v>
      </c>
      <c r="HU16" s="21">
        <v>12.24048</v>
      </c>
      <c r="HV16" s="21">
        <v>12.24048</v>
      </c>
      <c r="HW16" s="21">
        <v>12.24048</v>
      </c>
      <c r="HX16" s="21">
        <v>12.24048</v>
      </c>
      <c r="HY16" s="21">
        <v>12.24048</v>
      </c>
      <c r="HZ16" s="21">
        <v>12.24048</v>
      </c>
      <c r="IA16" s="21">
        <v>12.24048</v>
      </c>
      <c r="IB16" s="21">
        <v>12.24048</v>
      </c>
      <c r="IC16" s="21">
        <v>12.24048</v>
      </c>
      <c r="ID16" s="21">
        <v>12.24048</v>
      </c>
      <c r="IE16" s="21">
        <v>12.24048</v>
      </c>
      <c r="IF16" s="21">
        <v>12.24048</v>
      </c>
      <c r="IG16" s="21">
        <v>12.24048</v>
      </c>
      <c r="IH16" s="21">
        <v>12.24048</v>
      </c>
      <c r="II16" s="21">
        <v>12.24048</v>
      </c>
      <c r="IJ16" s="21">
        <v>12.24048</v>
      </c>
      <c r="IK16" s="21">
        <v>12.24048</v>
      </c>
      <c r="IL16" s="21">
        <v>12.24048</v>
      </c>
      <c r="IM16" s="21">
        <v>12.24048</v>
      </c>
      <c r="IN16" s="21">
        <v>12.24048</v>
      </c>
      <c r="IO16" s="21">
        <v>12.24048</v>
      </c>
      <c r="IP16" s="21">
        <v>12.24048</v>
      </c>
      <c r="IQ16" s="21">
        <v>12.24048</v>
      </c>
      <c r="IR16" s="21">
        <v>12.24048</v>
      </c>
      <c r="IS16" s="21">
        <v>12.24048</v>
      </c>
      <c r="IT16" s="21">
        <v>12.24048</v>
      </c>
      <c r="IU16" s="21">
        <v>12.24048</v>
      </c>
      <c r="IV16" s="21">
        <v>12.24048</v>
      </c>
      <c r="IW16" s="21">
        <v>12.24048</v>
      </c>
      <c r="IX16" s="21">
        <v>12.24048</v>
      </c>
      <c r="IY16" s="21">
        <v>12.24048</v>
      </c>
      <c r="IZ16" s="21">
        <v>12.24048</v>
      </c>
      <c r="JA16" s="21">
        <v>12.24048</v>
      </c>
      <c r="JB16" s="21">
        <v>12.24048</v>
      </c>
      <c r="JC16" s="21">
        <v>12.24048</v>
      </c>
      <c r="JD16" s="21">
        <v>12.24048</v>
      </c>
      <c r="JE16" s="21">
        <v>12.24048</v>
      </c>
      <c r="JF16" s="21">
        <v>12.24048</v>
      </c>
      <c r="JG16" s="21">
        <v>12.24048</v>
      </c>
      <c r="JH16" s="21">
        <v>12.24048</v>
      </c>
      <c r="JI16" s="21">
        <v>12.24048</v>
      </c>
      <c r="JJ16" s="21">
        <v>12.24048</v>
      </c>
      <c r="JK16" s="21">
        <v>12.24048</v>
      </c>
      <c r="JL16" s="21">
        <v>12.24048</v>
      </c>
      <c r="JM16" s="21">
        <v>12.24048</v>
      </c>
      <c r="JN16" s="21">
        <v>12.24048</v>
      </c>
      <c r="JO16" s="21">
        <v>12.24048</v>
      </c>
      <c r="JP16" s="21">
        <v>12.24048</v>
      </c>
      <c r="JQ16" s="21">
        <v>12.24048</v>
      </c>
      <c r="JR16" s="21">
        <v>12.24048</v>
      </c>
      <c r="JS16" s="21">
        <v>12.24048</v>
      </c>
      <c r="JT16" s="21">
        <v>12.24048</v>
      </c>
      <c r="JU16" s="21">
        <v>12.24048</v>
      </c>
      <c r="JV16" s="21">
        <v>12.24048</v>
      </c>
      <c r="JW16" s="21">
        <v>12.24048</v>
      </c>
      <c r="JX16" s="21">
        <v>12.24048</v>
      </c>
      <c r="JY16" s="21">
        <v>12.24048</v>
      </c>
      <c r="JZ16" s="21">
        <v>12.24048</v>
      </c>
      <c r="KA16" s="21">
        <v>12.24048</v>
      </c>
      <c r="KB16" s="21">
        <v>12.24048</v>
      </c>
      <c r="KC16" s="21">
        <v>12.24048</v>
      </c>
      <c r="KD16" s="21">
        <v>12.24048</v>
      </c>
      <c r="KE16" s="21">
        <v>12.24048</v>
      </c>
      <c r="KF16" s="21">
        <v>12.24048</v>
      </c>
      <c r="KG16" s="21">
        <v>12.24048</v>
      </c>
      <c r="KH16" s="21">
        <v>12.24048</v>
      </c>
      <c r="KI16" s="21">
        <v>12.24048</v>
      </c>
      <c r="KJ16" s="21">
        <v>12.24048</v>
      </c>
      <c r="KK16" s="21">
        <v>12.24048</v>
      </c>
      <c r="KL16" s="21">
        <v>12.24048</v>
      </c>
      <c r="KM16" s="21">
        <v>12.24048</v>
      </c>
      <c r="KN16" s="21">
        <v>12.24048</v>
      </c>
      <c r="KO16" s="21">
        <v>12.24048</v>
      </c>
      <c r="KP16" s="21">
        <v>12.24048</v>
      </c>
      <c r="KQ16" s="21">
        <v>12.24048</v>
      </c>
      <c r="KR16" s="21">
        <v>12.24048</v>
      </c>
      <c r="KS16" s="21">
        <v>12.24048</v>
      </c>
      <c r="KT16" s="21">
        <v>12.24048</v>
      </c>
      <c r="KU16" s="21">
        <v>12.24048</v>
      </c>
      <c r="KV16" s="21">
        <v>12.24048</v>
      </c>
      <c r="KW16" s="21">
        <v>12.24048</v>
      </c>
      <c r="KX16" s="21">
        <v>12.24048</v>
      </c>
      <c r="KY16" s="21">
        <v>12.24048</v>
      </c>
      <c r="KZ16" s="21">
        <v>12.24048</v>
      </c>
      <c r="LA16" s="21">
        <v>12.24048</v>
      </c>
      <c r="LB16" s="21">
        <v>12.24048</v>
      </c>
      <c r="LC16" s="21">
        <v>12.24048</v>
      </c>
      <c r="LD16" s="21">
        <v>12.24048</v>
      </c>
      <c r="LE16" s="21">
        <v>12.24048</v>
      </c>
      <c r="LF16" s="21">
        <v>12.24048</v>
      </c>
      <c r="LG16" s="21">
        <v>12.24048</v>
      </c>
      <c r="LH16" s="21">
        <v>12.24048</v>
      </c>
      <c r="LI16" s="21">
        <v>12.24048</v>
      </c>
      <c r="LJ16" s="21">
        <v>12.24048</v>
      </c>
      <c r="LK16" s="21">
        <v>12.24048</v>
      </c>
      <c r="LL16" s="21">
        <v>12.24048</v>
      </c>
      <c r="LM16" s="21">
        <v>12.24048</v>
      </c>
      <c r="LN16" s="21">
        <v>12.24048</v>
      </c>
      <c r="LO16" s="21">
        <v>12.24048</v>
      </c>
      <c r="LP16" s="21">
        <v>12.24048</v>
      </c>
      <c r="LQ16" s="21">
        <v>12.24048</v>
      </c>
      <c r="LR16" s="21">
        <v>12.24048</v>
      </c>
      <c r="LS16" s="21">
        <v>12.24048</v>
      </c>
      <c r="LT16" s="21">
        <v>12.24048</v>
      </c>
      <c r="LU16" s="21">
        <v>12.24048</v>
      </c>
      <c r="LV16" s="21">
        <v>12.24048</v>
      </c>
      <c r="LW16" s="21">
        <v>12.24048</v>
      </c>
      <c r="LX16" s="21">
        <v>12.24048</v>
      </c>
      <c r="LY16" s="21">
        <v>12.24048</v>
      </c>
      <c r="LZ16" s="21">
        <v>12.24048</v>
      </c>
      <c r="MA16" s="21">
        <v>12.24048</v>
      </c>
      <c r="MB16" s="21">
        <v>12.24048</v>
      </c>
      <c r="MC16" s="21">
        <v>12.24048</v>
      </c>
      <c r="MD16" s="21">
        <v>12.24048</v>
      </c>
      <c r="ME16" s="21">
        <v>12.24048</v>
      </c>
      <c r="MF16" s="21">
        <v>12.24048</v>
      </c>
      <c r="MG16" s="21">
        <v>12.24048</v>
      </c>
      <c r="MH16" s="21">
        <v>12.24048</v>
      </c>
      <c r="MI16" s="21">
        <v>12.24048</v>
      </c>
      <c r="MJ16" s="21">
        <v>12.24048</v>
      </c>
      <c r="MK16" s="21">
        <v>12.24048</v>
      </c>
      <c r="ML16" s="21">
        <v>12.24048</v>
      </c>
      <c r="MM16" s="21">
        <v>12.24048</v>
      </c>
      <c r="MN16" s="21">
        <v>12.24048</v>
      </c>
      <c r="MO16" s="21">
        <v>12.24048</v>
      </c>
      <c r="MP16" s="21">
        <v>12.24048</v>
      </c>
      <c r="MQ16" s="21">
        <v>12.24048</v>
      </c>
      <c r="MR16" s="21">
        <v>12.24048</v>
      </c>
      <c r="MS16" s="21">
        <v>12.24048</v>
      </c>
      <c r="MT16" s="21">
        <v>12.24048</v>
      </c>
      <c r="MU16" s="21">
        <v>12.24048</v>
      </c>
      <c r="MV16" s="21">
        <v>12.24048</v>
      </c>
      <c r="MW16" s="21">
        <v>12.24048</v>
      </c>
      <c r="MX16" s="21">
        <v>12.24048</v>
      </c>
      <c r="MY16" s="21">
        <v>12.24048</v>
      </c>
      <c r="MZ16" s="21">
        <v>13.240080000000001</v>
      </c>
    </row>
    <row r="17" spans="1:364" x14ac:dyDescent="0.25">
      <c r="A17" s="7">
        <f>+'Valo FX'!A18</f>
        <v>15</v>
      </c>
      <c r="B17" s="16" t="str">
        <f>+Base!B15</f>
        <v>202401310059A033</v>
      </c>
      <c r="C17" s="75">
        <v>6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12.433773</v>
      </c>
      <c r="K17" s="21">
        <v>12.433773</v>
      </c>
      <c r="L17" s="21">
        <v>12.433773</v>
      </c>
      <c r="M17" s="21">
        <v>12.433773</v>
      </c>
      <c r="N17" s="21">
        <v>12.433773</v>
      </c>
      <c r="O17" s="21">
        <v>12.433773</v>
      </c>
      <c r="P17" s="21">
        <v>12.433773</v>
      </c>
      <c r="Q17" s="21">
        <v>12.433773</v>
      </c>
      <c r="R17" s="21">
        <v>12.433773</v>
      </c>
      <c r="S17" s="21">
        <v>12.433773</v>
      </c>
      <c r="T17" s="21">
        <v>12.433773</v>
      </c>
      <c r="U17" s="21">
        <v>12.433773</v>
      </c>
      <c r="V17" s="21">
        <v>12.433773</v>
      </c>
      <c r="W17" s="21">
        <v>12.433773</v>
      </c>
      <c r="X17" s="21">
        <v>12.433773</v>
      </c>
      <c r="Y17" s="21">
        <v>12.433773</v>
      </c>
      <c r="Z17" s="21">
        <v>12.433773</v>
      </c>
      <c r="AA17" s="21">
        <v>12.433773</v>
      </c>
      <c r="AB17" s="21">
        <v>12.433773</v>
      </c>
      <c r="AC17" s="21">
        <v>12.433773</v>
      </c>
      <c r="AD17" s="21">
        <v>12.433773</v>
      </c>
      <c r="AE17" s="21">
        <v>12.433773</v>
      </c>
      <c r="AF17" s="21">
        <v>12.433773</v>
      </c>
      <c r="AG17" s="21">
        <v>12.433773</v>
      </c>
      <c r="AH17" s="21">
        <v>12.433773</v>
      </c>
      <c r="AI17" s="21">
        <v>12.433773</v>
      </c>
      <c r="AJ17" s="21">
        <v>12.433773</v>
      </c>
      <c r="AK17" s="21">
        <v>12.433773</v>
      </c>
      <c r="AL17" s="21">
        <v>12.433773</v>
      </c>
      <c r="AM17" s="21">
        <v>12.433773</v>
      </c>
      <c r="AN17" s="21">
        <v>12.433773</v>
      </c>
      <c r="AO17" s="21">
        <v>12.433773</v>
      </c>
      <c r="AP17" s="21">
        <v>12.433773</v>
      </c>
      <c r="AQ17" s="21">
        <v>12.433773</v>
      </c>
      <c r="AR17" s="21">
        <v>12.433773</v>
      </c>
      <c r="AS17" s="21">
        <v>12.433773</v>
      </c>
      <c r="AT17" s="21">
        <v>12.433773</v>
      </c>
      <c r="AU17" s="21">
        <v>12.433773</v>
      </c>
      <c r="AV17" s="21">
        <v>12.433773</v>
      </c>
      <c r="AW17" s="21">
        <v>12.433773</v>
      </c>
      <c r="AX17" s="21">
        <v>12.433773</v>
      </c>
      <c r="AY17" s="21">
        <v>12.433773</v>
      </c>
      <c r="AZ17" s="21">
        <v>12.433773</v>
      </c>
      <c r="BA17" s="21">
        <v>12.433773</v>
      </c>
      <c r="BB17" s="21">
        <v>12.433773</v>
      </c>
      <c r="BC17" s="21">
        <v>12.433773</v>
      </c>
      <c r="BD17" s="21">
        <v>12.433773</v>
      </c>
      <c r="BE17" s="21">
        <v>12.433773</v>
      </c>
      <c r="BF17" s="21">
        <v>12.433773</v>
      </c>
      <c r="BG17" s="21">
        <v>12.433773</v>
      </c>
      <c r="BH17" s="21">
        <v>12.433773</v>
      </c>
      <c r="BI17" s="21">
        <v>12.433773</v>
      </c>
      <c r="BJ17" s="21">
        <v>12.433773</v>
      </c>
      <c r="BK17" s="21">
        <v>12.433773</v>
      </c>
      <c r="BL17" s="21">
        <v>12.433773</v>
      </c>
      <c r="BM17" s="21">
        <v>12.433773</v>
      </c>
      <c r="BN17" s="21">
        <v>12.433773</v>
      </c>
      <c r="BO17" s="21">
        <v>12.433773</v>
      </c>
      <c r="BP17" s="21">
        <v>12.433773</v>
      </c>
      <c r="BQ17" s="21">
        <v>12.433773</v>
      </c>
      <c r="BR17" s="21">
        <v>12.433773</v>
      </c>
      <c r="BS17" s="21">
        <v>12.433773</v>
      </c>
      <c r="BT17" s="21">
        <v>12.433773</v>
      </c>
      <c r="BU17" s="21">
        <v>12.433773</v>
      </c>
      <c r="BV17" s="21">
        <v>12.433773</v>
      </c>
      <c r="BW17" s="21">
        <v>12.433773</v>
      </c>
      <c r="BX17" s="21">
        <v>12.433773</v>
      </c>
      <c r="BY17" s="21">
        <v>12.433773</v>
      </c>
      <c r="BZ17" s="21">
        <v>12.433773</v>
      </c>
      <c r="CA17" s="21">
        <v>12.433773</v>
      </c>
      <c r="CB17" s="21">
        <v>12.433773</v>
      </c>
      <c r="CC17" s="21">
        <v>12.433773</v>
      </c>
      <c r="CD17" s="21">
        <v>12.433773</v>
      </c>
      <c r="CE17" s="21">
        <v>12.433773</v>
      </c>
      <c r="CF17" s="21">
        <v>12.433773</v>
      </c>
      <c r="CG17" s="21">
        <v>12.433773</v>
      </c>
      <c r="CH17" s="21">
        <v>12.433773</v>
      </c>
      <c r="CI17" s="21">
        <v>12.433773</v>
      </c>
      <c r="CJ17" s="21">
        <v>12.433773</v>
      </c>
      <c r="CK17" s="21">
        <v>12.433773</v>
      </c>
      <c r="CL17" s="21">
        <v>12.433773</v>
      </c>
      <c r="CM17" s="21">
        <v>12.433773</v>
      </c>
      <c r="CN17" s="21">
        <v>12.433773</v>
      </c>
      <c r="CO17" s="21">
        <v>12.433773</v>
      </c>
      <c r="CP17" s="21">
        <v>12.433773</v>
      </c>
      <c r="CQ17" s="21">
        <v>12.433773</v>
      </c>
      <c r="CR17" s="21">
        <v>12.433773</v>
      </c>
      <c r="CS17" s="21">
        <v>12.433773</v>
      </c>
      <c r="CT17" s="21">
        <v>12.433773</v>
      </c>
      <c r="CU17" s="21">
        <v>12.433773</v>
      </c>
      <c r="CV17" s="21">
        <v>12.433773</v>
      </c>
      <c r="CW17" s="21">
        <v>12.433773</v>
      </c>
      <c r="CX17" s="21">
        <v>12.433773</v>
      </c>
      <c r="CY17" s="21">
        <v>12.433773</v>
      </c>
      <c r="CZ17" s="21">
        <v>12.433773</v>
      </c>
      <c r="DA17" s="21">
        <v>12.433773</v>
      </c>
      <c r="DB17" s="21">
        <v>12.433773</v>
      </c>
      <c r="DC17" s="21">
        <v>12.433773</v>
      </c>
      <c r="DD17" s="21">
        <v>12.433773</v>
      </c>
      <c r="DE17" s="21">
        <v>12.433773</v>
      </c>
      <c r="DF17" s="21">
        <v>12.433773</v>
      </c>
      <c r="DG17" s="21">
        <v>12.433773</v>
      </c>
      <c r="DH17" s="21">
        <v>12.433773</v>
      </c>
      <c r="DI17" s="21">
        <v>12.433773</v>
      </c>
      <c r="DJ17" s="21">
        <v>12.433773</v>
      </c>
      <c r="DK17" s="21">
        <v>12.433773</v>
      </c>
      <c r="DL17" s="21">
        <v>12.433773</v>
      </c>
      <c r="DM17" s="21">
        <v>12.433773</v>
      </c>
      <c r="DN17" s="21">
        <v>12.433773</v>
      </c>
      <c r="DO17" s="21">
        <v>12.433773</v>
      </c>
      <c r="DP17" s="21">
        <v>12.433773</v>
      </c>
      <c r="DQ17" s="21">
        <v>12.433773</v>
      </c>
      <c r="DR17" s="21">
        <v>12.433773</v>
      </c>
      <c r="DS17" s="21">
        <v>12.433773</v>
      </c>
      <c r="DT17" s="21">
        <v>12.433773</v>
      </c>
      <c r="DU17" s="21">
        <v>12.433773</v>
      </c>
      <c r="DV17" s="21">
        <v>12.433773</v>
      </c>
      <c r="DW17" s="21">
        <v>12.433773</v>
      </c>
      <c r="DX17" s="21">
        <v>12.433773</v>
      </c>
      <c r="DY17" s="21">
        <v>12.433773</v>
      </c>
      <c r="DZ17" s="21">
        <v>12.433773</v>
      </c>
      <c r="EA17" s="21">
        <v>12.433773</v>
      </c>
      <c r="EB17" s="21">
        <v>12.433773</v>
      </c>
      <c r="EC17" s="21">
        <v>12.433773</v>
      </c>
      <c r="ED17" s="21">
        <v>12.433773</v>
      </c>
      <c r="EE17" s="21">
        <v>12.433773</v>
      </c>
      <c r="EF17" s="21">
        <v>12.433773</v>
      </c>
      <c r="EG17" s="21">
        <v>12.433773</v>
      </c>
      <c r="EH17" s="21">
        <v>12.433773</v>
      </c>
      <c r="EI17" s="21">
        <v>12.433773</v>
      </c>
      <c r="EJ17" s="21">
        <v>12.433773</v>
      </c>
      <c r="EK17" s="21">
        <v>12.433773</v>
      </c>
      <c r="EL17" s="21">
        <v>12.433773</v>
      </c>
      <c r="EM17" s="21">
        <v>12.433773</v>
      </c>
      <c r="EN17" s="21">
        <v>12.433773</v>
      </c>
      <c r="EO17" s="21">
        <v>12.433773</v>
      </c>
      <c r="EP17" s="21">
        <v>12.433773</v>
      </c>
      <c r="EQ17" s="21">
        <v>12.433773</v>
      </c>
      <c r="ER17" s="21">
        <v>12.433773</v>
      </c>
      <c r="ES17" s="21">
        <v>12.433773</v>
      </c>
      <c r="ET17" s="21">
        <v>12.433773</v>
      </c>
      <c r="EU17" s="21">
        <v>12.433773</v>
      </c>
      <c r="EV17" s="21">
        <v>12.433773</v>
      </c>
      <c r="EW17" s="21">
        <v>12.433773</v>
      </c>
      <c r="EX17" s="21">
        <v>12.433773</v>
      </c>
      <c r="EY17" s="21">
        <v>12.433773</v>
      </c>
      <c r="EZ17" s="21">
        <v>12.433773</v>
      </c>
      <c r="FA17" s="21">
        <v>12.433773</v>
      </c>
      <c r="FB17" s="21">
        <v>12.433773</v>
      </c>
      <c r="FC17" s="21">
        <v>12.433773</v>
      </c>
      <c r="FD17" s="21">
        <v>12.433773</v>
      </c>
      <c r="FE17" s="21">
        <v>12.433773</v>
      </c>
      <c r="FF17" s="21">
        <v>12.433773</v>
      </c>
      <c r="FG17" s="21">
        <v>12.433773</v>
      </c>
      <c r="FH17" s="21">
        <v>12.433773</v>
      </c>
      <c r="FI17" s="21">
        <v>12.433773</v>
      </c>
      <c r="FJ17" s="21">
        <v>12.433773</v>
      </c>
      <c r="FK17" s="21">
        <v>12.433773</v>
      </c>
      <c r="FL17" s="21">
        <v>12.433773</v>
      </c>
      <c r="FM17" s="21">
        <v>12.433773</v>
      </c>
      <c r="FN17" s="21">
        <v>12.433773</v>
      </c>
      <c r="FO17" s="21">
        <v>12.433773</v>
      </c>
      <c r="FP17" s="21">
        <v>12.433773</v>
      </c>
      <c r="FQ17" s="21">
        <v>12.433773</v>
      </c>
      <c r="FR17" s="21">
        <v>12.433773</v>
      </c>
      <c r="FS17" s="21">
        <v>12.433773</v>
      </c>
      <c r="FT17" s="21">
        <v>12.433773</v>
      </c>
      <c r="FU17" s="21">
        <v>12.433773</v>
      </c>
      <c r="FV17" s="21">
        <v>12.433773</v>
      </c>
      <c r="FW17" s="21">
        <v>12.433773</v>
      </c>
      <c r="FX17" s="21">
        <v>12.433773</v>
      </c>
      <c r="FY17" s="21">
        <v>12.433773</v>
      </c>
      <c r="FZ17" s="21">
        <v>12.433773</v>
      </c>
      <c r="GA17" s="21">
        <v>12.433773</v>
      </c>
      <c r="GB17" s="21">
        <v>12.433773</v>
      </c>
      <c r="GC17" s="21">
        <v>12.433773</v>
      </c>
      <c r="GD17" s="21">
        <v>12.433773</v>
      </c>
      <c r="GE17" s="21">
        <v>12.433773</v>
      </c>
      <c r="GF17" s="21">
        <v>12.433773</v>
      </c>
      <c r="GG17" s="21">
        <v>12.433773</v>
      </c>
      <c r="GH17" s="21">
        <v>12.433773</v>
      </c>
      <c r="GI17" s="21">
        <v>12.433773</v>
      </c>
      <c r="GJ17" s="21">
        <v>12.433773</v>
      </c>
      <c r="GK17" s="21">
        <v>12.433773</v>
      </c>
      <c r="GL17" s="21">
        <v>12.433773</v>
      </c>
      <c r="GM17" s="21">
        <v>12.433773</v>
      </c>
      <c r="GN17" s="21">
        <v>12.433773</v>
      </c>
      <c r="GO17" s="21">
        <v>12.433773</v>
      </c>
      <c r="GP17" s="21">
        <v>12.433773</v>
      </c>
      <c r="GQ17" s="21">
        <v>12.433773</v>
      </c>
      <c r="GR17" s="21">
        <v>12.433773</v>
      </c>
      <c r="GS17" s="21">
        <v>12.433773</v>
      </c>
      <c r="GT17" s="21">
        <v>12.433773</v>
      </c>
      <c r="GU17" s="21">
        <v>12.433773</v>
      </c>
      <c r="GV17" s="21">
        <v>12.433773</v>
      </c>
      <c r="GW17" s="21">
        <v>12.433773</v>
      </c>
      <c r="GX17" s="21">
        <v>12.433773</v>
      </c>
      <c r="GY17" s="21">
        <v>12.433773</v>
      </c>
      <c r="GZ17" s="21">
        <v>12.433773</v>
      </c>
      <c r="HA17" s="21">
        <v>12.433773</v>
      </c>
      <c r="HB17" s="21">
        <v>12.433773</v>
      </c>
      <c r="HC17" s="21">
        <v>12.433773</v>
      </c>
      <c r="HD17" s="21">
        <v>12.433773</v>
      </c>
      <c r="HE17" s="21">
        <v>12.433773</v>
      </c>
      <c r="HF17" s="21">
        <v>12.433773</v>
      </c>
      <c r="HG17" s="21">
        <v>12.433773</v>
      </c>
      <c r="HH17" s="21">
        <v>12.433773</v>
      </c>
      <c r="HI17" s="21">
        <v>12.433773</v>
      </c>
      <c r="HJ17" s="21">
        <v>12.433773</v>
      </c>
      <c r="HK17" s="21">
        <v>12.433773</v>
      </c>
      <c r="HL17" s="21">
        <v>12.433773</v>
      </c>
      <c r="HM17" s="21">
        <v>12.433773</v>
      </c>
      <c r="HN17" s="21">
        <v>12.433773</v>
      </c>
      <c r="HO17" s="21">
        <v>12.433773</v>
      </c>
      <c r="HP17" s="21">
        <v>12.433773</v>
      </c>
      <c r="HQ17" s="21">
        <v>12.433773</v>
      </c>
      <c r="HR17" s="21">
        <v>12.433773</v>
      </c>
      <c r="HS17" s="21">
        <v>12.433773</v>
      </c>
      <c r="HT17" s="21">
        <v>12.433773</v>
      </c>
      <c r="HU17" s="21">
        <v>12.433773</v>
      </c>
      <c r="HV17" s="21">
        <v>12.433773</v>
      </c>
      <c r="HW17" s="21">
        <v>12.433773</v>
      </c>
      <c r="HX17" s="21">
        <v>12.433773</v>
      </c>
      <c r="HY17" s="21">
        <v>12.433773</v>
      </c>
      <c r="HZ17" s="21">
        <v>12.433773</v>
      </c>
      <c r="IA17" s="21">
        <v>12.433773</v>
      </c>
      <c r="IB17" s="21">
        <v>12.433773</v>
      </c>
      <c r="IC17" s="21">
        <v>12.433773</v>
      </c>
      <c r="ID17" s="21">
        <v>12.433773</v>
      </c>
      <c r="IE17" s="21">
        <v>12.433773</v>
      </c>
      <c r="IF17" s="21">
        <v>12.433773</v>
      </c>
      <c r="IG17" s="21">
        <v>12.433773</v>
      </c>
      <c r="IH17" s="21">
        <v>12.433773</v>
      </c>
      <c r="II17" s="21">
        <v>12.433773</v>
      </c>
      <c r="IJ17" s="21">
        <v>12.433773</v>
      </c>
      <c r="IK17" s="21">
        <v>12.433773</v>
      </c>
      <c r="IL17" s="21">
        <v>12.433773</v>
      </c>
      <c r="IM17" s="21">
        <v>12.433773</v>
      </c>
      <c r="IN17" s="21">
        <v>12.433773</v>
      </c>
      <c r="IO17" s="21">
        <v>12.433773</v>
      </c>
      <c r="IP17" s="21">
        <v>12.433773</v>
      </c>
      <c r="IQ17" s="21">
        <v>12.433773</v>
      </c>
      <c r="IR17" s="21">
        <v>12.433773</v>
      </c>
      <c r="IS17" s="21">
        <v>12.433773</v>
      </c>
      <c r="IT17" s="21">
        <v>12.433773</v>
      </c>
      <c r="IU17" s="21">
        <v>12.433773</v>
      </c>
      <c r="IV17" s="21">
        <v>12.433773</v>
      </c>
      <c r="IW17" s="21">
        <v>12.433773</v>
      </c>
      <c r="IX17" s="21">
        <v>12.433773</v>
      </c>
      <c r="IY17" s="21">
        <v>12.433773</v>
      </c>
      <c r="IZ17" s="21">
        <v>12.433773</v>
      </c>
      <c r="JA17" s="21">
        <v>12.433773</v>
      </c>
      <c r="JB17" s="21">
        <v>12.433773</v>
      </c>
      <c r="JC17" s="21">
        <v>12.433773</v>
      </c>
      <c r="JD17" s="21">
        <v>12.433773</v>
      </c>
      <c r="JE17" s="21">
        <v>12.433773</v>
      </c>
      <c r="JF17" s="21">
        <v>12.433773</v>
      </c>
      <c r="JG17" s="21">
        <v>12.433773</v>
      </c>
      <c r="JH17" s="21">
        <v>12.433773</v>
      </c>
      <c r="JI17" s="21">
        <v>12.433773</v>
      </c>
      <c r="JJ17" s="21">
        <v>12.433773</v>
      </c>
      <c r="JK17" s="21">
        <v>12.433773</v>
      </c>
      <c r="JL17" s="21">
        <v>12.433773</v>
      </c>
      <c r="JM17" s="21">
        <v>12.433773</v>
      </c>
      <c r="JN17" s="21">
        <v>12.433773</v>
      </c>
      <c r="JO17" s="21">
        <v>12.433773</v>
      </c>
      <c r="JP17" s="21">
        <v>12.433773</v>
      </c>
      <c r="JQ17" s="21">
        <v>12.433773</v>
      </c>
      <c r="JR17" s="21">
        <v>12.433773</v>
      </c>
      <c r="JS17" s="21">
        <v>12.433773</v>
      </c>
      <c r="JT17" s="21">
        <v>12.433773</v>
      </c>
      <c r="JU17" s="21">
        <v>12.433773</v>
      </c>
      <c r="JV17" s="21">
        <v>12.433773</v>
      </c>
      <c r="JW17" s="21">
        <v>12.433773</v>
      </c>
      <c r="JX17" s="21">
        <v>12.433773</v>
      </c>
      <c r="JY17" s="21">
        <v>12.433773</v>
      </c>
      <c r="JZ17" s="21">
        <v>12.433773</v>
      </c>
      <c r="KA17" s="21">
        <v>12.433773</v>
      </c>
      <c r="KB17" s="21">
        <v>12.433773</v>
      </c>
      <c r="KC17" s="21">
        <v>12.433773</v>
      </c>
      <c r="KD17" s="21">
        <v>12.433773</v>
      </c>
      <c r="KE17" s="21">
        <v>12.433773</v>
      </c>
      <c r="KF17" s="21">
        <v>12.433773</v>
      </c>
      <c r="KG17" s="21">
        <v>12.433773</v>
      </c>
      <c r="KH17" s="21">
        <v>12.433773</v>
      </c>
      <c r="KI17" s="21">
        <v>12.433773</v>
      </c>
      <c r="KJ17" s="21">
        <v>12.433773</v>
      </c>
      <c r="KK17" s="21">
        <v>12.433773</v>
      </c>
      <c r="KL17" s="21">
        <v>12.433773</v>
      </c>
      <c r="KM17" s="21">
        <v>12.433773</v>
      </c>
      <c r="KN17" s="21">
        <v>12.433773</v>
      </c>
      <c r="KO17" s="21">
        <v>12.433773</v>
      </c>
      <c r="KP17" s="21">
        <v>12.433773</v>
      </c>
      <c r="KQ17" s="21">
        <v>12.433773</v>
      </c>
      <c r="KR17" s="21">
        <v>12.433773</v>
      </c>
      <c r="KS17" s="21">
        <v>12.433773</v>
      </c>
      <c r="KT17" s="21">
        <v>12.433773</v>
      </c>
      <c r="KU17" s="21">
        <v>12.433773</v>
      </c>
      <c r="KV17" s="21">
        <v>12.433773</v>
      </c>
      <c r="KW17" s="21">
        <v>12.433773</v>
      </c>
      <c r="KX17" s="21">
        <v>12.433773</v>
      </c>
      <c r="KY17" s="21">
        <v>12.433773</v>
      </c>
      <c r="KZ17" s="21">
        <v>12.433773</v>
      </c>
      <c r="LA17" s="21">
        <v>12.433773</v>
      </c>
      <c r="LB17" s="21">
        <v>12.433773</v>
      </c>
      <c r="LC17" s="21">
        <v>12.433773</v>
      </c>
      <c r="LD17" s="21">
        <v>12.433773</v>
      </c>
      <c r="LE17" s="21">
        <v>12.433773</v>
      </c>
      <c r="LF17" s="21">
        <v>12.433773</v>
      </c>
      <c r="LG17" s="21">
        <v>12.433773</v>
      </c>
      <c r="LH17" s="21">
        <v>12.433773</v>
      </c>
      <c r="LI17" s="21">
        <v>12.433773</v>
      </c>
      <c r="LJ17" s="21">
        <v>12.433773</v>
      </c>
      <c r="LK17" s="21">
        <v>12.433773</v>
      </c>
      <c r="LL17" s="21">
        <v>12.433773</v>
      </c>
      <c r="LM17" s="21">
        <v>12.433773</v>
      </c>
      <c r="LN17" s="21">
        <v>12.433773</v>
      </c>
      <c r="LO17" s="21">
        <v>12.433773</v>
      </c>
      <c r="LP17" s="21">
        <v>12.433773</v>
      </c>
      <c r="LQ17" s="21">
        <v>12.433773</v>
      </c>
      <c r="LR17" s="21">
        <v>12.433773</v>
      </c>
      <c r="LS17" s="21">
        <v>12.433773</v>
      </c>
      <c r="LT17" s="21">
        <v>12.433773</v>
      </c>
      <c r="LU17" s="21">
        <v>12.433773</v>
      </c>
      <c r="LV17" s="21">
        <v>12.433773</v>
      </c>
      <c r="LW17" s="21">
        <v>12.433773</v>
      </c>
      <c r="LX17" s="21">
        <v>12.433773</v>
      </c>
      <c r="LY17" s="21">
        <v>12.433773</v>
      </c>
      <c r="LZ17" s="21">
        <v>12.433773</v>
      </c>
      <c r="MA17" s="21">
        <v>12.433773</v>
      </c>
      <c r="MB17" s="21">
        <v>12.433773</v>
      </c>
      <c r="MC17" s="21">
        <v>12.433773</v>
      </c>
      <c r="MD17" s="21">
        <v>12.433773</v>
      </c>
      <c r="ME17" s="21">
        <v>12.433773</v>
      </c>
      <c r="MF17" s="21">
        <v>12.433773</v>
      </c>
      <c r="MG17" s="21">
        <v>12.433773</v>
      </c>
      <c r="MH17" s="21">
        <v>12.433773</v>
      </c>
      <c r="MI17" s="21">
        <v>12.433773</v>
      </c>
      <c r="MJ17" s="21">
        <v>12.433773</v>
      </c>
      <c r="MK17" s="21">
        <v>12.433773</v>
      </c>
      <c r="ML17" s="21">
        <v>12.433773</v>
      </c>
      <c r="MM17" s="21">
        <v>12.433773</v>
      </c>
      <c r="MN17" s="21">
        <v>12.433773</v>
      </c>
      <c r="MO17" s="21">
        <v>12.433773</v>
      </c>
      <c r="MP17" s="21">
        <v>12.433773</v>
      </c>
      <c r="MQ17" s="21">
        <v>12.433773</v>
      </c>
      <c r="MR17" s="21">
        <v>12.433773</v>
      </c>
      <c r="MS17" s="21">
        <v>12.433773</v>
      </c>
      <c r="MT17" s="21">
        <v>12.433773</v>
      </c>
      <c r="MU17" s="21">
        <v>12.433773</v>
      </c>
      <c r="MV17" s="21">
        <v>12.433773</v>
      </c>
      <c r="MW17" s="21">
        <v>12.433773</v>
      </c>
      <c r="MX17" s="21">
        <v>12.433773</v>
      </c>
      <c r="MY17" s="21">
        <v>12.433773</v>
      </c>
      <c r="MZ17" s="21">
        <v>13.481028</v>
      </c>
    </row>
    <row r="18" spans="1:364" x14ac:dyDescent="0.25">
      <c r="A18" s="7">
        <f>+'Valo FX'!A19</f>
        <v>16</v>
      </c>
      <c r="B18" s="16" t="str">
        <f>+Base!B16</f>
        <v>202401310066A033</v>
      </c>
      <c r="C18" s="75">
        <v>6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13.171631</v>
      </c>
      <c r="L18" s="21">
        <v>13.171631</v>
      </c>
      <c r="M18" s="21">
        <v>13.171631</v>
      </c>
      <c r="N18" s="21">
        <v>13.171631</v>
      </c>
      <c r="O18" s="21">
        <v>13.171631</v>
      </c>
      <c r="P18" s="21">
        <v>13.171631</v>
      </c>
      <c r="Q18" s="21">
        <v>13.171631</v>
      </c>
      <c r="R18" s="21">
        <v>13.171631</v>
      </c>
      <c r="S18" s="21">
        <v>13.171631</v>
      </c>
      <c r="T18" s="21">
        <v>13.171631</v>
      </c>
      <c r="U18" s="21">
        <v>13.171631</v>
      </c>
      <c r="V18" s="21">
        <v>13.171631</v>
      </c>
      <c r="W18" s="21">
        <v>13.171631</v>
      </c>
      <c r="X18" s="21">
        <v>13.171631</v>
      </c>
      <c r="Y18" s="21">
        <v>13.171631</v>
      </c>
      <c r="Z18" s="21">
        <v>13.171631</v>
      </c>
      <c r="AA18" s="21">
        <v>13.171631</v>
      </c>
      <c r="AB18" s="21">
        <v>13.171631</v>
      </c>
      <c r="AC18" s="21">
        <v>13.171631</v>
      </c>
      <c r="AD18" s="21">
        <v>13.171631</v>
      </c>
      <c r="AE18" s="21">
        <v>13.171631</v>
      </c>
      <c r="AF18" s="21">
        <v>13.171631</v>
      </c>
      <c r="AG18" s="21">
        <v>13.171631</v>
      </c>
      <c r="AH18" s="21">
        <v>13.171631</v>
      </c>
      <c r="AI18" s="21">
        <v>13.171631</v>
      </c>
      <c r="AJ18" s="21">
        <v>13.171631</v>
      </c>
      <c r="AK18" s="21">
        <v>13.171631</v>
      </c>
      <c r="AL18" s="21">
        <v>13.171631</v>
      </c>
      <c r="AM18" s="21">
        <v>13.171631</v>
      </c>
      <c r="AN18" s="21">
        <v>13.171631</v>
      </c>
      <c r="AO18" s="21">
        <v>13.171631</v>
      </c>
      <c r="AP18" s="21">
        <v>13.171631</v>
      </c>
      <c r="AQ18" s="21">
        <v>13.171631</v>
      </c>
      <c r="AR18" s="21">
        <v>13.171631</v>
      </c>
      <c r="AS18" s="21">
        <v>13.171631</v>
      </c>
      <c r="AT18" s="21">
        <v>13.171631</v>
      </c>
      <c r="AU18" s="21">
        <v>13.171631</v>
      </c>
      <c r="AV18" s="21">
        <v>13.171631</v>
      </c>
      <c r="AW18" s="21">
        <v>13.171631</v>
      </c>
      <c r="AX18" s="21">
        <v>13.171631</v>
      </c>
      <c r="AY18" s="21">
        <v>13.171631</v>
      </c>
      <c r="AZ18" s="21">
        <v>13.171631</v>
      </c>
      <c r="BA18" s="21">
        <v>13.171631</v>
      </c>
      <c r="BB18" s="21">
        <v>13.171631</v>
      </c>
      <c r="BC18" s="21">
        <v>13.171631</v>
      </c>
      <c r="BD18" s="21">
        <v>13.171631</v>
      </c>
      <c r="BE18" s="21">
        <v>13.171631</v>
      </c>
      <c r="BF18" s="21">
        <v>13.171631</v>
      </c>
      <c r="BG18" s="21">
        <v>13.171631</v>
      </c>
      <c r="BH18" s="21">
        <v>13.171631</v>
      </c>
      <c r="BI18" s="21">
        <v>13.171631</v>
      </c>
      <c r="BJ18" s="21">
        <v>13.171631</v>
      </c>
      <c r="BK18" s="21">
        <v>13.171631</v>
      </c>
      <c r="BL18" s="21">
        <v>13.171631</v>
      </c>
      <c r="BM18" s="21">
        <v>13.171631</v>
      </c>
      <c r="BN18" s="21">
        <v>13.171631</v>
      </c>
      <c r="BO18" s="21">
        <v>13.171631</v>
      </c>
      <c r="BP18" s="21">
        <v>13.171631</v>
      </c>
      <c r="BQ18" s="21">
        <v>13.171631</v>
      </c>
      <c r="BR18" s="21">
        <v>13.171631</v>
      </c>
      <c r="BS18" s="21">
        <v>13.171631</v>
      </c>
      <c r="BT18" s="21">
        <v>13.171631</v>
      </c>
      <c r="BU18" s="21">
        <v>13.171631</v>
      </c>
      <c r="BV18" s="21">
        <v>13.171631</v>
      </c>
      <c r="BW18" s="21">
        <v>13.171631</v>
      </c>
      <c r="BX18" s="21">
        <v>13.171631</v>
      </c>
      <c r="BY18" s="21">
        <v>13.171631</v>
      </c>
      <c r="BZ18" s="21">
        <v>13.171631</v>
      </c>
      <c r="CA18" s="21">
        <v>13.171631</v>
      </c>
      <c r="CB18" s="21">
        <v>13.171631</v>
      </c>
      <c r="CC18" s="21">
        <v>13.171631</v>
      </c>
      <c r="CD18" s="21">
        <v>13.171631</v>
      </c>
      <c r="CE18" s="21">
        <v>13.171631</v>
      </c>
      <c r="CF18" s="21">
        <v>13.171631</v>
      </c>
      <c r="CG18" s="21">
        <v>13.171631</v>
      </c>
      <c r="CH18" s="21">
        <v>13.171631</v>
      </c>
      <c r="CI18" s="21">
        <v>13.171631</v>
      </c>
      <c r="CJ18" s="21">
        <v>13.171631</v>
      </c>
      <c r="CK18" s="21">
        <v>13.171631</v>
      </c>
      <c r="CL18" s="21">
        <v>13.171631</v>
      </c>
      <c r="CM18" s="21">
        <v>13.171631</v>
      </c>
      <c r="CN18" s="21">
        <v>13.171631</v>
      </c>
      <c r="CO18" s="21">
        <v>13.171631</v>
      </c>
      <c r="CP18" s="21">
        <v>13.171631</v>
      </c>
      <c r="CQ18" s="21">
        <v>13.171631</v>
      </c>
      <c r="CR18" s="21">
        <v>13.171631</v>
      </c>
      <c r="CS18" s="21">
        <v>13.171631</v>
      </c>
      <c r="CT18" s="21">
        <v>13.171631</v>
      </c>
      <c r="CU18" s="21">
        <v>13.171631</v>
      </c>
      <c r="CV18" s="21">
        <v>13.171631</v>
      </c>
      <c r="CW18" s="21">
        <v>13.171631</v>
      </c>
      <c r="CX18" s="21">
        <v>13.171631</v>
      </c>
      <c r="CY18" s="21">
        <v>13.171631</v>
      </c>
      <c r="CZ18" s="21">
        <v>13.171631</v>
      </c>
      <c r="DA18" s="21">
        <v>13.171631</v>
      </c>
      <c r="DB18" s="21">
        <v>13.171631</v>
      </c>
      <c r="DC18" s="21">
        <v>13.171631</v>
      </c>
      <c r="DD18" s="21">
        <v>13.171631</v>
      </c>
      <c r="DE18" s="21">
        <v>13.171631</v>
      </c>
      <c r="DF18" s="21">
        <v>13.171631</v>
      </c>
      <c r="DG18" s="21">
        <v>13.171631</v>
      </c>
      <c r="DH18" s="21">
        <v>13.171631</v>
      </c>
      <c r="DI18" s="21">
        <v>13.171631</v>
      </c>
      <c r="DJ18" s="21">
        <v>13.171631</v>
      </c>
      <c r="DK18" s="21">
        <v>13.171631</v>
      </c>
      <c r="DL18" s="21">
        <v>13.171631</v>
      </c>
      <c r="DM18" s="21">
        <v>13.171631</v>
      </c>
      <c r="DN18" s="21">
        <v>13.171631</v>
      </c>
      <c r="DO18" s="21">
        <v>13.171631</v>
      </c>
      <c r="DP18" s="21">
        <v>13.171631</v>
      </c>
      <c r="DQ18" s="21">
        <v>13.171631</v>
      </c>
      <c r="DR18" s="21">
        <v>13.171631</v>
      </c>
      <c r="DS18" s="21">
        <v>13.171631</v>
      </c>
      <c r="DT18" s="21">
        <v>13.171631</v>
      </c>
      <c r="DU18" s="21">
        <v>13.171631</v>
      </c>
      <c r="DV18" s="21">
        <v>13.171631</v>
      </c>
      <c r="DW18" s="21">
        <v>13.171631</v>
      </c>
      <c r="DX18" s="21">
        <v>13.171631</v>
      </c>
      <c r="DY18" s="21">
        <v>13.171631</v>
      </c>
      <c r="DZ18" s="21">
        <v>13.171631</v>
      </c>
      <c r="EA18" s="21">
        <v>13.171631</v>
      </c>
      <c r="EB18" s="21">
        <v>13.171631</v>
      </c>
      <c r="EC18" s="21">
        <v>13.171631</v>
      </c>
      <c r="ED18" s="21">
        <v>13.171631</v>
      </c>
      <c r="EE18" s="21">
        <v>13.171631</v>
      </c>
      <c r="EF18" s="21">
        <v>13.171631</v>
      </c>
      <c r="EG18" s="21">
        <v>13.171631</v>
      </c>
      <c r="EH18" s="21">
        <v>13.171631</v>
      </c>
      <c r="EI18" s="21">
        <v>13.171631</v>
      </c>
      <c r="EJ18" s="21">
        <v>13.171631</v>
      </c>
      <c r="EK18" s="21">
        <v>13.171631</v>
      </c>
      <c r="EL18" s="21">
        <v>13.171631</v>
      </c>
      <c r="EM18" s="21">
        <v>13.171631</v>
      </c>
      <c r="EN18" s="21">
        <v>13.171631</v>
      </c>
      <c r="EO18" s="21">
        <v>13.171631</v>
      </c>
      <c r="EP18" s="21">
        <v>13.171631</v>
      </c>
      <c r="EQ18" s="21">
        <v>13.171631</v>
      </c>
      <c r="ER18" s="21">
        <v>13.171631</v>
      </c>
      <c r="ES18" s="21">
        <v>13.171631</v>
      </c>
      <c r="ET18" s="21">
        <v>13.171631</v>
      </c>
      <c r="EU18" s="21">
        <v>13.171631</v>
      </c>
      <c r="EV18" s="21">
        <v>13.171631</v>
      </c>
      <c r="EW18" s="21">
        <v>13.171631</v>
      </c>
      <c r="EX18" s="21">
        <v>13.171631</v>
      </c>
      <c r="EY18" s="21">
        <v>13.171631</v>
      </c>
      <c r="EZ18" s="21">
        <v>13.171631</v>
      </c>
      <c r="FA18" s="21">
        <v>13.171631</v>
      </c>
      <c r="FB18" s="21">
        <v>13.171631</v>
      </c>
      <c r="FC18" s="21">
        <v>13.171631</v>
      </c>
      <c r="FD18" s="21">
        <v>13.171631</v>
      </c>
      <c r="FE18" s="21">
        <v>13.171631</v>
      </c>
      <c r="FF18" s="21">
        <v>13.171631</v>
      </c>
      <c r="FG18" s="21">
        <v>13.171631</v>
      </c>
      <c r="FH18" s="21">
        <v>13.171631</v>
      </c>
      <c r="FI18" s="21">
        <v>13.171631</v>
      </c>
      <c r="FJ18" s="21">
        <v>13.171631</v>
      </c>
      <c r="FK18" s="21">
        <v>13.171631</v>
      </c>
      <c r="FL18" s="21">
        <v>13.171631</v>
      </c>
      <c r="FM18" s="21">
        <v>13.171631</v>
      </c>
      <c r="FN18" s="21">
        <v>13.171631</v>
      </c>
      <c r="FO18" s="21">
        <v>13.171631</v>
      </c>
      <c r="FP18" s="21">
        <v>13.171631</v>
      </c>
      <c r="FQ18" s="21">
        <v>13.171631</v>
      </c>
      <c r="FR18" s="21">
        <v>13.171631</v>
      </c>
      <c r="FS18" s="21">
        <v>13.171631</v>
      </c>
      <c r="FT18" s="21">
        <v>13.171631</v>
      </c>
      <c r="FU18" s="21">
        <v>13.171631</v>
      </c>
      <c r="FV18" s="21">
        <v>13.171631</v>
      </c>
      <c r="FW18" s="21">
        <v>13.171631</v>
      </c>
      <c r="FX18" s="21">
        <v>13.171631</v>
      </c>
      <c r="FY18" s="21">
        <v>13.171631</v>
      </c>
      <c r="FZ18" s="21">
        <v>13.171631</v>
      </c>
      <c r="GA18" s="21">
        <v>13.171631</v>
      </c>
      <c r="GB18" s="21">
        <v>13.171631</v>
      </c>
      <c r="GC18" s="21">
        <v>13.171631</v>
      </c>
      <c r="GD18" s="21">
        <v>13.171631</v>
      </c>
      <c r="GE18" s="21">
        <v>13.171631</v>
      </c>
      <c r="GF18" s="21">
        <v>13.171631</v>
      </c>
      <c r="GG18" s="21">
        <v>13.171631</v>
      </c>
      <c r="GH18" s="21">
        <v>13.171631</v>
      </c>
      <c r="GI18" s="21">
        <v>13.171631</v>
      </c>
      <c r="GJ18" s="21">
        <v>13.171631</v>
      </c>
      <c r="GK18" s="21">
        <v>13.171631</v>
      </c>
      <c r="GL18" s="21">
        <v>13.171631</v>
      </c>
      <c r="GM18" s="21">
        <v>13.171631</v>
      </c>
      <c r="GN18" s="21">
        <v>13.171631</v>
      </c>
      <c r="GO18" s="21">
        <v>13.171631</v>
      </c>
      <c r="GP18" s="21">
        <v>13.171631</v>
      </c>
      <c r="GQ18" s="21">
        <v>13.171631</v>
      </c>
      <c r="GR18" s="21">
        <v>13.171631</v>
      </c>
      <c r="GS18" s="21">
        <v>13.171631</v>
      </c>
      <c r="GT18" s="21">
        <v>13.171631</v>
      </c>
      <c r="GU18" s="21">
        <v>13.171631</v>
      </c>
      <c r="GV18" s="21">
        <v>13.171631</v>
      </c>
      <c r="GW18" s="21">
        <v>13.171631</v>
      </c>
      <c r="GX18" s="21">
        <v>13.171631</v>
      </c>
      <c r="GY18" s="21">
        <v>13.171631</v>
      </c>
      <c r="GZ18" s="21">
        <v>13.171631</v>
      </c>
      <c r="HA18" s="21">
        <v>13.171631</v>
      </c>
      <c r="HB18" s="21">
        <v>13.171631</v>
      </c>
      <c r="HC18" s="21">
        <v>13.171631</v>
      </c>
      <c r="HD18" s="21">
        <v>13.171631</v>
      </c>
      <c r="HE18" s="21">
        <v>13.171631</v>
      </c>
      <c r="HF18" s="21">
        <v>13.171631</v>
      </c>
      <c r="HG18" s="21">
        <v>13.171631</v>
      </c>
      <c r="HH18" s="21">
        <v>13.171631</v>
      </c>
      <c r="HI18" s="21">
        <v>13.171631</v>
      </c>
      <c r="HJ18" s="21">
        <v>13.171631</v>
      </c>
      <c r="HK18" s="21">
        <v>13.171631</v>
      </c>
      <c r="HL18" s="21">
        <v>13.171631</v>
      </c>
      <c r="HM18" s="21">
        <v>13.171631</v>
      </c>
      <c r="HN18" s="21">
        <v>13.171631</v>
      </c>
      <c r="HO18" s="21">
        <v>13.171631</v>
      </c>
      <c r="HP18" s="21">
        <v>13.171631</v>
      </c>
      <c r="HQ18" s="21">
        <v>13.171631</v>
      </c>
      <c r="HR18" s="21">
        <v>13.171631</v>
      </c>
      <c r="HS18" s="21">
        <v>13.171631</v>
      </c>
      <c r="HT18" s="21">
        <v>13.171631</v>
      </c>
      <c r="HU18" s="21">
        <v>13.171631</v>
      </c>
      <c r="HV18" s="21">
        <v>13.171631</v>
      </c>
      <c r="HW18" s="21">
        <v>13.171631</v>
      </c>
      <c r="HX18" s="21">
        <v>13.171631</v>
      </c>
      <c r="HY18" s="21">
        <v>13.171631</v>
      </c>
      <c r="HZ18" s="21">
        <v>13.171631</v>
      </c>
      <c r="IA18" s="21">
        <v>13.171631</v>
      </c>
      <c r="IB18" s="21">
        <v>13.171631</v>
      </c>
      <c r="IC18" s="21">
        <v>13.171631</v>
      </c>
      <c r="ID18" s="21">
        <v>13.171631</v>
      </c>
      <c r="IE18" s="21">
        <v>13.171631</v>
      </c>
      <c r="IF18" s="21">
        <v>13.171631</v>
      </c>
      <c r="IG18" s="21">
        <v>13.171631</v>
      </c>
      <c r="IH18" s="21">
        <v>13.171631</v>
      </c>
      <c r="II18" s="21">
        <v>13.171631</v>
      </c>
      <c r="IJ18" s="21">
        <v>13.171631</v>
      </c>
      <c r="IK18" s="21">
        <v>13.171631</v>
      </c>
      <c r="IL18" s="21">
        <v>13.171631</v>
      </c>
      <c r="IM18" s="21">
        <v>13.171631</v>
      </c>
      <c r="IN18" s="21">
        <v>13.171631</v>
      </c>
      <c r="IO18" s="21">
        <v>13.171631</v>
      </c>
      <c r="IP18" s="21">
        <v>13.171631</v>
      </c>
      <c r="IQ18" s="21">
        <v>13.171631</v>
      </c>
      <c r="IR18" s="21">
        <v>13.171631</v>
      </c>
      <c r="IS18" s="21">
        <v>13.171631</v>
      </c>
      <c r="IT18" s="21">
        <v>13.171631</v>
      </c>
      <c r="IU18" s="21">
        <v>13.171631</v>
      </c>
      <c r="IV18" s="21">
        <v>13.171631</v>
      </c>
      <c r="IW18" s="21">
        <v>13.171631</v>
      </c>
      <c r="IX18" s="21">
        <v>13.171631</v>
      </c>
      <c r="IY18" s="21">
        <v>13.171631</v>
      </c>
      <c r="IZ18" s="21">
        <v>13.171631</v>
      </c>
      <c r="JA18" s="21">
        <v>13.171631</v>
      </c>
      <c r="JB18" s="21">
        <v>13.171631</v>
      </c>
      <c r="JC18" s="21">
        <v>13.171631</v>
      </c>
      <c r="JD18" s="21">
        <v>13.171631</v>
      </c>
      <c r="JE18" s="21">
        <v>13.171631</v>
      </c>
      <c r="JF18" s="21">
        <v>13.171631</v>
      </c>
      <c r="JG18" s="21">
        <v>13.171631</v>
      </c>
      <c r="JH18" s="21">
        <v>13.171631</v>
      </c>
      <c r="JI18" s="21">
        <v>13.171631</v>
      </c>
      <c r="JJ18" s="21">
        <v>13.171631</v>
      </c>
      <c r="JK18" s="21">
        <v>13.171631</v>
      </c>
      <c r="JL18" s="21">
        <v>13.171631</v>
      </c>
      <c r="JM18" s="21">
        <v>13.171631</v>
      </c>
      <c r="JN18" s="21">
        <v>13.171631</v>
      </c>
      <c r="JO18" s="21">
        <v>13.171631</v>
      </c>
      <c r="JP18" s="21">
        <v>13.171631</v>
      </c>
      <c r="JQ18" s="21">
        <v>13.171631</v>
      </c>
      <c r="JR18" s="21">
        <v>13.171631</v>
      </c>
      <c r="JS18" s="21">
        <v>13.171631</v>
      </c>
      <c r="JT18" s="21">
        <v>13.171631</v>
      </c>
      <c r="JU18" s="21">
        <v>13.171631</v>
      </c>
      <c r="JV18" s="21">
        <v>13.171631</v>
      </c>
      <c r="JW18" s="21">
        <v>13.171631</v>
      </c>
      <c r="JX18" s="21">
        <v>13.171631</v>
      </c>
      <c r="JY18" s="21">
        <v>13.171631</v>
      </c>
      <c r="JZ18" s="21">
        <v>13.171631</v>
      </c>
      <c r="KA18" s="21">
        <v>13.171631</v>
      </c>
      <c r="KB18" s="21">
        <v>13.171631</v>
      </c>
      <c r="KC18" s="21">
        <v>13.171631</v>
      </c>
      <c r="KD18" s="21">
        <v>13.171631</v>
      </c>
      <c r="KE18" s="21">
        <v>13.171631</v>
      </c>
      <c r="KF18" s="21">
        <v>13.171631</v>
      </c>
      <c r="KG18" s="21">
        <v>13.171631</v>
      </c>
      <c r="KH18" s="21">
        <v>13.171631</v>
      </c>
      <c r="KI18" s="21">
        <v>13.171631</v>
      </c>
      <c r="KJ18" s="21">
        <v>13.171631</v>
      </c>
      <c r="KK18" s="21">
        <v>13.171631</v>
      </c>
      <c r="KL18" s="21">
        <v>13.171631</v>
      </c>
      <c r="KM18" s="21">
        <v>13.171631</v>
      </c>
      <c r="KN18" s="21">
        <v>13.171631</v>
      </c>
      <c r="KO18" s="21">
        <v>13.171631</v>
      </c>
      <c r="KP18" s="21">
        <v>13.171631</v>
      </c>
      <c r="KQ18" s="21">
        <v>13.171631</v>
      </c>
      <c r="KR18" s="21">
        <v>13.171631</v>
      </c>
      <c r="KS18" s="21">
        <v>13.171631</v>
      </c>
      <c r="KT18" s="21">
        <v>13.171631</v>
      </c>
      <c r="KU18" s="21">
        <v>13.171631</v>
      </c>
      <c r="KV18" s="21">
        <v>13.171631</v>
      </c>
      <c r="KW18" s="21">
        <v>13.171631</v>
      </c>
      <c r="KX18" s="21">
        <v>13.171631</v>
      </c>
      <c r="KY18" s="21">
        <v>13.171631</v>
      </c>
      <c r="KZ18" s="21">
        <v>13.171631</v>
      </c>
      <c r="LA18" s="21">
        <v>13.171631</v>
      </c>
      <c r="LB18" s="21">
        <v>13.171631</v>
      </c>
      <c r="LC18" s="21">
        <v>13.171631</v>
      </c>
      <c r="LD18" s="21">
        <v>13.171631</v>
      </c>
      <c r="LE18" s="21">
        <v>13.171631</v>
      </c>
      <c r="LF18" s="21">
        <v>13.171631</v>
      </c>
      <c r="LG18" s="21">
        <v>13.171631</v>
      </c>
      <c r="LH18" s="21">
        <v>13.171631</v>
      </c>
      <c r="LI18" s="21">
        <v>13.171631</v>
      </c>
      <c r="LJ18" s="21">
        <v>13.171631</v>
      </c>
      <c r="LK18" s="21">
        <v>13.171631</v>
      </c>
      <c r="LL18" s="21">
        <v>13.171631</v>
      </c>
      <c r="LM18" s="21">
        <v>13.171631</v>
      </c>
      <c r="LN18" s="21">
        <v>13.171631</v>
      </c>
      <c r="LO18" s="21">
        <v>13.171631</v>
      </c>
      <c r="LP18" s="21">
        <v>13.171631</v>
      </c>
      <c r="LQ18" s="21">
        <v>13.171631</v>
      </c>
      <c r="LR18" s="21">
        <v>13.171631</v>
      </c>
      <c r="LS18" s="21">
        <v>13.171631</v>
      </c>
      <c r="LT18" s="21">
        <v>13.171631</v>
      </c>
      <c r="LU18" s="21">
        <v>13.171631</v>
      </c>
      <c r="LV18" s="21">
        <v>13.171631</v>
      </c>
      <c r="LW18" s="21">
        <v>13.171631</v>
      </c>
      <c r="LX18" s="21">
        <v>13.171631</v>
      </c>
      <c r="LY18" s="21">
        <v>13.171631</v>
      </c>
      <c r="LZ18" s="21">
        <v>13.171631</v>
      </c>
      <c r="MA18" s="21">
        <v>13.171631</v>
      </c>
      <c r="MB18" s="21">
        <v>13.171631</v>
      </c>
      <c r="MC18" s="21">
        <v>13.171631</v>
      </c>
      <c r="MD18" s="21">
        <v>13.171631</v>
      </c>
      <c r="ME18" s="21">
        <v>13.171631</v>
      </c>
      <c r="MF18" s="21">
        <v>13.171631</v>
      </c>
      <c r="MG18" s="21">
        <v>13.171631</v>
      </c>
      <c r="MH18" s="21">
        <v>13.171631</v>
      </c>
      <c r="MI18" s="21">
        <v>13.171631</v>
      </c>
      <c r="MJ18" s="21">
        <v>13.171631</v>
      </c>
      <c r="MK18" s="21">
        <v>13.171631</v>
      </c>
      <c r="ML18" s="21">
        <v>13.171631</v>
      </c>
      <c r="MM18" s="21">
        <v>13.171631</v>
      </c>
      <c r="MN18" s="21">
        <v>13.171631</v>
      </c>
      <c r="MO18" s="21">
        <v>13.171631</v>
      </c>
      <c r="MP18" s="21">
        <v>13.171631</v>
      </c>
      <c r="MQ18" s="21">
        <v>13.171631</v>
      </c>
      <c r="MR18" s="21">
        <v>13.171631</v>
      </c>
      <c r="MS18" s="21">
        <v>13.171631</v>
      </c>
      <c r="MT18" s="21">
        <v>13.171631</v>
      </c>
      <c r="MU18" s="21">
        <v>13.171631</v>
      </c>
      <c r="MV18" s="21">
        <v>13.171631</v>
      </c>
      <c r="MW18" s="21">
        <v>13.171631</v>
      </c>
      <c r="MX18" s="21">
        <v>13.171631</v>
      </c>
      <c r="MY18" s="21">
        <v>13.171631</v>
      </c>
      <c r="MZ18" s="21">
        <v>13.171631</v>
      </c>
    </row>
    <row r="19" spans="1:364" x14ac:dyDescent="0.25">
      <c r="A19" s="7">
        <f>+'Valo FX'!A20</f>
        <v>17</v>
      </c>
      <c r="B19" s="16" t="str">
        <f>+Base!B17</f>
        <v>202402140067A033</v>
      </c>
      <c r="C19" s="75">
        <v>6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10.394145</v>
      </c>
      <c r="L19" s="21">
        <v>10.394145</v>
      </c>
      <c r="M19" s="21">
        <v>10.394145</v>
      </c>
      <c r="N19" s="21">
        <v>10.394145</v>
      </c>
      <c r="O19" s="21">
        <v>10.394145</v>
      </c>
      <c r="P19" s="21">
        <v>10.394145</v>
      </c>
      <c r="Q19" s="21">
        <v>10.394145</v>
      </c>
      <c r="R19" s="21">
        <v>10.394145</v>
      </c>
      <c r="S19" s="21">
        <v>10.394145</v>
      </c>
      <c r="T19" s="21">
        <v>10.394145</v>
      </c>
      <c r="U19" s="21">
        <v>10.394145</v>
      </c>
      <c r="V19" s="21">
        <v>10.394145</v>
      </c>
      <c r="W19" s="21">
        <v>10.394145</v>
      </c>
      <c r="X19" s="21">
        <v>10.394145</v>
      </c>
      <c r="Y19" s="21">
        <v>10.394145</v>
      </c>
      <c r="Z19" s="21">
        <v>10.394145</v>
      </c>
      <c r="AA19" s="21">
        <v>10.394145</v>
      </c>
      <c r="AB19" s="21">
        <v>10.394145</v>
      </c>
      <c r="AC19" s="21">
        <v>10.394145</v>
      </c>
      <c r="AD19" s="21">
        <v>10.394145</v>
      </c>
      <c r="AE19" s="21">
        <v>10.394145</v>
      </c>
      <c r="AF19" s="21">
        <v>10.394145</v>
      </c>
      <c r="AG19" s="21">
        <v>10.394145</v>
      </c>
      <c r="AH19" s="21">
        <v>10.394145</v>
      </c>
      <c r="AI19" s="21">
        <v>10.394145</v>
      </c>
      <c r="AJ19" s="21">
        <v>10.394145</v>
      </c>
      <c r="AK19" s="21">
        <v>10.394145</v>
      </c>
      <c r="AL19" s="21">
        <v>10.394145</v>
      </c>
      <c r="AM19" s="21">
        <v>10.394145</v>
      </c>
      <c r="AN19" s="21">
        <v>10.394145</v>
      </c>
      <c r="AO19" s="21">
        <v>10.394145</v>
      </c>
      <c r="AP19" s="21">
        <v>10.394145</v>
      </c>
      <c r="AQ19" s="21">
        <v>10.394145</v>
      </c>
      <c r="AR19" s="21">
        <v>10.394145</v>
      </c>
      <c r="AS19" s="21">
        <v>10.394145</v>
      </c>
      <c r="AT19" s="21">
        <v>10.394145</v>
      </c>
      <c r="AU19" s="21">
        <v>10.394145</v>
      </c>
      <c r="AV19" s="21">
        <v>10.394145</v>
      </c>
      <c r="AW19" s="21">
        <v>10.394145</v>
      </c>
      <c r="AX19" s="21">
        <v>10.394145</v>
      </c>
      <c r="AY19" s="21">
        <v>10.394145</v>
      </c>
      <c r="AZ19" s="21">
        <v>10.394145</v>
      </c>
      <c r="BA19" s="21">
        <v>10.394145</v>
      </c>
      <c r="BB19" s="21">
        <v>10.394145</v>
      </c>
      <c r="BC19" s="21">
        <v>10.394145</v>
      </c>
      <c r="BD19" s="21">
        <v>10.394145</v>
      </c>
      <c r="BE19" s="21">
        <v>10.394145</v>
      </c>
      <c r="BF19" s="21">
        <v>10.394145</v>
      </c>
      <c r="BG19" s="21">
        <v>10.394145</v>
      </c>
      <c r="BH19" s="21">
        <v>10.394145</v>
      </c>
      <c r="BI19" s="21">
        <v>10.394145</v>
      </c>
      <c r="BJ19" s="21">
        <v>10.394145</v>
      </c>
      <c r="BK19" s="21">
        <v>10.394145</v>
      </c>
      <c r="BL19" s="21">
        <v>10.394145</v>
      </c>
      <c r="BM19" s="21">
        <v>10.394145</v>
      </c>
      <c r="BN19" s="21">
        <v>10.394145</v>
      </c>
      <c r="BO19" s="21">
        <v>10.394145</v>
      </c>
      <c r="BP19" s="21">
        <v>10.394145</v>
      </c>
      <c r="BQ19" s="21">
        <v>10.394145</v>
      </c>
      <c r="BR19" s="21">
        <v>10.394145</v>
      </c>
      <c r="BS19" s="21">
        <v>10.394145</v>
      </c>
      <c r="BT19" s="21">
        <v>10.394145</v>
      </c>
      <c r="BU19" s="21">
        <v>10.394145</v>
      </c>
      <c r="BV19" s="21">
        <v>10.394145</v>
      </c>
      <c r="BW19" s="21">
        <v>10.394145</v>
      </c>
      <c r="BX19" s="21">
        <v>10.394145</v>
      </c>
      <c r="BY19" s="21">
        <v>10.394145</v>
      </c>
      <c r="BZ19" s="21">
        <v>10.394145</v>
      </c>
      <c r="CA19" s="21">
        <v>10.394145</v>
      </c>
      <c r="CB19" s="21">
        <v>10.394145</v>
      </c>
      <c r="CC19" s="21">
        <v>10.394145</v>
      </c>
      <c r="CD19" s="21">
        <v>10.394145</v>
      </c>
      <c r="CE19" s="21">
        <v>10.394145</v>
      </c>
      <c r="CF19" s="21">
        <v>10.394145</v>
      </c>
      <c r="CG19" s="21">
        <v>10.394145</v>
      </c>
      <c r="CH19" s="21">
        <v>10.394145</v>
      </c>
      <c r="CI19" s="21">
        <v>10.394145</v>
      </c>
      <c r="CJ19" s="21">
        <v>10.394145</v>
      </c>
      <c r="CK19" s="21">
        <v>10.394145</v>
      </c>
      <c r="CL19" s="21">
        <v>10.394145</v>
      </c>
      <c r="CM19" s="21">
        <v>10.394145</v>
      </c>
      <c r="CN19" s="21">
        <v>10.394145</v>
      </c>
      <c r="CO19" s="21">
        <v>10.394145</v>
      </c>
      <c r="CP19" s="21">
        <v>10.394145</v>
      </c>
      <c r="CQ19" s="21">
        <v>10.394145</v>
      </c>
      <c r="CR19" s="21">
        <v>10.394145</v>
      </c>
      <c r="CS19" s="21">
        <v>10.394145</v>
      </c>
      <c r="CT19" s="21">
        <v>10.394145</v>
      </c>
      <c r="CU19" s="21">
        <v>10.394145</v>
      </c>
      <c r="CV19" s="21">
        <v>10.394145</v>
      </c>
      <c r="CW19" s="21">
        <v>10.394145</v>
      </c>
      <c r="CX19" s="21">
        <v>10.394145</v>
      </c>
      <c r="CY19" s="21">
        <v>10.394145</v>
      </c>
      <c r="CZ19" s="21">
        <v>10.394145</v>
      </c>
      <c r="DA19" s="21">
        <v>10.394145</v>
      </c>
      <c r="DB19" s="21">
        <v>10.394145</v>
      </c>
      <c r="DC19" s="21">
        <v>10.394145</v>
      </c>
      <c r="DD19" s="21">
        <v>10.394145</v>
      </c>
      <c r="DE19" s="21">
        <v>10.394145</v>
      </c>
      <c r="DF19" s="21">
        <v>10.394145</v>
      </c>
      <c r="DG19" s="21">
        <v>10.394145</v>
      </c>
      <c r="DH19" s="21">
        <v>10.394145</v>
      </c>
      <c r="DI19" s="21">
        <v>10.394145</v>
      </c>
      <c r="DJ19" s="21">
        <v>10.394145</v>
      </c>
      <c r="DK19" s="21">
        <v>10.394145</v>
      </c>
      <c r="DL19" s="21">
        <v>10.394145</v>
      </c>
      <c r="DM19" s="21">
        <v>10.394145</v>
      </c>
      <c r="DN19" s="21">
        <v>10.394145</v>
      </c>
      <c r="DO19" s="21">
        <v>10.394145</v>
      </c>
      <c r="DP19" s="21">
        <v>10.394145</v>
      </c>
      <c r="DQ19" s="21">
        <v>10.394145</v>
      </c>
      <c r="DR19" s="21">
        <v>10.394145</v>
      </c>
      <c r="DS19" s="21">
        <v>10.394145</v>
      </c>
      <c r="DT19" s="21">
        <v>10.394145</v>
      </c>
      <c r="DU19" s="21">
        <v>10.394145</v>
      </c>
      <c r="DV19" s="21">
        <v>10.394145</v>
      </c>
      <c r="DW19" s="21">
        <v>10.394145</v>
      </c>
      <c r="DX19" s="21">
        <v>10.394145</v>
      </c>
      <c r="DY19" s="21">
        <v>10.394145</v>
      </c>
      <c r="DZ19" s="21">
        <v>10.394145</v>
      </c>
      <c r="EA19" s="21">
        <v>10.394145</v>
      </c>
      <c r="EB19" s="21">
        <v>10.394145</v>
      </c>
      <c r="EC19" s="21">
        <v>10.394145</v>
      </c>
      <c r="ED19" s="21">
        <v>10.394145</v>
      </c>
      <c r="EE19" s="21">
        <v>10.394145</v>
      </c>
      <c r="EF19" s="21">
        <v>10.394145</v>
      </c>
      <c r="EG19" s="21">
        <v>10.394145</v>
      </c>
      <c r="EH19" s="21">
        <v>10.394145</v>
      </c>
      <c r="EI19" s="21">
        <v>10.394145</v>
      </c>
      <c r="EJ19" s="21">
        <v>10.394145</v>
      </c>
      <c r="EK19" s="21">
        <v>10.394145</v>
      </c>
      <c r="EL19" s="21">
        <v>10.394145</v>
      </c>
      <c r="EM19" s="21">
        <v>10.394145</v>
      </c>
      <c r="EN19" s="21">
        <v>10.394145</v>
      </c>
      <c r="EO19" s="21">
        <v>10.394145</v>
      </c>
      <c r="EP19" s="21">
        <v>10.394145</v>
      </c>
      <c r="EQ19" s="21">
        <v>10.394145</v>
      </c>
      <c r="ER19" s="21">
        <v>10.394145</v>
      </c>
      <c r="ES19" s="21">
        <v>10.394145</v>
      </c>
      <c r="ET19" s="21">
        <v>10.394145</v>
      </c>
      <c r="EU19" s="21">
        <v>10.394145</v>
      </c>
      <c r="EV19" s="21">
        <v>10.394145</v>
      </c>
      <c r="EW19" s="21">
        <v>10.394145</v>
      </c>
      <c r="EX19" s="21">
        <v>10.394145</v>
      </c>
      <c r="EY19" s="21">
        <v>10.394145</v>
      </c>
      <c r="EZ19" s="21">
        <v>10.394145</v>
      </c>
      <c r="FA19" s="21">
        <v>10.394145</v>
      </c>
      <c r="FB19" s="21">
        <v>10.394145</v>
      </c>
      <c r="FC19" s="21">
        <v>10.394145</v>
      </c>
      <c r="FD19" s="21">
        <v>10.394145</v>
      </c>
      <c r="FE19" s="21">
        <v>10.394145</v>
      </c>
      <c r="FF19" s="21">
        <v>10.394145</v>
      </c>
      <c r="FG19" s="21">
        <v>10.394145</v>
      </c>
      <c r="FH19" s="21">
        <v>10.394145</v>
      </c>
      <c r="FI19" s="21">
        <v>10.394145</v>
      </c>
      <c r="FJ19" s="21">
        <v>10.394145</v>
      </c>
      <c r="FK19" s="21">
        <v>10.394145</v>
      </c>
      <c r="FL19" s="21">
        <v>10.394145</v>
      </c>
      <c r="FM19" s="21">
        <v>10.394145</v>
      </c>
      <c r="FN19" s="21">
        <v>10.394145</v>
      </c>
      <c r="FO19" s="21">
        <v>10.394145</v>
      </c>
      <c r="FP19" s="21">
        <v>10.394145</v>
      </c>
      <c r="FQ19" s="21">
        <v>10.394145</v>
      </c>
      <c r="FR19" s="21">
        <v>10.394145</v>
      </c>
      <c r="FS19" s="21">
        <v>10.394145</v>
      </c>
      <c r="FT19" s="21">
        <v>10.394145</v>
      </c>
      <c r="FU19" s="21">
        <v>10.394145</v>
      </c>
      <c r="FV19" s="21">
        <v>10.394145</v>
      </c>
      <c r="FW19" s="21">
        <v>10.394145</v>
      </c>
      <c r="FX19" s="21">
        <v>10.394145</v>
      </c>
      <c r="FY19" s="21">
        <v>10.394145</v>
      </c>
      <c r="FZ19" s="21">
        <v>10.394145</v>
      </c>
      <c r="GA19" s="21">
        <v>10.394145</v>
      </c>
      <c r="GB19" s="21">
        <v>10.394145</v>
      </c>
      <c r="GC19" s="21">
        <v>10.394145</v>
      </c>
      <c r="GD19" s="21">
        <v>10.394145</v>
      </c>
      <c r="GE19" s="21">
        <v>10.394145</v>
      </c>
      <c r="GF19" s="21">
        <v>10.394145</v>
      </c>
      <c r="GG19" s="21">
        <v>10.394145</v>
      </c>
      <c r="GH19" s="21">
        <v>10.394145</v>
      </c>
      <c r="GI19" s="21">
        <v>10.394145</v>
      </c>
      <c r="GJ19" s="21">
        <v>10.394145</v>
      </c>
      <c r="GK19" s="21">
        <v>10.394145</v>
      </c>
      <c r="GL19" s="21">
        <v>10.394145</v>
      </c>
      <c r="GM19" s="21">
        <v>10.394145</v>
      </c>
      <c r="GN19" s="21">
        <v>10.394145</v>
      </c>
      <c r="GO19" s="21">
        <v>10.394145</v>
      </c>
      <c r="GP19" s="21">
        <v>10.394145</v>
      </c>
      <c r="GQ19" s="21">
        <v>10.394145</v>
      </c>
      <c r="GR19" s="21">
        <v>10.394145</v>
      </c>
      <c r="GS19" s="21">
        <v>10.394145</v>
      </c>
      <c r="GT19" s="21">
        <v>10.394145</v>
      </c>
      <c r="GU19" s="21">
        <v>10.394145</v>
      </c>
      <c r="GV19" s="21">
        <v>10.394145</v>
      </c>
      <c r="GW19" s="21">
        <v>10.394145</v>
      </c>
      <c r="GX19" s="21">
        <v>10.394145</v>
      </c>
      <c r="GY19" s="21">
        <v>10.394145</v>
      </c>
      <c r="GZ19" s="21">
        <v>10.394145</v>
      </c>
      <c r="HA19" s="21">
        <v>10.394145</v>
      </c>
      <c r="HB19" s="21">
        <v>10.394145</v>
      </c>
      <c r="HC19" s="21">
        <v>10.394145</v>
      </c>
      <c r="HD19" s="21">
        <v>10.394145</v>
      </c>
      <c r="HE19" s="21">
        <v>10.394145</v>
      </c>
      <c r="HF19" s="21">
        <v>10.394145</v>
      </c>
      <c r="HG19" s="21">
        <v>10.394145</v>
      </c>
      <c r="HH19" s="21">
        <v>10.394145</v>
      </c>
      <c r="HI19" s="21">
        <v>10.394145</v>
      </c>
      <c r="HJ19" s="21">
        <v>10.394145</v>
      </c>
      <c r="HK19" s="21">
        <v>10.394145</v>
      </c>
      <c r="HL19" s="21">
        <v>10.394145</v>
      </c>
      <c r="HM19" s="21">
        <v>10.394145</v>
      </c>
      <c r="HN19" s="21">
        <v>10.394145</v>
      </c>
      <c r="HO19" s="21">
        <v>10.394145</v>
      </c>
      <c r="HP19" s="21">
        <v>10.394145</v>
      </c>
      <c r="HQ19" s="21">
        <v>10.394145</v>
      </c>
      <c r="HR19" s="21">
        <v>10.394145</v>
      </c>
      <c r="HS19" s="21">
        <v>10.394145</v>
      </c>
      <c r="HT19" s="21">
        <v>10.394145</v>
      </c>
      <c r="HU19" s="21">
        <v>10.394145</v>
      </c>
      <c r="HV19" s="21">
        <v>10.394145</v>
      </c>
      <c r="HW19" s="21">
        <v>10.394145</v>
      </c>
      <c r="HX19" s="21">
        <v>10.394145</v>
      </c>
      <c r="HY19" s="21">
        <v>10.394145</v>
      </c>
      <c r="HZ19" s="21">
        <v>10.394145</v>
      </c>
      <c r="IA19" s="21">
        <v>10.394145</v>
      </c>
      <c r="IB19" s="21">
        <v>10.394145</v>
      </c>
      <c r="IC19" s="21">
        <v>10.394145</v>
      </c>
      <c r="ID19" s="21">
        <v>10.394145</v>
      </c>
      <c r="IE19" s="21">
        <v>10.394145</v>
      </c>
      <c r="IF19" s="21">
        <v>10.394145</v>
      </c>
      <c r="IG19" s="21">
        <v>10.394145</v>
      </c>
      <c r="IH19" s="21">
        <v>10.394145</v>
      </c>
      <c r="II19" s="21">
        <v>10.394145</v>
      </c>
      <c r="IJ19" s="21">
        <v>10.394145</v>
      </c>
      <c r="IK19" s="21">
        <v>10.394145</v>
      </c>
      <c r="IL19" s="21">
        <v>10.394145</v>
      </c>
      <c r="IM19" s="21">
        <v>10.394145</v>
      </c>
      <c r="IN19" s="21">
        <v>10.394145</v>
      </c>
      <c r="IO19" s="21">
        <v>10.394145</v>
      </c>
      <c r="IP19" s="21">
        <v>10.394145</v>
      </c>
      <c r="IQ19" s="21">
        <v>10.394145</v>
      </c>
      <c r="IR19" s="21">
        <v>10.394145</v>
      </c>
      <c r="IS19" s="21">
        <v>10.394145</v>
      </c>
      <c r="IT19" s="21">
        <v>10.394145</v>
      </c>
      <c r="IU19" s="21">
        <v>10.394145</v>
      </c>
      <c r="IV19" s="21">
        <v>10.394145</v>
      </c>
      <c r="IW19" s="21">
        <v>10.394145</v>
      </c>
      <c r="IX19" s="21">
        <v>10.394145</v>
      </c>
      <c r="IY19" s="21">
        <v>10.394145</v>
      </c>
      <c r="IZ19" s="21">
        <v>10.394145</v>
      </c>
      <c r="JA19" s="21">
        <v>10.394145</v>
      </c>
      <c r="JB19" s="21">
        <v>10.394145</v>
      </c>
      <c r="JC19" s="21">
        <v>10.394145</v>
      </c>
      <c r="JD19" s="21">
        <v>10.394145</v>
      </c>
      <c r="JE19" s="21">
        <v>10.394145</v>
      </c>
      <c r="JF19" s="21">
        <v>10.394145</v>
      </c>
      <c r="JG19" s="21">
        <v>10.394145</v>
      </c>
      <c r="JH19" s="21">
        <v>10.394145</v>
      </c>
      <c r="JI19" s="21">
        <v>10.394145</v>
      </c>
      <c r="JJ19" s="21">
        <v>10.394145</v>
      </c>
      <c r="JK19" s="21">
        <v>10.394145</v>
      </c>
      <c r="JL19" s="21">
        <v>10.394145</v>
      </c>
      <c r="JM19" s="21">
        <v>10.394145</v>
      </c>
      <c r="JN19" s="21">
        <v>10.394145</v>
      </c>
      <c r="JO19" s="21">
        <v>10.394145</v>
      </c>
      <c r="JP19" s="21">
        <v>10.394145</v>
      </c>
      <c r="JQ19" s="21">
        <v>10.394145</v>
      </c>
      <c r="JR19" s="21">
        <v>10.394145</v>
      </c>
      <c r="JS19" s="21">
        <v>10.394145</v>
      </c>
      <c r="JT19" s="21">
        <v>10.394145</v>
      </c>
      <c r="JU19" s="21">
        <v>10.394145</v>
      </c>
      <c r="JV19" s="21">
        <v>10.394145</v>
      </c>
      <c r="JW19" s="21">
        <v>10.394145</v>
      </c>
      <c r="JX19" s="21">
        <v>10.394145</v>
      </c>
      <c r="JY19" s="21">
        <v>10.394145</v>
      </c>
      <c r="JZ19" s="21">
        <v>10.394145</v>
      </c>
      <c r="KA19" s="21">
        <v>10.394145</v>
      </c>
      <c r="KB19" s="21">
        <v>10.394145</v>
      </c>
      <c r="KC19" s="21">
        <v>10.394145</v>
      </c>
      <c r="KD19" s="21">
        <v>10.394145</v>
      </c>
      <c r="KE19" s="21">
        <v>10.394145</v>
      </c>
      <c r="KF19" s="21">
        <v>10.394145</v>
      </c>
      <c r="KG19" s="21">
        <v>10.394145</v>
      </c>
      <c r="KH19" s="21">
        <v>10.394145</v>
      </c>
      <c r="KI19" s="21">
        <v>10.394145</v>
      </c>
      <c r="KJ19" s="21">
        <v>10.394145</v>
      </c>
      <c r="KK19" s="21">
        <v>10.394145</v>
      </c>
      <c r="KL19" s="21">
        <v>10.394145</v>
      </c>
      <c r="KM19" s="21">
        <v>10.394145</v>
      </c>
      <c r="KN19" s="21">
        <v>10.394145</v>
      </c>
      <c r="KO19" s="21">
        <v>10.394145</v>
      </c>
      <c r="KP19" s="21">
        <v>10.394145</v>
      </c>
      <c r="KQ19" s="21">
        <v>10.394145</v>
      </c>
      <c r="KR19" s="21">
        <v>10.394145</v>
      </c>
      <c r="KS19" s="21">
        <v>10.394145</v>
      </c>
      <c r="KT19" s="21">
        <v>10.394145</v>
      </c>
      <c r="KU19" s="21">
        <v>10.394145</v>
      </c>
      <c r="KV19" s="21">
        <v>10.394145</v>
      </c>
      <c r="KW19" s="21">
        <v>10.394145</v>
      </c>
      <c r="KX19" s="21">
        <v>10.394145</v>
      </c>
      <c r="KY19" s="21">
        <v>10.394145</v>
      </c>
      <c r="KZ19" s="21">
        <v>10.394145</v>
      </c>
      <c r="LA19" s="21">
        <v>10.394145</v>
      </c>
      <c r="LB19" s="21">
        <v>10.394145</v>
      </c>
      <c r="LC19" s="21">
        <v>10.394145</v>
      </c>
      <c r="LD19" s="21">
        <v>10.394145</v>
      </c>
      <c r="LE19" s="21">
        <v>10.106775000000001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21">
        <v>0</v>
      </c>
      <c r="LT19" s="21">
        <v>0</v>
      </c>
      <c r="LU19" s="21">
        <v>0</v>
      </c>
      <c r="LV19" s="21">
        <v>0</v>
      </c>
      <c r="LW19" s="21">
        <v>0</v>
      </c>
      <c r="LX19" s="21">
        <v>0</v>
      </c>
      <c r="LY19" s="21">
        <v>0</v>
      </c>
      <c r="LZ19" s="21">
        <v>0</v>
      </c>
      <c r="MA19" s="21">
        <v>0</v>
      </c>
      <c r="MB19" s="21">
        <v>0</v>
      </c>
      <c r="MC19" s="21">
        <v>0</v>
      </c>
      <c r="MD19" s="21">
        <v>0</v>
      </c>
      <c r="ME19" s="21">
        <v>0</v>
      </c>
      <c r="MF19" s="21">
        <v>0</v>
      </c>
      <c r="MG19" s="21">
        <v>0</v>
      </c>
      <c r="MH19" s="21">
        <v>0</v>
      </c>
      <c r="MI19" s="21">
        <v>0</v>
      </c>
      <c r="MJ19" s="21">
        <v>0</v>
      </c>
      <c r="MK19" s="21">
        <v>0</v>
      </c>
      <c r="ML19" s="21">
        <v>0</v>
      </c>
      <c r="MM19" s="21">
        <v>0</v>
      </c>
      <c r="MN19" s="21">
        <v>0</v>
      </c>
      <c r="MO19" s="21">
        <v>0</v>
      </c>
      <c r="MP19" s="21">
        <v>0</v>
      </c>
      <c r="MQ19" s="21">
        <v>0</v>
      </c>
      <c r="MR19" s="21">
        <v>0</v>
      </c>
      <c r="MS19" s="21">
        <v>0</v>
      </c>
      <c r="MT19" s="21">
        <v>0</v>
      </c>
      <c r="MU19" s="21">
        <v>0</v>
      </c>
      <c r="MV19" s="21">
        <v>0</v>
      </c>
      <c r="MW19" s="21">
        <v>0</v>
      </c>
      <c r="MX19" s="21">
        <v>0</v>
      </c>
      <c r="MY19" s="21">
        <v>0</v>
      </c>
      <c r="MZ19" s="21">
        <v>0</v>
      </c>
    </row>
    <row r="20" spans="1:364" x14ac:dyDescent="0.25">
      <c r="A20" s="7">
        <f>+'Valo FX'!A21</f>
        <v>18</v>
      </c>
      <c r="B20" s="16" t="str">
        <f>+Base!B18</f>
        <v>202402210068A033</v>
      </c>
      <c r="C20" s="75">
        <v>6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14.538449999999999</v>
      </c>
      <c r="L20" s="21">
        <v>14.538449999999999</v>
      </c>
      <c r="M20" s="21">
        <v>14.538449999999999</v>
      </c>
      <c r="N20" s="21">
        <v>14.538449999999999</v>
      </c>
      <c r="O20" s="21">
        <v>14.538449999999999</v>
      </c>
      <c r="P20" s="21">
        <v>14.538449999999999</v>
      </c>
      <c r="Q20" s="21">
        <v>14.538449999999999</v>
      </c>
      <c r="R20" s="21">
        <v>14.538449999999999</v>
      </c>
      <c r="S20" s="21">
        <v>14.538449999999999</v>
      </c>
      <c r="T20" s="21">
        <v>14.538449999999999</v>
      </c>
      <c r="U20" s="21">
        <v>14.538449999999999</v>
      </c>
      <c r="V20" s="21">
        <v>14.538449999999999</v>
      </c>
      <c r="W20" s="21">
        <v>14.538449999999999</v>
      </c>
      <c r="X20" s="21">
        <v>14.538449999999999</v>
      </c>
      <c r="Y20" s="21">
        <v>14.538449999999999</v>
      </c>
      <c r="Z20" s="21">
        <v>14.538449999999999</v>
      </c>
      <c r="AA20" s="21">
        <v>14.538449999999999</v>
      </c>
      <c r="AB20" s="21">
        <v>14.538449999999999</v>
      </c>
      <c r="AC20" s="21">
        <v>14.538449999999999</v>
      </c>
      <c r="AD20" s="21">
        <v>14.538449999999999</v>
      </c>
      <c r="AE20" s="21">
        <v>14.538449999999999</v>
      </c>
      <c r="AF20" s="21">
        <v>14.538449999999999</v>
      </c>
      <c r="AG20" s="21">
        <v>14.538449999999999</v>
      </c>
      <c r="AH20" s="21">
        <v>14.538449999999999</v>
      </c>
      <c r="AI20" s="21">
        <v>14.538449999999999</v>
      </c>
      <c r="AJ20" s="21">
        <v>14.538449999999999</v>
      </c>
      <c r="AK20" s="21">
        <v>14.538449999999999</v>
      </c>
      <c r="AL20" s="21">
        <v>14.538449999999999</v>
      </c>
      <c r="AM20" s="21">
        <v>14.538449999999999</v>
      </c>
      <c r="AN20" s="21">
        <v>14.538449999999999</v>
      </c>
      <c r="AO20" s="21">
        <v>14.538449999999999</v>
      </c>
      <c r="AP20" s="21">
        <v>14.538449999999999</v>
      </c>
      <c r="AQ20" s="21">
        <v>14.538449999999999</v>
      </c>
      <c r="AR20" s="21">
        <v>14.538449999999999</v>
      </c>
      <c r="AS20" s="21">
        <v>14.538449999999999</v>
      </c>
      <c r="AT20" s="21">
        <v>14.538449999999999</v>
      </c>
      <c r="AU20" s="21">
        <v>14.538449999999999</v>
      </c>
      <c r="AV20" s="21">
        <v>14.538449999999999</v>
      </c>
      <c r="AW20" s="21">
        <v>14.538449999999999</v>
      </c>
      <c r="AX20" s="21">
        <v>14.538449999999999</v>
      </c>
      <c r="AY20" s="21">
        <v>14.538449999999999</v>
      </c>
      <c r="AZ20" s="21">
        <v>14.538449999999999</v>
      </c>
      <c r="BA20" s="21">
        <v>14.538449999999999</v>
      </c>
      <c r="BB20" s="21">
        <v>14.538449999999999</v>
      </c>
      <c r="BC20" s="21">
        <v>14.538449999999999</v>
      </c>
      <c r="BD20" s="21">
        <v>14.538449999999999</v>
      </c>
      <c r="BE20" s="21">
        <v>14.538449999999999</v>
      </c>
      <c r="BF20" s="21">
        <v>14.538449999999999</v>
      </c>
      <c r="BG20" s="21">
        <v>14.538449999999999</v>
      </c>
      <c r="BH20" s="21">
        <v>14.538449999999999</v>
      </c>
      <c r="BI20" s="21">
        <v>14.538449999999999</v>
      </c>
      <c r="BJ20" s="21">
        <v>14.538449999999999</v>
      </c>
      <c r="BK20" s="21">
        <v>14.538449999999999</v>
      </c>
      <c r="BL20" s="21">
        <v>14.538449999999999</v>
      </c>
      <c r="BM20" s="21">
        <v>14.538449999999999</v>
      </c>
      <c r="BN20" s="21">
        <v>14.538449999999999</v>
      </c>
      <c r="BO20" s="21">
        <v>14.538449999999999</v>
      </c>
      <c r="BP20" s="21">
        <v>14.538449999999999</v>
      </c>
      <c r="BQ20" s="21">
        <v>14.538449999999999</v>
      </c>
      <c r="BR20" s="21">
        <v>14.538449999999999</v>
      </c>
      <c r="BS20" s="21">
        <v>14.538449999999999</v>
      </c>
      <c r="BT20" s="21">
        <v>14.538449999999999</v>
      </c>
      <c r="BU20" s="21">
        <v>14.538449999999999</v>
      </c>
      <c r="BV20" s="21">
        <v>14.538449999999999</v>
      </c>
      <c r="BW20" s="21">
        <v>14.538449999999999</v>
      </c>
      <c r="BX20" s="21">
        <v>14.538449999999999</v>
      </c>
      <c r="BY20" s="21">
        <v>14.538449999999999</v>
      </c>
      <c r="BZ20" s="21">
        <v>14.538449999999999</v>
      </c>
      <c r="CA20" s="21">
        <v>14.538449999999999</v>
      </c>
      <c r="CB20" s="21">
        <v>14.538449999999999</v>
      </c>
      <c r="CC20" s="21">
        <v>14.538449999999999</v>
      </c>
      <c r="CD20" s="21">
        <v>14.538449999999999</v>
      </c>
      <c r="CE20" s="21">
        <v>14.538449999999999</v>
      </c>
      <c r="CF20" s="21">
        <v>14.538449999999999</v>
      </c>
      <c r="CG20" s="21">
        <v>14.538449999999999</v>
      </c>
      <c r="CH20" s="21">
        <v>14.538449999999999</v>
      </c>
      <c r="CI20" s="21">
        <v>14.538449999999999</v>
      </c>
      <c r="CJ20" s="21">
        <v>14.538449999999999</v>
      </c>
      <c r="CK20" s="21">
        <v>14.538449999999999</v>
      </c>
      <c r="CL20" s="21">
        <v>14.538449999999999</v>
      </c>
      <c r="CM20" s="21">
        <v>14.538449999999999</v>
      </c>
      <c r="CN20" s="21">
        <v>14.538449999999999</v>
      </c>
      <c r="CO20" s="21">
        <v>14.538449999999999</v>
      </c>
      <c r="CP20" s="21">
        <v>14.538449999999999</v>
      </c>
      <c r="CQ20" s="21">
        <v>14.538449999999999</v>
      </c>
      <c r="CR20" s="21">
        <v>14.538449999999999</v>
      </c>
      <c r="CS20" s="21">
        <v>14.538449999999999</v>
      </c>
      <c r="CT20" s="21">
        <v>14.538449999999999</v>
      </c>
      <c r="CU20" s="21">
        <v>14.538449999999999</v>
      </c>
      <c r="CV20" s="21">
        <v>14.538449999999999</v>
      </c>
      <c r="CW20" s="21">
        <v>14.538449999999999</v>
      </c>
      <c r="CX20" s="21">
        <v>14.538449999999999</v>
      </c>
      <c r="CY20" s="21">
        <v>14.538449999999999</v>
      </c>
      <c r="CZ20" s="21">
        <v>14.538449999999999</v>
      </c>
      <c r="DA20" s="21">
        <v>14.538449999999999</v>
      </c>
      <c r="DB20" s="21">
        <v>14.538449999999999</v>
      </c>
      <c r="DC20" s="21">
        <v>14.538449999999999</v>
      </c>
      <c r="DD20" s="21">
        <v>14.538449999999999</v>
      </c>
      <c r="DE20" s="21">
        <v>14.538449999999999</v>
      </c>
      <c r="DF20" s="21">
        <v>14.538449999999999</v>
      </c>
      <c r="DG20" s="21">
        <v>14.538449999999999</v>
      </c>
      <c r="DH20" s="21">
        <v>14.538449999999999</v>
      </c>
      <c r="DI20" s="21">
        <v>14.538449999999999</v>
      </c>
      <c r="DJ20" s="21">
        <v>14.538449999999999</v>
      </c>
      <c r="DK20" s="21">
        <v>14.538449999999999</v>
      </c>
      <c r="DL20" s="21">
        <v>14.538449999999999</v>
      </c>
      <c r="DM20" s="21">
        <v>14.538449999999999</v>
      </c>
      <c r="DN20" s="21">
        <v>14.538449999999999</v>
      </c>
      <c r="DO20" s="21">
        <v>14.538449999999999</v>
      </c>
      <c r="DP20" s="21">
        <v>14.538449999999999</v>
      </c>
      <c r="DQ20" s="21">
        <v>14.538449999999999</v>
      </c>
      <c r="DR20" s="21">
        <v>14.538449999999999</v>
      </c>
      <c r="DS20" s="21">
        <v>14.538449999999999</v>
      </c>
      <c r="DT20" s="21">
        <v>14.538449999999999</v>
      </c>
      <c r="DU20" s="21">
        <v>14.538449999999999</v>
      </c>
      <c r="DV20" s="21">
        <v>14.538449999999999</v>
      </c>
      <c r="DW20" s="21">
        <v>14.538449999999999</v>
      </c>
      <c r="DX20" s="21">
        <v>14.538449999999999</v>
      </c>
      <c r="DY20" s="21">
        <v>14.538449999999999</v>
      </c>
      <c r="DZ20" s="21">
        <v>14.538449999999999</v>
      </c>
      <c r="EA20" s="21">
        <v>14.538449999999999</v>
      </c>
      <c r="EB20" s="21">
        <v>14.538449999999999</v>
      </c>
      <c r="EC20" s="21">
        <v>14.538449999999999</v>
      </c>
      <c r="ED20" s="21">
        <v>14.538449999999999</v>
      </c>
      <c r="EE20" s="21">
        <v>14.538449999999999</v>
      </c>
      <c r="EF20" s="21">
        <v>14.538449999999999</v>
      </c>
      <c r="EG20" s="21">
        <v>14.538449999999999</v>
      </c>
      <c r="EH20" s="21">
        <v>14.538449999999999</v>
      </c>
      <c r="EI20" s="21">
        <v>14.538449999999999</v>
      </c>
      <c r="EJ20" s="21">
        <v>14.538449999999999</v>
      </c>
      <c r="EK20" s="21">
        <v>14.538449999999999</v>
      </c>
      <c r="EL20" s="21">
        <v>14.538449999999999</v>
      </c>
      <c r="EM20" s="21">
        <v>14.538449999999999</v>
      </c>
      <c r="EN20" s="21">
        <v>14.538449999999999</v>
      </c>
      <c r="EO20" s="21">
        <v>14.538449999999999</v>
      </c>
      <c r="EP20" s="21">
        <v>14.538449999999999</v>
      </c>
      <c r="EQ20" s="21">
        <v>14.538449999999999</v>
      </c>
      <c r="ER20" s="21">
        <v>14.538449999999999</v>
      </c>
      <c r="ES20" s="21">
        <v>14.538449999999999</v>
      </c>
      <c r="ET20" s="21">
        <v>14.538449999999999</v>
      </c>
      <c r="EU20" s="21">
        <v>14.538449999999999</v>
      </c>
      <c r="EV20" s="21">
        <v>14.538449999999999</v>
      </c>
      <c r="EW20" s="21">
        <v>14.538449999999999</v>
      </c>
      <c r="EX20" s="21">
        <v>14.538449999999999</v>
      </c>
      <c r="EY20" s="21">
        <v>14.538449999999999</v>
      </c>
      <c r="EZ20" s="21">
        <v>14.538449999999999</v>
      </c>
      <c r="FA20" s="21">
        <v>14.538449999999999</v>
      </c>
      <c r="FB20" s="21">
        <v>14.538449999999999</v>
      </c>
      <c r="FC20" s="21">
        <v>14.538449999999999</v>
      </c>
      <c r="FD20" s="21">
        <v>14.538449999999999</v>
      </c>
      <c r="FE20" s="21">
        <v>14.538449999999999</v>
      </c>
      <c r="FF20" s="21">
        <v>14.538449999999999</v>
      </c>
      <c r="FG20" s="21">
        <v>14.538449999999999</v>
      </c>
      <c r="FH20" s="21">
        <v>14.538449999999999</v>
      </c>
      <c r="FI20" s="21">
        <v>14.538449999999999</v>
      </c>
      <c r="FJ20" s="21">
        <v>14.538449999999999</v>
      </c>
      <c r="FK20" s="21">
        <v>14.538449999999999</v>
      </c>
      <c r="FL20" s="21">
        <v>14.538449999999999</v>
      </c>
      <c r="FM20" s="21">
        <v>14.538449999999999</v>
      </c>
      <c r="FN20" s="21">
        <v>14.538449999999999</v>
      </c>
      <c r="FO20" s="21">
        <v>14.538449999999999</v>
      </c>
      <c r="FP20" s="21">
        <v>14.538449999999999</v>
      </c>
      <c r="FQ20" s="21">
        <v>14.538449999999999</v>
      </c>
      <c r="FR20" s="21">
        <v>14.538449999999999</v>
      </c>
      <c r="FS20" s="21">
        <v>14.538449999999999</v>
      </c>
      <c r="FT20" s="21">
        <v>14.538449999999999</v>
      </c>
      <c r="FU20" s="21">
        <v>14.538449999999999</v>
      </c>
      <c r="FV20" s="21">
        <v>14.538449999999999</v>
      </c>
      <c r="FW20" s="21">
        <v>14.538449999999999</v>
      </c>
      <c r="FX20" s="21">
        <v>14.538449999999999</v>
      </c>
      <c r="FY20" s="21">
        <v>14.538449999999999</v>
      </c>
      <c r="FZ20" s="21">
        <v>14.538449999999999</v>
      </c>
      <c r="GA20" s="21">
        <v>14.538449999999999</v>
      </c>
      <c r="GB20" s="21">
        <v>14.538449999999999</v>
      </c>
      <c r="GC20" s="21">
        <v>14.538449999999999</v>
      </c>
      <c r="GD20" s="21">
        <v>14.538449999999999</v>
      </c>
      <c r="GE20" s="21">
        <v>14.538449999999999</v>
      </c>
      <c r="GF20" s="21">
        <v>14.538449999999999</v>
      </c>
      <c r="GG20" s="21">
        <v>14.538449999999999</v>
      </c>
      <c r="GH20" s="21">
        <v>14.538449999999999</v>
      </c>
      <c r="GI20" s="21">
        <v>14.538449999999999</v>
      </c>
      <c r="GJ20" s="21">
        <v>14.538449999999999</v>
      </c>
      <c r="GK20" s="21">
        <v>14.538449999999999</v>
      </c>
      <c r="GL20" s="21">
        <v>14.538449999999999</v>
      </c>
      <c r="GM20" s="21">
        <v>14.538449999999999</v>
      </c>
      <c r="GN20" s="21">
        <v>14.538449999999999</v>
      </c>
      <c r="GO20" s="21">
        <v>14.31597</v>
      </c>
      <c r="GP20" s="21">
        <v>0</v>
      </c>
      <c r="GQ20" s="21">
        <v>0</v>
      </c>
      <c r="GR20" s="21">
        <v>0</v>
      </c>
      <c r="GS20" s="21">
        <v>0</v>
      </c>
      <c r="GT20" s="21">
        <v>0</v>
      </c>
      <c r="GU20" s="21">
        <v>0</v>
      </c>
      <c r="GV20" s="21">
        <v>0</v>
      </c>
      <c r="GW20" s="21">
        <v>0</v>
      </c>
      <c r="GX20" s="21">
        <v>0</v>
      </c>
      <c r="GY20" s="21">
        <v>0</v>
      </c>
      <c r="GZ20" s="21">
        <v>0</v>
      </c>
      <c r="HA20" s="21">
        <v>0</v>
      </c>
      <c r="HB20" s="21">
        <v>0</v>
      </c>
      <c r="HC20" s="21">
        <v>0</v>
      </c>
      <c r="HD20" s="21">
        <v>0</v>
      </c>
      <c r="HE20" s="21">
        <v>0</v>
      </c>
      <c r="HF20" s="21">
        <v>0</v>
      </c>
      <c r="HG20" s="21">
        <v>0</v>
      </c>
      <c r="HH20" s="21">
        <v>0</v>
      </c>
      <c r="HI20" s="21">
        <v>0</v>
      </c>
      <c r="HJ20" s="21">
        <v>0</v>
      </c>
      <c r="HK20" s="21">
        <v>0</v>
      </c>
      <c r="HL20" s="21">
        <v>0</v>
      </c>
      <c r="HM20" s="21">
        <v>0</v>
      </c>
      <c r="HN20" s="21">
        <v>0</v>
      </c>
      <c r="HO20" s="21">
        <v>0</v>
      </c>
      <c r="HP20" s="21">
        <v>0</v>
      </c>
      <c r="HQ20" s="21">
        <v>0</v>
      </c>
      <c r="HR20" s="21">
        <v>0</v>
      </c>
      <c r="HS20" s="21">
        <v>0</v>
      </c>
      <c r="HT20" s="21">
        <v>0</v>
      </c>
      <c r="HU20" s="21">
        <v>0</v>
      </c>
      <c r="HV20" s="21">
        <v>0</v>
      </c>
      <c r="HW20" s="21">
        <v>0</v>
      </c>
      <c r="HX20" s="21">
        <v>0</v>
      </c>
      <c r="HY20" s="21">
        <v>0</v>
      </c>
      <c r="HZ20" s="21">
        <v>0</v>
      </c>
      <c r="IA20" s="21">
        <v>0</v>
      </c>
      <c r="IB20" s="21">
        <v>0</v>
      </c>
      <c r="IC20" s="21">
        <v>0</v>
      </c>
      <c r="ID20" s="21">
        <v>0</v>
      </c>
      <c r="IE20" s="21">
        <v>0</v>
      </c>
      <c r="IF20" s="21">
        <v>0</v>
      </c>
      <c r="IG20" s="21">
        <v>0</v>
      </c>
      <c r="IH20" s="21">
        <v>0</v>
      </c>
      <c r="II20" s="21">
        <v>0</v>
      </c>
      <c r="IJ20" s="21">
        <v>0</v>
      </c>
      <c r="IK20" s="21">
        <v>0</v>
      </c>
      <c r="IL20" s="21">
        <v>0</v>
      </c>
      <c r="IM20" s="21">
        <v>0</v>
      </c>
      <c r="IN20" s="21">
        <v>0</v>
      </c>
      <c r="IO20" s="21">
        <v>0</v>
      </c>
      <c r="IP20" s="21">
        <v>0</v>
      </c>
      <c r="IQ20" s="21">
        <v>0</v>
      </c>
      <c r="IR20" s="21">
        <v>0</v>
      </c>
      <c r="IS20" s="21">
        <v>0</v>
      </c>
      <c r="IT20" s="21">
        <v>0</v>
      </c>
      <c r="IU20" s="21">
        <v>0</v>
      </c>
      <c r="IV20" s="21">
        <v>0</v>
      </c>
      <c r="IW20" s="21">
        <v>0</v>
      </c>
      <c r="IX20" s="21">
        <v>0</v>
      </c>
      <c r="IY20" s="21">
        <v>0</v>
      </c>
      <c r="IZ20" s="21">
        <v>0</v>
      </c>
      <c r="JA20" s="21">
        <v>0</v>
      </c>
      <c r="JB20" s="21">
        <v>0</v>
      </c>
      <c r="JC20" s="21">
        <v>0</v>
      </c>
      <c r="JD20" s="21">
        <v>0</v>
      </c>
      <c r="JE20" s="21">
        <v>0</v>
      </c>
      <c r="JF20" s="21">
        <v>0</v>
      </c>
      <c r="JG20" s="21">
        <v>0</v>
      </c>
      <c r="JH20" s="21">
        <v>0</v>
      </c>
      <c r="JI20" s="21">
        <v>0</v>
      </c>
      <c r="JJ20" s="21">
        <v>0</v>
      </c>
      <c r="JK20" s="21">
        <v>0</v>
      </c>
      <c r="JL20" s="21">
        <v>0</v>
      </c>
      <c r="JM20" s="21">
        <v>0</v>
      </c>
      <c r="JN20" s="21">
        <v>0</v>
      </c>
      <c r="JO20" s="21">
        <v>0</v>
      </c>
      <c r="JP20" s="21">
        <v>0</v>
      </c>
      <c r="JQ20" s="21">
        <v>0</v>
      </c>
      <c r="JR20" s="21">
        <v>0</v>
      </c>
      <c r="JS20" s="21">
        <v>0</v>
      </c>
      <c r="JT20" s="21">
        <v>0</v>
      </c>
      <c r="JU20" s="21">
        <v>0</v>
      </c>
      <c r="JV20" s="21">
        <v>0</v>
      </c>
      <c r="JW20" s="21">
        <v>0</v>
      </c>
      <c r="JX20" s="21">
        <v>0</v>
      </c>
      <c r="JY20" s="21">
        <v>0</v>
      </c>
      <c r="JZ20" s="21">
        <v>0</v>
      </c>
      <c r="KA20" s="21">
        <v>0</v>
      </c>
      <c r="KB20" s="21">
        <v>0</v>
      </c>
      <c r="KC20" s="21">
        <v>0</v>
      </c>
      <c r="KD20" s="21">
        <v>0</v>
      </c>
      <c r="KE20" s="21">
        <v>0</v>
      </c>
      <c r="KF20" s="21">
        <v>0</v>
      </c>
      <c r="KG20" s="21">
        <v>0</v>
      </c>
      <c r="KH20" s="21">
        <v>0</v>
      </c>
      <c r="KI20" s="21">
        <v>0</v>
      </c>
      <c r="KJ20" s="21">
        <v>0</v>
      </c>
      <c r="KK20" s="21">
        <v>0</v>
      </c>
      <c r="KL20" s="21">
        <v>0</v>
      </c>
      <c r="KM20" s="21">
        <v>0</v>
      </c>
      <c r="KN20" s="21">
        <v>0</v>
      </c>
      <c r="KO20" s="21">
        <v>0</v>
      </c>
      <c r="KP20" s="21">
        <v>0</v>
      </c>
      <c r="KQ20" s="21">
        <v>0</v>
      </c>
      <c r="KR20" s="21">
        <v>0</v>
      </c>
      <c r="KS20" s="21">
        <v>0</v>
      </c>
      <c r="KT20" s="21">
        <v>0</v>
      </c>
      <c r="KU20" s="21">
        <v>0</v>
      </c>
      <c r="KV20" s="21">
        <v>0</v>
      </c>
      <c r="KW20" s="21">
        <v>0</v>
      </c>
      <c r="KX20" s="21">
        <v>0</v>
      </c>
      <c r="KY20" s="21">
        <v>0</v>
      </c>
      <c r="KZ20" s="21">
        <v>0</v>
      </c>
      <c r="LA20" s="21">
        <v>0</v>
      </c>
      <c r="LB20" s="21">
        <v>0</v>
      </c>
      <c r="LC20" s="21">
        <v>0</v>
      </c>
      <c r="LD20" s="21">
        <v>0</v>
      </c>
      <c r="LE20" s="21">
        <v>0</v>
      </c>
      <c r="LF20" s="21">
        <v>0</v>
      </c>
      <c r="LG20" s="21">
        <v>0</v>
      </c>
      <c r="LH20" s="21">
        <v>0</v>
      </c>
      <c r="LI20" s="21">
        <v>0</v>
      </c>
      <c r="LJ20" s="21">
        <v>0</v>
      </c>
      <c r="LK20" s="21">
        <v>0</v>
      </c>
      <c r="LL20" s="21">
        <v>0</v>
      </c>
      <c r="LM20" s="21">
        <v>0</v>
      </c>
      <c r="LN20" s="21">
        <v>0</v>
      </c>
      <c r="LO20" s="21">
        <v>0</v>
      </c>
      <c r="LP20" s="21">
        <v>0</v>
      </c>
      <c r="LQ20" s="21">
        <v>0</v>
      </c>
      <c r="LR20" s="21">
        <v>0</v>
      </c>
      <c r="LS20" s="21">
        <v>0</v>
      </c>
      <c r="LT20" s="21">
        <v>0</v>
      </c>
      <c r="LU20" s="21">
        <v>0</v>
      </c>
      <c r="LV20" s="21">
        <v>0</v>
      </c>
      <c r="LW20" s="21">
        <v>0</v>
      </c>
      <c r="LX20" s="21">
        <v>0</v>
      </c>
      <c r="LY20" s="21">
        <v>0</v>
      </c>
      <c r="LZ20" s="21">
        <v>0</v>
      </c>
      <c r="MA20" s="21">
        <v>0</v>
      </c>
      <c r="MB20" s="21">
        <v>0</v>
      </c>
      <c r="MC20" s="21">
        <v>0</v>
      </c>
      <c r="MD20" s="21">
        <v>0</v>
      </c>
      <c r="ME20" s="21">
        <v>0</v>
      </c>
      <c r="MF20" s="21">
        <v>0</v>
      </c>
      <c r="MG20" s="21">
        <v>0</v>
      </c>
      <c r="MH20" s="21">
        <v>0</v>
      </c>
      <c r="MI20" s="21">
        <v>0</v>
      </c>
      <c r="MJ20" s="21">
        <v>0</v>
      </c>
      <c r="MK20" s="21">
        <v>0</v>
      </c>
      <c r="ML20" s="21">
        <v>0</v>
      </c>
      <c r="MM20" s="21">
        <v>0</v>
      </c>
      <c r="MN20" s="21">
        <v>0</v>
      </c>
      <c r="MO20" s="21">
        <v>0</v>
      </c>
      <c r="MP20" s="21">
        <v>0</v>
      </c>
      <c r="MQ20" s="21">
        <v>0</v>
      </c>
      <c r="MR20" s="21">
        <v>0</v>
      </c>
      <c r="MS20" s="21">
        <v>0</v>
      </c>
      <c r="MT20" s="21">
        <v>0</v>
      </c>
      <c r="MU20" s="21">
        <v>0</v>
      </c>
      <c r="MV20" s="21">
        <v>0</v>
      </c>
      <c r="MW20" s="21">
        <v>0</v>
      </c>
      <c r="MX20" s="21">
        <v>0</v>
      </c>
      <c r="MY20" s="21">
        <v>0</v>
      </c>
      <c r="MZ20" s="21">
        <v>0</v>
      </c>
    </row>
    <row r="21" spans="1:364" x14ac:dyDescent="0.25">
      <c r="A21" s="7">
        <f>+'Valo FX'!A22</f>
        <v>19</v>
      </c>
      <c r="B21" s="16" t="str">
        <f>+Base!B19</f>
        <v>202402070069A033</v>
      </c>
      <c r="C21" s="75">
        <v>6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7.6339199999999998</v>
      </c>
      <c r="L21" s="21">
        <v>7.6339199999999998</v>
      </c>
      <c r="M21" s="21">
        <v>7.6339199999999998</v>
      </c>
      <c r="N21" s="21">
        <v>7.6339199999999998</v>
      </c>
      <c r="O21" s="21">
        <v>7.6339199999999998</v>
      </c>
      <c r="P21" s="21">
        <v>7.6339199999999998</v>
      </c>
      <c r="Q21" s="21">
        <v>7.6339199999999998</v>
      </c>
      <c r="R21" s="21">
        <v>7.6339199999999998</v>
      </c>
      <c r="S21" s="21">
        <v>7.6339199999999998</v>
      </c>
      <c r="T21" s="21">
        <v>7.6339199999999998</v>
      </c>
      <c r="U21" s="21">
        <v>7.6339199999999998</v>
      </c>
      <c r="V21" s="21">
        <v>7.6339199999999998</v>
      </c>
      <c r="W21" s="21">
        <v>7.6339199999999998</v>
      </c>
      <c r="X21" s="21">
        <v>7.6339199999999998</v>
      </c>
      <c r="Y21" s="21">
        <v>7.6339199999999998</v>
      </c>
      <c r="Z21" s="21">
        <v>7.6339199999999998</v>
      </c>
      <c r="AA21" s="21">
        <v>7.6339199999999998</v>
      </c>
      <c r="AB21" s="21">
        <v>7.6339199999999998</v>
      </c>
      <c r="AC21" s="21">
        <v>7.6339199999999998</v>
      </c>
      <c r="AD21" s="21">
        <v>7.6339199999999998</v>
      </c>
      <c r="AE21" s="21">
        <v>7.6339199999999998</v>
      </c>
      <c r="AF21" s="21">
        <v>7.6339199999999998</v>
      </c>
      <c r="AG21" s="21">
        <v>7.6339199999999998</v>
      </c>
      <c r="AH21" s="21">
        <v>7.6339199999999998</v>
      </c>
      <c r="AI21" s="21">
        <v>7.6339199999999998</v>
      </c>
      <c r="AJ21" s="21">
        <v>7.6339199999999998</v>
      </c>
      <c r="AK21" s="21">
        <v>7.6339199999999998</v>
      </c>
      <c r="AL21" s="21">
        <v>7.6339199999999998</v>
      </c>
      <c r="AM21" s="21">
        <v>7.6339199999999998</v>
      </c>
      <c r="AN21" s="21">
        <v>7.6339199999999998</v>
      </c>
      <c r="AO21" s="21">
        <v>7.6339199999999998</v>
      </c>
      <c r="AP21" s="21">
        <v>7.6339199999999998</v>
      </c>
      <c r="AQ21" s="21">
        <v>7.6339199999999998</v>
      </c>
      <c r="AR21" s="21">
        <v>7.6339199999999998</v>
      </c>
      <c r="AS21" s="21">
        <v>7.6339199999999998</v>
      </c>
      <c r="AT21" s="21">
        <v>7.6339199999999998</v>
      </c>
      <c r="AU21" s="21">
        <v>7.6339199999999998</v>
      </c>
      <c r="AV21" s="21">
        <v>7.6339199999999998</v>
      </c>
      <c r="AW21" s="21">
        <v>7.6339199999999998</v>
      </c>
      <c r="AX21" s="21">
        <v>7.6339199999999998</v>
      </c>
      <c r="AY21" s="21">
        <v>7.6339199999999998</v>
      </c>
      <c r="AZ21" s="21">
        <v>7.6339199999999998</v>
      </c>
      <c r="BA21" s="21">
        <v>7.6339199999999998</v>
      </c>
      <c r="BB21" s="21">
        <v>7.6339199999999998</v>
      </c>
      <c r="BC21" s="21">
        <v>7.6339199999999998</v>
      </c>
      <c r="BD21" s="21">
        <v>7.6339199999999998</v>
      </c>
      <c r="BE21" s="21">
        <v>7.6339199999999998</v>
      </c>
      <c r="BF21" s="21">
        <v>7.6339199999999998</v>
      </c>
      <c r="BG21" s="21">
        <v>7.6339199999999998</v>
      </c>
      <c r="BH21" s="21">
        <v>7.6339199999999998</v>
      </c>
      <c r="BI21" s="21">
        <v>7.6339199999999998</v>
      </c>
      <c r="BJ21" s="21">
        <v>7.6339199999999998</v>
      </c>
      <c r="BK21" s="21">
        <v>7.6339199999999998</v>
      </c>
      <c r="BL21" s="21">
        <v>7.6339199999999998</v>
      </c>
      <c r="BM21" s="21">
        <v>7.6339199999999998</v>
      </c>
      <c r="BN21" s="21">
        <v>7.6339199999999998</v>
      </c>
      <c r="BO21" s="21">
        <v>7.6339199999999998</v>
      </c>
      <c r="BP21" s="21">
        <v>7.6339199999999998</v>
      </c>
      <c r="BQ21" s="21">
        <v>7.6339199999999998</v>
      </c>
      <c r="BR21" s="21">
        <v>7.6339199999999998</v>
      </c>
      <c r="BS21" s="21">
        <v>7.6339199999999998</v>
      </c>
      <c r="BT21" s="21">
        <v>7.6339199999999998</v>
      </c>
      <c r="BU21" s="21">
        <v>7.6339199999999998</v>
      </c>
      <c r="BV21" s="21">
        <v>7.6339199999999998</v>
      </c>
      <c r="BW21" s="21">
        <v>7.6339199999999998</v>
      </c>
      <c r="BX21" s="21">
        <v>7.6339199999999998</v>
      </c>
      <c r="BY21" s="21">
        <v>7.6339199999999998</v>
      </c>
      <c r="BZ21" s="21">
        <v>7.6339199999999998</v>
      </c>
      <c r="CA21" s="21">
        <v>7.6339199999999998</v>
      </c>
      <c r="CB21" s="21">
        <v>7.6339199999999998</v>
      </c>
      <c r="CC21" s="21">
        <v>7.6339199999999998</v>
      </c>
      <c r="CD21" s="21">
        <v>7.6339199999999998</v>
      </c>
      <c r="CE21" s="21">
        <v>7.6339199999999998</v>
      </c>
      <c r="CF21" s="21">
        <v>7.6339199999999998</v>
      </c>
      <c r="CG21" s="21">
        <v>7.6339199999999998</v>
      </c>
      <c r="CH21" s="21">
        <v>7.6339199999999998</v>
      </c>
      <c r="CI21" s="21">
        <v>7.6339199999999998</v>
      </c>
      <c r="CJ21" s="21">
        <v>7.6339199999999998</v>
      </c>
      <c r="CK21" s="21">
        <v>7.6339199999999998</v>
      </c>
      <c r="CL21" s="21">
        <v>7.6339199999999998</v>
      </c>
      <c r="CM21" s="21">
        <v>7.6339199999999998</v>
      </c>
      <c r="CN21" s="21">
        <v>7.6339199999999998</v>
      </c>
      <c r="CO21" s="21">
        <v>7.6339199999999998</v>
      </c>
      <c r="CP21" s="21">
        <v>7.6339199999999998</v>
      </c>
      <c r="CQ21" s="21">
        <v>7.6339199999999998</v>
      </c>
      <c r="CR21" s="21">
        <v>7.6339199999999998</v>
      </c>
      <c r="CS21" s="21">
        <v>7.6339199999999998</v>
      </c>
      <c r="CT21" s="21">
        <v>7.6339199999999998</v>
      </c>
      <c r="CU21" s="21">
        <v>7.6339199999999998</v>
      </c>
      <c r="CV21" s="21">
        <v>7.6339199999999998</v>
      </c>
      <c r="CW21" s="21">
        <v>7.6339199999999998</v>
      </c>
      <c r="CX21" s="21">
        <v>7.6339199999999998</v>
      </c>
      <c r="CY21" s="21">
        <v>7.6339199999999998</v>
      </c>
      <c r="CZ21" s="21">
        <v>7.6339199999999998</v>
      </c>
      <c r="DA21" s="21">
        <v>7.6339199999999998</v>
      </c>
      <c r="DB21" s="21">
        <v>7.6339199999999998</v>
      </c>
      <c r="DC21" s="21">
        <v>7.6339199999999998</v>
      </c>
      <c r="DD21" s="21">
        <v>7.6339199999999998</v>
      </c>
      <c r="DE21" s="21">
        <v>7.6339199999999998</v>
      </c>
      <c r="DF21" s="21">
        <v>7.6339199999999998</v>
      </c>
      <c r="DG21" s="21">
        <v>7.6339199999999998</v>
      </c>
      <c r="DH21" s="21">
        <v>7.6339199999999998</v>
      </c>
      <c r="DI21" s="21">
        <v>7.6339199999999998</v>
      </c>
      <c r="DJ21" s="21">
        <v>7.6339199999999998</v>
      </c>
      <c r="DK21" s="21">
        <v>7.6339199999999998</v>
      </c>
      <c r="DL21" s="21">
        <v>7.6339199999999998</v>
      </c>
      <c r="DM21" s="21">
        <v>7.6339199999999998</v>
      </c>
      <c r="DN21" s="21">
        <v>7.6339199999999998</v>
      </c>
      <c r="DO21" s="21">
        <v>7.6339199999999998</v>
      </c>
      <c r="DP21" s="21">
        <v>7.6339199999999998</v>
      </c>
      <c r="DQ21" s="21">
        <v>7.6339199999999998</v>
      </c>
      <c r="DR21" s="21">
        <v>7.6339199999999998</v>
      </c>
      <c r="DS21" s="21">
        <v>7.6339199999999998</v>
      </c>
      <c r="DT21" s="21">
        <v>7.6339199999999998</v>
      </c>
      <c r="DU21" s="21">
        <v>7.6339199999999998</v>
      </c>
      <c r="DV21" s="21">
        <v>7.6339199999999998</v>
      </c>
      <c r="DW21" s="21">
        <v>7.6339199999999998</v>
      </c>
      <c r="DX21" s="21">
        <v>7.6339199999999998</v>
      </c>
      <c r="DY21" s="21">
        <v>7.6339199999999998</v>
      </c>
      <c r="DZ21" s="21">
        <v>7.6339199999999998</v>
      </c>
      <c r="EA21" s="21">
        <v>7.6339199999999998</v>
      </c>
      <c r="EB21" s="21">
        <v>7.6339199999999998</v>
      </c>
      <c r="EC21" s="21">
        <v>7.6339199999999998</v>
      </c>
      <c r="ED21" s="21">
        <v>7.6339199999999998</v>
      </c>
      <c r="EE21" s="21">
        <v>7.6339199999999998</v>
      </c>
      <c r="EF21" s="21">
        <v>7.6339199999999998</v>
      </c>
      <c r="EG21" s="21">
        <v>7.6339199999999998</v>
      </c>
      <c r="EH21" s="21">
        <v>7.6339199999999998</v>
      </c>
      <c r="EI21" s="21">
        <v>7.6339199999999998</v>
      </c>
      <c r="EJ21" s="21">
        <v>7.6339199999999998</v>
      </c>
      <c r="EK21" s="21">
        <v>7.6339199999999998</v>
      </c>
      <c r="EL21" s="21">
        <v>7.6339199999999998</v>
      </c>
      <c r="EM21" s="21">
        <v>7.6339199999999998</v>
      </c>
      <c r="EN21" s="21">
        <v>7.6339199999999998</v>
      </c>
      <c r="EO21" s="21">
        <v>7.6339199999999998</v>
      </c>
      <c r="EP21" s="21">
        <v>7.6339199999999998</v>
      </c>
      <c r="EQ21" s="21">
        <v>7.6339199999999998</v>
      </c>
      <c r="ER21" s="21">
        <v>7.6339199999999998</v>
      </c>
      <c r="ES21" s="21">
        <v>7.6339199999999998</v>
      </c>
      <c r="ET21" s="21">
        <v>7.6339199999999998</v>
      </c>
      <c r="EU21" s="21">
        <v>7.6339199999999998</v>
      </c>
      <c r="EV21" s="21">
        <v>7.6339199999999998</v>
      </c>
      <c r="EW21" s="21">
        <v>7.6339199999999998</v>
      </c>
      <c r="EX21" s="21">
        <v>7.6339199999999998</v>
      </c>
      <c r="EY21" s="21">
        <v>7.6339199999999998</v>
      </c>
      <c r="EZ21" s="21">
        <v>7.6339199999999998</v>
      </c>
      <c r="FA21" s="21">
        <v>7.6339199999999998</v>
      </c>
      <c r="FB21" s="21">
        <v>7.6339199999999998</v>
      </c>
      <c r="FC21" s="21">
        <v>7.6339199999999998</v>
      </c>
      <c r="FD21" s="21">
        <v>7.6339199999999998</v>
      </c>
      <c r="FE21" s="21">
        <v>7.6339199999999998</v>
      </c>
      <c r="FF21" s="21">
        <v>7.6339199999999998</v>
      </c>
      <c r="FG21" s="21">
        <v>7.6339199999999998</v>
      </c>
      <c r="FH21" s="21">
        <v>7.6339199999999998</v>
      </c>
      <c r="FI21" s="21">
        <v>7.6339199999999998</v>
      </c>
      <c r="FJ21" s="21">
        <v>7.6339199999999998</v>
      </c>
      <c r="FK21" s="21">
        <v>7.6339199999999998</v>
      </c>
      <c r="FL21" s="21">
        <v>7.6339199999999998</v>
      </c>
      <c r="FM21" s="21">
        <v>7.6339199999999998</v>
      </c>
      <c r="FN21" s="21">
        <v>7.6339199999999998</v>
      </c>
      <c r="FO21" s="21">
        <v>7.6339199999999998</v>
      </c>
      <c r="FP21" s="21">
        <v>7.6339199999999998</v>
      </c>
      <c r="FQ21" s="21">
        <v>7.6339199999999998</v>
      </c>
      <c r="FR21" s="21">
        <v>7.6339199999999998</v>
      </c>
      <c r="FS21" s="21">
        <v>7.6339199999999998</v>
      </c>
      <c r="FT21" s="21">
        <v>7.6339199999999998</v>
      </c>
      <c r="FU21" s="21">
        <v>7.6339199999999998</v>
      </c>
      <c r="FV21" s="21">
        <v>7.6339199999999998</v>
      </c>
      <c r="FW21" s="21">
        <v>7.6339199999999998</v>
      </c>
      <c r="FX21" s="21">
        <v>7.6339199999999998</v>
      </c>
      <c r="FY21" s="21">
        <v>7.6339199999999998</v>
      </c>
      <c r="FZ21" s="21">
        <v>7.6339199999999998</v>
      </c>
      <c r="GA21" s="21">
        <v>7.6339199999999998</v>
      </c>
      <c r="GB21" s="21">
        <v>7.6339199999999998</v>
      </c>
      <c r="GC21" s="21">
        <v>7.6339199999999998</v>
      </c>
      <c r="GD21" s="21">
        <v>7.6339199999999998</v>
      </c>
      <c r="GE21" s="21">
        <v>7.6339199999999998</v>
      </c>
      <c r="GF21" s="21">
        <v>7.6339199999999998</v>
      </c>
      <c r="GG21" s="21">
        <v>7.6339199999999998</v>
      </c>
      <c r="GH21" s="21">
        <v>7.6339199999999998</v>
      </c>
      <c r="GI21" s="21">
        <v>7.6339199999999998</v>
      </c>
      <c r="GJ21" s="21">
        <v>7.6339199999999998</v>
      </c>
      <c r="GK21" s="21">
        <v>7.6339199999999998</v>
      </c>
      <c r="GL21" s="21">
        <v>7.6339199999999998</v>
      </c>
      <c r="GM21" s="21">
        <v>7.6339199999999998</v>
      </c>
      <c r="GN21" s="21">
        <v>7.6339199999999998</v>
      </c>
      <c r="GO21" s="21">
        <v>7.6339199999999998</v>
      </c>
      <c r="GP21" s="21">
        <v>7.6339199999999998</v>
      </c>
      <c r="GQ21" s="21">
        <v>7.6339199999999998</v>
      </c>
      <c r="GR21" s="21">
        <v>7.6339199999999998</v>
      </c>
      <c r="GS21" s="21">
        <v>7.6339199999999998</v>
      </c>
      <c r="GT21" s="21">
        <v>7.6339199999999998</v>
      </c>
      <c r="GU21" s="21">
        <v>7.6339199999999998</v>
      </c>
      <c r="GV21" s="21">
        <v>7.6339199999999998</v>
      </c>
      <c r="GW21" s="21">
        <v>7.6339199999999998</v>
      </c>
      <c r="GX21" s="21">
        <v>7.6339199999999998</v>
      </c>
      <c r="GY21" s="21">
        <v>7.6339199999999998</v>
      </c>
      <c r="GZ21" s="21">
        <v>7.6339199999999998</v>
      </c>
      <c r="HA21" s="21">
        <v>7.6339199999999998</v>
      </c>
      <c r="HB21" s="21">
        <v>7.6339199999999998</v>
      </c>
      <c r="HC21" s="21">
        <v>7.6339199999999998</v>
      </c>
      <c r="HD21" s="21">
        <v>7.6339199999999998</v>
      </c>
      <c r="HE21" s="21">
        <v>7.6339199999999998</v>
      </c>
      <c r="HF21" s="21">
        <v>7.6339199999999998</v>
      </c>
      <c r="HG21" s="21">
        <v>7.6339199999999998</v>
      </c>
      <c r="HH21" s="21">
        <v>7.6339199999999998</v>
      </c>
      <c r="HI21" s="21">
        <v>7.6339199999999998</v>
      </c>
      <c r="HJ21" s="21">
        <v>7.6339199999999998</v>
      </c>
      <c r="HK21" s="21">
        <v>7.6339199999999998</v>
      </c>
      <c r="HL21" s="21">
        <v>7.6339199999999998</v>
      </c>
      <c r="HM21" s="21">
        <v>7.6339199999999998</v>
      </c>
      <c r="HN21" s="21">
        <v>7.6339199999999998</v>
      </c>
      <c r="HO21" s="21">
        <v>7.6339199999999998</v>
      </c>
      <c r="HP21" s="21">
        <v>7.6339199999999998</v>
      </c>
      <c r="HQ21" s="21">
        <v>7.6339199999999998</v>
      </c>
      <c r="HR21" s="21">
        <v>7.6339199999999998</v>
      </c>
      <c r="HS21" s="21">
        <v>7.6339199999999998</v>
      </c>
      <c r="HT21" s="21">
        <v>7.6339199999999998</v>
      </c>
      <c r="HU21" s="21">
        <v>7.6339199999999998</v>
      </c>
      <c r="HV21" s="21">
        <v>7.6339199999999998</v>
      </c>
      <c r="HW21" s="21">
        <v>7.6339199999999998</v>
      </c>
      <c r="HX21" s="21">
        <v>7.6339199999999998</v>
      </c>
      <c r="HY21" s="21">
        <v>7.6339199999999998</v>
      </c>
      <c r="HZ21" s="21">
        <v>7.6339199999999998</v>
      </c>
      <c r="IA21" s="21">
        <v>7.6339199999999998</v>
      </c>
      <c r="IB21" s="21">
        <v>7.6339199999999998</v>
      </c>
      <c r="IC21" s="21">
        <v>7.6339199999999998</v>
      </c>
      <c r="ID21" s="21">
        <v>7.6339199999999998</v>
      </c>
      <c r="IE21" s="21">
        <v>7.6339199999999998</v>
      </c>
      <c r="IF21" s="21">
        <v>7.6339199999999998</v>
      </c>
      <c r="IG21" s="21">
        <v>7.6339199999999998</v>
      </c>
      <c r="IH21" s="21">
        <v>7.6339199999999998</v>
      </c>
      <c r="II21" s="21">
        <v>7.6339199999999998</v>
      </c>
      <c r="IJ21" s="21">
        <v>7.6339199999999998</v>
      </c>
      <c r="IK21" s="21">
        <v>7.6339199999999998</v>
      </c>
      <c r="IL21" s="21">
        <v>7.6339199999999998</v>
      </c>
      <c r="IM21" s="21">
        <v>7.6339199999999998</v>
      </c>
      <c r="IN21" s="21">
        <v>7.6339199999999998</v>
      </c>
      <c r="IO21" s="21">
        <v>7.6339199999999998</v>
      </c>
      <c r="IP21" s="21">
        <v>7.6339199999999998</v>
      </c>
      <c r="IQ21" s="21">
        <v>7.6339199999999998</v>
      </c>
      <c r="IR21" s="21">
        <v>7.6339199999999998</v>
      </c>
      <c r="IS21" s="21">
        <v>7.6339199999999998</v>
      </c>
      <c r="IT21" s="21">
        <v>7.6339199999999998</v>
      </c>
      <c r="IU21" s="21">
        <v>7.6339199999999998</v>
      </c>
      <c r="IV21" s="21">
        <v>7.6339199999999998</v>
      </c>
      <c r="IW21" s="21">
        <v>7.6339199999999998</v>
      </c>
      <c r="IX21" s="21">
        <v>7.6339199999999998</v>
      </c>
      <c r="IY21" s="21">
        <v>7.6339199999999998</v>
      </c>
      <c r="IZ21" s="21">
        <v>7.6339199999999998</v>
      </c>
      <c r="JA21" s="21">
        <v>7.6339199999999998</v>
      </c>
      <c r="JB21" s="21">
        <v>7.6339199999999998</v>
      </c>
      <c r="JC21" s="21">
        <v>7.6339199999999998</v>
      </c>
      <c r="JD21" s="21">
        <v>7.6339199999999998</v>
      </c>
      <c r="JE21" s="21">
        <v>7.6339199999999998</v>
      </c>
      <c r="JF21" s="21">
        <v>7.6339199999999998</v>
      </c>
      <c r="JG21" s="21">
        <v>7.6339199999999998</v>
      </c>
      <c r="JH21" s="21">
        <v>7.6339199999999998</v>
      </c>
      <c r="JI21" s="21">
        <v>7.6339199999999998</v>
      </c>
      <c r="JJ21" s="21">
        <v>7.6339199999999998</v>
      </c>
      <c r="JK21" s="21">
        <v>7.6339199999999998</v>
      </c>
      <c r="JL21" s="21">
        <v>7.6339199999999998</v>
      </c>
      <c r="JM21" s="21">
        <v>7.6339199999999998</v>
      </c>
      <c r="JN21" s="21">
        <v>7.6339199999999998</v>
      </c>
      <c r="JO21" s="21">
        <v>7.6339199999999998</v>
      </c>
      <c r="JP21" s="21">
        <v>7.6339199999999998</v>
      </c>
      <c r="JQ21" s="21">
        <v>7.6339199999999998</v>
      </c>
      <c r="JR21" s="21">
        <v>7.6339199999999998</v>
      </c>
      <c r="JS21" s="21">
        <v>7.6339199999999998</v>
      </c>
      <c r="JT21" s="21">
        <v>7.6339199999999998</v>
      </c>
      <c r="JU21" s="21">
        <v>7.7913600000000001</v>
      </c>
      <c r="JV21" s="21">
        <v>0</v>
      </c>
      <c r="JW21" s="21">
        <v>0</v>
      </c>
      <c r="JX21" s="21">
        <v>0</v>
      </c>
      <c r="JY21" s="21">
        <v>0</v>
      </c>
      <c r="JZ21" s="21">
        <v>0</v>
      </c>
      <c r="KA21" s="21">
        <v>0</v>
      </c>
      <c r="KB21" s="21">
        <v>0</v>
      </c>
      <c r="KC21" s="21">
        <v>0</v>
      </c>
      <c r="KD21" s="21">
        <v>0</v>
      </c>
      <c r="KE21" s="21">
        <v>0</v>
      </c>
      <c r="KF21" s="21">
        <v>0</v>
      </c>
      <c r="KG21" s="21">
        <v>0</v>
      </c>
      <c r="KH21" s="21">
        <v>0</v>
      </c>
      <c r="KI21" s="21">
        <v>0</v>
      </c>
      <c r="KJ21" s="21">
        <v>0</v>
      </c>
      <c r="KK21" s="21">
        <v>0</v>
      </c>
      <c r="KL21" s="21">
        <v>0</v>
      </c>
      <c r="KM21" s="21">
        <v>0</v>
      </c>
      <c r="KN21" s="21">
        <v>0</v>
      </c>
      <c r="KO21" s="21">
        <v>0</v>
      </c>
      <c r="KP21" s="21">
        <v>0</v>
      </c>
      <c r="KQ21" s="21">
        <v>0</v>
      </c>
      <c r="KR21" s="21">
        <v>0</v>
      </c>
      <c r="KS21" s="21">
        <v>0</v>
      </c>
      <c r="KT21" s="21">
        <v>0</v>
      </c>
      <c r="KU21" s="21">
        <v>0</v>
      </c>
      <c r="KV21" s="21">
        <v>0</v>
      </c>
      <c r="KW21" s="21">
        <v>0</v>
      </c>
      <c r="KX21" s="21">
        <v>0</v>
      </c>
      <c r="KY21" s="21">
        <v>0</v>
      </c>
      <c r="KZ21" s="21">
        <v>0</v>
      </c>
      <c r="LA21" s="21">
        <v>0</v>
      </c>
      <c r="LB21" s="21">
        <v>0</v>
      </c>
      <c r="LC21" s="21">
        <v>0</v>
      </c>
      <c r="LD21" s="21">
        <v>0</v>
      </c>
      <c r="LE21" s="21">
        <v>0</v>
      </c>
      <c r="LF21" s="21">
        <v>0</v>
      </c>
      <c r="LG21" s="21">
        <v>0</v>
      </c>
      <c r="LH21" s="21">
        <v>0</v>
      </c>
      <c r="LI21" s="21">
        <v>0</v>
      </c>
      <c r="LJ21" s="21">
        <v>0</v>
      </c>
      <c r="LK21" s="21">
        <v>0</v>
      </c>
      <c r="LL21" s="21">
        <v>0</v>
      </c>
      <c r="LM21" s="21">
        <v>0</v>
      </c>
      <c r="LN21" s="21">
        <v>0</v>
      </c>
      <c r="LO21" s="21">
        <v>0</v>
      </c>
      <c r="LP21" s="21">
        <v>0</v>
      </c>
      <c r="LQ21" s="21">
        <v>0</v>
      </c>
      <c r="LR21" s="21">
        <v>0</v>
      </c>
      <c r="LS21" s="21">
        <v>0</v>
      </c>
      <c r="LT21" s="21">
        <v>0</v>
      </c>
      <c r="LU21" s="21">
        <v>0</v>
      </c>
      <c r="LV21" s="21">
        <v>0</v>
      </c>
      <c r="LW21" s="21">
        <v>0</v>
      </c>
      <c r="LX21" s="21">
        <v>0</v>
      </c>
      <c r="LY21" s="21">
        <v>0</v>
      </c>
      <c r="LZ21" s="21">
        <v>0</v>
      </c>
      <c r="MA21" s="21">
        <v>0</v>
      </c>
      <c r="MB21" s="21">
        <v>0</v>
      </c>
      <c r="MC21" s="21">
        <v>0</v>
      </c>
      <c r="MD21" s="21">
        <v>0</v>
      </c>
      <c r="ME21" s="21">
        <v>0</v>
      </c>
      <c r="MF21" s="21">
        <v>0</v>
      </c>
      <c r="MG21" s="21">
        <v>0</v>
      </c>
      <c r="MH21" s="21">
        <v>0</v>
      </c>
      <c r="MI21" s="21">
        <v>0</v>
      </c>
      <c r="MJ21" s="21">
        <v>0</v>
      </c>
      <c r="MK21" s="21">
        <v>0</v>
      </c>
      <c r="ML21" s="21">
        <v>0</v>
      </c>
      <c r="MM21" s="21">
        <v>0</v>
      </c>
      <c r="MN21" s="21">
        <v>0</v>
      </c>
      <c r="MO21" s="21">
        <v>0</v>
      </c>
      <c r="MP21" s="21">
        <v>0</v>
      </c>
      <c r="MQ21" s="21">
        <v>0</v>
      </c>
      <c r="MR21" s="21">
        <v>0</v>
      </c>
      <c r="MS21" s="21">
        <v>0</v>
      </c>
      <c r="MT21" s="21">
        <v>0</v>
      </c>
      <c r="MU21" s="21">
        <v>0</v>
      </c>
      <c r="MV21" s="21">
        <v>0</v>
      </c>
      <c r="MW21" s="21">
        <v>0</v>
      </c>
      <c r="MX21" s="21">
        <v>0</v>
      </c>
      <c r="MY21" s="21">
        <v>0</v>
      </c>
      <c r="MZ21" s="21">
        <v>0</v>
      </c>
    </row>
    <row r="22" spans="1:364" x14ac:dyDescent="0.25">
      <c r="A22" s="7">
        <f>+'Valo FX'!A23</f>
        <v>20</v>
      </c>
      <c r="B22" s="16" t="str">
        <f>+Base!B20</f>
        <v>202402140070A033</v>
      </c>
      <c r="C22" s="75">
        <v>6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11.94904</v>
      </c>
      <c r="L22" s="21">
        <v>11.94904</v>
      </c>
      <c r="M22" s="21">
        <v>11.94904</v>
      </c>
      <c r="N22" s="21">
        <v>11.94904</v>
      </c>
      <c r="O22" s="21">
        <v>11.94904</v>
      </c>
      <c r="P22" s="21">
        <v>11.94904</v>
      </c>
      <c r="Q22" s="21">
        <v>11.94904</v>
      </c>
      <c r="R22" s="21">
        <v>11.94904</v>
      </c>
      <c r="S22" s="21">
        <v>11.94904</v>
      </c>
      <c r="T22" s="21">
        <v>11.94904</v>
      </c>
      <c r="U22" s="21">
        <v>11.94904</v>
      </c>
      <c r="V22" s="21">
        <v>11.94904</v>
      </c>
      <c r="W22" s="21">
        <v>11.94904</v>
      </c>
      <c r="X22" s="21">
        <v>11.94904</v>
      </c>
      <c r="Y22" s="21">
        <v>11.94904</v>
      </c>
      <c r="Z22" s="21">
        <v>11.94904</v>
      </c>
      <c r="AA22" s="21">
        <v>11.94904</v>
      </c>
      <c r="AB22" s="21">
        <v>11.94904</v>
      </c>
      <c r="AC22" s="21">
        <v>11.94904</v>
      </c>
      <c r="AD22" s="21">
        <v>11.94904</v>
      </c>
      <c r="AE22" s="21">
        <v>11.94904</v>
      </c>
      <c r="AF22" s="21">
        <v>11.94904</v>
      </c>
      <c r="AG22" s="21">
        <v>11.94904</v>
      </c>
      <c r="AH22" s="21">
        <v>11.94904</v>
      </c>
      <c r="AI22" s="21">
        <v>11.94904</v>
      </c>
      <c r="AJ22" s="21">
        <v>11.94904</v>
      </c>
      <c r="AK22" s="21">
        <v>11.94904</v>
      </c>
      <c r="AL22" s="21">
        <v>11.94904</v>
      </c>
      <c r="AM22" s="21">
        <v>11.94904</v>
      </c>
      <c r="AN22" s="21">
        <v>11.94904</v>
      </c>
      <c r="AO22" s="21">
        <v>11.94904</v>
      </c>
      <c r="AP22" s="21">
        <v>11.94904</v>
      </c>
      <c r="AQ22" s="21">
        <v>11.94904</v>
      </c>
      <c r="AR22" s="21">
        <v>11.94904</v>
      </c>
      <c r="AS22" s="21">
        <v>11.94904</v>
      </c>
      <c r="AT22" s="21">
        <v>11.94904</v>
      </c>
      <c r="AU22" s="21">
        <v>11.94904</v>
      </c>
      <c r="AV22" s="21">
        <v>11.94904</v>
      </c>
      <c r="AW22" s="21">
        <v>11.94904</v>
      </c>
      <c r="AX22" s="21">
        <v>11.94904</v>
      </c>
      <c r="AY22" s="21">
        <v>11.94904</v>
      </c>
      <c r="AZ22" s="21">
        <v>11.94904</v>
      </c>
      <c r="BA22" s="21">
        <v>11.94904</v>
      </c>
      <c r="BB22" s="21">
        <v>11.94904</v>
      </c>
      <c r="BC22" s="21">
        <v>11.94904</v>
      </c>
      <c r="BD22" s="21">
        <v>11.94904</v>
      </c>
      <c r="BE22" s="21">
        <v>11.94904</v>
      </c>
      <c r="BF22" s="21">
        <v>11.94904</v>
      </c>
      <c r="BG22" s="21">
        <v>11.94904</v>
      </c>
      <c r="BH22" s="21">
        <v>11.94904</v>
      </c>
      <c r="BI22" s="21">
        <v>11.94904</v>
      </c>
      <c r="BJ22" s="21">
        <v>11.94904</v>
      </c>
      <c r="BK22" s="21">
        <v>11.94904</v>
      </c>
      <c r="BL22" s="21">
        <v>11.94904</v>
      </c>
      <c r="BM22" s="21">
        <v>11.94904</v>
      </c>
      <c r="BN22" s="21">
        <v>11.94904</v>
      </c>
      <c r="BO22" s="21">
        <v>11.94904</v>
      </c>
      <c r="BP22" s="21">
        <v>11.94904</v>
      </c>
      <c r="BQ22" s="21">
        <v>11.94904</v>
      </c>
      <c r="BR22" s="21">
        <v>11.94904</v>
      </c>
      <c r="BS22" s="21">
        <v>11.94904</v>
      </c>
      <c r="BT22" s="21">
        <v>11.94904</v>
      </c>
      <c r="BU22" s="21">
        <v>11.94904</v>
      </c>
      <c r="BV22" s="21">
        <v>11.94904</v>
      </c>
      <c r="BW22" s="21">
        <v>11.94904</v>
      </c>
      <c r="BX22" s="21">
        <v>11.94904</v>
      </c>
      <c r="BY22" s="21">
        <v>11.94904</v>
      </c>
      <c r="BZ22" s="21">
        <v>11.94904</v>
      </c>
      <c r="CA22" s="21">
        <v>11.94904</v>
      </c>
      <c r="CB22" s="21">
        <v>11.94904</v>
      </c>
      <c r="CC22" s="21">
        <v>11.94904</v>
      </c>
      <c r="CD22" s="21">
        <v>11.94904</v>
      </c>
      <c r="CE22" s="21">
        <v>11.94904</v>
      </c>
      <c r="CF22" s="21">
        <v>11.94904</v>
      </c>
      <c r="CG22" s="21">
        <v>11.94904</v>
      </c>
      <c r="CH22" s="21">
        <v>11.94904</v>
      </c>
      <c r="CI22" s="21">
        <v>11.94904</v>
      </c>
      <c r="CJ22" s="21">
        <v>11.94904</v>
      </c>
      <c r="CK22" s="21">
        <v>11.94904</v>
      </c>
      <c r="CL22" s="21">
        <v>11.94904</v>
      </c>
      <c r="CM22" s="21">
        <v>11.94904</v>
      </c>
      <c r="CN22" s="21">
        <v>11.94904</v>
      </c>
      <c r="CO22" s="21">
        <v>11.94904</v>
      </c>
      <c r="CP22" s="21">
        <v>11.94904</v>
      </c>
      <c r="CQ22" s="21">
        <v>11.94904</v>
      </c>
      <c r="CR22" s="21">
        <v>11.94904</v>
      </c>
      <c r="CS22" s="21">
        <v>11.94904</v>
      </c>
      <c r="CT22" s="21">
        <v>11.94904</v>
      </c>
      <c r="CU22" s="21">
        <v>11.94904</v>
      </c>
      <c r="CV22" s="21">
        <v>11.94904</v>
      </c>
      <c r="CW22" s="21">
        <v>11.94904</v>
      </c>
      <c r="CX22" s="21">
        <v>11.94904</v>
      </c>
      <c r="CY22" s="21">
        <v>11.94904</v>
      </c>
      <c r="CZ22" s="21">
        <v>11.94904</v>
      </c>
      <c r="DA22" s="21">
        <v>11.94904</v>
      </c>
      <c r="DB22" s="21">
        <v>11.94904</v>
      </c>
      <c r="DC22" s="21">
        <v>11.94904</v>
      </c>
      <c r="DD22" s="21">
        <v>11.94904</v>
      </c>
      <c r="DE22" s="21">
        <v>11.94904</v>
      </c>
      <c r="DF22" s="21">
        <v>11.94904</v>
      </c>
      <c r="DG22" s="21">
        <v>11.94904</v>
      </c>
      <c r="DH22" s="21">
        <v>11.94904</v>
      </c>
      <c r="DI22" s="21">
        <v>11.94904</v>
      </c>
      <c r="DJ22" s="21">
        <v>11.94904</v>
      </c>
      <c r="DK22" s="21">
        <v>11.94904</v>
      </c>
      <c r="DL22" s="21">
        <v>11.94904</v>
      </c>
      <c r="DM22" s="21">
        <v>11.94904</v>
      </c>
      <c r="DN22" s="21">
        <v>11.94904</v>
      </c>
      <c r="DO22" s="21">
        <v>11.94904</v>
      </c>
      <c r="DP22" s="21">
        <v>11.94904</v>
      </c>
      <c r="DQ22" s="21">
        <v>11.94904</v>
      </c>
      <c r="DR22" s="21">
        <v>11.94904</v>
      </c>
      <c r="DS22" s="21">
        <v>11.94904</v>
      </c>
      <c r="DT22" s="21">
        <v>11.94904</v>
      </c>
      <c r="DU22" s="21">
        <v>11.94904</v>
      </c>
      <c r="DV22" s="21">
        <v>11.94904</v>
      </c>
      <c r="DW22" s="21">
        <v>11.94904</v>
      </c>
      <c r="DX22" s="21">
        <v>11.94904</v>
      </c>
      <c r="DY22" s="21">
        <v>11.94904</v>
      </c>
      <c r="DZ22" s="21">
        <v>11.94904</v>
      </c>
      <c r="EA22" s="21">
        <v>11.94904</v>
      </c>
      <c r="EB22" s="21">
        <v>11.94904</v>
      </c>
      <c r="EC22" s="21">
        <v>11.94904</v>
      </c>
      <c r="ED22" s="21">
        <v>11.94904</v>
      </c>
      <c r="EE22" s="21">
        <v>11.94904</v>
      </c>
      <c r="EF22" s="21">
        <v>11.94904</v>
      </c>
      <c r="EG22" s="21">
        <v>11.94904</v>
      </c>
      <c r="EH22" s="21">
        <v>11.94904</v>
      </c>
      <c r="EI22" s="21">
        <v>11.94904</v>
      </c>
      <c r="EJ22" s="21">
        <v>11.94904</v>
      </c>
      <c r="EK22" s="21">
        <v>11.94904</v>
      </c>
      <c r="EL22" s="21">
        <v>11.94904</v>
      </c>
      <c r="EM22" s="21">
        <v>11.94904</v>
      </c>
      <c r="EN22" s="21">
        <v>11.94904</v>
      </c>
      <c r="EO22" s="21">
        <v>11.94904</v>
      </c>
      <c r="EP22" s="21">
        <v>11.94904</v>
      </c>
      <c r="EQ22" s="21">
        <v>11.94904</v>
      </c>
      <c r="ER22" s="21">
        <v>11.94904</v>
      </c>
      <c r="ES22" s="21">
        <v>11.94904</v>
      </c>
      <c r="ET22" s="21">
        <v>11.94904</v>
      </c>
      <c r="EU22" s="21">
        <v>11.94904</v>
      </c>
      <c r="EV22" s="21">
        <v>11.94904</v>
      </c>
      <c r="EW22" s="21">
        <v>11.94904</v>
      </c>
      <c r="EX22" s="21">
        <v>11.94904</v>
      </c>
      <c r="EY22" s="21">
        <v>11.94904</v>
      </c>
      <c r="EZ22" s="21">
        <v>11.94904</v>
      </c>
      <c r="FA22" s="21">
        <v>11.94904</v>
      </c>
      <c r="FB22" s="21">
        <v>11.94904</v>
      </c>
      <c r="FC22" s="21">
        <v>11.94904</v>
      </c>
      <c r="FD22" s="21">
        <v>11.94904</v>
      </c>
      <c r="FE22" s="21">
        <v>11.94904</v>
      </c>
      <c r="FF22" s="21">
        <v>11.94904</v>
      </c>
      <c r="FG22" s="21">
        <v>11.94904</v>
      </c>
      <c r="FH22" s="21">
        <v>11.94904</v>
      </c>
      <c r="FI22" s="21">
        <v>11.94904</v>
      </c>
      <c r="FJ22" s="21">
        <v>11.94904</v>
      </c>
      <c r="FK22" s="21">
        <v>11.94904</v>
      </c>
      <c r="FL22" s="21">
        <v>11.94904</v>
      </c>
      <c r="FM22" s="21">
        <v>11.94904</v>
      </c>
      <c r="FN22" s="21">
        <v>11.94904</v>
      </c>
      <c r="FO22" s="21">
        <v>11.94904</v>
      </c>
      <c r="FP22" s="21">
        <v>11.94904</v>
      </c>
      <c r="FQ22" s="21">
        <v>11.94904</v>
      </c>
      <c r="FR22" s="21">
        <v>11.94904</v>
      </c>
      <c r="FS22" s="21">
        <v>11.94904</v>
      </c>
      <c r="FT22" s="21">
        <v>11.94904</v>
      </c>
      <c r="FU22" s="21">
        <v>11.94904</v>
      </c>
      <c r="FV22" s="21">
        <v>11.94904</v>
      </c>
      <c r="FW22" s="21">
        <v>11.94904</v>
      </c>
      <c r="FX22" s="21">
        <v>11.94904</v>
      </c>
      <c r="FY22" s="21">
        <v>11.94904</v>
      </c>
      <c r="FZ22" s="21">
        <v>11.94904</v>
      </c>
      <c r="GA22" s="21">
        <v>11.94904</v>
      </c>
      <c r="GB22" s="21">
        <v>11.94904</v>
      </c>
      <c r="GC22" s="21">
        <v>11.94904</v>
      </c>
      <c r="GD22" s="21">
        <v>11.94904</v>
      </c>
      <c r="GE22" s="21">
        <v>11.94904</v>
      </c>
      <c r="GF22" s="21">
        <v>11.94904</v>
      </c>
      <c r="GG22" s="21">
        <v>11.94904</v>
      </c>
      <c r="GH22" s="21">
        <v>11.94904</v>
      </c>
      <c r="GI22" s="21">
        <v>11.94904</v>
      </c>
      <c r="GJ22" s="21">
        <v>11.94904</v>
      </c>
      <c r="GK22" s="21">
        <v>11.94904</v>
      </c>
      <c r="GL22" s="21">
        <v>11.94904</v>
      </c>
      <c r="GM22" s="21">
        <v>11.94904</v>
      </c>
      <c r="GN22" s="21">
        <v>11.94904</v>
      </c>
      <c r="GO22" s="21">
        <v>11.94904</v>
      </c>
      <c r="GP22" s="21">
        <v>11.94904</v>
      </c>
      <c r="GQ22" s="21">
        <v>11.94904</v>
      </c>
      <c r="GR22" s="21">
        <v>11.94904</v>
      </c>
      <c r="GS22" s="21">
        <v>11.94904</v>
      </c>
      <c r="GT22" s="21">
        <v>11.94904</v>
      </c>
      <c r="GU22" s="21">
        <v>11.94904</v>
      </c>
      <c r="GV22" s="21">
        <v>11.94904</v>
      </c>
      <c r="GW22" s="21">
        <v>11.94904</v>
      </c>
      <c r="GX22" s="21">
        <v>11.94904</v>
      </c>
      <c r="GY22" s="21">
        <v>11.94904</v>
      </c>
      <c r="GZ22" s="21">
        <v>11.94904</v>
      </c>
      <c r="HA22" s="21">
        <v>11.94904</v>
      </c>
      <c r="HB22" s="21">
        <v>11.94904</v>
      </c>
      <c r="HC22" s="21">
        <v>11.94904</v>
      </c>
      <c r="HD22" s="21">
        <v>11.94904</v>
      </c>
      <c r="HE22" s="21">
        <v>11.94904</v>
      </c>
      <c r="HF22" s="21">
        <v>11.94904</v>
      </c>
      <c r="HG22" s="21">
        <v>11.94904</v>
      </c>
      <c r="HH22" s="21">
        <v>11.94904</v>
      </c>
      <c r="HI22" s="21">
        <v>11.94904</v>
      </c>
      <c r="HJ22" s="21">
        <v>11.94904</v>
      </c>
      <c r="HK22" s="21">
        <v>11.94904</v>
      </c>
      <c r="HL22" s="21">
        <v>11.94904</v>
      </c>
      <c r="HM22" s="21">
        <v>11.94904</v>
      </c>
      <c r="HN22" s="21">
        <v>11.94904</v>
      </c>
      <c r="HO22" s="21">
        <v>11.94904</v>
      </c>
      <c r="HP22" s="21">
        <v>11.94904</v>
      </c>
      <c r="HQ22" s="21">
        <v>11.94904</v>
      </c>
      <c r="HR22" s="21">
        <v>11.94904</v>
      </c>
      <c r="HS22" s="21">
        <v>11.94904</v>
      </c>
      <c r="HT22" s="21">
        <v>11.94904</v>
      </c>
      <c r="HU22" s="21">
        <v>11.94904</v>
      </c>
      <c r="HV22" s="21">
        <v>11.94904</v>
      </c>
      <c r="HW22" s="21">
        <v>11.94904</v>
      </c>
      <c r="HX22" s="21">
        <v>11.94904</v>
      </c>
      <c r="HY22" s="21">
        <v>11.94904</v>
      </c>
      <c r="HZ22" s="21">
        <v>11.94904</v>
      </c>
      <c r="IA22" s="21">
        <v>11.94904</v>
      </c>
      <c r="IB22" s="21">
        <v>11.94904</v>
      </c>
      <c r="IC22" s="21">
        <v>11.94904</v>
      </c>
      <c r="ID22" s="21">
        <v>11.94904</v>
      </c>
      <c r="IE22" s="21">
        <v>11.94904</v>
      </c>
      <c r="IF22" s="21">
        <v>11.94904</v>
      </c>
      <c r="IG22" s="21">
        <v>11.94904</v>
      </c>
      <c r="IH22" s="21">
        <v>11.94904</v>
      </c>
      <c r="II22" s="21">
        <v>11.94904</v>
      </c>
      <c r="IJ22" s="21">
        <v>11.94904</v>
      </c>
      <c r="IK22" s="21">
        <v>11.94904</v>
      </c>
      <c r="IL22" s="21">
        <v>11.94904</v>
      </c>
      <c r="IM22" s="21">
        <v>11.94904</v>
      </c>
      <c r="IN22" s="21">
        <v>11.94904</v>
      </c>
      <c r="IO22" s="21">
        <v>11.94904</v>
      </c>
      <c r="IP22" s="21">
        <v>11.94904</v>
      </c>
      <c r="IQ22" s="21">
        <v>11.94904</v>
      </c>
      <c r="IR22" s="21">
        <v>11.94904</v>
      </c>
      <c r="IS22" s="21">
        <v>11.94904</v>
      </c>
      <c r="IT22" s="21">
        <v>11.94904</v>
      </c>
      <c r="IU22" s="21">
        <v>11.94904</v>
      </c>
      <c r="IV22" s="21">
        <v>11.94904</v>
      </c>
      <c r="IW22" s="21">
        <v>11.94904</v>
      </c>
      <c r="IX22" s="21">
        <v>11.94904</v>
      </c>
      <c r="IY22" s="21">
        <v>11.94904</v>
      </c>
      <c r="IZ22" s="21">
        <v>11.94904</v>
      </c>
      <c r="JA22" s="21">
        <v>11.94904</v>
      </c>
      <c r="JB22" s="21">
        <v>11.94904</v>
      </c>
      <c r="JC22" s="21">
        <v>11.94904</v>
      </c>
      <c r="JD22" s="21">
        <v>11.94904</v>
      </c>
      <c r="JE22" s="21">
        <v>11.94904</v>
      </c>
      <c r="JF22" s="21">
        <v>11.94904</v>
      </c>
      <c r="JG22" s="21">
        <v>11.94904</v>
      </c>
      <c r="JH22" s="21">
        <v>11.94904</v>
      </c>
      <c r="JI22" s="21">
        <v>11.94904</v>
      </c>
      <c r="JJ22" s="21">
        <v>11.94904</v>
      </c>
      <c r="JK22" s="21">
        <v>11.94904</v>
      </c>
      <c r="JL22" s="21">
        <v>11.94904</v>
      </c>
      <c r="JM22" s="21">
        <v>11.94904</v>
      </c>
      <c r="JN22" s="21">
        <v>11.94904</v>
      </c>
      <c r="JO22" s="21">
        <v>11.94904</v>
      </c>
      <c r="JP22" s="21">
        <v>11.94904</v>
      </c>
      <c r="JQ22" s="21">
        <v>11.94904</v>
      </c>
      <c r="JR22" s="21">
        <v>11.94904</v>
      </c>
      <c r="JS22" s="21">
        <v>11.94904</v>
      </c>
      <c r="JT22" s="21">
        <v>11.94904</v>
      </c>
      <c r="JU22" s="21">
        <v>11.94904</v>
      </c>
      <c r="JV22" s="21">
        <v>11.94904</v>
      </c>
      <c r="JW22" s="21">
        <v>11.94904</v>
      </c>
      <c r="JX22" s="21">
        <v>11.94904</v>
      </c>
      <c r="JY22" s="21">
        <v>11.94904</v>
      </c>
      <c r="JZ22" s="21">
        <v>11.94904</v>
      </c>
      <c r="KA22" s="21">
        <v>11.94904</v>
      </c>
      <c r="KB22" s="21">
        <v>11.94904</v>
      </c>
      <c r="KC22" s="21">
        <v>11.94904</v>
      </c>
      <c r="KD22" s="21">
        <v>11.94904</v>
      </c>
      <c r="KE22" s="21">
        <v>11.94904</v>
      </c>
      <c r="KF22" s="21">
        <v>11.94904</v>
      </c>
      <c r="KG22" s="21">
        <v>11.94904</v>
      </c>
      <c r="KH22" s="21">
        <v>11.94904</v>
      </c>
      <c r="KI22" s="21">
        <v>11.94904</v>
      </c>
      <c r="KJ22" s="21">
        <v>11.94904</v>
      </c>
      <c r="KK22" s="21">
        <v>11.94904</v>
      </c>
      <c r="KL22" s="21">
        <v>11.94904</v>
      </c>
      <c r="KM22" s="21">
        <v>11.94904</v>
      </c>
      <c r="KN22" s="21">
        <v>11.94904</v>
      </c>
      <c r="KO22" s="21">
        <v>11.94904</v>
      </c>
      <c r="KP22" s="21">
        <v>11.94904</v>
      </c>
      <c r="KQ22" s="21">
        <v>11.94904</v>
      </c>
      <c r="KR22" s="21">
        <v>11.94904</v>
      </c>
      <c r="KS22" s="21">
        <v>11.94904</v>
      </c>
      <c r="KT22" s="21">
        <v>11.94904</v>
      </c>
      <c r="KU22" s="21">
        <v>11.94904</v>
      </c>
      <c r="KV22" s="21">
        <v>11.94904</v>
      </c>
      <c r="KW22" s="21">
        <v>11.94904</v>
      </c>
      <c r="KX22" s="21">
        <v>11.94904</v>
      </c>
      <c r="KY22" s="21">
        <v>11.94904</v>
      </c>
      <c r="KZ22" s="21">
        <v>11.94904</v>
      </c>
      <c r="LA22" s="21">
        <v>11.94904</v>
      </c>
      <c r="LB22" s="21">
        <v>11.94904</v>
      </c>
      <c r="LC22" s="21">
        <v>11.94904</v>
      </c>
      <c r="LD22" s="21">
        <v>11.94904</v>
      </c>
      <c r="LE22" s="21">
        <v>11.94904</v>
      </c>
      <c r="LF22" s="21">
        <v>11.94904</v>
      </c>
      <c r="LG22" s="21">
        <v>11.94904</v>
      </c>
      <c r="LH22" s="21">
        <v>11.94904</v>
      </c>
      <c r="LI22" s="21">
        <v>11.94904</v>
      </c>
      <c r="LJ22" s="21">
        <v>11.94904</v>
      </c>
      <c r="LK22" s="21">
        <v>11.94904</v>
      </c>
      <c r="LL22" s="21">
        <v>11.94904</v>
      </c>
      <c r="LM22" s="21">
        <v>11.94904</v>
      </c>
      <c r="LN22" s="21">
        <v>11.94904</v>
      </c>
      <c r="LO22" s="21">
        <v>11.94904</v>
      </c>
      <c r="LP22" s="21">
        <v>11.94904</v>
      </c>
      <c r="LQ22" s="21">
        <v>11.94904</v>
      </c>
      <c r="LR22" s="21">
        <v>11.94904</v>
      </c>
      <c r="LS22" s="21">
        <v>11.94904</v>
      </c>
      <c r="LT22" s="21">
        <v>11.94904</v>
      </c>
      <c r="LU22" s="21">
        <v>11.94904</v>
      </c>
      <c r="LV22" s="21">
        <v>11.94904</v>
      </c>
      <c r="LW22" s="21">
        <v>11.94904</v>
      </c>
      <c r="LX22" s="21">
        <v>11.94904</v>
      </c>
      <c r="LY22" s="21">
        <v>11.94904</v>
      </c>
      <c r="LZ22" s="21">
        <v>11.94904</v>
      </c>
      <c r="MA22" s="21">
        <v>11.94904</v>
      </c>
      <c r="MB22" s="21">
        <v>11.94904</v>
      </c>
      <c r="MC22" s="21">
        <v>11.94904</v>
      </c>
      <c r="MD22" s="21">
        <v>11.94904</v>
      </c>
      <c r="ME22" s="21">
        <v>11.94904</v>
      </c>
      <c r="MF22" s="21">
        <v>11.94904</v>
      </c>
      <c r="MG22" s="21">
        <v>11.94904</v>
      </c>
      <c r="MH22" s="21">
        <v>11.94904</v>
      </c>
      <c r="MI22" s="21">
        <v>11.94904</v>
      </c>
      <c r="MJ22" s="21">
        <v>11.94904</v>
      </c>
      <c r="MK22" s="21">
        <v>11.94904</v>
      </c>
      <c r="ML22" s="21">
        <v>11.94904</v>
      </c>
      <c r="MM22" s="21">
        <v>11.94904</v>
      </c>
      <c r="MN22" s="21">
        <v>11.94904</v>
      </c>
      <c r="MO22" s="21">
        <v>11.94904</v>
      </c>
      <c r="MP22" s="21">
        <v>11.94904</v>
      </c>
      <c r="MQ22" s="21">
        <v>11.94904</v>
      </c>
      <c r="MR22" s="21">
        <v>11.94904</v>
      </c>
      <c r="MS22" s="21">
        <v>11.94904</v>
      </c>
      <c r="MT22" s="21">
        <v>11.94904</v>
      </c>
      <c r="MU22" s="21">
        <v>11.94904</v>
      </c>
      <c r="MV22" s="21">
        <v>11.94904</v>
      </c>
      <c r="MW22" s="21">
        <v>11.94904</v>
      </c>
      <c r="MX22" s="21">
        <v>11.94904</v>
      </c>
      <c r="MY22" s="21">
        <v>11.94904</v>
      </c>
      <c r="MZ22" s="21">
        <v>11.94904</v>
      </c>
    </row>
    <row r="23" spans="1:364" x14ac:dyDescent="0.25">
      <c r="A23" s="7">
        <f>+'Valo FX'!A24</f>
        <v>21</v>
      </c>
      <c r="B23" s="16" t="str">
        <f>+Base!B21</f>
        <v>202402140071A033</v>
      </c>
      <c r="C23" s="75">
        <v>6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12.012828000000001</v>
      </c>
      <c r="L23" s="21">
        <v>12.012828000000001</v>
      </c>
      <c r="M23" s="21">
        <v>12.012828000000001</v>
      </c>
      <c r="N23" s="21">
        <v>12.012828000000001</v>
      </c>
      <c r="O23" s="21">
        <v>12.012828000000001</v>
      </c>
      <c r="P23" s="21">
        <v>12.012828000000001</v>
      </c>
      <c r="Q23" s="21">
        <v>12.012828000000001</v>
      </c>
      <c r="R23" s="21">
        <v>12.012828000000001</v>
      </c>
      <c r="S23" s="21">
        <v>12.012828000000001</v>
      </c>
      <c r="T23" s="21">
        <v>12.012828000000001</v>
      </c>
      <c r="U23" s="21">
        <v>12.012828000000001</v>
      </c>
      <c r="V23" s="21">
        <v>12.012828000000001</v>
      </c>
      <c r="W23" s="21">
        <v>12.012828000000001</v>
      </c>
      <c r="X23" s="21">
        <v>12.012828000000001</v>
      </c>
      <c r="Y23" s="21">
        <v>12.012828000000001</v>
      </c>
      <c r="Z23" s="21">
        <v>12.012828000000001</v>
      </c>
      <c r="AA23" s="21">
        <v>12.012828000000001</v>
      </c>
      <c r="AB23" s="21">
        <v>12.012828000000001</v>
      </c>
      <c r="AC23" s="21">
        <v>12.012828000000001</v>
      </c>
      <c r="AD23" s="21">
        <v>12.012828000000001</v>
      </c>
      <c r="AE23" s="21">
        <v>12.012828000000001</v>
      </c>
      <c r="AF23" s="21">
        <v>12.012828000000001</v>
      </c>
      <c r="AG23" s="21">
        <v>12.012828000000001</v>
      </c>
      <c r="AH23" s="21">
        <v>12.012828000000001</v>
      </c>
      <c r="AI23" s="21">
        <v>12.012828000000001</v>
      </c>
      <c r="AJ23" s="21">
        <v>12.012828000000001</v>
      </c>
      <c r="AK23" s="21">
        <v>12.012828000000001</v>
      </c>
      <c r="AL23" s="21">
        <v>12.012828000000001</v>
      </c>
      <c r="AM23" s="21">
        <v>12.012828000000001</v>
      </c>
      <c r="AN23" s="21">
        <v>12.012828000000001</v>
      </c>
      <c r="AO23" s="21">
        <v>12.012828000000001</v>
      </c>
      <c r="AP23" s="21">
        <v>12.012828000000001</v>
      </c>
      <c r="AQ23" s="21">
        <v>12.012828000000001</v>
      </c>
      <c r="AR23" s="21">
        <v>12.012828000000001</v>
      </c>
      <c r="AS23" s="21">
        <v>12.012828000000001</v>
      </c>
      <c r="AT23" s="21">
        <v>12.012828000000001</v>
      </c>
      <c r="AU23" s="21">
        <v>12.012828000000001</v>
      </c>
      <c r="AV23" s="21">
        <v>12.012828000000001</v>
      </c>
      <c r="AW23" s="21">
        <v>12.012828000000001</v>
      </c>
      <c r="AX23" s="21">
        <v>12.012828000000001</v>
      </c>
      <c r="AY23" s="21">
        <v>12.012828000000001</v>
      </c>
      <c r="AZ23" s="21">
        <v>12.012828000000001</v>
      </c>
      <c r="BA23" s="21">
        <v>12.012828000000001</v>
      </c>
      <c r="BB23" s="21">
        <v>12.012828000000001</v>
      </c>
      <c r="BC23" s="21">
        <v>12.012828000000001</v>
      </c>
      <c r="BD23" s="21">
        <v>12.012828000000001</v>
      </c>
      <c r="BE23" s="21">
        <v>12.012828000000001</v>
      </c>
      <c r="BF23" s="21">
        <v>12.012828000000001</v>
      </c>
      <c r="BG23" s="21">
        <v>12.012828000000001</v>
      </c>
      <c r="BH23" s="21">
        <v>12.012828000000001</v>
      </c>
      <c r="BI23" s="21">
        <v>12.012828000000001</v>
      </c>
      <c r="BJ23" s="21">
        <v>12.012828000000001</v>
      </c>
      <c r="BK23" s="21">
        <v>12.012828000000001</v>
      </c>
      <c r="BL23" s="21">
        <v>12.012828000000001</v>
      </c>
      <c r="BM23" s="21">
        <v>12.012828000000001</v>
      </c>
      <c r="BN23" s="21">
        <v>12.012828000000001</v>
      </c>
      <c r="BO23" s="21">
        <v>12.012828000000001</v>
      </c>
      <c r="BP23" s="21">
        <v>12.012828000000001</v>
      </c>
      <c r="BQ23" s="21">
        <v>12.012828000000001</v>
      </c>
      <c r="BR23" s="21">
        <v>12.012828000000001</v>
      </c>
      <c r="BS23" s="21">
        <v>12.012828000000001</v>
      </c>
      <c r="BT23" s="21">
        <v>12.012828000000001</v>
      </c>
      <c r="BU23" s="21">
        <v>12.012828000000001</v>
      </c>
      <c r="BV23" s="21">
        <v>12.012828000000001</v>
      </c>
      <c r="BW23" s="21">
        <v>12.012828000000001</v>
      </c>
      <c r="BX23" s="21">
        <v>12.012828000000001</v>
      </c>
      <c r="BY23" s="21">
        <v>12.012828000000001</v>
      </c>
      <c r="BZ23" s="21">
        <v>12.012828000000001</v>
      </c>
      <c r="CA23" s="21">
        <v>12.012828000000001</v>
      </c>
      <c r="CB23" s="21">
        <v>12.012828000000001</v>
      </c>
      <c r="CC23" s="21">
        <v>12.012828000000001</v>
      </c>
      <c r="CD23" s="21">
        <v>12.012828000000001</v>
      </c>
      <c r="CE23" s="21">
        <v>12.012828000000001</v>
      </c>
      <c r="CF23" s="21">
        <v>12.012828000000001</v>
      </c>
      <c r="CG23" s="21">
        <v>12.012828000000001</v>
      </c>
      <c r="CH23" s="21">
        <v>12.012828000000001</v>
      </c>
      <c r="CI23" s="21">
        <v>12.012828000000001</v>
      </c>
      <c r="CJ23" s="21">
        <v>12.012828000000001</v>
      </c>
      <c r="CK23" s="21">
        <v>12.012828000000001</v>
      </c>
      <c r="CL23" s="21">
        <v>12.012828000000001</v>
      </c>
      <c r="CM23" s="21">
        <v>12.012828000000001</v>
      </c>
      <c r="CN23" s="21">
        <v>12.012828000000001</v>
      </c>
      <c r="CO23" s="21">
        <v>12.012828000000001</v>
      </c>
      <c r="CP23" s="21">
        <v>12.012828000000001</v>
      </c>
      <c r="CQ23" s="21">
        <v>12.012828000000001</v>
      </c>
      <c r="CR23" s="21">
        <v>12.012828000000001</v>
      </c>
      <c r="CS23" s="21">
        <v>12.012828000000001</v>
      </c>
      <c r="CT23" s="21">
        <v>12.012828000000001</v>
      </c>
      <c r="CU23" s="21">
        <v>12.012828000000001</v>
      </c>
      <c r="CV23" s="21">
        <v>12.012828000000001</v>
      </c>
      <c r="CW23" s="21">
        <v>12.012828000000001</v>
      </c>
      <c r="CX23" s="21">
        <v>12.012828000000001</v>
      </c>
      <c r="CY23" s="21">
        <v>12.012828000000001</v>
      </c>
      <c r="CZ23" s="21">
        <v>12.012828000000001</v>
      </c>
      <c r="DA23" s="21">
        <v>12.012828000000001</v>
      </c>
      <c r="DB23" s="21">
        <v>12.012828000000001</v>
      </c>
      <c r="DC23" s="21">
        <v>12.012828000000001</v>
      </c>
      <c r="DD23" s="21">
        <v>12.012828000000001</v>
      </c>
      <c r="DE23" s="21">
        <v>12.012828000000001</v>
      </c>
      <c r="DF23" s="21">
        <v>12.012828000000001</v>
      </c>
      <c r="DG23" s="21">
        <v>12.012828000000001</v>
      </c>
      <c r="DH23" s="21">
        <v>12.012828000000001</v>
      </c>
      <c r="DI23" s="21">
        <v>12.012828000000001</v>
      </c>
      <c r="DJ23" s="21">
        <v>12.012828000000001</v>
      </c>
      <c r="DK23" s="21">
        <v>12.012828000000001</v>
      </c>
      <c r="DL23" s="21">
        <v>12.012828000000001</v>
      </c>
      <c r="DM23" s="21">
        <v>12.012828000000001</v>
      </c>
      <c r="DN23" s="21">
        <v>12.012828000000001</v>
      </c>
      <c r="DO23" s="21">
        <v>12.012828000000001</v>
      </c>
      <c r="DP23" s="21">
        <v>12.012828000000001</v>
      </c>
      <c r="DQ23" s="21">
        <v>12.012828000000001</v>
      </c>
      <c r="DR23" s="21">
        <v>12.012828000000001</v>
      </c>
      <c r="DS23" s="21">
        <v>12.012828000000001</v>
      </c>
      <c r="DT23" s="21">
        <v>12.012828000000001</v>
      </c>
      <c r="DU23" s="21">
        <v>12.012828000000001</v>
      </c>
      <c r="DV23" s="21">
        <v>12.012828000000001</v>
      </c>
      <c r="DW23" s="21">
        <v>12.012828000000001</v>
      </c>
      <c r="DX23" s="21">
        <v>12.012828000000001</v>
      </c>
      <c r="DY23" s="21">
        <v>12.012828000000001</v>
      </c>
      <c r="DZ23" s="21">
        <v>12.012828000000001</v>
      </c>
      <c r="EA23" s="21">
        <v>12.012828000000001</v>
      </c>
      <c r="EB23" s="21">
        <v>12.012828000000001</v>
      </c>
      <c r="EC23" s="21">
        <v>12.012828000000001</v>
      </c>
      <c r="ED23" s="21">
        <v>12.012828000000001</v>
      </c>
      <c r="EE23" s="21">
        <v>12.012828000000001</v>
      </c>
      <c r="EF23" s="21">
        <v>12.012828000000001</v>
      </c>
      <c r="EG23" s="21">
        <v>12.012828000000001</v>
      </c>
      <c r="EH23" s="21">
        <v>12.012828000000001</v>
      </c>
      <c r="EI23" s="21">
        <v>12.012828000000001</v>
      </c>
      <c r="EJ23" s="21">
        <v>12.012828000000001</v>
      </c>
      <c r="EK23" s="21">
        <v>12.012828000000001</v>
      </c>
      <c r="EL23" s="21">
        <v>12.012828000000001</v>
      </c>
      <c r="EM23" s="21">
        <v>12.012828000000001</v>
      </c>
      <c r="EN23" s="21">
        <v>12.012828000000001</v>
      </c>
      <c r="EO23" s="21">
        <v>12.012828000000001</v>
      </c>
      <c r="EP23" s="21">
        <v>12.012828000000001</v>
      </c>
      <c r="EQ23" s="21">
        <v>12.012828000000001</v>
      </c>
      <c r="ER23" s="21">
        <v>12.012828000000001</v>
      </c>
      <c r="ES23" s="21">
        <v>12.012828000000001</v>
      </c>
      <c r="ET23" s="21">
        <v>12.012828000000001</v>
      </c>
      <c r="EU23" s="21">
        <v>12.012828000000001</v>
      </c>
      <c r="EV23" s="21">
        <v>12.012828000000001</v>
      </c>
      <c r="EW23" s="21">
        <v>12.012828000000001</v>
      </c>
      <c r="EX23" s="21">
        <v>12.012828000000001</v>
      </c>
      <c r="EY23" s="21">
        <v>12.012828000000001</v>
      </c>
      <c r="EZ23" s="21">
        <v>12.012828000000001</v>
      </c>
      <c r="FA23" s="21">
        <v>12.012828000000001</v>
      </c>
      <c r="FB23" s="21">
        <v>12.012828000000001</v>
      </c>
      <c r="FC23" s="21">
        <v>12.012828000000001</v>
      </c>
      <c r="FD23" s="21">
        <v>12.012828000000001</v>
      </c>
      <c r="FE23" s="21">
        <v>12.012828000000001</v>
      </c>
      <c r="FF23" s="21">
        <v>12.012828000000001</v>
      </c>
      <c r="FG23" s="21">
        <v>12.012828000000001</v>
      </c>
      <c r="FH23" s="21">
        <v>12.012828000000001</v>
      </c>
      <c r="FI23" s="21">
        <v>12.012828000000001</v>
      </c>
      <c r="FJ23" s="21">
        <v>12.012828000000001</v>
      </c>
      <c r="FK23" s="21">
        <v>12.012828000000001</v>
      </c>
      <c r="FL23" s="21">
        <v>12.012828000000001</v>
      </c>
      <c r="FM23" s="21">
        <v>12.012828000000001</v>
      </c>
      <c r="FN23" s="21">
        <v>12.012828000000001</v>
      </c>
      <c r="FO23" s="21">
        <v>12.012828000000001</v>
      </c>
      <c r="FP23" s="21">
        <v>12.012828000000001</v>
      </c>
      <c r="FQ23" s="21">
        <v>12.012828000000001</v>
      </c>
      <c r="FR23" s="21">
        <v>12.012828000000001</v>
      </c>
      <c r="FS23" s="21">
        <v>12.012828000000001</v>
      </c>
      <c r="FT23" s="21">
        <v>12.012828000000001</v>
      </c>
      <c r="FU23" s="21">
        <v>12.012828000000001</v>
      </c>
      <c r="FV23" s="21">
        <v>12.012828000000001</v>
      </c>
      <c r="FW23" s="21">
        <v>12.012828000000001</v>
      </c>
      <c r="FX23" s="21">
        <v>12.012828000000001</v>
      </c>
      <c r="FY23" s="21">
        <v>12.012828000000001</v>
      </c>
      <c r="FZ23" s="21">
        <v>12.012828000000001</v>
      </c>
      <c r="GA23" s="21">
        <v>12.012828000000001</v>
      </c>
      <c r="GB23" s="21">
        <v>12.012828000000001</v>
      </c>
      <c r="GC23" s="21">
        <v>12.012828000000001</v>
      </c>
      <c r="GD23" s="21">
        <v>12.012828000000001</v>
      </c>
      <c r="GE23" s="21">
        <v>12.012828000000001</v>
      </c>
      <c r="GF23" s="21">
        <v>12.012828000000001</v>
      </c>
      <c r="GG23" s="21">
        <v>12.012828000000001</v>
      </c>
      <c r="GH23" s="21">
        <v>12.012828000000001</v>
      </c>
      <c r="GI23" s="21">
        <v>12.012828000000001</v>
      </c>
      <c r="GJ23" s="21">
        <v>12.012828000000001</v>
      </c>
      <c r="GK23" s="21">
        <v>12.012828000000001</v>
      </c>
      <c r="GL23" s="21">
        <v>12.012828000000001</v>
      </c>
      <c r="GM23" s="21">
        <v>12.012828000000001</v>
      </c>
      <c r="GN23" s="21">
        <v>12.012828000000001</v>
      </c>
      <c r="GO23" s="21">
        <v>12.012828000000001</v>
      </c>
      <c r="GP23" s="21">
        <v>12.012828000000001</v>
      </c>
      <c r="GQ23" s="21">
        <v>12.012828000000001</v>
      </c>
      <c r="GR23" s="21">
        <v>12.012828000000001</v>
      </c>
      <c r="GS23" s="21">
        <v>12.012828000000001</v>
      </c>
      <c r="GT23" s="21">
        <v>12.012828000000001</v>
      </c>
      <c r="GU23" s="21">
        <v>12.012828000000001</v>
      </c>
      <c r="GV23" s="21">
        <v>12.012828000000001</v>
      </c>
      <c r="GW23" s="21">
        <v>12.012828000000001</v>
      </c>
      <c r="GX23" s="21">
        <v>12.012828000000001</v>
      </c>
      <c r="GY23" s="21">
        <v>12.012828000000001</v>
      </c>
      <c r="GZ23" s="21">
        <v>12.012828000000001</v>
      </c>
      <c r="HA23" s="21">
        <v>12.012828000000001</v>
      </c>
      <c r="HB23" s="21">
        <v>12.012828000000001</v>
      </c>
      <c r="HC23" s="21">
        <v>12.012828000000001</v>
      </c>
      <c r="HD23" s="21">
        <v>12.012828000000001</v>
      </c>
      <c r="HE23" s="21">
        <v>12.012828000000001</v>
      </c>
      <c r="HF23" s="21">
        <v>12.012828000000001</v>
      </c>
      <c r="HG23" s="21">
        <v>12.012828000000001</v>
      </c>
      <c r="HH23" s="21">
        <v>12.012828000000001</v>
      </c>
      <c r="HI23" s="21">
        <v>12.012828000000001</v>
      </c>
      <c r="HJ23" s="21">
        <v>12.012828000000001</v>
      </c>
      <c r="HK23" s="21">
        <v>12.012828000000001</v>
      </c>
      <c r="HL23" s="21">
        <v>12.012828000000001</v>
      </c>
      <c r="HM23" s="21">
        <v>12.012828000000001</v>
      </c>
      <c r="HN23" s="21">
        <v>12.012828000000001</v>
      </c>
      <c r="HO23" s="21">
        <v>12.012828000000001</v>
      </c>
      <c r="HP23" s="21">
        <v>12.012828000000001</v>
      </c>
      <c r="HQ23" s="21">
        <v>12.012828000000001</v>
      </c>
      <c r="HR23" s="21">
        <v>12.012828000000001</v>
      </c>
      <c r="HS23" s="21">
        <v>12.012828000000001</v>
      </c>
      <c r="HT23" s="21">
        <v>12.012828000000001</v>
      </c>
      <c r="HU23" s="21">
        <v>12.012828000000001</v>
      </c>
      <c r="HV23" s="21">
        <v>12.012828000000001</v>
      </c>
      <c r="HW23" s="21">
        <v>12.012828000000001</v>
      </c>
      <c r="HX23" s="21">
        <v>12.012828000000001</v>
      </c>
      <c r="HY23" s="21">
        <v>12.012828000000001</v>
      </c>
      <c r="HZ23" s="21">
        <v>12.012828000000001</v>
      </c>
      <c r="IA23" s="21">
        <v>12.012828000000001</v>
      </c>
      <c r="IB23" s="21">
        <v>12.012828000000001</v>
      </c>
      <c r="IC23" s="21">
        <v>12.012828000000001</v>
      </c>
      <c r="ID23" s="21">
        <v>12.012828000000001</v>
      </c>
      <c r="IE23" s="21">
        <v>12.012828000000001</v>
      </c>
      <c r="IF23" s="21">
        <v>12.012828000000001</v>
      </c>
      <c r="IG23" s="21">
        <v>12.012828000000001</v>
      </c>
      <c r="IH23" s="21">
        <v>12.012828000000001</v>
      </c>
      <c r="II23" s="21">
        <v>12.012828000000001</v>
      </c>
      <c r="IJ23" s="21">
        <v>12.012828000000001</v>
      </c>
      <c r="IK23" s="21">
        <v>12.012828000000001</v>
      </c>
      <c r="IL23" s="21">
        <v>12.012828000000001</v>
      </c>
      <c r="IM23" s="21">
        <v>12.012828000000001</v>
      </c>
      <c r="IN23" s="21">
        <v>12.012828000000001</v>
      </c>
      <c r="IO23" s="21">
        <v>12.012828000000001</v>
      </c>
      <c r="IP23" s="21">
        <v>12.012828000000001</v>
      </c>
      <c r="IQ23" s="21">
        <v>12.012828000000001</v>
      </c>
      <c r="IR23" s="21">
        <v>12.012828000000001</v>
      </c>
      <c r="IS23" s="21">
        <v>12.012828000000001</v>
      </c>
      <c r="IT23" s="21">
        <v>12.012828000000001</v>
      </c>
      <c r="IU23" s="21">
        <v>12.012828000000001</v>
      </c>
      <c r="IV23" s="21">
        <v>12.012828000000001</v>
      </c>
      <c r="IW23" s="21">
        <v>12.012828000000001</v>
      </c>
      <c r="IX23" s="21">
        <v>12.012828000000001</v>
      </c>
      <c r="IY23" s="21">
        <v>12.012828000000001</v>
      </c>
      <c r="IZ23" s="21">
        <v>12.012828000000001</v>
      </c>
      <c r="JA23" s="21">
        <v>12.012828000000001</v>
      </c>
      <c r="JB23" s="21">
        <v>12.012828000000001</v>
      </c>
      <c r="JC23" s="21">
        <v>12.012828000000001</v>
      </c>
      <c r="JD23" s="21">
        <v>12.012828000000001</v>
      </c>
      <c r="JE23" s="21">
        <v>12.012828000000001</v>
      </c>
      <c r="JF23" s="21">
        <v>12.012828000000001</v>
      </c>
      <c r="JG23" s="21">
        <v>12.012828000000001</v>
      </c>
      <c r="JH23" s="21">
        <v>12.012828000000001</v>
      </c>
      <c r="JI23" s="21">
        <v>12.012828000000001</v>
      </c>
      <c r="JJ23" s="21">
        <v>12.012828000000001</v>
      </c>
      <c r="JK23" s="21">
        <v>12.012828000000001</v>
      </c>
      <c r="JL23" s="21">
        <v>12.012828000000001</v>
      </c>
      <c r="JM23" s="21">
        <v>12.012828000000001</v>
      </c>
      <c r="JN23" s="21">
        <v>12.012828000000001</v>
      </c>
      <c r="JO23" s="21">
        <v>12.012828000000001</v>
      </c>
      <c r="JP23" s="21">
        <v>12.012828000000001</v>
      </c>
      <c r="JQ23" s="21">
        <v>12.012828000000001</v>
      </c>
      <c r="JR23" s="21">
        <v>12.012828000000001</v>
      </c>
      <c r="JS23" s="21">
        <v>12.012828000000001</v>
      </c>
      <c r="JT23" s="21">
        <v>12.012828000000001</v>
      </c>
      <c r="JU23" s="21">
        <v>12.012828000000001</v>
      </c>
      <c r="JV23" s="21">
        <v>12.012828000000001</v>
      </c>
      <c r="JW23" s="21">
        <v>12.012828000000001</v>
      </c>
      <c r="JX23" s="21">
        <v>12.012828000000001</v>
      </c>
      <c r="JY23" s="21">
        <v>12.012828000000001</v>
      </c>
      <c r="JZ23" s="21">
        <v>12.012828000000001</v>
      </c>
      <c r="KA23" s="21">
        <v>12.012828000000001</v>
      </c>
      <c r="KB23" s="21">
        <v>12.012828000000001</v>
      </c>
      <c r="KC23" s="21">
        <v>12.012828000000001</v>
      </c>
      <c r="KD23" s="21">
        <v>12.012828000000001</v>
      </c>
      <c r="KE23" s="21">
        <v>12.012828000000001</v>
      </c>
      <c r="KF23" s="21">
        <v>12.012828000000001</v>
      </c>
      <c r="KG23" s="21">
        <v>12.012828000000001</v>
      </c>
      <c r="KH23" s="21">
        <v>12.012828000000001</v>
      </c>
      <c r="KI23" s="21">
        <v>12.012828000000001</v>
      </c>
      <c r="KJ23" s="21">
        <v>12.012828000000001</v>
      </c>
      <c r="KK23" s="21">
        <v>12.012828000000001</v>
      </c>
      <c r="KL23" s="21">
        <v>12.012828000000001</v>
      </c>
      <c r="KM23" s="21">
        <v>12.012828000000001</v>
      </c>
      <c r="KN23" s="21">
        <v>12.012828000000001</v>
      </c>
      <c r="KO23" s="21">
        <v>12.012828000000001</v>
      </c>
      <c r="KP23" s="21">
        <v>12.012828000000001</v>
      </c>
      <c r="KQ23" s="21">
        <v>12.012828000000001</v>
      </c>
      <c r="KR23" s="21">
        <v>12.012828000000001</v>
      </c>
      <c r="KS23" s="21">
        <v>12.106641</v>
      </c>
      <c r="KT23" s="21">
        <v>0</v>
      </c>
      <c r="KU23" s="21">
        <v>0</v>
      </c>
      <c r="KV23" s="21">
        <v>0</v>
      </c>
      <c r="KW23" s="21">
        <v>0</v>
      </c>
      <c r="KX23" s="21">
        <v>0</v>
      </c>
      <c r="KY23" s="21">
        <v>0</v>
      </c>
      <c r="KZ23" s="21">
        <v>0</v>
      </c>
      <c r="LA23" s="21">
        <v>0</v>
      </c>
      <c r="LB23" s="21">
        <v>0</v>
      </c>
      <c r="LC23" s="21">
        <v>0</v>
      </c>
      <c r="LD23" s="21">
        <v>0</v>
      </c>
      <c r="LE23" s="21">
        <v>0</v>
      </c>
      <c r="LF23" s="21">
        <v>0</v>
      </c>
      <c r="LG23" s="21">
        <v>0</v>
      </c>
      <c r="LH23" s="21">
        <v>0</v>
      </c>
      <c r="LI23" s="21">
        <v>0</v>
      </c>
      <c r="LJ23" s="21">
        <v>0</v>
      </c>
      <c r="LK23" s="21">
        <v>0</v>
      </c>
      <c r="LL23" s="21">
        <v>0</v>
      </c>
      <c r="LM23" s="21">
        <v>0</v>
      </c>
      <c r="LN23" s="21">
        <v>0</v>
      </c>
      <c r="LO23" s="21">
        <v>0</v>
      </c>
      <c r="LP23" s="21">
        <v>0</v>
      </c>
      <c r="LQ23" s="21">
        <v>0</v>
      </c>
      <c r="LR23" s="21">
        <v>0</v>
      </c>
      <c r="LS23" s="21">
        <v>0</v>
      </c>
      <c r="LT23" s="21">
        <v>0</v>
      </c>
      <c r="LU23" s="21">
        <v>0</v>
      </c>
      <c r="LV23" s="21">
        <v>0</v>
      </c>
      <c r="LW23" s="21">
        <v>0</v>
      </c>
      <c r="LX23" s="21">
        <v>0</v>
      </c>
      <c r="LY23" s="21">
        <v>0</v>
      </c>
      <c r="LZ23" s="21">
        <v>0</v>
      </c>
      <c r="MA23" s="21">
        <v>0</v>
      </c>
      <c r="MB23" s="21">
        <v>0</v>
      </c>
      <c r="MC23" s="21">
        <v>0</v>
      </c>
      <c r="MD23" s="21">
        <v>0</v>
      </c>
      <c r="ME23" s="21">
        <v>0</v>
      </c>
      <c r="MF23" s="21">
        <v>0</v>
      </c>
      <c r="MG23" s="21">
        <v>0</v>
      </c>
      <c r="MH23" s="21">
        <v>0</v>
      </c>
      <c r="MI23" s="21">
        <v>0</v>
      </c>
      <c r="MJ23" s="21">
        <v>0</v>
      </c>
      <c r="MK23" s="21">
        <v>0</v>
      </c>
      <c r="ML23" s="21">
        <v>0</v>
      </c>
      <c r="MM23" s="21">
        <v>0</v>
      </c>
      <c r="MN23" s="21">
        <v>0</v>
      </c>
      <c r="MO23" s="21">
        <v>0</v>
      </c>
      <c r="MP23" s="21">
        <v>0</v>
      </c>
      <c r="MQ23" s="21">
        <v>0</v>
      </c>
      <c r="MR23" s="21">
        <v>0</v>
      </c>
      <c r="MS23" s="21">
        <v>0</v>
      </c>
      <c r="MT23" s="21">
        <v>0</v>
      </c>
      <c r="MU23" s="21">
        <v>0</v>
      </c>
      <c r="MV23" s="21">
        <v>0</v>
      </c>
      <c r="MW23" s="21">
        <v>0</v>
      </c>
      <c r="MX23" s="21">
        <v>0</v>
      </c>
      <c r="MY23" s="21">
        <v>0</v>
      </c>
      <c r="MZ23" s="21">
        <v>0</v>
      </c>
    </row>
    <row r="24" spans="1:364" x14ac:dyDescent="0.25">
      <c r="A24" s="7">
        <f>+A23+1</f>
        <v>22</v>
      </c>
      <c r="B24" s="16" t="str">
        <f>+Base!B22</f>
        <v>202402270073A033</v>
      </c>
      <c r="C24" s="75">
        <v>6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10.200271000000001</v>
      </c>
      <c r="L24" s="21">
        <v>10.200271000000001</v>
      </c>
      <c r="M24" s="21">
        <v>10.200271000000001</v>
      </c>
      <c r="N24" s="21">
        <v>10.200271000000001</v>
      </c>
      <c r="O24" s="21">
        <v>10.200271000000001</v>
      </c>
      <c r="P24" s="21">
        <v>10.200271000000001</v>
      </c>
      <c r="Q24" s="21">
        <v>10.200271000000001</v>
      </c>
      <c r="R24" s="21">
        <v>10.200271000000001</v>
      </c>
      <c r="S24" s="21">
        <v>10.200271000000001</v>
      </c>
      <c r="T24" s="21">
        <v>10.200271000000001</v>
      </c>
      <c r="U24" s="21">
        <v>10.200271000000001</v>
      </c>
      <c r="V24" s="21">
        <v>10.200271000000001</v>
      </c>
      <c r="W24" s="21">
        <v>10.200271000000001</v>
      </c>
      <c r="X24" s="21">
        <v>10.200271000000001</v>
      </c>
      <c r="Y24" s="21">
        <v>10.200271000000001</v>
      </c>
      <c r="Z24" s="21">
        <v>10.200271000000001</v>
      </c>
      <c r="AA24" s="21">
        <v>10.200271000000001</v>
      </c>
      <c r="AB24" s="21">
        <v>10.200271000000001</v>
      </c>
      <c r="AC24" s="21">
        <v>10.200271000000001</v>
      </c>
      <c r="AD24" s="21">
        <v>10.200271000000001</v>
      </c>
      <c r="AE24" s="21">
        <v>10.200271000000001</v>
      </c>
      <c r="AF24" s="21">
        <v>10.200271000000001</v>
      </c>
      <c r="AG24" s="21">
        <v>10.200271000000001</v>
      </c>
      <c r="AH24" s="21">
        <v>10.200271000000001</v>
      </c>
      <c r="AI24" s="21">
        <v>10.200271000000001</v>
      </c>
      <c r="AJ24" s="21">
        <v>10.200271000000001</v>
      </c>
      <c r="AK24" s="21">
        <v>10.200271000000001</v>
      </c>
      <c r="AL24" s="21">
        <v>10.200271000000001</v>
      </c>
      <c r="AM24" s="21">
        <v>10.200271000000001</v>
      </c>
      <c r="AN24" s="21">
        <v>10.200271000000001</v>
      </c>
      <c r="AO24" s="21">
        <v>10.200271000000001</v>
      </c>
      <c r="AP24" s="21">
        <v>10.200271000000001</v>
      </c>
      <c r="AQ24" s="21">
        <v>10.200271000000001</v>
      </c>
      <c r="AR24" s="21">
        <v>10.200271000000001</v>
      </c>
      <c r="AS24" s="21">
        <v>10.200271000000001</v>
      </c>
      <c r="AT24" s="21">
        <v>10.200271000000001</v>
      </c>
      <c r="AU24" s="21">
        <v>10.200271000000001</v>
      </c>
      <c r="AV24" s="21">
        <v>10.200271000000001</v>
      </c>
      <c r="AW24" s="21">
        <v>10.200271000000001</v>
      </c>
      <c r="AX24" s="21">
        <v>10.200271000000001</v>
      </c>
      <c r="AY24" s="21">
        <v>10.200271000000001</v>
      </c>
      <c r="AZ24" s="21">
        <v>10.200271000000001</v>
      </c>
      <c r="BA24" s="21">
        <v>10.200271000000001</v>
      </c>
      <c r="BB24" s="21">
        <v>10.200271000000001</v>
      </c>
      <c r="BC24" s="21">
        <v>10.200271000000001</v>
      </c>
      <c r="BD24" s="21">
        <v>10.200271000000001</v>
      </c>
      <c r="BE24" s="21">
        <v>10.200271000000001</v>
      </c>
      <c r="BF24" s="21">
        <v>10.200271000000001</v>
      </c>
      <c r="BG24" s="21">
        <v>10.200271000000001</v>
      </c>
      <c r="BH24" s="21">
        <v>10.200271000000001</v>
      </c>
      <c r="BI24" s="21">
        <v>10.200271000000001</v>
      </c>
      <c r="BJ24" s="21">
        <v>10.200271000000001</v>
      </c>
      <c r="BK24" s="21">
        <v>10.200271000000001</v>
      </c>
      <c r="BL24" s="21">
        <v>10.200271000000001</v>
      </c>
      <c r="BM24" s="21">
        <v>10.200271000000001</v>
      </c>
      <c r="BN24" s="21">
        <v>10.200271000000001</v>
      </c>
      <c r="BO24" s="21">
        <v>10.200271000000001</v>
      </c>
      <c r="BP24" s="21">
        <v>10.200271000000001</v>
      </c>
      <c r="BQ24" s="21">
        <v>10.200271000000001</v>
      </c>
      <c r="BR24" s="21">
        <v>10.200271000000001</v>
      </c>
      <c r="BS24" s="21">
        <v>10.200271000000001</v>
      </c>
      <c r="BT24" s="21">
        <v>10.200271000000001</v>
      </c>
      <c r="BU24" s="21">
        <v>10.200271000000001</v>
      </c>
      <c r="BV24" s="21">
        <v>10.200271000000001</v>
      </c>
      <c r="BW24" s="21">
        <v>10.200271000000001</v>
      </c>
      <c r="BX24" s="21">
        <v>10.200271000000001</v>
      </c>
      <c r="BY24" s="21">
        <v>10.200271000000001</v>
      </c>
      <c r="BZ24" s="21">
        <v>10.200271000000001</v>
      </c>
      <c r="CA24" s="21">
        <v>10.200271000000001</v>
      </c>
      <c r="CB24" s="21">
        <v>10.200271000000001</v>
      </c>
      <c r="CC24" s="21">
        <v>10.200271000000001</v>
      </c>
      <c r="CD24" s="21">
        <v>10.200271000000001</v>
      </c>
      <c r="CE24" s="21">
        <v>10.200271000000001</v>
      </c>
      <c r="CF24" s="21">
        <v>10.200271000000001</v>
      </c>
      <c r="CG24" s="21">
        <v>10.200271000000001</v>
      </c>
      <c r="CH24" s="21">
        <v>10.200271000000001</v>
      </c>
      <c r="CI24" s="21">
        <v>10.200271000000001</v>
      </c>
      <c r="CJ24" s="21">
        <v>10.200271000000001</v>
      </c>
      <c r="CK24" s="21">
        <v>10.200271000000001</v>
      </c>
      <c r="CL24" s="21">
        <v>10.200271000000001</v>
      </c>
      <c r="CM24" s="21">
        <v>10.200271000000001</v>
      </c>
      <c r="CN24" s="21">
        <v>10.200271000000001</v>
      </c>
      <c r="CO24" s="21">
        <v>10.200271000000001</v>
      </c>
      <c r="CP24" s="21">
        <v>10.200271000000001</v>
      </c>
      <c r="CQ24" s="21">
        <v>10.200271000000001</v>
      </c>
      <c r="CR24" s="21">
        <v>10.200271000000001</v>
      </c>
      <c r="CS24" s="21">
        <v>10.200271000000001</v>
      </c>
      <c r="CT24" s="21">
        <v>10.200271000000001</v>
      </c>
      <c r="CU24" s="21">
        <v>10.200271000000001</v>
      </c>
      <c r="CV24" s="21">
        <v>10.200271000000001</v>
      </c>
      <c r="CW24" s="21">
        <v>10.200271000000001</v>
      </c>
      <c r="CX24" s="21">
        <v>10.200271000000001</v>
      </c>
      <c r="CY24" s="21">
        <v>10.200271000000001</v>
      </c>
      <c r="CZ24" s="21">
        <v>10.200271000000001</v>
      </c>
      <c r="DA24" s="21">
        <v>10.200271000000001</v>
      </c>
      <c r="DB24" s="21">
        <v>10.200271000000001</v>
      </c>
      <c r="DC24" s="21">
        <v>10.200271000000001</v>
      </c>
      <c r="DD24" s="21">
        <v>10.200271000000001</v>
      </c>
      <c r="DE24" s="21">
        <v>10.200271000000001</v>
      </c>
      <c r="DF24" s="21">
        <v>10.200271000000001</v>
      </c>
      <c r="DG24" s="21">
        <v>10.200271000000001</v>
      </c>
      <c r="DH24" s="21">
        <v>10.200271000000001</v>
      </c>
      <c r="DI24" s="21">
        <v>10.200271000000001</v>
      </c>
      <c r="DJ24" s="21">
        <v>10.200271000000001</v>
      </c>
      <c r="DK24" s="21">
        <v>10.200271000000001</v>
      </c>
      <c r="DL24" s="21">
        <v>10.200271000000001</v>
      </c>
      <c r="DM24" s="21">
        <v>10.200271000000001</v>
      </c>
      <c r="DN24" s="21">
        <v>10.200271000000001</v>
      </c>
      <c r="DO24" s="21">
        <v>10.200271000000001</v>
      </c>
      <c r="DP24" s="21">
        <v>10.200271000000001</v>
      </c>
      <c r="DQ24" s="21">
        <v>10.200271000000001</v>
      </c>
      <c r="DR24" s="21">
        <v>10.200271000000001</v>
      </c>
      <c r="DS24" s="21">
        <v>10.200271000000001</v>
      </c>
      <c r="DT24" s="21">
        <v>10.200271000000001</v>
      </c>
      <c r="DU24" s="21">
        <v>10.200271000000001</v>
      </c>
      <c r="DV24" s="21">
        <v>10.200271000000001</v>
      </c>
      <c r="DW24" s="21">
        <v>10.200271000000001</v>
      </c>
      <c r="DX24" s="21">
        <v>10.200271000000001</v>
      </c>
      <c r="DY24" s="21">
        <v>10.200271000000001</v>
      </c>
      <c r="DZ24" s="21">
        <v>10.200271000000001</v>
      </c>
      <c r="EA24" s="21">
        <v>10.200271000000001</v>
      </c>
      <c r="EB24" s="21">
        <v>10.200271000000001</v>
      </c>
      <c r="EC24" s="21">
        <v>10.200271000000001</v>
      </c>
      <c r="ED24" s="21">
        <v>10.200271000000001</v>
      </c>
      <c r="EE24" s="21">
        <v>10.200271000000001</v>
      </c>
      <c r="EF24" s="21">
        <v>10.200271000000001</v>
      </c>
      <c r="EG24" s="21">
        <v>10.200271000000001</v>
      </c>
      <c r="EH24" s="21">
        <v>10.200271000000001</v>
      </c>
      <c r="EI24" s="21">
        <v>10.200271000000001</v>
      </c>
      <c r="EJ24" s="21">
        <v>10.200271000000001</v>
      </c>
      <c r="EK24" s="21">
        <v>10.200271000000001</v>
      </c>
      <c r="EL24" s="21">
        <v>10.200271000000001</v>
      </c>
      <c r="EM24" s="21">
        <v>10.200271000000001</v>
      </c>
      <c r="EN24" s="21">
        <v>10.200271000000001</v>
      </c>
      <c r="EO24" s="21">
        <v>10.200271000000001</v>
      </c>
      <c r="EP24" s="21">
        <v>10.200271000000001</v>
      </c>
      <c r="EQ24" s="21">
        <v>10.200271000000001</v>
      </c>
      <c r="ER24" s="21">
        <v>10.200271000000001</v>
      </c>
      <c r="ES24" s="21">
        <v>10.200271000000001</v>
      </c>
      <c r="ET24" s="21">
        <v>10.200271000000001</v>
      </c>
      <c r="EU24" s="21">
        <v>10.200271000000001</v>
      </c>
      <c r="EV24" s="21">
        <v>10.200271000000001</v>
      </c>
      <c r="EW24" s="21">
        <v>10.200271000000001</v>
      </c>
      <c r="EX24" s="21">
        <v>10.200271000000001</v>
      </c>
      <c r="EY24" s="21">
        <v>10.200271000000001</v>
      </c>
      <c r="EZ24" s="21">
        <v>10.200271000000001</v>
      </c>
      <c r="FA24" s="21">
        <v>10.200271000000001</v>
      </c>
      <c r="FB24" s="21">
        <v>10.200271000000001</v>
      </c>
      <c r="FC24" s="21">
        <v>10.200271000000001</v>
      </c>
      <c r="FD24" s="21">
        <v>10.200271000000001</v>
      </c>
      <c r="FE24" s="21">
        <v>10.200271000000001</v>
      </c>
      <c r="FF24" s="21">
        <v>10.200271000000001</v>
      </c>
      <c r="FG24" s="21">
        <v>10.200271000000001</v>
      </c>
      <c r="FH24" s="21">
        <v>10.200271000000001</v>
      </c>
      <c r="FI24" s="21">
        <v>10.200271000000001</v>
      </c>
      <c r="FJ24" s="21">
        <v>10.200271000000001</v>
      </c>
      <c r="FK24" s="21">
        <v>10.200271000000001</v>
      </c>
      <c r="FL24" s="21">
        <v>10.200271000000001</v>
      </c>
      <c r="FM24" s="21">
        <v>10.200271000000001</v>
      </c>
      <c r="FN24" s="21">
        <v>10.200271000000001</v>
      </c>
      <c r="FO24" s="21">
        <v>10.200271000000001</v>
      </c>
      <c r="FP24" s="21">
        <v>10.200271000000001</v>
      </c>
      <c r="FQ24" s="21">
        <v>10.200271000000001</v>
      </c>
      <c r="FR24" s="21">
        <v>10.200271000000001</v>
      </c>
      <c r="FS24" s="21">
        <v>10.200271000000001</v>
      </c>
      <c r="FT24" s="21">
        <v>10.200271000000001</v>
      </c>
      <c r="FU24" s="21">
        <v>10.200271000000001</v>
      </c>
      <c r="FV24" s="21">
        <v>10.200271000000001</v>
      </c>
      <c r="FW24" s="21">
        <v>10.200271000000001</v>
      </c>
      <c r="FX24" s="21">
        <v>10.200271000000001</v>
      </c>
      <c r="FY24" s="21">
        <v>10.200271000000001</v>
      </c>
      <c r="FZ24" s="21">
        <v>10.200271000000001</v>
      </c>
      <c r="GA24" s="21">
        <v>10.200271000000001</v>
      </c>
      <c r="GB24" s="21">
        <v>10.200271000000001</v>
      </c>
      <c r="GC24" s="21">
        <v>10.200271000000001</v>
      </c>
      <c r="GD24" s="21">
        <v>10.200271000000001</v>
      </c>
      <c r="GE24" s="21">
        <v>10.200271000000001</v>
      </c>
      <c r="GF24" s="21">
        <v>10.200271000000001</v>
      </c>
      <c r="GG24" s="21">
        <v>10.200271000000001</v>
      </c>
      <c r="GH24" s="21">
        <v>10.200271000000001</v>
      </c>
      <c r="GI24" s="21">
        <v>10.200271000000001</v>
      </c>
      <c r="GJ24" s="21">
        <v>10.200271000000001</v>
      </c>
      <c r="GK24" s="21">
        <v>10.200271000000001</v>
      </c>
      <c r="GL24" s="21">
        <v>10.200271000000001</v>
      </c>
      <c r="GM24" s="21">
        <v>10.200271000000001</v>
      </c>
      <c r="GN24" s="21">
        <v>10.200271000000001</v>
      </c>
      <c r="GO24" s="21">
        <v>10.200271000000001</v>
      </c>
      <c r="GP24" s="21">
        <v>10.200271000000001</v>
      </c>
      <c r="GQ24" s="21">
        <v>10.200271000000001</v>
      </c>
      <c r="GR24" s="21">
        <v>10.200271000000001</v>
      </c>
      <c r="GS24" s="21">
        <v>10.200271000000001</v>
      </c>
      <c r="GT24" s="21">
        <v>10.200271000000001</v>
      </c>
      <c r="GU24" s="21">
        <v>10.200271000000001</v>
      </c>
      <c r="GV24" s="21">
        <v>10.200271000000001</v>
      </c>
      <c r="GW24" s="21">
        <v>10.200271000000001</v>
      </c>
      <c r="GX24" s="21">
        <v>10.200271000000001</v>
      </c>
      <c r="GY24" s="21">
        <v>10.200271000000001</v>
      </c>
      <c r="GZ24" s="21">
        <v>10.200271000000001</v>
      </c>
      <c r="HA24" s="21">
        <v>10.200271000000001</v>
      </c>
      <c r="HB24" s="21">
        <v>10.200271000000001</v>
      </c>
      <c r="HC24" s="21">
        <v>10.200271000000001</v>
      </c>
      <c r="HD24" s="21">
        <v>10.200271000000001</v>
      </c>
      <c r="HE24" s="21">
        <v>10.200271000000001</v>
      </c>
      <c r="HF24" s="21">
        <v>10.200271000000001</v>
      </c>
      <c r="HG24" s="21">
        <v>10.200271000000001</v>
      </c>
      <c r="HH24" s="21">
        <v>10.200271000000001</v>
      </c>
      <c r="HI24" s="21">
        <v>10.200271000000001</v>
      </c>
      <c r="HJ24" s="21">
        <v>10.200271000000001</v>
      </c>
      <c r="HK24" s="21">
        <v>10.200271000000001</v>
      </c>
      <c r="HL24" s="21">
        <v>10.200271000000001</v>
      </c>
      <c r="HM24" s="21">
        <v>10.200271000000001</v>
      </c>
      <c r="HN24" s="21">
        <v>10.200271000000001</v>
      </c>
      <c r="HO24" s="21">
        <v>10.200271000000001</v>
      </c>
      <c r="HP24" s="21">
        <v>10.200271000000001</v>
      </c>
      <c r="HQ24" s="21">
        <v>10.200271000000001</v>
      </c>
      <c r="HR24" s="21">
        <v>10.200271000000001</v>
      </c>
      <c r="HS24" s="21">
        <v>10.200271000000001</v>
      </c>
      <c r="HT24" s="21">
        <v>10.200271000000001</v>
      </c>
      <c r="HU24" s="21">
        <v>10.200271000000001</v>
      </c>
      <c r="HV24" s="21">
        <v>10.200271000000001</v>
      </c>
      <c r="HW24" s="21">
        <v>10.200271000000001</v>
      </c>
      <c r="HX24" s="21">
        <v>10.200271000000001</v>
      </c>
      <c r="HY24" s="21">
        <v>10.200271000000001</v>
      </c>
      <c r="HZ24" s="21">
        <v>10.200271000000001</v>
      </c>
      <c r="IA24" s="21">
        <v>10.200271000000001</v>
      </c>
      <c r="IB24" s="21">
        <v>10.200271000000001</v>
      </c>
      <c r="IC24" s="21">
        <v>10.200271000000001</v>
      </c>
      <c r="ID24" s="21">
        <v>10.200271000000001</v>
      </c>
      <c r="IE24" s="21">
        <v>10.200271000000001</v>
      </c>
      <c r="IF24" s="21">
        <v>10.200271000000001</v>
      </c>
      <c r="IG24" s="21">
        <v>10.200271000000001</v>
      </c>
      <c r="IH24" s="21">
        <v>10.200271000000001</v>
      </c>
      <c r="II24" s="21">
        <v>10.200271000000001</v>
      </c>
      <c r="IJ24" s="21">
        <v>10.200271000000001</v>
      </c>
      <c r="IK24" s="21">
        <v>10.200271000000001</v>
      </c>
      <c r="IL24" s="21">
        <v>10.200271000000001</v>
      </c>
      <c r="IM24" s="21">
        <v>10.200271000000001</v>
      </c>
      <c r="IN24" s="21">
        <v>10.200271000000001</v>
      </c>
      <c r="IO24" s="21">
        <v>10.200271000000001</v>
      </c>
      <c r="IP24" s="21">
        <v>10.200271000000001</v>
      </c>
      <c r="IQ24" s="21">
        <v>10.200271000000001</v>
      </c>
      <c r="IR24" s="21">
        <v>10.200271000000001</v>
      </c>
      <c r="IS24" s="21">
        <v>10.200271000000001</v>
      </c>
      <c r="IT24" s="21">
        <v>10.200271000000001</v>
      </c>
      <c r="IU24" s="21">
        <v>10.200271000000001</v>
      </c>
      <c r="IV24" s="21">
        <v>10.200271000000001</v>
      </c>
      <c r="IW24" s="21">
        <v>10.200271000000001</v>
      </c>
      <c r="IX24" s="21">
        <v>10.200271000000001</v>
      </c>
      <c r="IY24" s="21">
        <v>10.200271000000001</v>
      </c>
      <c r="IZ24" s="21">
        <v>10.200271000000001</v>
      </c>
      <c r="JA24" s="21">
        <v>10.200271000000001</v>
      </c>
      <c r="JB24" s="21">
        <v>10.200271000000001</v>
      </c>
      <c r="JC24" s="21">
        <v>10.200271000000001</v>
      </c>
      <c r="JD24" s="21">
        <v>10.200271000000001</v>
      </c>
      <c r="JE24" s="21">
        <v>10.200271000000001</v>
      </c>
      <c r="JF24" s="21">
        <v>10.200271000000001</v>
      </c>
      <c r="JG24" s="21">
        <v>10.200271000000001</v>
      </c>
      <c r="JH24" s="21">
        <v>10.200271000000001</v>
      </c>
      <c r="JI24" s="21">
        <v>10.200271000000001</v>
      </c>
      <c r="JJ24" s="21">
        <v>10.200271000000001</v>
      </c>
      <c r="JK24" s="21">
        <v>10.200271000000001</v>
      </c>
      <c r="JL24" s="21">
        <v>10.200271000000001</v>
      </c>
      <c r="JM24" s="21">
        <v>10.200271000000001</v>
      </c>
      <c r="JN24" s="21">
        <v>10.200271000000001</v>
      </c>
      <c r="JO24" s="21">
        <v>10.200271000000001</v>
      </c>
      <c r="JP24" s="21">
        <v>10.200271000000001</v>
      </c>
      <c r="JQ24" s="21">
        <v>10.200271000000001</v>
      </c>
      <c r="JR24" s="21">
        <v>10.200271000000001</v>
      </c>
      <c r="JS24" s="21">
        <v>10.200271000000001</v>
      </c>
      <c r="JT24" s="21">
        <v>10.200271000000001</v>
      </c>
      <c r="JU24" s="21">
        <v>10.200271000000001</v>
      </c>
      <c r="JV24" s="21">
        <v>10.200271000000001</v>
      </c>
      <c r="JW24" s="21">
        <v>10.200271000000001</v>
      </c>
      <c r="JX24" s="21">
        <v>10.200271000000001</v>
      </c>
      <c r="JY24" s="21">
        <v>10.200271000000001</v>
      </c>
      <c r="JZ24" s="21">
        <v>10.200271000000001</v>
      </c>
      <c r="KA24" s="21">
        <v>10.200271000000001</v>
      </c>
      <c r="KB24" s="21">
        <v>10.200271000000001</v>
      </c>
      <c r="KC24" s="21">
        <v>10.200271000000001</v>
      </c>
      <c r="KD24" s="21">
        <v>10.200271000000001</v>
      </c>
      <c r="KE24" s="21">
        <v>10.200271000000001</v>
      </c>
      <c r="KF24" s="21">
        <v>10.200271000000001</v>
      </c>
      <c r="KG24" s="21">
        <v>10.200271000000001</v>
      </c>
      <c r="KH24" s="21">
        <v>10.200271000000001</v>
      </c>
      <c r="KI24" s="21">
        <v>10.200271000000001</v>
      </c>
      <c r="KJ24" s="21">
        <v>10.200271000000001</v>
      </c>
      <c r="KK24" s="21">
        <v>10.200271000000001</v>
      </c>
      <c r="KL24" s="21">
        <v>10.200271000000001</v>
      </c>
      <c r="KM24" s="21">
        <v>10.200271000000001</v>
      </c>
      <c r="KN24" s="21">
        <v>10.200271000000001</v>
      </c>
      <c r="KO24" s="21">
        <v>10.200271000000001</v>
      </c>
      <c r="KP24" s="21">
        <v>10.200271000000001</v>
      </c>
      <c r="KQ24" s="21">
        <v>10.200271000000001</v>
      </c>
      <c r="KR24" s="21">
        <v>10.200271000000001</v>
      </c>
      <c r="KS24" s="21">
        <v>10.200271000000001</v>
      </c>
      <c r="KT24" s="21">
        <v>10.200271000000001</v>
      </c>
      <c r="KU24" s="21">
        <v>10.200271000000001</v>
      </c>
      <c r="KV24" s="21">
        <v>10.200271000000001</v>
      </c>
      <c r="KW24" s="21">
        <v>10.200271000000001</v>
      </c>
      <c r="KX24" s="21">
        <v>10.200271000000001</v>
      </c>
      <c r="KY24" s="21">
        <v>10.200271000000001</v>
      </c>
      <c r="KZ24" s="21">
        <v>10.200271000000001</v>
      </c>
      <c r="LA24" s="21">
        <v>10.200271000000001</v>
      </c>
      <c r="LB24" s="21">
        <v>10.200271000000001</v>
      </c>
      <c r="LC24" s="21">
        <v>10.200271000000001</v>
      </c>
      <c r="LD24" s="21">
        <v>10.200271000000001</v>
      </c>
      <c r="LE24" s="21">
        <v>10.200271000000001</v>
      </c>
      <c r="LF24" s="21">
        <v>10.200271000000001</v>
      </c>
      <c r="LG24" s="21">
        <v>10.200271000000001</v>
      </c>
      <c r="LH24" s="21">
        <v>10.200271000000001</v>
      </c>
      <c r="LI24" s="21">
        <v>10.200271000000001</v>
      </c>
      <c r="LJ24" s="21">
        <v>10.200271000000001</v>
      </c>
      <c r="LK24" s="21">
        <v>10.200271000000001</v>
      </c>
      <c r="LL24" s="21">
        <v>10.200271000000001</v>
      </c>
      <c r="LM24" s="21">
        <v>10.200271000000001</v>
      </c>
      <c r="LN24" s="21">
        <v>10.200271000000001</v>
      </c>
      <c r="LO24" s="21">
        <v>10.200271000000001</v>
      </c>
      <c r="LP24" s="21">
        <v>10.200271000000001</v>
      </c>
      <c r="LQ24" s="21">
        <v>10.718882000000001</v>
      </c>
      <c r="LR24" s="21">
        <v>0</v>
      </c>
      <c r="LS24" s="21">
        <v>0</v>
      </c>
      <c r="LT24" s="21">
        <v>0</v>
      </c>
      <c r="LU24" s="21">
        <v>0</v>
      </c>
      <c r="LV24" s="21">
        <v>0</v>
      </c>
      <c r="LW24" s="21">
        <v>0</v>
      </c>
      <c r="LX24" s="21">
        <v>0</v>
      </c>
      <c r="LY24" s="21">
        <v>0</v>
      </c>
      <c r="LZ24" s="21">
        <v>0</v>
      </c>
      <c r="MA24" s="21">
        <v>0</v>
      </c>
      <c r="MB24" s="21">
        <v>0</v>
      </c>
      <c r="MC24" s="21">
        <v>0</v>
      </c>
      <c r="MD24" s="21">
        <v>0</v>
      </c>
      <c r="ME24" s="21">
        <v>0</v>
      </c>
      <c r="MF24" s="21">
        <v>0</v>
      </c>
      <c r="MG24" s="21">
        <v>0</v>
      </c>
      <c r="MH24" s="21">
        <v>0</v>
      </c>
      <c r="MI24" s="21">
        <v>0</v>
      </c>
      <c r="MJ24" s="21">
        <v>0</v>
      </c>
      <c r="MK24" s="21">
        <v>0</v>
      </c>
      <c r="ML24" s="21">
        <v>0</v>
      </c>
      <c r="MM24" s="21">
        <v>0</v>
      </c>
      <c r="MN24" s="21">
        <v>0</v>
      </c>
      <c r="MO24" s="21">
        <v>0</v>
      </c>
      <c r="MP24" s="21">
        <v>0</v>
      </c>
      <c r="MQ24" s="21">
        <v>0</v>
      </c>
      <c r="MR24" s="21">
        <v>0</v>
      </c>
      <c r="MS24" s="21">
        <v>0</v>
      </c>
      <c r="MT24" s="21">
        <v>0</v>
      </c>
      <c r="MU24" s="21">
        <v>0</v>
      </c>
      <c r="MV24" s="21">
        <v>0</v>
      </c>
      <c r="MW24" s="21">
        <v>0</v>
      </c>
      <c r="MX24" s="21">
        <v>0</v>
      </c>
      <c r="MY24" s="21">
        <v>0</v>
      </c>
      <c r="MZ24" s="21">
        <v>0</v>
      </c>
    </row>
    <row r="25" spans="1:364" x14ac:dyDescent="0.25">
      <c r="A25" s="7">
        <f t="shared" ref="A25:A44" si="0">+A24+1</f>
        <v>23</v>
      </c>
      <c r="B25" s="16" t="str">
        <f>+Base!B23</f>
        <v>202402260074A033</v>
      </c>
      <c r="C25" s="75">
        <v>6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11.548920000000001</v>
      </c>
      <c r="L25" s="21">
        <v>11.548920000000001</v>
      </c>
      <c r="M25" s="21">
        <v>11.548920000000001</v>
      </c>
      <c r="N25" s="21">
        <v>11.548920000000001</v>
      </c>
      <c r="O25" s="21">
        <v>11.548920000000001</v>
      </c>
      <c r="P25" s="21">
        <v>11.548920000000001</v>
      </c>
      <c r="Q25" s="21">
        <v>11.548920000000001</v>
      </c>
      <c r="R25" s="21">
        <v>11.548920000000001</v>
      </c>
      <c r="S25" s="21">
        <v>11.548920000000001</v>
      </c>
      <c r="T25" s="21">
        <v>11.548920000000001</v>
      </c>
      <c r="U25" s="21">
        <v>11.548920000000001</v>
      </c>
      <c r="V25" s="21">
        <v>11.548920000000001</v>
      </c>
      <c r="W25" s="21">
        <v>11.548920000000001</v>
      </c>
      <c r="X25" s="21">
        <v>11.548920000000001</v>
      </c>
      <c r="Y25" s="21">
        <v>11.548920000000001</v>
      </c>
      <c r="Z25" s="21">
        <v>11.548920000000001</v>
      </c>
      <c r="AA25" s="21">
        <v>11.548920000000001</v>
      </c>
      <c r="AB25" s="21">
        <v>11.548920000000001</v>
      </c>
      <c r="AC25" s="21">
        <v>11.548920000000001</v>
      </c>
      <c r="AD25" s="21">
        <v>11.548920000000001</v>
      </c>
      <c r="AE25" s="21">
        <v>11.548920000000001</v>
      </c>
      <c r="AF25" s="21">
        <v>11.548920000000001</v>
      </c>
      <c r="AG25" s="21">
        <v>11.548920000000001</v>
      </c>
      <c r="AH25" s="21">
        <v>11.548920000000001</v>
      </c>
      <c r="AI25" s="21">
        <v>11.548920000000001</v>
      </c>
      <c r="AJ25" s="21">
        <v>11.548920000000001</v>
      </c>
      <c r="AK25" s="21">
        <v>11.548920000000001</v>
      </c>
      <c r="AL25" s="21">
        <v>11.548920000000001</v>
      </c>
      <c r="AM25" s="21">
        <v>11.548920000000001</v>
      </c>
      <c r="AN25" s="21">
        <v>11.548920000000001</v>
      </c>
      <c r="AO25" s="21">
        <v>11.548920000000001</v>
      </c>
      <c r="AP25" s="21">
        <v>11.548920000000001</v>
      </c>
      <c r="AQ25" s="21">
        <v>11.548920000000001</v>
      </c>
      <c r="AR25" s="21">
        <v>11.548920000000001</v>
      </c>
      <c r="AS25" s="21">
        <v>11.548920000000001</v>
      </c>
      <c r="AT25" s="21">
        <v>11.548920000000001</v>
      </c>
      <c r="AU25" s="21">
        <v>11.548920000000001</v>
      </c>
      <c r="AV25" s="21">
        <v>11.548920000000001</v>
      </c>
      <c r="AW25" s="21">
        <v>11.548920000000001</v>
      </c>
      <c r="AX25" s="21">
        <v>11.548920000000001</v>
      </c>
      <c r="AY25" s="21">
        <v>11.548920000000001</v>
      </c>
      <c r="AZ25" s="21">
        <v>11.548920000000001</v>
      </c>
      <c r="BA25" s="21">
        <v>11.548920000000001</v>
      </c>
      <c r="BB25" s="21">
        <v>11.548920000000001</v>
      </c>
      <c r="BC25" s="21">
        <v>11.548920000000001</v>
      </c>
      <c r="BD25" s="21">
        <v>11.548920000000001</v>
      </c>
      <c r="BE25" s="21">
        <v>11.548920000000001</v>
      </c>
      <c r="BF25" s="21">
        <v>11.548920000000001</v>
      </c>
      <c r="BG25" s="21">
        <v>11.548920000000001</v>
      </c>
      <c r="BH25" s="21">
        <v>11.548920000000001</v>
      </c>
      <c r="BI25" s="21">
        <v>11.548920000000001</v>
      </c>
      <c r="BJ25" s="21">
        <v>11.548920000000001</v>
      </c>
      <c r="BK25" s="21">
        <v>11.548920000000001</v>
      </c>
      <c r="BL25" s="21">
        <v>11.548920000000001</v>
      </c>
      <c r="BM25" s="21">
        <v>11.548920000000001</v>
      </c>
      <c r="BN25" s="21">
        <v>11.548920000000001</v>
      </c>
      <c r="BO25" s="21">
        <v>11.548920000000001</v>
      </c>
      <c r="BP25" s="21">
        <v>11.548920000000001</v>
      </c>
      <c r="BQ25" s="21">
        <v>11.548920000000001</v>
      </c>
      <c r="BR25" s="21">
        <v>11.548920000000001</v>
      </c>
      <c r="BS25" s="21">
        <v>11.548920000000001</v>
      </c>
      <c r="BT25" s="21">
        <v>11.548920000000001</v>
      </c>
      <c r="BU25" s="21">
        <v>11.548920000000001</v>
      </c>
      <c r="BV25" s="21">
        <v>11.548920000000001</v>
      </c>
      <c r="BW25" s="21">
        <v>11.548920000000001</v>
      </c>
      <c r="BX25" s="21">
        <v>11.548920000000001</v>
      </c>
      <c r="BY25" s="21">
        <v>11.548920000000001</v>
      </c>
      <c r="BZ25" s="21">
        <v>11.548920000000001</v>
      </c>
      <c r="CA25" s="21">
        <v>11.548920000000001</v>
      </c>
      <c r="CB25" s="21">
        <v>11.548920000000001</v>
      </c>
      <c r="CC25" s="21">
        <v>11.548920000000001</v>
      </c>
      <c r="CD25" s="21">
        <v>11.548920000000001</v>
      </c>
      <c r="CE25" s="21">
        <v>11.548920000000001</v>
      </c>
      <c r="CF25" s="21">
        <v>11.548920000000001</v>
      </c>
      <c r="CG25" s="21">
        <v>11.548920000000001</v>
      </c>
      <c r="CH25" s="21">
        <v>11.548920000000001</v>
      </c>
      <c r="CI25" s="21">
        <v>11.548920000000001</v>
      </c>
      <c r="CJ25" s="21">
        <v>11.548920000000001</v>
      </c>
      <c r="CK25" s="21">
        <v>11.548920000000001</v>
      </c>
      <c r="CL25" s="21">
        <v>11.548920000000001</v>
      </c>
      <c r="CM25" s="21">
        <v>11.548920000000001</v>
      </c>
      <c r="CN25" s="21">
        <v>11.548920000000001</v>
      </c>
      <c r="CO25" s="21">
        <v>11.548920000000001</v>
      </c>
      <c r="CP25" s="21">
        <v>11.548920000000001</v>
      </c>
      <c r="CQ25" s="21">
        <v>11.548920000000001</v>
      </c>
      <c r="CR25" s="21">
        <v>11.548920000000001</v>
      </c>
      <c r="CS25" s="21">
        <v>11.548920000000001</v>
      </c>
      <c r="CT25" s="21">
        <v>11.548920000000001</v>
      </c>
      <c r="CU25" s="21">
        <v>11.548920000000001</v>
      </c>
      <c r="CV25" s="21">
        <v>11.548920000000001</v>
      </c>
      <c r="CW25" s="21">
        <v>11.548920000000001</v>
      </c>
      <c r="CX25" s="21">
        <v>11.548920000000001</v>
      </c>
      <c r="CY25" s="21">
        <v>11.548920000000001</v>
      </c>
      <c r="CZ25" s="21">
        <v>11.548920000000001</v>
      </c>
      <c r="DA25" s="21">
        <v>11.548920000000001</v>
      </c>
      <c r="DB25" s="21">
        <v>11.548920000000001</v>
      </c>
      <c r="DC25" s="21">
        <v>11.548920000000001</v>
      </c>
      <c r="DD25" s="21">
        <v>11.548920000000001</v>
      </c>
      <c r="DE25" s="21">
        <v>11.548920000000001</v>
      </c>
      <c r="DF25" s="21">
        <v>11.548920000000001</v>
      </c>
      <c r="DG25" s="21">
        <v>11.548920000000001</v>
      </c>
      <c r="DH25" s="21">
        <v>11.548920000000001</v>
      </c>
      <c r="DI25" s="21">
        <v>11.548920000000001</v>
      </c>
      <c r="DJ25" s="21">
        <v>11.548920000000001</v>
      </c>
      <c r="DK25" s="21">
        <v>11.548920000000001</v>
      </c>
      <c r="DL25" s="21">
        <v>11.548920000000001</v>
      </c>
      <c r="DM25" s="21">
        <v>11.548920000000001</v>
      </c>
      <c r="DN25" s="21">
        <v>11.548920000000001</v>
      </c>
      <c r="DO25" s="21">
        <v>11.548920000000001</v>
      </c>
      <c r="DP25" s="21">
        <v>11.548920000000001</v>
      </c>
      <c r="DQ25" s="21">
        <v>11.548920000000001</v>
      </c>
      <c r="DR25" s="21">
        <v>11.548920000000001</v>
      </c>
      <c r="DS25" s="21">
        <v>11.548920000000001</v>
      </c>
      <c r="DT25" s="21">
        <v>11.548920000000001</v>
      </c>
      <c r="DU25" s="21">
        <v>11.548920000000001</v>
      </c>
      <c r="DV25" s="21">
        <v>11.548920000000001</v>
      </c>
      <c r="DW25" s="21">
        <v>11.548920000000001</v>
      </c>
      <c r="DX25" s="21">
        <v>11.548920000000001</v>
      </c>
      <c r="DY25" s="21">
        <v>11.548920000000001</v>
      </c>
      <c r="DZ25" s="21">
        <v>11.548920000000001</v>
      </c>
      <c r="EA25" s="21">
        <v>11.548920000000001</v>
      </c>
      <c r="EB25" s="21">
        <v>11.548920000000001</v>
      </c>
      <c r="EC25" s="21">
        <v>11.548920000000001</v>
      </c>
      <c r="ED25" s="21">
        <v>11.548920000000001</v>
      </c>
      <c r="EE25" s="21">
        <v>11.548920000000001</v>
      </c>
      <c r="EF25" s="21">
        <v>11.548920000000001</v>
      </c>
      <c r="EG25" s="21">
        <v>11.548920000000001</v>
      </c>
      <c r="EH25" s="21">
        <v>11.548920000000001</v>
      </c>
      <c r="EI25" s="21">
        <v>11.548920000000001</v>
      </c>
      <c r="EJ25" s="21">
        <v>11.548920000000001</v>
      </c>
      <c r="EK25" s="21">
        <v>11.548920000000001</v>
      </c>
      <c r="EL25" s="21">
        <v>11.548920000000001</v>
      </c>
      <c r="EM25" s="21">
        <v>11.548920000000001</v>
      </c>
      <c r="EN25" s="21">
        <v>11.548920000000001</v>
      </c>
      <c r="EO25" s="21">
        <v>11.548920000000001</v>
      </c>
      <c r="EP25" s="21">
        <v>11.548920000000001</v>
      </c>
      <c r="EQ25" s="21">
        <v>11.548920000000001</v>
      </c>
      <c r="ER25" s="21">
        <v>11.548920000000001</v>
      </c>
      <c r="ES25" s="21">
        <v>11.548920000000001</v>
      </c>
      <c r="ET25" s="21">
        <v>11.548920000000001</v>
      </c>
      <c r="EU25" s="21">
        <v>11.548920000000001</v>
      </c>
      <c r="EV25" s="21">
        <v>11.548920000000001</v>
      </c>
      <c r="EW25" s="21">
        <v>11.548920000000001</v>
      </c>
      <c r="EX25" s="21">
        <v>11.548920000000001</v>
      </c>
      <c r="EY25" s="21">
        <v>11.548920000000001</v>
      </c>
      <c r="EZ25" s="21">
        <v>11.548920000000001</v>
      </c>
      <c r="FA25" s="21">
        <v>11.548920000000001</v>
      </c>
      <c r="FB25" s="21">
        <v>11.548920000000001</v>
      </c>
      <c r="FC25" s="21">
        <v>11.548920000000001</v>
      </c>
      <c r="FD25" s="21">
        <v>11.548920000000001</v>
      </c>
      <c r="FE25" s="21">
        <v>11.548920000000001</v>
      </c>
      <c r="FF25" s="21">
        <v>11.548920000000001</v>
      </c>
      <c r="FG25" s="21">
        <v>11.548920000000001</v>
      </c>
      <c r="FH25" s="21">
        <v>11.548920000000001</v>
      </c>
      <c r="FI25" s="21">
        <v>11.548920000000001</v>
      </c>
      <c r="FJ25" s="21">
        <v>11.548920000000001</v>
      </c>
      <c r="FK25" s="21">
        <v>11.548920000000001</v>
      </c>
      <c r="FL25" s="21">
        <v>11.548920000000001</v>
      </c>
      <c r="FM25" s="21">
        <v>11.548920000000001</v>
      </c>
      <c r="FN25" s="21">
        <v>11.548920000000001</v>
      </c>
      <c r="FO25" s="21">
        <v>11.548920000000001</v>
      </c>
      <c r="FP25" s="21">
        <v>11.548920000000001</v>
      </c>
      <c r="FQ25" s="21">
        <v>11.548920000000001</v>
      </c>
      <c r="FR25" s="21">
        <v>11.548920000000001</v>
      </c>
      <c r="FS25" s="21">
        <v>11.548920000000001</v>
      </c>
      <c r="FT25" s="21">
        <v>11.548920000000001</v>
      </c>
      <c r="FU25" s="21">
        <v>11.548920000000001</v>
      </c>
      <c r="FV25" s="21">
        <v>11.548920000000001</v>
      </c>
      <c r="FW25" s="21">
        <v>11.548920000000001</v>
      </c>
      <c r="FX25" s="21">
        <v>11.548920000000001</v>
      </c>
      <c r="FY25" s="21">
        <v>11.548920000000001</v>
      </c>
      <c r="FZ25" s="21">
        <v>11.548920000000001</v>
      </c>
      <c r="GA25" s="21">
        <v>11.548920000000001</v>
      </c>
      <c r="GB25" s="21">
        <v>11.548920000000001</v>
      </c>
      <c r="GC25" s="21">
        <v>11.548920000000001</v>
      </c>
      <c r="GD25" s="21">
        <v>11.548920000000001</v>
      </c>
      <c r="GE25" s="21">
        <v>11.548920000000001</v>
      </c>
      <c r="GF25" s="21">
        <v>11.548920000000001</v>
      </c>
      <c r="GG25" s="21">
        <v>11.548920000000001</v>
      </c>
      <c r="GH25" s="21">
        <v>11.548920000000001</v>
      </c>
      <c r="GI25" s="21">
        <v>11.548920000000001</v>
      </c>
      <c r="GJ25" s="21">
        <v>11.548920000000001</v>
      </c>
      <c r="GK25" s="21">
        <v>11.548920000000001</v>
      </c>
      <c r="GL25" s="21">
        <v>11.548920000000001</v>
      </c>
      <c r="GM25" s="21">
        <v>11.548920000000001</v>
      </c>
      <c r="GN25" s="21">
        <v>11.548920000000001</v>
      </c>
      <c r="GO25" s="21">
        <v>11.548920000000001</v>
      </c>
      <c r="GP25" s="21">
        <v>11.548920000000001</v>
      </c>
      <c r="GQ25" s="21">
        <v>11.548920000000001</v>
      </c>
      <c r="GR25" s="21">
        <v>11.548920000000001</v>
      </c>
      <c r="GS25" s="21">
        <v>11.548920000000001</v>
      </c>
      <c r="GT25" s="21">
        <v>11.548920000000001</v>
      </c>
      <c r="GU25" s="21">
        <v>11.548920000000001</v>
      </c>
      <c r="GV25" s="21">
        <v>11.548920000000001</v>
      </c>
      <c r="GW25" s="21">
        <v>11.548920000000001</v>
      </c>
      <c r="GX25" s="21">
        <v>11.548920000000001</v>
      </c>
      <c r="GY25" s="21">
        <v>11.548920000000001</v>
      </c>
      <c r="GZ25" s="21">
        <v>11.548920000000001</v>
      </c>
      <c r="HA25" s="21">
        <v>11.548920000000001</v>
      </c>
      <c r="HB25" s="21">
        <v>11.548920000000001</v>
      </c>
      <c r="HC25" s="21">
        <v>11.548920000000001</v>
      </c>
      <c r="HD25" s="21">
        <v>11.548920000000001</v>
      </c>
      <c r="HE25" s="21">
        <v>11.548920000000001</v>
      </c>
      <c r="HF25" s="21">
        <v>11.548920000000001</v>
      </c>
      <c r="HG25" s="21">
        <v>11.548920000000001</v>
      </c>
      <c r="HH25" s="21">
        <v>11.548920000000001</v>
      </c>
      <c r="HI25" s="21">
        <v>11.548920000000001</v>
      </c>
      <c r="HJ25" s="21">
        <v>11.548920000000001</v>
      </c>
      <c r="HK25" s="21">
        <v>11.548920000000001</v>
      </c>
      <c r="HL25" s="21">
        <v>11.548920000000001</v>
      </c>
      <c r="HM25" s="21">
        <v>11.548920000000001</v>
      </c>
      <c r="HN25" s="21">
        <v>11.548920000000001</v>
      </c>
      <c r="HO25" s="21">
        <v>11.548920000000001</v>
      </c>
      <c r="HP25" s="21">
        <v>11.548920000000001</v>
      </c>
      <c r="HQ25" s="21">
        <v>11.548920000000001</v>
      </c>
      <c r="HR25" s="21">
        <v>11.548920000000001</v>
      </c>
      <c r="HS25" s="21">
        <v>11.548920000000001</v>
      </c>
      <c r="HT25" s="21">
        <v>11.548920000000001</v>
      </c>
      <c r="HU25" s="21">
        <v>11.548920000000001</v>
      </c>
      <c r="HV25" s="21">
        <v>11.548920000000001</v>
      </c>
      <c r="HW25" s="21">
        <v>11.548920000000001</v>
      </c>
      <c r="HX25" s="21">
        <v>11.548920000000001</v>
      </c>
      <c r="HY25" s="21">
        <v>11.548920000000001</v>
      </c>
      <c r="HZ25" s="21">
        <v>11.548920000000001</v>
      </c>
      <c r="IA25" s="21">
        <v>11.548920000000001</v>
      </c>
      <c r="IB25" s="21">
        <v>11.548920000000001</v>
      </c>
      <c r="IC25" s="21">
        <v>11.548920000000001</v>
      </c>
      <c r="ID25" s="21">
        <v>11.548920000000001</v>
      </c>
      <c r="IE25" s="21">
        <v>11.548920000000001</v>
      </c>
      <c r="IF25" s="21">
        <v>11.548920000000001</v>
      </c>
      <c r="IG25" s="21">
        <v>11.548920000000001</v>
      </c>
      <c r="IH25" s="21">
        <v>11.548920000000001</v>
      </c>
      <c r="II25" s="21">
        <v>11.548920000000001</v>
      </c>
      <c r="IJ25" s="21">
        <v>11.548920000000001</v>
      </c>
      <c r="IK25" s="21">
        <v>11.548920000000001</v>
      </c>
      <c r="IL25" s="21">
        <v>11.548920000000001</v>
      </c>
      <c r="IM25" s="21">
        <v>11.548920000000001</v>
      </c>
      <c r="IN25" s="21">
        <v>11.548920000000001</v>
      </c>
      <c r="IO25" s="21">
        <v>11.548920000000001</v>
      </c>
      <c r="IP25" s="21">
        <v>11.548920000000001</v>
      </c>
      <c r="IQ25" s="21">
        <v>11.548920000000001</v>
      </c>
      <c r="IR25" s="21">
        <v>11.548920000000001</v>
      </c>
      <c r="IS25" s="21">
        <v>11.548920000000001</v>
      </c>
      <c r="IT25" s="21">
        <v>11.548920000000001</v>
      </c>
      <c r="IU25" s="21">
        <v>11.548920000000001</v>
      </c>
      <c r="IV25" s="21">
        <v>11.548920000000001</v>
      </c>
      <c r="IW25" s="21">
        <v>11.548920000000001</v>
      </c>
      <c r="IX25" s="21">
        <v>11.548920000000001</v>
      </c>
      <c r="IY25" s="21">
        <v>11.548920000000001</v>
      </c>
      <c r="IZ25" s="21">
        <v>11.548920000000001</v>
      </c>
      <c r="JA25" s="21">
        <v>11.548920000000001</v>
      </c>
      <c r="JB25" s="21">
        <v>11.548920000000001</v>
      </c>
      <c r="JC25" s="21">
        <v>11.548920000000001</v>
      </c>
      <c r="JD25" s="21">
        <v>11.548920000000001</v>
      </c>
      <c r="JE25" s="21">
        <v>11.548920000000001</v>
      </c>
      <c r="JF25" s="21">
        <v>11.548920000000001</v>
      </c>
      <c r="JG25" s="21">
        <v>11.548920000000001</v>
      </c>
      <c r="JH25" s="21">
        <v>11.548920000000001</v>
      </c>
      <c r="JI25" s="21">
        <v>11.548920000000001</v>
      </c>
      <c r="JJ25" s="21">
        <v>11.548920000000001</v>
      </c>
      <c r="JK25" s="21">
        <v>11.548920000000001</v>
      </c>
      <c r="JL25" s="21">
        <v>11.548920000000001</v>
      </c>
      <c r="JM25" s="21">
        <v>11.548920000000001</v>
      </c>
      <c r="JN25" s="21">
        <v>11.548920000000001</v>
      </c>
      <c r="JO25" s="21">
        <v>11.548920000000001</v>
      </c>
      <c r="JP25" s="21">
        <v>11.548920000000001</v>
      </c>
      <c r="JQ25" s="21">
        <v>11.548920000000001</v>
      </c>
      <c r="JR25" s="21">
        <v>11.548920000000001</v>
      </c>
      <c r="JS25" s="21">
        <v>11.548920000000001</v>
      </c>
      <c r="JT25" s="21">
        <v>11.548920000000001</v>
      </c>
      <c r="JU25" s="21">
        <v>11.548920000000001</v>
      </c>
      <c r="JV25" s="21">
        <v>11.548920000000001</v>
      </c>
      <c r="JW25" s="21">
        <v>11.548920000000001</v>
      </c>
      <c r="JX25" s="21">
        <v>11.548920000000001</v>
      </c>
      <c r="JY25" s="21">
        <v>11.548920000000001</v>
      </c>
      <c r="JZ25" s="21">
        <v>11.548920000000001</v>
      </c>
      <c r="KA25" s="21">
        <v>11.548920000000001</v>
      </c>
      <c r="KB25" s="21">
        <v>11.548920000000001</v>
      </c>
      <c r="KC25" s="21">
        <v>11.548920000000001</v>
      </c>
      <c r="KD25" s="21">
        <v>11.548920000000001</v>
      </c>
      <c r="KE25" s="21">
        <v>11.548920000000001</v>
      </c>
      <c r="KF25" s="21">
        <v>11.548920000000001</v>
      </c>
      <c r="KG25" s="21">
        <v>11.548920000000001</v>
      </c>
      <c r="KH25" s="21">
        <v>11.548920000000001</v>
      </c>
      <c r="KI25" s="21">
        <v>11.548920000000001</v>
      </c>
      <c r="KJ25" s="21">
        <v>11.548920000000001</v>
      </c>
      <c r="KK25" s="21">
        <v>11.548920000000001</v>
      </c>
      <c r="KL25" s="21">
        <v>11.548920000000001</v>
      </c>
      <c r="KM25" s="21">
        <v>11.548920000000001</v>
      </c>
      <c r="KN25" s="21">
        <v>11.548920000000001</v>
      </c>
      <c r="KO25" s="21">
        <v>11.548920000000001</v>
      </c>
      <c r="KP25" s="21">
        <v>11.548920000000001</v>
      </c>
      <c r="KQ25" s="21">
        <v>11.548920000000001</v>
      </c>
      <c r="KR25" s="21">
        <v>11.548920000000001</v>
      </c>
      <c r="KS25" s="21">
        <v>11.548920000000001</v>
      </c>
      <c r="KT25" s="21">
        <v>11.548920000000001</v>
      </c>
      <c r="KU25" s="21">
        <v>11.548920000000001</v>
      </c>
      <c r="KV25" s="21">
        <v>11.548920000000001</v>
      </c>
      <c r="KW25" s="21">
        <v>11.548920000000001</v>
      </c>
      <c r="KX25" s="21">
        <v>11.548920000000001</v>
      </c>
      <c r="KY25" s="21">
        <v>11.548920000000001</v>
      </c>
      <c r="KZ25" s="21">
        <v>11.548920000000001</v>
      </c>
      <c r="LA25" s="21">
        <v>11.548920000000001</v>
      </c>
      <c r="LB25" s="21">
        <v>11.548920000000001</v>
      </c>
      <c r="LC25" s="21">
        <v>11.548920000000001</v>
      </c>
      <c r="LD25" s="21">
        <v>11.548920000000001</v>
      </c>
      <c r="LE25" s="21">
        <v>11.548920000000001</v>
      </c>
      <c r="LF25" s="21">
        <v>11.548920000000001</v>
      </c>
      <c r="LG25" s="21">
        <v>11.548920000000001</v>
      </c>
      <c r="LH25" s="21">
        <v>11.548920000000001</v>
      </c>
      <c r="LI25" s="21">
        <v>11.548920000000001</v>
      </c>
      <c r="LJ25" s="21">
        <v>11.548920000000001</v>
      </c>
      <c r="LK25" s="21">
        <v>11.548920000000001</v>
      </c>
      <c r="LL25" s="21">
        <v>11.548920000000001</v>
      </c>
      <c r="LM25" s="21">
        <v>11.548920000000001</v>
      </c>
      <c r="LN25" s="21">
        <v>11.548920000000001</v>
      </c>
      <c r="LO25" s="21">
        <v>11.548920000000001</v>
      </c>
      <c r="LP25" s="21">
        <v>11.548920000000001</v>
      </c>
      <c r="LQ25" s="21">
        <v>12.136100000000001</v>
      </c>
      <c r="LR25" s="21">
        <v>0</v>
      </c>
      <c r="LS25" s="21">
        <v>0</v>
      </c>
      <c r="LT25" s="21">
        <v>0</v>
      </c>
      <c r="LU25" s="21">
        <v>0</v>
      </c>
      <c r="LV25" s="21">
        <v>0</v>
      </c>
      <c r="LW25" s="21">
        <v>0</v>
      </c>
      <c r="LX25" s="21">
        <v>0</v>
      </c>
      <c r="LY25" s="21">
        <v>0</v>
      </c>
      <c r="LZ25" s="21">
        <v>0</v>
      </c>
      <c r="MA25" s="21">
        <v>0</v>
      </c>
      <c r="MB25" s="21">
        <v>0</v>
      </c>
      <c r="MC25" s="21">
        <v>0</v>
      </c>
      <c r="MD25" s="21">
        <v>0</v>
      </c>
      <c r="ME25" s="21">
        <v>0</v>
      </c>
      <c r="MF25" s="21">
        <v>0</v>
      </c>
      <c r="MG25" s="21">
        <v>0</v>
      </c>
      <c r="MH25" s="21">
        <v>0</v>
      </c>
      <c r="MI25" s="21">
        <v>0</v>
      </c>
      <c r="MJ25" s="21">
        <v>0</v>
      </c>
      <c r="MK25" s="21">
        <v>0</v>
      </c>
      <c r="ML25" s="21">
        <v>0</v>
      </c>
      <c r="MM25" s="21">
        <v>0</v>
      </c>
      <c r="MN25" s="21">
        <v>0</v>
      </c>
      <c r="MO25" s="21">
        <v>0</v>
      </c>
      <c r="MP25" s="21">
        <v>0</v>
      </c>
      <c r="MQ25" s="21">
        <v>0</v>
      </c>
      <c r="MR25" s="21">
        <v>0</v>
      </c>
      <c r="MS25" s="21">
        <v>0</v>
      </c>
      <c r="MT25" s="21">
        <v>0</v>
      </c>
      <c r="MU25" s="21">
        <v>0</v>
      </c>
      <c r="MV25" s="21">
        <v>0</v>
      </c>
      <c r="MW25" s="21">
        <v>0</v>
      </c>
      <c r="MX25" s="21">
        <v>0</v>
      </c>
      <c r="MY25" s="21">
        <v>0</v>
      </c>
      <c r="MZ25" s="21">
        <v>0</v>
      </c>
    </row>
    <row r="26" spans="1:364" x14ac:dyDescent="0.25">
      <c r="A26" s="7">
        <f t="shared" si="0"/>
        <v>24</v>
      </c>
      <c r="B26" s="16" t="str">
        <f>+Base!B24</f>
        <v>202402270075A033</v>
      </c>
      <c r="C26" s="75">
        <v>6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12.249840000000001</v>
      </c>
      <c r="L26" s="21">
        <v>12.249840000000001</v>
      </c>
      <c r="M26" s="21">
        <v>12.249840000000001</v>
      </c>
      <c r="N26" s="21">
        <v>12.249840000000001</v>
      </c>
      <c r="O26" s="21">
        <v>12.249840000000001</v>
      </c>
      <c r="P26" s="21">
        <v>12.249840000000001</v>
      </c>
      <c r="Q26" s="21">
        <v>12.249840000000001</v>
      </c>
      <c r="R26" s="21">
        <v>12.249840000000001</v>
      </c>
      <c r="S26" s="21">
        <v>12.249840000000001</v>
      </c>
      <c r="T26" s="21">
        <v>12.249840000000001</v>
      </c>
      <c r="U26" s="21">
        <v>12.249840000000001</v>
      </c>
      <c r="V26" s="21">
        <v>12.249840000000001</v>
      </c>
      <c r="W26" s="21">
        <v>12.249840000000001</v>
      </c>
      <c r="X26" s="21">
        <v>12.249840000000001</v>
      </c>
      <c r="Y26" s="21">
        <v>12.249840000000001</v>
      </c>
      <c r="Z26" s="21">
        <v>12.249840000000001</v>
      </c>
      <c r="AA26" s="21">
        <v>12.249840000000001</v>
      </c>
      <c r="AB26" s="21">
        <v>12.249840000000001</v>
      </c>
      <c r="AC26" s="21">
        <v>12.249840000000001</v>
      </c>
      <c r="AD26" s="21">
        <v>12.249840000000001</v>
      </c>
      <c r="AE26" s="21">
        <v>12.249840000000001</v>
      </c>
      <c r="AF26" s="21">
        <v>12.249840000000001</v>
      </c>
      <c r="AG26" s="21">
        <v>12.249840000000001</v>
      </c>
      <c r="AH26" s="21">
        <v>12.249840000000001</v>
      </c>
      <c r="AI26" s="21">
        <v>12.249840000000001</v>
      </c>
      <c r="AJ26" s="21">
        <v>12.249840000000001</v>
      </c>
      <c r="AK26" s="21">
        <v>12.249840000000001</v>
      </c>
      <c r="AL26" s="21">
        <v>12.249840000000001</v>
      </c>
      <c r="AM26" s="21">
        <v>12.249840000000001</v>
      </c>
      <c r="AN26" s="21">
        <v>12.249840000000001</v>
      </c>
      <c r="AO26" s="21">
        <v>12.249840000000001</v>
      </c>
      <c r="AP26" s="21">
        <v>12.249840000000001</v>
      </c>
      <c r="AQ26" s="21">
        <v>12.249840000000001</v>
      </c>
      <c r="AR26" s="21">
        <v>12.249840000000001</v>
      </c>
      <c r="AS26" s="21">
        <v>12.249840000000001</v>
      </c>
      <c r="AT26" s="21">
        <v>12.249840000000001</v>
      </c>
      <c r="AU26" s="21">
        <v>12.249840000000001</v>
      </c>
      <c r="AV26" s="21">
        <v>12.249840000000001</v>
      </c>
      <c r="AW26" s="21">
        <v>12.249840000000001</v>
      </c>
      <c r="AX26" s="21">
        <v>12.249840000000001</v>
      </c>
      <c r="AY26" s="21">
        <v>12.249840000000001</v>
      </c>
      <c r="AZ26" s="21">
        <v>12.249840000000001</v>
      </c>
      <c r="BA26" s="21">
        <v>12.249840000000001</v>
      </c>
      <c r="BB26" s="21">
        <v>12.249840000000001</v>
      </c>
      <c r="BC26" s="21">
        <v>12.249840000000001</v>
      </c>
      <c r="BD26" s="21">
        <v>12.249840000000001</v>
      </c>
      <c r="BE26" s="21">
        <v>12.249840000000001</v>
      </c>
      <c r="BF26" s="21">
        <v>12.249840000000001</v>
      </c>
      <c r="BG26" s="21">
        <v>12.249840000000001</v>
      </c>
      <c r="BH26" s="21">
        <v>12.249840000000001</v>
      </c>
      <c r="BI26" s="21">
        <v>12.249840000000001</v>
      </c>
      <c r="BJ26" s="21">
        <v>12.249840000000001</v>
      </c>
      <c r="BK26" s="21">
        <v>12.249840000000001</v>
      </c>
      <c r="BL26" s="21">
        <v>12.249840000000001</v>
      </c>
      <c r="BM26" s="21">
        <v>12.249840000000001</v>
      </c>
      <c r="BN26" s="21">
        <v>12.249840000000001</v>
      </c>
      <c r="BO26" s="21">
        <v>12.249840000000001</v>
      </c>
      <c r="BP26" s="21">
        <v>12.249840000000001</v>
      </c>
      <c r="BQ26" s="21">
        <v>12.249840000000001</v>
      </c>
      <c r="BR26" s="21">
        <v>12.249840000000001</v>
      </c>
      <c r="BS26" s="21">
        <v>12.249840000000001</v>
      </c>
      <c r="BT26" s="21">
        <v>12.249840000000001</v>
      </c>
      <c r="BU26" s="21">
        <v>12.249840000000001</v>
      </c>
      <c r="BV26" s="21">
        <v>12.249840000000001</v>
      </c>
      <c r="BW26" s="21">
        <v>12.249840000000001</v>
      </c>
      <c r="BX26" s="21">
        <v>12.249840000000001</v>
      </c>
      <c r="BY26" s="21">
        <v>12.249840000000001</v>
      </c>
      <c r="BZ26" s="21">
        <v>12.249840000000001</v>
      </c>
      <c r="CA26" s="21">
        <v>12.249840000000001</v>
      </c>
      <c r="CB26" s="21">
        <v>12.249840000000001</v>
      </c>
      <c r="CC26" s="21">
        <v>12.249840000000001</v>
      </c>
      <c r="CD26" s="21">
        <v>12.249840000000001</v>
      </c>
      <c r="CE26" s="21">
        <v>12.249840000000001</v>
      </c>
      <c r="CF26" s="21">
        <v>12.249840000000001</v>
      </c>
      <c r="CG26" s="21">
        <v>12.249840000000001</v>
      </c>
      <c r="CH26" s="21">
        <v>12.249840000000001</v>
      </c>
      <c r="CI26" s="21">
        <v>12.249840000000001</v>
      </c>
      <c r="CJ26" s="21">
        <v>12.249840000000001</v>
      </c>
      <c r="CK26" s="21">
        <v>12.249840000000001</v>
      </c>
      <c r="CL26" s="21">
        <v>12.249840000000001</v>
      </c>
      <c r="CM26" s="21">
        <v>12.249840000000001</v>
      </c>
      <c r="CN26" s="21">
        <v>12.249840000000001</v>
      </c>
      <c r="CO26" s="21">
        <v>12.249840000000001</v>
      </c>
      <c r="CP26" s="21">
        <v>12.249840000000001</v>
      </c>
      <c r="CQ26" s="21">
        <v>12.249840000000001</v>
      </c>
      <c r="CR26" s="21">
        <v>12.249840000000001</v>
      </c>
      <c r="CS26" s="21">
        <v>12.249840000000001</v>
      </c>
      <c r="CT26" s="21">
        <v>12.249840000000001</v>
      </c>
      <c r="CU26" s="21">
        <v>12.249840000000001</v>
      </c>
      <c r="CV26" s="21">
        <v>12.249840000000001</v>
      </c>
      <c r="CW26" s="21">
        <v>12.249840000000001</v>
      </c>
      <c r="CX26" s="21">
        <v>12.249840000000001</v>
      </c>
      <c r="CY26" s="21">
        <v>12.249840000000001</v>
      </c>
      <c r="CZ26" s="21">
        <v>12.249840000000001</v>
      </c>
      <c r="DA26" s="21">
        <v>12.249840000000001</v>
      </c>
      <c r="DB26" s="21">
        <v>12.249840000000001</v>
      </c>
      <c r="DC26" s="21">
        <v>12.249840000000001</v>
      </c>
      <c r="DD26" s="21">
        <v>12.249840000000001</v>
      </c>
      <c r="DE26" s="21">
        <v>12.249840000000001</v>
      </c>
      <c r="DF26" s="21">
        <v>12.249840000000001</v>
      </c>
      <c r="DG26" s="21">
        <v>12.249840000000001</v>
      </c>
      <c r="DH26" s="21">
        <v>12.249840000000001</v>
      </c>
      <c r="DI26" s="21">
        <v>12.249840000000001</v>
      </c>
      <c r="DJ26" s="21">
        <v>12.249840000000001</v>
      </c>
      <c r="DK26" s="21">
        <v>12.249840000000001</v>
      </c>
      <c r="DL26" s="21">
        <v>12.249840000000001</v>
      </c>
      <c r="DM26" s="21">
        <v>12.249840000000001</v>
      </c>
      <c r="DN26" s="21">
        <v>12.249840000000001</v>
      </c>
      <c r="DO26" s="21">
        <v>12.249840000000001</v>
      </c>
      <c r="DP26" s="21">
        <v>12.249840000000001</v>
      </c>
      <c r="DQ26" s="21">
        <v>12.249840000000001</v>
      </c>
      <c r="DR26" s="21">
        <v>12.249840000000001</v>
      </c>
      <c r="DS26" s="21">
        <v>12.249840000000001</v>
      </c>
      <c r="DT26" s="21">
        <v>12.249840000000001</v>
      </c>
      <c r="DU26" s="21">
        <v>12.249840000000001</v>
      </c>
      <c r="DV26" s="21">
        <v>12.249840000000001</v>
      </c>
      <c r="DW26" s="21">
        <v>12.249840000000001</v>
      </c>
      <c r="DX26" s="21">
        <v>12.249840000000001</v>
      </c>
      <c r="DY26" s="21">
        <v>12.249840000000001</v>
      </c>
      <c r="DZ26" s="21">
        <v>12.249840000000001</v>
      </c>
      <c r="EA26" s="21">
        <v>12.249840000000001</v>
      </c>
      <c r="EB26" s="21">
        <v>12.249840000000001</v>
      </c>
      <c r="EC26" s="21">
        <v>12.249840000000001</v>
      </c>
      <c r="ED26" s="21">
        <v>12.249840000000001</v>
      </c>
      <c r="EE26" s="21">
        <v>12.249840000000001</v>
      </c>
      <c r="EF26" s="21">
        <v>12.249840000000001</v>
      </c>
      <c r="EG26" s="21">
        <v>12.249840000000001</v>
      </c>
      <c r="EH26" s="21">
        <v>12.249840000000001</v>
      </c>
      <c r="EI26" s="21">
        <v>12.249840000000001</v>
      </c>
      <c r="EJ26" s="21">
        <v>12.249840000000001</v>
      </c>
      <c r="EK26" s="21">
        <v>12.249840000000001</v>
      </c>
      <c r="EL26" s="21">
        <v>12.249840000000001</v>
      </c>
      <c r="EM26" s="21">
        <v>12.249840000000001</v>
      </c>
      <c r="EN26" s="21">
        <v>12.249840000000001</v>
      </c>
      <c r="EO26" s="21">
        <v>12.249840000000001</v>
      </c>
      <c r="EP26" s="21">
        <v>12.249840000000001</v>
      </c>
      <c r="EQ26" s="21">
        <v>12.249840000000001</v>
      </c>
      <c r="ER26" s="21">
        <v>12.249840000000001</v>
      </c>
      <c r="ES26" s="21">
        <v>12.249840000000001</v>
      </c>
      <c r="ET26" s="21">
        <v>12.249840000000001</v>
      </c>
      <c r="EU26" s="21">
        <v>12.249840000000001</v>
      </c>
      <c r="EV26" s="21">
        <v>12.249840000000001</v>
      </c>
      <c r="EW26" s="21">
        <v>12.249840000000001</v>
      </c>
      <c r="EX26" s="21">
        <v>12.249840000000001</v>
      </c>
      <c r="EY26" s="21">
        <v>12.249840000000001</v>
      </c>
      <c r="EZ26" s="21">
        <v>12.249840000000001</v>
      </c>
      <c r="FA26" s="21">
        <v>12.249840000000001</v>
      </c>
      <c r="FB26" s="21">
        <v>12.249840000000001</v>
      </c>
      <c r="FC26" s="21">
        <v>12.249840000000001</v>
      </c>
      <c r="FD26" s="21">
        <v>12.249840000000001</v>
      </c>
      <c r="FE26" s="21">
        <v>12.249840000000001</v>
      </c>
      <c r="FF26" s="21">
        <v>12.249840000000001</v>
      </c>
      <c r="FG26" s="21">
        <v>12.249840000000001</v>
      </c>
      <c r="FH26" s="21">
        <v>12.249840000000001</v>
      </c>
      <c r="FI26" s="21">
        <v>12.249840000000001</v>
      </c>
      <c r="FJ26" s="21">
        <v>12.249840000000001</v>
      </c>
      <c r="FK26" s="21">
        <v>12.249840000000001</v>
      </c>
      <c r="FL26" s="21">
        <v>12.249840000000001</v>
      </c>
      <c r="FM26" s="21">
        <v>12.249840000000001</v>
      </c>
      <c r="FN26" s="21">
        <v>12.249840000000001</v>
      </c>
      <c r="FO26" s="21">
        <v>12.249840000000001</v>
      </c>
      <c r="FP26" s="21">
        <v>12.249840000000001</v>
      </c>
      <c r="FQ26" s="21">
        <v>12.249840000000001</v>
      </c>
      <c r="FR26" s="21">
        <v>12.249840000000001</v>
      </c>
      <c r="FS26" s="21">
        <v>12.249840000000001</v>
      </c>
      <c r="FT26" s="21">
        <v>12.249840000000001</v>
      </c>
      <c r="FU26" s="21">
        <v>12.249840000000001</v>
      </c>
      <c r="FV26" s="21">
        <v>12.249840000000001</v>
      </c>
      <c r="FW26" s="21">
        <v>12.249840000000001</v>
      </c>
      <c r="FX26" s="21">
        <v>12.249840000000001</v>
      </c>
      <c r="FY26" s="21">
        <v>12.249840000000001</v>
      </c>
      <c r="FZ26" s="21">
        <v>12.249840000000001</v>
      </c>
      <c r="GA26" s="21">
        <v>12.249840000000001</v>
      </c>
      <c r="GB26" s="21">
        <v>12.249840000000001</v>
      </c>
      <c r="GC26" s="21">
        <v>12.249840000000001</v>
      </c>
      <c r="GD26" s="21">
        <v>12.249840000000001</v>
      </c>
      <c r="GE26" s="21">
        <v>12.249840000000001</v>
      </c>
      <c r="GF26" s="21">
        <v>12.249840000000001</v>
      </c>
      <c r="GG26" s="21">
        <v>12.249840000000001</v>
      </c>
      <c r="GH26" s="21">
        <v>12.249840000000001</v>
      </c>
      <c r="GI26" s="21">
        <v>12.249840000000001</v>
      </c>
      <c r="GJ26" s="21">
        <v>12.249840000000001</v>
      </c>
      <c r="GK26" s="21">
        <v>12.249840000000001</v>
      </c>
      <c r="GL26" s="21">
        <v>12.249840000000001</v>
      </c>
      <c r="GM26" s="21">
        <v>12.249840000000001</v>
      </c>
      <c r="GN26" s="21">
        <v>12.249840000000001</v>
      </c>
      <c r="GO26" s="21">
        <v>12.249840000000001</v>
      </c>
      <c r="GP26" s="21">
        <v>12.249840000000001</v>
      </c>
      <c r="GQ26" s="21">
        <v>12.249840000000001</v>
      </c>
      <c r="GR26" s="21">
        <v>12.249840000000001</v>
      </c>
      <c r="GS26" s="21">
        <v>12.249840000000001</v>
      </c>
      <c r="GT26" s="21">
        <v>12.249840000000001</v>
      </c>
      <c r="GU26" s="21">
        <v>12.249840000000001</v>
      </c>
      <c r="GV26" s="21">
        <v>12.249840000000001</v>
      </c>
      <c r="GW26" s="21">
        <v>12.249840000000001</v>
      </c>
      <c r="GX26" s="21">
        <v>12.249840000000001</v>
      </c>
      <c r="GY26" s="21">
        <v>12.249840000000001</v>
      </c>
      <c r="GZ26" s="21">
        <v>12.249840000000001</v>
      </c>
      <c r="HA26" s="21">
        <v>12.249840000000001</v>
      </c>
      <c r="HB26" s="21">
        <v>12.249840000000001</v>
      </c>
      <c r="HC26" s="21">
        <v>12.249840000000001</v>
      </c>
      <c r="HD26" s="21">
        <v>12.249840000000001</v>
      </c>
      <c r="HE26" s="21">
        <v>12.249840000000001</v>
      </c>
      <c r="HF26" s="21">
        <v>12.249840000000001</v>
      </c>
      <c r="HG26" s="21">
        <v>12.249840000000001</v>
      </c>
      <c r="HH26" s="21">
        <v>12.249840000000001</v>
      </c>
      <c r="HI26" s="21">
        <v>12.249840000000001</v>
      </c>
      <c r="HJ26" s="21">
        <v>12.249840000000001</v>
      </c>
      <c r="HK26" s="21">
        <v>12.249840000000001</v>
      </c>
      <c r="HL26" s="21">
        <v>12.249840000000001</v>
      </c>
      <c r="HM26" s="21">
        <v>12.249840000000001</v>
      </c>
      <c r="HN26" s="21">
        <v>12.249840000000001</v>
      </c>
      <c r="HO26" s="21">
        <v>12.249840000000001</v>
      </c>
      <c r="HP26" s="21">
        <v>12.249840000000001</v>
      </c>
      <c r="HQ26" s="21">
        <v>12.249840000000001</v>
      </c>
      <c r="HR26" s="21">
        <v>12.249840000000001</v>
      </c>
      <c r="HS26" s="21">
        <v>12.249840000000001</v>
      </c>
      <c r="HT26" s="21">
        <v>12.249840000000001</v>
      </c>
      <c r="HU26" s="21">
        <v>12.249840000000001</v>
      </c>
      <c r="HV26" s="21">
        <v>12.249840000000001</v>
      </c>
      <c r="HW26" s="21">
        <v>12.249840000000001</v>
      </c>
      <c r="HX26" s="21">
        <v>12.249840000000001</v>
      </c>
      <c r="HY26" s="21">
        <v>12.249840000000001</v>
      </c>
      <c r="HZ26" s="21">
        <v>12.249840000000001</v>
      </c>
      <c r="IA26" s="21">
        <v>12.249840000000001</v>
      </c>
      <c r="IB26" s="21">
        <v>12.249840000000001</v>
      </c>
      <c r="IC26" s="21">
        <v>12.249840000000001</v>
      </c>
      <c r="ID26" s="21">
        <v>12.249840000000001</v>
      </c>
      <c r="IE26" s="21">
        <v>12.249840000000001</v>
      </c>
      <c r="IF26" s="21">
        <v>12.249840000000001</v>
      </c>
      <c r="IG26" s="21">
        <v>12.249840000000001</v>
      </c>
      <c r="IH26" s="21">
        <v>12.249840000000001</v>
      </c>
      <c r="II26" s="21">
        <v>12.249840000000001</v>
      </c>
      <c r="IJ26" s="21">
        <v>12.249840000000001</v>
      </c>
      <c r="IK26" s="21">
        <v>12.249840000000001</v>
      </c>
      <c r="IL26" s="21">
        <v>12.249840000000001</v>
      </c>
      <c r="IM26" s="21">
        <v>12.249840000000001</v>
      </c>
      <c r="IN26" s="21">
        <v>12.249840000000001</v>
      </c>
      <c r="IO26" s="21">
        <v>12.249840000000001</v>
      </c>
      <c r="IP26" s="21">
        <v>12.249840000000001</v>
      </c>
      <c r="IQ26" s="21">
        <v>12.249840000000001</v>
      </c>
      <c r="IR26" s="21">
        <v>12.249840000000001</v>
      </c>
      <c r="IS26" s="21">
        <v>12.249840000000001</v>
      </c>
      <c r="IT26" s="21">
        <v>12.249840000000001</v>
      </c>
      <c r="IU26" s="21">
        <v>12.249840000000001</v>
      </c>
      <c r="IV26" s="21">
        <v>12.249840000000001</v>
      </c>
      <c r="IW26" s="21">
        <v>12.249840000000001</v>
      </c>
      <c r="IX26" s="21">
        <v>12.249840000000001</v>
      </c>
      <c r="IY26" s="21">
        <v>12.249840000000001</v>
      </c>
      <c r="IZ26" s="21">
        <v>12.249840000000001</v>
      </c>
      <c r="JA26" s="21">
        <v>12.249840000000001</v>
      </c>
      <c r="JB26" s="21">
        <v>12.249840000000001</v>
      </c>
      <c r="JC26" s="21">
        <v>12.249840000000001</v>
      </c>
      <c r="JD26" s="21">
        <v>12.249840000000001</v>
      </c>
      <c r="JE26" s="21">
        <v>12.249840000000001</v>
      </c>
      <c r="JF26" s="21">
        <v>12.249840000000001</v>
      </c>
      <c r="JG26" s="21">
        <v>12.249840000000001</v>
      </c>
      <c r="JH26" s="21">
        <v>12.249840000000001</v>
      </c>
      <c r="JI26" s="21">
        <v>12.249840000000001</v>
      </c>
      <c r="JJ26" s="21">
        <v>12.249840000000001</v>
      </c>
      <c r="JK26" s="21">
        <v>12.249840000000001</v>
      </c>
      <c r="JL26" s="21">
        <v>12.249840000000001</v>
      </c>
      <c r="JM26" s="21">
        <v>12.249840000000001</v>
      </c>
      <c r="JN26" s="21">
        <v>12.249840000000001</v>
      </c>
      <c r="JO26" s="21">
        <v>12.249840000000001</v>
      </c>
      <c r="JP26" s="21">
        <v>12.249840000000001</v>
      </c>
      <c r="JQ26" s="21">
        <v>12.249840000000001</v>
      </c>
      <c r="JR26" s="21">
        <v>12.249840000000001</v>
      </c>
      <c r="JS26" s="21">
        <v>12.249840000000001</v>
      </c>
      <c r="JT26" s="21">
        <v>12.249840000000001</v>
      </c>
      <c r="JU26" s="21">
        <v>12.249840000000001</v>
      </c>
      <c r="JV26" s="21">
        <v>12.249840000000001</v>
      </c>
      <c r="JW26" s="21">
        <v>12.249840000000001</v>
      </c>
      <c r="JX26" s="21">
        <v>12.249840000000001</v>
      </c>
      <c r="JY26" s="21">
        <v>12.249840000000001</v>
      </c>
      <c r="JZ26" s="21">
        <v>12.249840000000001</v>
      </c>
      <c r="KA26" s="21">
        <v>12.249840000000001</v>
      </c>
      <c r="KB26" s="21">
        <v>12.249840000000001</v>
      </c>
      <c r="KC26" s="21">
        <v>12.249840000000001</v>
      </c>
      <c r="KD26" s="21">
        <v>12.249840000000001</v>
      </c>
      <c r="KE26" s="21">
        <v>12.249840000000001</v>
      </c>
      <c r="KF26" s="21">
        <v>12.249840000000001</v>
      </c>
      <c r="KG26" s="21">
        <v>12.249840000000001</v>
      </c>
      <c r="KH26" s="21">
        <v>12.249840000000001</v>
      </c>
      <c r="KI26" s="21">
        <v>12.249840000000001</v>
      </c>
      <c r="KJ26" s="21">
        <v>12.249840000000001</v>
      </c>
      <c r="KK26" s="21">
        <v>12.249840000000001</v>
      </c>
      <c r="KL26" s="21">
        <v>12.249840000000001</v>
      </c>
      <c r="KM26" s="21">
        <v>12.249840000000001</v>
      </c>
      <c r="KN26" s="21">
        <v>12.249840000000001</v>
      </c>
      <c r="KO26" s="21">
        <v>12.249840000000001</v>
      </c>
      <c r="KP26" s="21">
        <v>12.249840000000001</v>
      </c>
      <c r="KQ26" s="21">
        <v>12.249840000000001</v>
      </c>
      <c r="KR26" s="21">
        <v>12.249840000000001</v>
      </c>
      <c r="KS26" s="21">
        <v>12.249840000000001</v>
      </c>
      <c r="KT26" s="21">
        <v>12.249840000000001</v>
      </c>
      <c r="KU26" s="21">
        <v>12.249840000000001</v>
      </c>
      <c r="KV26" s="21">
        <v>12.249840000000001</v>
      </c>
      <c r="KW26" s="21">
        <v>12.249840000000001</v>
      </c>
      <c r="KX26" s="21">
        <v>12.249840000000001</v>
      </c>
      <c r="KY26" s="21">
        <v>12.249840000000001</v>
      </c>
      <c r="KZ26" s="21">
        <v>12.249840000000001</v>
      </c>
      <c r="LA26" s="21">
        <v>12.249840000000001</v>
      </c>
      <c r="LB26" s="21">
        <v>12.249840000000001</v>
      </c>
      <c r="LC26" s="21">
        <v>12.249840000000001</v>
      </c>
      <c r="LD26" s="21">
        <v>12.249840000000001</v>
      </c>
      <c r="LE26" s="21">
        <v>12.249840000000001</v>
      </c>
      <c r="LF26" s="21">
        <v>12.249840000000001</v>
      </c>
      <c r="LG26" s="21">
        <v>12.249840000000001</v>
      </c>
      <c r="LH26" s="21">
        <v>12.249840000000001</v>
      </c>
      <c r="LI26" s="21">
        <v>12.249840000000001</v>
      </c>
      <c r="LJ26" s="21">
        <v>12.249840000000001</v>
      </c>
      <c r="LK26" s="21">
        <v>12.249840000000001</v>
      </c>
      <c r="LL26" s="21">
        <v>12.249840000000001</v>
      </c>
      <c r="LM26" s="21">
        <v>12.249840000000001</v>
      </c>
      <c r="LN26" s="21">
        <v>12.249840000000001</v>
      </c>
      <c r="LO26" s="21">
        <v>12.249840000000001</v>
      </c>
      <c r="LP26" s="21">
        <v>12.249840000000001</v>
      </c>
      <c r="LQ26" s="21">
        <v>12.249840000000001</v>
      </c>
      <c r="LR26" s="21">
        <v>12.249840000000001</v>
      </c>
      <c r="LS26" s="21">
        <v>12.249840000000001</v>
      </c>
      <c r="LT26" s="21">
        <v>12.249840000000001</v>
      </c>
      <c r="LU26" s="21">
        <v>12.249840000000001</v>
      </c>
      <c r="LV26" s="21">
        <v>12.249840000000001</v>
      </c>
      <c r="LW26" s="21">
        <v>12.249840000000001</v>
      </c>
      <c r="LX26" s="21">
        <v>12.249840000000001</v>
      </c>
      <c r="LY26" s="21">
        <v>12.249840000000001</v>
      </c>
      <c r="LZ26" s="21">
        <v>12.249840000000001</v>
      </c>
      <c r="MA26" s="21">
        <v>12.249840000000001</v>
      </c>
      <c r="MB26" s="21">
        <v>12.249840000000001</v>
      </c>
      <c r="MC26" s="21">
        <v>12.249840000000001</v>
      </c>
      <c r="MD26" s="21">
        <v>12.249840000000001</v>
      </c>
      <c r="ME26" s="21">
        <v>12.249840000000001</v>
      </c>
      <c r="MF26" s="21">
        <v>12.249840000000001</v>
      </c>
      <c r="MG26" s="21">
        <v>12.249840000000001</v>
      </c>
      <c r="MH26" s="21">
        <v>12.249840000000001</v>
      </c>
      <c r="MI26" s="21">
        <v>12.249840000000001</v>
      </c>
      <c r="MJ26" s="21">
        <v>12.249840000000001</v>
      </c>
      <c r="MK26" s="21">
        <v>12.249840000000001</v>
      </c>
      <c r="ML26" s="21">
        <v>12.249840000000001</v>
      </c>
      <c r="MM26" s="21">
        <v>12.249840000000001</v>
      </c>
      <c r="MN26" s="21">
        <v>12.249840000000001</v>
      </c>
      <c r="MO26" s="21">
        <v>12.249840000000001</v>
      </c>
      <c r="MP26" s="21">
        <v>12.249840000000001</v>
      </c>
      <c r="MQ26" s="21">
        <v>12.249840000000001</v>
      </c>
      <c r="MR26" s="21">
        <v>12.249840000000001</v>
      </c>
      <c r="MS26" s="21">
        <v>12.249840000000001</v>
      </c>
      <c r="MT26" s="21">
        <v>12.249840000000001</v>
      </c>
      <c r="MU26" s="21">
        <v>12.249840000000001</v>
      </c>
      <c r="MV26" s="21">
        <v>12.249840000000001</v>
      </c>
      <c r="MW26" s="21">
        <v>12.249840000000001</v>
      </c>
      <c r="MX26" s="21">
        <v>12.249840000000001</v>
      </c>
      <c r="MY26" s="21">
        <v>12.249840000000001</v>
      </c>
      <c r="MZ26" s="21">
        <v>12.249840000000001</v>
      </c>
    </row>
    <row r="27" spans="1:364" x14ac:dyDescent="0.25">
      <c r="A27" s="7">
        <f t="shared" si="0"/>
        <v>25</v>
      </c>
      <c r="B27" s="16" t="str">
        <f>+Base!B25</f>
        <v>202402210076A033</v>
      </c>
      <c r="C27" s="75">
        <v>6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12.050424</v>
      </c>
      <c r="L27" s="21">
        <v>12.050424</v>
      </c>
      <c r="M27" s="21">
        <v>12.050424</v>
      </c>
      <c r="N27" s="21">
        <v>12.050424</v>
      </c>
      <c r="O27" s="21">
        <v>12.050424</v>
      </c>
      <c r="P27" s="21">
        <v>12.050424</v>
      </c>
      <c r="Q27" s="21">
        <v>12.050424</v>
      </c>
      <c r="R27" s="21">
        <v>12.050424</v>
      </c>
      <c r="S27" s="21">
        <v>12.050424</v>
      </c>
      <c r="T27" s="21">
        <v>12.050424</v>
      </c>
      <c r="U27" s="21">
        <v>12.050424</v>
      </c>
      <c r="V27" s="21">
        <v>12.050424</v>
      </c>
      <c r="W27" s="21">
        <v>12.050424</v>
      </c>
      <c r="X27" s="21">
        <v>12.050424</v>
      </c>
      <c r="Y27" s="21">
        <v>12.050424</v>
      </c>
      <c r="Z27" s="21">
        <v>12.050424</v>
      </c>
      <c r="AA27" s="21">
        <v>12.050424</v>
      </c>
      <c r="AB27" s="21">
        <v>12.050424</v>
      </c>
      <c r="AC27" s="21">
        <v>12.050424</v>
      </c>
      <c r="AD27" s="21">
        <v>12.050424</v>
      </c>
      <c r="AE27" s="21">
        <v>12.050424</v>
      </c>
      <c r="AF27" s="21">
        <v>12.050424</v>
      </c>
      <c r="AG27" s="21">
        <v>12.050424</v>
      </c>
      <c r="AH27" s="21">
        <v>12.050424</v>
      </c>
      <c r="AI27" s="21">
        <v>12.050424</v>
      </c>
      <c r="AJ27" s="21">
        <v>12.050424</v>
      </c>
      <c r="AK27" s="21">
        <v>12.050424</v>
      </c>
      <c r="AL27" s="21">
        <v>12.050424</v>
      </c>
      <c r="AM27" s="21">
        <v>12.050424</v>
      </c>
      <c r="AN27" s="21">
        <v>12.050424</v>
      </c>
      <c r="AO27" s="21">
        <v>12.050424</v>
      </c>
      <c r="AP27" s="21">
        <v>12.050424</v>
      </c>
      <c r="AQ27" s="21">
        <v>12.050424</v>
      </c>
      <c r="AR27" s="21">
        <v>12.050424</v>
      </c>
      <c r="AS27" s="21">
        <v>12.050424</v>
      </c>
      <c r="AT27" s="21">
        <v>12.050424</v>
      </c>
      <c r="AU27" s="21">
        <v>12.050424</v>
      </c>
      <c r="AV27" s="21">
        <v>12.050424</v>
      </c>
      <c r="AW27" s="21">
        <v>12.050424</v>
      </c>
      <c r="AX27" s="21">
        <v>12.050424</v>
      </c>
      <c r="AY27" s="21">
        <v>12.050424</v>
      </c>
      <c r="AZ27" s="21">
        <v>12.050424</v>
      </c>
      <c r="BA27" s="21">
        <v>12.050424</v>
      </c>
      <c r="BB27" s="21">
        <v>12.050424</v>
      </c>
      <c r="BC27" s="21">
        <v>12.050424</v>
      </c>
      <c r="BD27" s="21">
        <v>12.050424</v>
      </c>
      <c r="BE27" s="21">
        <v>12.050424</v>
      </c>
      <c r="BF27" s="21">
        <v>12.050424</v>
      </c>
      <c r="BG27" s="21">
        <v>12.050424</v>
      </c>
      <c r="BH27" s="21">
        <v>12.050424</v>
      </c>
      <c r="BI27" s="21">
        <v>12.050424</v>
      </c>
      <c r="BJ27" s="21">
        <v>12.050424</v>
      </c>
      <c r="BK27" s="21">
        <v>12.050424</v>
      </c>
      <c r="BL27" s="21">
        <v>12.050424</v>
      </c>
      <c r="BM27" s="21">
        <v>12.050424</v>
      </c>
      <c r="BN27" s="21">
        <v>12.050424</v>
      </c>
      <c r="BO27" s="21">
        <v>12.050424</v>
      </c>
      <c r="BP27" s="21">
        <v>12.050424</v>
      </c>
      <c r="BQ27" s="21">
        <v>12.050424</v>
      </c>
      <c r="BR27" s="21">
        <v>12.050424</v>
      </c>
      <c r="BS27" s="21">
        <v>12.050424</v>
      </c>
      <c r="BT27" s="21">
        <v>12.050424</v>
      </c>
      <c r="BU27" s="21">
        <v>12.050424</v>
      </c>
      <c r="BV27" s="21">
        <v>12.050424</v>
      </c>
      <c r="BW27" s="21">
        <v>12.050424</v>
      </c>
      <c r="BX27" s="21">
        <v>12.050424</v>
      </c>
      <c r="BY27" s="21">
        <v>12.050424</v>
      </c>
      <c r="BZ27" s="21">
        <v>12.050424</v>
      </c>
      <c r="CA27" s="21">
        <v>12.050424</v>
      </c>
      <c r="CB27" s="21">
        <v>12.050424</v>
      </c>
      <c r="CC27" s="21">
        <v>12.050424</v>
      </c>
      <c r="CD27" s="21">
        <v>12.050424</v>
      </c>
      <c r="CE27" s="21">
        <v>12.050424</v>
      </c>
      <c r="CF27" s="21">
        <v>12.050424</v>
      </c>
      <c r="CG27" s="21">
        <v>12.050424</v>
      </c>
      <c r="CH27" s="21">
        <v>12.050424</v>
      </c>
      <c r="CI27" s="21">
        <v>12.050424</v>
      </c>
      <c r="CJ27" s="21">
        <v>12.050424</v>
      </c>
      <c r="CK27" s="21">
        <v>12.050424</v>
      </c>
      <c r="CL27" s="21">
        <v>12.050424</v>
      </c>
      <c r="CM27" s="21">
        <v>12.050424</v>
      </c>
      <c r="CN27" s="21">
        <v>12.050424</v>
      </c>
      <c r="CO27" s="21">
        <v>12.050424</v>
      </c>
      <c r="CP27" s="21">
        <v>12.050424</v>
      </c>
      <c r="CQ27" s="21">
        <v>12.050424</v>
      </c>
      <c r="CR27" s="21">
        <v>12.050424</v>
      </c>
      <c r="CS27" s="21">
        <v>12.050424</v>
      </c>
      <c r="CT27" s="21">
        <v>12.050424</v>
      </c>
      <c r="CU27" s="21">
        <v>12.050424</v>
      </c>
      <c r="CV27" s="21">
        <v>12.050424</v>
      </c>
      <c r="CW27" s="21">
        <v>12.050424</v>
      </c>
      <c r="CX27" s="21">
        <v>12.050424</v>
      </c>
      <c r="CY27" s="21">
        <v>12.050424</v>
      </c>
      <c r="CZ27" s="21">
        <v>12.050424</v>
      </c>
      <c r="DA27" s="21">
        <v>12.050424</v>
      </c>
      <c r="DB27" s="21">
        <v>12.050424</v>
      </c>
      <c r="DC27" s="21">
        <v>12.050424</v>
      </c>
      <c r="DD27" s="21">
        <v>12.050424</v>
      </c>
      <c r="DE27" s="21">
        <v>12.050424</v>
      </c>
      <c r="DF27" s="21">
        <v>12.050424</v>
      </c>
      <c r="DG27" s="21">
        <v>12.050424</v>
      </c>
      <c r="DH27" s="21">
        <v>12.050424</v>
      </c>
      <c r="DI27" s="21">
        <v>12.050424</v>
      </c>
      <c r="DJ27" s="21">
        <v>12.050424</v>
      </c>
      <c r="DK27" s="21">
        <v>12.050424</v>
      </c>
      <c r="DL27" s="21">
        <v>12.050424</v>
      </c>
      <c r="DM27" s="21">
        <v>12.050424</v>
      </c>
      <c r="DN27" s="21">
        <v>12.050424</v>
      </c>
      <c r="DO27" s="21">
        <v>12.050424</v>
      </c>
      <c r="DP27" s="21">
        <v>12.050424</v>
      </c>
      <c r="DQ27" s="21">
        <v>12.050424</v>
      </c>
      <c r="DR27" s="21">
        <v>12.050424</v>
      </c>
      <c r="DS27" s="21">
        <v>12.050424</v>
      </c>
      <c r="DT27" s="21">
        <v>12.050424</v>
      </c>
      <c r="DU27" s="21">
        <v>12.050424</v>
      </c>
      <c r="DV27" s="21">
        <v>12.050424</v>
      </c>
      <c r="DW27" s="21">
        <v>12.050424</v>
      </c>
      <c r="DX27" s="21">
        <v>12.050424</v>
      </c>
      <c r="DY27" s="21">
        <v>12.050424</v>
      </c>
      <c r="DZ27" s="21">
        <v>12.050424</v>
      </c>
      <c r="EA27" s="21">
        <v>12.050424</v>
      </c>
      <c r="EB27" s="21">
        <v>12.050424</v>
      </c>
      <c r="EC27" s="21">
        <v>12.050424</v>
      </c>
      <c r="ED27" s="21">
        <v>12.050424</v>
      </c>
      <c r="EE27" s="21">
        <v>12.050424</v>
      </c>
      <c r="EF27" s="21">
        <v>12.050424</v>
      </c>
      <c r="EG27" s="21">
        <v>12.050424</v>
      </c>
      <c r="EH27" s="21">
        <v>12.050424</v>
      </c>
      <c r="EI27" s="21">
        <v>12.050424</v>
      </c>
      <c r="EJ27" s="21">
        <v>12.050424</v>
      </c>
      <c r="EK27" s="21">
        <v>12.050424</v>
      </c>
      <c r="EL27" s="21">
        <v>12.050424</v>
      </c>
      <c r="EM27" s="21">
        <v>12.050424</v>
      </c>
      <c r="EN27" s="21">
        <v>12.050424</v>
      </c>
      <c r="EO27" s="21">
        <v>12.050424</v>
      </c>
      <c r="EP27" s="21">
        <v>12.050424</v>
      </c>
      <c r="EQ27" s="21">
        <v>12.050424</v>
      </c>
      <c r="ER27" s="21">
        <v>12.050424</v>
      </c>
      <c r="ES27" s="21">
        <v>12.050424</v>
      </c>
      <c r="ET27" s="21">
        <v>12.050424</v>
      </c>
      <c r="EU27" s="21">
        <v>12.050424</v>
      </c>
      <c r="EV27" s="21">
        <v>12.050424</v>
      </c>
      <c r="EW27" s="21">
        <v>12.050424</v>
      </c>
      <c r="EX27" s="21">
        <v>12.050424</v>
      </c>
      <c r="EY27" s="21">
        <v>12.050424</v>
      </c>
      <c r="EZ27" s="21">
        <v>12.050424</v>
      </c>
      <c r="FA27" s="21">
        <v>12.050424</v>
      </c>
      <c r="FB27" s="21">
        <v>12.050424</v>
      </c>
      <c r="FC27" s="21">
        <v>12.050424</v>
      </c>
      <c r="FD27" s="21">
        <v>12.050424</v>
      </c>
      <c r="FE27" s="21">
        <v>12.050424</v>
      </c>
      <c r="FF27" s="21">
        <v>12.050424</v>
      </c>
      <c r="FG27" s="21">
        <v>12.050424</v>
      </c>
      <c r="FH27" s="21">
        <v>12.050424</v>
      </c>
      <c r="FI27" s="21">
        <v>12.050424</v>
      </c>
      <c r="FJ27" s="21">
        <v>12.050424</v>
      </c>
      <c r="FK27" s="21">
        <v>12.050424</v>
      </c>
      <c r="FL27" s="21">
        <v>12.050424</v>
      </c>
      <c r="FM27" s="21">
        <v>12.050424</v>
      </c>
      <c r="FN27" s="21">
        <v>12.050424</v>
      </c>
      <c r="FO27" s="21">
        <v>12.050424</v>
      </c>
      <c r="FP27" s="21">
        <v>12.050424</v>
      </c>
      <c r="FQ27" s="21">
        <v>12.050424</v>
      </c>
      <c r="FR27" s="21">
        <v>12.050424</v>
      </c>
      <c r="FS27" s="21">
        <v>12.050424</v>
      </c>
      <c r="FT27" s="21">
        <v>12.050424</v>
      </c>
      <c r="FU27" s="21">
        <v>12.050424</v>
      </c>
      <c r="FV27" s="21">
        <v>12.050424</v>
      </c>
      <c r="FW27" s="21">
        <v>12.050424</v>
      </c>
      <c r="FX27" s="21">
        <v>12.050424</v>
      </c>
      <c r="FY27" s="21">
        <v>12.050424</v>
      </c>
      <c r="FZ27" s="21">
        <v>12.050424</v>
      </c>
      <c r="GA27" s="21">
        <v>12.050424</v>
      </c>
      <c r="GB27" s="21">
        <v>12.050424</v>
      </c>
      <c r="GC27" s="21">
        <v>12.050424</v>
      </c>
      <c r="GD27" s="21">
        <v>12.050424</v>
      </c>
      <c r="GE27" s="21">
        <v>12.050424</v>
      </c>
      <c r="GF27" s="21">
        <v>12.050424</v>
      </c>
      <c r="GG27" s="21">
        <v>12.050424</v>
      </c>
      <c r="GH27" s="21">
        <v>12.050424</v>
      </c>
      <c r="GI27" s="21">
        <v>12.050424</v>
      </c>
      <c r="GJ27" s="21">
        <v>12.050424</v>
      </c>
      <c r="GK27" s="21">
        <v>12.050424</v>
      </c>
      <c r="GL27" s="21">
        <v>12.050424</v>
      </c>
      <c r="GM27" s="21">
        <v>12.050424</v>
      </c>
      <c r="GN27" s="21">
        <v>12.050424</v>
      </c>
      <c r="GO27" s="21">
        <v>12.050424</v>
      </c>
      <c r="GP27" s="21">
        <v>12.050424</v>
      </c>
      <c r="GQ27" s="21">
        <v>12.050424</v>
      </c>
      <c r="GR27" s="21">
        <v>12.050424</v>
      </c>
      <c r="GS27" s="21">
        <v>12.050424</v>
      </c>
      <c r="GT27" s="21">
        <v>12.050424</v>
      </c>
      <c r="GU27" s="21">
        <v>12.050424</v>
      </c>
      <c r="GV27" s="21">
        <v>12.050424</v>
      </c>
      <c r="GW27" s="21">
        <v>12.050424</v>
      </c>
      <c r="GX27" s="21">
        <v>12.050424</v>
      </c>
      <c r="GY27" s="21">
        <v>12.050424</v>
      </c>
      <c r="GZ27" s="21">
        <v>12.050424</v>
      </c>
      <c r="HA27" s="21">
        <v>12.050424</v>
      </c>
      <c r="HB27" s="21">
        <v>12.050424</v>
      </c>
      <c r="HC27" s="21">
        <v>12.050424</v>
      </c>
      <c r="HD27" s="21">
        <v>12.050424</v>
      </c>
      <c r="HE27" s="21">
        <v>12.050424</v>
      </c>
      <c r="HF27" s="21">
        <v>12.050424</v>
      </c>
      <c r="HG27" s="21">
        <v>12.050424</v>
      </c>
      <c r="HH27" s="21">
        <v>12.050424</v>
      </c>
      <c r="HI27" s="21">
        <v>12.050424</v>
      </c>
      <c r="HJ27" s="21">
        <v>12.050424</v>
      </c>
      <c r="HK27" s="21">
        <v>12.050424</v>
      </c>
      <c r="HL27" s="21">
        <v>12.050424</v>
      </c>
      <c r="HM27" s="21">
        <v>12.050424</v>
      </c>
      <c r="HN27" s="21">
        <v>12.050424</v>
      </c>
      <c r="HO27" s="21">
        <v>12.050424</v>
      </c>
      <c r="HP27" s="21">
        <v>12.050424</v>
      </c>
      <c r="HQ27" s="21">
        <v>12.050424</v>
      </c>
      <c r="HR27" s="21">
        <v>12.050424</v>
      </c>
      <c r="HS27" s="21">
        <v>12.050424</v>
      </c>
      <c r="HT27" s="21">
        <v>12.050424</v>
      </c>
      <c r="HU27" s="21">
        <v>12.050424</v>
      </c>
      <c r="HV27" s="21">
        <v>12.050424</v>
      </c>
      <c r="HW27" s="21">
        <v>12.050424</v>
      </c>
      <c r="HX27" s="21">
        <v>12.050424</v>
      </c>
      <c r="HY27" s="21">
        <v>12.050424</v>
      </c>
      <c r="HZ27" s="21">
        <v>12.050424</v>
      </c>
      <c r="IA27" s="21">
        <v>12.050424</v>
      </c>
      <c r="IB27" s="21">
        <v>12.050424</v>
      </c>
      <c r="IC27" s="21">
        <v>12.050424</v>
      </c>
      <c r="ID27" s="21">
        <v>12.050424</v>
      </c>
      <c r="IE27" s="21">
        <v>12.050424</v>
      </c>
      <c r="IF27" s="21">
        <v>12.050424</v>
      </c>
      <c r="IG27" s="21">
        <v>12.050424</v>
      </c>
      <c r="IH27" s="21">
        <v>12.050424</v>
      </c>
      <c r="II27" s="21">
        <v>12.050424</v>
      </c>
      <c r="IJ27" s="21">
        <v>12.050424</v>
      </c>
      <c r="IK27" s="21">
        <v>12.050424</v>
      </c>
      <c r="IL27" s="21">
        <v>12.050424</v>
      </c>
      <c r="IM27" s="21">
        <v>12.050424</v>
      </c>
      <c r="IN27" s="21">
        <v>12.050424</v>
      </c>
      <c r="IO27" s="21">
        <v>12.050424</v>
      </c>
      <c r="IP27" s="21">
        <v>12.050424</v>
      </c>
      <c r="IQ27" s="21">
        <v>12.050424</v>
      </c>
      <c r="IR27" s="21">
        <v>12.050424</v>
      </c>
      <c r="IS27" s="21">
        <v>12.050424</v>
      </c>
      <c r="IT27" s="21">
        <v>12.050424</v>
      </c>
      <c r="IU27" s="21">
        <v>12.050424</v>
      </c>
      <c r="IV27" s="21">
        <v>12.050424</v>
      </c>
      <c r="IW27" s="21">
        <v>12.050424</v>
      </c>
      <c r="IX27" s="21">
        <v>12.050424</v>
      </c>
      <c r="IY27" s="21">
        <v>12.050424</v>
      </c>
      <c r="IZ27" s="21">
        <v>12.050424</v>
      </c>
      <c r="JA27" s="21">
        <v>12.050424</v>
      </c>
      <c r="JB27" s="21">
        <v>12.050424</v>
      </c>
      <c r="JC27" s="21">
        <v>12.050424</v>
      </c>
      <c r="JD27" s="21">
        <v>12.050424</v>
      </c>
      <c r="JE27" s="21">
        <v>12.050424</v>
      </c>
      <c r="JF27" s="21">
        <v>12.050424</v>
      </c>
      <c r="JG27" s="21">
        <v>12.050424</v>
      </c>
      <c r="JH27" s="21">
        <v>12.050424</v>
      </c>
      <c r="JI27" s="21">
        <v>12.050424</v>
      </c>
      <c r="JJ27" s="21">
        <v>12.050424</v>
      </c>
      <c r="JK27" s="21">
        <v>12.050424</v>
      </c>
      <c r="JL27" s="21">
        <v>12.050424</v>
      </c>
      <c r="JM27" s="21">
        <v>12.050424</v>
      </c>
      <c r="JN27" s="21">
        <v>12.050424</v>
      </c>
      <c r="JO27" s="21">
        <v>12.050424</v>
      </c>
      <c r="JP27" s="21">
        <v>12.050424</v>
      </c>
      <c r="JQ27" s="21">
        <v>12.050424</v>
      </c>
      <c r="JR27" s="21">
        <v>12.050424</v>
      </c>
      <c r="JS27" s="21">
        <v>12.050424</v>
      </c>
      <c r="JT27" s="21">
        <v>12.050424</v>
      </c>
      <c r="JU27" s="21">
        <v>12.050424</v>
      </c>
      <c r="JV27" s="21">
        <v>12.050424</v>
      </c>
      <c r="JW27" s="21">
        <v>12.050424</v>
      </c>
      <c r="JX27" s="21">
        <v>12.050424</v>
      </c>
      <c r="JY27" s="21">
        <v>12.050424</v>
      </c>
      <c r="JZ27" s="21">
        <v>12.050424</v>
      </c>
      <c r="KA27" s="21">
        <v>12.050424</v>
      </c>
      <c r="KB27" s="21">
        <v>12.050424</v>
      </c>
      <c r="KC27" s="21">
        <v>12.050424</v>
      </c>
      <c r="KD27" s="21">
        <v>12.050424</v>
      </c>
      <c r="KE27" s="21">
        <v>12.050424</v>
      </c>
      <c r="KF27" s="21">
        <v>12.050424</v>
      </c>
      <c r="KG27" s="21">
        <v>12.050424</v>
      </c>
      <c r="KH27" s="21">
        <v>12.050424</v>
      </c>
      <c r="KI27" s="21">
        <v>12.050424</v>
      </c>
      <c r="KJ27" s="21">
        <v>12.050424</v>
      </c>
      <c r="KK27" s="21">
        <v>12.050424</v>
      </c>
      <c r="KL27" s="21">
        <v>12.050424</v>
      </c>
      <c r="KM27" s="21">
        <v>12.050424</v>
      </c>
      <c r="KN27" s="21">
        <v>12.050424</v>
      </c>
      <c r="KO27" s="21">
        <v>12.050424</v>
      </c>
      <c r="KP27" s="21">
        <v>12.050424</v>
      </c>
      <c r="KQ27" s="21">
        <v>12.050424</v>
      </c>
      <c r="KR27" s="21">
        <v>12.050424</v>
      </c>
      <c r="KS27" s="21">
        <v>12.050424</v>
      </c>
      <c r="KT27" s="21">
        <v>12.050424</v>
      </c>
      <c r="KU27" s="21">
        <v>12.050424</v>
      </c>
      <c r="KV27" s="21">
        <v>12.050424</v>
      </c>
      <c r="KW27" s="21">
        <v>12.050424</v>
      </c>
      <c r="KX27" s="21">
        <v>12.050424</v>
      </c>
      <c r="KY27" s="21">
        <v>12.050424</v>
      </c>
      <c r="KZ27" s="21">
        <v>12.050424</v>
      </c>
      <c r="LA27" s="21">
        <v>12.050424</v>
      </c>
      <c r="LB27" s="21">
        <v>12.050424</v>
      </c>
      <c r="LC27" s="21">
        <v>12.050424</v>
      </c>
      <c r="LD27" s="21">
        <v>12.050424</v>
      </c>
      <c r="LE27" s="21">
        <v>12.050424</v>
      </c>
      <c r="LF27" s="21">
        <v>12.050424</v>
      </c>
      <c r="LG27" s="21">
        <v>12.050424</v>
      </c>
      <c r="LH27" s="21">
        <v>12.050424</v>
      </c>
      <c r="LI27" s="21">
        <v>12.050424</v>
      </c>
      <c r="LJ27" s="21">
        <v>12.050424</v>
      </c>
      <c r="LK27" s="21">
        <v>12.050424</v>
      </c>
      <c r="LL27" s="21">
        <v>12.050424</v>
      </c>
      <c r="LM27" s="21">
        <v>12.050424</v>
      </c>
      <c r="LN27" s="21">
        <v>12.050424</v>
      </c>
      <c r="LO27" s="21">
        <v>12.050424</v>
      </c>
      <c r="LP27" s="21">
        <v>12.050424</v>
      </c>
      <c r="LQ27" s="21">
        <v>12.050424</v>
      </c>
      <c r="LR27" s="21">
        <v>12.050424</v>
      </c>
      <c r="LS27" s="21">
        <v>12.050424</v>
      </c>
      <c r="LT27" s="21">
        <v>12.050424</v>
      </c>
      <c r="LU27" s="21">
        <v>12.050424</v>
      </c>
      <c r="LV27" s="21">
        <v>12.050424</v>
      </c>
      <c r="LW27" s="21">
        <v>12.050424</v>
      </c>
      <c r="LX27" s="21">
        <v>12.050424</v>
      </c>
      <c r="LY27" s="21">
        <v>12.050424</v>
      </c>
      <c r="LZ27" s="21">
        <v>12.050424</v>
      </c>
      <c r="MA27" s="21">
        <v>12.050424</v>
      </c>
      <c r="MB27" s="21">
        <v>12.050424</v>
      </c>
      <c r="MC27" s="21">
        <v>12.050424</v>
      </c>
      <c r="MD27" s="21">
        <v>12.050424</v>
      </c>
      <c r="ME27" s="21">
        <v>12.050424</v>
      </c>
      <c r="MF27" s="21">
        <v>12.050424</v>
      </c>
      <c r="MG27" s="21">
        <v>12.050424</v>
      </c>
      <c r="MH27" s="21">
        <v>12.050424</v>
      </c>
      <c r="MI27" s="21">
        <v>12.050424</v>
      </c>
      <c r="MJ27" s="21">
        <v>12.050424</v>
      </c>
      <c r="MK27" s="21">
        <v>12.050424</v>
      </c>
      <c r="ML27" s="21">
        <v>12.050424</v>
      </c>
      <c r="MM27" s="21">
        <v>12.050424</v>
      </c>
      <c r="MN27" s="21">
        <v>12.050424</v>
      </c>
      <c r="MO27" s="21">
        <v>12.050424</v>
      </c>
      <c r="MP27" s="21">
        <v>12.050424</v>
      </c>
      <c r="MQ27" s="21">
        <v>12.050424</v>
      </c>
      <c r="MR27" s="21">
        <v>12.050424</v>
      </c>
      <c r="MS27" s="21">
        <v>12.050424</v>
      </c>
      <c r="MT27" s="21">
        <v>12.050424</v>
      </c>
      <c r="MU27" s="21">
        <v>12.050424</v>
      </c>
      <c r="MV27" s="21">
        <v>12.050424</v>
      </c>
      <c r="MW27" s="21">
        <v>12.050424</v>
      </c>
      <c r="MX27" s="21">
        <v>12.050424</v>
      </c>
      <c r="MY27" s="21">
        <v>12.050424</v>
      </c>
      <c r="MZ27" s="21">
        <v>12.050424</v>
      </c>
    </row>
    <row r="28" spans="1:364" x14ac:dyDescent="0.25">
      <c r="A28" s="7">
        <f t="shared" si="0"/>
        <v>26</v>
      </c>
      <c r="B28" s="16" t="str">
        <f>+Base!B26</f>
        <v>202402270077A033</v>
      </c>
      <c r="C28" s="75">
        <v>6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12.249840000000001</v>
      </c>
      <c r="L28" s="21">
        <v>12.249840000000001</v>
      </c>
      <c r="M28" s="21">
        <v>12.249840000000001</v>
      </c>
      <c r="N28" s="21">
        <v>12.249840000000001</v>
      </c>
      <c r="O28" s="21">
        <v>12.249840000000001</v>
      </c>
      <c r="P28" s="21">
        <v>12.249840000000001</v>
      </c>
      <c r="Q28" s="21">
        <v>12.249840000000001</v>
      </c>
      <c r="R28" s="21">
        <v>12.249840000000001</v>
      </c>
      <c r="S28" s="21">
        <v>12.249840000000001</v>
      </c>
      <c r="T28" s="21">
        <v>12.249840000000001</v>
      </c>
      <c r="U28" s="21">
        <v>12.249840000000001</v>
      </c>
      <c r="V28" s="21">
        <v>12.249840000000001</v>
      </c>
      <c r="W28" s="21">
        <v>12.249840000000001</v>
      </c>
      <c r="X28" s="21">
        <v>12.249840000000001</v>
      </c>
      <c r="Y28" s="21">
        <v>12.249840000000001</v>
      </c>
      <c r="Z28" s="21">
        <v>12.249840000000001</v>
      </c>
      <c r="AA28" s="21">
        <v>12.249840000000001</v>
      </c>
      <c r="AB28" s="21">
        <v>12.249840000000001</v>
      </c>
      <c r="AC28" s="21">
        <v>12.249840000000001</v>
      </c>
      <c r="AD28" s="21">
        <v>12.249840000000001</v>
      </c>
      <c r="AE28" s="21">
        <v>12.249840000000001</v>
      </c>
      <c r="AF28" s="21">
        <v>12.249840000000001</v>
      </c>
      <c r="AG28" s="21">
        <v>12.249840000000001</v>
      </c>
      <c r="AH28" s="21">
        <v>12.249840000000001</v>
      </c>
      <c r="AI28" s="21">
        <v>12.249840000000001</v>
      </c>
      <c r="AJ28" s="21">
        <v>12.249840000000001</v>
      </c>
      <c r="AK28" s="21">
        <v>12.249840000000001</v>
      </c>
      <c r="AL28" s="21">
        <v>12.249840000000001</v>
      </c>
      <c r="AM28" s="21">
        <v>12.249840000000001</v>
      </c>
      <c r="AN28" s="21">
        <v>12.249840000000001</v>
      </c>
      <c r="AO28" s="21">
        <v>12.249840000000001</v>
      </c>
      <c r="AP28" s="21">
        <v>12.249840000000001</v>
      </c>
      <c r="AQ28" s="21">
        <v>12.249840000000001</v>
      </c>
      <c r="AR28" s="21">
        <v>12.249840000000001</v>
      </c>
      <c r="AS28" s="21">
        <v>12.249840000000001</v>
      </c>
      <c r="AT28" s="21">
        <v>12.249840000000001</v>
      </c>
      <c r="AU28" s="21">
        <v>12.249840000000001</v>
      </c>
      <c r="AV28" s="21">
        <v>12.249840000000001</v>
      </c>
      <c r="AW28" s="21">
        <v>12.249840000000001</v>
      </c>
      <c r="AX28" s="21">
        <v>12.249840000000001</v>
      </c>
      <c r="AY28" s="21">
        <v>12.249840000000001</v>
      </c>
      <c r="AZ28" s="21">
        <v>12.249840000000001</v>
      </c>
      <c r="BA28" s="21">
        <v>12.249840000000001</v>
      </c>
      <c r="BB28" s="21">
        <v>12.249840000000001</v>
      </c>
      <c r="BC28" s="21">
        <v>12.249840000000001</v>
      </c>
      <c r="BD28" s="21">
        <v>12.249840000000001</v>
      </c>
      <c r="BE28" s="21">
        <v>12.249840000000001</v>
      </c>
      <c r="BF28" s="21">
        <v>12.249840000000001</v>
      </c>
      <c r="BG28" s="21">
        <v>12.249840000000001</v>
      </c>
      <c r="BH28" s="21">
        <v>12.249840000000001</v>
      </c>
      <c r="BI28" s="21">
        <v>12.249840000000001</v>
      </c>
      <c r="BJ28" s="21">
        <v>12.249840000000001</v>
      </c>
      <c r="BK28" s="21">
        <v>12.249840000000001</v>
      </c>
      <c r="BL28" s="21">
        <v>12.249840000000001</v>
      </c>
      <c r="BM28" s="21">
        <v>12.249840000000001</v>
      </c>
      <c r="BN28" s="21">
        <v>12.249840000000001</v>
      </c>
      <c r="BO28" s="21">
        <v>12.249840000000001</v>
      </c>
      <c r="BP28" s="21">
        <v>12.249840000000001</v>
      </c>
      <c r="BQ28" s="21">
        <v>12.249840000000001</v>
      </c>
      <c r="BR28" s="21">
        <v>12.249840000000001</v>
      </c>
      <c r="BS28" s="21">
        <v>12.249840000000001</v>
      </c>
      <c r="BT28" s="21">
        <v>12.249840000000001</v>
      </c>
      <c r="BU28" s="21">
        <v>12.249840000000001</v>
      </c>
      <c r="BV28" s="21">
        <v>12.249840000000001</v>
      </c>
      <c r="BW28" s="21">
        <v>12.249840000000001</v>
      </c>
      <c r="BX28" s="21">
        <v>12.249840000000001</v>
      </c>
      <c r="BY28" s="21">
        <v>12.249840000000001</v>
      </c>
      <c r="BZ28" s="21">
        <v>12.249840000000001</v>
      </c>
      <c r="CA28" s="21">
        <v>12.249840000000001</v>
      </c>
      <c r="CB28" s="21">
        <v>12.249840000000001</v>
      </c>
      <c r="CC28" s="21">
        <v>12.249840000000001</v>
      </c>
      <c r="CD28" s="21">
        <v>12.249840000000001</v>
      </c>
      <c r="CE28" s="21">
        <v>12.249840000000001</v>
      </c>
      <c r="CF28" s="21">
        <v>12.249840000000001</v>
      </c>
      <c r="CG28" s="21">
        <v>12.249840000000001</v>
      </c>
      <c r="CH28" s="21">
        <v>12.249840000000001</v>
      </c>
      <c r="CI28" s="21">
        <v>12.249840000000001</v>
      </c>
      <c r="CJ28" s="21">
        <v>12.249840000000001</v>
      </c>
      <c r="CK28" s="21">
        <v>12.249840000000001</v>
      </c>
      <c r="CL28" s="21">
        <v>12.249840000000001</v>
      </c>
      <c r="CM28" s="21">
        <v>12.249840000000001</v>
      </c>
      <c r="CN28" s="21">
        <v>12.249840000000001</v>
      </c>
      <c r="CO28" s="21">
        <v>12.249840000000001</v>
      </c>
      <c r="CP28" s="21">
        <v>12.249840000000001</v>
      </c>
      <c r="CQ28" s="21">
        <v>12.249840000000001</v>
      </c>
      <c r="CR28" s="21">
        <v>12.249840000000001</v>
      </c>
      <c r="CS28" s="21">
        <v>12.249840000000001</v>
      </c>
      <c r="CT28" s="21">
        <v>12.249840000000001</v>
      </c>
      <c r="CU28" s="21">
        <v>12.249840000000001</v>
      </c>
      <c r="CV28" s="21">
        <v>12.249840000000001</v>
      </c>
      <c r="CW28" s="21">
        <v>12.249840000000001</v>
      </c>
      <c r="CX28" s="21">
        <v>12.249840000000001</v>
      </c>
      <c r="CY28" s="21">
        <v>12.249840000000001</v>
      </c>
      <c r="CZ28" s="21">
        <v>12.249840000000001</v>
      </c>
      <c r="DA28" s="21">
        <v>12.249840000000001</v>
      </c>
      <c r="DB28" s="21">
        <v>12.249840000000001</v>
      </c>
      <c r="DC28" s="21">
        <v>12.249840000000001</v>
      </c>
      <c r="DD28" s="21">
        <v>12.249840000000001</v>
      </c>
      <c r="DE28" s="21">
        <v>12.249840000000001</v>
      </c>
      <c r="DF28" s="21">
        <v>12.249840000000001</v>
      </c>
      <c r="DG28" s="21">
        <v>12.249840000000001</v>
      </c>
      <c r="DH28" s="21">
        <v>12.249840000000001</v>
      </c>
      <c r="DI28" s="21">
        <v>12.249840000000001</v>
      </c>
      <c r="DJ28" s="21">
        <v>12.249840000000001</v>
      </c>
      <c r="DK28" s="21">
        <v>12.249840000000001</v>
      </c>
      <c r="DL28" s="21">
        <v>12.249840000000001</v>
      </c>
      <c r="DM28" s="21">
        <v>12.249840000000001</v>
      </c>
      <c r="DN28" s="21">
        <v>12.249840000000001</v>
      </c>
      <c r="DO28" s="21">
        <v>12.249840000000001</v>
      </c>
      <c r="DP28" s="21">
        <v>12.249840000000001</v>
      </c>
      <c r="DQ28" s="21">
        <v>12.249840000000001</v>
      </c>
      <c r="DR28" s="21">
        <v>12.249840000000001</v>
      </c>
      <c r="DS28" s="21">
        <v>12.249840000000001</v>
      </c>
      <c r="DT28" s="21">
        <v>12.249840000000001</v>
      </c>
      <c r="DU28" s="21">
        <v>12.249840000000001</v>
      </c>
      <c r="DV28" s="21">
        <v>12.249840000000001</v>
      </c>
      <c r="DW28" s="21">
        <v>12.249840000000001</v>
      </c>
      <c r="DX28" s="21">
        <v>12.249840000000001</v>
      </c>
      <c r="DY28" s="21">
        <v>12.249840000000001</v>
      </c>
      <c r="DZ28" s="21">
        <v>12.249840000000001</v>
      </c>
      <c r="EA28" s="21">
        <v>12.249840000000001</v>
      </c>
      <c r="EB28" s="21">
        <v>12.249840000000001</v>
      </c>
      <c r="EC28" s="21">
        <v>12.249840000000001</v>
      </c>
      <c r="ED28" s="21">
        <v>12.249840000000001</v>
      </c>
      <c r="EE28" s="21">
        <v>12.249840000000001</v>
      </c>
      <c r="EF28" s="21">
        <v>12.249840000000001</v>
      </c>
      <c r="EG28" s="21">
        <v>12.249840000000001</v>
      </c>
      <c r="EH28" s="21">
        <v>12.249840000000001</v>
      </c>
      <c r="EI28" s="21">
        <v>12.249840000000001</v>
      </c>
      <c r="EJ28" s="21">
        <v>12.249840000000001</v>
      </c>
      <c r="EK28" s="21">
        <v>12.249840000000001</v>
      </c>
      <c r="EL28" s="21">
        <v>12.249840000000001</v>
      </c>
      <c r="EM28" s="21">
        <v>12.249840000000001</v>
      </c>
      <c r="EN28" s="21">
        <v>12.249840000000001</v>
      </c>
      <c r="EO28" s="21">
        <v>12.249840000000001</v>
      </c>
      <c r="EP28" s="21">
        <v>12.249840000000001</v>
      </c>
      <c r="EQ28" s="21">
        <v>12.249840000000001</v>
      </c>
      <c r="ER28" s="21">
        <v>12.249840000000001</v>
      </c>
      <c r="ES28" s="21">
        <v>12.249840000000001</v>
      </c>
      <c r="ET28" s="21">
        <v>12.249840000000001</v>
      </c>
      <c r="EU28" s="21">
        <v>12.249840000000001</v>
      </c>
      <c r="EV28" s="21">
        <v>12.249840000000001</v>
      </c>
      <c r="EW28" s="21">
        <v>12.249840000000001</v>
      </c>
      <c r="EX28" s="21">
        <v>12.249840000000001</v>
      </c>
      <c r="EY28" s="21">
        <v>12.249840000000001</v>
      </c>
      <c r="EZ28" s="21">
        <v>12.249840000000001</v>
      </c>
      <c r="FA28" s="21">
        <v>12.249840000000001</v>
      </c>
      <c r="FB28" s="21">
        <v>12.249840000000001</v>
      </c>
      <c r="FC28" s="21">
        <v>12.249840000000001</v>
      </c>
      <c r="FD28" s="21">
        <v>12.249840000000001</v>
      </c>
      <c r="FE28" s="21">
        <v>12.249840000000001</v>
      </c>
      <c r="FF28" s="21">
        <v>12.249840000000001</v>
      </c>
      <c r="FG28" s="21">
        <v>12.249840000000001</v>
      </c>
      <c r="FH28" s="21">
        <v>12.249840000000001</v>
      </c>
      <c r="FI28" s="21">
        <v>12.249840000000001</v>
      </c>
      <c r="FJ28" s="21">
        <v>12.249840000000001</v>
      </c>
      <c r="FK28" s="21">
        <v>12.249840000000001</v>
      </c>
      <c r="FL28" s="21">
        <v>12.249840000000001</v>
      </c>
      <c r="FM28" s="21">
        <v>12.249840000000001</v>
      </c>
      <c r="FN28" s="21">
        <v>12.249840000000001</v>
      </c>
      <c r="FO28" s="21">
        <v>12.249840000000001</v>
      </c>
      <c r="FP28" s="21">
        <v>12.249840000000001</v>
      </c>
      <c r="FQ28" s="21">
        <v>12.249840000000001</v>
      </c>
      <c r="FR28" s="21">
        <v>12.249840000000001</v>
      </c>
      <c r="FS28" s="21">
        <v>12.249840000000001</v>
      </c>
      <c r="FT28" s="21">
        <v>12.249840000000001</v>
      </c>
      <c r="FU28" s="21">
        <v>12.249840000000001</v>
      </c>
      <c r="FV28" s="21">
        <v>12.249840000000001</v>
      </c>
      <c r="FW28" s="21">
        <v>12.249840000000001</v>
      </c>
      <c r="FX28" s="21">
        <v>12.249840000000001</v>
      </c>
      <c r="FY28" s="21">
        <v>12.249840000000001</v>
      </c>
      <c r="FZ28" s="21">
        <v>12.249840000000001</v>
      </c>
      <c r="GA28" s="21">
        <v>12.249840000000001</v>
      </c>
      <c r="GB28" s="21">
        <v>12.249840000000001</v>
      </c>
      <c r="GC28" s="21">
        <v>12.249840000000001</v>
      </c>
      <c r="GD28" s="21">
        <v>12.249840000000001</v>
      </c>
      <c r="GE28" s="21">
        <v>12.249840000000001</v>
      </c>
      <c r="GF28" s="21">
        <v>12.249840000000001</v>
      </c>
      <c r="GG28" s="21">
        <v>12.249840000000001</v>
      </c>
      <c r="GH28" s="21">
        <v>12.249840000000001</v>
      </c>
      <c r="GI28" s="21">
        <v>12.249840000000001</v>
      </c>
      <c r="GJ28" s="21">
        <v>12.249840000000001</v>
      </c>
      <c r="GK28" s="21">
        <v>12.249840000000001</v>
      </c>
      <c r="GL28" s="21">
        <v>12.249840000000001</v>
      </c>
      <c r="GM28" s="21">
        <v>12.249840000000001</v>
      </c>
      <c r="GN28" s="21">
        <v>12.249840000000001</v>
      </c>
      <c r="GO28" s="21">
        <v>12.249840000000001</v>
      </c>
      <c r="GP28" s="21">
        <v>12.249840000000001</v>
      </c>
      <c r="GQ28" s="21">
        <v>12.249840000000001</v>
      </c>
      <c r="GR28" s="21">
        <v>12.249840000000001</v>
      </c>
      <c r="GS28" s="21">
        <v>12.249840000000001</v>
      </c>
      <c r="GT28" s="21">
        <v>12.249840000000001</v>
      </c>
      <c r="GU28" s="21">
        <v>12.249840000000001</v>
      </c>
      <c r="GV28" s="21">
        <v>12.249840000000001</v>
      </c>
      <c r="GW28" s="21">
        <v>12.249840000000001</v>
      </c>
      <c r="GX28" s="21">
        <v>12.249840000000001</v>
      </c>
      <c r="GY28" s="21">
        <v>12.249840000000001</v>
      </c>
      <c r="GZ28" s="21">
        <v>12.249840000000001</v>
      </c>
      <c r="HA28" s="21">
        <v>12.249840000000001</v>
      </c>
      <c r="HB28" s="21">
        <v>12.249840000000001</v>
      </c>
      <c r="HC28" s="21">
        <v>12.249840000000001</v>
      </c>
      <c r="HD28" s="21">
        <v>12.249840000000001</v>
      </c>
      <c r="HE28" s="21">
        <v>12.249840000000001</v>
      </c>
      <c r="HF28" s="21">
        <v>12.249840000000001</v>
      </c>
      <c r="HG28" s="21">
        <v>12.249840000000001</v>
      </c>
      <c r="HH28" s="21">
        <v>12.249840000000001</v>
      </c>
      <c r="HI28" s="21">
        <v>12.249840000000001</v>
      </c>
      <c r="HJ28" s="21">
        <v>12.249840000000001</v>
      </c>
      <c r="HK28" s="21">
        <v>12.249840000000001</v>
      </c>
      <c r="HL28" s="21">
        <v>12.249840000000001</v>
      </c>
      <c r="HM28" s="21">
        <v>12.249840000000001</v>
      </c>
      <c r="HN28" s="21">
        <v>12.249840000000001</v>
      </c>
      <c r="HO28" s="21">
        <v>12.249840000000001</v>
      </c>
      <c r="HP28" s="21">
        <v>12.249840000000001</v>
      </c>
      <c r="HQ28" s="21">
        <v>12.249840000000001</v>
      </c>
      <c r="HR28" s="21">
        <v>12.249840000000001</v>
      </c>
      <c r="HS28" s="21">
        <v>12.249840000000001</v>
      </c>
      <c r="HT28" s="21">
        <v>12.249840000000001</v>
      </c>
      <c r="HU28" s="21">
        <v>12.249840000000001</v>
      </c>
      <c r="HV28" s="21">
        <v>12.249840000000001</v>
      </c>
      <c r="HW28" s="21">
        <v>12.249840000000001</v>
      </c>
      <c r="HX28" s="21">
        <v>12.249840000000001</v>
      </c>
      <c r="HY28" s="21">
        <v>12.249840000000001</v>
      </c>
      <c r="HZ28" s="21">
        <v>12.249840000000001</v>
      </c>
      <c r="IA28" s="21">
        <v>12.249840000000001</v>
      </c>
      <c r="IB28" s="21">
        <v>12.249840000000001</v>
      </c>
      <c r="IC28" s="21">
        <v>12.249840000000001</v>
      </c>
      <c r="ID28" s="21">
        <v>12.249840000000001</v>
      </c>
      <c r="IE28" s="21">
        <v>12.249840000000001</v>
      </c>
      <c r="IF28" s="21">
        <v>12.249840000000001</v>
      </c>
      <c r="IG28" s="21">
        <v>12.249840000000001</v>
      </c>
      <c r="IH28" s="21">
        <v>12.249840000000001</v>
      </c>
      <c r="II28" s="21">
        <v>12.249840000000001</v>
      </c>
      <c r="IJ28" s="21">
        <v>12.249840000000001</v>
      </c>
      <c r="IK28" s="21">
        <v>12.249840000000001</v>
      </c>
      <c r="IL28" s="21">
        <v>12.249840000000001</v>
      </c>
      <c r="IM28" s="21">
        <v>12.249840000000001</v>
      </c>
      <c r="IN28" s="21">
        <v>12.249840000000001</v>
      </c>
      <c r="IO28" s="21">
        <v>12.249840000000001</v>
      </c>
      <c r="IP28" s="21">
        <v>12.249840000000001</v>
      </c>
      <c r="IQ28" s="21">
        <v>12.249840000000001</v>
      </c>
      <c r="IR28" s="21">
        <v>12.249840000000001</v>
      </c>
      <c r="IS28" s="21">
        <v>12.249840000000001</v>
      </c>
      <c r="IT28" s="21">
        <v>12.249840000000001</v>
      </c>
      <c r="IU28" s="21">
        <v>12.249840000000001</v>
      </c>
      <c r="IV28" s="21">
        <v>12.249840000000001</v>
      </c>
      <c r="IW28" s="21">
        <v>12.249840000000001</v>
      </c>
      <c r="IX28" s="21">
        <v>12.249840000000001</v>
      </c>
      <c r="IY28" s="21">
        <v>12.249840000000001</v>
      </c>
      <c r="IZ28" s="21">
        <v>12.249840000000001</v>
      </c>
      <c r="JA28" s="21">
        <v>12.249840000000001</v>
      </c>
      <c r="JB28" s="21">
        <v>12.249840000000001</v>
      </c>
      <c r="JC28" s="21">
        <v>12.249840000000001</v>
      </c>
      <c r="JD28" s="21">
        <v>12.249840000000001</v>
      </c>
      <c r="JE28" s="21">
        <v>12.249840000000001</v>
      </c>
      <c r="JF28" s="21">
        <v>12.249840000000001</v>
      </c>
      <c r="JG28" s="21">
        <v>12.249840000000001</v>
      </c>
      <c r="JH28" s="21">
        <v>12.249840000000001</v>
      </c>
      <c r="JI28" s="21">
        <v>12.249840000000001</v>
      </c>
      <c r="JJ28" s="21">
        <v>12.249840000000001</v>
      </c>
      <c r="JK28" s="21">
        <v>12.249840000000001</v>
      </c>
      <c r="JL28" s="21">
        <v>12.249840000000001</v>
      </c>
      <c r="JM28" s="21">
        <v>12.249840000000001</v>
      </c>
      <c r="JN28" s="21">
        <v>12.249840000000001</v>
      </c>
      <c r="JO28" s="21">
        <v>12.249840000000001</v>
      </c>
      <c r="JP28" s="21">
        <v>12.249840000000001</v>
      </c>
      <c r="JQ28" s="21">
        <v>12.249840000000001</v>
      </c>
      <c r="JR28" s="21">
        <v>12.249840000000001</v>
      </c>
      <c r="JS28" s="21">
        <v>12.249840000000001</v>
      </c>
      <c r="JT28" s="21">
        <v>12.249840000000001</v>
      </c>
      <c r="JU28" s="21">
        <v>12.249840000000001</v>
      </c>
      <c r="JV28" s="21">
        <v>12.249840000000001</v>
      </c>
      <c r="JW28" s="21">
        <v>12.249840000000001</v>
      </c>
      <c r="JX28" s="21">
        <v>12.249840000000001</v>
      </c>
      <c r="JY28" s="21">
        <v>12.249840000000001</v>
      </c>
      <c r="JZ28" s="21">
        <v>12.249840000000001</v>
      </c>
      <c r="KA28" s="21">
        <v>12.249840000000001</v>
      </c>
      <c r="KB28" s="21">
        <v>12.249840000000001</v>
      </c>
      <c r="KC28" s="21">
        <v>12.249840000000001</v>
      </c>
      <c r="KD28" s="21">
        <v>12.249840000000001</v>
      </c>
      <c r="KE28" s="21">
        <v>12.249840000000001</v>
      </c>
      <c r="KF28" s="21">
        <v>12.249840000000001</v>
      </c>
      <c r="KG28" s="21">
        <v>12.249840000000001</v>
      </c>
      <c r="KH28" s="21">
        <v>12.249840000000001</v>
      </c>
      <c r="KI28" s="21">
        <v>12.249840000000001</v>
      </c>
      <c r="KJ28" s="21">
        <v>12.249840000000001</v>
      </c>
      <c r="KK28" s="21">
        <v>12.249840000000001</v>
      </c>
      <c r="KL28" s="21">
        <v>12.249840000000001</v>
      </c>
      <c r="KM28" s="21">
        <v>12.249840000000001</v>
      </c>
      <c r="KN28" s="21">
        <v>12.249840000000001</v>
      </c>
      <c r="KO28" s="21">
        <v>12.249840000000001</v>
      </c>
      <c r="KP28" s="21">
        <v>12.249840000000001</v>
      </c>
      <c r="KQ28" s="21">
        <v>12.249840000000001</v>
      </c>
      <c r="KR28" s="21">
        <v>12.249840000000001</v>
      </c>
      <c r="KS28" s="21">
        <v>12.249840000000001</v>
      </c>
      <c r="KT28" s="21">
        <v>12.249840000000001</v>
      </c>
      <c r="KU28" s="21">
        <v>12.249840000000001</v>
      </c>
      <c r="KV28" s="21">
        <v>12.249840000000001</v>
      </c>
      <c r="KW28" s="21">
        <v>12.249840000000001</v>
      </c>
      <c r="KX28" s="21">
        <v>12.249840000000001</v>
      </c>
      <c r="KY28" s="21">
        <v>12.249840000000001</v>
      </c>
      <c r="KZ28" s="21">
        <v>12.249840000000001</v>
      </c>
      <c r="LA28" s="21">
        <v>12.249840000000001</v>
      </c>
      <c r="LB28" s="21">
        <v>12.249840000000001</v>
      </c>
      <c r="LC28" s="21">
        <v>12.249840000000001</v>
      </c>
      <c r="LD28" s="21">
        <v>12.249840000000001</v>
      </c>
      <c r="LE28" s="21">
        <v>12.249840000000001</v>
      </c>
      <c r="LF28" s="21">
        <v>12.249840000000001</v>
      </c>
      <c r="LG28" s="21">
        <v>12.249840000000001</v>
      </c>
      <c r="LH28" s="21">
        <v>12.249840000000001</v>
      </c>
      <c r="LI28" s="21">
        <v>12.249840000000001</v>
      </c>
      <c r="LJ28" s="21">
        <v>12.249840000000001</v>
      </c>
      <c r="LK28" s="21">
        <v>12.249840000000001</v>
      </c>
      <c r="LL28" s="21">
        <v>12.249840000000001</v>
      </c>
      <c r="LM28" s="21">
        <v>12.249840000000001</v>
      </c>
      <c r="LN28" s="21">
        <v>12.249840000000001</v>
      </c>
      <c r="LO28" s="21">
        <v>12.249840000000001</v>
      </c>
      <c r="LP28" s="21">
        <v>12.249840000000001</v>
      </c>
      <c r="LQ28" s="21">
        <v>12.249840000000001</v>
      </c>
      <c r="LR28" s="21">
        <v>12.249840000000001</v>
      </c>
      <c r="LS28" s="21">
        <v>12.249840000000001</v>
      </c>
      <c r="LT28" s="21">
        <v>12.249840000000001</v>
      </c>
      <c r="LU28" s="21">
        <v>12.249840000000001</v>
      </c>
      <c r="LV28" s="21">
        <v>12.249840000000001</v>
      </c>
      <c r="LW28" s="21">
        <v>12.249840000000001</v>
      </c>
      <c r="LX28" s="21">
        <v>12.249840000000001</v>
      </c>
      <c r="LY28" s="21">
        <v>12.249840000000001</v>
      </c>
      <c r="LZ28" s="21">
        <v>12.249840000000001</v>
      </c>
      <c r="MA28" s="21">
        <v>12.249840000000001</v>
      </c>
      <c r="MB28" s="21">
        <v>12.249840000000001</v>
      </c>
      <c r="MC28" s="21">
        <v>12.249840000000001</v>
      </c>
      <c r="MD28" s="21">
        <v>12.249840000000001</v>
      </c>
      <c r="ME28" s="21">
        <v>12.249840000000001</v>
      </c>
      <c r="MF28" s="21">
        <v>12.249840000000001</v>
      </c>
      <c r="MG28" s="21">
        <v>12.249840000000001</v>
      </c>
      <c r="MH28" s="21">
        <v>12.249840000000001</v>
      </c>
      <c r="MI28" s="21">
        <v>12.249840000000001</v>
      </c>
      <c r="MJ28" s="21">
        <v>12.249840000000001</v>
      </c>
      <c r="MK28" s="21">
        <v>12.249840000000001</v>
      </c>
      <c r="ML28" s="21">
        <v>12.249840000000001</v>
      </c>
      <c r="MM28" s="21">
        <v>12.249840000000001</v>
      </c>
      <c r="MN28" s="21">
        <v>12.249840000000001</v>
      </c>
      <c r="MO28" s="21">
        <v>12.249840000000001</v>
      </c>
      <c r="MP28" s="21">
        <v>12.249840000000001</v>
      </c>
      <c r="MQ28" s="21">
        <v>12.249840000000001</v>
      </c>
      <c r="MR28" s="21">
        <v>12.249840000000001</v>
      </c>
      <c r="MS28" s="21">
        <v>12.249840000000001</v>
      </c>
      <c r="MT28" s="21">
        <v>12.249840000000001</v>
      </c>
      <c r="MU28" s="21">
        <v>12.249840000000001</v>
      </c>
      <c r="MV28" s="21">
        <v>12.249840000000001</v>
      </c>
      <c r="MW28" s="21">
        <v>12.249840000000001</v>
      </c>
      <c r="MX28" s="21">
        <v>12.249840000000001</v>
      </c>
      <c r="MY28" s="21">
        <v>12.249840000000001</v>
      </c>
      <c r="MZ28" s="21">
        <v>12.249840000000001</v>
      </c>
    </row>
    <row r="29" spans="1:364" x14ac:dyDescent="0.25">
      <c r="A29" s="7">
        <f t="shared" si="0"/>
        <v>27</v>
      </c>
      <c r="B29" s="16" t="str">
        <f>+Base!B27</f>
        <v>202402210078A033</v>
      </c>
      <c r="C29" s="75">
        <v>6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6.1227119999999999</v>
      </c>
      <c r="L29" s="21">
        <v>6.1227119999999999</v>
      </c>
      <c r="M29" s="21">
        <v>6.1227119999999999</v>
      </c>
      <c r="N29" s="21">
        <v>6.1227119999999999</v>
      </c>
      <c r="O29" s="21">
        <v>6.1227119999999999</v>
      </c>
      <c r="P29" s="21">
        <v>6.1227119999999999</v>
      </c>
      <c r="Q29" s="21">
        <v>6.1227119999999999</v>
      </c>
      <c r="R29" s="21">
        <v>6.1227119999999999</v>
      </c>
      <c r="S29" s="21">
        <v>6.1227119999999999</v>
      </c>
      <c r="T29" s="21">
        <v>6.1227119999999999</v>
      </c>
      <c r="U29" s="21">
        <v>6.1227119999999999</v>
      </c>
      <c r="V29" s="21">
        <v>6.1227119999999999</v>
      </c>
      <c r="W29" s="21">
        <v>6.1227119999999999</v>
      </c>
      <c r="X29" s="21">
        <v>6.1227119999999999</v>
      </c>
      <c r="Y29" s="21">
        <v>6.1227119999999999</v>
      </c>
      <c r="Z29" s="21">
        <v>6.1227119999999999</v>
      </c>
      <c r="AA29" s="21">
        <v>6.1227119999999999</v>
      </c>
      <c r="AB29" s="21">
        <v>6.1227119999999999</v>
      </c>
      <c r="AC29" s="21">
        <v>6.1227119999999999</v>
      </c>
      <c r="AD29" s="21">
        <v>6.1227119999999999</v>
      </c>
      <c r="AE29" s="21">
        <v>6.1227119999999999</v>
      </c>
      <c r="AF29" s="21">
        <v>6.1227119999999999</v>
      </c>
      <c r="AG29" s="21">
        <v>6.1227119999999999</v>
      </c>
      <c r="AH29" s="21">
        <v>6.1227119999999999</v>
      </c>
      <c r="AI29" s="21">
        <v>6.1227119999999999</v>
      </c>
      <c r="AJ29" s="21">
        <v>6.1227119999999999</v>
      </c>
      <c r="AK29" s="21">
        <v>6.1227119999999999</v>
      </c>
      <c r="AL29" s="21">
        <v>6.1227119999999999</v>
      </c>
      <c r="AM29" s="21">
        <v>6.1227119999999999</v>
      </c>
      <c r="AN29" s="21">
        <v>6.1227119999999999</v>
      </c>
      <c r="AO29" s="21">
        <v>6.1227119999999999</v>
      </c>
      <c r="AP29" s="21">
        <v>6.1227119999999999</v>
      </c>
      <c r="AQ29" s="21">
        <v>6.1227119999999999</v>
      </c>
      <c r="AR29" s="21">
        <v>6.1227119999999999</v>
      </c>
      <c r="AS29" s="21">
        <v>6.1227119999999999</v>
      </c>
      <c r="AT29" s="21">
        <v>6.1227119999999999</v>
      </c>
      <c r="AU29" s="21">
        <v>6.1227119999999999</v>
      </c>
      <c r="AV29" s="21">
        <v>6.1227119999999999</v>
      </c>
      <c r="AW29" s="21">
        <v>6.1227119999999999</v>
      </c>
      <c r="AX29" s="21">
        <v>6.1227119999999999</v>
      </c>
      <c r="AY29" s="21">
        <v>6.1227119999999999</v>
      </c>
      <c r="AZ29" s="21">
        <v>6.1227119999999999</v>
      </c>
      <c r="BA29" s="21">
        <v>6.1227119999999999</v>
      </c>
      <c r="BB29" s="21">
        <v>6.1227119999999999</v>
      </c>
      <c r="BC29" s="21">
        <v>6.1227119999999999</v>
      </c>
      <c r="BD29" s="21">
        <v>6.1227119999999999</v>
      </c>
      <c r="BE29" s="21">
        <v>6.1227119999999999</v>
      </c>
      <c r="BF29" s="21">
        <v>6.1227119999999999</v>
      </c>
      <c r="BG29" s="21">
        <v>6.1227119999999999</v>
      </c>
      <c r="BH29" s="21">
        <v>6.1227119999999999</v>
      </c>
      <c r="BI29" s="21">
        <v>6.1227119999999999</v>
      </c>
      <c r="BJ29" s="21">
        <v>6.1227119999999999</v>
      </c>
      <c r="BK29" s="21">
        <v>6.1227119999999999</v>
      </c>
      <c r="BL29" s="21">
        <v>6.1227119999999999</v>
      </c>
      <c r="BM29" s="21">
        <v>6.1227119999999999</v>
      </c>
      <c r="BN29" s="21">
        <v>6.1227119999999999</v>
      </c>
      <c r="BO29" s="21">
        <v>6.1227119999999999</v>
      </c>
      <c r="BP29" s="21">
        <v>6.1227119999999999</v>
      </c>
      <c r="BQ29" s="21">
        <v>6.1227119999999999</v>
      </c>
      <c r="BR29" s="21">
        <v>6.1227119999999999</v>
      </c>
      <c r="BS29" s="21">
        <v>6.1227119999999999</v>
      </c>
      <c r="BT29" s="21">
        <v>6.1227119999999999</v>
      </c>
      <c r="BU29" s="21">
        <v>6.1227119999999999</v>
      </c>
      <c r="BV29" s="21">
        <v>6.1227119999999999</v>
      </c>
      <c r="BW29" s="21">
        <v>6.1227119999999999</v>
      </c>
      <c r="BX29" s="21">
        <v>6.1227119999999999</v>
      </c>
      <c r="BY29" s="21">
        <v>6.1227119999999999</v>
      </c>
      <c r="BZ29" s="21">
        <v>6.1227119999999999</v>
      </c>
      <c r="CA29" s="21">
        <v>6.1227119999999999</v>
      </c>
      <c r="CB29" s="21">
        <v>6.1227119999999999</v>
      </c>
      <c r="CC29" s="21">
        <v>6.1227119999999999</v>
      </c>
      <c r="CD29" s="21">
        <v>6.1227119999999999</v>
      </c>
      <c r="CE29" s="21">
        <v>6.1227119999999999</v>
      </c>
      <c r="CF29" s="21">
        <v>6.1227119999999999</v>
      </c>
      <c r="CG29" s="21">
        <v>6.1227119999999999</v>
      </c>
      <c r="CH29" s="21">
        <v>6.1227119999999999</v>
      </c>
      <c r="CI29" s="21">
        <v>6.1227119999999999</v>
      </c>
      <c r="CJ29" s="21">
        <v>6.1227119999999999</v>
      </c>
      <c r="CK29" s="21">
        <v>6.1227119999999999</v>
      </c>
      <c r="CL29" s="21">
        <v>6.1227119999999999</v>
      </c>
      <c r="CM29" s="21">
        <v>6.1227119999999999</v>
      </c>
      <c r="CN29" s="21">
        <v>6.1227119999999999</v>
      </c>
      <c r="CO29" s="21">
        <v>6.1227119999999999</v>
      </c>
      <c r="CP29" s="21">
        <v>6.1227119999999999</v>
      </c>
      <c r="CQ29" s="21">
        <v>6.1227119999999999</v>
      </c>
      <c r="CR29" s="21">
        <v>6.1227119999999999</v>
      </c>
      <c r="CS29" s="21">
        <v>6.1227119999999999</v>
      </c>
      <c r="CT29" s="21">
        <v>6.1227119999999999</v>
      </c>
      <c r="CU29" s="21">
        <v>6.1227119999999999</v>
      </c>
      <c r="CV29" s="21">
        <v>6.1227119999999999</v>
      </c>
      <c r="CW29" s="21">
        <v>6.1227119999999999</v>
      </c>
      <c r="CX29" s="21">
        <v>6.1227119999999999</v>
      </c>
      <c r="CY29" s="21">
        <v>6.1227119999999999</v>
      </c>
      <c r="CZ29" s="21">
        <v>6.1227119999999999</v>
      </c>
      <c r="DA29" s="21">
        <v>6.1227119999999999</v>
      </c>
      <c r="DB29" s="21">
        <v>6.1227119999999999</v>
      </c>
      <c r="DC29" s="21">
        <v>6.1227119999999999</v>
      </c>
      <c r="DD29" s="21">
        <v>6.1227119999999999</v>
      </c>
      <c r="DE29" s="21">
        <v>6.1227119999999999</v>
      </c>
      <c r="DF29" s="21">
        <v>6.1227119999999999</v>
      </c>
      <c r="DG29" s="21">
        <v>6.1227119999999999</v>
      </c>
      <c r="DH29" s="21">
        <v>6.1227119999999999</v>
      </c>
      <c r="DI29" s="21">
        <v>6.1227119999999999</v>
      </c>
      <c r="DJ29" s="21">
        <v>6.1227119999999999</v>
      </c>
      <c r="DK29" s="21">
        <v>6.1227119999999999</v>
      </c>
      <c r="DL29" s="21">
        <v>6.1227119999999999</v>
      </c>
      <c r="DM29" s="21">
        <v>6.1227119999999999</v>
      </c>
      <c r="DN29" s="21">
        <v>6.1227119999999999</v>
      </c>
      <c r="DO29" s="21">
        <v>6.1227119999999999</v>
      </c>
      <c r="DP29" s="21">
        <v>6.1227119999999999</v>
      </c>
      <c r="DQ29" s="21">
        <v>6.1227119999999999</v>
      </c>
      <c r="DR29" s="21">
        <v>6.1227119999999999</v>
      </c>
      <c r="DS29" s="21">
        <v>6.1227119999999999</v>
      </c>
      <c r="DT29" s="21">
        <v>6.1227119999999999</v>
      </c>
      <c r="DU29" s="21">
        <v>6.1227119999999999</v>
      </c>
      <c r="DV29" s="21">
        <v>6.1227119999999999</v>
      </c>
      <c r="DW29" s="21">
        <v>6.1227119999999999</v>
      </c>
      <c r="DX29" s="21">
        <v>6.1227119999999999</v>
      </c>
      <c r="DY29" s="21">
        <v>6.1227119999999999</v>
      </c>
      <c r="DZ29" s="21">
        <v>6.1227119999999999</v>
      </c>
      <c r="EA29" s="21">
        <v>6.1227119999999999</v>
      </c>
      <c r="EB29" s="21">
        <v>6.1227119999999999</v>
      </c>
      <c r="EC29" s="21">
        <v>6.1227119999999999</v>
      </c>
      <c r="ED29" s="21">
        <v>6.1227119999999999</v>
      </c>
      <c r="EE29" s="21">
        <v>6.1227119999999999</v>
      </c>
      <c r="EF29" s="21">
        <v>6.1227119999999999</v>
      </c>
      <c r="EG29" s="21">
        <v>6.1227119999999999</v>
      </c>
      <c r="EH29" s="21">
        <v>6.1227119999999999</v>
      </c>
      <c r="EI29" s="21">
        <v>6.1227119999999999</v>
      </c>
      <c r="EJ29" s="21">
        <v>6.1227119999999999</v>
      </c>
      <c r="EK29" s="21">
        <v>6.1227119999999999</v>
      </c>
      <c r="EL29" s="21">
        <v>6.1227119999999999</v>
      </c>
      <c r="EM29" s="21">
        <v>6.1227119999999999</v>
      </c>
      <c r="EN29" s="21">
        <v>6.1227119999999999</v>
      </c>
      <c r="EO29" s="21">
        <v>6.1227119999999999</v>
      </c>
      <c r="EP29" s="21">
        <v>6.1227119999999999</v>
      </c>
      <c r="EQ29" s="21">
        <v>6.1227119999999999</v>
      </c>
      <c r="ER29" s="21">
        <v>6.1227119999999999</v>
      </c>
      <c r="ES29" s="21">
        <v>6.1227119999999999</v>
      </c>
      <c r="ET29" s="21">
        <v>6.1227119999999999</v>
      </c>
      <c r="EU29" s="21">
        <v>6.1227119999999999</v>
      </c>
      <c r="EV29" s="21">
        <v>6.1227119999999999</v>
      </c>
      <c r="EW29" s="21">
        <v>6.1227119999999999</v>
      </c>
      <c r="EX29" s="21">
        <v>6.1227119999999999</v>
      </c>
      <c r="EY29" s="21">
        <v>6.1227119999999999</v>
      </c>
      <c r="EZ29" s="21">
        <v>6.1227119999999999</v>
      </c>
      <c r="FA29" s="21">
        <v>6.1227119999999999</v>
      </c>
      <c r="FB29" s="21">
        <v>6.1227119999999999</v>
      </c>
      <c r="FC29" s="21">
        <v>6.1227119999999999</v>
      </c>
      <c r="FD29" s="21">
        <v>6.1227119999999999</v>
      </c>
      <c r="FE29" s="21">
        <v>6.1227119999999999</v>
      </c>
      <c r="FF29" s="21">
        <v>6.1227119999999999</v>
      </c>
      <c r="FG29" s="21">
        <v>6.1227119999999999</v>
      </c>
      <c r="FH29" s="21">
        <v>6.1227119999999999</v>
      </c>
      <c r="FI29" s="21">
        <v>6.1227119999999999</v>
      </c>
      <c r="FJ29" s="21">
        <v>6.1227119999999999</v>
      </c>
      <c r="FK29" s="21">
        <v>6.1227119999999999</v>
      </c>
      <c r="FL29" s="21">
        <v>6.1227119999999999</v>
      </c>
      <c r="FM29" s="21">
        <v>6.1227119999999999</v>
      </c>
      <c r="FN29" s="21">
        <v>6.1227119999999999</v>
      </c>
      <c r="FO29" s="21">
        <v>6.1227119999999999</v>
      </c>
      <c r="FP29" s="21">
        <v>6.1227119999999999</v>
      </c>
      <c r="FQ29" s="21">
        <v>6.1227119999999999</v>
      </c>
      <c r="FR29" s="21">
        <v>6.1227119999999999</v>
      </c>
      <c r="FS29" s="21">
        <v>6.1227119999999999</v>
      </c>
      <c r="FT29" s="21">
        <v>6.1227119999999999</v>
      </c>
      <c r="FU29" s="21">
        <v>6.1227119999999999</v>
      </c>
      <c r="FV29" s="21">
        <v>6.1227119999999999</v>
      </c>
      <c r="FW29" s="21">
        <v>6.1227119999999999</v>
      </c>
      <c r="FX29" s="21">
        <v>6.1227119999999999</v>
      </c>
      <c r="FY29" s="21">
        <v>6.1227119999999999</v>
      </c>
      <c r="FZ29" s="21">
        <v>6.1227119999999999</v>
      </c>
      <c r="GA29" s="21">
        <v>6.1227119999999999</v>
      </c>
      <c r="GB29" s="21">
        <v>6.1227119999999999</v>
      </c>
      <c r="GC29" s="21">
        <v>6.1227119999999999</v>
      </c>
      <c r="GD29" s="21">
        <v>6.1227119999999999</v>
      </c>
      <c r="GE29" s="21">
        <v>6.1227119999999999</v>
      </c>
      <c r="GF29" s="21">
        <v>6.1227119999999999</v>
      </c>
      <c r="GG29" s="21">
        <v>6.1227119999999999</v>
      </c>
      <c r="GH29" s="21">
        <v>6.1227119999999999</v>
      </c>
      <c r="GI29" s="21">
        <v>6.1227119999999999</v>
      </c>
      <c r="GJ29" s="21">
        <v>6.1227119999999999</v>
      </c>
      <c r="GK29" s="21">
        <v>6.1227119999999999</v>
      </c>
      <c r="GL29" s="21">
        <v>6.1227119999999999</v>
      </c>
      <c r="GM29" s="21">
        <v>6.1227119999999999</v>
      </c>
      <c r="GN29" s="21">
        <v>6.1227119999999999</v>
      </c>
      <c r="GO29" s="21">
        <v>6.1227119999999999</v>
      </c>
      <c r="GP29" s="21">
        <v>6.1227119999999999</v>
      </c>
      <c r="GQ29" s="21">
        <v>6.1227119999999999</v>
      </c>
      <c r="GR29" s="21">
        <v>6.1227119999999999</v>
      </c>
      <c r="GS29" s="21">
        <v>6.1227119999999999</v>
      </c>
      <c r="GT29" s="21">
        <v>6.1227119999999999</v>
      </c>
      <c r="GU29" s="21">
        <v>6.1227119999999999</v>
      </c>
      <c r="GV29" s="21">
        <v>6.1227119999999999</v>
      </c>
      <c r="GW29" s="21">
        <v>6.1227119999999999</v>
      </c>
      <c r="GX29" s="21">
        <v>6.1227119999999999</v>
      </c>
      <c r="GY29" s="21">
        <v>6.1227119999999999</v>
      </c>
      <c r="GZ29" s="21">
        <v>6.1227119999999999</v>
      </c>
      <c r="HA29" s="21">
        <v>6.1227119999999999</v>
      </c>
      <c r="HB29" s="21">
        <v>6.1227119999999999</v>
      </c>
      <c r="HC29" s="21">
        <v>6.1227119999999999</v>
      </c>
      <c r="HD29" s="21">
        <v>6.1227119999999999</v>
      </c>
      <c r="HE29" s="21">
        <v>6.1227119999999999</v>
      </c>
      <c r="HF29" s="21">
        <v>6.1227119999999999</v>
      </c>
      <c r="HG29" s="21">
        <v>6.1227119999999999</v>
      </c>
      <c r="HH29" s="21">
        <v>6.1227119999999999</v>
      </c>
      <c r="HI29" s="21">
        <v>6.1227119999999999</v>
      </c>
      <c r="HJ29" s="21">
        <v>6.1227119999999999</v>
      </c>
      <c r="HK29" s="21">
        <v>6.1227119999999999</v>
      </c>
      <c r="HL29" s="21">
        <v>6.1227119999999999</v>
      </c>
      <c r="HM29" s="21">
        <v>6.1227119999999999</v>
      </c>
      <c r="HN29" s="21">
        <v>6.1227119999999999</v>
      </c>
      <c r="HO29" s="21">
        <v>6.1227119999999999</v>
      </c>
      <c r="HP29" s="21">
        <v>6.1227119999999999</v>
      </c>
      <c r="HQ29" s="21">
        <v>6.1227119999999999</v>
      </c>
      <c r="HR29" s="21">
        <v>6.1227119999999999</v>
      </c>
      <c r="HS29" s="21">
        <v>6.1227119999999999</v>
      </c>
      <c r="HT29" s="21">
        <v>6.1227119999999999</v>
      </c>
      <c r="HU29" s="21">
        <v>6.1227119999999999</v>
      </c>
      <c r="HV29" s="21">
        <v>6.1227119999999999</v>
      </c>
      <c r="HW29" s="21">
        <v>6.1227119999999999</v>
      </c>
      <c r="HX29" s="21">
        <v>6.1227119999999999</v>
      </c>
      <c r="HY29" s="21">
        <v>6.1227119999999999</v>
      </c>
      <c r="HZ29" s="21">
        <v>6.1227119999999999</v>
      </c>
      <c r="IA29" s="21">
        <v>6.1227119999999999</v>
      </c>
      <c r="IB29" s="21">
        <v>6.1227119999999999</v>
      </c>
      <c r="IC29" s="21">
        <v>6.1227119999999999</v>
      </c>
      <c r="ID29" s="21">
        <v>6.1227119999999999</v>
      </c>
      <c r="IE29" s="21">
        <v>6.1227119999999999</v>
      </c>
      <c r="IF29" s="21">
        <v>6.1227119999999999</v>
      </c>
      <c r="IG29" s="21">
        <v>6.1227119999999999</v>
      </c>
      <c r="IH29" s="21">
        <v>6.1227119999999999</v>
      </c>
      <c r="II29" s="21">
        <v>6.1227119999999999</v>
      </c>
      <c r="IJ29" s="21">
        <v>6.1227119999999999</v>
      </c>
      <c r="IK29" s="21">
        <v>6.1227119999999999</v>
      </c>
      <c r="IL29" s="21">
        <v>6.1227119999999999</v>
      </c>
      <c r="IM29" s="21">
        <v>6.1227119999999999</v>
      </c>
      <c r="IN29" s="21">
        <v>6.1227119999999999</v>
      </c>
      <c r="IO29" s="21">
        <v>6.1227119999999999</v>
      </c>
      <c r="IP29" s="21">
        <v>6.1227119999999999</v>
      </c>
      <c r="IQ29" s="21">
        <v>6.1227119999999999</v>
      </c>
      <c r="IR29" s="21">
        <v>6.1227119999999999</v>
      </c>
      <c r="IS29" s="21">
        <v>6.1227119999999999</v>
      </c>
      <c r="IT29" s="21">
        <v>6.1227119999999999</v>
      </c>
      <c r="IU29" s="21">
        <v>6.1227119999999999</v>
      </c>
      <c r="IV29" s="21">
        <v>6.1227119999999999</v>
      </c>
      <c r="IW29" s="21">
        <v>6.1227119999999999</v>
      </c>
      <c r="IX29" s="21">
        <v>6.1227119999999999</v>
      </c>
      <c r="IY29" s="21">
        <v>6.1227119999999999</v>
      </c>
      <c r="IZ29" s="21">
        <v>6.1227119999999999</v>
      </c>
      <c r="JA29" s="21">
        <v>6.1227119999999999</v>
      </c>
      <c r="JB29" s="21">
        <v>6.1227119999999999</v>
      </c>
      <c r="JC29" s="21">
        <v>6.1227119999999999</v>
      </c>
      <c r="JD29" s="21">
        <v>6.1227119999999999</v>
      </c>
      <c r="JE29" s="21">
        <v>6.1227119999999999</v>
      </c>
      <c r="JF29" s="21">
        <v>6.1227119999999999</v>
      </c>
      <c r="JG29" s="21">
        <v>6.1227119999999999</v>
      </c>
      <c r="JH29" s="21">
        <v>6.1227119999999999</v>
      </c>
      <c r="JI29" s="21">
        <v>6.1227119999999999</v>
      </c>
      <c r="JJ29" s="21">
        <v>6.1227119999999999</v>
      </c>
      <c r="JK29" s="21">
        <v>6.1227119999999999</v>
      </c>
      <c r="JL29" s="21">
        <v>6.1227119999999999</v>
      </c>
      <c r="JM29" s="21">
        <v>6.1227119999999999</v>
      </c>
      <c r="JN29" s="21">
        <v>6.1227119999999999</v>
      </c>
      <c r="JO29" s="21">
        <v>6.1227119999999999</v>
      </c>
      <c r="JP29" s="21">
        <v>6.1227119999999999</v>
      </c>
      <c r="JQ29" s="21">
        <v>6.1227119999999999</v>
      </c>
      <c r="JR29" s="21">
        <v>6.1227119999999999</v>
      </c>
      <c r="JS29" s="21">
        <v>6.1227119999999999</v>
      </c>
      <c r="JT29" s="21">
        <v>6.1227119999999999</v>
      </c>
      <c r="JU29" s="21">
        <v>6.1227119999999999</v>
      </c>
      <c r="JV29" s="21">
        <v>6.1227119999999999</v>
      </c>
      <c r="JW29" s="21">
        <v>6.1227119999999999</v>
      </c>
      <c r="JX29" s="21">
        <v>6.1227119999999999</v>
      </c>
      <c r="JY29" s="21">
        <v>6.1227119999999999</v>
      </c>
      <c r="JZ29" s="21">
        <v>6.1227119999999999</v>
      </c>
      <c r="KA29" s="21">
        <v>6.1227119999999999</v>
      </c>
      <c r="KB29" s="21">
        <v>6.1227119999999999</v>
      </c>
      <c r="KC29" s="21">
        <v>6.1227119999999999</v>
      </c>
      <c r="KD29" s="21">
        <v>6.1227119999999999</v>
      </c>
      <c r="KE29" s="21">
        <v>6.1227119999999999</v>
      </c>
      <c r="KF29" s="21">
        <v>6.1227119999999999</v>
      </c>
      <c r="KG29" s="21">
        <v>6.1227119999999999</v>
      </c>
      <c r="KH29" s="21">
        <v>6.1227119999999999</v>
      </c>
      <c r="KI29" s="21">
        <v>6.1227119999999999</v>
      </c>
      <c r="KJ29" s="21">
        <v>6.1227119999999999</v>
      </c>
      <c r="KK29" s="21">
        <v>6.1227119999999999</v>
      </c>
      <c r="KL29" s="21">
        <v>6.1227119999999999</v>
      </c>
      <c r="KM29" s="21">
        <v>6.1227119999999999</v>
      </c>
      <c r="KN29" s="21">
        <v>6.1227119999999999</v>
      </c>
      <c r="KO29" s="21">
        <v>6.1227119999999999</v>
      </c>
      <c r="KP29" s="21">
        <v>6.1227119999999999</v>
      </c>
      <c r="KQ29" s="21">
        <v>6.1227119999999999</v>
      </c>
      <c r="KR29" s="21">
        <v>6.1227119999999999</v>
      </c>
      <c r="KS29" s="21">
        <v>6.1227119999999999</v>
      </c>
      <c r="KT29" s="21">
        <v>6.1227119999999999</v>
      </c>
      <c r="KU29" s="21">
        <v>6.1227119999999999</v>
      </c>
      <c r="KV29" s="21">
        <v>6.1227119999999999</v>
      </c>
      <c r="KW29" s="21">
        <v>6.1227119999999999</v>
      </c>
      <c r="KX29" s="21">
        <v>6.1227119999999999</v>
      </c>
      <c r="KY29" s="21">
        <v>6.1227119999999999</v>
      </c>
      <c r="KZ29" s="21">
        <v>6.1227119999999999</v>
      </c>
      <c r="LA29" s="21">
        <v>6.1227119999999999</v>
      </c>
      <c r="LB29" s="21">
        <v>6.1227119999999999</v>
      </c>
      <c r="LC29" s="21">
        <v>6.1227119999999999</v>
      </c>
      <c r="LD29" s="21">
        <v>6.1227119999999999</v>
      </c>
      <c r="LE29" s="21">
        <v>6.1227119999999999</v>
      </c>
      <c r="LF29" s="21">
        <v>6.1227119999999999</v>
      </c>
      <c r="LG29" s="21">
        <v>6.1227119999999999</v>
      </c>
      <c r="LH29" s="21">
        <v>6.1227119999999999</v>
      </c>
      <c r="LI29" s="21">
        <v>6.1227119999999999</v>
      </c>
      <c r="LJ29" s="21">
        <v>6.1227119999999999</v>
      </c>
      <c r="LK29" s="21">
        <v>6.1227119999999999</v>
      </c>
      <c r="LL29" s="21">
        <v>6.1227119999999999</v>
      </c>
      <c r="LM29" s="21">
        <v>6.1227119999999999</v>
      </c>
      <c r="LN29" s="21">
        <v>6.1227119999999999</v>
      </c>
      <c r="LO29" s="21">
        <v>6.1227119999999999</v>
      </c>
      <c r="LP29" s="21">
        <v>6.1227119999999999</v>
      </c>
      <c r="LQ29" s="21">
        <v>6.1227119999999999</v>
      </c>
      <c r="LR29" s="21">
        <v>6.1227119999999999</v>
      </c>
      <c r="LS29" s="21">
        <v>6.1227119999999999</v>
      </c>
      <c r="LT29" s="21">
        <v>6.1227119999999999</v>
      </c>
      <c r="LU29" s="21">
        <v>6.1227119999999999</v>
      </c>
      <c r="LV29" s="21">
        <v>6.1227119999999999</v>
      </c>
      <c r="LW29" s="21">
        <v>6.1227119999999999</v>
      </c>
      <c r="LX29" s="21">
        <v>6.1227119999999999</v>
      </c>
      <c r="LY29" s="21">
        <v>6.1227119999999999</v>
      </c>
      <c r="LZ29" s="21">
        <v>6.1227119999999999</v>
      </c>
      <c r="MA29" s="21">
        <v>6.1227119999999999</v>
      </c>
      <c r="MB29" s="21">
        <v>6.1227119999999999</v>
      </c>
      <c r="MC29" s="21">
        <v>6.1227119999999999</v>
      </c>
      <c r="MD29" s="21">
        <v>6.1227119999999999</v>
      </c>
      <c r="ME29" s="21">
        <v>6.1227119999999999</v>
      </c>
      <c r="MF29" s="21">
        <v>6.1227119999999999</v>
      </c>
      <c r="MG29" s="21">
        <v>6.1227119999999999</v>
      </c>
      <c r="MH29" s="21">
        <v>6.1227119999999999</v>
      </c>
      <c r="MI29" s="21">
        <v>6.1227119999999999</v>
      </c>
      <c r="MJ29" s="21">
        <v>6.1227119999999999</v>
      </c>
      <c r="MK29" s="21">
        <v>6.1227119999999999</v>
      </c>
      <c r="ML29" s="21">
        <v>6.1227119999999999</v>
      </c>
      <c r="MM29" s="21">
        <v>6.1227119999999999</v>
      </c>
      <c r="MN29" s="21">
        <v>6.1227119999999999</v>
      </c>
      <c r="MO29" s="21">
        <v>6.1227119999999999</v>
      </c>
      <c r="MP29" s="21">
        <v>6.1227119999999999</v>
      </c>
      <c r="MQ29" s="21">
        <v>6.1227119999999999</v>
      </c>
      <c r="MR29" s="21">
        <v>6.1227119999999999</v>
      </c>
      <c r="MS29" s="21">
        <v>6.1227119999999999</v>
      </c>
      <c r="MT29" s="21">
        <v>6.1227119999999999</v>
      </c>
      <c r="MU29" s="21">
        <v>6.1227119999999999</v>
      </c>
      <c r="MV29" s="21">
        <v>6.1227119999999999</v>
      </c>
      <c r="MW29" s="21">
        <v>6.1227119999999999</v>
      </c>
      <c r="MX29" s="21">
        <v>6.1227119999999999</v>
      </c>
      <c r="MY29" s="21">
        <v>6.1227119999999999</v>
      </c>
      <c r="MZ29" s="21">
        <v>6.1227119999999999</v>
      </c>
    </row>
    <row r="30" spans="1:364" x14ac:dyDescent="0.25">
      <c r="A30" s="7">
        <f t="shared" si="0"/>
        <v>28</v>
      </c>
      <c r="B30" s="16" t="str">
        <f>+Base!B28</f>
        <v>202402260079A033</v>
      </c>
      <c r="C30" s="75">
        <v>6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11.359590000000001</v>
      </c>
      <c r="L30" s="21">
        <v>11.359590000000001</v>
      </c>
      <c r="M30" s="21">
        <v>11.359590000000001</v>
      </c>
      <c r="N30" s="21">
        <v>11.359590000000001</v>
      </c>
      <c r="O30" s="21">
        <v>11.359590000000001</v>
      </c>
      <c r="P30" s="21">
        <v>11.359590000000001</v>
      </c>
      <c r="Q30" s="21">
        <v>11.359590000000001</v>
      </c>
      <c r="R30" s="21">
        <v>11.359590000000001</v>
      </c>
      <c r="S30" s="21">
        <v>11.359590000000001</v>
      </c>
      <c r="T30" s="21">
        <v>11.359590000000001</v>
      </c>
      <c r="U30" s="21">
        <v>11.359590000000001</v>
      </c>
      <c r="V30" s="21">
        <v>11.359590000000001</v>
      </c>
      <c r="W30" s="21">
        <v>11.359590000000001</v>
      </c>
      <c r="X30" s="21">
        <v>11.359590000000001</v>
      </c>
      <c r="Y30" s="21">
        <v>11.359590000000001</v>
      </c>
      <c r="Z30" s="21">
        <v>11.359590000000001</v>
      </c>
      <c r="AA30" s="21">
        <v>11.359590000000001</v>
      </c>
      <c r="AB30" s="21">
        <v>11.359590000000001</v>
      </c>
      <c r="AC30" s="21">
        <v>11.359590000000001</v>
      </c>
      <c r="AD30" s="21">
        <v>11.359590000000001</v>
      </c>
      <c r="AE30" s="21">
        <v>11.359590000000001</v>
      </c>
      <c r="AF30" s="21">
        <v>11.359590000000001</v>
      </c>
      <c r="AG30" s="21">
        <v>11.359590000000001</v>
      </c>
      <c r="AH30" s="21">
        <v>11.359590000000001</v>
      </c>
      <c r="AI30" s="21">
        <v>11.359590000000001</v>
      </c>
      <c r="AJ30" s="21">
        <v>11.359590000000001</v>
      </c>
      <c r="AK30" s="21">
        <v>11.359590000000001</v>
      </c>
      <c r="AL30" s="21">
        <v>11.359590000000001</v>
      </c>
      <c r="AM30" s="21">
        <v>11.359590000000001</v>
      </c>
      <c r="AN30" s="21">
        <v>11.359590000000001</v>
      </c>
      <c r="AO30" s="21">
        <v>11.359590000000001</v>
      </c>
      <c r="AP30" s="21">
        <v>11.359590000000001</v>
      </c>
      <c r="AQ30" s="21">
        <v>11.359590000000001</v>
      </c>
      <c r="AR30" s="21">
        <v>11.359590000000001</v>
      </c>
      <c r="AS30" s="21">
        <v>11.359590000000001</v>
      </c>
      <c r="AT30" s="21">
        <v>11.359590000000001</v>
      </c>
      <c r="AU30" s="21">
        <v>11.359590000000001</v>
      </c>
      <c r="AV30" s="21">
        <v>11.359590000000001</v>
      </c>
      <c r="AW30" s="21">
        <v>11.359590000000001</v>
      </c>
      <c r="AX30" s="21">
        <v>11.359590000000001</v>
      </c>
      <c r="AY30" s="21">
        <v>11.359590000000001</v>
      </c>
      <c r="AZ30" s="21">
        <v>11.359590000000001</v>
      </c>
      <c r="BA30" s="21">
        <v>11.359590000000001</v>
      </c>
      <c r="BB30" s="21">
        <v>11.359590000000001</v>
      </c>
      <c r="BC30" s="21">
        <v>11.359590000000001</v>
      </c>
      <c r="BD30" s="21">
        <v>11.359590000000001</v>
      </c>
      <c r="BE30" s="21">
        <v>11.359590000000001</v>
      </c>
      <c r="BF30" s="21">
        <v>11.359590000000001</v>
      </c>
      <c r="BG30" s="21">
        <v>11.359590000000001</v>
      </c>
      <c r="BH30" s="21">
        <v>11.359590000000001</v>
      </c>
      <c r="BI30" s="21">
        <v>11.359590000000001</v>
      </c>
      <c r="BJ30" s="21">
        <v>11.359590000000001</v>
      </c>
      <c r="BK30" s="21">
        <v>11.359590000000001</v>
      </c>
      <c r="BL30" s="21">
        <v>11.359590000000001</v>
      </c>
      <c r="BM30" s="21">
        <v>11.359590000000001</v>
      </c>
      <c r="BN30" s="21">
        <v>11.359590000000001</v>
      </c>
      <c r="BO30" s="21">
        <v>11.359590000000001</v>
      </c>
      <c r="BP30" s="21">
        <v>11.359590000000001</v>
      </c>
      <c r="BQ30" s="21">
        <v>11.359590000000001</v>
      </c>
      <c r="BR30" s="21">
        <v>11.359590000000001</v>
      </c>
      <c r="BS30" s="21">
        <v>11.359590000000001</v>
      </c>
      <c r="BT30" s="21">
        <v>11.359590000000001</v>
      </c>
      <c r="BU30" s="21">
        <v>11.359590000000001</v>
      </c>
      <c r="BV30" s="21">
        <v>11.359590000000001</v>
      </c>
      <c r="BW30" s="21">
        <v>11.359590000000001</v>
      </c>
      <c r="BX30" s="21">
        <v>11.359590000000001</v>
      </c>
      <c r="BY30" s="21">
        <v>11.359590000000001</v>
      </c>
      <c r="BZ30" s="21">
        <v>11.359590000000001</v>
      </c>
      <c r="CA30" s="21">
        <v>11.359590000000001</v>
      </c>
      <c r="CB30" s="21">
        <v>11.359590000000001</v>
      </c>
      <c r="CC30" s="21">
        <v>11.359590000000001</v>
      </c>
      <c r="CD30" s="21">
        <v>11.359590000000001</v>
      </c>
      <c r="CE30" s="21">
        <v>11.359590000000001</v>
      </c>
      <c r="CF30" s="21">
        <v>11.359590000000001</v>
      </c>
      <c r="CG30" s="21">
        <v>11.359590000000001</v>
      </c>
      <c r="CH30" s="21">
        <v>11.359590000000001</v>
      </c>
      <c r="CI30" s="21">
        <v>11.359590000000001</v>
      </c>
      <c r="CJ30" s="21">
        <v>11.359590000000001</v>
      </c>
      <c r="CK30" s="21">
        <v>11.359590000000001</v>
      </c>
      <c r="CL30" s="21">
        <v>11.359590000000001</v>
      </c>
      <c r="CM30" s="21">
        <v>11.359590000000001</v>
      </c>
      <c r="CN30" s="21">
        <v>11.359590000000001</v>
      </c>
      <c r="CO30" s="21">
        <v>11.359590000000001</v>
      </c>
      <c r="CP30" s="21">
        <v>11.359590000000001</v>
      </c>
      <c r="CQ30" s="21">
        <v>11.359590000000001</v>
      </c>
      <c r="CR30" s="21">
        <v>11.359590000000001</v>
      </c>
      <c r="CS30" s="21">
        <v>11.359590000000001</v>
      </c>
      <c r="CT30" s="21">
        <v>11.359590000000001</v>
      </c>
      <c r="CU30" s="21">
        <v>11.359590000000001</v>
      </c>
      <c r="CV30" s="21">
        <v>11.359590000000001</v>
      </c>
      <c r="CW30" s="21">
        <v>11.359590000000001</v>
      </c>
      <c r="CX30" s="21">
        <v>11.359590000000001</v>
      </c>
      <c r="CY30" s="21">
        <v>11.359590000000001</v>
      </c>
      <c r="CZ30" s="21">
        <v>11.359590000000001</v>
      </c>
      <c r="DA30" s="21">
        <v>11.359590000000001</v>
      </c>
      <c r="DB30" s="21">
        <v>11.359590000000001</v>
      </c>
      <c r="DC30" s="21">
        <v>11.359590000000001</v>
      </c>
      <c r="DD30" s="21">
        <v>11.359590000000001</v>
      </c>
      <c r="DE30" s="21">
        <v>11.359590000000001</v>
      </c>
      <c r="DF30" s="21">
        <v>11.359590000000001</v>
      </c>
      <c r="DG30" s="21">
        <v>11.359590000000001</v>
      </c>
      <c r="DH30" s="21">
        <v>11.359590000000001</v>
      </c>
      <c r="DI30" s="21">
        <v>11.359590000000001</v>
      </c>
      <c r="DJ30" s="21">
        <v>11.359590000000001</v>
      </c>
      <c r="DK30" s="21">
        <v>11.359590000000001</v>
      </c>
      <c r="DL30" s="21">
        <v>11.359590000000001</v>
      </c>
      <c r="DM30" s="21">
        <v>11.359590000000001</v>
      </c>
      <c r="DN30" s="21">
        <v>11.359590000000001</v>
      </c>
      <c r="DO30" s="21">
        <v>11.359590000000001</v>
      </c>
      <c r="DP30" s="21">
        <v>11.359590000000001</v>
      </c>
      <c r="DQ30" s="21">
        <v>11.359590000000001</v>
      </c>
      <c r="DR30" s="21">
        <v>11.359590000000001</v>
      </c>
      <c r="DS30" s="21">
        <v>11.359590000000001</v>
      </c>
      <c r="DT30" s="21">
        <v>11.359590000000001</v>
      </c>
      <c r="DU30" s="21">
        <v>11.359590000000001</v>
      </c>
      <c r="DV30" s="21">
        <v>11.359590000000001</v>
      </c>
      <c r="DW30" s="21">
        <v>11.359590000000001</v>
      </c>
      <c r="DX30" s="21">
        <v>11.359590000000001</v>
      </c>
      <c r="DY30" s="21">
        <v>11.359590000000001</v>
      </c>
      <c r="DZ30" s="21">
        <v>11.359590000000001</v>
      </c>
      <c r="EA30" s="21">
        <v>11.359590000000001</v>
      </c>
      <c r="EB30" s="21">
        <v>11.359590000000001</v>
      </c>
      <c r="EC30" s="21">
        <v>11.359590000000001</v>
      </c>
      <c r="ED30" s="21">
        <v>11.359590000000001</v>
      </c>
      <c r="EE30" s="21">
        <v>11.359590000000001</v>
      </c>
      <c r="EF30" s="21">
        <v>11.359590000000001</v>
      </c>
      <c r="EG30" s="21">
        <v>11.359590000000001</v>
      </c>
      <c r="EH30" s="21">
        <v>11.359590000000001</v>
      </c>
      <c r="EI30" s="21">
        <v>11.359590000000001</v>
      </c>
      <c r="EJ30" s="21">
        <v>11.359590000000001</v>
      </c>
      <c r="EK30" s="21">
        <v>11.359590000000001</v>
      </c>
      <c r="EL30" s="21">
        <v>11.359590000000001</v>
      </c>
      <c r="EM30" s="21">
        <v>11.359590000000001</v>
      </c>
      <c r="EN30" s="21">
        <v>11.359590000000001</v>
      </c>
      <c r="EO30" s="21">
        <v>11.359590000000001</v>
      </c>
      <c r="EP30" s="21">
        <v>11.359590000000001</v>
      </c>
      <c r="EQ30" s="21">
        <v>11.359590000000001</v>
      </c>
      <c r="ER30" s="21">
        <v>11.359590000000001</v>
      </c>
      <c r="ES30" s="21">
        <v>11.359590000000001</v>
      </c>
      <c r="ET30" s="21">
        <v>11.359590000000001</v>
      </c>
      <c r="EU30" s="21">
        <v>11.359590000000001</v>
      </c>
      <c r="EV30" s="21">
        <v>11.359590000000001</v>
      </c>
      <c r="EW30" s="21">
        <v>11.359590000000001</v>
      </c>
      <c r="EX30" s="21">
        <v>11.359590000000001</v>
      </c>
      <c r="EY30" s="21">
        <v>11.359590000000001</v>
      </c>
      <c r="EZ30" s="21">
        <v>11.359590000000001</v>
      </c>
      <c r="FA30" s="21">
        <v>11.359590000000001</v>
      </c>
      <c r="FB30" s="21">
        <v>11.359590000000001</v>
      </c>
      <c r="FC30" s="21">
        <v>11.359590000000001</v>
      </c>
      <c r="FD30" s="21">
        <v>11.359590000000001</v>
      </c>
      <c r="FE30" s="21">
        <v>11.359590000000001</v>
      </c>
      <c r="FF30" s="21">
        <v>11.359590000000001</v>
      </c>
      <c r="FG30" s="21">
        <v>11.359590000000001</v>
      </c>
      <c r="FH30" s="21">
        <v>11.359590000000001</v>
      </c>
      <c r="FI30" s="21">
        <v>11.359590000000001</v>
      </c>
      <c r="FJ30" s="21">
        <v>11.359590000000001</v>
      </c>
      <c r="FK30" s="21">
        <v>11.359590000000001</v>
      </c>
      <c r="FL30" s="21">
        <v>11.359590000000001</v>
      </c>
      <c r="FM30" s="21">
        <v>11.359590000000001</v>
      </c>
      <c r="FN30" s="21">
        <v>11.359590000000001</v>
      </c>
      <c r="FO30" s="21">
        <v>11.359590000000001</v>
      </c>
      <c r="FP30" s="21">
        <v>11.359590000000001</v>
      </c>
      <c r="FQ30" s="21">
        <v>11.359590000000001</v>
      </c>
      <c r="FR30" s="21">
        <v>11.359590000000001</v>
      </c>
      <c r="FS30" s="21">
        <v>11.359590000000001</v>
      </c>
      <c r="FT30" s="21">
        <v>11.359590000000001</v>
      </c>
      <c r="FU30" s="21">
        <v>11.359590000000001</v>
      </c>
      <c r="FV30" s="21">
        <v>11.359590000000001</v>
      </c>
      <c r="FW30" s="21">
        <v>11.359590000000001</v>
      </c>
      <c r="FX30" s="21">
        <v>11.359590000000001</v>
      </c>
      <c r="FY30" s="21">
        <v>11.359590000000001</v>
      </c>
      <c r="FZ30" s="21">
        <v>11.359590000000001</v>
      </c>
      <c r="GA30" s="21">
        <v>11.359590000000001</v>
      </c>
      <c r="GB30" s="21">
        <v>11.359590000000001</v>
      </c>
      <c r="GC30" s="21">
        <v>11.359590000000001</v>
      </c>
      <c r="GD30" s="21">
        <v>11.359590000000001</v>
      </c>
      <c r="GE30" s="21">
        <v>11.359590000000001</v>
      </c>
      <c r="GF30" s="21">
        <v>11.359590000000001</v>
      </c>
      <c r="GG30" s="21">
        <v>11.359590000000001</v>
      </c>
      <c r="GH30" s="21">
        <v>11.359590000000001</v>
      </c>
      <c r="GI30" s="21">
        <v>11.359590000000001</v>
      </c>
      <c r="GJ30" s="21">
        <v>11.359590000000001</v>
      </c>
      <c r="GK30" s="21">
        <v>11.359590000000001</v>
      </c>
      <c r="GL30" s="21">
        <v>11.359590000000001</v>
      </c>
      <c r="GM30" s="21">
        <v>11.359590000000001</v>
      </c>
      <c r="GN30" s="21">
        <v>11.359590000000001</v>
      </c>
      <c r="GO30" s="21">
        <v>11.359590000000001</v>
      </c>
      <c r="GP30" s="21">
        <v>11.359590000000001</v>
      </c>
      <c r="GQ30" s="21">
        <v>11.359590000000001</v>
      </c>
      <c r="GR30" s="21">
        <v>11.359590000000001</v>
      </c>
      <c r="GS30" s="21">
        <v>11.359590000000001</v>
      </c>
      <c r="GT30" s="21">
        <v>11.359590000000001</v>
      </c>
      <c r="GU30" s="21">
        <v>11.359590000000001</v>
      </c>
      <c r="GV30" s="21">
        <v>11.359590000000001</v>
      </c>
      <c r="GW30" s="21">
        <v>11.359590000000001</v>
      </c>
      <c r="GX30" s="21">
        <v>11.359590000000001</v>
      </c>
      <c r="GY30" s="21">
        <v>11.359590000000001</v>
      </c>
      <c r="GZ30" s="21">
        <v>11.359590000000001</v>
      </c>
      <c r="HA30" s="21">
        <v>11.359590000000001</v>
      </c>
      <c r="HB30" s="21">
        <v>11.359590000000001</v>
      </c>
      <c r="HC30" s="21">
        <v>11.359590000000001</v>
      </c>
      <c r="HD30" s="21">
        <v>11.359590000000001</v>
      </c>
      <c r="HE30" s="21">
        <v>11.359590000000001</v>
      </c>
      <c r="HF30" s="21">
        <v>11.359590000000001</v>
      </c>
      <c r="HG30" s="21">
        <v>11.359590000000001</v>
      </c>
      <c r="HH30" s="21">
        <v>11.359590000000001</v>
      </c>
      <c r="HI30" s="21">
        <v>11.359590000000001</v>
      </c>
      <c r="HJ30" s="21">
        <v>11.359590000000001</v>
      </c>
      <c r="HK30" s="21">
        <v>11.359590000000001</v>
      </c>
      <c r="HL30" s="21">
        <v>11.359590000000001</v>
      </c>
      <c r="HM30" s="21">
        <v>11.359590000000001</v>
      </c>
      <c r="HN30" s="21">
        <v>11.359590000000001</v>
      </c>
      <c r="HO30" s="21">
        <v>11.359590000000001</v>
      </c>
      <c r="HP30" s="21">
        <v>11.359590000000001</v>
      </c>
      <c r="HQ30" s="21">
        <v>11.359590000000001</v>
      </c>
      <c r="HR30" s="21">
        <v>11.359590000000001</v>
      </c>
      <c r="HS30" s="21">
        <v>11.359590000000001</v>
      </c>
      <c r="HT30" s="21">
        <v>11.359590000000001</v>
      </c>
      <c r="HU30" s="21">
        <v>11.359590000000001</v>
      </c>
      <c r="HV30" s="21">
        <v>11.359590000000001</v>
      </c>
      <c r="HW30" s="21">
        <v>11.359590000000001</v>
      </c>
      <c r="HX30" s="21">
        <v>11.359590000000001</v>
      </c>
      <c r="HY30" s="21">
        <v>11.359590000000001</v>
      </c>
      <c r="HZ30" s="21">
        <v>11.359590000000001</v>
      </c>
      <c r="IA30" s="21">
        <v>11.359590000000001</v>
      </c>
      <c r="IB30" s="21">
        <v>11.359590000000001</v>
      </c>
      <c r="IC30" s="21">
        <v>11.359590000000001</v>
      </c>
      <c r="ID30" s="21">
        <v>11.359590000000001</v>
      </c>
      <c r="IE30" s="21">
        <v>11.359590000000001</v>
      </c>
      <c r="IF30" s="21">
        <v>11.359590000000001</v>
      </c>
      <c r="IG30" s="21">
        <v>11.359590000000001</v>
      </c>
      <c r="IH30" s="21">
        <v>11.359590000000001</v>
      </c>
      <c r="II30" s="21">
        <v>11.359590000000001</v>
      </c>
      <c r="IJ30" s="21">
        <v>11.359590000000001</v>
      </c>
      <c r="IK30" s="21">
        <v>11.359590000000001</v>
      </c>
      <c r="IL30" s="21">
        <v>11.359590000000001</v>
      </c>
      <c r="IM30" s="21">
        <v>11.359590000000001</v>
      </c>
      <c r="IN30" s="21">
        <v>11.359590000000001</v>
      </c>
      <c r="IO30" s="21">
        <v>11.359590000000001</v>
      </c>
      <c r="IP30" s="21">
        <v>11.359590000000001</v>
      </c>
      <c r="IQ30" s="21">
        <v>11.359590000000001</v>
      </c>
      <c r="IR30" s="21">
        <v>11.359590000000001</v>
      </c>
      <c r="IS30" s="21">
        <v>11.359590000000001</v>
      </c>
      <c r="IT30" s="21">
        <v>11.359590000000001</v>
      </c>
      <c r="IU30" s="21">
        <v>11.359590000000001</v>
      </c>
      <c r="IV30" s="21">
        <v>11.359590000000001</v>
      </c>
      <c r="IW30" s="21">
        <v>11.359590000000001</v>
      </c>
      <c r="IX30" s="21">
        <v>11.359590000000001</v>
      </c>
      <c r="IY30" s="21">
        <v>11.359590000000001</v>
      </c>
      <c r="IZ30" s="21">
        <v>11.359590000000001</v>
      </c>
      <c r="JA30" s="21">
        <v>11.359590000000001</v>
      </c>
      <c r="JB30" s="21">
        <v>11.359590000000001</v>
      </c>
      <c r="JC30" s="21">
        <v>11.359590000000001</v>
      </c>
      <c r="JD30" s="21">
        <v>11.359590000000001</v>
      </c>
      <c r="JE30" s="21">
        <v>11.359590000000001</v>
      </c>
      <c r="JF30" s="21">
        <v>11.359590000000001</v>
      </c>
      <c r="JG30" s="21">
        <v>11.359590000000001</v>
      </c>
      <c r="JH30" s="21">
        <v>11.359590000000001</v>
      </c>
      <c r="JI30" s="21">
        <v>11.359590000000001</v>
      </c>
      <c r="JJ30" s="21">
        <v>11.359590000000001</v>
      </c>
      <c r="JK30" s="21">
        <v>11.359590000000001</v>
      </c>
      <c r="JL30" s="21">
        <v>11.359590000000001</v>
      </c>
      <c r="JM30" s="21">
        <v>11.359590000000001</v>
      </c>
      <c r="JN30" s="21">
        <v>11.359590000000001</v>
      </c>
      <c r="JO30" s="21">
        <v>11.359590000000001</v>
      </c>
      <c r="JP30" s="21">
        <v>11.359590000000001</v>
      </c>
      <c r="JQ30" s="21">
        <v>11.359590000000001</v>
      </c>
      <c r="JR30" s="21">
        <v>11.359590000000001</v>
      </c>
      <c r="JS30" s="21">
        <v>11.359590000000001</v>
      </c>
      <c r="JT30" s="21">
        <v>11.359590000000001</v>
      </c>
      <c r="JU30" s="21">
        <v>11.359590000000001</v>
      </c>
      <c r="JV30" s="21">
        <v>11.359590000000001</v>
      </c>
      <c r="JW30" s="21">
        <v>11.359590000000001</v>
      </c>
      <c r="JX30" s="21">
        <v>11.359590000000001</v>
      </c>
      <c r="JY30" s="21">
        <v>11.359590000000001</v>
      </c>
      <c r="JZ30" s="21">
        <v>11.359590000000001</v>
      </c>
      <c r="KA30" s="21">
        <v>11.359590000000001</v>
      </c>
      <c r="KB30" s="21">
        <v>11.359590000000001</v>
      </c>
      <c r="KC30" s="21">
        <v>11.359590000000001</v>
      </c>
      <c r="KD30" s="21">
        <v>11.359590000000001</v>
      </c>
      <c r="KE30" s="21">
        <v>11.359590000000001</v>
      </c>
      <c r="KF30" s="21">
        <v>11.359590000000001</v>
      </c>
      <c r="KG30" s="21">
        <v>11.359590000000001</v>
      </c>
      <c r="KH30" s="21">
        <v>11.359590000000001</v>
      </c>
      <c r="KI30" s="21">
        <v>11.359590000000001</v>
      </c>
      <c r="KJ30" s="21">
        <v>11.359590000000001</v>
      </c>
      <c r="KK30" s="21">
        <v>11.359590000000001</v>
      </c>
      <c r="KL30" s="21">
        <v>11.359590000000001</v>
      </c>
      <c r="KM30" s="21">
        <v>11.359590000000001</v>
      </c>
      <c r="KN30" s="21">
        <v>11.359590000000001</v>
      </c>
      <c r="KO30" s="21">
        <v>11.359590000000001</v>
      </c>
      <c r="KP30" s="21">
        <v>11.359590000000001</v>
      </c>
      <c r="KQ30" s="21">
        <v>11.359590000000001</v>
      </c>
      <c r="KR30" s="21">
        <v>11.359590000000001</v>
      </c>
      <c r="KS30" s="21">
        <v>11.359590000000001</v>
      </c>
      <c r="KT30" s="21">
        <v>11.359590000000001</v>
      </c>
      <c r="KU30" s="21">
        <v>11.359590000000001</v>
      </c>
      <c r="KV30" s="21">
        <v>11.359590000000001</v>
      </c>
      <c r="KW30" s="21">
        <v>11.359590000000001</v>
      </c>
      <c r="KX30" s="21">
        <v>11.359590000000001</v>
      </c>
      <c r="KY30" s="21">
        <v>11.359590000000001</v>
      </c>
      <c r="KZ30" s="21">
        <v>11.359590000000001</v>
      </c>
      <c r="LA30" s="21">
        <v>11.359590000000001</v>
      </c>
      <c r="LB30" s="21">
        <v>11.359590000000001</v>
      </c>
      <c r="LC30" s="21">
        <v>11.359590000000001</v>
      </c>
      <c r="LD30" s="21">
        <v>11.359590000000001</v>
      </c>
      <c r="LE30" s="21">
        <v>11.359590000000001</v>
      </c>
      <c r="LF30" s="21">
        <v>11.359590000000001</v>
      </c>
      <c r="LG30" s="21">
        <v>11.359590000000001</v>
      </c>
      <c r="LH30" s="21">
        <v>11.359590000000001</v>
      </c>
      <c r="LI30" s="21">
        <v>11.359590000000001</v>
      </c>
      <c r="LJ30" s="21">
        <v>11.359590000000001</v>
      </c>
      <c r="LK30" s="21">
        <v>11.359590000000001</v>
      </c>
      <c r="LL30" s="21">
        <v>11.359590000000001</v>
      </c>
      <c r="LM30" s="21">
        <v>11.359590000000001</v>
      </c>
      <c r="LN30" s="21">
        <v>11.359590000000001</v>
      </c>
      <c r="LO30" s="21">
        <v>11.359590000000001</v>
      </c>
      <c r="LP30" s="21">
        <v>11.359590000000001</v>
      </c>
      <c r="LQ30" s="21">
        <v>11.359590000000001</v>
      </c>
      <c r="LR30" s="21">
        <v>11.359590000000001</v>
      </c>
      <c r="LS30" s="21">
        <v>11.359590000000001</v>
      </c>
      <c r="LT30" s="21">
        <v>11.359590000000001</v>
      </c>
      <c r="LU30" s="21">
        <v>11.359590000000001</v>
      </c>
      <c r="LV30" s="21">
        <v>11.359590000000001</v>
      </c>
      <c r="LW30" s="21">
        <v>11.359590000000001</v>
      </c>
      <c r="LX30" s="21">
        <v>11.359590000000001</v>
      </c>
      <c r="LY30" s="21">
        <v>11.359590000000001</v>
      </c>
      <c r="LZ30" s="21">
        <v>11.359590000000001</v>
      </c>
      <c r="MA30" s="21">
        <v>11.359590000000001</v>
      </c>
      <c r="MB30" s="21">
        <v>11.359590000000001</v>
      </c>
      <c r="MC30" s="21">
        <v>11.359590000000001</v>
      </c>
      <c r="MD30" s="21">
        <v>11.359590000000001</v>
      </c>
      <c r="ME30" s="21">
        <v>11.359590000000001</v>
      </c>
      <c r="MF30" s="21">
        <v>11.359590000000001</v>
      </c>
      <c r="MG30" s="21">
        <v>11.359590000000001</v>
      </c>
      <c r="MH30" s="21">
        <v>11.359590000000001</v>
      </c>
      <c r="MI30" s="21">
        <v>11.359590000000001</v>
      </c>
      <c r="MJ30" s="21">
        <v>11.359590000000001</v>
      </c>
      <c r="MK30" s="21">
        <v>11.359590000000001</v>
      </c>
      <c r="ML30" s="21">
        <v>11.359590000000001</v>
      </c>
      <c r="MM30" s="21">
        <v>11.359590000000001</v>
      </c>
      <c r="MN30" s="21">
        <v>11.359590000000001</v>
      </c>
      <c r="MO30" s="21">
        <v>11.359590000000001</v>
      </c>
      <c r="MP30" s="21">
        <v>11.359590000000001</v>
      </c>
      <c r="MQ30" s="21">
        <v>11.359590000000001</v>
      </c>
      <c r="MR30" s="21">
        <v>11.359590000000001</v>
      </c>
      <c r="MS30" s="21">
        <v>11.359590000000001</v>
      </c>
      <c r="MT30" s="21">
        <v>11.359590000000001</v>
      </c>
      <c r="MU30" s="21">
        <v>11.359590000000001</v>
      </c>
      <c r="MV30" s="21">
        <v>11.359590000000001</v>
      </c>
      <c r="MW30" s="21">
        <v>11.359590000000001</v>
      </c>
      <c r="MX30" s="21">
        <v>11.359590000000001</v>
      </c>
      <c r="MY30" s="21">
        <v>11.359590000000001</v>
      </c>
      <c r="MZ30" s="21">
        <v>11.359590000000001</v>
      </c>
    </row>
    <row r="31" spans="1:364" x14ac:dyDescent="0.25">
      <c r="A31" s="7">
        <f t="shared" si="0"/>
        <v>29</v>
      </c>
      <c r="B31" s="16" t="str">
        <f>+Base!B29</f>
        <v>202402230080A033</v>
      </c>
      <c r="C31" s="75">
        <v>6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13.140090000000001</v>
      </c>
      <c r="L31" s="21">
        <v>13.140090000000001</v>
      </c>
      <c r="M31" s="21">
        <v>13.140090000000001</v>
      </c>
      <c r="N31" s="21">
        <v>13.140090000000001</v>
      </c>
      <c r="O31" s="21">
        <v>13.140090000000001</v>
      </c>
      <c r="P31" s="21">
        <v>13.140090000000001</v>
      </c>
      <c r="Q31" s="21">
        <v>13.140090000000001</v>
      </c>
      <c r="R31" s="21">
        <v>13.140090000000001</v>
      </c>
      <c r="S31" s="21">
        <v>13.140090000000001</v>
      </c>
      <c r="T31" s="21">
        <v>13.140090000000001</v>
      </c>
      <c r="U31" s="21">
        <v>13.140090000000001</v>
      </c>
      <c r="V31" s="21">
        <v>13.140090000000001</v>
      </c>
      <c r="W31" s="21">
        <v>13.140090000000001</v>
      </c>
      <c r="X31" s="21">
        <v>13.140090000000001</v>
      </c>
      <c r="Y31" s="21">
        <v>13.140090000000001</v>
      </c>
      <c r="Z31" s="21">
        <v>13.140090000000001</v>
      </c>
      <c r="AA31" s="21">
        <v>13.140090000000001</v>
      </c>
      <c r="AB31" s="21">
        <v>13.140090000000001</v>
      </c>
      <c r="AC31" s="21">
        <v>13.140090000000001</v>
      </c>
      <c r="AD31" s="21">
        <v>13.140090000000001</v>
      </c>
      <c r="AE31" s="21">
        <v>13.140090000000001</v>
      </c>
      <c r="AF31" s="21">
        <v>13.140090000000001</v>
      </c>
      <c r="AG31" s="21">
        <v>13.140090000000001</v>
      </c>
      <c r="AH31" s="21">
        <v>13.140090000000001</v>
      </c>
      <c r="AI31" s="21">
        <v>13.140090000000001</v>
      </c>
      <c r="AJ31" s="21">
        <v>13.140090000000001</v>
      </c>
      <c r="AK31" s="21">
        <v>13.140090000000001</v>
      </c>
      <c r="AL31" s="21">
        <v>13.140090000000001</v>
      </c>
      <c r="AM31" s="21">
        <v>13.140090000000001</v>
      </c>
      <c r="AN31" s="21">
        <v>13.140090000000001</v>
      </c>
      <c r="AO31" s="21">
        <v>13.140090000000001</v>
      </c>
      <c r="AP31" s="21">
        <v>13.140090000000001</v>
      </c>
      <c r="AQ31" s="21">
        <v>13.140090000000001</v>
      </c>
      <c r="AR31" s="21">
        <v>13.140090000000001</v>
      </c>
      <c r="AS31" s="21">
        <v>13.140090000000001</v>
      </c>
      <c r="AT31" s="21">
        <v>13.140090000000001</v>
      </c>
      <c r="AU31" s="21">
        <v>13.140090000000001</v>
      </c>
      <c r="AV31" s="21">
        <v>13.140090000000001</v>
      </c>
      <c r="AW31" s="21">
        <v>13.140090000000001</v>
      </c>
      <c r="AX31" s="21">
        <v>13.140090000000001</v>
      </c>
      <c r="AY31" s="21">
        <v>13.140090000000001</v>
      </c>
      <c r="AZ31" s="21">
        <v>13.140090000000001</v>
      </c>
      <c r="BA31" s="21">
        <v>13.140090000000001</v>
      </c>
      <c r="BB31" s="21">
        <v>13.140090000000001</v>
      </c>
      <c r="BC31" s="21">
        <v>13.140090000000001</v>
      </c>
      <c r="BD31" s="21">
        <v>13.140090000000001</v>
      </c>
      <c r="BE31" s="21">
        <v>13.140090000000001</v>
      </c>
      <c r="BF31" s="21">
        <v>13.140090000000001</v>
      </c>
      <c r="BG31" s="21">
        <v>13.140090000000001</v>
      </c>
      <c r="BH31" s="21">
        <v>13.140090000000001</v>
      </c>
      <c r="BI31" s="21">
        <v>13.140090000000001</v>
      </c>
      <c r="BJ31" s="21">
        <v>13.140090000000001</v>
      </c>
      <c r="BK31" s="21">
        <v>13.140090000000001</v>
      </c>
      <c r="BL31" s="21">
        <v>13.140090000000001</v>
      </c>
      <c r="BM31" s="21">
        <v>13.140090000000001</v>
      </c>
      <c r="BN31" s="21">
        <v>13.140090000000001</v>
      </c>
      <c r="BO31" s="21">
        <v>13.140090000000001</v>
      </c>
      <c r="BP31" s="21">
        <v>13.140090000000001</v>
      </c>
      <c r="BQ31" s="21">
        <v>13.140090000000001</v>
      </c>
      <c r="BR31" s="21">
        <v>13.140090000000001</v>
      </c>
      <c r="BS31" s="21">
        <v>13.140090000000001</v>
      </c>
      <c r="BT31" s="21">
        <v>13.140090000000001</v>
      </c>
      <c r="BU31" s="21">
        <v>13.140090000000001</v>
      </c>
      <c r="BV31" s="21">
        <v>13.140090000000001</v>
      </c>
      <c r="BW31" s="21">
        <v>13.140090000000001</v>
      </c>
      <c r="BX31" s="21">
        <v>13.140090000000001</v>
      </c>
      <c r="BY31" s="21">
        <v>13.140090000000001</v>
      </c>
      <c r="BZ31" s="21">
        <v>13.140090000000001</v>
      </c>
      <c r="CA31" s="21">
        <v>13.140090000000001</v>
      </c>
      <c r="CB31" s="21">
        <v>13.140090000000001</v>
      </c>
      <c r="CC31" s="21">
        <v>13.140090000000001</v>
      </c>
      <c r="CD31" s="21">
        <v>13.140090000000001</v>
      </c>
      <c r="CE31" s="21">
        <v>13.140090000000001</v>
      </c>
      <c r="CF31" s="21">
        <v>13.140090000000001</v>
      </c>
      <c r="CG31" s="21">
        <v>13.140090000000001</v>
      </c>
      <c r="CH31" s="21">
        <v>13.140090000000001</v>
      </c>
      <c r="CI31" s="21">
        <v>13.140090000000001</v>
      </c>
      <c r="CJ31" s="21">
        <v>13.140090000000001</v>
      </c>
      <c r="CK31" s="21">
        <v>13.140090000000001</v>
      </c>
      <c r="CL31" s="21">
        <v>13.140090000000001</v>
      </c>
      <c r="CM31" s="21">
        <v>13.140090000000001</v>
      </c>
      <c r="CN31" s="21">
        <v>13.140090000000001</v>
      </c>
      <c r="CO31" s="21">
        <v>13.140090000000001</v>
      </c>
      <c r="CP31" s="21">
        <v>13.140090000000001</v>
      </c>
      <c r="CQ31" s="21">
        <v>13.140090000000001</v>
      </c>
      <c r="CR31" s="21">
        <v>13.140090000000001</v>
      </c>
      <c r="CS31" s="21">
        <v>13.140090000000001</v>
      </c>
      <c r="CT31" s="21">
        <v>13.140090000000001</v>
      </c>
      <c r="CU31" s="21">
        <v>13.140090000000001</v>
      </c>
      <c r="CV31" s="21">
        <v>13.140090000000001</v>
      </c>
      <c r="CW31" s="21">
        <v>13.140090000000001</v>
      </c>
      <c r="CX31" s="21">
        <v>13.140090000000001</v>
      </c>
      <c r="CY31" s="21">
        <v>13.140090000000001</v>
      </c>
      <c r="CZ31" s="21">
        <v>13.140090000000001</v>
      </c>
      <c r="DA31" s="21">
        <v>13.140090000000001</v>
      </c>
      <c r="DB31" s="21">
        <v>13.140090000000001</v>
      </c>
      <c r="DC31" s="21">
        <v>13.140090000000001</v>
      </c>
      <c r="DD31" s="21">
        <v>13.140090000000001</v>
      </c>
      <c r="DE31" s="21">
        <v>13.140090000000001</v>
      </c>
      <c r="DF31" s="21">
        <v>13.140090000000001</v>
      </c>
      <c r="DG31" s="21">
        <v>13.140090000000001</v>
      </c>
      <c r="DH31" s="21">
        <v>13.140090000000001</v>
      </c>
      <c r="DI31" s="21">
        <v>13.140090000000001</v>
      </c>
      <c r="DJ31" s="21">
        <v>13.140090000000001</v>
      </c>
      <c r="DK31" s="21">
        <v>13.140090000000001</v>
      </c>
      <c r="DL31" s="21">
        <v>13.140090000000001</v>
      </c>
      <c r="DM31" s="21">
        <v>13.140090000000001</v>
      </c>
      <c r="DN31" s="21">
        <v>13.140090000000001</v>
      </c>
      <c r="DO31" s="21">
        <v>13.140090000000001</v>
      </c>
      <c r="DP31" s="21">
        <v>13.140090000000001</v>
      </c>
      <c r="DQ31" s="21">
        <v>13.140090000000001</v>
      </c>
      <c r="DR31" s="21">
        <v>13.140090000000001</v>
      </c>
      <c r="DS31" s="21">
        <v>13.140090000000001</v>
      </c>
      <c r="DT31" s="21">
        <v>13.140090000000001</v>
      </c>
      <c r="DU31" s="21">
        <v>13.140090000000001</v>
      </c>
      <c r="DV31" s="21">
        <v>13.140090000000001</v>
      </c>
      <c r="DW31" s="21">
        <v>13.140090000000001</v>
      </c>
      <c r="DX31" s="21">
        <v>13.140090000000001</v>
      </c>
      <c r="DY31" s="21">
        <v>13.140090000000001</v>
      </c>
      <c r="DZ31" s="21">
        <v>13.140090000000001</v>
      </c>
      <c r="EA31" s="21">
        <v>13.140090000000001</v>
      </c>
      <c r="EB31" s="21">
        <v>13.140090000000001</v>
      </c>
      <c r="EC31" s="21">
        <v>13.140090000000001</v>
      </c>
      <c r="ED31" s="21">
        <v>13.140090000000001</v>
      </c>
      <c r="EE31" s="21">
        <v>13.140090000000001</v>
      </c>
      <c r="EF31" s="21">
        <v>13.140090000000001</v>
      </c>
      <c r="EG31" s="21">
        <v>13.140090000000001</v>
      </c>
      <c r="EH31" s="21">
        <v>13.140090000000001</v>
      </c>
      <c r="EI31" s="21">
        <v>13.140090000000001</v>
      </c>
      <c r="EJ31" s="21">
        <v>13.140090000000001</v>
      </c>
      <c r="EK31" s="21">
        <v>13.140090000000001</v>
      </c>
      <c r="EL31" s="21">
        <v>13.140090000000001</v>
      </c>
      <c r="EM31" s="21">
        <v>13.140090000000001</v>
      </c>
      <c r="EN31" s="21">
        <v>13.140090000000001</v>
      </c>
      <c r="EO31" s="21">
        <v>13.140090000000001</v>
      </c>
      <c r="EP31" s="21">
        <v>13.140090000000001</v>
      </c>
      <c r="EQ31" s="21">
        <v>13.140090000000001</v>
      </c>
      <c r="ER31" s="21">
        <v>13.140090000000001</v>
      </c>
      <c r="ES31" s="21">
        <v>13.140090000000001</v>
      </c>
      <c r="ET31" s="21">
        <v>13.140090000000001</v>
      </c>
      <c r="EU31" s="21">
        <v>13.140090000000001</v>
      </c>
      <c r="EV31" s="21">
        <v>13.140090000000001</v>
      </c>
      <c r="EW31" s="21">
        <v>13.140090000000001</v>
      </c>
      <c r="EX31" s="21">
        <v>13.140090000000001</v>
      </c>
      <c r="EY31" s="21">
        <v>13.140090000000001</v>
      </c>
      <c r="EZ31" s="21">
        <v>13.140090000000001</v>
      </c>
      <c r="FA31" s="21">
        <v>13.140090000000001</v>
      </c>
      <c r="FB31" s="21">
        <v>13.140090000000001</v>
      </c>
      <c r="FC31" s="21">
        <v>13.140090000000001</v>
      </c>
      <c r="FD31" s="21">
        <v>13.140090000000001</v>
      </c>
      <c r="FE31" s="21">
        <v>13.140090000000001</v>
      </c>
      <c r="FF31" s="21">
        <v>13.140090000000001</v>
      </c>
      <c r="FG31" s="21">
        <v>13.140090000000001</v>
      </c>
      <c r="FH31" s="21">
        <v>13.140090000000001</v>
      </c>
      <c r="FI31" s="21">
        <v>13.140090000000001</v>
      </c>
      <c r="FJ31" s="21">
        <v>13.140090000000001</v>
      </c>
      <c r="FK31" s="21">
        <v>13.140090000000001</v>
      </c>
      <c r="FL31" s="21">
        <v>13.140090000000001</v>
      </c>
      <c r="FM31" s="21">
        <v>13.140090000000001</v>
      </c>
      <c r="FN31" s="21">
        <v>13.140090000000001</v>
      </c>
      <c r="FO31" s="21">
        <v>13.140090000000001</v>
      </c>
      <c r="FP31" s="21">
        <v>13.140090000000001</v>
      </c>
      <c r="FQ31" s="21">
        <v>13.140090000000001</v>
      </c>
      <c r="FR31" s="21">
        <v>13.140090000000001</v>
      </c>
      <c r="FS31" s="21">
        <v>13.140090000000001</v>
      </c>
      <c r="FT31" s="21">
        <v>13.140090000000001</v>
      </c>
      <c r="FU31" s="21">
        <v>13.140090000000001</v>
      </c>
      <c r="FV31" s="21">
        <v>13.140090000000001</v>
      </c>
      <c r="FW31" s="21">
        <v>13.140090000000001</v>
      </c>
      <c r="FX31" s="21">
        <v>13.140090000000001</v>
      </c>
      <c r="FY31" s="21">
        <v>13.140090000000001</v>
      </c>
      <c r="FZ31" s="21">
        <v>13.140090000000001</v>
      </c>
      <c r="GA31" s="21">
        <v>13.140090000000001</v>
      </c>
      <c r="GB31" s="21">
        <v>13.140090000000001</v>
      </c>
      <c r="GC31" s="21">
        <v>13.140090000000001</v>
      </c>
      <c r="GD31" s="21">
        <v>13.140090000000001</v>
      </c>
      <c r="GE31" s="21">
        <v>13.140090000000001</v>
      </c>
      <c r="GF31" s="21">
        <v>13.140090000000001</v>
      </c>
      <c r="GG31" s="21">
        <v>13.140090000000001</v>
      </c>
      <c r="GH31" s="21">
        <v>13.140090000000001</v>
      </c>
      <c r="GI31" s="21">
        <v>13.140090000000001</v>
      </c>
      <c r="GJ31" s="21">
        <v>13.140090000000001</v>
      </c>
      <c r="GK31" s="21">
        <v>13.140090000000001</v>
      </c>
      <c r="GL31" s="21">
        <v>13.140090000000001</v>
      </c>
      <c r="GM31" s="21">
        <v>13.140090000000001</v>
      </c>
      <c r="GN31" s="21">
        <v>13.140090000000001</v>
      </c>
      <c r="GO31" s="21">
        <v>13.140090000000001</v>
      </c>
      <c r="GP31" s="21">
        <v>13.140090000000001</v>
      </c>
      <c r="GQ31" s="21">
        <v>13.140090000000001</v>
      </c>
      <c r="GR31" s="21">
        <v>13.140090000000001</v>
      </c>
      <c r="GS31" s="21">
        <v>13.140090000000001</v>
      </c>
      <c r="GT31" s="21">
        <v>13.140090000000001</v>
      </c>
      <c r="GU31" s="21">
        <v>13.140090000000001</v>
      </c>
      <c r="GV31" s="21">
        <v>13.140090000000001</v>
      </c>
      <c r="GW31" s="21">
        <v>13.140090000000001</v>
      </c>
      <c r="GX31" s="21">
        <v>13.140090000000001</v>
      </c>
      <c r="GY31" s="21">
        <v>13.140090000000001</v>
      </c>
      <c r="GZ31" s="21">
        <v>13.140090000000001</v>
      </c>
      <c r="HA31" s="21">
        <v>13.140090000000001</v>
      </c>
      <c r="HB31" s="21">
        <v>13.140090000000001</v>
      </c>
      <c r="HC31" s="21">
        <v>13.140090000000001</v>
      </c>
      <c r="HD31" s="21">
        <v>13.140090000000001</v>
      </c>
      <c r="HE31" s="21">
        <v>13.140090000000001</v>
      </c>
      <c r="HF31" s="21">
        <v>13.140090000000001</v>
      </c>
      <c r="HG31" s="21">
        <v>13.140090000000001</v>
      </c>
      <c r="HH31" s="21">
        <v>13.140090000000001</v>
      </c>
      <c r="HI31" s="21">
        <v>13.140090000000001</v>
      </c>
      <c r="HJ31" s="21">
        <v>13.140090000000001</v>
      </c>
      <c r="HK31" s="21">
        <v>13.140090000000001</v>
      </c>
      <c r="HL31" s="21">
        <v>13.140090000000001</v>
      </c>
      <c r="HM31" s="21">
        <v>13.140090000000001</v>
      </c>
      <c r="HN31" s="21">
        <v>13.140090000000001</v>
      </c>
      <c r="HO31" s="21">
        <v>13.140090000000001</v>
      </c>
      <c r="HP31" s="21">
        <v>13.140090000000001</v>
      </c>
      <c r="HQ31" s="21">
        <v>13.140090000000001</v>
      </c>
      <c r="HR31" s="21">
        <v>13.140090000000001</v>
      </c>
      <c r="HS31" s="21">
        <v>13.140090000000001</v>
      </c>
      <c r="HT31" s="21">
        <v>13.140090000000001</v>
      </c>
      <c r="HU31" s="21">
        <v>13.140090000000001</v>
      </c>
      <c r="HV31" s="21">
        <v>13.140090000000001</v>
      </c>
      <c r="HW31" s="21">
        <v>13.140090000000001</v>
      </c>
      <c r="HX31" s="21">
        <v>13.140090000000001</v>
      </c>
      <c r="HY31" s="21">
        <v>13.140090000000001</v>
      </c>
      <c r="HZ31" s="21">
        <v>13.140090000000001</v>
      </c>
      <c r="IA31" s="21">
        <v>13.140090000000001</v>
      </c>
      <c r="IB31" s="21">
        <v>13.140090000000001</v>
      </c>
      <c r="IC31" s="21">
        <v>13.140090000000001</v>
      </c>
      <c r="ID31" s="21">
        <v>13.140090000000001</v>
      </c>
      <c r="IE31" s="21">
        <v>13.140090000000001</v>
      </c>
      <c r="IF31" s="21">
        <v>13.140090000000001</v>
      </c>
      <c r="IG31" s="21">
        <v>13.140090000000001</v>
      </c>
      <c r="IH31" s="21">
        <v>13.140090000000001</v>
      </c>
      <c r="II31" s="21">
        <v>13.140090000000001</v>
      </c>
      <c r="IJ31" s="21">
        <v>13.140090000000001</v>
      </c>
      <c r="IK31" s="21">
        <v>13.140090000000001</v>
      </c>
      <c r="IL31" s="21">
        <v>13.140090000000001</v>
      </c>
      <c r="IM31" s="21">
        <v>13.140090000000001</v>
      </c>
      <c r="IN31" s="21">
        <v>13.140090000000001</v>
      </c>
      <c r="IO31" s="21">
        <v>13.140090000000001</v>
      </c>
      <c r="IP31" s="21">
        <v>13.140090000000001</v>
      </c>
      <c r="IQ31" s="21">
        <v>13.140090000000001</v>
      </c>
      <c r="IR31" s="21">
        <v>13.140090000000001</v>
      </c>
      <c r="IS31" s="21">
        <v>13.140090000000001</v>
      </c>
      <c r="IT31" s="21">
        <v>13.140090000000001</v>
      </c>
      <c r="IU31" s="21">
        <v>13.140090000000001</v>
      </c>
      <c r="IV31" s="21">
        <v>13.140090000000001</v>
      </c>
      <c r="IW31" s="21">
        <v>13.140090000000001</v>
      </c>
      <c r="IX31" s="21">
        <v>13.140090000000001</v>
      </c>
      <c r="IY31" s="21">
        <v>13.140090000000001</v>
      </c>
      <c r="IZ31" s="21">
        <v>13.140090000000001</v>
      </c>
      <c r="JA31" s="21">
        <v>13.140090000000001</v>
      </c>
      <c r="JB31" s="21">
        <v>13.140090000000001</v>
      </c>
      <c r="JC31" s="21">
        <v>13.140090000000001</v>
      </c>
      <c r="JD31" s="21">
        <v>13.140090000000001</v>
      </c>
      <c r="JE31" s="21">
        <v>13.140090000000001</v>
      </c>
      <c r="JF31" s="21">
        <v>13.140090000000001</v>
      </c>
      <c r="JG31" s="21">
        <v>13.140090000000001</v>
      </c>
      <c r="JH31" s="21">
        <v>13.140090000000001</v>
      </c>
      <c r="JI31" s="21">
        <v>13.140090000000001</v>
      </c>
      <c r="JJ31" s="21">
        <v>13.140090000000001</v>
      </c>
      <c r="JK31" s="21">
        <v>13.140090000000001</v>
      </c>
      <c r="JL31" s="21">
        <v>13.140090000000001</v>
      </c>
      <c r="JM31" s="21">
        <v>13.140090000000001</v>
      </c>
      <c r="JN31" s="21">
        <v>13.140090000000001</v>
      </c>
      <c r="JO31" s="21">
        <v>13.140090000000001</v>
      </c>
      <c r="JP31" s="21">
        <v>13.140090000000001</v>
      </c>
      <c r="JQ31" s="21">
        <v>13.140090000000001</v>
      </c>
      <c r="JR31" s="21">
        <v>13.140090000000001</v>
      </c>
      <c r="JS31" s="21">
        <v>13.140090000000001</v>
      </c>
      <c r="JT31" s="21">
        <v>13.140090000000001</v>
      </c>
      <c r="JU31" s="21">
        <v>13.140090000000001</v>
      </c>
      <c r="JV31" s="21">
        <v>13.140090000000001</v>
      </c>
      <c r="JW31" s="21">
        <v>13.140090000000001</v>
      </c>
      <c r="JX31" s="21">
        <v>13.140090000000001</v>
      </c>
      <c r="JY31" s="21">
        <v>13.140090000000001</v>
      </c>
      <c r="JZ31" s="21">
        <v>13.140090000000001</v>
      </c>
      <c r="KA31" s="21">
        <v>13.140090000000001</v>
      </c>
      <c r="KB31" s="21">
        <v>13.140090000000001</v>
      </c>
      <c r="KC31" s="21">
        <v>13.140090000000001</v>
      </c>
      <c r="KD31" s="21">
        <v>13.140090000000001</v>
      </c>
      <c r="KE31" s="21">
        <v>13.140090000000001</v>
      </c>
      <c r="KF31" s="21">
        <v>13.140090000000001</v>
      </c>
      <c r="KG31" s="21">
        <v>13.140090000000001</v>
      </c>
      <c r="KH31" s="21">
        <v>13.140090000000001</v>
      </c>
      <c r="KI31" s="21">
        <v>13.140090000000001</v>
      </c>
      <c r="KJ31" s="21">
        <v>13.140090000000001</v>
      </c>
      <c r="KK31" s="21">
        <v>13.140090000000001</v>
      </c>
      <c r="KL31" s="21">
        <v>13.140090000000001</v>
      </c>
      <c r="KM31" s="21">
        <v>13.140090000000001</v>
      </c>
      <c r="KN31" s="21">
        <v>13.140090000000001</v>
      </c>
      <c r="KO31" s="21">
        <v>13.140090000000001</v>
      </c>
      <c r="KP31" s="21">
        <v>13.140090000000001</v>
      </c>
      <c r="KQ31" s="21">
        <v>13.140090000000001</v>
      </c>
      <c r="KR31" s="21">
        <v>13.140090000000001</v>
      </c>
      <c r="KS31" s="21">
        <v>13.140090000000001</v>
      </c>
      <c r="KT31" s="21">
        <v>13.140090000000001</v>
      </c>
      <c r="KU31" s="21">
        <v>13.140090000000001</v>
      </c>
      <c r="KV31" s="21">
        <v>13.140090000000001</v>
      </c>
      <c r="KW31" s="21">
        <v>13.140090000000001</v>
      </c>
      <c r="KX31" s="21">
        <v>13.140090000000001</v>
      </c>
      <c r="KY31" s="21">
        <v>13.140090000000001</v>
      </c>
      <c r="KZ31" s="21">
        <v>13.140090000000001</v>
      </c>
      <c r="LA31" s="21">
        <v>13.140090000000001</v>
      </c>
      <c r="LB31" s="21">
        <v>13.140090000000001</v>
      </c>
      <c r="LC31" s="21">
        <v>13.140090000000001</v>
      </c>
      <c r="LD31" s="21">
        <v>13.140090000000001</v>
      </c>
      <c r="LE31" s="21">
        <v>13.140090000000001</v>
      </c>
      <c r="LF31" s="21">
        <v>13.140090000000001</v>
      </c>
      <c r="LG31" s="21">
        <v>13.140090000000001</v>
      </c>
      <c r="LH31" s="21">
        <v>13.140090000000001</v>
      </c>
      <c r="LI31" s="21">
        <v>13.140090000000001</v>
      </c>
      <c r="LJ31" s="21">
        <v>13.140090000000001</v>
      </c>
      <c r="LK31" s="21">
        <v>13.140090000000001</v>
      </c>
      <c r="LL31" s="21">
        <v>13.140090000000001</v>
      </c>
      <c r="LM31" s="21">
        <v>13.140090000000001</v>
      </c>
      <c r="LN31" s="21">
        <v>13.140090000000001</v>
      </c>
      <c r="LO31" s="21">
        <v>13.140090000000001</v>
      </c>
      <c r="LP31" s="21">
        <v>13.140090000000001</v>
      </c>
      <c r="LQ31" s="21">
        <v>13.140090000000001</v>
      </c>
      <c r="LR31" s="21">
        <v>13.140090000000001</v>
      </c>
      <c r="LS31" s="21">
        <v>13.140090000000001</v>
      </c>
      <c r="LT31" s="21">
        <v>13.140090000000001</v>
      </c>
      <c r="LU31" s="21">
        <v>13.140090000000001</v>
      </c>
      <c r="LV31" s="21">
        <v>13.140090000000001</v>
      </c>
      <c r="LW31" s="21">
        <v>13.140090000000001</v>
      </c>
      <c r="LX31" s="21">
        <v>13.140090000000001</v>
      </c>
      <c r="LY31" s="21">
        <v>13.140090000000001</v>
      </c>
      <c r="LZ31" s="21">
        <v>13.140090000000001</v>
      </c>
      <c r="MA31" s="21">
        <v>13.140090000000001</v>
      </c>
      <c r="MB31" s="21">
        <v>13.140090000000001</v>
      </c>
      <c r="MC31" s="21">
        <v>13.140090000000001</v>
      </c>
      <c r="MD31" s="21">
        <v>13.140090000000001</v>
      </c>
      <c r="ME31" s="21">
        <v>13.140090000000001</v>
      </c>
      <c r="MF31" s="21">
        <v>13.140090000000001</v>
      </c>
      <c r="MG31" s="21">
        <v>13.140090000000001</v>
      </c>
      <c r="MH31" s="21">
        <v>13.140090000000001</v>
      </c>
      <c r="MI31" s="21">
        <v>13.140090000000001</v>
      </c>
      <c r="MJ31" s="21">
        <v>13.140090000000001</v>
      </c>
      <c r="MK31" s="21">
        <v>13.140090000000001</v>
      </c>
      <c r="ML31" s="21">
        <v>13.140090000000001</v>
      </c>
      <c r="MM31" s="21">
        <v>13.140090000000001</v>
      </c>
      <c r="MN31" s="21">
        <v>13.140090000000001</v>
      </c>
      <c r="MO31" s="21">
        <v>13.140090000000001</v>
      </c>
      <c r="MP31" s="21">
        <v>13.140090000000001</v>
      </c>
      <c r="MQ31" s="21">
        <v>13.140090000000001</v>
      </c>
      <c r="MR31" s="21">
        <v>13.140090000000001</v>
      </c>
      <c r="MS31" s="21">
        <v>13.140090000000001</v>
      </c>
      <c r="MT31" s="21">
        <v>13.140090000000001</v>
      </c>
      <c r="MU31" s="21">
        <v>13.140090000000001</v>
      </c>
      <c r="MV31" s="21">
        <v>13.140090000000001</v>
      </c>
      <c r="MW31" s="21">
        <v>13.140090000000001</v>
      </c>
      <c r="MX31" s="21">
        <v>13.140090000000001</v>
      </c>
      <c r="MY31" s="21">
        <v>13.140090000000001</v>
      </c>
      <c r="MZ31" s="21">
        <v>13.140090000000001</v>
      </c>
    </row>
    <row r="32" spans="1:364" x14ac:dyDescent="0.25">
      <c r="A32" s="7">
        <f t="shared" si="0"/>
        <v>30</v>
      </c>
      <c r="B32" s="16" t="str">
        <f>+Base!B30</f>
        <v>202402260081A033</v>
      </c>
      <c r="C32" s="75">
        <v>6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11.323285</v>
      </c>
      <c r="L32" s="21">
        <v>11.323285</v>
      </c>
      <c r="M32" s="21">
        <v>11.323285</v>
      </c>
      <c r="N32" s="21">
        <v>11.323285</v>
      </c>
      <c r="O32" s="21">
        <v>11.323285</v>
      </c>
      <c r="P32" s="21">
        <v>11.323285</v>
      </c>
      <c r="Q32" s="21">
        <v>11.323285</v>
      </c>
      <c r="R32" s="21">
        <v>11.323285</v>
      </c>
      <c r="S32" s="21">
        <v>11.323285</v>
      </c>
      <c r="T32" s="21">
        <v>11.323285</v>
      </c>
      <c r="U32" s="21">
        <v>11.323285</v>
      </c>
      <c r="V32" s="21">
        <v>11.323285</v>
      </c>
      <c r="W32" s="21">
        <v>11.323285</v>
      </c>
      <c r="X32" s="21">
        <v>11.323285</v>
      </c>
      <c r="Y32" s="21">
        <v>11.323285</v>
      </c>
      <c r="Z32" s="21">
        <v>11.323285</v>
      </c>
      <c r="AA32" s="21">
        <v>11.323285</v>
      </c>
      <c r="AB32" s="21">
        <v>11.323285</v>
      </c>
      <c r="AC32" s="21">
        <v>11.323285</v>
      </c>
      <c r="AD32" s="21">
        <v>11.323285</v>
      </c>
      <c r="AE32" s="21">
        <v>11.323285</v>
      </c>
      <c r="AF32" s="21">
        <v>11.323285</v>
      </c>
      <c r="AG32" s="21">
        <v>11.323285</v>
      </c>
      <c r="AH32" s="21">
        <v>11.323285</v>
      </c>
      <c r="AI32" s="21">
        <v>11.323285</v>
      </c>
      <c r="AJ32" s="21">
        <v>11.323285</v>
      </c>
      <c r="AK32" s="21">
        <v>11.323285</v>
      </c>
      <c r="AL32" s="21">
        <v>11.323285</v>
      </c>
      <c r="AM32" s="21">
        <v>11.323285</v>
      </c>
      <c r="AN32" s="21">
        <v>11.323285</v>
      </c>
      <c r="AO32" s="21">
        <v>11.323285</v>
      </c>
      <c r="AP32" s="21">
        <v>11.323285</v>
      </c>
      <c r="AQ32" s="21">
        <v>11.323285</v>
      </c>
      <c r="AR32" s="21">
        <v>11.323285</v>
      </c>
      <c r="AS32" s="21">
        <v>11.323285</v>
      </c>
      <c r="AT32" s="21">
        <v>11.323285</v>
      </c>
      <c r="AU32" s="21">
        <v>11.323285</v>
      </c>
      <c r="AV32" s="21">
        <v>11.323285</v>
      </c>
      <c r="AW32" s="21">
        <v>11.323285</v>
      </c>
      <c r="AX32" s="21">
        <v>11.323285</v>
      </c>
      <c r="AY32" s="21">
        <v>11.323285</v>
      </c>
      <c r="AZ32" s="21">
        <v>11.323285</v>
      </c>
      <c r="BA32" s="21">
        <v>11.323285</v>
      </c>
      <c r="BB32" s="21">
        <v>11.323285</v>
      </c>
      <c r="BC32" s="21">
        <v>11.323285</v>
      </c>
      <c r="BD32" s="21">
        <v>11.323285</v>
      </c>
      <c r="BE32" s="21">
        <v>11.323285</v>
      </c>
      <c r="BF32" s="21">
        <v>11.323285</v>
      </c>
      <c r="BG32" s="21">
        <v>11.323285</v>
      </c>
      <c r="BH32" s="21">
        <v>11.323285</v>
      </c>
      <c r="BI32" s="21">
        <v>11.323285</v>
      </c>
      <c r="BJ32" s="21">
        <v>11.323285</v>
      </c>
      <c r="BK32" s="21">
        <v>11.323285</v>
      </c>
      <c r="BL32" s="21">
        <v>11.323285</v>
      </c>
      <c r="BM32" s="21">
        <v>11.323285</v>
      </c>
      <c r="BN32" s="21">
        <v>11.323285</v>
      </c>
      <c r="BO32" s="21">
        <v>11.323285</v>
      </c>
      <c r="BP32" s="21">
        <v>11.323285</v>
      </c>
      <c r="BQ32" s="21">
        <v>11.323285</v>
      </c>
      <c r="BR32" s="21">
        <v>11.323285</v>
      </c>
      <c r="BS32" s="21">
        <v>11.323285</v>
      </c>
      <c r="BT32" s="21">
        <v>11.323285</v>
      </c>
      <c r="BU32" s="21">
        <v>11.323285</v>
      </c>
      <c r="BV32" s="21">
        <v>11.323285</v>
      </c>
      <c r="BW32" s="21">
        <v>11.323285</v>
      </c>
      <c r="BX32" s="21">
        <v>11.323285</v>
      </c>
      <c r="BY32" s="21">
        <v>11.323285</v>
      </c>
      <c r="BZ32" s="21">
        <v>11.323285</v>
      </c>
      <c r="CA32" s="21">
        <v>11.323285</v>
      </c>
      <c r="CB32" s="21">
        <v>11.323285</v>
      </c>
      <c r="CC32" s="21">
        <v>11.323285</v>
      </c>
      <c r="CD32" s="21">
        <v>11.323285</v>
      </c>
      <c r="CE32" s="21">
        <v>11.323285</v>
      </c>
      <c r="CF32" s="21">
        <v>11.323285</v>
      </c>
      <c r="CG32" s="21">
        <v>11.323285</v>
      </c>
      <c r="CH32" s="21">
        <v>11.323285</v>
      </c>
      <c r="CI32" s="21">
        <v>11.323285</v>
      </c>
      <c r="CJ32" s="21">
        <v>11.323285</v>
      </c>
      <c r="CK32" s="21">
        <v>11.323285</v>
      </c>
      <c r="CL32" s="21">
        <v>11.323285</v>
      </c>
      <c r="CM32" s="21">
        <v>11.323285</v>
      </c>
      <c r="CN32" s="21">
        <v>11.323285</v>
      </c>
      <c r="CO32" s="21">
        <v>11.323285</v>
      </c>
      <c r="CP32" s="21">
        <v>11.323285</v>
      </c>
      <c r="CQ32" s="21">
        <v>11.323285</v>
      </c>
      <c r="CR32" s="21">
        <v>11.323285</v>
      </c>
      <c r="CS32" s="21">
        <v>11.323285</v>
      </c>
      <c r="CT32" s="21">
        <v>11.323285</v>
      </c>
      <c r="CU32" s="21">
        <v>11.323285</v>
      </c>
      <c r="CV32" s="21">
        <v>11.323285</v>
      </c>
      <c r="CW32" s="21">
        <v>11.323285</v>
      </c>
      <c r="CX32" s="21">
        <v>11.323285</v>
      </c>
      <c r="CY32" s="21">
        <v>11.323285</v>
      </c>
      <c r="CZ32" s="21">
        <v>11.323285</v>
      </c>
      <c r="DA32" s="21">
        <v>11.323285</v>
      </c>
      <c r="DB32" s="21">
        <v>11.323285</v>
      </c>
      <c r="DC32" s="21">
        <v>11.323285</v>
      </c>
      <c r="DD32" s="21">
        <v>11.323285</v>
      </c>
      <c r="DE32" s="21">
        <v>11.323285</v>
      </c>
      <c r="DF32" s="21">
        <v>11.323285</v>
      </c>
      <c r="DG32" s="21">
        <v>11.323285</v>
      </c>
      <c r="DH32" s="21">
        <v>11.323285</v>
      </c>
      <c r="DI32" s="21">
        <v>11.323285</v>
      </c>
      <c r="DJ32" s="21">
        <v>11.323285</v>
      </c>
      <c r="DK32" s="21">
        <v>11.323285</v>
      </c>
      <c r="DL32" s="21">
        <v>11.323285</v>
      </c>
      <c r="DM32" s="21">
        <v>11.323285</v>
      </c>
      <c r="DN32" s="21">
        <v>11.323285</v>
      </c>
      <c r="DO32" s="21">
        <v>11.323285</v>
      </c>
      <c r="DP32" s="21">
        <v>11.323285</v>
      </c>
      <c r="DQ32" s="21">
        <v>11.323285</v>
      </c>
      <c r="DR32" s="21">
        <v>11.323285</v>
      </c>
      <c r="DS32" s="21">
        <v>11.323285</v>
      </c>
      <c r="DT32" s="21">
        <v>11.323285</v>
      </c>
      <c r="DU32" s="21">
        <v>11.323285</v>
      </c>
      <c r="DV32" s="21">
        <v>11.323285</v>
      </c>
      <c r="DW32" s="21">
        <v>11.323285</v>
      </c>
      <c r="DX32" s="21">
        <v>11.323285</v>
      </c>
      <c r="DY32" s="21">
        <v>11.323285</v>
      </c>
      <c r="DZ32" s="21">
        <v>11.323285</v>
      </c>
      <c r="EA32" s="21">
        <v>11.323285</v>
      </c>
      <c r="EB32" s="21">
        <v>11.323285</v>
      </c>
      <c r="EC32" s="21">
        <v>11.323285</v>
      </c>
      <c r="ED32" s="21">
        <v>11.323285</v>
      </c>
      <c r="EE32" s="21">
        <v>11.323285</v>
      </c>
      <c r="EF32" s="21">
        <v>11.323285</v>
      </c>
      <c r="EG32" s="21">
        <v>11.323285</v>
      </c>
      <c r="EH32" s="21">
        <v>11.323285</v>
      </c>
      <c r="EI32" s="21">
        <v>11.323285</v>
      </c>
      <c r="EJ32" s="21">
        <v>11.323285</v>
      </c>
      <c r="EK32" s="21">
        <v>11.323285</v>
      </c>
      <c r="EL32" s="21">
        <v>11.323285</v>
      </c>
      <c r="EM32" s="21">
        <v>11.323285</v>
      </c>
      <c r="EN32" s="21">
        <v>11.323285</v>
      </c>
      <c r="EO32" s="21">
        <v>11.323285</v>
      </c>
      <c r="EP32" s="21">
        <v>11.323285</v>
      </c>
      <c r="EQ32" s="21">
        <v>11.323285</v>
      </c>
      <c r="ER32" s="21">
        <v>11.323285</v>
      </c>
      <c r="ES32" s="21">
        <v>11.323285</v>
      </c>
      <c r="ET32" s="21">
        <v>11.323285</v>
      </c>
      <c r="EU32" s="21">
        <v>11.323285</v>
      </c>
      <c r="EV32" s="21">
        <v>11.323285</v>
      </c>
      <c r="EW32" s="21">
        <v>11.323285</v>
      </c>
      <c r="EX32" s="21">
        <v>11.323285</v>
      </c>
      <c r="EY32" s="21">
        <v>11.323285</v>
      </c>
      <c r="EZ32" s="21">
        <v>11.323285</v>
      </c>
      <c r="FA32" s="21">
        <v>11.323285</v>
      </c>
      <c r="FB32" s="21">
        <v>11.323285</v>
      </c>
      <c r="FC32" s="21">
        <v>11.323285</v>
      </c>
      <c r="FD32" s="21">
        <v>11.323285</v>
      </c>
      <c r="FE32" s="21">
        <v>11.323285</v>
      </c>
      <c r="FF32" s="21">
        <v>11.323285</v>
      </c>
      <c r="FG32" s="21">
        <v>11.323285</v>
      </c>
      <c r="FH32" s="21">
        <v>11.323285</v>
      </c>
      <c r="FI32" s="21">
        <v>11.323285</v>
      </c>
      <c r="FJ32" s="21">
        <v>11.323285</v>
      </c>
      <c r="FK32" s="21">
        <v>11.323285</v>
      </c>
      <c r="FL32" s="21">
        <v>11.323285</v>
      </c>
      <c r="FM32" s="21">
        <v>11.323285</v>
      </c>
      <c r="FN32" s="21">
        <v>11.323285</v>
      </c>
      <c r="FO32" s="21">
        <v>11.323285</v>
      </c>
      <c r="FP32" s="21">
        <v>11.323285</v>
      </c>
      <c r="FQ32" s="21">
        <v>11.323285</v>
      </c>
      <c r="FR32" s="21">
        <v>11.323285</v>
      </c>
      <c r="FS32" s="21">
        <v>11.323285</v>
      </c>
      <c r="FT32" s="21">
        <v>11.323285</v>
      </c>
      <c r="FU32" s="21">
        <v>11.323285</v>
      </c>
      <c r="FV32" s="21">
        <v>11.323285</v>
      </c>
      <c r="FW32" s="21">
        <v>11.323285</v>
      </c>
      <c r="FX32" s="21">
        <v>11.323285</v>
      </c>
      <c r="FY32" s="21">
        <v>11.323285</v>
      </c>
      <c r="FZ32" s="21">
        <v>11.323285</v>
      </c>
      <c r="GA32" s="21">
        <v>11.323285</v>
      </c>
      <c r="GB32" s="21">
        <v>11.323285</v>
      </c>
      <c r="GC32" s="21">
        <v>11.323285</v>
      </c>
      <c r="GD32" s="21">
        <v>11.323285</v>
      </c>
      <c r="GE32" s="21">
        <v>11.323285</v>
      </c>
      <c r="GF32" s="21">
        <v>11.323285</v>
      </c>
      <c r="GG32" s="21">
        <v>11.323285</v>
      </c>
      <c r="GH32" s="21">
        <v>11.323285</v>
      </c>
      <c r="GI32" s="21">
        <v>11.323285</v>
      </c>
      <c r="GJ32" s="21">
        <v>11.323285</v>
      </c>
      <c r="GK32" s="21">
        <v>11.323285</v>
      </c>
      <c r="GL32" s="21">
        <v>11.323285</v>
      </c>
      <c r="GM32" s="21">
        <v>11.323285</v>
      </c>
      <c r="GN32" s="21">
        <v>11.323285</v>
      </c>
      <c r="GO32" s="21">
        <v>11.323285</v>
      </c>
      <c r="GP32" s="21">
        <v>11.323285</v>
      </c>
      <c r="GQ32" s="21">
        <v>11.323285</v>
      </c>
      <c r="GR32" s="21">
        <v>11.323285</v>
      </c>
      <c r="GS32" s="21">
        <v>11.323285</v>
      </c>
      <c r="GT32" s="21">
        <v>11.323285</v>
      </c>
      <c r="GU32" s="21">
        <v>11.323285</v>
      </c>
      <c r="GV32" s="21">
        <v>11.323285</v>
      </c>
      <c r="GW32" s="21">
        <v>11.323285</v>
      </c>
      <c r="GX32" s="21">
        <v>11.323285</v>
      </c>
      <c r="GY32" s="21">
        <v>11.323285</v>
      </c>
      <c r="GZ32" s="21">
        <v>11.323285</v>
      </c>
      <c r="HA32" s="21">
        <v>11.323285</v>
      </c>
      <c r="HB32" s="21">
        <v>11.323285</v>
      </c>
      <c r="HC32" s="21">
        <v>11.323285</v>
      </c>
      <c r="HD32" s="21">
        <v>11.323285</v>
      </c>
      <c r="HE32" s="21">
        <v>11.323285</v>
      </c>
      <c r="HF32" s="21">
        <v>11.323285</v>
      </c>
      <c r="HG32" s="21">
        <v>11.323285</v>
      </c>
      <c r="HH32" s="21">
        <v>11.323285</v>
      </c>
      <c r="HI32" s="21">
        <v>11.323285</v>
      </c>
      <c r="HJ32" s="21">
        <v>11.323285</v>
      </c>
      <c r="HK32" s="21">
        <v>11.323285</v>
      </c>
      <c r="HL32" s="21">
        <v>11.323285</v>
      </c>
      <c r="HM32" s="21">
        <v>11.323285</v>
      </c>
      <c r="HN32" s="21">
        <v>11.323285</v>
      </c>
      <c r="HO32" s="21">
        <v>11.323285</v>
      </c>
      <c r="HP32" s="21">
        <v>11.323285</v>
      </c>
      <c r="HQ32" s="21">
        <v>11.323285</v>
      </c>
      <c r="HR32" s="21">
        <v>11.323285</v>
      </c>
      <c r="HS32" s="21">
        <v>11.323285</v>
      </c>
      <c r="HT32" s="21">
        <v>11.323285</v>
      </c>
      <c r="HU32" s="21">
        <v>11.323285</v>
      </c>
      <c r="HV32" s="21">
        <v>11.323285</v>
      </c>
      <c r="HW32" s="21">
        <v>11.323285</v>
      </c>
      <c r="HX32" s="21">
        <v>11.323285</v>
      </c>
      <c r="HY32" s="21">
        <v>11.323285</v>
      </c>
      <c r="HZ32" s="21">
        <v>11.323285</v>
      </c>
      <c r="IA32" s="21">
        <v>11.323285</v>
      </c>
      <c r="IB32" s="21">
        <v>11.323285</v>
      </c>
      <c r="IC32" s="21">
        <v>11.323285</v>
      </c>
      <c r="ID32" s="21">
        <v>11.323285</v>
      </c>
      <c r="IE32" s="21">
        <v>11.323285</v>
      </c>
      <c r="IF32" s="21">
        <v>11.323285</v>
      </c>
      <c r="IG32" s="21">
        <v>11.323285</v>
      </c>
      <c r="IH32" s="21">
        <v>11.323285</v>
      </c>
      <c r="II32" s="21">
        <v>11.323285</v>
      </c>
      <c r="IJ32" s="21">
        <v>11.323285</v>
      </c>
      <c r="IK32" s="21">
        <v>11.323285</v>
      </c>
      <c r="IL32" s="21">
        <v>11.323285</v>
      </c>
      <c r="IM32" s="21">
        <v>11.323285</v>
      </c>
      <c r="IN32" s="21">
        <v>11.323285</v>
      </c>
      <c r="IO32" s="21">
        <v>11.323285</v>
      </c>
      <c r="IP32" s="21">
        <v>11.323285</v>
      </c>
      <c r="IQ32" s="21">
        <v>11.323285</v>
      </c>
      <c r="IR32" s="21">
        <v>11.323285</v>
      </c>
      <c r="IS32" s="21">
        <v>11.323285</v>
      </c>
      <c r="IT32" s="21">
        <v>11.323285</v>
      </c>
      <c r="IU32" s="21">
        <v>11.323285</v>
      </c>
      <c r="IV32" s="21">
        <v>11.323285</v>
      </c>
      <c r="IW32" s="21">
        <v>11.323285</v>
      </c>
      <c r="IX32" s="21">
        <v>11.323285</v>
      </c>
      <c r="IY32" s="21">
        <v>11.323285</v>
      </c>
      <c r="IZ32" s="21">
        <v>11.323285</v>
      </c>
      <c r="JA32" s="21">
        <v>11.323285</v>
      </c>
      <c r="JB32" s="21">
        <v>11.323285</v>
      </c>
      <c r="JC32" s="21">
        <v>11.323285</v>
      </c>
      <c r="JD32" s="21">
        <v>11.323285</v>
      </c>
      <c r="JE32" s="21">
        <v>11.323285</v>
      </c>
      <c r="JF32" s="21">
        <v>11.323285</v>
      </c>
      <c r="JG32" s="21">
        <v>11.323285</v>
      </c>
      <c r="JH32" s="21">
        <v>11.323285</v>
      </c>
      <c r="JI32" s="21">
        <v>11.323285</v>
      </c>
      <c r="JJ32" s="21">
        <v>11.323285</v>
      </c>
      <c r="JK32" s="21">
        <v>11.323285</v>
      </c>
      <c r="JL32" s="21">
        <v>11.323285</v>
      </c>
      <c r="JM32" s="21">
        <v>11.323285</v>
      </c>
      <c r="JN32" s="21">
        <v>11.323285</v>
      </c>
      <c r="JO32" s="21">
        <v>11.323285</v>
      </c>
      <c r="JP32" s="21">
        <v>11.323285</v>
      </c>
      <c r="JQ32" s="21">
        <v>11.323285</v>
      </c>
      <c r="JR32" s="21">
        <v>11.323285</v>
      </c>
      <c r="JS32" s="21">
        <v>11.323285</v>
      </c>
      <c r="JT32" s="21">
        <v>11.323285</v>
      </c>
      <c r="JU32" s="21">
        <v>11.323285</v>
      </c>
      <c r="JV32" s="21">
        <v>11.323285</v>
      </c>
      <c r="JW32" s="21">
        <v>11.323285</v>
      </c>
      <c r="JX32" s="21">
        <v>11.323285</v>
      </c>
      <c r="JY32" s="21">
        <v>11.323285</v>
      </c>
      <c r="JZ32" s="21">
        <v>11.323285</v>
      </c>
      <c r="KA32" s="21">
        <v>11.323285</v>
      </c>
      <c r="KB32" s="21">
        <v>11.323285</v>
      </c>
      <c r="KC32" s="21">
        <v>11.323285</v>
      </c>
      <c r="KD32" s="21">
        <v>11.323285</v>
      </c>
      <c r="KE32" s="21">
        <v>11.323285</v>
      </c>
      <c r="KF32" s="21">
        <v>11.323285</v>
      </c>
      <c r="KG32" s="21">
        <v>11.323285</v>
      </c>
      <c r="KH32" s="21">
        <v>11.323285</v>
      </c>
      <c r="KI32" s="21">
        <v>11.323285</v>
      </c>
      <c r="KJ32" s="21">
        <v>11.323285</v>
      </c>
      <c r="KK32" s="21">
        <v>11.323285</v>
      </c>
      <c r="KL32" s="21">
        <v>11.323285</v>
      </c>
      <c r="KM32" s="21">
        <v>11.323285</v>
      </c>
      <c r="KN32" s="21">
        <v>11.323285</v>
      </c>
      <c r="KO32" s="21">
        <v>11.323285</v>
      </c>
      <c r="KP32" s="21">
        <v>11.323285</v>
      </c>
      <c r="KQ32" s="21">
        <v>11.323285</v>
      </c>
      <c r="KR32" s="21">
        <v>11.323285</v>
      </c>
      <c r="KS32" s="21">
        <v>11.323285</v>
      </c>
      <c r="KT32" s="21">
        <v>11.323285</v>
      </c>
      <c r="KU32" s="21">
        <v>11.323285</v>
      </c>
      <c r="KV32" s="21">
        <v>11.323285</v>
      </c>
      <c r="KW32" s="21">
        <v>11.323285</v>
      </c>
      <c r="KX32" s="21">
        <v>11.323285</v>
      </c>
      <c r="KY32" s="21">
        <v>11.323285</v>
      </c>
      <c r="KZ32" s="21">
        <v>11.323285</v>
      </c>
      <c r="LA32" s="21">
        <v>11.323285</v>
      </c>
      <c r="LB32" s="21">
        <v>11.323285</v>
      </c>
      <c r="LC32" s="21">
        <v>11.323285</v>
      </c>
      <c r="LD32" s="21">
        <v>11.323285</v>
      </c>
      <c r="LE32" s="21">
        <v>11.010225999999999</v>
      </c>
      <c r="LF32" s="21">
        <v>0</v>
      </c>
      <c r="LG32" s="21">
        <v>0</v>
      </c>
      <c r="LH32" s="21">
        <v>0</v>
      </c>
      <c r="LI32" s="21">
        <v>0</v>
      </c>
      <c r="LJ32" s="21">
        <v>0</v>
      </c>
      <c r="LK32" s="21">
        <v>0</v>
      </c>
      <c r="LL32" s="21">
        <v>0</v>
      </c>
      <c r="LM32" s="21">
        <v>0</v>
      </c>
      <c r="LN32" s="21">
        <v>0</v>
      </c>
      <c r="LO32" s="21">
        <v>0</v>
      </c>
      <c r="LP32" s="21">
        <v>0</v>
      </c>
      <c r="LQ32" s="21">
        <v>0</v>
      </c>
      <c r="LR32" s="21">
        <v>0</v>
      </c>
      <c r="LS32" s="21">
        <v>0</v>
      </c>
      <c r="LT32" s="21">
        <v>0</v>
      </c>
      <c r="LU32" s="21">
        <v>0</v>
      </c>
      <c r="LV32" s="21">
        <v>0</v>
      </c>
      <c r="LW32" s="21">
        <v>0</v>
      </c>
      <c r="LX32" s="21">
        <v>0</v>
      </c>
      <c r="LY32" s="21">
        <v>0</v>
      </c>
      <c r="LZ32" s="21">
        <v>0</v>
      </c>
      <c r="MA32" s="21">
        <v>0</v>
      </c>
      <c r="MB32" s="21">
        <v>0</v>
      </c>
      <c r="MC32" s="21">
        <v>0</v>
      </c>
      <c r="MD32" s="21">
        <v>0</v>
      </c>
      <c r="ME32" s="21">
        <v>0</v>
      </c>
      <c r="MF32" s="21">
        <v>0</v>
      </c>
      <c r="MG32" s="21">
        <v>0</v>
      </c>
      <c r="MH32" s="21">
        <v>0</v>
      </c>
      <c r="MI32" s="21">
        <v>0</v>
      </c>
      <c r="MJ32" s="21">
        <v>0</v>
      </c>
      <c r="MK32" s="21">
        <v>0</v>
      </c>
      <c r="ML32" s="21">
        <v>0</v>
      </c>
      <c r="MM32" s="21">
        <v>0</v>
      </c>
      <c r="MN32" s="21">
        <v>0</v>
      </c>
      <c r="MO32" s="21">
        <v>0</v>
      </c>
      <c r="MP32" s="21">
        <v>0</v>
      </c>
      <c r="MQ32" s="21">
        <v>0</v>
      </c>
      <c r="MR32" s="21">
        <v>0</v>
      </c>
      <c r="MS32" s="21">
        <v>0</v>
      </c>
      <c r="MT32" s="21">
        <v>0</v>
      </c>
      <c r="MU32" s="21">
        <v>0</v>
      </c>
      <c r="MV32" s="21">
        <v>0</v>
      </c>
      <c r="MW32" s="21">
        <v>0</v>
      </c>
      <c r="MX32" s="21">
        <v>0</v>
      </c>
      <c r="MY32" s="21">
        <v>0</v>
      </c>
      <c r="MZ32" s="21">
        <v>0</v>
      </c>
    </row>
    <row r="33" spans="1:364" x14ac:dyDescent="0.25">
      <c r="A33" s="7">
        <f t="shared" si="0"/>
        <v>31</v>
      </c>
      <c r="B33" s="16" t="str">
        <f>+Base!B31</f>
        <v>202402260082A033</v>
      </c>
      <c r="C33" s="75">
        <v>6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13.67018</v>
      </c>
      <c r="L33" s="21">
        <v>13.67018</v>
      </c>
      <c r="M33" s="21">
        <v>13.67018</v>
      </c>
      <c r="N33" s="21">
        <v>13.67018</v>
      </c>
      <c r="O33" s="21">
        <v>13.67018</v>
      </c>
      <c r="P33" s="21">
        <v>13.67018</v>
      </c>
      <c r="Q33" s="21">
        <v>13.67018</v>
      </c>
      <c r="R33" s="21">
        <v>13.67018</v>
      </c>
      <c r="S33" s="21">
        <v>13.67018</v>
      </c>
      <c r="T33" s="21">
        <v>13.67018</v>
      </c>
      <c r="U33" s="21">
        <v>13.67018</v>
      </c>
      <c r="V33" s="21">
        <v>13.67018</v>
      </c>
      <c r="W33" s="21">
        <v>13.67018</v>
      </c>
      <c r="X33" s="21">
        <v>13.67018</v>
      </c>
      <c r="Y33" s="21">
        <v>13.67018</v>
      </c>
      <c r="Z33" s="21">
        <v>13.67018</v>
      </c>
      <c r="AA33" s="21">
        <v>13.67018</v>
      </c>
      <c r="AB33" s="21">
        <v>13.67018</v>
      </c>
      <c r="AC33" s="21">
        <v>13.67018</v>
      </c>
      <c r="AD33" s="21">
        <v>13.67018</v>
      </c>
      <c r="AE33" s="21">
        <v>13.67018</v>
      </c>
      <c r="AF33" s="21">
        <v>13.67018</v>
      </c>
      <c r="AG33" s="21">
        <v>13.67018</v>
      </c>
      <c r="AH33" s="21">
        <v>13.67018</v>
      </c>
      <c r="AI33" s="21">
        <v>13.67018</v>
      </c>
      <c r="AJ33" s="21">
        <v>13.67018</v>
      </c>
      <c r="AK33" s="21">
        <v>13.67018</v>
      </c>
      <c r="AL33" s="21">
        <v>13.67018</v>
      </c>
      <c r="AM33" s="21">
        <v>13.67018</v>
      </c>
      <c r="AN33" s="21">
        <v>13.67018</v>
      </c>
      <c r="AO33" s="21">
        <v>13.67018</v>
      </c>
      <c r="AP33" s="21">
        <v>13.67018</v>
      </c>
      <c r="AQ33" s="21">
        <v>13.67018</v>
      </c>
      <c r="AR33" s="21">
        <v>13.67018</v>
      </c>
      <c r="AS33" s="21">
        <v>13.67018</v>
      </c>
      <c r="AT33" s="21">
        <v>13.67018</v>
      </c>
      <c r="AU33" s="21">
        <v>13.67018</v>
      </c>
      <c r="AV33" s="21">
        <v>13.67018</v>
      </c>
      <c r="AW33" s="21">
        <v>13.67018</v>
      </c>
      <c r="AX33" s="21">
        <v>13.67018</v>
      </c>
      <c r="AY33" s="21">
        <v>13.67018</v>
      </c>
      <c r="AZ33" s="21">
        <v>13.67018</v>
      </c>
      <c r="BA33" s="21">
        <v>13.67018</v>
      </c>
      <c r="BB33" s="21">
        <v>13.67018</v>
      </c>
      <c r="BC33" s="21">
        <v>13.67018</v>
      </c>
      <c r="BD33" s="21">
        <v>13.67018</v>
      </c>
      <c r="BE33" s="21">
        <v>13.67018</v>
      </c>
      <c r="BF33" s="21">
        <v>13.67018</v>
      </c>
      <c r="BG33" s="21">
        <v>13.67018</v>
      </c>
      <c r="BH33" s="21">
        <v>13.67018</v>
      </c>
      <c r="BI33" s="21">
        <v>13.67018</v>
      </c>
      <c r="BJ33" s="21">
        <v>13.67018</v>
      </c>
      <c r="BK33" s="21">
        <v>13.67018</v>
      </c>
      <c r="BL33" s="21">
        <v>13.67018</v>
      </c>
      <c r="BM33" s="21">
        <v>13.67018</v>
      </c>
      <c r="BN33" s="21">
        <v>13.67018</v>
      </c>
      <c r="BO33" s="21">
        <v>13.67018</v>
      </c>
      <c r="BP33" s="21">
        <v>13.67018</v>
      </c>
      <c r="BQ33" s="21">
        <v>13.67018</v>
      </c>
      <c r="BR33" s="21">
        <v>13.67018</v>
      </c>
      <c r="BS33" s="21">
        <v>13.67018</v>
      </c>
      <c r="BT33" s="21">
        <v>13.67018</v>
      </c>
      <c r="BU33" s="21">
        <v>13.67018</v>
      </c>
      <c r="BV33" s="21">
        <v>13.67018</v>
      </c>
      <c r="BW33" s="21">
        <v>13.67018</v>
      </c>
      <c r="BX33" s="21">
        <v>13.67018</v>
      </c>
      <c r="BY33" s="21">
        <v>13.67018</v>
      </c>
      <c r="BZ33" s="21">
        <v>13.67018</v>
      </c>
      <c r="CA33" s="21">
        <v>13.67018</v>
      </c>
      <c r="CB33" s="21">
        <v>13.67018</v>
      </c>
      <c r="CC33" s="21">
        <v>13.67018</v>
      </c>
      <c r="CD33" s="21">
        <v>13.67018</v>
      </c>
      <c r="CE33" s="21">
        <v>13.67018</v>
      </c>
      <c r="CF33" s="21">
        <v>13.67018</v>
      </c>
      <c r="CG33" s="21">
        <v>13.67018</v>
      </c>
      <c r="CH33" s="21">
        <v>13.67018</v>
      </c>
      <c r="CI33" s="21">
        <v>13.67018</v>
      </c>
      <c r="CJ33" s="21">
        <v>13.67018</v>
      </c>
      <c r="CK33" s="21">
        <v>13.67018</v>
      </c>
      <c r="CL33" s="21">
        <v>13.67018</v>
      </c>
      <c r="CM33" s="21">
        <v>13.67018</v>
      </c>
      <c r="CN33" s="21">
        <v>13.67018</v>
      </c>
      <c r="CO33" s="21">
        <v>13.67018</v>
      </c>
      <c r="CP33" s="21">
        <v>13.67018</v>
      </c>
      <c r="CQ33" s="21">
        <v>13.67018</v>
      </c>
      <c r="CR33" s="21">
        <v>13.67018</v>
      </c>
      <c r="CS33" s="21">
        <v>13.67018</v>
      </c>
      <c r="CT33" s="21">
        <v>13.67018</v>
      </c>
      <c r="CU33" s="21">
        <v>13.67018</v>
      </c>
      <c r="CV33" s="21">
        <v>13.67018</v>
      </c>
      <c r="CW33" s="21">
        <v>13.67018</v>
      </c>
      <c r="CX33" s="21">
        <v>13.67018</v>
      </c>
      <c r="CY33" s="21">
        <v>13.67018</v>
      </c>
      <c r="CZ33" s="21">
        <v>13.67018</v>
      </c>
      <c r="DA33" s="21">
        <v>13.67018</v>
      </c>
      <c r="DB33" s="21">
        <v>13.67018</v>
      </c>
      <c r="DC33" s="21">
        <v>13.67018</v>
      </c>
      <c r="DD33" s="21">
        <v>13.67018</v>
      </c>
      <c r="DE33" s="21">
        <v>13.67018</v>
      </c>
      <c r="DF33" s="21">
        <v>13.67018</v>
      </c>
      <c r="DG33" s="21">
        <v>13.67018</v>
      </c>
      <c r="DH33" s="21">
        <v>13.67018</v>
      </c>
      <c r="DI33" s="21">
        <v>13.67018</v>
      </c>
      <c r="DJ33" s="21">
        <v>13.67018</v>
      </c>
      <c r="DK33" s="21">
        <v>13.67018</v>
      </c>
      <c r="DL33" s="21">
        <v>13.67018</v>
      </c>
      <c r="DM33" s="21">
        <v>13.67018</v>
      </c>
      <c r="DN33" s="21">
        <v>13.67018</v>
      </c>
      <c r="DO33" s="21">
        <v>13.67018</v>
      </c>
      <c r="DP33" s="21">
        <v>13.67018</v>
      </c>
      <c r="DQ33" s="21">
        <v>13.67018</v>
      </c>
      <c r="DR33" s="21">
        <v>13.67018</v>
      </c>
      <c r="DS33" s="21">
        <v>13.67018</v>
      </c>
      <c r="DT33" s="21">
        <v>13.67018</v>
      </c>
      <c r="DU33" s="21">
        <v>13.67018</v>
      </c>
      <c r="DV33" s="21">
        <v>13.67018</v>
      </c>
      <c r="DW33" s="21">
        <v>13.67018</v>
      </c>
      <c r="DX33" s="21">
        <v>13.67018</v>
      </c>
      <c r="DY33" s="21">
        <v>13.67018</v>
      </c>
      <c r="DZ33" s="21">
        <v>13.67018</v>
      </c>
      <c r="EA33" s="21">
        <v>13.67018</v>
      </c>
      <c r="EB33" s="21">
        <v>13.67018</v>
      </c>
      <c r="EC33" s="21">
        <v>13.67018</v>
      </c>
      <c r="ED33" s="21">
        <v>13.67018</v>
      </c>
      <c r="EE33" s="21">
        <v>13.67018</v>
      </c>
      <c r="EF33" s="21">
        <v>13.67018</v>
      </c>
      <c r="EG33" s="21">
        <v>13.67018</v>
      </c>
      <c r="EH33" s="21">
        <v>13.67018</v>
      </c>
      <c r="EI33" s="21">
        <v>13.67018</v>
      </c>
      <c r="EJ33" s="21">
        <v>13.67018</v>
      </c>
      <c r="EK33" s="21">
        <v>13.67018</v>
      </c>
      <c r="EL33" s="21">
        <v>13.67018</v>
      </c>
      <c r="EM33" s="21">
        <v>13.67018</v>
      </c>
      <c r="EN33" s="21">
        <v>13.67018</v>
      </c>
      <c r="EO33" s="21">
        <v>13.67018</v>
      </c>
      <c r="EP33" s="21">
        <v>13.67018</v>
      </c>
      <c r="EQ33" s="21">
        <v>13.67018</v>
      </c>
      <c r="ER33" s="21">
        <v>13.67018</v>
      </c>
      <c r="ES33" s="21">
        <v>13.67018</v>
      </c>
      <c r="ET33" s="21">
        <v>13.67018</v>
      </c>
      <c r="EU33" s="21">
        <v>13.67018</v>
      </c>
      <c r="EV33" s="21">
        <v>13.67018</v>
      </c>
      <c r="EW33" s="21">
        <v>13.67018</v>
      </c>
      <c r="EX33" s="21">
        <v>13.67018</v>
      </c>
      <c r="EY33" s="21">
        <v>13.67018</v>
      </c>
      <c r="EZ33" s="21">
        <v>13.67018</v>
      </c>
      <c r="FA33" s="21">
        <v>13.67018</v>
      </c>
      <c r="FB33" s="21">
        <v>13.67018</v>
      </c>
      <c r="FC33" s="21">
        <v>13.67018</v>
      </c>
      <c r="FD33" s="21">
        <v>13.67018</v>
      </c>
      <c r="FE33" s="21">
        <v>13.67018</v>
      </c>
      <c r="FF33" s="21">
        <v>13.67018</v>
      </c>
      <c r="FG33" s="21">
        <v>13.67018</v>
      </c>
      <c r="FH33" s="21">
        <v>13.67018</v>
      </c>
      <c r="FI33" s="21">
        <v>13.67018</v>
      </c>
      <c r="FJ33" s="21">
        <v>13.67018</v>
      </c>
      <c r="FK33" s="21">
        <v>13.67018</v>
      </c>
      <c r="FL33" s="21">
        <v>13.67018</v>
      </c>
      <c r="FM33" s="21">
        <v>13.67018</v>
      </c>
      <c r="FN33" s="21">
        <v>13.67018</v>
      </c>
      <c r="FO33" s="21">
        <v>13.67018</v>
      </c>
      <c r="FP33" s="21">
        <v>13.67018</v>
      </c>
      <c r="FQ33" s="21">
        <v>13.67018</v>
      </c>
      <c r="FR33" s="21">
        <v>13.67018</v>
      </c>
      <c r="FS33" s="21">
        <v>13.67018</v>
      </c>
      <c r="FT33" s="21">
        <v>13.67018</v>
      </c>
      <c r="FU33" s="21">
        <v>13.67018</v>
      </c>
      <c r="FV33" s="21">
        <v>13.67018</v>
      </c>
      <c r="FW33" s="21">
        <v>13.67018</v>
      </c>
      <c r="FX33" s="21">
        <v>13.67018</v>
      </c>
      <c r="FY33" s="21">
        <v>13.67018</v>
      </c>
      <c r="FZ33" s="21">
        <v>13.67018</v>
      </c>
      <c r="GA33" s="21">
        <v>13.67018</v>
      </c>
      <c r="GB33" s="21">
        <v>13.67018</v>
      </c>
      <c r="GC33" s="21">
        <v>13.67018</v>
      </c>
      <c r="GD33" s="21">
        <v>13.67018</v>
      </c>
      <c r="GE33" s="21">
        <v>13.67018</v>
      </c>
      <c r="GF33" s="21">
        <v>13.67018</v>
      </c>
      <c r="GG33" s="21">
        <v>13.67018</v>
      </c>
      <c r="GH33" s="21">
        <v>13.67018</v>
      </c>
      <c r="GI33" s="21">
        <v>13.67018</v>
      </c>
      <c r="GJ33" s="21">
        <v>13.67018</v>
      </c>
      <c r="GK33" s="21">
        <v>13.67018</v>
      </c>
      <c r="GL33" s="21">
        <v>13.67018</v>
      </c>
      <c r="GM33" s="21">
        <v>13.67018</v>
      </c>
      <c r="GN33" s="21">
        <v>13.67018</v>
      </c>
      <c r="GO33" s="21">
        <v>13.67018</v>
      </c>
      <c r="GP33" s="21">
        <v>13.67018</v>
      </c>
      <c r="GQ33" s="21">
        <v>13.67018</v>
      </c>
      <c r="GR33" s="21">
        <v>13.67018</v>
      </c>
      <c r="GS33" s="21">
        <v>13.67018</v>
      </c>
      <c r="GT33" s="21">
        <v>13.67018</v>
      </c>
      <c r="GU33" s="21">
        <v>13.67018</v>
      </c>
      <c r="GV33" s="21">
        <v>13.67018</v>
      </c>
      <c r="GW33" s="21">
        <v>13.67018</v>
      </c>
      <c r="GX33" s="21">
        <v>13.67018</v>
      </c>
      <c r="GY33" s="21">
        <v>13.67018</v>
      </c>
      <c r="GZ33" s="21">
        <v>13.67018</v>
      </c>
      <c r="HA33" s="21">
        <v>13.67018</v>
      </c>
      <c r="HB33" s="21">
        <v>13.67018</v>
      </c>
      <c r="HC33" s="21">
        <v>13.67018</v>
      </c>
      <c r="HD33" s="21">
        <v>13.67018</v>
      </c>
      <c r="HE33" s="21">
        <v>13.67018</v>
      </c>
      <c r="HF33" s="21">
        <v>13.67018</v>
      </c>
      <c r="HG33" s="21">
        <v>13.67018</v>
      </c>
      <c r="HH33" s="21">
        <v>13.67018</v>
      </c>
      <c r="HI33" s="21">
        <v>13.67018</v>
      </c>
      <c r="HJ33" s="21">
        <v>13.67018</v>
      </c>
      <c r="HK33" s="21">
        <v>13.67018</v>
      </c>
      <c r="HL33" s="21">
        <v>13.67018</v>
      </c>
      <c r="HM33" s="21">
        <v>13.67018</v>
      </c>
      <c r="HN33" s="21">
        <v>13.67018</v>
      </c>
      <c r="HO33" s="21">
        <v>13.67018</v>
      </c>
      <c r="HP33" s="21">
        <v>13.67018</v>
      </c>
      <c r="HQ33" s="21">
        <v>13.67018</v>
      </c>
      <c r="HR33" s="21">
        <v>13.67018</v>
      </c>
      <c r="HS33" s="21">
        <v>13.67018</v>
      </c>
      <c r="HT33" s="21">
        <v>13.67018</v>
      </c>
      <c r="HU33" s="21">
        <v>13.67018</v>
      </c>
      <c r="HV33" s="21">
        <v>13.67018</v>
      </c>
      <c r="HW33" s="21">
        <v>13.67018</v>
      </c>
      <c r="HX33" s="21">
        <v>13.67018</v>
      </c>
      <c r="HY33" s="21">
        <v>13.67018</v>
      </c>
      <c r="HZ33" s="21">
        <v>13.67018</v>
      </c>
      <c r="IA33" s="21">
        <v>13.67018</v>
      </c>
      <c r="IB33" s="21">
        <v>13.67018</v>
      </c>
      <c r="IC33" s="21">
        <v>13.67018</v>
      </c>
      <c r="ID33" s="21">
        <v>13.67018</v>
      </c>
      <c r="IE33" s="21">
        <v>13.67018</v>
      </c>
      <c r="IF33" s="21">
        <v>13.67018</v>
      </c>
      <c r="IG33" s="21">
        <v>13.67018</v>
      </c>
      <c r="IH33" s="21">
        <v>13.67018</v>
      </c>
      <c r="II33" s="21">
        <v>13.67018</v>
      </c>
      <c r="IJ33" s="21">
        <v>13.67018</v>
      </c>
      <c r="IK33" s="21">
        <v>13.67018</v>
      </c>
      <c r="IL33" s="21">
        <v>13.67018</v>
      </c>
      <c r="IM33" s="21">
        <v>13.67018</v>
      </c>
      <c r="IN33" s="21">
        <v>13.67018</v>
      </c>
      <c r="IO33" s="21">
        <v>13.67018</v>
      </c>
      <c r="IP33" s="21">
        <v>13.67018</v>
      </c>
      <c r="IQ33" s="21">
        <v>13.67018</v>
      </c>
      <c r="IR33" s="21">
        <v>13.67018</v>
      </c>
      <c r="IS33" s="21">
        <v>13.67018</v>
      </c>
      <c r="IT33" s="21">
        <v>13.67018</v>
      </c>
      <c r="IU33" s="21">
        <v>13.67018</v>
      </c>
      <c r="IV33" s="21">
        <v>13.67018</v>
      </c>
      <c r="IW33" s="21">
        <v>13.67018</v>
      </c>
      <c r="IX33" s="21">
        <v>13.67018</v>
      </c>
      <c r="IY33" s="21">
        <v>13.67018</v>
      </c>
      <c r="IZ33" s="21">
        <v>13.67018</v>
      </c>
      <c r="JA33" s="21">
        <v>13.67018</v>
      </c>
      <c r="JB33" s="21">
        <v>13.67018</v>
      </c>
      <c r="JC33" s="21">
        <v>13.67018</v>
      </c>
      <c r="JD33" s="21">
        <v>13.67018</v>
      </c>
      <c r="JE33" s="21">
        <v>13.67018</v>
      </c>
      <c r="JF33" s="21">
        <v>13.67018</v>
      </c>
      <c r="JG33" s="21">
        <v>13.67018</v>
      </c>
      <c r="JH33" s="21">
        <v>13.67018</v>
      </c>
      <c r="JI33" s="21">
        <v>13.67018</v>
      </c>
      <c r="JJ33" s="21">
        <v>13.67018</v>
      </c>
      <c r="JK33" s="21">
        <v>13.67018</v>
      </c>
      <c r="JL33" s="21">
        <v>13.67018</v>
      </c>
      <c r="JM33" s="21">
        <v>13.67018</v>
      </c>
      <c r="JN33" s="21">
        <v>13.67018</v>
      </c>
      <c r="JO33" s="21">
        <v>13.67018</v>
      </c>
      <c r="JP33" s="21">
        <v>13.67018</v>
      </c>
      <c r="JQ33" s="21">
        <v>13.67018</v>
      </c>
      <c r="JR33" s="21">
        <v>13.67018</v>
      </c>
      <c r="JS33" s="21">
        <v>13.67018</v>
      </c>
      <c r="JT33" s="21">
        <v>13.67018</v>
      </c>
      <c r="JU33" s="21">
        <v>13.67018</v>
      </c>
      <c r="JV33" s="21">
        <v>13.67018</v>
      </c>
      <c r="JW33" s="21">
        <v>13.67018</v>
      </c>
      <c r="JX33" s="21">
        <v>13.67018</v>
      </c>
      <c r="JY33" s="21">
        <v>13.67018</v>
      </c>
      <c r="JZ33" s="21">
        <v>13.67018</v>
      </c>
      <c r="KA33" s="21">
        <v>13.67018</v>
      </c>
      <c r="KB33" s="21">
        <v>13.67018</v>
      </c>
      <c r="KC33" s="21">
        <v>13.67018</v>
      </c>
      <c r="KD33" s="21">
        <v>13.67018</v>
      </c>
      <c r="KE33" s="21">
        <v>13.67018</v>
      </c>
      <c r="KF33" s="21">
        <v>13.67018</v>
      </c>
      <c r="KG33" s="21">
        <v>13.67018</v>
      </c>
      <c r="KH33" s="21">
        <v>13.67018</v>
      </c>
      <c r="KI33" s="21">
        <v>13.67018</v>
      </c>
      <c r="KJ33" s="21">
        <v>13.67018</v>
      </c>
      <c r="KK33" s="21">
        <v>13.67018</v>
      </c>
      <c r="KL33" s="21">
        <v>13.67018</v>
      </c>
      <c r="KM33" s="21">
        <v>13.67018</v>
      </c>
      <c r="KN33" s="21">
        <v>13.67018</v>
      </c>
      <c r="KO33" s="21">
        <v>13.67018</v>
      </c>
      <c r="KP33" s="21">
        <v>13.67018</v>
      </c>
      <c r="KQ33" s="21">
        <v>13.67018</v>
      </c>
      <c r="KR33" s="21">
        <v>13.67018</v>
      </c>
      <c r="KS33" s="21">
        <v>13.67018</v>
      </c>
      <c r="KT33" s="21">
        <v>13.67018</v>
      </c>
      <c r="KU33" s="21">
        <v>13.67018</v>
      </c>
      <c r="KV33" s="21">
        <v>13.67018</v>
      </c>
      <c r="KW33" s="21">
        <v>13.67018</v>
      </c>
      <c r="KX33" s="21">
        <v>13.67018</v>
      </c>
      <c r="KY33" s="21">
        <v>13.67018</v>
      </c>
      <c r="KZ33" s="21">
        <v>13.67018</v>
      </c>
      <c r="LA33" s="21">
        <v>13.67018</v>
      </c>
      <c r="LB33" s="21">
        <v>13.67018</v>
      </c>
      <c r="LC33" s="21">
        <v>13.67018</v>
      </c>
      <c r="LD33" s="21">
        <v>13.67018</v>
      </c>
      <c r="LE33" s="21">
        <v>13.67018</v>
      </c>
      <c r="LF33" s="21">
        <v>13.67018</v>
      </c>
      <c r="LG33" s="21">
        <v>13.67018</v>
      </c>
      <c r="LH33" s="21">
        <v>13.67018</v>
      </c>
      <c r="LI33" s="21">
        <v>13.67018</v>
      </c>
      <c r="LJ33" s="21">
        <v>13.67018</v>
      </c>
      <c r="LK33" s="21">
        <v>13.67018</v>
      </c>
      <c r="LL33" s="21">
        <v>13.67018</v>
      </c>
      <c r="LM33" s="21">
        <v>13.67018</v>
      </c>
      <c r="LN33" s="21">
        <v>13.67018</v>
      </c>
      <c r="LO33" s="21">
        <v>13.67018</v>
      </c>
      <c r="LP33" s="21">
        <v>13.67018</v>
      </c>
      <c r="LQ33" s="21">
        <v>13.67018</v>
      </c>
      <c r="LR33" s="21">
        <v>13.67018</v>
      </c>
      <c r="LS33" s="21">
        <v>13.67018</v>
      </c>
      <c r="LT33" s="21">
        <v>13.67018</v>
      </c>
      <c r="LU33" s="21">
        <v>13.67018</v>
      </c>
      <c r="LV33" s="21">
        <v>13.67018</v>
      </c>
      <c r="LW33" s="21">
        <v>13.67018</v>
      </c>
      <c r="LX33" s="21">
        <v>13.67018</v>
      </c>
      <c r="LY33" s="21">
        <v>13.67018</v>
      </c>
      <c r="LZ33" s="21">
        <v>13.67018</v>
      </c>
      <c r="MA33" s="21">
        <v>13.67018</v>
      </c>
      <c r="MB33" s="21">
        <v>13.67018</v>
      </c>
      <c r="MC33" s="21">
        <v>13.67018</v>
      </c>
      <c r="MD33" s="21">
        <v>13.67018</v>
      </c>
      <c r="ME33" s="21">
        <v>13.67018</v>
      </c>
      <c r="MF33" s="21">
        <v>13.67018</v>
      </c>
      <c r="MG33" s="21">
        <v>13.67018</v>
      </c>
      <c r="MH33" s="21">
        <v>13.67018</v>
      </c>
      <c r="MI33" s="21">
        <v>13.67018</v>
      </c>
      <c r="MJ33" s="21">
        <v>13.67018</v>
      </c>
      <c r="MK33" s="21">
        <v>13.67018</v>
      </c>
      <c r="ML33" s="21">
        <v>13.67018</v>
      </c>
      <c r="MM33" s="21">
        <v>13.67018</v>
      </c>
      <c r="MN33" s="21">
        <v>13.67018</v>
      </c>
      <c r="MO33" s="21">
        <v>13.67018</v>
      </c>
      <c r="MP33" s="21">
        <v>13.67018</v>
      </c>
      <c r="MQ33" s="21">
        <v>13.67018</v>
      </c>
      <c r="MR33" s="21">
        <v>13.67018</v>
      </c>
      <c r="MS33" s="21">
        <v>13.67018</v>
      </c>
      <c r="MT33" s="21">
        <v>13.67018</v>
      </c>
      <c r="MU33" s="21">
        <v>13.67018</v>
      </c>
      <c r="MV33" s="21">
        <v>13.67018</v>
      </c>
      <c r="MW33" s="21">
        <v>13.67018</v>
      </c>
      <c r="MX33" s="21">
        <v>13.67018</v>
      </c>
      <c r="MY33" s="21">
        <v>13.67018</v>
      </c>
      <c r="MZ33" s="21">
        <v>13.67018</v>
      </c>
    </row>
    <row r="34" spans="1:364" x14ac:dyDescent="0.25">
      <c r="A34" s="7">
        <f t="shared" si="0"/>
        <v>32</v>
      </c>
      <c r="B34" s="16" t="str">
        <f>+Base!B32</f>
        <v>202402260083A033</v>
      </c>
      <c r="C34" s="75">
        <v>6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12.42789</v>
      </c>
      <c r="L34" s="21">
        <v>12.42789</v>
      </c>
      <c r="M34" s="21">
        <v>12.42789</v>
      </c>
      <c r="N34" s="21">
        <v>12.42789</v>
      </c>
      <c r="O34" s="21">
        <v>12.42789</v>
      </c>
      <c r="P34" s="21">
        <v>12.42789</v>
      </c>
      <c r="Q34" s="21">
        <v>12.42789</v>
      </c>
      <c r="R34" s="21">
        <v>12.42789</v>
      </c>
      <c r="S34" s="21">
        <v>12.42789</v>
      </c>
      <c r="T34" s="21">
        <v>12.42789</v>
      </c>
      <c r="U34" s="21">
        <v>12.42789</v>
      </c>
      <c r="V34" s="21">
        <v>12.42789</v>
      </c>
      <c r="W34" s="21">
        <v>12.42789</v>
      </c>
      <c r="X34" s="21">
        <v>12.42789</v>
      </c>
      <c r="Y34" s="21">
        <v>12.42789</v>
      </c>
      <c r="Z34" s="21">
        <v>12.42789</v>
      </c>
      <c r="AA34" s="21">
        <v>12.42789</v>
      </c>
      <c r="AB34" s="21">
        <v>12.42789</v>
      </c>
      <c r="AC34" s="21">
        <v>12.42789</v>
      </c>
      <c r="AD34" s="21">
        <v>12.42789</v>
      </c>
      <c r="AE34" s="21">
        <v>12.42789</v>
      </c>
      <c r="AF34" s="21">
        <v>12.42789</v>
      </c>
      <c r="AG34" s="21">
        <v>12.42789</v>
      </c>
      <c r="AH34" s="21">
        <v>12.42789</v>
      </c>
      <c r="AI34" s="21">
        <v>12.42789</v>
      </c>
      <c r="AJ34" s="21">
        <v>12.42789</v>
      </c>
      <c r="AK34" s="21">
        <v>12.42789</v>
      </c>
      <c r="AL34" s="21">
        <v>12.42789</v>
      </c>
      <c r="AM34" s="21">
        <v>12.42789</v>
      </c>
      <c r="AN34" s="21">
        <v>12.42789</v>
      </c>
      <c r="AO34" s="21">
        <v>12.42789</v>
      </c>
      <c r="AP34" s="21">
        <v>12.42789</v>
      </c>
      <c r="AQ34" s="21">
        <v>12.42789</v>
      </c>
      <c r="AR34" s="21">
        <v>12.42789</v>
      </c>
      <c r="AS34" s="21">
        <v>12.42789</v>
      </c>
      <c r="AT34" s="21">
        <v>12.42789</v>
      </c>
      <c r="AU34" s="21">
        <v>12.42789</v>
      </c>
      <c r="AV34" s="21">
        <v>12.42789</v>
      </c>
      <c r="AW34" s="21">
        <v>12.42789</v>
      </c>
      <c r="AX34" s="21">
        <v>12.42789</v>
      </c>
      <c r="AY34" s="21">
        <v>12.42789</v>
      </c>
      <c r="AZ34" s="21">
        <v>12.42789</v>
      </c>
      <c r="BA34" s="21">
        <v>12.42789</v>
      </c>
      <c r="BB34" s="21">
        <v>12.42789</v>
      </c>
      <c r="BC34" s="21">
        <v>12.42789</v>
      </c>
      <c r="BD34" s="21">
        <v>12.42789</v>
      </c>
      <c r="BE34" s="21">
        <v>12.42789</v>
      </c>
      <c r="BF34" s="21">
        <v>12.42789</v>
      </c>
      <c r="BG34" s="21">
        <v>12.42789</v>
      </c>
      <c r="BH34" s="21">
        <v>12.42789</v>
      </c>
      <c r="BI34" s="21">
        <v>12.42789</v>
      </c>
      <c r="BJ34" s="21">
        <v>12.42789</v>
      </c>
      <c r="BK34" s="21">
        <v>12.42789</v>
      </c>
      <c r="BL34" s="21">
        <v>12.42789</v>
      </c>
      <c r="BM34" s="21">
        <v>12.42789</v>
      </c>
      <c r="BN34" s="21">
        <v>12.42789</v>
      </c>
      <c r="BO34" s="21">
        <v>12.42789</v>
      </c>
      <c r="BP34" s="21">
        <v>12.42789</v>
      </c>
      <c r="BQ34" s="21">
        <v>12.42789</v>
      </c>
      <c r="BR34" s="21">
        <v>12.42789</v>
      </c>
      <c r="BS34" s="21">
        <v>12.42789</v>
      </c>
      <c r="BT34" s="21">
        <v>12.42789</v>
      </c>
      <c r="BU34" s="21">
        <v>12.42789</v>
      </c>
      <c r="BV34" s="21">
        <v>12.42789</v>
      </c>
      <c r="BW34" s="21">
        <v>12.42789</v>
      </c>
      <c r="BX34" s="21">
        <v>12.42789</v>
      </c>
      <c r="BY34" s="21">
        <v>12.42789</v>
      </c>
      <c r="BZ34" s="21">
        <v>12.42789</v>
      </c>
      <c r="CA34" s="21">
        <v>12.42789</v>
      </c>
      <c r="CB34" s="21">
        <v>12.42789</v>
      </c>
      <c r="CC34" s="21">
        <v>12.42789</v>
      </c>
      <c r="CD34" s="21">
        <v>12.42789</v>
      </c>
      <c r="CE34" s="21">
        <v>12.42789</v>
      </c>
      <c r="CF34" s="21">
        <v>12.42789</v>
      </c>
      <c r="CG34" s="21">
        <v>12.42789</v>
      </c>
      <c r="CH34" s="21">
        <v>12.42789</v>
      </c>
      <c r="CI34" s="21">
        <v>12.42789</v>
      </c>
      <c r="CJ34" s="21">
        <v>12.42789</v>
      </c>
      <c r="CK34" s="21">
        <v>12.42789</v>
      </c>
      <c r="CL34" s="21">
        <v>12.42789</v>
      </c>
      <c r="CM34" s="21">
        <v>12.42789</v>
      </c>
      <c r="CN34" s="21">
        <v>12.42789</v>
      </c>
      <c r="CO34" s="21">
        <v>12.42789</v>
      </c>
      <c r="CP34" s="21">
        <v>12.42789</v>
      </c>
      <c r="CQ34" s="21">
        <v>12.42789</v>
      </c>
      <c r="CR34" s="21">
        <v>12.42789</v>
      </c>
      <c r="CS34" s="21">
        <v>12.42789</v>
      </c>
      <c r="CT34" s="21">
        <v>12.42789</v>
      </c>
      <c r="CU34" s="21">
        <v>12.42789</v>
      </c>
      <c r="CV34" s="21">
        <v>12.42789</v>
      </c>
      <c r="CW34" s="21">
        <v>12.42789</v>
      </c>
      <c r="CX34" s="21">
        <v>12.42789</v>
      </c>
      <c r="CY34" s="21">
        <v>12.42789</v>
      </c>
      <c r="CZ34" s="21">
        <v>12.42789</v>
      </c>
      <c r="DA34" s="21">
        <v>12.42789</v>
      </c>
      <c r="DB34" s="21">
        <v>12.42789</v>
      </c>
      <c r="DC34" s="21">
        <v>12.42789</v>
      </c>
      <c r="DD34" s="21">
        <v>12.42789</v>
      </c>
      <c r="DE34" s="21">
        <v>12.42789</v>
      </c>
      <c r="DF34" s="21">
        <v>12.42789</v>
      </c>
      <c r="DG34" s="21">
        <v>12.42789</v>
      </c>
      <c r="DH34" s="21">
        <v>12.42789</v>
      </c>
      <c r="DI34" s="21">
        <v>12.42789</v>
      </c>
      <c r="DJ34" s="21">
        <v>12.42789</v>
      </c>
      <c r="DK34" s="21">
        <v>12.42789</v>
      </c>
      <c r="DL34" s="21">
        <v>12.42789</v>
      </c>
      <c r="DM34" s="21">
        <v>12.42789</v>
      </c>
      <c r="DN34" s="21">
        <v>12.42789</v>
      </c>
      <c r="DO34" s="21">
        <v>12.42789</v>
      </c>
      <c r="DP34" s="21">
        <v>12.42789</v>
      </c>
      <c r="DQ34" s="21">
        <v>12.42789</v>
      </c>
      <c r="DR34" s="21">
        <v>12.42789</v>
      </c>
      <c r="DS34" s="21">
        <v>12.42789</v>
      </c>
      <c r="DT34" s="21">
        <v>12.42789</v>
      </c>
      <c r="DU34" s="21">
        <v>12.42789</v>
      </c>
      <c r="DV34" s="21">
        <v>12.42789</v>
      </c>
      <c r="DW34" s="21">
        <v>12.42789</v>
      </c>
      <c r="DX34" s="21">
        <v>12.42789</v>
      </c>
      <c r="DY34" s="21">
        <v>12.42789</v>
      </c>
      <c r="DZ34" s="21">
        <v>12.42789</v>
      </c>
      <c r="EA34" s="21">
        <v>12.42789</v>
      </c>
      <c r="EB34" s="21">
        <v>12.42789</v>
      </c>
      <c r="EC34" s="21">
        <v>12.42789</v>
      </c>
      <c r="ED34" s="21">
        <v>12.42789</v>
      </c>
      <c r="EE34" s="21">
        <v>12.42789</v>
      </c>
      <c r="EF34" s="21">
        <v>12.42789</v>
      </c>
      <c r="EG34" s="21">
        <v>12.42789</v>
      </c>
      <c r="EH34" s="21">
        <v>12.42789</v>
      </c>
      <c r="EI34" s="21">
        <v>12.42789</v>
      </c>
      <c r="EJ34" s="21">
        <v>12.42789</v>
      </c>
      <c r="EK34" s="21">
        <v>12.42789</v>
      </c>
      <c r="EL34" s="21">
        <v>12.42789</v>
      </c>
      <c r="EM34" s="21">
        <v>12.42789</v>
      </c>
      <c r="EN34" s="21">
        <v>12.42789</v>
      </c>
      <c r="EO34" s="21">
        <v>12.42789</v>
      </c>
      <c r="EP34" s="21">
        <v>12.42789</v>
      </c>
      <c r="EQ34" s="21">
        <v>12.42789</v>
      </c>
      <c r="ER34" s="21">
        <v>12.42789</v>
      </c>
      <c r="ES34" s="21">
        <v>12.42789</v>
      </c>
      <c r="ET34" s="21">
        <v>12.42789</v>
      </c>
      <c r="EU34" s="21">
        <v>12.42789</v>
      </c>
      <c r="EV34" s="21">
        <v>12.42789</v>
      </c>
      <c r="EW34" s="21">
        <v>12.42789</v>
      </c>
      <c r="EX34" s="21">
        <v>12.42789</v>
      </c>
      <c r="EY34" s="21">
        <v>12.42789</v>
      </c>
      <c r="EZ34" s="21">
        <v>12.42789</v>
      </c>
      <c r="FA34" s="21">
        <v>12.42789</v>
      </c>
      <c r="FB34" s="21">
        <v>12.42789</v>
      </c>
      <c r="FC34" s="21">
        <v>12.42789</v>
      </c>
      <c r="FD34" s="21">
        <v>12.42789</v>
      </c>
      <c r="FE34" s="21">
        <v>12.42789</v>
      </c>
      <c r="FF34" s="21">
        <v>12.42789</v>
      </c>
      <c r="FG34" s="21">
        <v>12.42789</v>
      </c>
      <c r="FH34" s="21">
        <v>12.42789</v>
      </c>
      <c r="FI34" s="21">
        <v>12.42789</v>
      </c>
      <c r="FJ34" s="21">
        <v>12.42789</v>
      </c>
      <c r="FK34" s="21">
        <v>12.42789</v>
      </c>
      <c r="FL34" s="21">
        <v>12.42789</v>
      </c>
      <c r="FM34" s="21">
        <v>12.42789</v>
      </c>
      <c r="FN34" s="21">
        <v>12.42789</v>
      </c>
      <c r="FO34" s="21">
        <v>12.42789</v>
      </c>
      <c r="FP34" s="21">
        <v>12.42789</v>
      </c>
      <c r="FQ34" s="21">
        <v>12.42789</v>
      </c>
      <c r="FR34" s="21">
        <v>12.42789</v>
      </c>
      <c r="FS34" s="21">
        <v>12.42789</v>
      </c>
      <c r="FT34" s="21">
        <v>12.42789</v>
      </c>
      <c r="FU34" s="21">
        <v>12.42789</v>
      </c>
      <c r="FV34" s="21">
        <v>12.42789</v>
      </c>
      <c r="FW34" s="21">
        <v>12.42789</v>
      </c>
      <c r="FX34" s="21">
        <v>12.42789</v>
      </c>
      <c r="FY34" s="21">
        <v>12.42789</v>
      </c>
      <c r="FZ34" s="21">
        <v>12.42789</v>
      </c>
      <c r="GA34" s="21">
        <v>12.42789</v>
      </c>
      <c r="GB34" s="21">
        <v>12.42789</v>
      </c>
      <c r="GC34" s="21">
        <v>12.42789</v>
      </c>
      <c r="GD34" s="21">
        <v>12.42789</v>
      </c>
      <c r="GE34" s="21">
        <v>12.42789</v>
      </c>
      <c r="GF34" s="21">
        <v>12.42789</v>
      </c>
      <c r="GG34" s="21">
        <v>12.42789</v>
      </c>
      <c r="GH34" s="21">
        <v>12.42789</v>
      </c>
      <c r="GI34" s="21">
        <v>12.42789</v>
      </c>
      <c r="GJ34" s="21">
        <v>12.42789</v>
      </c>
      <c r="GK34" s="21">
        <v>12.42789</v>
      </c>
      <c r="GL34" s="21">
        <v>12.42789</v>
      </c>
      <c r="GM34" s="21">
        <v>12.42789</v>
      </c>
      <c r="GN34" s="21">
        <v>12.42789</v>
      </c>
      <c r="GO34" s="21">
        <v>12.42789</v>
      </c>
      <c r="GP34" s="21">
        <v>12.42789</v>
      </c>
      <c r="GQ34" s="21">
        <v>12.42789</v>
      </c>
      <c r="GR34" s="21">
        <v>12.42789</v>
      </c>
      <c r="GS34" s="21">
        <v>12.42789</v>
      </c>
      <c r="GT34" s="21">
        <v>12.42789</v>
      </c>
      <c r="GU34" s="21">
        <v>12.42789</v>
      </c>
      <c r="GV34" s="21">
        <v>12.42789</v>
      </c>
      <c r="GW34" s="21">
        <v>12.42789</v>
      </c>
      <c r="GX34" s="21">
        <v>12.42789</v>
      </c>
      <c r="GY34" s="21">
        <v>12.42789</v>
      </c>
      <c r="GZ34" s="21">
        <v>12.42789</v>
      </c>
      <c r="HA34" s="21">
        <v>12.42789</v>
      </c>
      <c r="HB34" s="21">
        <v>12.42789</v>
      </c>
      <c r="HC34" s="21">
        <v>12.42789</v>
      </c>
      <c r="HD34" s="21">
        <v>12.42789</v>
      </c>
      <c r="HE34" s="21">
        <v>12.42789</v>
      </c>
      <c r="HF34" s="21">
        <v>12.42789</v>
      </c>
      <c r="HG34" s="21">
        <v>12.42789</v>
      </c>
      <c r="HH34" s="21">
        <v>12.42789</v>
      </c>
      <c r="HI34" s="21">
        <v>12.42789</v>
      </c>
      <c r="HJ34" s="21">
        <v>12.42789</v>
      </c>
      <c r="HK34" s="21">
        <v>12.42789</v>
      </c>
      <c r="HL34" s="21">
        <v>12.42789</v>
      </c>
      <c r="HM34" s="21">
        <v>12.42789</v>
      </c>
      <c r="HN34" s="21">
        <v>12.42789</v>
      </c>
      <c r="HO34" s="21">
        <v>12.42789</v>
      </c>
      <c r="HP34" s="21">
        <v>12.42789</v>
      </c>
      <c r="HQ34" s="21">
        <v>12.42789</v>
      </c>
      <c r="HR34" s="21">
        <v>12.42789</v>
      </c>
      <c r="HS34" s="21">
        <v>12.42789</v>
      </c>
      <c r="HT34" s="21">
        <v>12.42789</v>
      </c>
      <c r="HU34" s="21">
        <v>12.42789</v>
      </c>
      <c r="HV34" s="21">
        <v>12.42789</v>
      </c>
      <c r="HW34" s="21">
        <v>12.42789</v>
      </c>
      <c r="HX34" s="21">
        <v>12.42789</v>
      </c>
      <c r="HY34" s="21">
        <v>12.42789</v>
      </c>
      <c r="HZ34" s="21">
        <v>12.42789</v>
      </c>
      <c r="IA34" s="21">
        <v>12.42789</v>
      </c>
      <c r="IB34" s="21">
        <v>12.42789</v>
      </c>
      <c r="IC34" s="21">
        <v>12.42789</v>
      </c>
      <c r="ID34" s="21">
        <v>12.42789</v>
      </c>
      <c r="IE34" s="21">
        <v>12.42789</v>
      </c>
      <c r="IF34" s="21">
        <v>12.42789</v>
      </c>
      <c r="IG34" s="21">
        <v>12.42789</v>
      </c>
      <c r="IH34" s="21">
        <v>12.42789</v>
      </c>
      <c r="II34" s="21">
        <v>12.42789</v>
      </c>
      <c r="IJ34" s="21">
        <v>12.42789</v>
      </c>
      <c r="IK34" s="21">
        <v>12.42789</v>
      </c>
      <c r="IL34" s="21">
        <v>12.42789</v>
      </c>
      <c r="IM34" s="21">
        <v>12.42789</v>
      </c>
      <c r="IN34" s="21">
        <v>12.42789</v>
      </c>
      <c r="IO34" s="21">
        <v>12.42789</v>
      </c>
      <c r="IP34" s="21">
        <v>12.42789</v>
      </c>
      <c r="IQ34" s="21">
        <v>12.42789</v>
      </c>
      <c r="IR34" s="21">
        <v>12.42789</v>
      </c>
      <c r="IS34" s="21">
        <v>12.42789</v>
      </c>
      <c r="IT34" s="21">
        <v>12.42789</v>
      </c>
      <c r="IU34" s="21">
        <v>12.42789</v>
      </c>
      <c r="IV34" s="21">
        <v>12.42789</v>
      </c>
      <c r="IW34" s="21">
        <v>12.42789</v>
      </c>
      <c r="IX34" s="21">
        <v>12.42789</v>
      </c>
      <c r="IY34" s="21">
        <v>12.42789</v>
      </c>
      <c r="IZ34" s="21">
        <v>12.42789</v>
      </c>
      <c r="JA34" s="21">
        <v>12.42789</v>
      </c>
      <c r="JB34" s="21">
        <v>12.42789</v>
      </c>
      <c r="JC34" s="21">
        <v>12.42789</v>
      </c>
      <c r="JD34" s="21">
        <v>12.42789</v>
      </c>
      <c r="JE34" s="21">
        <v>12.42789</v>
      </c>
      <c r="JF34" s="21">
        <v>12.42789</v>
      </c>
      <c r="JG34" s="21">
        <v>12.42789</v>
      </c>
      <c r="JH34" s="21">
        <v>12.42789</v>
      </c>
      <c r="JI34" s="21">
        <v>12.42789</v>
      </c>
      <c r="JJ34" s="21">
        <v>12.42789</v>
      </c>
      <c r="JK34" s="21">
        <v>12.42789</v>
      </c>
      <c r="JL34" s="21">
        <v>12.42789</v>
      </c>
      <c r="JM34" s="21">
        <v>12.42789</v>
      </c>
      <c r="JN34" s="21">
        <v>12.42789</v>
      </c>
      <c r="JO34" s="21">
        <v>12.42789</v>
      </c>
      <c r="JP34" s="21">
        <v>12.42789</v>
      </c>
      <c r="JQ34" s="21">
        <v>12.42789</v>
      </c>
      <c r="JR34" s="21">
        <v>12.42789</v>
      </c>
      <c r="JS34" s="21">
        <v>12.42789</v>
      </c>
      <c r="JT34" s="21">
        <v>12.42789</v>
      </c>
      <c r="JU34" s="21">
        <v>12.42789</v>
      </c>
      <c r="JV34" s="21">
        <v>12.42789</v>
      </c>
      <c r="JW34" s="21">
        <v>12.42789</v>
      </c>
      <c r="JX34" s="21">
        <v>12.42789</v>
      </c>
      <c r="JY34" s="21">
        <v>12.42789</v>
      </c>
      <c r="JZ34" s="21">
        <v>12.42789</v>
      </c>
      <c r="KA34" s="21">
        <v>12.42789</v>
      </c>
      <c r="KB34" s="21">
        <v>12.42789</v>
      </c>
      <c r="KC34" s="21">
        <v>12.42789</v>
      </c>
      <c r="KD34" s="21">
        <v>12.42789</v>
      </c>
      <c r="KE34" s="21">
        <v>12.42789</v>
      </c>
      <c r="KF34" s="21">
        <v>12.42789</v>
      </c>
      <c r="KG34" s="21">
        <v>12.42789</v>
      </c>
      <c r="KH34" s="21">
        <v>12.42789</v>
      </c>
      <c r="KI34" s="21">
        <v>12.42789</v>
      </c>
      <c r="KJ34" s="21">
        <v>12.42789</v>
      </c>
      <c r="KK34" s="21">
        <v>12.42789</v>
      </c>
      <c r="KL34" s="21">
        <v>12.42789</v>
      </c>
      <c r="KM34" s="21">
        <v>12.42789</v>
      </c>
      <c r="KN34" s="21">
        <v>12.42789</v>
      </c>
      <c r="KO34" s="21">
        <v>12.42789</v>
      </c>
      <c r="KP34" s="21">
        <v>12.42789</v>
      </c>
      <c r="KQ34" s="21">
        <v>12.42789</v>
      </c>
      <c r="KR34" s="21">
        <v>12.42789</v>
      </c>
      <c r="KS34" s="21">
        <v>12.42789</v>
      </c>
      <c r="KT34" s="21">
        <v>12.42789</v>
      </c>
      <c r="KU34" s="21">
        <v>12.42789</v>
      </c>
      <c r="KV34" s="21">
        <v>12.42789</v>
      </c>
      <c r="KW34" s="21">
        <v>12.42789</v>
      </c>
      <c r="KX34" s="21">
        <v>12.42789</v>
      </c>
      <c r="KY34" s="21">
        <v>12.42789</v>
      </c>
      <c r="KZ34" s="21">
        <v>12.42789</v>
      </c>
      <c r="LA34" s="21">
        <v>12.42789</v>
      </c>
      <c r="LB34" s="21">
        <v>12.42789</v>
      </c>
      <c r="LC34" s="21">
        <v>12.42789</v>
      </c>
      <c r="LD34" s="21">
        <v>12.42789</v>
      </c>
      <c r="LE34" s="21">
        <v>12.42789</v>
      </c>
      <c r="LF34" s="21">
        <v>12.42789</v>
      </c>
      <c r="LG34" s="21">
        <v>12.42789</v>
      </c>
      <c r="LH34" s="21">
        <v>12.42789</v>
      </c>
      <c r="LI34" s="21">
        <v>12.42789</v>
      </c>
      <c r="LJ34" s="21">
        <v>12.42789</v>
      </c>
      <c r="LK34" s="21">
        <v>12.42789</v>
      </c>
      <c r="LL34" s="21">
        <v>12.42789</v>
      </c>
      <c r="LM34" s="21">
        <v>12.42789</v>
      </c>
      <c r="LN34" s="21">
        <v>12.42789</v>
      </c>
      <c r="LO34" s="21">
        <v>12.42789</v>
      </c>
      <c r="LP34" s="21">
        <v>12.42789</v>
      </c>
      <c r="LQ34" s="21">
        <v>12.42789</v>
      </c>
      <c r="LR34" s="21">
        <v>12.42789</v>
      </c>
      <c r="LS34" s="21">
        <v>12.42789</v>
      </c>
      <c r="LT34" s="21">
        <v>12.42789</v>
      </c>
      <c r="LU34" s="21">
        <v>12.42789</v>
      </c>
      <c r="LV34" s="21">
        <v>12.42789</v>
      </c>
      <c r="LW34" s="21">
        <v>12.42789</v>
      </c>
      <c r="LX34" s="21">
        <v>12.42789</v>
      </c>
      <c r="LY34" s="21">
        <v>12.42789</v>
      </c>
      <c r="LZ34" s="21">
        <v>12.42789</v>
      </c>
      <c r="MA34" s="21">
        <v>12.42789</v>
      </c>
      <c r="MB34" s="21">
        <v>12.42789</v>
      </c>
      <c r="MC34" s="21">
        <v>12.42789</v>
      </c>
      <c r="MD34" s="21">
        <v>12.42789</v>
      </c>
      <c r="ME34" s="21">
        <v>12.42789</v>
      </c>
      <c r="MF34" s="21">
        <v>12.42789</v>
      </c>
      <c r="MG34" s="21">
        <v>12.42789</v>
      </c>
      <c r="MH34" s="21">
        <v>12.42789</v>
      </c>
      <c r="MI34" s="21">
        <v>12.42789</v>
      </c>
      <c r="MJ34" s="21">
        <v>12.42789</v>
      </c>
      <c r="MK34" s="21">
        <v>12.42789</v>
      </c>
      <c r="ML34" s="21">
        <v>12.42789</v>
      </c>
      <c r="MM34" s="21">
        <v>12.42789</v>
      </c>
      <c r="MN34" s="21">
        <v>12.42789</v>
      </c>
      <c r="MO34" s="21">
        <v>12.42789</v>
      </c>
      <c r="MP34" s="21">
        <v>12.42789</v>
      </c>
      <c r="MQ34" s="21">
        <v>12.42789</v>
      </c>
      <c r="MR34" s="21">
        <v>12.42789</v>
      </c>
      <c r="MS34" s="21">
        <v>12.42789</v>
      </c>
      <c r="MT34" s="21">
        <v>12.42789</v>
      </c>
      <c r="MU34" s="21">
        <v>12.42789</v>
      </c>
      <c r="MV34" s="21">
        <v>12.42789</v>
      </c>
      <c r="MW34" s="21">
        <v>12.42789</v>
      </c>
      <c r="MX34" s="21">
        <v>12.42789</v>
      </c>
      <c r="MY34" s="21">
        <v>12.42789</v>
      </c>
      <c r="MZ34" s="21">
        <v>12.42789</v>
      </c>
    </row>
    <row r="35" spans="1:364" x14ac:dyDescent="0.25">
      <c r="A35" s="7">
        <f t="shared" si="0"/>
        <v>33</v>
      </c>
      <c r="B35" s="16" t="str">
        <f>+Base!B33</f>
        <v>202402260084A033</v>
      </c>
      <c r="C35" s="75">
        <v>6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9.1517700000000008</v>
      </c>
      <c r="L35" s="21">
        <v>9.1517700000000008</v>
      </c>
      <c r="M35" s="21">
        <v>9.1517700000000008</v>
      </c>
      <c r="N35" s="21">
        <v>9.1517700000000008</v>
      </c>
      <c r="O35" s="21">
        <v>9.1517700000000008</v>
      </c>
      <c r="P35" s="21">
        <v>9.1517700000000008</v>
      </c>
      <c r="Q35" s="21">
        <v>9.1517700000000008</v>
      </c>
      <c r="R35" s="21">
        <v>9.1517700000000008</v>
      </c>
      <c r="S35" s="21">
        <v>9.1517700000000008</v>
      </c>
      <c r="T35" s="21">
        <v>9.1517700000000008</v>
      </c>
      <c r="U35" s="21">
        <v>9.1517700000000008</v>
      </c>
      <c r="V35" s="21">
        <v>9.1517700000000008</v>
      </c>
      <c r="W35" s="21">
        <v>9.1517700000000008</v>
      </c>
      <c r="X35" s="21">
        <v>9.1517700000000008</v>
      </c>
      <c r="Y35" s="21">
        <v>9.1517700000000008</v>
      </c>
      <c r="Z35" s="21">
        <v>9.1517700000000008</v>
      </c>
      <c r="AA35" s="21">
        <v>9.1517700000000008</v>
      </c>
      <c r="AB35" s="21">
        <v>9.1517700000000008</v>
      </c>
      <c r="AC35" s="21">
        <v>9.1517700000000008</v>
      </c>
      <c r="AD35" s="21">
        <v>9.1517700000000008</v>
      </c>
      <c r="AE35" s="21">
        <v>9.1517700000000008</v>
      </c>
      <c r="AF35" s="21">
        <v>9.1517700000000008</v>
      </c>
      <c r="AG35" s="21">
        <v>9.1517700000000008</v>
      </c>
      <c r="AH35" s="21">
        <v>9.1517700000000008</v>
      </c>
      <c r="AI35" s="21">
        <v>9.1517700000000008</v>
      </c>
      <c r="AJ35" s="21">
        <v>9.1517700000000008</v>
      </c>
      <c r="AK35" s="21">
        <v>9.1517700000000008</v>
      </c>
      <c r="AL35" s="21">
        <v>9.1517700000000008</v>
      </c>
      <c r="AM35" s="21">
        <v>9.1517700000000008</v>
      </c>
      <c r="AN35" s="21">
        <v>9.1517700000000008</v>
      </c>
      <c r="AO35" s="21">
        <v>9.1517700000000008</v>
      </c>
      <c r="AP35" s="21">
        <v>9.1517700000000008</v>
      </c>
      <c r="AQ35" s="21">
        <v>9.1517700000000008</v>
      </c>
      <c r="AR35" s="21">
        <v>9.1517700000000008</v>
      </c>
      <c r="AS35" s="21">
        <v>9.1517700000000008</v>
      </c>
      <c r="AT35" s="21">
        <v>9.1517700000000008</v>
      </c>
      <c r="AU35" s="21">
        <v>9.1517700000000008</v>
      </c>
      <c r="AV35" s="21">
        <v>9.1517700000000008</v>
      </c>
      <c r="AW35" s="21">
        <v>9.1517700000000008</v>
      </c>
      <c r="AX35" s="21">
        <v>9.1517700000000008</v>
      </c>
      <c r="AY35" s="21">
        <v>9.1517700000000008</v>
      </c>
      <c r="AZ35" s="21">
        <v>9.1517700000000008</v>
      </c>
      <c r="BA35" s="21">
        <v>9.1517700000000008</v>
      </c>
      <c r="BB35" s="21">
        <v>9.1517700000000008</v>
      </c>
      <c r="BC35" s="21">
        <v>9.1517700000000008</v>
      </c>
      <c r="BD35" s="21">
        <v>9.1517700000000008</v>
      </c>
      <c r="BE35" s="21">
        <v>9.1517700000000008</v>
      </c>
      <c r="BF35" s="21">
        <v>9.1517700000000008</v>
      </c>
      <c r="BG35" s="21">
        <v>9.1517700000000008</v>
      </c>
      <c r="BH35" s="21">
        <v>9.1517700000000008</v>
      </c>
      <c r="BI35" s="21">
        <v>9.1517700000000008</v>
      </c>
      <c r="BJ35" s="21">
        <v>9.1517700000000008</v>
      </c>
      <c r="BK35" s="21">
        <v>9.1517700000000008</v>
      </c>
      <c r="BL35" s="21">
        <v>9.1517700000000008</v>
      </c>
      <c r="BM35" s="21">
        <v>9.1517700000000008</v>
      </c>
      <c r="BN35" s="21">
        <v>9.1517700000000008</v>
      </c>
      <c r="BO35" s="21">
        <v>9.1517700000000008</v>
      </c>
      <c r="BP35" s="21">
        <v>9.1517700000000008</v>
      </c>
      <c r="BQ35" s="21">
        <v>9.1517700000000008</v>
      </c>
      <c r="BR35" s="21">
        <v>9.1517700000000008</v>
      </c>
      <c r="BS35" s="21">
        <v>9.1517700000000008</v>
      </c>
      <c r="BT35" s="21">
        <v>9.1517700000000008</v>
      </c>
      <c r="BU35" s="21">
        <v>9.1517700000000008</v>
      </c>
      <c r="BV35" s="21">
        <v>9.1517700000000008</v>
      </c>
      <c r="BW35" s="21">
        <v>9.1517700000000008</v>
      </c>
      <c r="BX35" s="21">
        <v>9.1517700000000008</v>
      </c>
      <c r="BY35" s="21">
        <v>9.1517700000000008</v>
      </c>
      <c r="BZ35" s="21">
        <v>9.1517700000000008</v>
      </c>
      <c r="CA35" s="21">
        <v>9.1517700000000008</v>
      </c>
      <c r="CB35" s="21">
        <v>9.1517700000000008</v>
      </c>
      <c r="CC35" s="21">
        <v>9.1517700000000008</v>
      </c>
      <c r="CD35" s="21">
        <v>9.1517700000000008</v>
      </c>
      <c r="CE35" s="21">
        <v>9.1517700000000008</v>
      </c>
      <c r="CF35" s="21">
        <v>9.1517700000000008</v>
      </c>
      <c r="CG35" s="21">
        <v>9.1517700000000008</v>
      </c>
      <c r="CH35" s="21">
        <v>9.1517700000000008</v>
      </c>
      <c r="CI35" s="21">
        <v>9.1517700000000008</v>
      </c>
      <c r="CJ35" s="21">
        <v>9.1517700000000008</v>
      </c>
      <c r="CK35" s="21">
        <v>9.1517700000000008</v>
      </c>
      <c r="CL35" s="21">
        <v>9.1517700000000008</v>
      </c>
      <c r="CM35" s="21">
        <v>9.1517700000000008</v>
      </c>
      <c r="CN35" s="21">
        <v>9.1517700000000008</v>
      </c>
      <c r="CO35" s="21">
        <v>9.1517700000000008</v>
      </c>
      <c r="CP35" s="21">
        <v>9.1517700000000008</v>
      </c>
      <c r="CQ35" s="21">
        <v>9.1517700000000008</v>
      </c>
      <c r="CR35" s="21">
        <v>9.1517700000000008</v>
      </c>
      <c r="CS35" s="21">
        <v>9.1517700000000008</v>
      </c>
      <c r="CT35" s="21">
        <v>9.1517700000000008</v>
      </c>
      <c r="CU35" s="21">
        <v>9.1517700000000008</v>
      </c>
      <c r="CV35" s="21">
        <v>9.1517700000000008</v>
      </c>
      <c r="CW35" s="21">
        <v>9.1517700000000008</v>
      </c>
      <c r="CX35" s="21">
        <v>9.1517700000000008</v>
      </c>
      <c r="CY35" s="21">
        <v>9.1517700000000008</v>
      </c>
      <c r="CZ35" s="21">
        <v>9.1517700000000008</v>
      </c>
      <c r="DA35" s="21">
        <v>9.1517700000000008</v>
      </c>
      <c r="DB35" s="21">
        <v>9.1517700000000008</v>
      </c>
      <c r="DC35" s="21">
        <v>9.1517700000000008</v>
      </c>
      <c r="DD35" s="21">
        <v>9.1517700000000008</v>
      </c>
      <c r="DE35" s="21">
        <v>9.1517700000000008</v>
      </c>
      <c r="DF35" s="21">
        <v>9.1517700000000008</v>
      </c>
      <c r="DG35" s="21">
        <v>9.1517700000000008</v>
      </c>
      <c r="DH35" s="21">
        <v>9.1517700000000008</v>
      </c>
      <c r="DI35" s="21">
        <v>9.1517700000000008</v>
      </c>
      <c r="DJ35" s="21">
        <v>9.1517700000000008</v>
      </c>
      <c r="DK35" s="21">
        <v>9.1517700000000008</v>
      </c>
      <c r="DL35" s="21">
        <v>9.1517700000000008</v>
      </c>
      <c r="DM35" s="21">
        <v>9.1517700000000008</v>
      </c>
      <c r="DN35" s="21">
        <v>9.1517700000000008</v>
      </c>
      <c r="DO35" s="21">
        <v>9.1517700000000008</v>
      </c>
      <c r="DP35" s="21">
        <v>9.1517700000000008</v>
      </c>
      <c r="DQ35" s="21">
        <v>9.1517700000000008</v>
      </c>
      <c r="DR35" s="21">
        <v>9.1517700000000008</v>
      </c>
      <c r="DS35" s="21">
        <v>9.1517700000000008</v>
      </c>
      <c r="DT35" s="21">
        <v>9.1517700000000008</v>
      </c>
      <c r="DU35" s="21">
        <v>9.1517700000000008</v>
      </c>
      <c r="DV35" s="21">
        <v>9.1517700000000008</v>
      </c>
      <c r="DW35" s="21">
        <v>9.1517700000000008</v>
      </c>
      <c r="DX35" s="21">
        <v>9.1517700000000008</v>
      </c>
      <c r="DY35" s="21">
        <v>9.1517700000000008</v>
      </c>
      <c r="DZ35" s="21">
        <v>9.1517700000000008</v>
      </c>
      <c r="EA35" s="21">
        <v>9.1517700000000008</v>
      </c>
      <c r="EB35" s="21">
        <v>9.1517700000000008</v>
      </c>
      <c r="EC35" s="21">
        <v>9.1517700000000008</v>
      </c>
      <c r="ED35" s="21">
        <v>9.1517700000000008</v>
      </c>
      <c r="EE35" s="21">
        <v>9.1517700000000008</v>
      </c>
      <c r="EF35" s="21">
        <v>9.1517700000000008</v>
      </c>
      <c r="EG35" s="21">
        <v>9.1517700000000008</v>
      </c>
      <c r="EH35" s="21">
        <v>9.1517700000000008</v>
      </c>
      <c r="EI35" s="21">
        <v>9.1517700000000008</v>
      </c>
      <c r="EJ35" s="21">
        <v>9.1517700000000008</v>
      </c>
      <c r="EK35" s="21">
        <v>9.1517700000000008</v>
      </c>
      <c r="EL35" s="21">
        <v>9.1517700000000008</v>
      </c>
      <c r="EM35" s="21">
        <v>9.1517700000000008</v>
      </c>
      <c r="EN35" s="21">
        <v>9.1517700000000008</v>
      </c>
      <c r="EO35" s="21">
        <v>9.1517700000000008</v>
      </c>
      <c r="EP35" s="21">
        <v>9.1517700000000008</v>
      </c>
      <c r="EQ35" s="21">
        <v>9.1517700000000008</v>
      </c>
      <c r="ER35" s="21">
        <v>9.1517700000000008</v>
      </c>
      <c r="ES35" s="21">
        <v>9.1517700000000008</v>
      </c>
      <c r="ET35" s="21">
        <v>9.1517700000000008</v>
      </c>
      <c r="EU35" s="21">
        <v>9.1517700000000008</v>
      </c>
      <c r="EV35" s="21">
        <v>9.1517700000000008</v>
      </c>
      <c r="EW35" s="21">
        <v>9.1517700000000008</v>
      </c>
      <c r="EX35" s="21">
        <v>9.1517700000000008</v>
      </c>
      <c r="EY35" s="21">
        <v>9.1517700000000008</v>
      </c>
      <c r="EZ35" s="21">
        <v>9.1517700000000008</v>
      </c>
      <c r="FA35" s="21">
        <v>9.1517700000000008</v>
      </c>
      <c r="FB35" s="21">
        <v>9.1517700000000008</v>
      </c>
      <c r="FC35" s="21">
        <v>9.1517700000000008</v>
      </c>
      <c r="FD35" s="21">
        <v>9.1517700000000008</v>
      </c>
      <c r="FE35" s="21">
        <v>9.1517700000000008</v>
      </c>
      <c r="FF35" s="21">
        <v>9.1517700000000008</v>
      </c>
      <c r="FG35" s="21">
        <v>9.1517700000000008</v>
      </c>
      <c r="FH35" s="21">
        <v>9.1517700000000008</v>
      </c>
      <c r="FI35" s="21">
        <v>9.1517700000000008</v>
      </c>
      <c r="FJ35" s="21">
        <v>9.1517700000000008</v>
      </c>
      <c r="FK35" s="21">
        <v>9.1517700000000008</v>
      </c>
      <c r="FL35" s="21">
        <v>9.1517700000000008</v>
      </c>
      <c r="FM35" s="21">
        <v>9.1517700000000008</v>
      </c>
      <c r="FN35" s="21">
        <v>9.1517700000000008</v>
      </c>
      <c r="FO35" s="21">
        <v>9.1517700000000008</v>
      </c>
      <c r="FP35" s="21">
        <v>9.1517700000000008</v>
      </c>
      <c r="FQ35" s="21">
        <v>9.1517700000000008</v>
      </c>
      <c r="FR35" s="21">
        <v>9.1517700000000008</v>
      </c>
      <c r="FS35" s="21">
        <v>9.1517700000000008</v>
      </c>
      <c r="FT35" s="21">
        <v>9.1517700000000008</v>
      </c>
      <c r="FU35" s="21">
        <v>9.1517700000000008</v>
      </c>
      <c r="FV35" s="21">
        <v>9.1517700000000008</v>
      </c>
      <c r="FW35" s="21">
        <v>9.1517700000000008</v>
      </c>
      <c r="FX35" s="21">
        <v>9.1517700000000008</v>
      </c>
      <c r="FY35" s="21">
        <v>9.1517700000000008</v>
      </c>
      <c r="FZ35" s="21">
        <v>9.1517700000000008</v>
      </c>
      <c r="GA35" s="21">
        <v>9.1517700000000008</v>
      </c>
      <c r="GB35" s="21">
        <v>9.1517700000000008</v>
      </c>
      <c r="GC35" s="21">
        <v>9.1517700000000008</v>
      </c>
      <c r="GD35" s="21">
        <v>9.1517700000000008</v>
      </c>
      <c r="GE35" s="21">
        <v>9.1517700000000008</v>
      </c>
      <c r="GF35" s="21">
        <v>9.1517700000000008</v>
      </c>
      <c r="GG35" s="21">
        <v>9.1517700000000008</v>
      </c>
      <c r="GH35" s="21">
        <v>9.1517700000000008</v>
      </c>
      <c r="GI35" s="21">
        <v>9.1517700000000008</v>
      </c>
      <c r="GJ35" s="21">
        <v>9.1517700000000008</v>
      </c>
      <c r="GK35" s="21">
        <v>9.1517700000000008</v>
      </c>
      <c r="GL35" s="21">
        <v>9.1517700000000008</v>
      </c>
      <c r="GM35" s="21">
        <v>9.1517700000000008</v>
      </c>
      <c r="GN35" s="21">
        <v>9.1517700000000008</v>
      </c>
      <c r="GO35" s="21">
        <v>9.1517700000000008</v>
      </c>
      <c r="GP35" s="21">
        <v>9.1517700000000008</v>
      </c>
      <c r="GQ35" s="21">
        <v>9.1517700000000008</v>
      </c>
      <c r="GR35" s="21">
        <v>9.1517700000000008</v>
      </c>
      <c r="GS35" s="21">
        <v>9.1517700000000008</v>
      </c>
      <c r="GT35" s="21">
        <v>9.1517700000000008</v>
      </c>
      <c r="GU35" s="21">
        <v>9.1517700000000008</v>
      </c>
      <c r="GV35" s="21">
        <v>9.1517700000000008</v>
      </c>
      <c r="GW35" s="21">
        <v>9.1517700000000008</v>
      </c>
      <c r="GX35" s="21">
        <v>9.1517700000000008</v>
      </c>
      <c r="GY35" s="21">
        <v>9.1517700000000008</v>
      </c>
      <c r="GZ35" s="21">
        <v>9.1517700000000008</v>
      </c>
      <c r="HA35" s="21">
        <v>9.1517700000000008</v>
      </c>
      <c r="HB35" s="21">
        <v>9.1517700000000008</v>
      </c>
      <c r="HC35" s="21">
        <v>9.1517700000000008</v>
      </c>
      <c r="HD35" s="21">
        <v>9.1517700000000008</v>
      </c>
      <c r="HE35" s="21">
        <v>9.1517700000000008</v>
      </c>
      <c r="HF35" s="21">
        <v>9.1517700000000008</v>
      </c>
      <c r="HG35" s="21">
        <v>9.1517700000000008</v>
      </c>
      <c r="HH35" s="21">
        <v>9.1517700000000008</v>
      </c>
      <c r="HI35" s="21">
        <v>9.1517700000000008</v>
      </c>
      <c r="HJ35" s="21">
        <v>9.1517700000000008</v>
      </c>
      <c r="HK35" s="21">
        <v>9.1517700000000008</v>
      </c>
      <c r="HL35" s="21">
        <v>9.1517700000000008</v>
      </c>
      <c r="HM35" s="21">
        <v>9.1517700000000008</v>
      </c>
      <c r="HN35" s="21">
        <v>9.1517700000000008</v>
      </c>
      <c r="HO35" s="21">
        <v>9.1517700000000008</v>
      </c>
      <c r="HP35" s="21">
        <v>9.1517700000000008</v>
      </c>
      <c r="HQ35" s="21">
        <v>9.1517700000000008</v>
      </c>
      <c r="HR35" s="21">
        <v>9.1517700000000008</v>
      </c>
      <c r="HS35" s="21">
        <v>9.1517700000000008</v>
      </c>
      <c r="HT35" s="21">
        <v>9.1517700000000008</v>
      </c>
      <c r="HU35" s="21">
        <v>9.1517700000000008</v>
      </c>
      <c r="HV35" s="21">
        <v>9.1517700000000008</v>
      </c>
      <c r="HW35" s="21">
        <v>9.1517700000000008</v>
      </c>
      <c r="HX35" s="21">
        <v>9.1517700000000008</v>
      </c>
      <c r="HY35" s="21">
        <v>9.1517700000000008</v>
      </c>
      <c r="HZ35" s="21">
        <v>9.1517700000000008</v>
      </c>
      <c r="IA35" s="21">
        <v>9.1517700000000008</v>
      </c>
      <c r="IB35" s="21">
        <v>9.1517700000000008</v>
      </c>
      <c r="IC35" s="21">
        <v>9.1517700000000008</v>
      </c>
      <c r="ID35" s="21">
        <v>9.1517700000000008</v>
      </c>
      <c r="IE35" s="21">
        <v>9.1517700000000008</v>
      </c>
      <c r="IF35" s="21">
        <v>9.1517700000000008</v>
      </c>
      <c r="IG35" s="21">
        <v>9.1517700000000008</v>
      </c>
      <c r="IH35" s="21">
        <v>9.1517700000000008</v>
      </c>
      <c r="II35" s="21">
        <v>9.1517700000000008</v>
      </c>
      <c r="IJ35" s="21">
        <v>9.1517700000000008</v>
      </c>
      <c r="IK35" s="21">
        <v>9.1517700000000008</v>
      </c>
      <c r="IL35" s="21">
        <v>9.1517700000000008</v>
      </c>
      <c r="IM35" s="21">
        <v>9.1517700000000008</v>
      </c>
      <c r="IN35" s="21">
        <v>9.1517700000000008</v>
      </c>
      <c r="IO35" s="21">
        <v>9.1517700000000008</v>
      </c>
      <c r="IP35" s="21">
        <v>9.1517700000000008</v>
      </c>
      <c r="IQ35" s="21">
        <v>9.1517700000000008</v>
      </c>
      <c r="IR35" s="21">
        <v>9.1517700000000008</v>
      </c>
      <c r="IS35" s="21">
        <v>9.1517700000000008</v>
      </c>
      <c r="IT35" s="21">
        <v>9.1517700000000008</v>
      </c>
      <c r="IU35" s="21">
        <v>9.1517700000000008</v>
      </c>
      <c r="IV35" s="21">
        <v>9.1517700000000008</v>
      </c>
      <c r="IW35" s="21">
        <v>9.1517700000000008</v>
      </c>
      <c r="IX35" s="21">
        <v>9.1517700000000008</v>
      </c>
      <c r="IY35" s="21">
        <v>9.1517700000000008</v>
      </c>
      <c r="IZ35" s="21">
        <v>9.1517700000000008</v>
      </c>
      <c r="JA35" s="21">
        <v>9.1517700000000008</v>
      </c>
      <c r="JB35" s="21">
        <v>9.1517700000000008</v>
      </c>
      <c r="JC35" s="21">
        <v>9.1517700000000008</v>
      </c>
      <c r="JD35" s="21">
        <v>9.1517700000000008</v>
      </c>
      <c r="JE35" s="21">
        <v>9.1517700000000008</v>
      </c>
      <c r="JF35" s="21">
        <v>9.1517700000000008</v>
      </c>
      <c r="JG35" s="21">
        <v>9.1517700000000008</v>
      </c>
      <c r="JH35" s="21">
        <v>9.1517700000000008</v>
      </c>
      <c r="JI35" s="21">
        <v>9.1517700000000008</v>
      </c>
      <c r="JJ35" s="21">
        <v>9.1517700000000008</v>
      </c>
      <c r="JK35" s="21">
        <v>9.1517700000000008</v>
      </c>
      <c r="JL35" s="21">
        <v>9.1517700000000008</v>
      </c>
      <c r="JM35" s="21">
        <v>9.1517700000000008</v>
      </c>
      <c r="JN35" s="21">
        <v>9.1517700000000008</v>
      </c>
      <c r="JO35" s="21">
        <v>9.1517700000000008</v>
      </c>
      <c r="JP35" s="21">
        <v>9.1517700000000008</v>
      </c>
      <c r="JQ35" s="21">
        <v>9.1517700000000008</v>
      </c>
      <c r="JR35" s="21">
        <v>9.1517700000000008</v>
      </c>
      <c r="JS35" s="21">
        <v>9.1517700000000008</v>
      </c>
      <c r="JT35" s="21">
        <v>9.1517700000000008</v>
      </c>
      <c r="JU35" s="21">
        <v>9.1517700000000008</v>
      </c>
      <c r="JV35" s="21">
        <v>9.1517700000000008</v>
      </c>
      <c r="JW35" s="21">
        <v>9.1517700000000008</v>
      </c>
      <c r="JX35" s="21">
        <v>9.1517700000000008</v>
      </c>
      <c r="JY35" s="21">
        <v>9.1517700000000008</v>
      </c>
      <c r="JZ35" s="21">
        <v>9.1517700000000008</v>
      </c>
      <c r="KA35" s="21">
        <v>9.1517700000000008</v>
      </c>
      <c r="KB35" s="21">
        <v>9.1517700000000008</v>
      </c>
      <c r="KC35" s="21">
        <v>9.1517700000000008</v>
      </c>
      <c r="KD35" s="21">
        <v>9.1517700000000008</v>
      </c>
      <c r="KE35" s="21">
        <v>9.1517700000000008</v>
      </c>
      <c r="KF35" s="21">
        <v>9.1517700000000008</v>
      </c>
      <c r="KG35" s="21">
        <v>9.1517700000000008</v>
      </c>
      <c r="KH35" s="21">
        <v>9.1517700000000008</v>
      </c>
      <c r="KI35" s="21">
        <v>9.1517700000000008</v>
      </c>
      <c r="KJ35" s="21">
        <v>9.1517700000000008</v>
      </c>
      <c r="KK35" s="21">
        <v>9.1517700000000008</v>
      </c>
      <c r="KL35" s="21">
        <v>9.1517700000000008</v>
      </c>
      <c r="KM35" s="21">
        <v>9.1517700000000008</v>
      </c>
      <c r="KN35" s="21">
        <v>9.1517700000000008</v>
      </c>
      <c r="KO35" s="21">
        <v>9.1517700000000008</v>
      </c>
      <c r="KP35" s="21">
        <v>9.1517700000000008</v>
      </c>
      <c r="KQ35" s="21">
        <v>9.1517700000000008</v>
      </c>
      <c r="KR35" s="21">
        <v>9.1517700000000008</v>
      </c>
      <c r="KS35" s="21">
        <v>9.1517700000000008</v>
      </c>
      <c r="KT35" s="21">
        <v>9.1517700000000008</v>
      </c>
      <c r="KU35" s="21">
        <v>9.1517700000000008</v>
      </c>
      <c r="KV35" s="21">
        <v>9.1517700000000008</v>
      </c>
      <c r="KW35" s="21">
        <v>9.1517700000000008</v>
      </c>
      <c r="KX35" s="21">
        <v>9.1517700000000008</v>
      </c>
      <c r="KY35" s="21">
        <v>9.1517700000000008</v>
      </c>
      <c r="KZ35" s="21">
        <v>9.1517700000000008</v>
      </c>
      <c r="LA35" s="21">
        <v>9.1517700000000008</v>
      </c>
      <c r="LB35" s="21">
        <v>9.1517700000000008</v>
      </c>
      <c r="LC35" s="21">
        <v>9.1517700000000008</v>
      </c>
      <c r="LD35" s="21">
        <v>9.1517700000000008</v>
      </c>
      <c r="LE35" s="21">
        <v>9.1517700000000008</v>
      </c>
      <c r="LF35" s="21">
        <v>9.1517700000000008</v>
      </c>
      <c r="LG35" s="21">
        <v>9.1517700000000008</v>
      </c>
      <c r="LH35" s="21">
        <v>9.1517700000000008</v>
      </c>
      <c r="LI35" s="21">
        <v>9.1517700000000008</v>
      </c>
      <c r="LJ35" s="21">
        <v>9.1517700000000008</v>
      </c>
      <c r="LK35" s="21">
        <v>9.1517700000000008</v>
      </c>
      <c r="LL35" s="21">
        <v>9.1517700000000008</v>
      </c>
      <c r="LM35" s="21">
        <v>9.1517700000000008</v>
      </c>
      <c r="LN35" s="21">
        <v>9.1517700000000008</v>
      </c>
      <c r="LO35" s="21">
        <v>9.1517700000000008</v>
      </c>
      <c r="LP35" s="21">
        <v>9.1517700000000008</v>
      </c>
      <c r="LQ35" s="21">
        <v>9.1517700000000008</v>
      </c>
      <c r="LR35" s="21">
        <v>9.1517700000000008</v>
      </c>
      <c r="LS35" s="21">
        <v>9.1517700000000008</v>
      </c>
      <c r="LT35" s="21">
        <v>9.1517700000000008</v>
      </c>
      <c r="LU35" s="21">
        <v>9.1517700000000008</v>
      </c>
      <c r="LV35" s="21">
        <v>9.1517700000000008</v>
      </c>
      <c r="LW35" s="21">
        <v>9.1517700000000008</v>
      </c>
      <c r="LX35" s="21">
        <v>9.1517700000000008</v>
      </c>
      <c r="LY35" s="21">
        <v>9.1517700000000008</v>
      </c>
      <c r="LZ35" s="21">
        <v>9.1517700000000008</v>
      </c>
      <c r="MA35" s="21">
        <v>9.1517700000000008</v>
      </c>
      <c r="MB35" s="21">
        <v>9.1517700000000008</v>
      </c>
      <c r="MC35" s="21">
        <v>9.1517700000000008</v>
      </c>
      <c r="MD35" s="21">
        <v>9.1517700000000008</v>
      </c>
      <c r="ME35" s="21">
        <v>9.1517700000000008</v>
      </c>
      <c r="MF35" s="21">
        <v>9.1517700000000008</v>
      </c>
      <c r="MG35" s="21">
        <v>9.1517700000000008</v>
      </c>
      <c r="MH35" s="21">
        <v>9.1517700000000008</v>
      </c>
      <c r="MI35" s="21">
        <v>9.1517700000000008</v>
      </c>
      <c r="MJ35" s="21">
        <v>9.1517700000000008</v>
      </c>
      <c r="MK35" s="21">
        <v>9.1517700000000008</v>
      </c>
      <c r="ML35" s="21">
        <v>9.1517700000000008</v>
      </c>
      <c r="MM35" s="21">
        <v>9.1517700000000008</v>
      </c>
      <c r="MN35" s="21">
        <v>9.1517700000000008</v>
      </c>
      <c r="MO35" s="21">
        <v>9.1517700000000008</v>
      </c>
      <c r="MP35" s="21">
        <v>9.1517700000000008</v>
      </c>
      <c r="MQ35" s="21">
        <v>9.1517700000000008</v>
      </c>
      <c r="MR35" s="21">
        <v>9.1517700000000008</v>
      </c>
      <c r="MS35" s="21">
        <v>9.1517700000000008</v>
      </c>
      <c r="MT35" s="21">
        <v>9.1517700000000008</v>
      </c>
      <c r="MU35" s="21">
        <v>9.1517700000000008</v>
      </c>
      <c r="MV35" s="21">
        <v>9.1517700000000008</v>
      </c>
      <c r="MW35" s="21">
        <v>9.1517700000000008</v>
      </c>
      <c r="MX35" s="21">
        <v>9.1517700000000008</v>
      </c>
      <c r="MY35" s="21">
        <v>9.1517700000000008</v>
      </c>
      <c r="MZ35" s="21">
        <v>9.1517700000000008</v>
      </c>
    </row>
    <row r="36" spans="1:364" x14ac:dyDescent="0.25">
      <c r="A36" s="7">
        <f t="shared" si="0"/>
        <v>34</v>
      </c>
      <c r="B36" s="16" t="str">
        <f>+Base!B34</f>
        <v>202402260085A033</v>
      </c>
      <c r="C36" s="75">
        <v>6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12.239100000000001</v>
      </c>
      <c r="L36" s="21">
        <v>12.239100000000001</v>
      </c>
      <c r="M36" s="21">
        <v>12.239100000000001</v>
      </c>
      <c r="N36" s="21">
        <v>12.239100000000001</v>
      </c>
      <c r="O36" s="21">
        <v>12.239100000000001</v>
      </c>
      <c r="P36" s="21">
        <v>12.239100000000001</v>
      </c>
      <c r="Q36" s="21">
        <v>12.239100000000001</v>
      </c>
      <c r="R36" s="21">
        <v>12.239100000000001</v>
      </c>
      <c r="S36" s="21">
        <v>12.239100000000001</v>
      </c>
      <c r="T36" s="21">
        <v>12.239100000000001</v>
      </c>
      <c r="U36" s="21">
        <v>12.239100000000001</v>
      </c>
      <c r="V36" s="21">
        <v>12.239100000000001</v>
      </c>
      <c r="W36" s="21">
        <v>12.239100000000001</v>
      </c>
      <c r="X36" s="21">
        <v>12.239100000000001</v>
      </c>
      <c r="Y36" s="21">
        <v>12.239100000000001</v>
      </c>
      <c r="Z36" s="21">
        <v>12.239100000000001</v>
      </c>
      <c r="AA36" s="21">
        <v>12.239100000000001</v>
      </c>
      <c r="AB36" s="21">
        <v>12.239100000000001</v>
      </c>
      <c r="AC36" s="21">
        <v>12.239100000000001</v>
      </c>
      <c r="AD36" s="21">
        <v>12.239100000000001</v>
      </c>
      <c r="AE36" s="21">
        <v>12.239100000000001</v>
      </c>
      <c r="AF36" s="21">
        <v>12.239100000000001</v>
      </c>
      <c r="AG36" s="21">
        <v>12.239100000000001</v>
      </c>
      <c r="AH36" s="21">
        <v>12.239100000000001</v>
      </c>
      <c r="AI36" s="21">
        <v>12.239100000000001</v>
      </c>
      <c r="AJ36" s="21">
        <v>12.239100000000001</v>
      </c>
      <c r="AK36" s="21">
        <v>12.239100000000001</v>
      </c>
      <c r="AL36" s="21">
        <v>12.239100000000001</v>
      </c>
      <c r="AM36" s="21">
        <v>12.239100000000001</v>
      </c>
      <c r="AN36" s="21">
        <v>12.239100000000001</v>
      </c>
      <c r="AO36" s="21">
        <v>12.239100000000001</v>
      </c>
      <c r="AP36" s="21">
        <v>12.239100000000001</v>
      </c>
      <c r="AQ36" s="21">
        <v>12.239100000000001</v>
      </c>
      <c r="AR36" s="21">
        <v>12.239100000000001</v>
      </c>
      <c r="AS36" s="21">
        <v>12.239100000000001</v>
      </c>
      <c r="AT36" s="21">
        <v>12.239100000000001</v>
      </c>
      <c r="AU36" s="21">
        <v>12.239100000000001</v>
      </c>
      <c r="AV36" s="21">
        <v>12.239100000000001</v>
      </c>
      <c r="AW36" s="21">
        <v>12.239100000000001</v>
      </c>
      <c r="AX36" s="21">
        <v>12.239100000000001</v>
      </c>
      <c r="AY36" s="21">
        <v>12.239100000000001</v>
      </c>
      <c r="AZ36" s="21">
        <v>12.239100000000001</v>
      </c>
      <c r="BA36" s="21">
        <v>12.239100000000001</v>
      </c>
      <c r="BB36" s="21">
        <v>12.239100000000001</v>
      </c>
      <c r="BC36" s="21">
        <v>12.239100000000001</v>
      </c>
      <c r="BD36" s="21">
        <v>12.239100000000001</v>
      </c>
      <c r="BE36" s="21">
        <v>12.239100000000001</v>
      </c>
      <c r="BF36" s="21">
        <v>12.239100000000001</v>
      </c>
      <c r="BG36" s="21">
        <v>12.239100000000001</v>
      </c>
      <c r="BH36" s="21">
        <v>12.239100000000001</v>
      </c>
      <c r="BI36" s="21">
        <v>12.239100000000001</v>
      </c>
      <c r="BJ36" s="21">
        <v>12.239100000000001</v>
      </c>
      <c r="BK36" s="21">
        <v>12.239100000000001</v>
      </c>
      <c r="BL36" s="21">
        <v>12.239100000000001</v>
      </c>
      <c r="BM36" s="21">
        <v>12.239100000000001</v>
      </c>
      <c r="BN36" s="21">
        <v>12.239100000000001</v>
      </c>
      <c r="BO36" s="21">
        <v>12.239100000000001</v>
      </c>
      <c r="BP36" s="21">
        <v>12.239100000000001</v>
      </c>
      <c r="BQ36" s="21">
        <v>12.239100000000001</v>
      </c>
      <c r="BR36" s="21">
        <v>12.239100000000001</v>
      </c>
      <c r="BS36" s="21">
        <v>12.239100000000001</v>
      </c>
      <c r="BT36" s="21">
        <v>12.239100000000001</v>
      </c>
      <c r="BU36" s="21">
        <v>12.239100000000001</v>
      </c>
      <c r="BV36" s="21">
        <v>12.239100000000001</v>
      </c>
      <c r="BW36" s="21">
        <v>12.239100000000001</v>
      </c>
      <c r="BX36" s="21">
        <v>12.239100000000001</v>
      </c>
      <c r="BY36" s="21">
        <v>12.239100000000001</v>
      </c>
      <c r="BZ36" s="21">
        <v>12.239100000000001</v>
      </c>
      <c r="CA36" s="21">
        <v>12.239100000000001</v>
      </c>
      <c r="CB36" s="21">
        <v>12.239100000000001</v>
      </c>
      <c r="CC36" s="21">
        <v>12.239100000000001</v>
      </c>
      <c r="CD36" s="21">
        <v>12.239100000000001</v>
      </c>
      <c r="CE36" s="21">
        <v>12.239100000000001</v>
      </c>
      <c r="CF36" s="21">
        <v>12.239100000000001</v>
      </c>
      <c r="CG36" s="21">
        <v>12.239100000000001</v>
      </c>
      <c r="CH36" s="21">
        <v>12.239100000000001</v>
      </c>
      <c r="CI36" s="21">
        <v>12.239100000000001</v>
      </c>
      <c r="CJ36" s="21">
        <v>12.239100000000001</v>
      </c>
      <c r="CK36" s="21">
        <v>12.239100000000001</v>
      </c>
      <c r="CL36" s="21">
        <v>12.239100000000001</v>
      </c>
      <c r="CM36" s="21">
        <v>12.239100000000001</v>
      </c>
      <c r="CN36" s="21">
        <v>12.239100000000001</v>
      </c>
      <c r="CO36" s="21">
        <v>12.239100000000001</v>
      </c>
      <c r="CP36" s="21">
        <v>12.239100000000001</v>
      </c>
      <c r="CQ36" s="21">
        <v>12.239100000000001</v>
      </c>
      <c r="CR36" s="21">
        <v>12.239100000000001</v>
      </c>
      <c r="CS36" s="21">
        <v>12.239100000000001</v>
      </c>
      <c r="CT36" s="21">
        <v>12.239100000000001</v>
      </c>
      <c r="CU36" s="21">
        <v>12.239100000000001</v>
      </c>
      <c r="CV36" s="21">
        <v>12.239100000000001</v>
      </c>
      <c r="CW36" s="21">
        <v>12.239100000000001</v>
      </c>
      <c r="CX36" s="21">
        <v>12.239100000000001</v>
      </c>
      <c r="CY36" s="21">
        <v>12.239100000000001</v>
      </c>
      <c r="CZ36" s="21">
        <v>12.239100000000001</v>
      </c>
      <c r="DA36" s="21">
        <v>12.239100000000001</v>
      </c>
      <c r="DB36" s="21">
        <v>12.239100000000001</v>
      </c>
      <c r="DC36" s="21">
        <v>12.239100000000001</v>
      </c>
      <c r="DD36" s="21">
        <v>12.239100000000001</v>
      </c>
      <c r="DE36" s="21">
        <v>12.239100000000001</v>
      </c>
      <c r="DF36" s="21">
        <v>12.239100000000001</v>
      </c>
      <c r="DG36" s="21">
        <v>12.239100000000001</v>
      </c>
      <c r="DH36" s="21">
        <v>12.239100000000001</v>
      </c>
      <c r="DI36" s="21">
        <v>12.239100000000001</v>
      </c>
      <c r="DJ36" s="21">
        <v>12.239100000000001</v>
      </c>
      <c r="DK36" s="21">
        <v>12.239100000000001</v>
      </c>
      <c r="DL36" s="21">
        <v>12.239100000000001</v>
      </c>
      <c r="DM36" s="21">
        <v>12.239100000000001</v>
      </c>
      <c r="DN36" s="21">
        <v>12.239100000000001</v>
      </c>
      <c r="DO36" s="21">
        <v>12.239100000000001</v>
      </c>
      <c r="DP36" s="21">
        <v>12.239100000000001</v>
      </c>
      <c r="DQ36" s="21">
        <v>12.239100000000001</v>
      </c>
      <c r="DR36" s="21">
        <v>12.239100000000001</v>
      </c>
      <c r="DS36" s="21">
        <v>12.239100000000001</v>
      </c>
      <c r="DT36" s="21">
        <v>12.239100000000001</v>
      </c>
      <c r="DU36" s="21">
        <v>12.239100000000001</v>
      </c>
      <c r="DV36" s="21">
        <v>12.239100000000001</v>
      </c>
      <c r="DW36" s="21">
        <v>12.239100000000001</v>
      </c>
      <c r="DX36" s="21">
        <v>12.239100000000001</v>
      </c>
      <c r="DY36" s="21">
        <v>12.239100000000001</v>
      </c>
      <c r="DZ36" s="21">
        <v>12.239100000000001</v>
      </c>
      <c r="EA36" s="21">
        <v>12.239100000000001</v>
      </c>
      <c r="EB36" s="21">
        <v>12.239100000000001</v>
      </c>
      <c r="EC36" s="21">
        <v>12.239100000000001</v>
      </c>
      <c r="ED36" s="21">
        <v>12.239100000000001</v>
      </c>
      <c r="EE36" s="21">
        <v>12.239100000000001</v>
      </c>
      <c r="EF36" s="21">
        <v>12.239100000000001</v>
      </c>
      <c r="EG36" s="21">
        <v>12.239100000000001</v>
      </c>
      <c r="EH36" s="21">
        <v>12.239100000000001</v>
      </c>
      <c r="EI36" s="21">
        <v>12.239100000000001</v>
      </c>
      <c r="EJ36" s="21">
        <v>12.239100000000001</v>
      </c>
      <c r="EK36" s="21">
        <v>12.239100000000001</v>
      </c>
      <c r="EL36" s="21">
        <v>12.239100000000001</v>
      </c>
      <c r="EM36" s="21">
        <v>12.239100000000001</v>
      </c>
      <c r="EN36" s="21">
        <v>12.239100000000001</v>
      </c>
      <c r="EO36" s="21">
        <v>12.239100000000001</v>
      </c>
      <c r="EP36" s="21">
        <v>12.239100000000001</v>
      </c>
      <c r="EQ36" s="21">
        <v>12.239100000000001</v>
      </c>
      <c r="ER36" s="21">
        <v>12.239100000000001</v>
      </c>
      <c r="ES36" s="21">
        <v>12.239100000000001</v>
      </c>
      <c r="ET36" s="21">
        <v>12.239100000000001</v>
      </c>
      <c r="EU36" s="21">
        <v>12.239100000000001</v>
      </c>
      <c r="EV36" s="21">
        <v>12.239100000000001</v>
      </c>
      <c r="EW36" s="21">
        <v>12.239100000000001</v>
      </c>
      <c r="EX36" s="21">
        <v>12.239100000000001</v>
      </c>
      <c r="EY36" s="21">
        <v>12.239100000000001</v>
      </c>
      <c r="EZ36" s="21">
        <v>12.239100000000001</v>
      </c>
      <c r="FA36" s="21">
        <v>12.239100000000001</v>
      </c>
      <c r="FB36" s="21">
        <v>12.239100000000001</v>
      </c>
      <c r="FC36" s="21">
        <v>12.239100000000001</v>
      </c>
      <c r="FD36" s="21">
        <v>12.239100000000001</v>
      </c>
      <c r="FE36" s="21">
        <v>12.239100000000001</v>
      </c>
      <c r="FF36" s="21">
        <v>12.239100000000001</v>
      </c>
      <c r="FG36" s="21">
        <v>12.239100000000001</v>
      </c>
      <c r="FH36" s="21">
        <v>12.239100000000001</v>
      </c>
      <c r="FI36" s="21">
        <v>12.239100000000001</v>
      </c>
      <c r="FJ36" s="21">
        <v>12.239100000000001</v>
      </c>
      <c r="FK36" s="21">
        <v>12.239100000000001</v>
      </c>
      <c r="FL36" s="21">
        <v>12.239100000000001</v>
      </c>
      <c r="FM36" s="21">
        <v>12.239100000000001</v>
      </c>
      <c r="FN36" s="21">
        <v>12.239100000000001</v>
      </c>
      <c r="FO36" s="21">
        <v>12.239100000000001</v>
      </c>
      <c r="FP36" s="21">
        <v>12.239100000000001</v>
      </c>
      <c r="FQ36" s="21">
        <v>12.239100000000001</v>
      </c>
      <c r="FR36" s="21">
        <v>12.239100000000001</v>
      </c>
      <c r="FS36" s="21">
        <v>12.239100000000001</v>
      </c>
      <c r="FT36" s="21">
        <v>12.239100000000001</v>
      </c>
      <c r="FU36" s="21">
        <v>12.239100000000001</v>
      </c>
      <c r="FV36" s="21">
        <v>12.239100000000001</v>
      </c>
      <c r="FW36" s="21">
        <v>12.239100000000001</v>
      </c>
      <c r="FX36" s="21">
        <v>12.239100000000001</v>
      </c>
      <c r="FY36" s="21">
        <v>12.239100000000001</v>
      </c>
      <c r="FZ36" s="21">
        <v>12.239100000000001</v>
      </c>
      <c r="GA36" s="21">
        <v>12.239100000000001</v>
      </c>
      <c r="GB36" s="21">
        <v>12.239100000000001</v>
      </c>
      <c r="GC36" s="21">
        <v>12.239100000000001</v>
      </c>
      <c r="GD36" s="21">
        <v>12.239100000000001</v>
      </c>
      <c r="GE36" s="21">
        <v>12.239100000000001</v>
      </c>
      <c r="GF36" s="21">
        <v>12.239100000000001</v>
      </c>
      <c r="GG36" s="21">
        <v>12.239100000000001</v>
      </c>
      <c r="GH36" s="21">
        <v>12.239100000000001</v>
      </c>
      <c r="GI36" s="21">
        <v>12.239100000000001</v>
      </c>
      <c r="GJ36" s="21">
        <v>12.239100000000001</v>
      </c>
      <c r="GK36" s="21">
        <v>12.239100000000001</v>
      </c>
      <c r="GL36" s="21">
        <v>12.239100000000001</v>
      </c>
      <c r="GM36" s="21">
        <v>12.239100000000001</v>
      </c>
      <c r="GN36" s="21">
        <v>12.239100000000001</v>
      </c>
      <c r="GO36" s="21">
        <v>12.239100000000001</v>
      </c>
      <c r="GP36" s="21">
        <v>12.239100000000001</v>
      </c>
      <c r="GQ36" s="21">
        <v>12.239100000000001</v>
      </c>
      <c r="GR36" s="21">
        <v>12.239100000000001</v>
      </c>
      <c r="GS36" s="21">
        <v>12.239100000000001</v>
      </c>
      <c r="GT36" s="21">
        <v>12.239100000000001</v>
      </c>
      <c r="GU36" s="21">
        <v>12.239100000000001</v>
      </c>
      <c r="GV36" s="21">
        <v>12.239100000000001</v>
      </c>
      <c r="GW36" s="21">
        <v>12.239100000000001</v>
      </c>
      <c r="GX36" s="21">
        <v>12.239100000000001</v>
      </c>
      <c r="GY36" s="21">
        <v>12.239100000000001</v>
      </c>
      <c r="GZ36" s="21">
        <v>12.239100000000001</v>
      </c>
      <c r="HA36" s="21">
        <v>12.239100000000001</v>
      </c>
      <c r="HB36" s="21">
        <v>12.239100000000001</v>
      </c>
      <c r="HC36" s="21">
        <v>12.239100000000001</v>
      </c>
      <c r="HD36" s="21">
        <v>12.239100000000001</v>
      </c>
      <c r="HE36" s="21">
        <v>12.239100000000001</v>
      </c>
      <c r="HF36" s="21">
        <v>12.239100000000001</v>
      </c>
      <c r="HG36" s="21">
        <v>12.239100000000001</v>
      </c>
      <c r="HH36" s="21">
        <v>12.239100000000001</v>
      </c>
      <c r="HI36" s="21">
        <v>12.239100000000001</v>
      </c>
      <c r="HJ36" s="21">
        <v>12.239100000000001</v>
      </c>
      <c r="HK36" s="21">
        <v>12.239100000000001</v>
      </c>
      <c r="HL36" s="21">
        <v>12.239100000000001</v>
      </c>
      <c r="HM36" s="21">
        <v>12.239100000000001</v>
      </c>
      <c r="HN36" s="21">
        <v>12.239100000000001</v>
      </c>
      <c r="HO36" s="21">
        <v>12.239100000000001</v>
      </c>
      <c r="HP36" s="21">
        <v>12.239100000000001</v>
      </c>
      <c r="HQ36" s="21">
        <v>12.239100000000001</v>
      </c>
      <c r="HR36" s="21">
        <v>12.239100000000001</v>
      </c>
      <c r="HS36" s="21">
        <v>12.239100000000001</v>
      </c>
      <c r="HT36" s="21">
        <v>12.239100000000001</v>
      </c>
      <c r="HU36" s="21">
        <v>12.239100000000001</v>
      </c>
      <c r="HV36" s="21">
        <v>12.239100000000001</v>
      </c>
      <c r="HW36" s="21">
        <v>12.239100000000001</v>
      </c>
      <c r="HX36" s="21">
        <v>12.239100000000001</v>
      </c>
      <c r="HY36" s="21">
        <v>12.239100000000001</v>
      </c>
      <c r="HZ36" s="21">
        <v>12.239100000000001</v>
      </c>
      <c r="IA36" s="21">
        <v>12.239100000000001</v>
      </c>
      <c r="IB36" s="21">
        <v>12.239100000000001</v>
      </c>
      <c r="IC36" s="21">
        <v>12.239100000000001</v>
      </c>
      <c r="ID36" s="21">
        <v>12.239100000000001</v>
      </c>
      <c r="IE36" s="21">
        <v>12.239100000000001</v>
      </c>
      <c r="IF36" s="21">
        <v>12.239100000000001</v>
      </c>
      <c r="IG36" s="21">
        <v>12.239100000000001</v>
      </c>
      <c r="IH36" s="21">
        <v>12.239100000000001</v>
      </c>
      <c r="II36" s="21">
        <v>12.239100000000001</v>
      </c>
      <c r="IJ36" s="21">
        <v>12.239100000000001</v>
      </c>
      <c r="IK36" s="21">
        <v>12.239100000000001</v>
      </c>
      <c r="IL36" s="21">
        <v>12.239100000000001</v>
      </c>
      <c r="IM36" s="21">
        <v>12.239100000000001</v>
      </c>
      <c r="IN36" s="21">
        <v>12.239100000000001</v>
      </c>
      <c r="IO36" s="21">
        <v>12.239100000000001</v>
      </c>
      <c r="IP36" s="21">
        <v>12.239100000000001</v>
      </c>
      <c r="IQ36" s="21">
        <v>12.239100000000001</v>
      </c>
      <c r="IR36" s="21">
        <v>12.239100000000001</v>
      </c>
      <c r="IS36" s="21">
        <v>12.239100000000001</v>
      </c>
      <c r="IT36" s="21">
        <v>12.239100000000001</v>
      </c>
      <c r="IU36" s="21">
        <v>12.239100000000001</v>
      </c>
      <c r="IV36" s="21">
        <v>12.239100000000001</v>
      </c>
      <c r="IW36" s="21">
        <v>12.239100000000001</v>
      </c>
      <c r="IX36" s="21">
        <v>12.239100000000001</v>
      </c>
      <c r="IY36" s="21">
        <v>12.239100000000001</v>
      </c>
      <c r="IZ36" s="21">
        <v>12.239100000000001</v>
      </c>
      <c r="JA36" s="21">
        <v>12.239100000000001</v>
      </c>
      <c r="JB36" s="21">
        <v>12.239100000000001</v>
      </c>
      <c r="JC36" s="21">
        <v>12.239100000000001</v>
      </c>
      <c r="JD36" s="21">
        <v>12.239100000000001</v>
      </c>
      <c r="JE36" s="21">
        <v>12.239100000000001</v>
      </c>
      <c r="JF36" s="21">
        <v>12.239100000000001</v>
      </c>
      <c r="JG36" s="21">
        <v>12.239100000000001</v>
      </c>
      <c r="JH36" s="21">
        <v>12.239100000000001</v>
      </c>
      <c r="JI36" s="21">
        <v>12.239100000000001</v>
      </c>
      <c r="JJ36" s="21">
        <v>12.239100000000001</v>
      </c>
      <c r="JK36" s="21">
        <v>12.239100000000001</v>
      </c>
      <c r="JL36" s="21">
        <v>12.239100000000001</v>
      </c>
      <c r="JM36" s="21">
        <v>12.239100000000001</v>
      </c>
      <c r="JN36" s="21">
        <v>12.239100000000001</v>
      </c>
      <c r="JO36" s="21">
        <v>12.239100000000001</v>
      </c>
      <c r="JP36" s="21">
        <v>12.239100000000001</v>
      </c>
      <c r="JQ36" s="21">
        <v>12.239100000000001</v>
      </c>
      <c r="JR36" s="21">
        <v>12.239100000000001</v>
      </c>
      <c r="JS36" s="21">
        <v>12.239100000000001</v>
      </c>
      <c r="JT36" s="21">
        <v>12.239100000000001</v>
      </c>
      <c r="JU36" s="21">
        <v>12.239100000000001</v>
      </c>
      <c r="JV36" s="21">
        <v>12.239100000000001</v>
      </c>
      <c r="JW36" s="21">
        <v>12.239100000000001</v>
      </c>
      <c r="JX36" s="21">
        <v>12.239100000000001</v>
      </c>
      <c r="JY36" s="21">
        <v>12.239100000000001</v>
      </c>
      <c r="JZ36" s="21">
        <v>12.239100000000001</v>
      </c>
      <c r="KA36" s="21">
        <v>12.239100000000001</v>
      </c>
      <c r="KB36" s="21">
        <v>12.239100000000001</v>
      </c>
      <c r="KC36" s="21">
        <v>12.239100000000001</v>
      </c>
      <c r="KD36" s="21">
        <v>12.239100000000001</v>
      </c>
      <c r="KE36" s="21">
        <v>12.239100000000001</v>
      </c>
      <c r="KF36" s="21">
        <v>12.239100000000001</v>
      </c>
      <c r="KG36" s="21">
        <v>12.239100000000001</v>
      </c>
      <c r="KH36" s="21">
        <v>12.239100000000001</v>
      </c>
      <c r="KI36" s="21">
        <v>12.239100000000001</v>
      </c>
      <c r="KJ36" s="21">
        <v>12.239100000000001</v>
      </c>
      <c r="KK36" s="21">
        <v>12.239100000000001</v>
      </c>
      <c r="KL36" s="21">
        <v>12.239100000000001</v>
      </c>
      <c r="KM36" s="21">
        <v>12.239100000000001</v>
      </c>
      <c r="KN36" s="21">
        <v>12.239100000000001</v>
      </c>
      <c r="KO36" s="21">
        <v>12.239100000000001</v>
      </c>
      <c r="KP36" s="21">
        <v>12.239100000000001</v>
      </c>
      <c r="KQ36" s="21">
        <v>12.239100000000001</v>
      </c>
      <c r="KR36" s="21">
        <v>12.239100000000001</v>
      </c>
      <c r="KS36" s="21">
        <v>12.334680000000001</v>
      </c>
      <c r="KT36" s="21">
        <v>0</v>
      </c>
      <c r="KU36" s="21">
        <v>0</v>
      </c>
      <c r="KV36" s="21">
        <v>0</v>
      </c>
      <c r="KW36" s="21">
        <v>0</v>
      </c>
      <c r="KX36" s="21">
        <v>0</v>
      </c>
      <c r="KY36" s="21">
        <v>0</v>
      </c>
      <c r="KZ36" s="21">
        <v>0</v>
      </c>
      <c r="LA36" s="21">
        <v>0</v>
      </c>
      <c r="LB36" s="21">
        <v>0</v>
      </c>
      <c r="LC36" s="21">
        <v>0</v>
      </c>
      <c r="LD36" s="21">
        <v>0</v>
      </c>
      <c r="LE36" s="21">
        <v>0</v>
      </c>
      <c r="LF36" s="21">
        <v>0</v>
      </c>
      <c r="LG36" s="21">
        <v>0</v>
      </c>
      <c r="LH36" s="21">
        <v>0</v>
      </c>
      <c r="LI36" s="21">
        <v>0</v>
      </c>
      <c r="LJ36" s="21">
        <v>0</v>
      </c>
      <c r="LK36" s="21">
        <v>0</v>
      </c>
      <c r="LL36" s="21">
        <v>0</v>
      </c>
      <c r="LM36" s="21">
        <v>0</v>
      </c>
      <c r="LN36" s="21">
        <v>0</v>
      </c>
      <c r="LO36" s="21">
        <v>0</v>
      </c>
      <c r="LP36" s="21">
        <v>0</v>
      </c>
      <c r="LQ36" s="21">
        <v>0</v>
      </c>
      <c r="LR36" s="21">
        <v>0</v>
      </c>
      <c r="LS36" s="21">
        <v>0</v>
      </c>
      <c r="LT36" s="21">
        <v>0</v>
      </c>
      <c r="LU36" s="21">
        <v>0</v>
      </c>
      <c r="LV36" s="21">
        <v>0</v>
      </c>
      <c r="LW36" s="21">
        <v>0</v>
      </c>
      <c r="LX36" s="21">
        <v>0</v>
      </c>
      <c r="LY36" s="21">
        <v>0</v>
      </c>
      <c r="LZ36" s="21">
        <v>0</v>
      </c>
      <c r="MA36" s="21">
        <v>0</v>
      </c>
      <c r="MB36" s="21">
        <v>0</v>
      </c>
      <c r="MC36" s="21">
        <v>0</v>
      </c>
      <c r="MD36" s="21">
        <v>0</v>
      </c>
      <c r="ME36" s="21">
        <v>0</v>
      </c>
      <c r="MF36" s="21">
        <v>0</v>
      </c>
      <c r="MG36" s="21">
        <v>0</v>
      </c>
      <c r="MH36" s="21">
        <v>0</v>
      </c>
      <c r="MI36" s="21">
        <v>0</v>
      </c>
      <c r="MJ36" s="21">
        <v>0</v>
      </c>
      <c r="MK36" s="21">
        <v>0</v>
      </c>
      <c r="ML36" s="21">
        <v>0</v>
      </c>
      <c r="MM36" s="21">
        <v>0</v>
      </c>
      <c r="MN36" s="21">
        <v>0</v>
      </c>
      <c r="MO36" s="21">
        <v>0</v>
      </c>
      <c r="MP36" s="21">
        <v>0</v>
      </c>
      <c r="MQ36" s="21">
        <v>0</v>
      </c>
      <c r="MR36" s="21">
        <v>0</v>
      </c>
      <c r="MS36" s="21">
        <v>0</v>
      </c>
      <c r="MT36" s="21">
        <v>0</v>
      </c>
      <c r="MU36" s="21">
        <v>0</v>
      </c>
      <c r="MV36" s="21">
        <v>0</v>
      </c>
      <c r="MW36" s="21">
        <v>0</v>
      </c>
      <c r="MX36" s="21">
        <v>0</v>
      </c>
      <c r="MY36" s="21">
        <v>0</v>
      </c>
      <c r="MZ36" s="21">
        <v>0</v>
      </c>
    </row>
    <row r="37" spans="1:364" x14ac:dyDescent="0.25">
      <c r="A37" s="7">
        <f t="shared" si="0"/>
        <v>35</v>
      </c>
      <c r="B37" s="16" t="str">
        <f>+Base!B35</f>
        <v>202402260086A033</v>
      </c>
      <c r="C37" s="75">
        <v>6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12.249840000000001</v>
      </c>
      <c r="L37" s="21">
        <v>12.249840000000001</v>
      </c>
      <c r="M37" s="21">
        <v>12.249840000000001</v>
      </c>
      <c r="N37" s="21">
        <v>12.249840000000001</v>
      </c>
      <c r="O37" s="21">
        <v>12.249840000000001</v>
      </c>
      <c r="P37" s="21">
        <v>12.249840000000001</v>
      </c>
      <c r="Q37" s="21">
        <v>12.249840000000001</v>
      </c>
      <c r="R37" s="21">
        <v>12.249840000000001</v>
      </c>
      <c r="S37" s="21">
        <v>12.249840000000001</v>
      </c>
      <c r="T37" s="21">
        <v>12.249840000000001</v>
      </c>
      <c r="U37" s="21">
        <v>12.249840000000001</v>
      </c>
      <c r="V37" s="21">
        <v>12.249840000000001</v>
      </c>
      <c r="W37" s="21">
        <v>12.249840000000001</v>
      </c>
      <c r="X37" s="21">
        <v>12.249840000000001</v>
      </c>
      <c r="Y37" s="21">
        <v>12.249840000000001</v>
      </c>
      <c r="Z37" s="21">
        <v>12.249840000000001</v>
      </c>
      <c r="AA37" s="21">
        <v>12.249840000000001</v>
      </c>
      <c r="AB37" s="21">
        <v>12.249840000000001</v>
      </c>
      <c r="AC37" s="21">
        <v>12.249840000000001</v>
      </c>
      <c r="AD37" s="21">
        <v>12.249840000000001</v>
      </c>
      <c r="AE37" s="21">
        <v>12.249840000000001</v>
      </c>
      <c r="AF37" s="21">
        <v>12.249840000000001</v>
      </c>
      <c r="AG37" s="21">
        <v>12.249840000000001</v>
      </c>
      <c r="AH37" s="21">
        <v>12.249840000000001</v>
      </c>
      <c r="AI37" s="21">
        <v>12.249840000000001</v>
      </c>
      <c r="AJ37" s="21">
        <v>12.249840000000001</v>
      </c>
      <c r="AK37" s="21">
        <v>12.249840000000001</v>
      </c>
      <c r="AL37" s="21">
        <v>12.249840000000001</v>
      </c>
      <c r="AM37" s="21">
        <v>12.249840000000001</v>
      </c>
      <c r="AN37" s="21">
        <v>12.249840000000001</v>
      </c>
      <c r="AO37" s="21">
        <v>12.249840000000001</v>
      </c>
      <c r="AP37" s="21">
        <v>12.249840000000001</v>
      </c>
      <c r="AQ37" s="21">
        <v>12.249840000000001</v>
      </c>
      <c r="AR37" s="21">
        <v>12.249840000000001</v>
      </c>
      <c r="AS37" s="21">
        <v>12.249840000000001</v>
      </c>
      <c r="AT37" s="21">
        <v>12.249840000000001</v>
      </c>
      <c r="AU37" s="21">
        <v>12.249840000000001</v>
      </c>
      <c r="AV37" s="21">
        <v>12.249840000000001</v>
      </c>
      <c r="AW37" s="21">
        <v>12.249840000000001</v>
      </c>
      <c r="AX37" s="21">
        <v>12.249840000000001</v>
      </c>
      <c r="AY37" s="21">
        <v>12.249840000000001</v>
      </c>
      <c r="AZ37" s="21">
        <v>12.249840000000001</v>
      </c>
      <c r="BA37" s="21">
        <v>12.249840000000001</v>
      </c>
      <c r="BB37" s="21">
        <v>12.249840000000001</v>
      </c>
      <c r="BC37" s="21">
        <v>12.249840000000001</v>
      </c>
      <c r="BD37" s="21">
        <v>12.249840000000001</v>
      </c>
      <c r="BE37" s="21">
        <v>12.249840000000001</v>
      </c>
      <c r="BF37" s="21">
        <v>12.249840000000001</v>
      </c>
      <c r="BG37" s="21">
        <v>12.249840000000001</v>
      </c>
      <c r="BH37" s="21">
        <v>12.249840000000001</v>
      </c>
      <c r="BI37" s="21">
        <v>12.249840000000001</v>
      </c>
      <c r="BJ37" s="21">
        <v>12.249840000000001</v>
      </c>
      <c r="BK37" s="21">
        <v>12.249840000000001</v>
      </c>
      <c r="BL37" s="21">
        <v>12.249840000000001</v>
      </c>
      <c r="BM37" s="21">
        <v>12.249840000000001</v>
      </c>
      <c r="BN37" s="21">
        <v>12.249840000000001</v>
      </c>
      <c r="BO37" s="21">
        <v>12.249840000000001</v>
      </c>
      <c r="BP37" s="21">
        <v>12.249840000000001</v>
      </c>
      <c r="BQ37" s="21">
        <v>12.249840000000001</v>
      </c>
      <c r="BR37" s="21">
        <v>12.249840000000001</v>
      </c>
      <c r="BS37" s="21">
        <v>12.249840000000001</v>
      </c>
      <c r="BT37" s="21">
        <v>12.249840000000001</v>
      </c>
      <c r="BU37" s="21">
        <v>12.249840000000001</v>
      </c>
      <c r="BV37" s="21">
        <v>12.249840000000001</v>
      </c>
      <c r="BW37" s="21">
        <v>12.249840000000001</v>
      </c>
      <c r="BX37" s="21">
        <v>12.249840000000001</v>
      </c>
      <c r="BY37" s="21">
        <v>12.249840000000001</v>
      </c>
      <c r="BZ37" s="21">
        <v>12.249840000000001</v>
      </c>
      <c r="CA37" s="21">
        <v>12.249840000000001</v>
      </c>
      <c r="CB37" s="21">
        <v>12.249840000000001</v>
      </c>
      <c r="CC37" s="21">
        <v>12.249840000000001</v>
      </c>
      <c r="CD37" s="21">
        <v>12.249840000000001</v>
      </c>
      <c r="CE37" s="21">
        <v>12.249840000000001</v>
      </c>
      <c r="CF37" s="21">
        <v>12.249840000000001</v>
      </c>
      <c r="CG37" s="21">
        <v>12.249840000000001</v>
      </c>
      <c r="CH37" s="21">
        <v>12.249840000000001</v>
      </c>
      <c r="CI37" s="21">
        <v>12.249840000000001</v>
      </c>
      <c r="CJ37" s="21">
        <v>12.249840000000001</v>
      </c>
      <c r="CK37" s="21">
        <v>12.249840000000001</v>
      </c>
      <c r="CL37" s="21">
        <v>12.249840000000001</v>
      </c>
      <c r="CM37" s="21">
        <v>12.249840000000001</v>
      </c>
      <c r="CN37" s="21">
        <v>12.249840000000001</v>
      </c>
      <c r="CO37" s="21">
        <v>12.249840000000001</v>
      </c>
      <c r="CP37" s="21">
        <v>12.249840000000001</v>
      </c>
      <c r="CQ37" s="21">
        <v>12.249840000000001</v>
      </c>
      <c r="CR37" s="21">
        <v>12.249840000000001</v>
      </c>
      <c r="CS37" s="21">
        <v>12.249840000000001</v>
      </c>
      <c r="CT37" s="21">
        <v>12.249840000000001</v>
      </c>
      <c r="CU37" s="21">
        <v>12.249840000000001</v>
      </c>
      <c r="CV37" s="21">
        <v>12.249840000000001</v>
      </c>
      <c r="CW37" s="21">
        <v>12.249840000000001</v>
      </c>
      <c r="CX37" s="21">
        <v>12.249840000000001</v>
      </c>
      <c r="CY37" s="21">
        <v>12.249840000000001</v>
      </c>
      <c r="CZ37" s="21">
        <v>12.249840000000001</v>
      </c>
      <c r="DA37" s="21">
        <v>12.249840000000001</v>
      </c>
      <c r="DB37" s="21">
        <v>12.249840000000001</v>
      </c>
      <c r="DC37" s="21">
        <v>12.249840000000001</v>
      </c>
      <c r="DD37" s="21">
        <v>12.249840000000001</v>
      </c>
      <c r="DE37" s="21">
        <v>12.249840000000001</v>
      </c>
      <c r="DF37" s="21">
        <v>12.249840000000001</v>
      </c>
      <c r="DG37" s="21">
        <v>12.249840000000001</v>
      </c>
      <c r="DH37" s="21">
        <v>12.249840000000001</v>
      </c>
      <c r="DI37" s="21">
        <v>12.249840000000001</v>
      </c>
      <c r="DJ37" s="21">
        <v>12.249840000000001</v>
      </c>
      <c r="DK37" s="21">
        <v>12.249840000000001</v>
      </c>
      <c r="DL37" s="21">
        <v>12.249840000000001</v>
      </c>
      <c r="DM37" s="21">
        <v>12.249840000000001</v>
      </c>
      <c r="DN37" s="21">
        <v>12.249840000000001</v>
      </c>
      <c r="DO37" s="21">
        <v>12.249840000000001</v>
      </c>
      <c r="DP37" s="21">
        <v>12.249840000000001</v>
      </c>
      <c r="DQ37" s="21">
        <v>12.249840000000001</v>
      </c>
      <c r="DR37" s="21">
        <v>12.249840000000001</v>
      </c>
      <c r="DS37" s="21">
        <v>12.249840000000001</v>
      </c>
      <c r="DT37" s="21">
        <v>12.249840000000001</v>
      </c>
      <c r="DU37" s="21">
        <v>12.249840000000001</v>
      </c>
      <c r="DV37" s="21">
        <v>12.249840000000001</v>
      </c>
      <c r="DW37" s="21">
        <v>12.249840000000001</v>
      </c>
      <c r="DX37" s="21">
        <v>12.249840000000001</v>
      </c>
      <c r="DY37" s="21">
        <v>12.249840000000001</v>
      </c>
      <c r="DZ37" s="21">
        <v>12.249840000000001</v>
      </c>
      <c r="EA37" s="21">
        <v>12.249840000000001</v>
      </c>
      <c r="EB37" s="21">
        <v>12.249840000000001</v>
      </c>
      <c r="EC37" s="21">
        <v>12.249840000000001</v>
      </c>
      <c r="ED37" s="21">
        <v>12.249840000000001</v>
      </c>
      <c r="EE37" s="21">
        <v>12.249840000000001</v>
      </c>
      <c r="EF37" s="21">
        <v>12.249840000000001</v>
      </c>
      <c r="EG37" s="21">
        <v>12.249840000000001</v>
      </c>
      <c r="EH37" s="21">
        <v>12.249840000000001</v>
      </c>
      <c r="EI37" s="21">
        <v>12.249840000000001</v>
      </c>
      <c r="EJ37" s="21">
        <v>12.249840000000001</v>
      </c>
      <c r="EK37" s="21">
        <v>12.249840000000001</v>
      </c>
      <c r="EL37" s="21">
        <v>12.249840000000001</v>
      </c>
      <c r="EM37" s="21">
        <v>12.249840000000001</v>
      </c>
      <c r="EN37" s="21">
        <v>12.249840000000001</v>
      </c>
      <c r="EO37" s="21">
        <v>12.249840000000001</v>
      </c>
      <c r="EP37" s="21">
        <v>12.249840000000001</v>
      </c>
      <c r="EQ37" s="21">
        <v>12.249840000000001</v>
      </c>
      <c r="ER37" s="21">
        <v>12.249840000000001</v>
      </c>
      <c r="ES37" s="21">
        <v>12.249840000000001</v>
      </c>
      <c r="ET37" s="21">
        <v>12.249840000000001</v>
      </c>
      <c r="EU37" s="21">
        <v>12.249840000000001</v>
      </c>
      <c r="EV37" s="21">
        <v>12.249840000000001</v>
      </c>
      <c r="EW37" s="21">
        <v>12.249840000000001</v>
      </c>
      <c r="EX37" s="21">
        <v>12.249840000000001</v>
      </c>
      <c r="EY37" s="21">
        <v>12.249840000000001</v>
      </c>
      <c r="EZ37" s="21">
        <v>12.249840000000001</v>
      </c>
      <c r="FA37" s="21">
        <v>12.249840000000001</v>
      </c>
      <c r="FB37" s="21">
        <v>12.249840000000001</v>
      </c>
      <c r="FC37" s="21">
        <v>12.249840000000001</v>
      </c>
      <c r="FD37" s="21">
        <v>12.249840000000001</v>
      </c>
      <c r="FE37" s="21">
        <v>12.249840000000001</v>
      </c>
      <c r="FF37" s="21">
        <v>12.249840000000001</v>
      </c>
      <c r="FG37" s="21">
        <v>12.249840000000001</v>
      </c>
      <c r="FH37" s="21">
        <v>12.249840000000001</v>
      </c>
      <c r="FI37" s="21">
        <v>12.249840000000001</v>
      </c>
      <c r="FJ37" s="21">
        <v>12.249840000000001</v>
      </c>
      <c r="FK37" s="21">
        <v>12.249840000000001</v>
      </c>
      <c r="FL37" s="21">
        <v>12.249840000000001</v>
      </c>
      <c r="FM37" s="21">
        <v>12.249840000000001</v>
      </c>
      <c r="FN37" s="21">
        <v>12.249840000000001</v>
      </c>
      <c r="FO37" s="21">
        <v>12.249840000000001</v>
      </c>
      <c r="FP37" s="21">
        <v>12.249840000000001</v>
      </c>
      <c r="FQ37" s="21">
        <v>12.249840000000001</v>
      </c>
      <c r="FR37" s="21">
        <v>12.249840000000001</v>
      </c>
      <c r="FS37" s="21">
        <v>12.249840000000001</v>
      </c>
      <c r="FT37" s="21">
        <v>12.249840000000001</v>
      </c>
      <c r="FU37" s="21">
        <v>12.249840000000001</v>
      </c>
      <c r="FV37" s="21">
        <v>12.249840000000001</v>
      </c>
      <c r="FW37" s="21">
        <v>12.249840000000001</v>
      </c>
      <c r="FX37" s="21">
        <v>12.249840000000001</v>
      </c>
      <c r="FY37" s="21">
        <v>12.249840000000001</v>
      </c>
      <c r="FZ37" s="21">
        <v>12.249840000000001</v>
      </c>
      <c r="GA37" s="21">
        <v>12.249840000000001</v>
      </c>
      <c r="GB37" s="21">
        <v>12.249840000000001</v>
      </c>
      <c r="GC37" s="21">
        <v>12.249840000000001</v>
      </c>
      <c r="GD37" s="21">
        <v>12.249840000000001</v>
      </c>
      <c r="GE37" s="21">
        <v>12.249840000000001</v>
      </c>
      <c r="GF37" s="21">
        <v>12.249840000000001</v>
      </c>
      <c r="GG37" s="21">
        <v>12.249840000000001</v>
      </c>
      <c r="GH37" s="21">
        <v>12.249840000000001</v>
      </c>
      <c r="GI37" s="21">
        <v>12.249840000000001</v>
      </c>
      <c r="GJ37" s="21">
        <v>12.249840000000001</v>
      </c>
      <c r="GK37" s="21">
        <v>12.249840000000001</v>
      </c>
      <c r="GL37" s="21">
        <v>12.249840000000001</v>
      </c>
      <c r="GM37" s="21">
        <v>12.249840000000001</v>
      </c>
      <c r="GN37" s="21">
        <v>12.249840000000001</v>
      </c>
      <c r="GO37" s="21">
        <v>12.249840000000001</v>
      </c>
      <c r="GP37" s="21">
        <v>12.249840000000001</v>
      </c>
      <c r="GQ37" s="21">
        <v>12.249840000000001</v>
      </c>
      <c r="GR37" s="21">
        <v>12.249840000000001</v>
      </c>
      <c r="GS37" s="21">
        <v>12.249840000000001</v>
      </c>
      <c r="GT37" s="21">
        <v>12.249840000000001</v>
      </c>
      <c r="GU37" s="21">
        <v>12.249840000000001</v>
      </c>
      <c r="GV37" s="21">
        <v>12.249840000000001</v>
      </c>
      <c r="GW37" s="21">
        <v>12.249840000000001</v>
      </c>
      <c r="GX37" s="21">
        <v>12.249840000000001</v>
      </c>
      <c r="GY37" s="21">
        <v>12.249840000000001</v>
      </c>
      <c r="GZ37" s="21">
        <v>12.249840000000001</v>
      </c>
      <c r="HA37" s="21">
        <v>12.249840000000001</v>
      </c>
      <c r="HB37" s="21">
        <v>12.249840000000001</v>
      </c>
      <c r="HC37" s="21">
        <v>12.249840000000001</v>
      </c>
      <c r="HD37" s="21">
        <v>12.249840000000001</v>
      </c>
      <c r="HE37" s="21">
        <v>12.249840000000001</v>
      </c>
      <c r="HF37" s="21">
        <v>12.249840000000001</v>
      </c>
      <c r="HG37" s="21">
        <v>12.249840000000001</v>
      </c>
      <c r="HH37" s="21">
        <v>12.249840000000001</v>
      </c>
      <c r="HI37" s="21">
        <v>12.249840000000001</v>
      </c>
      <c r="HJ37" s="21">
        <v>12.249840000000001</v>
      </c>
      <c r="HK37" s="21">
        <v>12.249840000000001</v>
      </c>
      <c r="HL37" s="21">
        <v>12.249840000000001</v>
      </c>
      <c r="HM37" s="21">
        <v>12.249840000000001</v>
      </c>
      <c r="HN37" s="21">
        <v>12.249840000000001</v>
      </c>
      <c r="HO37" s="21">
        <v>12.249840000000001</v>
      </c>
      <c r="HP37" s="21">
        <v>12.249840000000001</v>
      </c>
      <c r="HQ37" s="21">
        <v>12.249840000000001</v>
      </c>
      <c r="HR37" s="21">
        <v>12.249840000000001</v>
      </c>
      <c r="HS37" s="21">
        <v>12.249840000000001</v>
      </c>
      <c r="HT37" s="21">
        <v>12.249840000000001</v>
      </c>
      <c r="HU37" s="21">
        <v>12.249840000000001</v>
      </c>
      <c r="HV37" s="21">
        <v>12.249840000000001</v>
      </c>
      <c r="HW37" s="21">
        <v>12.249840000000001</v>
      </c>
      <c r="HX37" s="21">
        <v>12.249840000000001</v>
      </c>
      <c r="HY37" s="21">
        <v>12.249840000000001</v>
      </c>
      <c r="HZ37" s="21">
        <v>12.249840000000001</v>
      </c>
      <c r="IA37" s="21">
        <v>12.249840000000001</v>
      </c>
      <c r="IB37" s="21">
        <v>12.249840000000001</v>
      </c>
      <c r="IC37" s="21">
        <v>12.249840000000001</v>
      </c>
      <c r="ID37" s="21">
        <v>12.249840000000001</v>
      </c>
      <c r="IE37" s="21">
        <v>12.249840000000001</v>
      </c>
      <c r="IF37" s="21">
        <v>12.249840000000001</v>
      </c>
      <c r="IG37" s="21">
        <v>12.249840000000001</v>
      </c>
      <c r="IH37" s="21">
        <v>12.249840000000001</v>
      </c>
      <c r="II37" s="21">
        <v>12.249840000000001</v>
      </c>
      <c r="IJ37" s="21">
        <v>12.249840000000001</v>
      </c>
      <c r="IK37" s="21">
        <v>12.249840000000001</v>
      </c>
      <c r="IL37" s="21">
        <v>12.249840000000001</v>
      </c>
      <c r="IM37" s="21">
        <v>12.249840000000001</v>
      </c>
      <c r="IN37" s="21">
        <v>12.249840000000001</v>
      </c>
      <c r="IO37" s="21">
        <v>12.249840000000001</v>
      </c>
      <c r="IP37" s="21">
        <v>12.249840000000001</v>
      </c>
      <c r="IQ37" s="21">
        <v>12.249840000000001</v>
      </c>
      <c r="IR37" s="21">
        <v>12.249840000000001</v>
      </c>
      <c r="IS37" s="21">
        <v>12.249840000000001</v>
      </c>
      <c r="IT37" s="21">
        <v>12.249840000000001</v>
      </c>
      <c r="IU37" s="21">
        <v>12.249840000000001</v>
      </c>
      <c r="IV37" s="21">
        <v>12.249840000000001</v>
      </c>
      <c r="IW37" s="21">
        <v>12.249840000000001</v>
      </c>
      <c r="IX37" s="21">
        <v>12.249840000000001</v>
      </c>
      <c r="IY37" s="21">
        <v>12.249840000000001</v>
      </c>
      <c r="IZ37" s="21">
        <v>12.249840000000001</v>
      </c>
      <c r="JA37" s="21">
        <v>12.249840000000001</v>
      </c>
      <c r="JB37" s="21">
        <v>12.249840000000001</v>
      </c>
      <c r="JC37" s="21">
        <v>12.249840000000001</v>
      </c>
      <c r="JD37" s="21">
        <v>12.249840000000001</v>
      </c>
      <c r="JE37" s="21">
        <v>12.249840000000001</v>
      </c>
      <c r="JF37" s="21">
        <v>12.249840000000001</v>
      </c>
      <c r="JG37" s="21">
        <v>12.249840000000001</v>
      </c>
      <c r="JH37" s="21">
        <v>12.249840000000001</v>
      </c>
      <c r="JI37" s="21">
        <v>12.249840000000001</v>
      </c>
      <c r="JJ37" s="21">
        <v>12.249840000000001</v>
      </c>
      <c r="JK37" s="21">
        <v>12.249840000000001</v>
      </c>
      <c r="JL37" s="21">
        <v>12.249840000000001</v>
      </c>
      <c r="JM37" s="21">
        <v>12.249840000000001</v>
      </c>
      <c r="JN37" s="21">
        <v>12.249840000000001</v>
      </c>
      <c r="JO37" s="21">
        <v>12.249840000000001</v>
      </c>
      <c r="JP37" s="21">
        <v>12.249840000000001</v>
      </c>
      <c r="JQ37" s="21">
        <v>12.249840000000001</v>
      </c>
      <c r="JR37" s="21">
        <v>12.249840000000001</v>
      </c>
      <c r="JS37" s="21">
        <v>12.249840000000001</v>
      </c>
      <c r="JT37" s="21">
        <v>12.249840000000001</v>
      </c>
      <c r="JU37" s="21">
        <v>12.249840000000001</v>
      </c>
      <c r="JV37" s="21">
        <v>12.249840000000001</v>
      </c>
      <c r="JW37" s="21">
        <v>12.249840000000001</v>
      </c>
      <c r="JX37" s="21">
        <v>12.249840000000001</v>
      </c>
      <c r="JY37" s="21">
        <v>12.249840000000001</v>
      </c>
      <c r="JZ37" s="21">
        <v>12.249840000000001</v>
      </c>
      <c r="KA37" s="21">
        <v>12.249840000000001</v>
      </c>
      <c r="KB37" s="21">
        <v>12.249840000000001</v>
      </c>
      <c r="KC37" s="21">
        <v>12.249840000000001</v>
      </c>
      <c r="KD37" s="21">
        <v>12.249840000000001</v>
      </c>
      <c r="KE37" s="21">
        <v>12.249840000000001</v>
      </c>
      <c r="KF37" s="21">
        <v>12.249840000000001</v>
      </c>
      <c r="KG37" s="21">
        <v>12.249840000000001</v>
      </c>
      <c r="KH37" s="21">
        <v>12.249840000000001</v>
      </c>
      <c r="KI37" s="21">
        <v>12.249840000000001</v>
      </c>
      <c r="KJ37" s="21">
        <v>12.249840000000001</v>
      </c>
      <c r="KK37" s="21">
        <v>12.249840000000001</v>
      </c>
      <c r="KL37" s="21">
        <v>12.249840000000001</v>
      </c>
      <c r="KM37" s="21">
        <v>12.249840000000001</v>
      </c>
      <c r="KN37" s="21">
        <v>12.249840000000001</v>
      </c>
      <c r="KO37" s="21">
        <v>12.249840000000001</v>
      </c>
      <c r="KP37" s="21">
        <v>12.249840000000001</v>
      </c>
      <c r="KQ37" s="21">
        <v>12.249840000000001</v>
      </c>
      <c r="KR37" s="21">
        <v>12.249840000000001</v>
      </c>
      <c r="KS37" s="21">
        <v>12.249840000000001</v>
      </c>
      <c r="KT37" s="21">
        <v>12.249840000000001</v>
      </c>
      <c r="KU37" s="21">
        <v>12.249840000000001</v>
      </c>
      <c r="KV37" s="21">
        <v>12.249840000000001</v>
      </c>
      <c r="KW37" s="21">
        <v>12.249840000000001</v>
      </c>
      <c r="KX37" s="21">
        <v>12.249840000000001</v>
      </c>
      <c r="KY37" s="21">
        <v>12.249840000000001</v>
      </c>
      <c r="KZ37" s="21">
        <v>12.249840000000001</v>
      </c>
      <c r="LA37" s="21">
        <v>12.249840000000001</v>
      </c>
      <c r="LB37" s="21">
        <v>12.249840000000001</v>
      </c>
      <c r="LC37" s="21">
        <v>12.249840000000001</v>
      </c>
      <c r="LD37" s="21">
        <v>12.249840000000001</v>
      </c>
      <c r="LE37" s="21">
        <v>12.249840000000001</v>
      </c>
      <c r="LF37" s="21">
        <v>12.249840000000001</v>
      </c>
      <c r="LG37" s="21">
        <v>12.249840000000001</v>
      </c>
      <c r="LH37" s="21">
        <v>12.249840000000001</v>
      </c>
      <c r="LI37" s="21">
        <v>12.249840000000001</v>
      </c>
      <c r="LJ37" s="21">
        <v>12.249840000000001</v>
      </c>
      <c r="LK37" s="21">
        <v>12.249840000000001</v>
      </c>
      <c r="LL37" s="21">
        <v>12.249840000000001</v>
      </c>
      <c r="LM37" s="21">
        <v>12.249840000000001</v>
      </c>
      <c r="LN37" s="21">
        <v>12.249840000000001</v>
      </c>
      <c r="LO37" s="21">
        <v>12.249840000000001</v>
      </c>
      <c r="LP37" s="21">
        <v>12.249840000000001</v>
      </c>
      <c r="LQ37" s="21">
        <v>12.249840000000001</v>
      </c>
      <c r="LR37" s="21">
        <v>12.249840000000001</v>
      </c>
      <c r="LS37" s="21">
        <v>12.249840000000001</v>
      </c>
      <c r="LT37" s="21">
        <v>12.249840000000001</v>
      </c>
      <c r="LU37" s="21">
        <v>12.249840000000001</v>
      </c>
      <c r="LV37" s="21">
        <v>12.249840000000001</v>
      </c>
      <c r="LW37" s="21">
        <v>12.249840000000001</v>
      </c>
      <c r="LX37" s="21">
        <v>12.249840000000001</v>
      </c>
      <c r="LY37" s="21">
        <v>12.249840000000001</v>
      </c>
      <c r="LZ37" s="21">
        <v>12.249840000000001</v>
      </c>
      <c r="MA37" s="21">
        <v>12.249840000000001</v>
      </c>
      <c r="MB37" s="21">
        <v>12.249840000000001</v>
      </c>
      <c r="MC37" s="21">
        <v>12.249840000000001</v>
      </c>
      <c r="MD37" s="21">
        <v>12.249840000000001</v>
      </c>
      <c r="ME37" s="21">
        <v>12.249840000000001</v>
      </c>
      <c r="MF37" s="21">
        <v>12.249840000000001</v>
      </c>
      <c r="MG37" s="21">
        <v>12.249840000000001</v>
      </c>
      <c r="MH37" s="21">
        <v>12.249840000000001</v>
      </c>
      <c r="MI37" s="21">
        <v>12.249840000000001</v>
      </c>
      <c r="MJ37" s="21">
        <v>12.249840000000001</v>
      </c>
      <c r="MK37" s="21">
        <v>12.249840000000001</v>
      </c>
      <c r="ML37" s="21">
        <v>12.249840000000001</v>
      </c>
      <c r="MM37" s="21">
        <v>12.249840000000001</v>
      </c>
      <c r="MN37" s="21">
        <v>12.249840000000001</v>
      </c>
      <c r="MO37" s="21">
        <v>12.249840000000001</v>
      </c>
      <c r="MP37" s="21">
        <v>12.249840000000001</v>
      </c>
      <c r="MQ37" s="21">
        <v>12.249840000000001</v>
      </c>
      <c r="MR37" s="21">
        <v>12.249840000000001</v>
      </c>
      <c r="MS37" s="21">
        <v>12.249840000000001</v>
      </c>
      <c r="MT37" s="21">
        <v>12.249840000000001</v>
      </c>
      <c r="MU37" s="21">
        <v>12.249840000000001</v>
      </c>
      <c r="MV37" s="21">
        <v>12.249840000000001</v>
      </c>
      <c r="MW37" s="21">
        <v>12.249840000000001</v>
      </c>
      <c r="MX37" s="21">
        <v>12.249840000000001</v>
      </c>
      <c r="MY37" s="21">
        <v>12.249840000000001</v>
      </c>
      <c r="MZ37" s="21">
        <v>12.249840000000001</v>
      </c>
    </row>
    <row r="38" spans="1:364" x14ac:dyDescent="0.25">
      <c r="A38" s="7">
        <f t="shared" si="0"/>
        <v>36</v>
      </c>
      <c r="B38" s="16" t="str">
        <f>+Base!B36</f>
        <v>202402220087A033</v>
      </c>
      <c r="C38" s="75">
        <v>6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11.264511000000001</v>
      </c>
      <c r="L38" s="21">
        <v>11.264511000000001</v>
      </c>
      <c r="M38" s="21">
        <v>11.264511000000001</v>
      </c>
      <c r="N38" s="21">
        <v>11.264511000000001</v>
      </c>
      <c r="O38" s="21">
        <v>11.264511000000001</v>
      </c>
      <c r="P38" s="21">
        <v>11.264511000000001</v>
      </c>
      <c r="Q38" s="21">
        <v>11.264511000000001</v>
      </c>
      <c r="R38" s="21">
        <v>11.264511000000001</v>
      </c>
      <c r="S38" s="21">
        <v>11.264511000000001</v>
      </c>
      <c r="T38" s="21">
        <v>11.264511000000001</v>
      </c>
      <c r="U38" s="21">
        <v>11.264511000000001</v>
      </c>
      <c r="V38" s="21">
        <v>11.264511000000001</v>
      </c>
      <c r="W38" s="21">
        <v>11.264511000000001</v>
      </c>
      <c r="X38" s="21">
        <v>11.264511000000001</v>
      </c>
      <c r="Y38" s="21">
        <v>11.264511000000001</v>
      </c>
      <c r="Z38" s="21">
        <v>11.264511000000001</v>
      </c>
      <c r="AA38" s="21">
        <v>11.264511000000001</v>
      </c>
      <c r="AB38" s="21">
        <v>11.264511000000001</v>
      </c>
      <c r="AC38" s="21">
        <v>11.264511000000001</v>
      </c>
      <c r="AD38" s="21">
        <v>11.264511000000001</v>
      </c>
      <c r="AE38" s="21">
        <v>11.264511000000001</v>
      </c>
      <c r="AF38" s="21">
        <v>11.264511000000001</v>
      </c>
      <c r="AG38" s="21">
        <v>11.264511000000001</v>
      </c>
      <c r="AH38" s="21">
        <v>11.264511000000001</v>
      </c>
      <c r="AI38" s="21">
        <v>11.264511000000001</v>
      </c>
      <c r="AJ38" s="21">
        <v>11.264511000000001</v>
      </c>
      <c r="AK38" s="21">
        <v>11.264511000000001</v>
      </c>
      <c r="AL38" s="21">
        <v>11.264511000000001</v>
      </c>
      <c r="AM38" s="21">
        <v>11.264511000000001</v>
      </c>
      <c r="AN38" s="21">
        <v>11.264511000000001</v>
      </c>
      <c r="AO38" s="21">
        <v>11.264511000000001</v>
      </c>
      <c r="AP38" s="21">
        <v>11.264511000000001</v>
      </c>
      <c r="AQ38" s="21">
        <v>11.264511000000001</v>
      </c>
      <c r="AR38" s="21">
        <v>11.264511000000001</v>
      </c>
      <c r="AS38" s="21">
        <v>11.264511000000001</v>
      </c>
      <c r="AT38" s="21">
        <v>11.264511000000001</v>
      </c>
      <c r="AU38" s="21">
        <v>11.264511000000001</v>
      </c>
      <c r="AV38" s="21">
        <v>11.264511000000001</v>
      </c>
      <c r="AW38" s="21">
        <v>11.264511000000001</v>
      </c>
      <c r="AX38" s="21">
        <v>11.264511000000001</v>
      </c>
      <c r="AY38" s="21">
        <v>11.264511000000001</v>
      </c>
      <c r="AZ38" s="21">
        <v>11.264511000000001</v>
      </c>
      <c r="BA38" s="21">
        <v>11.264511000000001</v>
      </c>
      <c r="BB38" s="21">
        <v>11.264511000000001</v>
      </c>
      <c r="BC38" s="21">
        <v>11.264511000000001</v>
      </c>
      <c r="BD38" s="21">
        <v>11.264511000000001</v>
      </c>
      <c r="BE38" s="21">
        <v>11.264511000000001</v>
      </c>
      <c r="BF38" s="21">
        <v>11.264511000000001</v>
      </c>
      <c r="BG38" s="21">
        <v>11.264511000000001</v>
      </c>
      <c r="BH38" s="21">
        <v>11.264511000000001</v>
      </c>
      <c r="BI38" s="21">
        <v>11.264511000000001</v>
      </c>
      <c r="BJ38" s="21">
        <v>11.264511000000001</v>
      </c>
      <c r="BK38" s="21">
        <v>11.264511000000001</v>
      </c>
      <c r="BL38" s="21">
        <v>11.264511000000001</v>
      </c>
      <c r="BM38" s="21">
        <v>11.264511000000001</v>
      </c>
      <c r="BN38" s="21">
        <v>11.264511000000001</v>
      </c>
      <c r="BO38" s="21">
        <v>11.264511000000001</v>
      </c>
      <c r="BP38" s="21">
        <v>11.264511000000001</v>
      </c>
      <c r="BQ38" s="21">
        <v>11.264511000000001</v>
      </c>
      <c r="BR38" s="21">
        <v>11.264511000000001</v>
      </c>
      <c r="BS38" s="21">
        <v>11.264511000000001</v>
      </c>
      <c r="BT38" s="21">
        <v>11.264511000000001</v>
      </c>
      <c r="BU38" s="21">
        <v>11.264511000000001</v>
      </c>
      <c r="BV38" s="21">
        <v>11.264511000000001</v>
      </c>
      <c r="BW38" s="21">
        <v>11.264511000000001</v>
      </c>
      <c r="BX38" s="21">
        <v>11.264511000000001</v>
      </c>
      <c r="BY38" s="21">
        <v>11.264511000000001</v>
      </c>
      <c r="BZ38" s="21">
        <v>11.264511000000001</v>
      </c>
      <c r="CA38" s="21">
        <v>11.264511000000001</v>
      </c>
      <c r="CB38" s="21">
        <v>11.264511000000001</v>
      </c>
      <c r="CC38" s="21">
        <v>11.264511000000001</v>
      </c>
      <c r="CD38" s="21">
        <v>11.264511000000001</v>
      </c>
      <c r="CE38" s="21">
        <v>11.264511000000001</v>
      </c>
      <c r="CF38" s="21">
        <v>11.264511000000001</v>
      </c>
      <c r="CG38" s="21">
        <v>11.264511000000001</v>
      </c>
      <c r="CH38" s="21">
        <v>11.264511000000001</v>
      </c>
      <c r="CI38" s="21">
        <v>11.264511000000001</v>
      </c>
      <c r="CJ38" s="21">
        <v>11.264511000000001</v>
      </c>
      <c r="CK38" s="21">
        <v>11.264511000000001</v>
      </c>
      <c r="CL38" s="21">
        <v>11.264511000000001</v>
      </c>
      <c r="CM38" s="21">
        <v>11.264511000000001</v>
      </c>
      <c r="CN38" s="21">
        <v>11.264511000000001</v>
      </c>
      <c r="CO38" s="21">
        <v>11.264511000000001</v>
      </c>
      <c r="CP38" s="21">
        <v>11.264511000000001</v>
      </c>
      <c r="CQ38" s="21">
        <v>11.264511000000001</v>
      </c>
      <c r="CR38" s="21">
        <v>11.264511000000001</v>
      </c>
      <c r="CS38" s="21">
        <v>11.264511000000001</v>
      </c>
      <c r="CT38" s="21">
        <v>11.264511000000001</v>
      </c>
      <c r="CU38" s="21">
        <v>11.264511000000001</v>
      </c>
      <c r="CV38" s="21">
        <v>11.264511000000001</v>
      </c>
      <c r="CW38" s="21">
        <v>11.264511000000001</v>
      </c>
      <c r="CX38" s="21">
        <v>11.264511000000001</v>
      </c>
      <c r="CY38" s="21">
        <v>11.264511000000001</v>
      </c>
      <c r="CZ38" s="21">
        <v>11.264511000000001</v>
      </c>
      <c r="DA38" s="21">
        <v>11.264511000000001</v>
      </c>
      <c r="DB38" s="21">
        <v>11.264511000000001</v>
      </c>
      <c r="DC38" s="21">
        <v>11.264511000000001</v>
      </c>
      <c r="DD38" s="21">
        <v>11.264511000000001</v>
      </c>
      <c r="DE38" s="21">
        <v>11.264511000000001</v>
      </c>
      <c r="DF38" s="21">
        <v>11.264511000000001</v>
      </c>
      <c r="DG38" s="21">
        <v>11.264511000000001</v>
      </c>
      <c r="DH38" s="21">
        <v>11.264511000000001</v>
      </c>
      <c r="DI38" s="21">
        <v>11.264511000000001</v>
      </c>
      <c r="DJ38" s="21">
        <v>11.264511000000001</v>
      </c>
      <c r="DK38" s="21">
        <v>11.264511000000001</v>
      </c>
      <c r="DL38" s="21">
        <v>11.264511000000001</v>
      </c>
      <c r="DM38" s="21">
        <v>11.264511000000001</v>
      </c>
      <c r="DN38" s="21">
        <v>11.264511000000001</v>
      </c>
      <c r="DO38" s="21">
        <v>11.264511000000001</v>
      </c>
      <c r="DP38" s="21">
        <v>11.264511000000001</v>
      </c>
      <c r="DQ38" s="21">
        <v>11.264511000000001</v>
      </c>
      <c r="DR38" s="21">
        <v>11.264511000000001</v>
      </c>
      <c r="DS38" s="21">
        <v>11.264511000000001</v>
      </c>
      <c r="DT38" s="21">
        <v>11.264511000000001</v>
      </c>
      <c r="DU38" s="21">
        <v>11.264511000000001</v>
      </c>
      <c r="DV38" s="21">
        <v>11.264511000000001</v>
      </c>
      <c r="DW38" s="21">
        <v>11.264511000000001</v>
      </c>
      <c r="DX38" s="21">
        <v>11.264511000000001</v>
      </c>
      <c r="DY38" s="21">
        <v>11.264511000000001</v>
      </c>
      <c r="DZ38" s="21">
        <v>11.264511000000001</v>
      </c>
      <c r="EA38" s="21">
        <v>11.264511000000001</v>
      </c>
      <c r="EB38" s="21">
        <v>11.264511000000001</v>
      </c>
      <c r="EC38" s="21">
        <v>11.264511000000001</v>
      </c>
      <c r="ED38" s="21">
        <v>11.264511000000001</v>
      </c>
      <c r="EE38" s="21">
        <v>11.264511000000001</v>
      </c>
      <c r="EF38" s="21">
        <v>11.264511000000001</v>
      </c>
      <c r="EG38" s="21">
        <v>11.264511000000001</v>
      </c>
      <c r="EH38" s="21">
        <v>11.264511000000001</v>
      </c>
      <c r="EI38" s="21">
        <v>11.264511000000001</v>
      </c>
      <c r="EJ38" s="21">
        <v>11.264511000000001</v>
      </c>
      <c r="EK38" s="21">
        <v>11.264511000000001</v>
      </c>
      <c r="EL38" s="21">
        <v>11.264511000000001</v>
      </c>
      <c r="EM38" s="21">
        <v>11.264511000000001</v>
      </c>
      <c r="EN38" s="21">
        <v>11.264511000000001</v>
      </c>
      <c r="EO38" s="21">
        <v>11.264511000000001</v>
      </c>
      <c r="EP38" s="21">
        <v>11.264511000000001</v>
      </c>
      <c r="EQ38" s="21">
        <v>11.264511000000001</v>
      </c>
      <c r="ER38" s="21">
        <v>11.264511000000001</v>
      </c>
      <c r="ES38" s="21">
        <v>11.264511000000001</v>
      </c>
      <c r="ET38" s="21">
        <v>11.264511000000001</v>
      </c>
      <c r="EU38" s="21">
        <v>11.264511000000001</v>
      </c>
      <c r="EV38" s="21">
        <v>11.264511000000001</v>
      </c>
      <c r="EW38" s="21">
        <v>11.264511000000001</v>
      </c>
      <c r="EX38" s="21">
        <v>11.264511000000001</v>
      </c>
      <c r="EY38" s="21">
        <v>11.264511000000001</v>
      </c>
      <c r="EZ38" s="21">
        <v>11.264511000000001</v>
      </c>
      <c r="FA38" s="21">
        <v>11.264511000000001</v>
      </c>
      <c r="FB38" s="21">
        <v>11.264511000000001</v>
      </c>
      <c r="FC38" s="21">
        <v>11.264511000000001</v>
      </c>
      <c r="FD38" s="21">
        <v>11.264511000000001</v>
      </c>
      <c r="FE38" s="21">
        <v>11.264511000000001</v>
      </c>
      <c r="FF38" s="21">
        <v>11.264511000000001</v>
      </c>
      <c r="FG38" s="21">
        <v>11.264511000000001</v>
      </c>
      <c r="FH38" s="21">
        <v>11.264511000000001</v>
      </c>
      <c r="FI38" s="21">
        <v>11.264511000000001</v>
      </c>
      <c r="FJ38" s="21">
        <v>11.264511000000001</v>
      </c>
      <c r="FK38" s="21">
        <v>11.264511000000001</v>
      </c>
      <c r="FL38" s="21">
        <v>11.264511000000001</v>
      </c>
      <c r="FM38" s="21">
        <v>11.264511000000001</v>
      </c>
      <c r="FN38" s="21">
        <v>11.264511000000001</v>
      </c>
      <c r="FO38" s="21">
        <v>11.264511000000001</v>
      </c>
      <c r="FP38" s="21">
        <v>11.264511000000001</v>
      </c>
      <c r="FQ38" s="21">
        <v>11.264511000000001</v>
      </c>
      <c r="FR38" s="21">
        <v>11.264511000000001</v>
      </c>
      <c r="FS38" s="21">
        <v>11.264511000000001</v>
      </c>
      <c r="FT38" s="21">
        <v>11.264511000000001</v>
      </c>
      <c r="FU38" s="21">
        <v>11.264511000000001</v>
      </c>
      <c r="FV38" s="21">
        <v>11.264511000000001</v>
      </c>
      <c r="FW38" s="21">
        <v>11.264511000000001</v>
      </c>
      <c r="FX38" s="21">
        <v>11.264511000000001</v>
      </c>
      <c r="FY38" s="21">
        <v>11.264511000000001</v>
      </c>
      <c r="FZ38" s="21">
        <v>11.264511000000001</v>
      </c>
      <c r="GA38" s="21">
        <v>11.264511000000001</v>
      </c>
      <c r="GB38" s="21">
        <v>11.264511000000001</v>
      </c>
      <c r="GC38" s="21">
        <v>11.264511000000001</v>
      </c>
      <c r="GD38" s="21">
        <v>11.264511000000001</v>
      </c>
      <c r="GE38" s="21">
        <v>11.264511000000001</v>
      </c>
      <c r="GF38" s="21">
        <v>11.264511000000001</v>
      </c>
      <c r="GG38" s="21">
        <v>11.264511000000001</v>
      </c>
      <c r="GH38" s="21">
        <v>11.264511000000001</v>
      </c>
      <c r="GI38" s="21">
        <v>11.264511000000001</v>
      </c>
      <c r="GJ38" s="21">
        <v>11.264511000000001</v>
      </c>
      <c r="GK38" s="21">
        <v>11.264511000000001</v>
      </c>
      <c r="GL38" s="21">
        <v>11.264511000000001</v>
      </c>
      <c r="GM38" s="21">
        <v>11.264511000000001</v>
      </c>
      <c r="GN38" s="21">
        <v>11.264511000000001</v>
      </c>
      <c r="GO38" s="21">
        <v>11.264511000000001</v>
      </c>
      <c r="GP38" s="21">
        <v>11.264511000000001</v>
      </c>
      <c r="GQ38" s="21">
        <v>11.264511000000001</v>
      </c>
      <c r="GR38" s="21">
        <v>11.264511000000001</v>
      </c>
      <c r="GS38" s="21">
        <v>11.264511000000001</v>
      </c>
      <c r="GT38" s="21">
        <v>11.264511000000001</v>
      </c>
      <c r="GU38" s="21">
        <v>11.264511000000001</v>
      </c>
      <c r="GV38" s="21">
        <v>11.264511000000001</v>
      </c>
      <c r="GW38" s="21">
        <v>11.264511000000001</v>
      </c>
      <c r="GX38" s="21">
        <v>11.264511000000001</v>
      </c>
      <c r="GY38" s="21">
        <v>11.264511000000001</v>
      </c>
      <c r="GZ38" s="21">
        <v>11.264511000000001</v>
      </c>
      <c r="HA38" s="21">
        <v>11.264511000000001</v>
      </c>
      <c r="HB38" s="21">
        <v>11.264511000000001</v>
      </c>
      <c r="HC38" s="21">
        <v>11.264511000000001</v>
      </c>
      <c r="HD38" s="21">
        <v>11.264511000000001</v>
      </c>
      <c r="HE38" s="21">
        <v>11.264511000000001</v>
      </c>
      <c r="HF38" s="21">
        <v>11.264511000000001</v>
      </c>
      <c r="HG38" s="21">
        <v>11.264511000000001</v>
      </c>
      <c r="HH38" s="21">
        <v>11.264511000000001</v>
      </c>
      <c r="HI38" s="21">
        <v>11.264511000000001</v>
      </c>
      <c r="HJ38" s="21">
        <v>11.264511000000001</v>
      </c>
      <c r="HK38" s="21">
        <v>11.264511000000001</v>
      </c>
      <c r="HL38" s="21">
        <v>11.264511000000001</v>
      </c>
      <c r="HM38" s="21">
        <v>11.264511000000001</v>
      </c>
      <c r="HN38" s="21">
        <v>11.264511000000001</v>
      </c>
      <c r="HO38" s="21">
        <v>11.264511000000001</v>
      </c>
      <c r="HP38" s="21">
        <v>11.264511000000001</v>
      </c>
      <c r="HQ38" s="21">
        <v>11.264511000000001</v>
      </c>
      <c r="HR38" s="21">
        <v>11.264511000000001</v>
      </c>
      <c r="HS38" s="21">
        <v>11.264511000000001</v>
      </c>
      <c r="HT38" s="21">
        <v>11.264511000000001</v>
      </c>
      <c r="HU38" s="21">
        <v>11.264511000000001</v>
      </c>
      <c r="HV38" s="21">
        <v>11.264511000000001</v>
      </c>
      <c r="HW38" s="21">
        <v>11.264511000000001</v>
      </c>
      <c r="HX38" s="21">
        <v>11.264511000000001</v>
      </c>
      <c r="HY38" s="21">
        <v>11.264511000000001</v>
      </c>
      <c r="HZ38" s="21">
        <v>11.264511000000001</v>
      </c>
      <c r="IA38" s="21">
        <v>11.264511000000001</v>
      </c>
      <c r="IB38" s="21">
        <v>11.264511000000001</v>
      </c>
      <c r="IC38" s="21">
        <v>11.264511000000001</v>
      </c>
      <c r="ID38" s="21">
        <v>11.264511000000001</v>
      </c>
      <c r="IE38" s="21">
        <v>11.264511000000001</v>
      </c>
      <c r="IF38" s="21">
        <v>11.264511000000001</v>
      </c>
      <c r="IG38" s="21">
        <v>11.264511000000001</v>
      </c>
      <c r="IH38" s="21">
        <v>11.264511000000001</v>
      </c>
      <c r="II38" s="21">
        <v>11.264511000000001</v>
      </c>
      <c r="IJ38" s="21">
        <v>11.264511000000001</v>
      </c>
      <c r="IK38" s="21">
        <v>11.264511000000001</v>
      </c>
      <c r="IL38" s="21">
        <v>11.264511000000001</v>
      </c>
      <c r="IM38" s="21">
        <v>11.264511000000001</v>
      </c>
      <c r="IN38" s="21">
        <v>11.264511000000001</v>
      </c>
      <c r="IO38" s="21">
        <v>11.264511000000001</v>
      </c>
      <c r="IP38" s="21">
        <v>11.264511000000001</v>
      </c>
      <c r="IQ38" s="21">
        <v>11.264511000000001</v>
      </c>
      <c r="IR38" s="21">
        <v>11.264511000000001</v>
      </c>
      <c r="IS38" s="21">
        <v>11.264511000000001</v>
      </c>
      <c r="IT38" s="21">
        <v>11.264511000000001</v>
      </c>
      <c r="IU38" s="21">
        <v>11.264511000000001</v>
      </c>
      <c r="IV38" s="21">
        <v>11.264511000000001</v>
      </c>
      <c r="IW38" s="21">
        <v>11.264511000000001</v>
      </c>
      <c r="IX38" s="21">
        <v>11.264511000000001</v>
      </c>
      <c r="IY38" s="21">
        <v>11.264511000000001</v>
      </c>
      <c r="IZ38" s="21">
        <v>11.264511000000001</v>
      </c>
      <c r="JA38" s="21">
        <v>11.264511000000001</v>
      </c>
      <c r="JB38" s="21">
        <v>11.264511000000001</v>
      </c>
      <c r="JC38" s="21">
        <v>11.264511000000001</v>
      </c>
      <c r="JD38" s="21">
        <v>11.264511000000001</v>
      </c>
      <c r="JE38" s="21">
        <v>11.264511000000001</v>
      </c>
      <c r="JF38" s="21">
        <v>11.264511000000001</v>
      </c>
      <c r="JG38" s="21">
        <v>11.264511000000001</v>
      </c>
      <c r="JH38" s="21">
        <v>11.264511000000001</v>
      </c>
      <c r="JI38" s="21">
        <v>11.264511000000001</v>
      </c>
      <c r="JJ38" s="21">
        <v>11.264511000000001</v>
      </c>
      <c r="JK38" s="21">
        <v>11.264511000000001</v>
      </c>
      <c r="JL38" s="21">
        <v>11.264511000000001</v>
      </c>
      <c r="JM38" s="21">
        <v>11.264511000000001</v>
      </c>
      <c r="JN38" s="21">
        <v>11.264511000000001</v>
      </c>
      <c r="JO38" s="21">
        <v>11.264511000000001</v>
      </c>
      <c r="JP38" s="21">
        <v>11.264511000000001</v>
      </c>
      <c r="JQ38" s="21">
        <v>11.264511000000001</v>
      </c>
      <c r="JR38" s="21">
        <v>11.264511000000001</v>
      </c>
      <c r="JS38" s="21">
        <v>11.264511000000001</v>
      </c>
      <c r="JT38" s="21">
        <v>11.264511000000001</v>
      </c>
      <c r="JU38" s="21">
        <v>11.264511000000001</v>
      </c>
      <c r="JV38" s="21">
        <v>11.264511000000001</v>
      </c>
      <c r="JW38" s="21">
        <v>11.264511000000001</v>
      </c>
      <c r="JX38" s="21">
        <v>11.264511000000001</v>
      </c>
      <c r="JY38" s="21">
        <v>11.264511000000001</v>
      </c>
      <c r="JZ38" s="21">
        <v>11.264511000000001</v>
      </c>
      <c r="KA38" s="21">
        <v>11.264511000000001</v>
      </c>
      <c r="KB38" s="21">
        <v>11.264511000000001</v>
      </c>
      <c r="KC38" s="21">
        <v>11.264511000000001</v>
      </c>
      <c r="KD38" s="21">
        <v>11.264511000000001</v>
      </c>
      <c r="KE38" s="21">
        <v>11.264511000000001</v>
      </c>
      <c r="KF38" s="21">
        <v>11.264511000000001</v>
      </c>
      <c r="KG38" s="21">
        <v>11.264511000000001</v>
      </c>
      <c r="KH38" s="21">
        <v>11.264511000000001</v>
      </c>
      <c r="KI38" s="21">
        <v>11.264511000000001</v>
      </c>
      <c r="KJ38" s="21">
        <v>11.264511000000001</v>
      </c>
      <c r="KK38" s="21">
        <v>11.264511000000001</v>
      </c>
      <c r="KL38" s="21">
        <v>11.264511000000001</v>
      </c>
      <c r="KM38" s="21">
        <v>11.264511000000001</v>
      </c>
      <c r="KN38" s="21">
        <v>11.264511000000001</v>
      </c>
      <c r="KO38" s="21">
        <v>11.264511000000001</v>
      </c>
      <c r="KP38" s="21">
        <v>11.264511000000001</v>
      </c>
      <c r="KQ38" s="21">
        <v>11.264511000000001</v>
      </c>
      <c r="KR38" s="21">
        <v>11.264511000000001</v>
      </c>
      <c r="KS38" s="21">
        <v>11.264511000000001</v>
      </c>
      <c r="KT38" s="21">
        <v>11.264511000000001</v>
      </c>
      <c r="KU38" s="21">
        <v>11.264511000000001</v>
      </c>
      <c r="KV38" s="21">
        <v>11.264511000000001</v>
      </c>
      <c r="KW38" s="21">
        <v>11.264511000000001</v>
      </c>
      <c r="KX38" s="21">
        <v>11.264511000000001</v>
      </c>
      <c r="KY38" s="21">
        <v>11.264511000000001</v>
      </c>
      <c r="KZ38" s="21">
        <v>11.264511000000001</v>
      </c>
      <c r="LA38" s="21">
        <v>11.264511000000001</v>
      </c>
      <c r="LB38" s="21">
        <v>11.264511000000001</v>
      </c>
      <c r="LC38" s="21">
        <v>11.264511000000001</v>
      </c>
      <c r="LD38" s="21">
        <v>11.264511000000001</v>
      </c>
      <c r="LE38" s="21">
        <v>11.264511000000001</v>
      </c>
      <c r="LF38" s="21">
        <v>11.264511000000001</v>
      </c>
      <c r="LG38" s="21">
        <v>11.264511000000001</v>
      </c>
      <c r="LH38" s="21">
        <v>11.264511000000001</v>
      </c>
      <c r="LI38" s="21">
        <v>11.264511000000001</v>
      </c>
      <c r="LJ38" s="21">
        <v>11.264511000000001</v>
      </c>
      <c r="LK38" s="21">
        <v>11.264511000000001</v>
      </c>
      <c r="LL38" s="21">
        <v>11.264511000000001</v>
      </c>
      <c r="LM38" s="21">
        <v>11.264511000000001</v>
      </c>
      <c r="LN38" s="21">
        <v>11.264511000000001</v>
      </c>
      <c r="LO38" s="21">
        <v>11.264511000000001</v>
      </c>
      <c r="LP38" s="21">
        <v>11.264511000000001</v>
      </c>
      <c r="LQ38" s="21">
        <v>11.264511000000001</v>
      </c>
      <c r="LR38" s="21">
        <v>11.264511000000001</v>
      </c>
      <c r="LS38" s="21">
        <v>11.264511000000001</v>
      </c>
      <c r="LT38" s="21">
        <v>11.264511000000001</v>
      </c>
      <c r="LU38" s="21">
        <v>11.264511000000001</v>
      </c>
      <c r="LV38" s="21">
        <v>11.264511000000001</v>
      </c>
      <c r="LW38" s="21">
        <v>11.264511000000001</v>
      </c>
      <c r="LX38" s="21">
        <v>11.264511000000001</v>
      </c>
      <c r="LY38" s="21">
        <v>11.264511000000001</v>
      </c>
      <c r="LZ38" s="21">
        <v>11.264511000000001</v>
      </c>
      <c r="MA38" s="21">
        <v>11.264511000000001</v>
      </c>
      <c r="MB38" s="21">
        <v>11.264511000000001</v>
      </c>
      <c r="MC38" s="21">
        <v>11.264511000000001</v>
      </c>
      <c r="MD38" s="21">
        <v>11.264511000000001</v>
      </c>
      <c r="ME38" s="21">
        <v>11.264511000000001</v>
      </c>
      <c r="MF38" s="21">
        <v>11.264511000000001</v>
      </c>
      <c r="MG38" s="21">
        <v>11.264511000000001</v>
      </c>
      <c r="MH38" s="21">
        <v>11.264511000000001</v>
      </c>
      <c r="MI38" s="21">
        <v>11.264511000000001</v>
      </c>
      <c r="MJ38" s="21">
        <v>11.264511000000001</v>
      </c>
      <c r="MK38" s="21">
        <v>11.264511000000001</v>
      </c>
      <c r="ML38" s="21">
        <v>11.264511000000001</v>
      </c>
      <c r="MM38" s="21">
        <v>11.264511000000001</v>
      </c>
      <c r="MN38" s="21">
        <v>11.264511000000001</v>
      </c>
      <c r="MO38" s="21">
        <v>11.264511000000001</v>
      </c>
      <c r="MP38" s="21">
        <v>11.264511000000001</v>
      </c>
      <c r="MQ38" s="21">
        <v>11.264511000000001</v>
      </c>
      <c r="MR38" s="21">
        <v>11.264511000000001</v>
      </c>
      <c r="MS38" s="21">
        <v>11.264511000000001</v>
      </c>
      <c r="MT38" s="21">
        <v>11.264511000000001</v>
      </c>
      <c r="MU38" s="21">
        <v>11.264511000000001</v>
      </c>
      <c r="MV38" s="21">
        <v>11.264511000000001</v>
      </c>
      <c r="MW38" s="21">
        <v>11.264511000000001</v>
      </c>
      <c r="MX38" s="21">
        <v>11.264511000000001</v>
      </c>
      <c r="MY38" s="21">
        <v>11.264511000000001</v>
      </c>
      <c r="MZ38" s="21">
        <v>11.264511000000001</v>
      </c>
    </row>
    <row r="39" spans="1:364" x14ac:dyDescent="0.25">
      <c r="A39" s="7">
        <f t="shared" si="0"/>
        <v>37</v>
      </c>
      <c r="B39" s="16" t="str">
        <f>+Base!B37</f>
        <v>202402260088A033</v>
      </c>
      <c r="C39" s="75">
        <v>6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11.60886</v>
      </c>
      <c r="L39" s="21">
        <v>11.60886</v>
      </c>
      <c r="M39" s="21">
        <v>11.60886</v>
      </c>
      <c r="N39" s="21">
        <v>11.60886</v>
      </c>
      <c r="O39" s="21">
        <v>11.60886</v>
      </c>
      <c r="P39" s="21">
        <v>11.60886</v>
      </c>
      <c r="Q39" s="21">
        <v>11.60886</v>
      </c>
      <c r="R39" s="21">
        <v>11.60886</v>
      </c>
      <c r="S39" s="21">
        <v>11.60886</v>
      </c>
      <c r="T39" s="21">
        <v>11.60886</v>
      </c>
      <c r="U39" s="21">
        <v>11.60886</v>
      </c>
      <c r="V39" s="21">
        <v>11.60886</v>
      </c>
      <c r="W39" s="21">
        <v>11.60886</v>
      </c>
      <c r="X39" s="21">
        <v>11.60886</v>
      </c>
      <c r="Y39" s="21">
        <v>11.60886</v>
      </c>
      <c r="Z39" s="21">
        <v>11.60886</v>
      </c>
      <c r="AA39" s="21">
        <v>11.60886</v>
      </c>
      <c r="AB39" s="21">
        <v>11.60886</v>
      </c>
      <c r="AC39" s="21">
        <v>11.60886</v>
      </c>
      <c r="AD39" s="21">
        <v>11.60886</v>
      </c>
      <c r="AE39" s="21">
        <v>11.60886</v>
      </c>
      <c r="AF39" s="21">
        <v>11.60886</v>
      </c>
      <c r="AG39" s="21">
        <v>11.60886</v>
      </c>
      <c r="AH39" s="21">
        <v>11.60886</v>
      </c>
      <c r="AI39" s="21">
        <v>11.60886</v>
      </c>
      <c r="AJ39" s="21">
        <v>11.60886</v>
      </c>
      <c r="AK39" s="21">
        <v>11.60886</v>
      </c>
      <c r="AL39" s="21">
        <v>11.60886</v>
      </c>
      <c r="AM39" s="21">
        <v>11.60886</v>
      </c>
      <c r="AN39" s="21">
        <v>11.60886</v>
      </c>
      <c r="AO39" s="21">
        <v>11.60886</v>
      </c>
      <c r="AP39" s="21">
        <v>11.60886</v>
      </c>
      <c r="AQ39" s="21">
        <v>11.60886</v>
      </c>
      <c r="AR39" s="21">
        <v>11.60886</v>
      </c>
      <c r="AS39" s="21">
        <v>11.60886</v>
      </c>
      <c r="AT39" s="21">
        <v>11.60886</v>
      </c>
      <c r="AU39" s="21">
        <v>11.60886</v>
      </c>
      <c r="AV39" s="21">
        <v>11.60886</v>
      </c>
      <c r="AW39" s="21">
        <v>11.60886</v>
      </c>
      <c r="AX39" s="21">
        <v>11.60886</v>
      </c>
      <c r="AY39" s="21">
        <v>11.60886</v>
      </c>
      <c r="AZ39" s="21">
        <v>11.60886</v>
      </c>
      <c r="BA39" s="21">
        <v>11.60886</v>
      </c>
      <c r="BB39" s="21">
        <v>11.60886</v>
      </c>
      <c r="BC39" s="21">
        <v>11.60886</v>
      </c>
      <c r="BD39" s="21">
        <v>11.60886</v>
      </c>
      <c r="BE39" s="21">
        <v>11.60886</v>
      </c>
      <c r="BF39" s="21">
        <v>11.60886</v>
      </c>
      <c r="BG39" s="21">
        <v>11.60886</v>
      </c>
      <c r="BH39" s="21">
        <v>11.60886</v>
      </c>
      <c r="BI39" s="21">
        <v>11.60886</v>
      </c>
      <c r="BJ39" s="21">
        <v>11.60886</v>
      </c>
      <c r="BK39" s="21">
        <v>11.60886</v>
      </c>
      <c r="BL39" s="21">
        <v>11.60886</v>
      </c>
      <c r="BM39" s="21">
        <v>11.60886</v>
      </c>
      <c r="BN39" s="21">
        <v>11.60886</v>
      </c>
      <c r="BO39" s="21">
        <v>11.60886</v>
      </c>
      <c r="BP39" s="21">
        <v>11.60886</v>
      </c>
      <c r="BQ39" s="21">
        <v>11.60886</v>
      </c>
      <c r="BR39" s="21">
        <v>11.60886</v>
      </c>
      <c r="BS39" s="21">
        <v>11.60886</v>
      </c>
      <c r="BT39" s="21">
        <v>11.60886</v>
      </c>
      <c r="BU39" s="21">
        <v>11.60886</v>
      </c>
      <c r="BV39" s="21">
        <v>11.60886</v>
      </c>
      <c r="BW39" s="21">
        <v>11.60886</v>
      </c>
      <c r="BX39" s="21">
        <v>11.60886</v>
      </c>
      <c r="BY39" s="21">
        <v>11.60886</v>
      </c>
      <c r="BZ39" s="21">
        <v>11.60886</v>
      </c>
      <c r="CA39" s="21">
        <v>11.60886</v>
      </c>
      <c r="CB39" s="21">
        <v>11.60886</v>
      </c>
      <c r="CC39" s="21">
        <v>11.60886</v>
      </c>
      <c r="CD39" s="21">
        <v>11.60886</v>
      </c>
      <c r="CE39" s="21">
        <v>11.60886</v>
      </c>
      <c r="CF39" s="21">
        <v>11.60886</v>
      </c>
      <c r="CG39" s="21">
        <v>11.60886</v>
      </c>
      <c r="CH39" s="21">
        <v>11.60886</v>
      </c>
      <c r="CI39" s="21">
        <v>11.60886</v>
      </c>
      <c r="CJ39" s="21">
        <v>11.60886</v>
      </c>
      <c r="CK39" s="21">
        <v>11.60886</v>
      </c>
      <c r="CL39" s="21">
        <v>11.60886</v>
      </c>
      <c r="CM39" s="21">
        <v>11.60886</v>
      </c>
      <c r="CN39" s="21">
        <v>11.60886</v>
      </c>
      <c r="CO39" s="21">
        <v>11.60886</v>
      </c>
      <c r="CP39" s="21">
        <v>11.60886</v>
      </c>
      <c r="CQ39" s="21">
        <v>11.60886</v>
      </c>
      <c r="CR39" s="21">
        <v>11.60886</v>
      </c>
      <c r="CS39" s="21">
        <v>11.60886</v>
      </c>
      <c r="CT39" s="21">
        <v>11.60886</v>
      </c>
      <c r="CU39" s="21">
        <v>11.60886</v>
      </c>
      <c r="CV39" s="21">
        <v>11.60886</v>
      </c>
      <c r="CW39" s="21">
        <v>11.60886</v>
      </c>
      <c r="CX39" s="21">
        <v>11.60886</v>
      </c>
      <c r="CY39" s="21">
        <v>11.60886</v>
      </c>
      <c r="CZ39" s="21">
        <v>11.60886</v>
      </c>
      <c r="DA39" s="21">
        <v>11.60886</v>
      </c>
      <c r="DB39" s="21">
        <v>11.60886</v>
      </c>
      <c r="DC39" s="21">
        <v>11.60886</v>
      </c>
      <c r="DD39" s="21">
        <v>11.60886</v>
      </c>
      <c r="DE39" s="21">
        <v>11.60886</v>
      </c>
      <c r="DF39" s="21">
        <v>11.60886</v>
      </c>
      <c r="DG39" s="21">
        <v>11.60886</v>
      </c>
      <c r="DH39" s="21">
        <v>11.60886</v>
      </c>
      <c r="DI39" s="21">
        <v>11.60886</v>
      </c>
      <c r="DJ39" s="21">
        <v>11.60886</v>
      </c>
      <c r="DK39" s="21">
        <v>11.60886</v>
      </c>
      <c r="DL39" s="21">
        <v>11.60886</v>
      </c>
      <c r="DM39" s="21">
        <v>11.60886</v>
      </c>
      <c r="DN39" s="21">
        <v>11.60886</v>
      </c>
      <c r="DO39" s="21">
        <v>11.60886</v>
      </c>
      <c r="DP39" s="21">
        <v>11.60886</v>
      </c>
      <c r="DQ39" s="21">
        <v>11.60886</v>
      </c>
      <c r="DR39" s="21">
        <v>11.60886</v>
      </c>
      <c r="DS39" s="21">
        <v>11.60886</v>
      </c>
      <c r="DT39" s="21">
        <v>11.60886</v>
      </c>
      <c r="DU39" s="21">
        <v>11.60886</v>
      </c>
      <c r="DV39" s="21">
        <v>11.60886</v>
      </c>
      <c r="DW39" s="21">
        <v>11.60886</v>
      </c>
      <c r="DX39" s="21">
        <v>11.60886</v>
      </c>
      <c r="DY39" s="21">
        <v>11.60886</v>
      </c>
      <c r="DZ39" s="21">
        <v>11.60886</v>
      </c>
      <c r="EA39" s="21">
        <v>11.60886</v>
      </c>
      <c r="EB39" s="21">
        <v>11.60886</v>
      </c>
      <c r="EC39" s="21">
        <v>11.60886</v>
      </c>
      <c r="ED39" s="21">
        <v>11.60886</v>
      </c>
      <c r="EE39" s="21">
        <v>11.60886</v>
      </c>
      <c r="EF39" s="21">
        <v>11.60886</v>
      </c>
      <c r="EG39" s="21">
        <v>11.60886</v>
      </c>
      <c r="EH39" s="21">
        <v>11.60886</v>
      </c>
      <c r="EI39" s="21">
        <v>11.60886</v>
      </c>
      <c r="EJ39" s="21">
        <v>11.60886</v>
      </c>
      <c r="EK39" s="21">
        <v>11.60886</v>
      </c>
      <c r="EL39" s="21">
        <v>11.60886</v>
      </c>
      <c r="EM39" s="21">
        <v>11.60886</v>
      </c>
      <c r="EN39" s="21">
        <v>11.60886</v>
      </c>
      <c r="EO39" s="21">
        <v>11.60886</v>
      </c>
      <c r="EP39" s="21">
        <v>11.60886</v>
      </c>
      <c r="EQ39" s="21">
        <v>11.60886</v>
      </c>
      <c r="ER39" s="21">
        <v>11.60886</v>
      </c>
      <c r="ES39" s="21">
        <v>11.60886</v>
      </c>
      <c r="ET39" s="21">
        <v>11.60886</v>
      </c>
      <c r="EU39" s="21">
        <v>11.60886</v>
      </c>
      <c r="EV39" s="21">
        <v>11.60886</v>
      </c>
      <c r="EW39" s="21">
        <v>11.60886</v>
      </c>
      <c r="EX39" s="21">
        <v>11.60886</v>
      </c>
      <c r="EY39" s="21">
        <v>11.60886</v>
      </c>
      <c r="EZ39" s="21">
        <v>11.60886</v>
      </c>
      <c r="FA39" s="21">
        <v>11.60886</v>
      </c>
      <c r="FB39" s="21">
        <v>11.60886</v>
      </c>
      <c r="FC39" s="21">
        <v>11.60886</v>
      </c>
      <c r="FD39" s="21">
        <v>11.60886</v>
      </c>
      <c r="FE39" s="21">
        <v>11.60886</v>
      </c>
      <c r="FF39" s="21">
        <v>11.60886</v>
      </c>
      <c r="FG39" s="21">
        <v>11.60886</v>
      </c>
      <c r="FH39" s="21">
        <v>11.60886</v>
      </c>
      <c r="FI39" s="21">
        <v>11.60886</v>
      </c>
      <c r="FJ39" s="21">
        <v>11.60886</v>
      </c>
      <c r="FK39" s="21">
        <v>11.60886</v>
      </c>
      <c r="FL39" s="21">
        <v>11.60886</v>
      </c>
      <c r="FM39" s="21">
        <v>11.60886</v>
      </c>
      <c r="FN39" s="21">
        <v>11.60886</v>
      </c>
      <c r="FO39" s="21">
        <v>11.60886</v>
      </c>
      <c r="FP39" s="21">
        <v>11.60886</v>
      </c>
      <c r="FQ39" s="21">
        <v>11.60886</v>
      </c>
      <c r="FR39" s="21">
        <v>11.60886</v>
      </c>
      <c r="FS39" s="21">
        <v>11.60886</v>
      </c>
      <c r="FT39" s="21">
        <v>11.60886</v>
      </c>
      <c r="FU39" s="21">
        <v>11.60886</v>
      </c>
      <c r="FV39" s="21">
        <v>11.60886</v>
      </c>
      <c r="FW39" s="21">
        <v>11.60886</v>
      </c>
      <c r="FX39" s="21">
        <v>11.60886</v>
      </c>
      <c r="FY39" s="21">
        <v>11.60886</v>
      </c>
      <c r="FZ39" s="21">
        <v>11.60886</v>
      </c>
      <c r="GA39" s="21">
        <v>11.60886</v>
      </c>
      <c r="GB39" s="21">
        <v>11.60886</v>
      </c>
      <c r="GC39" s="21">
        <v>11.60886</v>
      </c>
      <c r="GD39" s="21">
        <v>11.60886</v>
      </c>
      <c r="GE39" s="21">
        <v>11.60886</v>
      </c>
      <c r="GF39" s="21">
        <v>11.60886</v>
      </c>
      <c r="GG39" s="21">
        <v>11.60886</v>
      </c>
      <c r="GH39" s="21">
        <v>11.60886</v>
      </c>
      <c r="GI39" s="21">
        <v>11.60886</v>
      </c>
      <c r="GJ39" s="21">
        <v>11.60886</v>
      </c>
      <c r="GK39" s="21">
        <v>11.60886</v>
      </c>
      <c r="GL39" s="21">
        <v>11.60886</v>
      </c>
      <c r="GM39" s="21">
        <v>11.60886</v>
      </c>
      <c r="GN39" s="21">
        <v>11.60886</v>
      </c>
      <c r="GO39" s="21">
        <v>11.60886</v>
      </c>
      <c r="GP39" s="21">
        <v>11.60886</v>
      </c>
      <c r="GQ39" s="21">
        <v>11.60886</v>
      </c>
      <c r="GR39" s="21">
        <v>11.60886</v>
      </c>
      <c r="GS39" s="21">
        <v>11.60886</v>
      </c>
      <c r="GT39" s="21">
        <v>11.60886</v>
      </c>
      <c r="GU39" s="21">
        <v>11.60886</v>
      </c>
      <c r="GV39" s="21">
        <v>11.60886</v>
      </c>
      <c r="GW39" s="21">
        <v>11.60886</v>
      </c>
      <c r="GX39" s="21">
        <v>11.60886</v>
      </c>
      <c r="GY39" s="21">
        <v>11.60886</v>
      </c>
      <c r="GZ39" s="21">
        <v>11.60886</v>
      </c>
      <c r="HA39" s="21">
        <v>11.60886</v>
      </c>
      <c r="HB39" s="21">
        <v>11.60886</v>
      </c>
      <c r="HC39" s="21">
        <v>11.60886</v>
      </c>
      <c r="HD39" s="21">
        <v>11.60886</v>
      </c>
      <c r="HE39" s="21">
        <v>11.60886</v>
      </c>
      <c r="HF39" s="21">
        <v>11.60886</v>
      </c>
      <c r="HG39" s="21">
        <v>11.60886</v>
      </c>
      <c r="HH39" s="21">
        <v>11.60886</v>
      </c>
      <c r="HI39" s="21">
        <v>11.60886</v>
      </c>
      <c r="HJ39" s="21">
        <v>11.60886</v>
      </c>
      <c r="HK39" s="21">
        <v>11.60886</v>
      </c>
      <c r="HL39" s="21">
        <v>11.60886</v>
      </c>
      <c r="HM39" s="21">
        <v>11.60886</v>
      </c>
      <c r="HN39" s="21">
        <v>11.60886</v>
      </c>
      <c r="HO39" s="21">
        <v>11.60886</v>
      </c>
      <c r="HP39" s="21">
        <v>11.60886</v>
      </c>
      <c r="HQ39" s="21">
        <v>11.60886</v>
      </c>
      <c r="HR39" s="21">
        <v>11.60886</v>
      </c>
      <c r="HS39" s="21">
        <v>11.60886</v>
      </c>
      <c r="HT39" s="21">
        <v>11.60886</v>
      </c>
      <c r="HU39" s="21">
        <v>11.60886</v>
      </c>
      <c r="HV39" s="21">
        <v>11.60886</v>
      </c>
      <c r="HW39" s="21">
        <v>11.60886</v>
      </c>
      <c r="HX39" s="21">
        <v>11.60886</v>
      </c>
      <c r="HY39" s="21">
        <v>11.60886</v>
      </c>
      <c r="HZ39" s="21">
        <v>11.60886</v>
      </c>
      <c r="IA39" s="21">
        <v>11.60886</v>
      </c>
      <c r="IB39" s="21">
        <v>11.60886</v>
      </c>
      <c r="IC39" s="21">
        <v>11.60886</v>
      </c>
      <c r="ID39" s="21">
        <v>11.60886</v>
      </c>
      <c r="IE39" s="21">
        <v>11.60886</v>
      </c>
      <c r="IF39" s="21">
        <v>11.60886</v>
      </c>
      <c r="IG39" s="21">
        <v>11.60886</v>
      </c>
      <c r="IH39" s="21">
        <v>11.60886</v>
      </c>
      <c r="II39" s="21">
        <v>11.60886</v>
      </c>
      <c r="IJ39" s="21">
        <v>11.60886</v>
      </c>
      <c r="IK39" s="21">
        <v>11.60886</v>
      </c>
      <c r="IL39" s="21">
        <v>11.60886</v>
      </c>
      <c r="IM39" s="21">
        <v>11.60886</v>
      </c>
      <c r="IN39" s="21">
        <v>11.60886</v>
      </c>
      <c r="IO39" s="21">
        <v>11.60886</v>
      </c>
      <c r="IP39" s="21">
        <v>11.60886</v>
      </c>
      <c r="IQ39" s="21">
        <v>11.60886</v>
      </c>
      <c r="IR39" s="21">
        <v>11.60886</v>
      </c>
      <c r="IS39" s="21">
        <v>11.60886</v>
      </c>
      <c r="IT39" s="21">
        <v>11.60886</v>
      </c>
      <c r="IU39" s="21">
        <v>11.60886</v>
      </c>
      <c r="IV39" s="21">
        <v>11.60886</v>
      </c>
      <c r="IW39" s="21">
        <v>11.60886</v>
      </c>
      <c r="IX39" s="21">
        <v>11.60886</v>
      </c>
      <c r="IY39" s="21">
        <v>11.60886</v>
      </c>
      <c r="IZ39" s="21">
        <v>11.60886</v>
      </c>
      <c r="JA39" s="21">
        <v>11.60886</v>
      </c>
      <c r="JB39" s="21">
        <v>11.60886</v>
      </c>
      <c r="JC39" s="21">
        <v>11.60886</v>
      </c>
      <c r="JD39" s="21">
        <v>11.60886</v>
      </c>
      <c r="JE39" s="21">
        <v>11.60886</v>
      </c>
      <c r="JF39" s="21">
        <v>11.60886</v>
      </c>
      <c r="JG39" s="21">
        <v>11.60886</v>
      </c>
      <c r="JH39" s="21">
        <v>11.60886</v>
      </c>
      <c r="JI39" s="21">
        <v>11.60886</v>
      </c>
      <c r="JJ39" s="21">
        <v>11.60886</v>
      </c>
      <c r="JK39" s="21">
        <v>11.60886</v>
      </c>
      <c r="JL39" s="21">
        <v>11.60886</v>
      </c>
      <c r="JM39" s="21">
        <v>11.60886</v>
      </c>
      <c r="JN39" s="21">
        <v>11.60886</v>
      </c>
      <c r="JO39" s="21">
        <v>11.60886</v>
      </c>
      <c r="JP39" s="21">
        <v>11.60886</v>
      </c>
      <c r="JQ39" s="21">
        <v>11.60886</v>
      </c>
      <c r="JR39" s="21">
        <v>11.60886</v>
      </c>
      <c r="JS39" s="21">
        <v>11.60886</v>
      </c>
      <c r="JT39" s="21">
        <v>11.60886</v>
      </c>
      <c r="JU39" s="21">
        <v>11.60886</v>
      </c>
      <c r="JV39" s="21">
        <v>11.60886</v>
      </c>
      <c r="JW39" s="21">
        <v>11.60886</v>
      </c>
      <c r="JX39" s="21">
        <v>11.60886</v>
      </c>
      <c r="JY39" s="21">
        <v>11.60886</v>
      </c>
      <c r="JZ39" s="21">
        <v>11.60886</v>
      </c>
      <c r="KA39" s="21">
        <v>11.60886</v>
      </c>
      <c r="KB39" s="21">
        <v>11.60886</v>
      </c>
      <c r="KC39" s="21">
        <v>11.60886</v>
      </c>
      <c r="KD39" s="21">
        <v>11.60886</v>
      </c>
      <c r="KE39" s="21">
        <v>11.60886</v>
      </c>
      <c r="KF39" s="21">
        <v>11.60886</v>
      </c>
      <c r="KG39" s="21">
        <v>11.60886</v>
      </c>
      <c r="KH39" s="21">
        <v>11.60886</v>
      </c>
      <c r="KI39" s="21">
        <v>11.60886</v>
      </c>
      <c r="KJ39" s="21">
        <v>11.60886</v>
      </c>
      <c r="KK39" s="21">
        <v>11.60886</v>
      </c>
      <c r="KL39" s="21">
        <v>11.60886</v>
      </c>
      <c r="KM39" s="21">
        <v>11.60886</v>
      </c>
      <c r="KN39" s="21">
        <v>11.60886</v>
      </c>
      <c r="KO39" s="21">
        <v>11.60886</v>
      </c>
      <c r="KP39" s="21">
        <v>11.60886</v>
      </c>
      <c r="KQ39" s="21">
        <v>11.60886</v>
      </c>
      <c r="KR39" s="21">
        <v>11.60886</v>
      </c>
      <c r="KS39" s="21">
        <v>11.60886</v>
      </c>
      <c r="KT39" s="21">
        <v>11.60886</v>
      </c>
      <c r="KU39" s="21">
        <v>11.60886</v>
      </c>
      <c r="KV39" s="21">
        <v>11.60886</v>
      </c>
      <c r="KW39" s="21">
        <v>11.60886</v>
      </c>
      <c r="KX39" s="21">
        <v>11.60886</v>
      </c>
      <c r="KY39" s="21">
        <v>11.60886</v>
      </c>
      <c r="KZ39" s="21">
        <v>11.60886</v>
      </c>
      <c r="LA39" s="21">
        <v>11.60886</v>
      </c>
      <c r="LB39" s="21">
        <v>11.60886</v>
      </c>
      <c r="LC39" s="21">
        <v>11.60886</v>
      </c>
      <c r="LD39" s="21">
        <v>11.60886</v>
      </c>
      <c r="LE39" s="21">
        <v>11.60886</v>
      </c>
      <c r="LF39" s="21">
        <v>11.60886</v>
      </c>
      <c r="LG39" s="21">
        <v>11.60886</v>
      </c>
      <c r="LH39" s="21">
        <v>11.60886</v>
      </c>
      <c r="LI39" s="21">
        <v>11.60886</v>
      </c>
      <c r="LJ39" s="21">
        <v>11.60886</v>
      </c>
      <c r="LK39" s="21">
        <v>11.60886</v>
      </c>
      <c r="LL39" s="21">
        <v>11.60886</v>
      </c>
      <c r="LM39" s="21">
        <v>11.60886</v>
      </c>
      <c r="LN39" s="21">
        <v>11.60886</v>
      </c>
      <c r="LO39" s="21">
        <v>11.60886</v>
      </c>
      <c r="LP39" s="21">
        <v>11.60886</v>
      </c>
      <c r="LQ39" s="21">
        <v>11.60886</v>
      </c>
      <c r="LR39" s="21">
        <v>11.60886</v>
      </c>
      <c r="LS39" s="21">
        <v>11.60886</v>
      </c>
      <c r="LT39" s="21">
        <v>11.60886</v>
      </c>
      <c r="LU39" s="21">
        <v>11.60886</v>
      </c>
      <c r="LV39" s="21">
        <v>11.60886</v>
      </c>
      <c r="LW39" s="21">
        <v>11.60886</v>
      </c>
      <c r="LX39" s="21">
        <v>11.60886</v>
      </c>
      <c r="LY39" s="21">
        <v>11.60886</v>
      </c>
      <c r="LZ39" s="21">
        <v>11.60886</v>
      </c>
      <c r="MA39" s="21">
        <v>11.60886</v>
      </c>
      <c r="MB39" s="21">
        <v>11.60886</v>
      </c>
      <c r="MC39" s="21">
        <v>11.60886</v>
      </c>
      <c r="MD39" s="21">
        <v>11.60886</v>
      </c>
      <c r="ME39" s="21">
        <v>11.60886</v>
      </c>
      <c r="MF39" s="21">
        <v>11.60886</v>
      </c>
      <c r="MG39" s="21">
        <v>11.60886</v>
      </c>
      <c r="MH39" s="21">
        <v>11.60886</v>
      </c>
      <c r="MI39" s="21">
        <v>11.60886</v>
      </c>
      <c r="MJ39" s="21">
        <v>11.60886</v>
      </c>
      <c r="MK39" s="21">
        <v>11.60886</v>
      </c>
      <c r="ML39" s="21">
        <v>11.60886</v>
      </c>
      <c r="MM39" s="21">
        <v>11.60886</v>
      </c>
      <c r="MN39" s="21">
        <v>11.60886</v>
      </c>
      <c r="MO39" s="21">
        <v>11.60886</v>
      </c>
      <c r="MP39" s="21">
        <v>11.60886</v>
      </c>
      <c r="MQ39" s="21">
        <v>11.60886</v>
      </c>
      <c r="MR39" s="21">
        <v>11.60886</v>
      </c>
      <c r="MS39" s="21">
        <v>11.60886</v>
      </c>
      <c r="MT39" s="21">
        <v>11.60886</v>
      </c>
      <c r="MU39" s="21">
        <v>11.60886</v>
      </c>
      <c r="MV39" s="21">
        <v>11.60886</v>
      </c>
      <c r="MW39" s="21">
        <v>11.60886</v>
      </c>
      <c r="MX39" s="21">
        <v>11.60886</v>
      </c>
      <c r="MY39" s="21">
        <v>11.60886</v>
      </c>
      <c r="MZ39" s="21">
        <v>11.60886</v>
      </c>
    </row>
    <row r="40" spans="1:364" x14ac:dyDescent="0.25">
      <c r="A40" s="7">
        <f t="shared" si="0"/>
        <v>38</v>
      </c>
      <c r="B40" s="16" t="str">
        <f>+Base!B38</f>
        <v>202402270089A033</v>
      </c>
      <c r="C40" s="75">
        <v>6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6.5148159999999997</v>
      </c>
      <c r="L40" s="21">
        <v>6.5148159999999997</v>
      </c>
      <c r="M40" s="21">
        <v>6.5148159999999997</v>
      </c>
      <c r="N40" s="21">
        <v>6.5148159999999997</v>
      </c>
      <c r="O40" s="21">
        <v>6.5148159999999997</v>
      </c>
      <c r="P40" s="21">
        <v>6.5148159999999997</v>
      </c>
      <c r="Q40" s="21">
        <v>6.5148159999999997</v>
      </c>
      <c r="R40" s="21">
        <v>6.5148159999999997</v>
      </c>
      <c r="S40" s="21">
        <v>6.5148159999999997</v>
      </c>
      <c r="T40" s="21">
        <v>6.5148159999999997</v>
      </c>
      <c r="U40" s="21">
        <v>6.5148159999999997</v>
      </c>
      <c r="V40" s="21">
        <v>6.5148159999999997</v>
      </c>
      <c r="W40" s="21">
        <v>6.5148159999999997</v>
      </c>
      <c r="X40" s="21">
        <v>6.5148159999999997</v>
      </c>
      <c r="Y40" s="21">
        <v>6.5148159999999997</v>
      </c>
      <c r="Z40" s="21">
        <v>6.5148159999999997</v>
      </c>
      <c r="AA40" s="21">
        <v>6.5148159999999997</v>
      </c>
      <c r="AB40" s="21">
        <v>6.5148159999999997</v>
      </c>
      <c r="AC40" s="21">
        <v>6.5148159999999997</v>
      </c>
      <c r="AD40" s="21">
        <v>6.5148159999999997</v>
      </c>
      <c r="AE40" s="21">
        <v>6.5148159999999997</v>
      </c>
      <c r="AF40" s="21">
        <v>6.5148159999999997</v>
      </c>
      <c r="AG40" s="21">
        <v>6.5148159999999997</v>
      </c>
      <c r="AH40" s="21">
        <v>6.5148159999999997</v>
      </c>
      <c r="AI40" s="21">
        <v>6.5148159999999997</v>
      </c>
      <c r="AJ40" s="21">
        <v>6.5148159999999997</v>
      </c>
      <c r="AK40" s="21">
        <v>6.5148159999999997</v>
      </c>
      <c r="AL40" s="21">
        <v>6.5148159999999997</v>
      </c>
      <c r="AM40" s="21">
        <v>6.5148159999999997</v>
      </c>
      <c r="AN40" s="21">
        <v>6.5148159999999997</v>
      </c>
      <c r="AO40" s="21">
        <v>6.5148159999999997</v>
      </c>
      <c r="AP40" s="21">
        <v>6.5148159999999997</v>
      </c>
      <c r="AQ40" s="21">
        <v>6.5148159999999997</v>
      </c>
      <c r="AR40" s="21">
        <v>6.5148159999999997</v>
      </c>
      <c r="AS40" s="21">
        <v>6.5148159999999997</v>
      </c>
      <c r="AT40" s="21">
        <v>6.5148159999999997</v>
      </c>
      <c r="AU40" s="21">
        <v>6.5148159999999997</v>
      </c>
      <c r="AV40" s="21">
        <v>6.5148159999999997</v>
      </c>
      <c r="AW40" s="21">
        <v>6.5148159999999997</v>
      </c>
      <c r="AX40" s="21">
        <v>6.5148159999999997</v>
      </c>
      <c r="AY40" s="21">
        <v>6.5148159999999997</v>
      </c>
      <c r="AZ40" s="21">
        <v>6.5148159999999997</v>
      </c>
      <c r="BA40" s="21">
        <v>6.5148159999999997</v>
      </c>
      <c r="BB40" s="21">
        <v>6.5148159999999997</v>
      </c>
      <c r="BC40" s="21">
        <v>6.5148159999999997</v>
      </c>
      <c r="BD40" s="21">
        <v>6.5148159999999997</v>
      </c>
      <c r="BE40" s="21">
        <v>6.5148159999999997</v>
      </c>
      <c r="BF40" s="21">
        <v>6.5148159999999997</v>
      </c>
      <c r="BG40" s="21">
        <v>6.5148159999999997</v>
      </c>
      <c r="BH40" s="21">
        <v>6.5148159999999997</v>
      </c>
      <c r="BI40" s="21">
        <v>6.5148159999999997</v>
      </c>
      <c r="BJ40" s="21">
        <v>6.5148159999999997</v>
      </c>
      <c r="BK40" s="21">
        <v>6.5148159999999997</v>
      </c>
      <c r="BL40" s="21">
        <v>6.5148159999999997</v>
      </c>
      <c r="BM40" s="21">
        <v>6.5148159999999997</v>
      </c>
      <c r="BN40" s="21">
        <v>6.5148159999999997</v>
      </c>
      <c r="BO40" s="21">
        <v>6.5148159999999997</v>
      </c>
      <c r="BP40" s="21">
        <v>6.5148159999999997</v>
      </c>
      <c r="BQ40" s="21">
        <v>6.5148159999999997</v>
      </c>
      <c r="BR40" s="21">
        <v>6.5148159999999997</v>
      </c>
      <c r="BS40" s="21">
        <v>6.5148159999999997</v>
      </c>
      <c r="BT40" s="21">
        <v>6.5148159999999997</v>
      </c>
      <c r="BU40" s="21">
        <v>6.5148159999999997</v>
      </c>
      <c r="BV40" s="21">
        <v>6.5148159999999997</v>
      </c>
      <c r="BW40" s="21">
        <v>6.5148159999999997</v>
      </c>
      <c r="BX40" s="21">
        <v>6.5148159999999997</v>
      </c>
      <c r="BY40" s="21">
        <v>6.5148159999999997</v>
      </c>
      <c r="BZ40" s="21">
        <v>6.5148159999999997</v>
      </c>
      <c r="CA40" s="21">
        <v>6.5148159999999997</v>
      </c>
      <c r="CB40" s="21">
        <v>6.5148159999999997</v>
      </c>
      <c r="CC40" s="21">
        <v>6.5148159999999997</v>
      </c>
      <c r="CD40" s="21">
        <v>6.5148159999999997</v>
      </c>
      <c r="CE40" s="21">
        <v>6.5148159999999997</v>
      </c>
      <c r="CF40" s="21">
        <v>6.5148159999999997</v>
      </c>
      <c r="CG40" s="21">
        <v>6.5148159999999997</v>
      </c>
      <c r="CH40" s="21">
        <v>6.5148159999999997</v>
      </c>
      <c r="CI40" s="21">
        <v>6.5148159999999997</v>
      </c>
      <c r="CJ40" s="21">
        <v>6.5148159999999997</v>
      </c>
      <c r="CK40" s="21">
        <v>6.5148159999999997</v>
      </c>
      <c r="CL40" s="21">
        <v>6.5148159999999997</v>
      </c>
      <c r="CM40" s="21">
        <v>6.5148159999999997</v>
      </c>
      <c r="CN40" s="21">
        <v>6.5148159999999997</v>
      </c>
      <c r="CO40" s="21">
        <v>6.5148159999999997</v>
      </c>
      <c r="CP40" s="21">
        <v>6.5148159999999997</v>
      </c>
      <c r="CQ40" s="21">
        <v>6.5148159999999997</v>
      </c>
      <c r="CR40" s="21">
        <v>6.5148159999999997</v>
      </c>
      <c r="CS40" s="21">
        <v>6.5148159999999997</v>
      </c>
      <c r="CT40" s="21">
        <v>6.5148159999999997</v>
      </c>
      <c r="CU40" s="21">
        <v>6.5148159999999997</v>
      </c>
      <c r="CV40" s="21">
        <v>6.5148159999999997</v>
      </c>
      <c r="CW40" s="21">
        <v>6.5148159999999997</v>
      </c>
      <c r="CX40" s="21">
        <v>6.5148159999999997</v>
      </c>
      <c r="CY40" s="21">
        <v>6.5148159999999997</v>
      </c>
      <c r="CZ40" s="21">
        <v>6.5148159999999997</v>
      </c>
      <c r="DA40" s="21">
        <v>6.5148159999999997</v>
      </c>
      <c r="DB40" s="21">
        <v>6.5148159999999997</v>
      </c>
      <c r="DC40" s="21">
        <v>6.5148159999999997</v>
      </c>
      <c r="DD40" s="21">
        <v>6.5148159999999997</v>
      </c>
      <c r="DE40" s="21">
        <v>6.5148159999999997</v>
      </c>
      <c r="DF40" s="21">
        <v>6.5148159999999997</v>
      </c>
      <c r="DG40" s="21">
        <v>6.5148159999999997</v>
      </c>
      <c r="DH40" s="21">
        <v>6.5148159999999997</v>
      </c>
      <c r="DI40" s="21">
        <v>6.5148159999999997</v>
      </c>
      <c r="DJ40" s="21">
        <v>6.5148159999999997</v>
      </c>
      <c r="DK40" s="21">
        <v>6.5148159999999997</v>
      </c>
      <c r="DL40" s="21">
        <v>6.5148159999999997</v>
      </c>
      <c r="DM40" s="21">
        <v>6.5148159999999997</v>
      </c>
      <c r="DN40" s="21">
        <v>6.5148159999999997</v>
      </c>
      <c r="DO40" s="21">
        <v>6.5148159999999997</v>
      </c>
      <c r="DP40" s="21">
        <v>6.5148159999999997</v>
      </c>
      <c r="DQ40" s="21">
        <v>6.5148159999999997</v>
      </c>
      <c r="DR40" s="21">
        <v>6.5148159999999997</v>
      </c>
      <c r="DS40" s="21">
        <v>6.5148159999999997</v>
      </c>
      <c r="DT40" s="21">
        <v>6.5148159999999997</v>
      </c>
      <c r="DU40" s="21">
        <v>6.5148159999999997</v>
      </c>
      <c r="DV40" s="21">
        <v>6.5148159999999997</v>
      </c>
      <c r="DW40" s="21">
        <v>6.5148159999999997</v>
      </c>
      <c r="DX40" s="21">
        <v>6.5148159999999997</v>
      </c>
      <c r="DY40" s="21">
        <v>6.5148159999999997</v>
      </c>
      <c r="DZ40" s="21">
        <v>6.5148159999999997</v>
      </c>
      <c r="EA40" s="21">
        <v>6.5148159999999997</v>
      </c>
      <c r="EB40" s="21">
        <v>6.5148159999999997</v>
      </c>
      <c r="EC40" s="21">
        <v>6.5148159999999997</v>
      </c>
      <c r="ED40" s="21">
        <v>6.5148159999999997</v>
      </c>
      <c r="EE40" s="21">
        <v>6.5148159999999997</v>
      </c>
      <c r="EF40" s="21">
        <v>6.5148159999999997</v>
      </c>
      <c r="EG40" s="21">
        <v>6.5148159999999997</v>
      </c>
      <c r="EH40" s="21">
        <v>6.5148159999999997</v>
      </c>
      <c r="EI40" s="21">
        <v>6.5148159999999997</v>
      </c>
      <c r="EJ40" s="21">
        <v>6.5148159999999997</v>
      </c>
      <c r="EK40" s="21">
        <v>6.5148159999999997</v>
      </c>
      <c r="EL40" s="21">
        <v>6.5148159999999997</v>
      </c>
      <c r="EM40" s="21">
        <v>6.5148159999999997</v>
      </c>
      <c r="EN40" s="21">
        <v>6.5148159999999997</v>
      </c>
      <c r="EO40" s="21">
        <v>6.5148159999999997</v>
      </c>
      <c r="EP40" s="21">
        <v>6.5148159999999997</v>
      </c>
      <c r="EQ40" s="21">
        <v>6.5148159999999997</v>
      </c>
      <c r="ER40" s="21">
        <v>6.5148159999999997</v>
      </c>
      <c r="ES40" s="21">
        <v>6.5148159999999997</v>
      </c>
      <c r="ET40" s="21">
        <v>6.5148159999999997</v>
      </c>
      <c r="EU40" s="21">
        <v>6.5148159999999997</v>
      </c>
      <c r="EV40" s="21">
        <v>6.5148159999999997</v>
      </c>
      <c r="EW40" s="21">
        <v>6.5148159999999997</v>
      </c>
      <c r="EX40" s="21">
        <v>6.5148159999999997</v>
      </c>
      <c r="EY40" s="21">
        <v>6.5148159999999997</v>
      </c>
      <c r="EZ40" s="21">
        <v>6.5148159999999997</v>
      </c>
      <c r="FA40" s="21">
        <v>6.5148159999999997</v>
      </c>
      <c r="FB40" s="21">
        <v>6.5148159999999997</v>
      </c>
      <c r="FC40" s="21">
        <v>6.5148159999999997</v>
      </c>
      <c r="FD40" s="21">
        <v>6.5148159999999997</v>
      </c>
      <c r="FE40" s="21">
        <v>6.5148159999999997</v>
      </c>
      <c r="FF40" s="21">
        <v>6.5148159999999997</v>
      </c>
      <c r="FG40" s="21">
        <v>6.5148159999999997</v>
      </c>
      <c r="FH40" s="21">
        <v>6.5148159999999997</v>
      </c>
      <c r="FI40" s="21">
        <v>6.5148159999999997</v>
      </c>
      <c r="FJ40" s="21">
        <v>6.5148159999999997</v>
      </c>
      <c r="FK40" s="21">
        <v>6.5148159999999997</v>
      </c>
      <c r="FL40" s="21">
        <v>6.5148159999999997</v>
      </c>
      <c r="FM40" s="21">
        <v>6.5148159999999997</v>
      </c>
      <c r="FN40" s="21">
        <v>6.5148159999999997</v>
      </c>
      <c r="FO40" s="21">
        <v>6.5148159999999997</v>
      </c>
      <c r="FP40" s="21">
        <v>6.5148159999999997</v>
      </c>
      <c r="FQ40" s="21">
        <v>6.5148159999999997</v>
      </c>
      <c r="FR40" s="21">
        <v>6.5148159999999997</v>
      </c>
      <c r="FS40" s="21">
        <v>6.5148159999999997</v>
      </c>
      <c r="FT40" s="21">
        <v>6.5148159999999997</v>
      </c>
      <c r="FU40" s="21">
        <v>6.5148159999999997</v>
      </c>
      <c r="FV40" s="21">
        <v>6.5148159999999997</v>
      </c>
      <c r="FW40" s="21">
        <v>6.5148159999999997</v>
      </c>
      <c r="FX40" s="21">
        <v>6.5148159999999997</v>
      </c>
      <c r="FY40" s="21">
        <v>6.5148159999999997</v>
      </c>
      <c r="FZ40" s="21">
        <v>6.5148159999999997</v>
      </c>
      <c r="GA40" s="21">
        <v>6.5148159999999997</v>
      </c>
      <c r="GB40" s="21">
        <v>6.5148159999999997</v>
      </c>
      <c r="GC40" s="21">
        <v>6.5148159999999997</v>
      </c>
      <c r="GD40" s="21">
        <v>6.5148159999999997</v>
      </c>
      <c r="GE40" s="21">
        <v>6.5148159999999997</v>
      </c>
      <c r="GF40" s="21">
        <v>6.5148159999999997</v>
      </c>
      <c r="GG40" s="21">
        <v>6.5148159999999997</v>
      </c>
      <c r="GH40" s="21">
        <v>6.5148159999999997</v>
      </c>
      <c r="GI40" s="21">
        <v>6.5148159999999997</v>
      </c>
      <c r="GJ40" s="21">
        <v>6.5148159999999997</v>
      </c>
      <c r="GK40" s="21">
        <v>6.5148159999999997</v>
      </c>
      <c r="GL40" s="21">
        <v>6.5148159999999997</v>
      </c>
      <c r="GM40" s="21">
        <v>6.5148159999999997</v>
      </c>
      <c r="GN40" s="21">
        <v>6.5148159999999997</v>
      </c>
      <c r="GO40" s="21">
        <v>6.5148159999999997</v>
      </c>
      <c r="GP40" s="21">
        <v>6.5148159999999997</v>
      </c>
      <c r="GQ40" s="21">
        <v>6.5148159999999997</v>
      </c>
      <c r="GR40" s="21">
        <v>6.5148159999999997</v>
      </c>
      <c r="GS40" s="21">
        <v>6.5148159999999997</v>
      </c>
      <c r="GT40" s="21">
        <v>6.5148159999999997</v>
      </c>
      <c r="GU40" s="21">
        <v>6.5148159999999997</v>
      </c>
      <c r="GV40" s="21">
        <v>6.5148159999999997</v>
      </c>
      <c r="GW40" s="21">
        <v>6.5148159999999997</v>
      </c>
      <c r="GX40" s="21">
        <v>6.5148159999999997</v>
      </c>
      <c r="GY40" s="21">
        <v>6.5148159999999997</v>
      </c>
      <c r="GZ40" s="21">
        <v>6.5148159999999997</v>
      </c>
      <c r="HA40" s="21">
        <v>6.5148159999999997</v>
      </c>
      <c r="HB40" s="21">
        <v>6.5148159999999997</v>
      </c>
      <c r="HC40" s="21">
        <v>6.5148159999999997</v>
      </c>
      <c r="HD40" s="21">
        <v>6.5148159999999997</v>
      </c>
      <c r="HE40" s="21">
        <v>6.5148159999999997</v>
      </c>
      <c r="HF40" s="21">
        <v>6.5148159999999997</v>
      </c>
      <c r="HG40" s="21">
        <v>6.5148159999999997</v>
      </c>
      <c r="HH40" s="21">
        <v>6.5148159999999997</v>
      </c>
      <c r="HI40" s="21">
        <v>6.5148159999999997</v>
      </c>
      <c r="HJ40" s="21">
        <v>6.5148159999999997</v>
      </c>
      <c r="HK40" s="21">
        <v>6.5148159999999997</v>
      </c>
      <c r="HL40" s="21">
        <v>6.5148159999999997</v>
      </c>
      <c r="HM40" s="21">
        <v>6.5148159999999997</v>
      </c>
      <c r="HN40" s="21">
        <v>6.5148159999999997</v>
      </c>
      <c r="HO40" s="21">
        <v>6.5148159999999997</v>
      </c>
      <c r="HP40" s="21">
        <v>6.5148159999999997</v>
      </c>
      <c r="HQ40" s="21">
        <v>6.5148159999999997</v>
      </c>
      <c r="HR40" s="21">
        <v>6.5148159999999997</v>
      </c>
      <c r="HS40" s="21">
        <v>6.5148159999999997</v>
      </c>
      <c r="HT40" s="21">
        <v>6.5148159999999997</v>
      </c>
      <c r="HU40" s="21">
        <v>6.5148159999999997</v>
      </c>
      <c r="HV40" s="21">
        <v>6.5148159999999997</v>
      </c>
      <c r="HW40" s="21">
        <v>6.5148159999999997</v>
      </c>
      <c r="HX40" s="21">
        <v>6.5148159999999997</v>
      </c>
      <c r="HY40" s="21">
        <v>6.5148159999999997</v>
      </c>
      <c r="HZ40" s="21">
        <v>6.5148159999999997</v>
      </c>
      <c r="IA40" s="21">
        <v>6.5148159999999997</v>
      </c>
      <c r="IB40" s="21">
        <v>6.5148159999999997</v>
      </c>
      <c r="IC40" s="21">
        <v>6.5148159999999997</v>
      </c>
      <c r="ID40" s="21">
        <v>6.5148159999999997</v>
      </c>
      <c r="IE40" s="21">
        <v>6.5148159999999997</v>
      </c>
      <c r="IF40" s="21">
        <v>6.5148159999999997</v>
      </c>
      <c r="IG40" s="21">
        <v>6.5148159999999997</v>
      </c>
      <c r="IH40" s="21">
        <v>6.5148159999999997</v>
      </c>
      <c r="II40" s="21">
        <v>6.5148159999999997</v>
      </c>
      <c r="IJ40" s="21">
        <v>6.5148159999999997</v>
      </c>
      <c r="IK40" s="21">
        <v>6.5148159999999997</v>
      </c>
      <c r="IL40" s="21">
        <v>6.5148159999999997</v>
      </c>
      <c r="IM40" s="21">
        <v>6.5148159999999997</v>
      </c>
      <c r="IN40" s="21">
        <v>6.5148159999999997</v>
      </c>
      <c r="IO40" s="21">
        <v>6.5148159999999997</v>
      </c>
      <c r="IP40" s="21">
        <v>6.5148159999999997</v>
      </c>
      <c r="IQ40" s="21">
        <v>6.5148159999999997</v>
      </c>
      <c r="IR40" s="21">
        <v>6.5148159999999997</v>
      </c>
      <c r="IS40" s="21">
        <v>6.5148159999999997</v>
      </c>
      <c r="IT40" s="21">
        <v>6.5148159999999997</v>
      </c>
      <c r="IU40" s="21">
        <v>6.5148159999999997</v>
      </c>
      <c r="IV40" s="21">
        <v>6.5148159999999997</v>
      </c>
      <c r="IW40" s="21">
        <v>6.5148159999999997</v>
      </c>
      <c r="IX40" s="21">
        <v>6.5148159999999997</v>
      </c>
      <c r="IY40" s="21">
        <v>6.5148159999999997</v>
      </c>
      <c r="IZ40" s="21">
        <v>6.5148159999999997</v>
      </c>
      <c r="JA40" s="21">
        <v>6.5148159999999997</v>
      </c>
      <c r="JB40" s="21">
        <v>6.5148159999999997</v>
      </c>
      <c r="JC40" s="21">
        <v>6.5148159999999997</v>
      </c>
      <c r="JD40" s="21">
        <v>6.5148159999999997</v>
      </c>
      <c r="JE40" s="21">
        <v>6.5148159999999997</v>
      </c>
      <c r="JF40" s="21">
        <v>6.5148159999999997</v>
      </c>
      <c r="JG40" s="21">
        <v>6.5148159999999997</v>
      </c>
      <c r="JH40" s="21">
        <v>6.5148159999999997</v>
      </c>
      <c r="JI40" s="21">
        <v>6.5148159999999997</v>
      </c>
      <c r="JJ40" s="21">
        <v>6.5148159999999997</v>
      </c>
      <c r="JK40" s="21">
        <v>6.5148159999999997</v>
      </c>
      <c r="JL40" s="21">
        <v>6.5148159999999997</v>
      </c>
      <c r="JM40" s="21">
        <v>6.5148159999999997</v>
      </c>
      <c r="JN40" s="21">
        <v>6.5148159999999997</v>
      </c>
      <c r="JO40" s="21">
        <v>6.5148159999999997</v>
      </c>
      <c r="JP40" s="21">
        <v>6.5148159999999997</v>
      </c>
      <c r="JQ40" s="21">
        <v>6.5148159999999997</v>
      </c>
      <c r="JR40" s="21">
        <v>6.5148159999999997</v>
      </c>
      <c r="JS40" s="21">
        <v>6.5148159999999997</v>
      </c>
      <c r="JT40" s="21">
        <v>6.5148159999999997</v>
      </c>
      <c r="JU40" s="21">
        <v>6.5148159999999997</v>
      </c>
      <c r="JV40" s="21">
        <v>6.5148159999999997</v>
      </c>
      <c r="JW40" s="21">
        <v>6.5148159999999997</v>
      </c>
      <c r="JX40" s="21">
        <v>6.5148159999999997</v>
      </c>
      <c r="JY40" s="21">
        <v>6.5148159999999997</v>
      </c>
      <c r="JZ40" s="21">
        <v>6.5148159999999997</v>
      </c>
      <c r="KA40" s="21">
        <v>6.5148159999999997</v>
      </c>
      <c r="KB40" s="21">
        <v>6.5148159999999997</v>
      </c>
      <c r="KC40" s="21">
        <v>6.5148159999999997</v>
      </c>
      <c r="KD40" s="21">
        <v>6.5148159999999997</v>
      </c>
      <c r="KE40" s="21">
        <v>6.5148159999999997</v>
      </c>
      <c r="KF40" s="21">
        <v>6.5148159999999997</v>
      </c>
      <c r="KG40" s="21">
        <v>6.5148159999999997</v>
      </c>
      <c r="KH40" s="21">
        <v>6.5148159999999997</v>
      </c>
      <c r="KI40" s="21">
        <v>6.5148159999999997</v>
      </c>
      <c r="KJ40" s="21">
        <v>6.5148159999999997</v>
      </c>
      <c r="KK40" s="21">
        <v>6.5148159999999997</v>
      </c>
      <c r="KL40" s="21">
        <v>6.5148159999999997</v>
      </c>
      <c r="KM40" s="21">
        <v>6.5148159999999997</v>
      </c>
      <c r="KN40" s="21">
        <v>6.5148159999999997</v>
      </c>
      <c r="KO40" s="21">
        <v>6.5148159999999997</v>
      </c>
      <c r="KP40" s="21">
        <v>6.5148159999999997</v>
      </c>
      <c r="KQ40" s="21">
        <v>6.5148159999999997</v>
      </c>
      <c r="KR40" s="21">
        <v>6.5148159999999997</v>
      </c>
      <c r="KS40" s="21">
        <v>6.5148159999999997</v>
      </c>
      <c r="KT40" s="21">
        <v>6.5148159999999997</v>
      </c>
      <c r="KU40" s="21">
        <v>6.5148159999999997</v>
      </c>
      <c r="KV40" s="21">
        <v>6.5148159999999997</v>
      </c>
      <c r="KW40" s="21">
        <v>6.5148159999999997</v>
      </c>
      <c r="KX40" s="21">
        <v>6.5148159999999997</v>
      </c>
      <c r="KY40" s="21">
        <v>6.5148159999999997</v>
      </c>
      <c r="KZ40" s="21">
        <v>6.5148159999999997</v>
      </c>
      <c r="LA40" s="21">
        <v>6.5148159999999997</v>
      </c>
      <c r="LB40" s="21">
        <v>6.5148159999999997</v>
      </c>
      <c r="LC40" s="21">
        <v>6.5148159999999997</v>
      </c>
      <c r="LD40" s="21">
        <v>6.5148159999999997</v>
      </c>
      <c r="LE40" s="21">
        <v>6.5148159999999997</v>
      </c>
      <c r="LF40" s="21">
        <v>6.5148159999999997</v>
      </c>
      <c r="LG40" s="21">
        <v>6.5148159999999997</v>
      </c>
      <c r="LH40" s="21">
        <v>6.5148159999999997</v>
      </c>
      <c r="LI40" s="21">
        <v>6.5148159999999997</v>
      </c>
      <c r="LJ40" s="21">
        <v>6.5148159999999997</v>
      </c>
      <c r="LK40" s="21">
        <v>6.5148159999999997</v>
      </c>
      <c r="LL40" s="21">
        <v>6.5148159999999997</v>
      </c>
      <c r="LM40" s="21">
        <v>6.5148159999999997</v>
      </c>
      <c r="LN40" s="21">
        <v>6.5148159999999997</v>
      </c>
      <c r="LO40" s="21">
        <v>6.5148159999999997</v>
      </c>
      <c r="LP40" s="21">
        <v>6.5148159999999997</v>
      </c>
      <c r="LQ40" s="21">
        <v>6.5148159999999997</v>
      </c>
      <c r="LR40" s="21">
        <v>6.5148159999999997</v>
      </c>
      <c r="LS40" s="21">
        <v>6.5148159999999997</v>
      </c>
      <c r="LT40" s="21">
        <v>6.5148159999999997</v>
      </c>
      <c r="LU40" s="21">
        <v>6.5148159999999997</v>
      </c>
      <c r="LV40" s="21">
        <v>6.5148159999999997</v>
      </c>
      <c r="LW40" s="21">
        <v>6.5148159999999997</v>
      </c>
      <c r="LX40" s="21">
        <v>6.5148159999999997</v>
      </c>
      <c r="LY40" s="21">
        <v>6.5148159999999997</v>
      </c>
      <c r="LZ40" s="21">
        <v>6.5148159999999997</v>
      </c>
      <c r="MA40" s="21">
        <v>6.5148159999999997</v>
      </c>
      <c r="MB40" s="21">
        <v>6.5148159999999997</v>
      </c>
      <c r="MC40" s="21">
        <v>6.3347199999999999</v>
      </c>
      <c r="MD40" s="21">
        <v>0</v>
      </c>
      <c r="ME40" s="21">
        <v>0</v>
      </c>
      <c r="MF40" s="21">
        <v>0</v>
      </c>
      <c r="MG40" s="21">
        <v>0</v>
      </c>
      <c r="MH40" s="21">
        <v>0</v>
      </c>
      <c r="MI40" s="21">
        <v>0</v>
      </c>
      <c r="MJ40" s="21">
        <v>0</v>
      </c>
      <c r="MK40" s="21">
        <v>0</v>
      </c>
      <c r="ML40" s="21">
        <v>0</v>
      </c>
      <c r="MM40" s="21">
        <v>0</v>
      </c>
      <c r="MN40" s="21">
        <v>0</v>
      </c>
      <c r="MO40" s="21">
        <v>0</v>
      </c>
      <c r="MP40" s="21">
        <v>0</v>
      </c>
      <c r="MQ40" s="21">
        <v>0</v>
      </c>
      <c r="MR40" s="21">
        <v>0</v>
      </c>
      <c r="MS40" s="21">
        <v>0</v>
      </c>
      <c r="MT40" s="21">
        <v>0</v>
      </c>
      <c r="MU40" s="21">
        <v>0</v>
      </c>
      <c r="MV40" s="21">
        <v>0</v>
      </c>
      <c r="MW40" s="21">
        <v>0</v>
      </c>
      <c r="MX40" s="21">
        <v>0</v>
      </c>
      <c r="MY40" s="21">
        <v>0</v>
      </c>
      <c r="MZ40" s="21">
        <v>0</v>
      </c>
    </row>
    <row r="41" spans="1:364" x14ac:dyDescent="0.25">
      <c r="A41" s="7">
        <f t="shared" si="0"/>
        <v>39</v>
      </c>
      <c r="B41" s="16" t="str">
        <f>+Base!B39</f>
        <v>202402270090A033</v>
      </c>
      <c r="C41" s="75">
        <v>6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6.1249200000000004</v>
      </c>
      <c r="L41" s="21">
        <v>6.1249200000000004</v>
      </c>
      <c r="M41" s="21">
        <v>6.1249200000000004</v>
      </c>
      <c r="N41" s="21">
        <v>6.1249200000000004</v>
      </c>
      <c r="O41" s="21">
        <v>6.1249200000000004</v>
      </c>
      <c r="P41" s="21">
        <v>6.1249200000000004</v>
      </c>
      <c r="Q41" s="21">
        <v>6.1249200000000004</v>
      </c>
      <c r="R41" s="21">
        <v>6.1249200000000004</v>
      </c>
      <c r="S41" s="21">
        <v>6.1249200000000004</v>
      </c>
      <c r="T41" s="21">
        <v>6.1249200000000004</v>
      </c>
      <c r="U41" s="21">
        <v>6.1249200000000004</v>
      </c>
      <c r="V41" s="21">
        <v>6.1249200000000004</v>
      </c>
      <c r="W41" s="21">
        <v>6.1249200000000004</v>
      </c>
      <c r="X41" s="21">
        <v>6.1249200000000004</v>
      </c>
      <c r="Y41" s="21">
        <v>6.1249200000000004</v>
      </c>
      <c r="Z41" s="21">
        <v>6.1249200000000004</v>
      </c>
      <c r="AA41" s="21">
        <v>6.1249200000000004</v>
      </c>
      <c r="AB41" s="21">
        <v>6.1249200000000004</v>
      </c>
      <c r="AC41" s="21">
        <v>6.1249200000000004</v>
      </c>
      <c r="AD41" s="21">
        <v>6.1249200000000004</v>
      </c>
      <c r="AE41" s="21">
        <v>6.1249200000000004</v>
      </c>
      <c r="AF41" s="21">
        <v>6.1249200000000004</v>
      </c>
      <c r="AG41" s="21">
        <v>6.1249200000000004</v>
      </c>
      <c r="AH41" s="21">
        <v>6.1249200000000004</v>
      </c>
      <c r="AI41" s="21">
        <v>6.1249200000000004</v>
      </c>
      <c r="AJ41" s="21">
        <v>6.1249200000000004</v>
      </c>
      <c r="AK41" s="21">
        <v>6.1249200000000004</v>
      </c>
      <c r="AL41" s="21">
        <v>6.1249200000000004</v>
      </c>
      <c r="AM41" s="21">
        <v>6.1249200000000004</v>
      </c>
      <c r="AN41" s="21">
        <v>6.1249200000000004</v>
      </c>
      <c r="AO41" s="21">
        <v>6.1249200000000004</v>
      </c>
      <c r="AP41" s="21">
        <v>6.1249200000000004</v>
      </c>
      <c r="AQ41" s="21">
        <v>6.1249200000000004</v>
      </c>
      <c r="AR41" s="21">
        <v>6.1249200000000004</v>
      </c>
      <c r="AS41" s="21">
        <v>6.1249200000000004</v>
      </c>
      <c r="AT41" s="21">
        <v>6.1249200000000004</v>
      </c>
      <c r="AU41" s="21">
        <v>6.1249200000000004</v>
      </c>
      <c r="AV41" s="21">
        <v>6.1249200000000004</v>
      </c>
      <c r="AW41" s="21">
        <v>6.1249200000000004</v>
      </c>
      <c r="AX41" s="21">
        <v>6.1249200000000004</v>
      </c>
      <c r="AY41" s="21">
        <v>6.1249200000000004</v>
      </c>
      <c r="AZ41" s="21">
        <v>6.1249200000000004</v>
      </c>
      <c r="BA41" s="21">
        <v>6.1249200000000004</v>
      </c>
      <c r="BB41" s="21">
        <v>6.1249200000000004</v>
      </c>
      <c r="BC41" s="21">
        <v>6.1249200000000004</v>
      </c>
      <c r="BD41" s="21">
        <v>6.1249200000000004</v>
      </c>
      <c r="BE41" s="21">
        <v>6.1249200000000004</v>
      </c>
      <c r="BF41" s="21">
        <v>6.1249200000000004</v>
      </c>
      <c r="BG41" s="21">
        <v>6.1249200000000004</v>
      </c>
      <c r="BH41" s="21">
        <v>6.1249200000000004</v>
      </c>
      <c r="BI41" s="21">
        <v>6.1249200000000004</v>
      </c>
      <c r="BJ41" s="21">
        <v>6.1249200000000004</v>
      </c>
      <c r="BK41" s="21">
        <v>6.1249200000000004</v>
      </c>
      <c r="BL41" s="21">
        <v>6.1249200000000004</v>
      </c>
      <c r="BM41" s="21">
        <v>6.1249200000000004</v>
      </c>
      <c r="BN41" s="21">
        <v>6.1249200000000004</v>
      </c>
      <c r="BO41" s="21">
        <v>6.1249200000000004</v>
      </c>
      <c r="BP41" s="21">
        <v>6.1249200000000004</v>
      </c>
      <c r="BQ41" s="21">
        <v>6.1249200000000004</v>
      </c>
      <c r="BR41" s="21">
        <v>6.1249200000000004</v>
      </c>
      <c r="BS41" s="21">
        <v>6.1249200000000004</v>
      </c>
      <c r="BT41" s="21">
        <v>6.1249200000000004</v>
      </c>
      <c r="BU41" s="21">
        <v>6.1249200000000004</v>
      </c>
      <c r="BV41" s="21">
        <v>6.1249200000000004</v>
      </c>
      <c r="BW41" s="21">
        <v>6.1249200000000004</v>
      </c>
      <c r="BX41" s="21">
        <v>6.1249200000000004</v>
      </c>
      <c r="BY41" s="21">
        <v>6.1249200000000004</v>
      </c>
      <c r="BZ41" s="21">
        <v>6.1249200000000004</v>
      </c>
      <c r="CA41" s="21">
        <v>6.1249200000000004</v>
      </c>
      <c r="CB41" s="21">
        <v>6.1249200000000004</v>
      </c>
      <c r="CC41" s="21">
        <v>6.1249200000000004</v>
      </c>
      <c r="CD41" s="21">
        <v>6.1249200000000004</v>
      </c>
      <c r="CE41" s="21">
        <v>6.1249200000000004</v>
      </c>
      <c r="CF41" s="21">
        <v>6.1249200000000004</v>
      </c>
      <c r="CG41" s="21">
        <v>6.1249200000000004</v>
      </c>
      <c r="CH41" s="21">
        <v>6.1249200000000004</v>
      </c>
      <c r="CI41" s="21">
        <v>6.1249200000000004</v>
      </c>
      <c r="CJ41" s="21">
        <v>6.1249200000000004</v>
      </c>
      <c r="CK41" s="21">
        <v>6.1249200000000004</v>
      </c>
      <c r="CL41" s="21">
        <v>6.1249200000000004</v>
      </c>
      <c r="CM41" s="21">
        <v>6.1249200000000004</v>
      </c>
      <c r="CN41" s="21">
        <v>6.1249200000000004</v>
      </c>
      <c r="CO41" s="21">
        <v>6.1249200000000004</v>
      </c>
      <c r="CP41" s="21">
        <v>6.1249200000000004</v>
      </c>
      <c r="CQ41" s="21">
        <v>6.1249200000000004</v>
      </c>
      <c r="CR41" s="21">
        <v>6.1249200000000004</v>
      </c>
      <c r="CS41" s="21">
        <v>6.1249200000000004</v>
      </c>
      <c r="CT41" s="21">
        <v>6.1249200000000004</v>
      </c>
      <c r="CU41" s="21">
        <v>6.1249200000000004</v>
      </c>
      <c r="CV41" s="21">
        <v>6.1249200000000004</v>
      </c>
      <c r="CW41" s="21">
        <v>6.1249200000000004</v>
      </c>
      <c r="CX41" s="21">
        <v>6.1249200000000004</v>
      </c>
      <c r="CY41" s="21">
        <v>6.1249200000000004</v>
      </c>
      <c r="CZ41" s="21">
        <v>6.1249200000000004</v>
      </c>
      <c r="DA41" s="21">
        <v>6.1249200000000004</v>
      </c>
      <c r="DB41" s="21">
        <v>6.1249200000000004</v>
      </c>
      <c r="DC41" s="21">
        <v>6.1249200000000004</v>
      </c>
      <c r="DD41" s="21">
        <v>6.1249200000000004</v>
      </c>
      <c r="DE41" s="21">
        <v>6.1249200000000004</v>
      </c>
      <c r="DF41" s="21">
        <v>6.1249200000000004</v>
      </c>
      <c r="DG41" s="21">
        <v>6.1249200000000004</v>
      </c>
      <c r="DH41" s="21">
        <v>6.1249200000000004</v>
      </c>
      <c r="DI41" s="21">
        <v>6.1249200000000004</v>
      </c>
      <c r="DJ41" s="21">
        <v>6.1249200000000004</v>
      </c>
      <c r="DK41" s="21">
        <v>6.1249200000000004</v>
      </c>
      <c r="DL41" s="21">
        <v>6.1249200000000004</v>
      </c>
      <c r="DM41" s="21">
        <v>6.1249200000000004</v>
      </c>
      <c r="DN41" s="21">
        <v>6.1249200000000004</v>
      </c>
      <c r="DO41" s="21">
        <v>6.1249200000000004</v>
      </c>
      <c r="DP41" s="21">
        <v>6.1249200000000004</v>
      </c>
      <c r="DQ41" s="21">
        <v>6.1249200000000004</v>
      </c>
      <c r="DR41" s="21">
        <v>6.1249200000000004</v>
      </c>
      <c r="DS41" s="21">
        <v>6.1249200000000004</v>
      </c>
      <c r="DT41" s="21">
        <v>6.1249200000000004</v>
      </c>
      <c r="DU41" s="21">
        <v>6.1249200000000004</v>
      </c>
      <c r="DV41" s="21">
        <v>6.1249200000000004</v>
      </c>
      <c r="DW41" s="21">
        <v>6.1249200000000004</v>
      </c>
      <c r="DX41" s="21">
        <v>6.1249200000000004</v>
      </c>
      <c r="DY41" s="21">
        <v>6.1249200000000004</v>
      </c>
      <c r="DZ41" s="21">
        <v>6.1249200000000004</v>
      </c>
      <c r="EA41" s="21">
        <v>6.1249200000000004</v>
      </c>
      <c r="EB41" s="21">
        <v>6.1249200000000004</v>
      </c>
      <c r="EC41" s="21">
        <v>6.1249200000000004</v>
      </c>
      <c r="ED41" s="21">
        <v>6.1249200000000004</v>
      </c>
      <c r="EE41" s="21">
        <v>6.1249200000000004</v>
      </c>
      <c r="EF41" s="21">
        <v>6.1249200000000004</v>
      </c>
      <c r="EG41" s="21">
        <v>6.1249200000000004</v>
      </c>
      <c r="EH41" s="21">
        <v>6.1249200000000004</v>
      </c>
      <c r="EI41" s="21">
        <v>6.1249200000000004</v>
      </c>
      <c r="EJ41" s="21">
        <v>6.1249200000000004</v>
      </c>
      <c r="EK41" s="21">
        <v>6.1249200000000004</v>
      </c>
      <c r="EL41" s="21">
        <v>6.1249200000000004</v>
      </c>
      <c r="EM41" s="21">
        <v>6.1249200000000004</v>
      </c>
      <c r="EN41" s="21">
        <v>6.1249200000000004</v>
      </c>
      <c r="EO41" s="21">
        <v>6.1249200000000004</v>
      </c>
      <c r="EP41" s="21">
        <v>6.1249200000000004</v>
      </c>
      <c r="EQ41" s="21">
        <v>6.1249200000000004</v>
      </c>
      <c r="ER41" s="21">
        <v>6.1249200000000004</v>
      </c>
      <c r="ES41" s="21">
        <v>6.1249200000000004</v>
      </c>
      <c r="ET41" s="21">
        <v>6.1249200000000004</v>
      </c>
      <c r="EU41" s="21">
        <v>6.1249200000000004</v>
      </c>
      <c r="EV41" s="21">
        <v>6.1249200000000004</v>
      </c>
      <c r="EW41" s="21">
        <v>6.1249200000000004</v>
      </c>
      <c r="EX41" s="21">
        <v>6.1249200000000004</v>
      </c>
      <c r="EY41" s="21">
        <v>6.1249200000000004</v>
      </c>
      <c r="EZ41" s="21">
        <v>6.1249200000000004</v>
      </c>
      <c r="FA41" s="21">
        <v>6.1249200000000004</v>
      </c>
      <c r="FB41" s="21">
        <v>6.1249200000000004</v>
      </c>
      <c r="FC41" s="21">
        <v>6.1249200000000004</v>
      </c>
      <c r="FD41" s="21">
        <v>6.1249200000000004</v>
      </c>
      <c r="FE41" s="21">
        <v>6.1249200000000004</v>
      </c>
      <c r="FF41" s="21">
        <v>6.1249200000000004</v>
      </c>
      <c r="FG41" s="21">
        <v>6.1249200000000004</v>
      </c>
      <c r="FH41" s="21">
        <v>6.1249200000000004</v>
      </c>
      <c r="FI41" s="21">
        <v>6.1249200000000004</v>
      </c>
      <c r="FJ41" s="21">
        <v>6.1249200000000004</v>
      </c>
      <c r="FK41" s="21">
        <v>6.1249200000000004</v>
      </c>
      <c r="FL41" s="21">
        <v>6.1249200000000004</v>
      </c>
      <c r="FM41" s="21">
        <v>6.1249200000000004</v>
      </c>
      <c r="FN41" s="21">
        <v>6.1249200000000004</v>
      </c>
      <c r="FO41" s="21">
        <v>6.1249200000000004</v>
      </c>
      <c r="FP41" s="21">
        <v>6.1249200000000004</v>
      </c>
      <c r="FQ41" s="21">
        <v>6.1249200000000004</v>
      </c>
      <c r="FR41" s="21">
        <v>6.1249200000000004</v>
      </c>
      <c r="FS41" s="21">
        <v>6.1249200000000004</v>
      </c>
      <c r="FT41" s="21">
        <v>6.1249200000000004</v>
      </c>
      <c r="FU41" s="21">
        <v>6.1249200000000004</v>
      </c>
      <c r="FV41" s="21">
        <v>6.1249200000000004</v>
      </c>
      <c r="FW41" s="21">
        <v>6.1249200000000004</v>
      </c>
      <c r="FX41" s="21">
        <v>6.1249200000000004</v>
      </c>
      <c r="FY41" s="21">
        <v>6.1249200000000004</v>
      </c>
      <c r="FZ41" s="21">
        <v>6.1249200000000004</v>
      </c>
      <c r="GA41" s="21">
        <v>6.1249200000000004</v>
      </c>
      <c r="GB41" s="21">
        <v>6.1249200000000004</v>
      </c>
      <c r="GC41" s="21">
        <v>6.1249200000000004</v>
      </c>
      <c r="GD41" s="21">
        <v>6.1249200000000004</v>
      </c>
      <c r="GE41" s="21">
        <v>6.1249200000000004</v>
      </c>
      <c r="GF41" s="21">
        <v>6.1249200000000004</v>
      </c>
      <c r="GG41" s="21">
        <v>6.1249200000000004</v>
      </c>
      <c r="GH41" s="21">
        <v>6.1249200000000004</v>
      </c>
      <c r="GI41" s="21">
        <v>6.1249200000000004</v>
      </c>
      <c r="GJ41" s="21">
        <v>6.1249200000000004</v>
      </c>
      <c r="GK41" s="21">
        <v>6.1249200000000004</v>
      </c>
      <c r="GL41" s="21">
        <v>6.1249200000000004</v>
      </c>
      <c r="GM41" s="21">
        <v>6.1249200000000004</v>
      </c>
      <c r="GN41" s="21">
        <v>6.1249200000000004</v>
      </c>
      <c r="GO41" s="21">
        <v>6.1249200000000004</v>
      </c>
      <c r="GP41" s="21">
        <v>6.1249200000000004</v>
      </c>
      <c r="GQ41" s="21">
        <v>6.1249200000000004</v>
      </c>
      <c r="GR41" s="21">
        <v>6.1249200000000004</v>
      </c>
      <c r="GS41" s="21">
        <v>6.1249200000000004</v>
      </c>
      <c r="GT41" s="21">
        <v>6.1249200000000004</v>
      </c>
      <c r="GU41" s="21">
        <v>6.1249200000000004</v>
      </c>
      <c r="GV41" s="21">
        <v>6.1249200000000004</v>
      </c>
      <c r="GW41" s="21">
        <v>6.1249200000000004</v>
      </c>
      <c r="GX41" s="21">
        <v>6.1249200000000004</v>
      </c>
      <c r="GY41" s="21">
        <v>6.1249200000000004</v>
      </c>
      <c r="GZ41" s="21">
        <v>6.1249200000000004</v>
      </c>
      <c r="HA41" s="21">
        <v>6.1249200000000004</v>
      </c>
      <c r="HB41" s="21">
        <v>6.1249200000000004</v>
      </c>
      <c r="HC41" s="21">
        <v>6.1249200000000004</v>
      </c>
      <c r="HD41" s="21">
        <v>6.1249200000000004</v>
      </c>
      <c r="HE41" s="21">
        <v>6.1249200000000004</v>
      </c>
      <c r="HF41" s="21">
        <v>6.1249200000000004</v>
      </c>
      <c r="HG41" s="21">
        <v>6.1249200000000004</v>
      </c>
      <c r="HH41" s="21">
        <v>6.1249200000000004</v>
      </c>
      <c r="HI41" s="21">
        <v>6.1249200000000004</v>
      </c>
      <c r="HJ41" s="21">
        <v>6.1249200000000004</v>
      </c>
      <c r="HK41" s="21">
        <v>6.1249200000000004</v>
      </c>
      <c r="HL41" s="21">
        <v>6.1249200000000004</v>
      </c>
      <c r="HM41" s="21">
        <v>6.1249200000000004</v>
      </c>
      <c r="HN41" s="21">
        <v>6.1249200000000004</v>
      </c>
      <c r="HO41" s="21">
        <v>6.1249200000000004</v>
      </c>
      <c r="HP41" s="21">
        <v>6.1249200000000004</v>
      </c>
      <c r="HQ41" s="21">
        <v>6.1249200000000004</v>
      </c>
      <c r="HR41" s="21">
        <v>6.1249200000000004</v>
      </c>
      <c r="HS41" s="21">
        <v>6.1249200000000004</v>
      </c>
      <c r="HT41" s="21">
        <v>6.1249200000000004</v>
      </c>
      <c r="HU41" s="21">
        <v>6.1249200000000004</v>
      </c>
      <c r="HV41" s="21">
        <v>6.1249200000000004</v>
      </c>
      <c r="HW41" s="21">
        <v>6.1249200000000004</v>
      </c>
      <c r="HX41" s="21">
        <v>6.1249200000000004</v>
      </c>
      <c r="HY41" s="21">
        <v>6.1249200000000004</v>
      </c>
      <c r="HZ41" s="21">
        <v>6.1249200000000004</v>
      </c>
      <c r="IA41" s="21">
        <v>6.1249200000000004</v>
      </c>
      <c r="IB41" s="21">
        <v>6.1249200000000004</v>
      </c>
      <c r="IC41" s="21">
        <v>6.1249200000000004</v>
      </c>
      <c r="ID41" s="21">
        <v>6.1249200000000004</v>
      </c>
      <c r="IE41" s="21">
        <v>6.1249200000000004</v>
      </c>
      <c r="IF41" s="21">
        <v>6.1249200000000004</v>
      </c>
      <c r="IG41" s="21">
        <v>6.1249200000000004</v>
      </c>
      <c r="IH41" s="21">
        <v>6.1249200000000004</v>
      </c>
      <c r="II41" s="21">
        <v>6.1249200000000004</v>
      </c>
      <c r="IJ41" s="21">
        <v>6.1249200000000004</v>
      </c>
      <c r="IK41" s="21">
        <v>6.1249200000000004</v>
      </c>
      <c r="IL41" s="21">
        <v>6.1249200000000004</v>
      </c>
      <c r="IM41" s="21">
        <v>6.1249200000000004</v>
      </c>
      <c r="IN41" s="21">
        <v>6.1249200000000004</v>
      </c>
      <c r="IO41" s="21">
        <v>6.1249200000000004</v>
      </c>
      <c r="IP41" s="21">
        <v>6.1249200000000004</v>
      </c>
      <c r="IQ41" s="21">
        <v>6.1249200000000004</v>
      </c>
      <c r="IR41" s="21">
        <v>6.1249200000000004</v>
      </c>
      <c r="IS41" s="21">
        <v>6.1249200000000004</v>
      </c>
      <c r="IT41" s="21">
        <v>6.1249200000000004</v>
      </c>
      <c r="IU41" s="21">
        <v>6.1249200000000004</v>
      </c>
      <c r="IV41" s="21">
        <v>6.1249200000000004</v>
      </c>
      <c r="IW41" s="21">
        <v>6.1249200000000004</v>
      </c>
      <c r="IX41" s="21">
        <v>6.1249200000000004</v>
      </c>
      <c r="IY41" s="21">
        <v>6.1249200000000004</v>
      </c>
      <c r="IZ41" s="21">
        <v>6.1249200000000004</v>
      </c>
      <c r="JA41" s="21">
        <v>6.1249200000000004</v>
      </c>
      <c r="JB41" s="21">
        <v>6.1249200000000004</v>
      </c>
      <c r="JC41" s="21">
        <v>6.1249200000000004</v>
      </c>
      <c r="JD41" s="21">
        <v>6.1249200000000004</v>
      </c>
      <c r="JE41" s="21">
        <v>6.1249200000000004</v>
      </c>
      <c r="JF41" s="21">
        <v>6.1249200000000004</v>
      </c>
      <c r="JG41" s="21">
        <v>6.1249200000000004</v>
      </c>
      <c r="JH41" s="21">
        <v>6.1249200000000004</v>
      </c>
      <c r="JI41" s="21">
        <v>6.1249200000000004</v>
      </c>
      <c r="JJ41" s="21">
        <v>6.1249200000000004</v>
      </c>
      <c r="JK41" s="21">
        <v>6.1249200000000004</v>
      </c>
      <c r="JL41" s="21">
        <v>6.1249200000000004</v>
      </c>
      <c r="JM41" s="21">
        <v>6.1249200000000004</v>
      </c>
      <c r="JN41" s="21">
        <v>6.1249200000000004</v>
      </c>
      <c r="JO41" s="21">
        <v>6.1249200000000004</v>
      </c>
      <c r="JP41" s="21">
        <v>6.1249200000000004</v>
      </c>
      <c r="JQ41" s="21">
        <v>6.1249200000000004</v>
      </c>
      <c r="JR41" s="21">
        <v>6.1249200000000004</v>
      </c>
      <c r="JS41" s="21">
        <v>6.1249200000000004</v>
      </c>
      <c r="JT41" s="21">
        <v>6.1249200000000004</v>
      </c>
      <c r="JU41" s="21">
        <v>6.1249200000000004</v>
      </c>
      <c r="JV41" s="21">
        <v>6.1249200000000004</v>
      </c>
      <c r="JW41" s="21">
        <v>6.1249200000000004</v>
      </c>
      <c r="JX41" s="21">
        <v>6.1249200000000004</v>
      </c>
      <c r="JY41" s="21">
        <v>6.1249200000000004</v>
      </c>
      <c r="JZ41" s="21">
        <v>6.1249200000000004</v>
      </c>
      <c r="KA41" s="21">
        <v>6.1249200000000004</v>
      </c>
      <c r="KB41" s="21">
        <v>6.1249200000000004</v>
      </c>
      <c r="KC41" s="21">
        <v>6.1249200000000004</v>
      </c>
      <c r="KD41" s="21">
        <v>6.1249200000000004</v>
      </c>
      <c r="KE41" s="21">
        <v>6.1249200000000004</v>
      </c>
      <c r="KF41" s="21">
        <v>6.1249200000000004</v>
      </c>
      <c r="KG41" s="21">
        <v>6.1249200000000004</v>
      </c>
      <c r="KH41" s="21">
        <v>6.1249200000000004</v>
      </c>
      <c r="KI41" s="21">
        <v>6.1249200000000004</v>
      </c>
      <c r="KJ41" s="21">
        <v>6.1249200000000004</v>
      </c>
      <c r="KK41" s="21">
        <v>6.1249200000000004</v>
      </c>
      <c r="KL41" s="21">
        <v>6.1249200000000004</v>
      </c>
      <c r="KM41" s="21">
        <v>6.1249200000000004</v>
      </c>
      <c r="KN41" s="21">
        <v>6.1249200000000004</v>
      </c>
      <c r="KO41" s="21">
        <v>6.1249200000000004</v>
      </c>
      <c r="KP41" s="21">
        <v>6.1249200000000004</v>
      </c>
      <c r="KQ41" s="21">
        <v>6.1249200000000004</v>
      </c>
      <c r="KR41" s="21">
        <v>6.1249200000000004</v>
      </c>
      <c r="KS41" s="21">
        <v>6.1249200000000004</v>
      </c>
      <c r="KT41" s="21">
        <v>6.1249200000000004</v>
      </c>
      <c r="KU41" s="21">
        <v>6.1249200000000004</v>
      </c>
      <c r="KV41" s="21">
        <v>6.1249200000000004</v>
      </c>
      <c r="KW41" s="21">
        <v>6.1249200000000004</v>
      </c>
      <c r="KX41" s="21">
        <v>6.1249200000000004</v>
      </c>
      <c r="KY41" s="21">
        <v>6.1249200000000004</v>
      </c>
      <c r="KZ41" s="21">
        <v>6.1249200000000004</v>
      </c>
      <c r="LA41" s="21">
        <v>6.1249200000000004</v>
      </c>
      <c r="LB41" s="21">
        <v>6.1249200000000004</v>
      </c>
      <c r="LC41" s="21">
        <v>6.1249200000000004</v>
      </c>
      <c r="LD41" s="21">
        <v>6.1249200000000004</v>
      </c>
      <c r="LE41" s="21">
        <v>6.1249200000000004</v>
      </c>
      <c r="LF41" s="21">
        <v>6.1249200000000004</v>
      </c>
      <c r="LG41" s="21">
        <v>6.1249200000000004</v>
      </c>
      <c r="LH41" s="21">
        <v>6.1249200000000004</v>
      </c>
      <c r="LI41" s="21">
        <v>6.1249200000000004</v>
      </c>
      <c r="LJ41" s="21">
        <v>6.1249200000000004</v>
      </c>
      <c r="LK41" s="21">
        <v>6.1249200000000004</v>
      </c>
      <c r="LL41" s="21">
        <v>6.1249200000000004</v>
      </c>
      <c r="LM41" s="21">
        <v>6.1249200000000004</v>
      </c>
      <c r="LN41" s="21">
        <v>6.1249200000000004</v>
      </c>
      <c r="LO41" s="21">
        <v>6.1249200000000004</v>
      </c>
      <c r="LP41" s="21">
        <v>6.1249200000000004</v>
      </c>
      <c r="LQ41" s="21">
        <v>6.1249200000000004</v>
      </c>
      <c r="LR41" s="21">
        <v>6.1249200000000004</v>
      </c>
      <c r="LS41" s="21">
        <v>6.1249200000000004</v>
      </c>
      <c r="LT41" s="21">
        <v>6.1249200000000004</v>
      </c>
      <c r="LU41" s="21">
        <v>6.1249200000000004</v>
      </c>
      <c r="LV41" s="21">
        <v>6.1249200000000004</v>
      </c>
      <c r="LW41" s="21">
        <v>6.1249200000000004</v>
      </c>
      <c r="LX41" s="21">
        <v>6.1249200000000004</v>
      </c>
      <c r="LY41" s="21">
        <v>6.1249200000000004</v>
      </c>
      <c r="LZ41" s="21">
        <v>6.1249200000000004</v>
      </c>
      <c r="MA41" s="21">
        <v>6.1249200000000004</v>
      </c>
      <c r="MB41" s="21">
        <v>6.1249200000000004</v>
      </c>
      <c r="MC41" s="21">
        <v>6.1249200000000004</v>
      </c>
      <c r="MD41" s="21">
        <v>6.1249200000000004</v>
      </c>
      <c r="ME41" s="21">
        <v>6.1249200000000004</v>
      </c>
      <c r="MF41" s="21">
        <v>6.1249200000000004</v>
      </c>
      <c r="MG41" s="21">
        <v>6.1249200000000004</v>
      </c>
      <c r="MH41" s="21">
        <v>6.1249200000000004</v>
      </c>
      <c r="MI41" s="21">
        <v>6.1249200000000004</v>
      </c>
      <c r="MJ41" s="21">
        <v>6.1249200000000004</v>
      </c>
      <c r="MK41" s="21">
        <v>6.1249200000000004</v>
      </c>
      <c r="ML41" s="21">
        <v>6.1249200000000004</v>
      </c>
      <c r="MM41" s="21">
        <v>6.1249200000000004</v>
      </c>
      <c r="MN41" s="21">
        <v>6.1249200000000004</v>
      </c>
      <c r="MO41" s="21">
        <v>6.1249200000000004</v>
      </c>
      <c r="MP41" s="21">
        <v>6.1249200000000004</v>
      </c>
      <c r="MQ41" s="21">
        <v>6.1249200000000004</v>
      </c>
      <c r="MR41" s="21">
        <v>6.1249200000000004</v>
      </c>
      <c r="MS41" s="21">
        <v>6.1249200000000004</v>
      </c>
      <c r="MT41" s="21">
        <v>6.1249200000000004</v>
      </c>
      <c r="MU41" s="21">
        <v>6.1249200000000004</v>
      </c>
      <c r="MV41" s="21">
        <v>6.1249200000000004</v>
      </c>
      <c r="MW41" s="21">
        <v>6.1249200000000004</v>
      </c>
      <c r="MX41" s="21">
        <v>6.1249200000000004</v>
      </c>
      <c r="MY41" s="21">
        <v>6.1249200000000004</v>
      </c>
      <c r="MZ41" s="21">
        <v>6.1249200000000004</v>
      </c>
    </row>
    <row r="42" spans="1:364" x14ac:dyDescent="0.25">
      <c r="A42" s="7">
        <f t="shared" si="0"/>
        <v>40</v>
      </c>
      <c r="B42" s="16" t="str">
        <f>+Base!B40</f>
        <v>202402280091A033</v>
      </c>
      <c r="C42" s="75">
        <v>6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8.6176200000000005</v>
      </c>
      <c r="L42" s="21">
        <v>8.6176200000000005</v>
      </c>
      <c r="M42" s="21">
        <v>8.6176200000000005</v>
      </c>
      <c r="N42" s="21">
        <v>8.6176200000000005</v>
      </c>
      <c r="O42" s="21">
        <v>8.6176200000000005</v>
      </c>
      <c r="P42" s="21">
        <v>8.6176200000000005</v>
      </c>
      <c r="Q42" s="21">
        <v>8.6176200000000005</v>
      </c>
      <c r="R42" s="21">
        <v>8.6176200000000005</v>
      </c>
      <c r="S42" s="21">
        <v>8.6176200000000005</v>
      </c>
      <c r="T42" s="21">
        <v>8.6176200000000005</v>
      </c>
      <c r="U42" s="21">
        <v>8.6176200000000005</v>
      </c>
      <c r="V42" s="21">
        <v>8.6176200000000005</v>
      </c>
      <c r="W42" s="21">
        <v>8.6176200000000005</v>
      </c>
      <c r="X42" s="21">
        <v>8.6176200000000005</v>
      </c>
      <c r="Y42" s="21">
        <v>8.6176200000000005</v>
      </c>
      <c r="Z42" s="21">
        <v>8.6176200000000005</v>
      </c>
      <c r="AA42" s="21">
        <v>8.6176200000000005</v>
      </c>
      <c r="AB42" s="21">
        <v>8.6176200000000005</v>
      </c>
      <c r="AC42" s="21">
        <v>8.6176200000000005</v>
      </c>
      <c r="AD42" s="21">
        <v>8.6176200000000005</v>
      </c>
      <c r="AE42" s="21">
        <v>8.6176200000000005</v>
      </c>
      <c r="AF42" s="21">
        <v>8.6176200000000005</v>
      </c>
      <c r="AG42" s="21">
        <v>8.6176200000000005</v>
      </c>
      <c r="AH42" s="21">
        <v>8.6176200000000005</v>
      </c>
      <c r="AI42" s="21">
        <v>8.6176200000000005</v>
      </c>
      <c r="AJ42" s="21">
        <v>8.6176200000000005</v>
      </c>
      <c r="AK42" s="21">
        <v>8.6176200000000005</v>
      </c>
      <c r="AL42" s="21">
        <v>8.6176200000000005</v>
      </c>
      <c r="AM42" s="21">
        <v>8.6176200000000005</v>
      </c>
      <c r="AN42" s="21">
        <v>8.6176200000000005</v>
      </c>
      <c r="AO42" s="21">
        <v>8.6176200000000005</v>
      </c>
      <c r="AP42" s="21">
        <v>8.6176200000000005</v>
      </c>
      <c r="AQ42" s="21">
        <v>8.6176200000000005</v>
      </c>
      <c r="AR42" s="21">
        <v>8.6176200000000005</v>
      </c>
      <c r="AS42" s="21">
        <v>8.6176200000000005</v>
      </c>
      <c r="AT42" s="21">
        <v>8.6176200000000005</v>
      </c>
      <c r="AU42" s="21">
        <v>8.6176200000000005</v>
      </c>
      <c r="AV42" s="21">
        <v>8.6176200000000005</v>
      </c>
      <c r="AW42" s="21">
        <v>8.6176200000000005</v>
      </c>
      <c r="AX42" s="21">
        <v>8.6176200000000005</v>
      </c>
      <c r="AY42" s="21">
        <v>8.6176200000000005</v>
      </c>
      <c r="AZ42" s="21">
        <v>8.6176200000000005</v>
      </c>
      <c r="BA42" s="21">
        <v>8.6176200000000005</v>
      </c>
      <c r="BB42" s="21">
        <v>8.6176200000000005</v>
      </c>
      <c r="BC42" s="21">
        <v>8.6176200000000005</v>
      </c>
      <c r="BD42" s="21">
        <v>8.6176200000000005</v>
      </c>
      <c r="BE42" s="21">
        <v>8.6176200000000005</v>
      </c>
      <c r="BF42" s="21">
        <v>8.6176200000000005</v>
      </c>
      <c r="BG42" s="21">
        <v>8.6176200000000005</v>
      </c>
      <c r="BH42" s="21">
        <v>8.6176200000000005</v>
      </c>
      <c r="BI42" s="21">
        <v>8.6176200000000005</v>
      </c>
      <c r="BJ42" s="21">
        <v>8.6176200000000005</v>
      </c>
      <c r="BK42" s="21">
        <v>8.6176200000000005</v>
      </c>
      <c r="BL42" s="21">
        <v>8.6176200000000005</v>
      </c>
      <c r="BM42" s="21">
        <v>8.6176200000000005</v>
      </c>
      <c r="BN42" s="21">
        <v>8.6176200000000005</v>
      </c>
      <c r="BO42" s="21">
        <v>8.6176200000000005</v>
      </c>
      <c r="BP42" s="21">
        <v>8.6176200000000005</v>
      </c>
      <c r="BQ42" s="21">
        <v>8.6176200000000005</v>
      </c>
      <c r="BR42" s="21">
        <v>8.6176200000000005</v>
      </c>
      <c r="BS42" s="21">
        <v>8.6176200000000005</v>
      </c>
      <c r="BT42" s="21">
        <v>8.6176200000000005</v>
      </c>
      <c r="BU42" s="21">
        <v>8.6176200000000005</v>
      </c>
      <c r="BV42" s="21">
        <v>8.6176200000000005</v>
      </c>
      <c r="BW42" s="21">
        <v>8.6176200000000005</v>
      </c>
      <c r="BX42" s="21">
        <v>8.6176200000000005</v>
      </c>
      <c r="BY42" s="21">
        <v>8.6176200000000005</v>
      </c>
      <c r="BZ42" s="21">
        <v>8.6176200000000005</v>
      </c>
      <c r="CA42" s="21">
        <v>8.6176200000000005</v>
      </c>
      <c r="CB42" s="21">
        <v>8.6176200000000005</v>
      </c>
      <c r="CC42" s="21">
        <v>8.6176200000000005</v>
      </c>
      <c r="CD42" s="21">
        <v>8.6176200000000005</v>
      </c>
      <c r="CE42" s="21">
        <v>8.6176200000000005</v>
      </c>
      <c r="CF42" s="21">
        <v>8.6176200000000005</v>
      </c>
      <c r="CG42" s="21">
        <v>8.6176200000000005</v>
      </c>
      <c r="CH42" s="21">
        <v>8.6176200000000005</v>
      </c>
      <c r="CI42" s="21">
        <v>8.6176200000000005</v>
      </c>
      <c r="CJ42" s="21">
        <v>8.6176200000000005</v>
      </c>
      <c r="CK42" s="21">
        <v>8.6176200000000005</v>
      </c>
      <c r="CL42" s="21">
        <v>8.6176200000000005</v>
      </c>
      <c r="CM42" s="21">
        <v>8.6176200000000005</v>
      </c>
      <c r="CN42" s="21">
        <v>8.6176200000000005</v>
      </c>
      <c r="CO42" s="21">
        <v>8.6176200000000005</v>
      </c>
      <c r="CP42" s="21">
        <v>8.6176200000000005</v>
      </c>
      <c r="CQ42" s="21">
        <v>8.6176200000000005</v>
      </c>
      <c r="CR42" s="21">
        <v>8.6176200000000005</v>
      </c>
      <c r="CS42" s="21">
        <v>8.6176200000000005</v>
      </c>
      <c r="CT42" s="21">
        <v>8.6176200000000005</v>
      </c>
      <c r="CU42" s="21">
        <v>8.6176200000000005</v>
      </c>
      <c r="CV42" s="21">
        <v>8.6176200000000005</v>
      </c>
      <c r="CW42" s="21">
        <v>8.6176200000000005</v>
      </c>
      <c r="CX42" s="21">
        <v>8.6176200000000005</v>
      </c>
      <c r="CY42" s="21">
        <v>8.6176200000000005</v>
      </c>
      <c r="CZ42" s="21">
        <v>8.6176200000000005</v>
      </c>
      <c r="DA42" s="21">
        <v>8.6176200000000005</v>
      </c>
      <c r="DB42" s="21">
        <v>8.6176200000000005</v>
      </c>
      <c r="DC42" s="21">
        <v>8.6176200000000005</v>
      </c>
      <c r="DD42" s="21">
        <v>8.6176200000000005</v>
      </c>
      <c r="DE42" s="21">
        <v>8.6176200000000005</v>
      </c>
      <c r="DF42" s="21">
        <v>8.6176200000000005</v>
      </c>
      <c r="DG42" s="21">
        <v>8.6176200000000005</v>
      </c>
      <c r="DH42" s="21">
        <v>8.6176200000000005</v>
      </c>
      <c r="DI42" s="21">
        <v>8.6176200000000005</v>
      </c>
      <c r="DJ42" s="21">
        <v>8.6176200000000005</v>
      </c>
      <c r="DK42" s="21">
        <v>8.6176200000000005</v>
      </c>
      <c r="DL42" s="21">
        <v>8.6176200000000005</v>
      </c>
      <c r="DM42" s="21">
        <v>8.6176200000000005</v>
      </c>
      <c r="DN42" s="21">
        <v>8.6176200000000005</v>
      </c>
      <c r="DO42" s="21">
        <v>8.6176200000000005</v>
      </c>
      <c r="DP42" s="21">
        <v>8.6176200000000005</v>
      </c>
      <c r="DQ42" s="21">
        <v>8.6176200000000005</v>
      </c>
      <c r="DR42" s="21">
        <v>8.6176200000000005</v>
      </c>
      <c r="DS42" s="21">
        <v>8.6176200000000005</v>
      </c>
      <c r="DT42" s="21">
        <v>8.6176200000000005</v>
      </c>
      <c r="DU42" s="21">
        <v>8.6176200000000005</v>
      </c>
      <c r="DV42" s="21">
        <v>8.6176200000000005</v>
      </c>
      <c r="DW42" s="21">
        <v>8.6176200000000005</v>
      </c>
      <c r="DX42" s="21">
        <v>8.6176200000000005</v>
      </c>
      <c r="DY42" s="21">
        <v>8.6176200000000005</v>
      </c>
      <c r="DZ42" s="21">
        <v>8.6176200000000005</v>
      </c>
      <c r="EA42" s="21">
        <v>8.6176200000000005</v>
      </c>
      <c r="EB42" s="21">
        <v>8.6176200000000005</v>
      </c>
      <c r="EC42" s="21">
        <v>8.6176200000000005</v>
      </c>
      <c r="ED42" s="21">
        <v>8.6176200000000005</v>
      </c>
      <c r="EE42" s="21">
        <v>8.6176200000000005</v>
      </c>
      <c r="EF42" s="21">
        <v>8.6176200000000005</v>
      </c>
      <c r="EG42" s="21">
        <v>8.6176200000000005</v>
      </c>
      <c r="EH42" s="21">
        <v>8.6176200000000005</v>
      </c>
      <c r="EI42" s="21">
        <v>8.6176200000000005</v>
      </c>
      <c r="EJ42" s="21">
        <v>8.6176200000000005</v>
      </c>
      <c r="EK42" s="21">
        <v>8.6176200000000005</v>
      </c>
      <c r="EL42" s="21">
        <v>8.6176200000000005</v>
      </c>
      <c r="EM42" s="21">
        <v>8.6176200000000005</v>
      </c>
      <c r="EN42" s="21">
        <v>8.6176200000000005</v>
      </c>
      <c r="EO42" s="21">
        <v>8.6176200000000005</v>
      </c>
      <c r="EP42" s="21">
        <v>8.6176200000000005</v>
      </c>
      <c r="EQ42" s="21">
        <v>8.6176200000000005</v>
      </c>
      <c r="ER42" s="21">
        <v>8.6176200000000005</v>
      </c>
      <c r="ES42" s="21">
        <v>8.6176200000000005</v>
      </c>
      <c r="ET42" s="21">
        <v>8.6176200000000005</v>
      </c>
      <c r="EU42" s="21">
        <v>8.6176200000000005</v>
      </c>
      <c r="EV42" s="21">
        <v>8.6176200000000005</v>
      </c>
      <c r="EW42" s="21">
        <v>8.6176200000000005</v>
      </c>
      <c r="EX42" s="21">
        <v>8.6176200000000005</v>
      </c>
      <c r="EY42" s="21">
        <v>8.6176200000000005</v>
      </c>
      <c r="EZ42" s="21">
        <v>8.6176200000000005</v>
      </c>
      <c r="FA42" s="21">
        <v>8.6176200000000005</v>
      </c>
      <c r="FB42" s="21">
        <v>8.6176200000000005</v>
      </c>
      <c r="FC42" s="21">
        <v>8.6176200000000005</v>
      </c>
      <c r="FD42" s="21">
        <v>8.6176200000000005</v>
      </c>
      <c r="FE42" s="21">
        <v>8.6176200000000005</v>
      </c>
      <c r="FF42" s="21">
        <v>8.6176200000000005</v>
      </c>
      <c r="FG42" s="21">
        <v>8.6176200000000005</v>
      </c>
      <c r="FH42" s="21">
        <v>8.6176200000000005</v>
      </c>
      <c r="FI42" s="21">
        <v>8.6176200000000005</v>
      </c>
      <c r="FJ42" s="21">
        <v>8.6176200000000005</v>
      </c>
      <c r="FK42" s="21">
        <v>8.6176200000000005</v>
      </c>
      <c r="FL42" s="21">
        <v>8.6176200000000005</v>
      </c>
      <c r="FM42" s="21">
        <v>8.6176200000000005</v>
      </c>
      <c r="FN42" s="21">
        <v>8.6176200000000005</v>
      </c>
      <c r="FO42" s="21">
        <v>8.6176200000000005</v>
      </c>
      <c r="FP42" s="21">
        <v>8.6176200000000005</v>
      </c>
      <c r="FQ42" s="21">
        <v>8.6176200000000005</v>
      </c>
      <c r="FR42" s="21">
        <v>8.6176200000000005</v>
      </c>
      <c r="FS42" s="21">
        <v>8.6176200000000005</v>
      </c>
      <c r="FT42" s="21">
        <v>8.6176200000000005</v>
      </c>
      <c r="FU42" s="21">
        <v>8.6176200000000005</v>
      </c>
      <c r="FV42" s="21">
        <v>8.6176200000000005</v>
      </c>
      <c r="FW42" s="21">
        <v>8.6176200000000005</v>
      </c>
      <c r="FX42" s="21">
        <v>8.6176200000000005</v>
      </c>
      <c r="FY42" s="21">
        <v>8.6176200000000005</v>
      </c>
      <c r="FZ42" s="21">
        <v>8.6176200000000005</v>
      </c>
      <c r="GA42" s="21">
        <v>8.6176200000000005</v>
      </c>
      <c r="GB42" s="21">
        <v>8.6176200000000005</v>
      </c>
      <c r="GC42" s="21">
        <v>8.6176200000000005</v>
      </c>
      <c r="GD42" s="21">
        <v>8.6176200000000005</v>
      </c>
      <c r="GE42" s="21">
        <v>8.6176200000000005</v>
      </c>
      <c r="GF42" s="21">
        <v>8.6176200000000005</v>
      </c>
      <c r="GG42" s="21">
        <v>8.6176200000000005</v>
      </c>
      <c r="GH42" s="21">
        <v>8.6176200000000005</v>
      </c>
      <c r="GI42" s="21">
        <v>8.6176200000000005</v>
      </c>
      <c r="GJ42" s="21">
        <v>8.6176200000000005</v>
      </c>
      <c r="GK42" s="21">
        <v>8.6176200000000005</v>
      </c>
      <c r="GL42" s="21">
        <v>8.6176200000000005</v>
      </c>
      <c r="GM42" s="21">
        <v>8.6176200000000005</v>
      </c>
      <c r="GN42" s="21">
        <v>8.6176200000000005</v>
      </c>
      <c r="GO42" s="21">
        <v>8.6176200000000005</v>
      </c>
      <c r="GP42" s="21">
        <v>8.6176200000000005</v>
      </c>
      <c r="GQ42" s="21">
        <v>8.6176200000000005</v>
      </c>
      <c r="GR42" s="21">
        <v>8.6176200000000005</v>
      </c>
      <c r="GS42" s="21">
        <v>8.6176200000000005</v>
      </c>
      <c r="GT42" s="21">
        <v>8.6176200000000005</v>
      </c>
      <c r="GU42" s="21">
        <v>8.6176200000000005</v>
      </c>
      <c r="GV42" s="21">
        <v>8.6176200000000005</v>
      </c>
      <c r="GW42" s="21">
        <v>8.6176200000000005</v>
      </c>
      <c r="GX42" s="21">
        <v>8.6176200000000005</v>
      </c>
      <c r="GY42" s="21">
        <v>8.6176200000000005</v>
      </c>
      <c r="GZ42" s="21">
        <v>8.6176200000000005</v>
      </c>
      <c r="HA42" s="21">
        <v>8.6176200000000005</v>
      </c>
      <c r="HB42" s="21">
        <v>8.6176200000000005</v>
      </c>
      <c r="HC42" s="21">
        <v>8.6176200000000005</v>
      </c>
      <c r="HD42" s="21">
        <v>8.6176200000000005</v>
      </c>
      <c r="HE42" s="21">
        <v>8.6176200000000005</v>
      </c>
      <c r="HF42" s="21">
        <v>8.6176200000000005</v>
      </c>
      <c r="HG42" s="21">
        <v>8.6176200000000005</v>
      </c>
      <c r="HH42" s="21">
        <v>8.6176200000000005</v>
      </c>
      <c r="HI42" s="21">
        <v>8.6176200000000005</v>
      </c>
      <c r="HJ42" s="21">
        <v>8.6176200000000005</v>
      </c>
      <c r="HK42" s="21">
        <v>8.6176200000000005</v>
      </c>
      <c r="HL42" s="21">
        <v>8.6176200000000005</v>
      </c>
      <c r="HM42" s="21">
        <v>8.6176200000000005</v>
      </c>
      <c r="HN42" s="21">
        <v>8.6176200000000005</v>
      </c>
      <c r="HO42" s="21">
        <v>8.6176200000000005</v>
      </c>
      <c r="HP42" s="21">
        <v>8.6176200000000005</v>
      </c>
      <c r="HQ42" s="21">
        <v>8.6176200000000005</v>
      </c>
      <c r="HR42" s="21">
        <v>8.6176200000000005</v>
      </c>
      <c r="HS42" s="21">
        <v>8.6176200000000005</v>
      </c>
      <c r="HT42" s="21">
        <v>8.6176200000000005</v>
      </c>
      <c r="HU42" s="21">
        <v>8.6176200000000005</v>
      </c>
      <c r="HV42" s="21">
        <v>8.6176200000000005</v>
      </c>
      <c r="HW42" s="21">
        <v>8.6176200000000005</v>
      </c>
      <c r="HX42" s="21">
        <v>8.6176200000000005</v>
      </c>
      <c r="HY42" s="21">
        <v>8.6176200000000005</v>
      </c>
      <c r="HZ42" s="21">
        <v>8.6176200000000005</v>
      </c>
      <c r="IA42" s="21">
        <v>8.6176200000000005</v>
      </c>
      <c r="IB42" s="21">
        <v>8.6176200000000005</v>
      </c>
      <c r="IC42" s="21">
        <v>8.6176200000000005</v>
      </c>
      <c r="ID42" s="21">
        <v>8.6176200000000005</v>
      </c>
      <c r="IE42" s="21">
        <v>8.6176200000000005</v>
      </c>
      <c r="IF42" s="21">
        <v>8.6176200000000005</v>
      </c>
      <c r="IG42" s="21">
        <v>8.6176200000000005</v>
      </c>
      <c r="IH42" s="21">
        <v>8.6176200000000005</v>
      </c>
      <c r="II42" s="21">
        <v>8.6176200000000005</v>
      </c>
      <c r="IJ42" s="21">
        <v>8.6176200000000005</v>
      </c>
      <c r="IK42" s="21">
        <v>8.6176200000000005</v>
      </c>
      <c r="IL42" s="21">
        <v>8.6176200000000005</v>
      </c>
      <c r="IM42" s="21">
        <v>8.6176200000000005</v>
      </c>
      <c r="IN42" s="21">
        <v>8.6176200000000005</v>
      </c>
      <c r="IO42" s="21">
        <v>8.6176200000000005</v>
      </c>
      <c r="IP42" s="21">
        <v>8.6176200000000005</v>
      </c>
      <c r="IQ42" s="21">
        <v>8.6176200000000005</v>
      </c>
      <c r="IR42" s="21">
        <v>8.6176200000000005</v>
      </c>
      <c r="IS42" s="21">
        <v>8.6176200000000005</v>
      </c>
      <c r="IT42" s="21">
        <v>8.6176200000000005</v>
      </c>
      <c r="IU42" s="21">
        <v>8.6176200000000005</v>
      </c>
      <c r="IV42" s="21">
        <v>8.6176200000000005</v>
      </c>
      <c r="IW42" s="21">
        <v>8.6176200000000005</v>
      </c>
      <c r="IX42" s="21">
        <v>8.6176200000000005</v>
      </c>
      <c r="IY42" s="21">
        <v>8.6176200000000005</v>
      </c>
      <c r="IZ42" s="21">
        <v>8.6176200000000005</v>
      </c>
      <c r="JA42" s="21">
        <v>8.6176200000000005</v>
      </c>
      <c r="JB42" s="21">
        <v>8.6176200000000005</v>
      </c>
      <c r="JC42" s="21">
        <v>8.6176200000000005</v>
      </c>
      <c r="JD42" s="21">
        <v>8.6176200000000005</v>
      </c>
      <c r="JE42" s="21">
        <v>8.6176200000000005</v>
      </c>
      <c r="JF42" s="21">
        <v>8.6176200000000005</v>
      </c>
      <c r="JG42" s="21">
        <v>8.6176200000000005</v>
      </c>
      <c r="JH42" s="21">
        <v>8.6176200000000005</v>
      </c>
      <c r="JI42" s="21">
        <v>8.6176200000000005</v>
      </c>
      <c r="JJ42" s="21">
        <v>8.6176200000000005</v>
      </c>
      <c r="JK42" s="21">
        <v>8.6176200000000005</v>
      </c>
      <c r="JL42" s="21">
        <v>8.6176200000000005</v>
      </c>
      <c r="JM42" s="21">
        <v>8.6176200000000005</v>
      </c>
      <c r="JN42" s="21">
        <v>8.6176200000000005</v>
      </c>
      <c r="JO42" s="21">
        <v>8.6176200000000005</v>
      </c>
      <c r="JP42" s="21">
        <v>8.6176200000000005</v>
      </c>
      <c r="JQ42" s="21">
        <v>8.6176200000000005</v>
      </c>
      <c r="JR42" s="21">
        <v>8.6176200000000005</v>
      </c>
      <c r="JS42" s="21">
        <v>8.6176200000000005</v>
      </c>
      <c r="JT42" s="21">
        <v>8.6176200000000005</v>
      </c>
      <c r="JU42" s="21">
        <v>8.6176200000000005</v>
      </c>
      <c r="JV42" s="21">
        <v>8.6176200000000005</v>
      </c>
      <c r="JW42" s="21">
        <v>8.6176200000000005</v>
      </c>
      <c r="JX42" s="21">
        <v>8.6176200000000005</v>
      </c>
      <c r="JY42" s="21">
        <v>8.6176200000000005</v>
      </c>
      <c r="JZ42" s="21">
        <v>8.6176200000000005</v>
      </c>
      <c r="KA42" s="21">
        <v>8.6176200000000005</v>
      </c>
      <c r="KB42" s="21">
        <v>8.6176200000000005</v>
      </c>
      <c r="KC42" s="21">
        <v>8.6176200000000005</v>
      </c>
      <c r="KD42" s="21">
        <v>8.6176200000000005</v>
      </c>
      <c r="KE42" s="21">
        <v>8.6176200000000005</v>
      </c>
      <c r="KF42" s="21">
        <v>8.6176200000000005</v>
      </c>
      <c r="KG42" s="21">
        <v>8.6176200000000005</v>
      </c>
      <c r="KH42" s="21">
        <v>8.6176200000000005</v>
      </c>
      <c r="KI42" s="21">
        <v>8.6176200000000005</v>
      </c>
      <c r="KJ42" s="21">
        <v>8.6176200000000005</v>
      </c>
      <c r="KK42" s="21">
        <v>8.6176200000000005</v>
      </c>
      <c r="KL42" s="21">
        <v>8.6176200000000005</v>
      </c>
      <c r="KM42" s="21">
        <v>8.6176200000000005</v>
      </c>
      <c r="KN42" s="21">
        <v>8.6176200000000005</v>
      </c>
      <c r="KO42" s="21">
        <v>8.6176200000000005</v>
      </c>
      <c r="KP42" s="21">
        <v>8.6176200000000005</v>
      </c>
      <c r="KQ42" s="21">
        <v>8.6176200000000005</v>
      </c>
      <c r="KR42" s="21">
        <v>8.6176200000000005</v>
      </c>
      <c r="KS42" s="21">
        <v>8.6176200000000005</v>
      </c>
      <c r="KT42" s="21">
        <v>8.6176200000000005</v>
      </c>
      <c r="KU42" s="21">
        <v>8.6176200000000005</v>
      </c>
      <c r="KV42" s="21">
        <v>8.6176200000000005</v>
      </c>
      <c r="KW42" s="21">
        <v>8.6176200000000005</v>
      </c>
      <c r="KX42" s="21">
        <v>8.6176200000000005</v>
      </c>
      <c r="KY42" s="21">
        <v>8.6176200000000005</v>
      </c>
      <c r="KZ42" s="21">
        <v>8.6176200000000005</v>
      </c>
      <c r="LA42" s="21">
        <v>8.6176200000000005</v>
      </c>
      <c r="LB42" s="21">
        <v>8.6176200000000005</v>
      </c>
      <c r="LC42" s="21">
        <v>8.6176200000000005</v>
      </c>
      <c r="LD42" s="21">
        <v>8.6176200000000005</v>
      </c>
      <c r="LE42" s="21">
        <v>8.6176200000000005</v>
      </c>
      <c r="LF42" s="21">
        <v>8.6176200000000005</v>
      </c>
      <c r="LG42" s="21">
        <v>8.6176200000000005</v>
      </c>
      <c r="LH42" s="21">
        <v>8.6176200000000005</v>
      </c>
      <c r="LI42" s="21">
        <v>8.6176200000000005</v>
      </c>
      <c r="LJ42" s="21">
        <v>8.6176200000000005</v>
      </c>
      <c r="LK42" s="21">
        <v>8.6176200000000005</v>
      </c>
      <c r="LL42" s="21">
        <v>8.6176200000000005</v>
      </c>
      <c r="LM42" s="21">
        <v>8.6176200000000005</v>
      </c>
      <c r="LN42" s="21">
        <v>8.6176200000000005</v>
      </c>
      <c r="LO42" s="21">
        <v>8.6176200000000005</v>
      </c>
      <c r="LP42" s="21">
        <v>8.6176200000000005</v>
      </c>
      <c r="LQ42" s="21">
        <v>8.6176200000000005</v>
      </c>
      <c r="LR42" s="21">
        <v>8.6176200000000005</v>
      </c>
      <c r="LS42" s="21">
        <v>8.6176200000000005</v>
      </c>
      <c r="LT42" s="21">
        <v>8.6176200000000005</v>
      </c>
      <c r="LU42" s="21">
        <v>8.6176200000000005</v>
      </c>
      <c r="LV42" s="21">
        <v>8.6176200000000005</v>
      </c>
      <c r="LW42" s="21">
        <v>8.6176200000000005</v>
      </c>
      <c r="LX42" s="21">
        <v>8.6176200000000005</v>
      </c>
      <c r="LY42" s="21">
        <v>8.6176200000000005</v>
      </c>
      <c r="LZ42" s="21">
        <v>8.6176200000000005</v>
      </c>
      <c r="MA42" s="21">
        <v>8.6176200000000005</v>
      </c>
      <c r="MB42" s="21">
        <v>8.6176200000000005</v>
      </c>
      <c r="MC42" s="21">
        <v>8.6176200000000005</v>
      </c>
      <c r="MD42" s="21">
        <v>8.6176200000000005</v>
      </c>
      <c r="ME42" s="21">
        <v>8.6176200000000005</v>
      </c>
      <c r="MF42" s="21">
        <v>8.6176200000000005</v>
      </c>
      <c r="MG42" s="21">
        <v>8.6176200000000005</v>
      </c>
      <c r="MH42" s="21">
        <v>8.6176200000000005</v>
      </c>
      <c r="MI42" s="21">
        <v>8.6176200000000005</v>
      </c>
      <c r="MJ42" s="21">
        <v>8.6176200000000005</v>
      </c>
      <c r="MK42" s="21">
        <v>8.6176200000000005</v>
      </c>
      <c r="ML42" s="21">
        <v>8.6176200000000005</v>
      </c>
      <c r="MM42" s="21">
        <v>8.6176200000000005</v>
      </c>
      <c r="MN42" s="21">
        <v>8.6176200000000005</v>
      </c>
      <c r="MO42" s="21">
        <v>8.6176200000000005</v>
      </c>
      <c r="MP42" s="21">
        <v>8.6176200000000005</v>
      </c>
      <c r="MQ42" s="21">
        <v>8.6176200000000005</v>
      </c>
      <c r="MR42" s="21">
        <v>8.6176200000000005</v>
      </c>
      <c r="MS42" s="21">
        <v>8.6176200000000005</v>
      </c>
      <c r="MT42" s="21">
        <v>8.6176200000000005</v>
      </c>
      <c r="MU42" s="21">
        <v>8.6176200000000005</v>
      </c>
      <c r="MV42" s="21">
        <v>8.6176200000000005</v>
      </c>
      <c r="MW42" s="21">
        <v>8.6176200000000005</v>
      </c>
      <c r="MX42" s="21">
        <v>8.6176200000000005</v>
      </c>
      <c r="MY42" s="21">
        <v>8.6176200000000005</v>
      </c>
      <c r="MZ42" s="21">
        <v>8.6176200000000005</v>
      </c>
    </row>
    <row r="43" spans="1:364" x14ac:dyDescent="0.25">
      <c r="A43" s="7">
        <f t="shared" si="0"/>
        <v>41</v>
      </c>
      <c r="B43" s="16" t="str">
        <f>+Base!B41</f>
        <v>202402240093A033</v>
      </c>
      <c r="C43" s="75">
        <v>6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12.249840000000001</v>
      </c>
      <c r="L43" s="21">
        <v>12.249840000000001</v>
      </c>
      <c r="M43" s="21">
        <v>12.249840000000001</v>
      </c>
      <c r="N43" s="21">
        <v>12.249840000000001</v>
      </c>
      <c r="O43" s="21">
        <v>12.249840000000001</v>
      </c>
      <c r="P43" s="21">
        <v>12.249840000000001</v>
      </c>
      <c r="Q43" s="21">
        <v>12.249840000000001</v>
      </c>
      <c r="R43" s="21">
        <v>12.249840000000001</v>
      </c>
      <c r="S43" s="21">
        <v>12.249840000000001</v>
      </c>
      <c r="T43" s="21">
        <v>12.249840000000001</v>
      </c>
      <c r="U43" s="21">
        <v>12.249840000000001</v>
      </c>
      <c r="V43" s="21">
        <v>12.249840000000001</v>
      </c>
      <c r="W43" s="21">
        <v>12.249840000000001</v>
      </c>
      <c r="X43" s="21">
        <v>12.249840000000001</v>
      </c>
      <c r="Y43" s="21">
        <v>12.249840000000001</v>
      </c>
      <c r="Z43" s="21">
        <v>12.249840000000001</v>
      </c>
      <c r="AA43" s="21">
        <v>12.249840000000001</v>
      </c>
      <c r="AB43" s="21">
        <v>12.249840000000001</v>
      </c>
      <c r="AC43" s="21">
        <v>12.249840000000001</v>
      </c>
      <c r="AD43" s="21">
        <v>12.249840000000001</v>
      </c>
      <c r="AE43" s="21">
        <v>12.249840000000001</v>
      </c>
      <c r="AF43" s="21">
        <v>12.249840000000001</v>
      </c>
      <c r="AG43" s="21">
        <v>12.249840000000001</v>
      </c>
      <c r="AH43" s="21">
        <v>12.249840000000001</v>
      </c>
      <c r="AI43" s="21">
        <v>12.249840000000001</v>
      </c>
      <c r="AJ43" s="21">
        <v>12.249840000000001</v>
      </c>
      <c r="AK43" s="21">
        <v>12.249840000000001</v>
      </c>
      <c r="AL43" s="21">
        <v>12.249840000000001</v>
      </c>
      <c r="AM43" s="21">
        <v>12.249840000000001</v>
      </c>
      <c r="AN43" s="21">
        <v>12.249840000000001</v>
      </c>
      <c r="AO43" s="21">
        <v>12.249840000000001</v>
      </c>
      <c r="AP43" s="21">
        <v>12.249840000000001</v>
      </c>
      <c r="AQ43" s="21">
        <v>12.249840000000001</v>
      </c>
      <c r="AR43" s="21">
        <v>12.249840000000001</v>
      </c>
      <c r="AS43" s="21">
        <v>12.249840000000001</v>
      </c>
      <c r="AT43" s="21">
        <v>12.249840000000001</v>
      </c>
      <c r="AU43" s="21">
        <v>12.249840000000001</v>
      </c>
      <c r="AV43" s="21">
        <v>12.249840000000001</v>
      </c>
      <c r="AW43" s="21">
        <v>12.249840000000001</v>
      </c>
      <c r="AX43" s="21">
        <v>12.249840000000001</v>
      </c>
      <c r="AY43" s="21">
        <v>12.249840000000001</v>
      </c>
      <c r="AZ43" s="21">
        <v>12.249840000000001</v>
      </c>
      <c r="BA43" s="21">
        <v>12.249840000000001</v>
      </c>
      <c r="BB43" s="21">
        <v>12.249840000000001</v>
      </c>
      <c r="BC43" s="21">
        <v>12.249840000000001</v>
      </c>
      <c r="BD43" s="21">
        <v>12.249840000000001</v>
      </c>
      <c r="BE43" s="21">
        <v>12.249840000000001</v>
      </c>
      <c r="BF43" s="21">
        <v>12.249840000000001</v>
      </c>
      <c r="BG43" s="21">
        <v>12.249840000000001</v>
      </c>
      <c r="BH43" s="21">
        <v>12.249840000000001</v>
      </c>
      <c r="BI43" s="21">
        <v>12.249840000000001</v>
      </c>
      <c r="BJ43" s="21">
        <v>12.249840000000001</v>
      </c>
      <c r="BK43" s="21">
        <v>12.249840000000001</v>
      </c>
      <c r="BL43" s="21">
        <v>12.249840000000001</v>
      </c>
      <c r="BM43" s="21">
        <v>12.249840000000001</v>
      </c>
      <c r="BN43" s="21">
        <v>12.249840000000001</v>
      </c>
      <c r="BO43" s="21">
        <v>12.249840000000001</v>
      </c>
      <c r="BP43" s="21">
        <v>12.249840000000001</v>
      </c>
      <c r="BQ43" s="21">
        <v>12.249840000000001</v>
      </c>
      <c r="BR43" s="21">
        <v>12.249840000000001</v>
      </c>
      <c r="BS43" s="21">
        <v>12.249840000000001</v>
      </c>
      <c r="BT43" s="21">
        <v>12.249840000000001</v>
      </c>
      <c r="BU43" s="21">
        <v>12.249840000000001</v>
      </c>
      <c r="BV43" s="21">
        <v>12.249840000000001</v>
      </c>
      <c r="BW43" s="21">
        <v>12.249840000000001</v>
      </c>
      <c r="BX43" s="21">
        <v>12.249840000000001</v>
      </c>
      <c r="BY43" s="21">
        <v>12.249840000000001</v>
      </c>
      <c r="BZ43" s="21">
        <v>12.249840000000001</v>
      </c>
      <c r="CA43" s="21">
        <v>12.249840000000001</v>
      </c>
      <c r="CB43" s="21">
        <v>12.249840000000001</v>
      </c>
      <c r="CC43" s="21">
        <v>12.249840000000001</v>
      </c>
      <c r="CD43" s="21">
        <v>12.249840000000001</v>
      </c>
      <c r="CE43" s="21">
        <v>12.249840000000001</v>
      </c>
      <c r="CF43" s="21">
        <v>12.249840000000001</v>
      </c>
      <c r="CG43" s="21">
        <v>12.249840000000001</v>
      </c>
      <c r="CH43" s="21">
        <v>12.249840000000001</v>
      </c>
      <c r="CI43" s="21">
        <v>12.249840000000001</v>
      </c>
      <c r="CJ43" s="21">
        <v>12.249840000000001</v>
      </c>
      <c r="CK43" s="21">
        <v>12.249840000000001</v>
      </c>
      <c r="CL43" s="21">
        <v>12.249840000000001</v>
      </c>
      <c r="CM43" s="21">
        <v>12.249840000000001</v>
      </c>
      <c r="CN43" s="21">
        <v>12.249840000000001</v>
      </c>
      <c r="CO43" s="21">
        <v>12.249840000000001</v>
      </c>
      <c r="CP43" s="21">
        <v>12.249840000000001</v>
      </c>
      <c r="CQ43" s="21">
        <v>12.249840000000001</v>
      </c>
      <c r="CR43" s="21">
        <v>12.249840000000001</v>
      </c>
      <c r="CS43" s="21">
        <v>12.249840000000001</v>
      </c>
      <c r="CT43" s="21">
        <v>12.249840000000001</v>
      </c>
      <c r="CU43" s="21">
        <v>12.249840000000001</v>
      </c>
      <c r="CV43" s="21">
        <v>12.249840000000001</v>
      </c>
      <c r="CW43" s="21">
        <v>12.249840000000001</v>
      </c>
      <c r="CX43" s="21">
        <v>12.249840000000001</v>
      </c>
      <c r="CY43" s="21">
        <v>12.249840000000001</v>
      </c>
      <c r="CZ43" s="21">
        <v>12.249840000000001</v>
      </c>
      <c r="DA43" s="21">
        <v>12.249840000000001</v>
      </c>
      <c r="DB43" s="21">
        <v>12.249840000000001</v>
      </c>
      <c r="DC43" s="21">
        <v>12.249840000000001</v>
      </c>
      <c r="DD43" s="21">
        <v>12.249840000000001</v>
      </c>
      <c r="DE43" s="21">
        <v>12.249840000000001</v>
      </c>
      <c r="DF43" s="21">
        <v>12.249840000000001</v>
      </c>
      <c r="DG43" s="21">
        <v>12.249840000000001</v>
      </c>
      <c r="DH43" s="21">
        <v>12.249840000000001</v>
      </c>
      <c r="DI43" s="21">
        <v>12.249840000000001</v>
      </c>
      <c r="DJ43" s="21">
        <v>12.249840000000001</v>
      </c>
      <c r="DK43" s="21">
        <v>12.249840000000001</v>
      </c>
      <c r="DL43" s="21">
        <v>12.249840000000001</v>
      </c>
      <c r="DM43" s="21">
        <v>12.249840000000001</v>
      </c>
      <c r="DN43" s="21">
        <v>12.249840000000001</v>
      </c>
      <c r="DO43" s="21">
        <v>12.249840000000001</v>
      </c>
      <c r="DP43" s="21">
        <v>12.249840000000001</v>
      </c>
      <c r="DQ43" s="21">
        <v>12.249840000000001</v>
      </c>
      <c r="DR43" s="21">
        <v>12.249840000000001</v>
      </c>
      <c r="DS43" s="21">
        <v>12.249840000000001</v>
      </c>
      <c r="DT43" s="21">
        <v>12.249840000000001</v>
      </c>
      <c r="DU43" s="21">
        <v>12.249840000000001</v>
      </c>
      <c r="DV43" s="21">
        <v>12.249840000000001</v>
      </c>
      <c r="DW43" s="21">
        <v>12.249840000000001</v>
      </c>
      <c r="DX43" s="21">
        <v>12.249840000000001</v>
      </c>
      <c r="DY43" s="21">
        <v>12.249840000000001</v>
      </c>
      <c r="DZ43" s="21">
        <v>12.249840000000001</v>
      </c>
      <c r="EA43" s="21">
        <v>12.249840000000001</v>
      </c>
      <c r="EB43" s="21">
        <v>12.249840000000001</v>
      </c>
      <c r="EC43" s="21">
        <v>12.249840000000001</v>
      </c>
      <c r="ED43" s="21">
        <v>12.249840000000001</v>
      </c>
      <c r="EE43" s="21">
        <v>12.249840000000001</v>
      </c>
      <c r="EF43" s="21">
        <v>12.249840000000001</v>
      </c>
      <c r="EG43" s="21">
        <v>12.249840000000001</v>
      </c>
      <c r="EH43" s="21">
        <v>12.249840000000001</v>
      </c>
      <c r="EI43" s="21">
        <v>12.249840000000001</v>
      </c>
      <c r="EJ43" s="21">
        <v>12.249840000000001</v>
      </c>
      <c r="EK43" s="21">
        <v>12.249840000000001</v>
      </c>
      <c r="EL43" s="21">
        <v>12.249840000000001</v>
      </c>
      <c r="EM43" s="21">
        <v>12.249840000000001</v>
      </c>
      <c r="EN43" s="21">
        <v>12.249840000000001</v>
      </c>
      <c r="EO43" s="21">
        <v>12.249840000000001</v>
      </c>
      <c r="EP43" s="21">
        <v>12.249840000000001</v>
      </c>
      <c r="EQ43" s="21">
        <v>12.249840000000001</v>
      </c>
      <c r="ER43" s="21">
        <v>12.249840000000001</v>
      </c>
      <c r="ES43" s="21">
        <v>12.249840000000001</v>
      </c>
      <c r="ET43" s="21">
        <v>12.249840000000001</v>
      </c>
      <c r="EU43" s="21">
        <v>12.249840000000001</v>
      </c>
      <c r="EV43" s="21">
        <v>12.249840000000001</v>
      </c>
      <c r="EW43" s="21">
        <v>12.249840000000001</v>
      </c>
      <c r="EX43" s="21">
        <v>12.249840000000001</v>
      </c>
      <c r="EY43" s="21">
        <v>12.249840000000001</v>
      </c>
      <c r="EZ43" s="21">
        <v>12.249840000000001</v>
      </c>
      <c r="FA43" s="21">
        <v>12.249840000000001</v>
      </c>
      <c r="FB43" s="21">
        <v>12.249840000000001</v>
      </c>
      <c r="FC43" s="21">
        <v>12.249840000000001</v>
      </c>
      <c r="FD43" s="21">
        <v>12.249840000000001</v>
      </c>
      <c r="FE43" s="21">
        <v>12.249840000000001</v>
      </c>
      <c r="FF43" s="21">
        <v>12.249840000000001</v>
      </c>
      <c r="FG43" s="21">
        <v>12.249840000000001</v>
      </c>
      <c r="FH43" s="21">
        <v>12.249840000000001</v>
      </c>
      <c r="FI43" s="21">
        <v>12.249840000000001</v>
      </c>
      <c r="FJ43" s="21">
        <v>12.249840000000001</v>
      </c>
      <c r="FK43" s="21">
        <v>12.249840000000001</v>
      </c>
      <c r="FL43" s="21">
        <v>12.249840000000001</v>
      </c>
      <c r="FM43" s="21">
        <v>12.249840000000001</v>
      </c>
      <c r="FN43" s="21">
        <v>12.249840000000001</v>
      </c>
      <c r="FO43" s="21">
        <v>12.249840000000001</v>
      </c>
      <c r="FP43" s="21">
        <v>12.249840000000001</v>
      </c>
      <c r="FQ43" s="21">
        <v>12.249840000000001</v>
      </c>
      <c r="FR43" s="21">
        <v>12.249840000000001</v>
      </c>
      <c r="FS43" s="21">
        <v>12.249840000000001</v>
      </c>
      <c r="FT43" s="21">
        <v>12.249840000000001</v>
      </c>
      <c r="FU43" s="21">
        <v>12.249840000000001</v>
      </c>
      <c r="FV43" s="21">
        <v>12.249840000000001</v>
      </c>
      <c r="FW43" s="21">
        <v>12.249840000000001</v>
      </c>
      <c r="FX43" s="21">
        <v>12.249840000000001</v>
      </c>
      <c r="FY43" s="21">
        <v>12.249840000000001</v>
      </c>
      <c r="FZ43" s="21">
        <v>12.249840000000001</v>
      </c>
      <c r="GA43" s="21">
        <v>12.249840000000001</v>
      </c>
      <c r="GB43" s="21">
        <v>12.249840000000001</v>
      </c>
      <c r="GC43" s="21">
        <v>12.249840000000001</v>
      </c>
      <c r="GD43" s="21">
        <v>12.249840000000001</v>
      </c>
      <c r="GE43" s="21">
        <v>12.249840000000001</v>
      </c>
      <c r="GF43" s="21">
        <v>12.249840000000001</v>
      </c>
      <c r="GG43" s="21">
        <v>12.249840000000001</v>
      </c>
      <c r="GH43" s="21">
        <v>12.249840000000001</v>
      </c>
      <c r="GI43" s="21">
        <v>12.249840000000001</v>
      </c>
      <c r="GJ43" s="21">
        <v>12.249840000000001</v>
      </c>
      <c r="GK43" s="21">
        <v>12.249840000000001</v>
      </c>
      <c r="GL43" s="21">
        <v>12.249840000000001</v>
      </c>
      <c r="GM43" s="21">
        <v>12.249840000000001</v>
      </c>
      <c r="GN43" s="21">
        <v>12.249840000000001</v>
      </c>
      <c r="GO43" s="21">
        <v>12.249840000000001</v>
      </c>
      <c r="GP43" s="21">
        <v>12.249840000000001</v>
      </c>
      <c r="GQ43" s="21">
        <v>12.249840000000001</v>
      </c>
      <c r="GR43" s="21">
        <v>12.249840000000001</v>
      </c>
      <c r="GS43" s="21">
        <v>12.249840000000001</v>
      </c>
      <c r="GT43" s="21">
        <v>12.249840000000001</v>
      </c>
      <c r="GU43" s="21">
        <v>12.249840000000001</v>
      </c>
      <c r="GV43" s="21">
        <v>12.249840000000001</v>
      </c>
      <c r="GW43" s="21">
        <v>12.249840000000001</v>
      </c>
      <c r="GX43" s="21">
        <v>12.249840000000001</v>
      </c>
      <c r="GY43" s="21">
        <v>12.249840000000001</v>
      </c>
      <c r="GZ43" s="21">
        <v>12.249840000000001</v>
      </c>
      <c r="HA43" s="21">
        <v>12.249840000000001</v>
      </c>
      <c r="HB43" s="21">
        <v>12.249840000000001</v>
      </c>
      <c r="HC43" s="21">
        <v>12.249840000000001</v>
      </c>
      <c r="HD43" s="21">
        <v>12.249840000000001</v>
      </c>
      <c r="HE43" s="21">
        <v>12.249840000000001</v>
      </c>
      <c r="HF43" s="21">
        <v>12.249840000000001</v>
      </c>
      <c r="HG43" s="21">
        <v>12.249840000000001</v>
      </c>
      <c r="HH43" s="21">
        <v>12.249840000000001</v>
      </c>
      <c r="HI43" s="21">
        <v>12.249840000000001</v>
      </c>
      <c r="HJ43" s="21">
        <v>12.249840000000001</v>
      </c>
      <c r="HK43" s="21">
        <v>12.249840000000001</v>
      </c>
      <c r="HL43" s="21">
        <v>12.249840000000001</v>
      </c>
      <c r="HM43" s="21">
        <v>12.249840000000001</v>
      </c>
      <c r="HN43" s="21">
        <v>12.249840000000001</v>
      </c>
      <c r="HO43" s="21">
        <v>12.249840000000001</v>
      </c>
      <c r="HP43" s="21">
        <v>12.249840000000001</v>
      </c>
      <c r="HQ43" s="21">
        <v>12.249840000000001</v>
      </c>
      <c r="HR43" s="21">
        <v>12.249840000000001</v>
      </c>
      <c r="HS43" s="21">
        <v>12.249840000000001</v>
      </c>
      <c r="HT43" s="21">
        <v>12.249840000000001</v>
      </c>
      <c r="HU43" s="21">
        <v>12.249840000000001</v>
      </c>
      <c r="HV43" s="21">
        <v>12.249840000000001</v>
      </c>
      <c r="HW43" s="21">
        <v>12.249840000000001</v>
      </c>
      <c r="HX43" s="21">
        <v>12.249840000000001</v>
      </c>
      <c r="HY43" s="21">
        <v>12.249840000000001</v>
      </c>
      <c r="HZ43" s="21">
        <v>12.249840000000001</v>
      </c>
      <c r="IA43" s="21">
        <v>12.249840000000001</v>
      </c>
      <c r="IB43" s="21">
        <v>12.249840000000001</v>
      </c>
      <c r="IC43" s="21">
        <v>12.249840000000001</v>
      </c>
      <c r="ID43" s="21">
        <v>12.249840000000001</v>
      </c>
      <c r="IE43" s="21">
        <v>12.249840000000001</v>
      </c>
      <c r="IF43" s="21">
        <v>12.249840000000001</v>
      </c>
      <c r="IG43" s="21">
        <v>12.249840000000001</v>
      </c>
      <c r="IH43" s="21">
        <v>12.249840000000001</v>
      </c>
      <c r="II43" s="21">
        <v>12.249840000000001</v>
      </c>
      <c r="IJ43" s="21">
        <v>12.249840000000001</v>
      </c>
      <c r="IK43" s="21">
        <v>12.249840000000001</v>
      </c>
      <c r="IL43" s="21">
        <v>12.249840000000001</v>
      </c>
      <c r="IM43" s="21">
        <v>12.249840000000001</v>
      </c>
      <c r="IN43" s="21">
        <v>12.249840000000001</v>
      </c>
      <c r="IO43" s="21">
        <v>12.249840000000001</v>
      </c>
      <c r="IP43" s="21">
        <v>12.249840000000001</v>
      </c>
      <c r="IQ43" s="21">
        <v>12.249840000000001</v>
      </c>
      <c r="IR43" s="21">
        <v>12.249840000000001</v>
      </c>
      <c r="IS43" s="21">
        <v>12.249840000000001</v>
      </c>
      <c r="IT43" s="21">
        <v>12.249840000000001</v>
      </c>
      <c r="IU43" s="21">
        <v>12.249840000000001</v>
      </c>
      <c r="IV43" s="21">
        <v>12.249840000000001</v>
      </c>
      <c r="IW43" s="21">
        <v>12.249840000000001</v>
      </c>
      <c r="IX43" s="21">
        <v>12.249840000000001</v>
      </c>
      <c r="IY43" s="21">
        <v>12.249840000000001</v>
      </c>
      <c r="IZ43" s="21">
        <v>12.249840000000001</v>
      </c>
      <c r="JA43" s="21">
        <v>12.249840000000001</v>
      </c>
      <c r="JB43" s="21">
        <v>12.249840000000001</v>
      </c>
      <c r="JC43" s="21">
        <v>12.249840000000001</v>
      </c>
      <c r="JD43" s="21">
        <v>12.249840000000001</v>
      </c>
      <c r="JE43" s="21">
        <v>12.249840000000001</v>
      </c>
      <c r="JF43" s="21">
        <v>12.249840000000001</v>
      </c>
      <c r="JG43" s="21">
        <v>12.249840000000001</v>
      </c>
      <c r="JH43" s="21">
        <v>12.249840000000001</v>
      </c>
      <c r="JI43" s="21">
        <v>12.249840000000001</v>
      </c>
      <c r="JJ43" s="21">
        <v>12.249840000000001</v>
      </c>
      <c r="JK43" s="21">
        <v>12.249840000000001</v>
      </c>
      <c r="JL43" s="21">
        <v>12.249840000000001</v>
      </c>
      <c r="JM43" s="21">
        <v>12.249840000000001</v>
      </c>
      <c r="JN43" s="21">
        <v>12.249840000000001</v>
      </c>
      <c r="JO43" s="21">
        <v>12.249840000000001</v>
      </c>
      <c r="JP43" s="21">
        <v>12.249840000000001</v>
      </c>
      <c r="JQ43" s="21">
        <v>12.249840000000001</v>
      </c>
      <c r="JR43" s="21">
        <v>12.249840000000001</v>
      </c>
      <c r="JS43" s="21">
        <v>12.249840000000001</v>
      </c>
      <c r="JT43" s="21">
        <v>12.249840000000001</v>
      </c>
      <c r="JU43" s="21">
        <v>12.249840000000001</v>
      </c>
      <c r="JV43" s="21">
        <v>12.249840000000001</v>
      </c>
      <c r="JW43" s="21">
        <v>12.249840000000001</v>
      </c>
      <c r="JX43" s="21">
        <v>12.249840000000001</v>
      </c>
      <c r="JY43" s="21">
        <v>12.249840000000001</v>
      </c>
      <c r="JZ43" s="21">
        <v>12.249840000000001</v>
      </c>
      <c r="KA43" s="21">
        <v>12.249840000000001</v>
      </c>
      <c r="KB43" s="21">
        <v>12.249840000000001</v>
      </c>
      <c r="KC43" s="21">
        <v>12.249840000000001</v>
      </c>
      <c r="KD43" s="21">
        <v>12.249840000000001</v>
      </c>
      <c r="KE43" s="21">
        <v>12.249840000000001</v>
      </c>
      <c r="KF43" s="21">
        <v>12.249840000000001</v>
      </c>
      <c r="KG43" s="21">
        <v>12.249840000000001</v>
      </c>
      <c r="KH43" s="21">
        <v>12.249840000000001</v>
      </c>
      <c r="KI43" s="21">
        <v>12.249840000000001</v>
      </c>
      <c r="KJ43" s="21">
        <v>12.249840000000001</v>
      </c>
      <c r="KK43" s="21">
        <v>12.249840000000001</v>
      </c>
      <c r="KL43" s="21">
        <v>12.249840000000001</v>
      </c>
      <c r="KM43" s="21">
        <v>12.249840000000001</v>
      </c>
      <c r="KN43" s="21">
        <v>12.249840000000001</v>
      </c>
      <c r="KO43" s="21">
        <v>12.249840000000001</v>
      </c>
      <c r="KP43" s="21">
        <v>12.249840000000001</v>
      </c>
      <c r="KQ43" s="21">
        <v>12.249840000000001</v>
      </c>
      <c r="KR43" s="21">
        <v>12.249840000000001</v>
      </c>
      <c r="KS43" s="21">
        <v>12.249840000000001</v>
      </c>
      <c r="KT43" s="21">
        <v>12.249840000000001</v>
      </c>
      <c r="KU43" s="21">
        <v>12.249840000000001</v>
      </c>
      <c r="KV43" s="21">
        <v>12.249840000000001</v>
      </c>
      <c r="KW43" s="21">
        <v>12.249840000000001</v>
      </c>
      <c r="KX43" s="21">
        <v>12.249840000000001</v>
      </c>
      <c r="KY43" s="21">
        <v>12.249840000000001</v>
      </c>
      <c r="KZ43" s="21">
        <v>12.249840000000001</v>
      </c>
      <c r="LA43" s="21">
        <v>12.249840000000001</v>
      </c>
      <c r="LB43" s="21">
        <v>12.249840000000001</v>
      </c>
      <c r="LC43" s="21">
        <v>12.249840000000001</v>
      </c>
      <c r="LD43" s="21">
        <v>12.249840000000001</v>
      </c>
      <c r="LE43" s="21">
        <v>12.249840000000001</v>
      </c>
      <c r="LF43" s="21">
        <v>12.249840000000001</v>
      </c>
      <c r="LG43" s="21">
        <v>12.249840000000001</v>
      </c>
      <c r="LH43" s="21">
        <v>12.249840000000001</v>
      </c>
      <c r="LI43" s="21">
        <v>12.249840000000001</v>
      </c>
      <c r="LJ43" s="21">
        <v>12.249840000000001</v>
      </c>
      <c r="LK43" s="21">
        <v>12.249840000000001</v>
      </c>
      <c r="LL43" s="21">
        <v>12.249840000000001</v>
      </c>
      <c r="LM43" s="21">
        <v>12.249840000000001</v>
      </c>
      <c r="LN43" s="21">
        <v>12.249840000000001</v>
      </c>
      <c r="LO43" s="21">
        <v>12.249840000000001</v>
      </c>
      <c r="LP43" s="21">
        <v>12.249840000000001</v>
      </c>
      <c r="LQ43" s="21">
        <v>12.249840000000001</v>
      </c>
      <c r="LR43" s="21">
        <v>12.249840000000001</v>
      </c>
      <c r="LS43" s="21">
        <v>12.249840000000001</v>
      </c>
      <c r="LT43" s="21">
        <v>12.249840000000001</v>
      </c>
      <c r="LU43" s="21">
        <v>12.249840000000001</v>
      </c>
      <c r="LV43" s="21">
        <v>12.249840000000001</v>
      </c>
      <c r="LW43" s="21">
        <v>12.249840000000001</v>
      </c>
      <c r="LX43" s="21">
        <v>12.249840000000001</v>
      </c>
      <c r="LY43" s="21">
        <v>12.249840000000001</v>
      </c>
      <c r="LZ43" s="21">
        <v>12.249840000000001</v>
      </c>
      <c r="MA43" s="21">
        <v>12.249840000000001</v>
      </c>
      <c r="MB43" s="21">
        <v>12.249840000000001</v>
      </c>
      <c r="MC43" s="21">
        <v>12.249840000000001</v>
      </c>
      <c r="MD43" s="21">
        <v>12.249840000000001</v>
      </c>
      <c r="ME43" s="21">
        <v>12.249840000000001</v>
      </c>
      <c r="MF43" s="21">
        <v>12.249840000000001</v>
      </c>
      <c r="MG43" s="21">
        <v>12.249840000000001</v>
      </c>
      <c r="MH43" s="21">
        <v>12.249840000000001</v>
      </c>
      <c r="MI43" s="21">
        <v>12.249840000000001</v>
      </c>
      <c r="MJ43" s="21">
        <v>12.249840000000001</v>
      </c>
      <c r="MK43" s="21">
        <v>12.249840000000001</v>
      </c>
      <c r="ML43" s="21">
        <v>12.249840000000001</v>
      </c>
      <c r="MM43" s="21">
        <v>12.249840000000001</v>
      </c>
      <c r="MN43" s="21">
        <v>12.249840000000001</v>
      </c>
      <c r="MO43" s="21">
        <v>12.249840000000001</v>
      </c>
      <c r="MP43" s="21">
        <v>12.249840000000001</v>
      </c>
      <c r="MQ43" s="21">
        <v>12.249840000000001</v>
      </c>
      <c r="MR43" s="21">
        <v>12.249840000000001</v>
      </c>
      <c r="MS43" s="21">
        <v>12.249840000000001</v>
      </c>
      <c r="MT43" s="21">
        <v>12.249840000000001</v>
      </c>
      <c r="MU43" s="21">
        <v>12.249840000000001</v>
      </c>
      <c r="MV43" s="21">
        <v>12.249840000000001</v>
      </c>
      <c r="MW43" s="21">
        <v>12.249840000000001</v>
      </c>
      <c r="MX43" s="21">
        <v>12.249840000000001</v>
      </c>
      <c r="MY43" s="21">
        <v>12.249840000000001</v>
      </c>
      <c r="MZ43" s="21">
        <v>12.249840000000001</v>
      </c>
    </row>
    <row r="44" spans="1:364" x14ac:dyDescent="0.25">
      <c r="A44" s="7">
        <f t="shared" si="0"/>
        <v>42</v>
      </c>
      <c r="B44" s="16" t="str">
        <f>+Base!B42</f>
        <v>202402270094A033</v>
      </c>
      <c r="C44" s="75">
        <v>6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11.890515000000001</v>
      </c>
      <c r="L44" s="21">
        <v>11.890515000000001</v>
      </c>
      <c r="M44" s="21">
        <v>11.890515000000001</v>
      </c>
      <c r="N44" s="21">
        <v>11.890515000000001</v>
      </c>
      <c r="O44" s="21">
        <v>11.890515000000001</v>
      </c>
      <c r="P44" s="21">
        <v>11.890515000000001</v>
      </c>
      <c r="Q44" s="21">
        <v>11.890515000000001</v>
      </c>
      <c r="R44" s="21">
        <v>11.890515000000001</v>
      </c>
      <c r="S44" s="21">
        <v>11.890515000000001</v>
      </c>
      <c r="T44" s="21">
        <v>11.890515000000001</v>
      </c>
      <c r="U44" s="21">
        <v>11.890515000000001</v>
      </c>
      <c r="V44" s="21">
        <v>11.890515000000001</v>
      </c>
      <c r="W44" s="21">
        <v>11.890515000000001</v>
      </c>
      <c r="X44" s="21">
        <v>11.890515000000001</v>
      </c>
      <c r="Y44" s="21">
        <v>11.890515000000001</v>
      </c>
      <c r="Z44" s="21">
        <v>11.890515000000001</v>
      </c>
      <c r="AA44" s="21">
        <v>11.890515000000001</v>
      </c>
      <c r="AB44" s="21">
        <v>11.890515000000001</v>
      </c>
      <c r="AC44" s="21">
        <v>11.890515000000001</v>
      </c>
      <c r="AD44" s="21">
        <v>11.890515000000001</v>
      </c>
      <c r="AE44" s="21">
        <v>11.890515000000001</v>
      </c>
      <c r="AF44" s="21">
        <v>11.890515000000001</v>
      </c>
      <c r="AG44" s="21">
        <v>11.890515000000001</v>
      </c>
      <c r="AH44" s="21">
        <v>11.890515000000001</v>
      </c>
      <c r="AI44" s="21">
        <v>11.890515000000001</v>
      </c>
      <c r="AJ44" s="21">
        <v>11.890515000000001</v>
      </c>
      <c r="AK44" s="21">
        <v>11.890515000000001</v>
      </c>
      <c r="AL44" s="21">
        <v>11.890515000000001</v>
      </c>
      <c r="AM44" s="21">
        <v>11.890515000000001</v>
      </c>
      <c r="AN44" s="21">
        <v>11.890515000000001</v>
      </c>
      <c r="AO44" s="21">
        <v>11.890515000000001</v>
      </c>
      <c r="AP44" s="21">
        <v>11.890515000000001</v>
      </c>
      <c r="AQ44" s="21">
        <v>11.890515000000001</v>
      </c>
      <c r="AR44" s="21">
        <v>11.890515000000001</v>
      </c>
      <c r="AS44" s="21">
        <v>11.890515000000001</v>
      </c>
      <c r="AT44" s="21">
        <v>11.890515000000001</v>
      </c>
      <c r="AU44" s="21">
        <v>11.890515000000001</v>
      </c>
      <c r="AV44" s="21">
        <v>11.890515000000001</v>
      </c>
      <c r="AW44" s="21">
        <v>11.890515000000001</v>
      </c>
      <c r="AX44" s="21">
        <v>11.890515000000001</v>
      </c>
      <c r="AY44" s="21">
        <v>11.890515000000001</v>
      </c>
      <c r="AZ44" s="21">
        <v>11.890515000000001</v>
      </c>
      <c r="BA44" s="21">
        <v>11.890515000000001</v>
      </c>
      <c r="BB44" s="21">
        <v>11.890515000000001</v>
      </c>
      <c r="BC44" s="21">
        <v>11.890515000000001</v>
      </c>
      <c r="BD44" s="21">
        <v>11.890515000000001</v>
      </c>
      <c r="BE44" s="21">
        <v>11.890515000000001</v>
      </c>
      <c r="BF44" s="21">
        <v>11.890515000000001</v>
      </c>
      <c r="BG44" s="21">
        <v>11.890515000000001</v>
      </c>
      <c r="BH44" s="21">
        <v>11.890515000000001</v>
      </c>
      <c r="BI44" s="21">
        <v>11.890515000000001</v>
      </c>
      <c r="BJ44" s="21">
        <v>11.890515000000001</v>
      </c>
      <c r="BK44" s="21">
        <v>11.890515000000001</v>
      </c>
      <c r="BL44" s="21">
        <v>11.890515000000001</v>
      </c>
      <c r="BM44" s="21">
        <v>11.890515000000001</v>
      </c>
      <c r="BN44" s="21">
        <v>11.890515000000001</v>
      </c>
      <c r="BO44" s="21">
        <v>11.890515000000001</v>
      </c>
      <c r="BP44" s="21">
        <v>11.890515000000001</v>
      </c>
      <c r="BQ44" s="21">
        <v>11.890515000000001</v>
      </c>
      <c r="BR44" s="21">
        <v>11.890515000000001</v>
      </c>
      <c r="BS44" s="21">
        <v>11.890515000000001</v>
      </c>
      <c r="BT44" s="21">
        <v>11.890515000000001</v>
      </c>
      <c r="BU44" s="21">
        <v>11.890515000000001</v>
      </c>
      <c r="BV44" s="21">
        <v>11.890515000000001</v>
      </c>
      <c r="BW44" s="21">
        <v>11.890515000000001</v>
      </c>
      <c r="BX44" s="21">
        <v>11.890515000000001</v>
      </c>
      <c r="BY44" s="21">
        <v>11.890515000000001</v>
      </c>
      <c r="BZ44" s="21">
        <v>11.890515000000001</v>
      </c>
      <c r="CA44" s="21">
        <v>11.890515000000001</v>
      </c>
      <c r="CB44" s="21">
        <v>11.890515000000001</v>
      </c>
      <c r="CC44" s="21">
        <v>11.890515000000001</v>
      </c>
      <c r="CD44" s="21">
        <v>11.890515000000001</v>
      </c>
      <c r="CE44" s="21">
        <v>11.890515000000001</v>
      </c>
      <c r="CF44" s="21">
        <v>11.890515000000001</v>
      </c>
      <c r="CG44" s="21">
        <v>11.890515000000001</v>
      </c>
      <c r="CH44" s="21">
        <v>11.890515000000001</v>
      </c>
      <c r="CI44" s="21">
        <v>11.890515000000001</v>
      </c>
      <c r="CJ44" s="21">
        <v>11.890515000000001</v>
      </c>
      <c r="CK44" s="21">
        <v>11.890515000000001</v>
      </c>
      <c r="CL44" s="21">
        <v>11.890515000000001</v>
      </c>
      <c r="CM44" s="21">
        <v>11.890515000000001</v>
      </c>
      <c r="CN44" s="21">
        <v>11.890515000000001</v>
      </c>
      <c r="CO44" s="21">
        <v>11.890515000000001</v>
      </c>
      <c r="CP44" s="21">
        <v>11.890515000000001</v>
      </c>
      <c r="CQ44" s="21">
        <v>11.890515000000001</v>
      </c>
      <c r="CR44" s="21">
        <v>11.890515000000001</v>
      </c>
      <c r="CS44" s="21">
        <v>11.890515000000001</v>
      </c>
      <c r="CT44" s="21">
        <v>11.890515000000001</v>
      </c>
      <c r="CU44" s="21">
        <v>11.890515000000001</v>
      </c>
      <c r="CV44" s="21">
        <v>11.890515000000001</v>
      </c>
      <c r="CW44" s="21">
        <v>11.890515000000001</v>
      </c>
      <c r="CX44" s="21">
        <v>11.890515000000001</v>
      </c>
      <c r="CY44" s="21">
        <v>11.890515000000001</v>
      </c>
      <c r="CZ44" s="21">
        <v>11.890515000000001</v>
      </c>
      <c r="DA44" s="21">
        <v>11.890515000000001</v>
      </c>
      <c r="DB44" s="21">
        <v>11.890515000000001</v>
      </c>
      <c r="DC44" s="21">
        <v>11.890515000000001</v>
      </c>
      <c r="DD44" s="21">
        <v>11.890515000000001</v>
      </c>
      <c r="DE44" s="21">
        <v>11.890515000000001</v>
      </c>
      <c r="DF44" s="21">
        <v>11.890515000000001</v>
      </c>
      <c r="DG44" s="21">
        <v>11.890515000000001</v>
      </c>
      <c r="DH44" s="21">
        <v>11.890515000000001</v>
      </c>
      <c r="DI44" s="21">
        <v>11.890515000000001</v>
      </c>
      <c r="DJ44" s="21">
        <v>11.890515000000001</v>
      </c>
      <c r="DK44" s="21">
        <v>11.890515000000001</v>
      </c>
      <c r="DL44" s="21">
        <v>11.890515000000001</v>
      </c>
      <c r="DM44" s="21">
        <v>11.890515000000001</v>
      </c>
      <c r="DN44" s="21">
        <v>11.890515000000001</v>
      </c>
      <c r="DO44" s="21">
        <v>11.890515000000001</v>
      </c>
      <c r="DP44" s="21">
        <v>11.890515000000001</v>
      </c>
      <c r="DQ44" s="21">
        <v>11.890515000000001</v>
      </c>
      <c r="DR44" s="21">
        <v>11.890515000000001</v>
      </c>
      <c r="DS44" s="21">
        <v>11.890515000000001</v>
      </c>
      <c r="DT44" s="21">
        <v>11.890515000000001</v>
      </c>
      <c r="DU44" s="21">
        <v>11.890515000000001</v>
      </c>
      <c r="DV44" s="21">
        <v>11.890515000000001</v>
      </c>
      <c r="DW44" s="21">
        <v>11.890515000000001</v>
      </c>
      <c r="DX44" s="21">
        <v>11.890515000000001</v>
      </c>
      <c r="DY44" s="21">
        <v>11.890515000000001</v>
      </c>
      <c r="DZ44" s="21">
        <v>11.890515000000001</v>
      </c>
      <c r="EA44" s="21">
        <v>11.890515000000001</v>
      </c>
      <c r="EB44" s="21">
        <v>11.890515000000001</v>
      </c>
      <c r="EC44" s="21">
        <v>11.890515000000001</v>
      </c>
      <c r="ED44" s="21">
        <v>11.890515000000001</v>
      </c>
      <c r="EE44" s="21">
        <v>11.890515000000001</v>
      </c>
      <c r="EF44" s="21">
        <v>11.890515000000001</v>
      </c>
      <c r="EG44" s="21">
        <v>11.890515000000001</v>
      </c>
      <c r="EH44" s="21">
        <v>11.890515000000001</v>
      </c>
      <c r="EI44" s="21">
        <v>11.890515000000001</v>
      </c>
      <c r="EJ44" s="21">
        <v>11.890515000000001</v>
      </c>
      <c r="EK44" s="21">
        <v>11.890515000000001</v>
      </c>
      <c r="EL44" s="21">
        <v>11.890515000000001</v>
      </c>
      <c r="EM44" s="21">
        <v>11.890515000000001</v>
      </c>
      <c r="EN44" s="21">
        <v>11.890515000000001</v>
      </c>
      <c r="EO44" s="21">
        <v>11.890515000000001</v>
      </c>
      <c r="EP44" s="21">
        <v>11.890515000000001</v>
      </c>
      <c r="EQ44" s="21">
        <v>11.890515000000001</v>
      </c>
      <c r="ER44" s="21">
        <v>11.890515000000001</v>
      </c>
      <c r="ES44" s="21">
        <v>11.890515000000001</v>
      </c>
      <c r="ET44" s="21">
        <v>11.890515000000001</v>
      </c>
      <c r="EU44" s="21">
        <v>11.890515000000001</v>
      </c>
      <c r="EV44" s="21">
        <v>11.890515000000001</v>
      </c>
      <c r="EW44" s="21">
        <v>11.890515000000001</v>
      </c>
      <c r="EX44" s="21">
        <v>11.890515000000001</v>
      </c>
      <c r="EY44" s="21">
        <v>11.890515000000001</v>
      </c>
      <c r="EZ44" s="21">
        <v>11.890515000000001</v>
      </c>
      <c r="FA44" s="21">
        <v>11.890515000000001</v>
      </c>
      <c r="FB44" s="21">
        <v>11.890515000000001</v>
      </c>
      <c r="FC44" s="21">
        <v>11.890515000000001</v>
      </c>
      <c r="FD44" s="21">
        <v>11.890515000000001</v>
      </c>
      <c r="FE44" s="21">
        <v>11.890515000000001</v>
      </c>
      <c r="FF44" s="21">
        <v>11.890515000000001</v>
      </c>
      <c r="FG44" s="21">
        <v>11.890515000000001</v>
      </c>
      <c r="FH44" s="21">
        <v>11.890515000000001</v>
      </c>
      <c r="FI44" s="21">
        <v>11.890515000000001</v>
      </c>
      <c r="FJ44" s="21">
        <v>11.890515000000001</v>
      </c>
      <c r="FK44" s="21">
        <v>11.890515000000001</v>
      </c>
      <c r="FL44" s="21">
        <v>11.890515000000001</v>
      </c>
      <c r="FM44" s="21">
        <v>11.890515000000001</v>
      </c>
      <c r="FN44" s="21">
        <v>11.890515000000001</v>
      </c>
      <c r="FO44" s="21">
        <v>11.890515000000001</v>
      </c>
      <c r="FP44" s="21">
        <v>11.890515000000001</v>
      </c>
      <c r="FQ44" s="21">
        <v>11.890515000000001</v>
      </c>
      <c r="FR44" s="21">
        <v>11.890515000000001</v>
      </c>
      <c r="FS44" s="21">
        <v>11.890515000000001</v>
      </c>
      <c r="FT44" s="21">
        <v>11.890515000000001</v>
      </c>
      <c r="FU44" s="21">
        <v>11.890515000000001</v>
      </c>
      <c r="FV44" s="21">
        <v>11.890515000000001</v>
      </c>
      <c r="FW44" s="21">
        <v>11.890515000000001</v>
      </c>
      <c r="FX44" s="21">
        <v>11.890515000000001</v>
      </c>
      <c r="FY44" s="21">
        <v>11.890515000000001</v>
      </c>
      <c r="FZ44" s="21">
        <v>11.890515000000001</v>
      </c>
      <c r="GA44" s="21">
        <v>11.890515000000001</v>
      </c>
      <c r="GB44" s="21">
        <v>11.890515000000001</v>
      </c>
      <c r="GC44" s="21">
        <v>11.890515000000001</v>
      </c>
      <c r="GD44" s="21">
        <v>11.890515000000001</v>
      </c>
      <c r="GE44" s="21">
        <v>11.890515000000001</v>
      </c>
      <c r="GF44" s="21">
        <v>11.890515000000001</v>
      </c>
      <c r="GG44" s="21">
        <v>11.890515000000001</v>
      </c>
      <c r="GH44" s="21">
        <v>11.890515000000001</v>
      </c>
      <c r="GI44" s="21">
        <v>11.890515000000001</v>
      </c>
      <c r="GJ44" s="21">
        <v>11.890515000000001</v>
      </c>
      <c r="GK44" s="21">
        <v>11.890515000000001</v>
      </c>
      <c r="GL44" s="21">
        <v>11.890515000000001</v>
      </c>
      <c r="GM44" s="21">
        <v>11.890515000000001</v>
      </c>
      <c r="GN44" s="21">
        <v>11.890515000000001</v>
      </c>
      <c r="GO44" s="21">
        <v>11.890515000000001</v>
      </c>
      <c r="GP44" s="21">
        <v>11.890515000000001</v>
      </c>
      <c r="GQ44" s="21">
        <v>11.890515000000001</v>
      </c>
      <c r="GR44" s="21">
        <v>11.890515000000001</v>
      </c>
      <c r="GS44" s="21">
        <v>11.890515000000001</v>
      </c>
      <c r="GT44" s="21">
        <v>11.890515000000001</v>
      </c>
      <c r="GU44" s="21">
        <v>11.890515000000001</v>
      </c>
      <c r="GV44" s="21">
        <v>11.890515000000001</v>
      </c>
      <c r="GW44" s="21">
        <v>11.890515000000001</v>
      </c>
      <c r="GX44" s="21">
        <v>11.890515000000001</v>
      </c>
      <c r="GY44" s="21">
        <v>11.890515000000001</v>
      </c>
      <c r="GZ44" s="21">
        <v>11.890515000000001</v>
      </c>
      <c r="HA44" s="21">
        <v>11.890515000000001</v>
      </c>
      <c r="HB44" s="21">
        <v>11.890515000000001</v>
      </c>
      <c r="HC44" s="21">
        <v>11.890515000000001</v>
      </c>
      <c r="HD44" s="21">
        <v>11.890515000000001</v>
      </c>
      <c r="HE44" s="21">
        <v>11.890515000000001</v>
      </c>
      <c r="HF44" s="21">
        <v>11.890515000000001</v>
      </c>
      <c r="HG44" s="21">
        <v>11.890515000000001</v>
      </c>
      <c r="HH44" s="21">
        <v>11.890515000000001</v>
      </c>
      <c r="HI44" s="21">
        <v>11.890515000000001</v>
      </c>
      <c r="HJ44" s="21">
        <v>11.890515000000001</v>
      </c>
      <c r="HK44" s="21">
        <v>11.890515000000001</v>
      </c>
      <c r="HL44" s="21">
        <v>11.890515000000001</v>
      </c>
      <c r="HM44" s="21">
        <v>11.857754999999999</v>
      </c>
      <c r="HN44" s="21">
        <v>0</v>
      </c>
      <c r="HO44" s="21">
        <v>0</v>
      </c>
      <c r="HP44" s="21">
        <v>0</v>
      </c>
      <c r="HQ44" s="21">
        <v>0</v>
      </c>
      <c r="HR44" s="21">
        <v>0</v>
      </c>
      <c r="HS44" s="21">
        <v>0</v>
      </c>
      <c r="HT44" s="21">
        <v>0</v>
      </c>
      <c r="HU44" s="21">
        <v>0</v>
      </c>
      <c r="HV44" s="21">
        <v>0</v>
      </c>
      <c r="HW44" s="21">
        <v>0</v>
      </c>
      <c r="HX44" s="21">
        <v>0</v>
      </c>
      <c r="HY44" s="21">
        <v>0</v>
      </c>
      <c r="HZ44" s="21">
        <v>0</v>
      </c>
      <c r="IA44" s="21">
        <v>0</v>
      </c>
      <c r="IB44" s="21">
        <v>0</v>
      </c>
      <c r="IC44" s="21">
        <v>0</v>
      </c>
      <c r="ID44" s="21">
        <v>0</v>
      </c>
      <c r="IE44" s="21">
        <v>0</v>
      </c>
      <c r="IF44" s="21">
        <v>0</v>
      </c>
      <c r="IG44" s="21">
        <v>0</v>
      </c>
      <c r="IH44" s="21">
        <v>0</v>
      </c>
      <c r="II44" s="21">
        <v>0</v>
      </c>
      <c r="IJ44" s="21">
        <v>0</v>
      </c>
      <c r="IK44" s="21">
        <v>0</v>
      </c>
      <c r="IL44" s="21">
        <v>0</v>
      </c>
      <c r="IM44" s="21">
        <v>0</v>
      </c>
      <c r="IN44" s="21">
        <v>0</v>
      </c>
      <c r="IO44" s="21">
        <v>0</v>
      </c>
      <c r="IP44" s="21">
        <v>0</v>
      </c>
      <c r="IQ44" s="21">
        <v>0</v>
      </c>
      <c r="IR44" s="21">
        <v>0</v>
      </c>
      <c r="IS44" s="21">
        <v>0</v>
      </c>
      <c r="IT44" s="21">
        <v>0</v>
      </c>
      <c r="IU44" s="21">
        <v>0</v>
      </c>
      <c r="IV44" s="21">
        <v>0</v>
      </c>
      <c r="IW44" s="21">
        <v>0</v>
      </c>
      <c r="IX44" s="21">
        <v>0</v>
      </c>
      <c r="IY44" s="21">
        <v>0</v>
      </c>
      <c r="IZ44" s="21">
        <v>0</v>
      </c>
      <c r="JA44" s="21">
        <v>0</v>
      </c>
      <c r="JB44" s="21">
        <v>0</v>
      </c>
      <c r="JC44" s="21">
        <v>0</v>
      </c>
      <c r="JD44" s="21">
        <v>0</v>
      </c>
      <c r="JE44" s="21">
        <v>0</v>
      </c>
      <c r="JF44" s="21">
        <v>0</v>
      </c>
      <c r="JG44" s="21">
        <v>0</v>
      </c>
      <c r="JH44" s="21">
        <v>0</v>
      </c>
      <c r="JI44" s="21">
        <v>0</v>
      </c>
      <c r="JJ44" s="21">
        <v>0</v>
      </c>
      <c r="JK44" s="21">
        <v>0</v>
      </c>
      <c r="JL44" s="21">
        <v>0</v>
      </c>
      <c r="JM44" s="21">
        <v>0</v>
      </c>
      <c r="JN44" s="21">
        <v>0</v>
      </c>
      <c r="JO44" s="21">
        <v>0</v>
      </c>
      <c r="JP44" s="21">
        <v>0</v>
      </c>
      <c r="JQ44" s="21">
        <v>0</v>
      </c>
      <c r="JR44" s="21">
        <v>0</v>
      </c>
      <c r="JS44" s="21">
        <v>0</v>
      </c>
      <c r="JT44" s="21">
        <v>0</v>
      </c>
      <c r="JU44" s="21">
        <v>0</v>
      </c>
      <c r="JV44" s="21">
        <v>0</v>
      </c>
      <c r="JW44" s="21">
        <v>0</v>
      </c>
      <c r="JX44" s="21">
        <v>0</v>
      </c>
      <c r="JY44" s="21">
        <v>0</v>
      </c>
      <c r="JZ44" s="21">
        <v>0</v>
      </c>
      <c r="KA44" s="21">
        <v>0</v>
      </c>
      <c r="KB44" s="21">
        <v>0</v>
      </c>
      <c r="KC44" s="21">
        <v>0</v>
      </c>
      <c r="KD44" s="21">
        <v>0</v>
      </c>
      <c r="KE44" s="21">
        <v>0</v>
      </c>
      <c r="KF44" s="21">
        <v>0</v>
      </c>
      <c r="KG44" s="21">
        <v>0</v>
      </c>
      <c r="KH44" s="21">
        <v>0</v>
      </c>
      <c r="KI44" s="21">
        <v>0</v>
      </c>
      <c r="KJ44" s="21">
        <v>0</v>
      </c>
      <c r="KK44" s="21">
        <v>0</v>
      </c>
      <c r="KL44" s="21">
        <v>0</v>
      </c>
      <c r="KM44" s="21">
        <v>0</v>
      </c>
      <c r="KN44" s="21">
        <v>0</v>
      </c>
      <c r="KO44" s="21">
        <v>0</v>
      </c>
      <c r="KP44" s="21">
        <v>0</v>
      </c>
      <c r="KQ44" s="21">
        <v>0</v>
      </c>
      <c r="KR44" s="21">
        <v>0</v>
      </c>
      <c r="KS44" s="21">
        <v>0</v>
      </c>
      <c r="KT44" s="21">
        <v>0</v>
      </c>
      <c r="KU44" s="21">
        <v>0</v>
      </c>
      <c r="KV44" s="21">
        <v>0</v>
      </c>
      <c r="KW44" s="21">
        <v>0</v>
      </c>
      <c r="KX44" s="21">
        <v>0</v>
      </c>
      <c r="KY44" s="21">
        <v>0</v>
      </c>
      <c r="KZ44" s="21">
        <v>0</v>
      </c>
      <c r="LA44" s="21">
        <v>0</v>
      </c>
      <c r="LB44" s="21">
        <v>0</v>
      </c>
      <c r="LC44" s="21">
        <v>0</v>
      </c>
      <c r="LD44" s="21">
        <v>0</v>
      </c>
      <c r="LE44" s="21">
        <v>0</v>
      </c>
      <c r="LF44" s="21">
        <v>0</v>
      </c>
      <c r="LG44" s="21">
        <v>0</v>
      </c>
      <c r="LH44" s="21">
        <v>0</v>
      </c>
      <c r="LI44" s="21">
        <v>0</v>
      </c>
      <c r="LJ44" s="21">
        <v>0</v>
      </c>
      <c r="LK44" s="21">
        <v>0</v>
      </c>
      <c r="LL44" s="21">
        <v>0</v>
      </c>
      <c r="LM44" s="21">
        <v>0</v>
      </c>
      <c r="LN44" s="21">
        <v>0</v>
      </c>
      <c r="LO44" s="21">
        <v>0</v>
      </c>
      <c r="LP44" s="21">
        <v>0</v>
      </c>
      <c r="LQ44" s="21">
        <v>0</v>
      </c>
      <c r="LR44" s="21">
        <v>0</v>
      </c>
      <c r="LS44" s="21">
        <v>0</v>
      </c>
      <c r="LT44" s="21">
        <v>0</v>
      </c>
      <c r="LU44" s="21">
        <v>0</v>
      </c>
      <c r="LV44" s="21">
        <v>0</v>
      </c>
      <c r="LW44" s="21">
        <v>0</v>
      </c>
      <c r="LX44" s="21">
        <v>0</v>
      </c>
      <c r="LY44" s="21">
        <v>0</v>
      </c>
      <c r="LZ44" s="21">
        <v>0</v>
      </c>
      <c r="MA44" s="21">
        <v>0</v>
      </c>
      <c r="MB44" s="21">
        <v>0</v>
      </c>
      <c r="MC44" s="21">
        <v>0</v>
      </c>
      <c r="MD44" s="21">
        <v>0</v>
      </c>
      <c r="ME44" s="21">
        <v>0</v>
      </c>
      <c r="MF44" s="21">
        <v>0</v>
      </c>
      <c r="MG44" s="21">
        <v>0</v>
      </c>
      <c r="MH44" s="21">
        <v>0</v>
      </c>
      <c r="MI44" s="21">
        <v>0</v>
      </c>
      <c r="MJ44" s="21">
        <v>0</v>
      </c>
      <c r="MK44" s="21">
        <v>0</v>
      </c>
      <c r="ML44" s="21">
        <v>0</v>
      </c>
      <c r="MM44" s="21">
        <v>0</v>
      </c>
      <c r="MN44" s="21">
        <v>0</v>
      </c>
      <c r="MO44" s="21">
        <v>0</v>
      </c>
      <c r="MP44" s="21">
        <v>0</v>
      </c>
      <c r="MQ44" s="21">
        <v>0</v>
      </c>
      <c r="MR44" s="21">
        <v>0</v>
      </c>
      <c r="MS44" s="21">
        <v>0</v>
      </c>
      <c r="MT44" s="21">
        <v>0</v>
      </c>
      <c r="MU44" s="21">
        <v>0</v>
      </c>
      <c r="MV44" s="21">
        <v>0</v>
      </c>
      <c r="MW44" s="21">
        <v>0</v>
      </c>
      <c r="MX44" s="21">
        <v>0</v>
      </c>
      <c r="MY44" s="21">
        <v>0</v>
      </c>
      <c r="MZ44" s="21">
        <v>0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9"/>
  <sheetViews>
    <sheetView workbookViewId="0">
      <selection activeCell="A40" sqref="A40"/>
    </sheetView>
  </sheetViews>
  <sheetFormatPr defaultColWidth="11.44140625" defaultRowHeight="13.2" x14ac:dyDescent="0.25"/>
  <cols>
    <col min="1" max="1" width="3" bestFit="1" customWidth="1"/>
    <col min="3" max="3" width="12.33203125" bestFit="1" customWidth="1"/>
    <col min="4" max="4" width="11.6640625" bestFit="1" customWidth="1"/>
    <col min="10" max="10" width="37.33203125" bestFit="1" customWidth="1"/>
    <col min="13" max="13" width="12.109375" bestFit="1" customWidth="1"/>
    <col min="14" max="14" width="12.33203125" bestFit="1" customWidth="1"/>
    <col min="15" max="15" width="45.88671875" bestFit="1" customWidth="1"/>
    <col min="16" max="16" width="14.6640625" bestFit="1" customWidth="1"/>
    <col min="17" max="17" width="14.88671875" customWidth="1"/>
    <col min="19" max="19" width="21" bestFit="1" customWidth="1"/>
    <col min="21" max="21" width="12.5546875" bestFit="1" customWidth="1"/>
    <col min="22" max="22" width="12.109375" customWidth="1"/>
  </cols>
  <sheetData>
    <row r="1" spans="1:22" ht="27.6" x14ac:dyDescent="0.3">
      <c r="A1" t="s">
        <v>73</v>
      </c>
      <c r="B1" t="s">
        <v>57</v>
      </c>
      <c r="C1" t="s">
        <v>58</v>
      </c>
      <c r="D1" t="s">
        <v>59</v>
      </c>
      <c r="E1" s="35"/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7</v>
      </c>
      <c r="L1" t="s">
        <v>8</v>
      </c>
      <c r="M1" t="s">
        <v>65</v>
      </c>
      <c r="N1" t="s">
        <v>66</v>
      </c>
      <c r="O1" t="s">
        <v>67</v>
      </c>
      <c r="P1" t="s">
        <v>40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s="42" t="s">
        <v>44</v>
      </c>
    </row>
    <row r="2" spans="1:22" ht="13.8" x14ac:dyDescent="0.3">
      <c r="A2">
        <v>1</v>
      </c>
      <c r="B2">
        <v>8</v>
      </c>
      <c r="C2" t="s">
        <v>46</v>
      </c>
      <c r="D2">
        <v>2019</v>
      </c>
      <c r="E2" s="35">
        <f>Base!Y2</f>
        <v>5.9903111399197684E-3</v>
      </c>
      <c r="F2">
        <f>DAY(E2)</f>
        <v>0</v>
      </c>
      <c r="G2" s="41" t="str">
        <f>TEXT(E2,"mmmm")</f>
        <v>enero</v>
      </c>
      <c r="H2">
        <f>YEAR(E2)</f>
        <v>1900</v>
      </c>
      <c r="I2" t="s">
        <v>74</v>
      </c>
      <c r="J2" t="str">
        <f>Base!H2&amp;" "&amp;Base!F2&amp;" "&amp;Base!G2</f>
        <v>Juan Pablo Bobadilla  Lopez</v>
      </c>
      <c r="K2">
        <v>17993152</v>
      </c>
      <c r="L2" t="str">
        <f>Base!E2</f>
        <v>6</v>
      </c>
      <c r="M2" s="38">
        <f>Base!S2</f>
        <v>0.79318181818181821</v>
      </c>
      <c r="N2" s="39">
        <f>Base!P2</f>
        <v>6.3019179609968834E-3</v>
      </c>
      <c r="O2">
        <f>Base!AF2</f>
        <v>1819.27487880546</v>
      </c>
      <c r="P2" t="str">
        <f>Base!AG2</f>
        <v>Camino La Vara 02600 , Edificio 3, Piso 2, Departamento 211, Estacionamiento 61 Uso y Goce</v>
      </c>
      <c r="Q2" t="str">
        <f>Base!AI2</f>
        <v>Maipo</v>
      </c>
      <c r="R2" t="s">
        <v>74</v>
      </c>
      <c r="S2" t="s">
        <v>76</v>
      </c>
      <c r="T2">
        <v>17455</v>
      </c>
      <c r="U2" t="s">
        <v>88</v>
      </c>
      <c r="V2" s="29" t="s">
        <v>51</v>
      </c>
    </row>
    <row r="3" spans="1:22" ht="13.8" x14ac:dyDescent="0.3">
      <c r="A3">
        <v>2</v>
      </c>
      <c r="B3">
        <v>8</v>
      </c>
      <c r="C3" t="s">
        <v>46</v>
      </c>
      <c r="D3">
        <v>2019</v>
      </c>
      <c r="E3" s="35">
        <f>Base!Y3</f>
        <v>5.9903111399197684E-3</v>
      </c>
      <c r="F3">
        <f t="shared" ref="F3:F49" si="0">DAY(E3)</f>
        <v>0</v>
      </c>
      <c r="G3" s="41" t="str">
        <f t="shared" ref="G3:G49" si="1">TEXT(E3,"mmmm")</f>
        <v>enero</v>
      </c>
      <c r="H3">
        <f t="shared" ref="H3:H49" si="2">YEAR(E3)</f>
        <v>1900</v>
      </c>
      <c r="I3" t="s">
        <v>75</v>
      </c>
      <c r="J3" t="str">
        <f>Base!H3&amp;" "&amp;Base!F3&amp;" "&amp;Base!G3</f>
        <v>Francisco Javier Carrillo Alarcon</v>
      </c>
      <c r="K3">
        <v>17621952</v>
      </c>
      <c r="L3" t="str">
        <f>Base!E3</f>
        <v>8</v>
      </c>
      <c r="M3">
        <f>Base!S3</f>
        <v>0.8</v>
      </c>
      <c r="N3" s="39">
        <f>Base!P3</f>
        <v>6.3019179609968834E-3</v>
      </c>
      <c r="O3">
        <f>Base!AF3</f>
        <v>1835.0200966732466</v>
      </c>
      <c r="P3" t="str">
        <f>Base!AG3</f>
        <v>Camino Segunda Faja Al Volcán 1260, Edificio ALLIPEN, Piso 4, Departamento 403, Estacionamiento 92 Uso y Goce</v>
      </c>
      <c r="Q3" t="str">
        <f>Base!AI3</f>
        <v>Cautín</v>
      </c>
      <c r="R3" t="s">
        <v>74</v>
      </c>
      <c r="S3" t="s">
        <v>55</v>
      </c>
      <c r="T3">
        <v>20884</v>
      </c>
      <c r="U3" t="s">
        <v>89</v>
      </c>
      <c r="V3" s="29" t="s">
        <v>52</v>
      </c>
    </row>
    <row r="4" spans="1:22" ht="13.8" x14ac:dyDescent="0.3">
      <c r="A4">
        <v>3</v>
      </c>
      <c r="B4">
        <v>8</v>
      </c>
      <c r="C4" t="s">
        <v>46</v>
      </c>
      <c r="D4">
        <v>2019</v>
      </c>
      <c r="E4" s="35">
        <f>Base!Y4</f>
        <v>5.9903111399197684E-3</v>
      </c>
      <c r="F4">
        <f t="shared" si="0"/>
        <v>0</v>
      </c>
      <c r="G4" s="41" t="str">
        <f t="shared" si="1"/>
        <v>enero</v>
      </c>
      <c r="H4">
        <f t="shared" si="2"/>
        <v>1900</v>
      </c>
      <c r="I4" t="s">
        <v>74</v>
      </c>
      <c r="J4" t="str">
        <f>Base!H4&amp;" "&amp;Base!F4&amp;" "&amp;Base!G4</f>
        <v>Vicente Tomas Mañan Valenzuela</v>
      </c>
      <c r="K4">
        <v>11660191</v>
      </c>
      <c r="L4" t="str">
        <f>Base!E4</f>
        <v>8</v>
      </c>
      <c r="M4">
        <f>Base!S4</f>
        <v>0.67500000000000004</v>
      </c>
      <c r="N4" s="39">
        <f>Base!P4</f>
        <v>6.3019179609968834E-3</v>
      </c>
      <c r="O4">
        <f>Base!AF4</f>
        <v>1532.1686056029573</v>
      </c>
      <c r="P4" t="str">
        <f>Base!AG4</f>
        <v>Avenida Santa Rosa 13240, Torre 3, Piso 1, Departamento 234</v>
      </c>
      <c r="Q4" t="str">
        <f>Base!AI4</f>
        <v>Santiago</v>
      </c>
      <c r="R4" t="s">
        <v>74</v>
      </c>
      <c r="S4" t="s">
        <v>77</v>
      </c>
      <c r="T4">
        <v>1437</v>
      </c>
      <c r="U4" t="s">
        <v>90</v>
      </c>
      <c r="V4" s="29" t="s">
        <v>53</v>
      </c>
    </row>
    <row r="5" spans="1:22" ht="13.8" x14ac:dyDescent="0.3">
      <c r="A5">
        <v>4</v>
      </c>
      <c r="B5">
        <v>8</v>
      </c>
      <c r="C5" t="s">
        <v>46</v>
      </c>
      <c r="D5">
        <v>2019</v>
      </c>
      <c r="E5" s="35">
        <f>Base!Y5</f>
        <v>5.9903111399197684E-3</v>
      </c>
      <c r="F5">
        <f t="shared" si="0"/>
        <v>0</v>
      </c>
      <c r="G5" s="41" t="str">
        <f t="shared" si="1"/>
        <v>enero</v>
      </c>
      <c r="H5">
        <f t="shared" si="2"/>
        <v>1900</v>
      </c>
      <c r="I5" t="s">
        <v>75</v>
      </c>
      <c r="J5" t="e">
        <f>Base!#REF!&amp;" "&amp;Base!#REF!&amp;" "&amp;Base!#REF!</f>
        <v>#REF!</v>
      </c>
      <c r="K5">
        <v>13289022</v>
      </c>
      <c r="L5" t="str">
        <f>Base!E5</f>
        <v>1</v>
      </c>
      <c r="M5">
        <f>Base!S5</f>
        <v>0.62764166666666665</v>
      </c>
      <c r="N5" s="39">
        <f>Base!P5</f>
        <v>6.3019179609968834E-3</v>
      </c>
      <c r="O5">
        <f>Base!AF5</f>
        <v>1571.6463921709783</v>
      </c>
      <c r="P5" t="str">
        <f>Base!AG5</f>
        <v>Calle Miguel Campino 647, Mz D, Lote 5</v>
      </c>
      <c r="Q5" t="str">
        <f>Base!AI5</f>
        <v>Maipo</v>
      </c>
      <c r="R5" t="s">
        <v>74</v>
      </c>
      <c r="S5" t="s">
        <v>76</v>
      </c>
      <c r="T5">
        <v>22222</v>
      </c>
      <c r="U5" t="s">
        <v>91</v>
      </c>
      <c r="V5" s="29" t="s">
        <v>51</v>
      </c>
    </row>
    <row r="6" spans="1:22" ht="13.8" x14ac:dyDescent="0.3">
      <c r="A6">
        <v>5</v>
      </c>
      <c r="B6">
        <v>8</v>
      </c>
      <c r="C6" t="s">
        <v>46</v>
      </c>
      <c r="D6">
        <v>2019</v>
      </c>
      <c r="E6" s="35">
        <f>Base!Y6</f>
        <v>5.9903111399197684E-3</v>
      </c>
      <c r="F6">
        <f t="shared" si="0"/>
        <v>0</v>
      </c>
      <c r="G6" s="41" t="str">
        <f t="shared" si="1"/>
        <v>enero</v>
      </c>
      <c r="H6">
        <f t="shared" si="2"/>
        <v>1900</v>
      </c>
      <c r="I6" t="s">
        <v>74</v>
      </c>
      <c r="J6" t="str">
        <f>Base!H6&amp;" "&amp;Base!F6&amp;" "&amp;Base!G6</f>
        <v>Danahe Estefani  Carvajal  Guajardo</v>
      </c>
      <c r="K6">
        <v>17914896</v>
      </c>
      <c r="L6" t="str">
        <f>Base!E6</f>
        <v>8</v>
      </c>
      <c r="M6">
        <f>Base!S6</f>
        <v>0.62227602905569013</v>
      </c>
      <c r="N6" s="39">
        <f>Base!P6</f>
        <v>6.3019179609968834E-3</v>
      </c>
      <c r="O6">
        <f>Base!AF6</f>
        <v>1339.7654579412481</v>
      </c>
      <c r="P6" t="str">
        <f>Base!AG6</f>
        <v>Calle Del Toro 658, Mz D, Lote 33</v>
      </c>
      <c r="Q6" t="str">
        <f>Base!AI6</f>
        <v>Maipo</v>
      </c>
      <c r="R6" t="s">
        <v>74</v>
      </c>
      <c r="S6" t="s">
        <v>77</v>
      </c>
      <c r="T6">
        <v>1520</v>
      </c>
      <c r="U6" t="s">
        <v>92</v>
      </c>
      <c r="V6" s="29" t="s">
        <v>53</v>
      </c>
    </row>
    <row r="7" spans="1:22" ht="13.8" x14ac:dyDescent="0.3">
      <c r="A7">
        <v>6</v>
      </c>
      <c r="B7">
        <v>8</v>
      </c>
      <c r="C7" t="s">
        <v>46</v>
      </c>
      <c r="D7">
        <v>2019</v>
      </c>
      <c r="E7" s="35">
        <f>Base!Y7</f>
        <v>5.9903111399197684E-3</v>
      </c>
      <c r="F7">
        <f t="shared" si="0"/>
        <v>0</v>
      </c>
      <c r="G7" s="41" t="str">
        <f t="shared" si="1"/>
        <v>enero</v>
      </c>
      <c r="H7">
        <f t="shared" si="2"/>
        <v>1900</v>
      </c>
      <c r="I7" t="s">
        <v>74</v>
      </c>
      <c r="J7" t="str">
        <f>Base!H7&amp;" "&amp;Base!F7&amp;" "&amp;Base!G7</f>
        <v>Barbara Viviana  Acevedo  Monje</v>
      </c>
      <c r="K7">
        <v>14277619</v>
      </c>
      <c r="L7" t="str">
        <f>Base!E7</f>
        <v>7</v>
      </c>
      <c r="M7">
        <f>Base!S7</f>
        <v>0.64652142857142858</v>
      </c>
      <c r="N7" s="39">
        <f>Base!P7</f>
        <v>6.3019179609968834E-3</v>
      </c>
      <c r="O7">
        <f>Base!AF7</f>
        <v>931.14903457191394</v>
      </c>
      <c r="P7" t="str">
        <f>Base!AG7</f>
        <v>Camino La Vara 02600, Torre 2, Piso 1, Departamento 101</v>
      </c>
      <c r="Q7" t="str">
        <f>Base!AI7</f>
        <v>Maipo</v>
      </c>
      <c r="R7" t="s">
        <v>74</v>
      </c>
      <c r="S7" t="s">
        <v>76</v>
      </c>
      <c r="T7">
        <v>22710</v>
      </c>
      <c r="U7" t="s">
        <v>93</v>
      </c>
      <c r="V7" s="29" t="s">
        <v>51</v>
      </c>
    </row>
    <row r="8" spans="1:22" ht="13.8" x14ac:dyDescent="0.3">
      <c r="A8">
        <v>7</v>
      </c>
      <c r="B8">
        <v>8</v>
      </c>
      <c r="C8" t="s">
        <v>46</v>
      </c>
      <c r="D8">
        <v>2019</v>
      </c>
      <c r="E8" s="35">
        <f>Base!Y8</f>
        <v>5.9903111399197684E-3</v>
      </c>
      <c r="F8">
        <f t="shared" si="0"/>
        <v>0</v>
      </c>
      <c r="G8" s="41" t="str">
        <f t="shared" si="1"/>
        <v>enero</v>
      </c>
      <c r="H8">
        <f t="shared" si="2"/>
        <v>1900</v>
      </c>
      <c r="I8" t="s">
        <v>75</v>
      </c>
      <c r="J8" t="str">
        <f>Base!H8&amp;" "&amp;Base!F8&amp;" "&amp;Base!G8</f>
        <v xml:space="preserve">Carola Del Carmen  Palma  Ponce </v>
      </c>
      <c r="K8">
        <v>15449863</v>
      </c>
      <c r="L8" t="str">
        <f>Base!E8</f>
        <v>4</v>
      </c>
      <c r="M8">
        <f>Base!S8</f>
        <v>0.59898571428571434</v>
      </c>
      <c r="N8" s="39">
        <f>Base!P8</f>
        <v>6.3019179609968834E-3</v>
      </c>
      <c r="O8">
        <f>Base!AF8</f>
        <v>874.56881034913226</v>
      </c>
      <c r="P8" t="str">
        <f>Base!AG8</f>
        <v>Rio Viejo 1123, Torre A, Piso 4, Departamento 407 A</v>
      </c>
      <c r="Q8" t="str">
        <f>Base!AI8</f>
        <v>Diguillín</v>
      </c>
      <c r="R8" t="s">
        <v>74</v>
      </c>
      <c r="S8" t="s">
        <v>76</v>
      </c>
      <c r="T8">
        <v>23038</v>
      </c>
      <c r="U8" t="s">
        <v>94</v>
      </c>
      <c r="V8" s="29" t="s">
        <v>51</v>
      </c>
    </row>
    <row r="9" spans="1:22" ht="13.8" x14ac:dyDescent="0.3">
      <c r="A9">
        <v>8</v>
      </c>
      <c r="B9">
        <v>8</v>
      </c>
      <c r="C9" t="s">
        <v>46</v>
      </c>
      <c r="D9">
        <v>2019</v>
      </c>
      <c r="E9" s="35">
        <f>Base!Y9</f>
        <v>5.9903111399197684E-3</v>
      </c>
      <c r="F9">
        <f t="shared" si="0"/>
        <v>0</v>
      </c>
      <c r="G9" s="41" t="str">
        <f t="shared" si="1"/>
        <v>enero</v>
      </c>
      <c r="H9">
        <f t="shared" si="2"/>
        <v>1900</v>
      </c>
      <c r="I9" t="s">
        <v>75</v>
      </c>
      <c r="J9" t="str">
        <f>Base!H9&amp;" "&amp;Base!F9&amp;" "&amp;Base!G9</f>
        <v>Kevin Joel  Acuña  Mesías</v>
      </c>
      <c r="K9">
        <v>15028168</v>
      </c>
      <c r="L9" t="str">
        <f>Base!E9</f>
        <v>7</v>
      </c>
      <c r="M9">
        <f>Base!S9</f>
        <v>0.57852473118279568</v>
      </c>
      <c r="N9" s="39">
        <f>Base!P9</f>
        <v>6.3019179609968834E-3</v>
      </c>
      <c r="O9">
        <f>Base!AF9</f>
        <v>1377.8830690345776</v>
      </c>
      <c r="P9" t="str">
        <f>Base!AG9</f>
        <v>Pasaje Copiapó Norte 071, Mz B, Lote 50</v>
      </c>
      <c r="Q9" t="str">
        <f>Base!AI9</f>
        <v>Maipo</v>
      </c>
      <c r="R9" t="s">
        <v>74</v>
      </c>
      <c r="S9" t="s">
        <v>76</v>
      </c>
      <c r="T9">
        <v>23061</v>
      </c>
      <c r="U9" t="s">
        <v>95</v>
      </c>
      <c r="V9" s="29" t="s">
        <v>51</v>
      </c>
    </row>
    <row r="10" spans="1:22" ht="13.8" x14ac:dyDescent="0.3">
      <c r="A10">
        <v>9</v>
      </c>
      <c r="B10">
        <v>8</v>
      </c>
      <c r="C10" t="s">
        <v>46</v>
      </c>
      <c r="D10">
        <v>2019</v>
      </c>
      <c r="E10" s="35">
        <f>Base!Y10</f>
        <v>5.9903111399197684E-3</v>
      </c>
      <c r="F10">
        <f t="shared" si="0"/>
        <v>0</v>
      </c>
      <c r="G10" s="41" t="str">
        <f t="shared" si="1"/>
        <v>enero</v>
      </c>
      <c r="H10">
        <f t="shared" si="2"/>
        <v>1900</v>
      </c>
      <c r="I10" t="s">
        <v>75</v>
      </c>
      <c r="J10" t="str">
        <f>Base!H10&amp;" "&amp;Base!F10&amp;" "&amp;Base!G10</f>
        <v>Isabel Damari Valdes Molina</v>
      </c>
      <c r="K10">
        <v>11619168</v>
      </c>
      <c r="L10" t="str">
        <f>Base!E10</f>
        <v>3</v>
      </c>
      <c r="M10">
        <f>Base!S10</f>
        <v>0.51884057971014497</v>
      </c>
      <c r="N10" s="39">
        <f>Base!P10</f>
        <v>6.3019179609968834E-3</v>
      </c>
      <c r="O10">
        <f>Base!AF10</f>
        <v>930.5737757859863</v>
      </c>
      <c r="P10" t="str">
        <f>Base!AG10</f>
        <v>Pasaje Juan Vercellino Reginato 987, Mz E, Lote 9</v>
      </c>
      <c r="Q10" t="str">
        <f>Base!AI10</f>
        <v>Cachapoal</v>
      </c>
      <c r="R10" t="s">
        <v>75</v>
      </c>
      <c r="S10" t="s">
        <v>78</v>
      </c>
      <c r="T10">
        <v>4236</v>
      </c>
      <c r="U10" t="s">
        <v>96</v>
      </c>
      <c r="V10" s="29" t="s">
        <v>53</v>
      </c>
    </row>
    <row r="11" spans="1:22" ht="13.8" x14ac:dyDescent="0.3">
      <c r="A11">
        <v>10</v>
      </c>
      <c r="B11">
        <v>8</v>
      </c>
      <c r="C11" t="s">
        <v>46</v>
      </c>
      <c r="D11">
        <v>2019</v>
      </c>
      <c r="E11" s="35">
        <f>Base!Y11</f>
        <v>5.9903111399197684E-3</v>
      </c>
      <c r="F11">
        <f t="shared" si="0"/>
        <v>0</v>
      </c>
      <c r="G11" s="41" t="str">
        <f t="shared" si="1"/>
        <v>enero</v>
      </c>
      <c r="H11">
        <f t="shared" si="2"/>
        <v>1900</v>
      </c>
      <c r="I11" t="s">
        <v>74</v>
      </c>
      <c r="J11" t="str">
        <f>Base!H11&amp;" "&amp;Base!F11&amp;" "&amp;Base!G11</f>
        <v>Tabita Del Pilar Gonzalez Jaque</v>
      </c>
      <c r="K11">
        <v>10083891</v>
      </c>
      <c r="L11" t="str">
        <f>Base!E11</f>
        <v>5</v>
      </c>
      <c r="M11">
        <f>Base!S11</f>
        <v>0.51884057971014497</v>
      </c>
      <c r="N11" s="39">
        <f>Base!P11</f>
        <v>6.3019179609968834E-3</v>
      </c>
      <c r="O11">
        <f>Base!AF11</f>
        <v>924.16029449931523</v>
      </c>
      <c r="P11" t="str">
        <f>Base!AG11</f>
        <v>Pasaje Elena Sanhueza Fajardo 794, Mz C, Lote 1</v>
      </c>
      <c r="Q11" t="str">
        <f>Base!AI11</f>
        <v>Cachapoal</v>
      </c>
      <c r="R11" t="s">
        <v>74</v>
      </c>
      <c r="S11" t="s">
        <v>76</v>
      </c>
      <c r="T11">
        <v>25520</v>
      </c>
      <c r="U11" t="s">
        <v>97</v>
      </c>
      <c r="V11" s="29" t="s">
        <v>51</v>
      </c>
    </row>
    <row r="12" spans="1:22" ht="13.8" x14ac:dyDescent="0.3">
      <c r="A12">
        <v>11</v>
      </c>
      <c r="B12">
        <v>8</v>
      </c>
      <c r="C12" t="s">
        <v>46</v>
      </c>
      <c r="D12">
        <v>2019</v>
      </c>
      <c r="E12" s="35">
        <f>Base!Y12</f>
        <v>5.9903111399197684E-3</v>
      </c>
      <c r="F12">
        <f t="shared" si="0"/>
        <v>0</v>
      </c>
      <c r="G12" s="41" t="str">
        <f t="shared" si="1"/>
        <v>enero</v>
      </c>
      <c r="H12">
        <f t="shared" si="2"/>
        <v>1900</v>
      </c>
      <c r="I12" t="s">
        <v>74</v>
      </c>
      <c r="J12" t="str">
        <f>Base!H12&amp;" "&amp;Base!F12&amp;" "&amp;Base!G12</f>
        <v>Gino Rexner Ormeno  Salazar</v>
      </c>
      <c r="K12">
        <v>9612906</v>
      </c>
      <c r="L12" t="str">
        <f>Base!E12</f>
        <v>7</v>
      </c>
      <c r="M12">
        <f>Base!S12</f>
        <v>0.72499999999999998</v>
      </c>
      <c r="N12" s="39">
        <f>Base!P12</f>
        <v>6.3019179609968834E-3</v>
      </c>
      <c r="O12">
        <f>Base!AF12</f>
        <v>1663.2551447232813</v>
      </c>
      <c r="P12" t="str">
        <f>Base!AG12</f>
        <v>Pasaje La Cumbre 1 2505, Mz 8, Lote 4</v>
      </c>
      <c r="Q12" t="str">
        <f>Base!AI12</f>
        <v>Biobío</v>
      </c>
      <c r="R12" t="s">
        <v>74</v>
      </c>
      <c r="S12" t="s">
        <v>76</v>
      </c>
      <c r="T12">
        <v>25605</v>
      </c>
      <c r="U12" t="s">
        <v>98</v>
      </c>
      <c r="V12" s="29" t="s">
        <v>51</v>
      </c>
    </row>
    <row r="13" spans="1:22" ht="13.8" x14ac:dyDescent="0.3">
      <c r="A13">
        <v>12</v>
      </c>
      <c r="B13">
        <v>8</v>
      </c>
      <c r="C13" t="s">
        <v>46</v>
      </c>
      <c r="D13">
        <v>2019</v>
      </c>
      <c r="E13" s="35">
        <f>Base!Y13</f>
        <v>5.9903111399197684E-3</v>
      </c>
      <c r="F13">
        <f t="shared" si="0"/>
        <v>0</v>
      </c>
      <c r="G13" s="41" t="str">
        <f t="shared" si="1"/>
        <v>enero</v>
      </c>
      <c r="H13">
        <f t="shared" si="2"/>
        <v>1900</v>
      </c>
      <c r="I13" t="s">
        <v>75</v>
      </c>
      <c r="J13" t="str">
        <f>Base!H13&amp;" "&amp;Base!F13&amp;" "&amp;Base!G13</f>
        <v>Marcela Andrea Osorio Briones</v>
      </c>
      <c r="K13">
        <v>17794314</v>
      </c>
      <c r="L13" t="str">
        <f>Base!E13</f>
        <v>8</v>
      </c>
      <c r="M13">
        <f>Base!S13</f>
        <v>0.51884057971014497</v>
      </c>
      <c r="N13" s="39">
        <f>Base!P13</f>
        <v>6.3019179609968834E-3</v>
      </c>
      <c r="O13">
        <f>Base!AF13</f>
        <v>932.21408729993243</v>
      </c>
      <c r="P13" t="str">
        <f>Base!AG13</f>
        <v>Pasaje Raquel Labarca Urzua 759, Mz C, Lote 9</v>
      </c>
      <c r="Q13" t="str">
        <f>Base!AI13</f>
        <v>Cachapoal</v>
      </c>
      <c r="R13" t="s">
        <v>74</v>
      </c>
      <c r="S13" t="s">
        <v>76</v>
      </c>
      <c r="T13">
        <v>25633</v>
      </c>
      <c r="U13" t="s">
        <v>99</v>
      </c>
      <c r="V13" s="29" t="s">
        <v>51</v>
      </c>
    </row>
    <row r="14" spans="1:22" ht="13.8" x14ac:dyDescent="0.3">
      <c r="A14">
        <v>13</v>
      </c>
      <c r="B14">
        <v>8</v>
      </c>
      <c r="C14" t="s">
        <v>46</v>
      </c>
      <c r="D14">
        <v>2019</v>
      </c>
      <c r="E14" s="35">
        <f>Base!Y14</f>
        <v>5.9903111399197684E-3</v>
      </c>
      <c r="F14">
        <f t="shared" si="0"/>
        <v>0</v>
      </c>
      <c r="G14" s="41" t="str">
        <f t="shared" si="1"/>
        <v>enero</v>
      </c>
      <c r="H14">
        <f t="shared" si="2"/>
        <v>1900</v>
      </c>
      <c r="I14" t="s">
        <v>75</v>
      </c>
      <c r="J14" t="str">
        <f>Base!H14&amp;" "&amp;Base!F14&amp;" "&amp;Base!G14</f>
        <v>Oscar Patricio Lopez Lopez</v>
      </c>
      <c r="K14">
        <v>12739972</v>
      </c>
      <c r="L14" t="str">
        <f>Base!E14</f>
        <v>5</v>
      </c>
      <c r="M14">
        <f>Base!S14</f>
        <v>0.67500000000000004</v>
      </c>
      <c r="N14" s="39">
        <f>Base!P14</f>
        <v>6.3019179609968834E-3</v>
      </c>
      <c r="O14">
        <f>Base!AF14</f>
        <v>1689.0204711500173</v>
      </c>
      <c r="P14" t="str">
        <f>Base!AG14</f>
        <v>Avenida Los Héroes 1328, Mz B, Lote 9</v>
      </c>
      <c r="Q14" t="str">
        <f>Base!AI14</f>
        <v>Maipo</v>
      </c>
      <c r="R14" t="s">
        <v>74</v>
      </c>
      <c r="S14" t="s">
        <v>79</v>
      </c>
      <c r="T14">
        <v>2904</v>
      </c>
      <c r="U14" t="s">
        <v>100</v>
      </c>
      <c r="V14" s="29" t="s">
        <v>48</v>
      </c>
    </row>
    <row r="15" spans="1:22" ht="13.8" x14ac:dyDescent="0.3">
      <c r="A15">
        <v>14</v>
      </c>
      <c r="B15">
        <v>8</v>
      </c>
      <c r="C15" t="s">
        <v>46</v>
      </c>
      <c r="D15">
        <v>2019</v>
      </c>
      <c r="E15" s="35">
        <f>Base!Y15</f>
        <v>5.9903111399197684E-3</v>
      </c>
      <c r="F15">
        <f t="shared" si="0"/>
        <v>0</v>
      </c>
      <c r="G15" s="41" t="str">
        <f t="shared" si="1"/>
        <v>enero</v>
      </c>
      <c r="H15">
        <f t="shared" si="2"/>
        <v>1900</v>
      </c>
      <c r="I15" t="s">
        <v>75</v>
      </c>
      <c r="J15" t="str">
        <f>Base!H15&amp;" "&amp;Base!F15&amp;" "&amp;Base!G15</f>
        <v>Camila Del Carmen  Espinoza Sepúlveda</v>
      </c>
      <c r="K15">
        <v>16147502</v>
      </c>
      <c r="L15" t="str">
        <f>Base!E15</f>
        <v>1</v>
      </c>
      <c r="M15">
        <f>Base!S15</f>
        <v>0.8</v>
      </c>
      <c r="N15" s="39">
        <f>Base!P15</f>
        <v>6.3019179609968834E-3</v>
      </c>
      <c r="O15">
        <f>Base!AF15</f>
        <v>1752.0001753526833</v>
      </c>
      <c r="P15" t="str">
        <f>Base!AG15</f>
        <v>Pedro Riveros 1400, Torre C, Piso 3, Departamento 33</v>
      </c>
      <c r="Q15" t="str">
        <f>Base!AI15</f>
        <v>Santiago</v>
      </c>
      <c r="R15" t="s">
        <v>74</v>
      </c>
      <c r="S15" t="s">
        <v>76</v>
      </c>
      <c r="T15">
        <v>25868</v>
      </c>
      <c r="U15" t="s">
        <v>101</v>
      </c>
      <c r="V15" s="29" t="s">
        <v>51</v>
      </c>
    </row>
    <row r="16" spans="1:22" ht="13.8" x14ac:dyDescent="0.3">
      <c r="A16">
        <v>15</v>
      </c>
      <c r="B16">
        <v>8</v>
      </c>
      <c r="C16" t="s">
        <v>46</v>
      </c>
      <c r="D16">
        <v>2019</v>
      </c>
      <c r="E16" s="35">
        <f>Base!Y16</f>
        <v>5.8731843281445428E-3</v>
      </c>
      <c r="F16">
        <f t="shared" si="0"/>
        <v>0</v>
      </c>
      <c r="G16" s="41" t="str">
        <f t="shared" si="1"/>
        <v>enero</v>
      </c>
      <c r="H16">
        <f t="shared" si="2"/>
        <v>1900</v>
      </c>
      <c r="I16" t="s">
        <v>74</v>
      </c>
      <c r="J16" t="str">
        <f>Base!H16&amp;" "&amp;Base!F16&amp;" "&amp;Base!G16</f>
        <v>Kimberly Lissette Rodriguez Castillo</v>
      </c>
      <c r="K16">
        <v>23697529</v>
      </c>
      <c r="L16" t="str">
        <f>Base!E16</f>
        <v>9</v>
      </c>
      <c r="M16">
        <f>Base!S16</f>
        <v>0.78681818181818186</v>
      </c>
      <c r="N16" s="39">
        <f>Base!P16</f>
        <v>6.1851897679632284E-3</v>
      </c>
      <c r="O16">
        <f>Base!AF16</f>
        <v>1805.1581340613791</v>
      </c>
      <c r="P16" t="str">
        <f>Base!AG16</f>
        <v>Los Abedules 184, Mz 17, Lote 14</v>
      </c>
      <c r="Q16" t="str">
        <f>Base!AI16</f>
        <v>Melipilla</v>
      </c>
      <c r="R16" t="s">
        <v>74</v>
      </c>
      <c r="S16" t="s">
        <v>76</v>
      </c>
      <c r="T16">
        <v>26037</v>
      </c>
      <c r="U16" t="s">
        <v>102</v>
      </c>
      <c r="V16" s="29" t="s">
        <v>51</v>
      </c>
    </row>
    <row r="17" spans="1:22" ht="13.8" x14ac:dyDescent="0.3">
      <c r="A17">
        <v>16</v>
      </c>
      <c r="B17">
        <v>8</v>
      </c>
      <c r="C17" t="s">
        <v>46</v>
      </c>
      <c r="D17">
        <v>2019</v>
      </c>
      <c r="E17" s="35">
        <f>Base!Y17</f>
        <v>5.9903111399197684E-3</v>
      </c>
      <c r="F17">
        <f t="shared" si="0"/>
        <v>0</v>
      </c>
      <c r="G17" s="41" t="str">
        <f t="shared" si="1"/>
        <v>enero</v>
      </c>
      <c r="H17">
        <f t="shared" si="2"/>
        <v>1900</v>
      </c>
      <c r="I17" t="s">
        <v>74</v>
      </c>
      <c r="J17" t="str">
        <f>Base!H17&amp;" "&amp;Base!F17&amp;" "&amp;Base!G17</f>
        <v>Valentina Ignacia Chaud Sobron</v>
      </c>
      <c r="K17">
        <v>19074840</v>
      </c>
      <c r="L17" t="str">
        <f>Base!E17</f>
        <v>K</v>
      </c>
      <c r="M17">
        <f>Base!S17</f>
        <v>0.72602409638554211</v>
      </c>
      <c r="N17" s="39">
        <f>Base!P17</f>
        <v>6.3019179609968834E-3</v>
      </c>
      <c r="O17">
        <f>Base!AF17</f>
        <v>1873.6794530269367</v>
      </c>
      <c r="P17" t="str">
        <f>Base!AG17</f>
        <v>Ejercito De Chile 480, 402-A, Departamento 402-A</v>
      </c>
      <c r="Q17" t="str">
        <f>Base!AI17</f>
        <v>Diguillín</v>
      </c>
      <c r="R17" t="s">
        <v>74</v>
      </c>
      <c r="S17" t="s">
        <v>79</v>
      </c>
      <c r="T17">
        <v>2692</v>
      </c>
      <c r="U17" t="s">
        <v>103</v>
      </c>
      <c r="V17" s="29" t="s">
        <v>48</v>
      </c>
    </row>
    <row r="18" spans="1:22" ht="13.8" x14ac:dyDescent="0.3">
      <c r="A18">
        <v>17</v>
      </c>
      <c r="B18">
        <v>8</v>
      </c>
      <c r="C18" t="s">
        <v>46</v>
      </c>
      <c r="D18">
        <v>2019</v>
      </c>
      <c r="E18" s="35">
        <f>Base!Y18</f>
        <v>5.8028361627453506E-3</v>
      </c>
      <c r="F18">
        <f t="shared" si="0"/>
        <v>0</v>
      </c>
      <c r="G18" s="41" t="str">
        <f t="shared" si="1"/>
        <v>enero</v>
      </c>
      <c r="H18">
        <f t="shared" si="2"/>
        <v>1900</v>
      </c>
      <c r="I18" t="s">
        <v>75</v>
      </c>
      <c r="J18" t="str">
        <f>Base!H18&amp;" "&amp;Base!F18&amp;" "&amp;Base!G18</f>
        <v>Aurora del Carmen Chavez  Fuentes</v>
      </c>
      <c r="K18">
        <v>17758777</v>
      </c>
      <c r="L18" t="str">
        <f>Base!E18</f>
        <v>2</v>
      </c>
      <c r="M18">
        <f>Base!S18</f>
        <v>0.69750000000000001</v>
      </c>
      <c r="N18" s="39">
        <f>Base!P18</f>
        <v>6.1150812860284454E-3</v>
      </c>
      <c r="O18">
        <f>Base!AF18</f>
        <v>1441.8230839367423</v>
      </c>
      <c r="P18" t="str">
        <f>Base!AG18</f>
        <v>Pasaje Roberto Gallegos Delgado 1561, Mz 8, Lote 3</v>
      </c>
      <c r="Q18" t="str">
        <f>Base!AI18</f>
        <v>Biobío</v>
      </c>
      <c r="R18" t="s">
        <v>75</v>
      </c>
      <c r="S18" t="s">
        <v>80</v>
      </c>
      <c r="T18">
        <v>2979</v>
      </c>
      <c r="U18" t="s">
        <v>104</v>
      </c>
      <c r="V18" s="29" t="s">
        <v>48</v>
      </c>
    </row>
    <row r="19" spans="1:22" ht="13.8" x14ac:dyDescent="0.3">
      <c r="A19">
        <v>18</v>
      </c>
      <c r="B19">
        <v>8</v>
      </c>
      <c r="C19" t="s">
        <v>46</v>
      </c>
      <c r="D19">
        <v>2019</v>
      </c>
      <c r="E19" s="35">
        <f>Base!Y19</f>
        <v>5.9903111399197684E-3</v>
      </c>
      <c r="F19">
        <f t="shared" si="0"/>
        <v>0</v>
      </c>
      <c r="G19" s="41" t="str">
        <f t="shared" si="1"/>
        <v>enero</v>
      </c>
      <c r="H19">
        <f t="shared" si="2"/>
        <v>1900</v>
      </c>
      <c r="I19" t="s">
        <v>74</v>
      </c>
      <c r="J19" t="e">
        <f>Base!G19&amp;" "&amp;Base!#REF!&amp;" "&amp;Base!F19</f>
        <v>#REF!</v>
      </c>
      <c r="K19">
        <v>10679812</v>
      </c>
      <c r="L19" t="str">
        <f>Base!E19</f>
        <v>4</v>
      </c>
      <c r="M19">
        <f>Base!S19</f>
        <v>0.6645161290322581</v>
      </c>
      <c r="N19" s="39">
        <f>Base!P19</f>
        <v>6.3019179609968834E-3</v>
      </c>
      <c r="O19">
        <f>Base!AF19</f>
        <v>1581.1036033726252</v>
      </c>
      <c r="P19" t="str">
        <f>Base!AG19</f>
        <v>Calle Grey 790, Mz A, Lote 55</v>
      </c>
      <c r="Q19" t="str">
        <f>Base!AI19</f>
        <v>Maipo</v>
      </c>
      <c r="R19" t="s">
        <v>74</v>
      </c>
      <c r="S19" t="s">
        <v>77</v>
      </c>
      <c r="T19">
        <v>1816</v>
      </c>
      <c r="U19" t="s">
        <v>105</v>
      </c>
      <c r="V19" s="29" t="s">
        <v>53</v>
      </c>
    </row>
    <row r="20" spans="1:22" ht="13.8" x14ac:dyDescent="0.3">
      <c r="A20">
        <v>19</v>
      </c>
      <c r="B20">
        <v>8</v>
      </c>
      <c r="C20" t="s">
        <v>46</v>
      </c>
      <c r="D20">
        <v>2019</v>
      </c>
      <c r="E20" s="35">
        <f>Base!Y20</f>
        <v>5.9903111399197684E-3</v>
      </c>
      <c r="F20">
        <f t="shared" si="0"/>
        <v>0</v>
      </c>
      <c r="G20" s="41" t="str">
        <f t="shared" si="1"/>
        <v>enero</v>
      </c>
      <c r="H20">
        <f t="shared" si="2"/>
        <v>1900</v>
      </c>
      <c r="I20" t="s">
        <v>75</v>
      </c>
      <c r="J20" t="str">
        <f>Base!H20&amp;" "&amp;Base!F20&amp;" "&amp;Base!G20</f>
        <v>Karen Yannina Saavedra Riveros</v>
      </c>
      <c r="K20">
        <v>15373272</v>
      </c>
      <c r="L20" t="str">
        <f>Base!E20</f>
        <v>9</v>
      </c>
      <c r="M20">
        <f>Base!S20</f>
        <v>0.68571428571428572</v>
      </c>
      <c r="N20" s="39">
        <f>Base!P20</f>
        <v>6.3019179609968834E-3</v>
      </c>
      <c r="O20">
        <f>Base!AF20</f>
        <v>989.03177629360027</v>
      </c>
      <c r="P20" t="str">
        <f>Base!AG20</f>
        <v>Av. Cristobal Colon 8551, Edificio 1, Piso 4, Departamento 410</v>
      </c>
      <c r="Q20" t="str">
        <f>Base!AI20</f>
        <v>Concepción</v>
      </c>
      <c r="R20" t="s">
        <v>75</v>
      </c>
      <c r="S20" t="s">
        <v>81</v>
      </c>
      <c r="T20">
        <v>3700</v>
      </c>
      <c r="U20" t="s">
        <v>106</v>
      </c>
      <c r="V20" s="29" t="s">
        <v>54</v>
      </c>
    </row>
    <row r="21" spans="1:22" ht="13.8" x14ac:dyDescent="0.3">
      <c r="A21">
        <v>20</v>
      </c>
      <c r="B21">
        <v>8</v>
      </c>
      <c r="C21" t="s">
        <v>46</v>
      </c>
      <c r="D21">
        <v>2019</v>
      </c>
      <c r="E21" s="35" t="e">
        <f>Base!#REF!</f>
        <v>#REF!</v>
      </c>
      <c r="F21" t="e">
        <f t="shared" si="0"/>
        <v>#REF!</v>
      </c>
      <c r="G21" s="41" t="e">
        <f t="shared" si="1"/>
        <v>#REF!</v>
      </c>
      <c r="H21" t="e">
        <f t="shared" si="2"/>
        <v>#REF!</v>
      </c>
      <c r="I21" t="s">
        <v>75</v>
      </c>
      <c r="J21" t="e">
        <f>Base!#REF!&amp;" "&amp;Base!#REF!&amp;" "&amp;Base!#REF!</f>
        <v>#REF!</v>
      </c>
      <c r="K21">
        <v>13264627</v>
      </c>
      <c r="L21" t="e">
        <f>Base!#REF!</f>
        <v>#REF!</v>
      </c>
      <c r="M21" t="e">
        <f>Base!#REF!</f>
        <v>#REF!</v>
      </c>
      <c r="N21" s="39" t="e">
        <f>Base!#REF!</f>
        <v>#REF!</v>
      </c>
      <c r="O21" t="e">
        <f>Base!#REF!</f>
        <v>#REF!</v>
      </c>
      <c r="P21" t="e">
        <f>Base!#REF!</f>
        <v>#REF!</v>
      </c>
      <c r="Q21" t="e">
        <f>Base!#REF!</f>
        <v>#REF!</v>
      </c>
      <c r="R21" t="s">
        <v>74</v>
      </c>
      <c r="S21" t="s">
        <v>76</v>
      </c>
      <c r="T21">
        <v>26189</v>
      </c>
      <c r="U21" t="s">
        <v>107</v>
      </c>
      <c r="V21" s="29" t="s">
        <v>51</v>
      </c>
    </row>
    <row r="22" spans="1:22" ht="13.8" x14ac:dyDescent="0.3">
      <c r="A22">
        <v>21</v>
      </c>
      <c r="B22">
        <v>8</v>
      </c>
      <c r="C22" t="s">
        <v>46</v>
      </c>
      <c r="D22">
        <v>2019</v>
      </c>
      <c r="E22" s="35" t="e">
        <f>Base!#REF!</f>
        <v>#REF!</v>
      </c>
      <c r="F22" t="e">
        <f t="shared" si="0"/>
        <v>#REF!</v>
      </c>
      <c r="G22" s="41" t="e">
        <f t="shared" si="1"/>
        <v>#REF!</v>
      </c>
      <c r="H22" t="e">
        <f t="shared" si="2"/>
        <v>#REF!</v>
      </c>
      <c r="I22" t="s">
        <v>74</v>
      </c>
      <c r="J22" t="e">
        <f>Base!#REF!&amp;" "&amp;Base!#REF!&amp;" "&amp;Base!#REF!</f>
        <v>#REF!</v>
      </c>
      <c r="K22">
        <v>13027129</v>
      </c>
      <c r="L22" t="e">
        <f>Base!#REF!</f>
        <v>#REF!</v>
      </c>
      <c r="M22" t="e">
        <f>Base!#REF!</f>
        <v>#REF!</v>
      </c>
      <c r="N22" s="39" t="e">
        <f>Base!#REF!</f>
        <v>#REF!</v>
      </c>
      <c r="O22" t="e">
        <f>Base!#REF!</f>
        <v>#REF!</v>
      </c>
      <c r="P22" t="e">
        <f>Base!#REF!</f>
        <v>#REF!</v>
      </c>
      <c r="Q22" t="e">
        <f>Base!#REF!</f>
        <v>#REF!</v>
      </c>
      <c r="R22" t="s">
        <v>74</v>
      </c>
      <c r="S22" t="s">
        <v>76</v>
      </c>
      <c r="T22">
        <v>26062</v>
      </c>
      <c r="U22" t="s">
        <v>108</v>
      </c>
      <c r="V22" s="29" t="s">
        <v>51</v>
      </c>
    </row>
    <row r="23" spans="1:22" ht="13.8" x14ac:dyDescent="0.3">
      <c r="A23">
        <v>22</v>
      </c>
      <c r="B23">
        <v>8</v>
      </c>
      <c r="C23" t="s">
        <v>46</v>
      </c>
      <c r="D23">
        <v>2019</v>
      </c>
      <c r="E23" s="35" t="e">
        <f>Base!#REF!</f>
        <v>#REF!</v>
      </c>
      <c r="F23" t="e">
        <f t="shared" si="0"/>
        <v>#REF!</v>
      </c>
      <c r="G23" s="41" t="e">
        <f t="shared" si="1"/>
        <v>#REF!</v>
      </c>
      <c r="H23" t="e">
        <f t="shared" si="2"/>
        <v>#REF!</v>
      </c>
      <c r="I23" t="s">
        <v>74</v>
      </c>
      <c r="J23" t="e">
        <f>Base!#REF!&amp;" "&amp;Base!#REF!&amp;" "&amp;Base!#REF!</f>
        <v>#REF!</v>
      </c>
      <c r="K23">
        <v>14558600</v>
      </c>
      <c r="L23" t="e">
        <f>Base!#REF!</f>
        <v>#REF!</v>
      </c>
      <c r="M23" t="e">
        <f>Base!#REF!</f>
        <v>#REF!</v>
      </c>
      <c r="N23" s="39" t="e">
        <f>Base!#REF!</f>
        <v>#REF!</v>
      </c>
      <c r="O23" t="e">
        <f>Base!#REF!</f>
        <v>#REF!</v>
      </c>
      <c r="P23" t="e">
        <f>Base!#REF!</f>
        <v>#REF!</v>
      </c>
      <c r="Q23" t="e">
        <f>Base!#REF!</f>
        <v>#REF!</v>
      </c>
      <c r="R23" t="s">
        <v>74</v>
      </c>
      <c r="S23" t="s">
        <v>76</v>
      </c>
      <c r="T23">
        <v>26134</v>
      </c>
      <c r="U23" t="s">
        <v>109</v>
      </c>
      <c r="V23" s="29" t="s">
        <v>51</v>
      </c>
    </row>
    <row r="24" spans="1:22" ht="13.8" x14ac:dyDescent="0.3">
      <c r="A24">
        <v>23</v>
      </c>
      <c r="B24">
        <v>8</v>
      </c>
      <c r="C24" t="s">
        <v>46</v>
      </c>
      <c r="D24">
        <v>2019</v>
      </c>
      <c r="E24" s="35" t="e">
        <f>Base!#REF!</f>
        <v>#REF!</v>
      </c>
      <c r="F24" t="e">
        <f t="shared" si="0"/>
        <v>#REF!</v>
      </c>
      <c r="G24" s="41" t="e">
        <f t="shared" si="1"/>
        <v>#REF!</v>
      </c>
      <c r="H24" t="e">
        <f t="shared" si="2"/>
        <v>#REF!</v>
      </c>
      <c r="I24" t="s">
        <v>74</v>
      </c>
      <c r="J24" t="e">
        <f>Base!#REF!&amp;" "&amp;Base!#REF!&amp;" "&amp;Base!#REF!</f>
        <v>#REF!</v>
      </c>
      <c r="K24">
        <v>15793341</v>
      </c>
      <c r="L24" t="e">
        <f>Base!#REF!</f>
        <v>#REF!</v>
      </c>
      <c r="M24" t="e">
        <f>Base!#REF!</f>
        <v>#REF!</v>
      </c>
      <c r="N24" s="39" t="e">
        <f>Base!#REF!</f>
        <v>#REF!</v>
      </c>
      <c r="O24" t="e">
        <f>Base!#REF!</f>
        <v>#REF!</v>
      </c>
      <c r="P24" t="e">
        <f>Base!#REF!</f>
        <v>#REF!</v>
      </c>
      <c r="Q24" t="e">
        <f>Base!#REF!</f>
        <v>#REF!</v>
      </c>
      <c r="R24" t="s">
        <v>74</v>
      </c>
      <c r="S24" t="s">
        <v>76</v>
      </c>
      <c r="T24">
        <v>26186</v>
      </c>
      <c r="U24" t="s">
        <v>110</v>
      </c>
      <c r="V24" s="29" t="s">
        <v>51</v>
      </c>
    </row>
    <row r="25" spans="1:22" ht="13.8" x14ac:dyDescent="0.3">
      <c r="A25">
        <v>24</v>
      </c>
      <c r="B25">
        <v>8</v>
      </c>
      <c r="C25" t="s">
        <v>46</v>
      </c>
      <c r="D25">
        <v>2019</v>
      </c>
      <c r="E25" s="35" t="e">
        <f>Base!#REF!</f>
        <v>#REF!</v>
      </c>
      <c r="F25" t="e">
        <f t="shared" si="0"/>
        <v>#REF!</v>
      </c>
      <c r="G25" s="41" t="e">
        <f t="shared" si="1"/>
        <v>#REF!</v>
      </c>
      <c r="H25" t="e">
        <f t="shared" si="2"/>
        <v>#REF!</v>
      </c>
      <c r="I25" t="s">
        <v>75</v>
      </c>
      <c r="J25" t="e">
        <f>Base!#REF!&amp;" "&amp;Base!#REF!&amp;" "&amp;Base!#REF!</f>
        <v>#REF!</v>
      </c>
      <c r="K25">
        <v>25698364</v>
      </c>
      <c r="L25" t="e">
        <f>Base!#REF!</f>
        <v>#REF!</v>
      </c>
      <c r="M25" t="e">
        <f>Base!#REF!</f>
        <v>#REF!</v>
      </c>
      <c r="N25" s="39" t="e">
        <f>Base!#REF!</f>
        <v>#REF!</v>
      </c>
      <c r="O25" t="e">
        <f>Base!#REF!</f>
        <v>#REF!</v>
      </c>
      <c r="P25" t="e">
        <f>Base!#REF!</f>
        <v>#REF!</v>
      </c>
      <c r="Q25" t="e">
        <f>Base!#REF!</f>
        <v>#REF!</v>
      </c>
      <c r="R25" t="s">
        <v>75</v>
      </c>
      <c r="S25" t="s">
        <v>82</v>
      </c>
      <c r="T25">
        <v>3458</v>
      </c>
      <c r="U25" t="s">
        <v>111</v>
      </c>
      <c r="V25" s="29" t="s">
        <v>54</v>
      </c>
    </row>
    <row r="26" spans="1:22" ht="13.8" x14ac:dyDescent="0.3">
      <c r="A26">
        <v>25</v>
      </c>
      <c r="B26">
        <v>8</v>
      </c>
      <c r="C26" t="s">
        <v>46</v>
      </c>
      <c r="D26">
        <v>2019</v>
      </c>
      <c r="E26" s="35" t="e">
        <f>Base!#REF!</f>
        <v>#REF!</v>
      </c>
      <c r="F26" t="e">
        <f t="shared" si="0"/>
        <v>#REF!</v>
      </c>
      <c r="G26" s="41" t="e">
        <f t="shared" si="1"/>
        <v>#REF!</v>
      </c>
      <c r="H26" t="e">
        <f t="shared" si="2"/>
        <v>#REF!</v>
      </c>
      <c r="I26" t="s">
        <v>75</v>
      </c>
      <c r="J26" t="e">
        <f>Base!#REF!&amp;" "&amp;Base!#REF!&amp;" "&amp;Base!#REF!</f>
        <v>#REF!</v>
      </c>
      <c r="K26">
        <v>16802683</v>
      </c>
      <c r="L26" t="e">
        <f>Base!#REF!</f>
        <v>#REF!</v>
      </c>
      <c r="M26" t="e">
        <f>Base!#REF!</f>
        <v>#REF!</v>
      </c>
      <c r="N26" s="39" t="e">
        <f>Base!#REF!</f>
        <v>#REF!</v>
      </c>
      <c r="O26" t="e">
        <f>Base!#REF!</f>
        <v>#REF!</v>
      </c>
      <c r="P26" t="e">
        <f>Base!#REF!</f>
        <v>#REF!</v>
      </c>
      <c r="Q26" t="e">
        <f>Base!#REF!</f>
        <v>#REF!</v>
      </c>
      <c r="R26" t="s">
        <v>75</v>
      </c>
      <c r="S26" t="s">
        <v>83</v>
      </c>
      <c r="T26">
        <v>2558</v>
      </c>
      <c r="U26" t="s">
        <v>112</v>
      </c>
      <c r="V26" s="29" t="s">
        <v>50</v>
      </c>
    </row>
    <row r="27" spans="1:22" ht="13.8" x14ac:dyDescent="0.3">
      <c r="A27">
        <v>26</v>
      </c>
      <c r="B27">
        <v>8</v>
      </c>
      <c r="C27" t="s">
        <v>46</v>
      </c>
      <c r="D27">
        <v>2019</v>
      </c>
      <c r="E27" s="35" t="e">
        <f>Base!#REF!</f>
        <v>#REF!</v>
      </c>
      <c r="F27" t="e">
        <f t="shared" si="0"/>
        <v>#REF!</v>
      </c>
      <c r="G27" s="41" t="e">
        <f t="shared" si="1"/>
        <v>#REF!</v>
      </c>
      <c r="H27" t="e">
        <f t="shared" si="2"/>
        <v>#REF!</v>
      </c>
      <c r="I27" t="s">
        <v>74</v>
      </c>
      <c r="J27" t="e">
        <f>Base!#REF!&amp;" "&amp;Base!#REF!&amp;" "&amp;Base!#REF!</f>
        <v>#REF!</v>
      </c>
      <c r="K27">
        <v>19060918</v>
      </c>
      <c r="L27" t="e">
        <f>Base!#REF!</f>
        <v>#REF!</v>
      </c>
      <c r="M27" t="e">
        <f>Base!#REF!</f>
        <v>#REF!</v>
      </c>
      <c r="N27" s="39" t="e">
        <f>Base!#REF!</f>
        <v>#REF!</v>
      </c>
      <c r="O27" t="e">
        <f>Base!#REF!</f>
        <v>#REF!</v>
      </c>
      <c r="P27" t="e">
        <f>Base!#REF!</f>
        <v>#REF!</v>
      </c>
      <c r="Q27" t="e">
        <f>Base!#REF!</f>
        <v>#REF!</v>
      </c>
      <c r="R27" t="s">
        <v>74</v>
      </c>
      <c r="S27" t="s">
        <v>76</v>
      </c>
      <c r="T27">
        <v>26226</v>
      </c>
      <c r="U27" t="s">
        <v>113</v>
      </c>
      <c r="V27" s="29" t="s">
        <v>51</v>
      </c>
    </row>
    <row r="28" spans="1:22" ht="13.8" x14ac:dyDescent="0.3">
      <c r="A28">
        <v>27</v>
      </c>
      <c r="B28">
        <v>8</v>
      </c>
      <c r="C28" t="s">
        <v>46</v>
      </c>
      <c r="D28">
        <v>2019</v>
      </c>
      <c r="E28" s="35" t="e">
        <f>Base!#REF!</f>
        <v>#REF!</v>
      </c>
      <c r="F28" t="e">
        <f t="shared" si="0"/>
        <v>#REF!</v>
      </c>
      <c r="G28" s="41" t="e">
        <f t="shared" si="1"/>
        <v>#REF!</v>
      </c>
      <c r="H28" t="e">
        <f t="shared" si="2"/>
        <v>#REF!</v>
      </c>
      <c r="I28" t="s">
        <v>75</v>
      </c>
      <c r="J28" t="e">
        <f>Base!#REF!&amp;" "&amp;Base!#REF!&amp;" "&amp;Base!#REF!</f>
        <v>#REF!</v>
      </c>
      <c r="K28">
        <v>9034285</v>
      </c>
      <c r="L28" t="e">
        <f>Base!#REF!</f>
        <v>#REF!</v>
      </c>
      <c r="M28" t="e">
        <f>Base!#REF!</f>
        <v>#REF!</v>
      </c>
      <c r="N28" s="39" t="e">
        <f>Base!#REF!</f>
        <v>#REF!</v>
      </c>
      <c r="O28" t="e">
        <f>Base!#REF!</f>
        <v>#REF!</v>
      </c>
      <c r="P28" t="e">
        <f>Base!#REF!</f>
        <v>#REF!</v>
      </c>
      <c r="Q28" t="e">
        <f>Base!#REF!</f>
        <v>#REF!</v>
      </c>
      <c r="R28" t="s">
        <v>75</v>
      </c>
      <c r="S28" t="s">
        <v>84</v>
      </c>
      <c r="T28">
        <v>21763</v>
      </c>
      <c r="U28" t="s">
        <v>114</v>
      </c>
      <c r="V28" s="29" t="s">
        <v>51</v>
      </c>
    </row>
    <row r="29" spans="1:22" ht="13.8" x14ac:dyDescent="0.3">
      <c r="A29">
        <v>28</v>
      </c>
      <c r="B29">
        <v>8</v>
      </c>
      <c r="C29" t="s">
        <v>46</v>
      </c>
      <c r="D29">
        <v>2019</v>
      </c>
      <c r="E29" s="35" t="e">
        <f>Base!#REF!</f>
        <v>#REF!</v>
      </c>
      <c r="F29" t="e">
        <f t="shared" si="0"/>
        <v>#REF!</v>
      </c>
      <c r="G29" s="41" t="e">
        <f t="shared" si="1"/>
        <v>#REF!</v>
      </c>
      <c r="H29" t="e">
        <f t="shared" si="2"/>
        <v>#REF!</v>
      </c>
      <c r="I29" t="s">
        <v>75</v>
      </c>
      <c r="J29" t="e">
        <f>Base!#REF!&amp;" "&amp;Base!#REF!&amp;" "&amp;Base!#REF!</f>
        <v>#REF!</v>
      </c>
      <c r="K29">
        <v>15189117</v>
      </c>
      <c r="L29" t="e">
        <f>Base!#REF!</f>
        <v>#REF!</v>
      </c>
      <c r="M29" t="e">
        <f>Base!#REF!</f>
        <v>#REF!</v>
      </c>
      <c r="N29" s="39" t="e">
        <f>Base!#REF!</f>
        <v>#REF!</v>
      </c>
      <c r="O29" t="e">
        <f>Base!#REF!</f>
        <v>#REF!</v>
      </c>
      <c r="P29" t="e">
        <f>Base!#REF!</f>
        <v>#REF!</v>
      </c>
      <c r="Q29" t="e">
        <f>Base!#REF!</f>
        <v>#REF!</v>
      </c>
      <c r="R29" t="s">
        <v>75</v>
      </c>
      <c r="S29" t="s">
        <v>85</v>
      </c>
      <c r="T29">
        <v>7201</v>
      </c>
      <c r="U29" t="s">
        <v>115</v>
      </c>
      <c r="V29" s="29" t="s">
        <v>54</v>
      </c>
    </row>
    <row r="30" spans="1:22" ht="13.8" x14ac:dyDescent="0.3">
      <c r="A30">
        <v>29</v>
      </c>
      <c r="B30">
        <v>8</v>
      </c>
      <c r="C30" t="s">
        <v>46</v>
      </c>
      <c r="D30">
        <v>2019</v>
      </c>
      <c r="E30" s="35" t="e">
        <f>Base!#REF!</f>
        <v>#REF!</v>
      </c>
      <c r="F30" t="e">
        <f t="shared" si="0"/>
        <v>#REF!</v>
      </c>
      <c r="G30" s="41" t="e">
        <f t="shared" si="1"/>
        <v>#REF!</v>
      </c>
      <c r="H30" t="e">
        <f t="shared" si="2"/>
        <v>#REF!</v>
      </c>
      <c r="I30" t="s">
        <v>75</v>
      </c>
      <c r="J30" t="e">
        <f>Base!#REF!&amp;" "&amp;Base!#REF!&amp;" "&amp;Base!#REF!</f>
        <v>#REF!</v>
      </c>
      <c r="K30">
        <v>16965818</v>
      </c>
      <c r="L30" t="e">
        <f>Base!#REF!</f>
        <v>#REF!</v>
      </c>
      <c r="M30" t="e">
        <f>Base!#REF!</f>
        <v>#REF!</v>
      </c>
      <c r="N30" s="39" t="e">
        <f>Base!#REF!</f>
        <v>#REF!</v>
      </c>
      <c r="O30" t="e">
        <f>Base!#REF!</f>
        <v>#REF!</v>
      </c>
      <c r="P30" t="e">
        <f>Base!#REF!</f>
        <v>#REF!</v>
      </c>
      <c r="Q30" t="e">
        <f>Base!#REF!</f>
        <v>#REF!</v>
      </c>
      <c r="R30" t="s">
        <v>75</v>
      </c>
      <c r="S30" t="s">
        <v>86</v>
      </c>
      <c r="T30">
        <v>9399</v>
      </c>
      <c r="U30" t="s">
        <v>116</v>
      </c>
      <c r="V30" s="29" t="s">
        <v>49</v>
      </c>
    </row>
    <row r="31" spans="1:22" ht="13.8" x14ac:dyDescent="0.3">
      <c r="A31">
        <v>30</v>
      </c>
      <c r="B31">
        <v>8</v>
      </c>
      <c r="C31" t="s">
        <v>46</v>
      </c>
      <c r="D31">
        <v>2019</v>
      </c>
      <c r="E31" s="35" t="e">
        <f>Base!#REF!</f>
        <v>#REF!</v>
      </c>
      <c r="F31" t="e">
        <f t="shared" si="0"/>
        <v>#REF!</v>
      </c>
      <c r="G31" s="41" t="e">
        <f t="shared" si="1"/>
        <v>#REF!</v>
      </c>
      <c r="H31" t="e">
        <f t="shared" si="2"/>
        <v>#REF!</v>
      </c>
      <c r="I31" t="s">
        <v>75</v>
      </c>
      <c r="J31" t="e">
        <f>Base!#REF!&amp;" "&amp;Base!#REF!&amp;" "&amp;Base!#REF!</f>
        <v>#REF!</v>
      </c>
      <c r="K31">
        <v>14574041</v>
      </c>
      <c r="L31" t="e">
        <f>Base!#REF!</f>
        <v>#REF!</v>
      </c>
      <c r="M31" t="e">
        <f>Base!#REF!</f>
        <v>#REF!</v>
      </c>
      <c r="N31" s="39" t="e">
        <f>Base!#REF!</f>
        <v>#REF!</v>
      </c>
      <c r="O31" t="e">
        <f>Base!#REF!</f>
        <v>#REF!</v>
      </c>
      <c r="P31" t="e">
        <f>Base!#REF!</f>
        <v>#REF!</v>
      </c>
      <c r="Q31" t="e">
        <f>Base!#REF!</f>
        <v>#REF!</v>
      </c>
      <c r="R31" t="s">
        <v>75</v>
      </c>
      <c r="S31" t="s">
        <v>84</v>
      </c>
      <c r="T31">
        <v>21572</v>
      </c>
      <c r="U31" t="s">
        <v>117</v>
      </c>
      <c r="V31" s="29" t="s">
        <v>51</v>
      </c>
    </row>
    <row r="32" spans="1:22" ht="13.8" x14ac:dyDescent="0.3">
      <c r="A32">
        <v>31</v>
      </c>
      <c r="B32">
        <v>8</v>
      </c>
      <c r="C32" t="s">
        <v>46</v>
      </c>
      <c r="D32">
        <v>2019</v>
      </c>
      <c r="E32" s="35" t="e">
        <f>Base!#REF!</f>
        <v>#REF!</v>
      </c>
      <c r="F32" t="e">
        <f t="shared" si="0"/>
        <v>#REF!</v>
      </c>
      <c r="G32" s="41" t="e">
        <f t="shared" si="1"/>
        <v>#REF!</v>
      </c>
      <c r="H32" t="e">
        <f t="shared" si="2"/>
        <v>#REF!</v>
      </c>
      <c r="I32" t="s">
        <v>75</v>
      </c>
      <c r="J32" t="e">
        <f>Base!#REF!&amp;" "&amp;Base!#REF!&amp;" "&amp;Base!#REF!</f>
        <v>#REF!</v>
      </c>
      <c r="K32">
        <v>16603967</v>
      </c>
      <c r="L32" t="e">
        <f>Base!#REF!</f>
        <v>#REF!</v>
      </c>
      <c r="M32" t="e">
        <f>Base!#REF!</f>
        <v>#REF!</v>
      </c>
      <c r="N32" s="39" t="e">
        <f>Base!#REF!</f>
        <v>#REF!</v>
      </c>
      <c r="O32" t="e">
        <f>Base!#REF!</f>
        <v>#REF!</v>
      </c>
      <c r="P32" t="e">
        <f>Base!#REF!</f>
        <v>#REF!</v>
      </c>
      <c r="Q32" t="e">
        <f>Base!#REF!</f>
        <v>#REF!</v>
      </c>
      <c r="R32" t="s">
        <v>74</v>
      </c>
      <c r="S32" t="s">
        <v>76</v>
      </c>
      <c r="T32">
        <v>24693</v>
      </c>
      <c r="U32" t="s">
        <v>118</v>
      </c>
      <c r="V32" s="29" t="s">
        <v>51</v>
      </c>
    </row>
    <row r="33" spans="1:22" ht="13.8" x14ac:dyDescent="0.3">
      <c r="A33">
        <v>32</v>
      </c>
      <c r="B33">
        <v>8</v>
      </c>
      <c r="C33" t="s">
        <v>46</v>
      </c>
      <c r="D33">
        <v>2019</v>
      </c>
      <c r="E33" s="35" t="e">
        <f>Base!#REF!</f>
        <v>#REF!</v>
      </c>
      <c r="F33" t="e">
        <f t="shared" si="0"/>
        <v>#REF!</v>
      </c>
      <c r="G33" s="41" t="e">
        <f t="shared" si="1"/>
        <v>#REF!</v>
      </c>
      <c r="H33" t="e">
        <f t="shared" si="2"/>
        <v>#REF!</v>
      </c>
      <c r="I33" t="s">
        <v>74</v>
      </c>
      <c r="J33" t="e">
        <f>Base!#REF!&amp;" "&amp;Base!#REF!&amp;" "&amp;Base!#REF!</f>
        <v>#REF!</v>
      </c>
      <c r="K33">
        <v>10361526</v>
      </c>
      <c r="L33" t="e">
        <f>Base!#REF!</f>
        <v>#REF!</v>
      </c>
      <c r="M33" t="e">
        <f>Base!#REF!</f>
        <v>#REF!</v>
      </c>
      <c r="N33" s="39" t="e">
        <f>Base!#REF!</f>
        <v>#REF!</v>
      </c>
      <c r="O33" t="e">
        <f>Base!#REF!</f>
        <v>#REF!</v>
      </c>
      <c r="P33" t="e">
        <f>Base!#REF!</f>
        <v>#REF!</v>
      </c>
      <c r="Q33" t="e">
        <f>Base!#REF!</f>
        <v>#REF!</v>
      </c>
      <c r="R33" t="s">
        <v>74</v>
      </c>
      <c r="S33" t="s">
        <v>76</v>
      </c>
      <c r="T33">
        <v>26187</v>
      </c>
      <c r="U33" t="s">
        <v>119</v>
      </c>
      <c r="V33" s="29" t="s">
        <v>51</v>
      </c>
    </row>
    <row r="34" spans="1:22" ht="13.8" x14ac:dyDescent="0.3">
      <c r="A34">
        <v>33</v>
      </c>
      <c r="B34">
        <v>8</v>
      </c>
      <c r="C34" t="s">
        <v>46</v>
      </c>
      <c r="D34">
        <v>2019</v>
      </c>
      <c r="E34" s="35" t="e">
        <f>Base!#REF!</f>
        <v>#REF!</v>
      </c>
      <c r="F34" t="e">
        <f t="shared" si="0"/>
        <v>#REF!</v>
      </c>
      <c r="G34" s="41" t="e">
        <f t="shared" si="1"/>
        <v>#REF!</v>
      </c>
      <c r="H34" t="e">
        <f t="shared" si="2"/>
        <v>#REF!</v>
      </c>
      <c r="I34" t="s">
        <v>74</v>
      </c>
      <c r="J34" t="e">
        <f>Base!#REF!&amp;" "&amp;Base!#REF!&amp;" "&amp;Base!#REF!</f>
        <v>#REF!</v>
      </c>
      <c r="K34">
        <v>16616421</v>
      </c>
      <c r="L34" t="e">
        <f>Base!#REF!</f>
        <v>#REF!</v>
      </c>
      <c r="M34" t="e">
        <f>Base!#REF!</f>
        <v>#REF!</v>
      </c>
      <c r="N34" s="39" t="e">
        <f>Base!#REF!</f>
        <v>#REF!</v>
      </c>
      <c r="O34" t="e">
        <f>Base!#REF!</f>
        <v>#REF!</v>
      </c>
      <c r="P34" t="e">
        <f>Base!#REF!</f>
        <v>#REF!</v>
      </c>
      <c r="Q34" t="e">
        <f>Base!#REF!</f>
        <v>#REF!</v>
      </c>
      <c r="R34" t="s">
        <v>75</v>
      </c>
      <c r="S34" t="s">
        <v>84</v>
      </c>
      <c r="T34">
        <v>19471</v>
      </c>
      <c r="U34" t="s">
        <v>120</v>
      </c>
      <c r="V34" s="29" t="s">
        <v>51</v>
      </c>
    </row>
    <row r="35" spans="1:22" ht="13.8" x14ac:dyDescent="0.3">
      <c r="A35">
        <v>34</v>
      </c>
      <c r="B35">
        <v>8</v>
      </c>
      <c r="C35" t="s">
        <v>46</v>
      </c>
      <c r="D35">
        <v>2019</v>
      </c>
      <c r="E35" s="35" t="e">
        <f>Base!#REF!</f>
        <v>#REF!</v>
      </c>
      <c r="F35" t="e">
        <f t="shared" si="0"/>
        <v>#REF!</v>
      </c>
      <c r="G35" s="41" t="e">
        <f t="shared" si="1"/>
        <v>#REF!</v>
      </c>
      <c r="H35" t="e">
        <f t="shared" si="2"/>
        <v>#REF!</v>
      </c>
      <c r="I35" t="s">
        <v>75</v>
      </c>
      <c r="J35" t="e">
        <f>Base!#REF!&amp;" "&amp;Base!#REF!&amp;" "&amp;Base!#REF!</f>
        <v>#REF!</v>
      </c>
      <c r="K35">
        <v>16306594</v>
      </c>
      <c r="L35" t="e">
        <f>Base!#REF!</f>
        <v>#REF!</v>
      </c>
      <c r="M35" t="e">
        <f>Base!#REF!</f>
        <v>#REF!</v>
      </c>
      <c r="N35" s="39" t="e">
        <f>Base!#REF!</f>
        <v>#REF!</v>
      </c>
      <c r="O35" t="e">
        <f>Base!#REF!</f>
        <v>#REF!</v>
      </c>
      <c r="P35" t="e">
        <f>Base!#REF!</f>
        <v>#REF!</v>
      </c>
      <c r="Q35" t="e">
        <f>Base!#REF!</f>
        <v>#REF!</v>
      </c>
      <c r="R35" t="s">
        <v>75</v>
      </c>
      <c r="S35" t="s">
        <v>86</v>
      </c>
      <c r="T35">
        <v>9398</v>
      </c>
      <c r="U35" t="s">
        <v>121</v>
      </c>
      <c r="V35" s="29" t="s">
        <v>49</v>
      </c>
    </row>
    <row r="36" spans="1:22" ht="13.8" x14ac:dyDescent="0.3">
      <c r="A36">
        <v>35</v>
      </c>
      <c r="B36">
        <v>8</v>
      </c>
      <c r="C36" t="s">
        <v>46</v>
      </c>
      <c r="D36">
        <v>2019</v>
      </c>
      <c r="E36" s="35" t="e">
        <f>Base!#REF!</f>
        <v>#REF!</v>
      </c>
      <c r="F36" t="e">
        <f t="shared" si="0"/>
        <v>#REF!</v>
      </c>
      <c r="G36" s="41" t="e">
        <f t="shared" si="1"/>
        <v>#REF!</v>
      </c>
      <c r="H36" t="e">
        <f t="shared" si="2"/>
        <v>#REF!</v>
      </c>
      <c r="I36" t="s">
        <v>75</v>
      </c>
      <c r="J36" t="e">
        <f>Base!#REF!&amp;" "&amp;Base!#REF!&amp;" "&amp;Base!#REF!</f>
        <v>#REF!</v>
      </c>
      <c r="K36">
        <v>25564826</v>
      </c>
      <c r="L36" t="e">
        <f>Base!#REF!</f>
        <v>#REF!</v>
      </c>
      <c r="M36" t="e">
        <f>Base!#REF!</f>
        <v>#REF!</v>
      </c>
      <c r="N36" s="39" t="e">
        <f>Base!#REF!</f>
        <v>#REF!</v>
      </c>
      <c r="O36" t="e">
        <f>Base!#REF!</f>
        <v>#REF!</v>
      </c>
      <c r="P36" t="e">
        <f>Base!#REF!</f>
        <v>#REF!</v>
      </c>
      <c r="Q36" t="e">
        <f>Base!#REF!</f>
        <v>#REF!</v>
      </c>
      <c r="R36" t="s">
        <v>74</v>
      </c>
      <c r="S36" t="s">
        <v>76</v>
      </c>
      <c r="T36">
        <v>26555</v>
      </c>
      <c r="U36" t="s">
        <v>122</v>
      </c>
      <c r="V36" s="29" t="s">
        <v>51</v>
      </c>
    </row>
    <row r="37" spans="1:22" ht="13.8" x14ac:dyDescent="0.3">
      <c r="A37">
        <v>36</v>
      </c>
      <c r="B37">
        <v>8</v>
      </c>
      <c r="C37" t="s">
        <v>46</v>
      </c>
      <c r="D37">
        <v>2019</v>
      </c>
      <c r="E37" s="35" t="e">
        <f>Base!#REF!</f>
        <v>#REF!</v>
      </c>
      <c r="F37" t="e">
        <f t="shared" si="0"/>
        <v>#REF!</v>
      </c>
      <c r="G37" s="41" t="e">
        <f t="shared" si="1"/>
        <v>#REF!</v>
      </c>
      <c r="H37" t="e">
        <f t="shared" si="2"/>
        <v>#REF!</v>
      </c>
      <c r="I37" t="s">
        <v>74</v>
      </c>
      <c r="J37" t="e">
        <f>Base!#REF!&amp;" "&amp;Base!#REF!&amp;" "&amp;Base!#REF!</f>
        <v>#REF!</v>
      </c>
      <c r="K37">
        <v>19656989</v>
      </c>
      <c r="L37" t="e">
        <f>Base!#REF!</f>
        <v>#REF!</v>
      </c>
      <c r="M37" t="e">
        <f>Base!#REF!</f>
        <v>#REF!</v>
      </c>
      <c r="N37" s="39" t="e">
        <f>Base!#REF!</f>
        <v>#REF!</v>
      </c>
      <c r="O37" t="e">
        <f>Base!#REF!</f>
        <v>#REF!</v>
      </c>
      <c r="P37" t="e">
        <f>Base!#REF!</f>
        <v>#REF!</v>
      </c>
      <c r="Q37" t="e">
        <f>Base!#REF!</f>
        <v>#REF!</v>
      </c>
      <c r="R37" t="s">
        <v>74</v>
      </c>
      <c r="S37" t="s">
        <v>76</v>
      </c>
      <c r="T37">
        <v>27351</v>
      </c>
      <c r="U37" t="s">
        <v>123</v>
      </c>
      <c r="V37" s="29" t="s">
        <v>51</v>
      </c>
    </row>
    <row r="38" spans="1:22" ht="13.8" x14ac:dyDescent="0.3">
      <c r="A38">
        <v>37</v>
      </c>
      <c r="B38">
        <v>8</v>
      </c>
      <c r="C38" t="s">
        <v>46</v>
      </c>
      <c r="D38">
        <v>2019</v>
      </c>
      <c r="E38" s="35" t="e">
        <f>Base!#REF!</f>
        <v>#REF!</v>
      </c>
      <c r="F38" t="e">
        <f t="shared" si="0"/>
        <v>#REF!</v>
      </c>
      <c r="G38" s="41" t="e">
        <f t="shared" si="1"/>
        <v>#REF!</v>
      </c>
      <c r="H38" t="e">
        <f t="shared" si="2"/>
        <v>#REF!</v>
      </c>
      <c r="I38" t="s">
        <v>75</v>
      </c>
      <c r="J38" t="e">
        <f>Base!#REF!&amp;" "&amp;Base!#REF!&amp;" "&amp;Base!#REF!</f>
        <v>#REF!</v>
      </c>
      <c r="K38">
        <v>11756064</v>
      </c>
      <c r="L38" t="e">
        <f>Base!#REF!</f>
        <v>#REF!</v>
      </c>
      <c r="M38" t="e">
        <f>Base!#REF!</f>
        <v>#REF!</v>
      </c>
      <c r="N38" s="39" t="e">
        <f>Base!#REF!</f>
        <v>#REF!</v>
      </c>
      <c r="O38" t="e">
        <f>Base!#REF!</f>
        <v>#REF!</v>
      </c>
      <c r="P38" t="e">
        <f>Base!#REF!</f>
        <v>#REF!</v>
      </c>
      <c r="Q38" t="e">
        <f>Base!#REF!</f>
        <v>#REF!</v>
      </c>
      <c r="R38" t="s">
        <v>74</v>
      </c>
      <c r="S38" t="s">
        <v>76</v>
      </c>
      <c r="T38">
        <v>27640</v>
      </c>
      <c r="U38" t="s">
        <v>124</v>
      </c>
      <c r="V38" s="29" t="s">
        <v>51</v>
      </c>
    </row>
    <row r="39" spans="1:22" ht="13.8" x14ac:dyDescent="0.3">
      <c r="A39">
        <v>38</v>
      </c>
      <c r="B39">
        <v>8</v>
      </c>
      <c r="C39" t="s">
        <v>46</v>
      </c>
      <c r="D39">
        <v>2019</v>
      </c>
      <c r="E39" s="35" t="e">
        <f>Base!#REF!</f>
        <v>#REF!</v>
      </c>
      <c r="F39" t="e">
        <f t="shared" si="0"/>
        <v>#REF!</v>
      </c>
      <c r="G39" s="41" t="e">
        <f t="shared" si="1"/>
        <v>#REF!</v>
      </c>
      <c r="H39" t="e">
        <f t="shared" si="2"/>
        <v>#REF!</v>
      </c>
      <c r="I39" t="s">
        <v>74</v>
      </c>
      <c r="J39" t="e">
        <f>Base!#REF!&amp;" "&amp;Base!#REF!&amp;" "&amp;Base!#REF!</f>
        <v>#REF!</v>
      </c>
      <c r="K39">
        <v>13484875</v>
      </c>
      <c r="L39" t="e">
        <f>Base!#REF!</f>
        <v>#REF!</v>
      </c>
      <c r="M39" t="e">
        <f>Base!#REF!</f>
        <v>#REF!</v>
      </c>
      <c r="N39" s="39" t="e">
        <f>Base!#REF!</f>
        <v>#REF!</v>
      </c>
      <c r="O39" t="e">
        <f>Base!#REF!</f>
        <v>#REF!</v>
      </c>
      <c r="P39" t="e">
        <f>Base!#REF!</f>
        <v>#REF!</v>
      </c>
      <c r="Q39" t="e">
        <f>Base!#REF!</f>
        <v>#REF!</v>
      </c>
      <c r="R39" t="s">
        <v>74</v>
      </c>
      <c r="S39" t="s">
        <v>76</v>
      </c>
      <c r="T39">
        <v>27668</v>
      </c>
      <c r="U39" t="s">
        <v>125</v>
      </c>
      <c r="V39" s="29" t="s">
        <v>51</v>
      </c>
    </row>
    <row r="40" spans="1:22" ht="13.8" x14ac:dyDescent="0.3">
      <c r="A40">
        <v>39</v>
      </c>
      <c r="B40">
        <v>8</v>
      </c>
      <c r="C40" t="s">
        <v>46</v>
      </c>
      <c r="D40">
        <v>2019</v>
      </c>
      <c r="E40" s="35" t="e">
        <f>Base!#REF!</f>
        <v>#REF!</v>
      </c>
      <c r="F40" t="e">
        <f t="shared" si="0"/>
        <v>#REF!</v>
      </c>
      <c r="G40" s="41" t="e">
        <f t="shared" si="1"/>
        <v>#REF!</v>
      </c>
      <c r="H40" t="e">
        <f t="shared" si="2"/>
        <v>#REF!</v>
      </c>
      <c r="I40" t="s">
        <v>75</v>
      </c>
      <c r="J40" t="e">
        <f>Base!#REF!&amp;" "&amp;Base!#REF!&amp;" "&amp;Base!#REF!</f>
        <v>#REF!</v>
      </c>
      <c r="K40">
        <v>16571241</v>
      </c>
      <c r="L40" t="e">
        <f>Base!#REF!</f>
        <v>#REF!</v>
      </c>
      <c r="M40" t="e">
        <f>Base!#REF!</f>
        <v>#REF!</v>
      </c>
      <c r="N40" s="39" t="e">
        <f>Base!#REF!</f>
        <v>#REF!</v>
      </c>
      <c r="O40" t="e">
        <f>Base!#REF!</f>
        <v>#REF!</v>
      </c>
      <c r="P40" t="e">
        <f>Base!#REF!</f>
        <v>#REF!</v>
      </c>
      <c r="Q40" t="e">
        <f>Base!#REF!</f>
        <v>#REF!</v>
      </c>
      <c r="R40" t="s">
        <v>74</v>
      </c>
      <c r="S40" t="s">
        <v>76</v>
      </c>
      <c r="T40">
        <v>27960</v>
      </c>
      <c r="U40" t="s">
        <v>126</v>
      </c>
      <c r="V40" s="29" t="s">
        <v>51</v>
      </c>
    </row>
    <row r="41" spans="1:22" ht="13.8" x14ac:dyDescent="0.3">
      <c r="A41">
        <v>40</v>
      </c>
      <c r="B41">
        <v>8</v>
      </c>
      <c r="C41" t="s">
        <v>46</v>
      </c>
      <c r="D41">
        <v>2019</v>
      </c>
      <c r="E41" s="35" t="e">
        <f>Base!#REF!</f>
        <v>#REF!</v>
      </c>
      <c r="F41" t="e">
        <f t="shared" si="0"/>
        <v>#REF!</v>
      </c>
      <c r="G41" s="41" t="e">
        <f t="shared" si="1"/>
        <v>#REF!</v>
      </c>
      <c r="H41" t="e">
        <f t="shared" si="2"/>
        <v>#REF!</v>
      </c>
      <c r="I41" t="s">
        <v>75</v>
      </c>
      <c r="J41" t="e">
        <f>Base!#REF!&amp;" "&amp;Base!#REF!&amp;" "&amp;Base!#REF!</f>
        <v>#REF!</v>
      </c>
      <c r="K41">
        <v>19119141</v>
      </c>
      <c r="L41" t="e">
        <f>Base!#REF!</f>
        <v>#REF!</v>
      </c>
      <c r="M41" t="e">
        <f>Base!#REF!</f>
        <v>#REF!</v>
      </c>
      <c r="N41" s="39" t="e">
        <f>Base!#REF!</f>
        <v>#REF!</v>
      </c>
      <c r="O41" t="e">
        <f>Base!#REF!</f>
        <v>#REF!</v>
      </c>
      <c r="P41" t="e">
        <f>Base!#REF!</f>
        <v>#REF!</v>
      </c>
      <c r="Q41" t="e">
        <f>Base!#REF!</f>
        <v>#REF!</v>
      </c>
      <c r="R41" t="s">
        <v>74</v>
      </c>
      <c r="S41" t="s">
        <v>79</v>
      </c>
      <c r="T41">
        <v>3250</v>
      </c>
      <c r="U41" t="s">
        <v>127</v>
      </c>
      <c r="V41" s="29" t="s">
        <v>48</v>
      </c>
    </row>
    <row r="42" spans="1:22" ht="13.8" x14ac:dyDescent="0.3">
      <c r="A42">
        <v>41</v>
      </c>
      <c r="B42">
        <v>8</v>
      </c>
      <c r="C42" t="s">
        <v>46</v>
      </c>
      <c r="D42">
        <v>2019</v>
      </c>
      <c r="E42" s="35" t="e">
        <f>Base!#REF!</f>
        <v>#REF!</v>
      </c>
      <c r="F42" t="e">
        <f t="shared" si="0"/>
        <v>#REF!</v>
      </c>
      <c r="G42" s="41" t="e">
        <f t="shared" si="1"/>
        <v>#REF!</v>
      </c>
      <c r="H42" t="e">
        <f t="shared" si="2"/>
        <v>#REF!</v>
      </c>
      <c r="I42" t="s">
        <v>75</v>
      </c>
      <c r="J42" t="e">
        <f>Base!#REF!&amp;" "&amp;Base!#REF!&amp;" "&amp;Base!#REF!</f>
        <v>#REF!</v>
      </c>
      <c r="K42">
        <v>18877021</v>
      </c>
      <c r="L42" t="e">
        <f>Base!#REF!</f>
        <v>#REF!</v>
      </c>
      <c r="M42" t="e">
        <f>Base!#REF!</f>
        <v>#REF!</v>
      </c>
      <c r="N42" s="39" t="e">
        <f>Base!#REF!</f>
        <v>#REF!</v>
      </c>
      <c r="O42" t="e">
        <f>Base!#REF!</f>
        <v>#REF!</v>
      </c>
      <c r="P42" t="e">
        <f>Base!#REF!</f>
        <v>#REF!</v>
      </c>
      <c r="Q42" t="e">
        <f>Base!#REF!</f>
        <v>#REF!</v>
      </c>
      <c r="R42" t="s">
        <v>74</v>
      </c>
      <c r="S42" t="s">
        <v>79</v>
      </c>
      <c r="T42">
        <v>3248</v>
      </c>
      <c r="U42" t="s">
        <v>127</v>
      </c>
      <c r="V42" s="29" t="s">
        <v>48</v>
      </c>
    </row>
    <row r="43" spans="1:22" ht="13.8" x14ac:dyDescent="0.3">
      <c r="A43">
        <v>42</v>
      </c>
      <c r="B43">
        <v>8</v>
      </c>
      <c r="C43" t="s">
        <v>46</v>
      </c>
      <c r="D43">
        <v>2019</v>
      </c>
      <c r="E43" s="35" t="e">
        <f>Base!#REF!</f>
        <v>#REF!</v>
      </c>
      <c r="F43" t="e">
        <f t="shared" si="0"/>
        <v>#REF!</v>
      </c>
      <c r="G43" s="41" t="e">
        <f t="shared" si="1"/>
        <v>#REF!</v>
      </c>
      <c r="H43" t="e">
        <f t="shared" si="2"/>
        <v>#REF!</v>
      </c>
      <c r="I43" t="s">
        <v>75</v>
      </c>
      <c r="J43" t="e">
        <f>Base!#REF!&amp;" "&amp;Base!#REF!&amp;" "&amp;Base!#REF!</f>
        <v>#REF!</v>
      </c>
      <c r="K43">
        <v>18073585</v>
      </c>
      <c r="L43" t="e">
        <f>Base!#REF!</f>
        <v>#REF!</v>
      </c>
      <c r="M43" t="e">
        <f>Base!#REF!</f>
        <v>#REF!</v>
      </c>
      <c r="N43" s="39" t="e">
        <f>Base!#REF!</f>
        <v>#REF!</v>
      </c>
      <c r="O43" t="e">
        <f>Base!#REF!</f>
        <v>#REF!</v>
      </c>
      <c r="P43" t="e">
        <f>Base!#REF!</f>
        <v>#REF!</v>
      </c>
      <c r="Q43" t="e">
        <f>Base!#REF!</f>
        <v>#REF!</v>
      </c>
      <c r="R43" t="s">
        <v>74</v>
      </c>
      <c r="S43" t="s">
        <v>76</v>
      </c>
      <c r="T43">
        <v>28809</v>
      </c>
      <c r="U43" t="s">
        <v>128</v>
      </c>
      <c r="V43" s="29" t="s">
        <v>51</v>
      </c>
    </row>
    <row r="44" spans="1:22" ht="13.8" x14ac:dyDescent="0.3">
      <c r="A44">
        <v>43</v>
      </c>
      <c r="B44">
        <v>8</v>
      </c>
      <c r="C44" t="s">
        <v>46</v>
      </c>
      <c r="D44">
        <v>2019</v>
      </c>
      <c r="E44" s="35" t="e">
        <f>Base!#REF!</f>
        <v>#REF!</v>
      </c>
      <c r="F44" t="e">
        <f t="shared" si="0"/>
        <v>#REF!</v>
      </c>
      <c r="G44" s="41" t="e">
        <f t="shared" si="1"/>
        <v>#REF!</v>
      </c>
      <c r="H44" t="e">
        <f t="shared" si="2"/>
        <v>#REF!</v>
      </c>
      <c r="I44" t="s">
        <v>75</v>
      </c>
      <c r="J44" t="e">
        <f>Base!#REF!&amp;" "&amp;Base!#REF!&amp;" "&amp;Base!#REF!</f>
        <v>#REF!</v>
      </c>
      <c r="K44">
        <v>19760380</v>
      </c>
      <c r="L44" t="e">
        <f>Base!#REF!</f>
        <v>#REF!</v>
      </c>
      <c r="M44" t="e">
        <f>Base!#REF!</f>
        <v>#REF!</v>
      </c>
      <c r="N44" s="39" t="e">
        <f>Base!#REF!</f>
        <v>#REF!</v>
      </c>
      <c r="O44" t="e">
        <f>Base!#REF!</f>
        <v>#REF!</v>
      </c>
      <c r="P44" t="e">
        <f>Base!#REF!</f>
        <v>#REF!</v>
      </c>
      <c r="Q44" t="e">
        <f>Base!#REF!</f>
        <v>#REF!</v>
      </c>
      <c r="R44" t="s">
        <v>75</v>
      </c>
      <c r="S44" t="s">
        <v>86</v>
      </c>
      <c r="T44">
        <v>10035</v>
      </c>
      <c r="U44" t="s">
        <v>129</v>
      </c>
      <c r="V44" s="29" t="s">
        <v>49</v>
      </c>
    </row>
    <row r="45" spans="1:22" ht="13.8" x14ac:dyDescent="0.3">
      <c r="A45">
        <v>44</v>
      </c>
      <c r="B45">
        <v>8</v>
      </c>
      <c r="C45" t="s">
        <v>46</v>
      </c>
      <c r="D45">
        <v>2019</v>
      </c>
      <c r="E45" s="35" t="e">
        <f>Base!#REF!</f>
        <v>#REF!</v>
      </c>
      <c r="F45" t="e">
        <f t="shared" si="0"/>
        <v>#REF!</v>
      </c>
      <c r="G45" s="41" t="e">
        <f t="shared" si="1"/>
        <v>#REF!</v>
      </c>
      <c r="H45" t="e">
        <f t="shared" si="2"/>
        <v>#REF!</v>
      </c>
      <c r="I45" t="s">
        <v>75</v>
      </c>
      <c r="J45" t="e">
        <f>Base!#REF!&amp;" "&amp;Base!#REF!&amp;" "&amp;Base!#REF!</f>
        <v>#REF!</v>
      </c>
      <c r="K45">
        <v>17146831</v>
      </c>
      <c r="L45" t="e">
        <f>Base!#REF!</f>
        <v>#REF!</v>
      </c>
      <c r="M45" t="e">
        <f>Base!#REF!</f>
        <v>#REF!</v>
      </c>
      <c r="N45" s="39" t="e">
        <f>Base!#REF!</f>
        <v>#REF!</v>
      </c>
      <c r="O45" t="e">
        <f>Base!#REF!</f>
        <v>#REF!</v>
      </c>
      <c r="P45" t="e">
        <f>Base!#REF!</f>
        <v>#REF!</v>
      </c>
      <c r="Q45" t="e">
        <f>Base!#REF!</f>
        <v>#REF!</v>
      </c>
      <c r="R45" t="s">
        <v>75</v>
      </c>
      <c r="S45" t="s">
        <v>87</v>
      </c>
      <c r="T45">
        <v>5719</v>
      </c>
      <c r="U45" t="s">
        <v>130</v>
      </c>
      <c r="V45" s="29" t="s">
        <v>56</v>
      </c>
    </row>
    <row r="46" spans="1:22" ht="13.8" x14ac:dyDescent="0.3">
      <c r="A46">
        <v>45</v>
      </c>
      <c r="B46">
        <v>8</v>
      </c>
      <c r="C46" t="s">
        <v>46</v>
      </c>
      <c r="D46">
        <v>2019</v>
      </c>
      <c r="E46" s="35" t="e">
        <f>Base!#REF!</f>
        <v>#REF!</v>
      </c>
      <c r="F46" t="e">
        <f t="shared" si="0"/>
        <v>#REF!</v>
      </c>
      <c r="G46" s="41" t="e">
        <f t="shared" si="1"/>
        <v>#REF!</v>
      </c>
      <c r="H46" t="e">
        <f t="shared" si="2"/>
        <v>#REF!</v>
      </c>
      <c r="I46" t="s">
        <v>74</v>
      </c>
      <c r="J46" t="e">
        <f>Base!#REF!&amp;" "&amp;Base!#REF!&amp;" "&amp;Base!#REF!</f>
        <v>#REF!</v>
      </c>
      <c r="K46">
        <v>14563188</v>
      </c>
      <c r="L46" t="e">
        <f>Base!#REF!</f>
        <v>#REF!</v>
      </c>
      <c r="M46" t="e">
        <f>Base!#REF!</f>
        <v>#REF!</v>
      </c>
      <c r="N46" s="39" t="e">
        <f>Base!#REF!</f>
        <v>#REF!</v>
      </c>
      <c r="O46" t="e">
        <f>Base!#REF!</f>
        <v>#REF!</v>
      </c>
      <c r="P46" t="e">
        <f>Base!#REF!</f>
        <v>#REF!</v>
      </c>
      <c r="Q46" t="e">
        <f>Base!#REF!</f>
        <v>#REF!</v>
      </c>
      <c r="R46" t="s">
        <v>75</v>
      </c>
      <c r="S46" t="s">
        <v>87</v>
      </c>
      <c r="T46">
        <v>5780</v>
      </c>
      <c r="U46" t="s">
        <v>131</v>
      </c>
      <c r="V46" s="29" t="s">
        <v>56</v>
      </c>
    </row>
    <row r="47" spans="1:22" ht="13.8" x14ac:dyDescent="0.3">
      <c r="A47">
        <v>46</v>
      </c>
      <c r="B47">
        <v>8</v>
      </c>
      <c r="C47" t="s">
        <v>46</v>
      </c>
      <c r="D47">
        <v>2019</v>
      </c>
      <c r="E47" s="35" t="e">
        <f>Base!#REF!</f>
        <v>#REF!</v>
      </c>
      <c r="F47" t="e">
        <f t="shared" si="0"/>
        <v>#REF!</v>
      </c>
      <c r="G47" s="41" t="e">
        <f t="shared" si="1"/>
        <v>#REF!</v>
      </c>
      <c r="H47" t="e">
        <f t="shared" si="2"/>
        <v>#REF!</v>
      </c>
      <c r="I47" t="s">
        <v>74</v>
      </c>
      <c r="J47" t="e">
        <f>Base!#REF!&amp;" "&amp;Base!#REF!&amp;" "&amp;Base!#REF!</f>
        <v>#REF!</v>
      </c>
      <c r="K47">
        <v>16900857</v>
      </c>
      <c r="L47" t="e">
        <f>Base!#REF!</f>
        <v>#REF!</v>
      </c>
      <c r="M47" t="e">
        <f>Base!#REF!</f>
        <v>#REF!</v>
      </c>
      <c r="N47" s="39" t="e">
        <f>Base!#REF!</f>
        <v>#REF!</v>
      </c>
      <c r="O47" t="e">
        <f>Base!#REF!</f>
        <v>#REF!</v>
      </c>
      <c r="P47" t="e">
        <f>Base!#REF!</f>
        <v>#REF!</v>
      </c>
      <c r="Q47" t="e">
        <f>Base!#REF!</f>
        <v>#REF!</v>
      </c>
      <c r="R47" t="s">
        <v>74</v>
      </c>
      <c r="S47" t="s">
        <v>76</v>
      </c>
      <c r="T47">
        <v>29986</v>
      </c>
      <c r="U47" t="s">
        <v>132</v>
      </c>
      <c r="V47" s="29" t="s">
        <v>51</v>
      </c>
    </row>
    <row r="48" spans="1:22" ht="13.8" x14ac:dyDescent="0.3">
      <c r="A48">
        <v>47</v>
      </c>
      <c r="B48">
        <v>8</v>
      </c>
      <c r="C48" t="s">
        <v>46</v>
      </c>
      <c r="D48">
        <v>2019</v>
      </c>
      <c r="E48" s="35" t="e">
        <f>Base!#REF!</f>
        <v>#REF!</v>
      </c>
      <c r="F48" t="e">
        <f t="shared" si="0"/>
        <v>#REF!</v>
      </c>
      <c r="G48" s="41" t="e">
        <f t="shared" si="1"/>
        <v>#REF!</v>
      </c>
      <c r="H48" t="e">
        <f t="shared" si="2"/>
        <v>#REF!</v>
      </c>
      <c r="I48" t="s">
        <v>74</v>
      </c>
      <c r="J48" t="e">
        <f>Base!#REF!&amp;" "&amp;Base!#REF!&amp;" "&amp;Base!#REF!</f>
        <v>#REF!</v>
      </c>
      <c r="K48">
        <v>17740113</v>
      </c>
      <c r="L48" t="e">
        <f>Base!#REF!</f>
        <v>#REF!</v>
      </c>
      <c r="M48" t="e">
        <f>Base!#REF!</f>
        <v>#REF!</v>
      </c>
      <c r="N48" s="39" t="e">
        <f>Base!#REF!</f>
        <v>#REF!</v>
      </c>
      <c r="O48" t="e">
        <f>Base!#REF!</f>
        <v>#REF!</v>
      </c>
      <c r="P48" t="e">
        <f>Base!#REF!</f>
        <v>#REF!</v>
      </c>
      <c r="Q48" t="e">
        <f>Base!#REF!</f>
        <v>#REF!</v>
      </c>
      <c r="R48" t="s">
        <v>74</v>
      </c>
      <c r="S48" t="s">
        <v>79</v>
      </c>
      <c r="T48">
        <v>3389</v>
      </c>
      <c r="U48" t="s">
        <v>133</v>
      </c>
      <c r="V48" s="29" t="s">
        <v>48</v>
      </c>
    </row>
    <row r="49" spans="1:22" ht="13.8" x14ac:dyDescent="0.3">
      <c r="A49">
        <v>48</v>
      </c>
      <c r="B49">
        <v>8</v>
      </c>
      <c r="C49" t="s">
        <v>46</v>
      </c>
      <c r="D49">
        <v>2019</v>
      </c>
      <c r="E49" s="35" t="e">
        <f>Base!#REF!</f>
        <v>#REF!</v>
      </c>
      <c r="F49" t="e">
        <f t="shared" si="0"/>
        <v>#REF!</v>
      </c>
      <c r="G49" s="41" t="e">
        <f t="shared" si="1"/>
        <v>#REF!</v>
      </c>
      <c r="H49" t="e">
        <f t="shared" si="2"/>
        <v>#REF!</v>
      </c>
      <c r="I49" t="s">
        <v>74</v>
      </c>
      <c r="J49" t="e">
        <f>Base!#REF!&amp;" "&amp;Base!#REF!&amp;" "&amp;Base!#REF!</f>
        <v>#REF!</v>
      </c>
      <c r="K49">
        <v>17144755</v>
      </c>
      <c r="L49" t="e">
        <f>Base!#REF!</f>
        <v>#REF!</v>
      </c>
      <c r="M49" t="e">
        <f>Base!#REF!</f>
        <v>#REF!</v>
      </c>
      <c r="N49" s="39" t="e">
        <f>Base!#REF!</f>
        <v>#REF!</v>
      </c>
      <c r="O49" t="e">
        <f>Base!#REF!</f>
        <v>#REF!</v>
      </c>
      <c r="P49" t="e">
        <f>Base!#REF!</f>
        <v>#REF!</v>
      </c>
      <c r="Q49" t="e">
        <f>Base!#REF!</f>
        <v>#REF!</v>
      </c>
      <c r="R49" t="s">
        <v>75</v>
      </c>
      <c r="S49" t="s">
        <v>87</v>
      </c>
      <c r="T49">
        <v>3176</v>
      </c>
      <c r="U49" t="s">
        <v>134</v>
      </c>
      <c r="V49" s="2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Base</vt:lpstr>
      <vt:lpstr>Valo FX</vt:lpstr>
      <vt:lpstr>Valo</vt:lpstr>
      <vt:lpstr>Tabla desarrollo FX</vt:lpstr>
      <vt:lpstr>Tabla desarrollo</vt:lpstr>
      <vt:lpstr>Contrato</vt:lpstr>
      <vt:lpstr>'Valo FX'!Print_Area</vt:lpstr>
    </vt:vector>
  </TitlesOfParts>
  <Company>Ecomac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jstambukr</dc:creator>
  <cp:lastModifiedBy>Araneda, Constanza</cp:lastModifiedBy>
  <cp:lastPrinted>2016-10-06T16:34:46Z</cp:lastPrinted>
  <dcterms:created xsi:type="dcterms:W3CDTF">2009-12-28T18:10:51Z</dcterms:created>
  <dcterms:modified xsi:type="dcterms:W3CDTF">2024-02-29T19:36:17Z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d46427-b049-4099-a1b9-e5ce547210a1_Enabled">
    <vt:lpwstr>true</vt:lpwstr>
  </property>
  <property fmtid="{D5CDD505-2E9C-101B-9397-08002B2CF9AE}" pid="3" name="MSIP_Label_6dd46427-b049-4099-a1b9-e5ce547210a1_SetDate">
    <vt:lpwstr>2023-04-23T00:47:53Z</vt:lpwstr>
  </property>
  <property fmtid="{D5CDD505-2E9C-101B-9397-08002B2CF9AE}" pid="4" name="MSIP_Label_6dd46427-b049-4099-a1b9-e5ce547210a1_Method">
    <vt:lpwstr>Standard</vt:lpwstr>
  </property>
  <property fmtid="{D5CDD505-2E9C-101B-9397-08002B2CF9AE}" pid="5" name="MSIP_Label_6dd46427-b049-4099-a1b9-e5ce547210a1_Name">
    <vt:lpwstr>6dd46427-b049-4099-a1b9-e5ce547210a1</vt:lpwstr>
  </property>
  <property fmtid="{D5CDD505-2E9C-101B-9397-08002B2CF9AE}" pid="6" name="MSIP_Label_6dd46427-b049-4099-a1b9-e5ce547210a1_SiteId">
    <vt:lpwstr>16e7cf3f-6af4-4e76-941e-aecafb9704e9</vt:lpwstr>
  </property>
  <property fmtid="{D5CDD505-2E9C-101B-9397-08002B2CF9AE}" pid="7" name="MSIP_Label_6dd46427-b049-4099-a1b9-e5ce547210a1_ActionId">
    <vt:lpwstr>c572b983-53ef-4008-95c1-67fa7c19ad1c</vt:lpwstr>
  </property>
  <property fmtid="{D5CDD505-2E9C-101B-9397-08002B2CF9AE}" pid="8" name="MSIP_Label_6dd46427-b049-4099-a1b9-e5ce547210a1_ContentBits">
    <vt:lpwstr>0</vt:lpwstr>
  </property>
</Properties>
</file>